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w to Use" sheetId="1" state="visible" r:id="rId3"/>
    <sheet name="This Week's Hardware" sheetId="2" state="visible" r:id="rId4"/>
    <sheet name="Daily Kit Lists" sheetId="3" state="visible" r:id="rId5"/>
    <sheet name="Session Tracker" sheetId="4" state="visible" r:id="rId6"/>
    <sheet name="Little Explorers Kits" sheetId="5" state="visible" r:id="rId7"/>
    <sheet name="Junior Makers Kits" sheetId="6" state="visible" r:id="rId8"/>
    <sheet name="Young Innovators Kits" sheetId="7" state="visible" r:id="rId9"/>
    <sheet name="Tech Leaders Kits" sheetId="8" state="visible" r:id="rId10"/>
    <sheet name="Calc" sheetId="9" state="visible" r:id="rId11"/>
    <sheet name="DayLines" sheetId="10" state="visible" r:id="rId12"/>
    <sheet name="Lines" sheetId="11" state="visible" r:id="rId13"/>
  </sheets>
  <definedNames>
    <definedName function="false" hidden="false" localSheetId="2" name="_xlnm.Print_Titles" vbProcedure="false">'Daily Kit Lists'!$5:$5</definedName>
    <definedName function="false" hidden="false" localSheetId="5" name="_xlnm.Print_Titles" vbProcedure="false">'Junior Makers Kits'!$4:$4</definedName>
    <definedName function="false" hidden="false" localSheetId="4" name="_xlnm.Print_Titles" vbProcedure="false">'Little Explorers Kits'!$4:$4</definedName>
    <definedName function="false" hidden="false" localSheetId="3" name="_xlnm.Print_Titles" vbProcedure="false">'Session Tracker'!$4:$4</definedName>
    <definedName function="false" hidden="true" localSheetId="3" name="_xlnm._FilterDatabase" vbProcedure="false">'Session Tracker'!$A$4:$L$149</definedName>
    <definedName function="false" hidden="false" localSheetId="7" name="_xlnm.Print_Titles" vbProcedure="false">'Tech Leaders Kits'!$4:$4</definedName>
    <definedName function="false" hidden="false" localSheetId="6" name="_xlnm.Print_Titles" vbProcedure="false">'Young Innovators Kits'!$4:$4</definedName>
    <definedName function="false" hidden="false" localSheetId="1" name="_xlnm.Print_Area" vbProcedure="false">OFFSET('This Week''s Hardware'!$A$1,0,0,MAX(24,22+COUNT(DayLines!$C$3:$C$608)),14)</definedName>
    <definedName function="false" hidden="false" localSheetId="2" name="_xlnm.Print_Area" vbProcedure="false">OFFSET('Daily Kit Lists'!$A$1,0,0,MAX(7,5+COUNT(Lines!$G$3:$G$1590)),9)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3" authorId="0">
      <text>
        <r>
          <rPr>
            <sz val="10"/>
            <rFont val="Arial"/>
            <family val="2"/>
          </rPr>
          <t xml:space="preserve">Type the date of next Monday, e.g. 12-Oct-2026. The day columns below show the dates.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H5" authorId="0">
      <text>
        <r>
          <rPr>
            <sz val="10"/>
            <rFont val="Arial"/>
            <family val="2"/>
          </rPr>
          <t xml:space="preserve">Total to pack = Qty x number of groups (Per group), or Qty once (Per class).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4" authorId="0">
      <text>
        <r>
          <rPr>
            <sz val="10"/>
            <rFont val="Arial"/>
            <family val="2"/>
          </rPr>
          <t xml:space="preserve">Number of pairs (groups of 2 students) in that session. 'Per group' kit quantities are multiplied by this. Default 8: change it to match your class.</t>
        </r>
      </text>
    </comment>
  </commentList>
</comments>
</file>

<file path=xl/sharedStrings.xml><?xml version="1.0" encoding="utf-8"?>
<sst xmlns="http://schemas.openxmlformats.org/spreadsheetml/2006/main" count="8628" uniqueCount="821">
  <si>
    <t xml:space="preserve">Robotics &amp; AI Club: Weekly Planner and Hardware Sheet</t>
  </si>
  <si>
    <t xml:space="preserve">Curriculum developed by Qasim Mushtaq, MS Robotics and AI · Academic Year 2026-27</t>
  </si>
  <si>
    <t xml:space="preserve">Every Friday</t>
  </si>
  <si>
    <t xml:space="preserve">1. Session Tracker</t>
  </si>
  <si>
    <t xml:space="preserve">For each session next week: Status = 'Next week', choose the Day, and check 'Groups (pairs)' (default 8). Add time and section if you like.</t>
  </si>
  <si>
    <t xml:space="preserve">2. This Week's Hardware</t>
  </si>
  <si>
    <t xml:space="preserve">Type next Monday's date in the yellow cell. Part A lists the sessions, Part B lists the hardware DAY BY DAY (all sessions on that day added together).</t>
  </si>
  <si>
    <t xml:space="preserve">   Daily Kit Lists</t>
  </si>
  <si>
    <t xml:space="preserve">Day by day, then each session in the same format as the kit tabs (Code, Category, Component, Qty, Basis, Type, Notes) with the total to pack. Every Arduino class also gets an LED, a 220 ohm resistor and a buzzer.</t>
  </si>
  <si>
    <t xml:space="preserve">3. Print</t>
  </si>
  <si>
    <t xml:space="preserve">Print 'This Week's Hardware' (A4, it only prints the filled rows) and give it to the lab assistant. They tick Issued and Returned.</t>
  </si>
  <si>
    <t xml:space="preserve">After each session</t>
  </si>
  <si>
    <t xml:space="preserve">Change Status to 'Done' (it turns green and drops off next week's list) and add notes.</t>
  </si>
  <si>
    <t xml:space="preserve">How quantities work</t>
  </si>
  <si>
    <t xml:space="preserve">Per group</t>
  </si>
  <si>
    <t xml:space="preserve">Qty x number of groups in that session. One group = 2 students.</t>
  </si>
  <si>
    <t xml:space="preserve">Per class</t>
  </si>
  <si>
    <t xml:space="preserve">Shared items (glue gun, 3D printer). Counted once per session.</t>
  </si>
  <si>
    <t xml:space="preserve">Reusable items</t>
  </si>
  <si>
    <t xml:space="preserve">Issue qty = the most needed on any ONE day, because kits come back and are reused the next day.</t>
  </si>
  <si>
    <t xml:space="preserve">Consumables</t>
  </si>
  <si>
    <t xml:space="preserve">Issue qty = the total for the whole week (they are used up).</t>
  </si>
  <si>
    <t xml:space="preserve">No day set</t>
  </si>
  <si>
    <t xml:space="preserve">A session marked Next week without a Day is still counted, as an extra on top of the busiest day.</t>
  </si>
  <si>
    <t xml:space="preserve">Tabs</t>
  </si>
  <si>
    <t xml:space="preserve">Session Tracker</t>
  </si>
  <si>
    <t xml:space="preserve">All activities for all 4 pathways: Foundation classes (F-00 Welcome to Robotics, F-01 Arduino Uno, F-02 ESP32, F-03 3D printing) for every age group, Phase 1 (classes 1-16), Phase 2 (17-32) and the JM-00 Art Bot intro. Click a code to open its kit.</t>
  </si>
  <si>
    <t xml:space="preserve">LE / JM / YI / TL Kits</t>
  </si>
  <si>
    <t xml:space="preserve">Hardware per activity. Edit columns A-G to change a kit; the weekly sheet follows automatically. Each activity header shows its current status.</t>
  </si>
  <si>
    <t xml:space="preserve">Calc</t>
  </si>
  <si>
    <t xml:space="preserve">Automatic totals per component. Only touch it to add a brand-new component name.</t>
  </si>
  <si>
    <t xml:space="preserve">Example</t>
  </si>
  <si>
    <t xml:space="preserve">Friday 9 Oct: JM-06 Fire &amp; Gas Alarm set to Next week, Day = Tue, Groups = 8  -&gt;  the weekly sheet asks for 8 Arduino Unos, 8 MQ-2 sensors, 8 flame sensors... for Tuesday 13 Oct.</t>
  </si>
  <si>
    <t xml:space="preserve">Yellow cells = you edit.  Grey cells = automatic, do not type over them.</t>
  </si>
  <si>
    <t xml:space="preserve">Robotics &amp; AI Club: Hardware Request for the Week</t>
  </si>
  <si>
    <t xml:space="preserve">Received by (lab):</t>
  </si>
  <si>
    <t xml:space="preserve">Pak-Turk Maarif International Schools &amp; Colleges, Chak Shahzad Campus · Robotics Lab</t>
  </si>
  <si>
    <t xml:space="preserve">Signature / date:</t>
  </si>
  <si>
    <t xml:space="preserve">Week starting (Monday):</t>
  </si>
  <si>
    <t xml:space="preserve">Requested by:</t>
  </si>
  <si>
    <t xml:space="preserve">Qasim Mushtaq</t>
  </si>
  <si>
    <t xml:space="preserve">A. Sessions next week</t>
  </si>
  <si>
    <t xml:space="preserve">#</t>
  </si>
  <si>
    <t xml:space="preserve">Day / date</t>
  </si>
  <si>
    <t xml:space="preserve">Activity</t>
  </si>
  <si>
    <t xml:space="preserve">Code</t>
  </si>
  <si>
    <t xml:space="preserve">Time</t>
  </si>
  <si>
    <t xml:space="preserve">Pathway</t>
  </si>
  <si>
    <t xml:space="preserve">Groups</t>
  </si>
  <si>
    <t xml:space="preserve">Section / class</t>
  </si>
  <si>
    <t xml:space="preserve">B. Hardware to issue, day by day</t>
  </si>
  <si>
    <t xml:space="preserve">All sessions on the same day are added together. Make one kit set per day.</t>
  </si>
  <si>
    <t xml:space="preserve">Category</t>
  </si>
  <si>
    <t xml:space="preserve">Component</t>
  </si>
  <si>
    <t xml:space="preserve">Type</t>
  </si>
  <si>
    <t xml:space="preserve">Qty</t>
  </si>
  <si>
    <t xml:space="preserve">Packed ✓</t>
  </si>
  <si>
    <t xml:space="preserve">Returned ✓</t>
  </si>
  <si>
    <t xml:space="preserve">Notes</t>
  </si>
  <si>
    <t xml:space="preserve">Robotics &amp; AI Club: Daily Kit Lists</t>
  </si>
  <si>
    <t xml:space="preserve">Day by day, then each session in the same format as the kit tabs. Pack one box per session. Fills itself from the Session Tracker (Status = Next week).</t>
  </si>
  <si>
    <t xml:space="preserve">Basis</t>
  </si>
  <si>
    <t xml:space="preserve">Total</t>
  </si>
  <si>
    <t xml:space="preserve">Session Tracker: all pathways, Phase 1 and Phase 2</t>
  </si>
  <si>
    <t xml:space="preserve">On Friday, set Status = 'Next week' and pick a Day for every session you will teach next week. 'This Week's Hardware' fills itself. After the session, change Status to 'Done'. Yellow cells are yours to edit.</t>
  </si>
  <si>
    <t xml:space="preserve">Phase</t>
  </si>
  <si>
    <t xml:space="preserve">Class</t>
  </si>
  <si>
    <t xml:space="preserve">Status</t>
  </si>
  <si>
    <t xml:space="preserve">Day</t>
  </si>
  <si>
    <t xml:space="preserve">Groups (pairs)</t>
  </si>
  <si>
    <t xml:space="preserve">Date delivered</t>
  </si>
  <si>
    <t xml:space="preserve">sort key (auto)</t>
  </si>
  <si>
    <t xml:space="preserve">Little Explorers (5-7)</t>
  </si>
  <si>
    <t xml:space="preserve">Found.</t>
  </si>
  <si>
    <t xml:space="preserve">-</t>
  </si>
  <si>
    <t xml:space="preserve">F-00 (LE)</t>
  </si>
  <si>
    <t xml:space="preserve">Welcome to Robotics (Distance Alarm)</t>
  </si>
  <si>
    <t xml:space="preserve">Not started</t>
  </si>
  <si>
    <t xml:space="preserve">F-01 (LE)</t>
  </si>
  <si>
    <t xml:space="preserve">Arduino Uno Basics</t>
  </si>
  <si>
    <t xml:space="preserve">F-02 (LE)</t>
  </si>
  <si>
    <t xml:space="preserve">ESP32 Basics</t>
  </si>
  <si>
    <t xml:space="preserve">F-03 (LE)</t>
  </si>
  <si>
    <t xml:space="preserve">3D Modelling and Printing</t>
  </si>
  <si>
    <t xml:space="preserve">LE-01</t>
  </si>
  <si>
    <t xml:space="preserve">Light-Up Paper Circuit Card</t>
  </si>
  <si>
    <t xml:space="preserve">LE-02</t>
  </si>
  <si>
    <t xml:space="preserve">Push-Button Doorbell</t>
  </si>
  <si>
    <t xml:space="preserve">LE-03</t>
  </si>
  <si>
    <t xml:space="preserve">Lemon Battery LED Lamp</t>
  </si>
  <si>
    <t xml:space="preserve">LE-04</t>
  </si>
  <si>
    <t xml:space="preserve">Traffic Light Controller</t>
  </si>
  <si>
    <t xml:space="preserve">LE-05</t>
  </si>
  <si>
    <t xml:space="preserve">Automatic Night Lamp</t>
  </si>
  <si>
    <t xml:space="preserve">LE-06</t>
  </si>
  <si>
    <t xml:space="preserve">Hot &amp; Cold Temperature Indicator</t>
  </si>
  <si>
    <t xml:space="preserve">LE-07</t>
  </si>
  <si>
    <t xml:space="preserve">Plant Water Alarm</t>
  </si>
  <si>
    <t xml:space="preserve">LE-08</t>
  </si>
  <si>
    <t xml:space="preserve">Motion Detector Room Alarm</t>
  </si>
  <si>
    <t xml:space="preserve">LE-09</t>
  </si>
  <si>
    <t xml:space="preserve">Waving Robot Arm</t>
  </si>
  <si>
    <t xml:space="preserve">LE-10</t>
  </si>
  <si>
    <t xml:space="preserve">Automatic Railway Crossing Gate</t>
  </si>
  <si>
    <t xml:space="preserve">LE-11</t>
  </si>
  <si>
    <t xml:space="preserve">Vibrating Brush Robot</t>
  </si>
  <si>
    <t xml:space="preserve">LE-12</t>
  </si>
  <si>
    <t xml:space="preserve">Morse Code Light Messenger</t>
  </si>
  <si>
    <t xml:space="preserve">LE-13</t>
  </si>
  <si>
    <t xml:space="preserve">Makey Makey Fruit Piano</t>
  </si>
  <si>
    <t xml:space="preserve">LE-14</t>
  </si>
  <si>
    <t xml:space="preserve">Animated Story App</t>
  </si>
  <si>
    <t xml:space="preserve">LE-15</t>
  </si>
  <si>
    <t xml:space="preserve">Catch-the-Fruit Game with Playdough Controller</t>
  </si>
  <si>
    <t xml:space="preserve">LE-16</t>
  </si>
  <si>
    <t xml:space="preserve">Robot Sorting Rules Game</t>
  </si>
  <si>
    <t xml:space="preserve">LE-17</t>
  </si>
  <si>
    <t xml:space="preserve">Robot Chef: Unplugged Algorithms</t>
  </si>
  <si>
    <t xml:space="preserve">LE-18</t>
  </si>
  <si>
    <t xml:space="preserve">Code.org Puzzle Quest: Sequences and Loops</t>
  </si>
  <si>
    <t xml:space="preserve">LE-19</t>
  </si>
  <si>
    <t xml:space="preserve">Program the Robot Car Through a Floor Maze</t>
  </si>
  <si>
    <t xml:space="preserve">LE-20</t>
  </si>
  <si>
    <t xml:space="preserve">ScratchJr Dance Party</t>
  </si>
  <si>
    <t xml:space="preserve">LE-21</t>
  </si>
  <si>
    <t xml:space="preserve">Rainbow LED Ring</t>
  </si>
  <si>
    <t xml:space="preserve">LE-22</t>
  </si>
  <si>
    <t xml:space="preserve">Button Melody Maker</t>
  </si>
  <si>
    <t xml:space="preserve">LE-23</t>
  </si>
  <si>
    <t xml:space="preserve">Colour Detective Sensor</t>
  </si>
  <si>
    <t xml:space="preserve">LE-24</t>
  </si>
  <si>
    <t xml:space="preserve">Crank-Powered Light: Be the Power Station</t>
  </si>
  <si>
    <t xml:space="preserve">LE-25</t>
  </si>
  <si>
    <t xml:space="preserve">My Talking Pet in Scratch</t>
  </si>
  <si>
    <t xml:space="preserve">LE-26</t>
  </si>
  <si>
    <t xml:space="preserve">Pixel Messages: Send a Picture with Numbers</t>
  </si>
  <si>
    <t xml:space="preserve">LE-27</t>
  </si>
  <si>
    <t xml:space="preserve">Pop the Bubbles with Your Hand</t>
  </si>
  <si>
    <t xml:space="preserve">LE-28</t>
  </si>
  <si>
    <t xml:space="preserve">Cardboard Automaton: Cams and Cranks</t>
  </si>
  <si>
    <t xml:space="preserve">LE-29</t>
  </si>
  <si>
    <t xml:space="preserve">Teach the Computer Our Sounds</t>
  </si>
  <si>
    <t xml:space="preserve">LE-30</t>
  </si>
  <si>
    <t xml:space="preserve">Follow-Me Robot Pet</t>
  </si>
  <si>
    <t xml:space="preserve">LE-31</t>
  </si>
  <si>
    <t xml:space="preserve">Safety Helper Robot Design</t>
  </si>
  <si>
    <t xml:space="preserve">LE-32</t>
  </si>
  <si>
    <t xml:space="preserve">Countdown Rocket Launch</t>
  </si>
  <si>
    <t xml:space="preserve">Junior Makers (8-11)</t>
  </si>
  <si>
    <t xml:space="preserve">F-00 (JM)</t>
  </si>
  <si>
    <t xml:space="preserve">F-01 (JM)</t>
  </si>
  <si>
    <t xml:space="preserve">F-02 (JM)</t>
  </si>
  <si>
    <t xml:space="preserve">F-03 (JM)</t>
  </si>
  <si>
    <t xml:space="preserve">Intro</t>
  </si>
  <si>
    <t xml:space="preserve">JM-00</t>
  </si>
  <si>
    <t xml:space="preserve">Intro to Robotics + Art Bot</t>
  </si>
  <si>
    <t xml:space="preserve">JM-01</t>
  </si>
  <si>
    <t xml:space="preserve">Series &amp; Parallel Circuit Lab</t>
  </si>
  <si>
    <t xml:space="preserve">JM-02</t>
  </si>
  <si>
    <t xml:space="preserve">Two-Player Reaction Timer with Scoreboard</t>
  </si>
  <si>
    <t xml:space="preserve">JM-03</t>
  </si>
  <si>
    <t xml:space="preserve">Mini Weather Station with OLED Display</t>
  </si>
  <si>
    <t xml:space="preserve">JM-04</t>
  </si>
  <si>
    <t xml:space="preserve">Smart Dustbin with Fill-Level Indicator</t>
  </si>
  <si>
    <t xml:space="preserve">JM-05</t>
  </si>
  <si>
    <t xml:space="preserve">Rain-Sensing Automatic Window</t>
  </si>
  <si>
    <t xml:space="preserve">JM-06</t>
  </si>
  <si>
    <t xml:space="preserve">Fire &amp; Gas Safety Alarm Panel</t>
  </si>
  <si>
    <t xml:space="preserve">JM-07</t>
  </si>
  <si>
    <t xml:space="preserve">Temperature-Controlled Smart Fan</t>
  </si>
  <si>
    <t xml:space="preserve">JM-08</t>
  </si>
  <si>
    <t xml:space="preserve">Sun-Tracking Solar Panel</t>
  </si>
  <si>
    <t xml:space="preserve">JM-09</t>
  </si>
  <si>
    <t xml:space="preserve">Home Burglar Alarm with Secret Code</t>
  </si>
  <si>
    <t xml:space="preserve">JM-10</t>
  </si>
  <si>
    <t xml:space="preserve">3D-Designed Name Badge &amp; Sensor Mount</t>
  </si>
  <si>
    <t xml:space="preserve">JM-11</t>
  </si>
  <si>
    <t xml:space="preserve">Line Following Robot</t>
  </si>
  <si>
    <t xml:space="preserve">JM-12</t>
  </si>
  <si>
    <t xml:space="preserve">Phone-Controlled RGB Mood Lamp</t>
  </si>
  <si>
    <t xml:space="preserve">JM-13</t>
  </si>
  <si>
    <t xml:space="preserve">Step Counter Fitness Tracker</t>
  </si>
  <si>
    <t xml:space="preserve">JM-14</t>
  </si>
  <si>
    <t xml:space="preserve">Weather Report Webpage</t>
  </si>
  <si>
    <t xml:space="preserve">JM-15</t>
  </si>
  <si>
    <t xml:space="preserve">Pong Game with a Knob Controller</t>
  </si>
  <si>
    <t xml:space="preserve">JM-16</t>
  </si>
  <si>
    <t xml:space="preserve">AI Recycling Sorter</t>
  </si>
  <si>
    <t xml:space="preserve">JM-17</t>
  </si>
  <si>
    <t xml:space="preserve">Python Turtle Art: Shapes and Patterns</t>
  </si>
  <si>
    <t xml:space="preserve">JM-18</t>
  </si>
  <si>
    <t xml:space="preserve">MakeCode Arcade: My First Platform Game</t>
  </si>
  <si>
    <t xml:space="preserve">JM-19</t>
  </si>
  <si>
    <t xml:space="preserve">Binary Bracelets &amp; Secret Codes</t>
  </si>
  <si>
    <t xml:space="preserve">JM-20</t>
  </si>
  <si>
    <t xml:space="preserve">Joystick Maze Game</t>
  </si>
  <si>
    <t xml:space="preserve">JM-21</t>
  </si>
  <si>
    <t xml:space="preserve">NeoPixel Light Show to the Beat</t>
  </si>
  <si>
    <t xml:space="preserve">JM-22</t>
  </si>
  <si>
    <t xml:space="preserve">8x8 LED Matrix Emoji Display</t>
  </si>
  <si>
    <t xml:space="preserve">JM-23</t>
  </si>
  <si>
    <t xml:space="preserve">Ultrasonic Theremin: Music in the Air</t>
  </si>
  <si>
    <t xml:space="preserve">JM-24</t>
  </si>
  <si>
    <t xml:space="preserve">Processing: Interactive Drawing Machine</t>
  </si>
  <si>
    <t xml:space="preserve">JM-25</t>
  </si>
  <si>
    <t xml:space="preserve">Smart Traffic Junction with Car Counter</t>
  </si>
  <si>
    <t xml:space="preserve">JM-26</t>
  </si>
  <si>
    <t xml:space="preserve">Smart Kitchen Scale</t>
  </si>
  <si>
    <t xml:space="preserve">JM-27</t>
  </si>
  <si>
    <t xml:space="preserve">Arcade Claw Machine</t>
  </si>
  <si>
    <t xml:space="preserve">JM-28</t>
  </si>
  <si>
    <t xml:space="preserve">Wind Turbine Power Lab</t>
  </si>
  <si>
    <t xml:space="preserve">JM-29</t>
  </si>
  <si>
    <t xml:space="preserve">Python Number Guessing Game</t>
  </si>
  <si>
    <t xml:space="preserve">JM-30</t>
  </si>
  <si>
    <t xml:space="preserve">Data Detectives: Class Survey Charts</t>
  </si>
  <si>
    <t xml:space="preserve">JM-31</t>
  </si>
  <si>
    <t xml:space="preserve">AI Emotion Mirror</t>
  </si>
  <si>
    <t xml:space="preserve">JM-32</t>
  </si>
  <si>
    <t xml:space="preserve">Cyber Safety Escape Room</t>
  </si>
  <si>
    <t xml:space="preserve">Young Innovators (12-14)</t>
  </si>
  <si>
    <t xml:space="preserve">F-00 (YI)</t>
  </si>
  <si>
    <t xml:space="preserve">F-01 (YI)</t>
  </si>
  <si>
    <t xml:space="preserve">F-02 (YI)</t>
  </si>
  <si>
    <t xml:space="preserve">F-03 (YI)</t>
  </si>
  <si>
    <t xml:space="preserve">YI-01</t>
  </si>
  <si>
    <t xml:space="preserve">555 Timer Alarm Siren Circuit</t>
  </si>
  <si>
    <t xml:space="preserve">YI-02</t>
  </si>
  <si>
    <t xml:space="preserve">Heart Rate Monitoring System</t>
  </si>
  <si>
    <t xml:space="preserve">YI-03</t>
  </si>
  <si>
    <t xml:space="preserve">Smart Classroom Energy Saver</t>
  </si>
  <si>
    <t xml:space="preserve">YI-04</t>
  </si>
  <si>
    <t xml:space="preserve">Stepper Motor Drawing Plotter</t>
  </si>
  <si>
    <t xml:space="preserve">YI-05</t>
  </si>
  <si>
    <t xml:space="preserve">Obstacle Avoiding Robot with Scanning Sonar</t>
  </si>
  <si>
    <t xml:space="preserve">YI-06</t>
  </si>
  <si>
    <t xml:space="preserve">Bluetooth Robot Car with Phone App</t>
  </si>
  <si>
    <t xml:space="preserve">YI-07</t>
  </si>
  <si>
    <t xml:space="preserve">Gesture-Controlled Robot Arm</t>
  </si>
  <si>
    <t xml:space="preserve">YI-08</t>
  </si>
  <si>
    <t xml:space="preserve">RFID Smart Door Lock with Access Log</t>
  </si>
  <si>
    <t xml:space="preserve">YI-09</t>
  </si>
  <si>
    <t xml:space="preserve">Rechargeable Power Pack for Robots</t>
  </si>
  <si>
    <t xml:space="preserve">YI-10</t>
  </si>
  <si>
    <t xml:space="preserve">Wireless Doorbell with Visitor Counter</t>
  </si>
  <si>
    <t xml:space="preserve">YI-11</t>
  </si>
  <si>
    <t xml:space="preserve">Wi-Fi Automatic Plant Watering System</t>
  </si>
  <si>
    <t xml:space="preserve">YI-12</t>
  </si>
  <si>
    <t xml:space="preserve">Plant Monitor Mobile App</t>
  </si>
  <si>
    <t xml:space="preserve">YI-13</t>
  </si>
  <si>
    <t xml:space="preserve">Python Maths Quiz Game with Scoreboard</t>
  </si>
  <si>
    <t xml:space="preserve">YI-14</t>
  </si>
  <si>
    <t xml:space="preserve">Personal Portfolio Website</t>
  </si>
  <si>
    <t xml:space="preserve">YI-15</t>
  </si>
  <si>
    <t xml:space="preserve">School Helpdesk Chatbot</t>
  </si>
  <si>
    <t xml:space="preserve">YI-16</t>
  </si>
  <si>
    <t xml:space="preserve">3D-Printed Plant Monitor Enclosure</t>
  </si>
  <si>
    <t xml:space="preserve">YI-17</t>
  </si>
  <si>
    <t xml:space="preserve">Processing: Generative Art Poster</t>
  </si>
  <si>
    <t xml:space="preserve">YI-18</t>
  </si>
  <si>
    <t xml:space="preserve">Processing + Arduino: Live Sensor Radar</t>
  </si>
  <si>
    <t xml:space="preserve">YI-19</t>
  </si>
  <si>
    <t xml:space="preserve">Python Pygame: Catch the Falling Stars</t>
  </si>
  <si>
    <t xml:space="preserve">YI-20</t>
  </si>
  <si>
    <t xml:space="preserve">ESP32-CAM Wildlife Camera</t>
  </si>
  <si>
    <t xml:space="preserve">YI-21</t>
  </si>
  <si>
    <t xml:space="preserve">Python Data Lab: Is Our Classroom Too Hot?</t>
  </si>
  <si>
    <t xml:space="preserve">YI-22</t>
  </si>
  <si>
    <t xml:space="preserve">Smart Posture Corrector Wearable</t>
  </si>
  <si>
    <t xml:space="preserve">YI-23</t>
  </si>
  <si>
    <t xml:space="preserve">Li-Fi Messenger: Sending Text with Light</t>
  </si>
  <si>
    <t xml:space="preserve">YI-24</t>
  </si>
  <si>
    <t xml:space="preserve">Python Code Breakers: Caesar to Vigenère</t>
  </si>
  <si>
    <t xml:space="preserve">YI-25</t>
  </si>
  <si>
    <t xml:space="preserve">Robot Sumo Challenge</t>
  </si>
  <si>
    <t xml:space="preserve">YI-26</t>
  </si>
  <si>
    <t xml:space="preserve">Walking Linkage Robot</t>
  </si>
  <si>
    <t xml:space="preserve">YI-27</t>
  </si>
  <si>
    <t xml:space="preserve">Energy Detective: How Much Power Do Gadgets Use?</t>
  </si>
  <si>
    <t xml:space="preserve">YI-28</t>
  </si>
  <si>
    <t xml:space="preserve">Python Control Panel for Arduino</t>
  </si>
  <si>
    <t xml:space="preserve">YI-29</t>
  </si>
  <si>
    <t xml:space="preserve">p5.js: Flappy Voice Game</t>
  </si>
  <si>
    <t xml:space="preserve">YI-30</t>
  </si>
  <si>
    <t xml:space="preserve">Python Weather API Dashboard</t>
  </si>
  <si>
    <t xml:space="preserve">YI-31</t>
  </si>
  <si>
    <t xml:space="preserve">Sign Language Alphabet Recogniser</t>
  </si>
  <si>
    <t xml:space="preserve">YI-32</t>
  </si>
  <si>
    <t xml:space="preserve">Build Your Own Game Controller</t>
  </si>
  <si>
    <t xml:space="preserve">Tech Leaders (15-17)</t>
  </si>
  <si>
    <t xml:space="preserve">F-00 (TL)</t>
  </si>
  <si>
    <t xml:space="preserve">F-01 (TL)</t>
  </si>
  <si>
    <t xml:space="preserve">F-02 (TL)</t>
  </si>
  <si>
    <t xml:space="preserve">F-03 (TL)</t>
  </si>
  <si>
    <t xml:space="preserve">TL-01</t>
  </si>
  <si>
    <t xml:space="preserve">Solar-Powered Off-Grid Weather Node</t>
  </si>
  <si>
    <t xml:space="preserve">TL-02</t>
  </si>
  <si>
    <t xml:space="preserve">Autonomous Maze Solving Robot</t>
  </si>
  <si>
    <t xml:space="preserve">TL-03</t>
  </si>
  <si>
    <t xml:space="preserve">Pick-and-Place Robotic Arm with Record &amp; Replay</t>
  </si>
  <si>
    <t xml:space="preserve">TL-04</t>
  </si>
  <si>
    <t xml:space="preserve">Fall Detection Wearable for the Elderly</t>
  </si>
  <si>
    <t xml:space="preserve">TL-05</t>
  </si>
  <si>
    <t xml:space="preserve">ESP-NOW Wireless Sensor Network</t>
  </si>
  <si>
    <t xml:space="preserve">TL-06</t>
  </si>
  <si>
    <t xml:space="preserve">Smart Home Cloud Control Hub</t>
  </si>
  <si>
    <t xml:space="preserve">TL-07</t>
  </si>
  <si>
    <t xml:space="preserve">Smart Parking Occupancy Dashboard</t>
  </si>
  <si>
    <t xml:space="preserve">TL-08</t>
  </si>
  <si>
    <t xml:space="preserve">Two-Factor Smart Locker with Intrusion Alerts</t>
  </si>
  <si>
    <t xml:space="preserve">TL-09</t>
  </si>
  <si>
    <t xml:space="preserve">Sensor Data Logging &amp; Analysis Pipeline</t>
  </si>
  <si>
    <t xml:space="preserve">TL-10</t>
  </si>
  <si>
    <t xml:space="preserve">Machine Learning Rain Predictor</t>
  </si>
  <si>
    <t xml:space="preserve">TL-11</t>
  </si>
  <si>
    <t xml:space="preserve">AI Fake News Detector</t>
  </si>
  <si>
    <t xml:space="preserve">TL-12</t>
  </si>
  <si>
    <t xml:space="preserve">Web-Controlled Devices via REST API</t>
  </si>
  <si>
    <t xml:space="preserve">TL-13</t>
  </si>
  <si>
    <t xml:space="preserve">Securing an IoT Device</t>
  </si>
  <si>
    <t xml:space="preserve">TL-14</t>
  </si>
  <si>
    <t xml:space="preserve">Autonomous Fire-Fighting Robot</t>
  </si>
  <si>
    <t xml:space="preserve">TL-15</t>
  </si>
  <si>
    <t xml:space="preserve">Parametric Robot Gripper Design</t>
  </si>
  <si>
    <t xml:space="preserve">TL-16</t>
  </si>
  <si>
    <t xml:space="preserve">Motion-Controlled Game</t>
  </si>
  <si>
    <t xml:space="preserve">TL-17</t>
  </si>
  <si>
    <t xml:space="preserve">Computer Vision with OpenCV: Colour Tracking</t>
  </si>
  <si>
    <t xml:space="preserve">TL-18</t>
  </si>
  <si>
    <t xml:space="preserve">Vision-Guided Robot Car</t>
  </si>
  <si>
    <t xml:space="preserve">TL-19</t>
  </si>
  <si>
    <t xml:space="preserve">TinyML Gesture Recogniser on ESP32</t>
  </si>
  <si>
    <t xml:space="preserve">TL-20</t>
  </si>
  <si>
    <t xml:space="preserve">Processing: Flocking Simulation (Boids)</t>
  </si>
  <si>
    <t xml:space="preserve">TL-21</t>
  </si>
  <si>
    <t xml:space="preserve">Pathfinding Visualiser: BFS and A*</t>
  </si>
  <si>
    <t xml:space="preserve">TL-22</t>
  </si>
  <si>
    <t xml:space="preserve">Git &amp; GitHub for Engineering Teams</t>
  </si>
  <si>
    <t xml:space="preserve">TL-23</t>
  </si>
  <si>
    <t xml:space="preserve">Smart Microgrid Model</t>
  </si>
  <si>
    <t xml:space="preserve">TL-24</t>
  </si>
  <si>
    <t xml:space="preserve">Noise Pollution Analyser with FFT</t>
  </si>
  <si>
    <t xml:space="preserve">TL-25</t>
  </si>
  <si>
    <t xml:space="preserve">Robotic Arm Inverse Kinematics</t>
  </si>
  <si>
    <t xml:space="preserve">TL-26</t>
  </si>
  <si>
    <t xml:space="preserve">Robot Swarm: Leader and Follower Cars</t>
  </si>
  <si>
    <t xml:space="preserve">TL-27</t>
  </si>
  <si>
    <t xml:space="preserve">3D-Printed Gearbox and Gear Ratios</t>
  </si>
  <si>
    <t xml:space="preserve">TL-28</t>
  </si>
  <si>
    <t xml:space="preserve">Smart Cane for the Visually Impaired</t>
  </si>
  <si>
    <t xml:space="preserve">TL-29</t>
  </si>
  <si>
    <t xml:space="preserve">Air Quality Data Science for Pakistan</t>
  </si>
  <si>
    <t xml:space="preserve">TL-30</t>
  </si>
  <si>
    <t xml:space="preserve">Neural Network from Scratch</t>
  </si>
  <si>
    <t xml:space="preserve">TL-31</t>
  </si>
  <si>
    <t xml:space="preserve">2D Game Development in Godot</t>
  </si>
  <si>
    <t xml:space="preserve">TL-32</t>
  </si>
  <si>
    <t xml:space="preserve">Password Security Lab: Hashing and Attacks</t>
  </si>
  <si>
    <t xml:space="preserve">Little Explorers (Ages 5-7): kit per activity</t>
  </si>
  <si>
    <t xml:space="preserve">Qty is per group of 2 students unless Basis = Per class (shared, not multiplied). Edit kits in columns A-G. Grey columns H-M are automatic: they read the Session Tracker.</t>
  </si>
  <si>
    <t xml:space="preserve">Mon need</t>
  </si>
  <si>
    <t xml:space="preserve">Tue need</t>
  </si>
  <si>
    <t xml:space="preserve">Wed need</t>
  </si>
  <si>
    <t xml:space="preserve">Thu need</t>
  </si>
  <si>
    <t xml:space="preserve">Fri need</t>
  </si>
  <si>
    <t xml:space="preserve">Foundation / Intro · Welcome to Robotics (Distance Alarm)</t>
  </si>
  <si>
    <t xml:space="preserve">Microcontrollers &amp; Dev Boards</t>
  </si>
  <si>
    <t xml:space="preserve">Arduino Uno + USB cable</t>
  </si>
  <si>
    <t xml:space="preserve">Reusable</t>
  </si>
  <si>
    <t xml:space="preserve">Sensors</t>
  </si>
  <si>
    <t xml:space="preserve">Ultrasonic sensor HC-SR04</t>
  </si>
  <si>
    <t xml:space="preserve">Displays &amp; Output</t>
  </si>
  <si>
    <t xml:space="preserve">LED 5 mm (assorted)</t>
  </si>
  <si>
    <t xml:space="preserve">Consumable</t>
  </si>
  <si>
    <t xml:space="preserve">Red</t>
  </si>
  <si>
    <t xml:space="preserve">Passive Components &amp; ICs</t>
  </si>
  <si>
    <t xml:space="preserve">Resistor 220 ohm</t>
  </si>
  <si>
    <t xml:space="preserve">Actuators &amp; Motor Drivers</t>
  </si>
  <si>
    <t xml:space="preserve">Buzzer</t>
  </si>
  <si>
    <t xml:space="preserve">Wiring &amp; Prototyping</t>
  </si>
  <si>
    <t xml:space="preserve">Breadboard (half size)</t>
  </si>
  <si>
    <t xml:space="preserve">Jumper wires M-M</t>
  </si>
  <si>
    <t xml:space="preserve">Computers &amp; Equipment</t>
  </si>
  <si>
    <t xml:space="preserve">Laptop</t>
  </si>
  <si>
    <t xml:space="preserve">Foundation / Intro · Arduino Uno Basics</t>
  </si>
  <si>
    <t xml:space="preserve">Push button</t>
  </si>
  <si>
    <t xml:space="preserve">INPUT_PULLUP demo</t>
  </si>
  <si>
    <t xml:space="preserve">Potentiometer 10k</t>
  </si>
  <si>
    <t xml:space="preserve">Analog input demo</t>
  </si>
  <si>
    <t xml:space="preserve">Added: every Arduino class</t>
  </si>
  <si>
    <t xml:space="preserve">Foundation / Intro · ESP32 Basics</t>
  </si>
  <si>
    <t xml:space="preserve">ESP32 Dev Board + USB cable</t>
  </si>
  <si>
    <t xml:space="preserve">Data cable, not charge-only</t>
  </si>
  <si>
    <t xml:space="preserve">ADC demo</t>
  </si>
  <si>
    <t xml:space="preserve">ESP32 is wide: bridge 2 boards</t>
  </si>
  <si>
    <t xml:space="preserve">Jumper wires M-F</t>
  </si>
  <si>
    <t xml:space="preserve">Touch-pin demo</t>
  </si>
  <si>
    <t xml:space="preserve">Android smartphone</t>
  </si>
  <si>
    <t xml:space="preserve">Wi-Fi / Bluetooth demo</t>
  </si>
  <si>
    <t xml:space="preserve">Foundation / Intro · 3D Modelling and Printing</t>
  </si>
  <si>
    <t xml:space="preserve">Tinkercad in the browser</t>
  </si>
  <si>
    <t xml:space="preserve">3D printer</t>
  </si>
  <si>
    <t xml:space="preserve">PLA filament</t>
  </si>
  <si>
    <t xml:space="preserve">1 spool</t>
  </si>
  <si>
    <t xml:space="preserve">Screwdriver set</t>
  </si>
  <si>
    <t xml:space="preserve">Scraper / print removal</t>
  </si>
  <si>
    <t xml:space="preserve">Phase 1 · Light-Up Paper Circuit Card</t>
  </si>
  <si>
    <t xml:space="preserve">Copper tape</t>
  </si>
  <si>
    <t xml:space="preserve">30 cm per group</t>
  </si>
  <si>
    <t xml:space="preserve">Power</t>
  </si>
  <si>
    <t xml:space="preserve">Coin cell CR2032</t>
  </si>
  <si>
    <t xml:space="preserve">Craft &amp; Stationery</t>
  </si>
  <si>
    <t xml:space="preserve">Card / chart paper</t>
  </si>
  <si>
    <t xml:space="preserve">Markers</t>
  </si>
  <si>
    <t xml:space="preserve">Tape (paper + double-sided)</t>
  </si>
  <si>
    <t xml:space="preserve">Phase 1 · Push-Button Doorbell</t>
  </si>
  <si>
    <t xml:space="preserve">Pre-wired by teacher</t>
  </si>
  <si>
    <t xml:space="preserve">Resistor 10k ohm</t>
  </si>
  <si>
    <t xml:space="preserve">Phase 1 · Lemon Battery LED Lamp</t>
  </si>
  <si>
    <t xml:space="preserve">Science Consumables</t>
  </si>
  <si>
    <t xml:space="preserve">Lemons</t>
  </si>
  <si>
    <t xml:space="preserve">Galvanized nails</t>
  </si>
  <si>
    <t xml:space="preserve">Copper coins</t>
  </si>
  <si>
    <t xml:space="preserve">Alligator clip leads</t>
  </si>
  <si>
    <t xml:space="preserve">Red works best</t>
  </si>
  <si>
    <t xml:space="preserve">Phase 1 · Traffic Light Controller</t>
  </si>
  <si>
    <t xml:space="preserve">Red, yellow, green</t>
  </si>
  <si>
    <t xml:space="preserve">Phase 1 · Automatic Night Lamp</t>
  </si>
  <si>
    <t xml:space="preserve">LDR module</t>
  </si>
  <si>
    <t xml:space="preserve">Phase 1 · Hot &amp; Cold Temperature Indicator</t>
  </si>
  <si>
    <t xml:space="preserve">DHT22 sensor</t>
  </si>
  <si>
    <t xml:space="preserve">Red and blue</t>
  </si>
  <si>
    <t xml:space="preserve">Phase 1 · Plant Water Alarm</t>
  </si>
  <si>
    <t xml:space="preserve">Soil moisture sensor</t>
  </si>
  <si>
    <t xml:space="preserve">Plant pot with soil</t>
  </si>
  <si>
    <t xml:space="preserve">Water container</t>
  </si>
  <si>
    <t xml:space="preserve">Phase 1 · Motion Detector Room Alarm</t>
  </si>
  <si>
    <t xml:space="preserve">PIR motion sensor</t>
  </si>
  <si>
    <t xml:space="preserve">Phase 1 · Waving Robot Arm</t>
  </si>
  <si>
    <t xml:space="preserve">Servo SG90</t>
  </si>
  <si>
    <t xml:space="preserve">Cardboard sheet</t>
  </si>
  <si>
    <t xml:space="preserve">Googly eyes</t>
  </si>
  <si>
    <t xml:space="preserve">Added: for the LED</t>
  </si>
  <si>
    <t xml:space="preserve">Phase 1 · Automatic Railway Crossing Gate</t>
  </si>
  <si>
    <t xml:space="preserve">Ice cream sticks</t>
  </si>
  <si>
    <t xml:space="preserve">Gate arm</t>
  </si>
  <si>
    <t xml:space="preserve">Phase 1 · Vibrating Brush Robot</t>
  </si>
  <si>
    <t xml:space="preserve">Robot Platforms &amp; Kits</t>
  </si>
  <si>
    <t xml:space="preserve">Brush Bot kit</t>
  </si>
  <si>
    <t xml:space="preserve">Phase 1 · Morse Code Light Messenger</t>
  </si>
  <si>
    <t xml:space="preserve">Printed templates</t>
  </si>
  <si>
    <t xml:space="preserve">Morse picture chart</t>
  </si>
  <si>
    <t xml:space="preserve">Phase 1 · Makey Makey Fruit Piano</t>
  </si>
  <si>
    <t xml:space="preserve">Makey Makey kit</t>
  </si>
  <si>
    <t xml:space="preserve">Fruits (bananas etc.)</t>
  </si>
  <si>
    <t xml:space="preserve">Aluminium foil</t>
  </si>
  <si>
    <t xml:space="preserve">Phase 1 · Animated Story App</t>
  </si>
  <si>
    <t xml:space="preserve">Tablet</t>
  </si>
  <si>
    <t xml:space="preserve">Or laptop with ScratchJr desktop</t>
  </si>
  <si>
    <t xml:space="preserve">Story planning sheet</t>
  </si>
  <si>
    <t xml:space="preserve">Phase 1 · Catch-the-Fruit Game with Playdough Controller</t>
  </si>
  <si>
    <t xml:space="preserve">Conductive playdough</t>
  </si>
  <si>
    <t xml:space="preserve">Phase 1 · Robot Sorting Rules Game</t>
  </si>
  <si>
    <t xml:space="preserve">Picture cards</t>
  </si>
  <si>
    <t xml:space="preserve">Question tree</t>
  </si>
  <si>
    <t xml:space="preserve">Phase 2 · Robot Chef: Unplugged Algorithms</t>
  </si>
  <si>
    <t xml:space="preserve">Floor grid</t>
  </si>
  <si>
    <t xml:space="preserve">Phase 2 · Code.org Puzzle Quest: Sequences and Loops</t>
  </si>
  <si>
    <t xml:space="preserve">Phase 2 · Program the Robot Car Through a Floor Maze</t>
  </si>
  <si>
    <t xml:space="preserve">4WD robot car (assembled, L298N)</t>
  </si>
  <si>
    <t xml:space="preserve">From Phase 2B requisition</t>
  </si>
  <si>
    <t xml:space="preserve">Floor maze</t>
  </si>
  <si>
    <t xml:space="preserve">Phase 2 · ScratchJr Dance Party</t>
  </si>
  <si>
    <t xml:space="preserve">Phase 2 · Rainbow LED Ring</t>
  </si>
  <si>
    <t xml:space="preserve">WS2812B LED ring (12 LEDs)</t>
  </si>
  <si>
    <t xml:space="preserve">Pre-wired</t>
  </si>
  <si>
    <t xml:space="preserve">Phase 2 · Button Melody Maker</t>
  </si>
  <si>
    <t xml:space="preserve">Passive buzzer</t>
  </si>
  <si>
    <t xml:space="preserve">Phase 2 · Colour Detective Sensor</t>
  </si>
  <si>
    <t xml:space="preserve">Colour sensor TCS34725</t>
  </si>
  <si>
    <t xml:space="preserve">RGB LED</t>
  </si>
  <si>
    <t xml:space="preserve">Coloured cards</t>
  </si>
  <si>
    <t xml:space="preserve">Phase 2 · Crank-Powered Light: Be the Power Station</t>
  </si>
  <si>
    <t xml:space="preserve">DC hobby motor</t>
  </si>
  <si>
    <t xml:space="preserve">Digital multimeter</t>
  </si>
  <si>
    <t xml:space="preserve">Teacher demo</t>
  </si>
  <si>
    <t xml:space="preserve">Crank / windmill</t>
  </si>
  <si>
    <t xml:space="preserve">Phase 2 · My Talking Pet in Scratch</t>
  </si>
  <si>
    <t xml:space="preserve">Phase 2 · Pixel Messages: Send a Picture with Numbers</t>
  </si>
  <si>
    <t xml:space="preserve">Phase 2 · Pop the Bubbles with Your Hand</t>
  </si>
  <si>
    <t xml:space="preserve">Webcam</t>
  </si>
  <si>
    <t xml:space="preserve">Or built-in camera</t>
  </si>
  <si>
    <t xml:space="preserve">Phase 2 · Cardboard Automaton: Cams and Cranks</t>
  </si>
  <si>
    <t xml:space="preserve">Wooden skewers</t>
  </si>
  <si>
    <t xml:space="preserve">Straws</t>
  </si>
  <si>
    <t xml:space="preserve">Glue gun + glue sticks</t>
  </si>
  <si>
    <t xml:space="preserve">Teacher only</t>
  </si>
  <si>
    <t xml:space="preserve">Phase 2 · Teach the Computer Our Sounds</t>
  </si>
  <si>
    <t xml:space="preserve">Phase 2 · Follow-Me Robot Pet</t>
  </si>
  <si>
    <t xml:space="preserve">Pre-fitted</t>
  </si>
  <si>
    <t xml:space="preserve">Pet face</t>
  </si>
  <si>
    <t xml:space="preserve">Phase 2 · Safety Helper Robot Design</t>
  </si>
  <si>
    <t xml:space="preserve">Phase 2 · Countdown Rocket Launch</t>
  </si>
  <si>
    <t xml:space="preserve">Junior Makers (Ages 8-11): kit per activity</t>
  </si>
  <si>
    <t xml:space="preserve">Foundation / Intro · Intro to Robotics + Art Bot</t>
  </si>
  <si>
    <t xml:space="preserve">Plastic or paper cup</t>
  </si>
  <si>
    <t xml:space="preserve">Never a real glass</t>
  </si>
  <si>
    <t xml:space="preserve">3-4 washable markers</t>
  </si>
  <si>
    <t xml:space="preserve">Cork</t>
  </si>
  <si>
    <t xml:space="preserve">Fixed off-centre on the shaft</t>
  </si>
  <si>
    <t xml:space="preserve">2xAA battery holder + batteries</t>
  </si>
  <si>
    <t xml:space="preserve">Slide switch</t>
  </si>
  <si>
    <t xml:space="preserve">Optional</t>
  </si>
  <si>
    <t xml:space="preserve">Big drawing paper</t>
  </si>
  <si>
    <t xml:space="preserve">Phase 1 · Series &amp; Parallel Circuit Lab</t>
  </si>
  <si>
    <t xml:space="preserve">9V battery + snap</t>
  </si>
  <si>
    <t xml:space="preserve">Phase 1 · Two-Player Reaction Timer with Scoreboard</t>
  </si>
  <si>
    <t xml:space="preserve">OLED 0.96 in I2C</t>
  </si>
  <si>
    <t xml:space="preserve">Phase 1 · Mini Weather Station with OLED Display</t>
  </si>
  <si>
    <t xml:space="preserve">Phase 1 · Smart Dustbin with Fill-Level Indicator</t>
  </si>
  <si>
    <t xml:space="preserve">Green, yellow, red</t>
  </si>
  <si>
    <t xml:space="preserve">Box for bin</t>
  </si>
  <si>
    <t xml:space="preserve">Phase 1 · Rain-Sensing Automatic Window</t>
  </si>
  <si>
    <t xml:space="preserve">Rain sensor</t>
  </si>
  <si>
    <t xml:space="preserve">Model window</t>
  </si>
  <si>
    <t xml:space="preserve">Phase 1 · Fire &amp; Gas Safety Alarm Panel</t>
  </si>
  <si>
    <t xml:space="preserve">Flame sensor</t>
  </si>
  <si>
    <t xml:space="preserve">MQ-2 gas sensor</t>
  </si>
  <si>
    <t xml:space="preserve">Green, red</t>
  </si>
  <si>
    <t xml:space="preserve">Candle</t>
  </si>
  <si>
    <t xml:space="preserve">Phase 1 · Temperature-Controlled Smart Fan</t>
  </si>
  <si>
    <t xml:space="preserve">With fan blade</t>
  </si>
  <si>
    <t xml:space="preserve">L298N motor driver</t>
  </si>
  <si>
    <t xml:space="preserve">4xAA battery pack</t>
  </si>
  <si>
    <t xml:space="preserve">Motor power</t>
  </si>
  <si>
    <t xml:space="preserve">Phase 1 · Sun-Tracking Solar Panel</t>
  </si>
  <si>
    <t xml:space="preserve">Small solar panel</t>
  </si>
  <si>
    <t xml:space="preserve">Panel mount</t>
  </si>
  <si>
    <t xml:space="preserve">Phase 1 · Home Burglar Alarm with Secret Code</t>
  </si>
  <si>
    <t xml:space="preserve">Phase 1 · 3D-Designed Name Badge &amp; Sensor Mount</t>
  </si>
  <si>
    <t xml:space="preserve">1 spool per term</t>
  </si>
  <si>
    <t xml:space="preserve">Phase 1 · Line Following Robot</t>
  </si>
  <si>
    <t xml:space="preserve">2WD robot chassis kit</t>
  </si>
  <si>
    <t xml:space="preserve">IR sensor module</t>
  </si>
  <si>
    <t xml:space="preserve">Phase 1 · Phone-Controlled RGB Mood Lamp</t>
  </si>
  <si>
    <t xml:space="preserve">Communication Modules</t>
  </si>
  <si>
    <t xml:space="preserve">Bluetooth module HC-05</t>
  </si>
  <si>
    <t xml:space="preserve">Resistor 1k ohm</t>
  </si>
  <si>
    <t xml:space="preserve">HC-05 divider</t>
  </si>
  <si>
    <t xml:space="preserve">Phase 1 · Step Counter Fitness Tracker</t>
  </si>
  <si>
    <t xml:space="preserve">MPU6050 IMU</t>
  </si>
  <si>
    <t xml:space="preserve">Phase 1 · Weather Report Webpage</t>
  </si>
  <si>
    <t xml:space="preserve">Phase 1 · Pong Game with a Knob Controller</t>
  </si>
  <si>
    <t xml:space="preserve">Phase 1 · AI Recycling Sorter</t>
  </si>
  <si>
    <t xml:space="preserve">Results sheet</t>
  </si>
  <si>
    <t xml:space="preserve">Phase 2 · Python Turtle Art: Shapes and Patterns</t>
  </si>
  <si>
    <t xml:space="preserve">Phase 2 · MakeCode Arcade: My First Platform Game</t>
  </si>
  <si>
    <t xml:space="preserve">Phase 2 · Binary Bracelets &amp; Secret Codes</t>
  </si>
  <si>
    <t xml:space="preserve">Or beads</t>
  </si>
  <si>
    <t xml:space="preserve">Phase 2 · Joystick Maze Game</t>
  </si>
  <si>
    <t xml:space="preserve">Joystick module</t>
  </si>
  <si>
    <t xml:space="preserve">Phase 2 · NeoPixel Light Show to the Beat</t>
  </si>
  <si>
    <t xml:space="preserve">WS2812B LED strip (1 m, 30 LEDs)</t>
  </si>
  <si>
    <t xml:space="preserve">Sound sensor KY-037</t>
  </si>
  <si>
    <t xml:space="preserve">Capacitor 100 uF</t>
  </si>
  <si>
    <t xml:space="preserve">Strip power</t>
  </si>
  <si>
    <t xml:space="preserve">Data line</t>
  </si>
  <si>
    <t xml:space="preserve">Phase 2 · 8x8 LED Matrix Emoji Display</t>
  </si>
  <si>
    <t xml:space="preserve">MAX7219 8x8 LED matrix</t>
  </si>
  <si>
    <t xml:space="preserve">Phase 2 · Ultrasonic Theremin: Music in the Air</t>
  </si>
  <si>
    <t xml:space="preserve">Phase 2 · Processing: Interactive Drawing Machine</t>
  </si>
  <si>
    <t xml:space="preserve">Phase 2 · Smart Traffic Junction with Car Counter</t>
  </si>
  <si>
    <t xml:space="preserve">2 sets of R/Y/G</t>
  </si>
  <si>
    <t xml:space="preserve">Road model</t>
  </si>
  <si>
    <t xml:space="preserve">Phase 2 · Smart Kitchen Scale</t>
  </si>
  <si>
    <t xml:space="preserve">Load cell 5 kg + HX711</t>
  </si>
  <si>
    <t xml:space="preserve">Scale platform</t>
  </si>
  <si>
    <t xml:space="preserve">Phase 2 · Arcade Claw Machine</t>
  </si>
  <si>
    <t xml:space="preserve">Teacher help</t>
  </si>
  <si>
    <t xml:space="preserve">Phase 2 · Wind Turbine Power Lab</t>
  </si>
  <si>
    <t xml:space="preserve">5 V DC fan</t>
  </si>
  <si>
    <t xml:space="preserve">Or a desk fan as the wind</t>
  </si>
  <si>
    <t xml:space="preserve">Phase 2 · Python Number Guessing Game</t>
  </si>
  <si>
    <t xml:space="preserve">Phase 2 · Data Detectives: Class Survey Charts</t>
  </si>
  <si>
    <t xml:space="preserve">Phase 2 · AI Emotion Mirror</t>
  </si>
  <si>
    <t xml:space="preserve">Phase 2 · Cyber Safety Escape Room</t>
  </si>
  <si>
    <t xml:space="preserve">Security &amp; Identification</t>
  </si>
  <si>
    <t xml:space="preserve">4x4 matrix keypad</t>
  </si>
  <si>
    <t xml:space="preserve">Optional final lock prop</t>
  </si>
  <si>
    <t xml:space="preserve">Young Innovators (Ages 12-14): kit per activity</t>
  </si>
  <si>
    <t xml:space="preserve">Phase 1 · 555 Timer Alarm Siren Circuit</t>
  </si>
  <si>
    <t xml:space="preserve">555 timer IC</t>
  </si>
  <si>
    <t xml:space="preserve">Capacitor 10 uF</t>
  </si>
  <si>
    <t xml:space="preserve">Capacitor 10 nF</t>
  </si>
  <si>
    <t xml:space="preserve">Phase 1 · Heart Rate Monitoring System</t>
  </si>
  <si>
    <t xml:space="preserve">Pulse sensor</t>
  </si>
  <si>
    <t xml:space="preserve">Phase 1 · Smart Classroom Energy Saver</t>
  </si>
  <si>
    <t xml:space="preserve">Relay module (1-channel)</t>
  </si>
  <si>
    <t xml:space="preserve">Low-voltage LED lamp (5 V)</t>
  </si>
  <si>
    <t xml:space="preserve">Phase 1 · Stepper Motor Drawing Plotter</t>
  </si>
  <si>
    <t xml:space="preserve">Stepper 28BYJ-48 + ULN2003</t>
  </si>
  <si>
    <t xml:space="preserve">Pen lift</t>
  </si>
  <si>
    <t xml:space="preserve">Frame</t>
  </si>
  <si>
    <t xml:space="preserve">Phase 1 · Obstacle Avoiding Robot with Scanning Sonar</t>
  </si>
  <si>
    <t xml:space="preserve">Phase 1 · Bluetooth Robot Car with Phone App</t>
  </si>
  <si>
    <t xml:space="preserve">Headlights</t>
  </si>
  <si>
    <t xml:space="preserve">Phase 1 · Gesture-Controlled Robot Arm</t>
  </si>
  <si>
    <t xml:space="preserve">Arm structure</t>
  </si>
  <si>
    <t xml:space="preserve">Servo power</t>
  </si>
  <si>
    <t xml:space="preserve">Phase 1 · RFID Smart Door Lock with Access Log</t>
  </si>
  <si>
    <t xml:space="preserve">RFID RC522 + cards</t>
  </si>
  <si>
    <t xml:space="preserve">Phase 1 · Rechargeable Power Pack for Robots</t>
  </si>
  <si>
    <t xml:space="preserve">18650 cell + holder</t>
  </si>
  <si>
    <t xml:space="preserve">Protected cells only</t>
  </si>
  <si>
    <t xml:space="preserve">TP4056 charger module</t>
  </si>
  <si>
    <t xml:space="preserve">LM2596 buck converter</t>
  </si>
  <si>
    <t xml:space="preserve">Voltage divider</t>
  </si>
  <si>
    <t xml:space="preserve">Phase 1 · Wireless Doorbell with Visitor Counter</t>
  </si>
  <si>
    <t xml:space="preserve">Transmitter + receiver</t>
  </si>
  <si>
    <t xml:space="preserve">NRF24L01 module</t>
  </si>
  <si>
    <t xml:space="preserve">NRF power smoothing</t>
  </si>
  <si>
    <t xml:space="preserve">Phase 1 · Wi-Fi Automatic Plant Watering System</t>
  </si>
  <si>
    <t xml:space="preserve">Mini water pump + tube</t>
  </si>
  <si>
    <t xml:space="preserve">Pump power</t>
  </si>
  <si>
    <t xml:space="preserve">Phase 1 · Plant Monitor Mobile App</t>
  </si>
  <si>
    <t xml:space="preserve">Screen sketch sheet</t>
  </si>
  <si>
    <t xml:space="preserve">Phase 1 · Python Maths Quiz Game with Scoreboard</t>
  </si>
  <si>
    <t xml:space="preserve">Phase 1 · Personal Portfolio Website</t>
  </si>
  <si>
    <t xml:space="preserve">Phase 1 · School Helpdesk Chatbot</t>
  </si>
  <si>
    <t xml:space="preserve">Phase 1 · 3D-Printed Plant Monitor Enclosure</t>
  </si>
  <si>
    <t xml:space="preserve">Phase 2 · Processing: Generative Art Poster</t>
  </si>
  <si>
    <t xml:space="preserve">Phase 2 · Processing + Arduino: Live Sensor Radar</t>
  </si>
  <si>
    <t xml:space="preserve">Phase 2 · Python Pygame: Catch the Falling Stars</t>
  </si>
  <si>
    <t xml:space="preserve">Phase 2 · ESP32-CAM Wildlife Camera</t>
  </si>
  <si>
    <t xml:space="preserve">ESP32-CAM + programmer</t>
  </si>
  <si>
    <t xml:space="preserve">From lab stock</t>
  </si>
  <si>
    <t xml:space="preserve">Phase 2 · Python Data Lab: Is Our Classroom Too Hot?</t>
  </si>
  <si>
    <t xml:space="preserve">Phase 2 · Smart Posture Corrector Wearable</t>
  </si>
  <si>
    <t xml:space="preserve">Vibration motor module</t>
  </si>
  <si>
    <t xml:space="preserve">Phase 2 · Li-Fi Messenger: Sending Text with Light</t>
  </si>
  <si>
    <t xml:space="preserve">Sender + receiver</t>
  </si>
  <si>
    <t xml:space="preserve">Bright white</t>
  </si>
  <si>
    <t xml:space="preserve">Phase 2 · Python Code Breakers: Caesar to Vigenère</t>
  </si>
  <si>
    <t xml:space="preserve">Phase 2 · Robot Sumo Challenge</t>
  </si>
  <si>
    <t xml:space="preserve">Edge sensors</t>
  </si>
  <si>
    <t xml:space="preserve">Phase 2 · Walking Linkage Robot</t>
  </si>
  <si>
    <t xml:space="preserve">Geared TT motor</t>
  </si>
  <si>
    <t xml:space="preserve">Split pins (paper fasteners)</t>
  </si>
  <si>
    <t xml:space="preserve">Phase 2 · Energy Detective: How Much Power Do Gadgets Use?</t>
  </si>
  <si>
    <t xml:space="preserve">Current sensor INA219</t>
  </si>
  <si>
    <t xml:space="preserve">Phase 2 · Python Control Panel for Arduino</t>
  </si>
  <si>
    <t xml:space="preserve">Phase 2 · p5.js: Flappy Voice Game</t>
  </si>
  <si>
    <t xml:space="preserve">Phase 2 · Python Weather API Dashboard</t>
  </si>
  <si>
    <t xml:space="preserve">Phase 2 · Sign Language Alphabet Recogniser</t>
  </si>
  <si>
    <t xml:space="preserve">Phase 2 · Build Your Own Game Controller</t>
  </si>
  <si>
    <t xml:space="preserve">Tech Leaders (Ages 15-17): kit per activity</t>
  </si>
  <si>
    <t xml:space="preserve">Phase 1 · Solar-Powered Off-Grid Weather Node</t>
  </si>
  <si>
    <t xml:space="preserve">Phase 1 · Autonomous Maze Solving Robot</t>
  </si>
  <si>
    <t xml:space="preserve">Maze walls</t>
  </si>
  <si>
    <t xml:space="preserve">Phase 1 · Pick-and-Place Robotic Arm with Record &amp; Replay</t>
  </si>
  <si>
    <t xml:space="preserve">Servo MG995</t>
  </si>
  <si>
    <t xml:space="preserve">Base and shoulder</t>
  </si>
  <si>
    <t xml:space="preserve">Wrist and gripper</t>
  </si>
  <si>
    <t xml:space="preserve">Servo supply</t>
  </si>
  <si>
    <t xml:space="preserve">Phase 1 · Fall Detection Wearable for the Elderly</t>
  </si>
  <si>
    <t xml:space="preserve">Wearable power</t>
  </si>
  <si>
    <t xml:space="preserve">Phase 1 · ESP-NOW Wireless Sensor Network</t>
  </si>
  <si>
    <t xml:space="preserve">3 nodes + base (can pair groups)</t>
  </si>
  <si>
    <t xml:space="preserve">Phase 1 · Smart Home Cloud Control Hub</t>
  </si>
  <si>
    <t xml:space="preserve">Relay module (4-channel)</t>
  </si>
  <si>
    <t xml:space="preserve">Phase 1 · Smart Parking Occupancy Dashboard</t>
  </si>
  <si>
    <t xml:space="preserve">3 red, 3 green</t>
  </si>
  <si>
    <t xml:space="preserve">Echo divider</t>
  </si>
  <si>
    <t xml:space="preserve">Car park model</t>
  </si>
  <si>
    <t xml:space="preserve">Phase 1 · Two-Factor Smart Locker with Intrusion Alerts</t>
  </si>
  <si>
    <t xml:space="preserve">Phase 1 · Sensor Data Logging &amp; Analysis Pipeline</t>
  </si>
  <si>
    <t xml:space="preserve">Phase 1 · Machine Learning Rain Predictor</t>
  </si>
  <si>
    <t xml:space="preserve">Phase 1 · AI Fake News Detector</t>
  </si>
  <si>
    <t xml:space="preserve">Phase 1 · Web-Controlled Devices via REST API</t>
  </si>
  <si>
    <t xml:space="preserve">Phase 1 · Securing an IoT Device</t>
  </si>
  <si>
    <t xml:space="preserve">Phase 1 · Autonomous Fire-Fighting Robot</t>
  </si>
  <si>
    <t xml:space="preserve">Phase 1 · Parametric Robot Gripper Design</t>
  </si>
  <si>
    <t xml:space="preserve">Phase 1 · Motion-Controlled Game</t>
  </si>
  <si>
    <t xml:space="preserve">Phase 2 · Computer Vision with OpenCV: Colour Tracking</t>
  </si>
  <si>
    <t xml:space="preserve">Phase 2 · Vision-Guided Robot Car</t>
  </si>
  <si>
    <t xml:space="preserve">Phase 2 · TinyML Gesture Recogniser on ESP32</t>
  </si>
  <si>
    <t xml:space="preserve">Phase 2 · Processing: Flocking Simulation (Boids)</t>
  </si>
  <si>
    <t xml:space="preserve">Phase 2 · Pathfinding Visualiser: BFS and A*</t>
  </si>
  <si>
    <t xml:space="preserve">Phase 2 · Git &amp; GitHub for Engineering Teams</t>
  </si>
  <si>
    <t xml:space="preserve">Phase 2 · Smart Microgrid Model</t>
  </si>
  <si>
    <t xml:space="preserve">Supervised</t>
  </si>
  <si>
    <t xml:space="preserve">Phase 2 · Noise Pollution Analyser with FFT</t>
  </si>
  <si>
    <t xml:space="preserve">Phase 2 · Robotic Arm Inverse Kinematics</t>
  </si>
  <si>
    <t xml:space="preserve">Arm links (or 3D printed)</t>
  </si>
  <si>
    <t xml:space="preserve">Phase 2 · Robot Swarm: Leader and Follower Cars</t>
  </si>
  <si>
    <t xml:space="preserve">Two groups pair up: leader + follower</t>
  </si>
  <si>
    <t xml:space="preserve">Phase 2 · 3D-Printed Gearbox and Gear Ratios</t>
  </si>
  <si>
    <t xml:space="preserve">Axles</t>
  </si>
  <si>
    <t xml:space="preserve">Phase 2 · Smart Cane for the Visually Impaired</t>
  </si>
  <si>
    <t xml:space="preserve">Phase 2 · Air Quality Data Science for Pakistan</t>
  </si>
  <si>
    <t xml:space="preserve">Phase 2 · Neural Network from Scratch</t>
  </si>
  <si>
    <t xml:space="preserve">Phase 2 · 2D Game Development in Godot</t>
  </si>
  <si>
    <t xml:space="preserve">Phase 2 · Password Security Lab: Hashing and Attacks</t>
  </si>
  <si>
    <t xml:space="preserve">Calc: automatic totals per component (do not edit). If you add a NEW component name in a kit tab, add it here too (copy a row).</t>
  </si>
  <si>
    <t xml:space="preserve">Spec</t>
  </si>
  <si>
    <t xml:space="preserve">Mon</t>
  </si>
  <si>
    <t xml:space="preserve">Tue</t>
  </si>
  <si>
    <t xml:space="preserve">Wed</t>
  </si>
  <si>
    <t xml:space="preserve">Thu</t>
  </si>
  <si>
    <t xml:space="preserve">Fri</t>
  </si>
  <si>
    <t xml:space="preserve">No day</t>
  </si>
  <si>
    <t xml:space="preserve">Week total</t>
  </si>
  <si>
    <t xml:space="preserve">Max in one day</t>
  </si>
  <si>
    <t xml:space="preserve">Qty to issue</t>
  </si>
  <si>
    <t xml:space="preserve">List no.</t>
  </si>
  <si>
    <t xml:space="preserve">Arduino Uno R3 (CH340 clone fine) + USB-B cable</t>
  </si>
  <si>
    <t xml:space="preserve">ESP32 DevKit V1 (Wi-Fi + Bluetooth) + micro-USB data cable</t>
  </si>
  <si>
    <t xml:space="preserve">ESP32-CAM (OV2640) with USB programmer base</t>
  </si>
  <si>
    <t xml:space="preserve">Makey Makey Classic (board, USB cable, 7 alligator clips)</t>
  </si>
  <si>
    <t xml:space="preserve">2WD acrylic chassis, 2 TT gear motors, wheels, castor, 4xAA holder</t>
  </si>
  <si>
    <t xml:space="preserve">4WD chassis, 4 TT motors, L298N driver, battery holder (assembled)</t>
  </si>
  <si>
    <t xml:space="preserve">Toothbrush head + coin vibration motor + coin cell holder</t>
  </si>
  <si>
    <t xml:space="preserve">TCS34725 RGB colour sensor module (I2C) with white LED</t>
  </si>
  <si>
    <t xml:space="preserve">INA219 I2C current/voltage/power sensor</t>
  </si>
  <si>
    <t xml:space="preserve">DHT22 temperature &amp; humidity sensor</t>
  </si>
  <si>
    <t xml:space="preserve">IR flame sensor module</t>
  </si>
  <si>
    <t xml:space="preserve">IR obstacle/line sensor (TCRT5000 or FC-51)</t>
  </si>
  <si>
    <t xml:space="preserve">KY-023 dual-axis joystick</t>
  </si>
  <si>
    <t xml:space="preserve">LDR light sensor (module or LDR + 10k resistor)</t>
  </si>
  <si>
    <t xml:space="preserve">5 kg bar load cell with HX711 amplifier board</t>
  </si>
  <si>
    <t xml:space="preserve">MPU6050 accelerometer + gyroscope (GY-521)</t>
  </si>
  <si>
    <t xml:space="preserve">MQ-2 smoke/LPG gas module</t>
  </si>
  <si>
    <t xml:space="preserve">HC-SR501 PIR motion sensor</t>
  </si>
  <si>
    <t xml:space="preserve">Heart-rate pulse sensor (optical)</t>
  </si>
  <si>
    <t xml:space="preserve">Rain/water-drop sensor with control board</t>
  </si>
  <si>
    <t xml:space="preserve">Capacitive soil moisture sensor</t>
  </si>
  <si>
    <t xml:space="preserve">KY-037 microphone sound sensor</t>
  </si>
  <si>
    <t xml:space="preserve">HC-SR04 ultrasonic distance sensor</t>
  </si>
  <si>
    <t xml:space="preserve">4x4 membrane keypad</t>
  </si>
  <si>
    <t xml:space="preserve">RC522 RFID reader with 2 cards/tags</t>
  </si>
  <si>
    <t xml:space="preserve">HC-05 Bluetooth serial module</t>
  </si>
  <si>
    <t xml:space="preserve">NRF24L01 2.4 GHz transceiver + adapter board</t>
  </si>
  <si>
    <t xml:space="preserve">5 V active buzzer</t>
  </si>
  <si>
    <t xml:space="preserve">3-6 V DC motor with leads</t>
  </si>
  <si>
    <t xml:space="preserve">L298N dual H-bridge driver</t>
  </si>
  <si>
    <t xml:space="preserve">3-6 V submersible pump + 1 m silicone tube</t>
  </si>
  <si>
    <t xml:space="preserve">Passive piezo buzzer module (plays tones)</t>
  </si>
  <si>
    <t xml:space="preserve">5 V single-channel relay module</t>
  </si>
  <si>
    <t xml:space="preserve">5 V four-channel relay module</t>
  </si>
  <si>
    <t xml:space="preserve">MG995 metal-gear servo</t>
  </si>
  <si>
    <t xml:space="preserve">SG90 micro servo with horns</t>
  </si>
  <si>
    <t xml:space="preserve">28BYJ-48 5 V stepper with ULN2003 driver board</t>
  </si>
  <si>
    <t xml:space="preserve">Coin vibration motor module with driver transistor</t>
  </si>
  <si>
    <t xml:space="preserve">5 V mini DC fan</t>
  </si>
  <si>
    <t xml:space="preserve">5 mm LEDs red, yellow, green, blue, white</t>
  </si>
  <si>
    <t xml:space="preserve">5 V USB LED lamp or LED strip section</t>
  </si>
  <si>
    <t xml:space="preserve">MAX7219 8x8 red LED matrix module</t>
  </si>
  <si>
    <t xml:space="preserve">0.96 in SSD1306 I2C OLED</t>
  </si>
  <si>
    <t xml:space="preserve">5 mm RGB LED, common cathode</t>
  </si>
  <si>
    <t xml:space="preserve">12-LED WS2812B (NeoPixel) ring</t>
  </si>
  <si>
    <t xml:space="preserve">WS2812B 5 V strip, 30 LEDs/m, with leads</t>
  </si>
  <si>
    <t xml:space="preserve">NE555 timer IC</t>
  </si>
  <si>
    <t xml:space="preserve">10 nF ceramic</t>
  </si>
  <si>
    <t xml:space="preserve">10 uF electrolytic</t>
  </si>
  <si>
    <t xml:space="preserve">100 uF electrolytic</t>
  </si>
  <si>
    <t xml:space="preserve">10k rotary potentiometer</t>
  </si>
  <si>
    <t xml:space="preserve">12 mm tactile push button with cap</t>
  </si>
  <si>
    <t xml:space="preserve">10k ohm 1/4 W</t>
  </si>
  <si>
    <t xml:space="preserve">1k ohm 1/4 W</t>
  </si>
  <si>
    <t xml:space="preserve">220 ohm 1/4 W</t>
  </si>
  <si>
    <t xml:space="preserve">SPDT slide switch</t>
  </si>
  <si>
    <t xml:space="preserve">18650 Li-ion cell with holder</t>
  </si>
  <si>
    <t xml:space="preserve">2xAA holder with leads + 2 AA cells</t>
  </si>
  <si>
    <t xml:space="preserve">4xAA holder with switch + batteries</t>
  </si>
  <si>
    <t xml:space="preserve">9 V battery with snap connector</t>
  </si>
  <si>
    <t xml:space="preserve">CR2032 3 V coin cell</t>
  </si>
  <si>
    <t xml:space="preserve">LM2596 adjustable step-down module</t>
  </si>
  <si>
    <t xml:space="preserve">5-6 V 1 W mini solar panel with leads</t>
  </si>
  <si>
    <t xml:space="preserve">TP4056 Li-ion charger with protection</t>
  </si>
  <si>
    <t xml:space="preserve">Alligator clip test leads</t>
  </si>
  <si>
    <t xml:space="preserve">Kitchen foil roll</t>
  </si>
  <si>
    <t xml:space="preserve">400-point breadboard</t>
  </si>
  <si>
    <t xml:space="preserve">Conductive copper tape roll</t>
  </si>
  <si>
    <t xml:space="preserve">20 cm male-female jumper wires</t>
  </si>
  <si>
    <t xml:space="preserve">20 cm male-male jumper wires</t>
  </si>
  <si>
    <t xml:space="preserve">FDM 3D printer</t>
  </si>
  <si>
    <t xml:space="preserve">Android phone with MIT AI2 Companion / Bluetooth app</t>
  </si>
  <si>
    <t xml:space="preserve">Hot glue gun with sticks</t>
  </si>
  <si>
    <t xml:space="preserve">Laptop with Arduino IDE / mBlock / browser</t>
  </si>
  <si>
    <t xml:space="preserve">1.75 mm PLA filament</t>
  </si>
  <si>
    <t xml:space="preserve">Small screwdriver set</t>
  </si>
  <si>
    <t xml:space="preserve">Tablet with ScratchJr</t>
  </si>
  <si>
    <t xml:space="preserve">USB webcam (or built-in laptop camera)</t>
  </si>
  <si>
    <t xml:space="preserve">A4 card or chart paper</t>
  </si>
  <si>
    <t xml:space="preserve">Corrugated cardboard sheet / box</t>
  </si>
  <si>
    <t xml:space="preserve">Salt playdough</t>
  </si>
  <si>
    <t xml:space="preserve">Bottle cork or a large eraser</t>
  </si>
  <si>
    <t xml:space="preserve">Wooden ice cream sticks</t>
  </si>
  <si>
    <t xml:space="preserve">Washable colour markers (set)</t>
  </si>
  <si>
    <t xml:space="preserve">Small pot with soil (and a plant)</t>
  </si>
  <si>
    <t xml:space="preserve">Plastic or paper cup (never glass)</t>
  </si>
  <si>
    <t xml:space="preserve">Printed templates / worksheets / picture cards</t>
  </si>
  <si>
    <t xml:space="preserve">Brass split pins for card linkages</t>
  </si>
  <si>
    <t xml:space="preserve">Drinking straws</t>
  </si>
  <si>
    <t xml:space="preserve">Paper tape and double-sided tape</t>
  </si>
  <si>
    <t xml:space="preserve">Small water container/tray</t>
  </si>
  <si>
    <t xml:space="preserve">Bamboo skewers (axles)</t>
  </si>
  <si>
    <t xml:space="preserve">Small candle (flame tests, teacher only)</t>
  </si>
  <si>
    <t xml:space="preserve">Copper coins or copper strips</t>
  </si>
  <si>
    <t xml:space="preserve">Bananas / conductive fruits</t>
  </si>
  <si>
    <t xml:space="preserve">Zinc-coated nails</t>
  </si>
  <si>
    <t xml:space="preserve">Fresh lemons</t>
  </si>
  <si>
    <t xml:space="preserve">DayLines: automatic helper for the day-by-day list (do not edit).</t>
  </si>
  <si>
    <t xml:space="preserve">Line</t>
  </si>
  <si>
    <t xml:space="preserve">Key</t>
  </si>
  <si>
    <t xml:space="preserve">Label / component</t>
  </si>
  <si>
    <t xml:space="preserve">Lines: automatic helper for 'Daily Kit Lists' (do not edit).</t>
  </si>
  <si>
    <t xml:space="preserve">Session key</t>
  </si>
  <si>
    <t xml:space="preserve">Sort key</t>
  </si>
  <si>
    <t xml:space="preserve">Day label</t>
  </si>
  <si>
    <t xml:space="preserve">Title</t>
  </si>
</sst>
</file>

<file path=xl/styles.xml><?xml version="1.0" encoding="utf-8"?>
<styleSheet xmlns="http://schemas.openxmlformats.org/spreadsheetml/2006/main">
  <numFmts count="4">
    <numFmt numFmtId="164" formatCode="General"/>
    <numFmt numFmtId="165" formatCode="dddd\ dd\-mmm\-yyyy"/>
    <numFmt numFmtId="166" formatCode="dd\-mmm\-yyyy"/>
    <numFmt numFmtId="167" formatCode="0;\-0;&quot;&quot;"/>
  </numFmts>
  <fonts count="40">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i val="true"/>
      <sz val="10"/>
      <color rgb="FF595959"/>
      <name val="Arial"/>
      <family val="0"/>
      <charset val="1"/>
    </font>
    <font>
      <b val="true"/>
      <sz val="12"/>
      <color rgb="FF1F3864"/>
      <name val="Arial"/>
      <family val="0"/>
      <charset val="1"/>
    </font>
    <font>
      <sz val="10"/>
      <name val="Arial"/>
      <family val="0"/>
      <charset val="1"/>
    </font>
    <font>
      <b val="true"/>
      <sz val="10"/>
      <color rgb="FF000000"/>
      <name val="Arial"/>
      <family val="0"/>
      <charset val="1"/>
    </font>
    <font>
      <b val="true"/>
      <sz val="10"/>
      <color rgb="FFC00000"/>
      <name val="Arial"/>
      <family val="0"/>
      <charset val="1"/>
    </font>
    <font>
      <b val="true"/>
      <sz val="16"/>
      <color rgb="FF1F3864"/>
      <name val="Arial"/>
      <family val="0"/>
      <charset val="1"/>
    </font>
    <font>
      <b val="true"/>
      <sz val="9"/>
      <name val="Arial"/>
      <family val="0"/>
      <charset val="1"/>
    </font>
    <font>
      <b val="true"/>
      <sz val="10"/>
      <name val="Arial"/>
      <family val="0"/>
      <charset val="1"/>
    </font>
    <font>
      <b val="true"/>
      <sz val="10"/>
      <color rgb="FFFFFFFF"/>
      <name val="Arial"/>
      <family val="0"/>
      <charset val="1"/>
    </font>
    <font>
      <sz val="9"/>
      <name val="Arial"/>
      <family val="0"/>
      <charset val="1"/>
    </font>
    <font>
      <i val="true"/>
      <sz val="8"/>
      <color rgb="FF595959"/>
      <name val="Arial"/>
      <family val="0"/>
      <charset val="1"/>
    </font>
    <font>
      <sz val="6"/>
      <color rgb="FFFFFFFF"/>
      <name val="Arial"/>
      <family val="0"/>
      <charset val="1"/>
    </font>
    <font>
      <sz val="10"/>
      <name val="Arial"/>
      <family val="2"/>
    </font>
    <font>
      <sz val="9.5"/>
      <name val="Arial"/>
      <family val="0"/>
      <charset val="1"/>
    </font>
    <font>
      <b val="true"/>
      <sz val="9.5"/>
      <name val="Arial"/>
      <family val="0"/>
      <charset val="1"/>
    </font>
    <font>
      <b val="true"/>
      <sz val="14"/>
      <color rgb="FF1F3864"/>
      <name val="Arial"/>
      <family val="0"/>
      <charset val="1"/>
    </font>
    <font>
      <b val="true"/>
      <sz val="10"/>
      <color rgb="FF2E9E5B"/>
      <name val="Arial"/>
      <family val="0"/>
      <charset val="1"/>
    </font>
    <font>
      <sz val="8"/>
      <color rgb="FFA6A6A6"/>
      <name val="Arial"/>
      <family val="0"/>
      <charset val="1"/>
    </font>
    <font>
      <b val="true"/>
      <sz val="10"/>
      <color rgb="FF1F6FD1"/>
      <name val="Arial"/>
      <family val="0"/>
      <charset val="1"/>
    </font>
    <font>
      <b val="true"/>
      <sz val="10"/>
      <color rgb="FF7B3FC4"/>
      <name val="Arial"/>
      <family val="0"/>
      <charset val="1"/>
    </font>
    <font>
      <b val="true"/>
      <sz val="10"/>
      <color rgb="FFD9434A"/>
      <name val="Arial"/>
      <family val="0"/>
      <charset val="1"/>
    </font>
    <font>
      <b val="true"/>
      <sz val="14"/>
      <color rgb="FF2E9E5B"/>
      <name val="Arial"/>
      <family val="0"/>
      <charset val="1"/>
    </font>
    <font>
      <i val="true"/>
      <sz val="10"/>
      <color rgb="FF2E9E5B"/>
      <name val="Arial"/>
      <family val="0"/>
      <charset val="1"/>
    </font>
    <font>
      <sz val="9"/>
      <color rgb="FF2E9E5B"/>
      <name val="Arial"/>
      <family val="0"/>
      <charset val="1"/>
    </font>
    <font>
      <sz val="9"/>
      <color rgb="FF7F7F7F"/>
      <name val="Arial"/>
      <family val="0"/>
      <charset val="1"/>
    </font>
    <font>
      <sz val="9"/>
      <color rgb="FFBFBFBF"/>
      <name val="Arial"/>
      <family val="0"/>
      <charset val="1"/>
    </font>
    <font>
      <b val="true"/>
      <sz val="14"/>
      <color rgb="FF1F6FD1"/>
      <name val="Arial"/>
      <family val="0"/>
      <charset val="1"/>
    </font>
    <font>
      <i val="true"/>
      <sz val="10"/>
      <color rgb="FF1F6FD1"/>
      <name val="Arial"/>
      <family val="0"/>
      <charset val="1"/>
    </font>
    <font>
      <sz val="9"/>
      <color rgb="FF1F6FD1"/>
      <name val="Arial"/>
      <family val="0"/>
      <charset val="1"/>
    </font>
    <font>
      <b val="true"/>
      <sz val="14"/>
      <color rgb="FF7B3FC4"/>
      <name val="Arial"/>
      <family val="0"/>
      <charset val="1"/>
    </font>
    <font>
      <i val="true"/>
      <sz val="10"/>
      <color rgb="FF7B3FC4"/>
      <name val="Arial"/>
      <family val="0"/>
      <charset val="1"/>
    </font>
    <font>
      <sz val="9"/>
      <color rgb="FF7B3FC4"/>
      <name val="Arial"/>
      <family val="0"/>
      <charset val="1"/>
    </font>
    <font>
      <b val="true"/>
      <sz val="14"/>
      <color rgb="FFD9434A"/>
      <name val="Arial"/>
      <family val="0"/>
      <charset val="1"/>
    </font>
    <font>
      <i val="true"/>
      <sz val="10"/>
      <color rgb="FFD9434A"/>
      <name val="Arial"/>
      <family val="0"/>
      <charset val="1"/>
    </font>
    <font>
      <sz val="9"/>
      <color rgb="FFD9434A"/>
      <name val="Arial"/>
      <family val="0"/>
      <charset val="1"/>
    </font>
  </fonts>
  <fills count="14">
    <fill>
      <patternFill patternType="none"/>
    </fill>
    <fill>
      <patternFill patternType="gray125"/>
    </fill>
    <fill>
      <patternFill patternType="solid">
        <fgColor rgb="FFFFF9DB"/>
        <bgColor rgb="FFFFF2CC"/>
      </patternFill>
    </fill>
    <fill>
      <patternFill patternType="solid">
        <fgColor rgb="FF1F3864"/>
        <bgColor rgb="FF333333"/>
      </patternFill>
    </fill>
    <fill>
      <patternFill patternType="solid">
        <fgColor rgb="FF7F7F7F"/>
        <bgColor rgb="FF595959"/>
      </patternFill>
    </fill>
    <fill>
      <patternFill patternType="solid">
        <fgColor rgb="FF2E9E5B"/>
        <bgColor rgb="FF008080"/>
      </patternFill>
    </fill>
    <fill>
      <patternFill patternType="solid">
        <fgColor rgb="FFE6F6EC"/>
        <bgColor rgb="FFE5F0FC"/>
      </patternFill>
    </fill>
    <fill>
      <patternFill patternType="solid">
        <fgColor rgb="FFF2F2F2"/>
        <bgColor rgb="FFE6F6EC"/>
      </patternFill>
    </fill>
    <fill>
      <patternFill patternType="solid">
        <fgColor rgb="FF1F6FD1"/>
        <bgColor rgb="FF3366FF"/>
      </patternFill>
    </fill>
    <fill>
      <patternFill patternType="solid">
        <fgColor rgb="FFE5F0FC"/>
        <bgColor rgb="FFDDEBF7"/>
      </patternFill>
    </fill>
    <fill>
      <patternFill patternType="solid">
        <fgColor rgb="FF7B3FC4"/>
        <bgColor rgb="FF333399"/>
      </patternFill>
    </fill>
    <fill>
      <patternFill patternType="solid">
        <fgColor rgb="FFF1E9FB"/>
        <bgColor rgb="FFF2F2F2"/>
      </patternFill>
    </fill>
    <fill>
      <patternFill patternType="solid">
        <fgColor rgb="FFD9434A"/>
        <bgColor rgb="FFFF6600"/>
      </patternFill>
    </fill>
    <fill>
      <patternFill patternType="solid">
        <fgColor rgb="FFFCEAEA"/>
        <bgColor rgb="FFFCE4D6"/>
      </patternFill>
    </fill>
  </fills>
  <borders count="3">
    <border diagonalUp="false" diagonalDown="false">
      <left/>
      <right/>
      <top/>
      <bottom/>
      <diagonal/>
    </border>
    <border diagonalUp="false" diagonalDown="false">
      <left/>
      <right/>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right" vertical="bottom" textRotation="0" wrapText="false" indent="0" shrinkToFit="false"/>
      <protection locked="true" hidden="false"/>
    </xf>
    <xf numFmtId="165" fontId="12" fillId="2" borderId="2"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13" fillId="3" borderId="2"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general" vertical="center" textRotation="0" wrapText="true" indent="0" shrinkToFit="false"/>
      <protection locked="true" hidden="false"/>
    </xf>
    <xf numFmtId="164" fontId="14" fillId="0" borderId="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true" indent="0" shrinkToFit="false"/>
      <protection locked="true" hidden="false"/>
    </xf>
    <xf numFmtId="164" fontId="18" fillId="0" borderId="0" xfId="0" applyFont="true" applyBorder="fals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general"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3" fillId="4" borderId="2" xfId="0" applyFont="true" applyBorder="true" applyAlignment="true" applyProtection="false">
      <alignment horizontal="center" vertical="center" textRotation="0" wrapText="true" indent="0" shrinkToFit="false"/>
      <protection locked="true" hidden="false"/>
    </xf>
    <xf numFmtId="164" fontId="21" fillId="0" borderId="2" xfId="0" applyFont="true" applyBorder="true" applyAlignment="true" applyProtection="false">
      <alignment horizontal="general"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4" fontId="21" fillId="0"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general"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6" fontId="7" fillId="2" borderId="2" xfId="0" applyFont="true" applyBorder="true" applyAlignment="true" applyProtection="false">
      <alignment horizontal="center" vertical="center" textRotation="0" wrapText="true" indent="0" shrinkToFit="false"/>
      <protection locked="true" hidden="false"/>
    </xf>
    <xf numFmtId="164" fontId="7" fillId="2" borderId="2" xfId="0" applyFont="true" applyBorder="true" applyAlignment="true" applyProtection="false">
      <alignment horizontal="general" vertical="center" textRotation="0" wrapText="true" indent="0" shrinkToFit="false"/>
      <protection locked="true" hidden="false"/>
    </xf>
    <xf numFmtId="164" fontId="22" fillId="0" borderId="2" xfId="0" applyFont="true" applyBorder="true" applyAlignment="true" applyProtection="false">
      <alignment horizontal="center" vertical="center" textRotation="0" wrapText="true" indent="0" shrinkToFit="false"/>
      <protection locked="true" hidden="false"/>
    </xf>
    <xf numFmtId="164" fontId="23" fillId="0" borderId="2" xfId="0" applyFont="true" applyBorder="true" applyAlignment="true" applyProtection="false">
      <alignment horizontal="general" vertical="center" textRotation="0" wrapText="true" indent="0" shrinkToFit="false"/>
      <protection locked="true" hidden="false"/>
    </xf>
    <xf numFmtId="164" fontId="23" fillId="0" borderId="2" xfId="0" applyFont="true" applyBorder="true" applyAlignment="true" applyProtection="false">
      <alignment horizontal="center" vertical="center" textRotation="0" wrapText="true" indent="0" shrinkToFit="false"/>
      <protection locked="true" hidden="false"/>
    </xf>
    <xf numFmtId="164" fontId="24" fillId="0" borderId="2" xfId="0" applyFont="true" applyBorder="true" applyAlignment="true" applyProtection="false">
      <alignment horizontal="general" vertical="center" textRotation="0" wrapText="true" indent="0" shrinkToFit="false"/>
      <protection locked="true" hidden="false"/>
    </xf>
    <xf numFmtId="164" fontId="24" fillId="0" borderId="2" xfId="0" applyFont="true" applyBorder="true" applyAlignment="true" applyProtection="false">
      <alignment horizontal="center" vertical="center" textRotation="0" wrapText="true" indent="0" shrinkToFit="false"/>
      <protection locked="true" hidden="false"/>
    </xf>
    <xf numFmtId="164" fontId="25" fillId="0" borderId="2" xfId="0" applyFont="true" applyBorder="true" applyAlignment="true" applyProtection="false">
      <alignment horizontal="general" vertical="center" textRotation="0" wrapText="true" indent="0" shrinkToFit="false"/>
      <protection locked="true" hidden="false"/>
    </xf>
    <xf numFmtId="164" fontId="25" fillId="0" borderId="2" xfId="0" applyFont="true" applyBorder="true" applyAlignment="true" applyProtection="false">
      <alignment horizontal="center" vertical="center"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13" fillId="5" borderId="2" xfId="0" applyFont="true" applyBorder="true" applyAlignment="true" applyProtection="false">
      <alignment horizontal="center" vertical="center" textRotation="0" wrapText="true" indent="0" shrinkToFit="false"/>
      <protection locked="true" hidden="false"/>
    </xf>
    <xf numFmtId="164" fontId="13" fillId="5" borderId="0" xfId="0" applyFont="true" applyBorder="false" applyAlignment="false" applyProtection="false">
      <alignment horizontal="general" vertical="bottom" textRotation="0" wrapText="false" indent="0" shrinkToFit="false"/>
      <protection locked="true" hidden="false"/>
    </xf>
    <xf numFmtId="164" fontId="21" fillId="6" borderId="0" xfId="0" applyFont="true" applyBorder="true" applyAlignment="false" applyProtection="false">
      <alignment horizontal="general" vertical="bottom" textRotation="0" wrapText="false" indent="0" shrinkToFit="false"/>
      <protection locked="true" hidden="false"/>
    </xf>
    <xf numFmtId="164" fontId="27" fillId="6" borderId="0" xfId="0" applyFont="true" applyBorder="tru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28" fillId="0" borderId="2" xfId="0" applyFont="true" applyBorder="true" applyAlignment="true" applyProtection="false">
      <alignment horizontal="center" vertical="center" textRotation="0" wrapText="true" indent="0" shrinkToFit="false"/>
      <protection locked="true" hidden="false"/>
    </xf>
    <xf numFmtId="167" fontId="29" fillId="7" borderId="2" xfId="0" applyFont="true" applyBorder="true" applyAlignment="true" applyProtection="false">
      <alignment horizontal="center" vertical="center" textRotation="0" wrapText="tru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0" fillId="2" borderId="2" xfId="0" applyFont="false" applyBorder="true" applyAlignment="true" applyProtection="false">
      <alignment horizontal="center" vertical="center" textRotation="0" wrapText="tru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13" fillId="8" borderId="2" xfId="0" applyFont="true" applyBorder="true" applyAlignment="true" applyProtection="false">
      <alignment horizontal="center" vertical="center" textRotation="0" wrapText="true" indent="0" shrinkToFit="false"/>
      <protection locked="true" hidden="false"/>
    </xf>
    <xf numFmtId="164" fontId="13" fillId="8" borderId="0" xfId="0" applyFont="true" applyBorder="false" applyAlignment="false" applyProtection="false">
      <alignment horizontal="general" vertical="bottom" textRotation="0" wrapText="false" indent="0" shrinkToFit="false"/>
      <protection locked="true" hidden="false"/>
    </xf>
    <xf numFmtId="164" fontId="23" fillId="9" borderId="0" xfId="0" applyFont="true" applyBorder="true" applyAlignment="false" applyProtection="false">
      <alignment horizontal="general" vertical="bottom" textRotation="0" wrapText="false" indent="0" shrinkToFit="false"/>
      <protection locked="true" hidden="false"/>
    </xf>
    <xf numFmtId="164" fontId="32" fillId="9" borderId="0" xfId="0" applyFont="true" applyBorder="tru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33" fillId="0" borderId="2"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13" fillId="10" borderId="2" xfId="0" applyFont="true" applyBorder="true" applyAlignment="true" applyProtection="false">
      <alignment horizontal="center" vertical="center" textRotation="0" wrapText="true" indent="0" shrinkToFit="false"/>
      <protection locked="true" hidden="false"/>
    </xf>
    <xf numFmtId="164" fontId="13" fillId="10" borderId="0" xfId="0" applyFont="true" applyBorder="false" applyAlignment="false" applyProtection="false">
      <alignment horizontal="general" vertical="bottom" textRotation="0" wrapText="false" indent="0" shrinkToFit="false"/>
      <protection locked="true" hidden="false"/>
    </xf>
    <xf numFmtId="164" fontId="24" fillId="11" borderId="0" xfId="0" applyFont="true" applyBorder="true" applyAlignment="false" applyProtection="false">
      <alignment horizontal="general" vertical="bottom" textRotation="0" wrapText="false" indent="0" shrinkToFit="false"/>
      <protection locked="true" hidden="false"/>
    </xf>
    <xf numFmtId="164" fontId="35" fillId="11" borderId="0"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36" fillId="0" borderId="2" xfId="0" applyFont="true" applyBorder="true" applyAlignment="true" applyProtection="false">
      <alignment horizontal="center" vertical="center" textRotation="0" wrapText="tru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13" fillId="12" borderId="2" xfId="0" applyFont="true" applyBorder="true" applyAlignment="true" applyProtection="false">
      <alignment horizontal="center" vertical="center" textRotation="0" wrapText="true" indent="0" shrinkToFit="false"/>
      <protection locked="true" hidden="false"/>
    </xf>
    <xf numFmtId="164" fontId="13" fillId="12" borderId="0" xfId="0" applyFont="true" applyBorder="false" applyAlignment="false" applyProtection="false">
      <alignment horizontal="general" vertical="bottom" textRotation="0" wrapText="false" indent="0" shrinkToFit="false"/>
      <protection locked="true" hidden="false"/>
    </xf>
    <xf numFmtId="164" fontId="25" fillId="13" borderId="0" xfId="0" applyFont="true" applyBorder="true" applyAlignment="false" applyProtection="false">
      <alignment horizontal="general" vertical="bottom" textRotation="0" wrapText="false" indent="0" shrinkToFit="false"/>
      <protection locked="true" hidden="false"/>
    </xf>
    <xf numFmtId="164" fontId="38" fillId="13" borderId="0" xfId="0" applyFont="true" applyBorder="true" applyAlignment="false" applyProtection="false">
      <alignment horizontal="general" vertical="bottom" textRotation="0" wrapText="false" indent="0" shrinkToFit="false"/>
      <protection locked="true" hidden="false"/>
    </xf>
    <xf numFmtId="164" fontId="0" fillId="13" borderId="0" xfId="0" applyFont="false" applyBorder="false" applyAlignment="false" applyProtection="false">
      <alignment horizontal="general" vertical="bottom" textRotation="0" wrapText="false" indent="0" shrinkToFit="false"/>
      <protection locked="true" hidden="false"/>
    </xf>
    <xf numFmtId="164" fontId="39" fillId="0" borderId="2" xfId="0" applyFont="true" applyBorder="true" applyAlignment="true" applyProtection="false">
      <alignment horizontal="center" vertical="center" textRotation="0" wrapText="true" indent="0" shrinkToFit="false"/>
      <protection locked="true" hidden="false"/>
    </xf>
    <xf numFmtId="164" fontId="13" fillId="4"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8">
    <dxf>
      <border diagonalUp="false" diagonalDown="false">
        <left style="thin">
          <color rgb="FFBFBFBF"/>
        </left>
        <right style="thin">
          <color rgb="FFBFBFBF"/>
        </right>
        <top style="thin">
          <color rgb="FFBFBFBF"/>
        </top>
        <bottom style="thin">
          <color rgb="FFBFBFBF"/>
        </bottom>
        <diagonal/>
      </border>
    </dxf>
    <dxf>
      <font>
        <name val="Arial"/>
        <charset val="1"/>
        <family val="0"/>
        <b val="1"/>
        <color rgb="FF1F3864"/>
      </font>
      <fill>
        <patternFill>
          <bgColor rgb="FFDDEBF7"/>
        </patternFill>
      </fill>
      <border diagonalUp="false" diagonalDown="false">
        <left style="thin">
          <color rgb="FFBFBFBF"/>
        </left>
        <right style="thin">
          <color rgb="FFBFBFBF"/>
        </right>
        <top style="thin">
          <color rgb="FFBFBFBF"/>
        </top>
        <bottom style="thin">
          <color rgb="FFBFBFBF"/>
        </bottom>
        <diagonal/>
      </border>
    </dxf>
    <dxf>
      <fill>
        <patternFill>
          <bgColor rgb="FFFFF2CC"/>
        </patternFill>
      </fill>
    </dxf>
    <dxf>
      <font>
        <name val="Arial"/>
        <charset val="1"/>
        <family val="0"/>
        <b val="1"/>
        <color rgb="FFFFFFFF"/>
        <sz val="11"/>
      </font>
      <fill>
        <patternFill>
          <bgColor rgb="FF1F3864"/>
        </patternFill>
      </fill>
    </dxf>
    <dxf>
      <font>
        <name val="Arial"/>
        <charset val="1"/>
        <family val="0"/>
        <b val="1"/>
        <color rgb="FFFFFFFF"/>
      </font>
      <fill>
        <patternFill>
          <bgColor rgb="FF2E9E5B"/>
        </patternFill>
      </fill>
    </dxf>
    <dxf>
      <font>
        <name val="Arial"/>
        <charset val="1"/>
        <family val="0"/>
        <color rgb="FF2E9E5B"/>
      </font>
      <border diagonalUp="false" diagonalDown="false">
        <left style="thin">
          <color rgb="FFBFBFBF"/>
        </left>
        <right style="thin">
          <color rgb="FFBFBFBF"/>
        </right>
        <top style="thin">
          <color rgb="FFBFBFBF"/>
        </top>
        <bottom style="thin">
          <color rgb="FFBFBFBF"/>
        </bottom>
        <diagonal/>
      </border>
    </dxf>
    <dxf>
      <font>
        <name val="Arial"/>
        <charset val="1"/>
        <family val="0"/>
        <b val="1"/>
        <color rgb="FFFFFFFF"/>
      </font>
      <fill>
        <patternFill>
          <bgColor rgb="FF1F6FD1"/>
        </patternFill>
      </fill>
    </dxf>
    <dxf>
      <font>
        <name val="Arial"/>
        <charset val="1"/>
        <family val="0"/>
        <color rgb="FF1F6FD1"/>
      </font>
      <border diagonalUp="false" diagonalDown="false">
        <left style="thin">
          <color rgb="FFBFBFBF"/>
        </left>
        <right style="thin">
          <color rgb="FFBFBFBF"/>
        </right>
        <top style="thin">
          <color rgb="FFBFBFBF"/>
        </top>
        <bottom style="thin">
          <color rgb="FFBFBFBF"/>
        </bottom>
        <diagonal/>
      </border>
    </dxf>
    <dxf>
      <font>
        <name val="Arial"/>
        <charset val="1"/>
        <family val="0"/>
        <b val="1"/>
        <color rgb="FFFFFFFF"/>
      </font>
      <fill>
        <patternFill>
          <bgColor rgb="FF7B3FC4"/>
        </patternFill>
      </fill>
    </dxf>
    <dxf>
      <font>
        <name val="Arial"/>
        <charset val="1"/>
        <family val="0"/>
        <color rgb="FF7B3FC4"/>
      </font>
      <border diagonalUp="false" diagonalDown="false">
        <left style="thin">
          <color rgb="FFBFBFBF"/>
        </left>
        <right style="thin">
          <color rgb="FFBFBFBF"/>
        </right>
        <top style="thin">
          <color rgb="FFBFBFBF"/>
        </top>
        <bottom style="thin">
          <color rgb="FFBFBFBF"/>
        </bottom>
        <diagonal/>
      </border>
    </dxf>
    <dxf>
      <font>
        <name val="Arial"/>
        <charset val="1"/>
        <family val="0"/>
        <b val="1"/>
        <color rgb="FFFFFFFF"/>
      </font>
      <fill>
        <patternFill>
          <bgColor rgb="FFD9434A"/>
        </patternFill>
      </fill>
    </dxf>
    <dxf>
      <font>
        <name val="Arial"/>
        <charset val="1"/>
        <family val="0"/>
        <color rgb="FFD9434A"/>
      </font>
      <border diagonalUp="false" diagonalDown="false">
        <left style="thin">
          <color rgb="FFBFBFBF"/>
        </left>
        <right style="thin">
          <color rgb="FFBFBFBF"/>
        </right>
        <top style="thin">
          <color rgb="FFBFBFBF"/>
        </top>
        <bottom style="thin">
          <color rgb="FFBFBFBF"/>
        </bottom>
        <diagonal/>
      </border>
    </dxf>
    <dxf>
      <font>
        <name val="Arial"/>
        <charset val="1"/>
        <family val="0"/>
        <b val="1"/>
        <color rgb="FF2E9E5B"/>
      </font>
      <fill>
        <patternFill>
          <bgColor rgb="FFE6F6EC"/>
        </patternFill>
      </fill>
    </dxf>
    <dxf>
      <font>
        <name val="Arial"/>
        <charset val="1"/>
        <family val="0"/>
        <b val="1"/>
        <color rgb="FF1F6FD1"/>
      </font>
      <fill>
        <patternFill>
          <bgColor rgb="FFE5F0FC"/>
        </patternFill>
      </fill>
    </dxf>
    <dxf>
      <font>
        <name val="Arial"/>
        <charset val="1"/>
        <family val="0"/>
        <b val="1"/>
        <color rgb="FF7B3FC4"/>
      </font>
      <fill>
        <patternFill>
          <bgColor rgb="FFF1E9FB"/>
        </patternFill>
      </fill>
    </dxf>
    <dxf>
      <font>
        <name val="Arial"/>
        <charset val="1"/>
        <family val="0"/>
        <b val="1"/>
        <color rgb="FFD9434A"/>
      </font>
      <fill>
        <patternFill>
          <bgColor rgb="FFFCEAEA"/>
        </patternFill>
      </fill>
    </dxf>
    <dxf>
      <fill>
        <patternFill patternType="solid">
          <fgColor rgb="FF1F3864"/>
          <bgColor rgb="FF000000"/>
        </patternFill>
      </fill>
    </dxf>
    <dxf>
      <fill>
        <patternFill patternType="solid">
          <bgColor rgb="FF000000"/>
        </patternFill>
      </fill>
    </dxf>
    <dxf>
      <fill>
        <patternFill patternType="solid">
          <fgColor rgb="FF1F6FD1"/>
          <bgColor rgb="FF000000"/>
        </patternFill>
      </fill>
    </dxf>
    <dxf>
      <fill>
        <patternFill patternType="solid">
          <fgColor rgb="FF2E9E5B"/>
          <bgColor rgb="FF000000"/>
        </patternFill>
      </fill>
    </dxf>
    <dxf>
      <fill>
        <patternFill patternType="solid">
          <fgColor rgb="FF7B3FC4"/>
          <bgColor rgb="FF000000"/>
        </patternFill>
      </fill>
    </dxf>
    <dxf>
      <fill>
        <patternFill patternType="solid">
          <fgColor rgb="FFD9434A"/>
          <bgColor rgb="FF000000"/>
        </patternFill>
      </fill>
    </dxf>
    <dxf>
      <fill>
        <patternFill patternType="solid">
          <fgColor rgb="FFFFFFFF"/>
          <bgColor rgb="FF000000"/>
        </patternFill>
      </fill>
    </dxf>
    <dxf>
      <fill>
        <patternFill patternType="solid">
          <fgColor rgb="FFFFF9DB"/>
          <bgColor rgb="FF000000"/>
        </patternFill>
      </fill>
    </dxf>
    <dxf>
      <font>
        <name val="Arial"/>
        <charset val="1"/>
        <family val="0"/>
        <b val="1"/>
      </font>
      <fill>
        <patternFill>
          <bgColor rgb="FFFFE699"/>
        </patternFill>
      </fill>
    </dxf>
    <dxf>
      <font>
        <name val="Arial"/>
        <charset val="1"/>
        <family val="0"/>
        <color rgb="FF1E6B3A"/>
      </font>
      <fill>
        <patternFill>
          <bgColor rgb="FFD9F2E3"/>
        </patternFill>
      </fill>
    </dxf>
    <dxf>
      <fill>
        <patternFill>
          <bgColor rgb="FFFCE4D6"/>
        </patternFill>
      </fill>
    </dxf>
    <dxf>
      <font>
        <name val="Arial"/>
        <charset val="1"/>
        <family val="0"/>
        <strike val="1"/>
        <color rgb="FF7F7F7F"/>
      </font>
      <fill>
        <patternFill>
          <bgColor rgb="FFE7E7E7"/>
        </patternFill>
      </fill>
    </dxf>
  </dxfs>
  <colors>
    <indexedColors>
      <rgbColor rgb="FF000000"/>
      <rgbColor rgb="FFFFFFFF"/>
      <rgbColor rgb="FFC00000"/>
      <rgbColor rgb="FF00FF00"/>
      <rgbColor rgb="FF0000FF"/>
      <rgbColor rgb="FFFFF2CC"/>
      <rgbColor rgb="FFFF00FF"/>
      <rgbColor rgb="FF00FFFF"/>
      <rgbColor rgb="FF800000"/>
      <rgbColor rgb="FF1E6B3A"/>
      <rgbColor rgb="FF000080"/>
      <rgbColor rgb="FF808000"/>
      <rgbColor rgb="FF800080"/>
      <rgbColor rgb="FF008080"/>
      <rgbColor rgb="FFBFBFBF"/>
      <rgbColor rgb="FF7F7F7F"/>
      <rgbColor rgb="FF9999FF"/>
      <rgbColor rgb="FF7B3FC4"/>
      <rgbColor rgb="FFFFF9DB"/>
      <rgbColor rgb="FFE6F6EC"/>
      <rgbColor rgb="FF660066"/>
      <rgbColor rgb="FFFF8080"/>
      <rgbColor rgb="FF1F6FD1"/>
      <rgbColor rgb="FFDDEBF7"/>
      <rgbColor rgb="FF000080"/>
      <rgbColor rgb="FFFF00FF"/>
      <rgbColor rgb="FFF2F2F2"/>
      <rgbColor rgb="FF00FFFF"/>
      <rgbColor rgb="FF800080"/>
      <rgbColor rgb="FF800000"/>
      <rgbColor rgb="FF008080"/>
      <rgbColor rgb="FF0000FF"/>
      <rgbColor rgb="FF00CCFF"/>
      <rgbColor rgb="FFE5F0FC"/>
      <rgbColor rgb="FFD9F2E3"/>
      <rgbColor rgb="FFFFE699"/>
      <rgbColor rgb="FFE7E7E7"/>
      <rgbColor rgb="FFFCEAEA"/>
      <rgbColor rgb="FFF1E9FB"/>
      <rgbColor rgb="FFFCE4D6"/>
      <rgbColor rgb="FF3366FF"/>
      <rgbColor rgb="FF33CCCC"/>
      <rgbColor rgb="FF99CC00"/>
      <rgbColor rgb="FFFFCC00"/>
      <rgbColor rgb="FFFF9900"/>
      <rgbColor rgb="FFFF6600"/>
      <rgbColor rgb="FF595959"/>
      <rgbColor rgb="FFA6A6A6"/>
      <rgbColor rgb="FF1F3864"/>
      <rgbColor rgb="FF2E9E5B"/>
      <rgbColor rgb="FF003300"/>
      <rgbColor rgb="FF333300"/>
      <rgbColor rgb="FF993300"/>
      <rgbColor rgb="FFD9434A"/>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Robotics_AI_Club_Weekly_Planner_and_Hardware.xlsx" TargetMode="External"/><Relationship Id="rId3" Type="http://schemas.openxmlformats.org/officeDocument/2006/relationships/hyperlink" Target="Robotics_AI_Club_Weekly_Planner_and_Hardware.xlsx" TargetMode="External"/><Relationship Id="rId4" Type="http://schemas.openxmlformats.org/officeDocument/2006/relationships/hyperlink" Target="Robotics_AI_Club_Weekly_Planner_and_Hardware.xlsx" TargetMode="External"/><Relationship Id="rId5" Type="http://schemas.openxmlformats.org/officeDocument/2006/relationships/hyperlink" Target="Robotics_AI_Club_Weekly_Planner_and_Hardware.xlsx" TargetMode="External"/><Relationship Id="rId6" Type="http://schemas.openxmlformats.org/officeDocument/2006/relationships/hyperlink" Target="Robotics_AI_Club_Weekly_Planner_and_Hardware.xlsx" TargetMode="External"/><Relationship Id="rId7" Type="http://schemas.openxmlformats.org/officeDocument/2006/relationships/hyperlink" Target="Robotics_AI_Club_Weekly_Planner_and_Hardware.xlsx" TargetMode="External"/><Relationship Id="rId8" Type="http://schemas.openxmlformats.org/officeDocument/2006/relationships/hyperlink" Target="Robotics_AI_Club_Weekly_Planner_and_Hardware.xlsx" TargetMode="External"/><Relationship Id="rId9" Type="http://schemas.openxmlformats.org/officeDocument/2006/relationships/hyperlink" Target="Robotics_AI_Club_Weekly_Planner_and_Hardware.xlsx" TargetMode="External"/><Relationship Id="rId10" Type="http://schemas.openxmlformats.org/officeDocument/2006/relationships/hyperlink" Target="Robotics_AI_Club_Weekly_Planner_and_Hardware.xlsx" TargetMode="External"/><Relationship Id="rId11" Type="http://schemas.openxmlformats.org/officeDocument/2006/relationships/hyperlink" Target="Robotics_AI_Club_Weekly_Planner_and_Hardware.xlsx" TargetMode="External"/><Relationship Id="rId12" Type="http://schemas.openxmlformats.org/officeDocument/2006/relationships/hyperlink" Target="Robotics_AI_Club_Weekly_Planner_and_Hardware.xlsx" TargetMode="External"/><Relationship Id="rId13" Type="http://schemas.openxmlformats.org/officeDocument/2006/relationships/hyperlink" Target="Robotics_AI_Club_Weekly_Planner_and_Hardware.xlsx" TargetMode="External"/><Relationship Id="rId14" Type="http://schemas.openxmlformats.org/officeDocument/2006/relationships/hyperlink" Target="Robotics_AI_Club_Weekly_Planner_and_Hardware.xlsx" TargetMode="External"/><Relationship Id="rId15" Type="http://schemas.openxmlformats.org/officeDocument/2006/relationships/hyperlink" Target="Robotics_AI_Club_Weekly_Planner_and_Hardware.xlsx" TargetMode="External"/><Relationship Id="rId16" Type="http://schemas.openxmlformats.org/officeDocument/2006/relationships/hyperlink" Target="Robotics_AI_Club_Weekly_Planner_and_Hardware.xlsx" TargetMode="External"/><Relationship Id="rId17" Type="http://schemas.openxmlformats.org/officeDocument/2006/relationships/hyperlink" Target="Robotics_AI_Club_Weekly_Planner_and_Hardware.xlsx" TargetMode="External"/><Relationship Id="rId18" Type="http://schemas.openxmlformats.org/officeDocument/2006/relationships/hyperlink" Target="Robotics_AI_Club_Weekly_Planner_and_Hardware.xlsx" TargetMode="External"/><Relationship Id="rId19" Type="http://schemas.openxmlformats.org/officeDocument/2006/relationships/hyperlink" Target="Robotics_AI_Club_Weekly_Planner_and_Hardware.xlsx" TargetMode="External"/><Relationship Id="rId20" Type="http://schemas.openxmlformats.org/officeDocument/2006/relationships/hyperlink" Target="Robotics_AI_Club_Weekly_Planner_and_Hardware.xlsx" TargetMode="External"/><Relationship Id="rId21" Type="http://schemas.openxmlformats.org/officeDocument/2006/relationships/hyperlink" Target="Robotics_AI_Club_Weekly_Planner_and_Hardware.xlsx" TargetMode="External"/><Relationship Id="rId22" Type="http://schemas.openxmlformats.org/officeDocument/2006/relationships/hyperlink" Target="Robotics_AI_Club_Weekly_Planner_and_Hardware.xlsx" TargetMode="External"/><Relationship Id="rId23" Type="http://schemas.openxmlformats.org/officeDocument/2006/relationships/hyperlink" Target="Robotics_AI_Club_Weekly_Planner_and_Hardware.xlsx" TargetMode="External"/><Relationship Id="rId24" Type="http://schemas.openxmlformats.org/officeDocument/2006/relationships/hyperlink" Target="Robotics_AI_Club_Weekly_Planner_and_Hardware.xlsx" TargetMode="External"/><Relationship Id="rId25" Type="http://schemas.openxmlformats.org/officeDocument/2006/relationships/hyperlink" Target="Robotics_AI_Club_Weekly_Planner_and_Hardware.xlsx" TargetMode="External"/><Relationship Id="rId26" Type="http://schemas.openxmlformats.org/officeDocument/2006/relationships/hyperlink" Target="Robotics_AI_Club_Weekly_Planner_and_Hardware.xlsx" TargetMode="External"/><Relationship Id="rId27" Type="http://schemas.openxmlformats.org/officeDocument/2006/relationships/hyperlink" Target="Robotics_AI_Club_Weekly_Planner_and_Hardware.xlsx" TargetMode="External"/><Relationship Id="rId28" Type="http://schemas.openxmlformats.org/officeDocument/2006/relationships/hyperlink" Target="Robotics_AI_Club_Weekly_Planner_and_Hardware.xlsx" TargetMode="External"/><Relationship Id="rId29" Type="http://schemas.openxmlformats.org/officeDocument/2006/relationships/hyperlink" Target="Robotics_AI_Club_Weekly_Planner_and_Hardware.xlsx" TargetMode="External"/><Relationship Id="rId30" Type="http://schemas.openxmlformats.org/officeDocument/2006/relationships/hyperlink" Target="Robotics_AI_Club_Weekly_Planner_and_Hardware.xlsx" TargetMode="External"/><Relationship Id="rId31" Type="http://schemas.openxmlformats.org/officeDocument/2006/relationships/hyperlink" Target="Robotics_AI_Club_Weekly_Planner_and_Hardware.xlsx" TargetMode="External"/><Relationship Id="rId32" Type="http://schemas.openxmlformats.org/officeDocument/2006/relationships/hyperlink" Target="Robotics_AI_Club_Weekly_Planner_and_Hardware.xlsx" TargetMode="External"/><Relationship Id="rId33" Type="http://schemas.openxmlformats.org/officeDocument/2006/relationships/hyperlink" Target="Robotics_AI_Club_Weekly_Planner_and_Hardware.xlsx" TargetMode="External"/><Relationship Id="rId34" Type="http://schemas.openxmlformats.org/officeDocument/2006/relationships/hyperlink" Target="Robotics_AI_Club_Weekly_Planner_and_Hardware.xlsx" TargetMode="External"/><Relationship Id="rId35" Type="http://schemas.openxmlformats.org/officeDocument/2006/relationships/hyperlink" Target="Robotics_AI_Club_Weekly_Planner_and_Hardware.xlsx" TargetMode="External"/><Relationship Id="rId36" Type="http://schemas.openxmlformats.org/officeDocument/2006/relationships/hyperlink" Target="Robotics_AI_Club_Weekly_Planner_and_Hardware.xlsx" TargetMode="External"/><Relationship Id="rId37" Type="http://schemas.openxmlformats.org/officeDocument/2006/relationships/hyperlink" Target="Robotics_AI_Club_Weekly_Planner_and_Hardware.xlsx" TargetMode="External"/><Relationship Id="rId38" Type="http://schemas.openxmlformats.org/officeDocument/2006/relationships/hyperlink" Target="Robotics_AI_Club_Weekly_Planner_and_Hardware.xlsx" TargetMode="External"/><Relationship Id="rId39" Type="http://schemas.openxmlformats.org/officeDocument/2006/relationships/hyperlink" Target="Robotics_AI_Club_Weekly_Planner_and_Hardware.xlsx" TargetMode="External"/><Relationship Id="rId40" Type="http://schemas.openxmlformats.org/officeDocument/2006/relationships/hyperlink" Target="Robotics_AI_Club_Weekly_Planner_and_Hardware.xlsx" TargetMode="External"/><Relationship Id="rId41" Type="http://schemas.openxmlformats.org/officeDocument/2006/relationships/hyperlink" Target="Robotics_AI_Club_Weekly_Planner_and_Hardware.xlsx" TargetMode="External"/><Relationship Id="rId42" Type="http://schemas.openxmlformats.org/officeDocument/2006/relationships/hyperlink" Target="Robotics_AI_Club_Weekly_Planner_and_Hardware.xlsx" TargetMode="External"/><Relationship Id="rId43" Type="http://schemas.openxmlformats.org/officeDocument/2006/relationships/hyperlink" Target="Robotics_AI_Club_Weekly_Planner_and_Hardware.xlsx" TargetMode="External"/><Relationship Id="rId44" Type="http://schemas.openxmlformats.org/officeDocument/2006/relationships/hyperlink" Target="Robotics_AI_Club_Weekly_Planner_and_Hardware.xlsx" TargetMode="External"/><Relationship Id="rId45" Type="http://schemas.openxmlformats.org/officeDocument/2006/relationships/hyperlink" Target="Robotics_AI_Club_Weekly_Planner_and_Hardware.xlsx" TargetMode="External"/><Relationship Id="rId46" Type="http://schemas.openxmlformats.org/officeDocument/2006/relationships/hyperlink" Target="Robotics_AI_Club_Weekly_Planner_and_Hardware.xlsx" TargetMode="External"/><Relationship Id="rId47" Type="http://schemas.openxmlformats.org/officeDocument/2006/relationships/hyperlink" Target="Robotics_AI_Club_Weekly_Planner_and_Hardware.xlsx" TargetMode="External"/><Relationship Id="rId48" Type="http://schemas.openxmlformats.org/officeDocument/2006/relationships/hyperlink" Target="Robotics_AI_Club_Weekly_Planner_and_Hardware.xlsx" TargetMode="External"/><Relationship Id="rId49" Type="http://schemas.openxmlformats.org/officeDocument/2006/relationships/hyperlink" Target="Robotics_AI_Club_Weekly_Planner_and_Hardware.xlsx" TargetMode="External"/><Relationship Id="rId50" Type="http://schemas.openxmlformats.org/officeDocument/2006/relationships/hyperlink" Target="Robotics_AI_Club_Weekly_Planner_and_Hardware.xlsx" TargetMode="External"/><Relationship Id="rId51" Type="http://schemas.openxmlformats.org/officeDocument/2006/relationships/hyperlink" Target="Robotics_AI_Club_Weekly_Planner_and_Hardware.xlsx" TargetMode="External"/><Relationship Id="rId52" Type="http://schemas.openxmlformats.org/officeDocument/2006/relationships/hyperlink" Target="Robotics_AI_Club_Weekly_Planner_and_Hardware.xlsx" TargetMode="External"/><Relationship Id="rId53" Type="http://schemas.openxmlformats.org/officeDocument/2006/relationships/hyperlink" Target="Robotics_AI_Club_Weekly_Planner_and_Hardware.xlsx" TargetMode="External"/><Relationship Id="rId54" Type="http://schemas.openxmlformats.org/officeDocument/2006/relationships/hyperlink" Target="Robotics_AI_Club_Weekly_Planner_and_Hardware.xlsx" TargetMode="External"/><Relationship Id="rId55" Type="http://schemas.openxmlformats.org/officeDocument/2006/relationships/hyperlink" Target="Robotics_AI_Club_Weekly_Planner_and_Hardware.xlsx" TargetMode="External"/><Relationship Id="rId56" Type="http://schemas.openxmlformats.org/officeDocument/2006/relationships/hyperlink" Target="Robotics_AI_Club_Weekly_Planner_and_Hardware.xlsx" TargetMode="External"/><Relationship Id="rId57" Type="http://schemas.openxmlformats.org/officeDocument/2006/relationships/hyperlink" Target="Robotics_AI_Club_Weekly_Planner_and_Hardware.xlsx" TargetMode="External"/><Relationship Id="rId58" Type="http://schemas.openxmlformats.org/officeDocument/2006/relationships/hyperlink" Target="Robotics_AI_Club_Weekly_Planner_and_Hardware.xlsx" TargetMode="External"/><Relationship Id="rId59" Type="http://schemas.openxmlformats.org/officeDocument/2006/relationships/hyperlink" Target="Robotics_AI_Club_Weekly_Planner_and_Hardware.xlsx" TargetMode="External"/><Relationship Id="rId60" Type="http://schemas.openxmlformats.org/officeDocument/2006/relationships/hyperlink" Target="Robotics_AI_Club_Weekly_Planner_and_Hardware.xlsx" TargetMode="External"/><Relationship Id="rId61" Type="http://schemas.openxmlformats.org/officeDocument/2006/relationships/hyperlink" Target="Robotics_AI_Club_Weekly_Planner_and_Hardware.xlsx" TargetMode="External"/><Relationship Id="rId62" Type="http://schemas.openxmlformats.org/officeDocument/2006/relationships/hyperlink" Target="Robotics_AI_Club_Weekly_Planner_and_Hardware.xlsx" TargetMode="External"/><Relationship Id="rId63" Type="http://schemas.openxmlformats.org/officeDocument/2006/relationships/hyperlink" Target="Robotics_AI_Club_Weekly_Planner_and_Hardware.xlsx" TargetMode="External"/><Relationship Id="rId64" Type="http://schemas.openxmlformats.org/officeDocument/2006/relationships/hyperlink" Target="Robotics_AI_Club_Weekly_Planner_and_Hardware.xlsx" TargetMode="External"/><Relationship Id="rId65" Type="http://schemas.openxmlformats.org/officeDocument/2006/relationships/hyperlink" Target="Robotics_AI_Club_Weekly_Planner_and_Hardware.xlsx" TargetMode="External"/><Relationship Id="rId66" Type="http://schemas.openxmlformats.org/officeDocument/2006/relationships/hyperlink" Target="Robotics_AI_Club_Weekly_Planner_and_Hardware.xlsx" TargetMode="External"/><Relationship Id="rId67" Type="http://schemas.openxmlformats.org/officeDocument/2006/relationships/hyperlink" Target="Robotics_AI_Club_Weekly_Planner_and_Hardware.xlsx" TargetMode="External"/><Relationship Id="rId68" Type="http://schemas.openxmlformats.org/officeDocument/2006/relationships/hyperlink" Target="Robotics_AI_Club_Weekly_Planner_and_Hardware.xlsx" TargetMode="External"/><Relationship Id="rId69" Type="http://schemas.openxmlformats.org/officeDocument/2006/relationships/hyperlink" Target="Robotics_AI_Club_Weekly_Planner_and_Hardware.xlsx" TargetMode="External"/><Relationship Id="rId70" Type="http://schemas.openxmlformats.org/officeDocument/2006/relationships/hyperlink" Target="Robotics_AI_Club_Weekly_Planner_and_Hardware.xlsx" TargetMode="External"/><Relationship Id="rId71" Type="http://schemas.openxmlformats.org/officeDocument/2006/relationships/hyperlink" Target="Robotics_AI_Club_Weekly_Planner_and_Hardware.xlsx" TargetMode="External"/><Relationship Id="rId72" Type="http://schemas.openxmlformats.org/officeDocument/2006/relationships/hyperlink" Target="Robotics_AI_Club_Weekly_Planner_and_Hardware.xlsx" TargetMode="External"/><Relationship Id="rId73" Type="http://schemas.openxmlformats.org/officeDocument/2006/relationships/hyperlink" Target="Robotics_AI_Club_Weekly_Planner_and_Hardware.xlsx" TargetMode="External"/><Relationship Id="rId74" Type="http://schemas.openxmlformats.org/officeDocument/2006/relationships/hyperlink" Target="Robotics_AI_Club_Weekly_Planner_and_Hardware.xlsx" TargetMode="External"/><Relationship Id="rId75" Type="http://schemas.openxmlformats.org/officeDocument/2006/relationships/hyperlink" Target="Robotics_AI_Club_Weekly_Planner_and_Hardware.xlsx" TargetMode="External"/><Relationship Id="rId76" Type="http://schemas.openxmlformats.org/officeDocument/2006/relationships/hyperlink" Target="Robotics_AI_Club_Weekly_Planner_and_Hardware.xlsx" TargetMode="External"/><Relationship Id="rId77" Type="http://schemas.openxmlformats.org/officeDocument/2006/relationships/hyperlink" Target="Robotics_AI_Club_Weekly_Planner_and_Hardware.xlsx" TargetMode="External"/><Relationship Id="rId78" Type="http://schemas.openxmlformats.org/officeDocument/2006/relationships/hyperlink" Target="Robotics_AI_Club_Weekly_Planner_and_Hardware.xlsx" TargetMode="External"/><Relationship Id="rId79" Type="http://schemas.openxmlformats.org/officeDocument/2006/relationships/hyperlink" Target="Robotics_AI_Club_Weekly_Planner_and_Hardware.xlsx" TargetMode="External"/><Relationship Id="rId80" Type="http://schemas.openxmlformats.org/officeDocument/2006/relationships/hyperlink" Target="Robotics_AI_Club_Weekly_Planner_and_Hardware.xlsx" TargetMode="External"/><Relationship Id="rId81" Type="http://schemas.openxmlformats.org/officeDocument/2006/relationships/hyperlink" Target="Robotics_AI_Club_Weekly_Planner_and_Hardware.xlsx" TargetMode="External"/><Relationship Id="rId82" Type="http://schemas.openxmlformats.org/officeDocument/2006/relationships/hyperlink" Target="Robotics_AI_Club_Weekly_Planner_and_Hardware.xlsx" TargetMode="External"/><Relationship Id="rId83" Type="http://schemas.openxmlformats.org/officeDocument/2006/relationships/hyperlink" Target="Robotics_AI_Club_Weekly_Planner_and_Hardware.xlsx" TargetMode="External"/><Relationship Id="rId84" Type="http://schemas.openxmlformats.org/officeDocument/2006/relationships/hyperlink" Target="Robotics_AI_Club_Weekly_Planner_and_Hardware.xlsx" TargetMode="External"/><Relationship Id="rId85" Type="http://schemas.openxmlformats.org/officeDocument/2006/relationships/hyperlink" Target="Robotics_AI_Club_Weekly_Planner_and_Hardware.xlsx" TargetMode="External"/><Relationship Id="rId86" Type="http://schemas.openxmlformats.org/officeDocument/2006/relationships/hyperlink" Target="Robotics_AI_Club_Weekly_Planner_and_Hardware.xlsx" TargetMode="External"/><Relationship Id="rId87" Type="http://schemas.openxmlformats.org/officeDocument/2006/relationships/hyperlink" Target="Robotics_AI_Club_Weekly_Planner_and_Hardware.xlsx" TargetMode="External"/><Relationship Id="rId88" Type="http://schemas.openxmlformats.org/officeDocument/2006/relationships/hyperlink" Target="Robotics_AI_Club_Weekly_Planner_and_Hardware.xlsx" TargetMode="External"/><Relationship Id="rId89" Type="http://schemas.openxmlformats.org/officeDocument/2006/relationships/hyperlink" Target="Robotics_AI_Club_Weekly_Planner_and_Hardware.xlsx" TargetMode="External"/><Relationship Id="rId90" Type="http://schemas.openxmlformats.org/officeDocument/2006/relationships/hyperlink" Target="Robotics_AI_Club_Weekly_Planner_and_Hardware.xlsx" TargetMode="External"/><Relationship Id="rId91" Type="http://schemas.openxmlformats.org/officeDocument/2006/relationships/hyperlink" Target="Robotics_AI_Club_Weekly_Planner_and_Hardware.xlsx" TargetMode="External"/><Relationship Id="rId92" Type="http://schemas.openxmlformats.org/officeDocument/2006/relationships/hyperlink" Target="Robotics_AI_Club_Weekly_Planner_and_Hardware.xlsx" TargetMode="External"/><Relationship Id="rId93" Type="http://schemas.openxmlformats.org/officeDocument/2006/relationships/hyperlink" Target="Robotics_AI_Club_Weekly_Planner_and_Hardware.xlsx" TargetMode="External"/><Relationship Id="rId94" Type="http://schemas.openxmlformats.org/officeDocument/2006/relationships/hyperlink" Target="Robotics_AI_Club_Weekly_Planner_and_Hardware.xlsx" TargetMode="External"/><Relationship Id="rId95" Type="http://schemas.openxmlformats.org/officeDocument/2006/relationships/hyperlink" Target="Robotics_AI_Club_Weekly_Planner_and_Hardware.xlsx" TargetMode="External"/><Relationship Id="rId96" Type="http://schemas.openxmlformats.org/officeDocument/2006/relationships/hyperlink" Target="Robotics_AI_Club_Weekly_Planner_and_Hardware.xlsx" TargetMode="External"/><Relationship Id="rId97" Type="http://schemas.openxmlformats.org/officeDocument/2006/relationships/hyperlink" Target="Robotics_AI_Club_Weekly_Planner_and_Hardware.xlsx" TargetMode="External"/><Relationship Id="rId98" Type="http://schemas.openxmlformats.org/officeDocument/2006/relationships/hyperlink" Target="Robotics_AI_Club_Weekly_Planner_and_Hardware.xlsx" TargetMode="External"/><Relationship Id="rId99" Type="http://schemas.openxmlformats.org/officeDocument/2006/relationships/hyperlink" Target="Robotics_AI_Club_Weekly_Planner_and_Hardware.xlsx" TargetMode="External"/><Relationship Id="rId100" Type="http://schemas.openxmlformats.org/officeDocument/2006/relationships/hyperlink" Target="Robotics_AI_Club_Weekly_Planner_and_Hardware.xlsx" TargetMode="External"/><Relationship Id="rId101" Type="http://schemas.openxmlformats.org/officeDocument/2006/relationships/hyperlink" Target="Robotics_AI_Club_Weekly_Planner_and_Hardware.xlsx" TargetMode="External"/><Relationship Id="rId102" Type="http://schemas.openxmlformats.org/officeDocument/2006/relationships/hyperlink" Target="Robotics_AI_Club_Weekly_Planner_and_Hardware.xlsx" TargetMode="External"/><Relationship Id="rId103" Type="http://schemas.openxmlformats.org/officeDocument/2006/relationships/hyperlink" Target="Robotics_AI_Club_Weekly_Planner_and_Hardware.xlsx" TargetMode="External"/><Relationship Id="rId104" Type="http://schemas.openxmlformats.org/officeDocument/2006/relationships/hyperlink" Target="Robotics_AI_Club_Weekly_Planner_and_Hardware.xlsx" TargetMode="External"/><Relationship Id="rId105" Type="http://schemas.openxmlformats.org/officeDocument/2006/relationships/hyperlink" Target="Robotics_AI_Club_Weekly_Planner_and_Hardware.xlsx" TargetMode="External"/><Relationship Id="rId106" Type="http://schemas.openxmlformats.org/officeDocument/2006/relationships/hyperlink" Target="Robotics_AI_Club_Weekly_Planner_and_Hardware.xlsx" TargetMode="External"/><Relationship Id="rId107" Type="http://schemas.openxmlformats.org/officeDocument/2006/relationships/hyperlink" Target="Robotics_AI_Club_Weekly_Planner_and_Hardware.xlsx" TargetMode="External"/><Relationship Id="rId108" Type="http://schemas.openxmlformats.org/officeDocument/2006/relationships/hyperlink" Target="Robotics_AI_Club_Weekly_Planner_and_Hardware.xlsx" TargetMode="External"/><Relationship Id="rId109" Type="http://schemas.openxmlformats.org/officeDocument/2006/relationships/hyperlink" Target="Robotics_AI_Club_Weekly_Planner_and_Hardware.xlsx" TargetMode="External"/><Relationship Id="rId110" Type="http://schemas.openxmlformats.org/officeDocument/2006/relationships/hyperlink" Target="Robotics_AI_Club_Weekly_Planner_and_Hardware.xlsx" TargetMode="External"/><Relationship Id="rId111" Type="http://schemas.openxmlformats.org/officeDocument/2006/relationships/hyperlink" Target="Robotics_AI_Club_Weekly_Planner_and_Hardware.xlsx" TargetMode="External"/><Relationship Id="rId112" Type="http://schemas.openxmlformats.org/officeDocument/2006/relationships/hyperlink" Target="Robotics_AI_Club_Weekly_Planner_and_Hardware.xlsx" TargetMode="External"/><Relationship Id="rId113" Type="http://schemas.openxmlformats.org/officeDocument/2006/relationships/hyperlink" Target="Robotics_AI_Club_Weekly_Planner_and_Hardware.xlsx" TargetMode="External"/><Relationship Id="rId114" Type="http://schemas.openxmlformats.org/officeDocument/2006/relationships/hyperlink" Target="Robotics_AI_Club_Weekly_Planner_and_Hardware.xlsx" TargetMode="External"/><Relationship Id="rId115" Type="http://schemas.openxmlformats.org/officeDocument/2006/relationships/hyperlink" Target="Robotics_AI_Club_Weekly_Planner_and_Hardware.xlsx" TargetMode="External"/><Relationship Id="rId116" Type="http://schemas.openxmlformats.org/officeDocument/2006/relationships/hyperlink" Target="Robotics_AI_Club_Weekly_Planner_and_Hardware.xlsx" TargetMode="External"/><Relationship Id="rId117" Type="http://schemas.openxmlformats.org/officeDocument/2006/relationships/hyperlink" Target="Robotics_AI_Club_Weekly_Planner_and_Hardware.xlsx" TargetMode="External"/><Relationship Id="rId118" Type="http://schemas.openxmlformats.org/officeDocument/2006/relationships/hyperlink" Target="Robotics_AI_Club_Weekly_Planner_and_Hardware.xlsx" TargetMode="External"/><Relationship Id="rId119" Type="http://schemas.openxmlformats.org/officeDocument/2006/relationships/hyperlink" Target="Robotics_AI_Club_Weekly_Planner_and_Hardware.xlsx" TargetMode="External"/><Relationship Id="rId120" Type="http://schemas.openxmlformats.org/officeDocument/2006/relationships/hyperlink" Target="Robotics_AI_Club_Weekly_Planner_and_Hardware.xlsx" TargetMode="External"/><Relationship Id="rId121" Type="http://schemas.openxmlformats.org/officeDocument/2006/relationships/hyperlink" Target="Robotics_AI_Club_Weekly_Planner_and_Hardware.xlsx" TargetMode="External"/><Relationship Id="rId122" Type="http://schemas.openxmlformats.org/officeDocument/2006/relationships/hyperlink" Target="Robotics_AI_Club_Weekly_Planner_and_Hardware.xlsx" TargetMode="External"/><Relationship Id="rId123" Type="http://schemas.openxmlformats.org/officeDocument/2006/relationships/hyperlink" Target="Robotics_AI_Club_Weekly_Planner_and_Hardware.xlsx" TargetMode="External"/><Relationship Id="rId124" Type="http://schemas.openxmlformats.org/officeDocument/2006/relationships/hyperlink" Target="Robotics_AI_Club_Weekly_Planner_and_Hardware.xlsx" TargetMode="External"/><Relationship Id="rId125" Type="http://schemas.openxmlformats.org/officeDocument/2006/relationships/hyperlink" Target="Robotics_AI_Club_Weekly_Planner_and_Hardware.xlsx" TargetMode="External"/><Relationship Id="rId126" Type="http://schemas.openxmlformats.org/officeDocument/2006/relationships/hyperlink" Target="Robotics_AI_Club_Weekly_Planner_and_Hardware.xlsx" TargetMode="External"/><Relationship Id="rId127" Type="http://schemas.openxmlformats.org/officeDocument/2006/relationships/hyperlink" Target="Robotics_AI_Club_Weekly_Planner_and_Hardware.xlsx" TargetMode="External"/><Relationship Id="rId128" Type="http://schemas.openxmlformats.org/officeDocument/2006/relationships/hyperlink" Target="Robotics_AI_Club_Weekly_Planner_and_Hardware.xlsx" TargetMode="External"/><Relationship Id="rId129" Type="http://schemas.openxmlformats.org/officeDocument/2006/relationships/hyperlink" Target="Robotics_AI_Club_Weekly_Planner_and_Hardware.xlsx" TargetMode="External"/><Relationship Id="rId130" Type="http://schemas.openxmlformats.org/officeDocument/2006/relationships/hyperlink" Target="Robotics_AI_Club_Weekly_Planner_and_Hardware.xlsx" TargetMode="External"/><Relationship Id="rId131" Type="http://schemas.openxmlformats.org/officeDocument/2006/relationships/hyperlink" Target="Robotics_AI_Club_Weekly_Planner_and_Hardware.xlsx" TargetMode="External"/><Relationship Id="rId132" Type="http://schemas.openxmlformats.org/officeDocument/2006/relationships/hyperlink" Target="Robotics_AI_Club_Weekly_Planner_and_Hardware.xlsx" TargetMode="External"/><Relationship Id="rId133" Type="http://schemas.openxmlformats.org/officeDocument/2006/relationships/hyperlink" Target="Robotics_AI_Club_Weekly_Planner_and_Hardware.xlsx" TargetMode="External"/><Relationship Id="rId134" Type="http://schemas.openxmlformats.org/officeDocument/2006/relationships/hyperlink" Target="Robotics_AI_Club_Weekly_Planner_and_Hardware.xlsx" TargetMode="External"/><Relationship Id="rId135" Type="http://schemas.openxmlformats.org/officeDocument/2006/relationships/hyperlink" Target="Robotics_AI_Club_Weekly_Planner_and_Hardware.xlsx" TargetMode="External"/><Relationship Id="rId136" Type="http://schemas.openxmlformats.org/officeDocument/2006/relationships/hyperlink" Target="Robotics_AI_Club_Weekly_Planner_and_Hardware.xlsx" TargetMode="External"/><Relationship Id="rId137" Type="http://schemas.openxmlformats.org/officeDocument/2006/relationships/hyperlink" Target="Robotics_AI_Club_Weekly_Planner_and_Hardware.xlsx" TargetMode="External"/><Relationship Id="rId138" Type="http://schemas.openxmlformats.org/officeDocument/2006/relationships/hyperlink" Target="Robotics_AI_Club_Weekly_Planner_and_Hardware.xlsx" TargetMode="External"/><Relationship Id="rId139" Type="http://schemas.openxmlformats.org/officeDocument/2006/relationships/hyperlink" Target="Robotics_AI_Club_Weekly_Planner_and_Hardware.xlsx" TargetMode="External"/><Relationship Id="rId140" Type="http://schemas.openxmlformats.org/officeDocument/2006/relationships/hyperlink" Target="Robotics_AI_Club_Weekly_Planner_and_Hardware.xlsx" TargetMode="External"/><Relationship Id="rId141" Type="http://schemas.openxmlformats.org/officeDocument/2006/relationships/hyperlink" Target="Robotics_AI_Club_Weekly_Planner_and_Hardware.xlsx" TargetMode="External"/><Relationship Id="rId142" Type="http://schemas.openxmlformats.org/officeDocument/2006/relationships/hyperlink" Target="Robotics_AI_Club_Weekly_Planner_and_Hardware.xlsx" TargetMode="External"/><Relationship Id="rId143" Type="http://schemas.openxmlformats.org/officeDocument/2006/relationships/hyperlink" Target="Robotics_AI_Club_Weekly_Planner_and_Hardware.xlsx" TargetMode="External"/><Relationship Id="rId144" Type="http://schemas.openxmlformats.org/officeDocument/2006/relationships/hyperlink" Target="Robotics_AI_Club_Weekly_Planner_and_Hardware.xlsx" TargetMode="External"/><Relationship Id="rId145" Type="http://schemas.openxmlformats.org/officeDocument/2006/relationships/hyperlink" Target="Robotics_AI_Club_Weekly_Planner_and_Hardware.xlsx" TargetMode="External"/><Relationship Id="rId146" Type="http://schemas.openxmlformats.org/officeDocument/2006/relationships/hyperlink" Target="Robotics_AI_Club_Weekly_Planner_and_Hardware.xlsx" TargetMode="External"/><Relationship Id="rId147" Type="http://schemas.openxmlformats.org/officeDocument/2006/relationships/drawing" Target="../drawings/drawing1.xml"/><Relationship Id="rId148"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95"/>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C5" s="4"/>
    </row>
    <row r="6" customFormat="false" ht="23.85" hidden="false" customHeight="false" outlineLevel="0" collapsed="false">
      <c r="B6" s="5" t="s">
        <v>3</v>
      </c>
      <c r="C6" s="4" t="s">
        <v>4</v>
      </c>
    </row>
    <row r="7" customFormat="false" ht="23.85" hidden="false" customHeight="false" outlineLevel="0" collapsed="false">
      <c r="B7" s="5" t="s">
        <v>5</v>
      </c>
      <c r="C7" s="4" t="s">
        <v>6</v>
      </c>
    </row>
    <row r="8" customFormat="false" ht="23.85" hidden="false" customHeight="false" outlineLevel="0" collapsed="false">
      <c r="B8" s="5" t="s">
        <v>7</v>
      </c>
      <c r="C8" s="4" t="s">
        <v>8</v>
      </c>
    </row>
    <row r="9" customFormat="false" ht="23.85" hidden="false" customHeight="false" outlineLevel="0" collapsed="false">
      <c r="B9" s="5" t="s">
        <v>9</v>
      </c>
      <c r="C9" s="4" t="s">
        <v>10</v>
      </c>
    </row>
    <row r="10" customFormat="false" ht="15" hidden="false" customHeight="false" outlineLevel="0" collapsed="false">
      <c r="B10" s="5" t="s">
        <v>11</v>
      </c>
      <c r="C10" s="4" t="s">
        <v>12</v>
      </c>
    </row>
    <row r="11" customFormat="false" ht="15" hidden="false" customHeight="false" outlineLevel="0" collapsed="false">
      <c r="B11" s="3"/>
      <c r="C11" s="4"/>
    </row>
    <row r="12" customFormat="false" ht="15" hidden="false" customHeight="false" outlineLevel="0" collapsed="false">
      <c r="B12" s="3" t="s">
        <v>13</v>
      </c>
      <c r="C12" s="4"/>
    </row>
    <row r="13" customFormat="false" ht="15" hidden="false" customHeight="false" outlineLevel="0" collapsed="false">
      <c r="B13" s="5" t="s">
        <v>14</v>
      </c>
      <c r="C13" s="4" t="s">
        <v>15</v>
      </c>
    </row>
    <row r="14" customFormat="false" ht="15" hidden="false" customHeight="false" outlineLevel="0" collapsed="false">
      <c r="B14" s="5" t="s">
        <v>16</v>
      </c>
      <c r="C14" s="4" t="s">
        <v>17</v>
      </c>
    </row>
    <row r="15" customFormat="false" ht="15" hidden="false" customHeight="false" outlineLevel="0" collapsed="false">
      <c r="B15" s="5" t="s">
        <v>18</v>
      </c>
      <c r="C15" s="4" t="s">
        <v>19</v>
      </c>
    </row>
    <row r="16" customFormat="false" ht="15" hidden="false" customHeight="false" outlineLevel="0" collapsed="false">
      <c r="B16" s="5" t="s">
        <v>20</v>
      </c>
      <c r="C16" s="4" t="s">
        <v>21</v>
      </c>
    </row>
    <row r="17" customFormat="false" ht="15" hidden="false" customHeight="false" outlineLevel="0" collapsed="false">
      <c r="B17" s="5" t="s">
        <v>22</v>
      </c>
      <c r="C17" s="4" t="s">
        <v>23</v>
      </c>
    </row>
    <row r="18" customFormat="false" ht="15" hidden="false" customHeight="false" outlineLevel="0" collapsed="false">
      <c r="B18" s="3"/>
      <c r="C18" s="4"/>
    </row>
    <row r="19" customFormat="false" ht="15" hidden="false" customHeight="false" outlineLevel="0" collapsed="false">
      <c r="B19" s="3" t="s">
        <v>24</v>
      </c>
      <c r="C19" s="4"/>
    </row>
    <row r="20" customFormat="false" ht="35.05" hidden="false" customHeight="false" outlineLevel="0" collapsed="false">
      <c r="B20" s="5" t="s">
        <v>25</v>
      </c>
      <c r="C20" s="4" t="s">
        <v>26</v>
      </c>
    </row>
    <row r="21" customFormat="false" ht="23.85" hidden="false" customHeight="false" outlineLevel="0" collapsed="false">
      <c r="B21" s="5" t="s">
        <v>27</v>
      </c>
      <c r="C21" s="4" t="s">
        <v>28</v>
      </c>
    </row>
    <row r="22" customFormat="false" ht="15" hidden="false" customHeight="false" outlineLevel="0" collapsed="false">
      <c r="B22" s="5" t="s">
        <v>29</v>
      </c>
      <c r="C22" s="4" t="s">
        <v>30</v>
      </c>
    </row>
    <row r="23" customFormat="false" ht="15" hidden="false" customHeight="false" outlineLevel="0" collapsed="false">
      <c r="B23" s="3"/>
      <c r="C23" s="4"/>
    </row>
    <row r="24" customFormat="false" ht="23.85" hidden="false" customHeight="false" outlineLevel="0" collapsed="false">
      <c r="B24" s="5" t="s">
        <v>31</v>
      </c>
      <c r="C24" s="4" t="s">
        <v>32</v>
      </c>
    </row>
    <row r="26" customFormat="false" ht="15" hidden="false" customHeight="false" outlineLevel="0" collapsed="false">
      <c r="B26" s="6"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O3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34"/>
    <col collapsed="false" customWidth="true" hidden="false" outlineLevel="0" max="4" min="4" style="0" width="11"/>
    <col collapsed="false" customWidth="true" hidden="false" outlineLevel="0" max="9" min="5" style="0" width="6"/>
    <col collapsed="false" customWidth="true" hidden="false" outlineLevel="0" max="10" min="10" style="0" width="7"/>
    <col collapsed="false" customWidth="true" hidden="false" outlineLevel="0" max="11" min="11" style="0" width="8"/>
    <col collapsed="false" customWidth="true" hidden="false" outlineLevel="0" max="12" min="12" style="0" width="9"/>
    <col collapsed="false" customWidth="true" hidden="false" outlineLevel="0" max="14" min="13" style="0" width="10"/>
    <col collapsed="false" customWidth="true" hidden="false" outlineLevel="0" max="15" min="15" style="0" width="3"/>
  </cols>
  <sheetData>
    <row r="1" customFormat="false" ht="19.7" hidden="false" customHeight="false" outlineLevel="0" collapsed="false">
      <c r="A1" s="7" t="s">
        <v>34</v>
      </c>
      <c r="J1" s="8" t="s">
        <v>35</v>
      </c>
      <c r="L1" s="9"/>
      <c r="M1" s="9"/>
      <c r="N1" s="9"/>
    </row>
    <row r="2" customFormat="false" ht="15" hidden="false" customHeight="false" outlineLevel="0" collapsed="false">
      <c r="A2" s="2" t="s">
        <v>36</v>
      </c>
      <c r="J2" s="8" t="s">
        <v>37</v>
      </c>
      <c r="L2" s="9"/>
      <c r="M2" s="9"/>
      <c r="N2" s="9"/>
    </row>
    <row r="3" customFormat="false" ht="15" hidden="false" customHeight="false" outlineLevel="0" collapsed="false">
      <c r="A3" s="10" t="s">
        <v>38</v>
      </c>
      <c r="B3" s="10"/>
      <c r="C3" s="11"/>
      <c r="D3" s="12" t="s">
        <v>39</v>
      </c>
      <c r="E3" s="12"/>
      <c r="F3" s="13" t="s">
        <v>40</v>
      </c>
      <c r="G3" s="13"/>
      <c r="H3" s="13"/>
      <c r="I3" s="13"/>
    </row>
    <row r="4" customFormat="false" ht="15" hidden="false" customHeight="false" outlineLevel="0" collapsed="false">
      <c r="A4" s="6" t="str">
        <f aca="false">COUNT('Session Tracker'!$M$5:$M$149)&amp;" session(s) marked Next week · "&amp;COUNTIF(Calc!$M$3:$M$101,"&gt;0")&amp;" different items this week"</f>
        <v>0 session(s) marked Next week · 0 different items this week</v>
      </c>
      <c r="I4" s="6" t="str">
        <f aca="false">IF(SUM(Calc!K3:K101)&lt;&gt;SUM('Little Explorers Kits'!H5:M358)+SUM('Junior Makers Kits'!H5:M440)+SUM('Young Innovators Kits'!H5:M418)+SUM('Tech Leaders Kits'!H5:M386),"Warning: a kit tab has a component name that is missing from the Calc tab","")</f>
        <v/>
      </c>
    </row>
    <row r="6" customFormat="false" ht="15" hidden="false" customHeight="false" outlineLevel="0" collapsed="false">
      <c r="A6" s="3" t="s">
        <v>41</v>
      </c>
    </row>
    <row r="7" customFormat="false" ht="15" hidden="false" customHeight="true" outlineLevel="0" collapsed="false">
      <c r="A7" s="14" t="s">
        <v>42</v>
      </c>
      <c r="B7" s="14" t="s">
        <v>43</v>
      </c>
      <c r="C7" s="14" t="s">
        <v>44</v>
      </c>
      <c r="D7" s="14" t="s">
        <v>45</v>
      </c>
      <c r="E7" s="14" t="s">
        <v>46</v>
      </c>
      <c r="F7" s="14"/>
      <c r="G7" s="14" t="s">
        <v>47</v>
      </c>
      <c r="H7" s="14"/>
      <c r="I7" s="14"/>
      <c r="J7" s="14" t="s">
        <v>48</v>
      </c>
      <c r="K7" s="14" t="s">
        <v>49</v>
      </c>
      <c r="L7" s="14"/>
      <c r="M7" s="14"/>
      <c r="N7" s="14"/>
    </row>
    <row r="8" customFormat="false" ht="15" hidden="false" customHeight="false" outlineLevel="0" collapsed="false">
      <c r="A8" s="15" t="str">
        <f aca="false">IF(1&lt;=COUNT('Session Tracker'!$M$5:$M$149),1,"")</f>
        <v/>
      </c>
      <c r="B8" s="15" t="str">
        <f aca="false">IF($A8="","",IF(IFERROR(INDEX('Session Tracker'!$G$5:$G$149,MATCH(SMALL('Session Tracker'!$M$5:$M$149,$A8),'Session Tracker'!$M$5:$M$149,0)),"")="","Day not set",IFERROR(INDEX('Session Tracker'!$G$5:$G$149,MATCH(SMALL('Session Tracker'!$M$5:$M$149,$A8),'Session Tracker'!$M$5:$M$149,0)),"")&amp;IF($C$3="",""," "&amp;TEXT($C$3+MATCH(IFERROR(INDEX('Session Tracker'!$G$5:$G$149,MATCH(SMALL('Session Tracker'!$M$5:$M$149,$A8),'Session Tracker'!$M$5:$M$149,0)),""),{"Mon","Tue","Wed","Thu","Fri"},0)-1,"dd-mmm"))))</f>
        <v/>
      </c>
      <c r="C8" s="16" t="str">
        <f aca="false">IF($A8="","",IFERROR(INDEX('Session Tracker'!$E$5:$E$149,MATCH(SMALL('Session Tracker'!$M$5:$M$149,$A8),'Session Tracker'!$M$5:$M$149,0)),""))</f>
        <v/>
      </c>
      <c r="D8" s="15" t="str">
        <f aca="false">IF($A8="","",IFERROR(INDEX('Session Tracker'!$D$5:$D$149,MATCH(SMALL('Session Tracker'!$M$5:$M$149,$A8),'Session Tracker'!$M$5:$M$149,0)),""))</f>
        <v/>
      </c>
      <c r="E8" s="17" t="str">
        <f aca="false">IF($A8="","",IFERROR(INDEX('Session Tracker'!$H$5:$H$149,MATCH(SMALL('Session Tracker'!$M$5:$M$149,$A8),'Session Tracker'!$M$5:$M$149,0)),"")&amp;"")</f>
        <v/>
      </c>
      <c r="F8" s="17"/>
      <c r="G8" s="18" t="str">
        <f aca="false">IF($A8="","",IFERROR(INDEX('Session Tracker'!$A$5:$A$149,MATCH(SMALL('Session Tracker'!$M$5:$M$149,$A8),'Session Tracker'!$M$5:$M$149,0)),""))</f>
        <v/>
      </c>
      <c r="H8" s="18"/>
      <c r="I8" s="18"/>
      <c r="J8" s="15" t="str">
        <f aca="false">IF($A8="","",IFERROR(INDEX('Session Tracker'!$J$5:$J$149,MATCH(SMALL('Session Tracker'!$M$5:$M$149,$A8),'Session Tracker'!$M$5:$M$149,0)),""))</f>
        <v/>
      </c>
      <c r="K8" s="17" t="str">
        <f aca="false">IF($A8="","",IFERROR(INDEX('Session Tracker'!$I$5:$I$149,MATCH(SMALL('Session Tracker'!$M$5:$M$149,$A8),'Session Tracker'!$M$5:$M$149,0)),"")&amp;"")</f>
        <v/>
      </c>
      <c r="L8" s="17"/>
      <c r="M8" s="17"/>
      <c r="N8" s="17"/>
    </row>
    <row r="9" customFormat="false" ht="15" hidden="false" customHeight="false" outlineLevel="0" collapsed="false">
      <c r="A9" s="15" t="str">
        <f aca="false">IF(2&lt;=COUNT('Session Tracker'!$M$5:$M$149),2,"")</f>
        <v/>
      </c>
      <c r="B9" s="15" t="str">
        <f aca="false">IF($A9="","",IF(IFERROR(INDEX('Session Tracker'!$G$5:$G$149,MATCH(SMALL('Session Tracker'!$M$5:$M$149,$A9),'Session Tracker'!$M$5:$M$149,0)),"")="","Day not set",IFERROR(INDEX('Session Tracker'!$G$5:$G$149,MATCH(SMALL('Session Tracker'!$M$5:$M$149,$A9),'Session Tracker'!$M$5:$M$149,0)),"")&amp;IF($C$3="",""," "&amp;TEXT($C$3+MATCH(IFERROR(INDEX('Session Tracker'!$G$5:$G$149,MATCH(SMALL('Session Tracker'!$M$5:$M$149,$A9),'Session Tracker'!$M$5:$M$149,0)),""),{"Mon","Tue","Wed","Thu","Fri"},0)-1,"dd-mmm"))))</f>
        <v/>
      </c>
      <c r="C9" s="16" t="str">
        <f aca="false">IF($A9="","",IFERROR(INDEX('Session Tracker'!$E$5:$E$149,MATCH(SMALL('Session Tracker'!$M$5:$M$149,$A9),'Session Tracker'!$M$5:$M$149,0)),""))</f>
        <v/>
      </c>
      <c r="D9" s="15" t="str">
        <f aca="false">IF($A9="","",IFERROR(INDEX('Session Tracker'!$D$5:$D$149,MATCH(SMALL('Session Tracker'!$M$5:$M$149,$A9),'Session Tracker'!$M$5:$M$149,0)),""))</f>
        <v/>
      </c>
      <c r="E9" s="17" t="str">
        <f aca="false">IF($A9="","",IFERROR(INDEX('Session Tracker'!$H$5:$H$149,MATCH(SMALL('Session Tracker'!$M$5:$M$149,$A9),'Session Tracker'!$M$5:$M$149,0)),"")&amp;"")</f>
        <v/>
      </c>
      <c r="F9" s="17"/>
      <c r="G9" s="18" t="str">
        <f aca="false">IF($A9="","",IFERROR(INDEX('Session Tracker'!$A$5:$A$149,MATCH(SMALL('Session Tracker'!$M$5:$M$149,$A9),'Session Tracker'!$M$5:$M$149,0)),""))</f>
        <v/>
      </c>
      <c r="H9" s="18"/>
      <c r="I9" s="18"/>
      <c r="J9" s="15" t="str">
        <f aca="false">IF($A9="","",IFERROR(INDEX('Session Tracker'!$J$5:$J$149,MATCH(SMALL('Session Tracker'!$M$5:$M$149,$A9),'Session Tracker'!$M$5:$M$149,0)),""))</f>
        <v/>
      </c>
      <c r="K9" s="17" t="str">
        <f aca="false">IF($A9="","",IFERROR(INDEX('Session Tracker'!$I$5:$I$149,MATCH(SMALL('Session Tracker'!$M$5:$M$149,$A9),'Session Tracker'!$M$5:$M$149,0)),"")&amp;"")</f>
        <v/>
      </c>
      <c r="L9" s="17"/>
      <c r="M9" s="17"/>
      <c r="N9" s="17"/>
    </row>
    <row r="10" customFormat="false" ht="15" hidden="false" customHeight="false" outlineLevel="0" collapsed="false">
      <c r="A10" s="15" t="str">
        <f aca="false">IF(3&lt;=COUNT('Session Tracker'!$M$5:$M$149),3,"")</f>
        <v/>
      </c>
      <c r="B10" s="15" t="str">
        <f aca="false">IF($A10="","",IF(IFERROR(INDEX('Session Tracker'!$G$5:$G$149,MATCH(SMALL('Session Tracker'!$M$5:$M$149,$A10),'Session Tracker'!$M$5:$M$149,0)),"")="","Day not set",IFERROR(INDEX('Session Tracker'!$G$5:$G$149,MATCH(SMALL('Session Tracker'!$M$5:$M$149,$A10),'Session Tracker'!$M$5:$M$149,0)),"")&amp;IF($C$3="",""," "&amp;TEXT($C$3+MATCH(IFERROR(INDEX('Session Tracker'!$G$5:$G$149,MATCH(SMALL('Session Tracker'!$M$5:$M$149,$A10),'Session Tracker'!$M$5:$M$149,0)),""),{"Mon","Tue","Wed","Thu","Fri"},0)-1,"dd-mmm"))))</f>
        <v/>
      </c>
      <c r="C10" s="16" t="str">
        <f aca="false">IF($A10="","",IFERROR(INDEX('Session Tracker'!$E$5:$E$149,MATCH(SMALL('Session Tracker'!$M$5:$M$149,$A10),'Session Tracker'!$M$5:$M$149,0)),""))</f>
        <v/>
      </c>
      <c r="D10" s="15" t="str">
        <f aca="false">IF($A10="","",IFERROR(INDEX('Session Tracker'!$D$5:$D$149,MATCH(SMALL('Session Tracker'!$M$5:$M$149,$A10),'Session Tracker'!$M$5:$M$149,0)),""))</f>
        <v/>
      </c>
      <c r="E10" s="17" t="str">
        <f aca="false">IF($A10="","",IFERROR(INDEX('Session Tracker'!$H$5:$H$149,MATCH(SMALL('Session Tracker'!$M$5:$M$149,$A10),'Session Tracker'!$M$5:$M$149,0)),"")&amp;"")</f>
        <v/>
      </c>
      <c r="F10" s="17"/>
      <c r="G10" s="18" t="str">
        <f aca="false">IF($A10="","",IFERROR(INDEX('Session Tracker'!$A$5:$A$149,MATCH(SMALL('Session Tracker'!$M$5:$M$149,$A10),'Session Tracker'!$M$5:$M$149,0)),""))</f>
        <v/>
      </c>
      <c r="H10" s="18"/>
      <c r="I10" s="18"/>
      <c r="J10" s="15" t="str">
        <f aca="false">IF($A10="","",IFERROR(INDEX('Session Tracker'!$J$5:$J$149,MATCH(SMALL('Session Tracker'!$M$5:$M$149,$A10),'Session Tracker'!$M$5:$M$149,0)),""))</f>
        <v/>
      </c>
      <c r="K10" s="17" t="str">
        <f aca="false">IF($A10="","",IFERROR(INDEX('Session Tracker'!$I$5:$I$149,MATCH(SMALL('Session Tracker'!$M$5:$M$149,$A10),'Session Tracker'!$M$5:$M$149,0)),"")&amp;"")</f>
        <v/>
      </c>
      <c r="L10" s="17"/>
      <c r="M10" s="17"/>
      <c r="N10" s="17"/>
    </row>
    <row r="11" customFormat="false" ht="15" hidden="false" customHeight="false" outlineLevel="0" collapsed="false">
      <c r="A11" s="15" t="str">
        <f aca="false">IF(4&lt;=COUNT('Session Tracker'!$M$5:$M$149),4,"")</f>
        <v/>
      </c>
      <c r="B11" s="15" t="str">
        <f aca="false">IF($A11="","",IF(IFERROR(INDEX('Session Tracker'!$G$5:$G$149,MATCH(SMALL('Session Tracker'!$M$5:$M$149,$A11),'Session Tracker'!$M$5:$M$149,0)),"")="","Day not set",IFERROR(INDEX('Session Tracker'!$G$5:$G$149,MATCH(SMALL('Session Tracker'!$M$5:$M$149,$A11),'Session Tracker'!$M$5:$M$149,0)),"")&amp;IF($C$3="",""," "&amp;TEXT($C$3+MATCH(IFERROR(INDEX('Session Tracker'!$G$5:$G$149,MATCH(SMALL('Session Tracker'!$M$5:$M$149,$A11),'Session Tracker'!$M$5:$M$149,0)),""),{"Mon","Tue","Wed","Thu","Fri"},0)-1,"dd-mmm"))))</f>
        <v/>
      </c>
      <c r="C11" s="16" t="str">
        <f aca="false">IF($A11="","",IFERROR(INDEX('Session Tracker'!$E$5:$E$149,MATCH(SMALL('Session Tracker'!$M$5:$M$149,$A11),'Session Tracker'!$M$5:$M$149,0)),""))</f>
        <v/>
      </c>
      <c r="D11" s="15" t="str">
        <f aca="false">IF($A11="","",IFERROR(INDEX('Session Tracker'!$D$5:$D$149,MATCH(SMALL('Session Tracker'!$M$5:$M$149,$A11),'Session Tracker'!$M$5:$M$149,0)),""))</f>
        <v/>
      </c>
      <c r="E11" s="17" t="str">
        <f aca="false">IF($A11="","",IFERROR(INDEX('Session Tracker'!$H$5:$H$149,MATCH(SMALL('Session Tracker'!$M$5:$M$149,$A11),'Session Tracker'!$M$5:$M$149,0)),"")&amp;"")</f>
        <v/>
      </c>
      <c r="F11" s="17"/>
      <c r="G11" s="18" t="str">
        <f aca="false">IF($A11="","",IFERROR(INDEX('Session Tracker'!$A$5:$A$149,MATCH(SMALL('Session Tracker'!$M$5:$M$149,$A11),'Session Tracker'!$M$5:$M$149,0)),""))</f>
        <v/>
      </c>
      <c r="H11" s="18"/>
      <c r="I11" s="18"/>
      <c r="J11" s="15" t="str">
        <f aca="false">IF($A11="","",IFERROR(INDEX('Session Tracker'!$J$5:$J$149,MATCH(SMALL('Session Tracker'!$M$5:$M$149,$A11),'Session Tracker'!$M$5:$M$149,0)),""))</f>
        <v/>
      </c>
      <c r="K11" s="17" t="str">
        <f aca="false">IF($A11="","",IFERROR(INDEX('Session Tracker'!$I$5:$I$149,MATCH(SMALL('Session Tracker'!$M$5:$M$149,$A11),'Session Tracker'!$M$5:$M$149,0)),"")&amp;"")</f>
        <v/>
      </c>
      <c r="L11" s="17"/>
      <c r="M11" s="17"/>
      <c r="N11" s="17"/>
    </row>
    <row r="12" customFormat="false" ht="15" hidden="false" customHeight="false" outlineLevel="0" collapsed="false">
      <c r="A12" s="15" t="str">
        <f aca="false">IF(5&lt;=COUNT('Session Tracker'!$M$5:$M$149),5,"")</f>
        <v/>
      </c>
      <c r="B12" s="15" t="str">
        <f aca="false">IF($A12="","",IF(IFERROR(INDEX('Session Tracker'!$G$5:$G$149,MATCH(SMALL('Session Tracker'!$M$5:$M$149,$A12),'Session Tracker'!$M$5:$M$149,0)),"")="","Day not set",IFERROR(INDEX('Session Tracker'!$G$5:$G$149,MATCH(SMALL('Session Tracker'!$M$5:$M$149,$A12),'Session Tracker'!$M$5:$M$149,0)),"")&amp;IF($C$3="",""," "&amp;TEXT($C$3+MATCH(IFERROR(INDEX('Session Tracker'!$G$5:$G$149,MATCH(SMALL('Session Tracker'!$M$5:$M$149,$A12),'Session Tracker'!$M$5:$M$149,0)),""),{"Mon","Tue","Wed","Thu","Fri"},0)-1,"dd-mmm"))))</f>
        <v/>
      </c>
      <c r="C12" s="16" t="str">
        <f aca="false">IF($A12="","",IFERROR(INDEX('Session Tracker'!$E$5:$E$149,MATCH(SMALL('Session Tracker'!$M$5:$M$149,$A12),'Session Tracker'!$M$5:$M$149,0)),""))</f>
        <v/>
      </c>
      <c r="D12" s="15" t="str">
        <f aca="false">IF($A12="","",IFERROR(INDEX('Session Tracker'!$D$5:$D$149,MATCH(SMALL('Session Tracker'!$M$5:$M$149,$A12),'Session Tracker'!$M$5:$M$149,0)),""))</f>
        <v/>
      </c>
      <c r="E12" s="17" t="str">
        <f aca="false">IF($A12="","",IFERROR(INDEX('Session Tracker'!$H$5:$H$149,MATCH(SMALL('Session Tracker'!$M$5:$M$149,$A12),'Session Tracker'!$M$5:$M$149,0)),"")&amp;"")</f>
        <v/>
      </c>
      <c r="F12" s="17"/>
      <c r="G12" s="18" t="str">
        <f aca="false">IF($A12="","",IFERROR(INDEX('Session Tracker'!$A$5:$A$149,MATCH(SMALL('Session Tracker'!$M$5:$M$149,$A12),'Session Tracker'!$M$5:$M$149,0)),""))</f>
        <v/>
      </c>
      <c r="H12" s="18"/>
      <c r="I12" s="18"/>
      <c r="J12" s="15" t="str">
        <f aca="false">IF($A12="","",IFERROR(INDEX('Session Tracker'!$J$5:$J$149,MATCH(SMALL('Session Tracker'!$M$5:$M$149,$A12),'Session Tracker'!$M$5:$M$149,0)),""))</f>
        <v/>
      </c>
      <c r="K12" s="17" t="str">
        <f aca="false">IF($A12="","",IFERROR(INDEX('Session Tracker'!$I$5:$I$149,MATCH(SMALL('Session Tracker'!$M$5:$M$149,$A12),'Session Tracker'!$M$5:$M$149,0)),"")&amp;"")</f>
        <v/>
      </c>
      <c r="L12" s="17"/>
      <c r="M12" s="17"/>
      <c r="N12" s="17"/>
    </row>
    <row r="13" customFormat="false" ht="15" hidden="false" customHeight="false" outlineLevel="0" collapsed="false">
      <c r="A13" s="15" t="str">
        <f aca="false">IF(6&lt;=COUNT('Session Tracker'!$M$5:$M$149),6,"")</f>
        <v/>
      </c>
      <c r="B13" s="15" t="str">
        <f aca="false">IF($A13="","",IF(IFERROR(INDEX('Session Tracker'!$G$5:$G$149,MATCH(SMALL('Session Tracker'!$M$5:$M$149,$A13),'Session Tracker'!$M$5:$M$149,0)),"")="","Day not set",IFERROR(INDEX('Session Tracker'!$G$5:$G$149,MATCH(SMALL('Session Tracker'!$M$5:$M$149,$A13),'Session Tracker'!$M$5:$M$149,0)),"")&amp;IF($C$3="",""," "&amp;TEXT($C$3+MATCH(IFERROR(INDEX('Session Tracker'!$G$5:$G$149,MATCH(SMALL('Session Tracker'!$M$5:$M$149,$A13),'Session Tracker'!$M$5:$M$149,0)),""),{"Mon","Tue","Wed","Thu","Fri"},0)-1,"dd-mmm"))))</f>
        <v/>
      </c>
      <c r="C13" s="16" t="str">
        <f aca="false">IF($A13="","",IFERROR(INDEX('Session Tracker'!$E$5:$E$149,MATCH(SMALL('Session Tracker'!$M$5:$M$149,$A13),'Session Tracker'!$M$5:$M$149,0)),""))</f>
        <v/>
      </c>
      <c r="D13" s="15" t="str">
        <f aca="false">IF($A13="","",IFERROR(INDEX('Session Tracker'!$D$5:$D$149,MATCH(SMALL('Session Tracker'!$M$5:$M$149,$A13),'Session Tracker'!$M$5:$M$149,0)),""))</f>
        <v/>
      </c>
      <c r="E13" s="17" t="str">
        <f aca="false">IF($A13="","",IFERROR(INDEX('Session Tracker'!$H$5:$H$149,MATCH(SMALL('Session Tracker'!$M$5:$M$149,$A13),'Session Tracker'!$M$5:$M$149,0)),"")&amp;"")</f>
        <v/>
      </c>
      <c r="F13" s="17"/>
      <c r="G13" s="18" t="str">
        <f aca="false">IF($A13="","",IFERROR(INDEX('Session Tracker'!$A$5:$A$149,MATCH(SMALL('Session Tracker'!$M$5:$M$149,$A13),'Session Tracker'!$M$5:$M$149,0)),""))</f>
        <v/>
      </c>
      <c r="H13" s="18"/>
      <c r="I13" s="18"/>
      <c r="J13" s="15" t="str">
        <f aca="false">IF($A13="","",IFERROR(INDEX('Session Tracker'!$J$5:$J$149,MATCH(SMALL('Session Tracker'!$M$5:$M$149,$A13),'Session Tracker'!$M$5:$M$149,0)),""))</f>
        <v/>
      </c>
      <c r="K13" s="17" t="str">
        <f aca="false">IF($A13="","",IFERROR(INDEX('Session Tracker'!$I$5:$I$149,MATCH(SMALL('Session Tracker'!$M$5:$M$149,$A13),'Session Tracker'!$M$5:$M$149,0)),"")&amp;"")</f>
        <v/>
      </c>
      <c r="L13" s="17"/>
      <c r="M13" s="17"/>
      <c r="N13" s="17"/>
    </row>
    <row r="14" customFormat="false" ht="15" hidden="false" customHeight="false" outlineLevel="0" collapsed="false">
      <c r="A14" s="15" t="str">
        <f aca="false">IF(7&lt;=COUNT('Session Tracker'!$M$5:$M$149),7,"")</f>
        <v/>
      </c>
      <c r="B14" s="15" t="str">
        <f aca="false">IF($A14="","",IF(IFERROR(INDEX('Session Tracker'!$G$5:$G$149,MATCH(SMALL('Session Tracker'!$M$5:$M$149,$A14),'Session Tracker'!$M$5:$M$149,0)),"")="","Day not set",IFERROR(INDEX('Session Tracker'!$G$5:$G$149,MATCH(SMALL('Session Tracker'!$M$5:$M$149,$A14),'Session Tracker'!$M$5:$M$149,0)),"")&amp;IF($C$3="",""," "&amp;TEXT($C$3+MATCH(IFERROR(INDEX('Session Tracker'!$G$5:$G$149,MATCH(SMALL('Session Tracker'!$M$5:$M$149,$A14),'Session Tracker'!$M$5:$M$149,0)),""),{"Mon","Tue","Wed","Thu","Fri"},0)-1,"dd-mmm"))))</f>
        <v/>
      </c>
      <c r="C14" s="16" t="str">
        <f aca="false">IF($A14="","",IFERROR(INDEX('Session Tracker'!$E$5:$E$149,MATCH(SMALL('Session Tracker'!$M$5:$M$149,$A14),'Session Tracker'!$M$5:$M$149,0)),""))</f>
        <v/>
      </c>
      <c r="D14" s="15" t="str">
        <f aca="false">IF($A14="","",IFERROR(INDEX('Session Tracker'!$D$5:$D$149,MATCH(SMALL('Session Tracker'!$M$5:$M$149,$A14),'Session Tracker'!$M$5:$M$149,0)),""))</f>
        <v/>
      </c>
      <c r="E14" s="17" t="str">
        <f aca="false">IF($A14="","",IFERROR(INDEX('Session Tracker'!$H$5:$H$149,MATCH(SMALL('Session Tracker'!$M$5:$M$149,$A14),'Session Tracker'!$M$5:$M$149,0)),"")&amp;"")</f>
        <v/>
      </c>
      <c r="F14" s="17"/>
      <c r="G14" s="18" t="str">
        <f aca="false">IF($A14="","",IFERROR(INDEX('Session Tracker'!$A$5:$A$149,MATCH(SMALL('Session Tracker'!$M$5:$M$149,$A14),'Session Tracker'!$M$5:$M$149,0)),""))</f>
        <v/>
      </c>
      <c r="H14" s="18"/>
      <c r="I14" s="18"/>
      <c r="J14" s="15" t="str">
        <f aca="false">IF($A14="","",IFERROR(INDEX('Session Tracker'!$J$5:$J$149,MATCH(SMALL('Session Tracker'!$M$5:$M$149,$A14),'Session Tracker'!$M$5:$M$149,0)),""))</f>
        <v/>
      </c>
      <c r="K14" s="17" t="str">
        <f aca="false">IF($A14="","",IFERROR(INDEX('Session Tracker'!$I$5:$I$149,MATCH(SMALL('Session Tracker'!$M$5:$M$149,$A14),'Session Tracker'!$M$5:$M$149,0)),"")&amp;"")</f>
        <v/>
      </c>
      <c r="L14" s="17"/>
      <c r="M14" s="17"/>
      <c r="N14" s="17"/>
    </row>
    <row r="15" customFormat="false" ht="15" hidden="false" customHeight="false" outlineLevel="0" collapsed="false">
      <c r="A15" s="15" t="str">
        <f aca="false">IF(8&lt;=COUNT('Session Tracker'!$M$5:$M$149),8,"")</f>
        <v/>
      </c>
      <c r="B15" s="15" t="str">
        <f aca="false">IF($A15="","",IF(IFERROR(INDEX('Session Tracker'!$G$5:$G$149,MATCH(SMALL('Session Tracker'!$M$5:$M$149,$A15),'Session Tracker'!$M$5:$M$149,0)),"")="","Day not set",IFERROR(INDEX('Session Tracker'!$G$5:$G$149,MATCH(SMALL('Session Tracker'!$M$5:$M$149,$A15),'Session Tracker'!$M$5:$M$149,0)),"")&amp;IF($C$3="",""," "&amp;TEXT($C$3+MATCH(IFERROR(INDEX('Session Tracker'!$G$5:$G$149,MATCH(SMALL('Session Tracker'!$M$5:$M$149,$A15),'Session Tracker'!$M$5:$M$149,0)),""),{"Mon","Tue","Wed","Thu","Fri"},0)-1,"dd-mmm"))))</f>
        <v/>
      </c>
      <c r="C15" s="16" t="str">
        <f aca="false">IF($A15="","",IFERROR(INDEX('Session Tracker'!$E$5:$E$149,MATCH(SMALL('Session Tracker'!$M$5:$M$149,$A15),'Session Tracker'!$M$5:$M$149,0)),""))</f>
        <v/>
      </c>
      <c r="D15" s="15" t="str">
        <f aca="false">IF($A15="","",IFERROR(INDEX('Session Tracker'!$D$5:$D$149,MATCH(SMALL('Session Tracker'!$M$5:$M$149,$A15),'Session Tracker'!$M$5:$M$149,0)),""))</f>
        <v/>
      </c>
      <c r="E15" s="17" t="str">
        <f aca="false">IF($A15="","",IFERROR(INDEX('Session Tracker'!$H$5:$H$149,MATCH(SMALL('Session Tracker'!$M$5:$M$149,$A15),'Session Tracker'!$M$5:$M$149,0)),"")&amp;"")</f>
        <v/>
      </c>
      <c r="F15" s="17"/>
      <c r="G15" s="18" t="str">
        <f aca="false">IF($A15="","",IFERROR(INDEX('Session Tracker'!$A$5:$A$149,MATCH(SMALL('Session Tracker'!$M$5:$M$149,$A15),'Session Tracker'!$M$5:$M$149,0)),""))</f>
        <v/>
      </c>
      <c r="H15" s="18"/>
      <c r="I15" s="18"/>
      <c r="J15" s="15" t="str">
        <f aca="false">IF($A15="","",IFERROR(INDEX('Session Tracker'!$J$5:$J$149,MATCH(SMALL('Session Tracker'!$M$5:$M$149,$A15),'Session Tracker'!$M$5:$M$149,0)),""))</f>
        <v/>
      </c>
      <c r="K15" s="17" t="str">
        <f aca="false">IF($A15="","",IFERROR(INDEX('Session Tracker'!$I$5:$I$149,MATCH(SMALL('Session Tracker'!$M$5:$M$149,$A15),'Session Tracker'!$M$5:$M$149,0)),"")&amp;"")</f>
        <v/>
      </c>
      <c r="L15" s="17"/>
      <c r="M15" s="17"/>
      <c r="N15" s="17"/>
    </row>
    <row r="16" customFormat="false" ht="15" hidden="false" customHeight="false" outlineLevel="0" collapsed="false">
      <c r="A16" s="15" t="str">
        <f aca="false">IF(9&lt;=COUNT('Session Tracker'!$M$5:$M$149),9,"")</f>
        <v/>
      </c>
      <c r="B16" s="15" t="str">
        <f aca="false">IF($A16="","",IF(IFERROR(INDEX('Session Tracker'!$G$5:$G$149,MATCH(SMALL('Session Tracker'!$M$5:$M$149,$A16),'Session Tracker'!$M$5:$M$149,0)),"")="","Day not set",IFERROR(INDEX('Session Tracker'!$G$5:$G$149,MATCH(SMALL('Session Tracker'!$M$5:$M$149,$A16),'Session Tracker'!$M$5:$M$149,0)),"")&amp;IF($C$3="",""," "&amp;TEXT($C$3+MATCH(IFERROR(INDEX('Session Tracker'!$G$5:$G$149,MATCH(SMALL('Session Tracker'!$M$5:$M$149,$A16),'Session Tracker'!$M$5:$M$149,0)),""),{"Mon","Tue","Wed","Thu","Fri"},0)-1,"dd-mmm"))))</f>
        <v/>
      </c>
      <c r="C16" s="16" t="str">
        <f aca="false">IF($A16="","",IFERROR(INDEX('Session Tracker'!$E$5:$E$149,MATCH(SMALL('Session Tracker'!$M$5:$M$149,$A16),'Session Tracker'!$M$5:$M$149,0)),""))</f>
        <v/>
      </c>
      <c r="D16" s="15" t="str">
        <f aca="false">IF($A16="","",IFERROR(INDEX('Session Tracker'!$D$5:$D$149,MATCH(SMALL('Session Tracker'!$M$5:$M$149,$A16),'Session Tracker'!$M$5:$M$149,0)),""))</f>
        <v/>
      </c>
      <c r="E16" s="17" t="str">
        <f aca="false">IF($A16="","",IFERROR(INDEX('Session Tracker'!$H$5:$H$149,MATCH(SMALL('Session Tracker'!$M$5:$M$149,$A16),'Session Tracker'!$M$5:$M$149,0)),"")&amp;"")</f>
        <v/>
      </c>
      <c r="F16" s="17"/>
      <c r="G16" s="18" t="str">
        <f aca="false">IF($A16="","",IFERROR(INDEX('Session Tracker'!$A$5:$A$149,MATCH(SMALL('Session Tracker'!$M$5:$M$149,$A16),'Session Tracker'!$M$5:$M$149,0)),""))</f>
        <v/>
      </c>
      <c r="H16" s="18"/>
      <c r="I16" s="18"/>
      <c r="J16" s="15" t="str">
        <f aca="false">IF($A16="","",IFERROR(INDEX('Session Tracker'!$J$5:$J$149,MATCH(SMALL('Session Tracker'!$M$5:$M$149,$A16),'Session Tracker'!$M$5:$M$149,0)),""))</f>
        <v/>
      </c>
      <c r="K16" s="17" t="str">
        <f aca="false">IF($A16="","",IFERROR(INDEX('Session Tracker'!$I$5:$I$149,MATCH(SMALL('Session Tracker'!$M$5:$M$149,$A16),'Session Tracker'!$M$5:$M$149,0)),"")&amp;"")</f>
        <v/>
      </c>
      <c r="L16" s="17"/>
      <c r="M16" s="17"/>
      <c r="N16" s="17"/>
    </row>
    <row r="17" customFormat="false" ht="15" hidden="false" customHeight="false" outlineLevel="0" collapsed="false">
      <c r="A17" s="15" t="str">
        <f aca="false">IF(10&lt;=COUNT('Session Tracker'!$M$5:$M$149),10,"")</f>
        <v/>
      </c>
      <c r="B17" s="15" t="str">
        <f aca="false">IF($A17="","",IF(IFERROR(INDEX('Session Tracker'!$G$5:$G$149,MATCH(SMALL('Session Tracker'!$M$5:$M$149,$A17),'Session Tracker'!$M$5:$M$149,0)),"")="","Day not set",IFERROR(INDEX('Session Tracker'!$G$5:$G$149,MATCH(SMALL('Session Tracker'!$M$5:$M$149,$A17),'Session Tracker'!$M$5:$M$149,0)),"")&amp;IF($C$3="",""," "&amp;TEXT($C$3+MATCH(IFERROR(INDEX('Session Tracker'!$G$5:$G$149,MATCH(SMALL('Session Tracker'!$M$5:$M$149,$A17),'Session Tracker'!$M$5:$M$149,0)),""),{"Mon","Tue","Wed","Thu","Fri"},0)-1,"dd-mmm"))))</f>
        <v/>
      </c>
      <c r="C17" s="16" t="str">
        <f aca="false">IF($A17="","",IFERROR(INDEX('Session Tracker'!$E$5:$E$149,MATCH(SMALL('Session Tracker'!$M$5:$M$149,$A17),'Session Tracker'!$M$5:$M$149,0)),""))</f>
        <v/>
      </c>
      <c r="D17" s="15" t="str">
        <f aca="false">IF($A17="","",IFERROR(INDEX('Session Tracker'!$D$5:$D$149,MATCH(SMALL('Session Tracker'!$M$5:$M$149,$A17),'Session Tracker'!$M$5:$M$149,0)),""))</f>
        <v/>
      </c>
      <c r="E17" s="17" t="str">
        <f aca="false">IF($A17="","",IFERROR(INDEX('Session Tracker'!$H$5:$H$149,MATCH(SMALL('Session Tracker'!$M$5:$M$149,$A17),'Session Tracker'!$M$5:$M$149,0)),"")&amp;"")</f>
        <v/>
      </c>
      <c r="F17" s="17"/>
      <c r="G17" s="18" t="str">
        <f aca="false">IF($A17="","",IFERROR(INDEX('Session Tracker'!$A$5:$A$149,MATCH(SMALL('Session Tracker'!$M$5:$M$149,$A17),'Session Tracker'!$M$5:$M$149,0)),""))</f>
        <v/>
      </c>
      <c r="H17" s="18"/>
      <c r="I17" s="18"/>
      <c r="J17" s="15" t="str">
        <f aca="false">IF($A17="","",IFERROR(INDEX('Session Tracker'!$J$5:$J$149,MATCH(SMALL('Session Tracker'!$M$5:$M$149,$A17),'Session Tracker'!$M$5:$M$149,0)),""))</f>
        <v/>
      </c>
      <c r="K17" s="17" t="str">
        <f aca="false">IF($A17="","",IFERROR(INDEX('Session Tracker'!$I$5:$I$149,MATCH(SMALL('Session Tracker'!$M$5:$M$149,$A17),'Session Tracker'!$M$5:$M$149,0)),"")&amp;"")</f>
        <v/>
      </c>
      <c r="L17" s="17"/>
      <c r="M17" s="17"/>
      <c r="N17" s="17"/>
    </row>
    <row r="18" customFormat="false" ht="15" hidden="false" customHeight="false" outlineLevel="0" collapsed="false">
      <c r="A18" s="15" t="str">
        <f aca="false">IF(11&lt;=COUNT('Session Tracker'!$M$5:$M$149),11,"")</f>
        <v/>
      </c>
      <c r="B18" s="15" t="str">
        <f aca="false">IF($A18="","",IF(IFERROR(INDEX('Session Tracker'!$G$5:$G$149,MATCH(SMALL('Session Tracker'!$M$5:$M$149,$A18),'Session Tracker'!$M$5:$M$149,0)),"")="","Day not set",IFERROR(INDEX('Session Tracker'!$G$5:$G$149,MATCH(SMALL('Session Tracker'!$M$5:$M$149,$A18),'Session Tracker'!$M$5:$M$149,0)),"")&amp;IF($C$3="",""," "&amp;TEXT($C$3+MATCH(IFERROR(INDEX('Session Tracker'!$G$5:$G$149,MATCH(SMALL('Session Tracker'!$M$5:$M$149,$A18),'Session Tracker'!$M$5:$M$149,0)),""),{"Mon","Tue","Wed","Thu","Fri"},0)-1,"dd-mmm"))))</f>
        <v/>
      </c>
      <c r="C18" s="16" t="str">
        <f aca="false">IF($A18="","",IFERROR(INDEX('Session Tracker'!$E$5:$E$149,MATCH(SMALL('Session Tracker'!$M$5:$M$149,$A18),'Session Tracker'!$M$5:$M$149,0)),""))</f>
        <v/>
      </c>
      <c r="D18" s="15" t="str">
        <f aca="false">IF($A18="","",IFERROR(INDEX('Session Tracker'!$D$5:$D$149,MATCH(SMALL('Session Tracker'!$M$5:$M$149,$A18),'Session Tracker'!$M$5:$M$149,0)),""))</f>
        <v/>
      </c>
      <c r="E18" s="17" t="str">
        <f aca="false">IF($A18="","",IFERROR(INDEX('Session Tracker'!$H$5:$H$149,MATCH(SMALL('Session Tracker'!$M$5:$M$149,$A18),'Session Tracker'!$M$5:$M$149,0)),"")&amp;"")</f>
        <v/>
      </c>
      <c r="F18" s="17"/>
      <c r="G18" s="18" t="str">
        <f aca="false">IF($A18="","",IFERROR(INDEX('Session Tracker'!$A$5:$A$149,MATCH(SMALL('Session Tracker'!$M$5:$M$149,$A18),'Session Tracker'!$M$5:$M$149,0)),""))</f>
        <v/>
      </c>
      <c r="H18" s="18"/>
      <c r="I18" s="18"/>
      <c r="J18" s="15" t="str">
        <f aca="false">IF($A18="","",IFERROR(INDEX('Session Tracker'!$J$5:$J$149,MATCH(SMALL('Session Tracker'!$M$5:$M$149,$A18),'Session Tracker'!$M$5:$M$149,0)),""))</f>
        <v/>
      </c>
      <c r="K18" s="17" t="str">
        <f aca="false">IF($A18="","",IFERROR(INDEX('Session Tracker'!$I$5:$I$149,MATCH(SMALL('Session Tracker'!$M$5:$M$149,$A18),'Session Tracker'!$M$5:$M$149,0)),"")&amp;"")</f>
        <v/>
      </c>
      <c r="L18" s="17"/>
      <c r="M18" s="17"/>
      <c r="N18" s="17"/>
    </row>
    <row r="19" customFormat="false" ht="15" hidden="false" customHeight="false" outlineLevel="0" collapsed="false">
      <c r="A19" s="15" t="str">
        <f aca="false">IF(12&lt;=COUNT('Session Tracker'!$M$5:$M$149),12,"")</f>
        <v/>
      </c>
      <c r="B19" s="15" t="str">
        <f aca="false">IF($A19="","",IF(IFERROR(INDEX('Session Tracker'!$G$5:$G$149,MATCH(SMALL('Session Tracker'!$M$5:$M$149,$A19),'Session Tracker'!$M$5:$M$149,0)),"")="","Day not set",IFERROR(INDEX('Session Tracker'!$G$5:$G$149,MATCH(SMALL('Session Tracker'!$M$5:$M$149,$A19),'Session Tracker'!$M$5:$M$149,0)),"")&amp;IF($C$3="",""," "&amp;TEXT($C$3+MATCH(IFERROR(INDEX('Session Tracker'!$G$5:$G$149,MATCH(SMALL('Session Tracker'!$M$5:$M$149,$A19),'Session Tracker'!$M$5:$M$149,0)),""),{"Mon","Tue","Wed","Thu","Fri"},0)-1,"dd-mmm"))))</f>
        <v/>
      </c>
      <c r="C19" s="16" t="str">
        <f aca="false">IF($A19="","",IFERROR(INDEX('Session Tracker'!$E$5:$E$149,MATCH(SMALL('Session Tracker'!$M$5:$M$149,$A19),'Session Tracker'!$M$5:$M$149,0)),""))</f>
        <v/>
      </c>
      <c r="D19" s="15" t="str">
        <f aca="false">IF($A19="","",IFERROR(INDEX('Session Tracker'!$D$5:$D$149,MATCH(SMALL('Session Tracker'!$M$5:$M$149,$A19),'Session Tracker'!$M$5:$M$149,0)),""))</f>
        <v/>
      </c>
      <c r="E19" s="17" t="str">
        <f aca="false">IF($A19="","",IFERROR(INDEX('Session Tracker'!$H$5:$H$149,MATCH(SMALL('Session Tracker'!$M$5:$M$149,$A19),'Session Tracker'!$M$5:$M$149,0)),"")&amp;"")</f>
        <v/>
      </c>
      <c r="F19" s="17"/>
      <c r="G19" s="18" t="str">
        <f aca="false">IF($A19="","",IFERROR(INDEX('Session Tracker'!$A$5:$A$149,MATCH(SMALL('Session Tracker'!$M$5:$M$149,$A19),'Session Tracker'!$M$5:$M$149,0)),""))</f>
        <v/>
      </c>
      <c r="H19" s="18"/>
      <c r="I19" s="18"/>
      <c r="J19" s="15" t="str">
        <f aca="false">IF($A19="","",IFERROR(INDEX('Session Tracker'!$J$5:$J$149,MATCH(SMALL('Session Tracker'!$M$5:$M$149,$A19),'Session Tracker'!$M$5:$M$149,0)),""))</f>
        <v/>
      </c>
      <c r="K19" s="17" t="str">
        <f aca="false">IF($A19="","",IFERROR(INDEX('Session Tracker'!$I$5:$I$149,MATCH(SMALL('Session Tracker'!$M$5:$M$149,$A19),'Session Tracker'!$M$5:$M$149,0)),"")&amp;"")</f>
        <v/>
      </c>
      <c r="L19" s="17"/>
      <c r="M19" s="17"/>
      <c r="N19" s="17"/>
    </row>
    <row r="21" customFormat="false" ht="15" hidden="false" customHeight="false" outlineLevel="0" collapsed="false">
      <c r="A21" s="3" t="s">
        <v>50</v>
      </c>
      <c r="E21" s="19" t="s">
        <v>51</v>
      </c>
    </row>
    <row r="22" customFormat="false" ht="19.5" hidden="false" customHeight="true" outlineLevel="0" collapsed="false">
      <c r="A22" s="14"/>
      <c r="B22" s="14" t="s">
        <v>52</v>
      </c>
      <c r="C22" s="14" t="s">
        <v>53</v>
      </c>
      <c r="D22" s="14" t="s">
        <v>54</v>
      </c>
      <c r="E22" s="14" t="s">
        <v>55</v>
      </c>
      <c r="F22" s="14"/>
      <c r="G22" s="14"/>
      <c r="H22" s="14"/>
      <c r="I22" s="14"/>
      <c r="J22" s="14"/>
      <c r="K22" s="14" t="s">
        <v>56</v>
      </c>
      <c r="L22" s="14" t="s">
        <v>57</v>
      </c>
      <c r="M22" s="14" t="s">
        <v>58</v>
      </c>
      <c r="N22" s="14"/>
    </row>
    <row r="23" customFormat="false" ht="15" hidden="false" customHeight="false" outlineLevel="0" collapsed="false">
      <c r="A23" s="15"/>
      <c r="B23" s="20" t="str">
        <f aca="false">IF($O23="","",IF($O23=0,INDEX(DayLines!$D$3:$D$608,MATCH(SMALL(DayLines!$C$3:$C$608,1),DayLines!$C$3:$C$608,0)),IF($O23=999,"",INDEX(DayLines!$E$3:$E$608,MATCH(SMALL(DayLines!$C$3:$C$608,1),DayLines!$C$3:$C$608,0)))))</f>
        <v/>
      </c>
      <c r="C23" s="16" t="str">
        <f aca="false">IF($O23="","",IF($O23=0,INDEX(DayLines!$E$3:$E$608,MATCH(SMALL(DayLines!$C$3:$C$608,1),DayLines!$C$3:$C$608,0)),IF($O23=999,"",INDEX(DayLines!$D$3:$D$608,MATCH(SMALL(DayLines!$C$3:$C$608,1),DayLines!$C$3:$C$608,0)))))</f>
        <v/>
      </c>
      <c r="D23" s="15" t="str">
        <f aca="false">IF(OR($O23="",$O23=0,$O23=999),"",INDEX(DayLines!$F$3:$F$608,MATCH(SMALL(DayLines!$C$3:$C$608,1),DayLines!$C$3:$C$608,0)))</f>
        <v/>
      </c>
      <c r="E23" s="21" t="str">
        <f aca="false">IF(OR($O23="",$O23=0,$O23=999),"",INDEX(DayLines!$G$3:$G$608,MATCH(SMALL(DayLines!$C$3:$C$608,1),DayLines!$C$3:$C$608,0)))</f>
        <v/>
      </c>
      <c r="F23" s="15"/>
      <c r="G23" s="15"/>
      <c r="H23" s="15"/>
      <c r="I23" s="15"/>
      <c r="J23" s="15"/>
      <c r="K23" s="15"/>
      <c r="L23" s="15"/>
      <c r="M23" s="15"/>
      <c r="N23" s="15"/>
      <c r="O23" s="22" t="str">
        <f aca="false">IFERROR(MOD(SMALL(DayLines!$C$3:$C$608,1),1000),"")</f>
        <v/>
      </c>
    </row>
    <row r="24" customFormat="false" ht="15" hidden="false" customHeight="false" outlineLevel="0" collapsed="false">
      <c r="A24" s="15"/>
      <c r="B24" s="20" t="str">
        <f aca="false">IF($O24="","",IF($O24=0,INDEX(DayLines!$D$3:$D$608,MATCH(SMALL(DayLines!$C$3:$C$608,2),DayLines!$C$3:$C$608,0)),IF($O24=999,"",INDEX(DayLines!$E$3:$E$608,MATCH(SMALL(DayLines!$C$3:$C$608,2),DayLines!$C$3:$C$608,0)))))</f>
        <v/>
      </c>
      <c r="C24" s="16" t="str">
        <f aca="false">IF($O24="","",IF($O24=0,INDEX(DayLines!$E$3:$E$608,MATCH(SMALL(DayLines!$C$3:$C$608,2),DayLines!$C$3:$C$608,0)),IF($O24=999,"",INDEX(DayLines!$D$3:$D$608,MATCH(SMALL(DayLines!$C$3:$C$608,2),DayLines!$C$3:$C$608,0)))))</f>
        <v/>
      </c>
      <c r="D24" s="15" t="str">
        <f aca="false">IF(OR($O24="",$O24=0,$O24=999),"",INDEX(DayLines!$F$3:$F$608,MATCH(SMALL(DayLines!$C$3:$C$608,2),DayLines!$C$3:$C$608,0)))</f>
        <v/>
      </c>
      <c r="E24" s="21" t="str">
        <f aca="false">IF(OR($O24="",$O24=0,$O24=999),"",INDEX(DayLines!$G$3:$G$608,MATCH(SMALL(DayLines!$C$3:$C$608,2),DayLines!$C$3:$C$608,0)))</f>
        <v/>
      </c>
      <c r="F24" s="15"/>
      <c r="G24" s="15"/>
      <c r="H24" s="15"/>
      <c r="I24" s="15"/>
      <c r="J24" s="15"/>
      <c r="K24" s="15"/>
      <c r="L24" s="15"/>
      <c r="M24" s="15"/>
      <c r="N24" s="15"/>
      <c r="O24" s="22" t="str">
        <f aca="false">IFERROR(MOD(SMALL(DayLines!$C$3:$C$608,2),1000),"")</f>
        <v/>
      </c>
    </row>
    <row r="25" customFormat="false" ht="15" hidden="false" customHeight="false" outlineLevel="0" collapsed="false">
      <c r="A25" s="15"/>
      <c r="B25" s="20" t="str">
        <f aca="false">IF($O25="","",IF($O25=0,INDEX(DayLines!$D$3:$D$608,MATCH(SMALL(DayLines!$C$3:$C$608,3),DayLines!$C$3:$C$608,0)),IF($O25=999,"",INDEX(DayLines!$E$3:$E$608,MATCH(SMALL(DayLines!$C$3:$C$608,3),DayLines!$C$3:$C$608,0)))))</f>
        <v/>
      </c>
      <c r="C25" s="16" t="str">
        <f aca="false">IF($O25="","",IF($O25=0,INDEX(DayLines!$E$3:$E$608,MATCH(SMALL(DayLines!$C$3:$C$608,3),DayLines!$C$3:$C$608,0)),IF($O25=999,"",INDEX(DayLines!$D$3:$D$608,MATCH(SMALL(DayLines!$C$3:$C$608,3),DayLines!$C$3:$C$608,0)))))</f>
        <v/>
      </c>
      <c r="D25" s="15" t="str">
        <f aca="false">IF(OR($O25="",$O25=0,$O25=999),"",INDEX(DayLines!$F$3:$F$608,MATCH(SMALL(DayLines!$C$3:$C$608,3),DayLines!$C$3:$C$608,0)))</f>
        <v/>
      </c>
      <c r="E25" s="21" t="str">
        <f aca="false">IF(OR($O25="",$O25=0,$O25=999),"",INDEX(DayLines!$G$3:$G$608,MATCH(SMALL(DayLines!$C$3:$C$608,3),DayLines!$C$3:$C$608,0)))</f>
        <v/>
      </c>
      <c r="F25" s="15"/>
      <c r="G25" s="15"/>
      <c r="H25" s="15"/>
      <c r="I25" s="15"/>
      <c r="J25" s="15"/>
      <c r="K25" s="15"/>
      <c r="L25" s="15"/>
      <c r="M25" s="15"/>
      <c r="N25" s="15"/>
      <c r="O25" s="22" t="str">
        <f aca="false">IFERROR(MOD(SMALL(DayLines!$C$3:$C$608,3),1000),"")</f>
        <v/>
      </c>
    </row>
    <row r="26" customFormat="false" ht="15" hidden="false" customHeight="false" outlineLevel="0" collapsed="false">
      <c r="A26" s="15"/>
      <c r="B26" s="20" t="str">
        <f aca="false">IF($O26="","",IF($O26=0,INDEX(DayLines!$D$3:$D$608,MATCH(SMALL(DayLines!$C$3:$C$608,4),DayLines!$C$3:$C$608,0)),IF($O26=999,"",INDEX(DayLines!$E$3:$E$608,MATCH(SMALL(DayLines!$C$3:$C$608,4),DayLines!$C$3:$C$608,0)))))</f>
        <v/>
      </c>
      <c r="C26" s="16" t="str">
        <f aca="false">IF($O26="","",IF($O26=0,INDEX(DayLines!$E$3:$E$608,MATCH(SMALL(DayLines!$C$3:$C$608,4),DayLines!$C$3:$C$608,0)),IF($O26=999,"",INDEX(DayLines!$D$3:$D$608,MATCH(SMALL(DayLines!$C$3:$C$608,4),DayLines!$C$3:$C$608,0)))))</f>
        <v/>
      </c>
      <c r="D26" s="15" t="str">
        <f aca="false">IF(OR($O26="",$O26=0,$O26=999),"",INDEX(DayLines!$F$3:$F$608,MATCH(SMALL(DayLines!$C$3:$C$608,4),DayLines!$C$3:$C$608,0)))</f>
        <v/>
      </c>
      <c r="E26" s="21" t="str">
        <f aca="false">IF(OR($O26="",$O26=0,$O26=999),"",INDEX(DayLines!$G$3:$G$608,MATCH(SMALL(DayLines!$C$3:$C$608,4),DayLines!$C$3:$C$608,0)))</f>
        <v/>
      </c>
      <c r="F26" s="15"/>
      <c r="G26" s="15"/>
      <c r="H26" s="15"/>
      <c r="I26" s="15"/>
      <c r="J26" s="15"/>
      <c r="K26" s="15"/>
      <c r="L26" s="15"/>
      <c r="M26" s="15"/>
      <c r="N26" s="15"/>
      <c r="O26" s="22" t="str">
        <f aca="false">IFERROR(MOD(SMALL(DayLines!$C$3:$C$608,4),1000),"")</f>
        <v/>
      </c>
    </row>
    <row r="27" customFormat="false" ht="15" hidden="false" customHeight="false" outlineLevel="0" collapsed="false">
      <c r="A27" s="15"/>
      <c r="B27" s="20" t="str">
        <f aca="false">IF($O27="","",IF($O27=0,INDEX(DayLines!$D$3:$D$608,MATCH(SMALL(DayLines!$C$3:$C$608,5),DayLines!$C$3:$C$608,0)),IF($O27=999,"",INDEX(DayLines!$E$3:$E$608,MATCH(SMALL(DayLines!$C$3:$C$608,5),DayLines!$C$3:$C$608,0)))))</f>
        <v/>
      </c>
      <c r="C27" s="16" t="str">
        <f aca="false">IF($O27="","",IF($O27=0,INDEX(DayLines!$E$3:$E$608,MATCH(SMALL(DayLines!$C$3:$C$608,5),DayLines!$C$3:$C$608,0)),IF($O27=999,"",INDEX(DayLines!$D$3:$D$608,MATCH(SMALL(DayLines!$C$3:$C$608,5),DayLines!$C$3:$C$608,0)))))</f>
        <v/>
      </c>
      <c r="D27" s="15" t="str">
        <f aca="false">IF(OR($O27="",$O27=0,$O27=999),"",INDEX(DayLines!$F$3:$F$608,MATCH(SMALL(DayLines!$C$3:$C$608,5),DayLines!$C$3:$C$608,0)))</f>
        <v/>
      </c>
      <c r="E27" s="21" t="str">
        <f aca="false">IF(OR($O27="",$O27=0,$O27=999),"",INDEX(DayLines!$G$3:$G$608,MATCH(SMALL(DayLines!$C$3:$C$608,5),DayLines!$C$3:$C$608,0)))</f>
        <v/>
      </c>
      <c r="F27" s="15"/>
      <c r="G27" s="15"/>
      <c r="H27" s="15"/>
      <c r="I27" s="15"/>
      <c r="J27" s="15"/>
      <c r="K27" s="15"/>
      <c r="L27" s="15"/>
      <c r="M27" s="15"/>
      <c r="N27" s="15"/>
      <c r="O27" s="22" t="str">
        <f aca="false">IFERROR(MOD(SMALL(DayLines!$C$3:$C$608,5),1000),"")</f>
        <v/>
      </c>
    </row>
    <row r="28" customFormat="false" ht="15" hidden="false" customHeight="false" outlineLevel="0" collapsed="false">
      <c r="A28" s="15"/>
      <c r="B28" s="20" t="str">
        <f aca="false">IF($O28="","",IF($O28=0,INDEX(DayLines!$D$3:$D$608,MATCH(SMALL(DayLines!$C$3:$C$608,6),DayLines!$C$3:$C$608,0)),IF($O28=999,"",INDEX(DayLines!$E$3:$E$608,MATCH(SMALL(DayLines!$C$3:$C$608,6),DayLines!$C$3:$C$608,0)))))</f>
        <v/>
      </c>
      <c r="C28" s="16" t="str">
        <f aca="false">IF($O28="","",IF($O28=0,INDEX(DayLines!$E$3:$E$608,MATCH(SMALL(DayLines!$C$3:$C$608,6),DayLines!$C$3:$C$608,0)),IF($O28=999,"",INDEX(DayLines!$D$3:$D$608,MATCH(SMALL(DayLines!$C$3:$C$608,6),DayLines!$C$3:$C$608,0)))))</f>
        <v/>
      </c>
      <c r="D28" s="15" t="str">
        <f aca="false">IF(OR($O28="",$O28=0,$O28=999),"",INDEX(DayLines!$F$3:$F$608,MATCH(SMALL(DayLines!$C$3:$C$608,6),DayLines!$C$3:$C$608,0)))</f>
        <v/>
      </c>
      <c r="E28" s="21" t="str">
        <f aca="false">IF(OR($O28="",$O28=0,$O28=999),"",INDEX(DayLines!$G$3:$G$608,MATCH(SMALL(DayLines!$C$3:$C$608,6),DayLines!$C$3:$C$608,0)))</f>
        <v/>
      </c>
      <c r="F28" s="15"/>
      <c r="G28" s="15"/>
      <c r="H28" s="15"/>
      <c r="I28" s="15"/>
      <c r="J28" s="15"/>
      <c r="K28" s="15"/>
      <c r="L28" s="15"/>
      <c r="M28" s="15"/>
      <c r="N28" s="15"/>
      <c r="O28" s="22" t="str">
        <f aca="false">IFERROR(MOD(SMALL(DayLines!$C$3:$C$608,6),1000),"")</f>
        <v/>
      </c>
    </row>
    <row r="29" customFormat="false" ht="15" hidden="false" customHeight="false" outlineLevel="0" collapsed="false">
      <c r="A29" s="15"/>
      <c r="B29" s="20" t="str">
        <f aca="false">IF($O29="","",IF($O29=0,INDEX(DayLines!$D$3:$D$608,MATCH(SMALL(DayLines!$C$3:$C$608,7),DayLines!$C$3:$C$608,0)),IF($O29=999,"",INDEX(DayLines!$E$3:$E$608,MATCH(SMALL(DayLines!$C$3:$C$608,7),DayLines!$C$3:$C$608,0)))))</f>
        <v/>
      </c>
      <c r="C29" s="16" t="str">
        <f aca="false">IF($O29="","",IF($O29=0,INDEX(DayLines!$E$3:$E$608,MATCH(SMALL(DayLines!$C$3:$C$608,7),DayLines!$C$3:$C$608,0)),IF($O29=999,"",INDEX(DayLines!$D$3:$D$608,MATCH(SMALL(DayLines!$C$3:$C$608,7),DayLines!$C$3:$C$608,0)))))</f>
        <v/>
      </c>
      <c r="D29" s="15" t="str">
        <f aca="false">IF(OR($O29="",$O29=0,$O29=999),"",INDEX(DayLines!$F$3:$F$608,MATCH(SMALL(DayLines!$C$3:$C$608,7),DayLines!$C$3:$C$608,0)))</f>
        <v/>
      </c>
      <c r="E29" s="21" t="str">
        <f aca="false">IF(OR($O29="",$O29=0,$O29=999),"",INDEX(DayLines!$G$3:$G$608,MATCH(SMALL(DayLines!$C$3:$C$608,7),DayLines!$C$3:$C$608,0)))</f>
        <v/>
      </c>
      <c r="F29" s="15"/>
      <c r="G29" s="15"/>
      <c r="H29" s="15"/>
      <c r="I29" s="15"/>
      <c r="J29" s="15"/>
      <c r="K29" s="15"/>
      <c r="L29" s="15"/>
      <c r="M29" s="15"/>
      <c r="N29" s="15"/>
      <c r="O29" s="22" t="str">
        <f aca="false">IFERROR(MOD(SMALL(DayLines!$C$3:$C$608,7),1000),"")</f>
        <v/>
      </c>
    </row>
    <row r="30" customFormat="false" ht="15" hidden="false" customHeight="false" outlineLevel="0" collapsed="false">
      <c r="A30" s="15"/>
      <c r="B30" s="20" t="str">
        <f aca="false">IF($O30="","",IF($O30=0,INDEX(DayLines!$D$3:$D$608,MATCH(SMALL(DayLines!$C$3:$C$608,8),DayLines!$C$3:$C$608,0)),IF($O30=999,"",INDEX(DayLines!$E$3:$E$608,MATCH(SMALL(DayLines!$C$3:$C$608,8),DayLines!$C$3:$C$608,0)))))</f>
        <v/>
      </c>
      <c r="C30" s="16" t="str">
        <f aca="false">IF($O30="","",IF($O30=0,INDEX(DayLines!$E$3:$E$608,MATCH(SMALL(DayLines!$C$3:$C$608,8),DayLines!$C$3:$C$608,0)),IF($O30=999,"",INDEX(DayLines!$D$3:$D$608,MATCH(SMALL(DayLines!$C$3:$C$608,8),DayLines!$C$3:$C$608,0)))))</f>
        <v/>
      </c>
      <c r="D30" s="15" t="str">
        <f aca="false">IF(OR($O30="",$O30=0,$O30=999),"",INDEX(DayLines!$F$3:$F$608,MATCH(SMALL(DayLines!$C$3:$C$608,8),DayLines!$C$3:$C$608,0)))</f>
        <v/>
      </c>
      <c r="E30" s="21" t="str">
        <f aca="false">IF(OR($O30="",$O30=0,$O30=999),"",INDEX(DayLines!$G$3:$G$608,MATCH(SMALL(DayLines!$C$3:$C$608,8),DayLines!$C$3:$C$608,0)))</f>
        <v/>
      </c>
      <c r="F30" s="15"/>
      <c r="G30" s="15"/>
      <c r="H30" s="15"/>
      <c r="I30" s="15"/>
      <c r="J30" s="15"/>
      <c r="K30" s="15"/>
      <c r="L30" s="15"/>
      <c r="M30" s="15"/>
      <c r="N30" s="15"/>
      <c r="O30" s="22" t="str">
        <f aca="false">IFERROR(MOD(SMALL(DayLines!$C$3:$C$608,8),1000),"")</f>
        <v/>
      </c>
    </row>
    <row r="31" customFormat="false" ht="15" hidden="false" customHeight="false" outlineLevel="0" collapsed="false">
      <c r="A31" s="15"/>
      <c r="B31" s="20" t="str">
        <f aca="false">IF($O31="","",IF($O31=0,INDEX(DayLines!$D$3:$D$608,MATCH(SMALL(DayLines!$C$3:$C$608,9),DayLines!$C$3:$C$608,0)),IF($O31=999,"",INDEX(DayLines!$E$3:$E$608,MATCH(SMALL(DayLines!$C$3:$C$608,9),DayLines!$C$3:$C$608,0)))))</f>
        <v/>
      </c>
      <c r="C31" s="16" t="str">
        <f aca="false">IF($O31="","",IF($O31=0,INDEX(DayLines!$E$3:$E$608,MATCH(SMALL(DayLines!$C$3:$C$608,9),DayLines!$C$3:$C$608,0)),IF($O31=999,"",INDEX(DayLines!$D$3:$D$608,MATCH(SMALL(DayLines!$C$3:$C$608,9),DayLines!$C$3:$C$608,0)))))</f>
        <v/>
      </c>
      <c r="D31" s="15" t="str">
        <f aca="false">IF(OR($O31="",$O31=0,$O31=999),"",INDEX(DayLines!$F$3:$F$608,MATCH(SMALL(DayLines!$C$3:$C$608,9),DayLines!$C$3:$C$608,0)))</f>
        <v/>
      </c>
      <c r="E31" s="21" t="str">
        <f aca="false">IF(OR($O31="",$O31=0,$O31=999),"",INDEX(DayLines!$G$3:$G$608,MATCH(SMALL(DayLines!$C$3:$C$608,9),DayLines!$C$3:$C$608,0)))</f>
        <v/>
      </c>
      <c r="F31" s="15"/>
      <c r="G31" s="15"/>
      <c r="H31" s="15"/>
      <c r="I31" s="15"/>
      <c r="J31" s="15"/>
      <c r="K31" s="15"/>
      <c r="L31" s="15"/>
      <c r="M31" s="15"/>
      <c r="N31" s="15"/>
      <c r="O31" s="22" t="str">
        <f aca="false">IFERROR(MOD(SMALL(DayLines!$C$3:$C$608,9),1000),"")</f>
        <v/>
      </c>
    </row>
    <row r="32" customFormat="false" ht="15" hidden="false" customHeight="false" outlineLevel="0" collapsed="false">
      <c r="A32" s="15"/>
      <c r="B32" s="20" t="str">
        <f aca="false">IF($O32="","",IF($O32=0,INDEX(DayLines!$D$3:$D$608,MATCH(SMALL(DayLines!$C$3:$C$608,10),DayLines!$C$3:$C$608,0)),IF($O32=999,"",INDEX(DayLines!$E$3:$E$608,MATCH(SMALL(DayLines!$C$3:$C$608,10),DayLines!$C$3:$C$608,0)))))</f>
        <v/>
      </c>
      <c r="C32" s="16" t="str">
        <f aca="false">IF($O32="","",IF($O32=0,INDEX(DayLines!$E$3:$E$608,MATCH(SMALL(DayLines!$C$3:$C$608,10),DayLines!$C$3:$C$608,0)),IF($O32=999,"",INDEX(DayLines!$D$3:$D$608,MATCH(SMALL(DayLines!$C$3:$C$608,10),DayLines!$C$3:$C$608,0)))))</f>
        <v/>
      </c>
      <c r="D32" s="15" t="str">
        <f aca="false">IF(OR($O32="",$O32=0,$O32=999),"",INDEX(DayLines!$F$3:$F$608,MATCH(SMALL(DayLines!$C$3:$C$608,10),DayLines!$C$3:$C$608,0)))</f>
        <v/>
      </c>
      <c r="E32" s="21" t="str">
        <f aca="false">IF(OR($O32="",$O32=0,$O32=999),"",INDEX(DayLines!$G$3:$G$608,MATCH(SMALL(DayLines!$C$3:$C$608,10),DayLines!$C$3:$C$608,0)))</f>
        <v/>
      </c>
      <c r="F32" s="15"/>
      <c r="G32" s="15"/>
      <c r="H32" s="15"/>
      <c r="I32" s="15"/>
      <c r="J32" s="15"/>
      <c r="K32" s="15"/>
      <c r="L32" s="15"/>
      <c r="M32" s="15"/>
      <c r="N32" s="15"/>
      <c r="O32" s="22" t="str">
        <f aca="false">IFERROR(MOD(SMALL(DayLines!$C$3:$C$608,10),1000),"")</f>
        <v/>
      </c>
    </row>
    <row r="33" customFormat="false" ht="15" hidden="false" customHeight="false" outlineLevel="0" collapsed="false">
      <c r="A33" s="15"/>
      <c r="B33" s="20" t="str">
        <f aca="false">IF($O33="","",IF($O33=0,INDEX(DayLines!$D$3:$D$608,MATCH(SMALL(DayLines!$C$3:$C$608,11),DayLines!$C$3:$C$608,0)),IF($O33=999,"",INDEX(DayLines!$E$3:$E$608,MATCH(SMALL(DayLines!$C$3:$C$608,11),DayLines!$C$3:$C$608,0)))))</f>
        <v/>
      </c>
      <c r="C33" s="16" t="str">
        <f aca="false">IF($O33="","",IF($O33=0,INDEX(DayLines!$E$3:$E$608,MATCH(SMALL(DayLines!$C$3:$C$608,11),DayLines!$C$3:$C$608,0)),IF($O33=999,"",INDEX(DayLines!$D$3:$D$608,MATCH(SMALL(DayLines!$C$3:$C$608,11),DayLines!$C$3:$C$608,0)))))</f>
        <v/>
      </c>
      <c r="D33" s="15" t="str">
        <f aca="false">IF(OR($O33="",$O33=0,$O33=999),"",INDEX(DayLines!$F$3:$F$608,MATCH(SMALL(DayLines!$C$3:$C$608,11),DayLines!$C$3:$C$608,0)))</f>
        <v/>
      </c>
      <c r="E33" s="21" t="str">
        <f aca="false">IF(OR($O33="",$O33=0,$O33=999),"",INDEX(DayLines!$G$3:$G$608,MATCH(SMALL(DayLines!$C$3:$C$608,11),DayLines!$C$3:$C$608,0)))</f>
        <v/>
      </c>
      <c r="F33" s="15"/>
      <c r="G33" s="15"/>
      <c r="H33" s="15"/>
      <c r="I33" s="15"/>
      <c r="J33" s="15"/>
      <c r="K33" s="15"/>
      <c r="L33" s="15"/>
      <c r="M33" s="15"/>
      <c r="N33" s="15"/>
      <c r="O33" s="22" t="str">
        <f aca="false">IFERROR(MOD(SMALL(DayLines!$C$3:$C$608,11),1000),"")</f>
        <v/>
      </c>
    </row>
    <row r="34" customFormat="false" ht="15" hidden="false" customHeight="false" outlineLevel="0" collapsed="false">
      <c r="A34" s="15"/>
      <c r="B34" s="20" t="str">
        <f aca="false">IF($O34="","",IF($O34=0,INDEX(DayLines!$D$3:$D$608,MATCH(SMALL(DayLines!$C$3:$C$608,12),DayLines!$C$3:$C$608,0)),IF($O34=999,"",INDEX(DayLines!$E$3:$E$608,MATCH(SMALL(DayLines!$C$3:$C$608,12),DayLines!$C$3:$C$608,0)))))</f>
        <v/>
      </c>
      <c r="C34" s="16" t="str">
        <f aca="false">IF($O34="","",IF($O34=0,INDEX(DayLines!$E$3:$E$608,MATCH(SMALL(DayLines!$C$3:$C$608,12),DayLines!$C$3:$C$608,0)),IF($O34=999,"",INDEX(DayLines!$D$3:$D$608,MATCH(SMALL(DayLines!$C$3:$C$608,12),DayLines!$C$3:$C$608,0)))))</f>
        <v/>
      </c>
      <c r="D34" s="15" t="str">
        <f aca="false">IF(OR($O34="",$O34=0,$O34=999),"",INDEX(DayLines!$F$3:$F$608,MATCH(SMALL(DayLines!$C$3:$C$608,12),DayLines!$C$3:$C$608,0)))</f>
        <v/>
      </c>
      <c r="E34" s="21" t="str">
        <f aca="false">IF(OR($O34="",$O34=0,$O34=999),"",INDEX(DayLines!$G$3:$G$608,MATCH(SMALL(DayLines!$C$3:$C$608,12),DayLines!$C$3:$C$608,0)))</f>
        <v/>
      </c>
      <c r="F34" s="15"/>
      <c r="G34" s="15"/>
      <c r="H34" s="15"/>
      <c r="I34" s="15"/>
      <c r="J34" s="15"/>
      <c r="K34" s="15"/>
      <c r="L34" s="15"/>
      <c r="M34" s="15"/>
      <c r="N34" s="15"/>
      <c r="O34" s="22" t="str">
        <f aca="false">IFERROR(MOD(SMALL(DayLines!$C$3:$C$608,12),1000),"")</f>
        <v/>
      </c>
    </row>
    <row r="35" customFormat="false" ht="15" hidden="false" customHeight="false" outlineLevel="0" collapsed="false">
      <c r="A35" s="15"/>
      <c r="B35" s="20" t="str">
        <f aca="false">IF($O35="","",IF($O35=0,INDEX(DayLines!$D$3:$D$608,MATCH(SMALL(DayLines!$C$3:$C$608,13),DayLines!$C$3:$C$608,0)),IF($O35=999,"",INDEX(DayLines!$E$3:$E$608,MATCH(SMALL(DayLines!$C$3:$C$608,13),DayLines!$C$3:$C$608,0)))))</f>
        <v/>
      </c>
      <c r="C35" s="16" t="str">
        <f aca="false">IF($O35="","",IF($O35=0,INDEX(DayLines!$E$3:$E$608,MATCH(SMALL(DayLines!$C$3:$C$608,13),DayLines!$C$3:$C$608,0)),IF($O35=999,"",INDEX(DayLines!$D$3:$D$608,MATCH(SMALL(DayLines!$C$3:$C$608,13),DayLines!$C$3:$C$608,0)))))</f>
        <v/>
      </c>
      <c r="D35" s="15" t="str">
        <f aca="false">IF(OR($O35="",$O35=0,$O35=999),"",INDEX(DayLines!$F$3:$F$608,MATCH(SMALL(DayLines!$C$3:$C$608,13),DayLines!$C$3:$C$608,0)))</f>
        <v/>
      </c>
      <c r="E35" s="21" t="str">
        <f aca="false">IF(OR($O35="",$O35=0,$O35=999),"",INDEX(DayLines!$G$3:$G$608,MATCH(SMALL(DayLines!$C$3:$C$608,13),DayLines!$C$3:$C$608,0)))</f>
        <v/>
      </c>
      <c r="F35" s="15"/>
      <c r="G35" s="15"/>
      <c r="H35" s="15"/>
      <c r="I35" s="15"/>
      <c r="J35" s="15"/>
      <c r="K35" s="15"/>
      <c r="L35" s="15"/>
      <c r="M35" s="15"/>
      <c r="N35" s="15"/>
      <c r="O35" s="22" t="str">
        <f aca="false">IFERROR(MOD(SMALL(DayLines!$C$3:$C$608,13),1000),"")</f>
        <v/>
      </c>
    </row>
    <row r="36" customFormat="false" ht="15" hidden="false" customHeight="false" outlineLevel="0" collapsed="false">
      <c r="A36" s="15"/>
      <c r="B36" s="20" t="str">
        <f aca="false">IF($O36="","",IF($O36=0,INDEX(DayLines!$D$3:$D$608,MATCH(SMALL(DayLines!$C$3:$C$608,14),DayLines!$C$3:$C$608,0)),IF($O36=999,"",INDEX(DayLines!$E$3:$E$608,MATCH(SMALL(DayLines!$C$3:$C$608,14),DayLines!$C$3:$C$608,0)))))</f>
        <v/>
      </c>
      <c r="C36" s="16" t="str">
        <f aca="false">IF($O36="","",IF($O36=0,INDEX(DayLines!$E$3:$E$608,MATCH(SMALL(DayLines!$C$3:$C$608,14),DayLines!$C$3:$C$608,0)),IF($O36=999,"",INDEX(DayLines!$D$3:$D$608,MATCH(SMALL(DayLines!$C$3:$C$608,14),DayLines!$C$3:$C$608,0)))))</f>
        <v/>
      </c>
      <c r="D36" s="15" t="str">
        <f aca="false">IF(OR($O36="",$O36=0,$O36=999),"",INDEX(DayLines!$F$3:$F$608,MATCH(SMALL(DayLines!$C$3:$C$608,14),DayLines!$C$3:$C$608,0)))</f>
        <v/>
      </c>
      <c r="E36" s="21" t="str">
        <f aca="false">IF(OR($O36="",$O36=0,$O36=999),"",INDEX(DayLines!$G$3:$G$608,MATCH(SMALL(DayLines!$C$3:$C$608,14),DayLines!$C$3:$C$608,0)))</f>
        <v/>
      </c>
      <c r="F36" s="15"/>
      <c r="G36" s="15"/>
      <c r="H36" s="15"/>
      <c r="I36" s="15"/>
      <c r="J36" s="15"/>
      <c r="K36" s="15"/>
      <c r="L36" s="15"/>
      <c r="M36" s="15"/>
      <c r="N36" s="15"/>
      <c r="O36" s="22" t="str">
        <f aca="false">IFERROR(MOD(SMALL(DayLines!$C$3:$C$608,14),1000),"")</f>
        <v/>
      </c>
    </row>
    <row r="37" customFormat="false" ht="15" hidden="false" customHeight="false" outlineLevel="0" collapsed="false">
      <c r="A37" s="15"/>
      <c r="B37" s="20" t="str">
        <f aca="false">IF($O37="","",IF($O37=0,INDEX(DayLines!$D$3:$D$608,MATCH(SMALL(DayLines!$C$3:$C$608,15),DayLines!$C$3:$C$608,0)),IF($O37=999,"",INDEX(DayLines!$E$3:$E$608,MATCH(SMALL(DayLines!$C$3:$C$608,15),DayLines!$C$3:$C$608,0)))))</f>
        <v/>
      </c>
      <c r="C37" s="16" t="str">
        <f aca="false">IF($O37="","",IF($O37=0,INDEX(DayLines!$E$3:$E$608,MATCH(SMALL(DayLines!$C$3:$C$608,15),DayLines!$C$3:$C$608,0)),IF($O37=999,"",INDEX(DayLines!$D$3:$D$608,MATCH(SMALL(DayLines!$C$3:$C$608,15),DayLines!$C$3:$C$608,0)))))</f>
        <v/>
      </c>
      <c r="D37" s="15" t="str">
        <f aca="false">IF(OR($O37="",$O37=0,$O37=999),"",INDEX(DayLines!$F$3:$F$608,MATCH(SMALL(DayLines!$C$3:$C$608,15),DayLines!$C$3:$C$608,0)))</f>
        <v/>
      </c>
      <c r="E37" s="21" t="str">
        <f aca="false">IF(OR($O37="",$O37=0,$O37=999),"",INDEX(DayLines!$G$3:$G$608,MATCH(SMALL(DayLines!$C$3:$C$608,15),DayLines!$C$3:$C$608,0)))</f>
        <v/>
      </c>
      <c r="F37" s="15"/>
      <c r="G37" s="15"/>
      <c r="H37" s="15"/>
      <c r="I37" s="15"/>
      <c r="J37" s="15"/>
      <c r="K37" s="15"/>
      <c r="L37" s="15"/>
      <c r="M37" s="15"/>
      <c r="N37" s="15"/>
      <c r="O37" s="22" t="str">
        <f aca="false">IFERROR(MOD(SMALL(DayLines!$C$3:$C$608,15),1000),"")</f>
        <v/>
      </c>
    </row>
    <row r="38" customFormat="false" ht="15" hidden="false" customHeight="false" outlineLevel="0" collapsed="false">
      <c r="A38" s="15"/>
      <c r="B38" s="20" t="str">
        <f aca="false">IF($O38="","",IF($O38=0,INDEX(DayLines!$D$3:$D$608,MATCH(SMALL(DayLines!$C$3:$C$608,16),DayLines!$C$3:$C$608,0)),IF($O38=999,"",INDEX(DayLines!$E$3:$E$608,MATCH(SMALL(DayLines!$C$3:$C$608,16),DayLines!$C$3:$C$608,0)))))</f>
        <v/>
      </c>
      <c r="C38" s="16" t="str">
        <f aca="false">IF($O38="","",IF($O38=0,INDEX(DayLines!$E$3:$E$608,MATCH(SMALL(DayLines!$C$3:$C$608,16),DayLines!$C$3:$C$608,0)),IF($O38=999,"",INDEX(DayLines!$D$3:$D$608,MATCH(SMALL(DayLines!$C$3:$C$608,16),DayLines!$C$3:$C$608,0)))))</f>
        <v/>
      </c>
      <c r="D38" s="15" t="str">
        <f aca="false">IF(OR($O38="",$O38=0,$O38=999),"",INDEX(DayLines!$F$3:$F$608,MATCH(SMALL(DayLines!$C$3:$C$608,16),DayLines!$C$3:$C$608,0)))</f>
        <v/>
      </c>
      <c r="E38" s="21" t="str">
        <f aca="false">IF(OR($O38="",$O38=0,$O38=999),"",INDEX(DayLines!$G$3:$G$608,MATCH(SMALL(DayLines!$C$3:$C$608,16),DayLines!$C$3:$C$608,0)))</f>
        <v/>
      </c>
      <c r="F38" s="15"/>
      <c r="G38" s="15"/>
      <c r="H38" s="15"/>
      <c r="I38" s="15"/>
      <c r="J38" s="15"/>
      <c r="K38" s="15"/>
      <c r="L38" s="15"/>
      <c r="M38" s="15"/>
      <c r="N38" s="15"/>
      <c r="O38" s="22" t="str">
        <f aca="false">IFERROR(MOD(SMALL(DayLines!$C$3:$C$608,16),1000),"")</f>
        <v/>
      </c>
    </row>
    <row r="39" customFormat="false" ht="15" hidden="false" customHeight="false" outlineLevel="0" collapsed="false">
      <c r="A39" s="15"/>
      <c r="B39" s="20" t="str">
        <f aca="false">IF($O39="","",IF($O39=0,INDEX(DayLines!$D$3:$D$608,MATCH(SMALL(DayLines!$C$3:$C$608,17),DayLines!$C$3:$C$608,0)),IF($O39=999,"",INDEX(DayLines!$E$3:$E$608,MATCH(SMALL(DayLines!$C$3:$C$608,17),DayLines!$C$3:$C$608,0)))))</f>
        <v/>
      </c>
      <c r="C39" s="16" t="str">
        <f aca="false">IF($O39="","",IF($O39=0,INDEX(DayLines!$E$3:$E$608,MATCH(SMALL(DayLines!$C$3:$C$608,17),DayLines!$C$3:$C$608,0)),IF($O39=999,"",INDEX(DayLines!$D$3:$D$608,MATCH(SMALL(DayLines!$C$3:$C$608,17),DayLines!$C$3:$C$608,0)))))</f>
        <v/>
      </c>
      <c r="D39" s="15" t="str">
        <f aca="false">IF(OR($O39="",$O39=0,$O39=999),"",INDEX(DayLines!$F$3:$F$608,MATCH(SMALL(DayLines!$C$3:$C$608,17),DayLines!$C$3:$C$608,0)))</f>
        <v/>
      </c>
      <c r="E39" s="21" t="str">
        <f aca="false">IF(OR($O39="",$O39=0,$O39=999),"",INDEX(DayLines!$G$3:$G$608,MATCH(SMALL(DayLines!$C$3:$C$608,17),DayLines!$C$3:$C$608,0)))</f>
        <v/>
      </c>
      <c r="F39" s="15"/>
      <c r="G39" s="15"/>
      <c r="H39" s="15"/>
      <c r="I39" s="15"/>
      <c r="J39" s="15"/>
      <c r="K39" s="15"/>
      <c r="L39" s="15"/>
      <c r="M39" s="15"/>
      <c r="N39" s="15"/>
      <c r="O39" s="22" t="str">
        <f aca="false">IFERROR(MOD(SMALL(DayLines!$C$3:$C$608,17),1000),"")</f>
        <v/>
      </c>
    </row>
    <row r="40" customFormat="false" ht="15" hidden="false" customHeight="false" outlineLevel="0" collapsed="false">
      <c r="A40" s="15"/>
      <c r="B40" s="20" t="str">
        <f aca="false">IF($O40="","",IF($O40=0,INDEX(DayLines!$D$3:$D$608,MATCH(SMALL(DayLines!$C$3:$C$608,18),DayLines!$C$3:$C$608,0)),IF($O40=999,"",INDEX(DayLines!$E$3:$E$608,MATCH(SMALL(DayLines!$C$3:$C$608,18),DayLines!$C$3:$C$608,0)))))</f>
        <v/>
      </c>
      <c r="C40" s="16" t="str">
        <f aca="false">IF($O40="","",IF($O40=0,INDEX(DayLines!$E$3:$E$608,MATCH(SMALL(DayLines!$C$3:$C$608,18),DayLines!$C$3:$C$608,0)),IF($O40=999,"",INDEX(DayLines!$D$3:$D$608,MATCH(SMALL(DayLines!$C$3:$C$608,18),DayLines!$C$3:$C$608,0)))))</f>
        <v/>
      </c>
      <c r="D40" s="15" t="str">
        <f aca="false">IF(OR($O40="",$O40=0,$O40=999),"",INDEX(DayLines!$F$3:$F$608,MATCH(SMALL(DayLines!$C$3:$C$608,18),DayLines!$C$3:$C$608,0)))</f>
        <v/>
      </c>
      <c r="E40" s="21" t="str">
        <f aca="false">IF(OR($O40="",$O40=0,$O40=999),"",INDEX(DayLines!$G$3:$G$608,MATCH(SMALL(DayLines!$C$3:$C$608,18),DayLines!$C$3:$C$608,0)))</f>
        <v/>
      </c>
      <c r="F40" s="15"/>
      <c r="G40" s="15"/>
      <c r="H40" s="15"/>
      <c r="I40" s="15"/>
      <c r="J40" s="15"/>
      <c r="K40" s="15"/>
      <c r="L40" s="15"/>
      <c r="M40" s="15"/>
      <c r="N40" s="15"/>
      <c r="O40" s="22" t="str">
        <f aca="false">IFERROR(MOD(SMALL(DayLines!$C$3:$C$608,18),1000),"")</f>
        <v/>
      </c>
    </row>
    <row r="41" customFormat="false" ht="15" hidden="false" customHeight="false" outlineLevel="0" collapsed="false">
      <c r="A41" s="15"/>
      <c r="B41" s="20" t="str">
        <f aca="false">IF($O41="","",IF($O41=0,INDEX(DayLines!$D$3:$D$608,MATCH(SMALL(DayLines!$C$3:$C$608,19),DayLines!$C$3:$C$608,0)),IF($O41=999,"",INDEX(DayLines!$E$3:$E$608,MATCH(SMALL(DayLines!$C$3:$C$608,19),DayLines!$C$3:$C$608,0)))))</f>
        <v/>
      </c>
      <c r="C41" s="16" t="str">
        <f aca="false">IF($O41="","",IF($O41=0,INDEX(DayLines!$E$3:$E$608,MATCH(SMALL(DayLines!$C$3:$C$608,19),DayLines!$C$3:$C$608,0)),IF($O41=999,"",INDEX(DayLines!$D$3:$D$608,MATCH(SMALL(DayLines!$C$3:$C$608,19),DayLines!$C$3:$C$608,0)))))</f>
        <v/>
      </c>
      <c r="D41" s="15" t="str">
        <f aca="false">IF(OR($O41="",$O41=0,$O41=999),"",INDEX(DayLines!$F$3:$F$608,MATCH(SMALL(DayLines!$C$3:$C$608,19),DayLines!$C$3:$C$608,0)))</f>
        <v/>
      </c>
      <c r="E41" s="21" t="str">
        <f aca="false">IF(OR($O41="",$O41=0,$O41=999),"",INDEX(DayLines!$G$3:$G$608,MATCH(SMALL(DayLines!$C$3:$C$608,19),DayLines!$C$3:$C$608,0)))</f>
        <v/>
      </c>
      <c r="F41" s="15"/>
      <c r="G41" s="15"/>
      <c r="H41" s="15"/>
      <c r="I41" s="15"/>
      <c r="J41" s="15"/>
      <c r="K41" s="15"/>
      <c r="L41" s="15"/>
      <c r="M41" s="15"/>
      <c r="N41" s="15"/>
      <c r="O41" s="22" t="str">
        <f aca="false">IFERROR(MOD(SMALL(DayLines!$C$3:$C$608,19),1000),"")</f>
        <v/>
      </c>
    </row>
    <row r="42" customFormat="false" ht="15" hidden="false" customHeight="false" outlineLevel="0" collapsed="false">
      <c r="A42" s="15"/>
      <c r="B42" s="20" t="str">
        <f aca="false">IF($O42="","",IF($O42=0,INDEX(DayLines!$D$3:$D$608,MATCH(SMALL(DayLines!$C$3:$C$608,20),DayLines!$C$3:$C$608,0)),IF($O42=999,"",INDEX(DayLines!$E$3:$E$608,MATCH(SMALL(DayLines!$C$3:$C$608,20),DayLines!$C$3:$C$608,0)))))</f>
        <v/>
      </c>
      <c r="C42" s="16" t="str">
        <f aca="false">IF($O42="","",IF($O42=0,INDEX(DayLines!$E$3:$E$608,MATCH(SMALL(DayLines!$C$3:$C$608,20),DayLines!$C$3:$C$608,0)),IF($O42=999,"",INDEX(DayLines!$D$3:$D$608,MATCH(SMALL(DayLines!$C$3:$C$608,20),DayLines!$C$3:$C$608,0)))))</f>
        <v/>
      </c>
      <c r="D42" s="15" t="str">
        <f aca="false">IF(OR($O42="",$O42=0,$O42=999),"",INDEX(DayLines!$F$3:$F$608,MATCH(SMALL(DayLines!$C$3:$C$608,20),DayLines!$C$3:$C$608,0)))</f>
        <v/>
      </c>
      <c r="E42" s="21" t="str">
        <f aca="false">IF(OR($O42="",$O42=0,$O42=999),"",INDEX(DayLines!$G$3:$G$608,MATCH(SMALL(DayLines!$C$3:$C$608,20),DayLines!$C$3:$C$608,0)))</f>
        <v/>
      </c>
      <c r="F42" s="15"/>
      <c r="G42" s="15"/>
      <c r="H42" s="15"/>
      <c r="I42" s="15"/>
      <c r="J42" s="15"/>
      <c r="K42" s="15"/>
      <c r="L42" s="15"/>
      <c r="M42" s="15"/>
      <c r="N42" s="15"/>
      <c r="O42" s="22" t="str">
        <f aca="false">IFERROR(MOD(SMALL(DayLines!$C$3:$C$608,20),1000),"")</f>
        <v/>
      </c>
    </row>
    <row r="43" customFormat="false" ht="15" hidden="false" customHeight="false" outlineLevel="0" collapsed="false">
      <c r="A43" s="15"/>
      <c r="B43" s="20" t="str">
        <f aca="false">IF($O43="","",IF($O43=0,INDEX(DayLines!$D$3:$D$608,MATCH(SMALL(DayLines!$C$3:$C$608,21),DayLines!$C$3:$C$608,0)),IF($O43=999,"",INDEX(DayLines!$E$3:$E$608,MATCH(SMALL(DayLines!$C$3:$C$608,21),DayLines!$C$3:$C$608,0)))))</f>
        <v/>
      </c>
      <c r="C43" s="16" t="str">
        <f aca="false">IF($O43="","",IF($O43=0,INDEX(DayLines!$E$3:$E$608,MATCH(SMALL(DayLines!$C$3:$C$608,21),DayLines!$C$3:$C$608,0)),IF($O43=999,"",INDEX(DayLines!$D$3:$D$608,MATCH(SMALL(DayLines!$C$3:$C$608,21),DayLines!$C$3:$C$608,0)))))</f>
        <v/>
      </c>
      <c r="D43" s="15" t="str">
        <f aca="false">IF(OR($O43="",$O43=0,$O43=999),"",INDEX(DayLines!$F$3:$F$608,MATCH(SMALL(DayLines!$C$3:$C$608,21),DayLines!$C$3:$C$608,0)))</f>
        <v/>
      </c>
      <c r="E43" s="21" t="str">
        <f aca="false">IF(OR($O43="",$O43=0,$O43=999),"",INDEX(DayLines!$G$3:$G$608,MATCH(SMALL(DayLines!$C$3:$C$608,21),DayLines!$C$3:$C$608,0)))</f>
        <v/>
      </c>
      <c r="F43" s="15"/>
      <c r="G43" s="15"/>
      <c r="H43" s="15"/>
      <c r="I43" s="15"/>
      <c r="J43" s="15"/>
      <c r="K43" s="15"/>
      <c r="L43" s="15"/>
      <c r="M43" s="15"/>
      <c r="N43" s="15"/>
      <c r="O43" s="22" t="str">
        <f aca="false">IFERROR(MOD(SMALL(DayLines!$C$3:$C$608,21),1000),"")</f>
        <v/>
      </c>
    </row>
    <row r="44" customFormat="false" ht="15" hidden="false" customHeight="false" outlineLevel="0" collapsed="false">
      <c r="A44" s="15"/>
      <c r="B44" s="20" t="str">
        <f aca="false">IF($O44="","",IF($O44=0,INDEX(DayLines!$D$3:$D$608,MATCH(SMALL(DayLines!$C$3:$C$608,22),DayLines!$C$3:$C$608,0)),IF($O44=999,"",INDEX(DayLines!$E$3:$E$608,MATCH(SMALL(DayLines!$C$3:$C$608,22),DayLines!$C$3:$C$608,0)))))</f>
        <v/>
      </c>
      <c r="C44" s="16" t="str">
        <f aca="false">IF($O44="","",IF($O44=0,INDEX(DayLines!$E$3:$E$608,MATCH(SMALL(DayLines!$C$3:$C$608,22),DayLines!$C$3:$C$608,0)),IF($O44=999,"",INDEX(DayLines!$D$3:$D$608,MATCH(SMALL(DayLines!$C$3:$C$608,22),DayLines!$C$3:$C$608,0)))))</f>
        <v/>
      </c>
      <c r="D44" s="15" t="str">
        <f aca="false">IF(OR($O44="",$O44=0,$O44=999),"",INDEX(DayLines!$F$3:$F$608,MATCH(SMALL(DayLines!$C$3:$C$608,22),DayLines!$C$3:$C$608,0)))</f>
        <v/>
      </c>
      <c r="E44" s="21" t="str">
        <f aca="false">IF(OR($O44="",$O44=0,$O44=999),"",INDEX(DayLines!$G$3:$G$608,MATCH(SMALL(DayLines!$C$3:$C$608,22),DayLines!$C$3:$C$608,0)))</f>
        <v/>
      </c>
      <c r="F44" s="15"/>
      <c r="G44" s="15"/>
      <c r="H44" s="15"/>
      <c r="I44" s="15"/>
      <c r="J44" s="15"/>
      <c r="K44" s="15"/>
      <c r="L44" s="15"/>
      <c r="M44" s="15"/>
      <c r="N44" s="15"/>
      <c r="O44" s="22" t="str">
        <f aca="false">IFERROR(MOD(SMALL(DayLines!$C$3:$C$608,22),1000),"")</f>
        <v/>
      </c>
    </row>
    <row r="45" customFormat="false" ht="15" hidden="false" customHeight="false" outlineLevel="0" collapsed="false">
      <c r="A45" s="15"/>
      <c r="B45" s="20" t="str">
        <f aca="false">IF($O45="","",IF($O45=0,INDEX(DayLines!$D$3:$D$608,MATCH(SMALL(DayLines!$C$3:$C$608,23),DayLines!$C$3:$C$608,0)),IF($O45=999,"",INDEX(DayLines!$E$3:$E$608,MATCH(SMALL(DayLines!$C$3:$C$608,23),DayLines!$C$3:$C$608,0)))))</f>
        <v/>
      </c>
      <c r="C45" s="16" t="str">
        <f aca="false">IF($O45="","",IF($O45=0,INDEX(DayLines!$E$3:$E$608,MATCH(SMALL(DayLines!$C$3:$C$608,23),DayLines!$C$3:$C$608,0)),IF($O45=999,"",INDEX(DayLines!$D$3:$D$608,MATCH(SMALL(DayLines!$C$3:$C$608,23),DayLines!$C$3:$C$608,0)))))</f>
        <v/>
      </c>
      <c r="D45" s="15" t="str">
        <f aca="false">IF(OR($O45="",$O45=0,$O45=999),"",INDEX(DayLines!$F$3:$F$608,MATCH(SMALL(DayLines!$C$3:$C$608,23),DayLines!$C$3:$C$608,0)))</f>
        <v/>
      </c>
      <c r="E45" s="21" t="str">
        <f aca="false">IF(OR($O45="",$O45=0,$O45=999),"",INDEX(DayLines!$G$3:$G$608,MATCH(SMALL(DayLines!$C$3:$C$608,23),DayLines!$C$3:$C$608,0)))</f>
        <v/>
      </c>
      <c r="F45" s="15"/>
      <c r="G45" s="15"/>
      <c r="H45" s="15"/>
      <c r="I45" s="15"/>
      <c r="J45" s="15"/>
      <c r="K45" s="15"/>
      <c r="L45" s="15"/>
      <c r="M45" s="15"/>
      <c r="N45" s="15"/>
      <c r="O45" s="22" t="str">
        <f aca="false">IFERROR(MOD(SMALL(DayLines!$C$3:$C$608,23),1000),"")</f>
        <v/>
      </c>
    </row>
    <row r="46" customFormat="false" ht="15" hidden="false" customHeight="false" outlineLevel="0" collapsed="false">
      <c r="A46" s="15"/>
      <c r="B46" s="20" t="str">
        <f aca="false">IF($O46="","",IF($O46=0,INDEX(DayLines!$D$3:$D$608,MATCH(SMALL(DayLines!$C$3:$C$608,24),DayLines!$C$3:$C$608,0)),IF($O46=999,"",INDEX(DayLines!$E$3:$E$608,MATCH(SMALL(DayLines!$C$3:$C$608,24),DayLines!$C$3:$C$608,0)))))</f>
        <v/>
      </c>
      <c r="C46" s="16" t="str">
        <f aca="false">IF($O46="","",IF($O46=0,INDEX(DayLines!$E$3:$E$608,MATCH(SMALL(DayLines!$C$3:$C$608,24),DayLines!$C$3:$C$608,0)),IF($O46=999,"",INDEX(DayLines!$D$3:$D$608,MATCH(SMALL(DayLines!$C$3:$C$608,24),DayLines!$C$3:$C$608,0)))))</f>
        <v/>
      </c>
      <c r="D46" s="15" t="str">
        <f aca="false">IF(OR($O46="",$O46=0,$O46=999),"",INDEX(DayLines!$F$3:$F$608,MATCH(SMALL(DayLines!$C$3:$C$608,24),DayLines!$C$3:$C$608,0)))</f>
        <v/>
      </c>
      <c r="E46" s="21" t="str">
        <f aca="false">IF(OR($O46="",$O46=0,$O46=999),"",INDEX(DayLines!$G$3:$G$608,MATCH(SMALL(DayLines!$C$3:$C$608,24),DayLines!$C$3:$C$608,0)))</f>
        <v/>
      </c>
      <c r="F46" s="15"/>
      <c r="G46" s="15"/>
      <c r="H46" s="15"/>
      <c r="I46" s="15"/>
      <c r="J46" s="15"/>
      <c r="K46" s="15"/>
      <c r="L46" s="15"/>
      <c r="M46" s="15"/>
      <c r="N46" s="15"/>
      <c r="O46" s="22" t="str">
        <f aca="false">IFERROR(MOD(SMALL(DayLines!$C$3:$C$608,24),1000),"")</f>
        <v/>
      </c>
    </row>
    <row r="47" customFormat="false" ht="15" hidden="false" customHeight="false" outlineLevel="0" collapsed="false">
      <c r="A47" s="15"/>
      <c r="B47" s="20" t="str">
        <f aca="false">IF($O47="","",IF($O47=0,INDEX(DayLines!$D$3:$D$608,MATCH(SMALL(DayLines!$C$3:$C$608,25),DayLines!$C$3:$C$608,0)),IF($O47=999,"",INDEX(DayLines!$E$3:$E$608,MATCH(SMALL(DayLines!$C$3:$C$608,25),DayLines!$C$3:$C$608,0)))))</f>
        <v/>
      </c>
      <c r="C47" s="16" t="str">
        <f aca="false">IF($O47="","",IF($O47=0,INDEX(DayLines!$E$3:$E$608,MATCH(SMALL(DayLines!$C$3:$C$608,25),DayLines!$C$3:$C$608,0)),IF($O47=999,"",INDEX(DayLines!$D$3:$D$608,MATCH(SMALL(DayLines!$C$3:$C$608,25),DayLines!$C$3:$C$608,0)))))</f>
        <v/>
      </c>
      <c r="D47" s="15" t="str">
        <f aca="false">IF(OR($O47="",$O47=0,$O47=999),"",INDEX(DayLines!$F$3:$F$608,MATCH(SMALL(DayLines!$C$3:$C$608,25),DayLines!$C$3:$C$608,0)))</f>
        <v/>
      </c>
      <c r="E47" s="21" t="str">
        <f aca="false">IF(OR($O47="",$O47=0,$O47=999),"",INDEX(DayLines!$G$3:$G$608,MATCH(SMALL(DayLines!$C$3:$C$608,25),DayLines!$C$3:$C$608,0)))</f>
        <v/>
      </c>
      <c r="F47" s="15"/>
      <c r="G47" s="15"/>
      <c r="H47" s="15"/>
      <c r="I47" s="15"/>
      <c r="J47" s="15"/>
      <c r="K47" s="15"/>
      <c r="L47" s="15"/>
      <c r="M47" s="15"/>
      <c r="N47" s="15"/>
      <c r="O47" s="22" t="str">
        <f aca="false">IFERROR(MOD(SMALL(DayLines!$C$3:$C$608,25),1000),"")</f>
        <v/>
      </c>
    </row>
    <row r="48" customFormat="false" ht="15" hidden="false" customHeight="false" outlineLevel="0" collapsed="false">
      <c r="A48" s="15"/>
      <c r="B48" s="20" t="str">
        <f aca="false">IF($O48="","",IF($O48=0,INDEX(DayLines!$D$3:$D$608,MATCH(SMALL(DayLines!$C$3:$C$608,26),DayLines!$C$3:$C$608,0)),IF($O48=999,"",INDEX(DayLines!$E$3:$E$608,MATCH(SMALL(DayLines!$C$3:$C$608,26),DayLines!$C$3:$C$608,0)))))</f>
        <v/>
      </c>
      <c r="C48" s="16" t="str">
        <f aca="false">IF($O48="","",IF($O48=0,INDEX(DayLines!$E$3:$E$608,MATCH(SMALL(DayLines!$C$3:$C$608,26),DayLines!$C$3:$C$608,0)),IF($O48=999,"",INDEX(DayLines!$D$3:$D$608,MATCH(SMALL(DayLines!$C$3:$C$608,26),DayLines!$C$3:$C$608,0)))))</f>
        <v/>
      </c>
      <c r="D48" s="15" t="str">
        <f aca="false">IF(OR($O48="",$O48=0,$O48=999),"",INDEX(DayLines!$F$3:$F$608,MATCH(SMALL(DayLines!$C$3:$C$608,26),DayLines!$C$3:$C$608,0)))</f>
        <v/>
      </c>
      <c r="E48" s="21" t="str">
        <f aca="false">IF(OR($O48="",$O48=0,$O48=999),"",INDEX(DayLines!$G$3:$G$608,MATCH(SMALL(DayLines!$C$3:$C$608,26),DayLines!$C$3:$C$608,0)))</f>
        <v/>
      </c>
      <c r="F48" s="15"/>
      <c r="G48" s="15"/>
      <c r="H48" s="15"/>
      <c r="I48" s="15"/>
      <c r="J48" s="15"/>
      <c r="K48" s="15"/>
      <c r="L48" s="15"/>
      <c r="M48" s="15"/>
      <c r="N48" s="15"/>
      <c r="O48" s="22" t="str">
        <f aca="false">IFERROR(MOD(SMALL(DayLines!$C$3:$C$608,26),1000),"")</f>
        <v/>
      </c>
    </row>
    <row r="49" customFormat="false" ht="15" hidden="false" customHeight="false" outlineLevel="0" collapsed="false">
      <c r="A49" s="15"/>
      <c r="B49" s="20" t="str">
        <f aca="false">IF($O49="","",IF($O49=0,INDEX(DayLines!$D$3:$D$608,MATCH(SMALL(DayLines!$C$3:$C$608,27),DayLines!$C$3:$C$608,0)),IF($O49=999,"",INDEX(DayLines!$E$3:$E$608,MATCH(SMALL(DayLines!$C$3:$C$608,27),DayLines!$C$3:$C$608,0)))))</f>
        <v/>
      </c>
      <c r="C49" s="16" t="str">
        <f aca="false">IF($O49="","",IF($O49=0,INDEX(DayLines!$E$3:$E$608,MATCH(SMALL(DayLines!$C$3:$C$608,27),DayLines!$C$3:$C$608,0)),IF($O49=999,"",INDEX(DayLines!$D$3:$D$608,MATCH(SMALL(DayLines!$C$3:$C$608,27),DayLines!$C$3:$C$608,0)))))</f>
        <v/>
      </c>
      <c r="D49" s="15" t="str">
        <f aca="false">IF(OR($O49="",$O49=0,$O49=999),"",INDEX(DayLines!$F$3:$F$608,MATCH(SMALL(DayLines!$C$3:$C$608,27),DayLines!$C$3:$C$608,0)))</f>
        <v/>
      </c>
      <c r="E49" s="21" t="str">
        <f aca="false">IF(OR($O49="",$O49=0,$O49=999),"",INDEX(DayLines!$G$3:$G$608,MATCH(SMALL(DayLines!$C$3:$C$608,27),DayLines!$C$3:$C$608,0)))</f>
        <v/>
      </c>
      <c r="F49" s="15"/>
      <c r="G49" s="15"/>
      <c r="H49" s="15"/>
      <c r="I49" s="15"/>
      <c r="J49" s="15"/>
      <c r="K49" s="15"/>
      <c r="L49" s="15"/>
      <c r="M49" s="15"/>
      <c r="N49" s="15"/>
      <c r="O49" s="22" t="str">
        <f aca="false">IFERROR(MOD(SMALL(DayLines!$C$3:$C$608,27),1000),"")</f>
        <v/>
      </c>
    </row>
    <row r="50" customFormat="false" ht="15" hidden="false" customHeight="false" outlineLevel="0" collapsed="false">
      <c r="A50" s="15"/>
      <c r="B50" s="20" t="str">
        <f aca="false">IF($O50="","",IF($O50=0,INDEX(DayLines!$D$3:$D$608,MATCH(SMALL(DayLines!$C$3:$C$608,28),DayLines!$C$3:$C$608,0)),IF($O50=999,"",INDEX(DayLines!$E$3:$E$608,MATCH(SMALL(DayLines!$C$3:$C$608,28),DayLines!$C$3:$C$608,0)))))</f>
        <v/>
      </c>
      <c r="C50" s="16" t="str">
        <f aca="false">IF($O50="","",IF($O50=0,INDEX(DayLines!$E$3:$E$608,MATCH(SMALL(DayLines!$C$3:$C$608,28),DayLines!$C$3:$C$608,0)),IF($O50=999,"",INDEX(DayLines!$D$3:$D$608,MATCH(SMALL(DayLines!$C$3:$C$608,28),DayLines!$C$3:$C$608,0)))))</f>
        <v/>
      </c>
      <c r="D50" s="15" t="str">
        <f aca="false">IF(OR($O50="",$O50=0,$O50=999),"",INDEX(DayLines!$F$3:$F$608,MATCH(SMALL(DayLines!$C$3:$C$608,28),DayLines!$C$3:$C$608,0)))</f>
        <v/>
      </c>
      <c r="E50" s="21" t="str">
        <f aca="false">IF(OR($O50="",$O50=0,$O50=999),"",INDEX(DayLines!$G$3:$G$608,MATCH(SMALL(DayLines!$C$3:$C$608,28),DayLines!$C$3:$C$608,0)))</f>
        <v/>
      </c>
      <c r="F50" s="15"/>
      <c r="G50" s="15"/>
      <c r="H50" s="15"/>
      <c r="I50" s="15"/>
      <c r="J50" s="15"/>
      <c r="K50" s="15"/>
      <c r="L50" s="15"/>
      <c r="M50" s="15"/>
      <c r="N50" s="15"/>
      <c r="O50" s="22" t="str">
        <f aca="false">IFERROR(MOD(SMALL(DayLines!$C$3:$C$608,28),1000),"")</f>
        <v/>
      </c>
    </row>
    <row r="51" customFormat="false" ht="15" hidden="false" customHeight="false" outlineLevel="0" collapsed="false">
      <c r="A51" s="15"/>
      <c r="B51" s="20" t="str">
        <f aca="false">IF($O51="","",IF($O51=0,INDEX(DayLines!$D$3:$D$608,MATCH(SMALL(DayLines!$C$3:$C$608,29),DayLines!$C$3:$C$608,0)),IF($O51=999,"",INDEX(DayLines!$E$3:$E$608,MATCH(SMALL(DayLines!$C$3:$C$608,29),DayLines!$C$3:$C$608,0)))))</f>
        <v/>
      </c>
      <c r="C51" s="16" t="str">
        <f aca="false">IF($O51="","",IF($O51=0,INDEX(DayLines!$E$3:$E$608,MATCH(SMALL(DayLines!$C$3:$C$608,29),DayLines!$C$3:$C$608,0)),IF($O51=999,"",INDEX(DayLines!$D$3:$D$608,MATCH(SMALL(DayLines!$C$3:$C$608,29),DayLines!$C$3:$C$608,0)))))</f>
        <v/>
      </c>
      <c r="D51" s="15" t="str">
        <f aca="false">IF(OR($O51="",$O51=0,$O51=999),"",INDEX(DayLines!$F$3:$F$608,MATCH(SMALL(DayLines!$C$3:$C$608,29),DayLines!$C$3:$C$608,0)))</f>
        <v/>
      </c>
      <c r="E51" s="21" t="str">
        <f aca="false">IF(OR($O51="",$O51=0,$O51=999),"",INDEX(DayLines!$G$3:$G$608,MATCH(SMALL(DayLines!$C$3:$C$608,29),DayLines!$C$3:$C$608,0)))</f>
        <v/>
      </c>
      <c r="F51" s="15"/>
      <c r="G51" s="15"/>
      <c r="H51" s="15"/>
      <c r="I51" s="15"/>
      <c r="J51" s="15"/>
      <c r="K51" s="15"/>
      <c r="L51" s="15"/>
      <c r="M51" s="15"/>
      <c r="N51" s="15"/>
      <c r="O51" s="22" t="str">
        <f aca="false">IFERROR(MOD(SMALL(DayLines!$C$3:$C$608,29),1000),"")</f>
        <v/>
      </c>
    </row>
    <row r="52" customFormat="false" ht="15" hidden="false" customHeight="false" outlineLevel="0" collapsed="false">
      <c r="A52" s="15"/>
      <c r="B52" s="20" t="str">
        <f aca="false">IF($O52="","",IF($O52=0,INDEX(DayLines!$D$3:$D$608,MATCH(SMALL(DayLines!$C$3:$C$608,30),DayLines!$C$3:$C$608,0)),IF($O52=999,"",INDEX(DayLines!$E$3:$E$608,MATCH(SMALL(DayLines!$C$3:$C$608,30),DayLines!$C$3:$C$608,0)))))</f>
        <v/>
      </c>
      <c r="C52" s="16" t="str">
        <f aca="false">IF($O52="","",IF($O52=0,INDEX(DayLines!$E$3:$E$608,MATCH(SMALL(DayLines!$C$3:$C$608,30),DayLines!$C$3:$C$608,0)),IF($O52=999,"",INDEX(DayLines!$D$3:$D$608,MATCH(SMALL(DayLines!$C$3:$C$608,30),DayLines!$C$3:$C$608,0)))))</f>
        <v/>
      </c>
      <c r="D52" s="15" t="str">
        <f aca="false">IF(OR($O52="",$O52=0,$O52=999),"",INDEX(DayLines!$F$3:$F$608,MATCH(SMALL(DayLines!$C$3:$C$608,30),DayLines!$C$3:$C$608,0)))</f>
        <v/>
      </c>
      <c r="E52" s="21" t="str">
        <f aca="false">IF(OR($O52="",$O52=0,$O52=999),"",INDEX(DayLines!$G$3:$G$608,MATCH(SMALL(DayLines!$C$3:$C$608,30),DayLines!$C$3:$C$608,0)))</f>
        <v/>
      </c>
      <c r="F52" s="15"/>
      <c r="G52" s="15"/>
      <c r="H52" s="15"/>
      <c r="I52" s="15"/>
      <c r="J52" s="15"/>
      <c r="K52" s="15"/>
      <c r="L52" s="15"/>
      <c r="M52" s="15"/>
      <c r="N52" s="15"/>
      <c r="O52" s="22" t="str">
        <f aca="false">IFERROR(MOD(SMALL(DayLines!$C$3:$C$608,30),1000),"")</f>
        <v/>
      </c>
    </row>
    <row r="53" customFormat="false" ht="15" hidden="false" customHeight="false" outlineLevel="0" collapsed="false">
      <c r="A53" s="15"/>
      <c r="B53" s="20" t="str">
        <f aca="false">IF($O53="","",IF($O53=0,INDEX(DayLines!$D$3:$D$608,MATCH(SMALL(DayLines!$C$3:$C$608,31),DayLines!$C$3:$C$608,0)),IF($O53=999,"",INDEX(DayLines!$E$3:$E$608,MATCH(SMALL(DayLines!$C$3:$C$608,31),DayLines!$C$3:$C$608,0)))))</f>
        <v/>
      </c>
      <c r="C53" s="16" t="str">
        <f aca="false">IF($O53="","",IF($O53=0,INDEX(DayLines!$E$3:$E$608,MATCH(SMALL(DayLines!$C$3:$C$608,31),DayLines!$C$3:$C$608,0)),IF($O53=999,"",INDEX(DayLines!$D$3:$D$608,MATCH(SMALL(DayLines!$C$3:$C$608,31),DayLines!$C$3:$C$608,0)))))</f>
        <v/>
      </c>
      <c r="D53" s="15" t="str">
        <f aca="false">IF(OR($O53="",$O53=0,$O53=999),"",INDEX(DayLines!$F$3:$F$608,MATCH(SMALL(DayLines!$C$3:$C$608,31),DayLines!$C$3:$C$608,0)))</f>
        <v/>
      </c>
      <c r="E53" s="21" t="str">
        <f aca="false">IF(OR($O53="",$O53=0,$O53=999),"",INDEX(DayLines!$G$3:$G$608,MATCH(SMALL(DayLines!$C$3:$C$608,31),DayLines!$C$3:$C$608,0)))</f>
        <v/>
      </c>
      <c r="F53" s="15"/>
      <c r="G53" s="15"/>
      <c r="H53" s="15"/>
      <c r="I53" s="15"/>
      <c r="J53" s="15"/>
      <c r="K53" s="15"/>
      <c r="L53" s="15"/>
      <c r="M53" s="15"/>
      <c r="N53" s="15"/>
      <c r="O53" s="22" t="str">
        <f aca="false">IFERROR(MOD(SMALL(DayLines!$C$3:$C$608,31),1000),"")</f>
        <v/>
      </c>
    </row>
    <row r="54" customFormat="false" ht="15" hidden="false" customHeight="false" outlineLevel="0" collapsed="false">
      <c r="A54" s="15"/>
      <c r="B54" s="20" t="str">
        <f aca="false">IF($O54="","",IF($O54=0,INDEX(DayLines!$D$3:$D$608,MATCH(SMALL(DayLines!$C$3:$C$608,32),DayLines!$C$3:$C$608,0)),IF($O54=999,"",INDEX(DayLines!$E$3:$E$608,MATCH(SMALL(DayLines!$C$3:$C$608,32),DayLines!$C$3:$C$608,0)))))</f>
        <v/>
      </c>
      <c r="C54" s="16" t="str">
        <f aca="false">IF($O54="","",IF($O54=0,INDEX(DayLines!$E$3:$E$608,MATCH(SMALL(DayLines!$C$3:$C$608,32),DayLines!$C$3:$C$608,0)),IF($O54=999,"",INDEX(DayLines!$D$3:$D$608,MATCH(SMALL(DayLines!$C$3:$C$608,32),DayLines!$C$3:$C$608,0)))))</f>
        <v/>
      </c>
      <c r="D54" s="15" t="str">
        <f aca="false">IF(OR($O54="",$O54=0,$O54=999),"",INDEX(DayLines!$F$3:$F$608,MATCH(SMALL(DayLines!$C$3:$C$608,32),DayLines!$C$3:$C$608,0)))</f>
        <v/>
      </c>
      <c r="E54" s="21" t="str">
        <f aca="false">IF(OR($O54="",$O54=0,$O54=999),"",INDEX(DayLines!$G$3:$G$608,MATCH(SMALL(DayLines!$C$3:$C$608,32),DayLines!$C$3:$C$608,0)))</f>
        <v/>
      </c>
      <c r="F54" s="15"/>
      <c r="G54" s="15"/>
      <c r="H54" s="15"/>
      <c r="I54" s="15"/>
      <c r="J54" s="15"/>
      <c r="K54" s="15"/>
      <c r="L54" s="15"/>
      <c r="M54" s="15"/>
      <c r="N54" s="15"/>
      <c r="O54" s="22" t="str">
        <f aca="false">IFERROR(MOD(SMALL(DayLines!$C$3:$C$608,32),1000),"")</f>
        <v/>
      </c>
    </row>
    <row r="55" customFormat="false" ht="15" hidden="false" customHeight="false" outlineLevel="0" collapsed="false">
      <c r="A55" s="15"/>
      <c r="B55" s="20" t="str">
        <f aca="false">IF($O55="","",IF($O55=0,INDEX(DayLines!$D$3:$D$608,MATCH(SMALL(DayLines!$C$3:$C$608,33),DayLines!$C$3:$C$608,0)),IF($O55=999,"",INDEX(DayLines!$E$3:$E$608,MATCH(SMALL(DayLines!$C$3:$C$608,33),DayLines!$C$3:$C$608,0)))))</f>
        <v/>
      </c>
      <c r="C55" s="16" t="str">
        <f aca="false">IF($O55="","",IF($O55=0,INDEX(DayLines!$E$3:$E$608,MATCH(SMALL(DayLines!$C$3:$C$608,33),DayLines!$C$3:$C$608,0)),IF($O55=999,"",INDEX(DayLines!$D$3:$D$608,MATCH(SMALL(DayLines!$C$3:$C$608,33),DayLines!$C$3:$C$608,0)))))</f>
        <v/>
      </c>
      <c r="D55" s="15" t="str">
        <f aca="false">IF(OR($O55="",$O55=0,$O55=999),"",INDEX(DayLines!$F$3:$F$608,MATCH(SMALL(DayLines!$C$3:$C$608,33),DayLines!$C$3:$C$608,0)))</f>
        <v/>
      </c>
      <c r="E55" s="21" t="str">
        <f aca="false">IF(OR($O55="",$O55=0,$O55=999),"",INDEX(DayLines!$G$3:$G$608,MATCH(SMALL(DayLines!$C$3:$C$608,33),DayLines!$C$3:$C$608,0)))</f>
        <v/>
      </c>
      <c r="F55" s="15"/>
      <c r="G55" s="15"/>
      <c r="H55" s="15"/>
      <c r="I55" s="15"/>
      <c r="J55" s="15"/>
      <c r="K55" s="15"/>
      <c r="L55" s="15"/>
      <c r="M55" s="15"/>
      <c r="N55" s="15"/>
      <c r="O55" s="22" t="str">
        <f aca="false">IFERROR(MOD(SMALL(DayLines!$C$3:$C$608,33),1000),"")</f>
        <v/>
      </c>
    </row>
    <row r="56" customFormat="false" ht="15" hidden="false" customHeight="false" outlineLevel="0" collapsed="false">
      <c r="A56" s="15"/>
      <c r="B56" s="20" t="str">
        <f aca="false">IF($O56="","",IF($O56=0,INDEX(DayLines!$D$3:$D$608,MATCH(SMALL(DayLines!$C$3:$C$608,34),DayLines!$C$3:$C$608,0)),IF($O56=999,"",INDEX(DayLines!$E$3:$E$608,MATCH(SMALL(DayLines!$C$3:$C$608,34),DayLines!$C$3:$C$608,0)))))</f>
        <v/>
      </c>
      <c r="C56" s="16" t="str">
        <f aca="false">IF($O56="","",IF($O56=0,INDEX(DayLines!$E$3:$E$608,MATCH(SMALL(DayLines!$C$3:$C$608,34),DayLines!$C$3:$C$608,0)),IF($O56=999,"",INDEX(DayLines!$D$3:$D$608,MATCH(SMALL(DayLines!$C$3:$C$608,34),DayLines!$C$3:$C$608,0)))))</f>
        <v/>
      </c>
      <c r="D56" s="15" t="str">
        <f aca="false">IF(OR($O56="",$O56=0,$O56=999),"",INDEX(DayLines!$F$3:$F$608,MATCH(SMALL(DayLines!$C$3:$C$608,34),DayLines!$C$3:$C$608,0)))</f>
        <v/>
      </c>
      <c r="E56" s="21" t="str">
        <f aca="false">IF(OR($O56="",$O56=0,$O56=999),"",INDEX(DayLines!$G$3:$G$608,MATCH(SMALL(DayLines!$C$3:$C$608,34),DayLines!$C$3:$C$608,0)))</f>
        <v/>
      </c>
      <c r="F56" s="15"/>
      <c r="G56" s="15"/>
      <c r="H56" s="15"/>
      <c r="I56" s="15"/>
      <c r="J56" s="15"/>
      <c r="K56" s="15"/>
      <c r="L56" s="15"/>
      <c r="M56" s="15"/>
      <c r="N56" s="15"/>
      <c r="O56" s="22" t="str">
        <f aca="false">IFERROR(MOD(SMALL(DayLines!$C$3:$C$608,34),1000),"")</f>
        <v/>
      </c>
    </row>
    <row r="57" customFormat="false" ht="15" hidden="false" customHeight="false" outlineLevel="0" collapsed="false">
      <c r="A57" s="15"/>
      <c r="B57" s="20" t="str">
        <f aca="false">IF($O57="","",IF($O57=0,INDEX(DayLines!$D$3:$D$608,MATCH(SMALL(DayLines!$C$3:$C$608,35),DayLines!$C$3:$C$608,0)),IF($O57=999,"",INDEX(DayLines!$E$3:$E$608,MATCH(SMALL(DayLines!$C$3:$C$608,35),DayLines!$C$3:$C$608,0)))))</f>
        <v/>
      </c>
      <c r="C57" s="16" t="str">
        <f aca="false">IF($O57="","",IF($O57=0,INDEX(DayLines!$E$3:$E$608,MATCH(SMALL(DayLines!$C$3:$C$608,35),DayLines!$C$3:$C$608,0)),IF($O57=999,"",INDEX(DayLines!$D$3:$D$608,MATCH(SMALL(DayLines!$C$3:$C$608,35),DayLines!$C$3:$C$608,0)))))</f>
        <v/>
      </c>
      <c r="D57" s="15" t="str">
        <f aca="false">IF(OR($O57="",$O57=0,$O57=999),"",INDEX(DayLines!$F$3:$F$608,MATCH(SMALL(DayLines!$C$3:$C$608,35),DayLines!$C$3:$C$608,0)))</f>
        <v/>
      </c>
      <c r="E57" s="21" t="str">
        <f aca="false">IF(OR($O57="",$O57=0,$O57=999),"",INDEX(DayLines!$G$3:$G$608,MATCH(SMALL(DayLines!$C$3:$C$608,35),DayLines!$C$3:$C$608,0)))</f>
        <v/>
      </c>
      <c r="F57" s="15"/>
      <c r="G57" s="15"/>
      <c r="H57" s="15"/>
      <c r="I57" s="15"/>
      <c r="J57" s="15"/>
      <c r="K57" s="15"/>
      <c r="L57" s="15"/>
      <c r="M57" s="15"/>
      <c r="N57" s="15"/>
      <c r="O57" s="22" t="str">
        <f aca="false">IFERROR(MOD(SMALL(DayLines!$C$3:$C$608,35),1000),"")</f>
        <v/>
      </c>
    </row>
    <row r="58" customFormat="false" ht="15" hidden="false" customHeight="false" outlineLevel="0" collapsed="false">
      <c r="A58" s="15"/>
      <c r="B58" s="20" t="str">
        <f aca="false">IF($O58="","",IF($O58=0,INDEX(DayLines!$D$3:$D$608,MATCH(SMALL(DayLines!$C$3:$C$608,36),DayLines!$C$3:$C$608,0)),IF($O58=999,"",INDEX(DayLines!$E$3:$E$608,MATCH(SMALL(DayLines!$C$3:$C$608,36),DayLines!$C$3:$C$608,0)))))</f>
        <v/>
      </c>
      <c r="C58" s="16" t="str">
        <f aca="false">IF($O58="","",IF($O58=0,INDEX(DayLines!$E$3:$E$608,MATCH(SMALL(DayLines!$C$3:$C$608,36),DayLines!$C$3:$C$608,0)),IF($O58=999,"",INDEX(DayLines!$D$3:$D$608,MATCH(SMALL(DayLines!$C$3:$C$608,36),DayLines!$C$3:$C$608,0)))))</f>
        <v/>
      </c>
      <c r="D58" s="15" t="str">
        <f aca="false">IF(OR($O58="",$O58=0,$O58=999),"",INDEX(DayLines!$F$3:$F$608,MATCH(SMALL(DayLines!$C$3:$C$608,36),DayLines!$C$3:$C$608,0)))</f>
        <v/>
      </c>
      <c r="E58" s="21" t="str">
        <f aca="false">IF(OR($O58="",$O58=0,$O58=999),"",INDEX(DayLines!$G$3:$G$608,MATCH(SMALL(DayLines!$C$3:$C$608,36),DayLines!$C$3:$C$608,0)))</f>
        <v/>
      </c>
      <c r="F58" s="15"/>
      <c r="G58" s="15"/>
      <c r="H58" s="15"/>
      <c r="I58" s="15"/>
      <c r="J58" s="15"/>
      <c r="K58" s="15"/>
      <c r="L58" s="15"/>
      <c r="M58" s="15"/>
      <c r="N58" s="15"/>
      <c r="O58" s="22" t="str">
        <f aca="false">IFERROR(MOD(SMALL(DayLines!$C$3:$C$608,36),1000),"")</f>
        <v/>
      </c>
    </row>
    <row r="59" customFormat="false" ht="15" hidden="false" customHeight="false" outlineLevel="0" collapsed="false">
      <c r="A59" s="15"/>
      <c r="B59" s="20" t="str">
        <f aca="false">IF($O59="","",IF($O59=0,INDEX(DayLines!$D$3:$D$608,MATCH(SMALL(DayLines!$C$3:$C$608,37),DayLines!$C$3:$C$608,0)),IF($O59=999,"",INDEX(DayLines!$E$3:$E$608,MATCH(SMALL(DayLines!$C$3:$C$608,37),DayLines!$C$3:$C$608,0)))))</f>
        <v/>
      </c>
      <c r="C59" s="16" t="str">
        <f aca="false">IF($O59="","",IF($O59=0,INDEX(DayLines!$E$3:$E$608,MATCH(SMALL(DayLines!$C$3:$C$608,37),DayLines!$C$3:$C$608,0)),IF($O59=999,"",INDEX(DayLines!$D$3:$D$608,MATCH(SMALL(DayLines!$C$3:$C$608,37),DayLines!$C$3:$C$608,0)))))</f>
        <v/>
      </c>
      <c r="D59" s="15" t="str">
        <f aca="false">IF(OR($O59="",$O59=0,$O59=999),"",INDEX(DayLines!$F$3:$F$608,MATCH(SMALL(DayLines!$C$3:$C$608,37),DayLines!$C$3:$C$608,0)))</f>
        <v/>
      </c>
      <c r="E59" s="21" t="str">
        <f aca="false">IF(OR($O59="",$O59=0,$O59=999),"",INDEX(DayLines!$G$3:$G$608,MATCH(SMALL(DayLines!$C$3:$C$608,37),DayLines!$C$3:$C$608,0)))</f>
        <v/>
      </c>
      <c r="F59" s="15"/>
      <c r="G59" s="15"/>
      <c r="H59" s="15"/>
      <c r="I59" s="15"/>
      <c r="J59" s="15"/>
      <c r="K59" s="15"/>
      <c r="L59" s="15"/>
      <c r="M59" s="15"/>
      <c r="N59" s="15"/>
      <c r="O59" s="22" t="str">
        <f aca="false">IFERROR(MOD(SMALL(DayLines!$C$3:$C$608,37),1000),"")</f>
        <v/>
      </c>
    </row>
    <row r="60" customFormat="false" ht="15" hidden="false" customHeight="false" outlineLevel="0" collapsed="false">
      <c r="A60" s="15"/>
      <c r="B60" s="20" t="str">
        <f aca="false">IF($O60="","",IF($O60=0,INDEX(DayLines!$D$3:$D$608,MATCH(SMALL(DayLines!$C$3:$C$608,38),DayLines!$C$3:$C$608,0)),IF($O60=999,"",INDEX(DayLines!$E$3:$E$608,MATCH(SMALL(DayLines!$C$3:$C$608,38),DayLines!$C$3:$C$608,0)))))</f>
        <v/>
      </c>
      <c r="C60" s="16" t="str">
        <f aca="false">IF($O60="","",IF($O60=0,INDEX(DayLines!$E$3:$E$608,MATCH(SMALL(DayLines!$C$3:$C$608,38),DayLines!$C$3:$C$608,0)),IF($O60=999,"",INDEX(DayLines!$D$3:$D$608,MATCH(SMALL(DayLines!$C$3:$C$608,38),DayLines!$C$3:$C$608,0)))))</f>
        <v/>
      </c>
      <c r="D60" s="15" t="str">
        <f aca="false">IF(OR($O60="",$O60=0,$O60=999),"",INDEX(DayLines!$F$3:$F$608,MATCH(SMALL(DayLines!$C$3:$C$608,38),DayLines!$C$3:$C$608,0)))</f>
        <v/>
      </c>
      <c r="E60" s="21" t="str">
        <f aca="false">IF(OR($O60="",$O60=0,$O60=999),"",INDEX(DayLines!$G$3:$G$608,MATCH(SMALL(DayLines!$C$3:$C$608,38),DayLines!$C$3:$C$608,0)))</f>
        <v/>
      </c>
      <c r="F60" s="15"/>
      <c r="G60" s="15"/>
      <c r="H60" s="15"/>
      <c r="I60" s="15"/>
      <c r="J60" s="15"/>
      <c r="K60" s="15"/>
      <c r="L60" s="15"/>
      <c r="M60" s="15"/>
      <c r="N60" s="15"/>
      <c r="O60" s="22" t="str">
        <f aca="false">IFERROR(MOD(SMALL(DayLines!$C$3:$C$608,38),1000),"")</f>
        <v/>
      </c>
    </row>
    <row r="61" customFormat="false" ht="15" hidden="false" customHeight="false" outlineLevel="0" collapsed="false">
      <c r="A61" s="15"/>
      <c r="B61" s="20" t="str">
        <f aca="false">IF($O61="","",IF($O61=0,INDEX(DayLines!$D$3:$D$608,MATCH(SMALL(DayLines!$C$3:$C$608,39),DayLines!$C$3:$C$608,0)),IF($O61=999,"",INDEX(DayLines!$E$3:$E$608,MATCH(SMALL(DayLines!$C$3:$C$608,39),DayLines!$C$3:$C$608,0)))))</f>
        <v/>
      </c>
      <c r="C61" s="16" t="str">
        <f aca="false">IF($O61="","",IF($O61=0,INDEX(DayLines!$E$3:$E$608,MATCH(SMALL(DayLines!$C$3:$C$608,39),DayLines!$C$3:$C$608,0)),IF($O61=999,"",INDEX(DayLines!$D$3:$D$608,MATCH(SMALL(DayLines!$C$3:$C$608,39),DayLines!$C$3:$C$608,0)))))</f>
        <v/>
      </c>
      <c r="D61" s="15" t="str">
        <f aca="false">IF(OR($O61="",$O61=0,$O61=999),"",INDEX(DayLines!$F$3:$F$608,MATCH(SMALL(DayLines!$C$3:$C$608,39),DayLines!$C$3:$C$608,0)))</f>
        <v/>
      </c>
      <c r="E61" s="21" t="str">
        <f aca="false">IF(OR($O61="",$O61=0,$O61=999),"",INDEX(DayLines!$G$3:$G$608,MATCH(SMALL(DayLines!$C$3:$C$608,39),DayLines!$C$3:$C$608,0)))</f>
        <v/>
      </c>
      <c r="F61" s="15"/>
      <c r="G61" s="15"/>
      <c r="H61" s="15"/>
      <c r="I61" s="15"/>
      <c r="J61" s="15"/>
      <c r="K61" s="15"/>
      <c r="L61" s="15"/>
      <c r="M61" s="15"/>
      <c r="N61" s="15"/>
      <c r="O61" s="22" t="str">
        <f aca="false">IFERROR(MOD(SMALL(DayLines!$C$3:$C$608,39),1000),"")</f>
        <v/>
      </c>
    </row>
    <row r="62" customFormat="false" ht="15" hidden="false" customHeight="false" outlineLevel="0" collapsed="false">
      <c r="A62" s="15"/>
      <c r="B62" s="20" t="str">
        <f aca="false">IF($O62="","",IF($O62=0,INDEX(DayLines!$D$3:$D$608,MATCH(SMALL(DayLines!$C$3:$C$608,40),DayLines!$C$3:$C$608,0)),IF($O62=999,"",INDEX(DayLines!$E$3:$E$608,MATCH(SMALL(DayLines!$C$3:$C$608,40),DayLines!$C$3:$C$608,0)))))</f>
        <v/>
      </c>
      <c r="C62" s="16" t="str">
        <f aca="false">IF($O62="","",IF($O62=0,INDEX(DayLines!$E$3:$E$608,MATCH(SMALL(DayLines!$C$3:$C$608,40),DayLines!$C$3:$C$608,0)),IF($O62=999,"",INDEX(DayLines!$D$3:$D$608,MATCH(SMALL(DayLines!$C$3:$C$608,40),DayLines!$C$3:$C$608,0)))))</f>
        <v/>
      </c>
      <c r="D62" s="15" t="str">
        <f aca="false">IF(OR($O62="",$O62=0,$O62=999),"",INDEX(DayLines!$F$3:$F$608,MATCH(SMALL(DayLines!$C$3:$C$608,40),DayLines!$C$3:$C$608,0)))</f>
        <v/>
      </c>
      <c r="E62" s="21" t="str">
        <f aca="false">IF(OR($O62="",$O62=0,$O62=999),"",INDEX(DayLines!$G$3:$G$608,MATCH(SMALL(DayLines!$C$3:$C$608,40),DayLines!$C$3:$C$608,0)))</f>
        <v/>
      </c>
      <c r="F62" s="15"/>
      <c r="G62" s="15"/>
      <c r="H62" s="15"/>
      <c r="I62" s="15"/>
      <c r="J62" s="15"/>
      <c r="K62" s="15"/>
      <c r="L62" s="15"/>
      <c r="M62" s="15"/>
      <c r="N62" s="15"/>
      <c r="O62" s="22" t="str">
        <f aca="false">IFERROR(MOD(SMALL(DayLines!$C$3:$C$608,40),1000),"")</f>
        <v/>
      </c>
    </row>
    <row r="63" customFormat="false" ht="15" hidden="false" customHeight="false" outlineLevel="0" collapsed="false">
      <c r="A63" s="15"/>
      <c r="B63" s="20" t="str">
        <f aca="false">IF($O63="","",IF($O63=0,INDEX(DayLines!$D$3:$D$608,MATCH(SMALL(DayLines!$C$3:$C$608,41),DayLines!$C$3:$C$608,0)),IF($O63=999,"",INDEX(DayLines!$E$3:$E$608,MATCH(SMALL(DayLines!$C$3:$C$608,41),DayLines!$C$3:$C$608,0)))))</f>
        <v/>
      </c>
      <c r="C63" s="16" t="str">
        <f aca="false">IF($O63="","",IF($O63=0,INDEX(DayLines!$E$3:$E$608,MATCH(SMALL(DayLines!$C$3:$C$608,41),DayLines!$C$3:$C$608,0)),IF($O63=999,"",INDEX(DayLines!$D$3:$D$608,MATCH(SMALL(DayLines!$C$3:$C$608,41),DayLines!$C$3:$C$608,0)))))</f>
        <v/>
      </c>
      <c r="D63" s="15" t="str">
        <f aca="false">IF(OR($O63="",$O63=0,$O63=999),"",INDEX(DayLines!$F$3:$F$608,MATCH(SMALL(DayLines!$C$3:$C$608,41),DayLines!$C$3:$C$608,0)))</f>
        <v/>
      </c>
      <c r="E63" s="21" t="str">
        <f aca="false">IF(OR($O63="",$O63=0,$O63=999),"",INDEX(DayLines!$G$3:$G$608,MATCH(SMALL(DayLines!$C$3:$C$608,41),DayLines!$C$3:$C$608,0)))</f>
        <v/>
      </c>
      <c r="F63" s="15"/>
      <c r="G63" s="15"/>
      <c r="H63" s="15"/>
      <c r="I63" s="15"/>
      <c r="J63" s="15"/>
      <c r="K63" s="15"/>
      <c r="L63" s="15"/>
      <c r="M63" s="15"/>
      <c r="N63" s="15"/>
      <c r="O63" s="22" t="str">
        <f aca="false">IFERROR(MOD(SMALL(DayLines!$C$3:$C$608,41),1000),"")</f>
        <v/>
      </c>
    </row>
    <row r="64" customFormat="false" ht="15" hidden="false" customHeight="false" outlineLevel="0" collapsed="false">
      <c r="A64" s="15"/>
      <c r="B64" s="20" t="str">
        <f aca="false">IF($O64="","",IF($O64=0,INDEX(DayLines!$D$3:$D$608,MATCH(SMALL(DayLines!$C$3:$C$608,42),DayLines!$C$3:$C$608,0)),IF($O64=999,"",INDEX(DayLines!$E$3:$E$608,MATCH(SMALL(DayLines!$C$3:$C$608,42),DayLines!$C$3:$C$608,0)))))</f>
        <v/>
      </c>
      <c r="C64" s="16" t="str">
        <f aca="false">IF($O64="","",IF($O64=0,INDEX(DayLines!$E$3:$E$608,MATCH(SMALL(DayLines!$C$3:$C$608,42),DayLines!$C$3:$C$608,0)),IF($O64=999,"",INDEX(DayLines!$D$3:$D$608,MATCH(SMALL(DayLines!$C$3:$C$608,42),DayLines!$C$3:$C$608,0)))))</f>
        <v/>
      </c>
      <c r="D64" s="15" t="str">
        <f aca="false">IF(OR($O64="",$O64=0,$O64=999),"",INDEX(DayLines!$F$3:$F$608,MATCH(SMALL(DayLines!$C$3:$C$608,42),DayLines!$C$3:$C$608,0)))</f>
        <v/>
      </c>
      <c r="E64" s="21" t="str">
        <f aca="false">IF(OR($O64="",$O64=0,$O64=999),"",INDEX(DayLines!$G$3:$G$608,MATCH(SMALL(DayLines!$C$3:$C$608,42),DayLines!$C$3:$C$608,0)))</f>
        <v/>
      </c>
      <c r="F64" s="15"/>
      <c r="G64" s="15"/>
      <c r="H64" s="15"/>
      <c r="I64" s="15"/>
      <c r="J64" s="15"/>
      <c r="K64" s="15"/>
      <c r="L64" s="15"/>
      <c r="M64" s="15"/>
      <c r="N64" s="15"/>
      <c r="O64" s="22" t="str">
        <f aca="false">IFERROR(MOD(SMALL(DayLines!$C$3:$C$608,42),1000),"")</f>
        <v/>
      </c>
    </row>
    <row r="65" customFormat="false" ht="15" hidden="false" customHeight="false" outlineLevel="0" collapsed="false">
      <c r="A65" s="15"/>
      <c r="B65" s="20" t="str">
        <f aca="false">IF($O65="","",IF($O65=0,INDEX(DayLines!$D$3:$D$608,MATCH(SMALL(DayLines!$C$3:$C$608,43),DayLines!$C$3:$C$608,0)),IF($O65=999,"",INDEX(DayLines!$E$3:$E$608,MATCH(SMALL(DayLines!$C$3:$C$608,43),DayLines!$C$3:$C$608,0)))))</f>
        <v/>
      </c>
      <c r="C65" s="16" t="str">
        <f aca="false">IF($O65="","",IF($O65=0,INDEX(DayLines!$E$3:$E$608,MATCH(SMALL(DayLines!$C$3:$C$608,43),DayLines!$C$3:$C$608,0)),IF($O65=999,"",INDEX(DayLines!$D$3:$D$608,MATCH(SMALL(DayLines!$C$3:$C$608,43),DayLines!$C$3:$C$608,0)))))</f>
        <v/>
      </c>
      <c r="D65" s="15" t="str">
        <f aca="false">IF(OR($O65="",$O65=0,$O65=999),"",INDEX(DayLines!$F$3:$F$608,MATCH(SMALL(DayLines!$C$3:$C$608,43),DayLines!$C$3:$C$608,0)))</f>
        <v/>
      </c>
      <c r="E65" s="21" t="str">
        <f aca="false">IF(OR($O65="",$O65=0,$O65=999),"",INDEX(DayLines!$G$3:$G$608,MATCH(SMALL(DayLines!$C$3:$C$608,43),DayLines!$C$3:$C$608,0)))</f>
        <v/>
      </c>
      <c r="F65" s="15"/>
      <c r="G65" s="15"/>
      <c r="H65" s="15"/>
      <c r="I65" s="15"/>
      <c r="J65" s="15"/>
      <c r="K65" s="15"/>
      <c r="L65" s="15"/>
      <c r="M65" s="15"/>
      <c r="N65" s="15"/>
      <c r="O65" s="22" t="str">
        <f aca="false">IFERROR(MOD(SMALL(DayLines!$C$3:$C$608,43),1000),"")</f>
        <v/>
      </c>
    </row>
    <row r="66" customFormat="false" ht="15" hidden="false" customHeight="false" outlineLevel="0" collapsed="false">
      <c r="A66" s="15"/>
      <c r="B66" s="20" t="str">
        <f aca="false">IF($O66="","",IF($O66=0,INDEX(DayLines!$D$3:$D$608,MATCH(SMALL(DayLines!$C$3:$C$608,44),DayLines!$C$3:$C$608,0)),IF($O66=999,"",INDEX(DayLines!$E$3:$E$608,MATCH(SMALL(DayLines!$C$3:$C$608,44),DayLines!$C$3:$C$608,0)))))</f>
        <v/>
      </c>
      <c r="C66" s="16" t="str">
        <f aca="false">IF($O66="","",IF($O66=0,INDEX(DayLines!$E$3:$E$608,MATCH(SMALL(DayLines!$C$3:$C$608,44),DayLines!$C$3:$C$608,0)),IF($O66=999,"",INDEX(DayLines!$D$3:$D$608,MATCH(SMALL(DayLines!$C$3:$C$608,44),DayLines!$C$3:$C$608,0)))))</f>
        <v/>
      </c>
      <c r="D66" s="15" t="str">
        <f aca="false">IF(OR($O66="",$O66=0,$O66=999),"",INDEX(DayLines!$F$3:$F$608,MATCH(SMALL(DayLines!$C$3:$C$608,44),DayLines!$C$3:$C$608,0)))</f>
        <v/>
      </c>
      <c r="E66" s="21" t="str">
        <f aca="false">IF(OR($O66="",$O66=0,$O66=999),"",INDEX(DayLines!$G$3:$G$608,MATCH(SMALL(DayLines!$C$3:$C$608,44),DayLines!$C$3:$C$608,0)))</f>
        <v/>
      </c>
      <c r="F66" s="15"/>
      <c r="G66" s="15"/>
      <c r="H66" s="15"/>
      <c r="I66" s="15"/>
      <c r="J66" s="15"/>
      <c r="K66" s="15"/>
      <c r="L66" s="15"/>
      <c r="M66" s="15"/>
      <c r="N66" s="15"/>
      <c r="O66" s="22" t="str">
        <f aca="false">IFERROR(MOD(SMALL(DayLines!$C$3:$C$608,44),1000),"")</f>
        <v/>
      </c>
    </row>
    <row r="67" customFormat="false" ht="15" hidden="false" customHeight="false" outlineLevel="0" collapsed="false">
      <c r="A67" s="15"/>
      <c r="B67" s="20" t="str">
        <f aca="false">IF($O67="","",IF($O67=0,INDEX(DayLines!$D$3:$D$608,MATCH(SMALL(DayLines!$C$3:$C$608,45),DayLines!$C$3:$C$608,0)),IF($O67=999,"",INDEX(DayLines!$E$3:$E$608,MATCH(SMALL(DayLines!$C$3:$C$608,45),DayLines!$C$3:$C$608,0)))))</f>
        <v/>
      </c>
      <c r="C67" s="16" t="str">
        <f aca="false">IF($O67="","",IF($O67=0,INDEX(DayLines!$E$3:$E$608,MATCH(SMALL(DayLines!$C$3:$C$608,45),DayLines!$C$3:$C$608,0)),IF($O67=999,"",INDEX(DayLines!$D$3:$D$608,MATCH(SMALL(DayLines!$C$3:$C$608,45),DayLines!$C$3:$C$608,0)))))</f>
        <v/>
      </c>
      <c r="D67" s="15" t="str">
        <f aca="false">IF(OR($O67="",$O67=0,$O67=999),"",INDEX(DayLines!$F$3:$F$608,MATCH(SMALL(DayLines!$C$3:$C$608,45),DayLines!$C$3:$C$608,0)))</f>
        <v/>
      </c>
      <c r="E67" s="21" t="str">
        <f aca="false">IF(OR($O67="",$O67=0,$O67=999),"",INDEX(DayLines!$G$3:$G$608,MATCH(SMALL(DayLines!$C$3:$C$608,45),DayLines!$C$3:$C$608,0)))</f>
        <v/>
      </c>
      <c r="F67" s="15"/>
      <c r="G67" s="15"/>
      <c r="H67" s="15"/>
      <c r="I67" s="15"/>
      <c r="J67" s="15"/>
      <c r="K67" s="15"/>
      <c r="L67" s="15"/>
      <c r="M67" s="15"/>
      <c r="N67" s="15"/>
      <c r="O67" s="22" t="str">
        <f aca="false">IFERROR(MOD(SMALL(DayLines!$C$3:$C$608,45),1000),"")</f>
        <v/>
      </c>
    </row>
    <row r="68" customFormat="false" ht="15" hidden="false" customHeight="false" outlineLevel="0" collapsed="false">
      <c r="A68" s="15"/>
      <c r="B68" s="20" t="str">
        <f aca="false">IF($O68="","",IF($O68=0,INDEX(DayLines!$D$3:$D$608,MATCH(SMALL(DayLines!$C$3:$C$608,46),DayLines!$C$3:$C$608,0)),IF($O68=999,"",INDEX(DayLines!$E$3:$E$608,MATCH(SMALL(DayLines!$C$3:$C$608,46),DayLines!$C$3:$C$608,0)))))</f>
        <v/>
      </c>
      <c r="C68" s="16" t="str">
        <f aca="false">IF($O68="","",IF($O68=0,INDEX(DayLines!$E$3:$E$608,MATCH(SMALL(DayLines!$C$3:$C$608,46),DayLines!$C$3:$C$608,0)),IF($O68=999,"",INDEX(DayLines!$D$3:$D$608,MATCH(SMALL(DayLines!$C$3:$C$608,46),DayLines!$C$3:$C$608,0)))))</f>
        <v/>
      </c>
      <c r="D68" s="15" t="str">
        <f aca="false">IF(OR($O68="",$O68=0,$O68=999),"",INDEX(DayLines!$F$3:$F$608,MATCH(SMALL(DayLines!$C$3:$C$608,46),DayLines!$C$3:$C$608,0)))</f>
        <v/>
      </c>
      <c r="E68" s="21" t="str">
        <f aca="false">IF(OR($O68="",$O68=0,$O68=999),"",INDEX(DayLines!$G$3:$G$608,MATCH(SMALL(DayLines!$C$3:$C$608,46),DayLines!$C$3:$C$608,0)))</f>
        <v/>
      </c>
      <c r="F68" s="15"/>
      <c r="G68" s="15"/>
      <c r="H68" s="15"/>
      <c r="I68" s="15"/>
      <c r="J68" s="15"/>
      <c r="K68" s="15"/>
      <c r="L68" s="15"/>
      <c r="M68" s="15"/>
      <c r="N68" s="15"/>
      <c r="O68" s="22" t="str">
        <f aca="false">IFERROR(MOD(SMALL(DayLines!$C$3:$C$608,46),1000),"")</f>
        <v/>
      </c>
    </row>
    <row r="69" customFormat="false" ht="15" hidden="false" customHeight="false" outlineLevel="0" collapsed="false">
      <c r="A69" s="15"/>
      <c r="B69" s="20" t="str">
        <f aca="false">IF($O69="","",IF($O69=0,INDEX(DayLines!$D$3:$D$608,MATCH(SMALL(DayLines!$C$3:$C$608,47),DayLines!$C$3:$C$608,0)),IF($O69=999,"",INDEX(DayLines!$E$3:$E$608,MATCH(SMALL(DayLines!$C$3:$C$608,47),DayLines!$C$3:$C$608,0)))))</f>
        <v/>
      </c>
      <c r="C69" s="16" t="str">
        <f aca="false">IF($O69="","",IF($O69=0,INDEX(DayLines!$E$3:$E$608,MATCH(SMALL(DayLines!$C$3:$C$608,47),DayLines!$C$3:$C$608,0)),IF($O69=999,"",INDEX(DayLines!$D$3:$D$608,MATCH(SMALL(DayLines!$C$3:$C$608,47),DayLines!$C$3:$C$608,0)))))</f>
        <v/>
      </c>
      <c r="D69" s="15" t="str">
        <f aca="false">IF(OR($O69="",$O69=0,$O69=999),"",INDEX(DayLines!$F$3:$F$608,MATCH(SMALL(DayLines!$C$3:$C$608,47),DayLines!$C$3:$C$608,0)))</f>
        <v/>
      </c>
      <c r="E69" s="21" t="str">
        <f aca="false">IF(OR($O69="",$O69=0,$O69=999),"",INDEX(DayLines!$G$3:$G$608,MATCH(SMALL(DayLines!$C$3:$C$608,47),DayLines!$C$3:$C$608,0)))</f>
        <v/>
      </c>
      <c r="F69" s="15"/>
      <c r="G69" s="15"/>
      <c r="H69" s="15"/>
      <c r="I69" s="15"/>
      <c r="J69" s="15"/>
      <c r="K69" s="15"/>
      <c r="L69" s="15"/>
      <c r="M69" s="15"/>
      <c r="N69" s="15"/>
      <c r="O69" s="22" t="str">
        <f aca="false">IFERROR(MOD(SMALL(DayLines!$C$3:$C$608,47),1000),"")</f>
        <v/>
      </c>
    </row>
    <row r="70" customFormat="false" ht="15" hidden="false" customHeight="false" outlineLevel="0" collapsed="false">
      <c r="A70" s="15"/>
      <c r="B70" s="20" t="str">
        <f aca="false">IF($O70="","",IF($O70=0,INDEX(DayLines!$D$3:$D$608,MATCH(SMALL(DayLines!$C$3:$C$608,48),DayLines!$C$3:$C$608,0)),IF($O70=999,"",INDEX(DayLines!$E$3:$E$608,MATCH(SMALL(DayLines!$C$3:$C$608,48),DayLines!$C$3:$C$608,0)))))</f>
        <v/>
      </c>
      <c r="C70" s="16" t="str">
        <f aca="false">IF($O70="","",IF($O70=0,INDEX(DayLines!$E$3:$E$608,MATCH(SMALL(DayLines!$C$3:$C$608,48),DayLines!$C$3:$C$608,0)),IF($O70=999,"",INDEX(DayLines!$D$3:$D$608,MATCH(SMALL(DayLines!$C$3:$C$608,48),DayLines!$C$3:$C$608,0)))))</f>
        <v/>
      </c>
      <c r="D70" s="15" t="str">
        <f aca="false">IF(OR($O70="",$O70=0,$O70=999),"",INDEX(DayLines!$F$3:$F$608,MATCH(SMALL(DayLines!$C$3:$C$608,48),DayLines!$C$3:$C$608,0)))</f>
        <v/>
      </c>
      <c r="E70" s="21" t="str">
        <f aca="false">IF(OR($O70="",$O70=0,$O70=999),"",INDEX(DayLines!$G$3:$G$608,MATCH(SMALL(DayLines!$C$3:$C$608,48),DayLines!$C$3:$C$608,0)))</f>
        <v/>
      </c>
      <c r="F70" s="15"/>
      <c r="G70" s="15"/>
      <c r="H70" s="15"/>
      <c r="I70" s="15"/>
      <c r="J70" s="15"/>
      <c r="K70" s="15"/>
      <c r="L70" s="15"/>
      <c r="M70" s="15"/>
      <c r="N70" s="15"/>
      <c r="O70" s="22" t="str">
        <f aca="false">IFERROR(MOD(SMALL(DayLines!$C$3:$C$608,48),1000),"")</f>
        <v/>
      </c>
    </row>
    <row r="71" customFormat="false" ht="15" hidden="false" customHeight="false" outlineLevel="0" collapsed="false">
      <c r="A71" s="15"/>
      <c r="B71" s="20" t="str">
        <f aca="false">IF($O71="","",IF($O71=0,INDEX(DayLines!$D$3:$D$608,MATCH(SMALL(DayLines!$C$3:$C$608,49),DayLines!$C$3:$C$608,0)),IF($O71=999,"",INDEX(DayLines!$E$3:$E$608,MATCH(SMALL(DayLines!$C$3:$C$608,49),DayLines!$C$3:$C$608,0)))))</f>
        <v/>
      </c>
      <c r="C71" s="16" t="str">
        <f aca="false">IF($O71="","",IF($O71=0,INDEX(DayLines!$E$3:$E$608,MATCH(SMALL(DayLines!$C$3:$C$608,49),DayLines!$C$3:$C$608,0)),IF($O71=999,"",INDEX(DayLines!$D$3:$D$608,MATCH(SMALL(DayLines!$C$3:$C$608,49),DayLines!$C$3:$C$608,0)))))</f>
        <v/>
      </c>
      <c r="D71" s="15" t="str">
        <f aca="false">IF(OR($O71="",$O71=0,$O71=999),"",INDEX(DayLines!$F$3:$F$608,MATCH(SMALL(DayLines!$C$3:$C$608,49),DayLines!$C$3:$C$608,0)))</f>
        <v/>
      </c>
      <c r="E71" s="21" t="str">
        <f aca="false">IF(OR($O71="",$O71=0,$O71=999),"",INDEX(DayLines!$G$3:$G$608,MATCH(SMALL(DayLines!$C$3:$C$608,49),DayLines!$C$3:$C$608,0)))</f>
        <v/>
      </c>
      <c r="F71" s="15"/>
      <c r="G71" s="15"/>
      <c r="H71" s="15"/>
      <c r="I71" s="15"/>
      <c r="J71" s="15"/>
      <c r="K71" s="15"/>
      <c r="L71" s="15"/>
      <c r="M71" s="15"/>
      <c r="N71" s="15"/>
      <c r="O71" s="22" t="str">
        <f aca="false">IFERROR(MOD(SMALL(DayLines!$C$3:$C$608,49),1000),"")</f>
        <v/>
      </c>
    </row>
    <row r="72" customFormat="false" ht="15" hidden="false" customHeight="false" outlineLevel="0" collapsed="false">
      <c r="A72" s="15"/>
      <c r="B72" s="20" t="str">
        <f aca="false">IF($O72="","",IF($O72=0,INDEX(DayLines!$D$3:$D$608,MATCH(SMALL(DayLines!$C$3:$C$608,50),DayLines!$C$3:$C$608,0)),IF($O72=999,"",INDEX(DayLines!$E$3:$E$608,MATCH(SMALL(DayLines!$C$3:$C$608,50),DayLines!$C$3:$C$608,0)))))</f>
        <v/>
      </c>
      <c r="C72" s="16" t="str">
        <f aca="false">IF($O72="","",IF($O72=0,INDEX(DayLines!$E$3:$E$608,MATCH(SMALL(DayLines!$C$3:$C$608,50),DayLines!$C$3:$C$608,0)),IF($O72=999,"",INDEX(DayLines!$D$3:$D$608,MATCH(SMALL(DayLines!$C$3:$C$608,50),DayLines!$C$3:$C$608,0)))))</f>
        <v/>
      </c>
      <c r="D72" s="15" t="str">
        <f aca="false">IF(OR($O72="",$O72=0,$O72=999),"",INDEX(DayLines!$F$3:$F$608,MATCH(SMALL(DayLines!$C$3:$C$608,50),DayLines!$C$3:$C$608,0)))</f>
        <v/>
      </c>
      <c r="E72" s="21" t="str">
        <f aca="false">IF(OR($O72="",$O72=0,$O72=999),"",INDEX(DayLines!$G$3:$G$608,MATCH(SMALL(DayLines!$C$3:$C$608,50),DayLines!$C$3:$C$608,0)))</f>
        <v/>
      </c>
      <c r="F72" s="15"/>
      <c r="G72" s="15"/>
      <c r="H72" s="15"/>
      <c r="I72" s="15"/>
      <c r="J72" s="15"/>
      <c r="K72" s="15"/>
      <c r="L72" s="15"/>
      <c r="M72" s="15"/>
      <c r="N72" s="15"/>
      <c r="O72" s="22" t="str">
        <f aca="false">IFERROR(MOD(SMALL(DayLines!$C$3:$C$608,50),1000),"")</f>
        <v/>
      </c>
    </row>
    <row r="73" customFormat="false" ht="15" hidden="false" customHeight="false" outlineLevel="0" collapsed="false">
      <c r="A73" s="15"/>
      <c r="B73" s="20" t="str">
        <f aca="false">IF($O73="","",IF($O73=0,INDEX(DayLines!$D$3:$D$608,MATCH(SMALL(DayLines!$C$3:$C$608,51),DayLines!$C$3:$C$608,0)),IF($O73=999,"",INDEX(DayLines!$E$3:$E$608,MATCH(SMALL(DayLines!$C$3:$C$608,51),DayLines!$C$3:$C$608,0)))))</f>
        <v/>
      </c>
      <c r="C73" s="16" t="str">
        <f aca="false">IF($O73="","",IF($O73=0,INDEX(DayLines!$E$3:$E$608,MATCH(SMALL(DayLines!$C$3:$C$608,51),DayLines!$C$3:$C$608,0)),IF($O73=999,"",INDEX(DayLines!$D$3:$D$608,MATCH(SMALL(DayLines!$C$3:$C$608,51),DayLines!$C$3:$C$608,0)))))</f>
        <v/>
      </c>
      <c r="D73" s="15" t="str">
        <f aca="false">IF(OR($O73="",$O73=0,$O73=999),"",INDEX(DayLines!$F$3:$F$608,MATCH(SMALL(DayLines!$C$3:$C$608,51),DayLines!$C$3:$C$608,0)))</f>
        <v/>
      </c>
      <c r="E73" s="21" t="str">
        <f aca="false">IF(OR($O73="",$O73=0,$O73=999),"",INDEX(DayLines!$G$3:$G$608,MATCH(SMALL(DayLines!$C$3:$C$608,51),DayLines!$C$3:$C$608,0)))</f>
        <v/>
      </c>
      <c r="F73" s="15"/>
      <c r="G73" s="15"/>
      <c r="H73" s="15"/>
      <c r="I73" s="15"/>
      <c r="J73" s="15"/>
      <c r="K73" s="15"/>
      <c r="L73" s="15"/>
      <c r="M73" s="15"/>
      <c r="N73" s="15"/>
      <c r="O73" s="22" t="str">
        <f aca="false">IFERROR(MOD(SMALL(DayLines!$C$3:$C$608,51),1000),"")</f>
        <v/>
      </c>
    </row>
    <row r="74" customFormat="false" ht="15" hidden="false" customHeight="false" outlineLevel="0" collapsed="false">
      <c r="A74" s="15"/>
      <c r="B74" s="20" t="str">
        <f aca="false">IF($O74="","",IF($O74=0,INDEX(DayLines!$D$3:$D$608,MATCH(SMALL(DayLines!$C$3:$C$608,52),DayLines!$C$3:$C$608,0)),IF($O74=999,"",INDEX(DayLines!$E$3:$E$608,MATCH(SMALL(DayLines!$C$3:$C$608,52),DayLines!$C$3:$C$608,0)))))</f>
        <v/>
      </c>
      <c r="C74" s="16" t="str">
        <f aca="false">IF($O74="","",IF($O74=0,INDEX(DayLines!$E$3:$E$608,MATCH(SMALL(DayLines!$C$3:$C$608,52),DayLines!$C$3:$C$608,0)),IF($O74=999,"",INDEX(DayLines!$D$3:$D$608,MATCH(SMALL(DayLines!$C$3:$C$608,52),DayLines!$C$3:$C$608,0)))))</f>
        <v/>
      </c>
      <c r="D74" s="15" t="str">
        <f aca="false">IF(OR($O74="",$O74=0,$O74=999),"",INDEX(DayLines!$F$3:$F$608,MATCH(SMALL(DayLines!$C$3:$C$608,52),DayLines!$C$3:$C$608,0)))</f>
        <v/>
      </c>
      <c r="E74" s="21" t="str">
        <f aca="false">IF(OR($O74="",$O74=0,$O74=999),"",INDEX(DayLines!$G$3:$G$608,MATCH(SMALL(DayLines!$C$3:$C$608,52),DayLines!$C$3:$C$608,0)))</f>
        <v/>
      </c>
      <c r="F74" s="15"/>
      <c r="G74" s="15"/>
      <c r="H74" s="15"/>
      <c r="I74" s="15"/>
      <c r="J74" s="15"/>
      <c r="K74" s="15"/>
      <c r="L74" s="15"/>
      <c r="M74" s="15"/>
      <c r="N74" s="15"/>
      <c r="O74" s="22" t="str">
        <f aca="false">IFERROR(MOD(SMALL(DayLines!$C$3:$C$608,52),1000),"")</f>
        <v/>
      </c>
    </row>
    <row r="75" customFormat="false" ht="15" hidden="false" customHeight="false" outlineLevel="0" collapsed="false">
      <c r="A75" s="15"/>
      <c r="B75" s="20" t="str">
        <f aca="false">IF($O75="","",IF($O75=0,INDEX(DayLines!$D$3:$D$608,MATCH(SMALL(DayLines!$C$3:$C$608,53),DayLines!$C$3:$C$608,0)),IF($O75=999,"",INDEX(DayLines!$E$3:$E$608,MATCH(SMALL(DayLines!$C$3:$C$608,53),DayLines!$C$3:$C$608,0)))))</f>
        <v/>
      </c>
      <c r="C75" s="16" t="str">
        <f aca="false">IF($O75="","",IF($O75=0,INDEX(DayLines!$E$3:$E$608,MATCH(SMALL(DayLines!$C$3:$C$608,53),DayLines!$C$3:$C$608,0)),IF($O75=999,"",INDEX(DayLines!$D$3:$D$608,MATCH(SMALL(DayLines!$C$3:$C$608,53),DayLines!$C$3:$C$608,0)))))</f>
        <v/>
      </c>
      <c r="D75" s="15" t="str">
        <f aca="false">IF(OR($O75="",$O75=0,$O75=999),"",INDEX(DayLines!$F$3:$F$608,MATCH(SMALL(DayLines!$C$3:$C$608,53),DayLines!$C$3:$C$608,0)))</f>
        <v/>
      </c>
      <c r="E75" s="21" t="str">
        <f aca="false">IF(OR($O75="",$O75=0,$O75=999),"",INDEX(DayLines!$G$3:$G$608,MATCH(SMALL(DayLines!$C$3:$C$608,53),DayLines!$C$3:$C$608,0)))</f>
        <v/>
      </c>
      <c r="F75" s="15"/>
      <c r="G75" s="15"/>
      <c r="H75" s="15"/>
      <c r="I75" s="15"/>
      <c r="J75" s="15"/>
      <c r="K75" s="15"/>
      <c r="L75" s="15"/>
      <c r="M75" s="15"/>
      <c r="N75" s="15"/>
      <c r="O75" s="22" t="str">
        <f aca="false">IFERROR(MOD(SMALL(DayLines!$C$3:$C$608,53),1000),"")</f>
        <v/>
      </c>
    </row>
    <row r="76" customFormat="false" ht="15" hidden="false" customHeight="false" outlineLevel="0" collapsed="false">
      <c r="A76" s="15"/>
      <c r="B76" s="20" t="str">
        <f aca="false">IF($O76="","",IF($O76=0,INDEX(DayLines!$D$3:$D$608,MATCH(SMALL(DayLines!$C$3:$C$608,54),DayLines!$C$3:$C$608,0)),IF($O76=999,"",INDEX(DayLines!$E$3:$E$608,MATCH(SMALL(DayLines!$C$3:$C$608,54),DayLines!$C$3:$C$608,0)))))</f>
        <v/>
      </c>
      <c r="C76" s="16" t="str">
        <f aca="false">IF($O76="","",IF($O76=0,INDEX(DayLines!$E$3:$E$608,MATCH(SMALL(DayLines!$C$3:$C$608,54),DayLines!$C$3:$C$608,0)),IF($O76=999,"",INDEX(DayLines!$D$3:$D$608,MATCH(SMALL(DayLines!$C$3:$C$608,54),DayLines!$C$3:$C$608,0)))))</f>
        <v/>
      </c>
      <c r="D76" s="15" t="str">
        <f aca="false">IF(OR($O76="",$O76=0,$O76=999),"",INDEX(DayLines!$F$3:$F$608,MATCH(SMALL(DayLines!$C$3:$C$608,54),DayLines!$C$3:$C$608,0)))</f>
        <v/>
      </c>
      <c r="E76" s="21" t="str">
        <f aca="false">IF(OR($O76="",$O76=0,$O76=999),"",INDEX(DayLines!$G$3:$G$608,MATCH(SMALL(DayLines!$C$3:$C$608,54),DayLines!$C$3:$C$608,0)))</f>
        <v/>
      </c>
      <c r="F76" s="15"/>
      <c r="G76" s="15"/>
      <c r="H76" s="15"/>
      <c r="I76" s="15"/>
      <c r="J76" s="15"/>
      <c r="K76" s="15"/>
      <c r="L76" s="15"/>
      <c r="M76" s="15"/>
      <c r="N76" s="15"/>
      <c r="O76" s="22" t="str">
        <f aca="false">IFERROR(MOD(SMALL(DayLines!$C$3:$C$608,54),1000),"")</f>
        <v/>
      </c>
    </row>
    <row r="77" customFormat="false" ht="15" hidden="false" customHeight="false" outlineLevel="0" collapsed="false">
      <c r="A77" s="15"/>
      <c r="B77" s="20" t="str">
        <f aca="false">IF($O77="","",IF($O77=0,INDEX(DayLines!$D$3:$D$608,MATCH(SMALL(DayLines!$C$3:$C$608,55),DayLines!$C$3:$C$608,0)),IF($O77=999,"",INDEX(DayLines!$E$3:$E$608,MATCH(SMALL(DayLines!$C$3:$C$608,55),DayLines!$C$3:$C$608,0)))))</f>
        <v/>
      </c>
      <c r="C77" s="16" t="str">
        <f aca="false">IF($O77="","",IF($O77=0,INDEX(DayLines!$E$3:$E$608,MATCH(SMALL(DayLines!$C$3:$C$608,55),DayLines!$C$3:$C$608,0)),IF($O77=999,"",INDEX(DayLines!$D$3:$D$608,MATCH(SMALL(DayLines!$C$3:$C$608,55),DayLines!$C$3:$C$608,0)))))</f>
        <v/>
      </c>
      <c r="D77" s="15" t="str">
        <f aca="false">IF(OR($O77="",$O77=0,$O77=999),"",INDEX(DayLines!$F$3:$F$608,MATCH(SMALL(DayLines!$C$3:$C$608,55),DayLines!$C$3:$C$608,0)))</f>
        <v/>
      </c>
      <c r="E77" s="21" t="str">
        <f aca="false">IF(OR($O77="",$O77=0,$O77=999),"",INDEX(DayLines!$G$3:$G$608,MATCH(SMALL(DayLines!$C$3:$C$608,55),DayLines!$C$3:$C$608,0)))</f>
        <v/>
      </c>
      <c r="F77" s="15"/>
      <c r="G77" s="15"/>
      <c r="H77" s="15"/>
      <c r="I77" s="15"/>
      <c r="J77" s="15"/>
      <c r="K77" s="15"/>
      <c r="L77" s="15"/>
      <c r="M77" s="15"/>
      <c r="N77" s="15"/>
      <c r="O77" s="22" t="str">
        <f aca="false">IFERROR(MOD(SMALL(DayLines!$C$3:$C$608,55),1000),"")</f>
        <v/>
      </c>
    </row>
    <row r="78" customFormat="false" ht="15" hidden="false" customHeight="false" outlineLevel="0" collapsed="false">
      <c r="A78" s="15"/>
      <c r="B78" s="20" t="str">
        <f aca="false">IF($O78="","",IF($O78=0,INDEX(DayLines!$D$3:$D$608,MATCH(SMALL(DayLines!$C$3:$C$608,56),DayLines!$C$3:$C$608,0)),IF($O78=999,"",INDEX(DayLines!$E$3:$E$608,MATCH(SMALL(DayLines!$C$3:$C$608,56),DayLines!$C$3:$C$608,0)))))</f>
        <v/>
      </c>
      <c r="C78" s="16" t="str">
        <f aca="false">IF($O78="","",IF($O78=0,INDEX(DayLines!$E$3:$E$608,MATCH(SMALL(DayLines!$C$3:$C$608,56),DayLines!$C$3:$C$608,0)),IF($O78=999,"",INDEX(DayLines!$D$3:$D$608,MATCH(SMALL(DayLines!$C$3:$C$608,56),DayLines!$C$3:$C$608,0)))))</f>
        <v/>
      </c>
      <c r="D78" s="15" t="str">
        <f aca="false">IF(OR($O78="",$O78=0,$O78=999),"",INDEX(DayLines!$F$3:$F$608,MATCH(SMALL(DayLines!$C$3:$C$608,56),DayLines!$C$3:$C$608,0)))</f>
        <v/>
      </c>
      <c r="E78" s="21" t="str">
        <f aca="false">IF(OR($O78="",$O78=0,$O78=999),"",INDEX(DayLines!$G$3:$G$608,MATCH(SMALL(DayLines!$C$3:$C$608,56),DayLines!$C$3:$C$608,0)))</f>
        <v/>
      </c>
      <c r="F78" s="15"/>
      <c r="G78" s="15"/>
      <c r="H78" s="15"/>
      <c r="I78" s="15"/>
      <c r="J78" s="15"/>
      <c r="K78" s="15"/>
      <c r="L78" s="15"/>
      <c r="M78" s="15"/>
      <c r="N78" s="15"/>
      <c r="O78" s="22" t="str">
        <f aca="false">IFERROR(MOD(SMALL(DayLines!$C$3:$C$608,56),1000),"")</f>
        <v/>
      </c>
    </row>
    <row r="79" customFormat="false" ht="15" hidden="false" customHeight="false" outlineLevel="0" collapsed="false">
      <c r="A79" s="15"/>
      <c r="B79" s="20" t="str">
        <f aca="false">IF($O79="","",IF($O79=0,INDEX(DayLines!$D$3:$D$608,MATCH(SMALL(DayLines!$C$3:$C$608,57),DayLines!$C$3:$C$608,0)),IF($O79=999,"",INDEX(DayLines!$E$3:$E$608,MATCH(SMALL(DayLines!$C$3:$C$608,57),DayLines!$C$3:$C$608,0)))))</f>
        <v/>
      </c>
      <c r="C79" s="16" t="str">
        <f aca="false">IF($O79="","",IF($O79=0,INDEX(DayLines!$E$3:$E$608,MATCH(SMALL(DayLines!$C$3:$C$608,57),DayLines!$C$3:$C$608,0)),IF($O79=999,"",INDEX(DayLines!$D$3:$D$608,MATCH(SMALL(DayLines!$C$3:$C$608,57),DayLines!$C$3:$C$608,0)))))</f>
        <v/>
      </c>
      <c r="D79" s="15" t="str">
        <f aca="false">IF(OR($O79="",$O79=0,$O79=999),"",INDEX(DayLines!$F$3:$F$608,MATCH(SMALL(DayLines!$C$3:$C$608,57),DayLines!$C$3:$C$608,0)))</f>
        <v/>
      </c>
      <c r="E79" s="21" t="str">
        <f aca="false">IF(OR($O79="",$O79=0,$O79=999),"",INDEX(DayLines!$G$3:$G$608,MATCH(SMALL(DayLines!$C$3:$C$608,57),DayLines!$C$3:$C$608,0)))</f>
        <v/>
      </c>
      <c r="F79" s="15"/>
      <c r="G79" s="15"/>
      <c r="H79" s="15"/>
      <c r="I79" s="15"/>
      <c r="J79" s="15"/>
      <c r="K79" s="15"/>
      <c r="L79" s="15"/>
      <c r="M79" s="15"/>
      <c r="N79" s="15"/>
      <c r="O79" s="22" t="str">
        <f aca="false">IFERROR(MOD(SMALL(DayLines!$C$3:$C$608,57),1000),"")</f>
        <v/>
      </c>
    </row>
    <row r="80" customFormat="false" ht="15" hidden="false" customHeight="false" outlineLevel="0" collapsed="false">
      <c r="A80" s="15"/>
      <c r="B80" s="20" t="str">
        <f aca="false">IF($O80="","",IF($O80=0,INDEX(DayLines!$D$3:$D$608,MATCH(SMALL(DayLines!$C$3:$C$608,58),DayLines!$C$3:$C$608,0)),IF($O80=999,"",INDEX(DayLines!$E$3:$E$608,MATCH(SMALL(DayLines!$C$3:$C$608,58),DayLines!$C$3:$C$608,0)))))</f>
        <v/>
      </c>
      <c r="C80" s="16" t="str">
        <f aca="false">IF($O80="","",IF($O80=0,INDEX(DayLines!$E$3:$E$608,MATCH(SMALL(DayLines!$C$3:$C$608,58),DayLines!$C$3:$C$608,0)),IF($O80=999,"",INDEX(DayLines!$D$3:$D$608,MATCH(SMALL(DayLines!$C$3:$C$608,58),DayLines!$C$3:$C$608,0)))))</f>
        <v/>
      </c>
      <c r="D80" s="15" t="str">
        <f aca="false">IF(OR($O80="",$O80=0,$O80=999),"",INDEX(DayLines!$F$3:$F$608,MATCH(SMALL(DayLines!$C$3:$C$608,58),DayLines!$C$3:$C$608,0)))</f>
        <v/>
      </c>
      <c r="E80" s="21" t="str">
        <f aca="false">IF(OR($O80="",$O80=0,$O80=999),"",INDEX(DayLines!$G$3:$G$608,MATCH(SMALL(DayLines!$C$3:$C$608,58),DayLines!$C$3:$C$608,0)))</f>
        <v/>
      </c>
      <c r="F80" s="15"/>
      <c r="G80" s="15"/>
      <c r="H80" s="15"/>
      <c r="I80" s="15"/>
      <c r="J80" s="15"/>
      <c r="K80" s="15"/>
      <c r="L80" s="15"/>
      <c r="M80" s="15"/>
      <c r="N80" s="15"/>
      <c r="O80" s="22" t="str">
        <f aca="false">IFERROR(MOD(SMALL(DayLines!$C$3:$C$608,58),1000),"")</f>
        <v/>
      </c>
    </row>
    <row r="81" customFormat="false" ht="15" hidden="false" customHeight="false" outlineLevel="0" collapsed="false">
      <c r="A81" s="15"/>
      <c r="B81" s="20" t="str">
        <f aca="false">IF($O81="","",IF($O81=0,INDEX(DayLines!$D$3:$D$608,MATCH(SMALL(DayLines!$C$3:$C$608,59),DayLines!$C$3:$C$608,0)),IF($O81=999,"",INDEX(DayLines!$E$3:$E$608,MATCH(SMALL(DayLines!$C$3:$C$608,59),DayLines!$C$3:$C$608,0)))))</f>
        <v/>
      </c>
      <c r="C81" s="16" t="str">
        <f aca="false">IF($O81="","",IF($O81=0,INDEX(DayLines!$E$3:$E$608,MATCH(SMALL(DayLines!$C$3:$C$608,59),DayLines!$C$3:$C$608,0)),IF($O81=999,"",INDEX(DayLines!$D$3:$D$608,MATCH(SMALL(DayLines!$C$3:$C$608,59),DayLines!$C$3:$C$608,0)))))</f>
        <v/>
      </c>
      <c r="D81" s="15" t="str">
        <f aca="false">IF(OR($O81="",$O81=0,$O81=999),"",INDEX(DayLines!$F$3:$F$608,MATCH(SMALL(DayLines!$C$3:$C$608,59),DayLines!$C$3:$C$608,0)))</f>
        <v/>
      </c>
      <c r="E81" s="21" t="str">
        <f aca="false">IF(OR($O81="",$O81=0,$O81=999),"",INDEX(DayLines!$G$3:$G$608,MATCH(SMALL(DayLines!$C$3:$C$608,59),DayLines!$C$3:$C$608,0)))</f>
        <v/>
      </c>
      <c r="F81" s="15"/>
      <c r="G81" s="15"/>
      <c r="H81" s="15"/>
      <c r="I81" s="15"/>
      <c r="J81" s="15"/>
      <c r="K81" s="15"/>
      <c r="L81" s="15"/>
      <c r="M81" s="15"/>
      <c r="N81" s="15"/>
      <c r="O81" s="22" t="str">
        <f aca="false">IFERROR(MOD(SMALL(DayLines!$C$3:$C$608,59),1000),"")</f>
        <v/>
      </c>
    </row>
    <row r="82" customFormat="false" ht="15" hidden="false" customHeight="false" outlineLevel="0" collapsed="false">
      <c r="A82" s="15"/>
      <c r="B82" s="20" t="str">
        <f aca="false">IF($O82="","",IF($O82=0,INDEX(DayLines!$D$3:$D$608,MATCH(SMALL(DayLines!$C$3:$C$608,60),DayLines!$C$3:$C$608,0)),IF($O82=999,"",INDEX(DayLines!$E$3:$E$608,MATCH(SMALL(DayLines!$C$3:$C$608,60),DayLines!$C$3:$C$608,0)))))</f>
        <v/>
      </c>
      <c r="C82" s="16" t="str">
        <f aca="false">IF($O82="","",IF($O82=0,INDEX(DayLines!$E$3:$E$608,MATCH(SMALL(DayLines!$C$3:$C$608,60),DayLines!$C$3:$C$608,0)),IF($O82=999,"",INDEX(DayLines!$D$3:$D$608,MATCH(SMALL(DayLines!$C$3:$C$608,60),DayLines!$C$3:$C$608,0)))))</f>
        <v/>
      </c>
      <c r="D82" s="15" t="str">
        <f aca="false">IF(OR($O82="",$O82=0,$O82=999),"",INDEX(DayLines!$F$3:$F$608,MATCH(SMALL(DayLines!$C$3:$C$608,60),DayLines!$C$3:$C$608,0)))</f>
        <v/>
      </c>
      <c r="E82" s="21" t="str">
        <f aca="false">IF(OR($O82="",$O82=0,$O82=999),"",INDEX(DayLines!$G$3:$G$608,MATCH(SMALL(DayLines!$C$3:$C$608,60),DayLines!$C$3:$C$608,0)))</f>
        <v/>
      </c>
      <c r="F82" s="15"/>
      <c r="G82" s="15"/>
      <c r="H82" s="15"/>
      <c r="I82" s="15"/>
      <c r="J82" s="15"/>
      <c r="K82" s="15"/>
      <c r="L82" s="15"/>
      <c r="M82" s="15"/>
      <c r="N82" s="15"/>
      <c r="O82" s="22" t="str">
        <f aca="false">IFERROR(MOD(SMALL(DayLines!$C$3:$C$608,60),1000),"")</f>
        <v/>
      </c>
    </row>
    <row r="83" customFormat="false" ht="15" hidden="false" customHeight="false" outlineLevel="0" collapsed="false">
      <c r="A83" s="15"/>
      <c r="B83" s="20" t="str">
        <f aca="false">IF($O83="","",IF($O83=0,INDEX(DayLines!$D$3:$D$608,MATCH(SMALL(DayLines!$C$3:$C$608,61),DayLines!$C$3:$C$608,0)),IF($O83=999,"",INDEX(DayLines!$E$3:$E$608,MATCH(SMALL(DayLines!$C$3:$C$608,61),DayLines!$C$3:$C$608,0)))))</f>
        <v/>
      </c>
      <c r="C83" s="16" t="str">
        <f aca="false">IF($O83="","",IF($O83=0,INDEX(DayLines!$E$3:$E$608,MATCH(SMALL(DayLines!$C$3:$C$608,61),DayLines!$C$3:$C$608,0)),IF($O83=999,"",INDEX(DayLines!$D$3:$D$608,MATCH(SMALL(DayLines!$C$3:$C$608,61),DayLines!$C$3:$C$608,0)))))</f>
        <v/>
      </c>
      <c r="D83" s="15" t="str">
        <f aca="false">IF(OR($O83="",$O83=0,$O83=999),"",INDEX(DayLines!$F$3:$F$608,MATCH(SMALL(DayLines!$C$3:$C$608,61),DayLines!$C$3:$C$608,0)))</f>
        <v/>
      </c>
      <c r="E83" s="21" t="str">
        <f aca="false">IF(OR($O83="",$O83=0,$O83=999),"",INDEX(DayLines!$G$3:$G$608,MATCH(SMALL(DayLines!$C$3:$C$608,61),DayLines!$C$3:$C$608,0)))</f>
        <v/>
      </c>
      <c r="F83" s="15"/>
      <c r="G83" s="15"/>
      <c r="H83" s="15"/>
      <c r="I83" s="15"/>
      <c r="J83" s="15"/>
      <c r="K83" s="15"/>
      <c r="L83" s="15"/>
      <c r="M83" s="15"/>
      <c r="N83" s="15"/>
      <c r="O83" s="22" t="str">
        <f aca="false">IFERROR(MOD(SMALL(DayLines!$C$3:$C$608,61),1000),"")</f>
        <v/>
      </c>
    </row>
    <row r="84" customFormat="false" ht="15" hidden="false" customHeight="false" outlineLevel="0" collapsed="false">
      <c r="A84" s="15"/>
      <c r="B84" s="20" t="str">
        <f aca="false">IF($O84="","",IF($O84=0,INDEX(DayLines!$D$3:$D$608,MATCH(SMALL(DayLines!$C$3:$C$608,62),DayLines!$C$3:$C$608,0)),IF($O84=999,"",INDEX(DayLines!$E$3:$E$608,MATCH(SMALL(DayLines!$C$3:$C$608,62),DayLines!$C$3:$C$608,0)))))</f>
        <v/>
      </c>
      <c r="C84" s="16" t="str">
        <f aca="false">IF($O84="","",IF($O84=0,INDEX(DayLines!$E$3:$E$608,MATCH(SMALL(DayLines!$C$3:$C$608,62),DayLines!$C$3:$C$608,0)),IF($O84=999,"",INDEX(DayLines!$D$3:$D$608,MATCH(SMALL(DayLines!$C$3:$C$608,62),DayLines!$C$3:$C$608,0)))))</f>
        <v/>
      </c>
      <c r="D84" s="15" t="str">
        <f aca="false">IF(OR($O84="",$O84=0,$O84=999),"",INDEX(DayLines!$F$3:$F$608,MATCH(SMALL(DayLines!$C$3:$C$608,62),DayLines!$C$3:$C$608,0)))</f>
        <v/>
      </c>
      <c r="E84" s="21" t="str">
        <f aca="false">IF(OR($O84="",$O84=0,$O84=999),"",INDEX(DayLines!$G$3:$G$608,MATCH(SMALL(DayLines!$C$3:$C$608,62),DayLines!$C$3:$C$608,0)))</f>
        <v/>
      </c>
      <c r="F84" s="15"/>
      <c r="G84" s="15"/>
      <c r="H84" s="15"/>
      <c r="I84" s="15"/>
      <c r="J84" s="15"/>
      <c r="K84" s="15"/>
      <c r="L84" s="15"/>
      <c r="M84" s="15"/>
      <c r="N84" s="15"/>
      <c r="O84" s="22" t="str">
        <f aca="false">IFERROR(MOD(SMALL(DayLines!$C$3:$C$608,62),1000),"")</f>
        <v/>
      </c>
    </row>
    <row r="85" customFormat="false" ht="15" hidden="false" customHeight="false" outlineLevel="0" collapsed="false">
      <c r="A85" s="15"/>
      <c r="B85" s="20" t="str">
        <f aca="false">IF($O85="","",IF($O85=0,INDEX(DayLines!$D$3:$D$608,MATCH(SMALL(DayLines!$C$3:$C$608,63),DayLines!$C$3:$C$608,0)),IF($O85=999,"",INDEX(DayLines!$E$3:$E$608,MATCH(SMALL(DayLines!$C$3:$C$608,63),DayLines!$C$3:$C$608,0)))))</f>
        <v/>
      </c>
      <c r="C85" s="16" t="str">
        <f aca="false">IF($O85="","",IF($O85=0,INDEX(DayLines!$E$3:$E$608,MATCH(SMALL(DayLines!$C$3:$C$608,63),DayLines!$C$3:$C$608,0)),IF($O85=999,"",INDEX(DayLines!$D$3:$D$608,MATCH(SMALL(DayLines!$C$3:$C$608,63),DayLines!$C$3:$C$608,0)))))</f>
        <v/>
      </c>
      <c r="D85" s="15" t="str">
        <f aca="false">IF(OR($O85="",$O85=0,$O85=999),"",INDEX(DayLines!$F$3:$F$608,MATCH(SMALL(DayLines!$C$3:$C$608,63),DayLines!$C$3:$C$608,0)))</f>
        <v/>
      </c>
      <c r="E85" s="21" t="str">
        <f aca="false">IF(OR($O85="",$O85=0,$O85=999),"",INDEX(DayLines!$G$3:$G$608,MATCH(SMALL(DayLines!$C$3:$C$608,63),DayLines!$C$3:$C$608,0)))</f>
        <v/>
      </c>
      <c r="F85" s="15"/>
      <c r="G85" s="15"/>
      <c r="H85" s="15"/>
      <c r="I85" s="15"/>
      <c r="J85" s="15"/>
      <c r="K85" s="15"/>
      <c r="L85" s="15"/>
      <c r="M85" s="15"/>
      <c r="N85" s="15"/>
      <c r="O85" s="22" t="str">
        <f aca="false">IFERROR(MOD(SMALL(DayLines!$C$3:$C$608,63),1000),"")</f>
        <v/>
      </c>
    </row>
    <row r="86" customFormat="false" ht="15" hidden="false" customHeight="false" outlineLevel="0" collapsed="false">
      <c r="A86" s="15"/>
      <c r="B86" s="20" t="str">
        <f aca="false">IF($O86="","",IF($O86=0,INDEX(DayLines!$D$3:$D$608,MATCH(SMALL(DayLines!$C$3:$C$608,64),DayLines!$C$3:$C$608,0)),IF($O86=999,"",INDEX(DayLines!$E$3:$E$608,MATCH(SMALL(DayLines!$C$3:$C$608,64),DayLines!$C$3:$C$608,0)))))</f>
        <v/>
      </c>
      <c r="C86" s="16" t="str">
        <f aca="false">IF($O86="","",IF($O86=0,INDEX(DayLines!$E$3:$E$608,MATCH(SMALL(DayLines!$C$3:$C$608,64),DayLines!$C$3:$C$608,0)),IF($O86=999,"",INDEX(DayLines!$D$3:$D$608,MATCH(SMALL(DayLines!$C$3:$C$608,64),DayLines!$C$3:$C$608,0)))))</f>
        <v/>
      </c>
      <c r="D86" s="15" t="str">
        <f aca="false">IF(OR($O86="",$O86=0,$O86=999),"",INDEX(DayLines!$F$3:$F$608,MATCH(SMALL(DayLines!$C$3:$C$608,64),DayLines!$C$3:$C$608,0)))</f>
        <v/>
      </c>
      <c r="E86" s="21" t="str">
        <f aca="false">IF(OR($O86="",$O86=0,$O86=999),"",INDEX(DayLines!$G$3:$G$608,MATCH(SMALL(DayLines!$C$3:$C$608,64),DayLines!$C$3:$C$608,0)))</f>
        <v/>
      </c>
      <c r="F86" s="15"/>
      <c r="G86" s="15"/>
      <c r="H86" s="15"/>
      <c r="I86" s="15"/>
      <c r="J86" s="15"/>
      <c r="K86" s="15"/>
      <c r="L86" s="15"/>
      <c r="M86" s="15"/>
      <c r="N86" s="15"/>
      <c r="O86" s="22" t="str">
        <f aca="false">IFERROR(MOD(SMALL(DayLines!$C$3:$C$608,64),1000),"")</f>
        <v/>
      </c>
    </row>
    <row r="87" customFormat="false" ht="15" hidden="false" customHeight="false" outlineLevel="0" collapsed="false">
      <c r="A87" s="15"/>
      <c r="B87" s="20" t="str">
        <f aca="false">IF($O87="","",IF($O87=0,INDEX(DayLines!$D$3:$D$608,MATCH(SMALL(DayLines!$C$3:$C$608,65),DayLines!$C$3:$C$608,0)),IF($O87=999,"",INDEX(DayLines!$E$3:$E$608,MATCH(SMALL(DayLines!$C$3:$C$608,65),DayLines!$C$3:$C$608,0)))))</f>
        <v/>
      </c>
      <c r="C87" s="16" t="str">
        <f aca="false">IF($O87="","",IF($O87=0,INDEX(DayLines!$E$3:$E$608,MATCH(SMALL(DayLines!$C$3:$C$608,65),DayLines!$C$3:$C$608,0)),IF($O87=999,"",INDEX(DayLines!$D$3:$D$608,MATCH(SMALL(DayLines!$C$3:$C$608,65),DayLines!$C$3:$C$608,0)))))</f>
        <v/>
      </c>
      <c r="D87" s="15" t="str">
        <f aca="false">IF(OR($O87="",$O87=0,$O87=999),"",INDEX(DayLines!$F$3:$F$608,MATCH(SMALL(DayLines!$C$3:$C$608,65),DayLines!$C$3:$C$608,0)))</f>
        <v/>
      </c>
      <c r="E87" s="21" t="str">
        <f aca="false">IF(OR($O87="",$O87=0,$O87=999),"",INDEX(DayLines!$G$3:$G$608,MATCH(SMALL(DayLines!$C$3:$C$608,65),DayLines!$C$3:$C$608,0)))</f>
        <v/>
      </c>
      <c r="F87" s="15"/>
      <c r="G87" s="15"/>
      <c r="H87" s="15"/>
      <c r="I87" s="15"/>
      <c r="J87" s="15"/>
      <c r="K87" s="15"/>
      <c r="L87" s="15"/>
      <c r="M87" s="15"/>
      <c r="N87" s="15"/>
      <c r="O87" s="22" t="str">
        <f aca="false">IFERROR(MOD(SMALL(DayLines!$C$3:$C$608,65),1000),"")</f>
        <v/>
      </c>
    </row>
    <row r="88" customFormat="false" ht="15" hidden="false" customHeight="false" outlineLevel="0" collapsed="false">
      <c r="A88" s="15"/>
      <c r="B88" s="20" t="str">
        <f aca="false">IF($O88="","",IF($O88=0,INDEX(DayLines!$D$3:$D$608,MATCH(SMALL(DayLines!$C$3:$C$608,66),DayLines!$C$3:$C$608,0)),IF($O88=999,"",INDEX(DayLines!$E$3:$E$608,MATCH(SMALL(DayLines!$C$3:$C$608,66),DayLines!$C$3:$C$608,0)))))</f>
        <v/>
      </c>
      <c r="C88" s="16" t="str">
        <f aca="false">IF($O88="","",IF($O88=0,INDEX(DayLines!$E$3:$E$608,MATCH(SMALL(DayLines!$C$3:$C$608,66),DayLines!$C$3:$C$608,0)),IF($O88=999,"",INDEX(DayLines!$D$3:$D$608,MATCH(SMALL(DayLines!$C$3:$C$608,66),DayLines!$C$3:$C$608,0)))))</f>
        <v/>
      </c>
      <c r="D88" s="15" t="str">
        <f aca="false">IF(OR($O88="",$O88=0,$O88=999),"",INDEX(DayLines!$F$3:$F$608,MATCH(SMALL(DayLines!$C$3:$C$608,66),DayLines!$C$3:$C$608,0)))</f>
        <v/>
      </c>
      <c r="E88" s="21" t="str">
        <f aca="false">IF(OR($O88="",$O88=0,$O88=999),"",INDEX(DayLines!$G$3:$G$608,MATCH(SMALL(DayLines!$C$3:$C$608,66),DayLines!$C$3:$C$608,0)))</f>
        <v/>
      </c>
      <c r="F88" s="15"/>
      <c r="G88" s="15"/>
      <c r="H88" s="15"/>
      <c r="I88" s="15"/>
      <c r="J88" s="15"/>
      <c r="K88" s="15"/>
      <c r="L88" s="15"/>
      <c r="M88" s="15"/>
      <c r="N88" s="15"/>
      <c r="O88" s="22" t="str">
        <f aca="false">IFERROR(MOD(SMALL(DayLines!$C$3:$C$608,66),1000),"")</f>
        <v/>
      </c>
    </row>
    <row r="89" customFormat="false" ht="15" hidden="false" customHeight="false" outlineLevel="0" collapsed="false">
      <c r="A89" s="15"/>
      <c r="B89" s="20" t="str">
        <f aca="false">IF($O89="","",IF($O89=0,INDEX(DayLines!$D$3:$D$608,MATCH(SMALL(DayLines!$C$3:$C$608,67),DayLines!$C$3:$C$608,0)),IF($O89=999,"",INDEX(DayLines!$E$3:$E$608,MATCH(SMALL(DayLines!$C$3:$C$608,67),DayLines!$C$3:$C$608,0)))))</f>
        <v/>
      </c>
      <c r="C89" s="16" t="str">
        <f aca="false">IF($O89="","",IF($O89=0,INDEX(DayLines!$E$3:$E$608,MATCH(SMALL(DayLines!$C$3:$C$608,67),DayLines!$C$3:$C$608,0)),IF($O89=999,"",INDEX(DayLines!$D$3:$D$608,MATCH(SMALL(DayLines!$C$3:$C$608,67),DayLines!$C$3:$C$608,0)))))</f>
        <v/>
      </c>
      <c r="D89" s="15" t="str">
        <f aca="false">IF(OR($O89="",$O89=0,$O89=999),"",INDEX(DayLines!$F$3:$F$608,MATCH(SMALL(DayLines!$C$3:$C$608,67),DayLines!$C$3:$C$608,0)))</f>
        <v/>
      </c>
      <c r="E89" s="21" t="str">
        <f aca="false">IF(OR($O89="",$O89=0,$O89=999),"",INDEX(DayLines!$G$3:$G$608,MATCH(SMALL(DayLines!$C$3:$C$608,67),DayLines!$C$3:$C$608,0)))</f>
        <v/>
      </c>
      <c r="F89" s="15"/>
      <c r="G89" s="15"/>
      <c r="H89" s="15"/>
      <c r="I89" s="15"/>
      <c r="J89" s="15"/>
      <c r="K89" s="15"/>
      <c r="L89" s="15"/>
      <c r="M89" s="15"/>
      <c r="N89" s="15"/>
      <c r="O89" s="22" t="str">
        <f aca="false">IFERROR(MOD(SMALL(DayLines!$C$3:$C$608,67),1000),"")</f>
        <v/>
      </c>
    </row>
    <row r="90" customFormat="false" ht="15" hidden="false" customHeight="false" outlineLevel="0" collapsed="false">
      <c r="A90" s="15"/>
      <c r="B90" s="20" t="str">
        <f aca="false">IF($O90="","",IF($O90=0,INDEX(DayLines!$D$3:$D$608,MATCH(SMALL(DayLines!$C$3:$C$608,68),DayLines!$C$3:$C$608,0)),IF($O90=999,"",INDEX(DayLines!$E$3:$E$608,MATCH(SMALL(DayLines!$C$3:$C$608,68),DayLines!$C$3:$C$608,0)))))</f>
        <v/>
      </c>
      <c r="C90" s="16" t="str">
        <f aca="false">IF($O90="","",IF($O90=0,INDEX(DayLines!$E$3:$E$608,MATCH(SMALL(DayLines!$C$3:$C$608,68),DayLines!$C$3:$C$608,0)),IF($O90=999,"",INDEX(DayLines!$D$3:$D$608,MATCH(SMALL(DayLines!$C$3:$C$608,68),DayLines!$C$3:$C$608,0)))))</f>
        <v/>
      </c>
      <c r="D90" s="15" t="str">
        <f aca="false">IF(OR($O90="",$O90=0,$O90=999),"",INDEX(DayLines!$F$3:$F$608,MATCH(SMALL(DayLines!$C$3:$C$608,68),DayLines!$C$3:$C$608,0)))</f>
        <v/>
      </c>
      <c r="E90" s="21" t="str">
        <f aca="false">IF(OR($O90="",$O90=0,$O90=999),"",INDEX(DayLines!$G$3:$G$608,MATCH(SMALL(DayLines!$C$3:$C$608,68),DayLines!$C$3:$C$608,0)))</f>
        <v/>
      </c>
      <c r="F90" s="15"/>
      <c r="G90" s="15"/>
      <c r="H90" s="15"/>
      <c r="I90" s="15"/>
      <c r="J90" s="15"/>
      <c r="K90" s="15"/>
      <c r="L90" s="15"/>
      <c r="M90" s="15"/>
      <c r="N90" s="15"/>
      <c r="O90" s="22" t="str">
        <f aca="false">IFERROR(MOD(SMALL(DayLines!$C$3:$C$608,68),1000),"")</f>
        <v/>
      </c>
    </row>
    <row r="91" customFormat="false" ht="15" hidden="false" customHeight="false" outlineLevel="0" collapsed="false">
      <c r="A91" s="15"/>
      <c r="B91" s="20" t="str">
        <f aca="false">IF($O91="","",IF($O91=0,INDEX(DayLines!$D$3:$D$608,MATCH(SMALL(DayLines!$C$3:$C$608,69),DayLines!$C$3:$C$608,0)),IF($O91=999,"",INDEX(DayLines!$E$3:$E$608,MATCH(SMALL(DayLines!$C$3:$C$608,69),DayLines!$C$3:$C$608,0)))))</f>
        <v/>
      </c>
      <c r="C91" s="16" t="str">
        <f aca="false">IF($O91="","",IF($O91=0,INDEX(DayLines!$E$3:$E$608,MATCH(SMALL(DayLines!$C$3:$C$608,69),DayLines!$C$3:$C$608,0)),IF($O91=999,"",INDEX(DayLines!$D$3:$D$608,MATCH(SMALL(DayLines!$C$3:$C$608,69),DayLines!$C$3:$C$608,0)))))</f>
        <v/>
      </c>
      <c r="D91" s="15" t="str">
        <f aca="false">IF(OR($O91="",$O91=0,$O91=999),"",INDEX(DayLines!$F$3:$F$608,MATCH(SMALL(DayLines!$C$3:$C$608,69),DayLines!$C$3:$C$608,0)))</f>
        <v/>
      </c>
      <c r="E91" s="21" t="str">
        <f aca="false">IF(OR($O91="",$O91=0,$O91=999),"",INDEX(DayLines!$G$3:$G$608,MATCH(SMALL(DayLines!$C$3:$C$608,69),DayLines!$C$3:$C$608,0)))</f>
        <v/>
      </c>
      <c r="F91" s="15"/>
      <c r="G91" s="15"/>
      <c r="H91" s="15"/>
      <c r="I91" s="15"/>
      <c r="J91" s="15"/>
      <c r="K91" s="15"/>
      <c r="L91" s="15"/>
      <c r="M91" s="15"/>
      <c r="N91" s="15"/>
      <c r="O91" s="22" t="str">
        <f aca="false">IFERROR(MOD(SMALL(DayLines!$C$3:$C$608,69),1000),"")</f>
        <v/>
      </c>
    </row>
    <row r="92" customFormat="false" ht="15" hidden="false" customHeight="false" outlineLevel="0" collapsed="false">
      <c r="A92" s="15"/>
      <c r="B92" s="20" t="str">
        <f aca="false">IF($O92="","",IF($O92=0,INDEX(DayLines!$D$3:$D$608,MATCH(SMALL(DayLines!$C$3:$C$608,70),DayLines!$C$3:$C$608,0)),IF($O92=999,"",INDEX(DayLines!$E$3:$E$608,MATCH(SMALL(DayLines!$C$3:$C$608,70),DayLines!$C$3:$C$608,0)))))</f>
        <v/>
      </c>
      <c r="C92" s="16" t="str">
        <f aca="false">IF($O92="","",IF($O92=0,INDEX(DayLines!$E$3:$E$608,MATCH(SMALL(DayLines!$C$3:$C$608,70),DayLines!$C$3:$C$608,0)),IF($O92=999,"",INDEX(DayLines!$D$3:$D$608,MATCH(SMALL(DayLines!$C$3:$C$608,70),DayLines!$C$3:$C$608,0)))))</f>
        <v/>
      </c>
      <c r="D92" s="15" t="str">
        <f aca="false">IF(OR($O92="",$O92=0,$O92=999),"",INDEX(DayLines!$F$3:$F$608,MATCH(SMALL(DayLines!$C$3:$C$608,70),DayLines!$C$3:$C$608,0)))</f>
        <v/>
      </c>
      <c r="E92" s="21" t="str">
        <f aca="false">IF(OR($O92="",$O92=0,$O92=999),"",INDEX(DayLines!$G$3:$G$608,MATCH(SMALL(DayLines!$C$3:$C$608,70),DayLines!$C$3:$C$608,0)))</f>
        <v/>
      </c>
      <c r="F92" s="15"/>
      <c r="G92" s="15"/>
      <c r="H92" s="15"/>
      <c r="I92" s="15"/>
      <c r="J92" s="15"/>
      <c r="K92" s="15"/>
      <c r="L92" s="15"/>
      <c r="M92" s="15"/>
      <c r="N92" s="15"/>
      <c r="O92" s="22" t="str">
        <f aca="false">IFERROR(MOD(SMALL(DayLines!$C$3:$C$608,70),1000),"")</f>
        <v/>
      </c>
    </row>
    <row r="93" customFormat="false" ht="15" hidden="false" customHeight="false" outlineLevel="0" collapsed="false">
      <c r="A93" s="15"/>
      <c r="B93" s="20" t="str">
        <f aca="false">IF($O93="","",IF($O93=0,INDEX(DayLines!$D$3:$D$608,MATCH(SMALL(DayLines!$C$3:$C$608,71),DayLines!$C$3:$C$608,0)),IF($O93=999,"",INDEX(DayLines!$E$3:$E$608,MATCH(SMALL(DayLines!$C$3:$C$608,71),DayLines!$C$3:$C$608,0)))))</f>
        <v/>
      </c>
      <c r="C93" s="16" t="str">
        <f aca="false">IF($O93="","",IF($O93=0,INDEX(DayLines!$E$3:$E$608,MATCH(SMALL(DayLines!$C$3:$C$608,71),DayLines!$C$3:$C$608,0)),IF($O93=999,"",INDEX(DayLines!$D$3:$D$608,MATCH(SMALL(DayLines!$C$3:$C$608,71),DayLines!$C$3:$C$608,0)))))</f>
        <v/>
      </c>
      <c r="D93" s="15" t="str">
        <f aca="false">IF(OR($O93="",$O93=0,$O93=999),"",INDEX(DayLines!$F$3:$F$608,MATCH(SMALL(DayLines!$C$3:$C$608,71),DayLines!$C$3:$C$608,0)))</f>
        <v/>
      </c>
      <c r="E93" s="21" t="str">
        <f aca="false">IF(OR($O93="",$O93=0,$O93=999),"",INDEX(DayLines!$G$3:$G$608,MATCH(SMALL(DayLines!$C$3:$C$608,71),DayLines!$C$3:$C$608,0)))</f>
        <v/>
      </c>
      <c r="F93" s="15"/>
      <c r="G93" s="15"/>
      <c r="H93" s="15"/>
      <c r="I93" s="15"/>
      <c r="J93" s="15"/>
      <c r="K93" s="15"/>
      <c r="L93" s="15"/>
      <c r="M93" s="15"/>
      <c r="N93" s="15"/>
      <c r="O93" s="22" t="str">
        <f aca="false">IFERROR(MOD(SMALL(DayLines!$C$3:$C$608,71),1000),"")</f>
        <v/>
      </c>
    </row>
    <row r="94" customFormat="false" ht="15" hidden="false" customHeight="false" outlineLevel="0" collapsed="false">
      <c r="A94" s="15"/>
      <c r="B94" s="20" t="str">
        <f aca="false">IF($O94="","",IF($O94=0,INDEX(DayLines!$D$3:$D$608,MATCH(SMALL(DayLines!$C$3:$C$608,72),DayLines!$C$3:$C$608,0)),IF($O94=999,"",INDEX(DayLines!$E$3:$E$608,MATCH(SMALL(DayLines!$C$3:$C$608,72),DayLines!$C$3:$C$608,0)))))</f>
        <v/>
      </c>
      <c r="C94" s="16" t="str">
        <f aca="false">IF($O94="","",IF($O94=0,INDEX(DayLines!$E$3:$E$608,MATCH(SMALL(DayLines!$C$3:$C$608,72),DayLines!$C$3:$C$608,0)),IF($O94=999,"",INDEX(DayLines!$D$3:$D$608,MATCH(SMALL(DayLines!$C$3:$C$608,72),DayLines!$C$3:$C$608,0)))))</f>
        <v/>
      </c>
      <c r="D94" s="15" t="str">
        <f aca="false">IF(OR($O94="",$O94=0,$O94=999),"",INDEX(DayLines!$F$3:$F$608,MATCH(SMALL(DayLines!$C$3:$C$608,72),DayLines!$C$3:$C$608,0)))</f>
        <v/>
      </c>
      <c r="E94" s="21" t="str">
        <f aca="false">IF(OR($O94="",$O94=0,$O94=999),"",INDEX(DayLines!$G$3:$G$608,MATCH(SMALL(DayLines!$C$3:$C$608,72),DayLines!$C$3:$C$608,0)))</f>
        <v/>
      </c>
      <c r="F94" s="15"/>
      <c r="G94" s="15"/>
      <c r="H94" s="15"/>
      <c r="I94" s="15"/>
      <c r="J94" s="15"/>
      <c r="K94" s="15"/>
      <c r="L94" s="15"/>
      <c r="M94" s="15"/>
      <c r="N94" s="15"/>
      <c r="O94" s="22" t="str">
        <f aca="false">IFERROR(MOD(SMALL(DayLines!$C$3:$C$608,72),1000),"")</f>
        <v/>
      </c>
    </row>
    <row r="95" customFormat="false" ht="15" hidden="false" customHeight="false" outlineLevel="0" collapsed="false">
      <c r="A95" s="15"/>
      <c r="B95" s="20" t="str">
        <f aca="false">IF($O95="","",IF($O95=0,INDEX(DayLines!$D$3:$D$608,MATCH(SMALL(DayLines!$C$3:$C$608,73),DayLines!$C$3:$C$608,0)),IF($O95=999,"",INDEX(DayLines!$E$3:$E$608,MATCH(SMALL(DayLines!$C$3:$C$608,73),DayLines!$C$3:$C$608,0)))))</f>
        <v/>
      </c>
      <c r="C95" s="16" t="str">
        <f aca="false">IF($O95="","",IF($O95=0,INDEX(DayLines!$E$3:$E$608,MATCH(SMALL(DayLines!$C$3:$C$608,73),DayLines!$C$3:$C$608,0)),IF($O95=999,"",INDEX(DayLines!$D$3:$D$608,MATCH(SMALL(DayLines!$C$3:$C$608,73),DayLines!$C$3:$C$608,0)))))</f>
        <v/>
      </c>
      <c r="D95" s="15" t="str">
        <f aca="false">IF(OR($O95="",$O95=0,$O95=999),"",INDEX(DayLines!$F$3:$F$608,MATCH(SMALL(DayLines!$C$3:$C$608,73),DayLines!$C$3:$C$608,0)))</f>
        <v/>
      </c>
      <c r="E95" s="21" t="str">
        <f aca="false">IF(OR($O95="",$O95=0,$O95=999),"",INDEX(DayLines!$G$3:$G$608,MATCH(SMALL(DayLines!$C$3:$C$608,73),DayLines!$C$3:$C$608,0)))</f>
        <v/>
      </c>
      <c r="F95" s="15"/>
      <c r="G95" s="15"/>
      <c r="H95" s="15"/>
      <c r="I95" s="15"/>
      <c r="J95" s="15"/>
      <c r="K95" s="15"/>
      <c r="L95" s="15"/>
      <c r="M95" s="15"/>
      <c r="N95" s="15"/>
      <c r="O95" s="22" t="str">
        <f aca="false">IFERROR(MOD(SMALL(DayLines!$C$3:$C$608,73),1000),"")</f>
        <v/>
      </c>
    </row>
    <row r="96" customFormat="false" ht="15" hidden="false" customHeight="false" outlineLevel="0" collapsed="false">
      <c r="A96" s="15"/>
      <c r="B96" s="20" t="str">
        <f aca="false">IF($O96="","",IF($O96=0,INDEX(DayLines!$D$3:$D$608,MATCH(SMALL(DayLines!$C$3:$C$608,74),DayLines!$C$3:$C$608,0)),IF($O96=999,"",INDEX(DayLines!$E$3:$E$608,MATCH(SMALL(DayLines!$C$3:$C$608,74),DayLines!$C$3:$C$608,0)))))</f>
        <v/>
      </c>
      <c r="C96" s="16" t="str">
        <f aca="false">IF($O96="","",IF($O96=0,INDEX(DayLines!$E$3:$E$608,MATCH(SMALL(DayLines!$C$3:$C$608,74),DayLines!$C$3:$C$608,0)),IF($O96=999,"",INDEX(DayLines!$D$3:$D$608,MATCH(SMALL(DayLines!$C$3:$C$608,74),DayLines!$C$3:$C$608,0)))))</f>
        <v/>
      </c>
      <c r="D96" s="15" t="str">
        <f aca="false">IF(OR($O96="",$O96=0,$O96=999),"",INDEX(DayLines!$F$3:$F$608,MATCH(SMALL(DayLines!$C$3:$C$608,74),DayLines!$C$3:$C$608,0)))</f>
        <v/>
      </c>
      <c r="E96" s="21" t="str">
        <f aca="false">IF(OR($O96="",$O96=0,$O96=999),"",INDEX(DayLines!$G$3:$G$608,MATCH(SMALL(DayLines!$C$3:$C$608,74),DayLines!$C$3:$C$608,0)))</f>
        <v/>
      </c>
      <c r="F96" s="15"/>
      <c r="G96" s="15"/>
      <c r="H96" s="15"/>
      <c r="I96" s="15"/>
      <c r="J96" s="15"/>
      <c r="K96" s="15"/>
      <c r="L96" s="15"/>
      <c r="M96" s="15"/>
      <c r="N96" s="15"/>
      <c r="O96" s="22" t="str">
        <f aca="false">IFERROR(MOD(SMALL(DayLines!$C$3:$C$608,74),1000),"")</f>
        <v/>
      </c>
    </row>
    <row r="97" customFormat="false" ht="15" hidden="false" customHeight="false" outlineLevel="0" collapsed="false">
      <c r="A97" s="15"/>
      <c r="B97" s="20" t="str">
        <f aca="false">IF($O97="","",IF($O97=0,INDEX(DayLines!$D$3:$D$608,MATCH(SMALL(DayLines!$C$3:$C$608,75),DayLines!$C$3:$C$608,0)),IF($O97=999,"",INDEX(DayLines!$E$3:$E$608,MATCH(SMALL(DayLines!$C$3:$C$608,75),DayLines!$C$3:$C$608,0)))))</f>
        <v/>
      </c>
      <c r="C97" s="16" t="str">
        <f aca="false">IF($O97="","",IF($O97=0,INDEX(DayLines!$E$3:$E$608,MATCH(SMALL(DayLines!$C$3:$C$608,75),DayLines!$C$3:$C$608,0)),IF($O97=999,"",INDEX(DayLines!$D$3:$D$608,MATCH(SMALL(DayLines!$C$3:$C$608,75),DayLines!$C$3:$C$608,0)))))</f>
        <v/>
      </c>
      <c r="D97" s="15" t="str">
        <f aca="false">IF(OR($O97="",$O97=0,$O97=999),"",INDEX(DayLines!$F$3:$F$608,MATCH(SMALL(DayLines!$C$3:$C$608,75),DayLines!$C$3:$C$608,0)))</f>
        <v/>
      </c>
      <c r="E97" s="21" t="str">
        <f aca="false">IF(OR($O97="",$O97=0,$O97=999),"",INDEX(DayLines!$G$3:$G$608,MATCH(SMALL(DayLines!$C$3:$C$608,75),DayLines!$C$3:$C$608,0)))</f>
        <v/>
      </c>
      <c r="F97" s="15"/>
      <c r="G97" s="15"/>
      <c r="H97" s="15"/>
      <c r="I97" s="15"/>
      <c r="J97" s="15"/>
      <c r="K97" s="15"/>
      <c r="L97" s="15"/>
      <c r="M97" s="15"/>
      <c r="N97" s="15"/>
      <c r="O97" s="22" t="str">
        <f aca="false">IFERROR(MOD(SMALL(DayLines!$C$3:$C$608,75),1000),"")</f>
        <v/>
      </c>
    </row>
    <row r="98" customFormat="false" ht="15" hidden="false" customHeight="false" outlineLevel="0" collapsed="false">
      <c r="A98" s="15"/>
      <c r="B98" s="20" t="str">
        <f aca="false">IF($O98="","",IF($O98=0,INDEX(DayLines!$D$3:$D$608,MATCH(SMALL(DayLines!$C$3:$C$608,76),DayLines!$C$3:$C$608,0)),IF($O98=999,"",INDEX(DayLines!$E$3:$E$608,MATCH(SMALL(DayLines!$C$3:$C$608,76),DayLines!$C$3:$C$608,0)))))</f>
        <v/>
      </c>
      <c r="C98" s="16" t="str">
        <f aca="false">IF($O98="","",IF($O98=0,INDEX(DayLines!$E$3:$E$608,MATCH(SMALL(DayLines!$C$3:$C$608,76),DayLines!$C$3:$C$608,0)),IF($O98=999,"",INDEX(DayLines!$D$3:$D$608,MATCH(SMALL(DayLines!$C$3:$C$608,76),DayLines!$C$3:$C$608,0)))))</f>
        <v/>
      </c>
      <c r="D98" s="15" t="str">
        <f aca="false">IF(OR($O98="",$O98=0,$O98=999),"",INDEX(DayLines!$F$3:$F$608,MATCH(SMALL(DayLines!$C$3:$C$608,76),DayLines!$C$3:$C$608,0)))</f>
        <v/>
      </c>
      <c r="E98" s="21" t="str">
        <f aca="false">IF(OR($O98="",$O98=0,$O98=999),"",INDEX(DayLines!$G$3:$G$608,MATCH(SMALL(DayLines!$C$3:$C$608,76),DayLines!$C$3:$C$608,0)))</f>
        <v/>
      </c>
      <c r="F98" s="15"/>
      <c r="G98" s="15"/>
      <c r="H98" s="15"/>
      <c r="I98" s="15"/>
      <c r="J98" s="15"/>
      <c r="K98" s="15"/>
      <c r="L98" s="15"/>
      <c r="M98" s="15"/>
      <c r="N98" s="15"/>
      <c r="O98" s="22" t="str">
        <f aca="false">IFERROR(MOD(SMALL(DayLines!$C$3:$C$608,76),1000),"")</f>
        <v/>
      </c>
    </row>
    <row r="99" customFormat="false" ht="15" hidden="false" customHeight="false" outlineLevel="0" collapsed="false">
      <c r="A99" s="15"/>
      <c r="B99" s="20" t="str">
        <f aca="false">IF($O99="","",IF($O99=0,INDEX(DayLines!$D$3:$D$608,MATCH(SMALL(DayLines!$C$3:$C$608,77),DayLines!$C$3:$C$608,0)),IF($O99=999,"",INDEX(DayLines!$E$3:$E$608,MATCH(SMALL(DayLines!$C$3:$C$608,77),DayLines!$C$3:$C$608,0)))))</f>
        <v/>
      </c>
      <c r="C99" s="16" t="str">
        <f aca="false">IF($O99="","",IF($O99=0,INDEX(DayLines!$E$3:$E$608,MATCH(SMALL(DayLines!$C$3:$C$608,77),DayLines!$C$3:$C$608,0)),IF($O99=999,"",INDEX(DayLines!$D$3:$D$608,MATCH(SMALL(DayLines!$C$3:$C$608,77),DayLines!$C$3:$C$608,0)))))</f>
        <v/>
      </c>
      <c r="D99" s="15" t="str">
        <f aca="false">IF(OR($O99="",$O99=0,$O99=999),"",INDEX(DayLines!$F$3:$F$608,MATCH(SMALL(DayLines!$C$3:$C$608,77),DayLines!$C$3:$C$608,0)))</f>
        <v/>
      </c>
      <c r="E99" s="21" t="str">
        <f aca="false">IF(OR($O99="",$O99=0,$O99=999),"",INDEX(DayLines!$G$3:$G$608,MATCH(SMALL(DayLines!$C$3:$C$608,77),DayLines!$C$3:$C$608,0)))</f>
        <v/>
      </c>
      <c r="F99" s="15"/>
      <c r="G99" s="15"/>
      <c r="H99" s="15"/>
      <c r="I99" s="15"/>
      <c r="J99" s="15"/>
      <c r="K99" s="15"/>
      <c r="L99" s="15"/>
      <c r="M99" s="15"/>
      <c r="N99" s="15"/>
      <c r="O99" s="22" t="str">
        <f aca="false">IFERROR(MOD(SMALL(DayLines!$C$3:$C$608,77),1000),"")</f>
        <v/>
      </c>
    </row>
    <row r="100" customFormat="false" ht="15" hidden="false" customHeight="false" outlineLevel="0" collapsed="false">
      <c r="A100" s="15"/>
      <c r="B100" s="20" t="str">
        <f aca="false">IF($O100="","",IF($O100=0,INDEX(DayLines!$D$3:$D$608,MATCH(SMALL(DayLines!$C$3:$C$608,78),DayLines!$C$3:$C$608,0)),IF($O100=999,"",INDEX(DayLines!$E$3:$E$608,MATCH(SMALL(DayLines!$C$3:$C$608,78),DayLines!$C$3:$C$608,0)))))</f>
        <v/>
      </c>
      <c r="C100" s="16" t="str">
        <f aca="false">IF($O100="","",IF($O100=0,INDEX(DayLines!$E$3:$E$608,MATCH(SMALL(DayLines!$C$3:$C$608,78),DayLines!$C$3:$C$608,0)),IF($O100=999,"",INDEX(DayLines!$D$3:$D$608,MATCH(SMALL(DayLines!$C$3:$C$608,78),DayLines!$C$3:$C$608,0)))))</f>
        <v/>
      </c>
      <c r="D100" s="15" t="str">
        <f aca="false">IF(OR($O100="",$O100=0,$O100=999),"",INDEX(DayLines!$F$3:$F$608,MATCH(SMALL(DayLines!$C$3:$C$608,78),DayLines!$C$3:$C$608,0)))</f>
        <v/>
      </c>
      <c r="E100" s="21" t="str">
        <f aca="false">IF(OR($O100="",$O100=0,$O100=999),"",INDEX(DayLines!$G$3:$G$608,MATCH(SMALL(DayLines!$C$3:$C$608,78),DayLines!$C$3:$C$608,0)))</f>
        <v/>
      </c>
      <c r="F100" s="15"/>
      <c r="G100" s="15"/>
      <c r="H100" s="15"/>
      <c r="I100" s="15"/>
      <c r="J100" s="15"/>
      <c r="K100" s="15"/>
      <c r="L100" s="15"/>
      <c r="M100" s="15"/>
      <c r="N100" s="15"/>
      <c r="O100" s="22" t="str">
        <f aca="false">IFERROR(MOD(SMALL(DayLines!$C$3:$C$608,78),1000),"")</f>
        <v/>
      </c>
    </row>
    <row r="101" customFormat="false" ht="15" hidden="false" customHeight="false" outlineLevel="0" collapsed="false">
      <c r="A101" s="15"/>
      <c r="B101" s="20" t="str">
        <f aca="false">IF($O101="","",IF($O101=0,INDEX(DayLines!$D$3:$D$608,MATCH(SMALL(DayLines!$C$3:$C$608,79),DayLines!$C$3:$C$608,0)),IF($O101=999,"",INDEX(DayLines!$E$3:$E$608,MATCH(SMALL(DayLines!$C$3:$C$608,79),DayLines!$C$3:$C$608,0)))))</f>
        <v/>
      </c>
      <c r="C101" s="16" t="str">
        <f aca="false">IF($O101="","",IF($O101=0,INDEX(DayLines!$E$3:$E$608,MATCH(SMALL(DayLines!$C$3:$C$608,79),DayLines!$C$3:$C$608,0)),IF($O101=999,"",INDEX(DayLines!$D$3:$D$608,MATCH(SMALL(DayLines!$C$3:$C$608,79),DayLines!$C$3:$C$608,0)))))</f>
        <v/>
      </c>
      <c r="D101" s="15" t="str">
        <f aca="false">IF(OR($O101="",$O101=0,$O101=999),"",INDEX(DayLines!$F$3:$F$608,MATCH(SMALL(DayLines!$C$3:$C$608,79),DayLines!$C$3:$C$608,0)))</f>
        <v/>
      </c>
      <c r="E101" s="21" t="str">
        <f aca="false">IF(OR($O101="",$O101=0,$O101=999),"",INDEX(DayLines!$G$3:$G$608,MATCH(SMALL(DayLines!$C$3:$C$608,79),DayLines!$C$3:$C$608,0)))</f>
        <v/>
      </c>
      <c r="F101" s="15"/>
      <c r="G101" s="15"/>
      <c r="H101" s="15"/>
      <c r="I101" s="15"/>
      <c r="J101" s="15"/>
      <c r="K101" s="15"/>
      <c r="L101" s="15"/>
      <c r="M101" s="15"/>
      <c r="N101" s="15"/>
      <c r="O101" s="22" t="str">
        <f aca="false">IFERROR(MOD(SMALL(DayLines!$C$3:$C$608,79),1000),"")</f>
        <v/>
      </c>
    </row>
    <row r="102" customFormat="false" ht="15" hidden="false" customHeight="false" outlineLevel="0" collapsed="false">
      <c r="A102" s="15"/>
      <c r="B102" s="20" t="str">
        <f aca="false">IF($O102="","",IF($O102=0,INDEX(DayLines!$D$3:$D$608,MATCH(SMALL(DayLines!$C$3:$C$608,80),DayLines!$C$3:$C$608,0)),IF($O102=999,"",INDEX(DayLines!$E$3:$E$608,MATCH(SMALL(DayLines!$C$3:$C$608,80),DayLines!$C$3:$C$608,0)))))</f>
        <v/>
      </c>
      <c r="C102" s="16" t="str">
        <f aca="false">IF($O102="","",IF($O102=0,INDEX(DayLines!$E$3:$E$608,MATCH(SMALL(DayLines!$C$3:$C$608,80),DayLines!$C$3:$C$608,0)),IF($O102=999,"",INDEX(DayLines!$D$3:$D$608,MATCH(SMALL(DayLines!$C$3:$C$608,80),DayLines!$C$3:$C$608,0)))))</f>
        <v/>
      </c>
      <c r="D102" s="15" t="str">
        <f aca="false">IF(OR($O102="",$O102=0,$O102=999),"",INDEX(DayLines!$F$3:$F$608,MATCH(SMALL(DayLines!$C$3:$C$608,80),DayLines!$C$3:$C$608,0)))</f>
        <v/>
      </c>
      <c r="E102" s="21" t="str">
        <f aca="false">IF(OR($O102="",$O102=0,$O102=999),"",INDEX(DayLines!$G$3:$G$608,MATCH(SMALL(DayLines!$C$3:$C$608,80),DayLines!$C$3:$C$608,0)))</f>
        <v/>
      </c>
      <c r="F102" s="15"/>
      <c r="G102" s="15"/>
      <c r="H102" s="15"/>
      <c r="I102" s="15"/>
      <c r="J102" s="15"/>
      <c r="K102" s="15"/>
      <c r="L102" s="15"/>
      <c r="M102" s="15"/>
      <c r="N102" s="15"/>
      <c r="O102" s="22" t="str">
        <f aca="false">IFERROR(MOD(SMALL(DayLines!$C$3:$C$608,80),1000),"")</f>
        <v/>
      </c>
    </row>
    <row r="103" customFormat="false" ht="15" hidden="false" customHeight="false" outlineLevel="0" collapsed="false">
      <c r="A103" s="15"/>
      <c r="B103" s="20" t="str">
        <f aca="false">IF($O103="","",IF($O103=0,INDEX(DayLines!$D$3:$D$608,MATCH(SMALL(DayLines!$C$3:$C$608,81),DayLines!$C$3:$C$608,0)),IF($O103=999,"",INDEX(DayLines!$E$3:$E$608,MATCH(SMALL(DayLines!$C$3:$C$608,81),DayLines!$C$3:$C$608,0)))))</f>
        <v/>
      </c>
      <c r="C103" s="16" t="str">
        <f aca="false">IF($O103="","",IF($O103=0,INDEX(DayLines!$E$3:$E$608,MATCH(SMALL(DayLines!$C$3:$C$608,81),DayLines!$C$3:$C$608,0)),IF($O103=999,"",INDEX(DayLines!$D$3:$D$608,MATCH(SMALL(DayLines!$C$3:$C$608,81),DayLines!$C$3:$C$608,0)))))</f>
        <v/>
      </c>
      <c r="D103" s="15" t="str">
        <f aca="false">IF(OR($O103="",$O103=0,$O103=999),"",INDEX(DayLines!$F$3:$F$608,MATCH(SMALL(DayLines!$C$3:$C$608,81),DayLines!$C$3:$C$608,0)))</f>
        <v/>
      </c>
      <c r="E103" s="21" t="str">
        <f aca="false">IF(OR($O103="",$O103=0,$O103=999),"",INDEX(DayLines!$G$3:$G$608,MATCH(SMALL(DayLines!$C$3:$C$608,81),DayLines!$C$3:$C$608,0)))</f>
        <v/>
      </c>
      <c r="F103" s="15"/>
      <c r="G103" s="15"/>
      <c r="H103" s="15"/>
      <c r="I103" s="15"/>
      <c r="J103" s="15"/>
      <c r="K103" s="15"/>
      <c r="L103" s="15"/>
      <c r="M103" s="15"/>
      <c r="N103" s="15"/>
      <c r="O103" s="22" t="str">
        <f aca="false">IFERROR(MOD(SMALL(DayLines!$C$3:$C$608,81),1000),"")</f>
        <v/>
      </c>
    </row>
    <row r="104" customFormat="false" ht="15" hidden="false" customHeight="false" outlineLevel="0" collapsed="false">
      <c r="A104" s="15"/>
      <c r="B104" s="20" t="str">
        <f aca="false">IF($O104="","",IF($O104=0,INDEX(DayLines!$D$3:$D$608,MATCH(SMALL(DayLines!$C$3:$C$608,82),DayLines!$C$3:$C$608,0)),IF($O104=999,"",INDEX(DayLines!$E$3:$E$608,MATCH(SMALL(DayLines!$C$3:$C$608,82),DayLines!$C$3:$C$608,0)))))</f>
        <v/>
      </c>
      <c r="C104" s="16" t="str">
        <f aca="false">IF($O104="","",IF($O104=0,INDEX(DayLines!$E$3:$E$608,MATCH(SMALL(DayLines!$C$3:$C$608,82),DayLines!$C$3:$C$608,0)),IF($O104=999,"",INDEX(DayLines!$D$3:$D$608,MATCH(SMALL(DayLines!$C$3:$C$608,82),DayLines!$C$3:$C$608,0)))))</f>
        <v/>
      </c>
      <c r="D104" s="15" t="str">
        <f aca="false">IF(OR($O104="",$O104=0,$O104=999),"",INDEX(DayLines!$F$3:$F$608,MATCH(SMALL(DayLines!$C$3:$C$608,82),DayLines!$C$3:$C$608,0)))</f>
        <v/>
      </c>
      <c r="E104" s="21" t="str">
        <f aca="false">IF(OR($O104="",$O104=0,$O104=999),"",INDEX(DayLines!$G$3:$G$608,MATCH(SMALL(DayLines!$C$3:$C$608,82),DayLines!$C$3:$C$608,0)))</f>
        <v/>
      </c>
      <c r="F104" s="15"/>
      <c r="G104" s="15"/>
      <c r="H104" s="15"/>
      <c r="I104" s="15"/>
      <c r="J104" s="15"/>
      <c r="K104" s="15"/>
      <c r="L104" s="15"/>
      <c r="M104" s="15"/>
      <c r="N104" s="15"/>
      <c r="O104" s="22" t="str">
        <f aca="false">IFERROR(MOD(SMALL(DayLines!$C$3:$C$608,82),1000),"")</f>
        <v/>
      </c>
    </row>
    <row r="105" customFormat="false" ht="15" hidden="false" customHeight="false" outlineLevel="0" collapsed="false">
      <c r="A105" s="15"/>
      <c r="B105" s="20" t="str">
        <f aca="false">IF($O105="","",IF($O105=0,INDEX(DayLines!$D$3:$D$608,MATCH(SMALL(DayLines!$C$3:$C$608,83),DayLines!$C$3:$C$608,0)),IF($O105=999,"",INDEX(DayLines!$E$3:$E$608,MATCH(SMALL(DayLines!$C$3:$C$608,83),DayLines!$C$3:$C$608,0)))))</f>
        <v/>
      </c>
      <c r="C105" s="16" t="str">
        <f aca="false">IF($O105="","",IF($O105=0,INDEX(DayLines!$E$3:$E$608,MATCH(SMALL(DayLines!$C$3:$C$608,83),DayLines!$C$3:$C$608,0)),IF($O105=999,"",INDEX(DayLines!$D$3:$D$608,MATCH(SMALL(DayLines!$C$3:$C$608,83),DayLines!$C$3:$C$608,0)))))</f>
        <v/>
      </c>
      <c r="D105" s="15" t="str">
        <f aca="false">IF(OR($O105="",$O105=0,$O105=999),"",INDEX(DayLines!$F$3:$F$608,MATCH(SMALL(DayLines!$C$3:$C$608,83),DayLines!$C$3:$C$608,0)))</f>
        <v/>
      </c>
      <c r="E105" s="21" t="str">
        <f aca="false">IF(OR($O105="",$O105=0,$O105=999),"",INDEX(DayLines!$G$3:$G$608,MATCH(SMALL(DayLines!$C$3:$C$608,83),DayLines!$C$3:$C$608,0)))</f>
        <v/>
      </c>
      <c r="F105" s="15"/>
      <c r="G105" s="15"/>
      <c r="H105" s="15"/>
      <c r="I105" s="15"/>
      <c r="J105" s="15"/>
      <c r="K105" s="15"/>
      <c r="L105" s="15"/>
      <c r="M105" s="15"/>
      <c r="N105" s="15"/>
      <c r="O105" s="22" t="str">
        <f aca="false">IFERROR(MOD(SMALL(DayLines!$C$3:$C$608,83),1000),"")</f>
        <v/>
      </c>
    </row>
    <row r="106" customFormat="false" ht="15" hidden="false" customHeight="false" outlineLevel="0" collapsed="false">
      <c r="A106" s="15"/>
      <c r="B106" s="20" t="str">
        <f aca="false">IF($O106="","",IF($O106=0,INDEX(DayLines!$D$3:$D$608,MATCH(SMALL(DayLines!$C$3:$C$608,84),DayLines!$C$3:$C$608,0)),IF($O106=999,"",INDEX(DayLines!$E$3:$E$608,MATCH(SMALL(DayLines!$C$3:$C$608,84),DayLines!$C$3:$C$608,0)))))</f>
        <v/>
      </c>
      <c r="C106" s="16" t="str">
        <f aca="false">IF($O106="","",IF($O106=0,INDEX(DayLines!$E$3:$E$608,MATCH(SMALL(DayLines!$C$3:$C$608,84),DayLines!$C$3:$C$608,0)),IF($O106=999,"",INDEX(DayLines!$D$3:$D$608,MATCH(SMALL(DayLines!$C$3:$C$608,84),DayLines!$C$3:$C$608,0)))))</f>
        <v/>
      </c>
      <c r="D106" s="15" t="str">
        <f aca="false">IF(OR($O106="",$O106=0,$O106=999),"",INDEX(DayLines!$F$3:$F$608,MATCH(SMALL(DayLines!$C$3:$C$608,84),DayLines!$C$3:$C$608,0)))</f>
        <v/>
      </c>
      <c r="E106" s="21" t="str">
        <f aca="false">IF(OR($O106="",$O106=0,$O106=999),"",INDEX(DayLines!$G$3:$G$608,MATCH(SMALL(DayLines!$C$3:$C$608,84),DayLines!$C$3:$C$608,0)))</f>
        <v/>
      </c>
      <c r="F106" s="15"/>
      <c r="G106" s="15"/>
      <c r="H106" s="15"/>
      <c r="I106" s="15"/>
      <c r="J106" s="15"/>
      <c r="K106" s="15"/>
      <c r="L106" s="15"/>
      <c r="M106" s="15"/>
      <c r="N106" s="15"/>
      <c r="O106" s="22" t="str">
        <f aca="false">IFERROR(MOD(SMALL(DayLines!$C$3:$C$608,84),1000),"")</f>
        <v/>
      </c>
    </row>
    <row r="107" customFormat="false" ht="15" hidden="false" customHeight="false" outlineLevel="0" collapsed="false">
      <c r="A107" s="15"/>
      <c r="B107" s="20" t="str">
        <f aca="false">IF($O107="","",IF($O107=0,INDEX(DayLines!$D$3:$D$608,MATCH(SMALL(DayLines!$C$3:$C$608,85),DayLines!$C$3:$C$608,0)),IF($O107=999,"",INDEX(DayLines!$E$3:$E$608,MATCH(SMALL(DayLines!$C$3:$C$608,85),DayLines!$C$3:$C$608,0)))))</f>
        <v/>
      </c>
      <c r="C107" s="16" t="str">
        <f aca="false">IF($O107="","",IF($O107=0,INDEX(DayLines!$E$3:$E$608,MATCH(SMALL(DayLines!$C$3:$C$608,85),DayLines!$C$3:$C$608,0)),IF($O107=999,"",INDEX(DayLines!$D$3:$D$608,MATCH(SMALL(DayLines!$C$3:$C$608,85),DayLines!$C$3:$C$608,0)))))</f>
        <v/>
      </c>
      <c r="D107" s="15" t="str">
        <f aca="false">IF(OR($O107="",$O107=0,$O107=999),"",INDEX(DayLines!$F$3:$F$608,MATCH(SMALL(DayLines!$C$3:$C$608,85),DayLines!$C$3:$C$608,0)))</f>
        <v/>
      </c>
      <c r="E107" s="21" t="str">
        <f aca="false">IF(OR($O107="",$O107=0,$O107=999),"",INDEX(DayLines!$G$3:$G$608,MATCH(SMALL(DayLines!$C$3:$C$608,85),DayLines!$C$3:$C$608,0)))</f>
        <v/>
      </c>
      <c r="F107" s="15"/>
      <c r="G107" s="15"/>
      <c r="H107" s="15"/>
      <c r="I107" s="15"/>
      <c r="J107" s="15"/>
      <c r="K107" s="15"/>
      <c r="L107" s="15"/>
      <c r="M107" s="15"/>
      <c r="N107" s="15"/>
      <c r="O107" s="22" t="str">
        <f aca="false">IFERROR(MOD(SMALL(DayLines!$C$3:$C$608,85),1000),"")</f>
        <v/>
      </c>
    </row>
    <row r="108" customFormat="false" ht="15" hidden="false" customHeight="false" outlineLevel="0" collapsed="false">
      <c r="A108" s="15"/>
      <c r="B108" s="20" t="str">
        <f aca="false">IF($O108="","",IF($O108=0,INDEX(DayLines!$D$3:$D$608,MATCH(SMALL(DayLines!$C$3:$C$608,86),DayLines!$C$3:$C$608,0)),IF($O108=999,"",INDEX(DayLines!$E$3:$E$608,MATCH(SMALL(DayLines!$C$3:$C$608,86),DayLines!$C$3:$C$608,0)))))</f>
        <v/>
      </c>
      <c r="C108" s="16" t="str">
        <f aca="false">IF($O108="","",IF($O108=0,INDEX(DayLines!$E$3:$E$608,MATCH(SMALL(DayLines!$C$3:$C$608,86),DayLines!$C$3:$C$608,0)),IF($O108=999,"",INDEX(DayLines!$D$3:$D$608,MATCH(SMALL(DayLines!$C$3:$C$608,86),DayLines!$C$3:$C$608,0)))))</f>
        <v/>
      </c>
      <c r="D108" s="15" t="str">
        <f aca="false">IF(OR($O108="",$O108=0,$O108=999),"",INDEX(DayLines!$F$3:$F$608,MATCH(SMALL(DayLines!$C$3:$C$608,86),DayLines!$C$3:$C$608,0)))</f>
        <v/>
      </c>
      <c r="E108" s="21" t="str">
        <f aca="false">IF(OR($O108="",$O108=0,$O108=999),"",INDEX(DayLines!$G$3:$G$608,MATCH(SMALL(DayLines!$C$3:$C$608,86),DayLines!$C$3:$C$608,0)))</f>
        <v/>
      </c>
      <c r="F108" s="15"/>
      <c r="G108" s="15"/>
      <c r="H108" s="15"/>
      <c r="I108" s="15"/>
      <c r="J108" s="15"/>
      <c r="K108" s="15"/>
      <c r="L108" s="15"/>
      <c r="M108" s="15"/>
      <c r="N108" s="15"/>
      <c r="O108" s="22" t="str">
        <f aca="false">IFERROR(MOD(SMALL(DayLines!$C$3:$C$608,86),1000),"")</f>
        <v/>
      </c>
    </row>
    <row r="109" customFormat="false" ht="15" hidden="false" customHeight="false" outlineLevel="0" collapsed="false">
      <c r="A109" s="15"/>
      <c r="B109" s="20" t="str">
        <f aca="false">IF($O109="","",IF($O109=0,INDEX(DayLines!$D$3:$D$608,MATCH(SMALL(DayLines!$C$3:$C$608,87),DayLines!$C$3:$C$608,0)),IF($O109=999,"",INDEX(DayLines!$E$3:$E$608,MATCH(SMALL(DayLines!$C$3:$C$608,87),DayLines!$C$3:$C$608,0)))))</f>
        <v/>
      </c>
      <c r="C109" s="16" t="str">
        <f aca="false">IF($O109="","",IF($O109=0,INDEX(DayLines!$E$3:$E$608,MATCH(SMALL(DayLines!$C$3:$C$608,87),DayLines!$C$3:$C$608,0)),IF($O109=999,"",INDEX(DayLines!$D$3:$D$608,MATCH(SMALL(DayLines!$C$3:$C$608,87),DayLines!$C$3:$C$608,0)))))</f>
        <v/>
      </c>
      <c r="D109" s="15" t="str">
        <f aca="false">IF(OR($O109="",$O109=0,$O109=999),"",INDEX(DayLines!$F$3:$F$608,MATCH(SMALL(DayLines!$C$3:$C$608,87),DayLines!$C$3:$C$608,0)))</f>
        <v/>
      </c>
      <c r="E109" s="21" t="str">
        <f aca="false">IF(OR($O109="",$O109=0,$O109=999),"",INDEX(DayLines!$G$3:$G$608,MATCH(SMALL(DayLines!$C$3:$C$608,87),DayLines!$C$3:$C$608,0)))</f>
        <v/>
      </c>
      <c r="F109" s="15"/>
      <c r="G109" s="15"/>
      <c r="H109" s="15"/>
      <c r="I109" s="15"/>
      <c r="J109" s="15"/>
      <c r="K109" s="15"/>
      <c r="L109" s="15"/>
      <c r="M109" s="15"/>
      <c r="N109" s="15"/>
      <c r="O109" s="22" t="str">
        <f aca="false">IFERROR(MOD(SMALL(DayLines!$C$3:$C$608,87),1000),"")</f>
        <v/>
      </c>
    </row>
    <row r="110" customFormat="false" ht="15" hidden="false" customHeight="false" outlineLevel="0" collapsed="false">
      <c r="A110" s="15"/>
      <c r="B110" s="20" t="str">
        <f aca="false">IF($O110="","",IF($O110=0,INDEX(DayLines!$D$3:$D$608,MATCH(SMALL(DayLines!$C$3:$C$608,88),DayLines!$C$3:$C$608,0)),IF($O110=999,"",INDEX(DayLines!$E$3:$E$608,MATCH(SMALL(DayLines!$C$3:$C$608,88),DayLines!$C$3:$C$608,0)))))</f>
        <v/>
      </c>
      <c r="C110" s="16" t="str">
        <f aca="false">IF($O110="","",IF($O110=0,INDEX(DayLines!$E$3:$E$608,MATCH(SMALL(DayLines!$C$3:$C$608,88),DayLines!$C$3:$C$608,0)),IF($O110=999,"",INDEX(DayLines!$D$3:$D$608,MATCH(SMALL(DayLines!$C$3:$C$608,88),DayLines!$C$3:$C$608,0)))))</f>
        <v/>
      </c>
      <c r="D110" s="15" t="str">
        <f aca="false">IF(OR($O110="",$O110=0,$O110=999),"",INDEX(DayLines!$F$3:$F$608,MATCH(SMALL(DayLines!$C$3:$C$608,88),DayLines!$C$3:$C$608,0)))</f>
        <v/>
      </c>
      <c r="E110" s="21" t="str">
        <f aca="false">IF(OR($O110="",$O110=0,$O110=999),"",INDEX(DayLines!$G$3:$G$608,MATCH(SMALL(DayLines!$C$3:$C$608,88),DayLines!$C$3:$C$608,0)))</f>
        <v/>
      </c>
      <c r="F110" s="15"/>
      <c r="G110" s="15"/>
      <c r="H110" s="15"/>
      <c r="I110" s="15"/>
      <c r="J110" s="15"/>
      <c r="K110" s="15"/>
      <c r="L110" s="15"/>
      <c r="M110" s="15"/>
      <c r="N110" s="15"/>
      <c r="O110" s="22" t="str">
        <f aca="false">IFERROR(MOD(SMALL(DayLines!$C$3:$C$608,88),1000),"")</f>
        <v/>
      </c>
    </row>
    <row r="111" customFormat="false" ht="15" hidden="false" customHeight="false" outlineLevel="0" collapsed="false">
      <c r="A111" s="15"/>
      <c r="B111" s="20" t="str">
        <f aca="false">IF($O111="","",IF($O111=0,INDEX(DayLines!$D$3:$D$608,MATCH(SMALL(DayLines!$C$3:$C$608,89),DayLines!$C$3:$C$608,0)),IF($O111=999,"",INDEX(DayLines!$E$3:$E$608,MATCH(SMALL(DayLines!$C$3:$C$608,89),DayLines!$C$3:$C$608,0)))))</f>
        <v/>
      </c>
      <c r="C111" s="16" t="str">
        <f aca="false">IF($O111="","",IF($O111=0,INDEX(DayLines!$E$3:$E$608,MATCH(SMALL(DayLines!$C$3:$C$608,89),DayLines!$C$3:$C$608,0)),IF($O111=999,"",INDEX(DayLines!$D$3:$D$608,MATCH(SMALL(DayLines!$C$3:$C$608,89),DayLines!$C$3:$C$608,0)))))</f>
        <v/>
      </c>
      <c r="D111" s="15" t="str">
        <f aca="false">IF(OR($O111="",$O111=0,$O111=999),"",INDEX(DayLines!$F$3:$F$608,MATCH(SMALL(DayLines!$C$3:$C$608,89),DayLines!$C$3:$C$608,0)))</f>
        <v/>
      </c>
      <c r="E111" s="21" t="str">
        <f aca="false">IF(OR($O111="",$O111=0,$O111=999),"",INDEX(DayLines!$G$3:$G$608,MATCH(SMALL(DayLines!$C$3:$C$608,89),DayLines!$C$3:$C$608,0)))</f>
        <v/>
      </c>
      <c r="F111" s="15"/>
      <c r="G111" s="15"/>
      <c r="H111" s="15"/>
      <c r="I111" s="15"/>
      <c r="J111" s="15"/>
      <c r="K111" s="15"/>
      <c r="L111" s="15"/>
      <c r="M111" s="15"/>
      <c r="N111" s="15"/>
      <c r="O111" s="22" t="str">
        <f aca="false">IFERROR(MOD(SMALL(DayLines!$C$3:$C$608,89),1000),"")</f>
        <v/>
      </c>
    </row>
    <row r="112" customFormat="false" ht="15" hidden="false" customHeight="false" outlineLevel="0" collapsed="false">
      <c r="A112" s="15"/>
      <c r="B112" s="20" t="str">
        <f aca="false">IF($O112="","",IF($O112=0,INDEX(DayLines!$D$3:$D$608,MATCH(SMALL(DayLines!$C$3:$C$608,90),DayLines!$C$3:$C$608,0)),IF($O112=999,"",INDEX(DayLines!$E$3:$E$608,MATCH(SMALL(DayLines!$C$3:$C$608,90),DayLines!$C$3:$C$608,0)))))</f>
        <v/>
      </c>
      <c r="C112" s="16" t="str">
        <f aca="false">IF($O112="","",IF($O112=0,INDEX(DayLines!$E$3:$E$608,MATCH(SMALL(DayLines!$C$3:$C$608,90),DayLines!$C$3:$C$608,0)),IF($O112=999,"",INDEX(DayLines!$D$3:$D$608,MATCH(SMALL(DayLines!$C$3:$C$608,90),DayLines!$C$3:$C$608,0)))))</f>
        <v/>
      </c>
      <c r="D112" s="15" t="str">
        <f aca="false">IF(OR($O112="",$O112=0,$O112=999),"",INDEX(DayLines!$F$3:$F$608,MATCH(SMALL(DayLines!$C$3:$C$608,90),DayLines!$C$3:$C$608,0)))</f>
        <v/>
      </c>
      <c r="E112" s="21" t="str">
        <f aca="false">IF(OR($O112="",$O112=0,$O112=999),"",INDEX(DayLines!$G$3:$G$608,MATCH(SMALL(DayLines!$C$3:$C$608,90),DayLines!$C$3:$C$608,0)))</f>
        <v/>
      </c>
      <c r="F112" s="15"/>
      <c r="G112" s="15"/>
      <c r="H112" s="15"/>
      <c r="I112" s="15"/>
      <c r="J112" s="15"/>
      <c r="K112" s="15"/>
      <c r="L112" s="15"/>
      <c r="M112" s="15"/>
      <c r="N112" s="15"/>
      <c r="O112" s="22" t="str">
        <f aca="false">IFERROR(MOD(SMALL(DayLines!$C$3:$C$608,90),1000),"")</f>
        <v/>
      </c>
    </row>
    <row r="113" customFormat="false" ht="15" hidden="false" customHeight="false" outlineLevel="0" collapsed="false">
      <c r="A113" s="15"/>
      <c r="B113" s="20" t="str">
        <f aca="false">IF($O113="","",IF($O113=0,INDEX(DayLines!$D$3:$D$608,MATCH(SMALL(DayLines!$C$3:$C$608,91),DayLines!$C$3:$C$608,0)),IF($O113=999,"",INDEX(DayLines!$E$3:$E$608,MATCH(SMALL(DayLines!$C$3:$C$608,91),DayLines!$C$3:$C$608,0)))))</f>
        <v/>
      </c>
      <c r="C113" s="16" t="str">
        <f aca="false">IF($O113="","",IF($O113=0,INDEX(DayLines!$E$3:$E$608,MATCH(SMALL(DayLines!$C$3:$C$608,91),DayLines!$C$3:$C$608,0)),IF($O113=999,"",INDEX(DayLines!$D$3:$D$608,MATCH(SMALL(DayLines!$C$3:$C$608,91),DayLines!$C$3:$C$608,0)))))</f>
        <v/>
      </c>
      <c r="D113" s="15" t="str">
        <f aca="false">IF(OR($O113="",$O113=0,$O113=999),"",INDEX(DayLines!$F$3:$F$608,MATCH(SMALL(DayLines!$C$3:$C$608,91),DayLines!$C$3:$C$608,0)))</f>
        <v/>
      </c>
      <c r="E113" s="21" t="str">
        <f aca="false">IF(OR($O113="",$O113=0,$O113=999),"",INDEX(DayLines!$G$3:$G$608,MATCH(SMALL(DayLines!$C$3:$C$608,91),DayLines!$C$3:$C$608,0)))</f>
        <v/>
      </c>
      <c r="F113" s="15"/>
      <c r="G113" s="15"/>
      <c r="H113" s="15"/>
      <c r="I113" s="15"/>
      <c r="J113" s="15"/>
      <c r="K113" s="15"/>
      <c r="L113" s="15"/>
      <c r="M113" s="15"/>
      <c r="N113" s="15"/>
      <c r="O113" s="22" t="str">
        <f aca="false">IFERROR(MOD(SMALL(DayLines!$C$3:$C$608,91),1000),"")</f>
        <v/>
      </c>
    </row>
    <row r="114" customFormat="false" ht="15" hidden="false" customHeight="false" outlineLevel="0" collapsed="false">
      <c r="A114" s="15"/>
      <c r="B114" s="20" t="str">
        <f aca="false">IF($O114="","",IF($O114=0,INDEX(DayLines!$D$3:$D$608,MATCH(SMALL(DayLines!$C$3:$C$608,92),DayLines!$C$3:$C$608,0)),IF($O114=999,"",INDEX(DayLines!$E$3:$E$608,MATCH(SMALL(DayLines!$C$3:$C$608,92),DayLines!$C$3:$C$608,0)))))</f>
        <v/>
      </c>
      <c r="C114" s="16" t="str">
        <f aca="false">IF($O114="","",IF($O114=0,INDEX(DayLines!$E$3:$E$608,MATCH(SMALL(DayLines!$C$3:$C$608,92),DayLines!$C$3:$C$608,0)),IF($O114=999,"",INDEX(DayLines!$D$3:$D$608,MATCH(SMALL(DayLines!$C$3:$C$608,92),DayLines!$C$3:$C$608,0)))))</f>
        <v/>
      </c>
      <c r="D114" s="15" t="str">
        <f aca="false">IF(OR($O114="",$O114=0,$O114=999),"",INDEX(DayLines!$F$3:$F$608,MATCH(SMALL(DayLines!$C$3:$C$608,92),DayLines!$C$3:$C$608,0)))</f>
        <v/>
      </c>
      <c r="E114" s="21" t="str">
        <f aca="false">IF(OR($O114="",$O114=0,$O114=999),"",INDEX(DayLines!$G$3:$G$608,MATCH(SMALL(DayLines!$C$3:$C$608,92),DayLines!$C$3:$C$608,0)))</f>
        <v/>
      </c>
      <c r="F114" s="15"/>
      <c r="G114" s="15"/>
      <c r="H114" s="15"/>
      <c r="I114" s="15"/>
      <c r="J114" s="15"/>
      <c r="K114" s="15"/>
      <c r="L114" s="15"/>
      <c r="M114" s="15"/>
      <c r="N114" s="15"/>
      <c r="O114" s="22" t="str">
        <f aca="false">IFERROR(MOD(SMALL(DayLines!$C$3:$C$608,92),1000),"")</f>
        <v/>
      </c>
    </row>
    <row r="115" customFormat="false" ht="15" hidden="false" customHeight="false" outlineLevel="0" collapsed="false">
      <c r="A115" s="15"/>
      <c r="B115" s="20" t="str">
        <f aca="false">IF($O115="","",IF($O115=0,INDEX(DayLines!$D$3:$D$608,MATCH(SMALL(DayLines!$C$3:$C$608,93),DayLines!$C$3:$C$608,0)),IF($O115=999,"",INDEX(DayLines!$E$3:$E$608,MATCH(SMALL(DayLines!$C$3:$C$608,93),DayLines!$C$3:$C$608,0)))))</f>
        <v/>
      </c>
      <c r="C115" s="16" t="str">
        <f aca="false">IF($O115="","",IF($O115=0,INDEX(DayLines!$E$3:$E$608,MATCH(SMALL(DayLines!$C$3:$C$608,93),DayLines!$C$3:$C$608,0)),IF($O115=999,"",INDEX(DayLines!$D$3:$D$608,MATCH(SMALL(DayLines!$C$3:$C$608,93),DayLines!$C$3:$C$608,0)))))</f>
        <v/>
      </c>
      <c r="D115" s="15" t="str">
        <f aca="false">IF(OR($O115="",$O115=0,$O115=999),"",INDEX(DayLines!$F$3:$F$608,MATCH(SMALL(DayLines!$C$3:$C$608,93),DayLines!$C$3:$C$608,0)))</f>
        <v/>
      </c>
      <c r="E115" s="21" t="str">
        <f aca="false">IF(OR($O115="",$O115=0,$O115=999),"",INDEX(DayLines!$G$3:$G$608,MATCH(SMALL(DayLines!$C$3:$C$608,93),DayLines!$C$3:$C$608,0)))</f>
        <v/>
      </c>
      <c r="F115" s="15"/>
      <c r="G115" s="15"/>
      <c r="H115" s="15"/>
      <c r="I115" s="15"/>
      <c r="J115" s="15"/>
      <c r="K115" s="15"/>
      <c r="L115" s="15"/>
      <c r="M115" s="15"/>
      <c r="N115" s="15"/>
      <c r="O115" s="22" t="str">
        <f aca="false">IFERROR(MOD(SMALL(DayLines!$C$3:$C$608,93),1000),"")</f>
        <v/>
      </c>
    </row>
    <row r="116" customFormat="false" ht="15" hidden="false" customHeight="false" outlineLevel="0" collapsed="false">
      <c r="A116" s="15"/>
      <c r="B116" s="20" t="str">
        <f aca="false">IF($O116="","",IF($O116=0,INDEX(DayLines!$D$3:$D$608,MATCH(SMALL(DayLines!$C$3:$C$608,94),DayLines!$C$3:$C$608,0)),IF($O116=999,"",INDEX(DayLines!$E$3:$E$608,MATCH(SMALL(DayLines!$C$3:$C$608,94),DayLines!$C$3:$C$608,0)))))</f>
        <v/>
      </c>
      <c r="C116" s="16" t="str">
        <f aca="false">IF($O116="","",IF($O116=0,INDEX(DayLines!$E$3:$E$608,MATCH(SMALL(DayLines!$C$3:$C$608,94),DayLines!$C$3:$C$608,0)),IF($O116=999,"",INDEX(DayLines!$D$3:$D$608,MATCH(SMALL(DayLines!$C$3:$C$608,94),DayLines!$C$3:$C$608,0)))))</f>
        <v/>
      </c>
      <c r="D116" s="15" t="str">
        <f aca="false">IF(OR($O116="",$O116=0,$O116=999),"",INDEX(DayLines!$F$3:$F$608,MATCH(SMALL(DayLines!$C$3:$C$608,94),DayLines!$C$3:$C$608,0)))</f>
        <v/>
      </c>
      <c r="E116" s="21" t="str">
        <f aca="false">IF(OR($O116="",$O116=0,$O116=999),"",INDEX(DayLines!$G$3:$G$608,MATCH(SMALL(DayLines!$C$3:$C$608,94),DayLines!$C$3:$C$608,0)))</f>
        <v/>
      </c>
      <c r="F116" s="15"/>
      <c r="G116" s="15"/>
      <c r="H116" s="15"/>
      <c r="I116" s="15"/>
      <c r="J116" s="15"/>
      <c r="K116" s="15"/>
      <c r="L116" s="15"/>
      <c r="M116" s="15"/>
      <c r="N116" s="15"/>
      <c r="O116" s="22" t="str">
        <f aca="false">IFERROR(MOD(SMALL(DayLines!$C$3:$C$608,94),1000),"")</f>
        <v/>
      </c>
    </row>
    <row r="117" customFormat="false" ht="15" hidden="false" customHeight="false" outlineLevel="0" collapsed="false">
      <c r="A117" s="15"/>
      <c r="B117" s="20" t="str">
        <f aca="false">IF($O117="","",IF($O117=0,INDEX(DayLines!$D$3:$D$608,MATCH(SMALL(DayLines!$C$3:$C$608,95),DayLines!$C$3:$C$608,0)),IF($O117=999,"",INDEX(DayLines!$E$3:$E$608,MATCH(SMALL(DayLines!$C$3:$C$608,95),DayLines!$C$3:$C$608,0)))))</f>
        <v/>
      </c>
      <c r="C117" s="16" t="str">
        <f aca="false">IF($O117="","",IF($O117=0,INDEX(DayLines!$E$3:$E$608,MATCH(SMALL(DayLines!$C$3:$C$608,95),DayLines!$C$3:$C$608,0)),IF($O117=999,"",INDEX(DayLines!$D$3:$D$608,MATCH(SMALL(DayLines!$C$3:$C$608,95),DayLines!$C$3:$C$608,0)))))</f>
        <v/>
      </c>
      <c r="D117" s="15" t="str">
        <f aca="false">IF(OR($O117="",$O117=0,$O117=999),"",INDEX(DayLines!$F$3:$F$608,MATCH(SMALL(DayLines!$C$3:$C$608,95),DayLines!$C$3:$C$608,0)))</f>
        <v/>
      </c>
      <c r="E117" s="21" t="str">
        <f aca="false">IF(OR($O117="",$O117=0,$O117=999),"",INDEX(DayLines!$G$3:$G$608,MATCH(SMALL(DayLines!$C$3:$C$608,95),DayLines!$C$3:$C$608,0)))</f>
        <v/>
      </c>
      <c r="F117" s="15"/>
      <c r="G117" s="15"/>
      <c r="H117" s="15"/>
      <c r="I117" s="15"/>
      <c r="J117" s="15"/>
      <c r="K117" s="15"/>
      <c r="L117" s="15"/>
      <c r="M117" s="15"/>
      <c r="N117" s="15"/>
      <c r="O117" s="22" t="str">
        <f aca="false">IFERROR(MOD(SMALL(DayLines!$C$3:$C$608,95),1000),"")</f>
        <v/>
      </c>
    </row>
    <row r="118" customFormat="false" ht="15" hidden="false" customHeight="false" outlineLevel="0" collapsed="false">
      <c r="A118" s="15"/>
      <c r="B118" s="20" t="str">
        <f aca="false">IF($O118="","",IF($O118=0,INDEX(DayLines!$D$3:$D$608,MATCH(SMALL(DayLines!$C$3:$C$608,96),DayLines!$C$3:$C$608,0)),IF($O118=999,"",INDEX(DayLines!$E$3:$E$608,MATCH(SMALL(DayLines!$C$3:$C$608,96),DayLines!$C$3:$C$608,0)))))</f>
        <v/>
      </c>
      <c r="C118" s="16" t="str">
        <f aca="false">IF($O118="","",IF($O118=0,INDEX(DayLines!$E$3:$E$608,MATCH(SMALL(DayLines!$C$3:$C$608,96),DayLines!$C$3:$C$608,0)),IF($O118=999,"",INDEX(DayLines!$D$3:$D$608,MATCH(SMALL(DayLines!$C$3:$C$608,96),DayLines!$C$3:$C$608,0)))))</f>
        <v/>
      </c>
      <c r="D118" s="15" t="str">
        <f aca="false">IF(OR($O118="",$O118=0,$O118=999),"",INDEX(DayLines!$F$3:$F$608,MATCH(SMALL(DayLines!$C$3:$C$608,96),DayLines!$C$3:$C$608,0)))</f>
        <v/>
      </c>
      <c r="E118" s="21" t="str">
        <f aca="false">IF(OR($O118="",$O118=0,$O118=999),"",INDEX(DayLines!$G$3:$G$608,MATCH(SMALL(DayLines!$C$3:$C$608,96),DayLines!$C$3:$C$608,0)))</f>
        <v/>
      </c>
      <c r="F118" s="15"/>
      <c r="G118" s="15"/>
      <c r="H118" s="15"/>
      <c r="I118" s="15"/>
      <c r="J118" s="15"/>
      <c r="K118" s="15"/>
      <c r="L118" s="15"/>
      <c r="M118" s="15"/>
      <c r="N118" s="15"/>
      <c r="O118" s="22" t="str">
        <f aca="false">IFERROR(MOD(SMALL(DayLines!$C$3:$C$608,96),1000),"")</f>
        <v/>
      </c>
    </row>
    <row r="119" customFormat="false" ht="15" hidden="false" customHeight="false" outlineLevel="0" collapsed="false">
      <c r="A119" s="15"/>
      <c r="B119" s="20" t="str">
        <f aca="false">IF($O119="","",IF($O119=0,INDEX(DayLines!$D$3:$D$608,MATCH(SMALL(DayLines!$C$3:$C$608,97),DayLines!$C$3:$C$608,0)),IF($O119=999,"",INDEX(DayLines!$E$3:$E$608,MATCH(SMALL(DayLines!$C$3:$C$608,97),DayLines!$C$3:$C$608,0)))))</f>
        <v/>
      </c>
      <c r="C119" s="16" t="str">
        <f aca="false">IF($O119="","",IF($O119=0,INDEX(DayLines!$E$3:$E$608,MATCH(SMALL(DayLines!$C$3:$C$608,97),DayLines!$C$3:$C$608,0)),IF($O119=999,"",INDEX(DayLines!$D$3:$D$608,MATCH(SMALL(DayLines!$C$3:$C$608,97),DayLines!$C$3:$C$608,0)))))</f>
        <v/>
      </c>
      <c r="D119" s="15" t="str">
        <f aca="false">IF(OR($O119="",$O119=0,$O119=999),"",INDEX(DayLines!$F$3:$F$608,MATCH(SMALL(DayLines!$C$3:$C$608,97),DayLines!$C$3:$C$608,0)))</f>
        <v/>
      </c>
      <c r="E119" s="21" t="str">
        <f aca="false">IF(OR($O119="",$O119=0,$O119=999),"",INDEX(DayLines!$G$3:$G$608,MATCH(SMALL(DayLines!$C$3:$C$608,97),DayLines!$C$3:$C$608,0)))</f>
        <v/>
      </c>
      <c r="F119" s="15"/>
      <c r="G119" s="15"/>
      <c r="H119" s="15"/>
      <c r="I119" s="15"/>
      <c r="J119" s="15"/>
      <c r="K119" s="15"/>
      <c r="L119" s="15"/>
      <c r="M119" s="15"/>
      <c r="N119" s="15"/>
      <c r="O119" s="22" t="str">
        <f aca="false">IFERROR(MOD(SMALL(DayLines!$C$3:$C$608,97),1000),"")</f>
        <v/>
      </c>
    </row>
    <row r="120" customFormat="false" ht="15" hidden="false" customHeight="false" outlineLevel="0" collapsed="false">
      <c r="A120" s="15"/>
      <c r="B120" s="20" t="str">
        <f aca="false">IF($O120="","",IF($O120=0,INDEX(DayLines!$D$3:$D$608,MATCH(SMALL(DayLines!$C$3:$C$608,98),DayLines!$C$3:$C$608,0)),IF($O120=999,"",INDEX(DayLines!$E$3:$E$608,MATCH(SMALL(DayLines!$C$3:$C$608,98),DayLines!$C$3:$C$608,0)))))</f>
        <v/>
      </c>
      <c r="C120" s="16" t="str">
        <f aca="false">IF($O120="","",IF($O120=0,INDEX(DayLines!$E$3:$E$608,MATCH(SMALL(DayLines!$C$3:$C$608,98),DayLines!$C$3:$C$608,0)),IF($O120=999,"",INDEX(DayLines!$D$3:$D$608,MATCH(SMALL(DayLines!$C$3:$C$608,98),DayLines!$C$3:$C$608,0)))))</f>
        <v/>
      </c>
      <c r="D120" s="15" t="str">
        <f aca="false">IF(OR($O120="",$O120=0,$O120=999),"",INDEX(DayLines!$F$3:$F$608,MATCH(SMALL(DayLines!$C$3:$C$608,98),DayLines!$C$3:$C$608,0)))</f>
        <v/>
      </c>
      <c r="E120" s="21" t="str">
        <f aca="false">IF(OR($O120="",$O120=0,$O120=999),"",INDEX(DayLines!$G$3:$G$608,MATCH(SMALL(DayLines!$C$3:$C$608,98),DayLines!$C$3:$C$608,0)))</f>
        <v/>
      </c>
      <c r="F120" s="15"/>
      <c r="G120" s="15"/>
      <c r="H120" s="15"/>
      <c r="I120" s="15"/>
      <c r="J120" s="15"/>
      <c r="K120" s="15"/>
      <c r="L120" s="15"/>
      <c r="M120" s="15"/>
      <c r="N120" s="15"/>
      <c r="O120" s="22" t="str">
        <f aca="false">IFERROR(MOD(SMALL(DayLines!$C$3:$C$608,98),1000),"")</f>
        <v/>
      </c>
    </row>
    <row r="121" customFormat="false" ht="15" hidden="false" customHeight="false" outlineLevel="0" collapsed="false">
      <c r="A121" s="15"/>
      <c r="B121" s="20" t="str">
        <f aca="false">IF($O121="","",IF($O121=0,INDEX(DayLines!$D$3:$D$608,MATCH(SMALL(DayLines!$C$3:$C$608,99),DayLines!$C$3:$C$608,0)),IF($O121=999,"",INDEX(DayLines!$E$3:$E$608,MATCH(SMALL(DayLines!$C$3:$C$608,99),DayLines!$C$3:$C$608,0)))))</f>
        <v/>
      </c>
      <c r="C121" s="16" t="str">
        <f aca="false">IF($O121="","",IF($O121=0,INDEX(DayLines!$E$3:$E$608,MATCH(SMALL(DayLines!$C$3:$C$608,99),DayLines!$C$3:$C$608,0)),IF($O121=999,"",INDEX(DayLines!$D$3:$D$608,MATCH(SMALL(DayLines!$C$3:$C$608,99),DayLines!$C$3:$C$608,0)))))</f>
        <v/>
      </c>
      <c r="D121" s="15" t="str">
        <f aca="false">IF(OR($O121="",$O121=0,$O121=999),"",INDEX(DayLines!$F$3:$F$608,MATCH(SMALL(DayLines!$C$3:$C$608,99),DayLines!$C$3:$C$608,0)))</f>
        <v/>
      </c>
      <c r="E121" s="21" t="str">
        <f aca="false">IF(OR($O121="",$O121=0,$O121=999),"",INDEX(DayLines!$G$3:$G$608,MATCH(SMALL(DayLines!$C$3:$C$608,99),DayLines!$C$3:$C$608,0)))</f>
        <v/>
      </c>
      <c r="F121" s="15"/>
      <c r="G121" s="15"/>
      <c r="H121" s="15"/>
      <c r="I121" s="15"/>
      <c r="J121" s="15"/>
      <c r="K121" s="15"/>
      <c r="L121" s="15"/>
      <c r="M121" s="15"/>
      <c r="N121" s="15"/>
      <c r="O121" s="22" t="str">
        <f aca="false">IFERROR(MOD(SMALL(DayLines!$C$3:$C$608,99),1000),"")</f>
        <v/>
      </c>
    </row>
    <row r="122" customFormat="false" ht="15" hidden="false" customHeight="false" outlineLevel="0" collapsed="false">
      <c r="A122" s="15"/>
      <c r="B122" s="20" t="str">
        <f aca="false">IF($O122="","",IF($O122=0,INDEX(DayLines!$D$3:$D$608,MATCH(SMALL(DayLines!$C$3:$C$608,100),DayLines!$C$3:$C$608,0)),IF($O122=999,"",INDEX(DayLines!$E$3:$E$608,MATCH(SMALL(DayLines!$C$3:$C$608,100),DayLines!$C$3:$C$608,0)))))</f>
        <v/>
      </c>
      <c r="C122" s="16" t="str">
        <f aca="false">IF($O122="","",IF($O122=0,INDEX(DayLines!$E$3:$E$608,MATCH(SMALL(DayLines!$C$3:$C$608,100),DayLines!$C$3:$C$608,0)),IF($O122=999,"",INDEX(DayLines!$D$3:$D$608,MATCH(SMALL(DayLines!$C$3:$C$608,100),DayLines!$C$3:$C$608,0)))))</f>
        <v/>
      </c>
      <c r="D122" s="15" t="str">
        <f aca="false">IF(OR($O122="",$O122=0,$O122=999),"",INDEX(DayLines!$F$3:$F$608,MATCH(SMALL(DayLines!$C$3:$C$608,100),DayLines!$C$3:$C$608,0)))</f>
        <v/>
      </c>
      <c r="E122" s="21" t="str">
        <f aca="false">IF(OR($O122="",$O122=0,$O122=999),"",INDEX(DayLines!$G$3:$G$608,MATCH(SMALL(DayLines!$C$3:$C$608,100),DayLines!$C$3:$C$608,0)))</f>
        <v/>
      </c>
      <c r="F122" s="15"/>
      <c r="G122" s="15"/>
      <c r="H122" s="15"/>
      <c r="I122" s="15"/>
      <c r="J122" s="15"/>
      <c r="K122" s="15"/>
      <c r="L122" s="15"/>
      <c r="M122" s="15"/>
      <c r="N122" s="15"/>
      <c r="O122" s="22" t="str">
        <f aca="false">IFERROR(MOD(SMALL(DayLines!$C$3:$C$608,100),1000),"")</f>
        <v/>
      </c>
    </row>
    <row r="123" customFormat="false" ht="15" hidden="false" customHeight="false" outlineLevel="0" collapsed="false">
      <c r="A123" s="15"/>
      <c r="B123" s="20" t="str">
        <f aca="false">IF($O123="","",IF($O123=0,INDEX(DayLines!$D$3:$D$608,MATCH(SMALL(DayLines!$C$3:$C$608,101),DayLines!$C$3:$C$608,0)),IF($O123=999,"",INDEX(DayLines!$E$3:$E$608,MATCH(SMALL(DayLines!$C$3:$C$608,101),DayLines!$C$3:$C$608,0)))))</f>
        <v/>
      </c>
      <c r="C123" s="16" t="str">
        <f aca="false">IF($O123="","",IF($O123=0,INDEX(DayLines!$E$3:$E$608,MATCH(SMALL(DayLines!$C$3:$C$608,101),DayLines!$C$3:$C$608,0)),IF($O123=999,"",INDEX(DayLines!$D$3:$D$608,MATCH(SMALL(DayLines!$C$3:$C$608,101),DayLines!$C$3:$C$608,0)))))</f>
        <v/>
      </c>
      <c r="D123" s="15" t="str">
        <f aca="false">IF(OR($O123="",$O123=0,$O123=999),"",INDEX(DayLines!$F$3:$F$608,MATCH(SMALL(DayLines!$C$3:$C$608,101),DayLines!$C$3:$C$608,0)))</f>
        <v/>
      </c>
      <c r="E123" s="21" t="str">
        <f aca="false">IF(OR($O123="",$O123=0,$O123=999),"",INDEX(DayLines!$G$3:$G$608,MATCH(SMALL(DayLines!$C$3:$C$608,101),DayLines!$C$3:$C$608,0)))</f>
        <v/>
      </c>
      <c r="F123" s="15"/>
      <c r="G123" s="15"/>
      <c r="H123" s="15"/>
      <c r="I123" s="15"/>
      <c r="J123" s="15"/>
      <c r="K123" s="15"/>
      <c r="L123" s="15"/>
      <c r="M123" s="15"/>
      <c r="N123" s="15"/>
      <c r="O123" s="22" t="str">
        <f aca="false">IFERROR(MOD(SMALL(DayLines!$C$3:$C$608,101),1000),"")</f>
        <v/>
      </c>
    </row>
    <row r="124" customFormat="false" ht="15" hidden="false" customHeight="false" outlineLevel="0" collapsed="false">
      <c r="A124" s="15"/>
      <c r="B124" s="20" t="str">
        <f aca="false">IF($O124="","",IF($O124=0,INDEX(DayLines!$D$3:$D$608,MATCH(SMALL(DayLines!$C$3:$C$608,102),DayLines!$C$3:$C$608,0)),IF($O124=999,"",INDEX(DayLines!$E$3:$E$608,MATCH(SMALL(DayLines!$C$3:$C$608,102),DayLines!$C$3:$C$608,0)))))</f>
        <v/>
      </c>
      <c r="C124" s="16" t="str">
        <f aca="false">IF($O124="","",IF($O124=0,INDEX(DayLines!$E$3:$E$608,MATCH(SMALL(DayLines!$C$3:$C$608,102),DayLines!$C$3:$C$608,0)),IF($O124=999,"",INDEX(DayLines!$D$3:$D$608,MATCH(SMALL(DayLines!$C$3:$C$608,102),DayLines!$C$3:$C$608,0)))))</f>
        <v/>
      </c>
      <c r="D124" s="15" t="str">
        <f aca="false">IF(OR($O124="",$O124=0,$O124=999),"",INDEX(DayLines!$F$3:$F$608,MATCH(SMALL(DayLines!$C$3:$C$608,102),DayLines!$C$3:$C$608,0)))</f>
        <v/>
      </c>
      <c r="E124" s="21" t="str">
        <f aca="false">IF(OR($O124="",$O124=0,$O124=999),"",INDEX(DayLines!$G$3:$G$608,MATCH(SMALL(DayLines!$C$3:$C$608,102),DayLines!$C$3:$C$608,0)))</f>
        <v/>
      </c>
      <c r="F124" s="15"/>
      <c r="G124" s="15"/>
      <c r="H124" s="15"/>
      <c r="I124" s="15"/>
      <c r="J124" s="15"/>
      <c r="K124" s="15"/>
      <c r="L124" s="15"/>
      <c r="M124" s="15"/>
      <c r="N124" s="15"/>
      <c r="O124" s="22" t="str">
        <f aca="false">IFERROR(MOD(SMALL(DayLines!$C$3:$C$608,102),1000),"")</f>
        <v/>
      </c>
    </row>
    <row r="125" customFormat="false" ht="15" hidden="false" customHeight="false" outlineLevel="0" collapsed="false">
      <c r="A125" s="15"/>
      <c r="B125" s="20" t="str">
        <f aca="false">IF($O125="","",IF($O125=0,INDEX(DayLines!$D$3:$D$608,MATCH(SMALL(DayLines!$C$3:$C$608,103),DayLines!$C$3:$C$608,0)),IF($O125=999,"",INDEX(DayLines!$E$3:$E$608,MATCH(SMALL(DayLines!$C$3:$C$608,103),DayLines!$C$3:$C$608,0)))))</f>
        <v/>
      </c>
      <c r="C125" s="16" t="str">
        <f aca="false">IF($O125="","",IF($O125=0,INDEX(DayLines!$E$3:$E$608,MATCH(SMALL(DayLines!$C$3:$C$608,103),DayLines!$C$3:$C$608,0)),IF($O125=999,"",INDEX(DayLines!$D$3:$D$608,MATCH(SMALL(DayLines!$C$3:$C$608,103),DayLines!$C$3:$C$608,0)))))</f>
        <v/>
      </c>
      <c r="D125" s="15" t="str">
        <f aca="false">IF(OR($O125="",$O125=0,$O125=999),"",INDEX(DayLines!$F$3:$F$608,MATCH(SMALL(DayLines!$C$3:$C$608,103),DayLines!$C$3:$C$608,0)))</f>
        <v/>
      </c>
      <c r="E125" s="21" t="str">
        <f aca="false">IF(OR($O125="",$O125=0,$O125=999),"",INDEX(DayLines!$G$3:$G$608,MATCH(SMALL(DayLines!$C$3:$C$608,103),DayLines!$C$3:$C$608,0)))</f>
        <v/>
      </c>
      <c r="F125" s="15"/>
      <c r="G125" s="15"/>
      <c r="H125" s="15"/>
      <c r="I125" s="15"/>
      <c r="J125" s="15"/>
      <c r="K125" s="15"/>
      <c r="L125" s="15"/>
      <c r="M125" s="15"/>
      <c r="N125" s="15"/>
      <c r="O125" s="22" t="str">
        <f aca="false">IFERROR(MOD(SMALL(DayLines!$C$3:$C$608,103),1000),"")</f>
        <v/>
      </c>
    </row>
    <row r="126" customFormat="false" ht="15" hidden="false" customHeight="false" outlineLevel="0" collapsed="false">
      <c r="A126" s="15"/>
      <c r="B126" s="20" t="str">
        <f aca="false">IF($O126="","",IF($O126=0,INDEX(DayLines!$D$3:$D$608,MATCH(SMALL(DayLines!$C$3:$C$608,104),DayLines!$C$3:$C$608,0)),IF($O126=999,"",INDEX(DayLines!$E$3:$E$608,MATCH(SMALL(DayLines!$C$3:$C$608,104),DayLines!$C$3:$C$608,0)))))</f>
        <v/>
      </c>
      <c r="C126" s="16" t="str">
        <f aca="false">IF($O126="","",IF($O126=0,INDEX(DayLines!$E$3:$E$608,MATCH(SMALL(DayLines!$C$3:$C$608,104),DayLines!$C$3:$C$608,0)),IF($O126=999,"",INDEX(DayLines!$D$3:$D$608,MATCH(SMALL(DayLines!$C$3:$C$608,104),DayLines!$C$3:$C$608,0)))))</f>
        <v/>
      </c>
      <c r="D126" s="15" t="str">
        <f aca="false">IF(OR($O126="",$O126=0,$O126=999),"",INDEX(DayLines!$F$3:$F$608,MATCH(SMALL(DayLines!$C$3:$C$608,104),DayLines!$C$3:$C$608,0)))</f>
        <v/>
      </c>
      <c r="E126" s="21" t="str">
        <f aca="false">IF(OR($O126="",$O126=0,$O126=999),"",INDEX(DayLines!$G$3:$G$608,MATCH(SMALL(DayLines!$C$3:$C$608,104),DayLines!$C$3:$C$608,0)))</f>
        <v/>
      </c>
      <c r="F126" s="15"/>
      <c r="G126" s="15"/>
      <c r="H126" s="15"/>
      <c r="I126" s="15"/>
      <c r="J126" s="15"/>
      <c r="K126" s="15"/>
      <c r="L126" s="15"/>
      <c r="M126" s="15"/>
      <c r="N126" s="15"/>
      <c r="O126" s="22" t="str">
        <f aca="false">IFERROR(MOD(SMALL(DayLines!$C$3:$C$608,104),1000),"")</f>
        <v/>
      </c>
    </row>
    <row r="127" customFormat="false" ht="15" hidden="false" customHeight="false" outlineLevel="0" collapsed="false">
      <c r="A127" s="15"/>
      <c r="B127" s="20" t="str">
        <f aca="false">IF($O127="","",IF($O127=0,INDEX(DayLines!$D$3:$D$608,MATCH(SMALL(DayLines!$C$3:$C$608,105),DayLines!$C$3:$C$608,0)),IF($O127=999,"",INDEX(DayLines!$E$3:$E$608,MATCH(SMALL(DayLines!$C$3:$C$608,105),DayLines!$C$3:$C$608,0)))))</f>
        <v/>
      </c>
      <c r="C127" s="16" t="str">
        <f aca="false">IF($O127="","",IF($O127=0,INDEX(DayLines!$E$3:$E$608,MATCH(SMALL(DayLines!$C$3:$C$608,105),DayLines!$C$3:$C$608,0)),IF($O127=999,"",INDEX(DayLines!$D$3:$D$608,MATCH(SMALL(DayLines!$C$3:$C$608,105),DayLines!$C$3:$C$608,0)))))</f>
        <v/>
      </c>
      <c r="D127" s="15" t="str">
        <f aca="false">IF(OR($O127="",$O127=0,$O127=999),"",INDEX(DayLines!$F$3:$F$608,MATCH(SMALL(DayLines!$C$3:$C$608,105),DayLines!$C$3:$C$608,0)))</f>
        <v/>
      </c>
      <c r="E127" s="21" t="str">
        <f aca="false">IF(OR($O127="",$O127=0,$O127=999),"",INDEX(DayLines!$G$3:$G$608,MATCH(SMALL(DayLines!$C$3:$C$608,105),DayLines!$C$3:$C$608,0)))</f>
        <v/>
      </c>
      <c r="F127" s="15"/>
      <c r="G127" s="15"/>
      <c r="H127" s="15"/>
      <c r="I127" s="15"/>
      <c r="J127" s="15"/>
      <c r="K127" s="15"/>
      <c r="L127" s="15"/>
      <c r="M127" s="15"/>
      <c r="N127" s="15"/>
      <c r="O127" s="22" t="str">
        <f aca="false">IFERROR(MOD(SMALL(DayLines!$C$3:$C$608,105),1000),"")</f>
        <v/>
      </c>
    </row>
    <row r="128" customFormat="false" ht="15" hidden="false" customHeight="false" outlineLevel="0" collapsed="false">
      <c r="A128" s="15"/>
      <c r="B128" s="20" t="str">
        <f aca="false">IF($O128="","",IF($O128=0,INDEX(DayLines!$D$3:$D$608,MATCH(SMALL(DayLines!$C$3:$C$608,106),DayLines!$C$3:$C$608,0)),IF($O128=999,"",INDEX(DayLines!$E$3:$E$608,MATCH(SMALL(DayLines!$C$3:$C$608,106),DayLines!$C$3:$C$608,0)))))</f>
        <v/>
      </c>
      <c r="C128" s="16" t="str">
        <f aca="false">IF($O128="","",IF($O128=0,INDEX(DayLines!$E$3:$E$608,MATCH(SMALL(DayLines!$C$3:$C$608,106),DayLines!$C$3:$C$608,0)),IF($O128=999,"",INDEX(DayLines!$D$3:$D$608,MATCH(SMALL(DayLines!$C$3:$C$608,106),DayLines!$C$3:$C$608,0)))))</f>
        <v/>
      </c>
      <c r="D128" s="15" t="str">
        <f aca="false">IF(OR($O128="",$O128=0,$O128=999),"",INDEX(DayLines!$F$3:$F$608,MATCH(SMALL(DayLines!$C$3:$C$608,106),DayLines!$C$3:$C$608,0)))</f>
        <v/>
      </c>
      <c r="E128" s="21" t="str">
        <f aca="false">IF(OR($O128="",$O128=0,$O128=999),"",INDEX(DayLines!$G$3:$G$608,MATCH(SMALL(DayLines!$C$3:$C$608,106),DayLines!$C$3:$C$608,0)))</f>
        <v/>
      </c>
      <c r="F128" s="15"/>
      <c r="G128" s="15"/>
      <c r="H128" s="15"/>
      <c r="I128" s="15"/>
      <c r="J128" s="15"/>
      <c r="K128" s="15"/>
      <c r="L128" s="15"/>
      <c r="M128" s="15"/>
      <c r="N128" s="15"/>
      <c r="O128" s="22" t="str">
        <f aca="false">IFERROR(MOD(SMALL(DayLines!$C$3:$C$608,106),1000),"")</f>
        <v/>
      </c>
    </row>
    <row r="129" customFormat="false" ht="15" hidden="false" customHeight="false" outlineLevel="0" collapsed="false">
      <c r="A129" s="15"/>
      <c r="B129" s="20" t="str">
        <f aca="false">IF($O129="","",IF($O129=0,INDEX(DayLines!$D$3:$D$608,MATCH(SMALL(DayLines!$C$3:$C$608,107),DayLines!$C$3:$C$608,0)),IF($O129=999,"",INDEX(DayLines!$E$3:$E$608,MATCH(SMALL(DayLines!$C$3:$C$608,107),DayLines!$C$3:$C$608,0)))))</f>
        <v/>
      </c>
      <c r="C129" s="16" t="str">
        <f aca="false">IF($O129="","",IF($O129=0,INDEX(DayLines!$E$3:$E$608,MATCH(SMALL(DayLines!$C$3:$C$608,107),DayLines!$C$3:$C$608,0)),IF($O129=999,"",INDEX(DayLines!$D$3:$D$608,MATCH(SMALL(DayLines!$C$3:$C$608,107),DayLines!$C$3:$C$608,0)))))</f>
        <v/>
      </c>
      <c r="D129" s="15" t="str">
        <f aca="false">IF(OR($O129="",$O129=0,$O129=999),"",INDEX(DayLines!$F$3:$F$608,MATCH(SMALL(DayLines!$C$3:$C$608,107),DayLines!$C$3:$C$608,0)))</f>
        <v/>
      </c>
      <c r="E129" s="21" t="str">
        <f aca="false">IF(OR($O129="",$O129=0,$O129=999),"",INDEX(DayLines!$G$3:$G$608,MATCH(SMALL(DayLines!$C$3:$C$608,107),DayLines!$C$3:$C$608,0)))</f>
        <v/>
      </c>
      <c r="F129" s="15"/>
      <c r="G129" s="15"/>
      <c r="H129" s="15"/>
      <c r="I129" s="15"/>
      <c r="J129" s="15"/>
      <c r="K129" s="15"/>
      <c r="L129" s="15"/>
      <c r="M129" s="15"/>
      <c r="N129" s="15"/>
      <c r="O129" s="22" t="str">
        <f aca="false">IFERROR(MOD(SMALL(DayLines!$C$3:$C$608,107),1000),"")</f>
        <v/>
      </c>
    </row>
    <row r="130" customFormat="false" ht="15" hidden="false" customHeight="false" outlineLevel="0" collapsed="false">
      <c r="A130" s="15"/>
      <c r="B130" s="20" t="str">
        <f aca="false">IF($O130="","",IF($O130=0,INDEX(DayLines!$D$3:$D$608,MATCH(SMALL(DayLines!$C$3:$C$608,108),DayLines!$C$3:$C$608,0)),IF($O130=999,"",INDEX(DayLines!$E$3:$E$608,MATCH(SMALL(DayLines!$C$3:$C$608,108),DayLines!$C$3:$C$608,0)))))</f>
        <v/>
      </c>
      <c r="C130" s="16" t="str">
        <f aca="false">IF($O130="","",IF($O130=0,INDEX(DayLines!$E$3:$E$608,MATCH(SMALL(DayLines!$C$3:$C$608,108),DayLines!$C$3:$C$608,0)),IF($O130=999,"",INDEX(DayLines!$D$3:$D$608,MATCH(SMALL(DayLines!$C$3:$C$608,108),DayLines!$C$3:$C$608,0)))))</f>
        <v/>
      </c>
      <c r="D130" s="15" t="str">
        <f aca="false">IF(OR($O130="",$O130=0,$O130=999),"",INDEX(DayLines!$F$3:$F$608,MATCH(SMALL(DayLines!$C$3:$C$608,108),DayLines!$C$3:$C$608,0)))</f>
        <v/>
      </c>
      <c r="E130" s="21" t="str">
        <f aca="false">IF(OR($O130="",$O130=0,$O130=999),"",INDEX(DayLines!$G$3:$G$608,MATCH(SMALL(DayLines!$C$3:$C$608,108),DayLines!$C$3:$C$608,0)))</f>
        <v/>
      </c>
      <c r="F130" s="15"/>
      <c r="G130" s="15"/>
      <c r="H130" s="15"/>
      <c r="I130" s="15"/>
      <c r="J130" s="15"/>
      <c r="K130" s="15"/>
      <c r="L130" s="15"/>
      <c r="M130" s="15"/>
      <c r="N130" s="15"/>
      <c r="O130" s="22" t="str">
        <f aca="false">IFERROR(MOD(SMALL(DayLines!$C$3:$C$608,108),1000),"")</f>
        <v/>
      </c>
    </row>
    <row r="131" customFormat="false" ht="15" hidden="false" customHeight="false" outlineLevel="0" collapsed="false">
      <c r="A131" s="15"/>
      <c r="B131" s="20" t="str">
        <f aca="false">IF($O131="","",IF($O131=0,INDEX(DayLines!$D$3:$D$608,MATCH(SMALL(DayLines!$C$3:$C$608,109),DayLines!$C$3:$C$608,0)),IF($O131=999,"",INDEX(DayLines!$E$3:$E$608,MATCH(SMALL(DayLines!$C$3:$C$608,109),DayLines!$C$3:$C$608,0)))))</f>
        <v/>
      </c>
      <c r="C131" s="16" t="str">
        <f aca="false">IF($O131="","",IF($O131=0,INDEX(DayLines!$E$3:$E$608,MATCH(SMALL(DayLines!$C$3:$C$608,109),DayLines!$C$3:$C$608,0)),IF($O131=999,"",INDEX(DayLines!$D$3:$D$608,MATCH(SMALL(DayLines!$C$3:$C$608,109),DayLines!$C$3:$C$608,0)))))</f>
        <v/>
      </c>
      <c r="D131" s="15" t="str">
        <f aca="false">IF(OR($O131="",$O131=0,$O131=999),"",INDEX(DayLines!$F$3:$F$608,MATCH(SMALL(DayLines!$C$3:$C$608,109),DayLines!$C$3:$C$608,0)))</f>
        <v/>
      </c>
      <c r="E131" s="21" t="str">
        <f aca="false">IF(OR($O131="",$O131=0,$O131=999),"",INDEX(DayLines!$G$3:$G$608,MATCH(SMALL(DayLines!$C$3:$C$608,109),DayLines!$C$3:$C$608,0)))</f>
        <v/>
      </c>
      <c r="F131" s="15"/>
      <c r="G131" s="15"/>
      <c r="H131" s="15"/>
      <c r="I131" s="15"/>
      <c r="J131" s="15"/>
      <c r="K131" s="15"/>
      <c r="L131" s="15"/>
      <c r="M131" s="15"/>
      <c r="N131" s="15"/>
      <c r="O131" s="22" t="str">
        <f aca="false">IFERROR(MOD(SMALL(DayLines!$C$3:$C$608,109),1000),"")</f>
        <v/>
      </c>
    </row>
    <row r="132" customFormat="false" ht="15" hidden="false" customHeight="false" outlineLevel="0" collapsed="false">
      <c r="A132" s="15"/>
      <c r="B132" s="20" t="str">
        <f aca="false">IF($O132="","",IF($O132=0,INDEX(DayLines!$D$3:$D$608,MATCH(SMALL(DayLines!$C$3:$C$608,110),DayLines!$C$3:$C$608,0)),IF($O132=999,"",INDEX(DayLines!$E$3:$E$608,MATCH(SMALL(DayLines!$C$3:$C$608,110),DayLines!$C$3:$C$608,0)))))</f>
        <v/>
      </c>
      <c r="C132" s="16" t="str">
        <f aca="false">IF($O132="","",IF($O132=0,INDEX(DayLines!$E$3:$E$608,MATCH(SMALL(DayLines!$C$3:$C$608,110),DayLines!$C$3:$C$608,0)),IF($O132=999,"",INDEX(DayLines!$D$3:$D$608,MATCH(SMALL(DayLines!$C$3:$C$608,110),DayLines!$C$3:$C$608,0)))))</f>
        <v/>
      </c>
      <c r="D132" s="15" t="str">
        <f aca="false">IF(OR($O132="",$O132=0,$O132=999),"",INDEX(DayLines!$F$3:$F$608,MATCH(SMALL(DayLines!$C$3:$C$608,110),DayLines!$C$3:$C$608,0)))</f>
        <v/>
      </c>
      <c r="E132" s="21" t="str">
        <f aca="false">IF(OR($O132="",$O132=0,$O132=999),"",INDEX(DayLines!$G$3:$G$608,MATCH(SMALL(DayLines!$C$3:$C$608,110),DayLines!$C$3:$C$608,0)))</f>
        <v/>
      </c>
      <c r="F132" s="15"/>
      <c r="G132" s="15"/>
      <c r="H132" s="15"/>
      <c r="I132" s="15"/>
      <c r="J132" s="15"/>
      <c r="K132" s="15"/>
      <c r="L132" s="15"/>
      <c r="M132" s="15"/>
      <c r="N132" s="15"/>
      <c r="O132" s="22" t="str">
        <f aca="false">IFERROR(MOD(SMALL(DayLines!$C$3:$C$608,110),1000),"")</f>
        <v/>
      </c>
    </row>
    <row r="133" customFormat="false" ht="15" hidden="false" customHeight="false" outlineLevel="0" collapsed="false">
      <c r="A133" s="15"/>
      <c r="B133" s="20" t="str">
        <f aca="false">IF($O133="","",IF($O133=0,INDEX(DayLines!$D$3:$D$608,MATCH(SMALL(DayLines!$C$3:$C$608,111),DayLines!$C$3:$C$608,0)),IF($O133=999,"",INDEX(DayLines!$E$3:$E$608,MATCH(SMALL(DayLines!$C$3:$C$608,111),DayLines!$C$3:$C$608,0)))))</f>
        <v/>
      </c>
      <c r="C133" s="16" t="str">
        <f aca="false">IF($O133="","",IF($O133=0,INDEX(DayLines!$E$3:$E$608,MATCH(SMALL(DayLines!$C$3:$C$608,111),DayLines!$C$3:$C$608,0)),IF($O133=999,"",INDEX(DayLines!$D$3:$D$608,MATCH(SMALL(DayLines!$C$3:$C$608,111),DayLines!$C$3:$C$608,0)))))</f>
        <v/>
      </c>
      <c r="D133" s="15" t="str">
        <f aca="false">IF(OR($O133="",$O133=0,$O133=999),"",INDEX(DayLines!$F$3:$F$608,MATCH(SMALL(DayLines!$C$3:$C$608,111),DayLines!$C$3:$C$608,0)))</f>
        <v/>
      </c>
      <c r="E133" s="21" t="str">
        <f aca="false">IF(OR($O133="",$O133=0,$O133=999),"",INDEX(DayLines!$G$3:$G$608,MATCH(SMALL(DayLines!$C$3:$C$608,111),DayLines!$C$3:$C$608,0)))</f>
        <v/>
      </c>
      <c r="F133" s="15"/>
      <c r="G133" s="15"/>
      <c r="H133" s="15"/>
      <c r="I133" s="15"/>
      <c r="J133" s="15"/>
      <c r="K133" s="15"/>
      <c r="L133" s="15"/>
      <c r="M133" s="15"/>
      <c r="N133" s="15"/>
      <c r="O133" s="22" t="str">
        <f aca="false">IFERROR(MOD(SMALL(DayLines!$C$3:$C$608,111),1000),"")</f>
        <v/>
      </c>
    </row>
    <row r="134" customFormat="false" ht="15" hidden="false" customHeight="false" outlineLevel="0" collapsed="false">
      <c r="A134" s="15"/>
      <c r="B134" s="20" t="str">
        <f aca="false">IF($O134="","",IF($O134=0,INDEX(DayLines!$D$3:$D$608,MATCH(SMALL(DayLines!$C$3:$C$608,112),DayLines!$C$3:$C$608,0)),IF($O134=999,"",INDEX(DayLines!$E$3:$E$608,MATCH(SMALL(DayLines!$C$3:$C$608,112),DayLines!$C$3:$C$608,0)))))</f>
        <v/>
      </c>
      <c r="C134" s="16" t="str">
        <f aca="false">IF($O134="","",IF($O134=0,INDEX(DayLines!$E$3:$E$608,MATCH(SMALL(DayLines!$C$3:$C$608,112),DayLines!$C$3:$C$608,0)),IF($O134=999,"",INDEX(DayLines!$D$3:$D$608,MATCH(SMALL(DayLines!$C$3:$C$608,112),DayLines!$C$3:$C$608,0)))))</f>
        <v/>
      </c>
      <c r="D134" s="15" t="str">
        <f aca="false">IF(OR($O134="",$O134=0,$O134=999),"",INDEX(DayLines!$F$3:$F$608,MATCH(SMALL(DayLines!$C$3:$C$608,112),DayLines!$C$3:$C$608,0)))</f>
        <v/>
      </c>
      <c r="E134" s="21" t="str">
        <f aca="false">IF(OR($O134="",$O134=0,$O134=999),"",INDEX(DayLines!$G$3:$G$608,MATCH(SMALL(DayLines!$C$3:$C$608,112),DayLines!$C$3:$C$608,0)))</f>
        <v/>
      </c>
      <c r="F134" s="15"/>
      <c r="G134" s="15"/>
      <c r="H134" s="15"/>
      <c r="I134" s="15"/>
      <c r="J134" s="15"/>
      <c r="K134" s="15"/>
      <c r="L134" s="15"/>
      <c r="M134" s="15"/>
      <c r="N134" s="15"/>
      <c r="O134" s="22" t="str">
        <f aca="false">IFERROR(MOD(SMALL(DayLines!$C$3:$C$608,112),1000),"")</f>
        <v/>
      </c>
    </row>
    <row r="135" customFormat="false" ht="15" hidden="false" customHeight="false" outlineLevel="0" collapsed="false">
      <c r="A135" s="15"/>
      <c r="B135" s="20" t="str">
        <f aca="false">IF($O135="","",IF($O135=0,INDEX(DayLines!$D$3:$D$608,MATCH(SMALL(DayLines!$C$3:$C$608,113),DayLines!$C$3:$C$608,0)),IF($O135=999,"",INDEX(DayLines!$E$3:$E$608,MATCH(SMALL(DayLines!$C$3:$C$608,113),DayLines!$C$3:$C$608,0)))))</f>
        <v/>
      </c>
      <c r="C135" s="16" t="str">
        <f aca="false">IF($O135="","",IF($O135=0,INDEX(DayLines!$E$3:$E$608,MATCH(SMALL(DayLines!$C$3:$C$608,113),DayLines!$C$3:$C$608,0)),IF($O135=999,"",INDEX(DayLines!$D$3:$D$608,MATCH(SMALL(DayLines!$C$3:$C$608,113),DayLines!$C$3:$C$608,0)))))</f>
        <v/>
      </c>
      <c r="D135" s="15" t="str">
        <f aca="false">IF(OR($O135="",$O135=0,$O135=999),"",INDEX(DayLines!$F$3:$F$608,MATCH(SMALL(DayLines!$C$3:$C$608,113),DayLines!$C$3:$C$608,0)))</f>
        <v/>
      </c>
      <c r="E135" s="21" t="str">
        <f aca="false">IF(OR($O135="",$O135=0,$O135=999),"",INDEX(DayLines!$G$3:$G$608,MATCH(SMALL(DayLines!$C$3:$C$608,113),DayLines!$C$3:$C$608,0)))</f>
        <v/>
      </c>
      <c r="F135" s="15"/>
      <c r="G135" s="15"/>
      <c r="H135" s="15"/>
      <c r="I135" s="15"/>
      <c r="J135" s="15"/>
      <c r="K135" s="15"/>
      <c r="L135" s="15"/>
      <c r="M135" s="15"/>
      <c r="N135" s="15"/>
      <c r="O135" s="22" t="str">
        <f aca="false">IFERROR(MOD(SMALL(DayLines!$C$3:$C$608,113),1000),"")</f>
        <v/>
      </c>
    </row>
    <row r="136" customFormat="false" ht="15" hidden="false" customHeight="false" outlineLevel="0" collapsed="false">
      <c r="A136" s="15"/>
      <c r="B136" s="20" t="str">
        <f aca="false">IF($O136="","",IF($O136=0,INDEX(DayLines!$D$3:$D$608,MATCH(SMALL(DayLines!$C$3:$C$608,114),DayLines!$C$3:$C$608,0)),IF($O136=999,"",INDEX(DayLines!$E$3:$E$608,MATCH(SMALL(DayLines!$C$3:$C$608,114),DayLines!$C$3:$C$608,0)))))</f>
        <v/>
      </c>
      <c r="C136" s="16" t="str">
        <f aca="false">IF($O136="","",IF($O136=0,INDEX(DayLines!$E$3:$E$608,MATCH(SMALL(DayLines!$C$3:$C$608,114),DayLines!$C$3:$C$608,0)),IF($O136=999,"",INDEX(DayLines!$D$3:$D$608,MATCH(SMALL(DayLines!$C$3:$C$608,114),DayLines!$C$3:$C$608,0)))))</f>
        <v/>
      </c>
      <c r="D136" s="15" t="str">
        <f aca="false">IF(OR($O136="",$O136=0,$O136=999),"",INDEX(DayLines!$F$3:$F$608,MATCH(SMALL(DayLines!$C$3:$C$608,114),DayLines!$C$3:$C$608,0)))</f>
        <v/>
      </c>
      <c r="E136" s="21" t="str">
        <f aca="false">IF(OR($O136="",$O136=0,$O136=999),"",INDEX(DayLines!$G$3:$G$608,MATCH(SMALL(DayLines!$C$3:$C$608,114),DayLines!$C$3:$C$608,0)))</f>
        <v/>
      </c>
      <c r="F136" s="15"/>
      <c r="G136" s="15"/>
      <c r="H136" s="15"/>
      <c r="I136" s="15"/>
      <c r="J136" s="15"/>
      <c r="K136" s="15"/>
      <c r="L136" s="15"/>
      <c r="M136" s="15"/>
      <c r="N136" s="15"/>
      <c r="O136" s="22" t="str">
        <f aca="false">IFERROR(MOD(SMALL(DayLines!$C$3:$C$608,114),1000),"")</f>
        <v/>
      </c>
    </row>
    <row r="137" customFormat="false" ht="15" hidden="false" customHeight="false" outlineLevel="0" collapsed="false">
      <c r="A137" s="15"/>
      <c r="B137" s="20" t="str">
        <f aca="false">IF($O137="","",IF($O137=0,INDEX(DayLines!$D$3:$D$608,MATCH(SMALL(DayLines!$C$3:$C$608,115),DayLines!$C$3:$C$608,0)),IF($O137=999,"",INDEX(DayLines!$E$3:$E$608,MATCH(SMALL(DayLines!$C$3:$C$608,115),DayLines!$C$3:$C$608,0)))))</f>
        <v/>
      </c>
      <c r="C137" s="16" t="str">
        <f aca="false">IF($O137="","",IF($O137=0,INDEX(DayLines!$E$3:$E$608,MATCH(SMALL(DayLines!$C$3:$C$608,115),DayLines!$C$3:$C$608,0)),IF($O137=999,"",INDEX(DayLines!$D$3:$D$608,MATCH(SMALL(DayLines!$C$3:$C$608,115),DayLines!$C$3:$C$608,0)))))</f>
        <v/>
      </c>
      <c r="D137" s="15" t="str">
        <f aca="false">IF(OR($O137="",$O137=0,$O137=999),"",INDEX(DayLines!$F$3:$F$608,MATCH(SMALL(DayLines!$C$3:$C$608,115),DayLines!$C$3:$C$608,0)))</f>
        <v/>
      </c>
      <c r="E137" s="21" t="str">
        <f aca="false">IF(OR($O137="",$O137=0,$O137=999),"",INDEX(DayLines!$G$3:$G$608,MATCH(SMALL(DayLines!$C$3:$C$608,115),DayLines!$C$3:$C$608,0)))</f>
        <v/>
      </c>
      <c r="F137" s="15"/>
      <c r="G137" s="15"/>
      <c r="H137" s="15"/>
      <c r="I137" s="15"/>
      <c r="J137" s="15"/>
      <c r="K137" s="15"/>
      <c r="L137" s="15"/>
      <c r="M137" s="15"/>
      <c r="N137" s="15"/>
      <c r="O137" s="22" t="str">
        <f aca="false">IFERROR(MOD(SMALL(DayLines!$C$3:$C$608,115),1000),"")</f>
        <v/>
      </c>
    </row>
    <row r="138" customFormat="false" ht="15" hidden="false" customHeight="false" outlineLevel="0" collapsed="false">
      <c r="A138" s="15"/>
      <c r="B138" s="20" t="str">
        <f aca="false">IF($O138="","",IF($O138=0,INDEX(DayLines!$D$3:$D$608,MATCH(SMALL(DayLines!$C$3:$C$608,116),DayLines!$C$3:$C$608,0)),IF($O138=999,"",INDEX(DayLines!$E$3:$E$608,MATCH(SMALL(DayLines!$C$3:$C$608,116),DayLines!$C$3:$C$608,0)))))</f>
        <v/>
      </c>
      <c r="C138" s="16" t="str">
        <f aca="false">IF($O138="","",IF($O138=0,INDEX(DayLines!$E$3:$E$608,MATCH(SMALL(DayLines!$C$3:$C$608,116),DayLines!$C$3:$C$608,0)),IF($O138=999,"",INDEX(DayLines!$D$3:$D$608,MATCH(SMALL(DayLines!$C$3:$C$608,116),DayLines!$C$3:$C$608,0)))))</f>
        <v/>
      </c>
      <c r="D138" s="15" t="str">
        <f aca="false">IF(OR($O138="",$O138=0,$O138=999),"",INDEX(DayLines!$F$3:$F$608,MATCH(SMALL(DayLines!$C$3:$C$608,116),DayLines!$C$3:$C$608,0)))</f>
        <v/>
      </c>
      <c r="E138" s="21" t="str">
        <f aca="false">IF(OR($O138="",$O138=0,$O138=999),"",INDEX(DayLines!$G$3:$G$608,MATCH(SMALL(DayLines!$C$3:$C$608,116),DayLines!$C$3:$C$608,0)))</f>
        <v/>
      </c>
      <c r="F138" s="15"/>
      <c r="G138" s="15"/>
      <c r="H138" s="15"/>
      <c r="I138" s="15"/>
      <c r="J138" s="15"/>
      <c r="K138" s="15"/>
      <c r="L138" s="15"/>
      <c r="M138" s="15"/>
      <c r="N138" s="15"/>
      <c r="O138" s="22" t="str">
        <f aca="false">IFERROR(MOD(SMALL(DayLines!$C$3:$C$608,116),1000),"")</f>
        <v/>
      </c>
    </row>
    <row r="139" customFormat="false" ht="15" hidden="false" customHeight="false" outlineLevel="0" collapsed="false">
      <c r="A139" s="15"/>
      <c r="B139" s="20" t="str">
        <f aca="false">IF($O139="","",IF($O139=0,INDEX(DayLines!$D$3:$D$608,MATCH(SMALL(DayLines!$C$3:$C$608,117),DayLines!$C$3:$C$608,0)),IF($O139=999,"",INDEX(DayLines!$E$3:$E$608,MATCH(SMALL(DayLines!$C$3:$C$608,117),DayLines!$C$3:$C$608,0)))))</f>
        <v/>
      </c>
      <c r="C139" s="16" t="str">
        <f aca="false">IF($O139="","",IF($O139=0,INDEX(DayLines!$E$3:$E$608,MATCH(SMALL(DayLines!$C$3:$C$608,117),DayLines!$C$3:$C$608,0)),IF($O139=999,"",INDEX(DayLines!$D$3:$D$608,MATCH(SMALL(DayLines!$C$3:$C$608,117),DayLines!$C$3:$C$608,0)))))</f>
        <v/>
      </c>
      <c r="D139" s="15" t="str">
        <f aca="false">IF(OR($O139="",$O139=0,$O139=999),"",INDEX(DayLines!$F$3:$F$608,MATCH(SMALL(DayLines!$C$3:$C$608,117),DayLines!$C$3:$C$608,0)))</f>
        <v/>
      </c>
      <c r="E139" s="21" t="str">
        <f aca="false">IF(OR($O139="",$O139=0,$O139=999),"",INDEX(DayLines!$G$3:$G$608,MATCH(SMALL(DayLines!$C$3:$C$608,117),DayLines!$C$3:$C$608,0)))</f>
        <v/>
      </c>
      <c r="F139" s="15"/>
      <c r="G139" s="15"/>
      <c r="H139" s="15"/>
      <c r="I139" s="15"/>
      <c r="J139" s="15"/>
      <c r="K139" s="15"/>
      <c r="L139" s="15"/>
      <c r="M139" s="15"/>
      <c r="N139" s="15"/>
      <c r="O139" s="22" t="str">
        <f aca="false">IFERROR(MOD(SMALL(DayLines!$C$3:$C$608,117),1000),"")</f>
        <v/>
      </c>
    </row>
    <row r="140" customFormat="false" ht="15" hidden="false" customHeight="false" outlineLevel="0" collapsed="false">
      <c r="A140" s="15"/>
      <c r="B140" s="20" t="str">
        <f aca="false">IF($O140="","",IF($O140=0,INDEX(DayLines!$D$3:$D$608,MATCH(SMALL(DayLines!$C$3:$C$608,118),DayLines!$C$3:$C$608,0)),IF($O140=999,"",INDEX(DayLines!$E$3:$E$608,MATCH(SMALL(DayLines!$C$3:$C$608,118),DayLines!$C$3:$C$608,0)))))</f>
        <v/>
      </c>
      <c r="C140" s="16" t="str">
        <f aca="false">IF($O140="","",IF($O140=0,INDEX(DayLines!$E$3:$E$608,MATCH(SMALL(DayLines!$C$3:$C$608,118),DayLines!$C$3:$C$608,0)),IF($O140=999,"",INDEX(DayLines!$D$3:$D$608,MATCH(SMALL(DayLines!$C$3:$C$608,118),DayLines!$C$3:$C$608,0)))))</f>
        <v/>
      </c>
      <c r="D140" s="15" t="str">
        <f aca="false">IF(OR($O140="",$O140=0,$O140=999),"",INDEX(DayLines!$F$3:$F$608,MATCH(SMALL(DayLines!$C$3:$C$608,118),DayLines!$C$3:$C$608,0)))</f>
        <v/>
      </c>
      <c r="E140" s="21" t="str">
        <f aca="false">IF(OR($O140="",$O140=0,$O140=999),"",INDEX(DayLines!$G$3:$G$608,MATCH(SMALL(DayLines!$C$3:$C$608,118),DayLines!$C$3:$C$608,0)))</f>
        <v/>
      </c>
      <c r="F140" s="15"/>
      <c r="G140" s="15"/>
      <c r="H140" s="15"/>
      <c r="I140" s="15"/>
      <c r="J140" s="15"/>
      <c r="K140" s="15"/>
      <c r="L140" s="15"/>
      <c r="M140" s="15"/>
      <c r="N140" s="15"/>
      <c r="O140" s="22" t="str">
        <f aca="false">IFERROR(MOD(SMALL(DayLines!$C$3:$C$608,118),1000),"")</f>
        <v/>
      </c>
    </row>
    <row r="141" customFormat="false" ht="15" hidden="false" customHeight="false" outlineLevel="0" collapsed="false">
      <c r="A141" s="15"/>
      <c r="B141" s="20" t="str">
        <f aca="false">IF($O141="","",IF($O141=0,INDEX(DayLines!$D$3:$D$608,MATCH(SMALL(DayLines!$C$3:$C$608,119),DayLines!$C$3:$C$608,0)),IF($O141=999,"",INDEX(DayLines!$E$3:$E$608,MATCH(SMALL(DayLines!$C$3:$C$608,119),DayLines!$C$3:$C$608,0)))))</f>
        <v/>
      </c>
      <c r="C141" s="16" t="str">
        <f aca="false">IF($O141="","",IF($O141=0,INDEX(DayLines!$E$3:$E$608,MATCH(SMALL(DayLines!$C$3:$C$608,119),DayLines!$C$3:$C$608,0)),IF($O141=999,"",INDEX(DayLines!$D$3:$D$608,MATCH(SMALL(DayLines!$C$3:$C$608,119),DayLines!$C$3:$C$608,0)))))</f>
        <v/>
      </c>
      <c r="D141" s="15" t="str">
        <f aca="false">IF(OR($O141="",$O141=0,$O141=999),"",INDEX(DayLines!$F$3:$F$608,MATCH(SMALL(DayLines!$C$3:$C$608,119),DayLines!$C$3:$C$608,0)))</f>
        <v/>
      </c>
      <c r="E141" s="21" t="str">
        <f aca="false">IF(OR($O141="",$O141=0,$O141=999),"",INDEX(DayLines!$G$3:$G$608,MATCH(SMALL(DayLines!$C$3:$C$608,119),DayLines!$C$3:$C$608,0)))</f>
        <v/>
      </c>
      <c r="F141" s="15"/>
      <c r="G141" s="15"/>
      <c r="H141" s="15"/>
      <c r="I141" s="15"/>
      <c r="J141" s="15"/>
      <c r="K141" s="15"/>
      <c r="L141" s="15"/>
      <c r="M141" s="15"/>
      <c r="N141" s="15"/>
      <c r="O141" s="22" t="str">
        <f aca="false">IFERROR(MOD(SMALL(DayLines!$C$3:$C$608,119),1000),"")</f>
        <v/>
      </c>
    </row>
    <row r="142" customFormat="false" ht="15" hidden="false" customHeight="false" outlineLevel="0" collapsed="false">
      <c r="A142" s="15"/>
      <c r="B142" s="20" t="str">
        <f aca="false">IF($O142="","",IF($O142=0,INDEX(DayLines!$D$3:$D$608,MATCH(SMALL(DayLines!$C$3:$C$608,120),DayLines!$C$3:$C$608,0)),IF($O142=999,"",INDEX(DayLines!$E$3:$E$608,MATCH(SMALL(DayLines!$C$3:$C$608,120),DayLines!$C$3:$C$608,0)))))</f>
        <v/>
      </c>
      <c r="C142" s="16" t="str">
        <f aca="false">IF($O142="","",IF($O142=0,INDEX(DayLines!$E$3:$E$608,MATCH(SMALL(DayLines!$C$3:$C$608,120),DayLines!$C$3:$C$608,0)),IF($O142=999,"",INDEX(DayLines!$D$3:$D$608,MATCH(SMALL(DayLines!$C$3:$C$608,120),DayLines!$C$3:$C$608,0)))))</f>
        <v/>
      </c>
      <c r="D142" s="15" t="str">
        <f aca="false">IF(OR($O142="",$O142=0,$O142=999),"",INDEX(DayLines!$F$3:$F$608,MATCH(SMALL(DayLines!$C$3:$C$608,120),DayLines!$C$3:$C$608,0)))</f>
        <v/>
      </c>
      <c r="E142" s="21" t="str">
        <f aca="false">IF(OR($O142="",$O142=0,$O142=999),"",INDEX(DayLines!$G$3:$G$608,MATCH(SMALL(DayLines!$C$3:$C$608,120),DayLines!$C$3:$C$608,0)))</f>
        <v/>
      </c>
      <c r="F142" s="15"/>
      <c r="G142" s="15"/>
      <c r="H142" s="15"/>
      <c r="I142" s="15"/>
      <c r="J142" s="15"/>
      <c r="K142" s="15"/>
      <c r="L142" s="15"/>
      <c r="M142" s="15"/>
      <c r="N142" s="15"/>
      <c r="O142" s="22" t="str">
        <f aca="false">IFERROR(MOD(SMALL(DayLines!$C$3:$C$608,120),1000),"")</f>
        <v/>
      </c>
    </row>
    <row r="143" customFormat="false" ht="15" hidden="false" customHeight="false" outlineLevel="0" collapsed="false">
      <c r="A143" s="15"/>
      <c r="B143" s="20" t="str">
        <f aca="false">IF($O143="","",IF($O143=0,INDEX(DayLines!$D$3:$D$608,MATCH(SMALL(DayLines!$C$3:$C$608,121),DayLines!$C$3:$C$608,0)),IF($O143=999,"",INDEX(DayLines!$E$3:$E$608,MATCH(SMALL(DayLines!$C$3:$C$608,121),DayLines!$C$3:$C$608,0)))))</f>
        <v/>
      </c>
      <c r="C143" s="16" t="str">
        <f aca="false">IF($O143="","",IF($O143=0,INDEX(DayLines!$E$3:$E$608,MATCH(SMALL(DayLines!$C$3:$C$608,121),DayLines!$C$3:$C$608,0)),IF($O143=999,"",INDEX(DayLines!$D$3:$D$608,MATCH(SMALL(DayLines!$C$3:$C$608,121),DayLines!$C$3:$C$608,0)))))</f>
        <v/>
      </c>
      <c r="D143" s="15" t="str">
        <f aca="false">IF(OR($O143="",$O143=0,$O143=999),"",INDEX(DayLines!$F$3:$F$608,MATCH(SMALL(DayLines!$C$3:$C$608,121),DayLines!$C$3:$C$608,0)))</f>
        <v/>
      </c>
      <c r="E143" s="21" t="str">
        <f aca="false">IF(OR($O143="",$O143=0,$O143=999),"",INDEX(DayLines!$G$3:$G$608,MATCH(SMALL(DayLines!$C$3:$C$608,121),DayLines!$C$3:$C$608,0)))</f>
        <v/>
      </c>
      <c r="F143" s="15"/>
      <c r="G143" s="15"/>
      <c r="H143" s="15"/>
      <c r="I143" s="15"/>
      <c r="J143" s="15"/>
      <c r="K143" s="15"/>
      <c r="L143" s="15"/>
      <c r="M143" s="15"/>
      <c r="N143" s="15"/>
      <c r="O143" s="22" t="str">
        <f aca="false">IFERROR(MOD(SMALL(DayLines!$C$3:$C$608,121),1000),"")</f>
        <v/>
      </c>
    </row>
    <row r="144" customFormat="false" ht="15" hidden="false" customHeight="false" outlineLevel="0" collapsed="false">
      <c r="A144" s="15"/>
      <c r="B144" s="20" t="str">
        <f aca="false">IF($O144="","",IF($O144=0,INDEX(DayLines!$D$3:$D$608,MATCH(SMALL(DayLines!$C$3:$C$608,122),DayLines!$C$3:$C$608,0)),IF($O144=999,"",INDEX(DayLines!$E$3:$E$608,MATCH(SMALL(DayLines!$C$3:$C$608,122),DayLines!$C$3:$C$608,0)))))</f>
        <v/>
      </c>
      <c r="C144" s="16" t="str">
        <f aca="false">IF($O144="","",IF($O144=0,INDEX(DayLines!$E$3:$E$608,MATCH(SMALL(DayLines!$C$3:$C$608,122),DayLines!$C$3:$C$608,0)),IF($O144=999,"",INDEX(DayLines!$D$3:$D$608,MATCH(SMALL(DayLines!$C$3:$C$608,122),DayLines!$C$3:$C$608,0)))))</f>
        <v/>
      </c>
      <c r="D144" s="15" t="str">
        <f aca="false">IF(OR($O144="",$O144=0,$O144=999),"",INDEX(DayLines!$F$3:$F$608,MATCH(SMALL(DayLines!$C$3:$C$608,122),DayLines!$C$3:$C$608,0)))</f>
        <v/>
      </c>
      <c r="E144" s="21" t="str">
        <f aca="false">IF(OR($O144="",$O144=0,$O144=999),"",INDEX(DayLines!$G$3:$G$608,MATCH(SMALL(DayLines!$C$3:$C$608,122),DayLines!$C$3:$C$608,0)))</f>
        <v/>
      </c>
      <c r="F144" s="15"/>
      <c r="G144" s="15"/>
      <c r="H144" s="15"/>
      <c r="I144" s="15"/>
      <c r="J144" s="15"/>
      <c r="K144" s="15"/>
      <c r="L144" s="15"/>
      <c r="M144" s="15"/>
      <c r="N144" s="15"/>
      <c r="O144" s="22" t="str">
        <f aca="false">IFERROR(MOD(SMALL(DayLines!$C$3:$C$608,122),1000),"")</f>
        <v/>
      </c>
    </row>
    <row r="145" customFormat="false" ht="15" hidden="false" customHeight="false" outlineLevel="0" collapsed="false">
      <c r="A145" s="15"/>
      <c r="B145" s="20" t="str">
        <f aca="false">IF($O145="","",IF($O145=0,INDEX(DayLines!$D$3:$D$608,MATCH(SMALL(DayLines!$C$3:$C$608,123),DayLines!$C$3:$C$608,0)),IF($O145=999,"",INDEX(DayLines!$E$3:$E$608,MATCH(SMALL(DayLines!$C$3:$C$608,123),DayLines!$C$3:$C$608,0)))))</f>
        <v/>
      </c>
      <c r="C145" s="16" t="str">
        <f aca="false">IF($O145="","",IF($O145=0,INDEX(DayLines!$E$3:$E$608,MATCH(SMALL(DayLines!$C$3:$C$608,123),DayLines!$C$3:$C$608,0)),IF($O145=999,"",INDEX(DayLines!$D$3:$D$608,MATCH(SMALL(DayLines!$C$3:$C$608,123),DayLines!$C$3:$C$608,0)))))</f>
        <v/>
      </c>
      <c r="D145" s="15" t="str">
        <f aca="false">IF(OR($O145="",$O145=0,$O145=999),"",INDEX(DayLines!$F$3:$F$608,MATCH(SMALL(DayLines!$C$3:$C$608,123),DayLines!$C$3:$C$608,0)))</f>
        <v/>
      </c>
      <c r="E145" s="21" t="str">
        <f aca="false">IF(OR($O145="",$O145=0,$O145=999),"",INDEX(DayLines!$G$3:$G$608,MATCH(SMALL(DayLines!$C$3:$C$608,123),DayLines!$C$3:$C$608,0)))</f>
        <v/>
      </c>
      <c r="F145" s="15"/>
      <c r="G145" s="15"/>
      <c r="H145" s="15"/>
      <c r="I145" s="15"/>
      <c r="J145" s="15"/>
      <c r="K145" s="15"/>
      <c r="L145" s="15"/>
      <c r="M145" s="15"/>
      <c r="N145" s="15"/>
      <c r="O145" s="22" t="str">
        <f aca="false">IFERROR(MOD(SMALL(DayLines!$C$3:$C$608,123),1000),"")</f>
        <v/>
      </c>
    </row>
    <row r="146" customFormat="false" ht="15" hidden="false" customHeight="false" outlineLevel="0" collapsed="false">
      <c r="A146" s="15"/>
      <c r="B146" s="20" t="str">
        <f aca="false">IF($O146="","",IF($O146=0,INDEX(DayLines!$D$3:$D$608,MATCH(SMALL(DayLines!$C$3:$C$608,124),DayLines!$C$3:$C$608,0)),IF($O146=999,"",INDEX(DayLines!$E$3:$E$608,MATCH(SMALL(DayLines!$C$3:$C$608,124),DayLines!$C$3:$C$608,0)))))</f>
        <v/>
      </c>
      <c r="C146" s="16" t="str">
        <f aca="false">IF($O146="","",IF($O146=0,INDEX(DayLines!$E$3:$E$608,MATCH(SMALL(DayLines!$C$3:$C$608,124),DayLines!$C$3:$C$608,0)),IF($O146=999,"",INDEX(DayLines!$D$3:$D$608,MATCH(SMALL(DayLines!$C$3:$C$608,124),DayLines!$C$3:$C$608,0)))))</f>
        <v/>
      </c>
      <c r="D146" s="15" t="str">
        <f aca="false">IF(OR($O146="",$O146=0,$O146=999),"",INDEX(DayLines!$F$3:$F$608,MATCH(SMALL(DayLines!$C$3:$C$608,124),DayLines!$C$3:$C$608,0)))</f>
        <v/>
      </c>
      <c r="E146" s="21" t="str">
        <f aca="false">IF(OR($O146="",$O146=0,$O146=999),"",INDEX(DayLines!$G$3:$G$608,MATCH(SMALL(DayLines!$C$3:$C$608,124),DayLines!$C$3:$C$608,0)))</f>
        <v/>
      </c>
      <c r="F146" s="15"/>
      <c r="G146" s="15"/>
      <c r="H146" s="15"/>
      <c r="I146" s="15"/>
      <c r="J146" s="15"/>
      <c r="K146" s="15"/>
      <c r="L146" s="15"/>
      <c r="M146" s="15"/>
      <c r="N146" s="15"/>
      <c r="O146" s="22" t="str">
        <f aca="false">IFERROR(MOD(SMALL(DayLines!$C$3:$C$608,124),1000),"")</f>
        <v/>
      </c>
    </row>
    <row r="147" customFormat="false" ht="15" hidden="false" customHeight="false" outlineLevel="0" collapsed="false">
      <c r="A147" s="15"/>
      <c r="B147" s="20" t="str">
        <f aca="false">IF($O147="","",IF($O147=0,INDEX(DayLines!$D$3:$D$608,MATCH(SMALL(DayLines!$C$3:$C$608,125),DayLines!$C$3:$C$608,0)),IF($O147=999,"",INDEX(DayLines!$E$3:$E$608,MATCH(SMALL(DayLines!$C$3:$C$608,125),DayLines!$C$3:$C$608,0)))))</f>
        <v/>
      </c>
      <c r="C147" s="16" t="str">
        <f aca="false">IF($O147="","",IF($O147=0,INDEX(DayLines!$E$3:$E$608,MATCH(SMALL(DayLines!$C$3:$C$608,125),DayLines!$C$3:$C$608,0)),IF($O147=999,"",INDEX(DayLines!$D$3:$D$608,MATCH(SMALL(DayLines!$C$3:$C$608,125),DayLines!$C$3:$C$608,0)))))</f>
        <v/>
      </c>
      <c r="D147" s="15" t="str">
        <f aca="false">IF(OR($O147="",$O147=0,$O147=999),"",INDEX(DayLines!$F$3:$F$608,MATCH(SMALL(DayLines!$C$3:$C$608,125),DayLines!$C$3:$C$608,0)))</f>
        <v/>
      </c>
      <c r="E147" s="21" t="str">
        <f aca="false">IF(OR($O147="",$O147=0,$O147=999),"",INDEX(DayLines!$G$3:$G$608,MATCH(SMALL(DayLines!$C$3:$C$608,125),DayLines!$C$3:$C$608,0)))</f>
        <v/>
      </c>
      <c r="F147" s="15"/>
      <c r="G147" s="15"/>
      <c r="H147" s="15"/>
      <c r="I147" s="15"/>
      <c r="J147" s="15"/>
      <c r="K147" s="15"/>
      <c r="L147" s="15"/>
      <c r="M147" s="15"/>
      <c r="N147" s="15"/>
      <c r="O147" s="22" t="str">
        <f aca="false">IFERROR(MOD(SMALL(DayLines!$C$3:$C$608,125),1000),"")</f>
        <v/>
      </c>
    </row>
    <row r="148" customFormat="false" ht="15" hidden="false" customHeight="false" outlineLevel="0" collapsed="false">
      <c r="A148" s="15"/>
      <c r="B148" s="20" t="str">
        <f aca="false">IF($O148="","",IF($O148=0,INDEX(DayLines!$D$3:$D$608,MATCH(SMALL(DayLines!$C$3:$C$608,126),DayLines!$C$3:$C$608,0)),IF($O148=999,"",INDEX(DayLines!$E$3:$E$608,MATCH(SMALL(DayLines!$C$3:$C$608,126),DayLines!$C$3:$C$608,0)))))</f>
        <v/>
      </c>
      <c r="C148" s="16" t="str">
        <f aca="false">IF($O148="","",IF($O148=0,INDEX(DayLines!$E$3:$E$608,MATCH(SMALL(DayLines!$C$3:$C$608,126),DayLines!$C$3:$C$608,0)),IF($O148=999,"",INDEX(DayLines!$D$3:$D$608,MATCH(SMALL(DayLines!$C$3:$C$608,126),DayLines!$C$3:$C$608,0)))))</f>
        <v/>
      </c>
      <c r="D148" s="15" t="str">
        <f aca="false">IF(OR($O148="",$O148=0,$O148=999),"",INDEX(DayLines!$F$3:$F$608,MATCH(SMALL(DayLines!$C$3:$C$608,126),DayLines!$C$3:$C$608,0)))</f>
        <v/>
      </c>
      <c r="E148" s="21" t="str">
        <f aca="false">IF(OR($O148="",$O148=0,$O148=999),"",INDEX(DayLines!$G$3:$G$608,MATCH(SMALL(DayLines!$C$3:$C$608,126),DayLines!$C$3:$C$608,0)))</f>
        <v/>
      </c>
      <c r="F148" s="15"/>
      <c r="G148" s="15"/>
      <c r="H148" s="15"/>
      <c r="I148" s="15"/>
      <c r="J148" s="15"/>
      <c r="K148" s="15"/>
      <c r="L148" s="15"/>
      <c r="M148" s="15"/>
      <c r="N148" s="15"/>
      <c r="O148" s="22" t="str">
        <f aca="false">IFERROR(MOD(SMALL(DayLines!$C$3:$C$608,126),1000),"")</f>
        <v/>
      </c>
    </row>
    <row r="149" customFormat="false" ht="15" hidden="false" customHeight="false" outlineLevel="0" collapsed="false">
      <c r="A149" s="15"/>
      <c r="B149" s="20" t="str">
        <f aca="false">IF($O149="","",IF($O149=0,INDEX(DayLines!$D$3:$D$608,MATCH(SMALL(DayLines!$C$3:$C$608,127),DayLines!$C$3:$C$608,0)),IF($O149=999,"",INDEX(DayLines!$E$3:$E$608,MATCH(SMALL(DayLines!$C$3:$C$608,127),DayLines!$C$3:$C$608,0)))))</f>
        <v/>
      </c>
      <c r="C149" s="16" t="str">
        <f aca="false">IF($O149="","",IF($O149=0,INDEX(DayLines!$E$3:$E$608,MATCH(SMALL(DayLines!$C$3:$C$608,127),DayLines!$C$3:$C$608,0)),IF($O149=999,"",INDEX(DayLines!$D$3:$D$608,MATCH(SMALL(DayLines!$C$3:$C$608,127),DayLines!$C$3:$C$608,0)))))</f>
        <v/>
      </c>
      <c r="D149" s="15" t="str">
        <f aca="false">IF(OR($O149="",$O149=0,$O149=999),"",INDEX(DayLines!$F$3:$F$608,MATCH(SMALL(DayLines!$C$3:$C$608,127),DayLines!$C$3:$C$608,0)))</f>
        <v/>
      </c>
      <c r="E149" s="21" t="str">
        <f aca="false">IF(OR($O149="",$O149=0,$O149=999),"",INDEX(DayLines!$G$3:$G$608,MATCH(SMALL(DayLines!$C$3:$C$608,127),DayLines!$C$3:$C$608,0)))</f>
        <v/>
      </c>
      <c r="F149" s="15"/>
      <c r="G149" s="15"/>
      <c r="H149" s="15"/>
      <c r="I149" s="15"/>
      <c r="J149" s="15"/>
      <c r="K149" s="15"/>
      <c r="L149" s="15"/>
      <c r="M149" s="15"/>
      <c r="N149" s="15"/>
      <c r="O149" s="22" t="str">
        <f aca="false">IFERROR(MOD(SMALL(DayLines!$C$3:$C$608,127),1000),"")</f>
        <v/>
      </c>
    </row>
    <row r="150" customFormat="false" ht="15" hidden="false" customHeight="false" outlineLevel="0" collapsed="false">
      <c r="A150" s="15"/>
      <c r="B150" s="20" t="str">
        <f aca="false">IF($O150="","",IF($O150=0,INDEX(DayLines!$D$3:$D$608,MATCH(SMALL(DayLines!$C$3:$C$608,128),DayLines!$C$3:$C$608,0)),IF($O150=999,"",INDEX(DayLines!$E$3:$E$608,MATCH(SMALL(DayLines!$C$3:$C$608,128),DayLines!$C$3:$C$608,0)))))</f>
        <v/>
      </c>
      <c r="C150" s="16" t="str">
        <f aca="false">IF($O150="","",IF($O150=0,INDEX(DayLines!$E$3:$E$608,MATCH(SMALL(DayLines!$C$3:$C$608,128),DayLines!$C$3:$C$608,0)),IF($O150=999,"",INDEX(DayLines!$D$3:$D$608,MATCH(SMALL(DayLines!$C$3:$C$608,128),DayLines!$C$3:$C$608,0)))))</f>
        <v/>
      </c>
      <c r="D150" s="15" t="str">
        <f aca="false">IF(OR($O150="",$O150=0,$O150=999),"",INDEX(DayLines!$F$3:$F$608,MATCH(SMALL(DayLines!$C$3:$C$608,128),DayLines!$C$3:$C$608,0)))</f>
        <v/>
      </c>
      <c r="E150" s="21" t="str">
        <f aca="false">IF(OR($O150="",$O150=0,$O150=999),"",INDEX(DayLines!$G$3:$G$608,MATCH(SMALL(DayLines!$C$3:$C$608,128),DayLines!$C$3:$C$608,0)))</f>
        <v/>
      </c>
      <c r="F150" s="15"/>
      <c r="G150" s="15"/>
      <c r="H150" s="15"/>
      <c r="I150" s="15"/>
      <c r="J150" s="15"/>
      <c r="K150" s="15"/>
      <c r="L150" s="15"/>
      <c r="M150" s="15"/>
      <c r="N150" s="15"/>
      <c r="O150" s="22" t="str">
        <f aca="false">IFERROR(MOD(SMALL(DayLines!$C$3:$C$608,128),1000),"")</f>
        <v/>
      </c>
    </row>
    <row r="151" customFormat="false" ht="15" hidden="false" customHeight="false" outlineLevel="0" collapsed="false">
      <c r="A151" s="15"/>
      <c r="B151" s="20" t="str">
        <f aca="false">IF($O151="","",IF($O151=0,INDEX(DayLines!$D$3:$D$608,MATCH(SMALL(DayLines!$C$3:$C$608,129),DayLines!$C$3:$C$608,0)),IF($O151=999,"",INDEX(DayLines!$E$3:$E$608,MATCH(SMALL(DayLines!$C$3:$C$608,129),DayLines!$C$3:$C$608,0)))))</f>
        <v/>
      </c>
      <c r="C151" s="16" t="str">
        <f aca="false">IF($O151="","",IF($O151=0,INDEX(DayLines!$E$3:$E$608,MATCH(SMALL(DayLines!$C$3:$C$608,129),DayLines!$C$3:$C$608,0)),IF($O151=999,"",INDEX(DayLines!$D$3:$D$608,MATCH(SMALL(DayLines!$C$3:$C$608,129),DayLines!$C$3:$C$608,0)))))</f>
        <v/>
      </c>
      <c r="D151" s="15" t="str">
        <f aca="false">IF(OR($O151="",$O151=0,$O151=999),"",INDEX(DayLines!$F$3:$F$608,MATCH(SMALL(DayLines!$C$3:$C$608,129),DayLines!$C$3:$C$608,0)))</f>
        <v/>
      </c>
      <c r="E151" s="21" t="str">
        <f aca="false">IF(OR($O151="",$O151=0,$O151=999),"",INDEX(DayLines!$G$3:$G$608,MATCH(SMALL(DayLines!$C$3:$C$608,129),DayLines!$C$3:$C$608,0)))</f>
        <v/>
      </c>
      <c r="F151" s="15"/>
      <c r="G151" s="15"/>
      <c r="H151" s="15"/>
      <c r="I151" s="15"/>
      <c r="J151" s="15"/>
      <c r="K151" s="15"/>
      <c r="L151" s="15"/>
      <c r="M151" s="15"/>
      <c r="N151" s="15"/>
      <c r="O151" s="22" t="str">
        <f aca="false">IFERROR(MOD(SMALL(DayLines!$C$3:$C$608,129),1000),"")</f>
        <v/>
      </c>
    </row>
    <row r="152" customFormat="false" ht="15" hidden="false" customHeight="false" outlineLevel="0" collapsed="false">
      <c r="A152" s="15"/>
      <c r="B152" s="20" t="str">
        <f aca="false">IF($O152="","",IF($O152=0,INDEX(DayLines!$D$3:$D$608,MATCH(SMALL(DayLines!$C$3:$C$608,130),DayLines!$C$3:$C$608,0)),IF($O152=999,"",INDEX(DayLines!$E$3:$E$608,MATCH(SMALL(DayLines!$C$3:$C$608,130),DayLines!$C$3:$C$608,0)))))</f>
        <v/>
      </c>
      <c r="C152" s="16" t="str">
        <f aca="false">IF($O152="","",IF($O152=0,INDEX(DayLines!$E$3:$E$608,MATCH(SMALL(DayLines!$C$3:$C$608,130),DayLines!$C$3:$C$608,0)),IF($O152=999,"",INDEX(DayLines!$D$3:$D$608,MATCH(SMALL(DayLines!$C$3:$C$608,130),DayLines!$C$3:$C$608,0)))))</f>
        <v/>
      </c>
      <c r="D152" s="15" t="str">
        <f aca="false">IF(OR($O152="",$O152=0,$O152=999),"",INDEX(DayLines!$F$3:$F$608,MATCH(SMALL(DayLines!$C$3:$C$608,130),DayLines!$C$3:$C$608,0)))</f>
        <v/>
      </c>
      <c r="E152" s="21" t="str">
        <f aca="false">IF(OR($O152="",$O152=0,$O152=999),"",INDEX(DayLines!$G$3:$G$608,MATCH(SMALL(DayLines!$C$3:$C$608,130),DayLines!$C$3:$C$608,0)))</f>
        <v/>
      </c>
      <c r="F152" s="15"/>
      <c r="G152" s="15"/>
      <c r="H152" s="15"/>
      <c r="I152" s="15"/>
      <c r="J152" s="15"/>
      <c r="K152" s="15"/>
      <c r="L152" s="15"/>
      <c r="M152" s="15"/>
      <c r="N152" s="15"/>
      <c r="O152" s="22" t="str">
        <f aca="false">IFERROR(MOD(SMALL(DayLines!$C$3:$C$608,130),1000),"")</f>
        <v/>
      </c>
    </row>
    <row r="153" customFormat="false" ht="15" hidden="false" customHeight="false" outlineLevel="0" collapsed="false">
      <c r="A153" s="15"/>
      <c r="B153" s="20" t="str">
        <f aca="false">IF($O153="","",IF($O153=0,INDEX(DayLines!$D$3:$D$608,MATCH(SMALL(DayLines!$C$3:$C$608,131),DayLines!$C$3:$C$608,0)),IF($O153=999,"",INDEX(DayLines!$E$3:$E$608,MATCH(SMALL(DayLines!$C$3:$C$608,131),DayLines!$C$3:$C$608,0)))))</f>
        <v/>
      </c>
      <c r="C153" s="16" t="str">
        <f aca="false">IF($O153="","",IF($O153=0,INDEX(DayLines!$E$3:$E$608,MATCH(SMALL(DayLines!$C$3:$C$608,131),DayLines!$C$3:$C$608,0)),IF($O153=999,"",INDEX(DayLines!$D$3:$D$608,MATCH(SMALL(DayLines!$C$3:$C$608,131),DayLines!$C$3:$C$608,0)))))</f>
        <v/>
      </c>
      <c r="D153" s="15" t="str">
        <f aca="false">IF(OR($O153="",$O153=0,$O153=999),"",INDEX(DayLines!$F$3:$F$608,MATCH(SMALL(DayLines!$C$3:$C$608,131),DayLines!$C$3:$C$608,0)))</f>
        <v/>
      </c>
      <c r="E153" s="21" t="str">
        <f aca="false">IF(OR($O153="",$O153=0,$O153=999),"",INDEX(DayLines!$G$3:$G$608,MATCH(SMALL(DayLines!$C$3:$C$608,131),DayLines!$C$3:$C$608,0)))</f>
        <v/>
      </c>
      <c r="F153" s="15"/>
      <c r="G153" s="15"/>
      <c r="H153" s="15"/>
      <c r="I153" s="15"/>
      <c r="J153" s="15"/>
      <c r="K153" s="15"/>
      <c r="L153" s="15"/>
      <c r="M153" s="15"/>
      <c r="N153" s="15"/>
      <c r="O153" s="22" t="str">
        <f aca="false">IFERROR(MOD(SMALL(DayLines!$C$3:$C$608,131),1000),"")</f>
        <v/>
      </c>
    </row>
    <row r="154" customFormat="false" ht="15" hidden="false" customHeight="false" outlineLevel="0" collapsed="false">
      <c r="A154" s="15"/>
      <c r="B154" s="20" t="str">
        <f aca="false">IF($O154="","",IF($O154=0,INDEX(DayLines!$D$3:$D$608,MATCH(SMALL(DayLines!$C$3:$C$608,132),DayLines!$C$3:$C$608,0)),IF($O154=999,"",INDEX(DayLines!$E$3:$E$608,MATCH(SMALL(DayLines!$C$3:$C$608,132),DayLines!$C$3:$C$608,0)))))</f>
        <v/>
      </c>
      <c r="C154" s="16" t="str">
        <f aca="false">IF($O154="","",IF($O154=0,INDEX(DayLines!$E$3:$E$608,MATCH(SMALL(DayLines!$C$3:$C$608,132),DayLines!$C$3:$C$608,0)),IF($O154=999,"",INDEX(DayLines!$D$3:$D$608,MATCH(SMALL(DayLines!$C$3:$C$608,132),DayLines!$C$3:$C$608,0)))))</f>
        <v/>
      </c>
      <c r="D154" s="15" t="str">
        <f aca="false">IF(OR($O154="",$O154=0,$O154=999),"",INDEX(DayLines!$F$3:$F$608,MATCH(SMALL(DayLines!$C$3:$C$608,132),DayLines!$C$3:$C$608,0)))</f>
        <v/>
      </c>
      <c r="E154" s="21" t="str">
        <f aca="false">IF(OR($O154="",$O154=0,$O154=999),"",INDEX(DayLines!$G$3:$G$608,MATCH(SMALL(DayLines!$C$3:$C$608,132),DayLines!$C$3:$C$608,0)))</f>
        <v/>
      </c>
      <c r="F154" s="15"/>
      <c r="G154" s="15"/>
      <c r="H154" s="15"/>
      <c r="I154" s="15"/>
      <c r="J154" s="15"/>
      <c r="K154" s="15"/>
      <c r="L154" s="15"/>
      <c r="M154" s="15"/>
      <c r="N154" s="15"/>
      <c r="O154" s="22" t="str">
        <f aca="false">IFERROR(MOD(SMALL(DayLines!$C$3:$C$608,132),1000),"")</f>
        <v/>
      </c>
    </row>
    <row r="155" customFormat="false" ht="15" hidden="false" customHeight="false" outlineLevel="0" collapsed="false">
      <c r="A155" s="15"/>
      <c r="B155" s="20" t="str">
        <f aca="false">IF($O155="","",IF($O155=0,INDEX(DayLines!$D$3:$D$608,MATCH(SMALL(DayLines!$C$3:$C$608,133),DayLines!$C$3:$C$608,0)),IF($O155=999,"",INDEX(DayLines!$E$3:$E$608,MATCH(SMALL(DayLines!$C$3:$C$608,133),DayLines!$C$3:$C$608,0)))))</f>
        <v/>
      </c>
      <c r="C155" s="16" t="str">
        <f aca="false">IF($O155="","",IF($O155=0,INDEX(DayLines!$E$3:$E$608,MATCH(SMALL(DayLines!$C$3:$C$608,133),DayLines!$C$3:$C$608,0)),IF($O155=999,"",INDEX(DayLines!$D$3:$D$608,MATCH(SMALL(DayLines!$C$3:$C$608,133),DayLines!$C$3:$C$608,0)))))</f>
        <v/>
      </c>
      <c r="D155" s="15" t="str">
        <f aca="false">IF(OR($O155="",$O155=0,$O155=999),"",INDEX(DayLines!$F$3:$F$608,MATCH(SMALL(DayLines!$C$3:$C$608,133),DayLines!$C$3:$C$608,0)))</f>
        <v/>
      </c>
      <c r="E155" s="21" t="str">
        <f aca="false">IF(OR($O155="",$O155=0,$O155=999),"",INDEX(DayLines!$G$3:$G$608,MATCH(SMALL(DayLines!$C$3:$C$608,133),DayLines!$C$3:$C$608,0)))</f>
        <v/>
      </c>
      <c r="F155" s="15"/>
      <c r="G155" s="15"/>
      <c r="H155" s="15"/>
      <c r="I155" s="15"/>
      <c r="J155" s="15"/>
      <c r="K155" s="15"/>
      <c r="L155" s="15"/>
      <c r="M155" s="15"/>
      <c r="N155" s="15"/>
      <c r="O155" s="22" t="str">
        <f aca="false">IFERROR(MOD(SMALL(DayLines!$C$3:$C$608,133),1000),"")</f>
        <v/>
      </c>
    </row>
    <row r="156" customFormat="false" ht="15" hidden="false" customHeight="false" outlineLevel="0" collapsed="false">
      <c r="A156" s="15"/>
      <c r="B156" s="20" t="str">
        <f aca="false">IF($O156="","",IF($O156=0,INDEX(DayLines!$D$3:$D$608,MATCH(SMALL(DayLines!$C$3:$C$608,134),DayLines!$C$3:$C$608,0)),IF($O156=999,"",INDEX(DayLines!$E$3:$E$608,MATCH(SMALL(DayLines!$C$3:$C$608,134),DayLines!$C$3:$C$608,0)))))</f>
        <v/>
      </c>
      <c r="C156" s="16" t="str">
        <f aca="false">IF($O156="","",IF($O156=0,INDEX(DayLines!$E$3:$E$608,MATCH(SMALL(DayLines!$C$3:$C$608,134),DayLines!$C$3:$C$608,0)),IF($O156=999,"",INDEX(DayLines!$D$3:$D$608,MATCH(SMALL(DayLines!$C$3:$C$608,134),DayLines!$C$3:$C$608,0)))))</f>
        <v/>
      </c>
      <c r="D156" s="15" t="str">
        <f aca="false">IF(OR($O156="",$O156=0,$O156=999),"",INDEX(DayLines!$F$3:$F$608,MATCH(SMALL(DayLines!$C$3:$C$608,134),DayLines!$C$3:$C$608,0)))</f>
        <v/>
      </c>
      <c r="E156" s="21" t="str">
        <f aca="false">IF(OR($O156="",$O156=0,$O156=999),"",INDEX(DayLines!$G$3:$G$608,MATCH(SMALL(DayLines!$C$3:$C$608,134),DayLines!$C$3:$C$608,0)))</f>
        <v/>
      </c>
      <c r="F156" s="15"/>
      <c r="G156" s="15"/>
      <c r="H156" s="15"/>
      <c r="I156" s="15"/>
      <c r="J156" s="15"/>
      <c r="K156" s="15"/>
      <c r="L156" s="15"/>
      <c r="M156" s="15"/>
      <c r="N156" s="15"/>
      <c r="O156" s="22" t="str">
        <f aca="false">IFERROR(MOD(SMALL(DayLines!$C$3:$C$608,134),1000),"")</f>
        <v/>
      </c>
    </row>
    <row r="157" customFormat="false" ht="15" hidden="false" customHeight="false" outlineLevel="0" collapsed="false">
      <c r="A157" s="15"/>
      <c r="B157" s="20" t="str">
        <f aca="false">IF($O157="","",IF($O157=0,INDEX(DayLines!$D$3:$D$608,MATCH(SMALL(DayLines!$C$3:$C$608,135),DayLines!$C$3:$C$608,0)),IF($O157=999,"",INDEX(DayLines!$E$3:$E$608,MATCH(SMALL(DayLines!$C$3:$C$608,135),DayLines!$C$3:$C$608,0)))))</f>
        <v/>
      </c>
      <c r="C157" s="16" t="str">
        <f aca="false">IF($O157="","",IF($O157=0,INDEX(DayLines!$E$3:$E$608,MATCH(SMALL(DayLines!$C$3:$C$608,135),DayLines!$C$3:$C$608,0)),IF($O157=999,"",INDEX(DayLines!$D$3:$D$608,MATCH(SMALL(DayLines!$C$3:$C$608,135),DayLines!$C$3:$C$608,0)))))</f>
        <v/>
      </c>
      <c r="D157" s="15" t="str">
        <f aca="false">IF(OR($O157="",$O157=0,$O157=999),"",INDEX(DayLines!$F$3:$F$608,MATCH(SMALL(DayLines!$C$3:$C$608,135),DayLines!$C$3:$C$608,0)))</f>
        <v/>
      </c>
      <c r="E157" s="21" t="str">
        <f aca="false">IF(OR($O157="",$O157=0,$O157=999),"",INDEX(DayLines!$G$3:$G$608,MATCH(SMALL(DayLines!$C$3:$C$608,135),DayLines!$C$3:$C$608,0)))</f>
        <v/>
      </c>
      <c r="F157" s="15"/>
      <c r="G157" s="15"/>
      <c r="H157" s="15"/>
      <c r="I157" s="15"/>
      <c r="J157" s="15"/>
      <c r="K157" s="15"/>
      <c r="L157" s="15"/>
      <c r="M157" s="15"/>
      <c r="N157" s="15"/>
      <c r="O157" s="22" t="str">
        <f aca="false">IFERROR(MOD(SMALL(DayLines!$C$3:$C$608,135),1000),"")</f>
        <v/>
      </c>
    </row>
    <row r="158" customFormat="false" ht="15" hidden="false" customHeight="false" outlineLevel="0" collapsed="false">
      <c r="A158" s="15"/>
      <c r="B158" s="20" t="str">
        <f aca="false">IF($O158="","",IF($O158=0,INDEX(DayLines!$D$3:$D$608,MATCH(SMALL(DayLines!$C$3:$C$608,136),DayLines!$C$3:$C$608,0)),IF($O158=999,"",INDEX(DayLines!$E$3:$E$608,MATCH(SMALL(DayLines!$C$3:$C$608,136),DayLines!$C$3:$C$608,0)))))</f>
        <v/>
      </c>
      <c r="C158" s="16" t="str">
        <f aca="false">IF($O158="","",IF($O158=0,INDEX(DayLines!$E$3:$E$608,MATCH(SMALL(DayLines!$C$3:$C$608,136),DayLines!$C$3:$C$608,0)),IF($O158=999,"",INDEX(DayLines!$D$3:$D$608,MATCH(SMALL(DayLines!$C$3:$C$608,136),DayLines!$C$3:$C$608,0)))))</f>
        <v/>
      </c>
      <c r="D158" s="15" t="str">
        <f aca="false">IF(OR($O158="",$O158=0,$O158=999),"",INDEX(DayLines!$F$3:$F$608,MATCH(SMALL(DayLines!$C$3:$C$608,136),DayLines!$C$3:$C$608,0)))</f>
        <v/>
      </c>
      <c r="E158" s="21" t="str">
        <f aca="false">IF(OR($O158="",$O158=0,$O158=999),"",INDEX(DayLines!$G$3:$G$608,MATCH(SMALL(DayLines!$C$3:$C$608,136),DayLines!$C$3:$C$608,0)))</f>
        <v/>
      </c>
      <c r="F158" s="15"/>
      <c r="G158" s="15"/>
      <c r="H158" s="15"/>
      <c r="I158" s="15"/>
      <c r="J158" s="15"/>
      <c r="K158" s="15"/>
      <c r="L158" s="15"/>
      <c r="M158" s="15"/>
      <c r="N158" s="15"/>
      <c r="O158" s="22" t="str">
        <f aca="false">IFERROR(MOD(SMALL(DayLines!$C$3:$C$608,136),1000),"")</f>
        <v/>
      </c>
    </row>
    <row r="159" customFormat="false" ht="15" hidden="false" customHeight="false" outlineLevel="0" collapsed="false">
      <c r="A159" s="15"/>
      <c r="B159" s="20" t="str">
        <f aca="false">IF($O159="","",IF($O159=0,INDEX(DayLines!$D$3:$D$608,MATCH(SMALL(DayLines!$C$3:$C$608,137),DayLines!$C$3:$C$608,0)),IF($O159=999,"",INDEX(DayLines!$E$3:$E$608,MATCH(SMALL(DayLines!$C$3:$C$608,137),DayLines!$C$3:$C$608,0)))))</f>
        <v/>
      </c>
      <c r="C159" s="16" t="str">
        <f aca="false">IF($O159="","",IF($O159=0,INDEX(DayLines!$E$3:$E$608,MATCH(SMALL(DayLines!$C$3:$C$608,137),DayLines!$C$3:$C$608,0)),IF($O159=999,"",INDEX(DayLines!$D$3:$D$608,MATCH(SMALL(DayLines!$C$3:$C$608,137),DayLines!$C$3:$C$608,0)))))</f>
        <v/>
      </c>
      <c r="D159" s="15" t="str">
        <f aca="false">IF(OR($O159="",$O159=0,$O159=999),"",INDEX(DayLines!$F$3:$F$608,MATCH(SMALL(DayLines!$C$3:$C$608,137),DayLines!$C$3:$C$608,0)))</f>
        <v/>
      </c>
      <c r="E159" s="21" t="str">
        <f aca="false">IF(OR($O159="",$O159=0,$O159=999),"",INDEX(DayLines!$G$3:$G$608,MATCH(SMALL(DayLines!$C$3:$C$608,137),DayLines!$C$3:$C$608,0)))</f>
        <v/>
      </c>
      <c r="F159" s="15"/>
      <c r="G159" s="15"/>
      <c r="H159" s="15"/>
      <c r="I159" s="15"/>
      <c r="J159" s="15"/>
      <c r="K159" s="15"/>
      <c r="L159" s="15"/>
      <c r="M159" s="15"/>
      <c r="N159" s="15"/>
      <c r="O159" s="22" t="str">
        <f aca="false">IFERROR(MOD(SMALL(DayLines!$C$3:$C$608,137),1000),"")</f>
        <v/>
      </c>
    </row>
    <row r="160" customFormat="false" ht="15" hidden="false" customHeight="false" outlineLevel="0" collapsed="false">
      <c r="A160" s="15"/>
      <c r="B160" s="20" t="str">
        <f aca="false">IF($O160="","",IF($O160=0,INDEX(DayLines!$D$3:$D$608,MATCH(SMALL(DayLines!$C$3:$C$608,138),DayLines!$C$3:$C$608,0)),IF($O160=999,"",INDEX(DayLines!$E$3:$E$608,MATCH(SMALL(DayLines!$C$3:$C$608,138),DayLines!$C$3:$C$608,0)))))</f>
        <v/>
      </c>
      <c r="C160" s="16" t="str">
        <f aca="false">IF($O160="","",IF($O160=0,INDEX(DayLines!$E$3:$E$608,MATCH(SMALL(DayLines!$C$3:$C$608,138),DayLines!$C$3:$C$608,0)),IF($O160=999,"",INDEX(DayLines!$D$3:$D$608,MATCH(SMALL(DayLines!$C$3:$C$608,138),DayLines!$C$3:$C$608,0)))))</f>
        <v/>
      </c>
      <c r="D160" s="15" t="str">
        <f aca="false">IF(OR($O160="",$O160=0,$O160=999),"",INDEX(DayLines!$F$3:$F$608,MATCH(SMALL(DayLines!$C$3:$C$608,138),DayLines!$C$3:$C$608,0)))</f>
        <v/>
      </c>
      <c r="E160" s="21" t="str">
        <f aca="false">IF(OR($O160="",$O160=0,$O160=999),"",INDEX(DayLines!$G$3:$G$608,MATCH(SMALL(DayLines!$C$3:$C$608,138),DayLines!$C$3:$C$608,0)))</f>
        <v/>
      </c>
      <c r="F160" s="15"/>
      <c r="G160" s="15"/>
      <c r="H160" s="15"/>
      <c r="I160" s="15"/>
      <c r="J160" s="15"/>
      <c r="K160" s="15"/>
      <c r="L160" s="15"/>
      <c r="M160" s="15"/>
      <c r="N160" s="15"/>
      <c r="O160" s="22" t="str">
        <f aca="false">IFERROR(MOD(SMALL(DayLines!$C$3:$C$608,138),1000),"")</f>
        <v/>
      </c>
    </row>
    <row r="161" customFormat="false" ht="15" hidden="false" customHeight="false" outlineLevel="0" collapsed="false">
      <c r="A161" s="15"/>
      <c r="B161" s="20" t="str">
        <f aca="false">IF($O161="","",IF($O161=0,INDEX(DayLines!$D$3:$D$608,MATCH(SMALL(DayLines!$C$3:$C$608,139),DayLines!$C$3:$C$608,0)),IF($O161=999,"",INDEX(DayLines!$E$3:$E$608,MATCH(SMALL(DayLines!$C$3:$C$608,139),DayLines!$C$3:$C$608,0)))))</f>
        <v/>
      </c>
      <c r="C161" s="16" t="str">
        <f aca="false">IF($O161="","",IF($O161=0,INDEX(DayLines!$E$3:$E$608,MATCH(SMALL(DayLines!$C$3:$C$608,139),DayLines!$C$3:$C$608,0)),IF($O161=999,"",INDEX(DayLines!$D$3:$D$608,MATCH(SMALL(DayLines!$C$3:$C$608,139),DayLines!$C$3:$C$608,0)))))</f>
        <v/>
      </c>
      <c r="D161" s="15" t="str">
        <f aca="false">IF(OR($O161="",$O161=0,$O161=999),"",INDEX(DayLines!$F$3:$F$608,MATCH(SMALL(DayLines!$C$3:$C$608,139),DayLines!$C$3:$C$608,0)))</f>
        <v/>
      </c>
      <c r="E161" s="21" t="str">
        <f aca="false">IF(OR($O161="",$O161=0,$O161=999),"",INDEX(DayLines!$G$3:$G$608,MATCH(SMALL(DayLines!$C$3:$C$608,139),DayLines!$C$3:$C$608,0)))</f>
        <v/>
      </c>
      <c r="F161" s="15"/>
      <c r="G161" s="15"/>
      <c r="H161" s="15"/>
      <c r="I161" s="15"/>
      <c r="J161" s="15"/>
      <c r="K161" s="15"/>
      <c r="L161" s="15"/>
      <c r="M161" s="15"/>
      <c r="N161" s="15"/>
      <c r="O161" s="22" t="str">
        <f aca="false">IFERROR(MOD(SMALL(DayLines!$C$3:$C$608,139),1000),"")</f>
        <v/>
      </c>
    </row>
    <row r="162" customFormat="false" ht="15" hidden="false" customHeight="false" outlineLevel="0" collapsed="false">
      <c r="A162" s="15"/>
      <c r="B162" s="20" t="str">
        <f aca="false">IF($O162="","",IF($O162=0,INDEX(DayLines!$D$3:$D$608,MATCH(SMALL(DayLines!$C$3:$C$608,140),DayLines!$C$3:$C$608,0)),IF($O162=999,"",INDEX(DayLines!$E$3:$E$608,MATCH(SMALL(DayLines!$C$3:$C$608,140),DayLines!$C$3:$C$608,0)))))</f>
        <v/>
      </c>
      <c r="C162" s="16" t="str">
        <f aca="false">IF($O162="","",IF($O162=0,INDEX(DayLines!$E$3:$E$608,MATCH(SMALL(DayLines!$C$3:$C$608,140),DayLines!$C$3:$C$608,0)),IF($O162=999,"",INDEX(DayLines!$D$3:$D$608,MATCH(SMALL(DayLines!$C$3:$C$608,140),DayLines!$C$3:$C$608,0)))))</f>
        <v/>
      </c>
      <c r="D162" s="15" t="str">
        <f aca="false">IF(OR($O162="",$O162=0,$O162=999),"",INDEX(DayLines!$F$3:$F$608,MATCH(SMALL(DayLines!$C$3:$C$608,140),DayLines!$C$3:$C$608,0)))</f>
        <v/>
      </c>
      <c r="E162" s="21" t="str">
        <f aca="false">IF(OR($O162="",$O162=0,$O162=999),"",INDEX(DayLines!$G$3:$G$608,MATCH(SMALL(DayLines!$C$3:$C$608,140),DayLines!$C$3:$C$608,0)))</f>
        <v/>
      </c>
      <c r="F162" s="15"/>
      <c r="G162" s="15"/>
      <c r="H162" s="15"/>
      <c r="I162" s="15"/>
      <c r="J162" s="15"/>
      <c r="K162" s="15"/>
      <c r="L162" s="15"/>
      <c r="M162" s="15"/>
      <c r="N162" s="15"/>
      <c r="O162" s="22" t="str">
        <f aca="false">IFERROR(MOD(SMALL(DayLines!$C$3:$C$608,140),1000),"")</f>
        <v/>
      </c>
    </row>
    <row r="163" customFormat="false" ht="15" hidden="false" customHeight="false" outlineLevel="0" collapsed="false">
      <c r="A163" s="15"/>
      <c r="B163" s="20" t="str">
        <f aca="false">IF($O163="","",IF($O163=0,INDEX(DayLines!$D$3:$D$608,MATCH(SMALL(DayLines!$C$3:$C$608,141),DayLines!$C$3:$C$608,0)),IF($O163=999,"",INDEX(DayLines!$E$3:$E$608,MATCH(SMALL(DayLines!$C$3:$C$608,141),DayLines!$C$3:$C$608,0)))))</f>
        <v/>
      </c>
      <c r="C163" s="16" t="str">
        <f aca="false">IF($O163="","",IF($O163=0,INDEX(DayLines!$E$3:$E$608,MATCH(SMALL(DayLines!$C$3:$C$608,141),DayLines!$C$3:$C$608,0)),IF($O163=999,"",INDEX(DayLines!$D$3:$D$608,MATCH(SMALL(DayLines!$C$3:$C$608,141),DayLines!$C$3:$C$608,0)))))</f>
        <v/>
      </c>
      <c r="D163" s="15" t="str">
        <f aca="false">IF(OR($O163="",$O163=0,$O163=999),"",INDEX(DayLines!$F$3:$F$608,MATCH(SMALL(DayLines!$C$3:$C$608,141),DayLines!$C$3:$C$608,0)))</f>
        <v/>
      </c>
      <c r="E163" s="21" t="str">
        <f aca="false">IF(OR($O163="",$O163=0,$O163=999),"",INDEX(DayLines!$G$3:$G$608,MATCH(SMALL(DayLines!$C$3:$C$608,141),DayLines!$C$3:$C$608,0)))</f>
        <v/>
      </c>
      <c r="F163" s="15"/>
      <c r="G163" s="15"/>
      <c r="H163" s="15"/>
      <c r="I163" s="15"/>
      <c r="J163" s="15"/>
      <c r="K163" s="15"/>
      <c r="L163" s="15"/>
      <c r="M163" s="15"/>
      <c r="N163" s="15"/>
      <c r="O163" s="22" t="str">
        <f aca="false">IFERROR(MOD(SMALL(DayLines!$C$3:$C$608,141),1000),"")</f>
        <v/>
      </c>
    </row>
    <row r="164" customFormat="false" ht="15" hidden="false" customHeight="false" outlineLevel="0" collapsed="false">
      <c r="A164" s="15"/>
      <c r="B164" s="20" t="str">
        <f aca="false">IF($O164="","",IF($O164=0,INDEX(DayLines!$D$3:$D$608,MATCH(SMALL(DayLines!$C$3:$C$608,142),DayLines!$C$3:$C$608,0)),IF($O164=999,"",INDEX(DayLines!$E$3:$E$608,MATCH(SMALL(DayLines!$C$3:$C$608,142),DayLines!$C$3:$C$608,0)))))</f>
        <v/>
      </c>
      <c r="C164" s="16" t="str">
        <f aca="false">IF($O164="","",IF($O164=0,INDEX(DayLines!$E$3:$E$608,MATCH(SMALL(DayLines!$C$3:$C$608,142),DayLines!$C$3:$C$608,0)),IF($O164=999,"",INDEX(DayLines!$D$3:$D$608,MATCH(SMALL(DayLines!$C$3:$C$608,142),DayLines!$C$3:$C$608,0)))))</f>
        <v/>
      </c>
      <c r="D164" s="15" t="str">
        <f aca="false">IF(OR($O164="",$O164=0,$O164=999),"",INDEX(DayLines!$F$3:$F$608,MATCH(SMALL(DayLines!$C$3:$C$608,142),DayLines!$C$3:$C$608,0)))</f>
        <v/>
      </c>
      <c r="E164" s="21" t="str">
        <f aca="false">IF(OR($O164="",$O164=0,$O164=999),"",INDEX(DayLines!$G$3:$G$608,MATCH(SMALL(DayLines!$C$3:$C$608,142),DayLines!$C$3:$C$608,0)))</f>
        <v/>
      </c>
      <c r="F164" s="15"/>
      <c r="G164" s="15"/>
      <c r="H164" s="15"/>
      <c r="I164" s="15"/>
      <c r="J164" s="15"/>
      <c r="K164" s="15"/>
      <c r="L164" s="15"/>
      <c r="M164" s="15"/>
      <c r="N164" s="15"/>
      <c r="O164" s="22" t="str">
        <f aca="false">IFERROR(MOD(SMALL(DayLines!$C$3:$C$608,142),1000),"")</f>
        <v/>
      </c>
    </row>
    <row r="165" customFormat="false" ht="15" hidden="false" customHeight="false" outlineLevel="0" collapsed="false">
      <c r="A165" s="15"/>
      <c r="B165" s="20" t="str">
        <f aca="false">IF($O165="","",IF($O165=0,INDEX(DayLines!$D$3:$D$608,MATCH(SMALL(DayLines!$C$3:$C$608,143),DayLines!$C$3:$C$608,0)),IF($O165=999,"",INDEX(DayLines!$E$3:$E$608,MATCH(SMALL(DayLines!$C$3:$C$608,143),DayLines!$C$3:$C$608,0)))))</f>
        <v/>
      </c>
      <c r="C165" s="16" t="str">
        <f aca="false">IF($O165="","",IF($O165=0,INDEX(DayLines!$E$3:$E$608,MATCH(SMALL(DayLines!$C$3:$C$608,143),DayLines!$C$3:$C$608,0)),IF($O165=999,"",INDEX(DayLines!$D$3:$D$608,MATCH(SMALL(DayLines!$C$3:$C$608,143),DayLines!$C$3:$C$608,0)))))</f>
        <v/>
      </c>
      <c r="D165" s="15" t="str">
        <f aca="false">IF(OR($O165="",$O165=0,$O165=999),"",INDEX(DayLines!$F$3:$F$608,MATCH(SMALL(DayLines!$C$3:$C$608,143),DayLines!$C$3:$C$608,0)))</f>
        <v/>
      </c>
      <c r="E165" s="21" t="str">
        <f aca="false">IF(OR($O165="",$O165=0,$O165=999),"",INDEX(DayLines!$G$3:$G$608,MATCH(SMALL(DayLines!$C$3:$C$608,143),DayLines!$C$3:$C$608,0)))</f>
        <v/>
      </c>
      <c r="F165" s="15"/>
      <c r="G165" s="15"/>
      <c r="H165" s="15"/>
      <c r="I165" s="15"/>
      <c r="J165" s="15"/>
      <c r="K165" s="15"/>
      <c r="L165" s="15"/>
      <c r="M165" s="15"/>
      <c r="N165" s="15"/>
      <c r="O165" s="22" t="str">
        <f aca="false">IFERROR(MOD(SMALL(DayLines!$C$3:$C$608,143),1000),"")</f>
        <v/>
      </c>
    </row>
    <row r="166" customFormat="false" ht="15" hidden="false" customHeight="false" outlineLevel="0" collapsed="false">
      <c r="A166" s="15"/>
      <c r="B166" s="20" t="str">
        <f aca="false">IF($O166="","",IF($O166=0,INDEX(DayLines!$D$3:$D$608,MATCH(SMALL(DayLines!$C$3:$C$608,144),DayLines!$C$3:$C$608,0)),IF($O166=999,"",INDEX(DayLines!$E$3:$E$608,MATCH(SMALL(DayLines!$C$3:$C$608,144),DayLines!$C$3:$C$608,0)))))</f>
        <v/>
      </c>
      <c r="C166" s="16" t="str">
        <f aca="false">IF($O166="","",IF($O166=0,INDEX(DayLines!$E$3:$E$608,MATCH(SMALL(DayLines!$C$3:$C$608,144),DayLines!$C$3:$C$608,0)),IF($O166=999,"",INDEX(DayLines!$D$3:$D$608,MATCH(SMALL(DayLines!$C$3:$C$608,144),DayLines!$C$3:$C$608,0)))))</f>
        <v/>
      </c>
      <c r="D166" s="15" t="str">
        <f aca="false">IF(OR($O166="",$O166=0,$O166=999),"",INDEX(DayLines!$F$3:$F$608,MATCH(SMALL(DayLines!$C$3:$C$608,144),DayLines!$C$3:$C$608,0)))</f>
        <v/>
      </c>
      <c r="E166" s="21" t="str">
        <f aca="false">IF(OR($O166="",$O166=0,$O166=999),"",INDEX(DayLines!$G$3:$G$608,MATCH(SMALL(DayLines!$C$3:$C$608,144),DayLines!$C$3:$C$608,0)))</f>
        <v/>
      </c>
      <c r="F166" s="15"/>
      <c r="G166" s="15"/>
      <c r="H166" s="15"/>
      <c r="I166" s="15"/>
      <c r="J166" s="15"/>
      <c r="K166" s="15"/>
      <c r="L166" s="15"/>
      <c r="M166" s="15"/>
      <c r="N166" s="15"/>
      <c r="O166" s="22" t="str">
        <f aca="false">IFERROR(MOD(SMALL(DayLines!$C$3:$C$608,144),1000),"")</f>
        <v/>
      </c>
    </row>
    <row r="167" customFormat="false" ht="15" hidden="false" customHeight="false" outlineLevel="0" collapsed="false">
      <c r="A167" s="15"/>
      <c r="B167" s="20" t="str">
        <f aca="false">IF($O167="","",IF($O167=0,INDEX(DayLines!$D$3:$D$608,MATCH(SMALL(DayLines!$C$3:$C$608,145),DayLines!$C$3:$C$608,0)),IF($O167=999,"",INDEX(DayLines!$E$3:$E$608,MATCH(SMALL(DayLines!$C$3:$C$608,145),DayLines!$C$3:$C$608,0)))))</f>
        <v/>
      </c>
      <c r="C167" s="16" t="str">
        <f aca="false">IF($O167="","",IF($O167=0,INDEX(DayLines!$E$3:$E$608,MATCH(SMALL(DayLines!$C$3:$C$608,145),DayLines!$C$3:$C$608,0)),IF($O167=999,"",INDEX(DayLines!$D$3:$D$608,MATCH(SMALL(DayLines!$C$3:$C$608,145),DayLines!$C$3:$C$608,0)))))</f>
        <v/>
      </c>
      <c r="D167" s="15" t="str">
        <f aca="false">IF(OR($O167="",$O167=0,$O167=999),"",INDEX(DayLines!$F$3:$F$608,MATCH(SMALL(DayLines!$C$3:$C$608,145),DayLines!$C$3:$C$608,0)))</f>
        <v/>
      </c>
      <c r="E167" s="21" t="str">
        <f aca="false">IF(OR($O167="",$O167=0,$O167=999),"",INDEX(DayLines!$G$3:$G$608,MATCH(SMALL(DayLines!$C$3:$C$608,145),DayLines!$C$3:$C$608,0)))</f>
        <v/>
      </c>
      <c r="F167" s="15"/>
      <c r="G167" s="15"/>
      <c r="H167" s="15"/>
      <c r="I167" s="15"/>
      <c r="J167" s="15"/>
      <c r="K167" s="15"/>
      <c r="L167" s="15"/>
      <c r="M167" s="15"/>
      <c r="N167" s="15"/>
      <c r="O167" s="22" t="str">
        <f aca="false">IFERROR(MOD(SMALL(DayLines!$C$3:$C$608,145),1000),"")</f>
        <v/>
      </c>
    </row>
    <row r="168" customFormat="false" ht="15" hidden="false" customHeight="false" outlineLevel="0" collapsed="false">
      <c r="A168" s="15"/>
      <c r="B168" s="20" t="str">
        <f aca="false">IF($O168="","",IF($O168=0,INDEX(DayLines!$D$3:$D$608,MATCH(SMALL(DayLines!$C$3:$C$608,146),DayLines!$C$3:$C$608,0)),IF($O168=999,"",INDEX(DayLines!$E$3:$E$608,MATCH(SMALL(DayLines!$C$3:$C$608,146),DayLines!$C$3:$C$608,0)))))</f>
        <v/>
      </c>
      <c r="C168" s="16" t="str">
        <f aca="false">IF($O168="","",IF($O168=0,INDEX(DayLines!$E$3:$E$608,MATCH(SMALL(DayLines!$C$3:$C$608,146),DayLines!$C$3:$C$608,0)),IF($O168=999,"",INDEX(DayLines!$D$3:$D$608,MATCH(SMALL(DayLines!$C$3:$C$608,146),DayLines!$C$3:$C$608,0)))))</f>
        <v/>
      </c>
      <c r="D168" s="15" t="str">
        <f aca="false">IF(OR($O168="",$O168=0,$O168=999),"",INDEX(DayLines!$F$3:$F$608,MATCH(SMALL(DayLines!$C$3:$C$608,146),DayLines!$C$3:$C$608,0)))</f>
        <v/>
      </c>
      <c r="E168" s="21" t="str">
        <f aca="false">IF(OR($O168="",$O168=0,$O168=999),"",INDEX(DayLines!$G$3:$G$608,MATCH(SMALL(DayLines!$C$3:$C$608,146),DayLines!$C$3:$C$608,0)))</f>
        <v/>
      </c>
      <c r="F168" s="15"/>
      <c r="G168" s="15"/>
      <c r="H168" s="15"/>
      <c r="I168" s="15"/>
      <c r="J168" s="15"/>
      <c r="K168" s="15"/>
      <c r="L168" s="15"/>
      <c r="M168" s="15"/>
      <c r="N168" s="15"/>
      <c r="O168" s="22" t="str">
        <f aca="false">IFERROR(MOD(SMALL(DayLines!$C$3:$C$608,146),1000),"")</f>
        <v/>
      </c>
    </row>
    <row r="169" customFormat="false" ht="15" hidden="false" customHeight="false" outlineLevel="0" collapsed="false">
      <c r="A169" s="15"/>
      <c r="B169" s="20" t="str">
        <f aca="false">IF($O169="","",IF($O169=0,INDEX(DayLines!$D$3:$D$608,MATCH(SMALL(DayLines!$C$3:$C$608,147),DayLines!$C$3:$C$608,0)),IF($O169=999,"",INDEX(DayLines!$E$3:$E$608,MATCH(SMALL(DayLines!$C$3:$C$608,147),DayLines!$C$3:$C$608,0)))))</f>
        <v/>
      </c>
      <c r="C169" s="16" t="str">
        <f aca="false">IF($O169="","",IF($O169=0,INDEX(DayLines!$E$3:$E$608,MATCH(SMALL(DayLines!$C$3:$C$608,147),DayLines!$C$3:$C$608,0)),IF($O169=999,"",INDEX(DayLines!$D$3:$D$608,MATCH(SMALL(DayLines!$C$3:$C$608,147),DayLines!$C$3:$C$608,0)))))</f>
        <v/>
      </c>
      <c r="D169" s="15" t="str">
        <f aca="false">IF(OR($O169="",$O169=0,$O169=999),"",INDEX(DayLines!$F$3:$F$608,MATCH(SMALL(DayLines!$C$3:$C$608,147),DayLines!$C$3:$C$608,0)))</f>
        <v/>
      </c>
      <c r="E169" s="21" t="str">
        <f aca="false">IF(OR($O169="",$O169=0,$O169=999),"",INDEX(DayLines!$G$3:$G$608,MATCH(SMALL(DayLines!$C$3:$C$608,147),DayLines!$C$3:$C$608,0)))</f>
        <v/>
      </c>
      <c r="F169" s="15"/>
      <c r="G169" s="15"/>
      <c r="H169" s="15"/>
      <c r="I169" s="15"/>
      <c r="J169" s="15"/>
      <c r="K169" s="15"/>
      <c r="L169" s="15"/>
      <c r="M169" s="15"/>
      <c r="N169" s="15"/>
      <c r="O169" s="22" t="str">
        <f aca="false">IFERROR(MOD(SMALL(DayLines!$C$3:$C$608,147),1000),"")</f>
        <v/>
      </c>
    </row>
    <row r="170" customFormat="false" ht="15" hidden="false" customHeight="false" outlineLevel="0" collapsed="false">
      <c r="A170" s="15"/>
      <c r="B170" s="20" t="str">
        <f aca="false">IF($O170="","",IF($O170=0,INDEX(DayLines!$D$3:$D$608,MATCH(SMALL(DayLines!$C$3:$C$608,148),DayLines!$C$3:$C$608,0)),IF($O170=999,"",INDEX(DayLines!$E$3:$E$608,MATCH(SMALL(DayLines!$C$3:$C$608,148),DayLines!$C$3:$C$608,0)))))</f>
        <v/>
      </c>
      <c r="C170" s="16" t="str">
        <f aca="false">IF($O170="","",IF($O170=0,INDEX(DayLines!$E$3:$E$608,MATCH(SMALL(DayLines!$C$3:$C$608,148),DayLines!$C$3:$C$608,0)),IF($O170=999,"",INDEX(DayLines!$D$3:$D$608,MATCH(SMALL(DayLines!$C$3:$C$608,148),DayLines!$C$3:$C$608,0)))))</f>
        <v/>
      </c>
      <c r="D170" s="15" t="str">
        <f aca="false">IF(OR($O170="",$O170=0,$O170=999),"",INDEX(DayLines!$F$3:$F$608,MATCH(SMALL(DayLines!$C$3:$C$608,148),DayLines!$C$3:$C$608,0)))</f>
        <v/>
      </c>
      <c r="E170" s="21" t="str">
        <f aca="false">IF(OR($O170="",$O170=0,$O170=999),"",INDEX(DayLines!$G$3:$G$608,MATCH(SMALL(DayLines!$C$3:$C$608,148),DayLines!$C$3:$C$608,0)))</f>
        <v/>
      </c>
      <c r="F170" s="15"/>
      <c r="G170" s="15"/>
      <c r="H170" s="15"/>
      <c r="I170" s="15"/>
      <c r="J170" s="15"/>
      <c r="K170" s="15"/>
      <c r="L170" s="15"/>
      <c r="M170" s="15"/>
      <c r="N170" s="15"/>
      <c r="O170" s="22" t="str">
        <f aca="false">IFERROR(MOD(SMALL(DayLines!$C$3:$C$608,148),1000),"")</f>
        <v/>
      </c>
    </row>
    <row r="171" customFormat="false" ht="15" hidden="false" customHeight="false" outlineLevel="0" collapsed="false">
      <c r="A171" s="15"/>
      <c r="B171" s="20" t="str">
        <f aca="false">IF($O171="","",IF($O171=0,INDEX(DayLines!$D$3:$D$608,MATCH(SMALL(DayLines!$C$3:$C$608,149),DayLines!$C$3:$C$608,0)),IF($O171=999,"",INDEX(DayLines!$E$3:$E$608,MATCH(SMALL(DayLines!$C$3:$C$608,149),DayLines!$C$3:$C$608,0)))))</f>
        <v/>
      </c>
      <c r="C171" s="16" t="str">
        <f aca="false">IF($O171="","",IF($O171=0,INDEX(DayLines!$E$3:$E$608,MATCH(SMALL(DayLines!$C$3:$C$608,149),DayLines!$C$3:$C$608,0)),IF($O171=999,"",INDEX(DayLines!$D$3:$D$608,MATCH(SMALL(DayLines!$C$3:$C$608,149),DayLines!$C$3:$C$608,0)))))</f>
        <v/>
      </c>
      <c r="D171" s="15" t="str">
        <f aca="false">IF(OR($O171="",$O171=0,$O171=999),"",INDEX(DayLines!$F$3:$F$608,MATCH(SMALL(DayLines!$C$3:$C$608,149),DayLines!$C$3:$C$608,0)))</f>
        <v/>
      </c>
      <c r="E171" s="21" t="str">
        <f aca="false">IF(OR($O171="",$O171=0,$O171=999),"",INDEX(DayLines!$G$3:$G$608,MATCH(SMALL(DayLines!$C$3:$C$608,149),DayLines!$C$3:$C$608,0)))</f>
        <v/>
      </c>
      <c r="F171" s="15"/>
      <c r="G171" s="15"/>
      <c r="H171" s="15"/>
      <c r="I171" s="15"/>
      <c r="J171" s="15"/>
      <c r="K171" s="15"/>
      <c r="L171" s="15"/>
      <c r="M171" s="15"/>
      <c r="N171" s="15"/>
      <c r="O171" s="22" t="str">
        <f aca="false">IFERROR(MOD(SMALL(DayLines!$C$3:$C$608,149),1000),"")</f>
        <v/>
      </c>
    </row>
    <row r="172" customFormat="false" ht="15" hidden="false" customHeight="false" outlineLevel="0" collapsed="false">
      <c r="A172" s="15"/>
      <c r="B172" s="20" t="str">
        <f aca="false">IF($O172="","",IF($O172=0,INDEX(DayLines!$D$3:$D$608,MATCH(SMALL(DayLines!$C$3:$C$608,150),DayLines!$C$3:$C$608,0)),IF($O172=999,"",INDEX(DayLines!$E$3:$E$608,MATCH(SMALL(DayLines!$C$3:$C$608,150),DayLines!$C$3:$C$608,0)))))</f>
        <v/>
      </c>
      <c r="C172" s="16" t="str">
        <f aca="false">IF($O172="","",IF($O172=0,INDEX(DayLines!$E$3:$E$608,MATCH(SMALL(DayLines!$C$3:$C$608,150),DayLines!$C$3:$C$608,0)),IF($O172=999,"",INDEX(DayLines!$D$3:$D$608,MATCH(SMALL(DayLines!$C$3:$C$608,150),DayLines!$C$3:$C$608,0)))))</f>
        <v/>
      </c>
      <c r="D172" s="15" t="str">
        <f aca="false">IF(OR($O172="",$O172=0,$O172=999),"",INDEX(DayLines!$F$3:$F$608,MATCH(SMALL(DayLines!$C$3:$C$608,150),DayLines!$C$3:$C$608,0)))</f>
        <v/>
      </c>
      <c r="E172" s="21" t="str">
        <f aca="false">IF(OR($O172="",$O172=0,$O172=999),"",INDEX(DayLines!$G$3:$G$608,MATCH(SMALL(DayLines!$C$3:$C$608,150),DayLines!$C$3:$C$608,0)))</f>
        <v/>
      </c>
      <c r="F172" s="15"/>
      <c r="G172" s="15"/>
      <c r="H172" s="15"/>
      <c r="I172" s="15"/>
      <c r="J172" s="15"/>
      <c r="K172" s="15"/>
      <c r="L172" s="15"/>
      <c r="M172" s="15"/>
      <c r="N172" s="15"/>
      <c r="O172" s="22" t="str">
        <f aca="false">IFERROR(MOD(SMALL(DayLines!$C$3:$C$608,150),1000),"")</f>
        <v/>
      </c>
    </row>
    <row r="173" customFormat="false" ht="15" hidden="false" customHeight="false" outlineLevel="0" collapsed="false">
      <c r="A173" s="15"/>
      <c r="B173" s="20" t="str">
        <f aca="false">IF($O173="","",IF($O173=0,INDEX(DayLines!$D$3:$D$608,MATCH(SMALL(DayLines!$C$3:$C$608,151),DayLines!$C$3:$C$608,0)),IF($O173=999,"",INDEX(DayLines!$E$3:$E$608,MATCH(SMALL(DayLines!$C$3:$C$608,151),DayLines!$C$3:$C$608,0)))))</f>
        <v/>
      </c>
      <c r="C173" s="16" t="str">
        <f aca="false">IF($O173="","",IF($O173=0,INDEX(DayLines!$E$3:$E$608,MATCH(SMALL(DayLines!$C$3:$C$608,151),DayLines!$C$3:$C$608,0)),IF($O173=999,"",INDEX(DayLines!$D$3:$D$608,MATCH(SMALL(DayLines!$C$3:$C$608,151),DayLines!$C$3:$C$608,0)))))</f>
        <v/>
      </c>
      <c r="D173" s="15" t="str">
        <f aca="false">IF(OR($O173="",$O173=0,$O173=999),"",INDEX(DayLines!$F$3:$F$608,MATCH(SMALL(DayLines!$C$3:$C$608,151),DayLines!$C$3:$C$608,0)))</f>
        <v/>
      </c>
      <c r="E173" s="21" t="str">
        <f aca="false">IF(OR($O173="",$O173=0,$O173=999),"",INDEX(DayLines!$G$3:$G$608,MATCH(SMALL(DayLines!$C$3:$C$608,151),DayLines!$C$3:$C$608,0)))</f>
        <v/>
      </c>
      <c r="F173" s="15"/>
      <c r="G173" s="15"/>
      <c r="H173" s="15"/>
      <c r="I173" s="15"/>
      <c r="J173" s="15"/>
      <c r="K173" s="15"/>
      <c r="L173" s="15"/>
      <c r="M173" s="15"/>
      <c r="N173" s="15"/>
      <c r="O173" s="22" t="str">
        <f aca="false">IFERROR(MOD(SMALL(DayLines!$C$3:$C$608,151),1000),"")</f>
        <v/>
      </c>
    </row>
    <row r="174" customFormat="false" ht="15" hidden="false" customHeight="false" outlineLevel="0" collapsed="false">
      <c r="A174" s="15"/>
      <c r="B174" s="20" t="str">
        <f aca="false">IF($O174="","",IF($O174=0,INDEX(DayLines!$D$3:$D$608,MATCH(SMALL(DayLines!$C$3:$C$608,152),DayLines!$C$3:$C$608,0)),IF($O174=999,"",INDEX(DayLines!$E$3:$E$608,MATCH(SMALL(DayLines!$C$3:$C$608,152),DayLines!$C$3:$C$608,0)))))</f>
        <v/>
      </c>
      <c r="C174" s="16" t="str">
        <f aca="false">IF($O174="","",IF($O174=0,INDEX(DayLines!$E$3:$E$608,MATCH(SMALL(DayLines!$C$3:$C$608,152),DayLines!$C$3:$C$608,0)),IF($O174=999,"",INDEX(DayLines!$D$3:$D$608,MATCH(SMALL(DayLines!$C$3:$C$608,152),DayLines!$C$3:$C$608,0)))))</f>
        <v/>
      </c>
      <c r="D174" s="15" t="str">
        <f aca="false">IF(OR($O174="",$O174=0,$O174=999),"",INDEX(DayLines!$F$3:$F$608,MATCH(SMALL(DayLines!$C$3:$C$608,152),DayLines!$C$3:$C$608,0)))</f>
        <v/>
      </c>
      <c r="E174" s="21" t="str">
        <f aca="false">IF(OR($O174="",$O174=0,$O174=999),"",INDEX(DayLines!$G$3:$G$608,MATCH(SMALL(DayLines!$C$3:$C$608,152),DayLines!$C$3:$C$608,0)))</f>
        <v/>
      </c>
      <c r="F174" s="15"/>
      <c r="G174" s="15"/>
      <c r="H174" s="15"/>
      <c r="I174" s="15"/>
      <c r="J174" s="15"/>
      <c r="K174" s="15"/>
      <c r="L174" s="15"/>
      <c r="M174" s="15"/>
      <c r="N174" s="15"/>
      <c r="O174" s="22" t="str">
        <f aca="false">IFERROR(MOD(SMALL(DayLines!$C$3:$C$608,152),1000),"")</f>
        <v/>
      </c>
    </row>
    <row r="175" customFormat="false" ht="15" hidden="false" customHeight="false" outlineLevel="0" collapsed="false">
      <c r="A175" s="15"/>
      <c r="B175" s="20" t="str">
        <f aca="false">IF($O175="","",IF($O175=0,INDEX(DayLines!$D$3:$D$608,MATCH(SMALL(DayLines!$C$3:$C$608,153),DayLines!$C$3:$C$608,0)),IF($O175=999,"",INDEX(DayLines!$E$3:$E$608,MATCH(SMALL(DayLines!$C$3:$C$608,153),DayLines!$C$3:$C$608,0)))))</f>
        <v/>
      </c>
      <c r="C175" s="16" t="str">
        <f aca="false">IF($O175="","",IF($O175=0,INDEX(DayLines!$E$3:$E$608,MATCH(SMALL(DayLines!$C$3:$C$608,153),DayLines!$C$3:$C$608,0)),IF($O175=999,"",INDEX(DayLines!$D$3:$D$608,MATCH(SMALL(DayLines!$C$3:$C$608,153),DayLines!$C$3:$C$608,0)))))</f>
        <v/>
      </c>
      <c r="D175" s="15" t="str">
        <f aca="false">IF(OR($O175="",$O175=0,$O175=999),"",INDEX(DayLines!$F$3:$F$608,MATCH(SMALL(DayLines!$C$3:$C$608,153),DayLines!$C$3:$C$608,0)))</f>
        <v/>
      </c>
      <c r="E175" s="21" t="str">
        <f aca="false">IF(OR($O175="",$O175=0,$O175=999),"",INDEX(DayLines!$G$3:$G$608,MATCH(SMALL(DayLines!$C$3:$C$608,153),DayLines!$C$3:$C$608,0)))</f>
        <v/>
      </c>
      <c r="F175" s="15"/>
      <c r="G175" s="15"/>
      <c r="H175" s="15"/>
      <c r="I175" s="15"/>
      <c r="J175" s="15"/>
      <c r="K175" s="15"/>
      <c r="L175" s="15"/>
      <c r="M175" s="15"/>
      <c r="N175" s="15"/>
      <c r="O175" s="22" t="str">
        <f aca="false">IFERROR(MOD(SMALL(DayLines!$C$3:$C$608,153),1000),"")</f>
        <v/>
      </c>
    </row>
    <row r="176" customFormat="false" ht="15" hidden="false" customHeight="false" outlineLevel="0" collapsed="false">
      <c r="A176" s="15"/>
      <c r="B176" s="20" t="str">
        <f aca="false">IF($O176="","",IF($O176=0,INDEX(DayLines!$D$3:$D$608,MATCH(SMALL(DayLines!$C$3:$C$608,154),DayLines!$C$3:$C$608,0)),IF($O176=999,"",INDEX(DayLines!$E$3:$E$608,MATCH(SMALL(DayLines!$C$3:$C$608,154),DayLines!$C$3:$C$608,0)))))</f>
        <v/>
      </c>
      <c r="C176" s="16" t="str">
        <f aca="false">IF($O176="","",IF($O176=0,INDEX(DayLines!$E$3:$E$608,MATCH(SMALL(DayLines!$C$3:$C$608,154),DayLines!$C$3:$C$608,0)),IF($O176=999,"",INDEX(DayLines!$D$3:$D$608,MATCH(SMALL(DayLines!$C$3:$C$608,154),DayLines!$C$3:$C$608,0)))))</f>
        <v/>
      </c>
      <c r="D176" s="15" t="str">
        <f aca="false">IF(OR($O176="",$O176=0,$O176=999),"",INDEX(DayLines!$F$3:$F$608,MATCH(SMALL(DayLines!$C$3:$C$608,154),DayLines!$C$3:$C$608,0)))</f>
        <v/>
      </c>
      <c r="E176" s="21" t="str">
        <f aca="false">IF(OR($O176="",$O176=0,$O176=999),"",INDEX(DayLines!$G$3:$G$608,MATCH(SMALL(DayLines!$C$3:$C$608,154),DayLines!$C$3:$C$608,0)))</f>
        <v/>
      </c>
      <c r="F176" s="15"/>
      <c r="G176" s="15"/>
      <c r="H176" s="15"/>
      <c r="I176" s="15"/>
      <c r="J176" s="15"/>
      <c r="K176" s="15"/>
      <c r="L176" s="15"/>
      <c r="M176" s="15"/>
      <c r="N176" s="15"/>
      <c r="O176" s="22" t="str">
        <f aca="false">IFERROR(MOD(SMALL(DayLines!$C$3:$C$608,154),1000),"")</f>
        <v/>
      </c>
    </row>
    <row r="177" customFormat="false" ht="15" hidden="false" customHeight="false" outlineLevel="0" collapsed="false">
      <c r="A177" s="15"/>
      <c r="B177" s="20" t="str">
        <f aca="false">IF($O177="","",IF($O177=0,INDEX(DayLines!$D$3:$D$608,MATCH(SMALL(DayLines!$C$3:$C$608,155),DayLines!$C$3:$C$608,0)),IF($O177=999,"",INDEX(DayLines!$E$3:$E$608,MATCH(SMALL(DayLines!$C$3:$C$608,155),DayLines!$C$3:$C$608,0)))))</f>
        <v/>
      </c>
      <c r="C177" s="16" t="str">
        <f aca="false">IF($O177="","",IF($O177=0,INDEX(DayLines!$E$3:$E$608,MATCH(SMALL(DayLines!$C$3:$C$608,155),DayLines!$C$3:$C$608,0)),IF($O177=999,"",INDEX(DayLines!$D$3:$D$608,MATCH(SMALL(DayLines!$C$3:$C$608,155),DayLines!$C$3:$C$608,0)))))</f>
        <v/>
      </c>
      <c r="D177" s="15" t="str">
        <f aca="false">IF(OR($O177="",$O177=0,$O177=999),"",INDEX(DayLines!$F$3:$F$608,MATCH(SMALL(DayLines!$C$3:$C$608,155),DayLines!$C$3:$C$608,0)))</f>
        <v/>
      </c>
      <c r="E177" s="21" t="str">
        <f aca="false">IF(OR($O177="",$O177=0,$O177=999),"",INDEX(DayLines!$G$3:$G$608,MATCH(SMALL(DayLines!$C$3:$C$608,155),DayLines!$C$3:$C$608,0)))</f>
        <v/>
      </c>
      <c r="F177" s="15"/>
      <c r="G177" s="15"/>
      <c r="H177" s="15"/>
      <c r="I177" s="15"/>
      <c r="J177" s="15"/>
      <c r="K177" s="15"/>
      <c r="L177" s="15"/>
      <c r="M177" s="15"/>
      <c r="N177" s="15"/>
      <c r="O177" s="22" t="str">
        <f aca="false">IFERROR(MOD(SMALL(DayLines!$C$3:$C$608,155),1000),"")</f>
        <v/>
      </c>
    </row>
    <row r="178" customFormat="false" ht="15" hidden="false" customHeight="false" outlineLevel="0" collapsed="false">
      <c r="A178" s="15"/>
      <c r="B178" s="20" t="str">
        <f aca="false">IF($O178="","",IF($O178=0,INDEX(DayLines!$D$3:$D$608,MATCH(SMALL(DayLines!$C$3:$C$608,156),DayLines!$C$3:$C$608,0)),IF($O178=999,"",INDEX(DayLines!$E$3:$E$608,MATCH(SMALL(DayLines!$C$3:$C$608,156),DayLines!$C$3:$C$608,0)))))</f>
        <v/>
      </c>
      <c r="C178" s="16" t="str">
        <f aca="false">IF($O178="","",IF($O178=0,INDEX(DayLines!$E$3:$E$608,MATCH(SMALL(DayLines!$C$3:$C$608,156),DayLines!$C$3:$C$608,0)),IF($O178=999,"",INDEX(DayLines!$D$3:$D$608,MATCH(SMALL(DayLines!$C$3:$C$608,156),DayLines!$C$3:$C$608,0)))))</f>
        <v/>
      </c>
      <c r="D178" s="15" t="str">
        <f aca="false">IF(OR($O178="",$O178=0,$O178=999),"",INDEX(DayLines!$F$3:$F$608,MATCH(SMALL(DayLines!$C$3:$C$608,156),DayLines!$C$3:$C$608,0)))</f>
        <v/>
      </c>
      <c r="E178" s="21" t="str">
        <f aca="false">IF(OR($O178="",$O178=0,$O178=999),"",INDEX(DayLines!$G$3:$G$608,MATCH(SMALL(DayLines!$C$3:$C$608,156),DayLines!$C$3:$C$608,0)))</f>
        <v/>
      </c>
      <c r="F178" s="15"/>
      <c r="G178" s="15"/>
      <c r="H178" s="15"/>
      <c r="I178" s="15"/>
      <c r="J178" s="15"/>
      <c r="K178" s="15"/>
      <c r="L178" s="15"/>
      <c r="M178" s="15"/>
      <c r="N178" s="15"/>
      <c r="O178" s="22" t="str">
        <f aca="false">IFERROR(MOD(SMALL(DayLines!$C$3:$C$608,156),1000),"")</f>
        <v/>
      </c>
    </row>
    <row r="179" customFormat="false" ht="15" hidden="false" customHeight="false" outlineLevel="0" collapsed="false">
      <c r="A179" s="15"/>
      <c r="B179" s="20" t="str">
        <f aca="false">IF($O179="","",IF($O179=0,INDEX(DayLines!$D$3:$D$608,MATCH(SMALL(DayLines!$C$3:$C$608,157),DayLines!$C$3:$C$608,0)),IF($O179=999,"",INDEX(DayLines!$E$3:$E$608,MATCH(SMALL(DayLines!$C$3:$C$608,157),DayLines!$C$3:$C$608,0)))))</f>
        <v/>
      </c>
      <c r="C179" s="16" t="str">
        <f aca="false">IF($O179="","",IF($O179=0,INDEX(DayLines!$E$3:$E$608,MATCH(SMALL(DayLines!$C$3:$C$608,157),DayLines!$C$3:$C$608,0)),IF($O179=999,"",INDEX(DayLines!$D$3:$D$608,MATCH(SMALL(DayLines!$C$3:$C$608,157),DayLines!$C$3:$C$608,0)))))</f>
        <v/>
      </c>
      <c r="D179" s="15" t="str">
        <f aca="false">IF(OR($O179="",$O179=0,$O179=999),"",INDEX(DayLines!$F$3:$F$608,MATCH(SMALL(DayLines!$C$3:$C$608,157),DayLines!$C$3:$C$608,0)))</f>
        <v/>
      </c>
      <c r="E179" s="21" t="str">
        <f aca="false">IF(OR($O179="",$O179=0,$O179=999),"",INDEX(DayLines!$G$3:$G$608,MATCH(SMALL(DayLines!$C$3:$C$608,157),DayLines!$C$3:$C$608,0)))</f>
        <v/>
      </c>
      <c r="F179" s="15"/>
      <c r="G179" s="15"/>
      <c r="H179" s="15"/>
      <c r="I179" s="15"/>
      <c r="J179" s="15"/>
      <c r="K179" s="15"/>
      <c r="L179" s="15"/>
      <c r="M179" s="15"/>
      <c r="N179" s="15"/>
      <c r="O179" s="22" t="str">
        <f aca="false">IFERROR(MOD(SMALL(DayLines!$C$3:$C$608,157),1000),"")</f>
        <v/>
      </c>
    </row>
    <row r="180" customFormat="false" ht="15" hidden="false" customHeight="false" outlineLevel="0" collapsed="false">
      <c r="A180" s="15"/>
      <c r="B180" s="20" t="str">
        <f aca="false">IF($O180="","",IF($O180=0,INDEX(DayLines!$D$3:$D$608,MATCH(SMALL(DayLines!$C$3:$C$608,158),DayLines!$C$3:$C$608,0)),IF($O180=999,"",INDEX(DayLines!$E$3:$E$608,MATCH(SMALL(DayLines!$C$3:$C$608,158),DayLines!$C$3:$C$608,0)))))</f>
        <v/>
      </c>
      <c r="C180" s="16" t="str">
        <f aca="false">IF($O180="","",IF($O180=0,INDEX(DayLines!$E$3:$E$608,MATCH(SMALL(DayLines!$C$3:$C$608,158),DayLines!$C$3:$C$608,0)),IF($O180=999,"",INDEX(DayLines!$D$3:$D$608,MATCH(SMALL(DayLines!$C$3:$C$608,158),DayLines!$C$3:$C$608,0)))))</f>
        <v/>
      </c>
      <c r="D180" s="15" t="str">
        <f aca="false">IF(OR($O180="",$O180=0,$O180=999),"",INDEX(DayLines!$F$3:$F$608,MATCH(SMALL(DayLines!$C$3:$C$608,158),DayLines!$C$3:$C$608,0)))</f>
        <v/>
      </c>
      <c r="E180" s="21" t="str">
        <f aca="false">IF(OR($O180="",$O180=0,$O180=999),"",INDEX(DayLines!$G$3:$G$608,MATCH(SMALL(DayLines!$C$3:$C$608,158),DayLines!$C$3:$C$608,0)))</f>
        <v/>
      </c>
      <c r="F180" s="15"/>
      <c r="G180" s="15"/>
      <c r="H180" s="15"/>
      <c r="I180" s="15"/>
      <c r="J180" s="15"/>
      <c r="K180" s="15"/>
      <c r="L180" s="15"/>
      <c r="M180" s="15"/>
      <c r="N180" s="15"/>
      <c r="O180" s="22" t="str">
        <f aca="false">IFERROR(MOD(SMALL(DayLines!$C$3:$C$608,158),1000),"")</f>
        <v/>
      </c>
    </row>
    <row r="181" customFormat="false" ht="15" hidden="false" customHeight="false" outlineLevel="0" collapsed="false">
      <c r="A181" s="15"/>
      <c r="B181" s="20" t="str">
        <f aca="false">IF($O181="","",IF($O181=0,INDEX(DayLines!$D$3:$D$608,MATCH(SMALL(DayLines!$C$3:$C$608,159),DayLines!$C$3:$C$608,0)),IF($O181=999,"",INDEX(DayLines!$E$3:$E$608,MATCH(SMALL(DayLines!$C$3:$C$608,159),DayLines!$C$3:$C$608,0)))))</f>
        <v/>
      </c>
      <c r="C181" s="16" t="str">
        <f aca="false">IF($O181="","",IF($O181=0,INDEX(DayLines!$E$3:$E$608,MATCH(SMALL(DayLines!$C$3:$C$608,159),DayLines!$C$3:$C$608,0)),IF($O181=999,"",INDEX(DayLines!$D$3:$D$608,MATCH(SMALL(DayLines!$C$3:$C$608,159),DayLines!$C$3:$C$608,0)))))</f>
        <v/>
      </c>
      <c r="D181" s="15" t="str">
        <f aca="false">IF(OR($O181="",$O181=0,$O181=999),"",INDEX(DayLines!$F$3:$F$608,MATCH(SMALL(DayLines!$C$3:$C$608,159),DayLines!$C$3:$C$608,0)))</f>
        <v/>
      </c>
      <c r="E181" s="21" t="str">
        <f aca="false">IF(OR($O181="",$O181=0,$O181=999),"",INDEX(DayLines!$G$3:$G$608,MATCH(SMALL(DayLines!$C$3:$C$608,159),DayLines!$C$3:$C$608,0)))</f>
        <v/>
      </c>
      <c r="F181" s="15"/>
      <c r="G181" s="15"/>
      <c r="H181" s="15"/>
      <c r="I181" s="15"/>
      <c r="J181" s="15"/>
      <c r="K181" s="15"/>
      <c r="L181" s="15"/>
      <c r="M181" s="15"/>
      <c r="N181" s="15"/>
      <c r="O181" s="22" t="str">
        <f aca="false">IFERROR(MOD(SMALL(DayLines!$C$3:$C$608,159),1000),"")</f>
        <v/>
      </c>
    </row>
    <row r="182" customFormat="false" ht="15" hidden="false" customHeight="false" outlineLevel="0" collapsed="false">
      <c r="A182" s="15"/>
      <c r="B182" s="20" t="str">
        <f aca="false">IF($O182="","",IF($O182=0,INDEX(DayLines!$D$3:$D$608,MATCH(SMALL(DayLines!$C$3:$C$608,160),DayLines!$C$3:$C$608,0)),IF($O182=999,"",INDEX(DayLines!$E$3:$E$608,MATCH(SMALL(DayLines!$C$3:$C$608,160),DayLines!$C$3:$C$608,0)))))</f>
        <v/>
      </c>
      <c r="C182" s="16" t="str">
        <f aca="false">IF($O182="","",IF($O182=0,INDEX(DayLines!$E$3:$E$608,MATCH(SMALL(DayLines!$C$3:$C$608,160),DayLines!$C$3:$C$608,0)),IF($O182=999,"",INDEX(DayLines!$D$3:$D$608,MATCH(SMALL(DayLines!$C$3:$C$608,160),DayLines!$C$3:$C$608,0)))))</f>
        <v/>
      </c>
      <c r="D182" s="15" t="str">
        <f aca="false">IF(OR($O182="",$O182=0,$O182=999),"",INDEX(DayLines!$F$3:$F$608,MATCH(SMALL(DayLines!$C$3:$C$608,160),DayLines!$C$3:$C$608,0)))</f>
        <v/>
      </c>
      <c r="E182" s="21" t="str">
        <f aca="false">IF(OR($O182="",$O182=0,$O182=999),"",INDEX(DayLines!$G$3:$G$608,MATCH(SMALL(DayLines!$C$3:$C$608,160),DayLines!$C$3:$C$608,0)))</f>
        <v/>
      </c>
      <c r="F182" s="15"/>
      <c r="G182" s="15"/>
      <c r="H182" s="15"/>
      <c r="I182" s="15"/>
      <c r="J182" s="15"/>
      <c r="K182" s="15"/>
      <c r="L182" s="15"/>
      <c r="M182" s="15"/>
      <c r="N182" s="15"/>
      <c r="O182" s="22" t="str">
        <f aca="false">IFERROR(MOD(SMALL(DayLines!$C$3:$C$608,160),1000),"")</f>
        <v/>
      </c>
    </row>
    <row r="183" customFormat="false" ht="15" hidden="false" customHeight="false" outlineLevel="0" collapsed="false">
      <c r="A183" s="15"/>
      <c r="B183" s="20" t="str">
        <f aca="false">IF($O183="","",IF($O183=0,INDEX(DayLines!$D$3:$D$608,MATCH(SMALL(DayLines!$C$3:$C$608,161),DayLines!$C$3:$C$608,0)),IF($O183=999,"",INDEX(DayLines!$E$3:$E$608,MATCH(SMALL(DayLines!$C$3:$C$608,161),DayLines!$C$3:$C$608,0)))))</f>
        <v/>
      </c>
      <c r="C183" s="16" t="str">
        <f aca="false">IF($O183="","",IF($O183=0,INDEX(DayLines!$E$3:$E$608,MATCH(SMALL(DayLines!$C$3:$C$608,161),DayLines!$C$3:$C$608,0)),IF($O183=999,"",INDEX(DayLines!$D$3:$D$608,MATCH(SMALL(DayLines!$C$3:$C$608,161),DayLines!$C$3:$C$608,0)))))</f>
        <v/>
      </c>
      <c r="D183" s="15" t="str">
        <f aca="false">IF(OR($O183="",$O183=0,$O183=999),"",INDEX(DayLines!$F$3:$F$608,MATCH(SMALL(DayLines!$C$3:$C$608,161),DayLines!$C$3:$C$608,0)))</f>
        <v/>
      </c>
      <c r="E183" s="21" t="str">
        <f aca="false">IF(OR($O183="",$O183=0,$O183=999),"",INDEX(DayLines!$G$3:$G$608,MATCH(SMALL(DayLines!$C$3:$C$608,161),DayLines!$C$3:$C$608,0)))</f>
        <v/>
      </c>
      <c r="F183" s="15"/>
      <c r="G183" s="15"/>
      <c r="H183" s="15"/>
      <c r="I183" s="15"/>
      <c r="J183" s="15"/>
      <c r="K183" s="15"/>
      <c r="L183" s="15"/>
      <c r="M183" s="15"/>
      <c r="N183" s="15"/>
      <c r="O183" s="22" t="str">
        <f aca="false">IFERROR(MOD(SMALL(DayLines!$C$3:$C$608,161),1000),"")</f>
        <v/>
      </c>
    </row>
    <row r="184" customFormat="false" ht="15" hidden="false" customHeight="false" outlineLevel="0" collapsed="false">
      <c r="A184" s="15"/>
      <c r="B184" s="20" t="str">
        <f aca="false">IF($O184="","",IF($O184=0,INDEX(DayLines!$D$3:$D$608,MATCH(SMALL(DayLines!$C$3:$C$608,162),DayLines!$C$3:$C$608,0)),IF($O184=999,"",INDEX(DayLines!$E$3:$E$608,MATCH(SMALL(DayLines!$C$3:$C$608,162),DayLines!$C$3:$C$608,0)))))</f>
        <v/>
      </c>
      <c r="C184" s="16" t="str">
        <f aca="false">IF($O184="","",IF($O184=0,INDEX(DayLines!$E$3:$E$608,MATCH(SMALL(DayLines!$C$3:$C$608,162),DayLines!$C$3:$C$608,0)),IF($O184=999,"",INDEX(DayLines!$D$3:$D$608,MATCH(SMALL(DayLines!$C$3:$C$608,162),DayLines!$C$3:$C$608,0)))))</f>
        <v/>
      </c>
      <c r="D184" s="15" t="str">
        <f aca="false">IF(OR($O184="",$O184=0,$O184=999),"",INDEX(DayLines!$F$3:$F$608,MATCH(SMALL(DayLines!$C$3:$C$608,162),DayLines!$C$3:$C$608,0)))</f>
        <v/>
      </c>
      <c r="E184" s="21" t="str">
        <f aca="false">IF(OR($O184="",$O184=0,$O184=999),"",INDEX(DayLines!$G$3:$G$608,MATCH(SMALL(DayLines!$C$3:$C$608,162),DayLines!$C$3:$C$608,0)))</f>
        <v/>
      </c>
      <c r="F184" s="15"/>
      <c r="G184" s="15"/>
      <c r="H184" s="15"/>
      <c r="I184" s="15"/>
      <c r="J184" s="15"/>
      <c r="K184" s="15"/>
      <c r="L184" s="15"/>
      <c r="M184" s="15"/>
      <c r="N184" s="15"/>
      <c r="O184" s="22" t="str">
        <f aca="false">IFERROR(MOD(SMALL(DayLines!$C$3:$C$608,162),1000),"")</f>
        <v/>
      </c>
    </row>
    <row r="185" customFormat="false" ht="15" hidden="false" customHeight="false" outlineLevel="0" collapsed="false">
      <c r="A185" s="15"/>
      <c r="B185" s="20" t="str">
        <f aca="false">IF($O185="","",IF($O185=0,INDEX(DayLines!$D$3:$D$608,MATCH(SMALL(DayLines!$C$3:$C$608,163),DayLines!$C$3:$C$608,0)),IF($O185=999,"",INDEX(DayLines!$E$3:$E$608,MATCH(SMALL(DayLines!$C$3:$C$608,163),DayLines!$C$3:$C$608,0)))))</f>
        <v/>
      </c>
      <c r="C185" s="16" t="str">
        <f aca="false">IF($O185="","",IF($O185=0,INDEX(DayLines!$E$3:$E$608,MATCH(SMALL(DayLines!$C$3:$C$608,163),DayLines!$C$3:$C$608,0)),IF($O185=999,"",INDEX(DayLines!$D$3:$D$608,MATCH(SMALL(DayLines!$C$3:$C$608,163),DayLines!$C$3:$C$608,0)))))</f>
        <v/>
      </c>
      <c r="D185" s="15" t="str">
        <f aca="false">IF(OR($O185="",$O185=0,$O185=999),"",INDEX(DayLines!$F$3:$F$608,MATCH(SMALL(DayLines!$C$3:$C$608,163),DayLines!$C$3:$C$608,0)))</f>
        <v/>
      </c>
      <c r="E185" s="21" t="str">
        <f aca="false">IF(OR($O185="",$O185=0,$O185=999),"",INDEX(DayLines!$G$3:$G$608,MATCH(SMALL(DayLines!$C$3:$C$608,163),DayLines!$C$3:$C$608,0)))</f>
        <v/>
      </c>
      <c r="F185" s="15"/>
      <c r="G185" s="15"/>
      <c r="H185" s="15"/>
      <c r="I185" s="15"/>
      <c r="J185" s="15"/>
      <c r="K185" s="15"/>
      <c r="L185" s="15"/>
      <c r="M185" s="15"/>
      <c r="N185" s="15"/>
      <c r="O185" s="22" t="str">
        <f aca="false">IFERROR(MOD(SMALL(DayLines!$C$3:$C$608,163),1000),"")</f>
        <v/>
      </c>
    </row>
    <row r="186" customFormat="false" ht="15" hidden="false" customHeight="false" outlineLevel="0" collapsed="false">
      <c r="A186" s="15"/>
      <c r="B186" s="20" t="str">
        <f aca="false">IF($O186="","",IF($O186=0,INDEX(DayLines!$D$3:$D$608,MATCH(SMALL(DayLines!$C$3:$C$608,164),DayLines!$C$3:$C$608,0)),IF($O186=999,"",INDEX(DayLines!$E$3:$E$608,MATCH(SMALL(DayLines!$C$3:$C$608,164),DayLines!$C$3:$C$608,0)))))</f>
        <v/>
      </c>
      <c r="C186" s="16" t="str">
        <f aca="false">IF($O186="","",IF($O186=0,INDEX(DayLines!$E$3:$E$608,MATCH(SMALL(DayLines!$C$3:$C$608,164),DayLines!$C$3:$C$608,0)),IF($O186=999,"",INDEX(DayLines!$D$3:$D$608,MATCH(SMALL(DayLines!$C$3:$C$608,164),DayLines!$C$3:$C$608,0)))))</f>
        <v/>
      </c>
      <c r="D186" s="15" t="str">
        <f aca="false">IF(OR($O186="",$O186=0,$O186=999),"",INDEX(DayLines!$F$3:$F$608,MATCH(SMALL(DayLines!$C$3:$C$608,164),DayLines!$C$3:$C$608,0)))</f>
        <v/>
      </c>
      <c r="E186" s="21" t="str">
        <f aca="false">IF(OR($O186="",$O186=0,$O186=999),"",INDEX(DayLines!$G$3:$G$608,MATCH(SMALL(DayLines!$C$3:$C$608,164),DayLines!$C$3:$C$608,0)))</f>
        <v/>
      </c>
      <c r="F186" s="15"/>
      <c r="G186" s="15"/>
      <c r="H186" s="15"/>
      <c r="I186" s="15"/>
      <c r="J186" s="15"/>
      <c r="K186" s="15"/>
      <c r="L186" s="15"/>
      <c r="M186" s="15"/>
      <c r="N186" s="15"/>
      <c r="O186" s="22" t="str">
        <f aca="false">IFERROR(MOD(SMALL(DayLines!$C$3:$C$608,164),1000),"")</f>
        <v/>
      </c>
    </row>
    <row r="187" customFormat="false" ht="15" hidden="false" customHeight="false" outlineLevel="0" collapsed="false">
      <c r="A187" s="15"/>
      <c r="B187" s="20" t="str">
        <f aca="false">IF($O187="","",IF($O187=0,INDEX(DayLines!$D$3:$D$608,MATCH(SMALL(DayLines!$C$3:$C$608,165),DayLines!$C$3:$C$608,0)),IF($O187=999,"",INDEX(DayLines!$E$3:$E$608,MATCH(SMALL(DayLines!$C$3:$C$608,165),DayLines!$C$3:$C$608,0)))))</f>
        <v/>
      </c>
      <c r="C187" s="16" t="str">
        <f aca="false">IF($O187="","",IF($O187=0,INDEX(DayLines!$E$3:$E$608,MATCH(SMALL(DayLines!$C$3:$C$608,165),DayLines!$C$3:$C$608,0)),IF($O187=999,"",INDEX(DayLines!$D$3:$D$608,MATCH(SMALL(DayLines!$C$3:$C$608,165),DayLines!$C$3:$C$608,0)))))</f>
        <v/>
      </c>
      <c r="D187" s="15" t="str">
        <f aca="false">IF(OR($O187="",$O187=0,$O187=999),"",INDEX(DayLines!$F$3:$F$608,MATCH(SMALL(DayLines!$C$3:$C$608,165),DayLines!$C$3:$C$608,0)))</f>
        <v/>
      </c>
      <c r="E187" s="21" t="str">
        <f aca="false">IF(OR($O187="",$O187=0,$O187=999),"",INDEX(DayLines!$G$3:$G$608,MATCH(SMALL(DayLines!$C$3:$C$608,165),DayLines!$C$3:$C$608,0)))</f>
        <v/>
      </c>
      <c r="F187" s="15"/>
      <c r="G187" s="15"/>
      <c r="H187" s="15"/>
      <c r="I187" s="15"/>
      <c r="J187" s="15"/>
      <c r="K187" s="15"/>
      <c r="L187" s="15"/>
      <c r="M187" s="15"/>
      <c r="N187" s="15"/>
      <c r="O187" s="22" t="str">
        <f aca="false">IFERROR(MOD(SMALL(DayLines!$C$3:$C$608,165),1000),"")</f>
        <v/>
      </c>
    </row>
    <row r="188" customFormat="false" ht="15" hidden="false" customHeight="false" outlineLevel="0" collapsed="false">
      <c r="A188" s="15"/>
      <c r="B188" s="20" t="str">
        <f aca="false">IF($O188="","",IF($O188=0,INDEX(DayLines!$D$3:$D$608,MATCH(SMALL(DayLines!$C$3:$C$608,166),DayLines!$C$3:$C$608,0)),IF($O188=999,"",INDEX(DayLines!$E$3:$E$608,MATCH(SMALL(DayLines!$C$3:$C$608,166),DayLines!$C$3:$C$608,0)))))</f>
        <v/>
      </c>
      <c r="C188" s="16" t="str">
        <f aca="false">IF($O188="","",IF($O188=0,INDEX(DayLines!$E$3:$E$608,MATCH(SMALL(DayLines!$C$3:$C$608,166),DayLines!$C$3:$C$608,0)),IF($O188=999,"",INDEX(DayLines!$D$3:$D$608,MATCH(SMALL(DayLines!$C$3:$C$608,166),DayLines!$C$3:$C$608,0)))))</f>
        <v/>
      </c>
      <c r="D188" s="15" t="str">
        <f aca="false">IF(OR($O188="",$O188=0,$O188=999),"",INDEX(DayLines!$F$3:$F$608,MATCH(SMALL(DayLines!$C$3:$C$608,166),DayLines!$C$3:$C$608,0)))</f>
        <v/>
      </c>
      <c r="E188" s="21" t="str">
        <f aca="false">IF(OR($O188="",$O188=0,$O188=999),"",INDEX(DayLines!$G$3:$G$608,MATCH(SMALL(DayLines!$C$3:$C$608,166),DayLines!$C$3:$C$608,0)))</f>
        <v/>
      </c>
      <c r="F188" s="15"/>
      <c r="G188" s="15"/>
      <c r="H188" s="15"/>
      <c r="I188" s="15"/>
      <c r="J188" s="15"/>
      <c r="K188" s="15"/>
      <c r="L188" s="15"/>
      <c r="M188" s="15"/>
      <c r="N188" s="15"/>
      <c r="O188" s="22" t="str">
        <f aca="false">IFERROR(MOD(SMALL(DayLines!$C$3:$C$608,166),1000),"")</f>
        <v/>
      </c>
    </row>
    <row r="189" customFormat="false" ht="15" hidden="false" customHeight="false" outlineLevel="0" collapsed="false">
      <c r="A189" s="15"/>
      <c r="B189" s="20" t="str">
        <f aca="false">IF($O189="","",IF($O189=0,INDEX(DayLines!$D$3:$D$608,MATCH(SMALL(DayLines!$C$3:$C$608,167),DayLines!$C$3:$C$608,0)),IF($O189=999,"",INDEX(DayLines!$E$3:$E$608,MATCH(SMALL(DayLines!$C$3:$C$608,167),DayLines!$C$3:$C$608,0)))))</f>
        <v/>
      </c>
      <c r="C189" s="16" t="str">
        <f aca="false">IF($O189="","",IF($O189=0,INDEX(DayLines!$E$3:$E$608,MATCH(SMALL(DayLines!$C$3:$C$608,167),DayLines!$C$3:$C$608,0)),IF($O189=999,"",INDEX(DayLines!$D$3:$D$608,MATCH(SMALL(DayLines!$C$3:$C$608,167),DayLines!$C$3:$C$608,0)))))</f>
        <v/>
      </c>
      <c r="D189" s="15" t="str">
        <f aca="false">IF(OR($O189="",$O189=0,$O189=999),"",INDEX(DayLines!$F$3:$F$608,MATCH(SMALL(DayLines!$C$3:$C$608,167),DayLines!$C$3:$C$608,0)))</f>
        <v/>
      </c>
      <c r="E189" s="21" t="str">
        <f aca="false">IF(OR($O189="",$O189=0,$O189=999),"",INDEX(DayLines!$G$3:$G$608,MATCH(SMALL(DayLines!$C$3:$C$608,167),DayLines!$C$3:$C$608,0)))</f>
        <v/>
      </c>
      <c r="F189" s="15"/>
      <c r="G189" s="15"/>
      <c r="H189" s="15"/>
      <c r="I189" s="15"/>
      <c r="J189" s="15"/>
      <c r="K189" s="15"/>
      <c r="L189" s="15"/>
      <c r="M189" s="15"/>
      <c r="N189" s="15"/>
      <c r="O189" s="22" t="str">
        <f aca="false">IFERROR(MOD(SMALL(DayLines!$C$3:$C$608,167),1000),"")</f>
        <v/>
      </c>
    </row>
    <row r="190" customFormat="false" ht="15" hidden="false" customHeight="false" outlineLevel="0" collapsed="false">
      <c r="A190" s="15"/>
      <c r="B190" s="20" t="str">
        <f aca="false">IF($O190="","",IF($O190=0,INDEX(DayLines!$D$3:$D$608,MATCH(SMALL(DayLines!$C$3:$C$608,168),DayLines!$C$3:$C$608,0)),IF($O190=999,"",INDEX(DayLines!$E$3:$E$608,MATCH(SMALL(DayLines!$C$3:$C$608,168),DayLines!$C$3:$C$608,0)))))</f>
        <v/>
      </c>
      <c r="C190" s="16" t="str">
        <f aca="false">IF($O190="","",IF($O190=0,INDEX(DayLines!$E$3:$E$608,MATCH(SMALL(DayLines!$C$3:$C$608,168),DayLines!$C$3:$C$608,0)),IF($O190=999,"",INDEX(DayLines!$D$3:$D$608,MATCH(SMALL(DayLines!$C$3:$C$608,168),DayLines!$C$3:$C$608,0)))))</f>
        <v/>
      </c>
      <c r="D190" s="15" t="str">
        <f aca="false">IF(OR($O190="",$O190=0,$O190=999),"",INDEX(DayLines!$F$3:$F$608,MATCH(SMALL(DayLines!$C$3:$C$608,168),DayLines!$C$3:$C$608,0)))</f>
        <v/>
      </c>
      <c r="E190" s="21" t="str">
        <f aca="false">IF(OR($O190="",$O190=0,$O190=999),"",INDEX(DayLines!$G$3:$G$608,MATCH(SMALL(DayLines!$C$3:$C$608,168),DayLines!$C$3:$C$608,0)))</f>
        <v/>
      </c>
      <c r="F190" s="15"/>
      <c r="G190" s="15"/>
      <c r="H190" s="15"/>
      <c r="I190" s="15"/>
      <c r="J190" s="15"/>
      <c r="K190" s="15"/>
      <c r="L190" s="15"/>
      <c r="M190" s="15"/>
      <c r="N190" s="15"/>
      <c r="O190" s="22" t="str">
        <f aca="false">IFERROR(MOD(SMALL(DayLines!$C$3:$C$608,168),1000),"")</f>
        <v/>
      </c>
    </row>
    <row r="191" customFormat="false" ht="15" hidden="false" customHeight="false" outlineLevel="0" collapsed="false">
      <c r="A191" s="15"/>
      <c r="B191" s="20" t="str">
        <f aca="false">IF($O191="","",IF($O191=0,INDEX(DayLines!$D$3:$D$608,MATCH(SMALL(DayLines!$C$3:$C$608,169),DayLines!$C$3:$C$608,0)),IF($O191=999,"",INDEX(DayLines!$E$3:$E$608,MATCH(SMALL(DayLines!$C$3:$C$608,169),DayLines!$C$3:$C$608,0)))))</f>
        <v/>
      </c>
      <c r="C191" s="16" t="str">
        <f aca="false">IF($O191="","",IF($O191=0,INDEX(DayLines!$E$3:$E$608,MATCH(SMALL(DayLines!$C$3:$C$608,169),DayLines!$C$3:$C$608,0)),IF($O191=999,"",INDEX(DayLines!$D$3:$D$608,MATCH(SMALL(DayLines!$C$3:$C$608,169),DayLines!$C$3:$C$608,0)))))</f>
        <v/>
      </c>
      <c r="D191" s="15" t="str">
        <f aca="false">IF(OR($O191="",$O191=0,$O191=999),"",INDEX(DayLines!$F$3:$F$608,MATCH(SMALL(DayLines!$C$3:$C$608,169),DayLines!$C$3:$C$608,0)))</f>
        <v/>
      </c>
      <c r="E191" s="21" t="str">
        <f aca="false">IF(OR($O191="",$O191=0,$O191=999),"",INDEX(DayLines!$G$3:$G$608,MATCH(SMALL(DayLines!$C$3:$C$608,169),DayLines!$C$3:$C$608,0)))</f>
        <v/>
      </c>
      <c r="F191" s="15"/>
      <c r="G191" s="15"/>
      <c r="H191" s="15"/>
      <c r="I191" s="15"/>
      <c r="J191" s="15"/>
      <c r="K191" s="15"/>
      <c r="L191" s="15"/>
      <c r="M191" s="15"/>
      <c r="N191" s="15"/>
      <c r="O191" s="22" t="str">
        <f aca="false">IFERROR(MOD(SMALL(DayLines!$C$3:$C$608,169),1000),"")</f>
        <v/>
      </c>
    </row>
    <row r="192" customFormat="false" ht="15" hidden="false" customHeight="false" outlineLevel="0" collapsed="false">
      <c r="A192" s="15"/>
      <c r="B192" s="20" t="str">
        <f aca="false">IF($O192="","",IF($O192=0,INDEX(DayLines!$D$3:$D$608,MATCH(SMALL(DayLines!$C$3:$C$608,170),DayLines!$C$3:$C$608,0)),IF($O192=999,"",INDEX(DayLines!$E$3:$E$608,MATCH(SMALL(DayLines!$C$3:$C$608,170),DayLines!$C$3:$C$608,0)))))</f>
        <v/>
      </c>
      <c r="C192" s="16" t="str">
        <f aca="false">IF($O192="","",IF($O192=0,INDEX(DayLines!$E$3:$E$608,MATCH(SMALL(DayLines!$C$3:$C$608,170),DayLines!$C$3:$C$608,0)),IF($O192=999,"",INDEX(DayLines!$D$3:$D$608,MATCH(SMALL(DayLines!$C$3:$C$608,170),DayLines!$C$3:$C$608,0)))))</f>
        <v/>
      </c>
      <c r="D192" s="15" t="str">
        <f aca="false">IF(OR($O192="",$O192=0,$O192=999),"",INDEX(DayLines!$F$3:$F$608,MATCH(SMALL(DayLines!$C$3:$C$608,170),DayLines!$C$3:$C$608,0)))</f>
        <v/>
      </c>
      <c r="E192" s="21" t="str">
        <f aca="false">IF(OR($O192="",$O192=0,$O192=999),"",INDEX(DayLines!$G$3:$G$608,MATCH(SMALL(DayLines!$C$3:$C$608,170),DayLines!$C$3:$C$608,0)))</f>
        <v/>
      </c>
      <c r="F192" s="15"/>
      <c r="G192" s="15"/>
      <c r="H192" s="15"/>
      <c r="I192" s="15"/>
      <c r="J192" s="15"/>
      <c r="K192" s="15"/>
      <c r="L192" s="15"/>
      <c r="M192" s="15"/>
      <c r="N192" s="15"/>
      <c r="O192" s="22" t="str">
        <f aca="false">IFERROR(MOD(SMALL(DayLines!$C$3:$C$608,170),1000),"")</f>
        <v/>
      </c>
    </row>
    <row r="193" customFormat="false" ht="15" hidden="false" customHeight="false" outlineLevel="0" collapsed="false">
      <c r="A193" s="15"/>
      <c r="B193" s="20" t="str">
        <f aca="false">IF($O193="","",IF($O193=0,INDEX(DayLines!$D$3:$D$608,MATCH(SMALL(DayLines!$C$3:$C$608,171),DayLines!$C$3:$C$608,0)),IF($O193=999,"",INDEX(DayLines!$E$3:$E$608,MATCH(SMALL(DayLines!$C$3:$C$608,171),DayLines!$C$3:$C$608,0)))))</f>
        <v/>
      </c>
      <c r="C193" s="16" t="str">
        <f aca="false">IF($O193="","",IF($O193=0,INDEX(DayLines!$E$3:$E$608,MATCH(SMALL(DayLines!$C$3:$C$608,171),DayLines!$C$3:$C$608,0)),IF($O193=999,"",INDEX(DayLines!$D$3:$D$608,MATCH(SMALL(DayLines!$C$3:$C$608,171),DayLines!$C$3:$C$608,0)))))</f>
        <v/>
      </c>
      <c r="D193" s="15" t="str">
        <f aca="false">IF(OR($O193="",$O193=0,$O193=999),"",INDEX(DayLines!$F$3:$F$608,MATCH(SMALL(DayLines!$C$3:$C$608,171),DayLines!$C$3:$C$608,0)))</f>
        <v/>
      </c>
      <c r="E193" s="21" t="str">
        <f aca="false">IF(OR($O193="",$O193=0,$O193=999),"",INDEX(DayLines!$G$3:$G$608,MATCH(SMALL(DayLines!$C$3:$C$608,171),DayLines!$C$3:$C$608,0)))</f>
        <v/>
      </c>
      <c r="F193" s="15"/>
      <c r="G193" s="15"/>
      <c r="H193" s="15"/>
      <c r="I193" s="15"/>
      <c r="J193" s="15"/>
      <c r="K193" s="15"/>
      <c r="L193" s="15"/>
      <c r="M193" s="15"/>
      <c r="N193" s="15"/>
      <c r="O193" s="22" t="str">
        <f aca="false">IFERROR(MOD(SMALL(DayLines!$C$3:$C$608,171),1000),"")</f>
        <v/>
      </c>
    </row>
    <row r="194" customFormat="false" ht="15" hidden="false" customHeight="false" outlineLevel="0" collapsed="false">
      <c r="A194" s="15"/>
      <c r="B194" s="20" t="str">
        <f aca="false">IF($O194="","",IF($O194=0,INDEX(DayLines!$D$3:$D$608,MATCH(SMALL(DayLines!$C$3:$C$608,172),DayLines!$C$3:$C$608,0)),IF($O194=999,"",INDEX(DayLines!$E$3:$E$608,MATCH(SMALL(DayLines!$C$3:$C$608,172),DayLines!$C$3:$C$608,0)))))</f>
        <v/>
      </c>
      <c r="C194" s="16" t="str">
        <f aca="false">IF($O194="","",IF($O194=0,INDEX(DayLines!$E$3:$E$608,MATCH(SMALL(DayLines!$C$3:$C$608,172),DayLines!$C$3:$C$608,0)),IF($O194=999,"",INDEX(DayLines!$D$3:$D$608,MATCH(SMALL(DayLines!$C$3:$C$608,172),DayLines!$C$3:$C$608,0)))))</f>
        <v/>
      </c>
      <c r="D194" s="15" t="str">
        <f aca="false">IF(OR($O194="",$O194=0,$O194=999),"",INDEX(DayLines!$F$3:$F$608,MATCH(SMALL(DayLines!$C$3:$C$608,172),DayLines!$C$3:$C$608,0)))</f>
        <v/>
      </c>
      <c r="E194" s="21" t="str">
        <f aca="false">IF(OR($O194="",$O194=0,$O194=999),"",INDEX(DayLines!$G$3:$G$608,MATCH(SMALL(DayLines!$C$3:$C$608,172),DayLines!$C$3:$C$608,0)))</f>
        <v/>
      </c>
      <c r="F194" s="15"/>
      <c r="G194" s="15"/>
      <c r="H194" s="15"/>
      <c r="I194" s="15"/>
      <c r="J194" s="15"/>
      <c r="K194" s="15"/>
      <c r="L194" s="15"/>
      <c r="M194" s="15"/>
      <c r="N194" s="15"/>
      <c r="O194" s="22" t="str">
        <f aca="false">IFERROR(MOD(SMALL(DayLines!$C$3:$C$608,172),1000),"")</f>
        <v/>
      </c>
    </row>
    <row r="195" customFormat="false" ht="15" hidden="false" customHeight="false" outlineLevel="0" collapsed="false">
      <c r="A195" s="15"/>
      <c r="B195" s="20" t="str">
        <f aca="false">IF($O195="","",IF($O195=0,INDEX(DayLines!$D$3:$D$608,MATCH(SMALL(DayLines!$C$3:$C$608,173),DayLines!$C$3:$C$608,0)),IF($O195=999,"",INDEX(DayLines!$E$3:$E$608,MATCH(SMALL(DayLines!$C$3:$C$608,173),DayLines!$C$3:$C$608,0)))))</f>
        <v/>
      </c>
      <c r="C195" s="16" t="str">
        <f aca="false">IF($O195="","",IF($O195=0,INDEX(DayLines!$E$3:$E$608,MATCH(SMALL(DayLines!$C$3:$C$608,173),DayLines!$C$3:$C$608,0)),IF($O195=999,"",INDEX(DayLines!$D$3:$D$608,MATCH(SMALL(DayLines!$C$3:$C$608,173),DayLines!$C$3:$C$608,0)))))</f>
        <v/>
      </c>
      <c r="D195" s="15" t="str">
        <f aca="false">IF(OR($O195="",$O195=0,$O195=999),"",INDEX(DayLines!$F$3:$F$608,MATCH(SMALL(DayLines!$C$3:$C$608,173),DayLines!$C$3:$C$608,0)))</f>
        <v/>
      </c>
      <c r="E195" s="21" t="str">
        <f aca="false">IF(OR($O195="",$O195=0,$O195=999),"",INDEX(DayLines!$G$3:$G$608,MATCH(SMALL(DayLines!$C$3:$C$608,173),DayLines!$C$3:$C$608,0)))</f>
        <v/>
      </c>
      <c r="F195" s="15"/>
      <c r="G195" s="15"/>
      <c r="H195" s="15"/>
      <c r="I195" s="15"/>
      <c r="J195" s="15"/>
      <c r="K195" s="15"/>
      <c r="L195" s="15"/>
      <c r="M195" s="15"/>
      <c r="N195" s="15"/>
      <c r="O195" s="22" t="str">
        <f aca="false">IFERROR(MOD(SMALL(DayLines!$C$3:$C$608,173),1000),"")</f>
        <v/>
      </c>
    </row>
    <row r="196" customFormat="false" ht="15" hidden="false" customHeight="false" outlineLevel="0" collapsed="false">
      <c r="A196" s="15"/>
      <c r="B196" s="20" t="str">
        <f aca="false">IF($O196="","",IF($O196=0,INDEX(DayLines!$D$3:$D$608,MATCH(SMALL(DayLines!$C$3:$C$608,174),DayLines!$C$3:$C$608,0)),IF($O196=999,"",INDEX(DayLines!$E$3:$E$608,MATCH(SMALL(DayLines!$C$3:$C$608,174),DayLines!$C$3:$C$608,0)))))</f>
        <v/>
      </c>
      <c r="C196" s="16" t="str">
        <f aca="false">IF($O196="","",IF($O196=0,INDEX(DayLines!$E$3:$E$608,MATCH(SMALL(DayLines!$C$3:$C$608,174),DayLines!$C$3:$C$608,0)),IF($O196=999,"",INDEX(DayLines!$D$3:$D$608,MATCH(SMALL(DayLines!$C$3:$C$608,174),DayLines!$C$3:$C$608,0)))))</f>
        <v/>
      </c>
      <c r="D196" s="15" t="str">
        <f aca="false">IF(OR($O196="",$O196=0,$O196=999),"",INDEX(DayLines!$F$3:$F$608,MATCH(SMALL(DayLines!$C$3:$C$608,174),DayLines!$C$3:$C$608,0)))</f>
        <v/>
      </c>
      <c r="E196" s="21" t="str">
        <f aca="false">IF(OR($O196="",$O196=0,$O196=999),"",INDEX(DayLines!$G$3:$G$608,MATCH(SMALL(DayLines!$C$3:$C$608,174),DayLines!$C$3:$C$608,0)))</f>
        <v/>
      </c>
      <c r="F196" s="15"/>
      <c r="G196" s="15"/>
      <c r="H196" s="15"/>
      <c r="I196" s="15"/>
      <c r="J196" s="15"/>
      <c r="K196" s="15"/>
      <c r="L196" s="15"/>
      <c r="M196" s="15"/>
      <c r="N196" s="15"/>
      <c r="O196" s="22" t="str">
        <f aca="false">IFERROR(MOD(SMALL(DayLines!$C$3:$C$608,174),1000),"")</f>
        <v/>
      </c>
    </row>
    <row r="197" customFormat="false" ht="15" hidden="false" customHeight="false" outlineLevel="0" collapsed="false">
      <c r="A197" s="15"/>
      <c r="B197" s="20" t="str">
        <f aca="false">IF($O197="","",IF($O197=0,INDEX(DayLines!$D$3:$D$608,MATCH(SMALL(DayLines!$C$3:$C$608,175),DayLines!$C$3:$C$608,0)),IF($O197=999,"",INDEX(DayLines!$E$3:$E$608,MATCH(SMALL(DayLines!$C$3:$C$608,175),DayLines!$C$3:$C$608,0)))))</f>
        <v/>
      </c>
      <c r="C197" s="16" t="str">
        <f aca="false">IF($O197="","",IF($O197=0,INDEX(DayLines!$E$3:$E$608,MATCH(SMALL(DayLines!$C$3:$C$608,175),DayLines!$C$3:$C$608,0)),IF($O197=999,"",INDEX(DayLines!$D$3:$D$608,MATCH(SMALL(DayLines!$C$3:$C$608,175),DayLines!$C$3:$C$608,0)))))</f>
        <v/>
      </c>
      <c r="D197" s="15" t="str">
        <f aca="false">IF(OR($O197="",$O197=0,$O197=999),"",INDEX(DayLines!$F$3:$F$608,MATCH(SMALL(DayLines!$C$3:$C$608,175),DayLines!$C$3:$C$608,0)))</f>
        <v/>
      </c>
      <c r="E197" s="21" t="str">
        <f aca="false">IF(OR($O197="",$O197=0,$O197=999),"",INDEX(DayLines!$G$3:$G$608,MATCH(SMALL(DayLines!$C$3:$C$608,175),DayLines!$C$3:$C$608,0)))</f>
        <v/>
      </c>
      <c r="F197" s="15"/>
      <c r="G197" s="15"/>
      <c r="H197" s="15"/>
      <c r="I197" s="15"/>
      <c r="J197" s="15"/>
      <c r="K197" s="15"/>
      <c r="L197" s="15"/>
      <c r="M197" s="15"/>
      <c r="N197" s="15"/>
      <c r="O197" s="22" t="str">
        <f aca="false">IFERROR(MOD(SMALL(DayLines!$C$3:$C$608,175),1000),"")</f>
        <v/>
      </c>
    </row>
    <row r="198" customFormat="false" ht="15" hidden="false" customHeight="false" outlineLevel="0" collapsed="false">
      <c r="A198" s="15"/>
      <c r="B198" s="20" t="str">
        <f aca="false">IF($O198="","",IF($O198=0,INDEX(DayLines!$D$3:$D$608,MATCH(SMALL(DayLines!$C$3:$C$608,176),DayLines!$C$3:$C$608,0)),IF($O198=999,"",INDEX(DayLines!$E$3:$E$608,MATCH(SMALL(DayLines!$C$3:$C$608,176),DayLines!$C$3:$C$608,0)))))</f>
        <v/>
      </c>
      <c r="C198" s="16" t="str">
        <f aca="false">IF($O198="","",IF($O198=0,INDEX(DayLines!$E$3:$E$608,MATCH(SMALL(DayLines!$C$3:$C$608,176),DayLines!$C$3:$C$608,0)),IF($O198=999,"",INDEX(DayLines!$D$3:$D$608,MATCH(SMALL(DayLines!$C$3:$C$608,176),DayLines!$C$3:$C$608,0)))))</f>
        <v/>
      </c>
      <c r="D198" s="15" t="str">
        <f aca="false">IF(OR($O198="",$O198=0,$O198=999),"",INDEX(DayLines!$F$3:$F$608,MATCH(SMALL(DayLines!$C$3:$C$608,176),DayLines!$C$3:$C$608,0)))</f>
        <v/>
      </c>
      <c r="E198" s="21" t="str">
        <f aca="false">IF(OR($O198="",$O198=0,$O198=999),"",INDEX(DayLines!$G$3:$G$608,MATCH(SMALL(DayLines!$C$3:$C$608,176),DayLines!$C$3:$C$608,0)))</f>
        <v/>
      </c>
      <c r="F198" s="15"/>
      <c r="G198" s="15"/>
      <c r="H198" s="15"/>
      <c r="I198" s="15"/>
      <c r="J198" s="15"/>
      <c r="K198" s="15"/>
      <c r="L198" s="15"/>
      <c r="M198" s="15"/>
      <c r="N198" s="15"/>
      <c r="O198" s="22" t="str">
        <f aca="false">IFERROR(MOD(SMALL(DayLines!$C$3:$C$608,176),1000),"")</f>
        <v/>
      </c>
    </row>
    <row r="199" customFormat="false" ht="15" hidden="false" customHeight="false" outlineLevel="0" collapsed="false">
      <c r="A199" s="15"/>
      <c r="B199" s="20" t="str">
        <f aca="false">IF($O199="","",IF($O199=0,INDEX(DayLines!$D$3:$D$608,MATCH(SMALL(DayLines!$C$3:$C$608,177),DayLines!$C$3:$C$608,0)),IF($O199=999,"",INDEX(DayLines!$E$3:$E$608,MATCH(SMALL(DayLines!$C$3:$C$608,177),DayLines!$C$3:$C$608,0)))))</f>
        <v/>
      </c>
      <c r="C199" s="16" t="str">
        <f aca="false">IF($O199="","",IF($O199=0,INDEX(DayLines!$E$3:$E$608,MATCH(SMALL(DayLines!$C$3:$C$608,177),DayLines!$C$3:$C$608,0)),IF($O199=999,"",INDEX(DayLines!$D$3:$D$608,MATCH(SMALL(DayLines!$C$3:$C$608,177),DayLines!$C$3:$C$608,0)))))</f>
        <v/>
      </c>
      <c r="D199" s="15" t="str">
        <f aca="false">IF(OR($O199="",$O199=0,$O199=999),"",INDEX(DayLines!$F$3:$F$608,MATCH(SMALL(DayLines!$C$3:$C$608,177),DayLines!$C$3:$C$608,0)))</f>
        <v/>
      </c>
      <c r="E199" s="21" t="str">
        <f aca="false">IF(OR($O199="",$O199=0,$O199=999),"",INDEX(DayLines!$G$3:$G$608,MATCH(SMALL(DayLines!$C$3:$C$608,177),DayLines!$C$3:$C$608,0)))</f>
        <v/>
      </c>
      <c r="F199" s="15"/>
      <c r="G199" s="15"/>
      <c r="H199" s="15"/>
      <c r="I199" s="15"/>
      <c r="J199" s="15"/>
      <c r="K199" s="15"/>
      <c r="L199" s="15"/>
      <c r="M199" s="15"/>
      <c r="N199" s="15"/>
      <c r="O199" s="22" t="str">
        <f aca="false">IFERROR(MOD(SMALL(DayLines!$C$3:$C$608,177),1000),"")</f>
        <v/>
      </c>
    </row>
    <row r="200" customFormat="false" ht="15" hidden="false" customHeight="false" outlineLevel="0" collapsed="false">
      <c r="A200" s="15"/>
      <c r="B200" s="20" t="str">
        <f aca="false">IF($O200="","",IF($O200=0,INDEX(DayLines!$D$3:$D$608,MATCH(SMALL(DayLines!$C$3:$C$608,178),DayLines!$C$3:$C$608,0)),IF($O200=999,"",INDEX(DayLines!$E$3:$E$608,MATCH(SMALL(DayLines!$C$3:$C$608,178),DayLines!$C$3:$C$608,0)))))</f>
        <v/>
      </c>
      <c r="C200" s="16" t="str">
        <f aca="false">IF($O200="","",IF($O200=0,INDEX(DayLines!$E$3:$E$608,MATCH(SMALL(DayLines!$C$3:$C$608,178),DayLines!$C$3:$C$608,0)),IF($O200=999,"",INDEX(DayLines!$D$3:$D$608,MATCH(SMALL(DayLines!$C$3:$C$608,178),DayLines!$C$3:$C$608,0)))))</f>
        <v/>
      </c>
      <c r="D200" s="15" t="str">
        <f aca="false">IF(OR($O200="",$O200=0,$O200=999),"",INDEX(DayLines!$F$3:$F$608,MATCH(SMALL(DayLines!$C$3:$C$608,178),DayLines!$C$3:$C$608,0)))</f>
        <v/>
      </c>
      <c r="E200" s="21" t="str">
        <f aca="false">IF(OR($O200="",$O200=0,$O200=999),"",INDEX(DayLines!$G$3:$G$608,MATCH(SMALL(DayLines!$C$3:$C$608,178),DayLines!$C$3:$C$608,0)))</f>
        <v/>
      </c>
      <c r="F200" s="15"/>
      <c r="G200" s="15"/>
      <c r="H200" s="15"/>
      <c r="I200" s="15"/>
      <c r="J200" s="15"/>
      <c r="K200" s="15"/>
      <c r="L200" s="15"/>
      <c r="M200" s="15"/>
      <c r="N200" s="15"/>
      <c r="O200" s="22" t="str">
        <f aca="false">IFERROR(MOD(SMALL(DayLines!$C$3:$C$608,178),1000),"")</f>
        <v/>
      </c>
    </row>
    <row r="201" customFormat="false" ht="15" hidden="false" customHeight="false" outlineLevel="0" collapsed="false">
      <c r="A201" s="15"/>
      <c r="B201" s="20" t="str">
        <f aca="false">IF($O201="","",IF($O201=0,INDEX(DayLines!$D$3:$D$608,MATCH(SMALL(DayLines!$C$3:$C$608,179),DayLines!$C$3:$C$608,0)),IF($O201=999,"",INDEX(DayLines!$E$3:$E$608,MATCH(SMALL(DayLines!$C$3:$C$608,179),DayLines!$C$3:$C$608,0)))))</f>
        <v/>
      </c>
      <c r="C201" s="16" t="str">
        <f aca="false">IF($O201="","",IF($O201=0,INDEX(DayLines!$E$3:$E$608,MATCH(SMALL(DayLines!$C$3:$C$608,179),DayLines!$C$3:$C$608,0)),IF($O201=999,"",INDEX(DayLines!$D$3:$D$608,MATCH(SMALL(DayLines!$C$3:$C$608,179),DayLines!$C$3:$C$608,0)))))</f>
        <v/>
      </c>
      <c r="D201" s="15" t="str">
        <f aca="false">IF(OR($O201="",$O201=0,$O201=999),"",INDEX(DayLines!$F$3:$F$608,MATCH(SMALL(DayLines!$C$3:$C$608,179),DayLines!$C$3:$C$608,0)))</f>
        <v/>
      </c>
      <c r="E201" s="21" t="str">
        <f aca="false">IF(OR($O201="",$O201=0,$O201=999),"",INDEX(DayLines!$G$3:$G$608,MATCH(SMALL(DayLines!$C$3:$C$608,179),DayLines!$C$3:$C$608,0)))</f>
        <v/>
      </c>
      <c r="F201" s="15"/>
      <c r="G201" s="15"/>
      <c r="H201" s="15"/>
      <c r="I201" s="15"/>
      <c r="J201" s="15"/>
      <c r="K201" s="15"/>
      <c r="L201" s="15"/>
      <c r="M201" s="15"/>
      <c r="N201" s="15"/>
      <c r="O201" s="22" t="str">
        <f aca="false">IFERROR(MOD(SMALL(DayLines!$C$3:$C$608,179),1000),"")</f>
        <v/>
      </c>
    </row>
    <row r="202" customFormat="false" ht="15" hidden="false" customHeight="false" outlineLevel="0" collapsed="false">
      <c r="A202" s="15"/>
      <c r="B202" s="20" t="str">
        <f aca="false">IF($O202="","",IF($O202=0,INDEX(DayLines!$D$3:$D$608,MATCH(SMALL(DayLines!$C$3:$C$608,180),DayLines!$C$3:$C$608,0)),IF($O202=999,"",INDEX(DayLines!$E$3:$E$608,MATCH(SMALL(DayLines!$C$3:$C$608,180),DayLines!$C$3:$C$608,0)))))</f>
        <v/>
      </c>
      <c r="C202" s="16" t="str">
        <f aca="false">IF($O202="","",IF($O202=0,INDEX(DayLines!$E$3:$E$608,MATCH(SMALL(DayLines!$C$3:$C$608,180),DayLines!$C$3:$C$608,0)),IF($O202=999,"",INDEX(DayLines!$D$3:$D$608,MATCH(SMALL(DayLines!$C$3:$C$608,180),DayLines!$C$3:$C$608,0)))))</f>
        <v/>
      </c>
      <c r="D202" s="15" t="str">
        <f aca="false">IF(OR($O202="",$O202=0,$O202=999),"",INDEX(DayLines!$F$3:$F$608,MATCH(SMALL(DayLines!$C$3:$C$608,180),DayLines!$C$3:$C$608,0)))</f>
        <v/>
      </c>
      <c r="E202" s="21" t="str">
        <f aca="false">IF(OR($O202="",$O202=0,$O202=999),"",INDEX(DayLines!$G$3:$G$608,MATCH(SMALL(DayLines!$C$3:$C$608,180),DayLines!$C$3:$C$608,0)))</f>
        <v/>
      </c>
      <c r="F202" s="15"/>
      <c r="G202" s="15"/>
      <c r="H202" s="15"/>
      <c r="I202" s="15"/>
      <c r="J202" s="15"/>
      <c r="K202" s="15"/>
      <c r="L202" s="15"/>
      <c r="M202" s="15"/>
      <c r="N202" s="15"/>
      <c r="O202" s="22" t="str">
        <f aca="false">IFERROR(MOD(SMALL(DayLines!$C$3:$C$608,180),1000),"")</f>
        <v/>
      </c>
    </row>
    <row r="203" customFormat="false" ht="15" hidden="false" customHeight="false" outlineLevel="0" collapsed="false">
      <c r="A203" s="15"/>
      <c r="B203" s="20" t="str">
        <f aca="false">IF($O203="","",IF($O203=0,INDEX(DayLines!$D$3:$D$608,MATCH(SMALL(DayLines!$C$3:$C$608,181),DayLines!$C$3:$C$608,0)),IF($O203=999,"",INDEX(DayLines!$E$3:$E$608,MATCH(SMALL(DayLines!$C$3:$C$608,181),DayLines!$C$3:$C$608,0)))))</f>
        <v/>
      </c>
      <c r="C203" s="16" t="str">
        <f aca="false">IF($O203="","",IF($O203=0,INDEX(DayLines!$E$3:$E$608,MATCH(SMALL(DayLines!$C$3:$C$608,181),DayLines!$C$3:$C$608,0)),IF($O203=999,"",INDEX(DayLines!$D$3:$D$608,MATCH(SMALL(DayLines!$C$3:$C$608,181),DayLines!$C$3:$C$608,0)))))</f>
        <v/>
      </c>
      <c r="D203" s="15" t="str">
        <f aca="false">IF(OR($O203="",$O203=0,$O203=999),"",INDEX(DayLines!$F$3:$F$608,MATCH(SMALL(DayLines!$C$3:$C$608,181),DayLines!$C$3:$C$608,0)))</f>
        <v/>
      </c>
      <c r="E203" s="21" t="str">
        <f aca="false">IF(OR($O203="",$O203=0,$O203=999),"",INDEX(DayLines!$G$3:$G$608,MATCH(SMALL(DayLines!$C$3:$C$608,181),DayLines!$C$3:$C$608,0)))</f>
        <v/>
      </c>
      <c r="F203" s="15"/>
      <c r="G203" s="15"/>
      <c r="H203" s="15"/>
      <c r="I203" s="15"/>
      <c r="J203" s="15"/>
      <c r="K203" s="15"/>
      <c r="L203" s="15"/>
      <c r="M203" s="15"/>
      <c r="N203" s="15"/>
      <c r="O203" s="22" t="str">
        <f aca="false">IFERROR(MOD(SMALL(DayLines!$C$3:$C$608,181),1000),"")</f>
        <v/>
      </c>
    </row>
    <row r="204" customFormat="false" ht="15" hidden="false" customHeight="false" outlineLevel="0" collapsed="false">
      <c r="A204" s="15"/>
      <c r="B204" s="20" t="str">
        <f aca="false">IF($O204="","",IF($O204=0,INDEX(DayLines!$D$3:$D$608,MATCH(SMALL(DayLines!$C$3:$C$608,182),DayLines!$C$3:$C$608,0)),IF($O204=999,"",INDEX(DayLines!$E$3:$E$608,MATCH(SMALL(DayLines!$C$3:$C$608,182),DayLines!$C$3:$C$608,0)))))</f>
        <v/>
      </c>
      <c r="C204" s="16" t="str">
        <f aca="false">IF($O204="","",IF($O204=0,INDEX(DayLines!$E$3:$E$608,MATCH(SMALL(DayLines!$C$3:$C$608,182),DayLines!$C$3:$C$608,0)),IF($O204=999,"",INDEX(DayLines!$D$3:$D$608,MATCH(SMALL(DayLines!$C$3:$C$608,182),DayLines!$C$3:$C$608,0)))))</f>
        <v/>
      </c>
      <c r="D204" s="15" t="str">
        <f aca="false">IF(OR($O204="",$O204=0,$O204=999),"",INDEX(DayLines!$F$3:$F$608,MATCH(SMALL(DayLines!$C$3:$C$608,182),DayLines!$C$3:$C$608,0)))</f>
        <v/>
      </c>
      <c r="E204" s="21" t="str">
        <f aca="false">IF(OR($O204="",$O204=0,$O204=999),"",INDEX(DayLines!$G$3:$G$608,MATCH(SMALL(DayLines!$C$3:$C$608,182),DayLines!$C$3:$C$608,0)))</f>
        <v/>
      </c>
      <c r="F204" s="15"/>
      <c r="G204" s="15"/>
      <c r="H204" s="15"/>
      <c r="I204" s="15"/>
      <c r="J204" s="15"/>
      <c r="K204" s="15"/>
      <c r="L204" s="15"/>
      <c r="M204" s="15"/>
      <c r="N204" s="15"/>
      <c r="O204" s="22" t="str">
        <f aca="false">IFERROR(MOD(SMALL(DayLines!$C$3:$C$608,182),1000),"")</f>
        <v/>
      </c>
    </row>
    <row r="205" customFormat="false" ht="15" hidden="false" customHeight="false" outlineLevel="0" collapsed="false">
      <c r="A205" s="15"/>
      <c r="B205" s="20" t="str">
        <f aca="false">IF($O205="","",IF($O205=0,INDEX(DayLines!$D$3:$D$608,MATCH(SMALL(DayLines!$C$3:$C$608,183),DayLines!$C$3:$C$608,0)),IF($O205=999,"",INDEX(DayLines!$E$3:$E$608,MATCH(SMALL(DayLines!$C$3:$C$608,183),DayLines!$C$3:$C$608,0)))))</f>
        <v/>
      </c>
      <c r="C205" s="16" t="str">
        <f aca="false">IF($O205="","",IF($O205=0,INDEX(DayLines!$E$3:$E$608,MATCH(SMALL(DayLines!$C$3:$C$608,183),DayLines!$C$3:$C$608,0)),IF($O205=999,"",INDEX(DayLines!$D$3:$D$608,MATCH(SMALL(DayLines!$C$3:$C$608,183),DayLines!$C$3:$C$608,0)))))</f>
        <v/>
      </c>
      <c r="D205" s="15" t="str">
        <f aca="false">IF(OR($O205="",$O205=0,$O205=999),"",INDEX(DayLines!$F$3:$F$608,MATCH(SMALL(DayLines!$C$3:$C$608,183),DayLines!$C$3:$C$608,0)))</f>
        <v/>
      </c>
      <c r="E205" s="21" t="str">
        <f aca="false">IF(OR($O205="",$O205=0,$O205=999),"",INDEX(DayLines!$G$3:$G$608,MATCH(SMALL(DayLines!$C$3:$C$608,183),DayLines!$C$3:$C$608,0)))</f>
        <v/>
      </c>
      <c r="F205" s="15"/>
      <c r="G205" s="15"/>
      <c r="H205" s="15"/>
      <c r="I205" s="15"/>
      <c r="J205" s="15"/>
      <c r="K205" s="15"/>
      <c r="L205" s="15"/>
      <c r="M205" s="15"/>
      <c r="N205" s="15"/>
      <c r="O205" s="22" t="str">
        <f aca="false">IFERROR(MOD(SMALL(DayLines!$C$3:$C$608,183),1000),"")</f>
        <v/>
      </c>
    </row>
    <row r="206" customFormat="false" ht="15" hidden="false" customHeight="false" outlineLevel="0" collapsed="false">
      <c r="A206" s="15"/>
      <c r="B206" s="20" t="str">
        <f aca="false">IF($O206="","",IF($O206=0,INDEX(DayLines!$D$3:$D$608,MATCH(SMALL(DayLines!$C$3:$C$608,184),DayLines!$C$3:$C$608,0)),IF($O206=999,"",INDEX(DayLines!$E$3:$E$608,MATCH(SMALL(DayLines!$C$3:$C$608,184),DayLines!$C$3:$C$608,0)))))</f>
        <v/>
      </c>
      <c r="C206" s="16" t="str">
        <f aca="false">IF($O206="","",IF($O206=0,INDEX(DayLines!$E$3:$E$608,MATCH(SMALL(DayLines!$C$3:$C$608,184),DayLines!$C$3:$C$608,0)),IF($O206=999,"",INDEX(DayLines!$D$3:$D$608,MATCH(SMALL(DayLines!$C$3:$C$608,184),DayLines!$C$3:$C$608,0)))))</f>
        <v/>
      </c>
      <c r="D206" s="15" t="str">
        <f aca="false">IF(OR($O206="",$O206=0,$O206=999),"",INDEX(DayLines!$F$3:$F$608,MATCH(SMALL(DayLines!$C$3:$C$608,184),DayLines!$C$3:$C$608,0)))</f>
        <v/>
      </c>
      <c r="E206" s="21" t="str">
        <f aca="false">IF(OR($O206="",$O206=0,$O206=999),"",INDEX(DayLines!$G$3:$G$608,MATCH(SMALL(DayLines!$C$3:$C$608,184),DayLines!$C$3:$C$608,0)))</f>
        <v/>
      </c>
      <c r="F206" s="15"/>
      <c r="G206" s="15"/>
      <c r="H206" s="15"/>
      <c r="I206" s="15"/>
      <c r="J206" s="15"/>
      <c r="K206" s="15"/>
      <c r="L206" s="15"/>
      <c r="M206" s="15"/>
      <c r="N206" s="15"/>
      <c r="O206" s="22" t="str">
        <f aca="false">IFERROR(MOD(SMALL(DayLines!$C$3:$C$608,184),1000),"")</f>
        <v/>
      </c>
    </row>
    <row r="207" customFormat="false" ht="15" hidden="false" customHeight="false" outlineLevel="0" collapsed="false">
      <c r="A207" s="15"/>
      <c r="B207" s="20" t="str">
        <f aca="false">IF($O207="","",IF($O207=0,INDEX(DayLines!$D$3:$D$608,MATCH(SMALL(DayLines!$C$3:$C$608,185),DayLines!$C$3:$C$608,0)),IF($O207=999,"",INDEX(DayLines!$E$3:$E$608,MATCH(SMALL(DayLines!$C$3:$C$608,185),DayLines!$C$3:$C$608,0)))))</f>
        <v/>
      </c>
      <c r="C207" s="16" t="str">
        <f aca="false">IF($O207="","",IF($O207=0,INDEX(DayLines!$E$3:$E$608,MATCH(SMALL(DayLines!$C$3:$C$608,185),DayLines!$C$3:$C$608,0)),IF($O207=999,"",INDEX(DayLines!$D$3:$D$608,MATCH(SMALL(DayLines!$C$3:$C$608,185),DayLines!$C$3:$C$608,0)))))</f>
        <v/>
      </c>
      <c r="D207" s="15" t="str">
        <f aca="false">IF(OR($O207="",$O207=0,$O207=999),"",INDEX(DayLines!$F$3:$F$608,MATCH(SMALL(DayLines!$C$3:$C$608,185),DayLines!$C$3:$C$608,0)))</f>
        <v/>
      </c>
      <c r="E207" s="21" t="str">
        <f aca="false">IF(OR($O207="",$O207=0,$O207=999),"",INDEX(DayLines!$G$3:$G$608,MATCH(SMALL(DayLines!$C$3:$C$608,185),DayLines!$C$3:$C$608,0)))</f>
        <v/>
      </c>
      <c r="F207" s="15"/>
      <c r="G207" s="15"/>
      <c r="H207" s="15"/>
      <c r="I207" s="15"/>
      <c r="J207" s="15"/>
      <c r="K207" s="15"/>
      <c r="L207" s="15"/>
      <c r="M207" s="15"/>
      <c r="N207" s="15"/>
      <c r="O207" s="22" t="str">
        <f aca="false">IFERROR(MOD(SMALL(DayLines!$C$3:$C$608,185),1000),"")</f>
        <v/>
      </c>
    </row>
    <row r="208" customFormat="false" ht="15" hidden="false" customHeight="false" outlineLevel="0" collapsed="false">
      <c r="A208" s="15"/>
      <c r="B208" s="20" t="str">
        <f aca="false">IF($O208="","",IF($O208=0,INDEX(DayLines!$D$3:$D$608,MATCH(SMALL(DayLines!$C$3:$C$608,186),DayLines!$C$3:$C$608,0)),IF($O208=999,"",INDEX(DayLines!$E$3:$E$608,MATCH(SMALL(DayLines!$C$3:$C$608,186),DayLines!$C$3:$C$608,0)))))</f>
        <v/>
      </c>
      <c r="C208" s="16" t="str">
        <f aca="false">IF($O208="","",IF($O208=0,INDEX(DayLines!$E$3:$E$608,MATCH(SMALL(DayLines!$C$3:$C$608,186),DayLines!$C$3:$C$608,0)),IF($O208=999,"",INDEX(DayLines!$D$3:$D$608,MATCH(SMALL(DayLines!$C$3:$C$608,186),DayLines!$C$3:$C$608,0)))))</f>
        <v/>
      </c>
      <c r="D208" s="15" t="str">
        <f aca="false">IF(OR($O208="",$O208=0,$O208=999),"",INDEX(DayLines!$F$3:$F$608,MATCH(SMALL(DayLines!$C$3:$C$608,186),DayLines!$C$3:$C$608,0)))</f>
        <v/>
      </c>
      <c r="E208" s="21" t="str">
        <f aca="false">IF(OR($O208="",$O208=0,$O208=999),"",INDEX(DayLines!$G$3:$G$608,MATCH(SMALL(DayLines!$C$3:$C$608,186),DayLines!$C$3:$C$608,0)))</f>
        <v/>
      </c>
      <c r="F208" s="15"/>
      <c r="G208" s="15"/>
      <c r="H208" s="15"/>
      <c r="I208" s="15"/>
      <c r="J208" s="15"/>
      <c r="K208" s="15"/>
      <c r="L208" s="15"/>
      <c r="M208" s="15"/>
      <c r="N208" s="15"/>
      <c r="O208" s="22" t="str">
        <f aca="false">IFERROR(MOD(SMALL(DayLines!$C$3:$C$608,186),1000),"")</f>
        <v/>
      </c>
    </row>
    <row r="209" customFormat="false" ht="15" hidden="false" customHeight="false" outlineLevel="0" collapsed="false">
      <c r="A209" s="15"/>
      <c r="B209" s="20" t="str">
        <f aca="false">IF($O209="","",IF($O209=0,INDEX(DayLines!$D$3:$D$608,MATCH(SMALL(DayLines!$C$3:$C$608,187),DayLines!$C$3:$C$608,0)),IF($O209=999,"",INDEX(DayLines!$E$3:$E$608,MATCH(SMALL(DayLines!$C$3:$C$608,187),DayLines!$C$3:$C$608,0)))))</f>
        <v/>
      </c>
      <c r="C209" s="16" t="str">
        <f aca="false">IF($O209="","",IF($O209=0,INDEX(DayLines!$E$3:$E$608,MATCH(SMALL(DayLines!$C$3:$C$608,187),DayLines!$C$3:$C$608,0)),IF($O209=999,"",INDEX(DayLines!$D$3:$D$608,MATCH(SMALL(DayLines!$C$3:$C$608,187),DayLines!$C$3:$C$608,0)))))</f>
        <v/>
      </c>
      <c r="D209" s="15" t="str">
        <f aca="false">IF(OR($O209="",$O209=0,$O209=999),"",INDEX(DayLines!$F$3:$F$608,MATCH(SMALL(DayLines!$C$3:$C$608,187),DayLines!$C$3:$C$608,0)))</f>
        <v/>
      </c>
      <c r="E209" s="21" t="str">
        <f aca="false">IF(OR($O209="",$O209=0,$O209=999),"",INDEX(DayLines!$G$3:$G$608,MATCH(SMALL(DayLines!$C$3:$C$608,187),DayLines!$C$3:$C$608,0)))</f>
        <v/>
      </c>
      <c r="F209" s="15"/>
      <c r="G209" s="15"/>
      <c r="H209" s="15"/>
      <c r="I209" s="15"/>
      <c r="J209" s="15"/>
      <c r="K209" s="15"/>
      <c r="L209" s="15"/>
      <c r="M209" s="15"/>
      <c r="N209" s="15"/>
      <c r="O209" s="22" t="str">
        <f aca="false">IFERROR(MOD(SMALL(DayLines!$C$3:$C$608,187),1000),"")</f>
        <v/>
      </c>
    </row>
    <row r="210" customFormat="false" ht="15" hidden="false" customHeight="false" outlineLevel="0" collapsed="false">
      <c r="A210" s="15"/>
      <c r="B210" s="20" t="str">
        <f aca="false">IF($O210="","",IF($O210=0,INDEX(DayLines!$D$3:$D$608,MATCH(SMALL(DayLines!$C$3:$C$608,188),DayLines!$C$3:$C$608,0)),IF($O210=999,"",INDEX(DayLines!$E$3:$E$608,MATCH(SMALL(DayLines!$C$3:$C$608,188),DayLines!$C$3:$C$608,0)))))</f>
        <v/>
      </c>
      <c r="C210" s="16" t="str">
        <f aca="false">IF($O210="","",IF($O210=0,INDEX(DayLines!$E$3:$E$608,MATCH(SMALL(DayLines!$C$3:$C$608,188),DayLines!$C$3:$C$608,0)),IF($O210=999,"",INDEX(DayLines!$D$3:$D$608,MATCH(SMALL(DayLines!$C$3:$C$608,188),DayLines!$C$3:$C$608,0)))))</f>
        <v/>
      </c>
      <c r="D210" s="15" t="str">
        <f aca="false">IF(OR($O210="",$O210=0,$O210=999),"",INDEX(DayLines!$F$3:$F$608,MATCH(SMALL(DayLines!$C$3:$C$608,188),DayLines!$C$3:$C$608,0)))</f>
        <v/>
      </c>
      <c r="E210" s="21" t="str">
        <f aca="false">IF(OR($O210="",$O210=0,$O210=999),"",INDEX(DayLines!$G$3:$G$608,MATCH(SMALL(DayLines!$C$3:$C$608,188),DayLines!$C$3:$C$608,0)))</f>
        <v/>
      </c>
      <c r="F210" s="15"/>
      <c r="G210" s="15"/>
      <c r="H210" s="15"/>
      <c r="I210" s="15"/>
      <c r="J210" s="15"/>
      <c r="K210" s="15"/>
      <c r="L210" s="15"/>
      <c r="M210" s="15"/>
      <c r="N210" s="15"/>
      <c r="O210" s="22" t="str">
        <f aca="false">IFERROR(MOD(SMALL(DayLines!$C$3:$C$608,188),1000),"")</f>
        <v/>
      </c>
    </row>
    <row r="211" customFormat="false" ht="15" hidden="false" customHeight="false" outlineLevel="0" collapsed="false">
      <c r="A211" s="15"/>
      <c r="B211" s="20" t="str">
        <f aca="false">IF($O211="","",IF($O211=0,INDEX(DayLines!$D$3:$D$608,MATCH(SMALL(DayLines!$C$3:$C$608,189),DayLines!$C$3:$C$608,0)),IF($O211=999,"",INDEX(DayLines!$E$3:$E$608,MATCH(SMALL(DayLines!$C$3:$C$608,189),DayLines!$C$3:$C$608,0)))))</f>
        <v/>
      </c>
      <c r="C211" s="16" t="str">
        <f aca="false">IF($O211="","",IF($O211=0,INDEX(DayLines!$E$3:$E$608,MATCH(SMALL(DayLines!$C$3:$C$608,189),DayLines!$C$3:$C$608,0)),IF($O211=999,"",INDEX(DayLines!$D$3:$D$608,MATCH(SMALL(DayLines!$C$3:$C$608,189),DayLines!$C$3:$C$608,0)))))</f>
        <v/>
      </c>
      <c r="D211" s="15" t="str">
        <f aca="false">IF(OR($O211="",$O211=0,$O211=999),"",INDEX(DayLines!$F$3:$F$608,MATCH(SMALL(DayLines!$C$3:$C$608,189),DayLines!$C$3:$C$608,0)))</f>
        <v/>
      </c>
      <c r="E211" s="21" t="str">
        <f aca="false">IF(OR($O211="",$O211=0,$O211=999),"",INDEX(DayLines!$G$3:$G$608,MATCH(SMALL(DayLines!$C$3:$C$608,189),DayLines!$C$3:$C$608,0)))</f>
        <v/>
      </c>
      <c r="F211" s="15"/>
      <c r="G211" s="15"/>
      <c r="H211" s="15"/>
      <c r="I211" s="15"/>
      <c r="J211" s="15"/>
      <c r="K211" s="15"/>
      <c r="L211" s="15"/>
      <c r="M211" s="15"/>
      <c r="N211" s="15"/>
      <c r="O211" s="22" t="str">
        <f aca="false">IFERROR(MOD(SMALL(DayLines!$C$3:$C$608,189),1000),"")</f>
        <v/>
      </c>
    </row>
    <row r="212" customFormat="false" ht="15" hidden="false" customHeight="false" outlineLevel="0" collapsed="false">
      <c r="A212" s="15"/>
      <c r="B212" s="20" t="str">
        <f aca="false">IF($O212="","",IF($O212=0,INDEX(DayLines!$D$3:$D$608,MATCH(SMALL(DayLines!$C$3:$C$608,190),DayLines!$C$3:$C$608,0)),IF($O212=999,"",INDEX(DayLines!$E$3:$E$608,MATCH(SMALL(DayLines!$C$3:$C$608,190),DayLines!$C$3:$C$608,0)))))</f>
        <v/>
      </c>
      <c r="C212" s="16" t="str">
        <f aca="false">IF($O212="","",IF($O212=0,INDEX(DayLines!$E$3:$E$608,MATCH(SMALL(DayLines!$C$3:$C$608,190),DayLines!$C$3:$C$608,0)),IF($O212=999,"",INDEX(DayLines!$D$3:$D$608,MATCH(SMALL(DayLines!$C$3:$C$608,190),DayLines!$C$3:$C$608,0)))))</f>
        <v/>
      </c>
      <c r="D212" s="15" t="str">
        <f aca="false">IF(OR($O212="",$O212=0,$O212=999),"",INDEX(DayLines!$F$3:$F$608,MATCH(SMALL(DayLines!$C$3:$C$608,190),DayLines!$C$3:$C$608,0)))</f>
        <v/>
      </c>
      <c r="E212" s="21" t="str">
        <f aca="false">IF(OR($O212="",$O212=0,$O212=999),"",INDEX(DayLines!$G$3:$G$608,MATCH(SMALL(DayLines!$C$3:$C$608,190),DayLines!$C$3:$C$608,0)))</f>
        <v/>
      </c>
      <c r="F212" s="15"/>
      <c r="G212" s="15"/>
      <c r="H212" s="15"/>
      <c r="I212" s="15"/>
      <c r="J212" s="15"/>
      <c r="K212" s="15"/>
      <c r="L212" s="15"/>
      <c r="M212" s="15"/>
      <c r="N212" s="15"/>
      <c r="O212" s="22" t="str">
        <f aca="false">IFERROR(MOD(SMALL(DayLines!$C$3:$C$608,190),1000),"")</f>
        <v/>
      </c>
    </row>
    <row r="213" customFormat="false" ht="15" hidden="false" customHeight="false" outlineLevel="0" collapsed="false">
      <c r="A213" s="15"/>
      <c r="B213" s="20" t="str">
        <f aca="false">IF($O213="","",IF($O213=0,INDEX(DayLines!$D$3:$D$608,MATCH(SMALL(DayLines!$C$3:$C$608,191),DayLines!$C$3:$C$608,0)),IF($O213=999,"",INDEX(DayLines!$E$3:$E$608,MATCH(SMALL(DayLines!$C$3:$C$608,191),DayLines!$C$3:$C$608,0)))))</f>
        <v/>
      </c>
      <c r="C213" s="16" t="str">
        <f aca="false">IF($O213="","",IF($O213=0,INDEX(DayLines!$E$3:$E$608,MATCH(SMALL(DayLines!$C$3:$C$608,191),DayLines!$C$3:$C$608,0)),IF($O213=999,"",INDEX(DayLines!$D$3:$D$608,MATCH(SMALL(DayLines!$C$3:$C$608,191),DayLines!$C$3:$C$608,0)))))</f>
        <v/>
      </c>
      <c r="D213" s="15" t="str">
        <f aca="false">IF(OR($O213="",$O213=0,$O213=999),"",INDEX(DayLines!$F$3:$F$608,MATCH(SMALL(DayLines!$C$3:$C$608,191),DayLines!$C$3:$C$608,0)))</f>
        <v/>
      </c>
      <c r="E213" s="21" t="str">
        <f aca="false">IF(OR($O213="",$O213=0,$O213=999),"",INDEX(DayLines!$G$3:$G$608,MATCH(SMALL(DayLines!$C$3:$C$608,191),DayLines!$C$3:$C$608,0)))</f>
        <v/>
      </c>
      <c r="F213" s="15"/>
      <c r="G213" s="15"/>
      <c r="H213" s="15"/>
      <c r="I213" s="15"/>
      <c r="J213" s="15"/>
      <c r="K213" s="15"/>
      <c r="L213" s="15"/>
      <c r="M213" s="15"/>
      <c r="N213" s="15"/>
      <c r="O213" s="22" t="str">
        <f aca="false">IFERROR(MOD(SMALL(DayLines!$C$3:$C$608,191),1000),"")</f>
        <v/>
      </c>
    </row>
    <row r="214" customFormat="false" ht="15" hidden="false" customHeight="false" outlineLevel="0" collapsed="false">
      <c r="A214" s="15"/>
      <c r="B214" s="20" t="str">
        <f aca="false">IF($O214="","",IF($O214=0,INDEX(DayLines!$D$3:$D$608,MATCH(SMALL(DayLines!$C$3:$C$608,192),DayLines!$C$3:$C$608,0)),IF($O214=999,"",INDEX(DayLines!$E$3:$E$608,MATCH(SMALL(DayLines!$C$3:$C$608,192),DayLines!$C$3:$C$608,0)))))</f>
        <v/>
      </c>
      <c r="C214" s="16" t="str">
        <f aca="false">IF($O214="","",IF($O214=0,INDEX(DayLines!$E$3:$E$608,MATCH(SMALL(DayLines!$C$3:$C$608,192),DayLines!$C$3:$C$608,0)),IF($O214=999,"",INDEX(DayLines!$D$3:$D$608,MATCH(SMALL(DayLines!$C$3:$C$608,192),DayLines!$C$3:$C$608,0)))))</f>
        <v/>
      </c>
      <c r="D214" s="15" t="str">
        <f aca="false">IF(OR($O214="",$O214=0,$O214=999),"",INDEX(DayLines!$F$3:$F$608,MATCH(SMALL(DayLines!$C$3:$C$608,192),DayLines!$C$3:$C$608,0)))</f>
        <v/>
      </c>
      <c r="E214" s="21" t="str">
        <f aca="false">IF(OR($O214="",$O214=0,$O214=999),"",INDEX(DayLines!$G$3:$G$608,MATCH(SMALL(DayLines!$C$3:$C$608,192),DayLines!$C$3:$C$608,0)))</f>
        <v/>
      </c>
      <c r="F214" s="15"/>
      <c r="G214" s="15"/>
      <c r="H214" s="15"/>
      <c r="I214" s="15"/>
      <c r="J214" s="15"/>
      <c r="K214" s="15"/>
      <c r="L214" s="15"/>
      <c r="M214" s="15"/>
      <c r="N214" s="15"/>
      <c r="O214" s="22" t="str">
        <f aca="false">IFERROR(MOD(SMALL(DayLines!$C$3:$C$608,192),1000),"")</f>
        <v/>
      </c>
    </row>
    <row r="215" customFormat="false" ht="15" hidden="false" customHeight="false" outlineLevel="0" collapsed="false">
      <c r="A215" s="15"/>
      <c r="B215" s="20" t="str">
        <f aca="false">IF($O215="","",IF($O215=0,INDEX(DayLines!$D$3:$D$608,MATCH(SMALL(DayLines!$C$3:$C$608,193),DayLines!$C$3:$C$608,0)),IF($O215=999,"",INDEX(DayLines!$E$3:$E$608,MATCH(SMALL(DayLines!$C$3:$C$608,193),DayLines!$C$3:$C$608,0)))))</f>
        <v/>
      </c>
      <c r="C215" s="16" t="str">
        <f aca="false">IF($O215="","",IF($O215=0,INDEX(DayLines!$E$3:$E$608,MATCH(SMALL(DayLines!$C$3:$C$608,193),DayLines!$C$3:$C$608,0)),IF($O215=999,"",INDEX(DayLines!$D$3:$D$608,MATCH(SMALL(DayLines!$C$3:$C$608,193),DayLines!$C$3:$C$608,0)))))</f>
        <v/>
      </c>
      <c r="D215" s="15" t="str">
        <f aca="false">IF(OR($O215="",$O215=0,$O215=999),"",INDEX(DayLines!$F$3:$F$608,MATCH(SMALL(DayLines!$C$3:$C$608,193),DayLines!$C$3:$C$608,0)))</f>
        <v/>
      </c>
      <c r="E215" s="21" t="str">
        <f aca="false">IF(OR($O215="",$O215=0,$O215=999),"",INDEX(DayLines!$G$3:$G$608,MATCH(SMALL(DayLines!$C$3:$C$608,193),DayLines!$C$3:$C$608,0)))</f>
        <v/>
      </c>
      <c r="F215" s="15"/>
      <c r="G215" s="15"/>
      <c r="H215" s="15"/>
      <c r="I215" s="15"/>
      <c r="J215" s="15"/>
      <c r="K215" s="15"/>
      <c r="L215" s="15"/>
      <c r="M215" s="15"/>
      <c r="N215" s="15"/>
      <c r="O215" s="22" t="str">
        <f aca="false">IFERROR(MOD(SMALL(DayLines!$C$3:$C$608,193),1000),"")</f>
        <v/>
      </c>
    </row>
    <row r="216" customFormat="false" ht="15" hidden="false" customHeight="false" outlineLevel="0" collapsed="false">
      <c r="A216" s="15"/>
      <c r="B216" s="20" t="str">
        <f aca="false">IF($O216="","",IF($O216=0,INDEX(DayLines!$D$3:$D$608,MATCH(SMALL(DayLines!$C$3:$C$608,194),DayLines!$C$3:$C$608,0)),IF($O216=999,"",INDEX(DayLines!$E$3:$E$608,MATCH(SMALL(DayLines!$C$3:$C$608,194),DayLines!$C$3:$C$608,0)))))</f>
        <v/>
      </c>
      <c r="C216" s="16" t="str">
        <f aca="false">IF($O216="","",IF($O216=0,INDEX(DayLines!$E$3:$E$608,MATCH(SMALL(DayLines!$C$3:$C$608,194),DayLines!$C$3:$C$608,0)),IF($O216=999,"",INDEX(DayLines!$D$3:$D$608,MATCH(SMALL(DayLines!$C$3:$C$608,194),DayLines!$C$3:$C$608,0)))))</f>
        <v/>
      </c>
      <c r="D216" s="15" t="str">
        <f aca="false">IF(OR($O216="",$O216=0,$O216=999),"",INDEX(DayLines!$F$3:$F$608,MATCH(SMALL(DayLines!$C$3:$C$608,194),DayLines!$C$3:$C$608,0)))</f>
        <v/>
      </c>
      <c r="E216" s="21" t="str">
        <f aca="false">IF(OR($O216="",$O216=0,$O216=999),"",INDEX(DayLines!$G$3:$G$608,MATCH(SMALL(DayLines!$C$3:$C$608,194),DayLines!$C$3:$C$608,0)))</f>
        <v/>
      </c>
      <c r="F216" s="15"/>
      <c r="G216" s="15"/>
      <c r="H216" s="15"/>
      <c r="I216" s="15"/>
      <c r="J216" s="15"/>
      <c r="K216" s="15"/>
      <c r="L216" s="15"/>
      <c r="M216" s="15"/>
      <c r="N216" s="15"/>
      <c r="O216" s="22" t="str">
        <f aca="false">IFERROR(MOD(SMALL(DayLines!$C$3:$C$608,194),1000),"")</f>
        <v/>
      </c>
    </row>
    <row r="217" customFormat="false" ht="15" hidden="false" customHeight="false" outlineLevel="0" collapsed="false">
      <c r="A217" s="15"/>
      <c r="B217" s="20" t="str">
        <f aca="false">IF($O217="","",IF($O217=0,INDEX(DayLines!$D$3:$D$608,MATCH(SMALL(DayLines!$C$3:$C$608,195),DayLines!$C$3:$C$608,0)),IF($O217=999,"",INDEX(DayLines!$E$3:$E$608,MATCH(SMALL(DayLines!$C$3:$C$608,195),DayLines!$C$3:$C$608,0)))))</f>
        <v/>
      </c>
      <c r="C217" s="16" t="str">
        <f aca="false">IF($O217="","",IF($O217=0,INDEX(DayLines!$E$3:$E$608,MATCH(SMALL(DayLines!$C$3:$C$608,195),DayLines!$C$3:$C$608,0)),IF($O217=999,"",INDEX(DayLines!$D$3:$D$608,MATCH(SMALL(DayLines!$C$3:$C$608,195),DayLines!$C$3:$C$608,0)))))</f>
        <v/>
      </c>
      <c r="D217" s="15" t="str">
        <f aca="false">IF(OR($O217="",$O217=0,$O217=999),"",INDEX(DayLines!$F$3:$F$608,MATCH(SMALL(DayLines!$C$3:$C$608,195),DayLines!$C$3:$C$608,0)))</f>
        <v/>
      </c>
      <c r="E217" s="21" t="str">
        <f aca="false">IF(OR($O217="",$O217=0,$O217=999),"",INDEX(DayLines!$G$3:$G$608,MATCH(SMALL(DayLines!$C$3:$C$608,195),DayLines!$C$3:$C$608,0)))</f>
        <v/>
      </c>
      <c r="F217" s="15"/>
      <c r="G217" s="15"/>
      <c r="H217" s="15"/>
      <c r="I217" s="15"/>
      <c r="J217" s="15"/>
      <c r="K217" s="15"/>
      <c r="L217" s="15"/>
      <c r="M217" s="15"/>
      <c r="N217" s="15"/>
      <c r="O217" s="22" t="str">
        <f aca="false">IFERROR(MOD(SMALL(DayLines!$C$3:$C$608,195),1000),"")</f>
        <v/>
      </c>
    </row>
    <row r="218" customFormat="false" ht="15" hidden="false" customHeight="false" outlineLevel="0" collapsed="false">
      <c r="A218" s="15"/>
      <c r="B218" s="20" t="str">
        <f aca="false">IF($O218="","",IF($O218=0,INDEX(DayLines!$D$3:$D$608,MATCH(SMALL(DayLines!$C$3:$C$608,196),DayLines!$C$3:$C$608,0)),IF($O218=999,"",INDEX(DayLines!$E$3:$E$608,MATCH(SMALL(DayLines!$C$3:$C$608,196),DayLines!$C$3:$C$608,0)))))</f>
        <v/>
      </c>
      <c r="C218" s="16" t="str">
        <f aca="false">IF($O218="","",IF($O218=0,INDEX(DayLines!$E$3:$E$608,MATCH(SMALL(DayLines!$C$3:$C$608,196),DayLines!$C$3:$C$608,0)),IF($O218=999,"",INDEX(DayLines!$D$3:$D$608,MATCH(SMALL(DayLines!$C$3:$C$608,196),DayLines!$C$3:$C$608,0)))))</f>
        <v/>
      </c>
      <c r="D218" s="15" t="str">
        <f aca="false">IF(OR($O218="",$O218=0,$O218=999),"",INDEX(DayLines!$F$3:$F$608,MATCH(SMALL(DayLines!$C$3:$C$608,196),DayLines!$C$3:$C$608,0)))</f>
        <v/>
      </c>
      <c r="E218" s="21" t="str">
        <f aca="false">IF(OR($O218="",$O218=0,$O218=999),"",INDEX(DayLines!$G$3:$G$608,MATCH(SMALL(DayLines!$C$3:$C$608,196),DayLines!$C$3:$C$608,0)))</f>
        <v/>
      </c>
      <c r="F218" s="15"/>
      <c r="G218" s="15"/>
      <c r="H218" s="15"/>
      <c r="I218" s="15"/>
      <c r="J218" s="15"/>
      <c r="K218" s="15"/>
      <c r="L218" s="15"/>
      <c r="M218" s="15"/>
      <c r="N218" s="15"/>
      <c r="O218" s="22" t="str">
        <f aca="false">IFERROR(MOD(SMALL(DayLines!$C$3:$C$608,196),1000),"")</f>
        <v/>
      </c>
    </row>
    <row r="219" customFormat="false" ht="15" hidden="false" customHeight="false" outlineLevel="0" collapsed="false">
      <c r="A219" s="15"/>
      <c r="B219" s="20" t="str">
        <f aca="false">IF($O219="","",IF($O219=0,INDEX(DayLines!$D$3:$D$608,MATCH(SMALL(DayLines!$C$3:$C$608,197),DayLines!$C$3:$C$608,0)),IF($O219=999,"",INDEX(DayLines!$E$3:$E$608,MATCH(SMALL(DayLines!$C$3:$C$608,197),DayLines!$C$3:$C$608,0)))))</f>
        <v/>
      </c>
      <c r="C219" s="16" t="str">
        <f aca="false">IF($O219="","",IF($O219=0,INDEX(DayLines!$E$3:$E$608,MATCH(SMALL(DayLines!$C$3:$C$608,197),DayLines!$C$3:$C$608,0)),IF($O219=999,"",INDEX(DayLines!$D$3:$D$608,MATCH(SMALL(DayLines!$C$3:$C$608,197),DayLines!$C$3:$C$608,0)))))</f>
        <v/>
      </c>
      <c r="D219" s="15" t="str">
        <f aca="false">IF(OR($O219="",$O219=0,$O219=999),"",INDEX(DayLines!$F$3:$F$608,MATCH(SMALL(DayLines!$C$3:$C$608,197),DayLines!$C$3:$C$608,0)))</f>
        <v/>
      </c>
      <c r="E219" s="21" t="str">
        <f aca="false">IF(OR($O219="",$O219=0,$O219=999),"",INDEX(DayLines!$G$3:$G$608,MATCH(SMALL(DayLines!$C$3:$C$608,197),DayLines!$C$3:$C$608,0)))</f>
        <v/>
      </c>
      <c r="F219" s="15"/>
      <c r="G219" s="15"/>
      <c r="H219" s="15"/>
      <c r="I219" s="15"/>
      <c r="J219" s="15"/>
      <c r="K219" s="15"/>
      <c r="L219" s="15"/>
      <c r="M219" s="15"/>
      <c r="N219" s="15"/>
      <c r="O219" s="22" t="str">
        <f aca="false">IFERROR(MOD(SMALL(DayLines!$C$3:$C$608,197),1000),"")</f>
        <v/>
      </c>
    </row>
    <row r="220" customFormat="false" ht="15" hidden="false" customHeight="false" outlineLevel="0" collapsed="false">
      <c r="A220" s="15"/>
      <c r="B220" s="20" t="str">
        <f aca="false">IF($O220="","",IF($O220=0,INDEX(DayLines!$D$3:$D$608,MATCH(SMALL(DayLines!$C$3:$C$608,198),DayLines!$C$3:$C$608,0)),IF($O220=999,"",INDEX(DayLines!$E$3:$E$608,MATCH(SMALL(DayLines!$C$3:$C$608,198),DayLines!$C$3:$C$608,0)))))</f>
        <v/>
      </c>
      <c r="C220" s="16" t="str">
        <f aca="false">IF($O220="","",IF($O220=0,INDEX(DayLines!$E$3:$E$608,MATCH(SMALL(DayLines!$C$3:$C$608,198),DayLines!$C$3:$C$608,0)),IF($O220=999,"",INDEX(DayLines!$D$3:$D$608,MATCH(SMALL(DayLines!$C$3:$C$608,198),DayLines!$C$3:$C$608,0)))))</f>
        <v/>
      </c>
      <c r="D220" s="15" t="str">
        <f aca="false">IF(OR($O220="",$O220=0,$O220=999),"",INDEX(DayLines!$F$3:$F$608,MATCH(SMALL(DayLines!$C$3:$C$608,198),DayLines!$C$3:$C$608,0)))</f>
        <v/>
      </c>
      <c r="E220" s="21" t="str">
        <f aca="false">IF(OR($O220="",$O220=0,$O220=999),"",INDEX(DayLines!$G$3:$G$608,MATCH(SMALL(DayLines!$C$3:$C$608,198),DayLines!$C$3:$C$608,0)))</f>
        <v/>
      </c>
      <c r="F220" s="15"/>
      <c r="G220" s="15"/>
      <c r="H220" s="15"/>
      <c r="I220" s="15"/>
      <c r="J220" s="15"/>
      <c r="K220" s="15"/>
      <c r="L220" s="15"/>
      <c r="M220" s="15"/>
      <c r="N220" s="15"/>
      <c r="O220" s="22" t="str">
        <f aca="false">IFERROR(MOD(SMALL(DayLines!$C$3:$C$608,198),1000),"")</f>
        <v/>
      </c>
    </row>
    <row r="221" customFormat="false" ht="15" hidden="false" customHeight="false" outlineLevel="0" collapsed="false">
      <c r="A221" s="15"/>
      <c r="B221" s="20" t="str">
        <f aca="false">IF($O221="","",IF($O221=0,INDEX(DayLines!$D$3:$D$608,MATCH(SMALL(DayLines!$C$3:$C$608,199),DayLines!$C$3:$C$608,0)),IF($O221=999,"",INDEX(DayLines!$E$3:$E$608,MATCH(SMALL(DayLines!$C$3:$C$608,199),DayLines!$C$3:$C$608,0)))))</f>
        <v/>
      </c>
      <c r="C221" s="16" t="str">
        <f aca="false">IF($O221="","",IF($O221=0,INDEX(DayLines!$E$3:$E$608,MATCH(SMALL(DayLines!$C$3:$C$608,199),DayLines!$C$3:$C$608,0)),IF($O221=999,"",INDEX(DayLines!$D$3:$D$608,MATCH(SMALL(DayLines!$C$3:$C$608,199),DayLines!$C$3:$C$608,0)))))</f>
        <v/>
      </c>
      <c r="D221" s="15" t="str">
        <f aca="false">IF(OR($O221="",$O221=0,$O221=999),"",INDEX(DayLines!$F$3:$F$608,MATCH(SMALL(DayLines!$C$3:$C$608,199),DayLines!$C$3:$C$608,0)))</f>
        <v/>
      </c>
      <c r="E221" s="21" t="str">
        <f aca="false">IF(OR($O221="",$O221=0,$O221=999),"",INDEX(DayLines!$G$3:$G$608,MATCH(SMALL(DayLines!$C$3:$C$608,199),DayLines!$C$3:$C$608,0)))</f>
        <v/>
      </c>
      <c r="F221" s="15"/>
      <c r="G221" s="15"/>
      <c r="H221" s="15"/>
      <c r="I221" s="15"/>
      <c r="J221" s="15"/>
      <c r="K221" s="15"/>
      <c r="L221" s="15"/>
      <c r="M221" s="15"/>
      <c r="N221" s="15"/>
      <c r="O221" s="22" t="str">
        <f aca="false">IFERROR(MOD(SMALL(DayLines!$C$3:$C$608,199),1000),"")</f>
        <v/>
      </c>
    </row>
    <row r="222" customFormat="false" ht="15" hidden="false" customHeight="false" outlineLevel="0" collapsed="false">
      <c r="A222" s="15"/>
      <c r="B222" s="20" t="str">
        <f aca="false">IF($O222="","",IF($O222=0,INDEX(DayLines!$D$3:$D$608,MATCH(SMALL(DayLines!$C$3:$C$608,200),DayLines!$C$3:$C$608,0)),IF($O222=999,"",INDEX(DayLines!$E$3:$E$608,MATCH(SMALL(DayLines!$C$3:$C$608,200),DayLines!$C$3:$C$608,0)))))</f>
        <v/>
      </c>
      <c r="C222" s="16" t="str">
        <f aca="false">IF($O222="","",IF($O222=0,INDEX(DayLines!$E$3:$E$608,MATCH(SMALL(DayLines!$C$3:$C$608,200),DayLines!$C$3:$C$608,0)),IF($O222=999,"",INDEX(DayLines!$D$3:$D$608,MATCH(SMALL(DayLines!$C$3:$C$608,200),DayLines!$C$3:$C$608,0)))))</f>
        <v/>
      </c>
      <c r="D222" s="15" t="str">
        <f aca="false">IF(OR($O222="",$O222=0,$O222=999),"",INDEX(DayLines!$F$3:$F$608,MATCH(SMALL(DayLines!$C$3:$C$608,200),DayLines!$C$3:$C$608,0)))</f>
        <v/>
      </c>
      <c r="E222" s="21" t="str">
        <f aca="false">IF(OR($O222="",$O222=0,$O222=999),"",INDEX(DayLines!$G$3:$G$608,MATCH(SMALL(DayLines!$C$3:$C$608,200),DayLines!$C$3:$C$608,0)))</f>
        <v/>
      </c>
      <c r="F222" s="15"/>
      <c r="G222" s="15"/>
      <c r="H222" s="15"/>
      <c r="I222" s="15"/>
      <c r="J222" s="15"/>
      <c r="K222" s="15"/>
      <c r="L222" s="15"/>
      <c r="M222" s="15"/>
      <c r="N222" s="15"/>
      <c r="O222" s="22" t="str">
        <f aca="false">IFERROR(MOD(SMALL(DayLines!$C$3:$C$608,200),1000),"")</f>
        <v/>
      </c>
    </row>
    <row r="223" customFormat="false" ht="15" hidden="false" customHeight="false" outlineLevel="0" collapsed="false">
      <c r="A223" s="15"/>
      <c r="B223" s="20" t="str">
        <f aca="false">IF($O223="","",IF($O223=0,INDEX(DayLines!$D$3:$D$608,MATCH(SMALL(DayLines!$C$3:$C$608,201),DayLines!$C$3:$C$608,0)),IF($O223=999,"",INDEX(DayLines!$E$3:$E$608,MATCH(SMALL(DayLines!$C$3:$C$608,201),DayLines!$C$3:$C$608,0)))))</f>
        <v/>
      </c>
      <c r="C223" s="16" t="str">
        <f aca="false">IF($O223="","",IF($O223=0,INDEX(DayLines!$E$3:$E$608,MATCH(SMALL(DayLines!$C$3:$C$608,201),DayLines!$C$3:$C$608,0)),IF($O223=999,"",INDEX(DayLines!$D$3:$D$608,MATCH(SMALL(DayLines!$C$3:$C$608,201),DayLines!$C$3:$C$608,0)))))</f>
        <v/>
      </c>
      <c r="D223" s="15" t="str">
        <f aca="false">IF(OR($O223="",$O223=0,$O223=999),"",INDEX(DayLines!$F$3:$F$608,MATCH(SMALL(DayLines!$C$3:$C$608,201),DayLines!$C$3:$C$608,0)))</f>
        <v/>
      </c>
      <c r="E223" s="21" t="str">
        <f aca="false">IF(OR($O223="",$O223=0,$O223=999),"",INDEX(DayLines!$G$3:$G$608,MATCH(SMALL(DayLines!$C$3:$C$608,201),DayLines!$C$3:$C$608,0)))</f>
        <v/>
      </c>
      <c r="F223" s="15"/>
      <c r="G223" s="15"/>
      <c r="H223" s="15"/>
      <c r="I223" s="15"/>
      <c r="J223" s="15"/>
      <c r="K223" s="15"/>
      <c r="L223" s="15"/>
      <c r="M223" s="15"/>
      <c r="N223" s="15"/>
      <c r="O223" s="22" t="str">
        <f aca="false">IFERROR(MOD(SMALL(DayLines!$C$3:$C$608,201),1000),"")</f>
        <v/>
      </c>
    </row>
    <row r="224" customFormat="false" ht="15" hidden="false" customHeight="false" outlineLevel="0" collapsed="false">
      <c r="A224" s="15"/>
      <c r="B224" s="20" t="str">
        <f aca="false">IF($O224="","",IF($O224=0,INDEX(DayLines!$D$3:$D$608,MATCH(SMALL(DayLines!$C$3:$C$608,202),DayLines!$C$3:$C$608,0)),IF($O224=999,"",INDEX(DayLines!$E$3:$E$608,MATCH(SMALL(DayLines!$C$3:$C$608,202),DayLines!$C$3:$C$608,0)))))</f>
        <v/>
      </c>
      <c r="C224" s="16" t="str">
        <f aca="false">IF($O224="","",IF($O224=0,INDEX(DayLines!$E$3:$E$608,MATCH(SMALL(DayLines!$C$3:$C$608,202),DayLines!$C$3:$C$608,0)),IF($O224=999,"",INDEX(DayLines!$D$3:$D$608,MATCH(SMALL(DayLines!$C$3:$C$608,202),DayLines!$C$3:$C$608,0)))))</f>
        <v/>
      </c>
      <c r="D224" s="15" t="str">
        <f aca="false">IF(OR($O224="",$O224=0,$O224=999),"",INDEX(DayLines!$F$3:$F$608,MATCH(SMALL(DayLines!$C$3:$C$608,202),DayLines!$C$3:$C$608,0)))</f>
        <v/>
      </c>
      <c r="E224" s="21" t="str">
        <f aca="false">IF(OR($O224="",$O224=0,$O224=999),"",INDEX(DayLines!$G$3:$G$608,MATCH(SMALL(DayLines!$C$3:$C$608,202),DayLines!$C$3:$C$608,0)))</f>
        <v/>
      </c>
      <c r="F224" s="15"/>
      <c r="G224" s="15"/>
      <c r="H224" s="15"/>
      <c r="I224" s="15"/>
      <c r="J224" s="15"/>
      <c r="K224" s="15"/>
      <c r="L224" s="15"/>
      <c r="M224" s="15"/>
      <c r="N224" s="15"/>
      <c r="O224" s="22" t="str">
        <f aca="false">IFERROR(MOD(SMALL(DayLines!$C$3:$C$608,202),1000),"")</f>
        <v/>
      </c>
    </row>
    <row r="225" customFormat="false" ht="15" hidden="false" customHeight="false" outlineLevel="0" collapsed="false">
      <c r="A225" s="15"/>
      <c r="B225" s="20" t="str">
        <f aca="false">IF($O225="","",IF($O225=0,INDEX(DayLines!$D$3:$D$608,MATCH(SMALL(DayLines!$C$3:$C$608,203),DayLines!$C$3:$C$608,0)),IF($O225=999,"",INDEX(DayLines!$E$3:$E$608,MATCH(SMALL(DayLines!$C$3:$C$608,203),DayLines!$C$3:$C$608,0)))))</f>
        <v/>
      </c>
      <c r="C225" s="16" t="str">
        <f aca="false">IF($O225="","",IF($O225=0,INDEX(DayLines!$E$3:$E$608,MATCH(SMALL(DayLines!$C$3:$C$608,203),DayLines!$C$3:$C$608,0)),IF($O225=999,"",INDEX(DayLines!$D$3:$D$608,MATCH(SMALL(DayLines!$C$3:$C$608,203),DayLines!$C$3:$C$608,0)))))</f>
        <v/>
      </c>
      <c r="D225" s="15" t="str">
        <f aca="false">IF(OR($O225="",$O225=0,$O225=999),"",INDEX(DayLines!$F$3:$F$608,MATCH(SMALL(DayLines!$C$3:$C$608,203),DayLines!$C$3:$C$608,0)))</f>
        <v/>
      </c>
      <c r="E225" s="21" t="str">
        <f aca="false">IF(OR($O225="",$O225=0,$O225=999),"",INDEX(DayLines!$G$3:$G$608,MATCH(SMALL(DayLines!$C$3:$C$608,203),DayLines!$C$3:$C$608,0)))</f>
        <v/>
      </c>
      <c r="F225" s="15"/>
      <c r="G225" s="15"/>
      <c r="H225" s="15"/>
      <c r="I225" s="15"/>
      <c r="J225" s="15"/>
      <c r="K225" s="15"/>
      <c r="L225" s="15"/>
      <c r="M225" s="15"/>
      <c r="N225" s="15"/>
      <c r="O225" s="22" t="str">
        <f aca="false">IFERROR(MOD(SMALL(DayLines!$C$3:$C$608,203),1000),"")</f>
        <v/>
      </c>
    </row>
    <row r="226" customFormat="false" ht="15" hidden="false" customHeight="false" outlineLevel="0" collapsed="false">
      <c r="A226" s="15"/>
      <c r="B226" s="20" t="str">
        <f aca="false">IF($O226="","",IF($O226=0,INDEX(DayLines!$D$3:$D$608,MATCH(SMALL(DayLines!$C$3:$C$608,204),DayLines!$C$3:$C$608,0)),IF($O226=999,"",INDEX(DayLines!$E$3:$E$608,MATCH(SMALL(DayLines!$C$3:$C$608,204),DayLines!$C$3:$C$608,0)))))</f>
        <v/>
      </c>
      <c r="C226" s="16" t="str">
        <f aca="false">IF($O226="","",IF($O226=0,INDEX(DayLines!$E$3:$E$608,MATCH(SMALL(DayLines!$C$3:$C$608,204),DayLines!$C$3:$C$608,0)),IF($O226=999,"",INDEX(DayLines!$D$3:$D$608,MATCH(SMALL(DayLines!$C$3:$C$608,204),DayLines!$C$3:$C$608,0)))))</f>
        <v/>
      </c>
      <c r="D226" s="15" t="str">
        <f aca="false">IF(OR($O226="",$O226=0,$O226=999),"",INDEX(DayLines!$F$3:$F$608,MATCH(SMALL(DayLines!$C$3:$C$608,204),DayLines!$C$3:$C$608,0)))</f>
        <v/>
      </c>
      <c r="E226" s="21" t="str">
        <f aca="false">IF(OR($O226="",$O226=0,$O226=999),"",INDEX(DayLines!$G$3:$G$608,MATCH(SMALL(DayLines!$C$3:$C$608,204),DayLines!$C$3:$C$608,0)))</f>
        <v/>
      </c>
      <c r="F226" s="15"/>
      <c r="G226" s="15"/>
      <c r="H226" s="15"/>
      <c r="I226" s="15"/>
      <c r="J226" s="15"/>
      <c r="K226" s="15"/>
      <c r="L226" s="15"/>
      <c r="M226" s="15"/>
      <c r="N226" s="15"/>
      <c r="O226" s="22" t="str">
        <f aca="false">IFERROR(MOD(SMALL(DayLines!$C$3:$C$608,204),1000),"")</f>
        <v/>
      </c>
    </row>
    <row r="227" customFormat="false" ht="15" hidden="false" customHeight="false" outlineLevel="0" collapsed="false">
      <c r="A227" s="15"/>
      <c r="B227" s="20" t="str">
        <f aca="false">IF($O227="","",IF($O227=0,INDEX(DayLines!$D$3:$D$608,MATCH(SMALL(DayLines!$C$3:$C$608,205),DayLines!$C$3:$C$608,0)),IF($O227=999,"",INDEX(DayLines!$E$3:$E$608,MATCH(SMALL(DayLines!$C$3:$C$608,205),DayLines!$C$3:$C$608,0)))))</f>
        <v/>
      </c>
      <c r="C227" s="16" t="str">
        <f aca="false">IF($O227="","",IF($O227=0,INDEX(DayLines!$E$3:$E$608,MATCH(SMALL(DayLines!$C$3:$C$608,205),DayLines!$C$3:$C$608,0)),IF($O227=999,"",INDEX(DayLines!$D$3:$D$608,MATCH(SMALL(DayLines!$C$3:$C$608,205),DayLines!$C$3:$C$608,0)))))</f>
        <v/>
      </c>
      <c r="D227" s="15" t="str">
        <f aca="false">IF(OR($O227="",$O227=0,$O227=999),"",INDEX(DayLines!$F$3:$F$608,MATCH(SMALL(DayLines!$C$3:$C$608,205),DayLines!$C$3:$C$608,0)))</f>
        <v/>
      </c>
      <c r="E227" s="21" t="str">
        <f aca="false">IF(OR($O227="",$O227=0,$O227=999),"",INDEX(DayLines!$G$3:$G$608,MATCH(SMALL(DayLines!$C$3:$C$608,205),DayLines!$C$3:$C$608,0)))</f>
        <v/>
      </c>
      <c r="F227" s="15"/>
      <c r="G227" s="15"/>
      <c r="H227" s="15"/>
      <c r="I227" s="15"/>
      <c r="J227" s="15"/>
      <c r="K227" s="15"/>
      <c r="L227" s="15"/>
      <c r="M227" s="15"/>
      <c r="N227" s="15"/>
      <c r="O227" s="22" t="str">
        <f aca="false">IFERROR(MOD(SMALL(DayLines!$C$3:$C$608,205),1000),"")</f>
        <v/>
      </c>
    </row>
    <row r="228" customFormat="false" ht="15" hidden="false" customHeight="false" outlineLevel="0" collapsed="false">
      <c r="A228" s="15"/>
      <c r="B228" s="20" t="str">
        <f aca="false">IF($O228="","",IF($O228=0,INDEX(DayLines!$D$3:$D$608,MATCH(SMALL(DayLines!$C$3:$C$608,206),DayLines!$C$3:$C$608,0)),IF($O228=999,"",INDEX(DayLines!$E$3:$E$608,MATCH(SMALL(DayLines!$C$3:$C$608,206),DayLines!$C$3:$C$608,0)))))</f>
        <v/>
      </c>
      <c r="C228" s="16" t="str">
        <f aca="false">IF($O228="","",IF($O228=0,INDEX(DayLines!$E$3:$E$608,MATCH(SMALL(DayLines!$C$3:$C$608,206),DayLines!$C$3:$C$608,0)),IF($O228=999,"",INDEX(DayLines!$D$3:$D$608,MATCH(SMALL(DayLines!$C$3:$C$608,206),DayLines!$C$3:$C$608,0)))))</f>
        <v/>
      </c>
      <c r="D228" s="15" t="str">
        <f aca="false">IF(OR($O228="",$O228=0,$O228=999),"",INDEX(DayLines!$F$3:$F$608,MATCH(SMALL(DayLines!$C$3:$C$608,206),DayLines!$C$3:$C$608,0)))</f>
        <v/>
      </c>
      <c r="E228" s="21" t="str">
        <f aca="false">IF(OR($O228="",$O228=0,$O228=999),"",INDEX(DayLines!$G$3:$G$608,MATCH(SMALL(DayLines!$C$3:$C$608,206),DayLines!$C$3:$C$608,0)))</f>
        <v/>
      </c>
      <c r="F228" s="15"/>
      <c r="G228" s="15"/>
      <c r="H228" s="15"/>
      <c r="I228" s="15"/>
      <c r="J228" s="15"/>
      <c r="K228" s="15"/>
      <c r="L228" s="15"/>
      <c r="M228" s="15"/>
      <c r="N228" s="15"/>
      <c r="O228" s="22" t="str">
        <f aca="false">IFERROR(MOD(SMALL(DayLines!$C$3:$C$608,206),1000),"")</f>
        <v/>
      </c>
    </row>
    <row r="229" customFormat="false" ht="15" hidden="false" customHeight="false" outlineLevel="0" collapsed="false">
      <c r="A229" s="15"/>
      <c r="B229" s="20" t="str">
        <f aca="false">IF($O229="","",IF($O229=0,INDEX(DayLines!$D$3:$D$608,MATCH(SMALL(DayLines!$C$3:$C$608,207),DayLines!$C$3:$C$608,0)),IF($O229=999,"",INDEX(DayLines!$E$3:$E$608,MATCH(SMALL(DayLines!$C$3:$C$608,207),DayLines!$C$3:$C$608,0)))))</f>
        <v/>
      </c>
      <c r="C229" s="16" t="str">
        <f aca="false">IF($O229="","",IF($O229=0,INDEX(DayLines!$E$3:$E$608,MATCH(SMALL(DayLines!$C$3:$C$608,207),DayLines!$C$3:$C$608,0)),IF($O229=999,"",INDEX(DayLines!$D$3:$D$608,MATCH(SMALL(DayLines!$C$3:$C$608,207),DayLines!$C$3:$C$608,0)))))</f>
        <v/>
      </c>
      <c r="D229" s="15" t="str">
        <f aca="false">IF(OR($O229="",$O229=0,$O229=999),"",INDEX(DayLines!$F$3:$F$608,MATCH(SMALL(DayLines!$C$3:$C$608,207),DayLines!$C$3:$C$608,0)))</f>
        <v/>
      </c>
      <c r="E229" s="21" t="str">
        <f aca="false">IF(OR($O229="",$O229=0,$O229=999),"",INDEX(DayLines!$G$3:$G$608,MATCH(SMALL(DayLines!$C$3:$C$608,207),DayLines!$C$3:$C$608,0)))</f>
        <v/>
      </c>
      <c r="F229" s="15"/>
      <c r="G229" s="15"/>
      <c r="H229" s="15"/>
      <c r="I229" s="15"/>
      <c r="J229" s="15"/>
      <c r="K229" s="15"/>
      <c r="L229" s="15"/>
      <c r="M229" s="15"/>
      <c r="N229" s="15"/>
      <c r="O229" s="22" t="str">
        <f aca="false">IFERROR(MOD(SMALL(DayLines!$C$3:$C$608,207),1000),"")</f>
        <v/>
      </c>
    </row>
    <row r="230" customFormat="false" ht="15" hidden="false" customHeight="false" outlineLevel="0" collapsed="false">
      <c r="A230" s="15"/>
      <c r="B230" s="20" t="str">
        <f aca="false">IF($O230="","",IF($O230=0,INDEX(DayLines!$D$3:$D$608,MATCH(SMALL(DayLines!$C$3:$C$608,208),DayLines!$C$3:$C$608,0)),IF($O230=999,"",INDEX(DayLines!$E$3:$E$608,MATCH(SMALL(DayLines!$C$3:$C$608,208),DayLines!$C$3:$C$608,0)))))</f>
        <v/>
      </c>
      <c r="C230" s="16" t="str">
        <f aca="false">IF($O230="","",IF($O230=0,INDEX(DayLines!$E$3:$E$608,MATCH(SMALL(DayLines!$C$3:$C$608,208),DayLines!$C$3:$C$608,0)),IF($O230=999,"",INDEX(DayLines!$D$3:$D$608,MATCH(SMALL(DayLines!$C$3:$C$608,208),DayLines!$C$3:$C$608,0)))))</f>
        <v/>
      </c>
      <c r="D230" s="15" t="str">
        <f aca="false">IF(OR($O230="",$O230=0,$O230=999),"",INDEX(DayLines!$F$3:$F$608,MATCH(SMALL(DayLines!$C$3:$C$608,208),DayLines!$C$3:$C$608,0)))</f>
        <v/>
      </c>
      <c r="E230" s="21" t="str">
        <f aca="false">IF(OR($O230="",$O230=0,$O230=999),"",INDEX(DayLines!$G$3:$G$608,MATCH(SMALL(DayLines!$C$3:$C$608,208),DayLines!$C$3:$C$608,0)))</f>
        <v/>
      </c>
      <c r="F230" s="15"/>
      <c r="G230" s="15"/>
      <c r="H230" s="15"/>
      <c r="I230" s="15"/>
      <c r="J230" s="15"/>
      <c r="K230" s="15"/>
      <c r="L230" s="15"/>
      <c r="M230" s="15"/>
      <c r="N230" s="15"/>
      <c r="O230" s="22" t="str">
        <f aca="false">IFERROR(MOD(SMALL(DayLines!$C$3:$C$608,208),1000),"")</f>
        <v/>
      </c>
    </row>
    <row r="231" customFormat="false" ht="15" hidden="false" customHeight="false" outlineLevel="0" collapsed="false">
      <c r="A231" s="15"/>
      <c r="B231" s="20" t="str">
        <f aca="false">IF($O231="","",IF($O231=0,INDEX(DayLines!$D$3:$D$608,MATCH(SMALL(DayLines!$C$3:$C$608,209),DayLines!$C$3:$C$608,0)),IF($O231=999,"",INDEX(DayLines!$E$3:$E$608,MATCH(SMALL(DayLines!$C$3:$C$608,209),DayLines!$C$3:$C$608,0)))))</f>
        <v/>
      </c>
      <c r="C231" s="16" t="str">
        <f aca="false">IF($O231="","",IF($O231=0,INDEX(DayLines!$E$3:$E$608,MATCH(SMALL(DayLines!$C$3:$C$608,209),DayLines!$C$3:$C$608,0)),IF($O231=999,"",INDEX(DayLines!$D$3:$D$608,MATCH(SMALL(DayLines!$C$3:$C$608,209),DayLines!$C$3:$C$608,0)))))</f>
        <v/>
      </c>
      <c r="D231" s="15" t="str">
        <f aca="false">IF(OR($O231="",$O231=0,$O231=999),"",INDEX(DayLines!$F$3:$F$608,MATCH(SMALL(DayLines!$C$3:$C$608,209),DayLines!$C$3:$C$608,0)))</f>
        <v/>
      </c>
      <c r="E231" s="21" t="str">
        <f aca="false">IF(OR($O231="",$O231=0,$O231=999),"",INDEX(DayLines!$G$3:$G$608,MATCH(SMALL(DayLines!$C$3:$C$608,209),DayLines!$C$3:$C$608,0)))</f>
        <v/>
      </c>
      <c r="F231" s="15"/>
      <c r="G231" s="15"/>
      <c r="H231" s="15"/>
      <c r="I231" s="15"/>
      <c r="J231" s="15"/>
      <c r="K231" s="15"/>
      <c r="L231" s="15"/>
      <c r="M231" s="15"/>
      <c r="N231" s="15"/>
      <c r="O231" s="22" t="str">
        <f aca="false">IFERROR(MOD(SMALL(DayLines!$C$3:$C$608,209),1000),"")</f>
        <v/>
      </c>
    </row>
    <row r="232" customFormat="false" ht="15" hidden="false" customHeight="false" outlineLevel="0" collapsed="false">
      <c r="A232" s="15"/>
      <c r="B232" s="20" t="str">
        <f aca="false">IF($O232="","",IF($O232=0,INDEX(DayLines!$D$3:$D$608,MATCH(SMALL(DayLines!$C$3:$C$608,210),DayLines!$C$3:$C$608,0)),IF($O232=999,"",INDEX(DayLines!$E$3:$E$608,MATCH(SMALL(DayLines!$C$3:$C$608,210),DayLines!$C$3:$C$608,0)))))</f>
        <v/>
      </c>
      <c r="C232" s="16" t="str">
        <f aca="false">IF($O232="","",IF($O232=0,INDEX(DayLines!$E$3:$E$608,MATCH(SMALL(DayLines!$C$3:$C$608,210),DayLines!$C$3:$C$608,0)),IF($O232=999,"",INDEX(DayLines!$D$3:$D$608,MATCH(SMALL(DayLines!$C$3:$C$608,210),DayLines!$C$3:$C$608,0)))))</f>
        <v/>
      </c>
      <c r="D232" s="15" t="str">
        <f aca="false">IF(OR($O232="",$O232=0,$O232=999),"",INDEX(DayLines!$F$3:$F$608,MATCH(SMALL(DayLines!$C$3:$C$608,210),DayLines!$C$3:$C$608,0)))</f>
        <v/>
      </c>
      <c r="E232" s="21" t="str">
        <f aca="false">IF(OR($O232="",$O232=0,$O232=999),"",INDEX(DayLines!$G$3:$G$608,MATCH(SMALL(DayLines!$C$3:$C$608,210),DayLines!$C$3:$C$608,0)))</f>
        <v/>
      </c>
      <c r="F232" s="15"/>
      <c r="G232" s="15"/>
      <c r="H232" s="15"/>
      <c r="I232" s="15"/>
      <c r="J232" s="15"/>
      <c r="K232" s="15"/>
      <c r="L232" s="15"/>
      <c r="M232" s="15"/>
      <c r="N232" s="15"/>
      <c r="O232" s="22" t="str">
        <f aca="false">IFERROR(MOD(SMALL(DayLines!$C$3:$C$608,210),1000),"")</f>
        <v/>
      </c>
    </row>
    <row r="233" customFormat="false" ht="15" hidden="false" customHeight="false" outlineLevel="0" collapsed="false">
      <c r="A233" s="15"/>
      <c r="B233" s="20" t="str">
        <f aca="false">IF($O233="","",IF($O233=0,INDEX(DayLines!$D$3:$D$608,MATCH(SMALL(DayLines!$C$3:$C$608,211),DayLines!$C$3:$C$608,0)),IF($O233=999,"",INDEX(DayLines!$E$3:$E$608,MATCH(SMALL(DayLines!$C$3:$C$608,211),DayLines!$C$3:$C$608,0)))))</f>
        <v/>
      </c>
      <c r="C233" s="16" t="str">
        <f aca="false">IF($O233="","",IF($O233=0,INDEX(DayLines!$E$3:$E$608,MATCH(SMALL(DayLines!$C$3:$C$608,211),DayLines!$C$3:$C$608,0)),IF($O233=999,"",INDEX(DayLines!$D$3:$D$608,MATCH(SMALL(DayLines!$C$3:$C$608,211),DayLines!$C$3:$C$608,0)))))</f>
        <v/>
      </c>
      <c r="D233" s="15" t="str">
        <f aca="false">IF(OR($O233="",$O233=0,$O233=999),"",INDEX(DayLines!$F$3:$F$608,MATCH(SMALL(DayLines!$C$3:$C$608,211),DayLines!$C$3:$C$608,0)))</f>
        <v/>
      </c>
      <c r="E233" s="21" t="str">
        <f aca="false">IF(OR($O233="",$O233=0,$O233=999),"",INDEX(DayLines!$G$3:$G$608,MATCH(SMALL(DayLines!$C$3:$C$608,211),DayLines!$C$3:$C$608,0)))</f>
        <v/>
      </c>
      <c r="F233" s="15"/>
      <c r="G233" s="15"/>
      <c r="H233" s="15"/>
      <c r="I233" s="15"/>
      <c r="J233" s="15"/>
      <c r="K233" s="15"/>
      <c r="L233" s="15"/>
      <c r="M233" s="15"/>
      <c r="N233" s="15"/>
      <c r="O233" s="22" t="str">
        <f aca="false">IFERROR(MOD(SMALL(DayLines!$C$3:$C$608,211),1000),"")</f>
        <v/>
      </c>
    </row>
    <row r="234" customFormat="false" ht="15" hidden="false" customHeight="false" outlineLevel="0" collapsed="false">
      <c r="A234" s="15"/>
      <c r="B234" s="20" t="str">
        <f aca="false">IF($O234="","",IF($O234=0,INDEX(DayLines!$D$3:$D$608,MATCH(SMALL(DayLines!$C$3:$C$608,212),DayLines!$C$3:$C$608,0)),IF($O234=999,"",INDEX(DayLines!$E$3:$E$608,MATCH(SMALL(DayLines!$C$3:$C$608,212),DayLines!$C$3:$C$608,0)))))</f>
        <v/>
      </c>
      <c r="C234" s="16" t="str">
        <f aca="false">IF($O234="","",IF($O234=0,INDEX(DayLines!$E$3:$E$608,MATCH(SMALL(DayLines!$C$3:$C$608,212),DayLines!$C$3:$C$608,0)),IF($O234=999,"",INDEX(DayLines!$D$3:$D$608,MATCH(SMALL(DayLines!$C$3:$C$608,212),DayLines!$C$3:$C$608,0)))))</f>
        <v/>
      </c>
      <c r="D234" s="15" t="str">
        <f aca="false">IF(OR($O234="",$O234=0,$O234=999),"",INDEX(DayLines!$F$3:$F$608,MATCH(SMALL(DayLines!$C$3:$C$608,212),DayLines!$C$3:$C$608,0)))</f>
        <v/>
      </c>
      <c r="E234" s="21" t="str">
        <f aca="false">IF(OR($O234="",$O234=0,$O234=999),"",INDEX(DayLines!$G$3:$G$608,MATCH(SMALL(DayLines!$C$3:$C$608,212),DayLines!$C$3:$C$608,0)))</f>
        <v/>
      </c>
      <c r="F234" s="15"/>
      <c r="G234" s="15"/>
      <c r="H234" s="15"/>
      <c r="I234" s="15"/>
      <c r="J234" s="15"/>
      <c r="K234" s="15"/>
      <c r="L234" s="15"/>
      <c r="M234" s="15"/>
      <c r="N234" s="15"/>
      <c r="O234" s="22" t="str">
        <f aca="false">IFERROR(MOD(SMALL(DayLines!$C$3:$C$608,212),1000),"")</f>
        <v/>
      </c>
    </row>
    <row r="235" customFormat="false" ht="15" hidden="false" customHeight="false" outlineLevel="0" collapsed="false">
      <c r="A235" s="15"/>
      <c r="B235" s="20" t="str">
        <f aca="false">IF($O235="","",IF($O235=0,INDEX(DayLines!$D$3:$D$608,MATCH(SMALL(DayLines!$C$3:$C$608,213),DayLines!$C$3:$C$608,0)),IF($O235=999,"",INDEX(DayLines!$E$3:$E$608,MATCH(SMALL(DayLines!$C$3:$C$608,213),DayLines!$C$3:$C$608,0)))))</f>
        <v/>
      </c>
      <c r="C235" s="16" t="str">
        <f aca="false">IF($O235="","",IF($O235=0,INDEX(DayLines!$E$3:$E$608,MATCH(SMALL(DayLines!$C$3:$C$608,213),DayLines!$C$3:$C$608,0)),IF($O235=999,"",INDEX(DayLines!$D$3:$D$608,MATCH(SMALL(DayLines!$C$3:$C$608,213),DayLines!$C$3:$C$608,0)))))</f>
        <v/>
      </c>
      <c r="D235" s="15" t="str">
        <f aca="false">IF(OR($O235="",$O235=0,$O235=999),"",INDEX(DayLines!$F$3:$F$608,MATCH(SMALL(DayLines!$C$3:$C$608,213),DayLines!$C$3:$C$608,0)))</f>
        <v/>
      </c>
      <c r="E235" s="21" t="str">
        <f aca="false">IF(OR($O235="",$O235=0,$O235=999),"",INDEX(DayLines!$G$3:$G$608,MATCH(SMALL(DayLines!$C$3:$C$608,213),DayLines!$C$3:$C$608,0)))</f>
        <v/>
      </c>
      <c r="F235" s="15"/>
      <c r="G235" s="15"/>
      <c r="H235" s="15"/>
      <c r="I235" s="15"/>
      <c r="J235" s="15"/>
      <c r="K235" s="15"/>
      <c r="L235" s="15"/>
      <c r="M235" s="15"/>
      <c r="N235" s="15"/>
      <c r="O235" s="22" t="str">
        <f aca="false">IFERROR(MOD(SMALL(DayLines!$C$3:$C$608,213),1000),"")</f>
        <v/>
      </c>
    </row>
    <row r="236" customFormat="false" ht="15" hidden="false" customHeight="false" outlineLevel="0" collapsed="false">
      <c r="A236" s="15"/>
      <c r="B236" s="20" t="str">
        <f aca="false">IF($O236="","",IF($O236=0,INDEX(DayLines!$D$3:$D$608,MATCH(SMALL(DayLines!$C$3:$C$608,214),DayLines!$C$3:$C$608,0)),IF($O236=999,"",INDEX(DayLines!$E$3:$E$608,MATCH(SMALL(DayLines!$C$3:$C$608,214),DayLines!$C$3:$C$608,0)))))</f>
        <v/>
      </c>
      <c r="C236" s="16" t="str">
        <f aca="false">IF($O236="","",IF($O236=0,INDEX(DayLines!$E$3:$E$608,MATCH(SMALL(DayLines!$C$3:$C$608,214),DayLines!$C$3:$C$608,0)),IF($O236=999,"",INDEX(DayLines!$D$3:$D$608,MATCH(SMALL(DayLines!$C$3:$C$608,214),DayLines!$C$3:$C$608,0)))))</f>
        <v/>
      </c>
      <c r="D236" s="15" t="str">
        <f aca="false">IF(OR($O236="",$O236=0,$O236=999),"",INDEX(DayLines!$F$3:$F$608,MATCH(SMALL(DayLines!$C$3:$C$608,214),DayLines!$C$3:$C$608,0)))</f>
        <v/>
      </c>
      <c r="E236" s="21" t="str">
        <f aca="false">IF(OR($O236="",$O236=0,$O236=999),"",INDEX(DayLines!$G$3:$G$608,MATCH(SMALL(DayLines!$C$3:$C$608,214),DayLines!$C$3:$C$608,0)))</f>
        <v/>
      </c>
      <c r="F236" s="15"/>
      <c r="G236" s="15"/>
      <c r="H236" s="15"/>
      <c r="I236" s="15"/>
      <c r="J236" s="15"/>
      <c r="K236" s="15"/>
      <c r="L236" s="15"/>
      <c r="M236" s="15"/>
      <c r="N236" s="15"/>
      <c r="O236" s="22" t="str">
        <f aca="false">IFERROR(MOD(SMALL(DayLines!$C$3:$C$608,214),1000),"")</f>
        <v/>
      </c>
    </row>
    <row r="237" customFormat="false" ht="15" hidden="false" customHeight="false" outlineLevel="0" collapsed="false">
      <c r="A237" s="15"/>
      <c r="B237" s="20" t="str">
        <f aca="false">IF($O237="","",IF($O237=0,INDEX(DayLines!$D$3:$D$608,MATCH(SMALL(DayLines!$C$3:$C$608,215),DayLines!$C$3:$C$608,0)),IF($O237=999,"",INDEX(DayLines!$E$3:$E$608,MATCH(SMALL(DayLines!$C$3:$C$608,215),DayLines!$C$3:$C$608,0)))))</f>
        <v/>
      </c>
      <c r="C237" s="16" t="str">
        <f aca="false">IF($O237="","",IF($O237=0,INDEX(DayLines!$E$3:$E$608,MATCH(SMALL(DayLines!$C$3:$C$608,215),DayLines!$C$3:$C$608,0)),IF($O237=999,"",INDEX(DayLines!$D$3:$D$608,MATCH(SMALL(DayLines!$C$3:$C$608,215),DayLines!$C$3:$C$608,0)))))</f>
        <v/>
      </c>
      <c r="D237" s="15" t="str">
        <f aca="false">IF(OR($O237="",$O237=0,$O237=999),"",INDEX(DayLines!$F$3:$F$608,MATCH(SMALL(DayLines!$C$3:$C$608,215),DayLines!$C$3:$C$608,0)))</f>
        <v/>
      </c>
      <c r="E237" s="21" t="str">
        <f aca="false">IF(OR($O237="",$O237=0,$O237=999),"",INDEX(DayLines!$G$3:$G$608,MATCH(SMALL(DayLines!$C$3:$C$608,215),DayLines!$C$3:$C$608,0)))</f>
        <v/>
      </c>
      <c r="F237" s="15"/>
      <c r="G237" s="15"/>
      <c r="H237" s="15"/>
      <c r="I237" s="15"/>
      <c r="J237" s="15"/>
      <c r="K237" s="15"/>
      <c r="L237" s="15"/>
      <c r="M237" s="15"/>
      <c r="N237" s="15"/>
      <c r="O237" s="22" t="str">
        <f aca="false">IFERROR(MOD(SMALL(DayLines!$C$3:$C$608,215),1000),"")</f>
        <v/>
      </c>
    </row>
    <row r="238" customFormat="false" ht="15" hidden="false" customHeight="false" outlineLevel="0" collapsed="false">
      <c r="A238" s="15"/>
      <c r="B238" s="20" t="str">
        <f aca="false">IF($O238="","",IF($O238=0,INDEX(DayLines!$D$3:$D$608,MATCH(SMALL(DayLines!$C$3:$C$608,216),DayLines!$C$3:$C$608,0)),IF($O238=999,"",INDEX(DayLines!$E$3:$E$608,MATCH(SMALL(DayLines!$C$3:$C$608,216),DayLines!$C$3:$C$608,0)))))</f>
        <v/>
      </c>
      <c r="C238" s="16" t="str">
        <f aca="false">IF($O238="","",IF($O238=0,INDEX(DayLines!$E$3:$E$608,MATCH(SMALL(DayLines!$C$3:$C$608,216),DayLines!$C$3:$C$608,0)),IF($O238=999,"",INDEX(DayLines!$D$3:$D$608,MATCH(SMALL(DayLines!$C$3:$C$608,216),DayLines!$C$3:$C$608,0)))))</f>
        <v/>
      </c>
      <c r="D238" s="15" t="str">
        <f aca="false">IF(OR($O238="",$O238=0,$O238=999),"",INDEX(DayLines!$F$3:$F$608,MATCH(SMALL(DayLines!$C$3:$C$608,216),DayLines!$C$3:$C$608,0)))</f>
        <v/>
      </c>
      <c r="E238" s="21" t="str">
        <f aca="false">IF(OR($O238="",$O238=0,$O238=999),"",INDEX(DayLines!$G$3:$G$608,MATCH(SMALL(DayLines!$C$3:$C$608,216),DayLines!$C$3:$C$608,0)))</f>
        <v/>
      </c>
      <c r="F238" s="15"/>
      <c r="G238" s="15"/>
      <c r="H238" s="15"/>
      <c r="I238" s="15"/>
      <c r="J238" s="15"/>
      <c r="K238" s="15"/>
      <c r="L238" s="15"/>
      <c r="M238" s="15"/>
      <c r="N238" s="15"/>
      <c r="O238" s="22" t="str">
        <f aca="false">IFERROR(MOD(SMALL(DayLines!$C$3:$C$608,216),1000),"")</f>
        <v/>
      </c>
    </row>
    <row r="239" customFormat="false" ht="15" hidden="false" customHeight="false" outlineLevel="0" collapsed="false">
      <c r="A239" s="15"/>
      <c r="B239" s="20" t="str">
        <f aca="false">IF($O239="","",IF($O239=0,INDEX(DayLines!$D$3:$D$608,MATCH(SMALL(DayLines!$C$3:$C$608,217),DayLines!$C$3:$C$608,0)),IF($O239=999,"",INDEX(DayLines!$E$3:$E$608,MATCH(SMALL(DayLines!$C$3:$C$608,217),DayLines!$C$3:$C$608,0)))))</f>
        <v/>
      </c>
      <c r="C239" s="16" t="str">
        <f aca="false">IF($O239="","",IF($O239=0,INDEX(DayLines!$E$3:$E$608,MATCH(SMALL(DayLines!$C$3:$C$608,217),DayLines!$C$3:$C$608,0)),IF($O239=999,"",INDEX(DayLines!$D$3:$D$608,MATCH(SMALL(DayLines!$C$3:$C$608,217),DayLines!$C$3:$C$608,0)))))</f>
        <v/>
      </c>
      <c r="D239" s="15" t="str">
        <f aca="false">IF(OR($O239="",$O239=0,$O239=999),"",INDEX(DayLines!$F$3:$F$608,MATCH(SMALL(DayLines!$C$3:$C$608,217),DayLines!$C$3:$C$608,0)))</f>
        <v/>
      </c>
      <c r="E239" s="21" t="str">
        <f aca="false">IF(OR($O239="",$O239=0,$O239=999),"",INDEX(DayLines!$G$3:$G$608,MATCH(SMALL(DayLines!$C$3:$C$608,217),DayLines!$C$3:$C$608,0)))</f>
        <v/>
      </c>
      <c r="F239" s="15"/>
      <c r="G239" s="15"/>
      <c r="H239" s="15"/>
      <c r="I239" s="15"/>
      <c r="J239" s="15"/>
      <c r="K239" s="15"/>
      <c r="L239" s="15"/>
      <c r="M239" s="15"/>
      <c r="N239" s="15"/>
      <c r="O239" s="22" t="str">
        <f aca="false">IFERROR(MOD(SMALL(DayLines!$C$3:$C$608,217),1000),"")</f>
        <v/>
      </c>
    </row>
    <row r="240" customFormat="false" ht="15" hidden="false" customHeight="false" outlineLevel="0" collapsed="false">
      <c r="A240" s="15"/>
      <c r="B240" s="20" t="str">
        <f aca="false">IF($O240="","",IF($O240=0,INDEX(DayLines!$D$3:$D$608,MATCH(SMALL(DayLines!$C$3:$C$608,218),DayLines!$C$3:$C$608,0)),IF($O240=999,"",INDEX(DayLines!$E$3:$E$608,MATCH(SMALL(DayLines!$C$3:$C$608,218),DayLines!$C$3:$C$608,0)))))</f>
        <v/>
      </c>
      <c r="C240" s="16" t="str">
        <f aca="false">IF($O240="","",IF($O240=0,INDEX(DayLines!$E$3:$E$608,MATCH(SMALL(DayLines!$C$3:$C$608,218),DayLines!$C$3:$C$608,0)),IF($O240=999,"",INDEX(DayLines!$D$3:$D$608,MATCH(SMALL(DayLines!$C$3:$C$608,218),DayLines!$C$3:$C$608,0)))))</f>
        <v/>
      </c>
      <c r="D240" s="15" t="str">
        <f aca="false">IF(OR($O240="",$O240=0,$O240=999),"",INDEX(DayLines!$F$3:$F$608,MATCH(SMALL(DayLines!$C$3:$C$608,218),DayLines!$C$3:$C$608,0)))</f>
        <v/>
      </c>
      <c r="E240" s="21" t="str">
        <f aca="false">IF(OR($O240="",$O240=0,$O240=999),"",INDEX(DayLines!$G$3:$G$608,MATCH(SMALL(DayLines!$C$3:$C$608,218),DayLines!$C$3:$C$608,0)))</f>
        <v/>
      </c>
      <c r="F240" s="15"/>
      <c r="G240" s="15"/>
      <c r="H240" s="15"/>
      <c r="I240" s="15"/>
      <c r="J240" s="15"/>
      <c r="K240" s="15"/>
      <c r="L240" s="15"/>
      <c r="M240" s="15"/>
      <c r="N240" s="15"/>
      <c r="O240" s="22" t="str">
        <f aca="false">IFERROR(MOD(SMALL(DayLines!$C$3:$C$608,218),1000),"")</f>
        <v/>
      </c>
    </row>
    <row r="241" customFormat="false" ht="15" hidden="false" customHeight="false" outlineLevel="0" collapsed="false">
      <c r="A241" s="15"/>
      <c r="B241" s="20" t="str">
        <f aca="false">IF($O241="","",IF($O241=0,INDEX(DayLines!$D$3:$D$608,MATCH(SMALL(DayLines!$C$3:$C$608,219),DayLines!$C$3:$C$608,0)),IF($O241=999,"",INDEX(DayLines!$E$3:$E$608,MATCH(SMALL(DayLines!$C$3:$C$608,219),DayLines!$C$3:$C$608,0)))))</f>
        <v/>
      </c>
      <c r="C241" s="16" t="str">
        <f aca="false">IF($O241="","",IF($O241=0,INDEX(DayLines!$E$3:$E$608,MATCH(SMALL(DayLines!$C$3:$C$608,219),DayLines!$C$3:$C$608,0)),IF($O241=999,"",INDEX(DayLines!$D$3:$D$608,MATCH(SMALL(DayLines!$C$3:$C$608,219),DayLines!$C$3:$C$608,0)))))</f>
        <v/>
      </c>
      <c r="D241" s="15" t="str">
        <f aca="false">IF(OR($O241="",$O241=0,$O241=999),"",INDEX(DayLines!$F$3:$F$608,MATCH(SMALL(DayLines!$C$3:$C$608,219),DayLines!$C$3:$C$608,0)))</f>
        <v/>
      </c>
      <c r="E241" s="21" t="str">
        <f aca="false">IF(OR($O241="",$O241=0,$O241=999),"",INDEX(DayLines!$G$3:$G$608,MATCH(SMALL(DayLines!$C$3:$C$608,219),DayLines!$C$3:$C$608,0)))</f>
        <v/>
      </c>
      <c r="F241" s="15"/>
      <c r="G241" s="15"/>
      <c r="H241" s="15"/>
      <c r="I241" s="15"/>
      <c r="J241" s="15"/>
      <c r="K241" s="15"/>
      <c r="L241" s="15"/>
      <c r="M241" s="15"/>
      <c r="N241" s="15"/>
      <c r="O241" s="22" t="str">
        <f aca="false">IFERROR(MOD(SMALL(DayLines!$C$3:$C$608,219),1000),"")</f>
        <v/>
      </c>
    </row>
    <row r="242" customFormat="false" ht="15" hidden="false" customHeight="false" outlineLevel="0" collapsed="false">
      <c r="A242" s="15"/>
      <c r="B242" s="20" t="str">
        <f aca="false">IF($O242="","",IF($O242=0,INDEX(DayLines!$D$3:$D$608,MATCH(SMALL(DayLines!$C$3:$C$608,220),DayLines!$C$3:$C$608,0)),IF($O242=999,"",INDEX(DayLines!$E$3:$E$608,MATCH(SMALL(DayLines!$C$3:$C$608,220),DayLines!$C$3:$C$608,0)))))</f>
        <v/>
      </c>
      <c r="C242" s="16" t="str">
        <f aca="false">IF($O242="","",IF($O242=0,INDEX(DayLines!$E$3:$E$608,MATCH(SMALL(DayLines!$C$3:$C$608,220),DayLines!$C$3:$C$608,0)),IF($O242=999,"",INDEX(DayLines!$D$3:$D$608,MATCH(SMALL(DayLines!$C$3:$C$608,220),DayLines!$C$3:$C$608,0)))))</f>
        <v/>
      </c>
      <c r="D242" s="15" t="str">
        <f aca="false">IF(OR($O242="",$O242=0,$O242=999),"",INDEX(DayLines!$F$3:$F$608,MATCH(SMALL(DayLines!$C$3:$C$608,220),DayLines!$C$3:$C$608,0)))</f>
        <v/>
      </c>
      <c r="E242" s="21" t="str">
        <f aca="false">IF(OR($O242="",$O242=0,$O242=999),"",INDEX(DayLines!$G$3:$G$608,MATCH(SMALL(DayLines!$C$3:$C$608,220),DayLines!$C$3:$C$608,0)))</f>
        <v/>
      </c>
      <c r="F242" s="15"/>
      <c r="G242" s="15"/>
      <c r="H242" s="15"/>
      <c r="I242" s="15"/>
      <c r="J242" s="15"/>
      <c r="K242" s="15"/>
      <c r="L242" s="15"/>
      <c r="M242" s="15"/>
      <c r="N242" s="15"/>
      <c r="O242" s="22" t="str">
        <f aca="false">IFERROR(MOD(SMALL(DayLines!$C$3:$C$608,220),1000),"")</f>
        <v/>
      </c>
    </row>
    <row r="243" customFormat="false" ht="15" hidden="false" customHeight="false" outlineLevel="0" collapsed="false">
      <c r="A243" s="15"/>
      <c r="B243" s="20" t="str">
        <f aca="false">IF($O243="","",IF($O243=0,INDEX(DayLines!$D$3:$D$608,MATCH(SMALL(DayLines!$C$3:$C$608,221),DayLines!$C$3:$C$608,0)),IF($O243=999,"",INDEX(DayLines!$E$3:$E$608,MATCH(SMALL(DayLines!$C$3:$C$608,221),DayLines!$C$3:$C$608,0)))))</f>
        <v/>
      </c>
      <c r="C243" s="16" t="str">
        <f aca="false">IF($O243="","",IF($O243=0,INDEX(DayLines!$E$3:$E$608,MATCH(SMALL(DayLines!$C$3:$C$608,221),DayLines!$C$3:$C$608,0)),IF($O243=999,"",INDEX(DayLines!$D$3:$D$608,MATCH(SMALL(DayLines!$C$3:$C$608,221),DayLines!$C$3:$C$608,0)))))</f>
        <v/>
      </c>
      <c r="D243" s="15" t="str">
        <f aca="false">IF(OR($O243="",$O243=0,$O243=999),"",INDEX(DayLines!$F$3:$F$608,MATCH(SMALL(DayLines!$C$3:$C$608,221),DayLines!$C$3:$C$608,0)))</f>
        <v/>
      </c>
      <c r="E243" s="21" t="str">
        <f aca="false">IF(OR($O243="",$O243=0,$O243=999),"",INDEX(DayLines!$G$3:$G$608,MATCH(SMALL(DayLines!$C$3:$C$608,221),DayLines!$C$3:$C$608,0)))</f>
        <v/>
      </c>
      <c r="F243" s="15"/>
      <c r="G243" s="15"/>
      <c r="H243" s="15"/>
      <c r="I243" s="15"/>
      <c r="J243" s="15"/>
      <c r="K243" s="15"/>
      <c r="L243" s="15"/>
      <c r="M243" s="15"/>
      <c r="N243" s="15"/>
      <c r="O243" s="22" t="str">
        <f aca="false">IFERROR(MOD(SMALL(DayLines!$C$3:$C$608,221),1000),"")</f>
        <v/>
      </c>
    </row>
    <row r="244" customFormat="false" ht="15" hidden="false" customHeight="false" outlineLevel="0" collapsed="false">
      <c r="A244" s="15"/>
      <c r="B244" s="20" t="str">
        <f aca="false">IF($O244="","",IF($O244=0,INDEX(DayLines!$D$3:$D$608,MATCH(SMALL(DayLines!$C$3:$C$608,222),DayLines!$C$3:$C$608,0)),IF($O244=999,"",INDEX(DayLines!$E$3:$E$608,MATCH(SMALL(DayLines!$C$3:$C$608,222),DayLines!$C$3:$C$608,0)))))</f>
        <v/>
      </c>
      <c r="C244" s="16" t="str">
        <f aca="false">IF($O244="","",IF($O244=0,INDEX(DayLines!$E$3:$E$608,MATCH(SMALL(DayLines!$C$3:$C$608,222),DayLines!$C$3:$C$608,0)),IF($O244=999,"",INDEX(DayLines!$D$3:$D$608,MATCH(SMALL(DayLines!$C$3:$C$608,222),DayLines!$C$3:$C$608,0)))))</f>
        <v/>
      </c>
      <c r="D244" s="15" t="str">
        <f aca="false">IF(OR($O244="",$O244=0,$O244=999),"",INDEX(DayLines!$F$3:$F$608,MATCH(SMALL(DayLines!$C$3:$C$608,222),DayLines!$C$3:$C$608,0)))</f>
        <v/>
      </c>
      <c r="E244" s="21" t="str">
        <f aca="false">IF(OR($O244="",$O244=0,$O244=999),"",INDEX(DayLines!$G$3:$G$608,MATCH(SMALL(DayLines!$C$3:$C$608,222),DayLines!$C$3:$C$608,0)))</f>
        <v/>
      </c>
      <c r="F244" s="15"/>
      <c r="G244" s="15"/>
      <c r="H244" s="15"/>
      <c r="I244" s="15"/>
      <c r="J244" s="15"/>
      <c r="K244" s="15"/>
      <c r="L244" s="15"/>
      <c r="M244" s="15"/>
      <c r="N244" s="15"/>
      <c r="O244" s="22" t="str">
        <f aca="false">IFERROR(MOD(SMALL(DayLines!$C$3:$C$608,222),1000),"")</f>
        <v/>
      </c>
    </row>
    <row r="245" customFormat="false" ht="15" hidden="false" customHeight="false" outlineLevel="0" collapsed="false">
      <c r="A245" s="15"/>
      <c r="B245" s="20" t="str">
        <f aca="false">IF($O245="","",IF($O245=0,INDEX(DayLines!$D$3:$D$608,MATCH(SMALL(DayLines!$C$3:$C$608,223),DayLines!$C$3:$C$608,0)),IF($O245=999,"",INDEX(DayLines!$E$3:$E$608,MATCH(SMALL(DayLines!$C$3:$C$608,223),DayLines!$C$3:$C$608,0)))))</f>
        <v/>
      </c>
      <c r="C245" s="16" t="str">
        <f aca="false">IF($O245="","",IF($O245=0,INDEX(DayLines!$E$3:$E$608,MATCH(SMALL(DayLines!$C$3:$C$608,223),DayLines!$C$3:$C$608,0)),IF($O245=999,"",INDEX(DayLines!$D$3:$D$608,MATCH(SMALL(DayLines!$C$3:$C$608,223),DayLines!$C$3:$C$608,0)))))</f>
        <v/>
      </c>
      <c r="D245" s="15" t="str">
        <f aca="false">IF(OR($O245="",$O245=0,$O245=999),"",INDEX(DayLines!$F$3:$F$608,MATCH(SMALL(DayLines!$C$3:$C$608,223),DayLines!$C$3:$C$608,0)))</f>
        <v/>
      </c>
      <c r="E245" s="21" t="str">
        <f aca="false">IF(OR($O245="",$O245=0,$O245=999),"",INDEX(DayLines!$G$3:$G$608,MATCH(SMALL(DayLines!$C$3:$C$608,223),DayLines!$C$3:$C$608,0)))</f>
        <v/>
      </c>
      <c r="F245" s="15"/>
      <c r="G245" s="15"/>
      <c r="H245" s="15"/>
      <c r="I245" s="15"/>
      <c r="J245" s="15"/>
      <c r="K245" s="15"/>
      <c r="L245" s="15"/>
      <c r="M245" s="15"/>
      <c r="N245" s="15"/>
      <c r="O245" s="22" t="str">
        <f aca="false">IFERROR(MOD(SMALL(DayLines!$C$3:$C$608,223),1000),"")</f>
        <v/>
      </c>
    </row>
    <row r="246" customFormat="false" ht="15" hidden="false" customHeight="false" outlineLevel="0" collapsed="false">
      <c r="A246" s="15"/>
      <c r="B246" s="20" t="str">
        <f aca="false">IF($O246="","",IF($O246=0,INDEX(DayLines!$D$3:$D$608,MATCH(SMALL(DayLines!$C$3:$C$608,224),DayLines!$C$3:$C$608,0)),IF($O246=999,"",INDEX(DayLines!$E$3:$E$608,MATCH(SMALL(DayLines!$C$3:$C$608,224),DayLines!$C$3:$C$608,0)))))</f>
        <v/>
      </c>
      <c r="C246" s="16" t="str">
        <f aca="false">IF($O246="","",IF($O246=0,INDEX(DayLines!$E$3:$E$608,MATCH(SMALL(DayLines!$C$3:$C$608,224),DayLines!$C$3:$C$608,0)),IF($O246=999,"",INDEX(DayLines!$D$3:$D$608,MATCH(SMALL(DayLines!$C$3:$C$608,224),DayLines!$C$3:$C$608,0)))))</f>
        <v/>
      </c>
      <c r="D246" s="15" t="str">
        <f aca="false">IF(OR($O246="",$O246=0,$O246=999),"",INDEX(DayLines!$F$3:$F$608,MATCH(SMALL(DayLines!$C$3:$C$608,224),DayLines!$C$3:$C$608,0)))</f>
        <v/>
      </c>
      <c r="E246" s="21" t="str">
        <f aca="false">IF(OR($O246="",$O246=0,$O246=999),"",INDEX(DayLines!$G$3:$G$608,MATCH(SMALL(DayLines!$C$3:$C$608,224),DayLines!$C$3:$C$608,0)))</f>
        <v/>
      </c>
      <c r="F246" s="15"/>
      <c r="G246" s="15"/>
      <c r="H246" s="15"/>
      <c r="I246" s="15"/>
      <c r="J246" s="15"/>
      <c r="K246" s="15"/>
      <c r="L246" s="15"/>
      <c r="M246" s="15"/>
      <c r="N246" s="15"/>
      <c r="O246" s="22" t="str">
        <f aca="false">IFERROR(MOD(SMALL(DayLines!$C$3:$C$608,224),1000),"")</f>
        <v/>
      </c>
    </row>
    <row r="247" customFormat="false" ht="15" hidden="false" customHeight="false" outlineLevel="0" collapsed="false">
      <c r="A247" s="15"/>
      <c r="B247" s="20" t="str">
        <f aca="false">IF($O247="","",IF($O247=0,INDEX(DayLines!$D$3:$D$608,MATCH(SMALL(DayLines!$C$3:$C$608,225),DayLines!$C$3:$C$608,0)),IF($O247=999,"",INDEX(DayLines!$E$3:$E$608,MATCH(SMALL(DayLines!$C$3:$C$608,225),DayLines!$C$3:$C$608,0)))))</f>
        <v/>
      </c>
      <c r="C247" s="16" t="str">
        <f aca="false">IF($O247="","",IF($O247=0,INDEX(DayLines!$E$3:$E$608,MATCH(SMALL(DayLines!$C$3:$C$608,225),DayLines!$C$3:$C$608,0)),IF($O247=999,"",INDEX(DayLines!$D$3:$D$608,MATCH(SMALL(DayLines!$C$3:$C$608,225),DayLines!$C$3:$C$608,0)))))</f>
        <v/>
      </c>
      <c r="D247" s="15" t="str">
        <f aca="false">IF(OR($O247="",$O247=0,$O247=999),"",INDEX(DayLines!$F$3:$F$608,MATCH(SMALL(DayLines!$C$3:$C$608,225),DayLines!$C$3:$C$608,0)))</f>
        <v/>
      </c>
      <c r="E247" s="21" t="str">
        <f aca="false">IF(OR($O247="",$O247=0,$O247=999),"",INDEX(DayLines!$G$3:$G$608,MATCH(SMALL(DayLines!$C$3:$C$608,225),DayLines!$C$3:$C$608,0)))</f>
        <v/>
      </c>
      <c r="F247" s="15"/>
      <c r="G247" s="15"/>
      <c r="H247" s="15"/>
      <c r="I247" s="15"/>
      <c r="J247" s="15"/>
      <c r="K247" s="15"/>
      <c r="L247" s="15"/>
      <c r="M247" s="15"/>
      <c r="N247" s="15"/>
      <c r="O247" s="22" t="str">
        <f aca="false">IFERROR(MOD(SMALL(DayLines!$C$3:$C$608,225),1000),"")</f>
        <v/>
      </c>
    </row>
    <row r="248" customFormat="false" ht="15" hidden="false" customHeight="false" outlineLevel="0" collapsed="false">
      <c r="A248" s="15"/>
      <c r="B248" s="20" t="str">
        <f aca="false">IF($O248="","",IF($O248=0,INDEX(DayLines!$D$3:$D$608,MATCH(SMALL(DayLines!$C$3:$C$608,226),DayLines!$C$3:$C$608,0)),IF($O248=999,"",INDEX(DayLines!$E$3:$E$608,MATCH(SMALL(DayLines!$C$3:$C$608,226),DayLines!$C$3:$C$608,0)))))</f>
        <v/>
      </c>
      <c r="C248" s="16" t="str">
        <f aca="false">IF($O248="","",IF($O248=0,INDEX(DayLines!$E$3:$E$608,MATCH(SMALL(DayLines!$C$3:$C$608,226),DayLines!$C$3:$C$608,0)),IF($O248=999,"",INDEX(DayLines!$D$3:$D$608,MATCH(SMALL(DayLines!$C$3:$C$608,226),DayLines!$C$3:$C$608,0)))))</f>
        <v/>
      </c>
      <c r="D248" s="15" t="str">
        <f aca="false">IF(OR($O248="",$O248=0,$O248=999),"",INDEX(DayLines!$F$3:$F$608,MATCH(SMALL(DayLines!$C$3:$C$608,226),DayLines!$C$3:$C$608,0)))</f>
        <v/>
      </c>
      <c r="E248" s="21" t="str">
        <f aca="false">IF(OR($O248="",$O248=0,$O248=999),"",INDEX(DayLines!$G$3:$G$608,MATCH(SMALL(DayLines!$C$3:$C$608,226),DayLines!$C$3:$C$608,0)))</f>
        <v/>
      </c>
      <c r="F248" s="15"/>
      <c r="G248" s="15"/>
      <c r="H248" s="15"/>
      <c r="I248" s="15"/>
      <c r="J248" s="15"/>
      <c r="K248" s="15"/>
      <c r="L248" s="15"/>
      <c r="M248" s="15"/>
      <c r="N248" s="15"/>
      <c r="O248" s="22" t="str">
        <f aca="false">IFERROR(MOD(SMALL(DayLines!$C$3:$C$608,226),1000),"")</f>
        <v/>
      </c>
    </row>
    <row r="249" customFormat="false" ht="15" hidden="false" customHeight="false" outlineLevel="0" collapsed="false">
      <c r="A249" s="15"/>
      <c r="B249" s="20" t="str">
        <f aca="false">IF($O249="","",IF($O249=0,INDEX(DayLines!$D$3:$D$608,MATCH(SMALL(DayLines!$C$3:$C$608,227),DayLines!$C$3:$C$608,0)),IF($O249=999,"",INDEX(DayLines!$E$3:$E$608,MATCH(SMALL(DayLines!$C$3:$C$608,227),DayLines!$C$3:$C$608,0)))))</f>
        <v/>
      </c>
      <c r="C249" s="16" t="str">
        <f aca="false">IF($O249="","",IF($O249=0,INDEX(DayLines!$E$3:$E$608,MATCH(SMALL(DayLines!$C$3:$C$608,227),DayLines!$C$3:$C$608,0)),IF($O249=999,"",INDEX(DayLines!$D$3:$D$608,MATCH(SMALL(DayLines!$C$3:$C$608,227),DayLines!$C$3:$C$608,0)))))</f>
        <v/>
      </c>
      <c r="D249" s="15" t="str">
        <f aca="false">IF(OR($O249="",$O249=0,$O249=999),"",INDEX(DayLines!$F$3:$F$608,MATCH(SMALL(DayLines!$C$3:$C$608,227),DayLines!$C$3:$C$608,0)))</f>
        <v/>
      </c>
      <c r="E249" s="21" t="str">
        <f aca="false">IF(OR($O249="",$O249=0,$O249=999),"",INDEX(DayLines!$G$3:$G$608,MATCH(SMALL(DayLines!$C$3:$C$608,227),DayLines!$C$3:$C$608,0)))</f>
        <v/>
      </c>
      <c r="F249" s="15"/>
      <c r="G249" s="15"/>
      <c r="H249" s="15"/>
      <c r="I249" s="15"/>
      <c r="J249" s="15"/>
      <c r="K249" s="15"/>
      <c r="L249" s="15"/>
      <c r="M249" s="15"/>
      <c r="N249" s="15"/>
      <c r="O249" s="22" t="str">
        <f aca="false">IFERROR(MOD(SMALL(DayLines!$C$3:$C$608,227),1000),"")</f>
        <v/>
      </c>
    </row>
    <row r="250" customFormat="false" ht="15" hidden="false" customHeight="false" outlineLevel="0" collapsed="false">
      <c r="A250" s="15"/>
      <c r="B250" s="20" t="str">
        <f aca="false">IF($O250="","",IF($O250=0,INDEX(DayLines!$D$3:$D$608,MATCH(SMALL(DayLines!$C$3:$C$608,228),DayLines!$C$3:$C$608,0)),IF($O250=999,"",INDEX(DayLines!$E$3:$E$608,MATCH(SMALL(DayLines!$C$3:$C$608,228),DayLines!$C$3:$C$608,0)))))</f>
        <v/>
      </c>
      <c r="C250" s="16" t="str">
        <f aca="false">IF($O250="","",IF($O250=0,INDEX(DayLines!$E$3:$E$608,MATCH(SMALL(DayLines!$C$3:$C$608,228),DayLines!$C$3:$C$608,0)),IF($O250=999,"",INDEX(DayLines!$D$3:$D$608,MATCH(SMALL(DayLines!$C$3:$C$608,228),DayLines!$C$3:$C$608,0)))))</f>
        <v/>
      </c>
      <c r="D250" s="15" t="str">
        <f aca="false">IF(OR($O250="",$O250=0,$O250=999),"",INDEX(DayLines!$F$3:$F$608,MATCH(SMALL(DayLines!$C$3:$C$608,228),DayLines!$C$3:$C$608,0)))</f>
        <v/>
      </c>
      <c r="E250" s="21" t="str">
        <f aca="false">IF(OR($O250="",$O250=0,$O250=999),"",INDEX(DayLines!$G$3:$G$608,MATCH(SMALL(DayLines!$C$3:$C$608,228),DayLines!$C$3:$C$608,0)))</f>
        <v/>
      </c>
      <c r="F250" s="15"/>
      <c r="G250" s="15"/>
      <c r="H250" s="15"/>
      <c r="I250" s="15"/>
      <c r="J250" s="15"/>
      <c r="K250" s="15"/>
      <c r="L250" s="15"/>
      <c r="M250" s="15"/>
      <c r="N250" s="15"/>
      <c r="O250" s="22" t="str">
        <f aca="false">IFERROR(MOD(SMALL(DayLines!$C$3:$C$608,228),1000),"")</f>
        <v/>
      </c>
    </row>
    <row r="251" customFormat="false" ht="15" hidden="false" customHeight="false" outlineLevel="0" collapsed="false">
      <c r="A251" s="15"/>
      <c r="B251" s="20" t="str">
        <f aca="false">IF($O251="","",IF($O251=0,INDEX(DayLines!$D$3:$D$608,MATCH(SMALL(DayLines!$C$3:$C$608,229),DayLines!$C$3:$C$608,0)),IF($O251=999,"",INDEX(DayLines!$E$3:$E$608,MATCH(SMALL(DayLines!$C$3:$C$608,229),DayLines!$C$3:$C$608,0)))))</f>
        <v/>
      </c>
      <c r="C251" s="16" t="str">
        <f aca="false">IF($O251="","",IF($O251=0,INDEX(DayLines!$E$3:$E$608,MATCH(SMALL(DayLines!$C$3:$C$608,229),DayLines!$C$3:$C$608,0)),IF($O251=999,"",INDEX(DayLines!$D$3:$D$608,MATCH(SMALL(DayLines!$C$3:$C$608,229),DayLines!$C$3:$C$608,0)))))</f>
        <v/>
      </c>
      <c r="D251" s="15" t="str">
        <f aca="false">IF(OR($O251="",$O251=0,$O251=999),"",INDEX(DayLines!$F$3:$F$608,MATCH(SMALL(DayLines!$C$3:$C$608,229),DayLines!$C$3:$C$608,0)))</f>
        <v/>
      </c>
      <c r="E251" s="21" t="str">
        <f aca="false">IF(OR($O251="",$O251=0,$O251=999),"",INDEX(DayLines!$G$3:$G$608,MATCH(SMALL(DayLines!$C$3:$C$608,229),DayLines!$C$3:$C$608,0)))</f>
        <v/>
      </c>
      <c r="F251" s="15"/>
      <c r="G251" s="15"/>
      <c r="H251" s="15"/>
      <c r="I251" s="15"/>
      <c r="J251" s="15"/>
      <c r="K251" s="15"/>
      <c r="L251" s="15"/>
      <c r="M251" s="15"/>
      <c r="N251" s="15"/>
      <c r="O251" s="22" t="str">
        <f aca="false">IFERROR(MOD(SMALL(DayLines!$C$3:$C$608,229),1000),"")</f>
        <v/>
      </c>
    </row>
    <row r="252" customFormat="false" ht="15" hidden="false" customHeight="false" outlineLevel="0" collapsed="false">
      <c r="A252" s="15"/>
      <c r="B252" s="20" t="str">
        <f aca="false">IF($O252="","",IF($O252=0,INDEX(DayLines!$D$3:$D$608,MATCH(SMALL(DayLines!$C$3:$C$608,230),DayLines!$C$3:$C$608,0)),IF($O252=999,"",INDEX(DayLines!$E$3:$E$608,MATCH(SMALL(DayLines!$C$3:$C$608,230),DayLines!$C$3:$C$608,0)))))</f>
        <v/>
      </c>
      <c r="C252" s="16" t="str">
        <f aca="false">IF($O252="","",IF($O252=0,INDEX(DayLines!$E$3:$E$608,MATCH(SMALL(DayLines!$C$3:$C$608,230),DayLines!$C$3:$C$608,0)),IF($O252=999,"",INDEX(DayLines!$D$3:$D$608,MATCH(SMALL(DayLines!$C$3:$C$608,230),DayLines!$C$3:$C$608,0)))))</f>
        <v/>
      </c>
      <c r="D252" s="15" t="str">
        <f aca="false">IF(OR($O252="",$O252=0,$O252=999),"",INDEX(DayLines!$F$3:$F$608,MATCH(SMALL(DayLines!$C$3:$C$608,230),DayLines!$C$3:$C$608,0)))</f>
        <v/>
      </c>
      <c r="E252" s="21" t="str">
        <f aca="false">IF(OR($O252="",$O252=0,$O252=999),"",INDEX(DayLines!$G$3:$G$608,MATCH(SMALL(DayLines!$C$3:$C$608,230),DayLines!$C$3:$C$608,0)))</f>
        <v/>
      </c>
      <c r="F252" s="15"/>
      <c r="G252" s="15"/>
      <c r="H252" s="15"/>
      <c r="I252" s="15"/>
      <c r="J252" s="15"/>
      <c r="K252" s="15"/>
      <c r="L252" s="15"/>
      <c r="M252" s="15"/>
      <c r="N252" s="15"/>
      <c r="O252" s="22" t="str">
        <f aca="false">IFERROR(MOD(SMALL(DayLines!$C$3:$C$608,230),1000),"")</f>
        <v/>
      </c>
    </row>
    <row r="253" customFormat="false" ht="15" hidden="false" customHeight="false" outlineLevel="0" collapsed="false">
      <c r="A253" s="15"/>
      <c r="B253" s="20" t="str">
        <f aca="false">IF($O253="","",IF($O253=0,INDEX(DayLines!$D$3:$D$608,MATCH(SMALL(DayLines!$C$3:$C$608,231),DayLines!$C$3:$C$608,0)),IF($O253=999,"",INDEX(DayLines!$E$3:$E$608,MATCH(SMALL(DayLines!$C$3:$C$608,231),DayLines!$C$3:$C$608,0)))))</f>
        <v/>
      </c>
      <c r="C253" s="16" t="str">
        <f aca="false">IF($O253="","",IF($O253=0,INDEX(DayLines!$E$3:$E$608,MATCH(SMALL(DayLines!$C$3:$C$608,231),DayLines!$C$3:$C$608,0)),IF($O253=999,"",INDEX(DayLines!$D$3:$D$608,MATCH(SMALL(DayLines!$C$3:$C$608,231),DayLines!$C$3:$C$608,0)))))</f>
        <v/>
      </c>
      <c r="D253" s="15" t="str">
        <f aca="false">IF(OR($O253="",$O253=0,$O253=999),"",INDEX(DayLines!$F$3:$F$608,MATCH(SMALL(DayLines!$C$3:$C$608,231),DayLines!$C$3:$C$608,0)))</f>
        <v/>
      </c>
      <c r="E253" s="21" t="str">
        <f aca="false">IF(OR($O253="",$O253=0,$O253=999),"",INDEX(DayLines!$G$3:$G$608,MATCH(SMALL(DayLines!$C$3:$C$608,231),DayLines!$C$3:$C$608,0)))</f>
        <v/>
      </c>
      <c r="F253" s="15"/>
      <c r="G253" s="15"/>
      <c r="H253" s="15"/>
      <c r="I253" s="15"/>
      <c r="J253" s="15"/>
      <c r="K253" s="15"/>
      <c r="L253" s="15"/>
      <c r="M253" s="15"/>
      <c r="N253" s="15"/>
      <c r="O253" s="22" t="str">
        <f aca="false">IFERROR(MOD(SMALL(DayLines!$C$3:$C$608,231),1000),"")</f>
        <v/>
      </c>
    </row>
    <row r="254" customFormat="false" ht="15" hidden="false" customHeight="false" outlineLevel="0" collapsed="false">
      <c r="A254" s="15"/>
      <c r="B254" s="20" t="str">
        <f aca="false">IF($O254="","",IF($O254=0,INDEX(DayLines!$D$3:$D$608,MATCH(SMALL(DayLines!$C$3:$C$608,232),DayLines!$C$3:$C$608,0)),IF($O254=999,"",INDEX(DayLines!$E$3:$E$608,MATCH(SMALL(DayLines!$C$3:$C$608,232),DayLines!$C$3:$C$608,0)))))</f>
        <v/>
      </c>
      <c r="C254" s="16" t="str">
        <f aca="false">IF($O254="","",IF($O254=0,INDEX(DayLines!$E$3:$E$608,MATCH(SMALL(DayLines!$C$3:$C$608,232),DayLines!$C$3:$C$608,0)),IF($O254=999,"",INDEX(DayLines!$D$3:$D$608,MATCH(SMALL(DayLines!$C$3:$C$608,232),DayLines!$C$3:$C$608,0)))))</f>
        <v/>
      </c>
      <c r="D254" s="15" t="str">
        <f aca="false">IF(OR($O254="",$O254=0,$O254=999),"",INDEX(DayLines!$F$3:$F$608,MATCH(SMALL(DayLines!$C$3:$C$608,232),DayLines!$C$3:$C$608,0)))</f>
        <v/>
      </c>
      <c r="E254" s="21" t="str">
        <f aca="false">IF(OR($O254="",$O254=0,$O254=999),"",INDEX(DayLines!$G$3:$G$608,MATCH(SMALL(DayLines!$C$3:$C$608,232),DayLines!$C$3:$C$608,0)))</f>
        <v/>
      </c>
      <c r="F254" s="15"/>
      <c r="G254" s="15"/>
      <c r="H254" s="15"/>
      <c r="I254" s="15"/>
      <c r="J254" s="15"/>
      <c r="K254" s="15"/>
      <c r="L254" s="15"/>
      <c r="M254" s="15"/>
      <c r="N254" s="15"/>
      <c r="O254" s="22" t="str">
        <f aca="false">IFERROR(MOD(SMALL(DayLines!$C$3:$C$608,232),1000),"")</f>
        <v/>
      </c>
    </row>
    <row r="255" customFormat="false" ht="15" hidden="false" customHeight="false" outlineLevel="0" collapsed="false">
      <c r="A255" s="15"/>
      <c r="B255" s="20" t="str">
        <f aca="false">IF($O255="","",IF($O255=0,INDEX(DayLines!$D$3:$D$608,MATCH(SMALL(DayLines!$C$3:$C$608,233),DayLines!$C$3:$C$608,0)),IF($O255=999,"",INDEX(DayLines!$E$3:$E$608,MATCH(SMALL(DayLines!$C$3:$C$608,233),DayLines!$C$3:$C$608,0)))))</f>
        <v/>
      </c>
      <c r="C255" s="16" t="str">
        <f aca="false">IF($O255="","",IF($O255=0,INDEX(DayLines!$E$3:$E$608,MATCH(SMALL(DayLines!$C$3:$C$608,233),DayLines!$C$3:$C$608,0)),IF($O255=999,"",INDEX(DayLines!$D$3:$D$608,MATCH(SMALL(DayLines!$C$3:$C$608,233),DayLines!$C$3:$C$608,0)))))</f>
        <v/>
      </c>
      <c r="D255" s="15" t="str">
        <f aca="false">IF(OR($O255="",$O255=0,$O255=999),"",INDEX(DayLines!$F$3:$F$608,MATCH(SMALL(DayLines!$C$3:$C$608,233),DayLines!$C$3:$C$608,0)))</f>
        <v/>
      </c>
      <c r="E255" s="21" t="str">
        <f aca="false">IF(OR($O255="",$O255=0,$O255=999),"",INDEX(DayLines!$G$3:$G$608,MATCH(SMALL(DayLines!$C$3:$C$608,233),DayLines!$C$3:$C$608,0)))</f>
        <v/>
      </c>
      <c r="F255" s="15"/>
      <c r="G255" s="15"/>
      <c r="H255" s="15"/>
      <c r="I255" s="15"/>
      <c r="J255" s="15"/>
      <c r="K255" s="15"/>
      <c r="L255" s="15"/>
      <c r="M255" s="15"/>
      <c r="N255" s="15"/>
      <c r="O255" s="22" t="str">
        <f aca="false">IFERROR(MOD(SMALL(DayLines!$C$3:$C$608,233),1000),"")</f>
        <v/>
      </c>
    </row>
    <row r="256" customFormat="false" ht="15" hidden="false" customHeight="false" outlineLevel="0" collapsed="false">
      <c r="A256" s="15"/>
      <c r="B256" s="20" t="str">
        <f aca="false">IF($O256="","",IF($O256=0,INDEX(DayLines!$D$3:$D$608,MATCH(SMALL(DayLines!$C$3:$C$608,234),DayLines!$C$3:$C$608,0)),IF($O256=999,"",INDEX(DayLines!$E$3:$E$608,MATCH(SMALL(DayLines!$C$3:$C$608,234),DayLines!$C$3:$C$608,0)))))</f>
        <v/>
      </c>
      <c r="C256" s="16" t="str">
        <f aca="false">IF($O256="","",IF($O256=0,INDEX(DayLines!$E$3:$E$608,MATCH(SMALL(DayLines!$C$3:$C$608,234),DayLines!$C$3:$C$608,0)),IF($O256=999,"",INDEX(DayLines!$D$3:$D$608,MATCH(SMALL(DayLines!$C$3:$C$608,234),DayLines!$C$3:$C$608,0)))))</f>
        <v/>
      </c>
      <c r="D256" s="15" t="str">
        <f aca="false">IF(OR($O256="",$O256=0,$O256=999),"",INDEX(DayLines!$F$3:$F$608,MATCH(SMALL(DayLines!$C$3:$C$608,234),DayLines!$C$3:$C$608,0)))</f>
        <v/>
      </c>
      <c r="E256" s="21" t="str">
        <f aca="false">IF(OR($O256="",$O256=0,$O256=999),"",INDEX(DayLines!$G$3:$G$608,MATCH(SMALL(DayLines!$C$3:$C$608,234),DayLines!$C$3:$C$608,0)))</f>
        <v/>
      </c>
      <c r="F256" s="15"/>
      <c r="G256" s="15"/>
      <c r="H256" s="15"/>
      <c r="I256" s="15"/>
      <c r="J256" s="15"/>
      <c r="K256" s="15"/>
      <c r="L256" s="15"/>
      <c r="M256" s="15"/>
      <c r="N256" s="15"/>
      <c r="O256" s="22" t="str">
        <f aca="false">IFERROR(MOD(SMALL(DayLines!$C$3:$C$608,234),1000),"")</f>
        <v/>
      </c>
    </row>
    <row r="257" customFormat="false" ht="15" hidden="false" customHeight="false" outlineLevel="0" collapsed="false">
      <c r="A257" s="15"/>
      <c r="B257" s="20" t="str">
        <f aca="false">IF($O257="","",IF($O257=0,INDEX(DayLines!$D$3:$D$608,MATCH(SMALL(DayLines!$C$3:$C$608,235),DayLines!$C$3:$C$608,0)),IF($O257=999,"",INDEX(DayLines!$E$3:$E$608,MATCH(SMALL(DayLines!$C$3:$C$608,235),DayLines!$C$3:$C$608,0)))))</f>
        <v/>
      </c>
      <c r="C257" s="16" t="str">
        <f aca="false">IF($O257="","",IF($O257=0,INDEX(DayLines!$E$3:$E$608,MATCH(SMALL(DayLines!$C$3:$C$608,235),DayLines!$C$3:$C$608,0)),IF($O257=999,"",INDEX(DayLines!$D$3:$D$608,MATCH(SMALL(DayLines!$C$3:$C$608,235),DayLines!$C$3:$C$608,0)))))</f>
        <v/>
      </c>
      <c r="D257" s="15" t="str">
        <f aca="false">IF(OR($O257="",$O257=0,$O257=999),"",INDEX(DayLines!$F$3:$F$608,MATCH(SMALL(DayLines!$C$3:$C$608,235),DayLines!$C$3:$C$608,0)))</f>
        <v/>
      </c>
      <c r="E257" s="21" t="str">
        <f aca="false">IF(OR($O257="",$O257=0,$O257=999),"",INDEX(DayLines!$G$3:$G$608,MATCH(SMALL(DayLines!$C$3:$C$608,235),DayLines!$C$3:$C$608,0)))</f>
        <v/>
      </c>
      <c r="F257" s="15"/>
      <c r="G257" s="15"/>
      <c r="H257" s="15"/>
      <c r="I257" s="15"/>
      <c r="J257" s="15"/>
      <c r="K257" s="15"/>
      <c r="L257" s="15"/>
      <c r="M257" s="15"/>
      <c r="N257" s="15"/>
      <c r="O257" s="22" t="str">
        <f aca="false">IFERROR(MOD(SMALL(DayLines!$C$3:$C$608,235),1000),"")</f>
        <v/>
      </c>
    </row>
    <row r="258" customFormat="false" ht="15" hidden="false" customHeight="false" outlineLevel="0" collapsed="false">
      <c r="A258" s="15"/>
      <c r="B258" s="20" t="str">
        <f aca="false">IF($O258="","",IF($O258=0,INDEX(DayLines!$D$3:$D$608,MATCH(SMALL(DayLines!$C$3:$C$608,236),DayLines!$C$3:$C$608,0)),IF($O258=999,"",INDEX(DayLines!$E$3:$E$608,MATCH(SMALL(DayLines!$C$3:$C$608,236),DayLines!$C$3:$C$608,0)))))</f>
        <v/>
      </c>
      <c r="C258" s="16" t="str">
        <f aca="false">IF($O258="","",IF($O258=0,INDEX(DayLines!$E$3:$E$608,MATCH(SMALL(DayLines!$C$3:$C$608,236),DayLines!$C$3:$C$608,0)),IF($O258=999,"",INDEX(DayLines!$D$3:$D$608,MATCH(SMALL(DayLines!$C$3:$C$608,236),DayLines!$C$3:$C$608,0)))))</f>
        <v/>
      </c>
      <c r="D258" s="15" t="str">
        <f aca="false">IF(OR($O258="",$O258=0,$O258=999),"",INDEX(DayLines!$F$3:$F$608,MATCH(SMALL(DayLines!$C$3:$C$608,236),DayLines!$C$3:$C$608,0)))</f>
        <v/>
      </c>
      <c r="E258" s="21" t="str">
        <f aca="false">IF(OR($O258="",$O258=0,$O258=999),"",INDEX(DayLines!$G$3:$G$608,MATCH(SMALL(DayLines!$C$3:$C$608,236),DayLines!$C$3:$C$608,0)))</f>
        <v/>
      </c>
      <c r="F258" s="15"/>
      <c r="G258" s="15"/>
      <c r="H258" s="15"/>
      <c r="I258" s="15"/>
      <c r="J258" s="15"/>
      <c r="K258" s="15"/>
      <c r="L258" s="15"/>
      <c r="M258" s="15"/>
      <c r="N258" s="15"/>
      <c r="O258" s="22" t="str">
        <f aca="false">IFERROR(MOD(SMALL(DayLines!$C$3:$C$608,236),1000),"")</f>
        <v/>
      </c>
    </row>
    <row r="259" customFormat="false" ht="15" hidden="false" customHeight="false" outlineLevel="0" collapsed="false">
      <c r="A259" s="15"/>
      <c r="B259" s="20" t="str">
        <f aca="false">IF($O259="","",IF($O259=0,INDEX(DayLines!$D$3:$D$608,MATCH(SMALL(DayLines!$C$3:$C$608,237),DayLines!$C$3:$C$608,0)),IF($O259=999,"",INDEX(DayLines!$E$3:$E$608,MATCH(SMALL(DayLines!$C$3:$C$608,237),DayLines!$C$3:$C$608,0)))))</f>
        <v/>
      </c>
      <c r="C259" s="16" t="str">
        <f aca="false">IF($O259="","",IF($O259=0,INDEX(DayLines!$E$3:$E$608,MATCH(SMALL(DayLines!$C$3:$C$608,237),DayLines!$C$3:$C$608,0)),IF($O259=999,"",INDEX(DayLines!$D$3:$D$608,MATCH(SMALL(DayLines!$C$3:$C$608,237),DayLines!$C$3:$C$608,0)))))</f>
        <v/>
      </c>
      <c r="D259" s="15" t="str">
        <f aca="false">IF(OR($O259="",$O259=0,$O259=999),"",INDEX(DayLines!$F$3:$F$608,MATCH(SMALL(DayLines!$C$3:$C$608,237),DayLines!$C$3:$C$608,0)))</f>
        <v/>
      </c>
      <c r="E259" s="21" t="str">
        <f aca="false">IF(OR($O259="",$O259=0,$O259=999),"",INDEX(DayLines!$G$3:$G$608,MATCH(SMALL(DayLines!$C$3:$C$608,237),DayLines!$C$3:$C$608,0)))</f>
        <v/>
      </c>
      <c r="F259" s="15"/>
      <c r="G259" s="15"/>
      <c r="H259" s="15"/>
      <c r="I259" s="15"/>
      <c r="J259" s="15"/>
      <c r="K259" s="15"/>
      <c r="L259" s="15"/>
      <c r="M259" s="15"/>
      <c r="N259" s="15"/>
      <c r="O259" s="22" t="str">
        <f aca="false">IFERROR(MOD(SMALL(DayLines!$C$3:$C$608,237),1000),"")</f>
        <v/>
      </c>
    </row>
    <row r="260" customFormat="false" ht="15" hidden="false" customHeight="false" outlineLevel="0" collapsed="false">
      <c r="A260" s="15"/>
      <c r="B260" s="20" t="str">
        <f aca="false">IF($O260="","",IF($O260=0,INDEX(DayLines!$D$3:$D$608,MATCH(SMALL(DayLines!$C$3:$C$608,238),DayLines!$C$3:$C$608,0)),IF($O260=999,"",INDEX(DayLines!$E$3:$E$608,MATCH(SMALL(DayLines!$C$3:$C$608,238),DayLines!$C$3:$C$608,0)))))</f>
        <v/>
      </c>
      <c r="C260" s="16" t="str">
        <f aca="false">IF($O260="","",IF($O260=0,INDEX(DayLines!$E$3:$E$608,MATCH(SMALL(DayLines!$C$3:$C$608,238),DayLines!$C$3:$C$608,0)),IF($O260=999,"",INDEX(DayLines!$D$3:$D$608,MATCH(SMALL(DayLines!$C$3:$C$608,238),DayLines!$C$3:$C$608,0)))))</f>
        <v/>
      </c>
      <c r="D260" s="15" t="str">
        <f aca="false">IF(OR($O260="",$O260=0,$O260=999),"",INDEX(DayLines!$F$3:$F$608,MATCH(SMALL(DayLines!$C$3:$C$608,238),DayLines!$C$3:$C$608,0)))</f>
        <v/>
      </c>
      <c r="E260" s="21" t="str">
        <f aca="false">IF(OR($O260="",$O260=0,$O260=999),"",INDEX(DayLines!$G$3:$G$608,MATCH(SMALL(DayLines!$C$3:$C$608,238),DayLines!$C$3:$C$608,0)))</f>
        <v/>
      </c>
      <c r="F260" s="15"/>
      <c r="G260" s="15"/>
      <c r="H260" s="15"/>
      <c r="I260" s="15"/>
      <c r="J260" s="15"/>
      <c r="K260" s="15"/>
      <c r="L260" s="15"/>
      <c r="M260" s="15"/>
      <c r="N260" s="15"/>
      <c r="O260" s="22" t="str">
        <f aca="false">IFERROR(MOD(SMALL(DayLines!$C$3:$C$608,238),1000),"")</f>
        <v/>
      </c>
    </row>
    <row r="261" customFormat="false" ht="15" hidden="false" customHeight="false" outlineLevel="0" collapsed="false">
      <c r="A261" s="15"/>
      <c r="B261" s="20" t="str">
        <f aca="false">IF($O261="","",IF($O261=0,INDEX(DayLines!$D$3:$D$608,MATCH(SMALL(DayLines!$C$3:$C$608,239),DayLines!$C$3:$C$608,0)),IF($O261=999,"",INDEX(DayLines!$E$3:$E$608,MATCH(SMALL(DayLines!$C$3:$C$608,239),DayLines!$C$3:$C$608,0)))))</f>
        <v/>
      </c>
      <c r="C261" s="16" t="str">
        <f aca="false">IF($O261="","",IF($O261=0,INDEX(DayLines!$E$3:$E$608,MATCH(SMALL(DayLines!$C$3:$C$608,239),DayLines!$C$3:$C$608,0)),IF($O261=999,"",INDEX(DayLines!$D$3:$D$608,MATCH(SMALL(DayLines!$C$3:$C$608,239),DayLines!$C$3:$C$608,0)))))</f>
        <v/>
      </c>
      <c r="D261" s="15" t="str">
        <f aca="false">IF(OR($O261="",$O261=0,$O261=999),"",INDEX(DayLines!$F$3:$F$608,MATCH(SMALL(DayLines!$C$3:$C$608,239),DayLines!$C$3:$C$608,0)))</f>
        <v/>
      </c>
      <c r="E261" s="21" t="str">
        <f aca="false">IF(OR($O261="",$O261=0,$O261=999),"",INDEX(DayLines!$G$3:$G$608,MATCH(SMALL(DayLines!$C$3:$C$608,239),DayLines!$C$3:$C$608,0)))</f>
        <v/>
      </c>
      <c r="F261" s="15"/>
      <c r="G261" s="15"/>
      <c r="H261" s="15"/>
      <c r="I261" s="15"/>
      <c r="J261" s="15"/>
      <c r="K261" s="15"/>
      <c r="L261" s="15"/>
      <c r="M261" s="15"/>
      <c r="N261" s="15"/>
      <c r="O261" s="22" t="str">
        <f aca="false">IFERROR(MOD(SMALL(DayLines!$C$3:$C$608,239),1000),"")</f>
        <v/>
      </c>
    </row>
    <row r="262" customFormat="false" ht="15" hidden="false" customHeight="false" outlineLevel="0" collapsed="false">
      <c r="A262" s="15"/>
      <c r="B262" s="20" t="str">
        <f aca="false">IF($O262="","",IF($O262=0,INDEX(DayLines!$D$3:$D$608,MATCH(SMALL(DayLines!$C$3:$C$608,240),DayLines!$C$3:$C$608,0)),IF($O262=999,"",INDEX(DayLines!$E$3:$E$608,MATCH(SMALL(DayLines!$C$3:$C$608,240),DayLines!$C$3:$C$608,0)))))</f>
        <v/>
      </c>
      <c r="C262" s="16" t="str">
        <f aca="false">IF($O262="","",IF($O262=0,INDEX(DayLines!$E$3:$E$608,MATCH(SMALL(DayLines!$C$3:$C$608,240),DayLines!$C$3:$C$608,0)),IF($O262=999,"",INDEX(DayLines!$D$3:$D$608,MATCH(SMALL(DayLines!$C$3:$C$608,240),DayLines!$C$3:$C$608,0)))))</f>
        <v/>
      </c>
      <c r="D262" s="15" t="str">
        <f aca="false">IF(OR($O262="",$O262=0,$O262=999),"",INDEX(DayLines!$F$3:$F$608,MATCH(SMALL(DayLines!$C$3:$C$608,240),DayLines!$C$3:$C$608,0)))</f>
        <v/>
      </c>
      <c r="E262" s="21" t="str">
        <f aca="false">IF(OR($O262="",$O262=0,$O262=999),"",INDEX(DayLines!$G$3:$G$608,MATCH(SMALL(DayLines!$C$3:$C$608,240),DayLines!$C$3:$C$608,0)))</f>
        <v/>
      </c>
      <c r="F262" s="15"/>
      <c r="G262" s="15"/>
      <c r="H262" s="15"/>
      <c r="I262" s="15"/>
      <c r="J262" s="15"/>
      <c r="K262" s="15"/>
      <c r="L262" s="15"/>
      <c r="M262" s="15"/>
      <c r="N262" s="15"/>
      <c r="O262" s="22" t="str">
        <f aca="false">IFERROR(MOD(SMALL(DayLines!$C$3:$C$608,240),1000),"")</f>
        <v/>
      </c>
    </row>
    <row r="263" customFormat="false" ht="15" hidden="false" customHeight="false" outlineLevel="0" collapsed="false">
      <c r="A263" s="15"/>
      <c r="B263" s="20" t="str">
        <f aca="false">IF($O263="","",IF($O263=0,INDEX(DayLines!$D$3:$D$608,MATCH(SMALL(DayLines!$C$3:$C$608,241),DayLines!$C$3:$C$608,0)),IF($O263=999,"",INDEX(DayLines!$E$3:$E$608,MATCH(SMALL(DayLines!$C$3:$C$608,241),DayLines!$C$3:$C$608,0)))))</f>
        <v/>
      </c>
      <c r="C263" s="16" t="str">
        <f aca="false">IF($O263="","",IF($O263=0,INDEX(DayLines!$E$3:$E$608,MATCH(SMALL(DayLines!$C$3:$C$608,241),DayLines!$C$3:$C$608,0)),IF($O263=999,"",INDEX(DayLines!$D$3:$D$608,MATCH(SMALL(DayLines!$C$3:$C$608,241),DayLines!$C$3:$C$608,0)))))</f>
        <v/>
      </c>
      <c r="D263" s="15" t="str">
        <f aca="false">IF(OR($O263="",$O263=0,$O263=999),"",INDEX(DayLines!$F$3:$F$608,MATCH(SMALL(DayLines!$C$3:$C$608,241),DayLines!$C$3:$C$608,0)))</f>
        <v/>
      </c>
      <c r="E263" s="21" t="str">
        <f aca="false">IF(OR($O263="",$O263=0,$O263=999),"",INDEX(DayLines!$G$3:$G$608,MATCH(SMALL(DayLines!$C$3:$C$608,241),DayLines!$C$3:$C$608,0)))</f>
        <v/>
      </c>
      <c r="F263" s="15"/>
      <c r="G263" s="15"/>
      <c r="H263" s="15"/>
      <c r="I263" s="15"/>
      <c r="J263" s="15"/>
      <c r="K263" s="15"/>
      <c r="L263" s="15"/>
      <c r="M263" s="15"/>
      <c r="N263" s="15"/>
      <c r="O263" s="22" t="str">
        <f aca="false">IFERROR(MOD(SMALL(DayLines!$C$3:$C$608,241),1000),"")</f>
        <v/>
      </c>
    </row>
    <row r="264" customFormat="false" ht="15" hidden="false" customHeight="false" outlineLevel="0" collapsed="false">
      <c r="A264" s="15"/>
      <c r="B264" s="20" t="str">
        <f aca="false">IF($O264="","",IF($O264=0,INDEX(DayLines!$D$3:$D$608,MATCH(SMALL(DayLines!$C$3:$C$608,242),DayLines!$C$3:$C$608,0)),IF($O264=999,"",INDEX(DayLines!$E$3:$E$608,MATCH(SMALL(DayLines!$C$3:$C$608,242),DayLines!$C$3:$C$608,0)))))</f>
        <v/>
      </c>
      <c r="C264" s="16" t="str">
        <f aca="false">IF($O264="","",IF($O264=0,INDEX(DayLines!$E$3:$E$608,MATCH(SMALL(DayLines!$C$3:$C$608,242),DayLines!$C$3:$C$608,0)),IF($O264=999,"",INDEX(DayLines!$D$3:$D$608,MATCH(SMALL(DayLines!$C$3:$C$608,242),DayLines!$C$3:$C$608,0)))))</f>
        <v/>
      </c>
      <c r="D264" s="15" t="str">
        <f aca="false">IF(OR($O264="",$O264=0,$O264=999),"",INDEX(DayLines!$F$3:$F$608,MATCH(SMALL(DayLines!$C$3:$C$608,242),DayLines!$C$3:$C$608,0)))</f>
        <v/>
      </c>
      <c r="E264" s="21" t="str">
        <f aca="false">IF(OR($O264="",$O264=0,$O264=999),"",INDEX(DayLines!$G$3:$G$608,MATCH(SMALL(DayLines!$C$3:$C$608,242),DayLines!$C$3:$C$608,0)))</f>
        <v/>
      </c>
      <c r="F264" s="15"/>
      <c r="G264" s="15"/>
      <c r="H264" s="15"/>
      <c r="I264" s="15"/>
      <c r="J264" s="15"/>
      <c r="K264" s="15"/>
      <c r="L264" s="15"/>
      <c r="M264" s="15"/>
      <c r="N264" s="15"/>
      <c r="O264" s="22" t="str">
        <f aca="false">IFERROR(MOD(SMALL(DayLines!$C$3:$C$608,242),1000),"")</f>
        <v/>
      </c>
    </row>
    <row r="265" customFormat="false" ht="15" hidden="false" customHeight="false" outlineLevel="0" collapsed="false">
      <c r="A265" s="15"/>
      <c r="B265" s="20" t="str">
        <f aca="false">IF($O265="","",IF($O265=0,INDEX(DayLines!$D$3:$D$608,MATCH(SMALL(DayLines!$C$3:$C$608,243),DayLines!$C$3:$C$608,0)),IF($O265=999,"",INDEX(DayLines!$E$3:$E$608,MATCH(SMALL(DayLines!$C$3:$C$608,243),DayLines!$C$3:$C$608,0)))))</f>
        <v/>
      </c>
      <c r="C265" s="16" t="str">
        <f aca="false">IF($O265="","",IF($O265=0,INDEX(DayLines!$E$3:$E$608,MATCH(SMALL(DayLines!$C$3:$C$608,243),DayLines!$C$3:$C$608,0)),IF($O265=999,"",INDEX(DayLines!$D$3:$D$608,MATCH(SMALL(DayLines!$C$3:$C$608,243),DayLines!$C$3:$C$608,0)))))</f>
        <v/>
      </c>
      <c r="D265" s="15" t="str">
        <f aca="false">IF(OR($O265="",$O265=0,$O265=999),"",INDEX(DayLines!$F$3:$F$608,MATCH(SMALL(DayLines!$C$3:$C$608,243),DayLines!$C$3:$C$608,0)))</f>
        <v/>
      </c>
      <c r="E265" s="21" t="str">
        <f aca="false">IF(OR($O265="",$O265=0,$O265=999),"",INDEX(DayLines!$G$3:$G$608,MATCH(SMALL(DayLines!$C$3:$C$608,243),DayLines!$C$3:$C$608,0)))</f>
        <v/>
      </c>
      <c r="F265" s="15"/>
      <c r="G265" s="15"/>
      <c r="H265" s="15"/>
      <c r="I265" s="15"/>
      <c r="J265" s="15"/>
      <c r="K265" s="15"/>
      <c r="L265" s="15"/>
      <c r="M265" s="15"/>
      <c r="N265" s="15"/>
      <c r="O265" s="22" t="str">
        <f aca="false">IFERROR(MOD(SMALL(DayLines!$C$3:$C$608,243),1000),"")</f>
        <v/>
      </c>
    </row>
    <row r="266" customFormat="false" ht="15" hidden="false" customHeight="false" outlineLevel="0" collapsed="false">
      <c r="A266" s="15"/>
      <c r="B266" s="20" t="str">
        <f aca="false">IF($O266="","",IF($O266=0,INDEX(DayLines!$D$3:$D$608,MATCH(SMALL(DayLines!$C$3:$C$608,244),DayLines!$C$3:$C$608,0)),IF($O266=999,"",INDEX(DayLines!$E$3:$E$608,MATCH(SMALL(DayLines!$C$3:$C$608,244),DayLines!$C$3:$C$608,0)))))</f>
        <v/>
      </c>
      <c r="C266" s="16" t="str">
        <f aca="false">IF($O266="","",IF($O266=0,INDEX(DayLines!$E$3:$E$608,MATCH(SMALL(DayLines!$C$3:$C$608,244),DayLines!$C$3:$C$608,0)),IF($O266=999,"",INDEX(DayLines!$D$3:$D$608,MATCH(SMALL(DayLines!$C$3:$C$608,244),DayLines!$C$3:$C$608,0)))))</f>
        <v/>
      </c>
      <c r="D266" s="15" t="str">
        <f aca="false">IF(OR($O266="",$O266=0,$O266=999),"",INDEX(DayLines!$F$3:$F$608,MATCH(SMALL(DayLines!$C$3:$C$608,244),DayLines!$C$3:$C$608,0)))</f>
        <v/>
      </c>
      <c r="E266" s="21" t="str">
        <f aca="false">IF(OR($O266="",$O266=0,$O266=999),"",INDEX(DayLines!$G$3:$G$608,MATCH(SMALL(DayLines!$C$3:$C$608,244),DayLines!$C$3:$C$608,0)))</f>
        <v/>
      </c>
      <c r="F266" s="15"/>
      <c r="G266" s="15"/>
      <c r="H266" s="15"/>
      <c r="I266" s="15"/>
      <c r="J266" s="15"/>
      <c r="K266" s="15"/>
      <c r="L266" s="15"/>
      <c r="M266" s="15"/>
      <c r="N266" s="15"/>
      <c r="O266" s="22" t="str">
        <f aca="false">IFERROR(MOD(SMALL(DayLines!$C$3:$C$608,244),1000),"")</f>
        <v/>
      </c>
    </row>
    <row r="267" customFormat="false" ht="15" hidden="false" customHeight="false" outlineLevel="0" collapsed="false">
      <c r="A267" s="15"/>
      <c r="B267" s="20" t="str">
        <f aca="false">IF($O267="","",IF($O267=0,INDEX(DayLines!$D$3:$D$608,MATCH(SMALL(DayLines!$C$3:$C$608,245),DayLines!$C$3:$C$608,0)),IF($O267=999,"",INDEX(DayLines!$E$3:$E$608,MATCH(SMALL(DayLines!$C$3:$C$608,245),DayLines!$C$3:$C$608,0)))))</f>
        <v/>
      </c>
      <c r="C267" s="16" t="str">
        <f aca="false">IF($O267="","",IF($O267=0,INDEX(DayLines!$E$3:$E$608,MATCH(SMALL(DayLines!$C$3:$C$608,245),DayLines!$C$3:$C$608,0)),IF($O267=999,"",INDEX(DayLines!$D$3:$D$608,MATCH(SMALL(DayLines!$C$3:$C$608,245),DayLines!$C$3:$C$608,0)))))</f>
        <v/>
      </c>
      <c r="D267" s="15" t="str">
        <f aca="false">IF(OR($O267="",$O267=0,$O267=999),"",INDEX(DayLines!$F$3:$F$608,MATCH(SMALL(DayLines!$C$3:$C$608,245),DayLines!$C$3:$C$608,0)))</f>
        <v/>
      </c>
      <c r="E267" s="21" t="str">
        <f aca="false">IF(OR($O267="",$O267=0,$O267=999),"",INDEX(DayLines!$G$3:$G$608,MATCH(SMALL(DayLines!$C$3:$C$608,245),DayLines!$C$3:$C$608,0)))</f>
        <v/>
      </c>
      <c r="F267" s="15"/>
      <c r="G267" s="15"/>
      <c r="H267" s="15"/>
      <c r="I267" s="15"/>
      <c r="J267" s="15"/>
      <c r="K267" s="15"/>
      <c r="L267" s="15"/>
      <c r="M267" s="15"/>
      <c r="N267" s="15"/>
      <c r="O267" s="22" t="str">
        <f aca="false">IFERROR(MOD(SMALL(DayLines!$C$3:$C$608,245),1000),"")</f>
        <v/>
      </c>
    </row>
    <row r="268" customFormat="false" ht="15" hidden="false" customHeight="false" outlineLevel="0" collapsed="false">
      <c r="A268" s="15"/>
      <c r="B268" s="20" t="str">
        <f aca="false">IF($O268="","",IF($O268=0,INDEX(DayLines!$D$3:$D$608,MATCH(SMALL(DayLines!$C$3:$C$608,246),DayLines!$C$3:$C$608,0)),IF($O268=999,"",INDEX(DayLines!$E$3:$E$608,MATCH(SMALL(DayLines!$C$3:$C$608,246),DayLines!$C$3:$C$608,0)))))</f>
        <v/>
      </c>
      <c r="C268" s="16" t="str">
        <f aca="false">IF($O268="","",IF($O268=0,INDEX(DayLines!$E$3:$E$608,MATCH(SMALL(DayLines!$C$3:$C$608,246),DayLines!$C$3:$C$608,0)),IF($O268=999,"",INDEX(DayLines!$D$3:$D$608,MATCH(SMALL(DayLines!$C$3:$C$608,246),DayLines!$C$3:$C$608,0)))))</f>
        <v/>
      </c>
      <c r="D268" s="15" t="str">
        <f aca="false">IF(OR($O268="",$O268=0,$O268=999),"",INDEX(DayLines!$F$3:$F$608,MATCH(SMALL(DayLines!$C$3:$C$608,246),DayLines!$C$3:$C$608,0)))</f>
        <v/>
      </c>
      <c r="E268" s="21" t="str">
        <f aca="false">IF(OR($O268="",$O268=0,$O268=999),"",INDEX(DayLines!$G$3:$G$608,MATCH(SMALL(DayLines!$C$3:$C$608,246),DayLines!$C$3:$C$608,0)))</f>
        <v/>
      </c>
      <c r="F268" s="15"/>
      <c r="G268" s="15"/>
      <c r="H268" s="15"/>
      <c r="I268" s="15"/>
      <c r="J268" s="15"/>
      <c r="K268" s="15"/>
      <c r="L268" s="15"/>
      <c r="M268" s="15"/>
      <c r="N268" s="15"/>
      <c r="O268" s="22" t="str">
        <f aca="false">IFERROR(MOD(SMALL(DayLines!$C$3:$C$608,246),1000),"")</f>
        <v/>
      </c>
    </row>
    <row r="269" customFormat="false" ht="15" hidden="false" customHeight="false" outlineLevel="0" collapsed="false">
      <c r="A269" s="15"/>
      <c r="B269" s="20" t="str">
        <f aca="false">IF($O269="","",IF($O269=0,INDEX(DayLines!$D$3:$D$608,MATCH(SMALL(DayLines!$C$3:$C$608,247),DayLines!$C$3:$C$608,0)),IF($O269=999,"",INDEX(DayLines!$E$3:$E$608,MATCH(SMALL(DayLines!$C$3:$C$608,247),DayLines!$C$3:$C$608,0)))))</f>
        <v/>
      </c>
      <c r="C269" s="16" t="str">
        <f aca="false">IF($O269="","",IF($O269=0,INDEX(DayLines!$E$3:$E$608,MATCH(SMALL(DayLines!$C$3:$C$608,247),DayLines!$C$3:$C$608,0)),IF($O269=999,"",INDEX(DayLines!$D$3:$D$608,MATCH(SMALL(DayLines!$C$3:$C$608,247),DayLines!$C$3:$C$608,0)))))</f>
        <v/>
      </c>
      <c r="D269" s="15" t="str">
        <f aca="false">IF(OR($O269="",$O269=0,$O269=999),"",INDEX(DayLines!$F$3:$F$608,MATCH(SMALL(DayLines!$C$3:$C$608,247),DayLines!$C$3:$C$608,0)))</f>
        <v/>
      </c>
      <c r="E269" s="21" t="str">
        <f aca="false">IF(OR($O269="",$O269=0,$O269=999),"",INDEX(DayLines!$G$3:$G$608,MATCH(SMALL(DayLines!$C$3:$C$608,247),DayLines!$C$3:$C$608,0)))</f>
        <v/>
      </c>
      <c r="F269" s="15"/>
      <c r="G269" s="15"/>
      <c r="H269" s="15"/>
      <c r="I269" s="15"/>
      <c r="J269" s="15"/>
      <c r="K269" s="15"/>
      <c r="L269" s="15"/>
      <c r="M269" s="15"/>
      <c r="N269" s="15"/>
      <c r="O269" s="22" t="str">
        <f aca="false">IFERROR(MOD(SMALL(DayLines!$C$3:$C$608,247),1000),"")</f>
        <v/>
      </c>
    </row>
    <row r="270" customFormat="false" ht="15" hidden="false" customHeight="false" outlineLevel="0" collapsed="false">
      <c r="A270" s="15"/>
      <c r="B270" s="20" t="str">
        <f aca="false">IF($O270="","",IF($O270=0,INDEX(DayLines!$D$3:$D$608,MATCH(SMALL(DayLines!$C$3:$C$608,248),DayLines!$C$3:$C$608,0)),IF($O270=999,"",INDEX(DayLines!$E$3:$E$608,MATCH(SMALL(DayLines!$C$3:$C$608,248),DayLines!$C$3:$C$608,0)))))</f>
        <v/>
      </c>
      <c r="C270" s="16" t="str">
        <f aca="false">IF($O270="","",IF($O270=0,INDEX(DayLines!$E$3:$E$608,MATCH(SMALL(DayLines!$C$3:$C$608,248),DayLines!$C$3:$C$608,0)),IF($O270=999,"",INDEX(DayLines!$D$3:$D$608,MATCH(SMALL(DayLines!$C$3:$C$608,248),DayLines!$C$3:$C$608,0)))))</f>
        <v/>
      </c>
      <c r="D270" s="15" t="str">
        <f aca="false">IF(OR($O270="",$O270=0,$O270=999),"",INDEX(DayLines!$F$3:$F$608,MATCH(SMALL(DayLines!$C$3:$C$608,248),DayLines!$C$3:$C$608,0)))</f>
        <v/>
      </c>
      <c r="E270" s="21" t="str">
        <f aca="false">IF(OR($O270="",$O270=0,$O270=999),"",INDEX(DayLines!$G$3:$G$608,MATCH(SMALL(DayLines!$C$3:$C$608,248),DayLines!$C$3:$C$608,0)))</f>
        <v/>
      </c>
      <c r="F270" s="15"/>
      <c r="G270" s="15"/>
      <c r="H270" s="15"/>
      <c r="I270" s="15"/>
      <c r="J270" s="15"/>
      <c r="K270" s="15"/>
      <c r="L270" s="15"/>
      <c r="M270" s="15"/>
      <c r="N270" s="15"/>
      <c r="O270" s="22" t="str">
        <f aca="false">IFERROR(MOD(SMALL(DayLines!$C$3:$C$608,248),1000),"")</f>
        <v/>
      </c>
    </row>
    <row r="271" customFormat="false" ht="15" hidden="false" customHeight="false" outlineLevel="0" collapsed="false">
      <c r="A271" s="15"/>
      <c r="B271" s="20" t="str">
        <f aca="false">IF($O271="","",IF($O271=0,INDEX(DayLines!$D$3:$D$608,MATCH(SMALL(DayLines!$C$3:$C$608,249),DayLines!$C$3:$C$608,0)),IF($O271=999,"",INDEX(DayLines!$E$3:$E$608,MATCH(SMALL(DayLines!$C$3:$C$608,249),DayLines!$C$3:$C$608,0)))))</f>
        <v/>
      </c>
      <c r="C271" s="16" t="str">
        <f aca="false">IF($O271="","",IF($O271=0,INDEX(DayLines!$E$3:$E$608,MATCH(SMALL(DayLines!$C$3:$C$608,249),DayLines!$C$3:$C$608,0)),IF($O271=999,"",INDEX(DayLines!$D$3:$D$608,MATCH(SMALL(DayLines!$C$3:$C$608,249),DayLines!$C$3:$C$608,0)))))</f>
        <v/>
      </c>
      <c r="D271" s="15" t="str">
        <f aca="false">IF(OR($O271="",$O271=0,$O271=999),"",INDEX(DayLines!$F$3:$F$608,MATCH(SMALL(DayLines!$C$3:$C$608,249),DayLines!$C$3:$C$608,0)))</f>
        <v/>
      </c>
      <c r="E271" s="21" t="str">
        <f aca="false">IF(OR($O271="",$O271=0,$O271=999),"",INDEX(DayLines!$G$3:$G$608,MATCH(SMALL(DayLines!$C$3:$C$608,249),DayLines!$C$3:$C$608,0)))</f>
        <v/>
      </c>
      <c r="F271" s="15"/>
      <c r="G271" s="15"/>
      <c r="H271" s="15"/>
      <c r="I271" s="15"/>
      <c r="J271" s="15"/>
      <c r="K271" s="15"/>
      <c r="L271" s="15"/>
      <c r="M271" s="15"/>
      <c r="N271" s="15"/>
      <c r="O271" s="22" t="str">
        <f aca="false">IFERROR(MOD(SMALL(DayLines!$C$3:$C$608,249),1000),"")</f>
        <v/>
      </c>
    </row>
    <row r="272" customFormat="false" ht="15" hidden="false" customHeight="false" outlineLevel="0" collapsed="false">
      <c r="A272" s="15"/>
      <c r="B272" s="20" t="str">
        <f aca="false">IF($O272="","",IF($O272=0,INDEX(DayLines!$D$3:$D$608,MATCH(SMALL(DayLines!$C$3:$C$608,250),DayLines!$C$3:$C$608,0)),IF($O272=999,"",INDEX(DayLines!$E$3:$E$608,MATCH(SMALL(DayLines!$C$3:$C$608,250),DayLines!$C$3:$C$608,0)))))</f>
        <v/>
      </c>
      <c r="C272" s="16" t="str">
        <f aca="false">IF($O272="","",IF($O272=0,INDEX(DayLines!$E$3:$E$608,MATCH(SMALL(DayLines!$C$3:$C$608,250),DayLines!$C$3:$C$608,0)),IF($O272=999,"",INDEX(DayLines!$D$3:$D$608,MATCH(SMALL(DayLines!$C$3:$C$608,250),DayLines!$C$3:$C$608,0)))))</f>
        <v/>
      </c>
      <c r="D272" s="15" t="str">
        <f aca="false">IF(OR($O272="",$O272=0,$O272=999),"",INDEX(DayLines!$F$3:$F$608,MATCH(SMALL(DayLines!$C$3:$C$608,250),DayLines!$C$3:$C$608,0)))</f>
        <v/>
      </c>
      <c r="E272" s="21" t="str">
        <f aca="false">IF(OR($O272="",$O272=0,$O272=999),"",INDEX(DayLines!$G$3:$G$608,MATCH(SMALL(DayLines!$C$3:$C$608,250),DayLines!$C$3:$C$608,0)))</f>
        <v/>
      </c>
      <c r="F272" s="15"/>
      <c r="G272" s="15"/>
      <c r="H272" s="15"/>
      <c r="I272" s="15"/>
      <c r="J272" s="15"/>
      <c r="K272" s="15"/>
      <c r="L272" s="15"/>
      <c r="M272" s="15"/>
      <c r="N272" s="15"/>
      <c r="O272" s="22" t="str">
        <f aca="false">IFERROR(MOD(SMALL(DayLines!$C$3:$C$608,250),1000),"")</f>
        <v/>
      </c>
    </row>
    <row r="273" customFormat="false" ht="15" hidden="false" customHeight="false" outlineLevel="0" collapsed="false">
      <c r="A273" s="15"/>
      <c r="B273" s="20" t="str">
        <f aca="false">IF($O273="","",IF($O273=0,INDEX(DayLines!$D$3:$D$608,MATCH(SMALL(DayLines!$C$3:$C$608,251),DayLines!$C$3:$C$608,0)),IF($O273=999,"",INDEX(DayLines!$E$3:$E$608,MATCH(SMALL(DayLines!$C$3:$C$608,251),DayLines!$C$3:$C$608,0)))))</f>
        <v/>
      </c>
      <c r="C273" s="16" t="str">
        <f aca="false">IF($O273="","",IF($O273=0,INDEX(DayLines!$E$3:$E$608,MATCH(SMALL(DayLines!$C$3:$C$608,251),DayLines!$C$3:$C$608,0)),IF($O273=999,"",INDEX(DayLines!$D$3:$D$608,MATCH(SMALL(DayLines!$C$3:$C$608,251),DayLines!$C$3:$C$608,0)))))</f>
        <v/>
      </c>
      <c r="D273" s="15" t="str">
        <f aca="false">IF(OR($O273="",$O273=0,$O273=999),"",INDEX(DayLines!$F$3:$F$608,MATCH(SMALL(DayLines!$C$3:$C$608,251),DayLines!$C$3:$C$608,0)))</f>
        <v/>
      </c>
      <c r="E273" s="21" t="str">
        <f aca="false">IF(OR($O273="",$O273=0,$O273=999),"",INDEX(DayLines!$G$3:$G$608,MATCH(SMALL(DayLines!$C$3:$C$608,251),DayLines!$C$3:$C$608,0)))</f>
        <v/>
      </c>
      <c r="F273" s="15"/>
      <c r="G273" s="15"/>
      <c r="H273" s="15"/>
      <c r="I273" s="15"/>
      <c r="J273" s="15"/>
      <c r="K273" s="15"/>
      <c r="L273" s="15"/>
      <c r="M273" s="15"/>
      <c r="N273" s="15"/>
      <c r="O273" s="22" t="str">
        <f aca="false">IFERROR(MOD(SMALL(DayLines!$C$3:$C$608,251),1000),"")</f>
        <v/>
      </c>
    </row>
    <row r="274" customFormat="false" ht="15" hidden="false" customHeight="false" outlineLevel="0" collapsed="false">
      <c r="A274" s="15"/>
      <c r="B274" s="20" t="str">
        <f aca="false">IF($O274="","",IF($O274=0,INDEX(DayLines!$D$3:$D$608,MATCH(SMALL(DayLines!$C$3:$C$608,252),DayLines!$C$3:$C$608,0)),IF($O274=999,"",INDEX(DayLines!$E$3:$E$608,MATCH(SMALL(DayLines!$C$3:$C$608,252),DayLines!$C$3:$C$608,0)))))</f>
        <v/>
      </c>
      <c r="C274" s="16" t="str">
        <f aca="false">IF($O274="","",IF($O274=0,INDEX(DayLines!$E$3:$E$608,MATCH(SMALL(DayLines!$C$3:$C$608,252),DayLines!$C$3:$C$608,0)),IF($O274=999,"",INDEX(DayLines!$D$3:$D$608,MATCH(SMALL(DayLines!$C$3:$C$608,252),DayLines!$C$3:$C$608,0)))))</f>
        <v/>
      </c>
      <c r="D274" s="15" t="str">
        <f aca="false">IF(OR($O274="",$O274=0,$O274=999),"",INDEX(DayLines!$F$3:$F$608,MATCH(SMALL(DayLines!$C$3:$C$608,252),DayLines!$C$3:$C$608,0)))</f>
        <v/>
      </c>
      <c r="E274" s="21" t="str">
        <f aca="false">IF(OR($O274="",$O274=0,$O274=999),"",INDEX(DayLines!$G$3:$G$608,MATCH(SMALL(DayLines!$C$3:$C$608,252),DayLines!$C$3:$C$608,0)))</f>
        <v/>
      </c>
      <c r="F274" s="15"/>
      <c r="G274" s="15"/>
      <c r="H274" s="15"/>
      <c r="I274" s="15"/>
      <c r="J274" s="15"/>
      <c r="K274" s="15"/>
      <c r="L274" s="15"/>
      <c r="M274" s="15"/>
      <c r="N274" s="15"/>
      <c r="O274" s="22" t="str">
        <f aca="false">IFERROR(MOD(SMALL(DayLines!$C$3:$C$608,252),1000),"")</f>
        <v/>
      </c>
    </row>
    <row r="275" customFormat="false" ht="15" hidden="false" customHeight="false" outlineLevel="0" collapsed="false">
      <c r="A275" s="15"/>
      <c r="B275" s="20" t="str">
        <f aca="false">IF($O275="","",IF($O275=0,INDEX(DayLines!$D$3:$D$608,MATCH(SMALL(DayLines!$C$3:$C$608,253),DayLines!$C$3:$C$608,0)),IF($O275=999,"",INDEX(DayLines!$E$3:$E$608,MATCH(SMALL(DayLines!$C$3:$C$608,253),DayLines!$C$3:$C$608,0)))))</f>
        <v/>
      </c>
      <c r="C275" s="16" t="str">
        <f aca="false">IF($O275="","",IF($O275=0,INDEX(DayLines!$E$3:$E$608,MATCH(SMALL(DayLines!$C$3:$C$608,253),DayLines!$C$3:$C$608,0)),IF($O275=999,"",INDEX(DayLines!$D$3:$D$608,MATCH(SMALL(DayLines!$C$3:$C$608,253),DayLines!$C$3:$C$608,0)))))</f>
        <v/>
      </c>
      <c r="D275" s="15" t="str">
        <f aca="false">IF(OR($O275="",$O275=0,$O275=999),"",INDEX(DayLines!$F$3:$F$608,MATCH(SMALL(DayLines!$C$3:$C$608,253),DayLines!$C$3:$C$608,0)))</f>
        <v/>
      </c>
      <c r="E275" s="21" t="str">
        <f aca="false">IF(OR($O275="",$O275=0,$O275=999),"",INDEX(DayLines!$G$3:$G$608,MATCH(SMALL(DayLines!$C$3:$C$608,253),DayLines!$C$3:$C$608,0)))</f>
        <v/>
      </c>
      <c r="F275" s="15"/>
      <c r="G275" s="15"/>
      <c r="H275" s="15"/>
      <c r="I275" s="15"/>
      <c r="J275" s="15"/>
      <c r="K275" s="15"/>
      <c r="L275" s="15"/>
      <c r="M275" s="15"/>
      <c r="N275" s="15"/>
      <c r="O275" s="22" t="str">
        <f aca="false">IFERROR(MOD(SMALL(DayLines!$C$3:$C$608,253),1000),"")</f>
        <v/>
      </c>
    </row>
    <row r="276" customFormat="false" ht="15" hidden="false" customHeight="false" outlineLevel="0" collapsed="false">
      <c r="A276" s="15"/>
      <c r="B276" s="20" t="str">
        <f aca="false">IF($O276="","",IF($O276=0,INDEX(DayLines!$D$3:$D$608,MATCH(SMALL(DayLines!$C$3:$C$608,254),DayLines!$C$3:$C$608,0)),IF($O276=999,"",INDEX(DayLines!$E$3:$E$608,MATCH(SMALL(DayLines!$C$3:$C$608,254),DayLines!$C$3:$C$608,0)))))</f>
        <v/>
      </c>
      <c r="C276" s="16" t="str">
        <f aca="false">IF($O276="","",IF($O276=0,INDEX(DayLines!$E$3:$E$608,MATCH(SMALL(DayLines!$C$3:$C$608,254),DayLines!$C$3:$C$608,0)),IF($O276=999,"",INDEX(DayLines!$D$3:$D$608,MATCH(SMALL(DayLines!$C$3:$C$608,254),DayLines!$C$3:$C$608,0)))))</f>
        <v/>
      </c>
      <c r="D276" s="15" t="str">
        <f aca="false">IF(OR($O276="",$O276=0,$O276=999),"",INDEX(DayLines!$F$3:$F$608,MATCH(SMALL(DayLines!$C$3:$C$608,254),DayLines!$C$3:$C$608,0)))</f>
        <v/>
      </c>
      <c r="E276" s="21" t="str">
        <f aca="false">IF(OR($O276="",$O276=0,$O276=999),"",INDEX(DayLines!$G$3:$G$608,MATCH(SMALL(DayLines!$C$3:$C$608,254),DayLines!$C$3:$C$608,0)))</f>
        <v/>
      </c>
      <c r="F276" s="15"/>
      <c r="G276" s="15"/>
      <c r="H276" s="15"/>
      <c r="I276" s="15"/>
      <c r="J276" s="15"/>
      <c r="K276" s="15"/>
      <c r="L276" s="15"/>
      <c r="M276" s="15"/>
      <c r="N276" s="15"/>
      <c r="O276" s="22" t="str">
        <f aca="false">IFERROR(MOD(SMALL(DayLines!$C$3:$C$608,254),1000),"")</f>
        <v/>
      </c>
    </row>
    <row r="277" customFormat="false" ht="15" hidden="false" customHeight="false" outlineLevel="0" collapsed="false">
      <c r="A277" s="15"/>
      <c r="B277" s="20" t="str">
        <f aca="false">IF($O277="","",IF($O277=0,INDEX(DayLines!$D$3:$D$608,MATCH(SMALL(DayLines!$C$3:$C$608,255),DayLines!$C$3:$C$608,0)),IF($O277=999,"",INDEX(DayLines!$E$3:$E$608,MATCH(SMALL(DayLines!$C$3:$C$608,255),DayLines!$C$3:$C$608,0)))))</f>
        <v/>
      </c>
      <c r="C277" s="16" t="str">
        <f aca="false">IF($O277="","",IF($O277=0,INDEX(DayLines!$E$3:$E$608,MATCH(SMALL(DayLines!$C$3:$C$608,255),DayLines!$C$3:$C$608,0)),IF($O277=999,"",INDEX(DayLines!$D$3:$D$608,MATCH(SMALL(DayLines!$C$3:$C$608,255),DayLines!$C$3:$C$608,0)))))</f>
        <v/>
      </c>
      <c r="D277" s="15" t="str">
        <f aca="false">IF(OR($O277="",$O277=0,$O277=999),"",INDEX(DayLines!$F$3:$F$608,MATCH(SMALL(DayLines!$C$3:$C$608,255),DayLines!$C$3:$C$608,0)))</f>
        <v/>
      </c>
      <c r="E277" s="21" t="str">
        <f aca="false">IF(OR($O277="",$O277=0,$O277=999),"",INDEX(DayLines!$G$3:$G$608,MATCH(SMALL(DayLines!$C$3:$C$608,255),DayLines!$C$3:$C$608,0)))</f>
        <v/>
      </c>
      <c r="F277" s="15"/>
      <c r="G277" s="15"/>
      <c r="H277" s="15"/>
      <c r="I277" s="15"/>
      <c r="J277" s="15"/>
      <c r="K277" s="15"/>
      <c r="L277" s="15"/>
      <c r="M277" s="15"/>
      <c r="N277" s="15"/>
      <c r="O277" s="22" t="str">
        <f aca="false">IFERROR(MOD(SMALL(DayLines!$C$3:$C$608,255),1000),"")</f>
        <v/>
      </c>
    </row>
    <row r="278" customFormat="false" ht="15" hidden="false" customHeight="false" outlineLevel="0" collapsed="false">
      <c r="A278" s="15"/>
      <c r="B278" s="20" t="str">
        <f aca="false">IF($O278="","",IF($O278=0,INDEX(DayLines!$D$3:$D$608,MATCH(SMALL(DayLines!$C$3:$C$608,256),DayLines!$C$3:$C$608,0)),IF($O278=999,"",INDEX(DayLines!$E$3:$E$608,MATCH(SMALL(DayLines!$C$3:$C$608,256),DayLines!$C$3:$C$608,0)))))</f>
        <v/>
      </c>
      <c r="C278" s="16" t="str">
        <f aca="false">IF($O278="","",IF($O278=0,INDEX(DayLines!$E$3:$E$608,MATCH(SMALL(DayLines!$C$3:$C$608,256),DayLines!$C$3:$C$608,0)),IF($O278=999,"",INDEX(DayLines!$D$3:$D$608,MATCH(SMALL(DayLines!$C$3:$C$608,256),DayLines!$C$3:$C$608,0)))))</f>
        <v/>
      </c>
      <c r="D278" s="15" t="str">
        <f aca="false">IF(OR($O278="",$O278=0,$O278=999),"",INDEX(DayLines!$F$3:$F$608,MATCH(SMALL(DayLines!$C$3:$C$608,256),DayLines!$C$3:$C$608,0)))</f>
        <v/>
      </c>
      <c r="E278" s="21" t="str">
        <f aca="false">IF(OR($O278="",$O278=0,$O278=999),"",INDEX(DayLines!$G$3:$G$608,MATCH(SMALL(DayLines!$C$3:$C$608,256),DayLines!$C$3:$C$608,0)))</f>
        <v/>
      </c>
      <c r="F278" s="15"/>
      <c r="G278" s="15"/>
      <c r="H278" s="15"/>
      <c r="I278" s="15"/>
      <c r="J278" s="15"/>
      <c r="K278" s="15"/>
      <c r="L278" s="15"/>
      <c r="M278" s="15"/>
      <c r="N278" s="15"/>
      <c r="O278" s="22" t="str">
        <f aca="false">IFERROR(MOD(SMALL(DayLines!$C$3:$C$608,256),1000),"")</f>
        <v/>
      </c>
    </row>
    <row r="279" customFormat="false" ht="15" hidden="false" customHeight="false" outlineLevel="0" collapsed="false">
      <c r="A279" s="15"/>
      <c r="B279" s="20" t="str">
        <f aca="false">IF($O279="","",IF($O279=0,INDEX(DayLines!$D$3:$D$608,MATCH(SMALL(DayLines!$C$3:$C$608,257),DayLines!$C$3:$C$608,0)),IF($O279=999,"",INDEX(DayLines!$E$3:$E$608,MATCH(SMALL(DayLines!$C$3:$C$608,257),DayLines!$C$3:$C$608,0)))))</f>
        <v/>
      </c>
      <c r="C279" s="16" t="str">
        <f aca="false">IF($O279="","",IF($O279=0,INDEX(DayLines!$E$3:$E$608,MATCH(SMALL(DayLines!$C$3:$C$608,257),DayLines!$C$3:$C$608,0)),IF($O279=999,"",INDEX(DayLines!$D$3:$D$608,MATCH(SMALL(DayLines!$C$3:$C$608,257),DayLines!$C$3:$C$608,0)))))</f>
        <v/>
      </c>
      <c r="D279" s="15" t="str">
        <f aca="false">IF(OR($O279="",$O279=0,$O279=999),"",INDEX(DayLines!$F$3:$F$608,MATCH(SMALL(DayLines!$C$3:$C$608,257),DayLines!$C$3:$C$608,0)))</f>
        <v/>
      </c>
      <c r="E279" s="21" t="str">
        <f aca="false">IF(OR($O279="",$O279=0,$O279=999),"",INDEX(DayLines!$G$3:$G$608,MATCH(SMALL(DayLines!$C$3:$C$608,257),DayLines!$C$3:$C$608,0)))</f>
        <v/>
      </c>
      <c r="F279" s="15"/>
      <c r="G279" s="15"/>
      <c r="H279" s="15"/>
      <c r="I279" s="15"/>
      <c r="J279" s="15"/>
      <c r="K279" s="15"/>
      <c r="L279" s="15"/>
      <c r="M279" s="15"/>
      <c r="N279" s="15"/>
      <c r="O279" s="22" t="str">
        <f aca="false">IFERROR(MOD(SMALL(DayLines!$C$3:$C$608,257),1000),"")</f>
        <v/>
      </c>
    </row>
    <row r="280" customFormat="false" ht="15" hidden="false" customHeight="false" outlineLevel="0" collapsed="false">
      <c r="A280" s="15"/>
      <c r="B280" s="20" t="str">
        <f aca="false">IF($O280="","",IF($O280=0,INDEX(DayLines!$D$3:$D$608,MATCH(SMALL(DayLines!$C$3:$C$608,258),DayLines!$C$3:$C$608,0)),IF($O280=999,"",INDEX(DayLines!$E$3:$E$608,MATCH(SMALL(DayLines!$C$3:$C$608,258),DayLines!$C$3:$C$608,0)))))</f>
        <v/>
      </c>
      <c r="C280" s="16" t="str">
        <f aca="false">IF($O280="","",IF($O280=0,INDEX(DayLines!$E$3:$E$608,MATCH(SMALL(DayLines!$C$3:$C$608,258),DayLines!$C$3:$C$608,0)),IF($O280=999,"",INDEX(DayLines!$D$3:$D$608,MATCH(SMALL(DayLines!$C$3:$C$608,258),DayLines!$C$3:$C$608,0)))))</f>
        <v/>
      </c>
      <c r="D280" s="15" t="str">
        <f aca="false">IF(OR($O280="",$O280=0,$O280=999),"",INDEX(DayLines!$F$3:$F$608,MATCH(SMALL(DayLines!$C$3:$C$608,258),DayLines!$C$3:$C$608,0)))</f>
        <v/>
      </c>
      <c r="E280" s="21" t="str">
        <f aca="false">IF(OR($O280="",$O280=0,$O280=999),"",INDEX(DayLines!$G$3:$G$608,MATCH(SMALL(DayLines!$C$3:$C$608,258),DayLines!$C$3:$C$608,0)))</f>
        <v/>
      </c>
      <c r="F280" s="15"/>
      <c r="G280" s="15"/>
      <c r="H280" s="15"/>
      <c r="I280" s="15"/>
      <c r="J280" s="15"/>
      <c r="K280" s="15"/>
      <c r="L280" s="15"/>
      <c r="M280" s="15"/>
      <c r="N280" s="15"/>
      <c r="O280" s="22" t="str">
        <f aca="false">IFERROR(MOD(SMALL(DayLines!$C$3:$C$608,258),1000),"")</f>
        <v/>
      </c>
    </row>
    <row r="281" customFormat="false" ht="15" hidden="false" customHeight="false" outlineLevel="0" collapsed="false">
      <c r="A281" s="15"/>
      <c r="B281" s="20" t="str">
        <f aca="false">IF($O281="","",IF($O281=0,INDEX(DayLines!$D$3:$D$608,MATCH(SMALL(DayLines!$C$3:$C$608,259),DayLines!$C$3:$C$608,0)),IF($O281=999,"",INDEX(DayLines!$E$3:$E$608,MATCH(SMALL(DayLines!$C$3:$C$608,259),DayLines!$C$3:$C$608,0)))))</f>
        <v/>
      </c>
      <c r="C281" s="16" t="str">
        <f aca="false">IF($O281="","",IF($O281=0,INDEX(DayLines!$E$3:$E$608,MATCH(SMALL(DayLines!$C$3:$C$608,259),DayLines!$C$3:$C$608,0)),IF($O281=999,"",INDEX(DayLines!$D$3:$D$608,MATCH(SMALL(DayLines!$C$3:$C$608,259),DayLines!$C$3:$C$608,0)))))</f>
        <v/>
      </c>
      <c r="D281" s="15" t="str">
        <f aca="false">IF(OR($O281="",$O281=0,$O281=999),"",INDEX(DayLines!$F$3:$F$608,MATCH(SMALL(DayLines!$C$3:$C$608,259),DayLines!$C$3:$C$608,0)))</f>
        <v/>
      </c>
      <c r="E281" s="21" t="str">
        <f aca="false">IF(OR($O281="",$O281=0,$O281=999),"",INDEX(DayLines!$G$3:$G$608,MATCH(SMALL(DayLines!$C$3:$C$608,259),DayLines!$C$3:$C$608,0)))</f>
        <v/>
      </c>
      <c r="F281" s="15"/>
      <c r="G281" s="15"/>
      <c r="H281" s="15"/>
      <c r="I281" s="15"/>
      <c r="J281" s="15"/>
      <c r="K281" s="15"/>
      <c r="L281" s="15"/>
      <c r="M281" s="15"/>
      <c r="N281" s="15"/>
      <c r="O281" s="22" t="str">
        <f aca="false">IFERROR(MOD(SMALL(DayLines!$C$3:$C$608,259),1000),"")</f>
        <v/>
      </c>
    </row>
    <row r="282" customFormat="false" ht="15" hidden="false" customHeight="false" outlineLevel="0" collapsed="false">
      <c r="A282" s="15"/>
      <c r="B282" s="20" t="str">
        <f aca="false">IF($O282="","",IF($O282=0,INDEX(DayLines!$D$3:$D$608,MATCH(SMALL(DayLines!$C$3:$C$608,260),DayLines!$C$3:$C$608,0)),IF($O282=999,"",INDEX(DayLines!$E$3:$E$608,MATCH(SMALL(DayLines!$C$3:$C$608,260),DayLines!$C$3:$C$608,0)))))</f>
        <v/>
      </c>
      <c r="C282" s="16" t="str">
        <f aca="false">IF($O282="","",IF($O282=0,INDEX(DayLines!$E$3:$E$608,MATCH(SMALL(DayLines!$C$3:$C$608,260),DayLines!$C$3:$C$608,0)),IF($O282=999,"",INDEX(DayLines!$D$3:$D$608,MATCH(SMALL(DayLines!$C$3:$C$608,260),DayLines!$C$3:$C$608,0)))))</f>
        <v/>
      </c>
      <c r="D282" s="15" t="str">
        <f aca="false">IF(OR($O282="",$O282=0,$O282=999),"",INDEX(DayLines!$F$3:$F$608,MATCH(SMALL(DayLines!$C$3:$C$608,260),DayLines!$C$3:$C$608,0)))</f>
        <v/>
      </c>
      <c r="E282" s="21" t="str">
        <f aca="false">IF(OR($O282="",$O282=0,$O282=999),"",INDEX(DayLines!$G$3:$G$608,MATCH(SMALL(DayLines!$C$3:$C$608,260),DayLines!$C$3:$C$608,0)))</f>
        <v/>
      </c>
      <c r="F282" s="15"/>
      <c r="G282" s="15"/>
      <c r="H282" s="15"/>
      <c r="I282" s="15"/>
      <c r="J282" s="15"/>
      <c r="K282" s="15"/>
      <c r="L282" s="15"/>
      <c r="M282" s="15"/>
      <c r="N282" s="15"/>
      <c r="O282" s="22" t="str">
        <f aca="false">IFERROR(MOD(SMALL(DayLines!$C$3:$C$608,260),1000),"")</f>
        <v/>
      </c>
    </row>
    <row r="283" customFormat="false" ht="15" hidden="false" customHeight="false" outlineLevel="0" collapsed="false">
      <c r="A283" s="15"/>
      <c r="B283" s="20" t="str">
        <f aca="false">IF($O283="","",IF($O283=0,INDEX(DayLines!$D$3:$D$608,MATCH(SMALL(DayLines!$C$3:$C$608,261),DayLines!$C$3:$C$608,0)),IF($O283=999,"",INDEX(DayLines!$E$3:$E$608,MATCH(SMALL(DayLines!$C$3:$C$608,261),DayLines!$C$3:$C$608,0)))))</f>
        <v/>
      </c>
      <c r="C283" s="16" t="str">
        <f aca="false">IF($O283="","",IF($O283=0,INDEX(DayLines!$E$3:$E$608,MATCH(SMALL(DayLines!$C$3:$C$608,261),DayLines!$C$3:$C$608,0)),IF($O283=999,"",INDEX(DayLines!$D$3:$D$608,MATCH(SMALL(DayLines!$C$3:$C$608,261),DayLines!$C$3:$C$608,0)))))</f>
        <v/>
      </c>
      <c r="D283" s="15" t="str">
        <f aca="false">IF(OR($O283="",$O283=0,$O283=999),"",INDEX(DayLines!$F$3:$F$608,MATCH(SMALL(DayLines!$C$3:$C$608,261),DayLines!$C$3:$C$608,0)))</f>
        <v/>
      </c>
      <c r="E283" s="21" t="str">
        <f aca="false">IF(OR($O283="",$O283=0,$O283=999),"",INDEX(DayLines!$G$3:$G$608,MATCH(SMALL(DayLines!$C$3:$C$608,261),DayLines!$C$3:$C$608,0)))</f>
        <v/>
      </c>
      <c r="F283" s="15"/>
      <c r="G283" s="15"/>
      <c r="H283" s="15"/>
      <c r="I283" s="15"/>
      <c r="J283" s="15"/>
      <c r="K283" s="15"/>
      <c r="L283" s="15"/>
      <c r="M283" s="15"/>
      <c r="N283" s="15"/>
      <c r="O283" s="22" t="str">
        <f aca="false">IFERROR(MOD(SMALL(DayLines!$C$3:$C$608,261),1000),"")</f>
        <v/>
      </c>
    </row>
    <row r="284" customFormat="false" ht="15" hidden="false" customHeight="false" outlineLevel="0" collapsed="false">
      <c r="A284" s="15"/>
      <c r="B284" s="20" t="str">
        <f aca="false">IF($O284="","",IF($O284=0,INDEX(DayLines!$D$3:$D$608,MATCH(SMALL(DayLines!$C$3:$C$608,262),DayLines!$C$3:$C$608,0)),IF($O284=999,"",INDEX(DayLines!$E$3:$E$608,MATCH(SMALL(DayLines!$C$3:$C$608,262),DayLines!$C$3:$C$608,0)))))</f>
        <v/>
      </c>
      <c r="C284" s="16" t="str">
        <f aca="false">IF($O284="","",IF($O284=0,INDEX(DayLines!$E$3:$E$608,MATCH(SMALL(DayLines!$C$3:$C$608,262),DayLines!$C$3:$C$608,0)),IF($O284=999,"",INDEX(DayLines!$D$3:$D$608,MATCH(SMALL(DayLines!$C$3:$C$608,262),DayLines!$C$3:$C$608,0)))))</f>
        <v/>
      </c>
      <c r="D284" s="15" t="str">
        <f aca="false">IF(OR($O284="",$O284=0,$O284=999),"",INDEX(DayLines!$F$3:$F$608,MATCH(SMALL(DayLines!$C$3:$C$608,262),DayLines!$C$3:$C$608,0)))</f>
        <v/>
      </c>
      <c r="E284" s="21" t="str">
        <f aca="false">IF(OR($O284="",$O284=0,$O284=999),"",INDEX(DayLines!$G$3:$G$608,MATCH(SMALL(DayLines!$C$3:$C$608,262),DayLines!$C$3:$C$608,0)))</f>
        <v/>
      </c>
      <c r="F284" s="15"/>
      <c r="G284" s="15"/>
      <c r="H284" s="15"/>
      <c r="I284" s="15"/>
      <c r="J284" s="15"/>
      <c r="K284" s="15"/>
      <c r="L284" s="15"/>
      <c r="M284" s="15"/>
      <c r="N284" s="15"/>
      <c r="O284" s="22" t="str">
        <f aca="false">IFERROR(MOD(SMALL(DayLines!$C$3:$C$608,262),1000),"")</f>
        <v/>
      </c>
    </row>
    <row r="285" customFormat="false" ht="15" hidden="false" customHeight="false" outlineLevel="0" collapsed="false">
      <c r="A285" s="15"/>
      <c r="B285" s="20" t="str">
        <f aca="false">IF($O285="","",IF($O285=0,INDEX(DayLines!$D$3:$D$608,MATCH(SMALL(DayLines!$C$3:$C$608,263),DayLines!$C$3:$C$608,0)),IF($O285=999,"",INDEX(DayLines!$E$3:$E$608,MATCH(SMALL(DayLines!$C$3:$C$608,263),DayLines!$C$3:$C$608,0)))))</f>
        <v/>
      </c>
      <c r="C285" s="16" t="str">
        <f aca="false">IF($O285="","",IF($O285=0,INDEX(DayLines!$E$3:$E$608,MATCH(SMALL(DayLines!$C$3:$C$608,263),DayLines!$C$3:$C$608,0)),IF($O285=999,"",INDEX(DayLines!$D$3:$D$608,MATCH(SMALL(DayLines!$C$3:$C$608,263),DayLines!$C$3:$C$608,0)))))</f>
        <v/>
      </c>
      <c r="D285" s="15" t="str">
        <f aca="false">IF(OR($O285="",$O285=0,$O285=999),"",INDEX(DayLines!$F$3:$F$608,MATCH(SMALL(DayLines!$C$3:$C$608,263),DayLines!$C$3:$C$608,0)))</f>
        <v/>
      </c>
      <c r="E285" s="21" t="str">
        <f aca="false">IF(OR($O285="",$O285=0,$O285=999),"",INDEX(DayLines!$G$3:$G$608,MATCH(SMALL(DayLines!$C$3:$C$608,263),DayLines!$C$3:$C$608,0)))</f>
        <v/>
      </c>
      <c r="F285" s="15"/>
      <c r="G285" s="15"/>
      <c r="H285" s="15"/>
      <c r="I285" s="15"/>
      <c r="J285" s="15"/>
      <c r="K285" s="15"/>
      <c r="L285" s="15"/>
      <c r="M285" s="15"/>
      <c r="N285" s="15"/>
      <c r="O285" s="22" t="str">
        <f aca="false">IFERROR(MOD(SMALL(DayLines!$C$3:$C$608,263),1000),"")</f>
        <v/>
      </c>
    </row>
    <row r="286" customFormat="false" ht="15" hidden="false" customHeight="false" outlineLevel="0" collapsed="false">
      <c r="A286" s="15"/>
      <c r="B286" s="20" t="str">
        <f aca="false">IF($O286="","",IF($O286=0,INDEX(DayLines!$D$3:$D$608,MATCH(SMALL(DayLines!$C$3:$C$608,264),DayLines!$C$3:$C$608,0)),IF($O286=999,"",INDEX(DayLines!$E$3:$E$608,MATCH(SMALL(DayLines!$C$3:$C$608,264),DayLines!$C$3:$C$608,0)))))</f>
        <v/>
      </c>
      <c r="C286" s="16" t="str">
        <f aca="false">IF($O286="","",IF($O286=0,INDEX(DayLines!$E$3:$E$608,MATCH(SMALL(DayLines!$C$3:$C$608,264),DayLines!$C$3:$C$608,0)),IF($O286=999,"",INDEX(DayLines!$D$3:$D$608,MATCH(SMALL(DayLines!$C$3:$C$608,264),DayLines!$C$3:$C$608,0)))))</f>
        <v/>
      </c>
      <c r="D286" s="15" t="str">
        <f aca="false">IF(OR($O286="",$O286=0,$O286=999),"",INDEX(DayLines!$F$3:$F$608,MATCH(SMALL(DayLines!$C$3:$C$608,264),DayLines!$C$3:$C$608,0)))</f>
        <v/>
      </c>
      <c r="E286" s="21" t="str">
        <f aca="false">IF(OR($O286="",$O286=0,$O286=999),"",INDEX(DayLines!$G$3:$G$608,MATCH(SMALL(DayLines!$C$3:$C$608,264),DayLines!$C$3:$C$608,0)))</f>
        <v/>
      </c>
      <c r="F286" s="15"/>
      <c r="G286" s="15"/>
      <c r="H286" s="15"/>
      <c r="I286" s="15"/>
      <c r="J286" s="15"/>
      <c r="K286" s="15"/>
      <c r="L286" s="15"/>
      <c r="M286" s="15"/>
      <c r="N286" s="15"/>
      <c r="O286" s="22" t="str">
        <f aca="false">IFERROR(MOD(SMALL(DayLines!$C$3:$C$608,264),1000),"")</f>
        <v/>
      </c>
    </row>
    <row r="287" customFormat="false" ht="15" hidden="false" customHeight="false" outlineLevel="0" collapsed="false">
      <c r="A287" s="15"/>
      <c r="B287" s="20" t="str">
        <f aca="false">IF($O287="","",IF($O287=0,INDEX(DayLines!$D$3:$D$608,MATCH(SMALL(DayLines!$C$3:$C$608,265),DayLines!$C$3:$C$608,0)),IF($O287=999,"",INDEX(DayLines!$E$3:$E$608,MATCH(SMALL(DayLines!$C$3:$C$608,265),DayLines!$C$3:$C$608,0)))))</f>
        <v/>
      </c>
      <c r="C287" s="16" t="str">
        <f aca="false">IF($O287="","",IF($O287=0,INDEX(DayLines!$E$3:$E$608,MATCH(SMALL(DayLines!$C$3:$C$608,265),DayLines!$C$3:$C$608,0)),IF($O287=999,"",INDEX(DayLines!$D$3:$D$608,MATCH(SMALL(DayLines!$C$3:$C$608,265),DayLines!$C$3:$C$608,0)))))</f>
        <v/>
      </c>
      <c r="D287" s="15" t="str">
        <f aca="false">IF(OR($O287="",$O287=0,$O287=999),"",INDEX(DayLines!$F$3:$F$608,MATCH(SMALL(DayLines!$C$3:$C$608,265),DayLines!$C$3:$C$608,0)))</f>
        <v/>
      </c>
      <c r="E287" s="21" t="str">
        <f aca="false">IF(OR($O287="",$O287=0,$O287=999),"",INDEX(DayLines!$G$3:$G$608,MATCH(SMALL(DayLines!$C$3:$C$608,265),DayLines!$C$3:$C$608,0)))</f>
        <v/>
      </c>
      <c r="F287" s="15"/>
      <c r="G287" s="15"/>
      <c r="H287" s="15"/>
      <c r="I287" s="15"/>
      <c r="J287" s="15"/>
      <c r="K287" s="15"/>
      <c r="L287" s="15"/>
      <c r="M287" s="15"/>
      <c r="N287" s="15"/>
      <c r="O287" s="22" t="str">
        <f aca="false">IFERROR(MOD(SMALL(DayLines!$C$3:$C$608,265),1000),"")</f>
        <v/>
      </c>
    </row>
    <row r="288" customFormat="false" ht="15" hidden="false" customHeight="false" outlineLevel="0" collapsed="false">
      <c r="A288" s="15"/>
      <c r="B288" s="20" t="str">
        <f aca="false">IF($O288="","",IF($O288=0,INDEX(DayLines!$D$3:$D$608,MATCH(SMALL(DayLines!$C$3:$C$608,266),DayLines!$C$3:$C$608,0)),IF($O288=999,"",INDEX(DayLines!$E$3:$E$608,MATCH(SMALL(DayLines!$C$3:$C$608,266),DayLines!$C$3:$C$608,0)))))</f>
        <v/>
      </c>
      <c r="C288" s="16" t="str">
        <f aca="false">IF($O288="","",IF($O288=0,INDEX(DayLines!$E$3:$E$608,MATCH(SMALL(DayLines!$C$3:$C$608,266),DayLines!$C$3:$C$608,0)),IF($O288=999,"",INDEX(DayLines!$D$3:$D$608,MATCH(SMALL(DayLines!$C$3:$C$608,266),DayLines!$C$3:$C$608,0)))))</f>
        <v/>
      </c>
      <c r="D288" s="15" t="str">
        <f aca="false">IF(OR($O288="",$O288=0,$O288=999),"",INDEX(DayLines!$F$3:$F$608,MATCH(SMALL(DayLines!$C$3:$C$608,266),DayLines!$C$3:$C$608,0)))</f>
        <v/>
      </c>
      <c r="E288" s="21" t="str">
        <f aca="false">IF(OR($O288="",$O288=0,$O288=999),"",INDEX(DayLines!$G$3:$G$608,MATCH(SMALL(DayLines!$C$3:$C$608,266),DayLines!$C$3:$C$608,0)))</f>
        <v/>
      </c>
      <c r="F288" s="15"/>
      <c r="G288" s="15"/>
      <c r="H288" s="15"/>
      <c r="I288" s="15"/>
      <c r="J288" s="15"/>
      <c r="K288" s="15"/>
      <c r="L288" s="15"/>
      <c r="M288" s="15"/>
      <c r="N288" s="15"/>
      <c r="O288" s="22" t="str">
        <f aca="false">IFERROR(MOD(SMALL(DayLines!$C$3:$C$608,266),1000),"")</f>
        <v/>
      </c>
    </row>
    <row r="289" customFormat="false" ht="15" hidden="false" customHeight="false" outlineLevel="0" collapsed="false">
      <c r="A289" s="15"/>
      <c r="B289" s="20" t="str">
        <f aca="false">IF($O289="","",IF($O289=0,INDEX(DayLines!$D$3:$D$608,MATCH(SMALL(DayLines!$C$3:$C$608,267),DayLines!$C$3:$C$608,0)),IF($O289=999,"",INDEX(DayLines!$E$3:$E$608,MATCH(SMALL(DayLines!$C$3:$C$608,267),DayLines!$C$3:$C$608,0)))))</f>
        <v/>
      </c>
      <c r="C289" s="16" t="str">
        <f aca="false">IF($O289="","",IF($O289=0,INDEX(DayLines!$E$3:$E$608,MATCH(SMALL(DayLines!$C$3:$C$608,267),DayLines!$C$3:$C$608,0)),IF($O289=999,"",INDEX(DayLines!$D$3:$D$608,MATCH(SMALL(DayLines!$C$3:$C$608,267),DayLines!$C$3:$C$608,0)))))</f>
        <v/>
      </c>
      <c r="D289" s="15" t="str">
        <f aca="false">IF(OR($O289="",$O289=0,$O289=999),"",INDEX(DayLines!$F$3:$F$608,MATCH(SMALL(DayLines!$C$3:$C$608,267),DayLines!$C$3:$C$608,0)))</f>
        <v/>
      </c>
      <c r="E289" s="21" t="str">
        <f aca="false">IF(OR($O289="",$O289=0,$O289=999),"",INDEX(DayLines!$G$3:$G$608,MATCH(SMALL(DayLines!$C$3:$C$608,267),DayLines!$C$3:$C$608,0)))</f>
        <v/>
      </c>
      <c r="F289" s="15"/>
      <c r="G289" s="15"/>
      <c r="H289" s="15"/>
      <c r="I289" s="15"/>
      <c r="J289" s="15"/>
      <c r="K289" s="15"/>
      <c r="L289" s="15"/>
      <c r="M289" s="15"/>
      <c r="N289" s="15"/>
      <c r="O289" s="22" t="str">
        <f aca="false">IFERROR(MOD(SMALL(DayLines!$C$3:$C$608,267),1000),"")</f>
        <v/>
      </c>
    </row>
    <row r="290" customFormat="false" ht="15" hidden="false" customHeight="false" outlineLevel="0" collapsed="false">
      <c r="A290" s="15"/>
      <c r="B290" s="20" t="str">
        <f aca="false">IF($O290="","",IF($O290=0,INDEX(DayLines!$D$3:$D$608,MATCH(SMALL(DayLines!$C$3:$C$608,268),DayLines!$C$3:$C$608,0)),IF($O290=999,"",INDEX(DayLines!$E$3:$E$608,MATCH(SMALL(DayLines!$C$3:$C$608,268),DayLines!$C$3:$C$608,0)))))</f>
        <v/>
      </c>
      <c r="C290" s="16" t="str">
        <f aca="false">IF($O290="","",IF($O290=0,INDEX(DayLines!$E$3:$E$608,MATCH(SMALL(DayLines!$C$3:$C$608,268),DayLines!$C$3:$C$608,0)),IF($O290=999,"",INDEX(DayLines!$D$3:$D$608,MATCH(SMALL(DayLines!$C$3:$C$608,268),DayLines!$C$3:$C$608,0)))))</f>
        <v/>
      </c>
      <c r="D290" s="15" t="str">
        <f aca="false">IF(OR($O290="",$O290=0,$O290=999),"",INDEX(DayLines!$F$3:$F$608,MATCH(SMALL(DayLines!$C$3:$C$608,268),DayLines!$C$3:$C$608,0)))</f>
        <v/>
      </c>
      <c r="E290" s="21" t="str">
        <f aca="false">IF(OR($O290="",$O290=0,$O290=999),"",INDEX(DayLines!$G$3:$G$608,MATCH(SMALL(DayLines!$C$3:$C$608,268),DayLines!$C$3:$C$608,0)))</f>
        <v/>
      </c>
      <c r="F290" s="15"/>
      <c r="G290" s="15"/>
      <c r="H290" s="15"/>
      <c r="I290" s="15"/>
      <c r="J290" s="15"/>
      <c r="K290" s="15"/>
      <c r="L290" s="15"/>
      <c r="M290" s="15"/>
      <c r="N290" s="15"/>
      <c r="O290" s="22" t="str">
        <f aca="false">IFERROR(MOD(SMALL(DayLines!$C$3:$C$608,268),1000),"")</f>
        <v/>
      </c>
    </row>
    <row r="291" customFormat="false" ht="15" hidden="false" customHeight="false" outlineLevel="0" collapsed="false">
      <c r="A291" s="15"/>
      <c r="B291" s="20" t="str">
        <f aca="false">IF($O291="","",IF($O291=0,INDEX(DayLines!$D$3:$D$608,MATCH(SMALL(DayLines!$C$3:$C$608,269),DayLines!$C$3:$C$608,0)),IF($O291=999,"",INDEX(DayLines!$E$3:$E$608,MATCH(SMALL(DayLines!$C$3:$C$608,269),DayLines!$C$3:$C$608,0)))))</f>
        <v/>
      </c>
      <c r="C291" s="16" t="str">
        <f aca="false">IF($O291="","",IF($O291=0,INDEX(DayLines!$E$3:$E$608,MATCH(SMALL(DayLines!$C$3:$C$608,269),DayLines!$C$3:$C$608,0)),IF($O291=999,"",INDEX(DayLines!$D$3:$D$608,MATCH(SMALL(DayLines!$C$3:$C$608,269),DayLines!$C$3:$C$608,0)))))</f>
        <v/>
      </c>
      <c r="D291" s="15" t="str">
        <f aca="false">IF(OR($O291="",$O291=0,$O291=999),"",INDEX(DayLines!$F$3:$F$608,MATCH(SMALL(DayLines!$C$3:$C$608,269),DayLines!$C$3:$C$608,0)))</f>
        <v/>
      </c>
      <c r="E291" s="21" t="str">
        <f aca="false">IF(OR($O291="",$O291=0,$O291=999),"",INDEX(DayLines!$G$3:$G$608,MATCH(SMALL(DayLines!$C$3:$C$608,269),DayLines!$C$3:$C$608,0)))</f>
        <v/>
      </c>
      <c r="F291" s="15"/>
      <c r="G291" s="15"/>
      <c r="H291" s="15"/>
      <c r="I291" s="15"/>
      <c r="J291" s="15"/>
      <c r="K291" s="15"/>
      <c r="L291" s="15"/>
      <c r="M291" s="15"/>
      <c r="N291" s="15"/>
      <c r="O291" s="22" t="str">
        <f aca="false">IFERROR(MOD(SMALL(DayLines!$C$3:$C$608,269),1000),"")</f>
        <v/>
      </c>
    </row>
    <row r="292" customFormat="false" ht="15" hidden="false" customHeight="false" outlineLevel="0" collapsed="false">
      <c r="A292" s="15"/>
      <c r="B292" s="20" t="str">
        <f aca="false">IF($O292="","",IF($O292=0,INDEX(DayLines!$D$3:$D$608,MATCH(SMALL(DayLines!$C$3:$C$608,270),DayLines!$C$3:$C$608,0)),IF($O292=999,"",INDEX(DayLines!$E$3:$E$608,MATCH(SMALL(DayLines!$C$3:$C$608,270),DayLines!$C$3:$C$608,0)))))</f>
        <v/>
      </c>
      <c r="C292" s="16" t="str">
        <f aca="false">IF($O292="","",IF($O292=0,INDEX(DayLines!$E$3:$E$608,MATCH(SMALL(DayLines!$C$3:$C$608,270),DayLines!$C$3:$C$608,0)),IF($O292=999,"",INDEX(DayLines!$D$3:$D$608,MATCH(SMALL(DayLines!$C$3:$C$608,270),DayLines!$C$3:$C$608,0)))))</f>
        <v/>
      </c>
      <c r="D292" s="15" t="str">
        <f aca="false">IF(OR($O292="",$O292=0,$O292=999),"",INDEX(DayLines!$F$3:$F$608,MATCH(SMALL(DayLines!$C$3:$C$608,270),DayLines!$C$3:$C$608,0)))</f>
        <v/>
      </c>
      <c r="E292" s="21" t="str">
        <f aca="false">IF(OR($O292="",$O292=0,$O292=999),"",INDEX(DayLines!$G$3:$G$608,MATCH(SMALL(DayLines!$C$3:$C$608,270),DayLines!$C$3:$C$608,0)))</f>
        <v/>
      </c>
      <c r="F292" s="15"/>
      <c r="G292" s="15"/>
      <c r="H292" s="15"/>
      <c r="I292" s="15"/>
      <c r="J292" s="15"/>
      <c r="K292" s="15"/>
      <c r="L292" s="15"/>
      <c r="M292" s="15"/>
      <c r="N292" s="15"/>
      <c r="O292" s="22" t="str">
        <f aca="false">IFERROR(MOD(SMALL(DayLines!$C$3:$C$608,270),1000),"")</f>
        <v/>
      </c>
    </row>
    <row r="293" customFormat="false" ht="15" hidden="false" customHeight="false" outlineLevel="0" collapsed="false">
      <c r="A293" s="15"/>
      <c r="B293" s="20" t="str">
        <f aca="false">IF($O293="","",IF($O293=0,INDEX(DayLines!$D$3:$D$608,MATCH(SMALL(DayLines!$C$3:$C$608,271),DayLines!$C$3:$C$608,0)),IF($O293=999,"",INDEX(DayLines!$E$3:$E$608,MATCH(SMALL(DayLines!$C$3:$C$608,271),DayLines!$C$3:$C$608,0)))))</f>
        <v/>
      </c>
      <c r="C293" s="16" t="str">
        <f aca="false">IF($O293="","",IF($O293=0,INDEX(DayLines!$E$3:$E$608,MATCH(SMALL(DayLines!$C$3:$C$608,271),DayLines!$C$3:$C$608,0)),IF($O293=999,"",INDEX(DayLines!$D$3:$D$608,MATCH(SMALL(DayLines!$C$3:$C$608,271),DayLines!$C$3:$C$608,0)))))</f>
        <v/>
      </c>
      <c r="D293" s="15" t="str">
        <f aca="false">IF(OR($O293="",$O293=0,$O293=999),"",INDEX(DayLines!$F$3:$F$608,MATCH(SMALL(DayLines!$C$3:$C$608,271),DayLines!$C$3:$C$608,0)))</f>
        <v/>
      </c>
      <c r="E293" s="21" t="str">
        <f aca="false">IF(OR($O293="",$O293=0,$O293=999),"",INDEX(DayLines!$G$3:$G$608,MATCH(SMALL(DayLines!$C$3:$C$608,271),DayLines!$C$3:$C$608,0)))</f>
        <v/>
      </c>
      <c r="F293" s="15"/>
      <c r="G293" s="15"/>
      <c r="H293" s="15"/>
      <c r="I293" s="15"/>
      <c r="J293" s="15"/>
      <c r="K293" s="15"/>
      <c r="L293" s="15"/>
      <c r="M293" s="15"/>
      <c r="N293" s="15"/>
      <c r="O293" s="22" t="str">
        <f aca="false">IFERROR(MOD(SMALL(DayLines!$C$3:$C$608,271),1000),"")</f>
        <v/>
      </c>
    </row>
    <row r="294" customFormat="false" ht="15" hidden="false" customHeight="false" outlineLevel="0" collapsed="false">
      <c r="A294" s="15"/>
      <c r="B294" s="20" t="str">
        <f aca="false">IF($O294="","",IF($O294=0,INDEX(DayLines!$D$3:$D$608,MATCH(SMALL(DayLines!$C$3:$C$608,272),DayLines!$C$3:$C$608,0)),IF($O294=999,"",INDEX(DayLines!$E$3:$E$608,MATCH(SMALL(DayLines!$C$3:$C$608,272),DayLines!$C$3:$C$608,0)))))</f>
        <v/>
      </c>
      <c r="C294" s="16" t="str">
        <f aca="false">IF($O294="","",IF($O294=0,INDEX(DayLines!$E$3:$E$608,MATCH(SMALL(DayLines!$C$3:$C$608,272),DayLines!$C$3:$C$608,0)),IF($O294=999,"",INDEX(DayLines!$D$3:$D$608,MATCH(SMALL(DayLines!$C$3:$C$608,272),DayLines!$C$3:$C$608,0)))))</f>
        <v/>
      </c>
      <c r="D294" s="15" t="str">
        <f aca="false">IF(OR($O294="",$O294=0,$O294=999),"",INDEX(DayLines!$F$3:$F$608,MATCH(SMALL(DayLines!$C$3:$C$608,272),DayLines!$C$3:$C$608,0)))</f>
        <v/>
      </c>
      <c r="E294" s="21" t="str">
        <f aca="false">IF(OR($O294="",$O294=0,$O294=999),"",INDEX(DayLines!$G$3:$G$608,MATCH(SMALL(DayLines!$C$3:$C$608,272),DayLines!$C$3:$C$608,0)))</f>
        <v/>
      </c>
      <c r="F294" s="15"/>
      <c r="G294" s="15"/>
      <c r="H294" s="15"/>
      <c r="I294" s="15"/>
      <c r="J294" s="15"/>
      <c r="K294" s="15"/>
      <c r="L294" s="15"/>
      <c r="M294" s="15"/>
      <c r="N294" s="15"/>
      <c r="O294" s="22" t="str">
        <f aca="false">IFERROR(MOD(SMALL(DayLines!$C$3:$C$608,272),1000),"")</f>
        <v/>
      </c>
    </row>
    <row r="295" customFormat="false" ht="15" hidden="false" customHeight="false" outlineLevel="0" collapsed="false">
      <c r="A295" s="15"/>
      <c r="B295" s="20" t="str">
        <f aca="false">IF($O295="","",IF($O295=0,INDEX(DayLines!$D$3:$D$608,MATCH(SMALL(DayLines!$C$3:$C$608,273),DayLines!$C$3:$C$608,0)),IF($O295=999,"",INDEX(DayLines!$E$3:$E$608,MATCH(SMALL(DayLines!$C$3:$C$608,273),DayLines!$C$3:$C$608,0)))))</f>
        <v/>
      </c>
      <c r="C295" s="16" t="str">
        <f aca="false">IF($O295="","",IF($O295=0,INDEX(DayLines!$E$3:$E$608,MATCH(SMALL(DayLines!$C$3:$C$608,273),DayLines!$C$3:$C$608,0)),IF($O295=999,"",INDEX(DayLines!$D$3:$D$608,MATCH(SMALL(DayLines!$C$3:$C$608,273),DayLines!$C$3:$C$608,0)))))</f>
        <v/>
      </c>
      <c r="D295" s="15" t="str">
        <f aca="false">IF(OR($O295="",$O295=0,$O295=999),"",INDEX(DayLines!$F$3:$F$608,MATCH(SMALL(DayLines!$C$3:$C$608,273),DayLines!$C$3:$C$608,0)))</f>
        <v/>
      </c>
      <c r="E295" s="21" t="str">
        <f aca="false">IF(OR($O295="",$O295=0,$O295=999),"",INDEX(DayLines!$G$3:$G$608,MATCH(SMALL(DayLines!$C$3:$C$608,273),DayLines!$C$3:$C$608,0)))</f>
        <v/>
      </c>
      <c r="F295" s="15"/>
      <c r="G295" s="15"/>
      <c r="H295" s="15"/>
      <c r="I295" s="15"/>
      <c r="J295" s="15"/>
      <c r="K295" s="15"/>
      <c r="L295" s="15"/>
      <c r="M295" s="15"/>
      <c r="N295" s="15"/>
      <c r="O295" s="22" t="str">
        <f aca="false">IFERROR(MOD(SMALL(DayLines!$C$3:$C$608,273),1000),"")</f>
        <v/>
      </c>
    </row>
    <row r="296" customFormat="false" ht="15" hidden="false" customHeight="false" outlineLevel="0" collapsed="false">
      <c r="A296" s="15"/>
      <c r="B296" s="20" t="str">
        <f aca="false">IF($O296="","",IF($O296=0,INDEX(DayLines!$D$3:$D$608,MATCH(SMALL(DayLines!$C$3:$C$608,274),DayLines!$C$3:$C$608,0)),IF($O296=999,"",INDEX(DayLines!$E$3:$E$608,MATCH(SMALL(DayLines!$C$3:$C$608,274),DayLines!$C$3:$C$608,0)))))</f>
        <v/>
      </c>
      <c r="C296" s="16" t="str">
        <f aca="false">IF($O296="","",IF($O296=0,INDEX(DayLines!$E$3:$E$608,MATCH(SMALL(DayLines!$C$3:$C$608,274),DayLines!$C$3:$C$608,0)),IF($O296=999,"",INDEX(DayLines!$D$3:$D$608,MATCH(SMALL(DayLines!$C$3:$C$608,274),DayLines!$C$3:$C$608,0)))))</f>
        <v/>
      </c>
      <c r="D296" s="15" t="str">
        <f aca="false">IF(OR($O296="",$O296=0,$O296=999),"",INDEX(DayLines!$F$3:$F$608,MATCH(SMALL(DayLines!$C$3:$C$608,274),DayLines!$C$3:$C$608,0)))</f>
        <v/>
      </c>
      <c r="E296" s="21" t="str">
        <f aca="false">IF(OR($O296="",$O296=0,$O296=999),"",INDEX(DayLines!$G$3:$G$608,MATCH(SMALL(DayLines!$C$3:$C$608,274),DayLines!$C$3:$C$608,0)))</f>
        <v/>
      </c>
      <c r="F296" s="15"/>
      <c r="G296" s="15"/>
      <c r="H296" s="15"/>
      <c r="I296" s="15"/>
      <c r="J296" s="15"/>
      <c r="K296" s="15"/>
      <c r="L296" s="15"/>
      <c r="M296" s="15"/>
      <c r="N296" s="15"/>
      <c r="O296" s="22" t="str">
        <f aca="false">IFERROR(MOD(SMALL(DayLines!$C$3:$C$608,274),1000),"")</f>
        <v/>
      </c>
    </row>
    <row r="297" customFormat="false" ht="15" hidden="false" customHeight="false" outlineLevel="0" collapsed="false">
      <c r="A297" s="15"/>
      <c r="B297" s="20" t="str">
        <f aca="false">IF($O297="","",IF($O297=0,INDEX(DayLines!$D$3:$D$608,MATCH(SMALL(DayLines!$C$3:$C$608,275),DayLines!$C$3:$C$608,0)),IF($O297=999,"",INDEX(DayLines!$E$3:$E$608,MATCH(SMALL(DayLines!$C$3:$C$608,275),DayLines!$C$3:$C$608,0)))))</f>
        <v/>
      </c>
      <c r="C297" s="16" t="str">
        <f aca="false">IF($O297="","",IF($O297=0,INDEX(DayLines!$E$3:$E$608,MATCH(SMALL(DayLines!$C$3:$C$608,275),DayLines!$C$3:$C$608,0)),IF($O297=999,"",INDEX(DayLines!$D$3:$D$608,MATCH(SMALL(DayLines!$C$3:$C$608,275),DayLines!$C$3:$C$608,0)))))</f>
        <v/>
      </c>
      <c r="D297" s="15" t="str">
        <f aca="false">IF(OR($O297="",$O297=0,$O297=999),"",INDEX(DayLines!$F$3:$F$608,MATCH(SMALL(DayLines!$C$3:$C$608,275),DayLines!$C$3:$C$608,0)))</f>
        <v/>
      </c>
      <c r="E297" s="21" t="str">
        <f aca="false">IF(OR($O297="",$O297=0,$O297=999),"",INDEX(DayLines!$G$3:$G$608,MATCH(SMALL(DayLines!$C$3:$C$608,275),DayLines!$C$3:$C$608,0)))</f>
        <v/>
      </c>
      <c r="F297" s="15"/>
      <c r="G297" s="15"/>
      <c r="H297" s="15"/>
      <c r="I297" s="15"/>
      <c r="J297" s="15"/>
      <c r="K297" s="15"/>
      <c r="L297" s="15"/>
      <c r="M297" s="15"/>
      <c r="N297" s="15"/>
      <c r="O297" s="22" t="str">
        <f aca="false">IFERROR(MOD(SMALL(DayLines!$C$3:$C$608,275),1000),"")</f>
        <v/>
      </c>
    </row>
    <row r="298" customFormat="false" ht="15" hidden="false" customHeight="false" outlineLevel="0" collapsed="false">
      <c r="A298" s="15"/>
      <c r="B298" s="20" t="str">
        <f aca="false">IF($O298="","",IF($O298=0,INDEX(DayLines!$D$3:$D$608,MATCH(SMALL(DayLines!$C$3:$C$608,276),DayLines!$C$3:$C$608,0)),IF($O298=999,"",INDEX(DayLines!$E$3:$E$608,MATCH(SMALL(DayLines!$C$3:$C$608,276),DayLines!$C$3:$C$608,0)))))</f>
        <v/>
      </c>
      <c r="C298" s="16" t="str">
        <f aca="false">IF($O298="","",IF($O298=0,INDEX(DayLines!$E$3:$E$608,MATCH(SMALL(DayLines!$C$3:$C$608,276),DayLines!$C$3:$C$608,0)),IF($O298=999,"",INDEX(DayLines!$D$3:$D$608,MATCH(SMALL(DayLines!$C$3:$C$608,276),DayLines!$C$3:$C$608,0)))))</f>
        <v/>
      </c>
      <c r="D298" s="15" t="str">
        <f aca="false">IF(OR($O298="",$O298=0,$O298=999),"",INDEX(DayLines!$F$3:$F$608,MATCH(SMALL(DayLines!$C$3:$C$608,276),DayLines!$C$3:$C$608,0)))</f>
        <v/>
      </c>
      <c r="E298" s="21" t="str">
        <f aca="false">IF(OR($O298="",$O298=0,$O298=999),"",INDEX(DayLines!$G$3:$G$608,MATCH(SMALL(DayLines!$C$3:$C$608,276),DayLines!$C$3:$C$608,0)))</f>
        <v/>
      </c>
      <c r="F298" s="15"/>
      <c r="G298" s="15"/>
      <c r="H298" s="15"/>
      <c r="I298" s="15"/>
      <c r="J298" s="15"/>
      <c r="K298" s="15"/>
      <c r="L298" s="15"/>
      <c r="M298" s="15"/>
      <c r="N298" s="15"/>
      <c r="O298" s="22" t="str">
        <f aca="false">IFERROR(MOD(SMALL(DayLines!$C$3:$C$608,276),1000),"")</f>
        <v/>
      </c>
    </row>
    <row r="299" customFormat="false" ht="15" hidden="false" customHeight="false" outlineLevel="0" collapsed="false">
      <c r="A299" s="15"/>
      <c r="B299" s="20" t="str">
        <f aca="false">IF($O299="","",IF($O299=0,INDEX(DayLines!$D$3:$D$608,MATCH(SMALL(DayLines!$C$3:$C$608,277),DayLines!$C$3:$C$608,0)),IF($O299=999,"",INDEX(DayLines!$E$3:$E$608,MATCH(SMALL(DayLines!$C$3:$C$608,277),DayLines!$C$3:$C$608,0)))))</f>
        <v/>
      </c>
      <c r="C299" s="16" t="str">
        <f aca="false">IF($O299="","",IF($O299=0,INDEX(DayLines!$E$3:$E$608,MATCH(SMALL(DayLines!$C$3:$C$608,277),DayLines!$C$3:$C$608,0)),IF($O299=999,"",INDEX(DayLines!$D$3:$D$608,MATCH(SMALL(DayLines!$C$3:$C$608,277),DayLines!$C$3:$C$608,0)))))</f>
        <v/>
      </c>
      <c r="D299" s="15" t="str">
        <f aca="false">IF(OR($O299="",$O299=0,$O299=999),"",INDEX(DayLines!$F$3:$F$608,MATCH(SMALL(DayLines!$C$3:$C$608,277),DayLines!$C$3:$C$608,0)))</f>
        <v/>
      </c>
      <c r="E299" s="21" t="str">
        <f aca="false">IF(OR($O299="",$O299=0,$O299=999),"",INDEX(DayLines!$G$3:$G$608,MATCH(SMALL(DayLines!$C$3:$C$608,277),DayLines!$C$3:$C$608,0)))</f>
        <v/>
      </c>
      <c r="F299" s="15"/>
      <c r="G299" s="15"/>
      <c r="H299" s="15"/>
      <c r="I299" s="15"/>
      <c r="J299" s="15"/>
      <c r="K299" s="15"/>
      <c r="L299" s="15"/>
      <c r="M299" s="15"/>
      <c r="N299" s="15"/>
      <c r="O299" s="22" t="str">
        <f aca="false">IFERROR(MOD(SMALL(DayLines!$C$3:$C$608,277),1000),"")</f>
        <v/>
      </c>
    </row>
    <row r="300" customFormat="false" ht="15" hidden="false" customHeight="false" outlineLevel="0" collapsed="false">
      <c r="A300" s="15"/>
      <c r="B300" s="20" t="str">
        <f aca="false">IF($O300="","",IF($O300=0,INDEX(DayLines!$D$3:$D$608,MATCH(SMALL(DayLines!$C$3:$C$608,278),DayLines!$C$3:$C$608,0)),IF($O300=999,"",INDEX(DayLines!$E$3:$E$608,MATCH(SMALL(DayLines!$C$3:$C$608,278),DayLines!$C$3:$C$608,0)))))</f>
        <v/>
      </c>
      <c r="C300" s="16" t="str">
        <f aca="false">IF($O300="","",IF($O300=0,INDEX(DayLines!$E$3:$E$608,MATCH(SMALL(DayLines!$C$3:$C$608,278),DayLines!$C$3:$C$608,0)),IF($O300=999,"",INDEX(DayLines!$D$3:$D$608,MATCH(SMALL(DayLines!$C$3:$C$608,278),DayLines!$C$3:$C$608,0)))))</f>
        <v/>
      </c>
      <c r="D300" s="15" t="str">
        <f aca="false">IF(OR($O300="",$O300=0,$O300=999),"",INDEX(DayLines!$F$3:$F$608,MATCH(SMALL(DayLines!$C$3:$C$608,278),DayLines!$C$3:$C$608,0)))</f>
        <v/>
      </c>
      <c r="E300" s="21" t="str">
        <f aca="false">IF(OR($O300="",$O300=0,$O300=999),"",INDEX(DayLines!$G$3:$G$608,MATCH(SMALL(DayLines!$C$3:$C$608,278),DayLines!$C$3:$C$608,0)))</f>
        <v/>
      </c>
      <c r="F300" s="15"/>
      <c r="G300" s="15"/>
      <c r="H300" s="15"/>
      <c r="I300" s="15"/>
      <c r="J300" s="15"/>
      <c r="K300" s="15"/>
      <c r="L300" s="15"/>
      <c r="M300" s="15"/>
      <c r="N300" s="15"/>
      <c r="O300" s="22" t="str">
        <f aca="false">IFERROR(MOD(SMALL(DayLines!$C$3:$C$608,278),1000),"")</f>
        <v/>
      </c>
    </row>
    <row r="301" customFormat="false" ht="15" hidden="false" customHeight="false" outlineLevel="0" collapsed="false">
      <c r="A301" s="15"/>
      <c r="B301" s="20" t="str">
        <f aca="false">IF($O301="","",IF($O301=0,INDEX(DayLines!$D$3:$D$608,MATCH(SMALL(DayLines!$C$3:$C$608,279),DayLines!$C$3:$C$608,0)),IF($O301=999,"",INDEX(DayLines!$E$3:$E$608,MATCH(SMALL(DayLines!$C$3:$C$608,279),DayLines!$C$3:$C$608,0)))))</f>
        <v/>
      </c>
      <c r="C301" s="16" t="str">
        <f aca="false">IF($O301="","",IF($O301=0,INDEX(DayLines!$E$3:$E$608,MATCH(SMALL(DayLines!$C$3:$C$608,279),DayLines!$C$3:$C$608,0)),IF($O301=999,"",INDEX(DayLines!$D$3:$D$608,MATCH(SMALL(DayLines!$C$3:$C$608,279),DayLines!$C$3:$C$608,0)))))</f>
        <v/>
      </c>
      <c r="D301" s="15" t="str">
        <f aca="false">IF(OR($O301="",$O301=0,$O301=999),"",INDEX(DayLines!$F$3:$F$608,MATCH(SMALL(DayLines!$C$3:$C$608,279),DayLines!$C$3:$C$608,0)))</f>
        <v/>
      </c>
      <c r="E301" s="21" t="str">
        <f aca="false">IF(OR($O301="",$O301=0,$O301=999),"",INDEX(DayLines!$G$3:$G$608,MATCH(SMALL(DayLines!$C$3:$C$608,279),DayLines!$C$3:$C$608,0)))</f>
        <v/>
      </c>
      <c r="F301" s="15"/>
      <c r="G301" s="15"/>
      <c r="H301" s="15"/>
      <c r="I301" s="15"/>
      <c r="J301" s="15"/>
      <c r="K301" s="15"/>
      <c r="L301" s="15"/>
      <c r="M301" s="15"/>
      <c r="N301" s="15"/>
      <c r="O301" s="22" t="str">
        <f aca="false">IFERROR(MOD(SMALL(DayLines!$C$3:$C$608,279),1000),"")</f>
        <v/>
      </c>
    </row>
    <row r="302" customFormat="false" ht="15" hidden="false" customHeight="false" outlineLevel="0" collapsed="false">
      <c r="A302" s="15"/>
      <c r="B302" s="20" t="str">
        <f aca="false">IF($O302="","",IF($O302=0,INDEX(DayLines!$D$3:$D$608,MATCH(SMALL(DayLines!$C$3:$C$608,280),DayLines!$C$3:$C$608,0)),IF($O302=999,"",INDEX(DayLines!$E$3:$E$608,MATCH(SMALL(DayLines!$C$3:$C$608,280),DayLines!$C$3:$C$608,0)))))</f>
        <v/>
      </c>
      <c r="C302" s="16" t="str">
        <f aca="false">IF($O302="","",IF($O302=0,INDEX(DayLines!$E$3:$E$608,MATCH(SMALL(DayLines!$C$3:$C$608,280),DayLines!$C$3:$C$608,0)),IF($O302=999,"",INDEX(DayLines!$D$3:$D$608,MATCH(SMALL(DayLines!$C$3:$C$608,280),DayLines!$C$3:$C$608,0)))))</f>
        <v/>
      </c>
      <c r="D302" s="15" t="str">
        <f aca="false">IF(OR($O302="",$O302=0,$O302=999),"",INDEX(DayLines!$F$3:$F$608,MATCH(SMALL(DayLines!$C$3:$C$608,280),DayLines!$C$3:$C$608,0)))</f>
        <v/>
      </c>
      <c r="E302" s="21" t="str">
        <f aca="false">IF(OR($O302="",$O302=0,$O302=999),"",INDEX(DayLines!$G$3:$G$608,MATCH(SMALL(DayLines!$C$3:$C$608,280),DayLines!$C$3:$C$608,0)))</f>
        <v/>
      </c>
      <c r="F302" s="15"/>
      <c r="G302" s="15"/>
      <c r="H302" s="15"/>
      <c r="I302" s="15"/>
      <c r="J302" s="15"/>
      <c r="K302" s="15"/>
      <c r="L302" s="15"/>
      <c r="M302" s="15"/>
      <c r="N302" s="15"/>
      <c r="O302" s="22" t="str">
        <f aca="false">IFERROR(MOD(SMALL(DayLines!$C$3:$C$608,280),1000),"")</f>
        <v/>
      </c>
    </row>
    <row r="303" customFormat="false" ht="15" hidden="false" customHeight="false" outlineLevel="0" collapsed="false">
      <c r="A303" s="15"/>
      <c r="B303" s="20" t="str">
        <f aca="false">IF($O303="","",IF($O303=0,INDEX(DayLines!$D$3:$D$608,MATCH(SMALL(DayLines!$C$3:$C$608,281),DayLines!$C$3:$C$608,0)),IF($O303=999,"",INDEX(DayLines!$E$3:$E$608,MATCH(SMALL(DayLines!$C$3:$C$608,281),DayLines!$C$3:$C$608,0)))))</f>
        <v/>
      </c>
      <c r="C303" s="16" t="str">
        <f aca="false">IF($O303="","",IF($O303=0,INDEX(DayLines!$E$3:$E$608,MATCH(SMALL(DayLines!$C$3:$C$608,281),DayLines!$C$3:$C$608,0)),IF($O303=999,"",INDEX(DayLines!$D$3:$D$608,MATCH(SMALL(DayLines!$C$3:$C$608,281),DayLines!$C$3:$C$608,0)))))</f>
        <v/>
      </c>
      <c r="D303" s="15" t="str">
        <f aca="false">IF(OR($O303="",$O303=0,$O303=999),"",INDEX(DayLines!$F$3:$F$608,MATCH(SMALL(DayLines!$C$3:$C$608,281),DayLines!$C$3:$C$608,0)))</f>
        <v/>
      </c>
      <c r="E303" s="21" t="str">
        <f aca="false">IF(OR($O303="",$O303=0,$O303=999),"",INDEX(DayLines!$G$3:$G$608,MATCH(SMALL(DayLines!$C$3:$C$608,281),DayLines!$C$3:$C$608,0)))</f>
        <v/>
      </c>
      <c r="F303" s="15"/>
      <c r="G303" s="15"/>
      <c r="H303" s="15"/>
      <c r="I303" s="15"/>
      <c r="J303" s="15"/>
      <c r="K303" s="15"/>
      <c r="L303" s="15"/>
      <c r="M303" s="15"/>
      <c r="N303" s="15"/>
      <c r="O303" s="22" t="str">
        <f aca="false">IFERROR(MOD(SMALL(DayLines!$C$3:$C$608,281),1000),"")</f>
        <v/>
      </c>
    </row>
    <row r="304" customFormat="false" ht="15" hidden="false" customHeight="false" outlineLevel="0" collapsed="false">
      <c r="A304" s="15"/>
      <c r="B304" s="20" t="str">
        <f aca="false">IF($O304="","",IF($O304=0,INDEX(DayLines!$D$3:$D$608,MATCH(SMALL(DayLines!$C$3:$C$608,282),DayLines!$C$3:$C$608,0)),IF($O304=999,"",INDEX(DayLines!$E$3:$E$608,MATCH(SMALL(DayLines!$C$3:$C$608,282),DayLines!$C$3:$C$608,0)))))</f>
        <v/>
      </c>
      <c r="C304" s="16" t="str">
        <f aca="false">IF($O304="","",IF($O304=0,INDEX(DayLines!$E$3:$E$608,MATCH(SMALL(DayLines!$C$3:$C$608,282),DayLines!$C$3:$C$608,0)),IF($O304=999,"",INDEX(DayLines!$D$3:$D$608,MATCH(SMALL(DayLines!$C$3:$C$608,282),DayLines!$C$3:$C$608,0)))))</f>
        <v/>
      </c>
      <c r="D304" s="15" t="str">
        <f aca="false">IF(OR($O304="",$O304=0,$O304=999),"",INDEX(DayLines!$F$3:$F$608,MATCH(SMALL(DayLines!$C$3:$C$608,282),DayLines!$C$3:$C$608,0)))</f>
        <v/>
      </c>
      <c r="E304" s="21" t="str">
        <f aca="false">IF(OR($O304="",$O304=0,$O304=999),"",INDEX(DayLines!$G$3:$G$608,MATCH(SMALL(DayLines!$C$3:$C$608,282),DayLines!$C$3:$C$608,0)))</f>
        <v/>
      </c>
      <c r="F304" s="15"/>
      <c r="G304" s="15"/>
      <c r="H304" s="15"/>
      <c r="I304" s="15"/>
      <c r="J304" s="15"/>
      <c r="K304" s="15"/>
      <c r="L304" s="15"/>
      <c r="M304" s="15"/>
      <c r="N304" s="15"/>
      <c r="O304" s="22" t="str">
        <f aca="false">IFERROR(MOD(SMALL(DayLines!$C$3:$C$608,282),1000),"")</f>
        <v/>
      </c>
    </row>
    <row r="305" customFormat="false" ht="15" hidden="false" customHeight="false" outlineLevel="0" collapsed="false">
      <c r="A305" s="15"/>
      <c r="B305" s="20" t="str">
        <f aca="false">IF($O305="","",IF($O305=0,INDEX(DayLines!$D$3:$D$608,MATCH(SMALL(DayLines!$C$3:$C$608,283),DayLines!$C$3:$C$608,0)),IF($O305=999,"",INDEX(DayLines!$E$3:$E$608,MATCH(SMALL(DayLines!$C$3:$C$608,283),DayLines!$C$3:$C$608,0)))))</f>
        <v/>
      </c>
      <c r="C305" s="16" t="str">
        <f aca="false">IF($O305="","",IF($O305=0,INDEX(DayLines!$E$3:$E$608,MATCH(SMALL(DayLines!$C$3:$C$608,283),DayLines!$C$3:$C$608,0)),IF($O305=999,"",INDEX(DayLines!$D$3:$D$608,MATCH(SMALL(DayLines!$C$3:$C$608,283),DayLines!$C$3:$C$608,0)))))</f>
        <v/>
      </c>
      <c r="D305" s="15" t="str">
        <f aca="false">IF(OR($O305="",$O305=0,$O305=999),"",INDEX(DayLines!$F$3:$F$608,MATCH(SMALL(DayLines!$C$3:$C$608,283),DayLines!$C$3:$C$608,0)))</f>
        <v/>
      </c>
      <c r="E305" s="21" t="str">
        <f aca="false">IF(OR($O305="",$O305=0,$O305=999),"",INDEX(DayLines!$G$3:$G$608,MATCH(SMALL(DayLines!$C$3:$C$608,283),DayLines!$C$3:$C$608,0)))</f>
        <v/>
      </c>
      <c r="F305" s="15"/>
      <c r="G305" s="15"/>
      <c r="H305" s="15"/>
      <c r="I305" s="15"/>
      <c r="J305" s="15"/>
      <c r="K305" s="15"/>
      <c r="L305" s="15"/>
      <c r="M305" s="15"/>
      <c r="N305" s="15"/>
      <c r="O305" s="22" t="str">
        <f aca="false">IFERROR(MOD(SMALL(DayLines!$C$3:$C$608,283),1000),"")</f>
        <v/>
      </c>
    </row>
    <row r="306" customFormat="false" ht="15" hidden="false" customHeight="false" outlineLevel="0" collapsed="false">
      <c r="A306" s="15"/>
      <c r="B306" s="20" t="str">
        <f aca="false">IF($O306="","",IF($O306=0,INDEX(DayLines!$D$3:$D$608,MATCH(SMALL(DayLines!$C$3:$C$608,284),DayLines!$C$3:$C$608,0)),IF($O306=999,"",INDEX(DayLines!$E$3:$E$608,MATCH(SMALL(DayLines!$C$3:$C$608,284),DayLines!$C$3:$C$608,0)))))</f>
        <v/>
      </c>
      <c r="C306" s="16" t="str">
        <f aca="false">IF($O306="","",IF($O306=0,INDEX(DayLines!$E$3:$E$608,MATCH(SMALL(DayLines!$C$3:$C$608,284),DayLines!$C$3:$C$608,0)),IF($O306=999,"",INDEX(DayLines!$D$3:$D$608,MATCH(SMALL(DayLines!$C$3:$C$608,284),DayLines!$C$3:$C$608,0)))))</f>
        <v/>
      </c>
      <c r="D306" s="15" t="str">
        <f aca="false">IF(OR($O306="",$O306=0,$O306=999),"",INDEX(DayLines!$F$3:$F$608,MATCH(SMALL(DayLines!$C$3:$C$608,284),DayLines!$C$3:$C$608,0)))</f>
        <v/>
      </c>
      <c r="E306" s="21" t="str">
        <f aca="false">IF(OR($O306="",$O306=0,$O306=999),"",INDEX(DayLines!$G$3:$G$608,MATCH(SMALL(DayLines!$C$3:$C$608,284),DayLines!$C$3:$C$608,0)))</f>
        <v/>
      </c>
      <c r="F306" s="15"/>
      <c r="G306" s="15"/>
      <c r="H306" s="15"/>
      <c r="I306" s="15"/>
      <c r="J306" s="15"/>
      <c r="K306" s="15"/>
      <c r="L306" s="15"/>
      <c r="M306" s="15"/>
      <c r="N306" s="15"/>
      <c r="O306" s="22" t="str">
        <f aca="false">IFERROR(MOD(SMALL(DayLines!$C$3:$C$608,284),1000),"")</f>
        <v/>
      </c>
    </row>
    <row r="307" customFormat="false" ht="15" hidden="false" customHeight="false" outlineLevel="0" collapsed="false">
      <c r="A307" s="15"/>
      <c r="B307" s="20" t="str">
        <f aca="false">IF($O307="","",IF($O307=0,INDEX(DayLines!$D$3:$D$608,MATCH(SMALL(DayLines!$C$3:$C$608,285),DayLines!$C$3:$C$608,0)),IF($O307=999,"",INDEX(DayLines!$E$3:$E$608,MATCH(SMALL(DayLines!$C$3:$C$608,285),DayLines!$C$3:$C$608,0)))))</f>
        <v/>
      </c>
      <c r="C307" s="16" t="str">
        <f aca="false">IF($O307="","",IF($O307=0,INDEX(DayLines!$E$3:$E$608,MATCH(SMALL(DayLines!$C$3:$C$608,285),DayLines!$C$3:$C$608,0)),IF($O307=999,"",INDEX(DayLines!$D$3:$D$608,MATCH(SMALL(DayLines!$C$3:$C$608,285),DayLines!$C$3:$C$608,0)))))</f>
        <v/>
      </c>
      <c r="D307" s="15" t="str">
        <f aca="false">IF(OR($O307="",$O307=0,$O307=999),"",INDEX(DayLines!$F$3:$F$608,MATCH(SMALL(DayLines!$C$3:$C$608,285),DayLines!$C$3:$C$608,0)))</f>
        <v/>
      </c>
      <c r="E307" s="21" t="str">
        <f aca="false">IF(OR($O307="",$O307=0,$O307=999),"",INDEX(DayLines!$G$3:$G$608,MATCH(SMALL(DayLines!$C$3:$C$608,285),DayLines!$C$3:$C$608,0)))</f>
        <v/>
      </c>
      <c r="F307" s="15"/>
      <c r="G307" s="15"/>
      <c r="H307" s="15"/>
      <c r="I307" s="15"/>
      <c r="J307" s="15"/>
      <c r="K307" s="15"/>
      <c r="L307" s="15"/>
      <c r="M307" s="15"/>
      <c r="N307" s="15"/>
      <c r="O307" s="22" t="str">
        <f aca="false">IFERROR(MOD(SMALL(DayLines!$C$3:$C$608,285),1000),"")</f>
        <v/>
      </c>
    </row>
    <row r="308" customFormat="false" ht="15" hidden="false" customHeight="false" outlineLevel="0" collapsed="false">
      <c r="A308" s="15"/>
      <c r="B308" s="20" t="str">
        <f aca="false">IF($O308="","",IF($O308=0,INDEX(DayLines!$D$3:$D$608,MATCH(SMALL(DayLines!$C$3:$C$608,286),DayLines!$C$3:$C$608,0)),IF($O308=999,"",INDEX(DayLines!$E$3:$E$608,MATCH(SMALL(DayLines!$C$3:$C$608,286),DayLines!$C$3:$C$608,0)))))</f>
        <v/>
      </c>
      <c r="C308" s="16" t="str">
        <f aca="false">IF($O308="","",IF($O308=0,INDEX(DayLines!$E$3:$E$608,MATCH(SMALL(DayLines!$C$3:$C$608,286),DayLines!$C$3:$C$608,0)),IF($O308=999,"",INDEX(DayLines!$D$3:$D$608,MATCH(SMALL(DayLines!$C$3:$C$608,286),DayLines!$C$3:$C$608,0)))))</f>
        <v/>
      </c>
      <c r="D308" s="15" t="str">
        <f aca="false">IF(OR($O308="",$O308=0,$O308=999),"",INDEX(DayLines!$F$3:$F$608,MATCH(SMALL(DayLines!$C$3:$C$608,286),DayLines!$C$3:$C$608,0)))</f>
        <v/>
      </c>
      <c r="E308" s="21" t="str">
        <f aca="false">IF(OR($O308="",$O308=0,$O308=999),"",INDEX(DayLines!$G$3:$G$608,MATCH(SMALL(DayLines!$C$3:$C$608,286),DayLines!$C$3:$C$608,0)))</f>
        <v/>
      </c>
      <c r="F308" s="15"/>
      <c r="G308" s="15"/>
      <c r="H308" s="15"/>
      <c r="I308" s="15"/>
      <c r="J308" s="15"/>
      <c r="K308" s="15"/>
      <c r="L308" s="15"/>
      <c r="M308" s="15"/>
      <c r="N308" s="15"/>
      <c r="O308" s="22" t="str">
        <f aca="false">IFERROR(MOD(SMALL(DayLines!$C$3:$C$608,286),1000),"")</f>
        <v/>
      </c>
    </row>
    <row r="309" customFormat="false" ht="15" hidden="false" customHeight="false" outlineLevel="0" collapsed="false">
      <c r="A309" s="15"/>
      <c r="B309" s="20" t="str">
        <f aca="false">IF($O309="","",IF($O309=0,INDEX(DayLines!$D$3:$D$608,MATCH(SMALL(DayLines!$C$3:$C$608,287),DayLines!$C$3:$C$608,0)),IF($O309=999,"",INDEX(DayLines!$E$3:$E$608,MATCH(SMALL(DayLines!$C$3:$C$608,287),DayLines!$C$3:$C$608,0)))))</f>
        <v/>
      </c>
      <c r="C309" s="16" t="str">
        <f aca="false">IF($O309="","",IF($O309=0,INDEX(DayLines!$E$3:$E$608,MATCH(SMALL(DayLines!$C$3:$C$608,287),DayLines!$C$3:$C$608,0)),IF($O309=999,"",INDEX(DayLines!$D$3:$D$608,MATCH(SMALL(DayLines!$C$3:$C$608,287),DayLines!$C$3:$C$608,0)))))</f>
        <v/>
      </c>
      <c r="D309" s="15" t="str">
        <f aca="false">IF(OR($O309="",$O309=0,$O309=999),"",INDEX(DayLines!$F$3:$F$608,MATCH(SMALL(DayLines!$C$3:$C$608,287),DayLines!$C$3:$C$608,0)))</f>
        <v/>
      </c>
      <c r="E309" s="21" t="str">
        <f aca="false">IF(OR($O309="",$O309=0,$O309=999),"",INDEX(DayLines!$G$3:$G$608,MATCH(SMALL(DayLines!$C$3:$C$608,287),DayLines!$C$3:$C$608,0)))</f>
        <v/>
      </c>
      <c r="F309" s="15"/>
      <c r="G309" s="15"/>
      <c r="H309" s="15"/>
      <c r="I309" s="15"/>
      <c r="J309" s="15"/>
      <c r="K309" s="15"/>
      <c r="L309" s="15"/>
      <c r="M309" s="15"/>
      <c r="N309" s="15"/>
      <c r="O309" s="22" t="str">
        <f aca="false">IFERROR(MOD(SMALL(DayLines!$C$3:$C$608,287),1000),"")</f>
        <v/>
      </c>
    </row>
    <row r="310" customFormat="false" ht="15" hidden="false" customHeight="false" outlineLevel="0" collapsed="false">
      <c r="A310" s="15"/>
      <c r="B310" s="20" t="str">
        <f aca="false">IF($O310="","",IF($O310=0,INDEX(DayLines!$D$3:$D$608,MATCH(SMALL(DayLines!$C$3:$C$608,288),DayLines!$C$3:$C$608,0)),IF($O310=999,"",INDEX(DayLines!$E$3:$E$608,MATCH(SMALL(DayLines!$C$3:$C$608,288),DayLines!$C$3:$C$608,0)))))</f>
        <v/>
      </c>
      <c r="C310" s="16" t="str">
        <f aca="false">IF($O310="","",IF($O310=0,INDEX(DayLines!$E$3:$E$608,MATCH(SMALL(DayLines!$C$3:$C$608,288),DayLines!$C$3:$C$608,0)),IF($O310=999,"",INDEX(DayLines!$D$3:$D$608,MATCH(SMALL(DayLines!$C$3:$C$608,288),DayLines!$C$3:$C$608,0)))))</f>
        <v/>
      </c>
      <c r="D310" s="15" t="str">
        <f aca="false">IF(OR($O310="",$O310=0,$O310=999),"",INDEX(DayLines!$F$3:$F$608,MATCH(SMALL(DayLines!$C$3:$C$608,288),DayLines!$C$3:$C$608,0)))</f>
        <v/>
      </c>
      <c r="E310" s="21" t="str">
        <f aca="false">IF(OR($O310="",$O310=0,$O310=999),"",INDEX(DayLines!$G$3:$G$608,MATCH(SMALL(DayLines!$C$3:$C$608,288),DayLines!$C$3:$C$608,0)))</f>
        <v/>
      </c>
      <c r="F310" s="15"/>
      <c r="G310" s="15"/>
      <c r="H310" s="15"/>
      <c r="I310" s="15"/>
      <c r="J310" s="15"/>
      <c r="K310" s="15"/>
      <c r="L310" s="15"/>
      <c r="M310" s="15"/>
      <c r="N310" s="15"/>
      <c r="O310" s="22" t="str">
        <f aca="false">IFERROR(MOD(SMALL(DayLines!$C$3:$C$608,288),1000),"")</f>
        <v/>
      </c>
    </row>
    <row r="311" customFormat="false" ht="15" hidden="false" customHeight="false" outlineLevel="0" collapsed="false">
      <c r="A311" s="15"/>
      <c r="B311" s="20" t="str">
        <f aca="false">IF($O311="","",IF($O311=0,INDEX(DayLines!$D$3:$D$608,MATCH(SMALL(DayLines!$C$3:$C$608,289),DayLines!$C$3:$C$608,0)),IF($O311=999,"",INDEX(DayLines!$E$3:$E$608,MATCH(SMALL(DayLines!$C$3:$C$608,289),DayLines!$C$3:$C$608,0)))))</f>
        <v/>
      </c>
      <c r="C311" s="16" t="str">
        <f aca="false">IF($O311="","",IF($O311=0,INDEX(DayLines!$E$3:$E$608,MATCH(SMALL(DayLines!$C$3:$C$608,289),DayLines!$C$3:$C$608,0)),IF($O311=999,"",INDEX(DayLines!$D$3:$D$608,MATCH(SMALL(DayLines!$C$3:$C$608,289),DayLines!$C$3:$C$608,0)))))</f>
        <v/>
      </c>
      <c r="D311" s="15" t="str">
        <f aca="false">IF(OR($O311="",$O311=0,$O311=999),"",INDEX(DayLines!$F$3:$F$608,MATCH(SMALL(DayLines!$C$3:$C$608,289),DayLines!$C$3:$C$608,0)))</f>
        <v/>
      </c>
      <c r="E311" s="21" t="str">
        <f aca="false">IF(OR($O311="",$O311=0,$O311=999),"",INDEX(DayLines!$G$3:$G$608,MATCH(SMALL(DayLines!$C$3:$C$608,289),DayLines!$C$3:$C$608,0)))</f>
        <v/>
      </c>
      <c r="F311" s="15"/>
      <c r="G311" s="15"/>
      <c r="H311" s="15"/>
      <c r="I311" s="15"/>
      <c r="J311" s="15"/>
      <c r="K311" s="15"/>
      <c r="L311" s="15"/>
      <c r="M311" s="15"/>
      <c r="N311" s="15"/>
      <c r="O311" s="22" t="str">
        <f aca="false">IFERROR(MOD(SMALL(DayLines!$C$3:$C$608,289),1000),"")</f>
        <v/>
      </c>
    </row>
    <row r="312" customFormat="false" ht="15" hidden="false" customHeight="false" outlineLevel="0" collapsed="false">
      <c r="A312" s="15"/>
      <c r="B312" s="20" t="str">
        <f aca="false">IF($O312="","",IF($O312=0,INDEX(DayLines!$D$3:$D$608,MATCH(SMALL(DayLines!$C$3:$C$608,290),DayLines!$C$3:$C$608,0)),IF($O312=999,"",INDEX(DayLines!$E$3:$E$608,MATCH(SMALL(DayLines!$C$3:$C$608,290),DayLines!$C$3:$C$608,0)))))</f>
        <v/>
      </c>
      <c r="C312" s="16" t="str">
        <f aca="false">IF($O312="","",IF($O312=0,INDEX(DayLines!$E$3:$E$608,MATCH(SMALL(DayLines!$C$3:$C$608,290),DayLines!$C$3:$C$608,0)),IF($O312=999,"",INDEX(DayLines!$D$3:$D$608,MATCH(SMALL(DayLines!$C$3:$C$608,290),DayLines!$C$3:$C$608,0)))))</f>
        <v/>
      </c>
      <c r="D312" s="15" t="str">
        <f aca="false">IF(OR($O312="",$O312=0,$O312=999),"",INDEX(DayLines!$F$3:$F$608,MATCH(SMALL(DayLines!$C$3:$C$608,290),DayLines!$C$3:$C$608,0)))</f>
        <v/>
      </c>
      <c r="E312" s="21" t="str">
        <f aca="false">IF(OR($O312="",$O312=0,$O312=999),"",INDEX(DayLines!$G$3:$G$608,MATCH(SMALL(DayLines!$C$3:$C$608,290),DayLines!$C$3:$C$608,0)))</f>
        <v/>
      </c>
      <c r="F312" s="15"/>
      <c r="G312" s="15"/>
      <c r="H312" s="15"/>
      <c r="I312" s="15"/>
      <c r="J312" s="15"/>
      <c r="K312" s="15"/>
      <c r="L312" s="15"/>
      <c r="M312" s="15"/>
      <c r="N312" s="15"/>
      <c r="O312" s="22" t="str">
        <f aca="false">IFERROR(MOD(SMALL(DayLines!$C$3:$C$608,290),1000),"")</f>
        <v/>
      </c>
    </row>
    <row r="313" customFormat="false" ht="15" hidden="false" customHeight="false" outlineLevel="0" collapsed="false">
      <c r="A313" s="15"/>
      <c r="B313" s="20" t="str">
        <f aca="false">IF($O313="","",IF($O313=0,INDEX(DayLines!$D$3:$D$608,MATCH(SMALL(DayLines!$C$3:$C$608,291),DayLines!$C$3:$C$608,0)),IF($O313=999,"",INDEX(DayLines!$E$3:$E$608,MATCH(SMALL(DayLines!$C$3:$C$608,291),DayLines!$C$3:$C$608,0)))))</f>
        <v/>
      </c>
      <c r="C313" s="16" t="str">
        <f aca="false">IF($O313="","",IF($O313=0,INDEX(DayLines!$E$3:$E$608,MATCH(SMALL(DayLines!$C$3:$C$608,291),DayLines!$C$3:$C$608,0)),IF($O313=999,"",INDEX(DayLines!$D$3:$D$608,MATCH(SMALL(DayLines!$C$3:$C$608,291),DayLines!$C$3:$C$608,0)))))</f>
        <v/>
      </c>
      <c r="D313" s="15" t="str">
        <f aca="false">IF(OR($O313="",$O313=0,$O313=999),"",INDEX(DayLines!$F$3:$F$608,MATCH(SMALL(DayLines!$C$3:$C$608,291),DayLines!$C$3:$C$608,0)))</f>
        <v/>
      </c>
      <c r="E313" s="21" t="str">
        <f aca="false">IF(OR($O313="",$O313=0,$O313=999),"",INDEX(DayLines!$G$3:$G$608,MATCH(SMALL(DayLines!$C$3:$C$608,291),DayLines!$C$3:$C$608,0)))</f>
        <v/>
      </c>
      <c r="F313" s="15"/>
      <c r="G313" s="15"/>
      <c r="H313" s="15"/>
      <c r="I313" s="15"/>
      <c r="J313" s="15"/>
      <c r="K313" s="15"/>
      <c r="L313" s="15"/>
      <c r="M313" s="15"/>
      <c r="N313" s="15"/>
      <c r="O313" s="22" t="str">
        <f aca="false">IFERROR(MOD(SMALL(DayLines!$C$3:$C$608,291),1000),"")</f>
        <v/>
      </c>
    </row>
    <row r="314" customFormat="false" ht="15" hidden="false" customHeight="false" outlineLevel="0" collapsed="false">
      <c r="A314" s="15"/>
      <c r="B314" s="20" t="str">
        <f aca="false">IF($O314="","",IF($O314=0,INDEX(DayLines!$D$3:$D$608,MATCH(SMALL(DayLines!$C$3:$C$608,292),DayLines!$C$3:$C$608,0)),IF($O314=999,"",INDEX(DayLines!$E$3:$E$608,MATCH(SMALL(DayLines!$C$3:$C$608,292),DayLines!$C$3:$C$608,0)))))</f>
        <v/>
      </c>
      <c r="C314" s="16" t="str">
        <f aca="false">IF($O314="","",IF($O314=0,INDEX(DayLines!$E$3:$E$608,MATCH(SMALL(DayLines!$C$3:$C$608,292),DayLines!$C$3:$C$608,0)),IF($O314=999,"",INDEX(DayLines!$D$3:$D$608,MATCH(SMALL(DayLines!$C$3:$C$608,292),DayLines!$C$3:$C$608,0)))))</f>
        <v/>
      </c>
      <c r="D314" s="15" t="str">
        <f aca="false">IF(OR($O314="",$O314=0,$O314=999),"",INDEX(DayLines!$F$3:$F$608,MATCH(SMALL(DayLines!$C$3:$C$608,292),DayLines!$C$3:$C$608,0)))</f>
        <v/>
      </c>
      <c r="E314" s="21" t="str">
        <f aca="false">IF(OR($O314="",$O314=0,$O314=999),"",INDEX(DayLines!$G$3:$G$608,MATCH(SMALL(DayLines!$C$3:$C$608,292),DayLines!$C$3:$C$608,0)))</f>
        <v/>
      </c>
      <c r="F314" s="15"/>
      <c r="G314" s="15"/>
      <c r="H314" s="15"/>
      <c r="I314" s="15"/>
      <c r="J314" s="15"/>
      <c r="K314" s="15"/>
      <c r="L314" s="15"/>
      <c r="M314" s="15"/>
      <c r="N314" s="15"/>
      <c r="O314" s="22" t="str">
        <f aca="false">IFERROR(MOD(SMALL(DayLines!$C$3:$C$608,292),1000),"")</f>
        <v/>
      </c>
    </row>
    <row r="315" customFormat="false" ht="15" hidden="false" customHeight="false" outlineLevel="0" collapsed="false">
      <c r="A315" s="15"/>
      <c r="B315" s="20" t="str">
        <f aca="false">IF($O315="","",IF($O315=0,INDEX(DayLines!$D$3:$D$608,MATCH(SMALL(DayLines!$C$3:$C$608,293),DayLines!$C$3:$C$608,0)),IF($O315=999,"",INDEX(DayLines!$E$3:$E$608,MATCH(SMALL(DayLines!$C$3:$C$608,293),DayLines!$C$3:$C$608,0)))))</f>
        <v/>
      </c>
      <c r="C315" s="16" t="str">
        <f aca="false">IF($O315="","",IF($O315=0,INDEX(DayLines!$E$3:$E$608,MATCH(SMALL(DayLines!$C$3:$C$608,293),DayLines!$C$3:$C$608,0)),IF($O315=999,"",INDEX(DayLines!$D$3:$D$608,MATCH(SMALL(DayLines!$C$3:$C$608,293),DayLines!$C$3:$C$608,0)))))</f>
        <v/>
      </c>
      <c r="D315" s="15" t="str">
        <f aca="false">IF(OR($O315="",$O315=0,$O315=999),"",INDEX(DayLines!$F$3:$F$608,MATCH(SMALL(DayLines!$C$3:$C$608,293),DayLines!$C$3:$C$608,0)))</f>
        <v/>
      </c>
      <c r="E315" s="21" t="str">
        <f aca="false">IF(OR($O315="",$O315=0,$O315=999),"",INDEX(DayLines!$G$3:$G$608,MATCH(SMALL(DayLines!$C$3:$C$608,293),DayLines!$C$3:$C$608,0)))</f>
        <v/>
      </c>
      <c r="F315" s="15"/>
      <c r="G315" s="15"/>
      <c r="H315" s="15"/>
      <c r="I315" s="15"/>
      <c r="J315" s="15"/>
      <c r="K315" s="15"/>
      <c r="L315" s="15"/>
      <c r="M315" s="15"/>
      <c r="N315" s="15"/>
      <c r="O315" s="22" t="str">
        <f aca="false">IFERROR(MOD(SMALL(DayLines!$C$3:$C$608,293),1000),"")</f>
        <v/>
      </c>
    </row>
    <row r="316" customFormat="false" ht="15" hidden="false" customHeight="false" outlineLevel="0" collapsed="false">
      <c r="A316" s="15"/>
      <c r="B316" s="20" t="str">
        <f aca="false">IF($O316="","",IF($O316=0,INDEX(DayLines!$D$3:$D$608,MATCH(SMALL(DayLines!$C$3:$C$608,294),DayLines!$C$3:$C$608,0)),IF($O316=999,"",INDEX(DayLines!$E$3:$E$608,MATCH(SMALL(DayLines!$C$3:$C$608,294),DayLines!$C$3:$C$608,0)))))</f>
        <v/>
      </c>
      <c r="C316" s="16" t="str">
        <f aca="false">IF($O316="","",IF($O316=0,INDEX(DayLines!$E$3:$E$608,MATCH(SMALL(DayLines!$C$3:$C$608,294),DayLines!$C$3:$C$608,0)),IF($O316=999,"",INDEX(DayLines!$D$3:$D$608,MATCH(SMALL(DayLines!$C$3:$C$608,294),DayLines!$C$3:$C$608,0)))))</f>
        <v/>
      </c>
      <c r="D316" s="15" t="str">
        <f aca="false">IF(OR($O316="",$O316=0,$O316=999),"",INDEX(DayLines!$F$3:$F$608,MATCH(SMALL(DayLines!$C$3:$C$608,294),DayLines!$C$3:$C$608,0)))</f>
        <v/>
      </c>
      <c r="E316" s="21" t="str">
        <f aca="false">IF(OR($O316="",$O316=0,$O316=999),"",INDEX(DayLines!$G$3:$G$608,MATCH(SMALL(DayLines!$C$3:$C$608,294),DayLines!$C$3:$C$608,0)))</f>
        <v/>
      </c>
      <c r="F316" s="15"/>
      <c r="G316" s="15"/>
      <c r="H316" s="15"/>
      <c r="I316" s="15"/>
      <c r="J316" s="15"/>
      <c r="K316" s="15"/>
      <c r="L316" s="15"/>
      <c r="M316" s="15"/>
      <c r="N316" s="15"/>
      <c r="O316" s="22" t="str">
        <f aca="false">IFERROR(MOD(SMALL(DayLines!$C$3:$C$608,294),1000),"")</f>
        <v/>
      </c>
    </row>
    <row r="317" customFormat="false" ht="15" hidden="false" customHeight="false" outlineLevel="0" collapsed="false">
      <c r="A317" s="15"/>
      <c r="B317" s="20" t="str">
        <f aca="false">IF($O317="","",IF($O317=0,INDEX(DayLines!$D$3:$D$608,MATCH(SMALL(DayLines!$C$3:$C$608,295),DayLines!$C$3:$C$608,0)),IF($O317=999,"",INDEX(DayLines!$E$3:$E$608,MATCH(SMALL(DayLines!$C$3:$C$608,295),DayLines!$C$3:$C$608,0)))))</f>
        <v/>
      </c>
      <c r="C317" s="16" t="str">
        <f aca="false">IF($O317="","",IF($O317=0,INDEX(DayLines!$E$3:$E$608,MATCH(SMALL(DayLines!$C$3:$C$608,295),DayLines!$C$3:$C$608,0)),IF($O317=999,"",INDEX(DayLines!$D$3:$D$608,MATCH(SMALL(DayLines!$C$3:$C$608,295),DayLines!$C$3:$C$608,0)))))</f>
        <v/>
      </c>
      <c r="D317" s="15" t="str">
        <f aca="false">IF(OR($O317="",$O317=0,$O317=999),"",INDEX(DayLines!$F$3:$F$608,MATCH(SMALL(DayLines!$C$3:$C$608,295),DayLines!$C$3:$C$608,0)))</f>
        <v/>
      </c>
      <c r="E317" s="21" t="str">
        <f aca="false">IF(OR($O317="",$O317=0,$O317=999),"",INDEX(DayLines!$G$3:$G$608,MATCH(SMALL(DayLines!$C$3:$C$608,295),DayLines!$C$3:$C$608,0)))</f>
        <v/>
      </c>
      <c r="F317" s="15"/>
      <c r="G317" s="15"/>
      <c r="H317" s="15"/>
      <c r="I317" s="15"/>
      <c r="J317" s="15"/>
      <c r="K317" s="15"/>
      <c r="L317" s="15"/>
      <c r="M317" s="15"/>
      <c r="N317" s="15"/>
      <c r="O317" s="22" t="str">
        <f aca="false">IFERROR(MOD(SMALL(DayLines!$C$3:$C$608,295),1000),"")</f>
        <v/>
      </c>
    </row>
    <row r="318" customFormat="false" ht="15" hidden="false" customHeight="false" outlineLevel="0" collapsed="false">
      <c r="A318" s="15"/>
      <c r="B318" s="20" t="str">
        <f aca="false">IF($O318="","",IF($O318=0,INDEX(DayLines!$D$3:$D$608,MATCH(SMALL(DayLines!$C$3:$C$608,296),DayLines!$C$3:$C$608,0)),IF($O318=999,"",INDEX(DayLines!$E$3:$E$608,MATCH(SMALL(DayLines!$C$3:$C$608,296),DayLines!$C$3:$C$608,0)))))</f>
        <v/>
      </c>
      <c r="C318" s="16" t="str">
        <f aca="false">IF($O318="","",IF($O318=0,INDEX(DayLines!$E$3:$E$608,MATCH(SMALL(DayLines!$C$3:$C$608,296),DayLines!$C$3:$C$608,0)),IF($O318=999,"",INDEX(DayLines!$D$3:$D$608,MATCH(SMALL(DayLines!$C$3:$C$608,296),DayLines!$C$3:$C$608,0)))))</f>
        <v/>
      </c>
      <c r="D318" s="15" t="str">
        <f aca="false">IF(OR($O318="",$O318=0,$O318=999),"",INDEX(DayLines!$F$3:$F$608,MATCH(SMALL(DayLines!$C$3:$C$608,296),DayLines!$C$3:$C$608,0)))</f>
        <v/>
      </c>
      <c r="E318" s="21" t="str">
        <f aca="false">IF(OR($O318="",$O318=0,$O318=999),"",INDEX(DayLines!$G$3:$G$608,MATCH(SMALL(DayLines!$C$3:$C$608,296),DayLines!$C$3:$C$608,0)))</f>
        <v/>
      </c>
      <c r="F318" s="15"/>
      <c r="G318" s="15"/>
      <c r="H318" s="15"/>
      <c r="I318" s="15"/>
      <c r="J318" s="15"/>
      <c r="K318" s="15"/>
      <c r="L318" s="15"/>
      <c r="M318" s="15"/>
      <c r="N318" s="15"/>
      <c r="O318" s="22" t="str">
        <f aca="false">IFERROR(MOD(SMALL(DayLines!$C$3:$C$608,296),1000),"")</f>
        <v/>
      </c>
    </row>
    <row r="319" customFormat="false" ht="15" hidden="false" customHeight="false" outlineLevel="0" collapsed="false">
      <c r="A319" s="15"/>
      <c r="B319" s="20" t="str">
        <f aca="false">IF($O319="","",IF($O319=0,INDEX(DayLines!$D$3:$D$608,MATCH(SMALL(DayLines!$C$3:$C$608,297),DayLines!$C$3:$C$608,0)),IF($O319=999,"",INDEX(DayLines!$E$3:$E$608,MATCH(SMALL(DayLines!$C$3:$C$608,297),DayLines!$C$3:$C$608,0)))))</f>
        <v/>
      </c>
      <c r="C319" s="16" t="str">
        <f aca="false">IF($O319="","",IF($O319=0,INDEX(DayLines!$E$3:$E$608,MATCH(SMALL(DayLines!$C$3:$C$608,297),DayLines!$C$3:$C$608,0)),IF($O319=999,"",INDEX(DayLines!$D$3:$D$608,MATCH(SMALL(DayLines!$C$3:$C$608,297),DayLines!$C$3:$C$608,0)))))</f>
        <v/>
      </c>
      <c r="D319" s="15" t="str">
        <f aca="false">IF(OR($O319="",$O319=0,$O319=999),"",INDEX(DayLines!$F$3:$F$608,MATCH(SMALL(DayLines!$C$3:$C$608,297),DayLines!$C$3:$C$608,0)))</f>
        <v/>
      </c>
      <c r="E319" s="21" t="str">
        <f aca="false">IF(OR($O319="",$O319=0,$O319=999),"",INDEX(DayLines!$G$3:$G$608,MATCH(SMALL(DayLines!$C$3:$C$608,297),DayLines!$C$3:$C$608,0)))</f>
        <v/>
      </c>
      <c r="F319" s="15"/>
      <c r="G319" s="15"/>
      <c r="H319" s="15"/>
      <c r="I319" s="15"/>
      <c r="J319" s="15"/>
      <c r="K319" s="15"/>
      <c r="L319" s="15"/>
      <c r="M319" s="15"/>
      <c r="N319" s="15"/>
      <c r="O319" s="22" t="str">
        <f aca="false">IFERROR(MOD(SMALL(DayLines!$C$3:$C$608,297),1000),"")</f>
        <v/>
      </c>
    </row>
    <row r="320" customFormat="false" ht="15" hidden="false" customHeight="false" outlineLevel="0" collapsed="false">
      <c r="A320" s="15"/>
      <c r="B320" s="20" t="str">
        <f aca="false">IF($O320="","",IF($O320=0,INDEX(DayLines!$D$3:$D$608,MATCH(SMALL(DayLines!$C$3:$C$608,298),DayLines!$C$3:$C$608,0)),IF($O320=999,"",INDEX(DayLines!$E$3:$E$608,MATCH(SMALL(DayLines!$C$3:$C$608,298),DayLines!$C$3:$C$608,0)))))</f>
        <v/>
      </c>
      <c r="C320" s="16" t="str">
        <f aca="false">IF($O320="","",IF($O320=0,INDEX(DayLines!$E$3:$E$608,MATCH(SMALL(DayLines!$C$3:$C$608,298),DayLines!$C$3:$C$608,0)),IF($O320=999,"",INDEX(DayLines!$D$3:$D$608,MATCH(SMALL(DayLines!$C$3:$C$608,298),DayLines!$C$3:$C$608,0)))))</f>
        <v/>
      </c>
      <c r="D320" s="15" t="str">
        <f aca="false">IF(OR($O320="",$O320=0,$O320=999),"",INDEX(DayLines!$F$3:$F$608,MATCH(SMALL(DayLines!$C$3:$C$608,298),DayLines!$C$3:$C$608,0)))</f>
        <v/>
      </c>
      <c r="E320" s="21" t="str">
        <f aca="false">IF(OR($O320="",$O320=0,$O320=999),"",INDEX(DayLines!$G$3:$G$608,MATCH(SMALL(DayLines!$C$3:$C$608,298),DayLines!$C$3:$C$608,0)))</f>
        <v/>
      </c>
      <c r="F320" s="15"/>
      <c r="G320" s="15"/>
      <c r="H320" s="15"/>
      <c r="I320" s="15"/>
      <c r="J320" s="15"/>
      <c r="K320" s="15"/>
      <c r="L320" s="15"/>
      <c r="M320" s="15"/>
      <c r="N320" s="15"/>
      <c r="O320" s="22" t="str">
        <f aca="false">IFERROR(MOD(SMALL(DayLines!$C$3:$C$608,298),1000),"")</f>
        <v/>
      </c>
    </row>
    <row r="321" customFormat="false" ht="15" hidden="false" customHeight="false" outlineLevel="0" collapsed="false">
      <c r="A321" s="15"/>
      <c r="B321" s="20" t="str">
        <f aca="false">IF($O321="","",IF($O321=0,INDEX(DayLines!$D$3:$D$608,MATCH(SMALL(DayLines!$C$3:$C$608,299),DayLines!$C$3:$C$608,0)),IF($O321=999,"",INDEX(DayLines!$E$3:$E$608,MATCH(SMALL(DayLines!$C$3:$C$608,299),DayLines!$C$3:$C$608,0)))))</f>
        <v/>
      </c>
      <c r="C321" s="16" t="str">
        <f aca="false">IF($O321="","",IF($O321=0,INDEX(DayLines!$E$3:$E$608,MATCH(SMALL(DayLines!$C$3:$C$608,299),DayLines!$C$3:$C$608,0)),IF($O321=999,"",INDEX(DayLines!$D$3:$D$608,MATCH(SMALL(DayLines!$C$3:$C$608,299),DayLines!$C$3:$C$608,0)))))</f>
        <v/>
      </c>
      <c r="D321" s="15" t="str">
        <f aca="false">IF(OR($O321="",$O321=0,$O321=999),"",INDEX(DayLines!$F$3:$F$608,MATCH(SMALL(DayLines!$C$3:$C$608,299),DayLines!$C$3:$C$608,0)))</f>
        <v/>
      </c>
      <c r="E321" s="21" t="str">
        <f aca="false">IF(OR($O321="",$O321=0,$O321=999),"",INDEX(DayLines!$G$3:$G$608,MATCH(SMALL(DayLines!$C$3:$C$608,299),DayLines!$C$3:$C$608,0)))</f>
        <v/>
      </c>
      <c r="F321" s="15"/>
      <c r="G321" s="15"/>
      <c r="H321" s="15"/>
      <c r="I321" s="15"/>
      <c r="J321" s="15"/>
      <c r="K321" s="15"/>
      <c r="L321" s="15"/>
      <c r="M321" s="15"/>
      <c r="N321" s="15"/>
      <c r="O321" s="22" t="str">
        <f aca="false">IFERROR(MOD(SMALL(DayLines!$C$3:$C$608,299),1000),"")</f>
        <v/>
      </c>
    </row>
    <row r="322" customFormat="false" ht="15" hidden="false" customHeight="false" outlineLevel="0" collapsed="false">
      <c r="A322" s="15"/>
      <c r="B322" s="20" t="str">
        <f aca="false">IF($O322="","",IF($O322=0,INDEX(DayLines!$D$3:$D$608,MATCH(SMALL(DayLines!$C$3:$C$608,300),DayLines!$C$3:$C$608,0)),IF($O322=999,"",INDEX(DayLines!$E$3:$E$608,MATCH(SMALL(DayLines!$C$3:$C$608,300),DayLines!$C$3:$C$608,0)))))</f>
        <v/>
      </c>
      <c r="C322" s="16" t="str">
        <f aca="false">IF($O322="","",IF($O322=0,INDEX(DayLines!$E$3:$E$608,MATCH(SMALL(DayLines!$C$3:$C$608,300),DayLines!$C$3:$C$608,0)),IF($O322=999,"",INDEX(DayLines!$D$3:$D$608,MATCH(SMALL(DayLines!$C$3:$C$608,300),DayLines!$C$3:$C$608,0)))))</f>
        <v/>
      </c>
      <c r="D322" s="15" t="str">
        <f aca="false">IF(OR($O322="",$O322=0,$O322=999),"",INDEX(DayLines!$F$3:$F$608,MATCH(SMALL(DayLines!$C$3:$C$608,300),DayLines!$C$3:$C$608,0)))</f>
        <v/>
      </c>
      <c r="E322" s="21" t="str">
        <f aca="false">IF(OR($O322="",$O322=0,$O322=999),"",INDEX(DayLines!$G$3:$G$608,MATCH(SMALL(DayLines!$C$3:$C$608,300),DayLines!$C$3:$C$608,0)))</f>
        <v/>
      </c>
      <c r="F322" s="15"/>
      <c r="G322" s="15"/>
      <c r="H322" s="15"/>
      <c r="I322" s="15"/>
      <c r="J322" s="15"/>
      <c r="K322" s="15"/>
      <c r="L322" s="15"/>
      <c r="M322" s="15"/>
      <c r="N322" s="15"/>
      <c r="O322" s="22" t="str">
        <f aca="false">IFERROR(MOD(SMALL(DayLines!$C$3:$C$608,300),1000),"")</f>
        <v/>
      </c>
    </row>
    <row r="323" customFormat="false" ht="15" hidden="false" customHeight="false" outlineLevel="0" collapsed="false">
      <c r="A323" s="15"/>
      <c r="B323" s="20" t="str">
        <f aca="false">IF($O323="","",IF($O323=0,INDEX(DayLines!$D$3:$D$608,MATCH(SMALL(DayLines!$C$3:$C$608,301),DayLines!$C$3:$C$608,0)),IF($O323=999,"",INDEX(DayLines!$E$3:$E$608,MATCH(SMALL(DayLines!$C$3:$C$608,301),DayLines!$C$3:$C$608,0)))))</f>
        <v/>
      </c>
      <c r="C323" s="16" t="str">
        <f aca="false">IF($O323="","",IF($O323=0,INDEX(DayLines!$E$3:$E$608,MATCH(SMALL(DayLines!$C$3:$C$608,301),DayLines!$C$3:$C$608,0)),IF($O323=999,"",INDEX(DayLines!$D$3:$D$608,MATCH(SMALL(DayLines!$C$3:$C$608,301),DayLines!$C$3:$C$608,0)))))</f>
        <v/>
      </c>
      <c r="D323" s="15" t="str">
        <f aca="false">IF(OR($O323="",$O323=0,$O323=999),"",INDEX(DayLines!$F$3:$F$608,MATCH(SMALL(DayLines!$C$3:$C$608,301),DayLines!$C$3:$C$608,0)))</f>
        <v/>
      </c>
      <c r="E323" s="21" t="str">
        <f aca="false">IF(OR($O323="",$O323=0,$O323=999),"",INDEX(DayLines!$G$3:$G$608,MATCH(SMALL(DayLines!$C$3:$C$608,301),DayLines!$C$3:$C$608,0)))</f>
        <v/>
      </c>
      <c r="F323" s="15"/>
      <c r="G323" s="15"/>
      <c r="H323" s="15"/>
      <c r="I323" s="15"/>
      <c r="J323" s="15"/>
      <c r="K323" s="15"/>
      <c r="L323" s="15"/>
      <c r="M323" s="15"/>
      <c r="N323" s="15"/>
      <c r="O323" s="22" t="str">
        <f aca="false">IFERROR(MOD(SMALL(DayLines!$C$3:$C$608,301),1000),"")</f>
        <v/>
      </c>
    </row>
    <row r="324" customFormat="false" ht="15" hidden="false" customHeight="false" outlineLevel="0" collapsed="false">
      <c r="A324" s="15"/>
      <c r="B324" s="20" t="str">
        <f aca="false">IF($O324="","",IF($O324=0,INDEX(DayLines!$D$3:$D$608,MATCH(SMALL(DayLines!$C$3:$C$608,302),DayLines!$C$3:$C$608,0)),IF($O324=999,"",INDEX(DayLines!$E$3:$E$608,MATCH(SMALL(DayLines!$C$3:$C$608,302),DayLines!$C$3:$C$608,0)))))</f>
        <v/>
      </c>
      <c r="C324" s="16" t="str">
        <f aca="false">IF($O324="","",IF($O324=0,INDEX(DayLines!$E$3:$E$608,MATCH(SMALL(DayLines!$C$3:$C$608,302),DayLines!$C$3:$C$608,0)),IF($O324=999,"",INDEX(DayLines!$D$3:$D$608,MATCH(SMALL(DayLines!$C$3:$C$608,302),DayLines!$C$3:$C$608,0)))))</f>
        <v/>
      </c>
      <c r="D324" s="15" t="str">
        <f aca="false">IF(OR($O324="",$O324=0,$O324=999),"",INDEX(DayLines!$F$3:$F$608,MATCH(SMALL(DayLines!$C$3:$C$608,302),DayLines!$C$3:$C$608,0)))</f>
        <v/>
      </c>
      <c r="E324" s="21" t="str">
        <f aca="false">IF(OR($O324="",$O324=0,$O324=999),"",INDEX(DayLines!$G$3:$G$608,MATCH(SMALL(DayLines!$C$3:$C$608,302),DayLines!$C$3:$C$608,0)))</f>
        <v/>
      </c>
      <c r="F324" s="15"/>
      <c r="G324" s="15"/>
      <c r="H324" s="15"/>
      <c r="I324" s="15"/>
      <c r="J324" s="15"/>
      <c r="K324" s="15"/>
      <c r="L324" s="15"/>
      <c r="M324" s="15"/>
      <c r="N324" s="15"/>
      <c r="O324" s="22" t="str">
        <f aca="false">IFERROR(MOD(SMALL(DayLines!$C$3:$C$608,302),1000),"")</f>
        <v/>
      </c>
    </row>
    <row r="325" customFormat="false" ht="15" hidden="false" customHeight="false" outlineLevel="0" collapsed="false">
      <c r="A325" s="15"/>
      <c r="B325" s="20" t="str">
        <f aca="false">IF($O325="","",IF($O325=0,INDEX(DayLines!$D$3:$D$608,MATCH(SMALL(DayLines!$C$3:$C$608,303),DayLines!$C$3:$C$608,0)),IF($O325=999,"",INDEX(DayLines!$E$3:$E$608,MATCH(SMALL(DayLines!$C$3:$C$608,303),DayLines!$C$3:$C$608,0)))))</f>
        <v/>
      </c>
      <c r="C325" s="16" t="str">
        <f aca="false">IF($O325="","",IF($O325=0,INDEX(DayLines!$E$3:$E$608,MATCH(SMALL(DayLines!$C$3:$C$608,303),DayLines!$C$3:$C$608,0)),IF($O325=999,"",INDEX(DayLines!$D$3:$D$608,MATCH(SMALL(DayLines!$C$3:$C$608,303),DayLines!$C$3:$C$608,0)))))</f>
        <v/>
      </c>
      <c r="D325" s="15" t="str">
        <f aca="false">IF(OR($O325="",$O325=0,$O325=999),"",INDEX(DayLines!$F$3:$F$608,MATCH(SMALL(DayLines!$C$3:$C$608,303),DayLines!$C$3:$C$608,0)))</f>
        <v/>
      </c>
      <c r="E325" s="21" t="str">
        <f aca="false">IF(OR($O325="",$O325=0,$O325=999),"",INDEX(DayLines!$G$3:$G$608,MATCH(SMALL(DayLines!$C$3:$C$608,303),DayLines!$C$3:$C$608,0)))</f>
        <v/>
      </c>
      <c r="F325" s="15"/>
      <c r="G325" s="15"/>
      <c r="H325" s="15"/>
      <c r="I325" s="15"/>
      <c r="J325" s="15"/>
      <c r="K325" s="15"/>
      <c r="L325" s="15"/>
      <c r="M325" s="15"/>
      <c r="N325" s="15"/>
      <c r="O325" s="22" t="str">
        <f aca="false">IFERROR(MOD(SMALL(DayLines!$C$3:$C$608,303),1000),"")</f>
        <v/>
      </c>
    </row>
    <row r="326" customFormat="false" ht="15" hidden="false" customHeight="false" outlineLevel="0" collapsed="false">
      <c r="A326" s="15"/>
      <c r="B326" s="20" t="str">
        <f aca="false">IF($O326="","",IF($O326=0,INDEX(DayLines!$D$3:$D$608,MATCH(SMALL(DayLines!$C$3:$C$608,304),DayLines!$C$3:$C$608,0)),IF($O326=999,"",INDEX(DayLines!$E$3:$E$608,MATCH(SMALL(DayLines!$C$3:$C$608,304),DayLines!$C$3:$C$608,0)))))</f>
        <v/>
      </c>
      <c r="C326" s="16" t="str">
        <f aca="false">IF($O326="","",IF($O326=0,INDEX(DayLines!$E$3:$E$608,MATCH(SMALL(DayLines!$C$3:$C$608,304),DayLines!$C$3:$C$608,0)),IF($O326=999,"",INDEX(DayLines!$D$3:$D$608,MATCH(SMALL(DayLines!$C$3:$C$608,304),DayLines!$C$3:$C$608,0)))))</f>
        <v/>
      </c>
      <c r="D326" s="15" t="str">
        <f aca="false">IF(OR($O326="",$O326=0,$O326=999),"",INDEX(DayLines!$F$3:$F$608,MATCH(SMALL(DayLines!$C$3:$C$608,304),DayLines!$C$3:$C$608,0)))</f>
        <v/>
      </c>
      <c r="E326" s="21" t="str">
        <f aca="false">IF(OR($O326="",$O326=0,$O326=999),"",INDEX(DayLines!$G$3:$G$608,MATCH(SMALL(DayLines!$C$3:$C$608,304),DayLines!$C$3:$C$608,0)))</f>
        <v/>
      </c>
      <c r="F326" s="15"/>
      <c r="G326" s="15"/>
      <c r="H326" s="15"/>
      <c r="I326" s="15"/>
      <c r="J326" s="15"/>
      <c r="K326" s="15"/>
      <c r="L326" s="15"/>
      <c r="M326" s="15"/>
      <c r="N326" s="15"/>
      <c r="O326" s="22" t="str">
        <f aca="false">IFERROR(MOD(SMALL(DayLines!$C$3:$C$608,304),1000),"")</f>
        <v/>
      </c>
    </row>
    <row r="327" customFormat="false" ht="15" hidden="false" customHeight="false" outlineLevel="0" collapsed="false">
      <c r="A327" s="15"/>
      <c r="B327" s="20" t="str">
        <f aca="false">IF($O327="","",IF($O327=0,INDEX(DayLines!$D$3:$D$608,MATCH(SMALL(DayLines!$C$3:$C$608,305),DayLines!$C$3:$C$608,0)),IF($O327=999,"",INDEX(DayLines!$E$3:$E$608,MATCH(SMALL(DayLines!$C$3:$C$608,305),DayLines!$C$3:$C$608,0)))))</f>
        <v/>
      </c>
      <c r="C327" s="16" t="str">
        <f aca="false">IF($O327="","",IF($O327=0,INDEX(DayLines!$E$3:$E$608,MATCH(SMALL(DayLines!$C$3:$C$608,305),DayLines!$C$3:$C$608,0)),IF($O327=999,"",INDEX(DayLines!$D$3:$D$608,MATCH(SMALL(DayLines!$C$3:$C$608,305),DayLines!$C$3:$C$608,0)))))</f>
        <v/>
      </c>
      <c r="D327" s="15" t="str">
        <f aca="false">IF(OR($O327="",$O327=0,$O327=999),"",INDEX(DayLines!$F$3:$F$608,MATCH(SMALL(DayLines!$C$3:$C$608,305),DayLines!$C$3:$C$608,0)))</f>
        <v/>
      </c>
      <c r="E327" s="21" t="str">
        <f aca="false">IF(OR($O327="",$O327=0,$O327=999),"",INDEX(DayLines!$G$3:$G$608,MATCH(SMALL(DayLines!$C$3:$C$608,305),DayLines!$C$3:$C$608,0)))</f>
        <v/>
      </c>
      <c r="F327" s="15"/>
      <c r="G327" s="15"/>
      <c r="H327" s="15"/>
      <c r="I327" s="15"/>
      <c r="J327" s="15"/>
      <c r="K327" s="15"/>
      <c r="L327" s="15"/>
      <c r="M327" s="15"/>
      <c r="N327" s="15"/>
      <c r="O327" s="22" t="str">
        <f aca="false">IFERROR(MOD(SMALL(DayLines!$C$3:$C$608,305),1000),"")</f>
        <v/>
      </c>
    </row>
    <row r="328" customFormat="false" ht="15" hidden="false" customHeight="false" outlineLevel="0" collapsed="false">
      <c r="A328" s="15"/>
      <c r="B328" s="20" t="str">
        <f aca="false">IF($O328="","",IF($O328=0,INDEX(DayLines!$D$3:$D$608,MATCH(SMALL(DayLines!$C$3:$C$608,306),DayLines!$C$3:$C$608,0)),IF($O328=999,"",INDEX(DayLines!$E$3:$E$608,MATCH(SMALL(DayLines!$C$3:$C$608,306),DayLines!$C$3:$C$608,0)))))</f>
        <v/>
      </c>
      <c r="C328" s="16" t="str">
        <f aca="false">IF($O328="","",IF($O328=0,INDEX(DayLines!$E$3:$E$608,MATCH(SMALL(DayLines!$C$3:$C$608,306),DayLines!$C$3:$C$608,0)),IF($O328=999,"",INDEX(DayLines!$D$3:$D$608,MATCH(SMALL(DayLines!$C$3:$C$608,306),DayLines!$C$3:$C$608,0)))))</f>
        <v/>
      </c>
      <c r="D328" s="15" t="str">
        <f aca="false">IF(OR($O328="",$O328=0,$O328=999),"",INDEX(DayLines!$F$3:$F$608,MATCH(SMALL(DayLines!$C$3:$C$608,306),DayLines!$C$3:$C$608,0)))</f>
        <v/>
      </c>
      <c r="E328" s="21" t="str">
        <f aca="false">IF(OR($O328="",$O328=0,$O328=999),"",INDEX(DayLines!$G$3:$G$608,MATCH(SMALL(DayLines!$C$3:$C$608,306),DayLines!$C$3:$C$608,0)))</f>
        <v/>
      </c>
      <c r="F328" s="15"/>
      <c r="G328" s="15"/>
      <c r="H328" s="15"/>
      <c r="I328" s="15"/>
      <c r="J328" s="15"/>
      <c r="K328" s="15"/>
      <c r="L328" s="15"/>
      <c r="M328" s="15"/>
      <c r="N328" s="15"/>
      <c r="O328" s="22" t="str">
        <f aca="false">IFERROR(MOD(SMALL(DayLines!$C$3:$C$608,306),1000),"")</f>
        <v/>
      </c>
    </row>
    <row r="329" customFormat="false" ht="15" hidden="false" customHeight="false" outlineLevel="0" collapsed="false">
      <c r="A329" s="15"/>
      <c r="B329" s="20" t="str">
        <f aca="false">IF($O329="","",IF($O329=0,INDEX(DayLines!$D$3:$D$608,MATCH(SMALL(DayLines!$C$3:$C$608,307),DayLines!$C$3:$C$608,0)),IF($O329=999,"",INDEX(DayLines!$E$3:$E$608,MATCH(SMALL(DayLines!$C$3:$C$608,307),DayLines!$C$3:$C$608,0)))))</f>
        <v/>
      </c>
      <c r="C329" s="16" t="str">
        <f aca="false">IF($O329="","",IF($O329=0,INDEX(DayLines!$E$3:$E$608,MATCH(SMALL(DayLines!$C$3:$C$608,307),DayLines!$C$3:$C$608,0)),IF($O329=999,"",INDEX(DayLines!$D$3:$D$608,MATCH(SMALL(DayLines!$C$3:$C$608,307),DayLines!$C$3:$C$608,0)))))</f>
        <v/>
      </c>
      <c r="D329" s="15" t="str">
        <f aca="false">IF(OR($O329="",$O329=0,$O329=999),"",INDEX(DayLines!$F$3:$F$608,MATCH(SMALL(DayLines!$C$3:$C$608,307),DayLines!$C$3:$C$608,0)))</f>
        <v/>
      </c>
      <c r="E329" s="21" t="str">
        <f aca="false">IF(OR($O329="",$O329=0,$O329=999),"",INDEX(DayLines!$G$3:$G$608,MATCH(SMALL(DayLines!$C$3:$C$608,307),DayLines!$C$3:$C$608,0)))</f>
        <v/>
      </c>
      <c r="F329" s="15"/>
      <c r="G329" s="15"/>
      <c r="H329" s="15"/>
      <c r="I329" s="15"/>
      <c r="J329" s="15"/>
      <c r="K329" s="15"/>
      <c r="L329" s="15"/>
      <c r="M329" s="15"/>
      <c r="N329" s="15"/>
      <c r="O329" s="22" t="str">
        <f aca="false">IFERROR(MOD(SMALL(DayLines!$C$3:$C$608,307),1000),"")</f>
        <v/>
      </c>
    </row>
    <row r="330" customFormat="false" ht="15" hidden="false" customHeight="false" outlineLevel="0" collapsed="false">
      <c r="A330" s="15"/>
      <c r="B330" s="20" t="str">
        <f aca="false">IF($O330="","",IF($O330=0,INDEX(DayLines!$D$3:$D$608,MATCH(SMALL(DayLines!$C$3:$C$608,308),DayLines!$C$3:$C$608,0)),IF($O330=999,"",INDEX(DayLines!$E$3:$E$608,MATCH(SMALL(DayLines!$C$3:$C$608,308),DayLines!$C$3:$C$608,0)))))</f>
        <v/>
      </c>
      <c r="C330" s="16" t="str">
        <f aca="false">IF($O330="","",IF($O330=0,INDEX(DayLines!$E$3:$E$608,MATCH(SMALL(DayLines!$C$3:$C$608,308),DayLines!$C$3:$C$608,0)),IF($O330=999,"",INDEX(DayLines!$D$3:$D$608,MATCH(SMALL(DayLines!$C$3:$C$608,308),DayLines!$C$3:$C$608,0)))))</f>
        <v/>
      </c>
      <c r="D330" s="15" t="str">
        <f aca="false">IF(OR($O330="",$O330=0,$O330=999),"",INDEX(DayLines!$F$3:$F$608,MATCH(SMALL(DayLines!$C$3:$C$608,308),DayLines!$C$3:$C$608,0)))</f>
        <v/>
      </c>
      <c r="E330" s="21" t="str">
        <f aca="false">IF(OR($O330="",$O330=0,$O330=999),"",INDEX(DayLines!$G$3:$G$608,MATCH(SMALL(DayLines!$C$3:$C$608,308),DayLines!$C$3:$C$608,0)))</f>
        <v/>
      </c>
      <c r="F330" s="15"/>
      <c r="G330" s="15"/>
      <c r="H330" s="15"/>
      <c r="I330" s="15"/>
      <c r="J330" s="15"/>
      <c r="K330" s="15"/>
      <c r="L330" s="15"/>
      <c r="M330" s="15"/>
      <c r="N330" s="15"/>
      <c r="O330" s="22" t="str">
        <f aca="false">IFERROR(MOD(SMALL(DayLines!$C$3:$C$608,308),1000),"")</f>
        <v/>
      </c>
    </row>
    <row r="331" customFormat="false" ht="15" hidden="false" customHeight="false" outlineLevel="0" collapsed="false">
      <c r="A331" s="15"/>
      <c r="B331" s="20" t="str">
        <f aca="false">IF($O331="","",IF($O331=0,INDEX(DayLines!$D$3:$D$608,MATCH(SMALL(DayLines!$C$3:$C$608,309),DayLines!$C$3:$C$608,0)),IF($O331=999,"",INDEX(DayLines!$E$3:$E$608,MATCH(SMALL(DayLines!$C$3:$C$608,309),DayLines!$C$3:$C$608,0)))))</f>
        <v/>
      </c>
      <c r="C331" s="16" t="str">
        <f aca="false">IF($O331="","",IF($O331=0,INDEX(DayLines!$E$3:$E$608,MATCH(SMALL(DayLines!$C$3:$C$608,309),DayLines!$C$3:$C$608,0)),IF($O331=999,"",INDEX(DayLines!$D$3:$D$608,MATCH(SMALL(DayLines!$C$3:$C$608,309),DayLines!$C$3:$C$608,0)))))</f>
        <v/>
      </c>
      <c r="D331" s="15" t="str">
        <f aca="false">IF(OR($O331="",$O331=0,$O331=999),"",INDEX(DayLines!$F$3:$F$608,MATCH(SMALL(DayLines!$C$3:$C$608,309),DayLines!$C$3:$C$608,0)))</f>
        <v/>
      </c>
      <c r="E331" s="21" t="str">
        <f aca="false">IF(OR($O331="",$O331=0,$O331=999),"",INDEX(DayLines!$G$3:$G$608,MATCH(SMALL(DayLines!$C$3:$C$608,309),DayLines!$C$3:$C$608,0)))</f>
        <v/>
      </c>
      <c r="F331" s="15"/>
      <c r="G331" s="15"/>
      <c r="H331" s="15"/>
      <c r="I331" s="15"/>
      <c r="J331" s="15"/>
      <c r="K331" s="15"/>
      <c r="L331" s="15"/>
      <c r="M331" s="15"/>
      <c r="N331" s="15"/>
      <c r="O331" s="22" t="str">
        <f aca="false">IFERROR(MOD(SMALL(DayLines!$C$3:$C$608,309),1000),"")</f>
        <v/>
      </c>
    </row>
    <row r="332" customFormat="false" ht="15" hidden="false" customHeight="false" outlineLevel="0" collapsed="false">
      <c r="A332" s="15"/>
      <c r="B332" s="20" t="str">
        <f aca="false">IF($O332="","",IF($O332=0,INDEX(DayLines!$D$3:$D$608,MATCH(SMALL(DayLines!$C$3:$C$608,310),DayLines!$C$3:$C$608,0)),IF($O332=999,"",INDEX(DayLines!$E$3:$E$608,MATCH(SMALL(DayLines!$C$3:$C$608,310),DayLines!$C$3:$C$608,0)))))</f>
        <v/>
      </c>
      <c r="C332" s="16" t="str">
        <f aca="false">IF($O332="","",IF($O332=0,INDEX(DayLines!$E$3:$E$608,MATCH(SMALL(DayLines!$C$3:$C$608,310),DayLines!$C$3:$C$608,0)),IF($O332=999,"",INDEX(DayLines!$D$3:$D$608,MATCH(SMALL(DayLines!$C$3:$C$608,310),DayLines!$C$3:$C$608,0)))))</f>
        <v/>
      </c>
      <c r="D332" s="15" t="str">
        <f aca="false">IF(OR($O332="",$O332=0,$O332=999),"",INDEX(DayLines!$F$3:$F$608,MATCH(SMALL(DayLines!$C$3:$C$608,310),DayLines!$C$3:$C$608,0)))</f>
        <v/>
      </c>
      <c r="E332" s="21" t="str">
        <f aca="false">IF(OR($O332="",$O332=0,$O332=999),"",INDEX(DayLines!$G$3:$G$608,MATCH(SMALL(DayLines!$C$3:$C$608,310),DayLines!$C$3:$C$608,0)))</f>
        <v/>
      </c>
      <c r="F332" s="15"/>
      <c r="G332" s="15"/>
      <c r="H332" s="15"/>
      <c r="I332" s="15"/>
      <c r="J332" s="15"/>
      <c r="K332" s="15"/>
      <c r="L332" s="15"/>
      <c r="M332" s="15"/>
      <c r="N332" s="15"/>
      <c r="O332" s="22" t="str">
        <f aca="false">IFERROR(MOD(SMALL(DayLines!$C$3:$C$608,310),1000),"")</f>
        <v/>
      </c>
    </row>
    <row r="333" customFormat="false" ht="15" hidden="false" customHeight="false" outlineLevel="0" collapsed="false">
      <c r="A333" s="15"/>
      <c r="B333" s="20" t="str">
        <f aca="false">IF($O333="","",IF($O333=0,INDEX(DayLines!$D$3:$D$608,MATCH(SMALL(DayLines!$C$3:$C$608,311),DayLines!$C$3:$C$608,0)),IF($O333=999,"",INDEX(DayLines!$E$3:$E$608,MATCH(SMALL(DayLines!$C$3:$C$608,311),DayLines!$C$3:$C$608,0)))))</f>
        <v/>
      </c>
      <c r="C333" s="16" t="str">
        <f aca="false">IF($O333="","",IF($O333=0,INDEX(DayLines!$E$3:$E$608,MATCH(SMALL(DayLines!$C$3:$C$608,311),DayLines!$C$3:$C$608,0)),IF($O333=999,"",INDEX(DayLines!$D$3:$D$608,MATCH(SMALL(DayLines!$C$3:$C$608,311),DayLines!$C$3:$C$608,0)))))</f>
        <v/>
      </c>
      <c r="D333" s="15" t="str">
        <f aca="false">IF(OR($O333="",$O333=0,$O333=999),"",INDEX(DayLines!$F$3:$F$608,MATCH(SMALL(DayLines!$C$3:$C$608,311),DayLines!$C$3:$C$608,0)))</f>
        <v/>
      </c>
      <c r="E333" s="21" t="str">
        <f aca="false">IF(OR($O333="",$O333=0,$O333=999),"",INDEX(DayLines!$G$3:$G$608,MATCH(SMALL(DayLines!$C$3:$C$608,311),DayLines!$C$3:$C$608,0)))</f>
        <v/>
      </c>
      <c r="F333" s="15"/>
      <c r="G333" s="15"/>
      <c r="H333" s="15"/>
      <c r="I333" s="15"/>
      <c r="J333" s="15"/>
      <c r="K333" s="15"/>
      <c r="L333" s="15"/>
      <c r="M333" s="15"/>
      <c r="N333" s="15"/>
      <c r="O333" s="22" t="str">
        <f aca="false">IFERROR(MOD(SMALL(DayLines!$C$3:$C$608,311),1000),"")</f>
        <v/>
      </c>
    </row>
    <row r="334" customFormat="false" ht="15" hidden="false" customHeight="false" outlineLevel="0" collapsed="false">
      <c r="A334" s="15"/>
      <c r="B334" s="20" t="str">
        <f aca="false">IF($O334="","",IF($O334=0,INDEX(DayLines!$D$3:$D$608,MATCH(SMALL(DayLines!$C$3:$C$608,312),DayLines!$C$3:$C$608,0)),IF($O334=999,"",INDEX(DayLines!$E$3:$E$608,MATCH(SMALL(DayLines!$C$3:$C$608,312),DayLines!$C$3:$C$608,0)))))</f>
        <v/>
      </c>
      <c r="C334" s="16" t="str">
        <f aca="false">IF($O334="","",IF($O334=0,INDEX(DayLines!$E$3:$E$608,MATCH(SMALL(DayLines!$C$3:$C$608,312),DayLines!$C$3:$C$608,0)),IF($O334=999,"",INDEX(DayLines!$D$3:$D$608,MATCH(SMALL(DayLines!$C$3:$C$608,312),DayLines!$C$3:$C$608,0)))))</f>
        <v/>
      </c>
      <c r="D334" s="15" t="str">
        <f aca="false">IF(OR($O334="",$O334=0,$O334=999),"",INDEX(DayLines!$F$3:$F$608,MATCH(SMALL(DayLines!$C$3:$C$608,312),DayLines!$C$3:$C$608,0)))</f>
        <v/>
      </c>
      <c r="E334" s="21" t="str">
        <f aca="false">IF(OR($O334="",$O334=0,$O334=999),"",INDEX(DayLines!$G$3:$G$608,MATCH(SMALL(DayLines!$C$3:$C$608,312),DayLines!$C$3:$C$608,0)))</f>
        <v/>
      </c>
      <c r="F334" s="15"/>
      <c r="G334" s="15"/>
      <c r="H334" s="15"/>
      <c r="I334" s="15"/>
      <c r="J334" s="15"/>
      <c r="K334" s="15"/>
      <c r="L334" s="15"/>
      <c r="M334" s="15"/>
      <c r="N334" s="15"/>
      <c r="O334" s="22" t="str">
        <f aca="false">IFERROR(MOD(SMALL(DayLines!$C$3:$C$608,312),1000),"")</f>
        <v/>
      </c>
    </row>
    <row r="335" customFormat="false" ht="15" hidden="false" customHeight="false" outlineLevel="0" collapsed="false">
      <c r="A335" s="15"/>
      <c r="B335" s="20" t="str">
        <f aca="false">IF($O335="","",IF($O335=0,INDEX(DayLines!$D$3:$D$608,MATCH(SMALL(DayLines!$C$3:$C$608,313),DayLines!$C$3:$C$608,0)),IF($O335=999,"",INDEX(DayLines!$E$3:$E$608,MATCH(SMALL(DayLines!$C$3:$C$608,313),DayLines!$C$3:$C$608,0)))))</f>
        <v/>
      </c>
      <c r="C335" s="16" t="str">
        <f aca="false">IF($O335="","",IF($O335=0,INDEX(DayLines!$E$3:$E$608,MATCH(SMALL(DayLines!$C$3:$C$608,313),DayLines!$C$3:$C$608,0)),IF($O335=999,"",INDEX(DayLines!$D$3:$D$608,MATCH(SMALL(DayLines!$C$3:$C$608,313),DayLines!$C$3:$C$608,0)))))</f>
        <v/>
      </c>
      <c r="D335" s="15" t="str">
        <f aca="false">IF(OR($O335="",$O335=0,$O335=999),"",INDEX(DayLines!$F$3:$F$608,MATCH(SMALL(DayLines!$C$3:$C$608,313),DayLines!$C$3:$C$608,0)))</f>
        <v/>
      </c>
      <c r="E335" s="21" t="str">
        <f aca="false">IF(OR($O335="",$O335=0,$O335=999),"",INDEX(DayLines!$G$3:$G$608,MATCH(SMALL(DayLines!$C$3:$C$608,313),DayLines!$C$3:$C$608,0)))</f>
        <v/>
      </c>
      <c r="F335" s="15"/>
      <c r="G335" s="15"/>
      <c r="H335" s="15"/>
      <c r="I335" s="15"/>
      <c r="J335" s="15"/>
      <c r="K335" s="15"/>
      <c r="L335" s="15"/>
      <c r="M335" s="15"/>
      <c r="N335" s="15"/>
      <c r="O335" s="22" t="str">
        <f aca="false">IFERROR(MOD(SMALL(DayLines!$C$3:$C$608,313),1000),"")</f>
        <v/>
      </c>
    </row>
    <row r="336" customFormat="false" ht="15" hidden="false" customHeight="false" outlineLevel="0" collapsed="false">
      <c r="A336" s="15"/>
      <c r="B336" s="20" t="str">
        <f aca="false">IF($O336="","",IF($O336=0,INDEX(DayLines!$D$3:$D$608,MATCH(SMALL(DayLines!$C$3:$C$608,314),DayLines!$C$3:$C$608,0)),IF($O336=999,"",INDEX(DayLines!$E$3:$E$608,MATCH(SMALL(DayLines!$C$3:$C$608,314),DayLines!$C$3:$C$608,0)))))</f>
        <v/>
      </c>
      <c r="C336" s="16" t="str">
        <f aca="false">IF($O336="","",IF($O336=0,INDEX(DayLines!$E$3:$E$608,MATCH(SMALL(DayLines!$C$3:$C$608,314),DayLines!$C$3:$C$608,0)),IF($O336=999,"",INDEX(DayLines!$D$3:$D$608,MATCH(SMALL(DayLines!$C$3:$C$608,314),DayLines!$C$3:$C$608,0)))))</f>
        <v/>
      </c>
      <c r="D336" s="15" t="str">
        <f aca="false">IF(OR($O336="",$O336=0,$O336=999),"",INDEX(DayLines!$F$3:$F$608,MATCH(SMALL(DayLines!$C$3:$C$608,314),DayLines!$C$3:$C$608,0)))</f>
        <v/>
      </c>
      <c r="E336" s="21" t="str">
        <f aca="false">IF(OR($O336="",$O336=0,$O336=999),"",INDEX(DayLines!$G$3:$G$608,MATCH(SMALL(DayLines!$C$3:$C$608,314),DayLines!$C$3:$C$608,0)))</f>
        <v/>
      </c>
      <c r="F336" s="15"/>
      <c r="G336" s="15"/>
      <c r="H336" s="15"/>
      <c r="I336" s="15"/>
      <c r="J336" s="15"/>
      <c r="K336" s="15"/>
      <c r="L336" s="15"/>
      <c r="M336" s="15"/>
      <c r="N336" s="15"/>
      <c r="O336" s="22" t="str">
        <f aca="false">IFERROR(MOD(SMALL(DayLines!$C$3:$C$608,314),1000),"")</f>
        <v/>
      </c>
    </row>
    <row r="337" customFormat="false" ht="15" hidden="false" customHeight="false" outlineLevel="0" collapsed="false">
      <c r="A337" s="15"/>
      <c r="B337" s="20" t="str">
        <f aca="false">IF($O337="","",IF($O337=0,INDEX(DayLines!$D$3:$D$608,MATCH(SMALL(DayLines!$C$3:$C$608,315),DayLines!$C$3:$C$608,0)),IF($O337=999,"",INDEX(DayLines!$E$3:$E$608,MATCH(SMALL(DayLines!$C$3:$C$608,315),DayLines!$C$3:$C$608,0)))))</f>
        <v/>
      </c>
      <c r="C337" s="16" t="str">
        <f aca="false">IF($O337="","",IF($O337=0,INDEX(DayLines!$E$3:$E$608,MATCH(SMALL(DayLines!$C$3:$C$608,315),DayLines!$C$3:$C$608,0)),IF($O337=999,"",INDEX(DayLines!$D$3:$D$608,MATCH(SMALL(DayLines!$C$3:$C$608,315),DayLines!$C$3:$C$608,0)))))</f>
        <v/>
      </c>
      <c r="D337" s="15" t="str">
        <f aca="false">IF(OR($O337="",$O337=0,$O337=999),"",INDEX(DayLines!$F$3:$F$608,MATCH(SMALL(DayLines!$C$3:$C$608,315),DayLines!$C$3:$C$608,0)))</f>
        <v/>
      </c>
      <c r="E337" s="21" t="str">
        <f aca="false">IF(OR($O337="",$O337=0,$O337=999),"",INDEX(DayLines!$G$3:$G$608,MATCH(SMALL(DayLines!$C$3:$C$608,315),DayLines!$C$3:$C$608,0)))</f>
        <v/>
      </c>
      <c r="F337" s="15"/>
      <c r="G337" s="15"/>
      <c r="H337" s="15"/>
      <c r="I337" s="15"/>
      <c r="J337" s="15"/>
      <c r="K337" s="15"/>
      <c r="L337" s="15"/>
      <c r="M337" s="15"/>
      <c r="N337" s="15"/>
      <c r="O337" s="22" t="str">
        <f aca="false">IFERROR(MOD(SMALL(DayLines!$C$3:$C$608,315),1000),"")</f>
        <v/>
      </c>
    </row>
    <row r="338" customFormat="false" ht="15" hidden="false" customHeight="false" outlineLevel="0" collapsed="false">
      <c r="A338" s="15"/>
      <c r="B338" s="20" t="str">
        <f aca="false">IF($O338="","",IF($O338=0,INDEX(DayLines!$D$3:$D$608,MATCH(SMALL(DayLines!$C$3:$C$608,316),DayLines!$C$3:$C$608,0)),IF($O338=999,"",INDEX(DayLines!$E$3:$E$608,MATCH(SMALL(DayLines!$C$3:$C$608,316),DayLines!$C$3:$C$608,0)))))</f>
        <v/>
      </c>
      <c r="C338" s="16" t="str">
        <f aca="false">IF($O338="","",IF($O338=0,INDEX(DayLines!$E$3:$E$608,MATCH(SMALL(DayLines!$C$3:$C$608,316),DayLines!$C$3:$C$608,0)),IF($O338=999,"",INDEX(DayLines!$D$3:$D$608,MATCH(SMALL(DayLines!$C$3:$C$608,316),DayLines!$C$3:$C$608,0)))))</f>
        <v/>
      </c>
      <c r="D338" s="15" t="str">
        <f aca="false">IF(OR($O338="",$O338=0,$O338=999),"",INDEX(DayLines!$F$3:$F$608,MATCH(SMALL(DayLines!$C$3:$C$608,316),DayLines!$C$3:$C$608,0)))</f>
        <v/>
      </c>
      <c r="E338" s="21" t="str">
        <f aca="false">IF(OR($O338="",$O338=0,$O338=999),"",INDEX(DayLines!$G$3:$G$608,MATCH(SMALL(DayLines!$C$3:$C$608,316),DayLines!$C$3:$C$608,0)))</f>
        <v/>
      </c>
      <c r="F338" s="15"/>
      <c r="G338" s="15"/>
      <c r="H338" s="15"/>
      <c r="I338" s="15"/>
      <c r="J338" s="15"/>
      <c r="K338" s="15"/>
      <c r="L338" s="15"/>
      <c r="M338" s="15"/>
      <c r="N338" s="15"/>
      <c r="O338" s="22" t="str">
        <f aca="false">IFERROR(MOD(SMALL(DayLines!$C$3:$C$608,316),1000),"")</f>
        <v/>
      </c>
    </row>
    <row r="339" customFormat="false" ht="15" hidden="false" customHeight="false" outlineLevel="0" collapsed="false">
      <c r="A339" s="15"/>
      <c r="B339" s="20" t="str">
        <f aca="false">IF($O339="","",IF($O339=0,INDEX(DayLines!$D$3:$D$608,MATCH(SMALL(DayLines!$C$3:$C$608,317),DayLines!$C$3:$C$608,0)),IF($O339=999,"",INDEX(DayLines!$E$3:$E$608,MATCH(SMALL(DayLines!$C$3:$C$608,317),DayLines!$C$3:$C$608,0)))))</f>
        <v/>
      </c>
      <c r="C339" s="16" t="str">
        <f aca="false">IF($O339="","",IF($O339=0,INDEX(DayLines!$E$3:$E$608,MATCH(SMALL(DayLines!$C$3:$C$608,317),DayLines!$C$3:$C$608,0)),IF($O339=999,"",INDEX(DayLines!$D$3:$D$608,MATCH(SMALL(DayLines!$C$3:$C$608,317),DayLines!$C$3:$C$608,0)))))</f>
        <v/>
      </c>
      <c r="D339" s="15" t="str">
        <f aca="false">IF(OR($O339="",$O339=0,$O339=999),"",INDEX(DayLines!$F$3:$F$608,MATCH(SMALL(DayLines!$C$3:$C$608,317),DayLines!$C$3:$C$608,0)))</f>
        <v/>
      </c>
      <c r="E339" s="21" t="str">
        <f aca="false">IF(OR($O339="",$O339=0,$O339=999),"",INDEX(DayLines!$G$3:$G$608,MATCH(SMALL(DayLines!$C$3:$C$608,317),DayLines!$C$3:$C$608,0)))</f>
        <v/>
      </c>
      <c r="F339" s="15"/>
      <c r="G339" s="15"/>
      <c r="H339" s="15"/>
      <c r="I339" s="15"/>
      <c r="J339" s="15"/>
      <c r="K339" s="15"/>
      <c r="L339" s="15"/>
      <c r="M339" s="15"/>
      <c r="N339" s="15"/>
      <c r="O339" s="22" t="str">
        <f aca="false">IFERROR(MOD(SMALL(DayLines!$C$3:$C$608,317),1000),"")</f>
        <v/>
      </c>
    </row>
    <row r="340" customFormat="false" ht="15" hidden="false" customHeight="false" outlineLevel="0" collapsed="false">
      <c r="A340" s="15"/>
      <c r="B340" s="20" t="str">
        <f aca="false">IF($O340="","",IF($O340=0,INDEX(DayLines!$D$3:$D$608,MATCH(SMALL(DayLines!$C$3:$C$608,318),DayLines!$C$3:$C$608,0)),IF($O340=999,"",INDEX(DayLines!$E$3:$E$608,MATCH(SMALL(DayLines!$C$3:$C$608,318),DayLines!$C$3:$C$608,0)))))</f>
        <v/>
      </c>
      <c r="C340" s="16" t="str">
        <f aca="false">IF($O340="","",IF($O340=0,INDEX(DayLines!$E$3:$E$608,MATCH(SMALL(DayLines!$C$3:$C$608,318),DayLines!$C$3:$C$608,0)),IF($O340=999,"",INDEX(DayLines!$D$3:$D$608,MATCH(SMALL(DayLines!$C$3:$C$608,318),DayLines!$C$3:$C$608,0)))))</f>
        <v/>
      </c>
      <c r="D340" s="15" t="str">
        <f aca="false">IF(OR($O340="",$O340=0,$O340=999),"",INDEX(DayLines!$F$3:$F$608,MATCH(SMALL(DayLines!$C$3:$C$608,318),DayLines!$C$3:$C$608,0)))</f>
        <v/>
      </c>
      <c r="E340" s="21" t="str">
        <f aca="false">IF(OR($O340="",$O340=0,$O340=999),"",INDEX(DayLines!$G$3:$G$608,MATCH(SMALL(DayLines!$C$3:$C$608,318),DayLines!$C$3:$C$608,0)))</f>
        <v/>
      </c>
      <c r="F340" s="15"/>
      <c r="G340" s="15"/>
      <c r="H340" s="15"/>
      <c r="I340" s="15"/>
      <c r="J340" s="15"/>
      <c r="K340" s="15"/>
      <c r="L340" s="15"/>
      <c r="M340" s="15"/>
      <c r="N340" s="15"/>
      <c r="O340" s="22" t="str">
        <f aca="false">IFERROR(MOD(SMALL(DayLines!$C$3:$C$608,318),1000),"")</f>
        <v/>
      </c>
    </row>
    <row r="341" customFormat="false" ht="15" hidden="false" customHeight="false" outlineLevel="0" collapsed="false">
      <c r="A341" s="15"/>
      <c r="B341" s="20" t="str">
        <f aca="false">IF($O341="","",IF($O341=0,INDEX(DayLines!$D$3:$D$608,MATCH(SMALL(DayLines!$C$3:$C$608,319),DayLines!$C$3:$C$608,0)),IF($O341=999,"",INDEX(DayLines!$E$3:$E$608,MATCH(SMALL(DayLines!$C$3:$C$608,319),DayLines!$C$3:$C$608,0)))))</f>
        <v/>
      </c>
      <c r="C341" s="16" t="str">
        <f aca="false">IF($O341="","",IF($O341=0,INDEX(DayLines!$E$3:$E$608,MATCH(SMALL(DayLines!$C$3:$C$608,319),DayLines!$C$3:$C$608,0)),IF($O341=999,"",INDEX(DayLines!$D$3:$D$608,MATCH(SMALL(DayLines!$C$3:$C$608,319),DayLines!$C$3:$C$608,0)))))</f>
        <v/>
      </c>
      <c r="D341" s="15" t="str">
        <f aca="false">IF(OR($O341="",$O341=0,$O341=999),"",INDEX(DayLines!$F$3:$F$608,MATCH(SMALL(DayLines!$C$3:$C$608,319),DayLines!$C$3:$C$608,0)))</f>
        <v/>
      </c>
      <c r="E341" s="21" t="str">
        <f aca="false">IF(OR($O341="",$O341=0,$O341=999),"",INDEX(DayLines!$G$3:$G$608,MATCH(SMALL(DayLines!$C$3:$C$608,319),DayLines!$C$3:$C$608,0)))</f>
        <v/>
      </c>
      <c r="F341" s="15"/>
      <c r="G341" s="15"/>
      <c r="H341" s="15"/>
      <c r="I341" s="15"/>
      <c r="J341" s="15"/>
      <c r="K341" s="15"/>
      <c r="L341" s="15"/>
      <c r="M341" s="15"/>
      <c r="N341" s="15"/>
      <c r="O341" s="22" t="str">
        <f aca="false">IFERROR(MOD(SMALL(DayLines!$C$3:$C$608,319),1000),"")</f>
        <v/>
      </c>
    </row>
    <row r="342" customFormat="false" ht="15" hidden="false" customHeight="false" outlineLevel="0" collapsed="false">
      <c r="A342" s="15"/>
      <c r="B342" s="20" t="str">
        <f aca="false">IF($O342="","",IF($O342=0,INDEX(DayLines!$D$3:$D$608,MATCH(SMALL(DayLines!$C$3:$C$608,320),DayLines!$C$3:$C$608,0)),IF($O342=999,"",INDEX(DayLines!$E$3:$E$608,MATCH(SMALL(DayLines!$C$3:$C$608,320),DayLines!$C$3:$C$608,0)))))</f>
        <v/>
      </c>
      <c r="C342" s="16" t="str">
        <f aca="false">IF($O342="","",IF($O342=0,INDEX(DayLines!$E$3:$E$608,MATCH(SMALL(DayLines!$C$3:$C$608,320),DayLines!$C$3:$C$608,0)),IF($O342=999,"",INDEX(DayLines!$D$3:$D$608,MATCH(SMALL(DayLines!$C$3:$C$608,320),DayLines!$C$3:$C$608,0)))))</f>
        <v/>
      </c>
      <c r="D342" s="15" t="str">
        <f aca="false">IF(OR($O342="",$O342=0,$O342=999),"",INDEX(DayLines!$F$3:$F$608,MATCH(SMALL(DayLines!$C$3:$C$608,320),DayLines!$C$3:$C$608,0)))</f>
        <v/>
      </c>
      <c r="E342" s="21" t="str">
        <f aca="false">IF(OR($O342="",$O342=0,$O342=999),"",INDEX(DayLines!$G$3:$G$608,MATCH(SMALL(DayLines!$C$3:$C$608,320),DayLines!$C$3:$C$608,0)))</f>
        <v/>
      </c>
      <c r="F342" s="15"/>
      <c r="G342" s="15"/>
      <c r="H342" s="15"/>
      <c r="I342" s="15"/>
      <c r="J342" s="15"/>
      <c r="K342" s="15"/>
      <c r="L342" s="15"/>
      <c r="M342" s="15"/>
      <c r="N342" s="15"/>
      <c r="O342" s="22" t="str">
        <f aca="false">IFERROR(MOD(SMALL(DayLines!$C$3:$C$608,320),1000),"")</f>
        <v/>
      </c>
    </row>
  </sheetData>
  <mergeCells count="44">
    <mergeCell ref="L1:N1"/>
    <mergeCell ref="L2:N2"/>
    <mergeCell ref="A3:B3"/>
    <mergeCell ref="D3:E3"/>
    <mergeCell ref="F3:I3"/>
    <mergeCell ref="E7:F7"/>
    <mergeCell ref="G7:I7"/>
    <mergeCell ref="K7:N7"/>
    <mergeCell ref="E8:F8"/>
    <mergeCell ref="G8:I8"/>
    <mergeCell ref="K8:N8"/>
    <mergeCell ref="E9:F9"/>
    <mergeCell ref="G9:I9"/>
    <mergeCell ref="K9:N9"/>
    <mergeCell ref="E10:F10"/>
    <mergeCell ref="G10:I10"/>
    <mergeCell ref="K10:N10"/>
    <mergeCell ref="E11:F11"/>
    <mergeCell ref="G11:I11"/>
    <mergeCell ref="K11:N11"/>
    <mergeCell ref="E12:F12"/>
    <mergeCell ref="G12:I12"/>
    <mergeCell ref="K12:N12"/>
    <mergeCell ref="E13:F13"/>
    <mergeCell ref="G13:I13"/>
    <mergeCell ref="K13:N13"/>
    <mergeCell ref="E14:F14"/>
    <mergeCell ref="G14:I14"/>
    <mergeCell ref="K14:N14"/>
    <mergeCell ref="E15:F15"/>
    <mergeCell ref="G15:I15"/>
    <mergeCell ref="K15:N15"/>
    <mergeCell ref="E16:F16"/>
    <mergeCell ref="G16:I16"/>
    <mergeCell ref="K16:N16"/>
    <mergeCell ref="E17:F17"/>
    <mergeCell ref="G17:I17"/>
    <mergeCell ref="K17:N17"/>
    <mergeCell ref="E18:F18"/>
    <mergeCell ref="G18:I18"/>
    <mergeCell ref="K18:N18"/>
    <mergeCell ref="E19:F19"/>
    <mergeCell ref="G19:I19"/>
    <mergeCell ref="K19:N19"/>
  </mergeCells>
  <conditionalFormatting sqref="A8:N19">
    <cfRule type="expression" priority="2" aboveAverage="0" equalAverage="0" bottom="0" percent="0" rank="0" text="" dxfId="0">
      <formula>$A8&lt;&gt;""</formula>
    </cfRule>
  </conditionalFormatting>
  <conditionalFormatting sqref="A23:N342">
    <cfRule type="expression" priority="3" aboveAverage="0" equalAverage="0" bottom="0" percent="0" rank="0" text="" dxfId="1">
      <formula>$O23=0</formula>
    </cfRule>
    <cfRule type="expression" priority="4" aboveAverage="0" equalAverage="0" bottom="0" percent="0" rank="0" text="" dxfId="0">
      <formula>AND(ISNUMBER($O23),$O23&gt;0,$O23&lt;999)</formula>
    </cfRule>
  </conditionalFormatting>
  <conditionalFormatting sqref="E23:E342">
    <cfRule type="expression" priority="5" aboveAverage="0" equalAverage="0" bottom="0" percent="0" rank="0" text="" dxfId="2">
      <formula>AND(ISNUMBER($O23),$O23&gt;0,$O23&lt;999)</formula>
    </cfRule>
  </conditionalFormatting>
  <dataValidations count="1">
    <dataValidation allowBlank="true" errorStyle="stop" operator="greaterThan" showDropDown="false" showErrorMessage="false" showInputMessage="false" sqref="C3" type="date">
      <formula1>45000</formula1>
      <formula2>0</formula2>
    </dataValidation>
  </dataValidations>
  <printOptions headings="false" gridLines="false" gridLinesSet="true" horizontalCentered="true" verticalCentered="false"/>
  <pageMargins left="0.4" right="0.4" top="0.5" bottom="0.5"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&amp;CPage &amp;P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K3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40"/>
    <col collapsed="false" customWidth="true" hidden="false" outlineLevel="0" max="4" min="4" style="0" width="6"/>
    <col collapsed="false" customWidth="true" hidden="false" outlineLevel="0" max="5" min="5" style="0" width="11"/>
    <col collapsed="false" customWidth="true" hidden="false" outlineLevel="0" max="6" min="6" style="0" width="12"/>
    <col collapsed="false" customWidth="true" hidden="false" outlineLevel="0" max="7" min="7" style="0" width="26"/>
    <col collapsed="false" customWidth="true" hidden="false" outlineLevel="0" max="9" min="8" style="0" width="9"/>
    <col collapsed="false" customWidth="true" hidden="false" outlineLevel="0" max="11" min="10" style="0" width="3"/>
  </cols>
  <sheetData>
    <row r="1" customFormat="false" ht="19.7" hidden="false" customHeight="false" outlineLevel="0" collapsed="false">
      <c r="A1" s="7" t="s">
        <v>59</v>
      </c>
    </row>
    <row r="2" customFormat="false" ht="15" hidden="false" customHeight="false" outlineLevel="0" collapsed="false">
      <c r="A2" s="2" t="s">
        <v>60</v>
      </c>
    </row>
    <row r="3" customFormat="false" ht="15" hidden="false" customHeight="false" outlineLevel="0" collapsed="false">
      <c r="A3" s="23" t="str">
        <f aca="false">"Week starting: "&amp;IF('This Week''s Hardware'!$C$3="","(set the date on This Week's Hardware)",TEXT('This Week''s Hardware'!$C$3,"dddd dd-mmm-yyyy"))</f>
        <v>Week starting: (set the date on This Week's Hardware)</v>
      </c>
    </row>
    <row r="5" customFormat="false" ht="24" hidden="false" customHeight="true" outlineLevel="0" collapsed="false">
      <c r="A5" s="14" t="s">
        <v>45</v>
      </c>
      <c r="B5" s="14" t="s">
        <v>52</v>
      </c>
      <c r="C5" s="14" t="s">
        <v>53</v>
      </c>
      <c r="D5" s="14" t="s">
        <v>55</v>
      </c>
      <c r="E5" s="14" t="s">
        <v>61</v>
      </c>
      <c r="F5" s="14" t="s">
        <v>54</v>
      </c>
      <c r="G5" s="14" t="s">
        <v>58</v>
      </c>
      <c r="H5" s="14" t="s">
        <v>62</v>
      </c>
      <c r="I5" s="14" t="s">
        <v>56</v>
      </c>
    </row>
    <row r="6" customFormat="false" ht="15" hidden="false" customHeight="false" outlineLevel="0" collapsed="false">
      <c r="A6" s="24" t="str">
        <f aca="false">IF(OR($J6=0,AND(ISNUMBER($J6),$J6&gt;0,$J6&lt;99)),INDEX(Lines!$A$3:$A$1590,MATCH(SMALL(Lines!$G$3:$G$1590,1),Lines!$G$3:$G$1590,0)),"")</f>
        <v/>
      </c>
      <c r="B6" s="24" t="str">
        <f aca="false">IF($J6=-1,INDEX(Lines!$J$3:$J$1590,MATCH(SMALL(Lines!$G$3:$G$1590,1),Lines!$G$3:$G$1590,0)),IF($J6=0,INDEX(Lines!$L$3:$L$1590,MATCH(SMALL(Lines!$G$3:$G$1590,1),Lines!$G$3:$G$1590,0)),IF(AND(ISNUMBER($J6),$J6&gt;0,$J6&lt;99),INDEX(Lines!$N$3:$N$1590,MATCH(SMALL(Lines!$G$3:$G$1590,1),Lines!$G$3:$G$1590,0)),"")))</f>
        <v/>
      </c>
      <c r="C6" s="25" t="str">
        <f aca="false">IF($J6=0,INDEX(Lines!$K$3:$K$1590,MATCH(SMALL(Lines!$G$3:$G$1590,1),Lines!$G$3:$G$1590,0)),IF(AND(ISNUMBER($J6),$J6&gt;0,$J6&lt;99),INDEX(Lines!$C$3:$C$1590,MATCH(SMALL(Lines!$G$3:$G$1590,1),Lines!$G$3:$G$1590,0)),""))</f>
        <v/>
      </c>
      <c r="D6" s="26" t="str">
        <f aca="false">IF(AND(ISNUMBER($J6),$J6&gt;0,$J6&lt;99),INDEX(Lines!$D$3:$D$1590,MATCH(SMALL(Lines!$G$3:$G$1590,1),Lines!$G$3:$G$1590,0)),"")</f>
        <v/>
      </c>
      <c r="E6" s="26" t="str">
        <f aca="false">IF(AND(ISNUMBER($J6),$J6&gt;0,$J6&lt;99),INDEX(Lines!$E$3:$E$1590,MATCH(SMALL(Lines!$G$3:$G$1590,1),Lines!$G$3:$G$1590,0)),"")</f>
        <v/>
      </c>
      <c r="F6" s="26" t="str">
        <f aca="false">IF(AND(ISNUMBER($J6),$J6&gt;0,$J6&lt;99),INDEX(Lines!$O$3:$O$1590,MATCH(SMALL(Lines!$G$3:$G$1590,1),Lines!$G$3:$G$1590,0)),"")</f>
        <v/>
      </c>
      <c r="G6" s="27" t="str">
        <f aca="false">IF($J6=0,INDEX(Lines!$Q$3:$Q$1590,MATCH(SMALL(Lines!$G$3:$G$1590,1),Lines!$G$3:$G$1590,0)),IF(AND(ISNUMBER($J6),$J6&gt;0,$J6&lt;99),INDEX(Lines!$P$3:$P$1590,MATCH(SMALL(Lines!$G$3:$G$1590,1),Lines!$G$3:$G$1590,0)),""))</f>
        <v/>
      </c>
      <c r="H6" s="28" t="str">
        <f aca="false">IF($J6=0,INDEX(Lines!$H$3:$H$1590,MATCH(SMALL(Lines!$G$3:$G$1590,1),Lines!$G$3:$G$1590,0))&amp;" groups",IF(AND(ISNUMBER($J6),$J6&gt;0,$J6&lt;99),INDEX(Lines!$I$3:$I$1590,MATCH(SMALL(Lines!$G$3:$G$1590,1),Lines!$G$3:$G$1590,0)),""))</f>
        <v/>
      </c>
      <c r="I6" s="26"/>
      <c r="J6" s="22" t="str">
        <f aca="false">IFERROR(IF(MOD(SMALL(Lines!$G$3:$G$1590,1),100000)=0,-1,MOD(SMALL(Lines!$G$3:$G$1590,1),100)),"")</f>
        <v/>
      </c>
      <c r="K6" s="22" t="str">
        <f aca="false">IF($J6=0,INDEX(Lines!$L$3:$L$1590,MATCH(SMALL(Lines!$G$3:$G$1590,1),Lines!$G$3:$G$1590,0)),"")</f>
        <v/>
      </c>
    </row>
    <row r="7" customFormat="false" ht="15" hidden="false" customHeight="false" outlineLevel="0" collapsed="false">
      <c r="A7" s="24" t="str">
        <f aca="false">IF(OR($J7=0,AND(ISNUMBER($J7),$J7&gt;0,$J7&lt;99)),INDEX(Lines!$A$3:$A$1590,MATCH(SMALL(Lines!$G$3:$G$1590,2),Lines!$G$3:$G$1590,0)),"")</f>
        <v/>
      </c>
      <c r="B7" s="24" t="str">
        <f aca="false">IF($J7=-1,INDEX(Lines!$J$3:$J$1590,MATCH(SMALL(Lines!$G$3:$G$1590,2),Lines!$G$3:$G$1590,0)),IF($J7=0,INDEX(Lines!$L$3:$L$1590,MATCH(SMALL(Lines!$G$3:$G$1590,2),Lines!$G$3:$G$1590,0)),IF(AND(ISNUMBER($J7),$J7&gt;0,$J7&lt;99),INDEX(Lines!$N$3:$N$1590,MATCH(SMALL(Lines!$G$3:$G$1590,2),Lines!$G$3:$G$1590,0)),"")))</f>
        <v/>
      </c>
      <c r="C7" s="25" t="str">
        <f aca="false">IF($J7=0,INDEX(Lines!$K$3:$K$1590,MATCH(SMALL(Lines!$G$3:$G$1590,2),Lines!$G$3:$G$1590,0)),IF(AND(ISNUMBER($J7),$J7&gt;0,$J7&lt;99),INDEX(Lines!$C$3:$C$1590,MATCH(SMALL(Lines!$G$3:$G$1590,2),Lines!$G$3:$G$1590,0)),""))</f>
        <v/>
      </c>
      <c r="D7" s="26" t="str">
        <f aca="false">IF(AND(ISNUMBER($J7),$J7&gt;0,$J7&lt;99),INDEX(Lines!$D$3:$D$1590,MATCH(SMALL(Lines!$G$3:$G$1590,2),Lines!$G$3:$G$1590,0)),"")</f>
        <v/>
      </c>
      <c r="E7" s="26" t="str">
        <f aca="false">IF(AND(ISNUMBER($J7),$J7&gt;0,$J7&lt;99),INDEX(Lines!$E$3:$E$1590,MATCH(SMALL(Lines!$G$3:$G$1590,2),Lines!$G$3:$G$1590,0)),"")</f>
        <v/>
      </c>
      <c r="F7" s="26" t="str">
        <f aca="false">IF(AND(ISNUMBER($J7),$J7&gt;0,$J7&lt;99),INDEX(Lines!$O$3:$O$1590,MATCH(SMALL(Lines!$G$3:$G$1590,2),Lines!$G$3:$G$1590,0)),"")</f>
        <v/>
      </c>
      <c r="G7" s="27" t="str">
        <f aca="false">IF($J7=0,INDEX(Lines!$Q$3:$Q$1590,MATCH(SMALL(Lines!$G$3:$G$1590,2),Lines!$G$3:$G$1590,0)),IF(AND(ISNUMBER($J7),$J7&gt;0,$J7&lt;99),INDEX(Lines!$P$3:$P$1590,MATCH(SMALL(Lines!$G$3:$G$1590,2),Lines!$G$3:$G$1590,0)),""))</f>
        <v/>
      </c>
      <c r="H7" s="28" t="str">
        <f aca="false">IF($J7=0,INDEX(Lines!$H$3:$H$1590,MATCH(SMALL(Lines!$G$3:$G$1590,2),Lines!$G$3:$G$1590,0))&amp;" groups",IF(AND(ISNUMBER($J7),$J7&gt;0,$J7&lt;99),INDEX(Lines!$I$3:$I$1590,MATCH(SMALL(Lines!$G$3:$G$1590,2),Lines!$G$3:$G$1590,0)),""))</f>
        <v/>
      </c>
      <c r="I7" s="26"/>
      <c r="J7" s="22" t="str">
        <f aca="false">IFERROR(IF(MOD(SMALL(Lines!$G$3:$G$1590,2),100000)=0,-1,MOD(SMALL(Lines!$G$3:$G$1590,2),100)),"")</f>
        <v/>
      </c>
      <c r="K7" s="22" t="str">
        <f aca="false">IF($J7=0,INDEX(Lines!$L$3:$L$1590,MATCH(SMALL(Lines!$G$3:$G$1590,2),Lines!$G$3:$G$1590,0)),"")</f>
        <v/>
      </c>
    </row>
    <row r="8" customFormat="false" ht="15" hidden="false" customHeight="false" outlineLevel="0" collapsed="false">
      <c r="A8" s="24" t="str">
        <f aca="false">IF(OR($J8=0,AND(ISNUMBER($J8),$J8&gt;0,$J8&lt;99)),INDEX(Lines!$A$3:$A$1590,MATCH(SMALL(Lines!$G$3:$G$1590,3),Lines!$G$3:$G$1590,0)),"")</f>
        <v/>
      </c>
      <c r="B8" s="24" t="str">
        <f aca="false">IF($J8=-1,INDEX(Lines!$J$3:$J$1590,MATCH(SMALL(Lines!$G$3:$G$1590,3),Lines!$G$3:$G$1590,0)),IF($J8=0,INDEX(Lines!$L$3:$L$1590,MATCH(SMALL(Lines!$G$3:$G$1590,3),Lines!$G$3:$G$1590,0)),IF(AND(ISNUMBER($J8),$J8&gt;0,$J8&lt;99),INDEX(Lines!$N$3:$N$1590,MATCH(SMALL(Lines!$G$3:$G$1590,3),Lines!$G$3:$G$1590,0)),"")))</f>
        <v/>
      </c>
      <c r="C8" s="25" t="str">
        <f aca="false">IF($J8=0,INDEX(Lines!$K$3:$K$1590,MATCH(SMALL(Lines!$G$3:$G$1590,3),Lines!$G$3:$G$1590,0)),IF(AND(ISNUMBER($J8),$J8&gt;0,$J8&lt;99),INDEX(Lines!$C$3:$C$1590,MATCH(SMALL(Lines!$G$3:$G$1590,3),Lines!$G$3:$G$1590,0)),""))</f>
        <v/>
      </c>
      <c r="D8" s="26" t="str">
        <f aca="false">IF(AND(ISNUMBER($J8),$J8&gt;0,$J8&lt;99),INDEX(Lines!$D$3:$D$1590,MATCH(SMALL(Lines!$G$3:$G$1590,3),Lines!$G$3:$G$1590,0)),"")</f>
        <v/>
      </c>
      <c r="E8" s="26" t="str">
        <f aca="false">IF(AND(ISNUMBER($J8),$J8&gt;0,$J8&lt;99),INDEX(Lines!$E$3:$E$1590,MATCH(SMALL(Lines!$G$3:$G$1590,3),Lines!$G$3:$G$1590,0)),"")</f>
        <v/>
      </c>
      <c r="F8" s="26" t="str">
        <f aca="false">IF(AND(ISNUMBER($J8),$J8&gt;0,$J8&lt;99),INDEX(Lines!$O$3:$O$1590,MATCH(SMALL(Lines!$G$3:$G$1590,3),Lines!$G$3:$G$1590,0)),"")</f>
        <v/>
      </c>
      <c r="G8" s="27" t="str">
        <f aca="false">IF($J8=0,INDEX(Lines!$Q$3:$Q$1590,MATCH(SMALL(Lines!$G$3:$G$1590,3),Lines!$G$3:$G$1590,0)),IF(AND(ISNUMBER($J8),$J8&gt;0,$J8&lt;99),INDEX(Lines!$P$3:$P$1590,MATCH(SMALL(Lines!$G$3:$G$1590,3),Lines!$G$3:$G$1590,0)),""))</f>
        <v/>
      </c>
      <c r="H8" s="28" t="str">
        <f aca="false">IF($J8=0,INDEX(Lines!$H$3:$H$1590,MATCH(SMALL(Lines!$G$3:$G$1590,3),Lines!$G$3:$G$1590,0))&amp;" groups",IF(AND(ISNUMBER($J8),$J8&gt;0,$J8&lt;99),INDEX(Lines!$I$3:$I$1590,MATCH(SMALL(Lines!$G$3:$G$1590,3),Lines!$G$3:$G$1590,0)),""))</f>
        <v/>
      </c>
      <c r="I8" s="26"/>
      <c r="J8" s="22" t="str">
        <f aca="false">IFERROR(IF(MOD(SMALL(Lines!$G$3:$G$1590,3),100000)=0,-1,MOD(SMALL(Lines!$G$3:$G$1590,3),100)),"")</f>
        <v/>
      </c>
      <c r="K8" s="22" t="str">
        <f aca="false">IF($J8=0,INDEX(Lines!$L$3:$L$1590,MATCH(SMALL(Lines!$G$3:$G$1590,3),Lines!$G$3:$G$1590,0)),"")</f>
        <v/>
      </c>
    </row>
    <row r="9" customFormat="false" ht="15" hidden="false" customHeight="false" outlineLevel="0" collapsed="false">
      <c r="A9" s="24" t="str">
        <f aca="false">IF(OR($J9=0,AND(ISNUMBER($J9),$J9&gt;0,$J9&lt;99)),INDEX(Lines!$A$3:$A$1590,MATCH(SMALL(Lines!$G$3:$G$1590,4),Lines!$G$3:$G$1590,0)),"")</f>
        <v/>
      </c>
      <c r="B9" s="24" t="str">
        <f aca="false">IF($J9=-1,INDEX(Lines!$J$3:$J$1590,MATCH(SMALL(Lines!$G$3:$G$1590,4),Lines!$G$3:$G$1590,0)),IF($J9=0,INDEX(Lines!$L$3:$L$1590,MATCH(SMALL(Lines!$G$3:$G$1590,4),Lines!$G$3:$G$1590,0)),IF(AND(ISNUMBER($J9),$J9&gt;0,$J9&lt;99),INDEX(Lines!$N$3:$N$1590,MATCH(SMALL(Lines!$G$3:$G$1590,4),Lines!$G$3:$G$1590,0)),"")))</f>
        <v/>
      </c>
      <c r="C9" s="25" t="str">
        <f aca="false">IF($J9=0,INDEX(Lines!$K$3:$K$1590,MATCH(SMALL(Lines!$G$3:$G$1590,4),Lines!$G$3:$G$1590,0)),IF(AND(ISNUMBER($J9),$J9&gt;0,$J9&lt;99),INDEX(Lines!$C$3:$C$1590,MATCH(SMALL(Lines!$G$3:$G$1590,4),Lines!$G$3:$G$1590,0)),""))</f>
        <v/>
      </c>
      <c r="D9" s="26" t="str">
        <f aca="false">IF(AND(ISNUMBER($J9),$J9&gt;0,$J9&lt;99),INDEX(Lines!$D$3:$D$1590,MATCH(SMALL(Lines!$G$3:$G$1590,4),Lines!$G$3:$G$1590,0)),"")</f>
        <v/>
      </c>
      <c r="E9" s="26" t="str">
        <f aca="false">IF(AND(ISNUMBER($J9),$J9&gt;0,$J9&lt;99),INDEX(Lines!$E$3:$E$1590,MATCH(SMALL(Lines!$G$3:$G$1590,4),Lines!$G$3:$G$1590,0)),"")</f>
        <v/>
      </c>
      <c r="F9" s="26" t="str">
        <f aca="false">IF(AND(ISNUMBER($J9),$J9&gt;0,$J9&lt;99),INDEX(Lines!$O$3:$O$1590,MATCH(SMALL(Lines!$G$3:$G$1590,4),Lines!$G$3:$G$1590,0)),"")</f>
        <v/>
      </c>
      <c r="G9" s="27" t="str">
        <f aca="false">IF($J9=0,INDEX(Lines!$Q$3:$Q$1590,MATCH(SMALL(Lines!$G$3:$G$1590,4),Lines!$G$3:$G$1590,0)),IF(AND(ISNUMBER($J9),$J9&gt;0,$J9&lt;99),INDEX(Lines!$P$3:$P$1590,MATCH(SMALL(Lines!$G$3:$G$1590,4),Lines!$G$3:$G$1590,0)),""))</f>
        <v/>
      </c>
      <c r="H9" s="28" t="str">
        <f aca="false">IF($J9=0,INDEX(Lines!$H$3:$H$1590,MATCH(SMALL(Lines!$G$3:$G$1590,4),Lines!$G$3:$G$1590,0))&amp;" groups",IF(AND(ISNUMBER($J9),$J9&gt;0,$J9&lt;99),INDEX(Lines!$I$3:$I$1590,MATCH(SMALL(Lines!$G$3:$G$1590,4),Lines!$G$3:$G$1590,0)),""))</f>
        <v/>
      </c>
      <c r="I9" s="26"/>
      <c r="J9" s="22" t="str">
        <f aca="false">IFERROR(IF(MOD(SMALL(Lines!$G$3:$G$1590,4),100000)=0,-1,MOD(SMALL(Lines!$G$3:$G$1590,4),100)),"")</f>
        <v/>
      </c>
      <c r="K9" s="22" t="str">
        <f aca="false">IF($J9=0,INDEX(Lines!$L$3:$L$1590,MATCH(SMALL(Lines!$G$3:$G$1590,4),Lines!$G$3:$G$1590,0)),"")</f>
        <v/>
      </c>
    </row>
    <row r="10" customFormat="false" ht="15" hidden="false" customHeight="false" outlineLevel="0" collapsed="false">
      <c r="A10" s="24" t="str">
        <f aca="false">IF(OR($J10=0,AND(ISNUMBER($J10),$J10&gt;0,$J10&lt;99)),INDEX(Lines!$A$3:$A$1590,MATCH(SMALL(Lines!$G$3:$G$1590,5),Lines!$G$3:$G$1590,0)),"")</f>
        <v/>
      </c>
      <c r="B10" s="24" t="str">
        <f aca="false">IF($J10=-1,INDEX(Lines!$J$3:$J$1590,MATCH(SMALL(Lines!$G$3:$G$1590,5),Lines!$G$3:$G$1590,0)),IF($J10=0,INDEX(Lines!$L$3:$L$1590,MATCH(SMALL(Lines!$G$3:$G$1590,5),Lines!$G$3:$G$1590,0)),IF(AND(ISNUMBER($J10),$J10&gt;0,$J10&lt;99),INDEX(Lines!$N$3:$N$1590,MATCH(SMALL(Lines!$G$3:$G$1590,5),Lines!$G$3:$G$1590,0)),"")))</f>
        <v/>
      </c>
      <c r="C10" s="25" t="str">
        <f aca="false">IF($J10=0,INDEX(Lines!$K$3:$K$1590,MATCH(SMALL(Lines!$G$3:$G$1590,5),Lines!$G$3:$G$1590,0)),IF(AND(ISNUMBER($J10),$J10&gt;0,$J10&lt;99),INDEX(Lines!$C$3:$C$1590,MATCH(SMALL(Lines!$G$3:$G$1590,5),Lines!$G$3:$G$1590,0)),""))</f>
        <v/>
      </c>
      <c r="D10" s="26" t="str">
        <f aca="false">IF(AND(ISNUMBER($J10),$J10&gt;0,$J10&lt;99),INDEX(Lines!$D$3:$D$1590,MATCH(SMALL(Lines!$G$3:$G$1590,5),Lines!$G$3:$G$1590,0)),"")</f>
        <v/>
      </c>
      <c r="E10" s="26" t="str">
        <f aca="false">IF(AND(ISNUMBER($J10),$J10&gt;0,$J10&lt;99),INDEX(Lines!$E$3:$E$1590,MATCH(SMALL(Lines!$G$3:$G$1590,5),Lines!$G$3:$G$1590,0)),"")</f>
        <v/>
      </c>
      <c r="F10" s="26" t="str">
        <f aca="false">IF(AND(ISNUMBER($J10),$J10&gt;0,$J10&lt;99),INDEX(Lines!$O$3:$O$1590,MATCH(SMALL(Lines!$G$3:$G$1590,5),Lines!$G$3:$G$1590,0)),"")</f>
        <v/>
      </c>
      <c r="G10" s="27" t="str">
        <f aca="false">IF($J10=0,INDEX(Lines!$Q$3:$Q$1590,MATCH(SMALL(Lines!$G$3:$G$1590,5),Lines!$G$3:$G$1590,0)),IF(AND(ISNUMBER($J10),$J10&gt;0,$J10&lt;99),INDEX(Lines!$P$3:$P$1590,MATCH(SMALL(Lines!$G$3:$G$1590,5),Lines!$G$3:$G$1590,0)),""))</f>
        <v/>
      </c>
      <c r="H10" s="28" t="str">
        <f aca="false">IF($J10=0,INDEX(Lines!$H$3:$H$1590,MATCH(SMALL(Lines!$G$3:$G$1590,5),Lines!$G$3:$G$1590,0))&amp;" groups",IF(AND(ISNUMBER($J10),$J10&gt;0,$J10&lt;99),INDEX(Lines!$I$3:$I$1590,MATCH(SMALL(Lines!$G$3:$G$1590,5),Lines!$G$3:$G$1590,0)),""))</f>
        <v/>
      </c>
      <c r="I10" s="26"/>
      <c r="J10" s="22" t="str">
        <f aca="false">IFERROR(IF(MOD(SMALL(Lines!$G$3:$G$1590,5),100000)=0,-1,MOD(SMALL(Lines!$G$3:$G$1590,5),100)),"")</f>
        <v/>
      </c>
      <c r="K10" s="22" t="str">
        <f aca="false">IF($J10=0,INDEX(Lines!$L$3:$L$1590,MATCH(SMALL(Lines!$G$3:$G$1590,5),Lines!$G$3:$G$1590,0)),"")</f>
        <v/>
      </c>
    </row>
    <row r="11" customFormat="false" ht="15" hidden="false" customHeight="false" outlineLevel="0" collapsed="false">
      <c r="A11" s="24" t="str">
        <f aca="false">IF(OR($J11=0,AND(ISNUMBER($J11),$J11&gt;0,$J11&lt;99)),INDEX(Lines!$A$3:$A$1590,MATCH(SMALL(Lines!$G$3:$G$1590,6),Lines!$G$3:$G$1590,0)),"")</f>
        <v/>
      </c>
      <c r="B11" s="24" t="str">
        <f aca="false">IF($J11=-1,INDEX(Lines!$J$3:$J$1590,MATCH(SMALL(Lines!$G$3:$G$1590,6),Lines!$G$3:$G$1590,0)),IF($J11=0,INDEX(Lines!$L$3:$L$1590,MATCH(SMALL(Lines!$G$3:$G$1590,6),Lines!$G$3:$G$1590,0)),IF(AND(ISNUMBER($J11),$J11&gt;0,$J11&lt;99),INDEX(Lines!$N$3:$N$1590,MATCH(SMALL(Lines!$G$3:$G$1590,6),Lines!$G$3:$G$1590,0)),"")))</f>
        <v/>
      </c>
      <c r="C11" s="25" t="str">
        <f aca="false">IF($J11=0,INDEX(Lines!$K$3:$K$1590,MATCH(SMALL(Lines!$G$3:$G$1590,6),Lines!$G$3:$G$1590,0)),IF(AND(ISNUMBER($J11),$J11&gt;0,$J11&lt;99),INDEX(Lines!$C$3:$C$1590,MATCH(SMALL(Lines!$G$3:$G$1590,6),Lines!$G$3:$G$1590,0)),""))</f>
        <v/>
      </c>
      <c r="D11" s="26" t="str">
        <f aca="false">IF(AND(ISNUMBER($J11),$J11&gt;0,$J11&lt;99),INDEX(Lines!$D$3:$D$1590,MATCH(SMALL(Lines!$G$3:$G$1590,6),Lines!$G$3:$G$1590,0)),"")</f>
        <v/>
      </c>
      <c r="E11" s="26" t="str">
        <f aca="false">IF(AND(ISNUMBER($J11),$J11&gt;0,$J11&lt;99),INDEX(Lines!$E$3:$E$1590,MATCH(SMALL(Lines!$G$3:$G$1590,6),Lines!$G$3:$G$1590,0)),"")</f>
        <v/>
      </c>
      <c r="F11" s="26" t="str">
        <f aca="false">IF(AND(ISNUMBER($J11),$J11&gt;0,$J11&lt;99),INDEX(Lines!$O$3:$O$1590,MATCH(SMALL(Lines!$G$3:$G$1590,6),Lines!$G$3:$G$1590,0)),"")</f>
        <v/>
      </c>
      <c r="G11" s="27" t="str">
        <f aca="false">IF($J11=0,INDEX(Lines!$Q$3:$Q$1590,MATCH(SMALL(Lines!$G$3:$G$1590,6),Lines!$G$3:$G$1590,0)),IF(AND(ISNUMBER($J11),$J11&gt;0,$J11&lt;99),INDEX(Lines!$P$3:$P$1590,MATCH(SMALL(Lines!$G$3:$G$1590,6),Lines!$G$3:$G$1590,0)),""))</f>
        <v/>
      </c>
      <c r="H11" s="28" t="str">
        <f aca="false">IF($J11=0,INDEX(Lines!$H$3:$H$1590,MATCH(SMALL(Lines!$G$3:$G$1590,6),Lines!$G$3:$G$1590,0))&amp;" groups",IF(AND(ISNUMBER($J11),$J11&gt;0,$J11&lt;99),INDEX(Lines!$I$3:$I$1590,MATCH(SMALL(Lines!$G$3:$G$1590,6),Lines!$G$3:$G$1590,0)),""))</f>
        <v/>
      </c>
      <c r="I11" s="26"/>
      <c r="J11" s="22" t="str">
        <f aca="false">IFERROR(IF(MOD(SMALL(Lines!$G$3:$G$1590,6),100000)=0,-1,MOD(SMALL(Lines!$G$3:$G$1590,6),100)),"")</f>
        <v/>
      </c>
      <c r="K11" s="22" t="str">
        <f aca="false">IF($J11=0,INDEX(Lines!$L$3:$L$1590,MATCH(SMALL(Lines!$G$3:$G$1590,6),Lines!$G$3:$G$1590,0)),"")</f>
        <v/>
      </c>
    </row>
    <row r="12" customFormat="false" ht="15" hidden="false" customHeight="false" outlineLevel="0" collapsed="false">
      <c r="A12" s="24" t="str">
        <f aca="false">IF(OR($J12=0,AND(ISNUMBER($J12),$J12&gt;0,$J12&lt;99)),INDEX(Lines!$A$3:$A$1590,MATCH(SMALL(Lines!$G$3:$G$1590,7),Lines!$G$3:$G$1590,0)),"")</f>
        <v/>
      </c>
      <c r="B12" s="24" t="str">
        <f aca="false">IF($J12=-1,INDEX(Lines!$J$3:$J$1590,MATCH(SMALL(Lines!$G$3:$G$1590,7),Lines!$G$3:$G$1590,0)),IF($J12=0,INDEX(Lines!$L$3:$L$1590,MATCH(SMALL(Lines!$G$3:$G$1590,7),Lines!$G$3:$G$1590,0)),IF(AND(ISNUMBER($J12),$J12&gt;0,$J12&lt;99),INDEX(Lines!$N$3:$N$1590,MATCH(SMALL(Lines!$G$3:$G$1590,7),Lines!$G$3:$G$1590,0)),"")))</f>
        <v/>
      </c>
      <c r="C12" s="25" t="str">
        <f aca="false">IF($J12=0,INDEX(Lines!$K$3:$K$1590,MATCH(SMALL(Lines!$G$3:$G$1590,7),Lines!$G$3:$G$1590,0)),IF(AND(ISNUMBER($J12),$J12&gt;0,$J12&lt;99),INDEX(Lines!$C$3:$C$1590,MATCH(SMALL(Lines!$G$3:$G$1590,7),Lines!$G$3:$G$1590,0)),""))</f>
        <v/>
      </c>
      <c r="D12" s="26" t="str">
        <f aca="false">IF(AND(ISNUMBER($J12),$J12&gt;0,$J12&lt;99),INDEX(Lines!$D$3:$D$1590,MATCH(SMALL(Lines!$G$3:$G$1590,7),Lines!$G$3:$G$1590,0)),"")</f>
        <v/>
      </c>
      <c r="E12" s="26" t="str">
        <f aca="false">IF(AND(ISNUMBER($J12),$J12&gt;0,$J12&lt;99),INDEX(Lines!$E$3:$E$1590,MATCH(SMALL(Lines!$G$3:$G$1590,7),Lines!$G$3:$G$1590,0)),"")</f>
        <v/>
      </c>
      <c r="F12" s="26" t="str">
        <f aca="false">IF(AND(ISNUMBER($J12),$J12&gt;0,$J12&lt;99),INDEX(Lines!$O$3:$O$1590,MATCH(SMALL(Lines!$G$3:$G$1590,7),Lines!$G$3:$G$1590,0)),"")</f>
        <v/>
      </c>
      <c r="G12" s="27" t="str">
        <f aca="false">IF($J12=0,INDEX(Lines!$Q$3:$Q$1590,MATCH(SMALL(Lines!$G$3:$G$1590,7),Lines!$G$3:$G$1590,0)),IF(AND(ISNUMBER($J12),$J12&gt;0,$J12&lt;99),INDEX(Lines!$P$3:$P$1590,MATCH(SMALL(Lines!$G$3:$G$1590,7),Lines!$G$3:$G$1590,0)),""))</f>
        <v/>
      </c>
      <c r="H12" s="28" t="str">
        <f aca="false">IF($J12=0,INDEX(Lines!$H$3:$H$1590,MATCH(SMALL(Lines!$G$3:$G$1590,7),Lines!$G$3:$G$1590,0))&amp;" groups",IF(AND(ISNUMBER($J12),$J12&gt;0,$J12&lt;99),INDEX(Lines!$I$3:$I$1590,MATCH(SMALL(Lines!$G$3:$G$1590,7),Lines!$G$3:$G$1590,0)),""))</f>
        <v/>
      </c>
      <c r="I12" s="26"/>
      <c r="J12" s="22" t="str">
        <f aca="false">IFERROR(IF(MOD(SMALL(Lines!$G$3:$G$1590,7),100000)=0,-1,MOD(SMALL(Lines!$G$3:$G$1590,7),100)),"")</f>
        <v/>
      </c>
      <c r="K12" s="22" t="str">
        <f aca="false">IF($J12=0,INDEX(Lines!$L$3:$L$1590,MATCH(SMALL(Lines!$G$3:$G$1590,7),Lines!$G$3:$G$1590,0)),"")</f>
        <v/>
      </c>
    </row>
    <row r="13" customFormat="false" ht="15" hidden="false" customHeight="false" outlineLevel="0" collapsed="false">
      <c r="A13" s="24" t="str">
        <f aca="false">IF(OR($J13=0,AND(ISNUMBER($J13),$J13&gt;0,$J13&lt;99)),INDEX(Lines!$A$3:$A$1590,MATCH(SMALL(Lines!$G$3:$G$1590,8),Lines!$G$3:$G$1590,0)),"")</f>
        <v/>
      </c>
      <c r="B13" s="24" t="str">
        <f aca="false">IF($J13=-1,INDEX(Lines!$J$3:$J$1590,MATCH(SMALL(Lines!$G$3:$G$1590,8),Lines!$G$3:$G$1590,0)),IF($J13=0,INDEX(Lines!$L$3:$L$1590,MATCH(SMALL(Lines!$G$3:$G$1590,8),Lines!$G$3:$G$1590,0)),IF(AND(ISNUMBER($J13),$J13&gt;0,$J13&lt;99),INDEX(Lines!$N$3:$N$1590,MATCH(SMALL(Lines!$G$3:$G$1590,8),Lines!$G$3:$G$1590,0)),"")))</f>
        <v/>
      </c>
      <c r="C13" s="25" t="str">
        <f aca="false">IF($J13=0,INDEX(Lines!$K$3:$K$1590,MATCH(SMALL(Lines!$G$3:$G$1590,8),Lines!$G$3:$G$1590,0)),IF(AND(ISNUMBER($J13),$J13&gt;0,$J13&lt;99),INDEX(Lines!$C$3:$C$1590,MATCH(SMALL(Lines!$G$3:$G$1590,8),Lines!$G$3:$G$1590,0)),""))</f>
        <v/>
      </c>
      <c r="D13" s="26" t="str">
        <f aca="false">IF(AND(ISNUMBER($J13),$J13&gt;0,$J13&lt;99),INDEX(Lines!$D$3:$D$1590,MATCH(SMALL(Lines!$G$3:$G$1590,8),Lines!$G$3:$G$1590,0)),"")</f>
        <v/>
      </c>
      <c r="E13" s="26" t="str">
        <f aca="false">IF(AND(ISNUMBER($J13),$J13&gt;0,$J13&lt;99),INDEX(Lines!$E$3:$E$1590,MATCH(SMALL(Lines!$G$3:$G$1590,8),Lines!$G$3:$G$1590,0)),"")</f>
        <v/>
      </c>
      <c r="F13" s="26" t="str">
        <f aca="false">IF(AND(ISNUMBER($J13),$J13&gt;0,$J13&lt;99),INDEX(Lines!$O$3:$O$1590,MATCH(SMALL(Lines!$G$3:$G$1590,8),Lines!$G$3:$G$1590,0)),"")</f>
        <v/>
      </c>
      <c r="G13" s="27" t="str">
        <f aca="false">IF($J13=0,INDEX(Lines!$Q$3:$Q$1590,MATCH(SMALL(Lines!$G$3:$G$1590,8),Lines!$G$3:$G$1590,0)),IF(AND(ISNUMBER($J13),$J13&gt;0,$J13&lt;99),INDEX(Lines!$P$3:$P$1590,MATCH(SMALL(Lines!$G$3:$G$1590,8),Lines!$G$3:$G$1590,0)),""))</f>
        <v/>
      </c>
      <c r="H13" s="28" t="str">
        <f aca="false">IF($J13=0,INDEX(Lines!$H$3:$H$1590,MATCH(SMALL(Lines!$G$3:$G$1590,8),Lines!$G$3:$G$1590,0))&amp;" groups",IF(AND(ISNUMBER($J13),$J13&gt;0,$J13&lt;99),INDEX(Lines!$I$3:$I$1590,MATCH(SMALL(Lines!$G$3:$G$1590,8),Lines!$G$3:$G$1590,0)),""))</f>
        <v/>
      </c>
      <c r="I13" s="26"/>
      <c r="J13" s="22" t="str">
        <f aca="false">IFERROR(IF(MOD(SMALL(Lines!$G$3:$G$1590,8),100000)=0,-1,MOD(SMALL(Lines!$G$3:$G$1590,8),100)),"")</f>
        <v/>
      </c>
      <c r="K13" s="22" t="str">
        <f aca="false">IF($J13=0,INDEX(Lines!$L$3:$L$1590,MATCH(SMALL(Lines!$G$3:$G$1590,8),Lines!$G$3:$G$1590,0)),"")</f>
        <v/>
      </c>
    </row>
    <row r="14" customFormat="false" ht="15" hidden="false" customHeight="false" outlineLevel="0" collapsed="false">
      <c r="A14" s="24" t="str">
        <f aca="false">IF(OR($J14=0,AND(ISNUMBER($J14),$J14&gt;0,$J14&lt;99)),INDEX(Lines!$A$3:$A$1590,MATCH(SMALL(Lines!$G$3:$G$1590,9),Lines!$G$3:$G$1590,0)),"")</f>
        <v/>
      </c>
      <c r="B14" s="24" t="str">
        <f aca="false">IF($J14=-1,INDEX(Lines!$J$3:$J$1590,MATCH(SMALL(Lines!$G$3:$G$1590,9),Lines!$G$3:$G$1590,0)),IF($J14=0,INDEX(Lines!$L$3:$L$1590,MATCH(SMALL(Lines!$G$3:$G$1590,9),Lines!$G$3:$G$1590,0)),IF(AND(ISNUMBER($J14),$J14&gt;0,$J14&lt;99),INDEX(Lines!$N$3:$N$1590,MATCH(SMALL(Lines!$G$3:$G$1590,9),Lines!$G$3:$G$1590,0)),"")))</f>
        <v/>
      </c>
      <c r="C14" s="25" t="str">
        <f aca="false">IF($J14=0,INDEX(Lines!$K$3:$K$1590,MATCH(SMALL(Lines!$G$3:$G$1590,9),Lines!$G$3:$G$1590,0)),IF(AND(ISNUMBER($J14),$J14&gt;0,$J14&lt;99),INDEX(Lines!$C$3:$C$1590,MATCH(SMALL(Lines!$G$3:$G$1590,9),Lines!$G$3:$G$1590,0)),""))</f>
        <v/>
      </c>
      <c r="D14" s="26" t="str">
        <f aca="false">IF(AND(ISNUMBER($J14),$J14&gt;0,$J14&lt;99),INDEX(Lines!$D$3:$D$1590,MATCH(SMALL(Lines!$G$3:$G$1590,9),Lines!$G$3:$G$1590,0)),"")</f>
        <v/>
      </c>
      <c r="E14" s="26" t="str">
        <f aca="false">IF(AND(ISNUMBER($J14),$J14&gt;0,$J14&lt;99),INDEX(Lines!$E$3:$E$1590,MATCH(SMALL(Lines!$G$3:$G$1590,9),Lines!$G$3:$G$1590,0)),"")</f>
        <v/>
      </c>
      <c r="F14" s="26" t="str">
        <f aca="false">IF(AND(ISNUMBER($J14),$J14&gt;0,$J14&lt;99),INDEX(Lines!$O$3:$O$1590,MATCH(SMALL(Lines!$G$3:$G$1590,9),Lines!$G$3:$G$1590,0)),"")</f>
        <v/>
      </c>
      <c r="G14" s="27" t="str">
        <f aca="false">IF($J14=0,INDEX(Lines!$Q$3:$Q$1590,MATCH(SMALL(Lines!$G$3:$G$1590,9),Lines!$G$3:$G$1590,0)),IF(AND(ISNUMBER($J14),$J14&gt;0,$J14&lt;99),INDEX(Lines!$P$3:$P$1590,MATCH(SMALL(Lines!$G$3:$G$1590,9),Lines!$G$3:$G$1590,0)),""))</f>
        <v/>
      </c>
      <c r="H14" s="28" t="str">
        <f aca="false">IF($J14=0,INDEX(Lines!$H$3:$H$1590,MATCH(SMALL(Lines!$G$3:$G$1590,9),Lines!$G$3:$G$1590,0))&amp;" groups",IF(AND(ISNUMBER($J14),$J14&gt;0,$J14&lt;99),INDEX(Lines!$I$3:$I$1590,MATCH(SMALL(Lines!$G$3:$G$1590,9),Lines!$G$3:$G$1590,0)),""))</f>
        <v/>
      </c>
      <c r="I14" s="26"/>
      <c r="J14" s="22" t="str">
        <f aca="false">IFERROR(IF(MOD(SMALL(Lines!$G$3:$G$1590,9),100000)=0,-1,MOD(SMALL(Lines!$G$3:$G$1590,9),100)),"")</f>
        <v/>
      </c>
      <c r="K14" s="22" t="str">
        <f aca="false">IF($J14=0,INDEX(Lines!$L$3:$L$1590,MATCH(SMALL(Lines!$G$3:$G$1590,9),Lines!$G$3:$G$1590,0)),"")</f>
        <v/>
      </c>
    </row>
    <row r="15" customFormat="false" ht="15" hidden="false" customHeight="false" outlineLevel="0" collapsed="false">
      <c r="A15" s="24" t="str">
        <f aca="false">IF(OR($J15=0,AND(ISNUMBER($J15),$J15&gt;0,$J15&lt;99)),INDEX(Lines!$A$3:$A$1590,MATCH(SMALL(Lines!$G$3:$G$1590,10),Lines!$G$3:$G$1590,0)),"")</f>
        <v/>
      </c>
      <c r="B15" s="24" t="str">
        <f aca="false">IF($J15=-1,INDEX(Lines!$J$3:$J$1590,MATCH(SMALL(Lines!$G$3:$G$1590,10),Lines!$G$3:$G$1590,0)),IF($J15=0,INDEX(Lines!$L$3:$L$1590,MATCH(SMALL(Lines!$G$3:$G$1590,10),Lines!$G$3:$G$1590,0)),IF(AND(ISNUMBER($J15),$J15&gt;0,$J15&lt;99),INDEX(Lines!$N$3:$N$1590,MATCH(SMALL(Lines!$G$3:$G$1590,10),Lines!$G$3:$G$1590,0)),"")))</f>
        <v/>
      </c>
      <c r="C15" s="25" t="str">
        <f aca="false">IF($J15=0,INDEX(Lines!$K$3:$K$1590,MATCH(SMALL(Lines!$G$3:$G$1590,10),Lines!$G$3:$G$1590,0)),IF(AND(ISNUMBER($J15),$J15&gt;0,$J15&lt;99),INDEX(Lines!$C$3:$C$1590,MATCH(SMALL(Lines!$G$3:$G$1590,10),Lines!$G$3:$G$1590,0)),""))</f>
        <v/>
      </c>
      <c r="D15" s="26" t="str">
        <f aca="false">IF(AND(ISNUMBER($J15),$J15&gt;0,$J15&lt;99),INDEX(Lines!$D$3:$D$1590,MATCH(SMALL(Lines!$G$3:$G$1590,10),Lines!$G$3:$G$1590,0)),"")</f>
        <v/>
      </c>
      <c r="E15" s="26" t="str">
        <f aca="false">IF(AND(ISNUMBER($J15),$J15&gt;0,$J15&lt;99),INDEX(Lines!$E$3:$E$1590,MATCH(SMALL(Lines!$G$3:$G$1590,10),Lines!$G$3:$G$1590,0)),"")</f>
        <v/>
      </c>
      <c r="F15" s="26" t="str">
        <f aca="false">IF(AND(ISNUMBER($J15),$J15&gt;0,$J15&lt;99),INDEX(Lines!$O$3:$O$1590,MATCH(SMALL(Lines!$G$3:$G$1590,10),Lines!$G$3:$G$1590,0)),"")</f>
        <v/>
      </c>
      <c r="G15" s="27" t="str">
        <f aca="false">IF($J15=0,INDEX(Lines!$Q$3:$Q$1590,MATCH(SMALL(Lines!$G$3:$G$1590,10),Lines!$G$3:$G$1590,0)),IF(AND(ISNUMBER($J15),$J15&gt;0,$J15&lt;99),INDEX(Lines!$P$3:$P$1590,MATCH(SMALL(Lines!$G$3:$G$1590,10),Lines!$G$3:$G$1590,0)),""))</f>
        <v/>
      </c>
      <c r="H15" s="28" t="str">
        <f aca="false">IF($J15=0,INDEX(Lines!$H$3:$H$1590,MATCH(SMALL(Lines!$G$3:$G$1590,10),Lines!$G$3:$G$1590,0))&amp;" groups",IF(AND(ISNUMBER($J15),$J15&gt;0,$J15&lt;99),INDEX(Lines!$I$3:$I$1590,MATCH(SMALL(Lines!$G$3:$G$1590,10),Lines!$G$3:$G$1590,0)),""))</f>
        <v/>
      </c>
      <c r="I15" s="26"/>
      <c r="J15" s="22" t="str">
        <f aca="false">IFERROR(IF(MOD(SMALL(Lines!$G$3:$G$1590,10),100000)=0,-1,MOD(SMALL(Lines!$G$3:$G$1590,10),100)),"")</f>
        <v/>
      </c>
      <c r="K15" s="22" t="str">
        <f aca="false">IF($J15=0,INDEX(Lines!$L$3:$L$1590,MATCH(SMALL(Lines!$G$3:$G$1590,10),Lines!$G$3:$G$1590,0)),"")</f>
        <v/>
      </c>
    </row>
    <row r="16" customFormat="false" ht="15" hidden="false" customHeight="false" outlineLevel="0" collapsed="false">
      <c r="A16" s="24" t="str">
        <f aca="false">IF(OR($J16=0,AND(ISNUMBER($J16),$J16&gt;0,$J16&lt;99)),INDEX(Lines!$A$3:$A$1590,MATCH(SMALL(Lines!$G$3:$G$1590,11),Lines!$G$3:$G$1590,0)),"")</f>
        <v/>
      </c>
      <c r="B16" s="24" t="str">
        <f aca="false">IF($J16=-1,INDEX(Lines!$J$3:$J$1590,MATCH(SMALL(Lines!$G$3:$G$1590,11),Lines!$G$3:$G$1590,0)),IF($J16=0,INDEX(Lines!$L$3:$L$1590,MATCH(SMALL(Lines!$G$3:$G$1590,11),Lines!$G$3:$G$1590,0)),IF(AND(ISNUMBER($J16),$J16&gt;0,$J16&lt;99),INDEX(Lines!$N$3:$N$1590,MATCH(SMALL(Lines!$G$3:$G$1590,11),Lines!$G$3:$G$1590,0)),"")))</f>
        <v/>
      </c>
      <c r="C16" s="25" t="str">
        <f aca="false">IF($J16=0,INDEX(Lines!$K$3:$K$1590,MATCH(SMALL(Lines!$G$3:$G$1590,11),Lines!$G$3:$G$1590,0)),IF(AND(ISNUMBER($J16),$J16&gt;0,$J16&lt;99),INDEX(Lines!$C$3:$C$1590,MATCH(SMALL(Lines!$G$3:$G$1590,11),Lines!$G$3:$G$1590,0)),""))</f>
        <v/>
      </c>
      <c r="D16" s="26" t="str">
        <f aca="false">IF(AND(ISNUMBER($J16),$J16&gt;0,$J16&lt;99),INDEX(Lines!$D$3:$D$1590,MATCH(SMALL(Lines!$G$3:$G$1590,11),Lines!$G$3:$G$1590,0)),"")</f>
        <v/>
      </c>
      <c r="E16" s="26" t="str">
        <f aca="false">IF(AND(ISNUMBER($J16),$J16&gt;0,$J16&lt;99),INDEX(Lines!$E$3:$E$1590,MATCH(SMALL(Lines!$G$3:$G$1590,11),Lines!$G$3:$G$1590,0)),"")</f>
        <v/>
      </c>
      <c r="F16" s="26" t="str">
        <f aca="false">IF(AND(ISNUMBER($J16),$J16&gt;0,$J16&lt;99),INDEX(Lines!$O$3:$O$1590,MATCH(SMALL(Lines!$G$3:$G$1590,11),Lines!$G$3:$G$1590,0)),"")</f>
        <v/>
      </c>
      <c r="G16" s="27" t="str">
        <f aca="false">IF($J16=0,INDEX(Lines!$Q$3:$Q$1590,MATCH(SMALL(Lines!$G$3:$G$1590,11),Lines!$G$3:$G$1590,0)),IF(AND(ISNUMBER($J16),$J16&gt;0,$J16&lt;99),INDEX(Lines!$P$3:$P$1590,MATCH(SMALL(Lines!$G$3:$G$1590,11),Lines!$G$3:$G$1590,0)),""))</f>
        <v/>
      </c>
      <c r="H16" s="28" t="str">
        <f aca="false">IF($J16=0,INDEX(Lines!$H$3:$H$1590,MATCH(SMALL(Lines!$G$3:$G$1590,11),Lines!$G$3:$G$1590,0))&amp;" groups",IF(AND(ISNUMBER($J16),$J16&gt;0,$J16&lt;99),INDEX(Lines!$I$3:$I$1590,MATCH(SMALL(Lines!$G$3:$G$1590,11),Lines!$G$3:$G$1590,0)),""))</f>
        <v/>
      </c>
      <c r="I16" s="26"/>
      <c r="J16" s="22" t="str">
        <f aca="false">IFERROR(IF(MOD(SMALL(Lines!$G$3:$G$1590,11),100000)=0,-1,MOD(SMALL(Lines!$G$3:$G$1590,11),100)),"")</f>
        <v/>
      </c>
      <c r="K16" s="22" t="str">
        <f aca="false">IF($J16=0,INDEX(Lines!$L$3:$L$1590,MATCH(SMALL(Lines!$G$3:$G$1590,11),Lines!$G$3:$G$1590,0)),"")</f>
        <v/>
      </c>
    </row>
    <row r="17" customFormat="false" ht="15" hidden="false" customHeight="false" outlineLevel="0" collapsed="false">
      <c r="A17" s="24" t="str">
        <f aca="false">IF(OR($J17=0,AND(ISNUMBER($J17),$J17&gt;0,$J17&lt;99)),INDEX(Lines!$A$3:$A$1590,MATCH(SMALL(Lines!$G$3:$G$1590,12),Lines!$G$3:$G$1590,0)),"")</f>
        <v/>
      </c>
      <c r="B17" s="24" t="str">
        <f aca="false">IF($J17=-1,INDEX(Lines!$J$3:$J$1590,MATCH(SMALL(Lines!$G$3:$G$1590,12),Lines!$G$3:$G$1590,0)),IF($J17=0,INDEX(Lines!$L$3:$L$1590,MATCH(SMALL(Lines!$G$3:$G$1590,12),Lines!$G$3:$G$1590,0)),IF(AND(ISNUMBER($J17),$J17&gt;0,$J17&lt;99),INDEX(Lines!$N$3:$N$1590,MATCH(SMALL(Lines!$G$3:$G$1590,12),Lines!$G$3:$G$1590,0)),"")))</f>
        <v/>
      </c>
      <c r="C17" s="25" t="str">
        <f aca="false">IF($J17=0,INDEX(Lines!$K$3:$K$1590,MATCH(SMALL(Lines!$G$3:$G$1590,12),Lines!$G$3:$G$1590,0)),IF(AND(ISNUMBER($J17),$J17&gt;0,$J17&lt;99),INDEX(Lines!$C$3:$C$1590,MATCH(SMALL(Lines!$G$3:$G$1590,12),Lines!$G$3:$G$1590,0)),""))</f>
        <v/>
      </c>
      <c r="D17" s="26" t="str">
        <f aca="false">IF(AND(ISNUMBER($J17),$J17&gt;0,$J17&lt;99),INDEX(Lines!$D$3:$D$1590,MATCH(SMALL(Lines!$G$3:$G$1590,12),Lines!$G$3:$G$1590,0)),"")</f>
        <v/>
      </c>
      <c r="E17" s="26" t="str">
        <f aca="false">IF(AND(ISNUMBER($J17),$J17&gt;0,$J17&lt;99),INDEX(Lines!$E$3:$E$1590,MATCH(SMALL(Lines!$G$3:$G$1590,12),Lines!$G$3:$G$1590,0)),"")</f>
        <v/>
      </c>
      <c r="F17" s="26" t="str">
        <f aca="false">IF(AND(ISNUMBER($J17),$J17&gt;0,$J17&lt;99),INDEX(Lines!$O$3:$O$1590,MATCH(SMALL(Lines!$G$3:$G$1590,12),Lines!$G$3:$G$1590,0)),"")</f>
        <v/>
      </c>
      <c r="G17" s="27" t="str">
        <f aca="false">IF($J17=0,INDEX(Lines!$Q$3:$Q$1590,MATCH(SMALL(Lines!$G$3:$G$1590,12),Lines!$G$3:$G$1590,0)),IF(AND(ISNUMBER($J17),$J17&gt;0,$J17&lt;99),INDEX(Lines!$P$3:$P$1590,MATCH(SMALL(Lines!$G$3:$G$1590,12),Lines!$G$3:$G$1590,0)),""))</f>
        <v/>
      </c>
      <c r="H17" s="28" t="str">
        <f aca="false">IF($J17=0,INDEX(Lines!$H$3:$H$1590,MATCH(SMALL(Lines!$G$3:$G$1590,12),Lines!$G$3:$G$1590,0))&amp;" groups",IF(AND(ISNUMBER($J17),$J17&gt;0,$J17&lt;99),INDEX(Lines!$I$3:$I$1590,MATCH(SMALL(Lines!$G$3:$G$1590,12),Lines!$G$3:$G$1590,0)),""))</f>
        <v/>
      </c>
      <c r="I17" s="26"/>
      <c r="J17" s="22" t="str">
        <f aca="false">IFERROR(IF(MOD(SMALL(Lines!$G$3:$G$1590,12),100000)=0,-1,MOD(SMALL(Lines!$G$3:$G$1590,12),100)),"")</f>
        <v/>
      </c>
      <c r="K17" s="22" t="str">
        <f aca="false">IF($J17=0,INDEX(Lines!$L$3:$L$1590,MATCH(SMALL(Lines!$G$3:$G$1590,12),Lines!$G$3:$G$1590,0)),"")</f>
        <v/>
      </c>
    </row>
    <row r="18" customFormat="false" ht="15" hidden="false" customHeight="false" outlineLevel="0" collapsed="false">
      <c r="A18" s="24" t="str">
        <f aca="false">IF(OR($J18=0,AND(ISNUMBER($J18),$J18&gt;0,$J18&lt;99)),INDEX(Lines!$A$3:$A$1590,MATCH(SMALL(Lines!$G$3:$G$1590,13),Lines!$G$3:$G$1590,0)),"")</f>
        <v/>
      </c>
      <c r="B18" s="24" t="str">
        <f aca="false">IF($J18=-1,INDEX(Lines!$J$3:$J$1590,MATCH(SMALL(Lines!$G$3:$G$1590,13),Lines!$G$3:$G$1590,0)),IF($J18=0,INDEX(Lines!$L$3:$L$1590,MATCH(SMALL(Lines!$G$3:$G$1590,13),Lines!$G$3:$G$1590,0)),IF(AND(ISNUMBER($J18),$J18&gt;0,$J18&lt;99),INDEX(Lines!$N$3:$N$1590,MATCH(SMALL(Lines!$G$3:$G$1590,13),Lines!$G$3:$G$1590,0)),"")))</f>
        <v/>
      </c>
      <c r="C18" s="25" t="str">
        <f aca="false">IF($J18=0,INDEX(Lines!$K$3:$K$1590,MATCH(SMALL(Lines!$G$3:$G$1590,13),Lines!$G$3:$G$1590,0)),IF(AND(ISNUMBER($J18),$J18&gt;0,$J18&lt;99),INDEX(Lines!$C$3:$C$1590,MATCH(SMALL(Lines!$G$3:$G$1590,13),Lines!$G$3:$G$1590,0)),""))</f>
        <v/>
      </c>
      <c r="D18" s="26" t="str">
        <f aca="false">IF(AND(ISNUMBER($J18),$J18&gt;0,$J18&lt;99),INDEX(Lines!$D$3:$D$1590,MATCH(SMALL(Lines!$G$3:$G$1590,13),Lines!$G$3:$G$1590,0)),"")</f>
        <v/>
      </c>
      <c r="E18" s="26" t="str">
        <f aca="false">IF(AND(ISNUMBER($J18),$J18&gt;0,$J18&lt;99),INDEX(Lines!$E$3:$E$1590,MATCH(SMALL(Lines!$G$3:$G$1590,13),Lines!$G$3:$G$1590,0)),"")</f>
        <v/>
      </c>
      <c r="F18" s="26" t="str">
        <f aca="false">IF(AND(ISNUMBER($J18),$J18&gt;0,$J18&lt;99),INDEX(Lines!$O$3:$O$1590,MATCH(SMALL(Lines!$G$3:$G$1590,13),Lines!$G$3:$G$1590,0)),"")</f>
        <v/>
      </c>
      <c r="G18" s="27" t="str">
        <f aca="false">IF($J18=0,INDEX(Lines!$Q$3:$Q$1590,MATCH(SMALL(Lines!$G$3:$G$1590,13),Lines!$G$3:$G$1590,0)),IF(AND(ISNUMBER($J18),$J18&gt;0,$J18&lt;99),INDEX(Lines!$P$3:$P$1590,MATCH(SMALL(Lines!$G$3:$G$1590,13),Lines!$G$3:$G$1590,0)),""))</f>
        <v/>
      </c>
      <c r="H18" s="28" t="str">
        <f aca="false">IF($J18=0,INDEX(Lines!$H$3:$H$1590,MATCH(SMALL(Lines!$G$3:$G$1590,13),Lines!$G$3:$G$1590,0))&amp;" groups",IF(AND(ISNUMBER($J18),$J18&gt;0,$J18&lt;99),INDEX(Lines!$I$3:$I$1590,MATCH(SMALL(Lines!$G$3:$G$1590,13),Lines!$G$3:$G$1590,0)),""))</f>
        <v/>
      </c>
      <c r="I18" s="26"/>
      <c r="J18" s="22" t="str">
        <f aca="false">IFERROR(IF(MOD(SMALL(Lines!$G$3:$G$1590,13),100000)=0,-1,MOD(SMALL(Lines!$G$3:$G$1590,13),100)),"")</f>
        <v/>
      </c>
      <c r="K18" s="22" t="str">
        <f aca="false">IF($J18=0,INDEX(Lines!$L$3:$L$1590,MATCH(SMALL(Lines!$G$3:$G$1590,13),Lines!$G$3:$G$1590,0)),"")</f>
        <v/>
      </c>
    </row>
    <row r="19" customFormat="false" ht="15" hidden="false" customHeight="false" outlineLevel="0" collapsed="false">
      <c r="A19" s="24" t="str">
        <f aca="false">IF(OR($J19=0,AND(ISNUMBER($J19),$J19&gt;0,$J19&lt;99)),INDEX(Lines!$A$3:$A$1590,MATCH(SMALL(Lines!$G$3:$G$1590,14),Lines!$G$3:$G$1590,0)),"")</f>
        <v/>
      </c>
      <c r="B19" s="24" t="str">
        <f aca="false">IF($J19=-1,INDEX(Lines!$J$3:$J$1590,MATCH(SMALL(Lines!$G$3:$G$1590,14),Lines!$G$3:$G$1590,0)),IF($J19=0,INDEX(Lines!$L$3:$L$1590,MATCH(SMALL(Lines!$G$3:$G$1590,14),Lines!$G$3:$G$1590,0)),IF(AND(ISNUMBER($J19),$J19&gt;0,$J19&lt;99),INDEX(Lines!$N$3:$N$1590,MATCH(SMALL(Lines!$G$3:$G$1590,14),Lines!$G$3:$G$1590,0)),"")))</f>
        <v/>
      </c>
      <c r="C19" s="25" t="str">
        <f aca="false">IF($J19=0,INDEX(Lines!$K$3:$K$1590,MATCH(SMALL(Lines!$G$3:$G$1590,14),Lines!$G$3:$G$1590,0)),IF(AND(ISNUMBER($J19),$J19&gt;0,$J19&lt;99),INDEX(Lines!$C$3:$C$1590,MATCH(SMALL(Lines!$G$3:$G$1590,14),Lines!$G$3:$G$1590,0)),""))</f>
        <v/>
      </c>
      <c r="D19" s="26" t="str">
        <f aca="false">IF(AND(ISNUMBER($J19),$J19&gt;0,$J19&lt;99),INDEX(Lines!$D$3:$D$1590,MATCH(SMALL(Lines!$G$3:$G$1590,14),Lines!$G$3:$G$1590,0)),"")</f>
        <v/>
      </c>
      <c r="E19" s="26" t="str">
        <f aca="false">IF(AND(ISNUMBER($J19),$J19&gt;0,$J19&lt;99),INDEX(Lines!$E$3:$E$1590,MATCH(SMALL(Lines!$G$3:$G$1590,14),Lines!$G$3:$G$1590,0)),"")</f>
        <v/>
      </c>
      <c r="F19" s="26" t="str">
        <f aca="false">IF(AND(ISNUMBER($J19),$J19&gt;0,$J19&lt;99),INDEX(Lines!$O$3:$O$1590,MATCH(SMALL(Lines!$G$3:$G$1590,14),Lines!$G$3:$G$1590,0)),"")</f>
        <v/>
      </c>
      <c r="G19" s="27" t="str">
        <f aca="false">IF($J19=0,INDEX(Lines!$Q$3:$Q$1590,MATCH(SMALL(Lines!$G$3:$G$1590,14),Lines!$G$3:$G$1590,0)),IF(AND(ISNUMBER($J19),$J19&gt;0,$J19&lt;99),INDEX(Lines!$P$3:$P$1590,MATCH(SMALL(Lines!$G$3:$G$1590,14),Lines!$G$3:$G$1590,0)),""))</f>
        <v/>
      </c>
      <c r="H19" s="28" t="str">
        <f aca="false">IF($J19=0,INDEX(Lines!$H$3:$H$1590,MATCH(SMALL(Lines!$G$3:$G$1590,14),Lines!$G$3:$G$1590,0))&amp;" groups",IF(AND(ISNUMBER($J19),$J19&gt;0,$J19&lt;99),INDEX(Lines!$I$3:$I$1590,MATCH(SMALL(Lines!$G$3:$G$1590,14),Lines!$G$3:$G$1590,0)),""))</f>
        <v/>
      </c>
      <c r="I19" s="26"/>
      <c r="J19" s="22" t="str">
        <f aca="false">IFERROR(IF(MOD(SMALL(Lines!$G$3:$G$1590,14),100000)=0,-1,MOD(SMALL(Lines!$G$3:$G$1590,14),100)),"")</f>
        <v/>
      </c>
      <c r="K19" s="22" t="str">
        <f aca="false">IF($J19=0,INDEX(Lines!$L$3:$L$1590,MATCH(SMALL(Lines!$G$3:$G$1590,14),Lines!$G$3:$G$1590,0)),"")</f>
        <v/>
      </c>
    </row>
    <row r="20" customFormat="false" ht="15" hidden="false" customHeight="false" outlineLevel="0" collapsed="false">
      <c r="A20" s="24" t="str">
        <f aca="false">IF(OR($J20=0,AND(ISNUMBER($J20),$J20&gt;0,$J20&lt;99)),INDEX(Lines!$A$3:$A$1590,MATCH(SMALL(Lines!$G$3:$G$1590,15),Lines!$G$3:$G$1590,0)),"")</f>
        <v/>
      </c>
      <c r="B20" s="24" t="str">
        <f aca="false">IF($J20=-1,INDEX(Lines!$J$3:$J$1590,MATCH(SMALL(Lines!$G$3:$G$1590,15),Lines!$G$3:$G$1590,0)),IF($J20=0,INDEX(Lines!$L$3:$L$1590,MATCH(SMALL(Lines!$G$3:$G$1590,15),Lines!$G$3:$G$1590,0)),IF(AND(ISNUMBER($J20),$J20&gt;0,$J20&lt;99),INDEX(Lines!$N$3:$N$1590,MATCH(SMALL(Lines!$G$3:$G$1590,15),Lines!$G$3:$G$1590,0)),"")))</f>
        <v/>
      </c>
      <c r="C20" s="25" t="str">
        <f aca="false">IF($J20=0,INDEX(Lines!$K$3:$K$1590,MATCH(SMALL(Lines!$G$3:$G$1590,15),Lines!$G$3:$G$1590,0)),IF(AND(ISNUMBER($J20),$J20&gt;0,$J20&lt;99),INDEX(Lines!$C$3:$C$1590,MATCH(SMALL(Lines!$G$3:$G$1590,15),Lines!$G$3:$G$1590,0)),""))</f>
        <v/>
      </c>
      <c r="D20" s="26" t="str">
        <f aca="false">IF(AND(ISNUMBER($J20),$J20&gt;0,$J20&lt;99),INDEX(Lines!$D$3:$D$1590,MATCH(SMALL(Lines!$G$3:$G$1590,15),Lines!$G$3:$G$1590,0)),"")</f>
        <v/>
      </c>
      <c r="E20" s="26" t="str">
        <f aca="false">IF(AND(ISNUMBER($J20),$J20&gt;0,$J20&lt;99),INDEX(Lines!$E$3:$E$1590,MATCH(SMALL(Lines!$G$3:$G$1590,15),Lines!$G$3:$G$1590,0)),"")</f>
        <v/>
      </c>
      <c r="F20" s="26" t="str">
        <f aca="false">IF(AND(ISNUMBER($J20),$J20&gt;0,$J20&lt;99),INDEX(Lines!$O$3:$O$1590,MATCH(SMALL(Lines!$G$3:$G$1590,15),Lines!$G$3:$G$1590,0)),"")</f>
        <v/>
      </c>
      <c r="G20" s="27" t="str">
        <f aca="false">IF($J20=0,INDEX(Lines!$Q$3:$Q$1590,MATCH(SMALL(Lines!$G$3:$G$1590,15),Lines!$G$3:$G$1590,0)),IF(AND(ISNUMBER($J20),$J20&gt;0,$J20&lt;99),INDEX(Lines!$P$3:$P$1590,MATCH(SMALL(Lines!$G$3:$G$1590,15),Lines!$G$3:$G$1590,0)),""))</f>
        <v/>
      </c>
      <c r="H20" s="28" t="str">
        <f aca="false">IF($J20=0,INDEX(Lines!$H$3:$H$1590,MATCH(SMALL(Lines!$G$3:$G$1590,15),Lines!$G$3:$G$1590,0))&amp;" groups",IF(AND(ISNUMBER($J20),$J20&gt;0,$J20&lt;99),INDEX(Lines!$I$3:$I$1590,MATCH(SMALL(Lines!$G$3:$G$1590,15),Lines!$G$3:$G$1590,0)),""))</f>
        <v/>
      </c>
      <c r="I20" s="26"/>
      <c r="J20" s="22" t="str">
        <f aca="false">IFERROR(IF(MOD(SMALL(Lines!$G$3:$G$1590,15),100000)=0,-1,MOD(SMALL(Lines!$G$3:$G$1590,15),100)),"")</f>
        <v/>
      </c>
      <c r="K20" s="22" t="str">
        <f aca="false">IF($J20=0,INDEX(Lines!$L$3:$L$1590,MATCH(SMALL(Lines!$G$3:$G$1590,15),Lines!$G$3:$G$1590,0)),"")</f>
        <v/>
      </c>
    </row>
    <row r="21" customFormat="false" ht="15" hidden="false" customHeight="false" outlineLevel="0" collapsed="false">
      <c r="A21" s="24" t="str">
        <f aca="false">IF(OR($J21=0,AND(ISNUMBER($J21),$J21&gt;0,$J21&lt;99)),INDEX(Lines!$A$3:$A$1590,MATCH(SMALL(Lines!$G$3:$G$1590,16),Lines!$G$3:$G$1590,0)),"")</f>
        <v/>
      </c>
      <c r="B21" s="24" t="str">
        <f aca="false">IF($J21=-1,INDEX(Lines!$J$3:$J$1590,MATCH(SMALL(Lines!$G$3:$G$1590,16),Lines!$G$3:$G$1590,0)),IF($J21=0,INDEX(Lines!$L$3:$L$1590,MATCH(SMALL(Lines!$G$3:$G$1590,16),Lines!$G$3:$G$1590,0)),IF(AND(ISNUMBER($J21),$J21&gt;0,$J21&lt;99),INDEX(Lines!$N$3:$N$1590,MATCH(SMALL(Lines!$G$3:$G$1590,16),Lines!$G$3:$G$1590,0)),"")))</f>
        <v/>
      </c>
      <c r="C21" s="25" t="str">
        <f aca="false">IF($J21=0,INDEX(Lines!$K$3:$K$1590,MATCH(SMALL(Lines!$G$3:$G$1590,16),Lines!$G$3:$G$1590,0)),IF(AND(ISNUMBER($J21),$J21&gt;0,$J21&lt;99),INDEX(Lines!$C$3:$C$1590,MATCH(SMALL(Lines!$G$3:$G$1590,16),Lines!$G$3:$G$1590,0)),""))</f>
        <v/>
      </c>
      <c r="D21" s="26" t="str">
        <f aca="false">IF(AND(ISNUMBER($J21),$J21&gt;0,$J21&lt;99),INDEX(Lines!$D$3:$D$1590,MATCH(SMALL(Lines!$G$3:$G$1590,16),Lines!$G$3:$G$1590,0)),"")</f>
        <v/>
      </c>
      <c r="E21" s="26" t="str">
        <f aca="false">IF(AND(ISNUMBER($J21),$J21&gt;0,$J21&lt;99),INDEX(Lines!$E$3:$E$1590,MATCH(SMALL(Lines!$G$3:$G$1590,16),Lines!$G$3:$G$1590,0)),"")</f>
        <v/>
      </c>
      <c r="F21" s="26" t="str">
        <f aca="false">IF(AND(ISNUMBER($J21),$J21&gt;0,$J21&lt;99),INDEX(Lines!$O$3:$O$1590,MATCH(SMALL(Lines!$G$3:$G$1590,16),Lines!$G$3:$G$1590,0)),"")</f>
        <v/>
      </c>
      <c r="G21" s="27" t="str">
        <f aca="false">IF($J21=0,INDEX(Lines!$Q$3:$Q$1590,MATCH(SMALL(Lines!$G$3:$G$1590,16),Lines!$G$3:$G$1590,0)),IF(AND(ISNUMBER($J21),$J21&gt;0,$J21&lt;99),INDEX(Lines!$P$3:$P$1590,MATCH(SMALL(Lines!$G$3:$G$1590,16),Lines!$G$3:$G$1590,0)),""))</f>
        <v/>
      </c>
      <c r="H21" s="28" t="str">
        <f aca="false">IF($J21=0,INDEX(Lines!$H$3:$H$1590,MATCH(SMALL(Lines!$G$3:$G$1590,16),Lines!$G$3:$G$1590,0))&amp;" groups",IF(AND(ISNUMBER($J21),$J21&gt;0,$J21&lt;99),INDEX(Lines!$I$3:$I$1590,MATCH(SMALL(Lines!$G$3:$G$1590,16),Lines!$G$3:$G$1590,0)),""))</f>
        <v/>
      </c>
      <c r="I21" s="26"/>
      <c r="J21" s="22" t="str">
        <f aca="false">IFERROR(IF(MOD(SMALL(Lines!$G$3:$G$1590,16),100000)=0,-1,MOD(SMALL(Lines!$G$3:$G$1590,16),100)),"")</f>
        <v/>
      </c>
      <c r="K21" s="22" t="str">
        <f aca="false">IF($J21=0,INDEX(Lines!$L$3:$L$1590,MATCH(SMALL(Lines!$G$3:$G$1590,16),Lines!$G$3:$G$1590,0)),"")</f>
        <v/>
      </c>
    </row>
    <row r="22" customFormat="false" ht="15" hidden="false" customHeight="false" outlineLevel="0" collapsed="false">
      <c r="A22" s="24" t="str">
        <f aca="false">IF(OR($J22=0,AND(ISNUMBER($J22),$J22&gt;0,$J22&lt;99)),INDEX(Lines!$A$3:$A$1590,MATCH(SMALL(Lines!$G$3:$G$1590,17),Lines!$G$3:$G$1590,0)),"")</f>
        <v/>
      </c>
      <c r="B22" s="24" t="str">
        <f aca="false">IF($J22=-1,INDEX(Lines!$J$3:$J$1590,MATCH(SMALL(Lines!$G$3:$G$1590,17),Lines!$G$3:$G$1590,0)),IF($J22=0,INDEX(Lines!$L$3:$L$1590,MATCH(SMALL(Lines!$G$3:$G$1590,17),Lines!$G$3:$G$1590,0)),IF(AND(ISNUMBER($J22),$J22&gt;0,$J22&lt;99),INDEX(Lines!$N$3:$N$1590,MATCH(SMALL(Lines!$G$3:$G$1590,17),Lines!$G$3:$G$1590,0)),"")))</f>
        <v/>
      </c>
      <c r="C22" s="25" t="str">
        <f aca="false">IF($J22=0,INDEX(Lines!$K$3:$K$1590,MATCH(SMALL(Lines!$G$3:$G$1590,17),Lines!$G$3:$G$1590,0)),IF(AND(ISNUMBER($J22),$J22&gt;0,$J22&lt;99),INDEX(Lines!$C$3:$C$1590,MATCH(SMALL(Lines!$G$3:$G$1590,17),Lines!$G$3:$G$1590,0)),""))</f>
        <v/>
      </c>
      <c r="D22" s="26" t="str">
        <f aca="false">IF(AND(ISNUMBER($J22),$J22&gt;0,$J22&lt;99),INDEX(Lines!$D$3:$D$1590,MATCH(SMALL(Lines!$G$3:$G$1590,17),Lines!$G$3:$G$1590,0)),"")</f>
        <v/>
      </c>
      <c r="E22" s="26" t="str">
        <f aca="false">IF(AND(ISNUMBER($J22),$J22&gt;0,$J22&lt;99),INDEX(Lines!$E$3:$E$1590,MATCH(SMALL(Lines!$G$3:$G$1590,17),Lines!$G$3:$G$1590,0)),"")</f>
        <v/>
      </c>
      <c r="F22" s="26" t="str">
        <f aca="false">IF(AND(ISNUMBER($J22),$J22&gt;0,$J22&lt;99),INDEX(Lines!$O$3:$O$1590,MATCH(SMALL(Lines!$G$3:$G$1590,17),Lines!$G$3:$G$1590,0)),"")</f>
        <v/>
      </c>
      <c r="G22" s="27" t="str">
        <f aca="false">IF($J22=0,INDEX(Lines!$Q$3:$Q$1590,MATCH(SMALL(Lines!$G$3:$G$1590,17),Lines!$G$3:$G$1590,0)),IF(AND(ISNUMBER($J22),$J22&gt;0,$J22&lt;99),INDEX(Lines!$P$3:$P$1590,MATCH(SMALL(Lines!$G$3:$G$1590,17),Lines!$G$3:$G$1590,0)),""))</f>
        <v/>
      </c>
      <c r="H22" s="28" t="str">
        <f aca="false">IF($J22=0,INDEX(Lines!$H$3:$H$1590,MATCH(SMALL(Lines!$G$3:$G$1590,17),Lines!$G$3:$G$1590,0))&amp;" groups",IF(AND(ISNUMBER($J22),$J22&gt;0,$J22&lt;99),INDEX(Lines!$I$3:$I$1590,MATCH(SMALL(Lines!$G$3:$G$1590,17),Lines!$G$3:$G$1590,0)),""))</f>
        <v/>
      </c>
      <c r="I22" s="26"/>
      <c r="J22" s="22" t="str">
        <f aca="false">IFERROR(IF(MOD(SMALL(Lines!$G$3:$G$1590,17),100000)=0,-1,MOD(SMALL(Lines!$G$3:$G$1590,17),100)),"")</f>
        <v/>
      </c>
      <c r="K22" s="22" t="str">
        <f aca="false">IF($J22=0,INDEX(Lines!$L$3:$L$1590,MATCH(SMALL(Lines!$G$3:$G$1590,17),Lines!$G$3:$G$1590,0)),"")</f>
        <v/>
      </c>
    </row>
    <row r="23" customFormat="false" ht="15" hidden="false" customHeight="false" outlineLevel="0" collapsed="false">
      <c r="A23" s="24" t="str">
        <f aca="false">IF(OR($J23=0,AND(ISNUMBER($J23),$J23&gt;0,$J23&lt;99)),INDEX(Lines!$A$3:$A$1590,MATCH(SMALL(Lines!$G$3:$G$1590,18),Lines!$G$3:$G$1590,0)),"")</f>
        <v/>
      </c>
      <c r="B23" s="24" t="str">
        <f aca="false">IF($J23=-1,INDEX(Lines!$J$3:$J$1590,MATCH(SMALL(Lines!$G$3:$G$1590,18),Lines!$G$3:$G$1590,0)),IF($J23=0,INDEX(Lines!$L$3:$L$1590,MATCH(SMALL(Lines!$G$3:$G$1590,18),Lines!$G$3:$G$1590,0)),IF(AND(ISNUMBER($J23),$J23&gt;0,$J23&lt;99),INDEX(Lines!$N$3:$N$1590,MATCH(SMALL(Lines!$G$3:$G$1590,18),Lines!$G$3:$G$1590,0)),"")))</f>
        <v/>
      </c>
      <c r="C23" s="25" t="str">
        <f aca="false">IF($J23=0,INDEX(Lines!$K$3:$K$1590,MATCH(SMALL(Lines!$G$3:$G$1590,18),Lines!$G$3:$G$1590,0)),IF(AND(ISNUMBER($J23),$J23&gt;0,$J23&lt;99),INDEX(Lines!$C$3:$C$1590,MATCH(SMALL(Lines!$G$3:$G$1590,18),Lines!$G$3:$G$1590,0)),""))</f>
        <v/>
      </c>
      <c r="D23" s="26" t="str">
        <f aca="false">IF(AND(ISNUMBER($J23),$J23&gt;0,$J23&lt;99),INDEX(Lines!$D$3:$D$1590,MATCH(SMALL(Lines!$G$3:$G$1590,18),Lines!$G$3:$G$1590,0)),"")</f>
        <v/>
      </c>
      <c r="E23" s="26" t="str">
        <f aca="false">IF(AND(ISNUMBER($J23),$J23&gt;0,$J23&lt;99),INDEX(Lines!$E$3:$E$1590,MATCH(SMALL(Lines!$G$3:$G$1590,18),Lines!$G$3:$G$1590,0)),"")</f>
        <v/>
      </c>
      <c r="F23" s="26" t="str">
        <f aca="false">IF(AND(ISNUMBER($J23),$J23&gt;0,$J23&lt;99),INDEX(Lines!$O$3:$O$1590,MATCH(SMALL(Lines!$G$3:$G$1590,18),Lines!$G$3:$G$1590,0)),"")</f>
        <v/>
      </c>
      <c r="G23" s="27" t="str">
        <f aca="false">IF($J23=0,INDEX(Lines!$Q$3:$Q$1590,MATCH(SMALL(Lines!$G$3:$G$1590,18),Lines!$G$3:$G$1590,0)),IF(AND(ISNUMBER($J23),$J23&gt;0,$J23&lt;99),INDEX(Lines!$P$3:$P$1590,MATCH(SMALL(Lines!$G$3:$G$1590,18),Lines!$G$3:$G$1590,0)),""))</f>
        <v/>
      </c>
      <c r="H23" s="28" t="str">
        <f aca="false">IF($J23=0,INDEX(Lines!$H$3:$H$1590,MATCH(SMALL(Lines!$G$3:$G$1590,18),Lines!$G$3:$G$1590,0))&amp;" groups",IF(AND(ISNUMBER($J23),$J23&gt;0,$J23&lt;99),INDEX(Lines!$I$3:$I$1590,MATCH(SMALL(Lines!$G$3:$G$1590,18),Lines!$G$3:$G$1590,0)),""))</f>
        <v/>
      </c>
      <c r="I23" s="26"/>
      <c r="J23" s="22" t="str">
        <f aca="false">IFERROR(IF(MOD(SMALL(Lines!$G$3:$G$1590,18),100000)=0,-1,MOD(SMALL(Lines!$G$3:$G$1590,18),100)),"")</f>
        <v/>
      </c>
      <c r="K23" s="22" t="str">
        <f aca="false">IF($J23=0,INDEX(Lines!$L$3:$L$1590,MATCH(SMALL(Lines!$G$3:$G$1590,18),Lines!$G$3:$G$1590,0)),"")</f>
        <v/>
      </c>
    </row>
    <row r="24" customFormat="false" ht="15" hidden="false" customHeight="false" outlineLevel="0" collapsed="false">
      <c r="A24" s="24" t="str">
        <f aca="false">IF(OR($J24=0,AND(ISNUMBER($J24),$J24&gt;0,$J24&lt;99)),INDEX(Lines!$A$3:$A$1590,MATCH(SMALL(Lines!$G$3:$G$1590,19),Lines!$G$3:$G$1590,0)),"")</f>
        <v/>
      </c>
      <c r="B24" s="24" t="str">
        <f aca="false">IF($J24=-1,INDEX(Lines!$J$3:$J$1590,MATCH(SMALL(Lines!$G$3:$G$1590,19),Lines!$G$3:$G$1590,0)),IF($J24=0,INDEX(Lines!$L$3:$L$1590,MATCH(SMALL(Lines!$G$3:$G$1590,19),Lines!$G$3:$G$1590,0)),IF(AND(ISNUMBER($J24),$J24&gt;0,$J24&lt;99),INDEX(Lines!$N$3:$N$1590,MATCH(SMALL(Lines!$G$3:$G$1590,19),Lines!$G$3:$G$1590,0)),"")))</f>
        <v/>
      </c>
      <c r="C24" s="25" t="str">
        <f aca="false">IF($J24=0,INDEX(Lines!$K$3:$K$1590,MATCH(SMALL(Lines!$G$3:$G$1590,19),Lines!$G$3:$G$1590,0)),IF(AND(ISNUMBER($J24),$J24&gt;0,$J24&lt;99),INDEX(Lines!$C$3:$C$1590,MATCH(SMALL(Lines!$G$3:$G$1590,19),Lines!$G$3:$G$1590,0)),""))</f>
        <v/>
      </c>
      <c r="D24" s="26" t="str">
        <f aca="false">IF(AND(ISNUMBER($J24),$J24&gt;0,$J24&lt;99),INDEX(Lines!$D$3:$D$1590,MATCH(SMALL(Lines!$G$3:$G$1590,19),Lines!$G$3:$G$1590,0)),"")</f>
        <v/>
      </c>
      <c r="E24" s="26" t="str">
        <f aca="false">IF(AND(ISNUMBER($J24),$J24&gt;0,$J24&lt;99),INDEX(Lines!$E$3:$E$1590,MATCH(SMALL(Lines!$G$3:$G$1590,19),Lines!$G$3:$G$1590,0)),"")</f>
        <v/>
      </c>
      <c r="F24" s="26" t="str">
        <f aca="false">IF(AND(ISNUMBER($J24),$J24&gt;0,$J24&lt;99),INDEX(Lines!$O$3:$O$1590,MATCH(SMALL(Lines!$G$3:$G$1590,19),Lines!$G$3:$G$1590,0)),"")</f>
        <v/>
      </c>
      <c r="G24" s="27" t="str">
        <f aca="false">IF($J24=0,INDEX(Lines!$Q$3:$Q$1590,MATCH(SMALL(Lines!$G$3:$G$1590,19),Lines!$G$3:$G$1590,0)),IF(AND(ISNUMBER($J24),$J24&gt;0,$J24&lt;99),INDEX(Lines!$P$3:$P$1590,MATCH(SMALL(Lines!$G$3:$G$1590,19),Lines!$G$3:$G$1590,0)),""))</f>
        <v/>
      </c>
      <c r="H24" s="28" t="str">
        <f aca="false">IF($J24=0,INDEX(Lines!$H$3:$H$1590,MATCH(SMALL(Lines!$G$3:$G$1590,19),Lines!$G$3:$G$1590,0))&amp;" groups",IF(AND(ISNUMBER($J24),$J24&gt;0,$J24&lt;99),INDEX(Lines!$I$3:$I$1590,MATCH(SMALL(Lines!$G$3:$G$1590,19),Lines!$G$3:$G$1590,0)),""))</f>
        <v/>
      </c>
      <c r="I24" s="26"/>
      <c r="J24" s="22" t="str">
        <f aca="false">IFERROR(IF(MOD(SMALL(Lines!$G$3:$G$1590,19),100000)=0,-1,MOD(SMALL(Lines!$G$3:$G$1590,19),100)),"")</f>
        <v/>
      </c>
      <c r="K24" s="22" t="str">
        <f aca="false">IF($J24=0,INDEX(Lines!$L$3:$L$1590,MATCH(SMALL(Lines!$G$3:$G$1590,19),Lines!$G$3:$G$1590,0)),"")</f>
        <v/>
      </c>
    </row>
    <row r="25" customFormat="false" ht="15" hidden="false" customHeight="false" outlineLevel="0" collapsed="false">
      <c r="A25" s="24" t="str">
        <f aca="false">IF(OR($J25=0,AND(ISNUMBER($J25),$J25&gt;0,$J25&lt;99)),INDEX(Lines!$A$3:$A$1590,MATCH(SMALL(Lines!$G$3:$G$1590,20),Lines!$G$3:$G$1590,0)),"")</f>
        <v/>
      </c>
      <c r="B25" s="24" t="str">
        <f aca="false">IF($J25=-1,INDEX(Lines!$J$3:$J$1590,MATCH(SMALL(Lines!$G$3:$G$1590,20),Lines!$G$3:$G$1590,0)),IF($J25=0,INDEX(Lines!$L$3:$L$1590,MATCH(SMALL(Lines!$G$3:$G$1590,20),Lines!$G$3:$G$1590,0)),IF(AND(ISNUMBER($J25),$J25&gt;0,$J25&lt;99),INDEX(Lines!$N$3:$N$1590,MATCH(SMALL(Lines!$G$3:$G$1590,20),Lines!$G$3:$G$1590,0)),"")))</f>
        <v/>
      </c>
      <c r="C25" s="25" t="str">
        <f aca="false">IF($J25=0,INDEX(Lines!$K$3:$K$1590,MATCH(SMALL(Lines!$G$3:$G$1590,20),Lines!$G$3:$G$1590,0)),IF(AND(ISNUMBER($J25),$J25&gt;0,$J25&lt;99),INDEX(Lines!$C$3:$C$1590,MATCH(SMALL(Lines!$G$3:$G$1590,20),Lines!$G$3:$G$1590,0)),""))</f>
        <v/>
      </c>
      <c r="D25" s="26" t="str">
        <f aca="false">IF(AND(ISNUMBER($J25),$J25&gt;0,$J25&lt;99),INDEX(Lines!$D$3:$D$1590,MATCH(SMALL(Lines!$G$3:$G$1590,20),Lines!$G$3:$G$1590,0)),"")</f>
        <v/>
      </c>
      <c r="E25" s="26" t="str">
        <f aca="false">IF(AND(ISNUMBER($J25),$J25&gt;0,$J25&lt;99),INDEX(Lines!$E$3:$E$1590,MATCH(SMALL(Lines!$G$3:$G$1590,20),Lines!$G$3:$G$1590,0)),"")</f>
        <v/>
      </c>
      <c r="F25" s="26" t="str">
        <f aca="false">IF(AND(ISNUMBER($J25),$J25&gt;0,$J25&lt;99),INDEX(Lines!$O$3:$O$1590,MATCH(SMALL(Lines!$G$3:$G$1590,20),Lines!$G$3:$G$1590,0)),"")</f>
        <v/>
      </c>
      <c r="G25" s="27" t="str">
        <f aca="false">IF($J25=0,INDEX(Lines!$Q$3:$Q$1590,MATCH(SMALL(Lines!$G$3:$G$1590,20),Lines!$G$3:$G$1590,0)),IF(AND(ISNUMBER($J25),$J25&gt;0,$J25&lt;99),INDEX(Lines!$P$3:$P$1590,MATCH(SMALL(Lines!$G$3:$G$1590,20),Lines!$G$3:$G$1590,0)),""))</f>
        <v/>
      </c>
      <c r="H25" s="28" t="str">
        <f aca="false">IF($J25=0,INDEX(Lines!$H$3:$H$1590,MATCH(SMALL(Lines!$G$3:$G$1590,20),Lines!$G$3:$G$1590,0))&amp;" groups",IF(AND(ISNUMBER($J25),$J25&gt;0,$J25&lt;99),INDEX(Lines!$I$3:$I$1590,MATCH(SMALL(Lines!$G$3:$G$1590,20),Lines!$G$3:$G$1590,0)),""))</f>
        <v/>
      </c>
      <c r="I25" s="26"/>
      <c r="J25" s="22" t="str">
        <f aca="false">IFERROR(IF(MOD(SMALL(Lines!$G$3:$G$1590,20),100000)=0,-1,MOD(SMALL(Lines!$G$3:$G$1590,20),100)),"")</f>
        <v/>
      </c>
      <c r="K25" s="22" t="str">
        <f aca="false">IF($J25=0,INDEX(Lines!$L$3:$L$1590,MATCH(SMALL(Lines!$G$3:$G$1590,20),Lines!$G$3:$G$1590,0)),"")</f>
        <v/>
      </c>
    </row>
    <row r="26" customFormat="false" ht="15" hidden="false" customHeight="false" outlineLevel="0" collapsed="false">
      <c r="A26" s="24" t="str">
        <f aca="false">IF(OR($J26=0,AND(ISNUMBER($J26),$J26&gt;0,$J26&lt;99)),INDEX(Lines!$A$3:$A$1590,MATCH(SMALL(Lines!$G$3:$G$1590,21),Lines!$G$3:$G$1590,0)),"")</f>
        <v/>
      </c>
      <c r="B26" s="24" t="str">
        <f aca="false">IF($J26=-1,INDEX(Lines!$J$3:$J$1590,MATCH(SMALL(Lines!$G$3:$G$1590,21),Lines!$G$3:$G$1590,0)),IF($J26=0,INDEX(Lines!$L$3:$L$1590,MATCH(SMALL(Lines!$G$3:$G$1590,21),Lines!$G$3:$G$1590,0)),IF(AND(ISNUMBER($J26),$J26&gt;0,$J26&lt;99),INDEX(Lines!$N$3:$N$1590,MATCH(SMALL(Lines!$G$3:$G$1590,21),Lines!$G$3:$G$1590,0)),"")))</f>
        <v/>
      </c>
      <c r="C26" s="25" t="str">
        <f aca="false">IF($J26=0,INDEX(Lines!$K$3:$K$1590,MATCH(SMALL(Lines!$G$3:$G$1590,21),Lines!$G$3:$G$1590,0)),IF(AND(ISNUMBER($J26),$J26&gt;0,$J26&lt;99),INDEX(Lines!$C$3:$C$1590,MATCH(SMALL(Lines!$G$3:$G$1590,21),Lines!$G$3:$G$1590,0)),""))</f>
        <v/>
      </c>
      <c r="D26" s="26" t="str">
        <f aca="false">IF(AND(ISNUMBER($J26),$J26&gt;0,$J26&lt;99),INDEX(Lines!$D$3:$D$1590,MATCH(SMALL(Lines!$G$3:$G$1590,21),Lines!$G$3:$G$1590,0)),"")</f>
        <v/>
      </c>
      <c r="E26" s="26" t="str">
        <f aca="false">IF(AND(ISNUMBER($J26),$J26&gt;0,$J26&lt;99),INDEX(Lines!$E$3:$E$1590,MATCH(SMALL(Lines!$G$3:$G$1590,21),Lines!$G$3:$G$1590,0)),"")</f>
        <v/>
      </c>
      <c r="F26" s="26" t="str">
        <f aca="false">IF(AND(ISNUMBER($J26),$J26&gt;0,$J26&lt;99),INDEX(Lines!$O$3:$O$1590,MATCH(SMALL(Lines!$G$3:$G$1590,21),Lines!$G$3:$G$1590,0)),"")</f>
        <v/>
      </c>
      <c r="G26" s="27" t="str">
        <f aca="false">IF($J26=0,INDEX(Lines!$Q$3:$Q$1590,MATCH(SMALL(Lines!$G$3:$G$1590,21),Lines!$G$3:$G$1590,0)),IF(AND(ISNUMBER($J26),$J26&gt;0,$J26&lt;99),INDEX(Lines!$P$3:$P$1590,MATCH(SMALL(Lines!$G$3:$G$1590,21),Lines!$G$3:$G$1590,0)),""))</f>
        <v/>
      </c>
      <c r="H26" s="28" t="str">
        <f aca="false">IF($J26=0,INDEX(Lines!$H$3:$H$1590,MATCH(SMALL(Lines!$G$3:$G$1590,21),Lines!$G$3:$G$1590,0))&amp;" groups",IF(AND(ISNUMBER($J26),$J26&gt;0,$J26&lt;99),INDEX(Lines!$I$3:$I$1590,MATCH(SMALL(Lines!$G$3:$G$1590,21),Lines!$G$3:$G$1590,0)),""))</f>
        <v/>
      </c>
      <c r="I26" s="26"/>
      <c r="J26" s="22" t="str">
        <f aca="false">IFERROR(IF(MOD(SMALL(Lines!$G$3:$G$1590,21),100000)=0,-1,MOD(SMALL(Lines!$G$3:$G$1590,21),100)),"")</f>
        <v/>
      </c>
      <c r="K26" s="22" t="str">
        <f aca="false">IF($J26=0,INDEX(Lines!$L$3:$L$1590,MATCH(SMALL(Lines!$G$3:$G$1590,21),Lines!$G$3:$G$1590,0)),"")</f>
        <v/>
      </c>
    </row>
    <row r="27" customFormat="false" ht="15" hidden="false" customHeight="false" outlineLevel="0" collapsed="false">
      <c r="A27" s="24" t="str">
        <f aca="false">IF(OR($J27=0,AND(ISNUMBER($J27),$J27&gt;0,$J27&lt;99)),INDEX(Lines!$A$3:$A$1590,MATCH(SMALL(Lines!$G$3:$G$1590,22),Lines!$G$3:$G$1590,0)),"")</f>
        <v/>
      </c>
      <c r="B27" s="24" t="str">
        <f aca="false">IF($J27=-1,INDEX(Lines!$J$3:$J$1590,MATCH(SMALL(Lines!$G$3:$G$1590,22),Lines!$G$3:$G$1590,0)),IF($J27=0,INDEX(Lines!$L$3:$L$1590,MATCH(SMALL(Lines!$G$3:$G$1590,22),Lines!$G$3:$G$1590,0)),IF(AND(ISNUMBER($J27),$J27&gt;0,$J27&lt;99),INDEX(Lines!$N$3:$N$1590,MATCH(SMALL(Lines!$G$3:$G$1590,22),Lines!$G$3:$G$1590,0)),"")))</f>
        <v/>
      </c>
      <c r="C27" s="25" t="str">
        <f aca="false">IF($J27=0,INDEX(Lines!$K$3:$K$1590,MATCH(SMALL(Lines!$G$3:$G$1590,22),Lines!$G$3:$G$1590,0)),IF(AND(ISNUMBER($J27),$J27&gt;0,$J27&lt;99),INDEX(Lines!$C$3:$C$1590,MATCH(SMALL(Lines!$G$3:$G$1590,22),Lines!$G$3:$G$1590,0)),""))</f>
        <v/>
      </c>
      <c r="D27" s="26" t="str">
        <f aca="false">IF(AND(ISNUMBER($J27),$J27&gt;0,$J27&lt;99),INDEX(Lines!$D$3:$D$1590,MATCH(SMALL(Lines!$G$3:$G$1590,22),Lines!$G$3:$G$1590,0)),"")</f>
        <v/>
      </c>
      <c r="E27" s="26" t="str">
        <f aca="false">IF(AND(ISNUMBER($J27),$J27&gt;0,$J27&lt;99),INDEX(Lines!$E$3:$E$1590,MATCH(SMALL(Lines!$G$3:$G$1590,22),Lines!$G$3:$G$1590,0)),"")</f>
        <v/>
      </c>
      <c r="F27" s="26" t="str">
        <f aca="false">IF(AND(ISNUMBER($J27),$J27&gt;0,$J27&lt;99),INDEX(Lines!$O$3:$O$1590,MATCH(SMALL(Lines!$G$3:$G$1590,22),Lines!$G$3:$G$1590,0)),"")</f>
        <v/>
      </c>
      <c r="G27" s="27" t="str">
        <f aca="false">IF($J27=0,INDEX(Lines!$Q$3:$Q$1590,MATCH(SMALL(Lines!$G$3:$G$1590,22),Lines!$G$3:$G$1590,0)),IF(AND(ISNUMBER($J27),$J27&gt;0,$J27&lt;99),INDEX(Lines!$P$3:$P$1590,MATCH(SMALL(Lines!$G$3:$G$1590,22),Lines!$G$3:$G$1590,0)),""))</f>
        <v/>
      </c>
      <c r="H27" s="28" t="str">
        <f aca="false">IF($J27=0,INDEX(Lines!$H$3:$H$1590,MATCH(SMALL(Lines!$G$3:$G$1590,22),Lines!$G$3:$G$1590,0))&amp;" groups",IF(AND(ISNUMBER($J27),$J27&gt;0,$J27&lt;99),INDEX(Lines!$I$3:$I$1590,MATCH(SMALL(Lines!$G$3:$G$1590,22),Lines!$G$3:$G$1590,0)),""))</f>
        <v/>
      </c>
      <c r="I27" s="26"/>
      <c r="J27" s="22" t="str">
        <f aca="false">IFERROR(IF(MOD(SMALL(Lines!$G$3:$G$1590,22),100000)=0,-1,MOD(SMALL(Lines!$G$3:$G$1590,22),100)),"")</f>
        <v/>
      </c>
      <c r="K27" s="22" t="str">
        <f aca="false">IF($J27=0,INDEX(Lines!$L$3:$L$1590,MATCH(SMALL(Lines!$G$3:$G$1590,22),Lines!$G$3:$G$1590,0)),"")</f>
        <v/>
      </c>
    </row>
    <row r="28" customFormat="false" ht="15" hidden="false" customHeight="false" outlineLevel="0" collapsed="false">
      <c r="A28" s="24" t="str">
        <f aca="false">IF(OR($J28=0,AND(ISNUMBER($J28),$J28&gt;0,$J28&lt;99)),INDEX(Lines!$A$3:$A$1590,MATCH(SMALL(Lines!$G$3:$G$1590,23),Lines!$G$3:$G$1590,0)),"")</f>
        <v/>
      </c>
      <c r="B28" s="24" t="str">
        <f aca="false">IF($J28=-1,INDEX(Lines!$J$3:$J$1590,MATCH(SMALL(Lines!$G$3:$G$1590,23),Lines!$G$3:$G$1590,0)),IF($J28=0,INDEX(Lines!$L$3:$L$1590,MATCH(SMALL(Lines!$G$3:$G$1590,23),Lines!$G$3:$G$1590,0)),IF(AND(ISNUMBER($J28),$J28&gt;0,$J28&lt;99),INDEX(Lines!$N$3:$N$1590,MATCH(SMALL(Lines!$G$3:$G$1590,23),Lines!$G$3:$G$1590,0)),"")))</f>
        <v/>
      </c>
      <c r="C28" s="25" t="str">
        <f aca="false">IF($J28=0,INDEX(Lines!$K$3:$K$1590,MATCH(SMALL(Lines!$G$3:$G$1590,23),Lines!$G$3:$G$1590,0)),IF(AND(ISNUMBER($J28),$J28&gt;0,$J28&lt;99),INDEX(Lines!$C$3:$C$1590,MATCH(SMALL(Lines!$G$3:$G$1590,23),Lines!$G$3:$G$1590,0)),""))</f>
        <v/>
      </c>
      <c r="D28" s="26" t="str">
        <f aca="false">IF(AND(ISNUMBER($J28),$J28&gt;0,$J28&lt;99),INDEX(Lines!$D$3:$D$1590,MATCH(SMALL(Lines!$G$3:$G$1590,23),Lines!$G$3:$G$1590,0)),"")</f>
        <v/>
      </c>
      <c r="E28" s="26" t="str">
        <f aca="false">IF(AND(ISNUMBER($J28),$J28&gt;0,$J28&lt;99),INDEX(Lines!$E$3:$E$1590,MATCH(SMALL(Lines!$G$3:$G$1590,23),Lines!$G$3:$G$1590,0)),"")</f>
        <v/>
      </c>
      <c r="F28" s="26" t="str">
        <f aca="false">IF(AND(ISNUMBER($J28),$J28&gt;0,$J28&lt;99),INDEX(Lines!$O$3:$O$1590,MATCH(SMALL(Lines!$G$3:$G$1590,23),Lines!$G$3:$G$1590,0)),"")</f>
        <v/>
      </c>
      <c r="G28" s="27" t="str">
        <f aca="false">IF($J28=0,INDEX(Lines!$Q$3:$Q$1590,MATCH(SMALL(Lines!$G$3:$G$1590,23),Lines!$G$3:$G$1590,0)),IF(AND(ISNUMBER($J28),$J28&gt;0,$J28&lt;99),INDEX(Lines!$P$3:$P$1590,MATCH(SMALL(Lines!$G$3:$G$1590,23),Lines!$G$3:$G$1590,0)),""))</f>
        <v/>
      </c>
      <c r="H28" s="28" t="str">
        <f aca="false">IF($J28=0,INDEX(Lines!$H$3:$H$1590,MATCH(SMALL(Lines!$G$3:$G$1590,23),Lines!$G$3:$G$1590,0))&amp;" groups",IF(AND(ISNUMBER($J28),$J28&gt;0,$J28&lt;99),INDEX(Lines!$I$3:$I$1590,MATCH(SMALL(Lines!$G$3:$G$1590,23),Lines!$G$3:$G$1590,0)),""))</f>
        <v/>
      </c>
      <c r="I28" s="26"/>
      <c r="J28" s="22" t="str">
        <f aca="false">IFERROR(IF(MOD(SMALL(Lines!$G$3:$G$1590,23),100000)=0,-1,MOD(SMALL(Lines!$G$3:$G$1590,23),100)),"")</f>
        <v/>
      </c>
      <c r="K28" s="22" t="str">
        <f aca="false">IF($J28=0,INDEX(Lines!$L$3:$L$1590,MATCH(SMALL(Lines!$G$3:$G$1590,23),Lines!$G$3:$G$1590,0)),"")</f>
        <v/>
      </c>
    </row>
    <row r="29" customFormat="false" ht="15" hidden="false" customHeight="false" outlineLevel="0" collapsed="false">
      <c r="A29" s="24" t="str">
        <f aca="false">IF(OR($J29=0,AND(ISNUMBER($J29),$J29&gt;0,$J29&lt;99)),INDEX(Lines!$A$3:$A$1590,MATCH(SMALL(Lines!$G$3:$G$1590,24),Lines!$G$3:$G$1590,0)),"")</f>
        <v/>
      </c>
      <c r="B29" s="24" t="str">
        <f aca="false">IF($J29=-1,INDEX(Lines!$J$3:$J$1590,MATCH(SMALL(Lines!$G$3:$G$1590,24),Lines!$G$3:$G$1590,0)),IF($J29=0,INDEX(Lines!$L$3:$L$1590,MATCH(SMALL(Lines!$G$3:$G$1590,24),Lines!$G$3:$G$1590,0)),IF(AND(ISNUMBER($J29),$J29&gt;0,$J29&lt;99),INDEX(Lines!$N$3:$N$1590,MATCH(SMALL(Lines!$G$3:$G$1590,24),Lines!$G$3:$G$1590,0)),"")))</f>
        <v/>
      </c>
      <c r="C29" s="25" t="str">
        <f aca="false">IF($J29=0,INDEX(Lines!$K$3:$K$1590,MATCH(SMALL(Lines!$G$3:$G$1590,24),Lines!$G$3:$G$1590,0)),IF(AND(ISNUMBER($J29),$J29&gt;0,$J29&lt;99),INDEX(Lines!$C$3:$C$1590,MATCH(SMALL(Lines!$G$3:$G$1590,24),Lines!$G$3:$G$1590,0)),""))</f>
        <v/>
      </c>
      <c r="D29" s="26" t="str">
        <f aca="false">IF(AND(ISNUMBER($J29),$J29&gt;0,$J29&lt;99),INDEX(Lines!$D$3:$D$1590,MATCH(SMALL(Lines!$G$3:$G$1590,24),Lines!$G$3:$G$1590,0)),"")</f>
        <v/>
      </c>
      <c r="E29" s="26" t="str">
        <f aca="false">IF(AND(ISNUMBER($J29),$J29&gt;0,$J29&lt;99),INDEX(Lines!$E$3:$E$1590,MATCH(SMALL(Lines!$G$3:$G$1590,24),Lines!$G$3:$G$1590,0)),"")</f>
        <v/>
      </c>
      <c r="F29" s="26" t="str">
        <f aca="false">IF(AND(ISNUMBER($J29),$J29&gt;0,$J29&lt;99),INDEX(Lines!$O$3:$O$1590,MATCH(SMALL(Lines!$G$3:$G$1590,24),Lines!$G$3:$G$1590,0)),"")</f>
        <v/>
      </c>
      <c r="G29" s="27" t="str">
        <f aca="false">IF($J29=0,INDEX(Lines!$Q$3:$Q$1590,MATCH(SMALL(Lines!$G$3:$G$1590,24),Lines!$G$3:$G$1590,0)),IF(AND(ISNUMBER($J29),$J29&gt;0,$J29&lt;99),INDEX(Lines!$P$3:$P$1590,MATCH(SMALL(Lines!$G$3:$G$1590,24),Lines!$G$3:$G$1590,0)),""))</f>
        <v/>
      </c>
      <c r="H29" s="28" t="str">
        <f aca="false">IF($J29=0,INDEX(Lines!$H$3:$H$1590,MATCH(SMALL(Lines!$G$3:$G$1590,24),Lines!$G$3:$G$1590,0))&amp;" groups",IF(AND(ISNUMBER($J29),$J29&gt;0,$J29&lt;99),INDEX(Lines!$I$3:$I$1590,MATCH(SMALL(Lines!$G$3:$G$1590,24),Lines!$G$3:$G$1590,0)),""))</f>
        <v/>
      </c>
      <c r="I29" s="26"/>
      <c r="J29" s="22" t="str">
        <f aca="false">IFERROR(IF(MOD(SMALL(Lines!$G$3:$G$1590,24),100000)=0,-1,MOD(SMALL(Lines!$G$3:$G$1590,24),100)),"")</f>
        <v/>
      </c>
      <c r="K29" s="22" t="str">
        <f aca="false">IF($J29=0,INDEX(Lines!$L$3:$L$1590,MATCH(SMALL(Lines!$G$3:$G$1590,24),Lines!$G$3:$G$1590,0)),"")</f>
        <v/>
      </c>
    </row>
    <row r="30" customFormat="false" ht="15" hidden="false" customHeight="false" outlineLevel="0" collapsed="false">
      <c r="A30" s="24" t="str">
        <f aca="false">IF(OR($J30=0,AND(ISNUMBER($J30),$J30&gt;0,$J30&lt;99)),INDEX(Lines!$A$3:$A$1590,MATCH(SMALL(Lines!$G$3:$G$1590,25),Lines!$G$3:$G$1590,0)),"")</f>
        <v/>
      </c>
      <c r="B30" s="24" t="str">
        <f aca="false">IF($J30=-1,INDEX(Lines!$J$3:$J$1590,MATCH(SMALL(Lines!$G$3:$G$1590,25),Lines!$G$3:$G$1590,0)),IF($J30=0,INDEX(Lines!$L$3:$L$1590,MATCH(SMALL(Lines!$G$3:$G$1590,25),Lines!$G$3:$G$1590,0)),IF(AND(ISNUMBER($J30),$J30&gt;0,$J30&lt;99),INDEX(Lines!$N$3:$N$1590,MATCH(SMALL(Lines!$G$3:$G$1590,25),Lines!$G$3:$G$1590,0)),"")))</f>
        <v/>
      </c>
      <c r="C30" s="25" t="str">
        <f aca="false">IF($J30=0,INDEX(Lines!$K$3:$K$1590,MATCH(SMALL(Lines!$G$3:$G$1590,25),Lines!$G$3:$G$1590,0)),IF(AND(ISNUMBER($J30),$J30&gt;0,$J30&lt;99),INDEX(Lines!$C$3:$C$1590,MATCH(SMALL(Lines!$G$3:$G$1590,25),Lines!$G$3:$G$1590,0)),""))</f>
        <v/>
      </c>
      <c r="D30" s="26" t="str">
        <f aca="false">IF(AND(ISNUMBER($J30),$J30&gt;0,$J30&lt;99),INDEX(Lines!$D$3:$D$1590,MATCH(SMALL(Lines!$G$3:$G$1590,25),Lines!$G$3:$G$1590,0)),"")</f>
        <v/>
      </c>
      <c r="E30" s="26" t="str">
        <f aca="false">IF(AND(ISNUMBER($J30),$J30&gt;0,$J30&lt;99),INDEX(Lines!$E$3:$E$1590,MATCH(SMALL(Lines!$G$3:$G$1590,25),Lines!$G$3:$G$1590,0)),"")</f>
        <v/>
      </c>
      <c r="F30" s="26" t="str">
        <f aca="false">IF(AND(ISNUMBER($J30),$J30&gt;0,$J30&lt;99),INDEX(Lines!$O$3:$O$1590,MATCH(SMALL(Lines!$G$3:$G$1590,25),Lines!$G$3:$G$1590,0)),"")</f>
        <v/>
      </c>
      <c r="G30" s="27" t="str">
        <f aca="false">IF($J30=0,INDEX(Lines!$Q$3:$Q$1590,MATCH(SMALL(Lines!$G$3:$G$1590,25),Lines!$G$3:$G$1590,0)),IF(AND(ISNUMBER($J30),$J30&gt;0,$J30&lt;99),INDEX(Lines!$P$3:$P$1590,MATCH(SMALL(Lines!$G$3:$G$1590,25),Lines!$G$3:$G$1590,0)),""))</f>
        <v/>
      </c>
      <c r="H30" s="28" t="str">
        <f aca="false">IF($J30=0,INDEX(Lines!$H$3:$H$1590,MATCH(SMALL(Lines!$G$3:$G$1590,25),Lines!$G$3:$G$1590,0))&amp;" groups",IF(AND(ISNUMBER($J30),$J30&gt;0,$J30&lt;99),INDEX(Lines!$I$3:$I$1590,MATCH(SMALL(Lines!$G$3:$G$1590,25),Lines!$G$3:$G$1590,0)),""))</f>
        <v/>
      </c>
      <c r="I30" s="26"/>
      <c r="J30" s="22" t="str">
        <f aca="false">IFERROR(IF(MOD(SMALL(Lines!$G$3:$G$1590,25),100000)=0,-1,MOD(SMALL(Lines!$G$3:$G$1590,25),100)),"")</f>
        <v/>
      </c>
      <c r="K30" s="22" t="str">
        <f aca="false">IF($J30=0,INDEX(Lines!$L$3:$L$1590,MATCH(SMALL(Lines!$G$3:$G$1590,25),Lines!$G$3:$G$1590,0)),"")</f>
        <v/>
      </c>
    </row>
    <row r="31" customFormat="false" ht="15" hidden="false" customHeight="false" outlineLevel="0" collapsed="false">
      <c r="A31" s="24" t="str">
        <f aca="false">IF(OR($J31=0,AND(ISNUMBER($J31),$J31&gt;0,$J31&lt;99)),INDEX(Lines!$A$3:$A$1590,MATCH(SMALL(Lines!$G$3:$G$1590,26),Lines!$G$3:$G$1590,0)),"")</f>
        <v/>
      </c>
      <c r="B31" s="24" t="str">
        <f aca="false">IF($J31=-1,INDEX(Lines!$J$3:$J$1590,MATCH(SMALL(Lines!$G$3:$G$1590,26),Lines!$G$3:$G$1590,0)),IF($J31=0,INDEX(Lines!$L$3:$L$1590,MATCH(SMALL(Lines!$G$3:$G$1590,26),Lines!$G$3:$G$1590,0)),IF(AND(ISNUMBER($J31),$J31&gt;0,$J31&lt;99),INDEX(Lines!$N$3:$N$1590,MATCH(SMALL(Lines!$G$3:$G$1590,26),Lines!$G$3:$G$1590,0)),"")))</f>
        <v/>
      </c>
      <c r="C31" s="25" t="str">
        <f aca="false">IF($J31=0,INDEX(Lines!$K$3:$K$1590,MATCH(SMALL(Lines!$G$3:$G$1590,26),Lines!$G$3:$G$1590,0)),IF(AND(ISNUMBER($J31),$J31&gt;0,$J31&lt;99),INDEX(Lines!$C$3:$C$1590,MATCH(SMALL(Lines!$G$3:$G$1590,26),Lines!$G$3:$G$1590,0)),""))</f>
        <v/>
      </c>
      <c r="D31" s="26" t="str">
        <f aca="false">IF(AND(ISNUMBER($J31),$J31&gt;0,$J31&lt;99),INDEX(Lines!$D$3:$D$1590,MATCH(SMALL(Lines!$G$3:$G$1590,26),Lines!$G$3:$G$1590,0)),"")</f>
        <v/>
      </c>
      <c r="E31" s="26" t="str">
        <f aca="false">IF(AND(ISNUMBER($J31),$J31&gt;0,$J31&lt;99),INDEX(Lines!$E$3:$E$1590,MATCH(SMALL(Lines!$G$3:$G$1590,26),Lines!$G$3:$G$1590,0)),"")</f>
        <v/>
      </c>
      <c r="F31" s="26" t="str">
        <f aca="false">IF(AND(ISNUMBER($J31),$J31&gt;0,$J31&lt;99),INDEX(Lines!$O$3:$O$1590,MATCH(SMALL(Lines!$G$3:$G$1590,26),Lines!$G$3:$G$1590,0)),"")</f>
        <v/>
      </c>
      <c r="G31" s="27" t="str">
        <f aca="false">IF($J31=0,INDEX(Lines!$Q$3:$Q$1590,MATCH(SMALL(Lines!$G$3:$G$1590,26),Lines!$G$3:$G$1590,0)),IF(AND(ISNUMBER($J31),$J31&gt;0,$J31&lt;99),INDEX(Lines!$P$3:$P$1590,MATCH(SMALL(Lines!$G$3:$G$1590,26),Lines!$G$3:$G$1590,0)),""))</f>
        <v/>
      </c>
      <c r="H31" s="28" t="str">
        <f aca="false">IF($J31=0,INDEX(Lines!$H$3:$H$1590,MATCH(SMALL(Lines!$G$3:$G$1590,26),Lines!$G$3:$G$1590,0))&amp;" groups",IF(AND(ISNUMBER($J31),$J31&gt;0,$J31&lt;99),INDEX(Lines!$I$3:$I$1590,MATCH(SMALL(Lines!$G$3:$G$1590,26),Lines!$G$3:$G$1590,0)),""))</f>
        <v/>
      </c>
      <c r="I31" s="26"/>
      <c r="J31" s="22" t="str">
        <f aca="false">IFERROR(IF(MOD(SMALL(Lines!$G$3:$G$1590,26),100000)=0,-1,MOD(SMALL(Lines!$G$3:$G$1590,26),100)),"")</f>
        <v/>
      </c>
      <c r="K31" s="22" t="str">
        <f aca="false">IF($J31=0,INDEX(Lines!$L$3:$L$1590,MATCH(SMALL(Lines!$G$3:$G$1590,26),Lines!$G$3:$G$1590,0)),"")</f>
        <v/>
      </c>
    </row>
    <row r="32" customFormat="false" ht="15" hidden="false" customHeight="false" outlineLevel="0" collapsed="false">
      <c r="A32" s="24" t="str">
        <f aca="false">IF(OR($J32=0,AND(ISNUMBER($J32),$J32&gt;0,$J32&lt;99)),INDEX(Lines!$A$3:$A$1590,MATCH(SMALL(Lines!$G$3:$G$1590,27),Lines!$G$3:$G$1590,0)),"")</f>
        <v/>
      </c>
      <c r="B32" s="24" t="str">
        <f aca="false">IF($J32=-1,INDEX(Lines!$J$3:$J$1590,MATCH(SMALL(Lines!$G$3:$G$1590,27),Lines!$G$3:$G$1590,0)),IF($J32=0,INDEX(Lines!$L$3:$L$1590,MATCH(SMALL(Lines!$G$3:$G$1590,27),Lines!$G$3:$G$1590,0)),IF(AND(ISNUMBER($J32),$J32&gt;0,$J32&lt;99),INDEX(Lines!$N$3:$N$1590,MATCH(SMALL(Lines!$G$3:$G$1590,27),Lines!$G$3:$G$1590,0)),"")))</f>
        <v/>
      </c>
      <c r="C32" s="25" t="str">
        <f aca="false">IF($J32=0,INDEX(Lines!$K$3:$K$1590,MATCH(SMALL(Lines!$G$3:$G$1590,27),Lines!$G$3:$G$1590,0)),IF(AND(ISNUMBER($J32),$J32&gt;0,$J32&lt;99),INDEX(Lines!$C$3:$C$1590,MATCH(SMALL(Lines!$G$3:$G$1590,27),Lines!$G$3:$G$1590,0)),""))</f>
        <v/>
      </c>
      <c r="D32" s="26" t="str">
        <f aca="false">IF(AND(ISNUMBER($J32),$J32&gt;0,$J32&lt;99),INDEX(Lines!$D$3:$D$1590,MATCH(SMALL(Lines!$G$3:$G$1590,27),Lines!$G$3:$G$1590,0)),"")</f>
        <v/>
      </c>
      <c r="E32" s="26" t="str">
        <f aca="false">IF(AND(ISNUMBER($J32),$J32&gt;0,$J32&lt;99),INDEX(Lines!$E$3:$E$1590,MATCH(SMALL(Lines!$G$3:$G$1590,27),Lines!$G$3:$G$1590,0)),"")</f>
        <v/>
      </c>
      <c r="F32" s="26" t="str">
        <f aca="false">IF(AND(ISNUMBER($J32),$J32&gt;0,$J32&lt;99),INDEX(Lines!$O$3:$O$1590,MATCH(SMALL(Lines!$G$3:$G$1590,27),Lines!$G$3:$G$1590,0)),"")</f>
        <v/>
      </c>
      <c r="G32" s="27" t="str">
        <f aca="false">IF($J32=0,INDEX(Lines!$Q$3:$Q$1590,MATCH(SMALL(Lines!$G$3:$G$1590,27),Lines!$G$3:$G$1590,0)),IF(AND(ISNUMBER($J32),$J32&gt;0,$J32&lt;99),INDEX(Lines!$P$3:$P$1590,MATCH(SMALL(Lines!$G$3:$G$1590,27),Lines!$G$3:$G$1590,0)),""))</f>
        <v/>
      </c>
      <c r="H32" s="28" t="str">
        <f aca="false">IF($J32=0,INDEX(Lines!$H$3:$H$1590,MATCH(SMALL(Lines!$G$3:$G$1590,27),Lines!$G$3:$G$1590,0))&amp;" groups",IF(AND(ISNUMBER($J32),$J32&gt;0,$J32&lt;99),INDEX(Lines!$I$3:$I$1590,MATCH(SMALL(Lines!$G$3:$G$1590,27),Lines!$G$3:$G$1590,0)),""))</f>
        <v/>
      </c>
      <c r="I32" s="26"/>
      <c r="J32" s="22" t="str">
        <f aca="false">IFERROR(IF(MOD(SMALL(Lines!$G$3:$G$1590,27),100000)=0,-1,MOD(SMALL(Lines!$G$3:$G$1590,27),100)),"")</f>
        <v/>
      </c>
      <c r="K32" s="22" t="str">
        <f aca="false">IF($J32=0,INDEX(Lines!$L$3:$L$1590,MATCH(SMALL(Lines!$G$3:$G$1590,27),Lines!$G$3:$G$1590,0)),"")</f>
        <v/>
      </c>
    </row>
    <row r="33" customFormat="false" ht="15" hidden="false" customHeight="false" outlineLevel="0" collapsed="false">
      <c r="A33" s="24" t="str">
        <f aca="false">IF(OR($J33=0,AND(ISNUMBER($J33),$J33&gt;0,$J33&lt;99)),INDEX(Lines!$A$3:$A$1590,MATCH(SMALL(Lines!$G$3:$G$1590,28),Lines!$G$3:$G$1590,0)),"")</f>
        <v/>
      </c>
      <c r="B33" s="24" t="str">
        <f aca="false">IF($J33=-1,INDEX(Lines!$J$3:$J$1590,MATCH(SMALL(Lines!$G$3:$G$1590,28),Lines!$G$3:$G$1590,0)),IF($J33=0,INDEX(Lines!$L$3:$L$1590,MATCH(SMALL(Lines!$G$3:$G$1590,28),Lines!$G$3:$G$1590,0)),IF(AND(ISNUMBER($J33),$J33&gt;0,$J33&lt;99),INDEX(Lines!$N$3:$N$1590,MATCH(SMALL(Lines!$G$3:$G$1590,28),Lines!$G$3:$G$1590,0)),"")))</f>
        <v/>
      </c>
      <c r="C33" s="25" t="str">
        <f aca="false">IF($J33=0,INDEX(Lines!$K$3:$K$1590,MATCH(SMALL(Lines!$G$3:$G$1590,28),Lines!$G$3:$G$1590,0)),IF(AND(ISNUMBER($J33),$J33&gt;0,$J33&lt;99),INDEX(Lines!$C$3:$C$1590,MATCH(SMALL(Lines!$G$3:$G$1590,28),Lines!$G$3:$G$1590,0)),""))</f>
        <v/>
      </c>
      <c r="D33" s="26" t="str">
        <f aca="false">IF(AND(ISNUMBER($J33),$J33&gt;0,$J33&lt;99),INDEX(Lines!$D$3:$D$1590,MATCH(SMALL(Lines!$G$3:$G$1590,28),Lines!$G$3:$G$1590,0)),"")</f>
        <v/>
      </c>
      <c r="E33" s="26" t="str">
        <f aca="false">IF(AND(ISNUMBER($J33),$J33&gt;0,$J33&lt;99),INDEX(Lines!$E$3:$E$1590,MATCH(SMALL(Lines!$G$3:$G$1590,28),Lines!$G$3:$G$1590,0)),"")</f>
        <v/>
      </c>
      <c r="F33" s="26" t="str">
        <f aca="false">IF(AND(ISNUMBER($J33),$J33&gt;0,$J33&lt;99),INDEX(Lines!$O$3:$O$1590,MATCH(SMALL(Lines!$G$3:$G$1590,28),Lines!$G$3:$G$1590,0)),"")</f>
        <v/>
      </c>
      <c r="G33" s="27" t="str">
        <f aca="false">IF($J33=0,INDEX(Lines!$Q$3:$Q$1590,MATCH(SMALL(Lines!$G$3:$G$1590,28),Lines!$G$3:$G$1590,0)),IF(AND(ISNUMBER($J33),$J33&gt;0,$J33&lt;99),INDEX(Lines!$P$3:$P$1590,MATCH(SMALL(Lines!$G$3:$G$1590,28),Lines!$G$3:$G$1590,0)),""))</f>
        <v/>
      </c>
      <c r="H33" s="28" t="str">
        <f aca="false">IF($J33=0,INDEX(Lines!$H$3:$H$1590,MATCH(SMALL(Lines!$G$3:$G$1590,28),Lines!$G$3:$G$1590,0))&amp;" groups",IF(AND(ISNUMBER($J33),$J33&gt;0,$J33&lt;99),INDEX(Lines!$I$3:$I$1590,MATCH(SMALL(Lines!$G$3:$G$1590,28),Lines!$G$3:$G$1590,0)),""))</f>
        <v/>
      </c>
      <c r="I33" s="26"/>
      <c r="J33" s="22" t="str">
        <f aca="false">IFERROR(IF(MOD(SMALL(Lines!$G$3:$G$1590,28),100000)=0,-1,MOD(SMALL(Lines!$G$3:$G$1590,28),100)),"")</f>
        <v/>
      </c>
      <c r="K33" s="22" t="str">
        <f aca="false">IF($J33=0,INDEX(Lines!$L$3:$L$1590,MATCH(SMALL(Lines!$G$3:$G$1590,28),Lines!$G$3:$G$1590,0)),"")</f>
        <v/>
      </c>
    </row>
    <row r="34" customFormat="false" ht="15" hidden="false" customHeight="false" outlineLevel="0" collapsed="false">
      <c r="A34" s="24" t="str">
        <f aca="false">IF(OR($J34=0,AND(ISNUMBER($J34),$J34&gt;0,$J34&lt;99)),INDEX(Lines!$A$3:$A$1590,MATCH(SMALL(Lines!$G$3:$G$1590,29),Lines!$G$3:$G$1590,0)),"")</f>
        <v/>
      </c>
      <c r="B34" s="24" t="str">
        <f aca="false">IF($J34=-1,INDEX(Lines!$J$3:$J$1590,MATCH(SMALL(Lines!$G$3:$G$1590,29),Lines!$G$3:$G$1590,0)),IF($J34=0,INDEX(Lines!$L$3:$L$1590,MATCH(SMALL(Lines!$G$3:$G$1590,29),Lines!$G$3:$G$1590,0)),IF(AND(ISNUMBER($J34),$J34&gt;0,$J34&lt;99),INDEX(Lines!$N$3:$N$1590,MATCH(SMALL(Lines!$G$3:$G$1590,29),Lines!$G$3:$G$1590,0)),"")))</f>
        <v/>
      </c>
      <c r="C34" s="25" t="str">
        <f aca="false">IF($J34=0,INDEX(Lines!$K$3:$K$1590,MATCH(SMALL(Lines!$G$3:$G$1590,29),Lines!$G$3:$G$1590,0)),IF(AND(ISNUMBER($J34),$J34&gt;0,$J34&lt;99),INDEX(Lines!$C$3:$C$1590,MATCH(SMALL(Lines!$G$3:$G$1590,29),Lines!$G$3:$G$1590,0)),""))</f>
        <v/>
      </c>
      <c r="D34" s="26" t="str">
        <f aca="false">IF(AND(ISNUMBER($J34),$J34&gt;0,$J34&lt;99),INDEX(Lines!$D$3:$D$1590,MATCH(SMALL(Lines!$G$3:$G$1590,29),Lines!$G$3:$G$1590,0)),"")</f>
        <v/>
      </c>
      <c r="E34" s="26" t="str">
        <f aca="false">IF(AND(ISNUMBER($J34),$J34&gt;0,$J34&lt;99),INDEX(Lines!$E$3:$E$1590,MATCH(SMALL(Lines!$G$3:$G$1590,29),Lines!$G$3:$G$1590,0)),"")</f>
        <v/>
      </c>
      <c r="F34" s="26" t="str">
        <f aca="false">IF(AND(ISNUMBER($J34),$J34&gt;0,$J34&lt;99),INDEX(Lines!$O$3:$O$1590,MATCH(SMALL(Lines!$G$3:$G$1590,29),Lines!$G$3:$G$1590,0)),"")</f>
        <v/>
      </c>
      <c r="G34" s="27" t="str">
        <f aca="false">IF($J34=0,INDEX(Lines!$Q$3:$Q$1590,MATCH(SMALL(Lines!$G$3:$G$1590,29),Lines!$G$3:$G$1590,0)),IF(AND(ISNUMBER($J34),$J34&gt;0,$J34&lt;99),INDEX(Lines!$P$3:$P$1590,MATCH(SMALL(Lines!$G$3:$G$1590,29),Lines!$G$3:$G$1590,0)),""))</f>
        <v/>
      </c>
      <c r="H34" s="28" t="str">
        <f aca="false">IF($J34=0,INDEX(Lines!$H$3:$H$1590,MATCH(SMALL(Lines!$G$3:$G$1590,29),Lines!$G$3:$G$1590,0))&amp;" groups",IF(AND(ISNUMBER($J34),$J34&gt;0,$J34&lt;99),INDEX(Lines!$I$3:$I$1590,MATCH(SMALL(Lines!$G$3:$G$1590,29),Lines!$G$3:$G$1590,0)),""))</f>
        <v/>
      </c>
      <c r="I34" s="26"/>
      <c r="J34" s="22" t="str">
        <f aca="false">IFERROR(IF(MOD(SMALL(Lines!$G$3:$G$1590,29),100000)=0,-1,MOD(SMALL(Lines!$G$3:$G$1590,29),100)),"")</f>
        <v/>
      </c>
      <c r="K34" s="22" t="str">
        <f aca="false">IF($J34=0,INDEX(Lines!$L$3:$L$1590,MATCH(SMALL(Lines!$G$3:$G$1590,29),Lines!$G$3:$G$1590,0)),"")</f>
        <v/>
      </c>
    </row>
    <row r="35" customFormat="false" ht="15" hidden="false" customHeight="false" outlineLevel="0" collapsed="false">
      <c r="A35" s="24" t="str">
        <f aca="false">IF(OR($J35=0,AND(ISNUMBER($J35),$J35&gt;0,$J35&lt;99)),INDEX(Lines!$A$3:$A$1590,MATCH(SMALL(Lines!$G$3:$G$1590,30),Lines!$G$3:$G$1590,0)),"")</f>
        <v/>
      </c>
      <c r="B35" s="24" t="str">
        <f aca="false">IF($J35=-1,INDEX(Lines!$J$3:$J$1590,MATCH(SMALL(Lines!$G$3:$G$1590,30),Lines!$G$3:$G$1590,0)),IF($J35=0,INDEX(Lines!$L$3:$L$1590,MATCH(SMALL(Lines!$G$3:$G$1590,30),Lines!$G$3:$G$1590,0)),IF(AND(ISNUMBER($J35),$J35&gt;0,$J35&lt;99),INDEX(Lines!$N$3:$N$1590,MATCH(SMALL(Lines!$G$3:$G$1590,30),Lines!$G$3:$G$1590,0)),"")))</f>
        <v/>
      </c>
      <c r="C35" s="25" t="str">
        <f aca="false">IF($J35=0,INDEX(Lines!$K$3:$K$1590,MATCH(SMALL(Lines!$G$3:$G$1590,30),Lines!$G$3:$G$1590,0)),IF(AND(ISNUMBER($J35),$J35&gt;0,$J35&lt;99),INDEX(Lines!$C$3:$C$1590,MATCH(SMALL(Lines!$G$3:$G$1590,30),Lines!$G$3:$G$1590,0)),""))</f>
        <v/>
      </c>
      <c r="D35" s="26" t="str">
        <f aca="false">IF(AND(ISNUMBER($J35),$J35&gt;0,$J35&lt;99),INDEX(Lines!$D$3:$D$1590,MATCH(SMALL(Lines!$G$3:$G$1590,30),Lines!$G$3:$G$1590,0)),"")</f>
        <v/>
      </c>
      <c r="E35" s="26" t="str">
        <f aca="false">IF(AND(ISNUMBER($J35),$J35&gt;0,$J35&lt;99),INDEX(Lines!$E$3:$E$1590,MATCH(SMALL(Lines!$G$3:$G$1590,30),Lines!$G$3:$G$1590,0)),"")</f>
        <v/>
      </c>
      <c r="F35" s="26" t="str">
        <f aca="false">IF(AND(ISNUMBER($J35),$J35&gt;0,$J35&lt;99),INDEX(Lines!$O$3:$O$1590,MATCH(SMALL(Lines!$G$3:$G$1590,30),Lines!$G$3:$G$1590,0)),"")</f>
        <v/>
      </c>
      <c r="G35" s="27" t="str">
        <f aca="false">IF($J35=0,INDEX(Lines!$Q$3:$Q$1590,MATCH(SMALL(Lines!$G$3:$G$1590,30),Lines!$G$3:$G$1590,0)),IF(AND(ISNUMBER($J35),$J35&gt;0,$J35&lt;99),INDEX(Lines!$P$3:$P$1590,MATCH(SMALL(Lines!$G$3:$G$1590,30),Lines!$G$3:$G$1590,0)),""))</f>
        <v/>
      </c>
      <c r="H35" s="28" t="str">
        <f aca="false">IF($J35=0,INDEX(Lines!$H$3:$H$1590,MATCH(SMALL(Lines!$G$3:$G$1590,30),Lines!$G$3:$G$1590,0))&amp;" groups",IF(AND(ISNUMBER($J35),$J35&gt;0,$J35&lt;99),INDEX(Lines!$I$3:$I$1590,MATCH(SMALL(Lines!$G$3:$G$1590,30),Lines!$G$3:$G$1590,0)),""))</f>
        <v/>
      </c>
      <c r="I35" s="26"/>
      <c r="J35" s="22" t="str">
        <f aca="false">IFERROR(IF(MOD(SMALL(Lines!$G$3:$G$1590,30),100000)=0,-1,MOD(SMALL(Lines!$G$3:$G$1590,30),100)),"")</f>
        <v/>
      </c>
      <c r="K35" s="22" t="str">
        <f aca="false">IF($J35=0,INDEX(Lines!$L$3:$L$1590,MATCH(SMALL(Lines!$G$3:$G$1590,30),Lines!$G$3:$G$1590,0)),"")</f>
        <v/>
      </c>
    </row>
    <row r="36" customFormat="false" ht="15" hidden="false" customHeight="false" outlineLevel="0" collapsed="false">
      <c r="A36" s="24" t="str">
        <f aca="false">IF(OR($J36=0,AND(ISNUMBER($J36),$J36&gt;0,$J36&lt;99)),INDEX(Lines!$A$3:$A$1590,MATCH(SMALL(Lines!$G$3:$G$1590,31),Lines!$G$3:$G$1590,0)),"")</f>
        <v/>
      </c>
      <c r="B36" s="24" t="str">
        <f aca="false">IF($J36=-1,INDEX(Lines!$J$3:$J$1590,MATCH(SMALL(Lines!$G$3:$G$1590,31),Lines!$G$3:$G$1590,0)),IF($J36=0,INDEX(Lines!$L$3:$L$1590,MATCH(SMALL(Lines!$G$3:$G$1590,31),Lines!$G$3:$G$1590,0)),IF(AND(ISNUMBER($J36),$J36&gt;0,$J36&lt;99),INDEX(Lines!$N$3:$N$1590,MATCH(SMALL(Lines!$G$3:$G$1590,31),Lines!$G$3:$G$1590,0)),"")))</f>
        <v/>
      </c>
      <c r="C36" s="25" t="str">
        <f aca="false">IF($J36=0,INDEX(Lines!$K$3:$K$1590,MATCH(SMALL(Lines!$G$3:$G$1590,31),Lines!$G$3:$G$1590,0)),IF(AND(ISNUMBER($J36),$J36&gt;0,$J36&lt;99),INDEX(Lines!$C$3:$C$1590,MATCH(SMALL(Lines!$G$3:$G$1590,31),Lines!$G$3:$G$1590,0)),""))</f>
        <v/>
      </c>
      <c r="D36" s="26" t="str">
        <f aca="false">IF(AND(ISNUMBER($J36),$J36&gt;0,$J36&lt;99),INDEX(Lines!$D$3:$D$1590,MATCH(SMALL(Lines!$G$3:$G$1590,31),Lines!$G$3:$G$1590,0)),"")</f>
        <v/>
      </c>
      <c r="E36" s="26" t="str">
        <f aca="false">IF(AND(ISNUMBER($J36),$J36&gt;0,$J36&lt;99),INDEX(Lines!$E$3:$E$1590,MATCH(SMALL(Lines!$G$3:$G$1590,31),Lines!$G$3:$G$1590,0)),"")</f>
        <v/>
      </c>
      <c r="F36" s="26" t="str">
        <f aca="false">IF(AND(ISNUMBER($J36),$J36&gt;0,$J36&lt;99),INDEX(Lines!$O$3:$O$1590,MATCH(SMALL(Lines!$G$3:$G$1590,31),Lines!$G$3:$G$1590,0)),"")</f>
        <v/>
      </c>
      <c r="G36" s="27" t="str">
        <f aca="false">IF($J36=0,INDEX(Lines!$Q$3:$Q$1590,MATCH(SMALL(Lines!$G$3:$G$1590,31),Lines!$G$3:$G$1590,0)),IF(AND(ISNUMBER($J36),$J36&gt;0,$J36&lt;99),INDEX(Lines!$P$3:$P$1590,MATCH(SMALL(Lines!$G$3:$G$1590,31),Lines!$G$3:$G$1590,0)),""))</f>
        <v/>
      </c>
      <c r="H36" s="28" t="str">
        <f aca="false">IF($J36=0,INDEX(Lines!$H$3:$H$1590,MATCH(SMALL(Lines!$G$3:$G$1590,31),Lines!$G$3:$G$1590,0))&amp;" groups",IF(AND(ISNUMBER($J36),$J36&gt;0,$J36&lt;99),INDEX(Lines!$I$3:$I$1590,MATCH(SMALL(Lines!$G$3:$G$1590,31),Lines!$G$3:$G$1590,0)),""))</f>
        <v/>
      </c>
      <c r="I36" s="26"/>
      <c r="J36" s="22" t="str">
        <f aca="false">IFERROR(IF(MOD(SMALL(Lines!$G$3:$G$1590,31),100000)=0,-1,MOD(SMALL(Lines!$G$3:$G$1590,31),100)),"")</f>
        <v/>
      </c>
      <c r="K36" s="22" t="str">
        <f aca="false">IF($J36=0,INDEX(Lines!$L$3:$L$1590,MATCH(SMALL(Lines!$G$3:$G$1590,31),Lines!$G$3:$G$1590,0)),"")</f>
        <v/>
      </c>
    </row>
    <row r="37" customFormat="false" ht="15" hidden="false" customHeight="false" outlineLevel="0" collapsed="false">
      <c r="A37" s="24" t="str">
        <f aca="false">IF(OR($J37=0,AND(ISNUMBER($J37),$J37&gt;0,$J37&lt;99)),INDEX(Lines!$A$3:$A$1590,MATCH(SMALL(Lines!$G$3:$G$1590,32),Lines!$G$3:$G$1590,0)),"")</f>
        <v/>
      </c>
      <c r="B37" s="24" t="str">
        <f aca="false">IF($J37=-1,INDEX(Lines!$J$3:$J$1590,MATCH(SMALL(Lines!$G$3:$G$1590,32),Lines!$G$3:$G$1590,0)),IF($J37=0,INDEX(Lines!$L$3:$L$1590,MATCH(SMALL(Lines!$G$3:$G$1590,32),Lines!$G$3:$G$1590,0)),IF(AND(ISNUMBER($J37),$J37&gt;0,$J37&lt;99),INDEX(Lines!$N$3:$N$1590,MATCH(SMALL(Lines!$G$3:$G$1590,32),Lines!$G$3:$G$1590,0)),"")))</f>
        <v/>
      </c>
      <c r="C37" s="25" t="str">
        <f aca="false">IF($J37=0,INDEX(Lines!$K$3:$K$1590,MATCH(SMALL(Lines!$G$3:$G$1590,32),Lines!$G$3:$G$1590,0)),IF(AND(ISNUMBER($J37),$J37&gt;0,$J37&lt;99),INDEX(Lines!$C$3:$C$1590,MATCH(SMALL(Lines!$G$3:$G$1590,32),Lines!$G$3:$G$1590,0)),""))</f>
        <v/>
      </c>
      <c r="D37" s="26" t="str">
        <f aca="false">IF(AND(ISNUMBER($J37),$J37&gt;0,$J37&lt;99),INDEX(Lines!$D$3:$D$1590,MATCH(SMALL(Lines!$G$3:$G$1590,32),Lines!$G$3:$G$1590,0)),"")</f>
        <v/>
      </c>
      <c r="E37" s="26" t="str">
        <f aca="false">IF(AND(ISNUMBER($J37),$J37&gt;0,$J37&lt;99),INDEX(Lines!$E$3:$E$1590,MATCH(SMALL(Lines!$G$3:$G$1590,32),Lines!$G$3:$G$1590,0)),"")</f>
        <v/>
      </c>
      <c r="F37" s="26" t="str">
        <f aca="false">IF(AND(ISNUMBER($J37),$J37&gt;0,$J37&lt;99),INDEX(Lines!$O$3:$O$1590,MATCH(SMALL(Lines!$G$3:$G$1590,32),Lines!$G$3:$G$1590,0)),"")</f>
        <v/>
      </c>
      <c r="G37" s="27" t="str">
        <f aca="false">IF($J37=0,INDEX(Lines!$Q$3:$Q$1590,MATCH(SMALL(Lines!$G$3:$G$1590,32),Lines!$G$3:$G$1590,0)),IF(AND(ISNUMBER($J37),$J37&gt;0,$J37&lt;99),INDEX(Lines!$P$3:$P$1590,MATCH(SMALL(Lines!$G$3:$G$1590,32),Lines!$G$3:$G$1590,0)),""))</f>
        <v/>
      </c>
      <c r="H37" s="28" t="str">
        <f aca="false">IF($J37=0,INDEX(Lines!$H$3:$H$1590,MATCH(SMALL(Lines!$G$3:$G$1590,32),Lines!$G$3:$G$1590,0))&amp;" groups",IF(AND(ISNUMBER($J37),$J37&gt;0,$J37&lt;99),INDEX(Lines!$I$3:$I$1590,MATCH(SMALL(Lines!$G$3:$G$1590,32),Lines!$G$3:$G$1590,0)),""))</f>
        <v/>
      </c>
      <c r="I37" s="26"/>
      <c r="J37" s="22" t="str">
        <f aca="false">IFERROR(IF(MOD(SMALL(Lines!$G$3:$G$1590,32),100000)=0,-1,MOD(SMALL(Lines!$G$3:$G$1590,32),100)),"")</f>
        <v/>
      </c>
      <c r="K37" s="22" t="str">
        <f aca="false">IF($J37=0,INDEX(Lines!$L$3:$L$1590,MATCH(SMALL(Lines!$G$3:$G$1590,32),Lines!$G$3:$G$1590,0)),"")</f>
        <v/>
      </c>
    </row>
    <row r="38" customFormat="false" ht="15" hidden="false" customHeight="false" outlineLevel="0" collapsed="false">
      <c r="A38" s="24" t="str">
        <f aca="false">IF(OR($J38=0,AND(ISNUMBER($J38),$J38&gt;0,$J38&lt;99)),INDEX(Lines!$A$3:$A$1590,MATCH(SMALL(Lines!$G$3:$G$1590,33),Lines!$G$3:$G$1590,0)),"")</f>
        <v/>
      </c>
      <c r="B38" s="24" t="str">
        <f aca="false">IF($J38=-1,INDEX(Lines!$J$3:$J$1590,MATCH(SMALL(Lines!$G$3:$G$1590,33),Lines!$G$3:$G$1590,0)),IF($J38=0,INDEX(Lines!$L$3:$L$1590,MATCH(SMALL(Lines!$G$3:$G$1590,33),Lines!$G$3:$G$1590,0)),IF(AND(ISNUMBER($J38),$J38&gt;0,$J38&lt;99),INDEX(Lines!$N$3:$N$1590,MATCH(SMALL(Lines!$G$3:$G$1590,33),Lines!$G$3:$G$1590,0)),"")))</f>
        <v/>
      </c>
      <c r="C38" s="25" t="str">
        <f aca="false">IF($J38=0,INDEX(Lines!$K$3:$K$1590,MATCH(SMALL(Lines!$G$3:$G$1590,33),Lines!$G$3:$G$1590,0)),IF(AND(ISNUMBER($J38),$J38&gt;0,$J38&lt;99),INDEX(Lines!$C$3:$C$1590,MATCH(SMALL(Lines!$G$3:$G$1590,33),Lines!$G$3:$G$1590,0)),""))</f>
        <v/>
      </c>
      <c r="D38" s="26" t="str">
        <f aca="false">IF(AND(ISNUMBER($J38),$J38&gt;0,$J38&lt;99),INDEX(Lines!$D$3:$D$1590,MATCH(SMALL(Lines!$G$3:$G$1590,33),Lines!$G$3:$G$1590,0)),"")</f>
        <v/>
      </c>
      <c r="E38" s="26" t="str">
        <f aca="false">IF(AND(ISNUMBER($J38),$J38&gt;0,$J38&lt;99),INDEX(Lines!$E$3:$E$1590,MATCH(SMALL(Lines!$G$3:$G$1590,33),Lines!$G$3:$G$1590,0)),"")</f>
        <v/>
      </c>
      <c r="F38" s="26" t="str">
        <f aca="false">IF(AND(ISNUMBER($J38),$J38&gt;0,$J38&lt;99),INDEX(Lines!$O$3:$O$1590,MATCH(SMALL(Lines!$G$3:$G$1590,33),Lines!$G$3:$G$1590,0)),"")</f>
        <v/>
      </c>
      <c r="G38" s="27" t="str">
        <f aca="false">IF($J38=0,INDEX(Lines!$Q$3:$Q$1590,MATCH(SMALL(Lines!$G$3:$G$1590,33),Lines!$G$3:$G$1590,0)),IF(AND(ISNUMBER($J38),$J38&gt;0,$J38&lt;99),INDEX(Lines!$P$3:$P$1590,MATCH(SMALL(Lines!$G$3:$G$1590,33),Lines!$G$3:$G$1590,0)),""))</f>
        <v/>
      </c>
      <c r="H38" s="28" t="str">
        <f aca="false">IF($J38=0,INDEX(Lines!$H$3:$H$1590,MATCH(SMALL(Lines!$G$3:$G$1590,33),Lines!$G$3:$G$1590,0))&amp;" groups",IF(AND(ISNUMBER($J38),$J38&gt;0,$J38&lt;99),INDEX(Lines!$I$3:$I$1590,MATCH(SMALL(Lines!$G$3:$G$1590,33),Lines!$G$3:$G$1590,0)),""))</f>
        <v/>
      </c>
      <c r="I38" s="26"/>
      <c r="J38" s="22" t="str">
        <f aca="false">IFERROR(IF(MOD(SMALL(Lines!$G$3:$G$1590,33),100000)=0,-1,MOD(SMALL(Lines!$G$3:$G$1590,33),100)),"")</f>
        <v/>
      </c>
      <c r="K38" s="22" t="str">
        <f aca="false">IF($J38=0,INDEX(Lines!$L$3:$L$1590,MATCH(SMALL(Lines!$G$3:$G$1590,33),Lines!$G$3:$G$1590,0)),"")</f>
        <v/>
      </c>
    </row>
    <row r="39" customFormat="false" ht="15" hidden="false" customHeight="false" outlineLevel="0" collapsed="false">
      <c r="A39" s="24" t="str">
        <f aca="false">IF(OR($J39=0,AND(ISNUMBER($J39),$J39&gt;0,$J39&lt;99)),INDEX(Lines!$A$3:$A$1590,MATCH(SMALL(Lines!$G$3:$G$1590,34),Lines!$G$3:$G$1590,0)),"")</f>
        <v/>
      </c>
      <c r="B39" s="24" t="str">
        <f aca="false">IF($J39=-1,INDEX(Lines!$J$3:$J$1590,MATCH(SMALL(Lines!$G$3:$G$1590,34),Lines!$G$3:$G$1590,0)),IF($J39=0,INDEX(Lines!$L$3:$L$1590,MATCH(SMALL(Lines!$G$3:$G$1590,34),Lines!$G$3:$G$1590,0)),IF(AND(ISNUMBER($J39),$J39&gt;0,$J39&lt;99),INDEX(Lines!$N$3:$N$1590,MATCH(SMALL(Lines!$G$3:$G$1590,34),Lines!$G$3:$G$1590,0)),"")))</f>
        <v/>
      </c>
      <c r="C39" s="25" t="str">
        <f aca="false">IF($J39=0,INDEX(Lines!$K$3:$K$1590,MATCH(SMALL(Lines!$G$3:$G$1590,34),Lines!$G$3:$G$1590,0)),IF(AND(ISNUMBER($J39),$J39&gt;0,$J39&lt;99),INDEX(Lines!$C$3:$C$1590,MATCH(SMALL(Lines!$G$3:$G$1590,34),Lines!$G$3:$G$1590,0)),""))</f>
        <v/>
      </c>
      <c r="D39" s="26" t="str">
        <f aca="false">IF(AND(ISNUMBER($J39),$J39&gt;0,$J39&lt;99),INDEX(Lines!$D$3:$D$1590,MATCH(SMALL(Lines!$G$3:$G$1590,34),Lines!$G$3:$G$1590,0)),"")</f>
        <v/>
      </c>
      <c r="E39" s="26" t="str">
        <f aca="false">IF(AND(ISNUMBER($J39),$J39&gt;0,$J39&lt;99),INDEX(Lines!$E$3:$E$1590,MATCH(SMALL(Lines!$G$3:$G$1590,34),Lines!$G$3:$G$1590,0)),"")</f>
        <v/>
      </c>
      <c r="F39" s="26" t="str">
        <f aca="false">IF(AND(ISNUMBER($J39),$J39&gt;0,$J39&lt;99),INDEX(Lines!$O$3:$O$1590,MATCH(SMALL(Lines!$G$3:$G$1590,34),Lines!$G$3:$G$1590,0)),"")</f>
        <v/>
      </c>
      <c r="G39" s="27" t="str">
        <f aca="false">IF($J39=0,INDEX(Lines!$Q$3:$Q$1590,MATCH(SMALL(Lines!$G$3:$G$1590,34),Lines!$G$3:$G$1590,0)),IF(AND(ISNUMBER($J39),$J39&gt;0,$J39&lt;99),INDEX(Lines!$P$3:$P$1590,MATCH(SMALL(Lines!$G$3:$G$1590,34),Lines!$G$3:$G$1590,0)),""))</f>
        <v/>
      </c>
      <c r="H39" s="28" t="str">
        <f aca="false">IF($J39=0,INDEX(Lines!$H$3:$H$1590,MATCH(SMALL(Lines!$G$3:$G$1590,34),Lines!$G$3:$G$1590,0))&amp;" groups",IF(AND(ISNUMBER($J39),$J39&gt;0,$J39&lt;99),INDEX(Lines!$I$3:$I$1590,MATCH(SMALL(Lines!$G$3:$G$1590,34),Lines!$G$3:$G$1590,0)),""))</f>
        <v/>
      </c>
      <c r="I39" s="26"/>
      <c r="J39" s="22" t="str">
        <f aca="false">IFERROR(IF(MOD(SMALL(Lines!$G$3:$G$1590,34),100000)=0,-1,MOD(SMALL(Lines!$G$3:$G$1590,34),100)),"")</f>
        <v/>
      </c>
      <c r="K39" s="22" t="str">
        <f aca="false">IF($J39=0,INDEX(Lines!$L$3:$L$1590,MATCH(SMALL(Lines!$G$3:$G$1590,34),Lines!$G$3:$G$1590,0)),"")</f>
        <v/>
      </c>
    </row>
    <row r="40" customFormat="false" ht="15" hidden="false" customHeight="false" outlineLevel="0" collapsed="false">
      <c r="A40" s="24" t="str">
        <f aca="false">IF(OR($J40=0,AND(ISNUMBER($J40),$J40&gt;0,$J40&lt;99)),INDEX(Lines!$A$3:$A$1590,MATCH(SMALL(Lines!$G$3:$G$1590,35),Lines!$G$3:$G$1590,0)),"")</f>
        <v/>
      </c>
      <c r="B40" s="24" t="str">
        <f aca="false">IF($J40=-1,INDEX(Lines!$J$3:$J$1590,MATCH(SMALL(Lines!$G$3:$G$1590,35),Lines!$G$3:$G$1590,0)),IF($J40=0,INDEX(Lines!$L$3:$L$1590,MATCH(SMALL(Lines!$G$3:$G$1590,35),Lines!$G$3:$G$1590,0)),IF(AND(ISNUMBER($J40),$J40&gt;0,$J40&lt;99),INDEX(Lines!$N$3:$N$1590,MATCH(SMALL(Lines!$G$3:$G$1590,35),Lines!$G$3:$G$1590,0)),"")))</f>
        <v/>
      </c>
      <c r="C40" s="25" t="str">
        <f aca="false">IF($J40=0,INDEX(Lines!$K$3:$K$1590,MATCH(SMALL(Lines!$G$3:$G$1590,35),Lines!$G$3:$G$1590,0)),IF(AND(ISNUMBER($J40),$J40&gt;0,$J40&lt;99),INDEX(Lines!$C$3:$C$1590,MATCH(SMALL(Lines!$G$3:$G$1590,35),Lines!$G$3:$G$1590,0)),""))</f>
        <v/>
      </c>
      <c r="D40" s="26" t="str">
        <f aca="false">IF(AND(ISNUMBER($J40),$J40&gt;0,$J40&lt;99),INDEX(Lines!$D$3:$D$1590,MATCH(SMALL(Lines!$G$3:$G$1590,35),Lines!$G$3:$G$1590,0)),"")</f>
        <v/>
      </c>
      <c r="E40" s="26" t="str">
        <f aca="false">IF(AND(ISNUMBER($J40),$J40&gt;0,$J40&lt;99),INDEX(Lines!$E$3:$E$1590,MATCH(SMALL(Lines!$G$3:$G$1590,35),Lines!$G$3:$G$1590,0)),"")</f>
        <v/>
      </c>
      <c r="F40" s="26" t="str">
        <f aca="false">IF(AND(ISNUMBER($J40),$J40&gt;0,$J40&lt;99),INDEX(Lines!$O$3:$O$1590,MATCH(SMALL(Lines!$G$3:$G$1590,35),Lines!$G$3:$G$1590,0)),"")</f>
        <v/>
      </c>
      <c r="G40" s="27" t="str">
        <f aca="false">IF($J40=0,INDEX(Lines!$Q$3:$Q$1590,MATCH(SMALL(Lines!$G$3:$G$1590,35),Lines!$G$3:$G$1590,0)),IF(AND(ISNUMBER($J40),$J40&gt;0,$J40&lt;99),INDEX(Lines!$P$3:$P$1590,MATCH(SMALL(Lines!$G$3:$G$1590,35),Lines!$G$3:$G$1590,0)),""))</f>
        <v/>
      </c>
      <c r="H40" s="28" t="str">
        <f aca="false">IF($J40=0,INDEX(Lines!$H$3:$H$1590,MATCH(SMALL(Lines!$G$3:$G$1590,35),Lines!$G$3:$G$1590,0))&amp;" groups",IF(AND(ISNUMBER($J40),$J40&gt;0,$J40&lt;99),INDEX(Lines!$I$3:$I$1590,MATCH(SMALL(Lines!$G$3:$G$1590,35),Lines!$G$3:$G$1590,0)),""))</f>
        <v/>
      </c>
      <c r="I40" s="26"/>
      <c r="J40" s="22" t="str">
        <f aca="false">IFERROR(IF(MOD(SMALL(Lines!$G$3:$G$1590,35),100000)=0,-1,MOD(SMALL(Lines!$G$3:$G$1590,35),100)),"")</f>
        <v/>
      </c>
      <c r="K40" s="22" t="str">
        <f aca="false">IF($J40=0,INDEX(Lines!$L$3:$L$1590,MATCH(SMALL(Lines!$G$3:$G$1590,35),Lines!$G$3:$G$1590,0)),"")</f>
        <v/>
      </c>
    </row>
    <row r="41" customFormat="false" ht="15" hidden="false" customHeight="false" outlineLevel="0" collapsed="false">
      <c r="A41" s="24" t="str">
        <f aca="false">IF(OR($J41=0,AND(ISNUMBER($J41),$J41&gt;0,$J41&lt;99)),INDEX(Lines!$A$3:$A$1590,MATCH(SMALL(Lines!$G$3:$G$1590,36),Lines!$G$3:$G$1590,0)),"")</f>
        <v/>
      </c>
      <c r="B41" s="24" t="str">
        <f aca="false">IF($J41=-1,INDEX(Lines!$J$3:$J$1590,MATCH(SMALL(Lines!$G$3:$G$1590,36),Lines!$G$3:$G$1590,0)),IF($J41=0,INDEX(Lines!$L$3:$L$1590,MATCH(SMALL(Lines!$G$3:$G$1590,36),Lines!$G$3:$G$1590,0)),IF(AND(ISNUMBER($J41),$J41&gt;0,$J41&lt;99),INDEX(Lines!$N$3:$N$1590,MATCH(SMALL(Lines!$G$3:$G$1590,36),Lines!$G$3:$G$1590,0)),"")))</f>
        <v/>
      </c>
      <c r="C41" s="25" t="str">
        <f aca="false">IF($J41=0,INDEX(Lines!$K$3:$K$1590,MATCH(SMALL(Lines!$G$3:$G$1590,36),Lines!$G$3:$G$1590,0)),IF(AND(ISNUMBER($J41),$J41&gt;0,$J41&lt;99),INDEX(Lines!$C$3:$C$1590,MATCH(SMALL(Lines!$G$3:$G$1590,36),Lines!$G$3:$G$1590,0)),""))</f>
        <v/>
      </c>
      <c r="D41" s="26" t="str">
        <f aca="false">IF(AND(ISNUMBER($J41),$J41&gt;0,$J41&lt;99),INDEX(Lines!$D$3:$D$1590,MATCH(SMALL(Lines!$G$3:$G$1590,36),Lines!$G$3:$G$1590,0)),"")</f>
        <v/>
      </c>
      <c r="E41" s="26" t="str">
        <f aca="false">IF(AND(ISNUMBER($J41),$J41&gt;0,$J41&lt;99),INDEX(Lines!$E$3:$E$1590,MATCH(SMALL(Lines!$G$3:$G$1590,36),Lines!$G$3:$G$1590,0)),"")</f>
        <v/>
      </c>
      <c r="F41" s="26" t="str">
        <f aca="false">IF(AND(ISNUMBER($J41),$J41&gt;0,$J41&lt;99),INDEX(Lines!$O$3:$O$1590,MATCH(SMALL(Lines!$G$3:$G$1590,36),Lines!$G$3:$G$1590,0)),"")</f>
        <v/>
      </c>
      <c r="G41" s="27" t="str">
        <f aca="false">IF($J41=0,INDEX(Lines!$Q$3:$Q$1590,MATCH(SMALL(Lines!$G$3:$G$1590,36),Lines!$G$3:$G$1590,0)),IF(AND(ISNUMBER($J41),$J41&gt;0,$J41&lt;99),INDEX(Lines!$P$3:$P$1590,MATCH(SMALL(Lines!$G$3:$G$1590,36),Lines!$G$3:$G$1590,0)),""))</f>
        <v/>
      </c>
      <c r="H41" s="28" t="str">
        <f aca="false">IF($J41=0,INDEX(Lines!$H$3:$H$1590,MATCH(SMALL(Lines!$G$3:$G$1590,36),Lines!$G$3:$G$1590,0))&amp;" groups",IF(AND(ISNUMBER($J41),$J41&gt;0,$J41&lt;99),INDEX(Lines!$I$3:$I$1590,MATCH(SMALL(Lines!$G$3:$G$1590,36),Lines!$G$3:$G$1590,0)),""))</f>
        <v/>
      </c>
      <c r="I41" s="26"/>
      <c r="J41" s="22" t="str">
        <f aca="false">IFERROR(IF(MOD(SMALL(Lines!$G$3:$G$1590,36),100000)=0,-1,MOD(SMALL(Lines!$G$3:$G$1590,36),100)),"")</f>
        <v/>
      </c>
      <c r="K41" s="22" t="str">
        <f aca="false">IF($J41=0,INDEX(Lines!$L$3:$L$1590,MATCH(SMALL(Lines!$G$3:$G$1590,36),Lines!$G$3:$G$1590,0)),"")</f>
        <v/>
      </c>
    </row>
    <row r="42" customFormat="false" ht="15" hidden="false" customHeight="false" outlineLevel="0" collapsed="false">
      <c r="A42" s="24" t="str">
        <f aca="false">IF(OR($J42=0,AND(ISNUMBER($J42),$J42&gt;0,$J42&lt;99)),INDEX(Lines!$A$3:$A$1590,MATCH(SMALL(Lines!$G$3:$G$1590,37),Lines!$G$3:$G$1590,0)),"")</f>
        <v/>
      </c>
      <c r="B42" s="24" t="str">
        <f aca="false">IF($J42=-1,INDEX(Lines!$J$3:$J$1590,MATCH(SMALL(Lines!$G$3:$G$1590,37),Lines!$G$3:$G$1590,0)),IF($J42=0,INDEX(Lines!$L$3:$L$1590,MATCH(SMALL(Lines!$G$3:$G$1590,37),Lines!$G$3:$G$1590,0)),IF(AND(ISNUMBER($J42),$J42&gt;0,$J42&lt;99),INDEX(Lines!$N$3:$N$1590,MATCH(SMALL(Lines!$G$3:$G$1590,37),Lines!$G$3:$G$1590,0)),"")))</f>
        <v/>
      </c>
      <c r="C42" s="25" t="str">
        <f aca="false">IF($J42=0,INDEX(Lines!$K$3:$K$1590,MATCH(SMALL(Lines!$G$3:$G$1590,37),Lines!$G$3:$G$1590,0)),IF(AND(ISNUMBER($J42),$J42&gt;0,$J42&lt;99),INDEX(Lines!$C$3:$C$1590,MATCH(SMALL(Lines!$G$3:$G$1590,37),Lines!$G$3:$G$1590,0)),""))</f>
        <v/>
      </c>
      <c r="D42" s="26" t="str">
        <f aca="false">IF(AND(ISNUMBER($J42),$J42&gt;0,$J42&lt;99),INDEX(Lines!$D$3:$D$1590,MATCH(SMALL(Lines!$G$3:$G$1590,37),Lines!$G$3:$G$1590,0)),"")</f>
        <v/>
      </c>
      <c r="E42" s="26" t="str">
        <f aca="false">IF(AND(ISNUMBER($J42),$J42&gt;0,$J42&lt;99),INDEX(Lines!$E$3:$E$1590,MATCH(SMALL(Lines!$G$3:$G$1590,37),Lines!$G$3:$G$1590,0)),"")</f>
        <v/>
      </c>
      <c r="F42" s="26" t="str">
        <f aca="false">IF(AND(ISNUMBER($J42),$J42&gt;0,$J42&lt;99),INDEX(Lines!$O$3:$O$1590,MATCH(SMALL(Lines!$G$3:$G$1590,37),Lines!$G$3:$G$1590,0)),"")</f>
        <v/>
      </c>
      <c r="G42" s="27" t="str">
        <f aca="false">IF($J42=0,INDEX(Lines!$Q$3:$Q$1590,MATCH(SMALL(Lines!$G$3:$G$1590,37),Lines!$G$3:$G$1590,0)),IF(AND(ISNUMBER($J42),$J42&gt;0,$J42&lt;99),INDEX(Lines!$P$3:$P$1590,MATCH(SMALL(Lines!$G$3:$G$1590,37),Lines!$G$3:$G$1590,0)),""))</f>
        <v/>
      </c>
      <c r="H42" s="28" t="str">
        <f aca="false">IF($J42=0,INDEX(Lines!$H$3:$H$1590,MATCH(SMALL(Lines!$G$3:$G$1590,37),Lines!$G$3:$G$1590,0))&amp;" groups",IF(AND(ISNUMBER($J42),$J42&gt;0,$J42&lt;99),INDEX(Lines!$I$3:$I$1590,MATCH(SMALL(Lines!$G$3:$G$1590,37),Lines!$G$3:$G$1590,0)),""))</f>
        <v/>
      </c>
      <c r="I42" s="26"/>
      <c r="J42" s="22" t="str">
        <f aca="false">IFERROR(IF(MOD(SMALL(Lines!$G$3:$G$1590,37),100000)=0,-1,MOD(SMALL(Lines!$G$3:$G$1590,37),100)),"")</f>
        <v/>
      </c>
      <c r="K42" s="22" t="str">
        <f aca="false">IF($J42=0,INDEX(Lines!$L$3:$L$1590,MATCH(SMALL(Lines!$G$3:$G$1590,37),Lines!$G$3:$G$1590,0)),"")</f>
        <v/>
      </c>
    </row>
    <row r="43" customFormat="false" ht="15" hidden="false" customHeight="false" outlineLevel="0" collapsed="false">
      <c r="A43" s="24" t="str">
        <f aca="false">IF(OR($J43=0,AND(ISNUMBER($J43),$J43&gt;0,$J43&lt;99)),INDEX(Lines!$A$3:$A$1590,MATCH(SMALL(Lines!$G$3:$G$1590,38),Lines!$G$3:$G$1590,0)),"")</f>
        <v/>
      </c>
      <c r="B43" s="24" t="str">
        <f aca="false">IF($J43=-1,INDEX(Lines!$J$3:$J$1590,MATCH(SMALL(Lines!$G$3:$G$1590,38),Lines!$G$3:$G$1590,0)),IF($J43=0,INDEX(Lines!$L$3:$L$1590,MATCH(SMALL(Lines!$G$3:$G$1590,38),Lines!$G$3:$G$1590,0)),IF(AND(ISNUMBER($J43),$J43&gt;0,$J43&lt;99),INDEX(Lines!$N$3:$N$1590,MATCH(SMALL(Lines!$G$3:$G$1590,38),Lines!$G$3:$G$1590,0)),"")))</f>
        <v/>
      </c>
      <c r="C43" s="25" t="str">
        <f aca="false">IF($J43=0,INDEX(Lines!$K$3:$K$1590,MATCH(SMALL(Lines!$G$3:$G$1590,38),Lines!$G$3:$G$1590,0)),IF(AND(ISNUMBER($J43),$J43&gt;0,$J43&lt;99),INDEX(Lines!$C$3:$C$1590,MATCH(SMALL(Lines!$G$3:$G$1590,38),Lines!$G$3:$G$1590,0)),""))</f>
        <v/>
      </c>
      <c r="D43" s="26" t="str">
        <f aca="false">IF(AND(ISNUMBER($J43),$J43&gt;0,$J43&lt;99),INDEX(Lines!$D$3:$D$1590,MATCH(SMALL(Lines!$G$3:$G$1590,38),Lines!$G$3:$G$1590,0)),"")</f>
        <v/>
      </c>
      <c r="E43" s="26" t="str">
        <f aca="false">IF(AND(ISNUMBER($J43),$J43&gt;0,$J43&lt;99),INDEX(Lines!$E$3:$E$1590,MATCH(SMALL(Lines!$G$3:$G$1590,38),Lines!$G$3:$G$1590,0)),"")</f>
        <v/>
      </c>
      <c r="F43" s="26" t="str">
        <f aca="false">IF(AND(ISNUMBER($J43),$J43&gt;0,$J43&lt;99),INDEX(Lines!$O$3:$O$1590,MATCH(SMALL(Lines!$G$3:$G$1590,38),Lines!$G$3:$G$1590,0)),"")</f>
        <v/>
      </c>
      <c r="G43" s="27" t="str">
        <f aca="false">IF($J43=0,INDEX(Lines!$Q$3:$Q$1590,MATCH(SMALL(Lines!$G$3:$G$1590,38),Lines!$G$3:$G$1590,0)),IF(AND(ISNUMBER($J43),$J43&gt;0,$J43&lt;99),INDEX(Lines!$P$3:$P$1590,MATCH(SMALL(Lines!$G$3:$G$1590,38),Lines!$G$3:$G$1590,0)),""))</f>
        <v/>
      </c>
      <c r="H43" s="28" t="str">
        <f aca="false">IF($J43=0,INDEX(Lines!$H$3:$H$1590,MATCH(SMALL(Lines!$G$3:$G$1590,38),Lines!$G$3:$G$1590,0))&amp;" groups",IF(AND(ISNUMBER($J43),$J43&gt;0,$J43&lt;99),INDEX(Lines!$I$3:$I$1590,MATCH(SMALL(Lines!$G$3:$G$1590,38),Lines!$G$3:$G$1590,0)),""))</f>
        <v/>
      </c>
      <c r="I43" s="26"/>
      <c r="J43" s="22" t="str">
        <f aca="false">IFERROR(IF(MOD(SMALL(Lines!$G$3:$G$1590,38),100000)=0,-1,MOD(SMALL(Lines!$G$3:$G$1590,38),100)),"")</f>
        <v/>
      </c>
      <c r="K43" s="22" t="str">
        <f aca="false">IF($J43=0,INDEX(Lines!$L$3:$L$1590,MATCH(SMALL(Lines!$G$3:$G$1590,38),Lines!$G$3:$G$1590,0)),"")</f>
        <v/>
      </c>
    </row>
    <row r="44" customFormat="false" ht="15" hidden="false" customHeight="false" outlineLevel="0" collapsed="false">
      <c r="A44" s="24" t="str">
        <f aca="false">IF(OR($J44=0,AND(ISNUMBER($J44),$J44&gt;0,$J44&lt;99)),INDEX(Lines!$A$3:$A$1590,MATCH(SMALL(Lines!$G$3:$G$1590,39),Lines!$G$3:$G$1590,0)),"")</f>
        <v/>
      </c>
      <c r="B44" s="24" t="str">
        <f aca="false">IF($J44=-1,INDEX(Lines!$J$3:$J$1590,MATCH(SMALL(Lines!$G$3:$G$1590,39),Lines!$G$3:$G$1590,0)),IF($J44=0,INDEX(Lines!$L$3:$L$1590,MATCH(SMALL(Lines!$G$3:$G$1590,39),Lines!$G$3:$G$1590,0)),IF(AND(ISNUMBER($J44),$J44&gt;0,$J44&lt;99),INDEX(Lines!$N$3:$N$1590,MATCH(SMALL(Lines!$G$3:$G$1590,39),Lines!$G$3:$G$1590,0)),"")))</f>
        <v/>
      </c>
      <c r="C44" s="25" t="str">
        <f aca="false">IF($J44=0,INDEX(Lines!$K$3:$K$1590,MATCH(SMALL(Lines!$G$3:$G$1590,39),Lines!$G$3:$G$1590,0)),IF(AND(ISNUMBER($J44),$J44&gt;0,$J44&lt;99),INDEX(Lines!$C$3:$C$1590,MATCH(SMALL(Lines!$G$3:$G$1590,39),Lines!$G$3:$G$1590,0)),""))</f>
        <v/>
      </c>
      <c r="D44" s="26" t="str">
        <f aca="false">IF(AND(ISNUMBER($J44),$J44&gt;0,$J44&lt;99),INDEX(Lines!$D$3:$D$1590,MATCH(SMALL(Lines!$G$3:$G$1590,39),Lines!$G$3:$G$1590,0)),"")</f>
        <v/>
      </c>
      <c r="E44" s="26" t="str">
        <f aca="false">IF(AND(ISNUMBER($J44),$J44&gt;0,$J44&lt;99),INDEX(Lines!$E$3:$E$1590,MATCH(SMALL(Lines!$G$3:$G$1590,39),Lines!$G$3:$G$1590,0)),"")</f>
        <v/>
      </c>
      <c r="F44" s="26" t="str">
        <f aca="false">IF(AND(ISNUMBER($J44),$J44&gt;0,$J44&lt;99),INDEX(Lines!$O$3:$O$1590,MATCH(SMALL(Lines!$G$3:$G$1590,39),Lines!$G$3:$G$1590,0)),"")</f>
        <v/>
      </c>
      <c r="G44" s="27" t="str">
        <f aca="false">IF($J44=0,INDEX(Lines!$Q$3:$Q$1590,MATCH(SMALL(Lines!$G$3:$G$1590,39),Lines!$G$3:$G$1590,0)),IF(AND(ISNUMBER($J44),$J44&gt;0,$J44&lt;99),INDEX(Lines!$P$3:$P$1590,MATCH(SMALL(Lines!$G$3:$G$1590,39),Lines!$G$3:$G$1590,0)),""))</f>
        <v/>
      </c>
      <c r="H44" s="28" t="str">
        <f aca="false">IF($J44=0,INDEX(Lines!$H$3:$H$1590,MATCH(SMALL(Lines!$G$3:$G$1590,39),Lines!$G$3:$G$1590,0))&amp;" groups",IF(AND(ISNUMBER($J44),$J44&gt;0,$J44&lt;99),INDEX(Lines!$I$3:$I$1590,MATCH(SMALL(Lines!$G$3:$G$1590,39),Lines!$G$3:$G$1590,0)),""))</f>
        <v/>
      </c>
      <c r="I44" s="26"/>
      <c r="J44" s="22" t="str">
        <f aca="false">IFERROR(IF(MOD(SMALL(Lines!$G$3:$G$1590,39),100000)=0,-1,MOD(SMALL(Lines!$G$3:$G$1590,39),100)),"")</f>
        <v/>
      </c>
      <c r="K44" s="22" t="str">
        <f aca="false">IF($J44=0,INDEX(Lines!$L$3:$L$1590,MATCH(SMALL(Lines!$G$3:$G$1590,39),Lines!$G$3:$G$1590,0)),"")</f>
        <v/>
      </c>
    </row>
    <row r="45" customFormat="false" ht="15" hidden="false" customHeight="false" outlineLevel="0" collapsed="false">
      <c r="A45" s="24" t="str">
        <f aca="false">IF(OR($J45=0,AND(ISNUMBER($J45),$J45&gt;0,$J45&lt;99)),INDEX(Lines!$A$3:$A$1590,MATCH(SMALL(Lines!$G$3:$G$1590,40),Lines!$G$3:$G$1590,0)),"")</f>
        <v/>
      </c>
      <c r="B45" s="24" t="str">
        <f aca="false">IF($J45=-1,INDEX(Lines!$J$3:$J$1590,MATCH(SMALL(Lines!$G$3:$G$1590,40),Lines!$G$3:$G$1590,0)),IF($J45=0,INDEX(Lines!$L$3:$L$1590,MATCH(SMALL(Lines!$G$3:$G$1590,40),Lines!$G$3:$G$1590,0)),IF(AND(ISNUMBER($J45),$J45&gt;0,$J45&lt;99),INDEX(Lines!$N$3:$N$1590,MATCH(SMALL(Lines!$G$3:$G$1590,40),Lines!$G$3:$G$1590,0)),"")))</f>
        <v/>
      </c>
      <c r="C45" s="25" t="str">
        <f aca="false">IF($J45=0,INDEX(Lines!$K$3:$K$1590,MATCH(SMALL(Lines!$G$3:$G$1590,40),Lines!$G$3:$G$1590,0)),IF(AND(ISNUMBER($J45),$J45&gt;0,$J45&lt;99),INDEX(Lines!$C$3:$C$1590,MATCH(SMALL(Lines!$G$3:$G$1590,40),Lines!$G$3:$G$1590,0)),""))</f>
        <v/>
      </c>
      <c r="D45" s="26" t="str">
        <f aca="false">IF(AND(ISNUMBER($J45),$J45&gt;0,$J45&lt;99),INDEX(Lines!$D$3:$D$1590,MATCH(SMALL(Lines!$G$3:$G$1590,40),Lines!$G$3:$G$1590,0)),"")</f>
        <v/>
      </c>
      <c r="E45" s="26" t="str">
        <f aca="false">IF(AND(ISNUMBER($J45),$J45&gt;0,$J45&lt;99),INDEX(Lines!$E$3:$E$1590,MATCH(SMALL(Lines!$G$3:$G$1590,40),Lines!$G$3:$G$1590,0)),"")</f>
        <v/>
      </c>
      <c r="F45" s="26" t="str">
        <f aca="false">IF(AND(ISNUMBER($J45),$J45&gt;0,$J45&lt;99),INDEX(Lines!$O$3:$O$1590,MATCH(SMALL(Lines!$G$3:$G$1590,40),Lines!$G$3:$G$1590,0)),"")</f>
        <v/>
      </c>
      <c r="G45" s="27" t="str">
        <f aca="false">IF($J45=0,INDEX(Lines!$Q$3:$Q$1590,MATCH(SMALL(Lines!$G$3:$G$1590,40),Lines!$G$3:$G$1590,0)),IF(AND(ISNUMBER($J45),$J45&gt;0,$J45&lt;99),INDEX(Lines!$P$3:$P$1590,MATCH(SMALL(Lines!$G$3:$G$1590,40),Lines!$G$3:$G$1590,0)),""))</f>
        <v/>
      </c>
      <c r="H45" s="28" t="str">
        <f aca="false">IF($J45=0,INDEX(Lines!$H$3:$H$1590,MATCH(SMALL(Lines!$G$3:$G$1590,40),Lines!$G$3:$G$1590,0))&amp;" groups",IF(AND(ISNUMBER($J45),$J45&gt;0,$J45&lt;99),INDEX(Lines!$I$3:$I$1590,MATCH(SMALL(Lines!$G$3:$G$1590,40),Lines!$G$3:$G$1590,0)),""))</f>
        <v/>
      </c>
      <c r="I45" s="26"/>
      <c r="J45" s="22" t="str">
        <f aca="false">IFERROR(IF(MOD(SMALL(Lines!$G$3:$G$1590,40),100000)=0,-1,MOD(SMALL(Lines!$G$3:$G$1590,40),100)),"")</f>
        <v/>
      </c>
      <c r="K45" s="22" t="str">
        <f aca="false">IF($J45=0,INDEX(Lines!$L$3:$L$1590,MATCH(SMALL(Lines!$G$3:$G$1590,40),Lines!$G$3:$G$1590,0)),"")</f>
        <v/>
      </c>
    </row>
    <row r="46" customFormat="false" ht="15" hidden="false" customHeight="false" outlineLevel="0" collapsed="false">
      <c r="A46" s="24" t="str">
        <f aca="false">IF(OR($J46=0,AND(ISNUMBER($J46),$J46&gt;0,$J46&lt;99)),INDEX(Lines!$A$3:$A$1590,MATCH(SMALL(Lines!$G$3:$G$1590,41),Lines!$G$3:$G$1590,0)),"")</f>
        <v/>
      </c>
      <c r="B46" s="24" t="str">
        <f aca="false">IF($J46=-1,INDEX(Lines!$J$3:$J$1590,MATCH(SMALL(Lines!$G$3:$G$1590,41),Lines!$G$3:$G$1590,0)),IF($J46=0,INDEX(Lines!$L$3:$L$1590,MATCH(SMALL(Lines!$G$3:$G$1590,41),Lines!$G$3:$G$1590,0)),IF(AND(ISNUMBER($J46),$J46&gt;0,$J46&lt;99),INDEX(Lines!$N$3:$N$1590,MATCH(SMALL(Lines!$G$3:$G$1590,41),Lines!$G$3:$G$1590,0)),"")))</f>
        <v/>
      </c>
      <c r="C46" s="25" t="str">
        <f aca="false">IF($J46=0,INDEX(Lines!$K$3:$K$1590,MATCH(SMALL(Lines!$G$3:$G$1590,41),Lines!$G$3:$G$1590,0)),IF(AND(ISNUMBER($J46),$J46&gt;0,$J46&lt;99),INDEX(Lines!$C$3:$C$1590,MATCH(SMALL(Lines!$G$3:$G$1590,41),Lines!$G$3:$G$1590,0)),""))</f>
        <v/>
      </c>
      <c r="D46" s="26" t="str">
        <f aca="false">IF(AND(ISNUMBER($J46),$J46&gt;0,$J46&lt;99),INDEX(Lines!$D$3:$D$1590,MATCH(SMALL(Lines!$G$3:$G$1590,41),Lines!$G$3:$G$1590,0)),"")</f>
        <v/>
      </c>
      <c r="E46" s="26" t="str">
        <f aca="false">IF(AND(ISNUMBER($J46),$J46&gt;0,$J46&lt;99),INDEX(Lines!$E$3:$E$1590,MATCH(SMALL(Lines!$G$3:$G$1590,41),Lines!$G$3:$G$1590,0)),"")</f>
        <v/>
      </c>
      <c r="F46" s="26" t="str">
        <f aca="false">IF(AND(ISNUMBER($J46),$J46&gt;0,$J46&lt;99),INDEX(Lines!$O$3:$O$1590,MATCH(SMALL(Lines!$G$3:$G$1590,41),Lines!$G$3:$G$1590,0)),"")</f>
        <v/>
      </c>
      <c r="G46" s="27" t="str">
        <f aca="false">IF($J46=0,INDEX(Lines!$Q$3:$Q$1590,MATCH(SMALL(Lines!$G$3:$G$1590,41),Lines!$G$3:$G$1590,0)),IF(AND(ISNUMBER($J46),$J46&gt;0,$J46&lt;99),INDEX(Lines!$P$3:$P$1590,MATCH(SMALL(Lines!$G$3:$G$1590,41),Lines!$G$3:$G$1590,0)),""))</f>
        <v/>
      </c>
      <c r="H46" s="28" t="str">
        <f aca="false">IF($J46=0,INDEX(Lines!$H$3:$H$1590,MATCH(SMALL(Lines!$G$3:$G$1590,41),Lines!$G$3:$G$1590,0))&amp;" groups",IF(AND(ISNUMBER($J46),$J46&gt;0,$J46&lt;99),INDEX(Lines!$I$3:$I$1590,MATCH(SMALL(Lines!$G$3:$G$1590,41),Lines!$G$3:$G$1590,0)),""))</f>
        <v/>
      </c>
      <c r="I46" s="26"/>
      <c r="J46" s="22" t="str">
        <f aca="false">IFERROR(IF(MOD(SMALL(Lines!$G$3:$G$1590,41),100000)=0,-1,MOD(SMALL(Lines!$G$3:$G$1590,41),100)),"")</f>
        <v/>
      </c>
      <c r="K46" s="22" t="str">
        <f aca="false">IF($J46=0,INDEX(Lines!$L$3:$L$1590,MATCH(SMALL(Lines!$G$3:$G$1590,41),Lines!$G$3:$G$1590,0)),"")</f>
        <v/>
      </c>
    </row>
    <row r="47" customFormat="false" ht="15" hidden="false" customHeight="false" outlineLevel="0" collapsed="false">
      <c r="A47" s="24" t="str">
        <f aca="false">IF(OR($J47=0,AND(ISNUMBER($J47),$J47&gt;0,$J47&lt;99)),INDEX(Lines!$A$3:$A$1590,MATCH(SMALL(Lines!$G$3:$G$1590,42),Lines!$G$3:$G$1590,0)),"")</f>
        <v/>
      </c>
      <c r="B47" s="24" t="str">
        <f aca="false">IF($J47=-1,INDEX(Lines!$J$3:$J$1590,MATCH(SMALL(Lines!$G$3:$G$1590,42),Lines!$G$3:$G$1590,0)),IF($J47=0,INDEX(Lines!$L$3:$L$1590,MATCH(SMALL(Lines!$G$3:$G$1590,42),Lines!$G$3:$G$1590,0)),IF(AND(ISNUMBER($J47),$J47&gt;0,$J47&lt;99),INDEX(Lines!$N$3:$N$1590,MATCH(SMALL(Lines!$G$3:$G$1590,42),Lines!$G$3:$G$1590,0)),"")))</f>
        <v/>
      </c>
      <c r="C47" s="25" t="str">
        <f aca="false">IF($J47=0,INDEX(Lines!$K$3:$K$1590,MATCH(SMALL(Lines!$G$3:$G$1590,42),Lines!$G$3:$G$1590,0)),IF(AND(ISNUMBER($J47),$J47&gt;0,$J47&lt;99),INDEX(Lines!$C$3:$C$1590,MATCH(SMALL(Lines!$G$3:$G$1590,42),Lines!$G$3:$G$1590,0)),""))</f>
        <v/>
      </c>
      <c r="D47" s="26" t="str">
        <f aca="false">IF(AND(ISNUMBER($J47),$J47&gt;0,$J47&lt;99),INDEX(Lines!$D$3:$D$1590,MATCH(SMALL(Lines!$G$3:$G$1590,42),Lines!$G$3:$G$1590,0)),"")</f>
        <v/>
      </c>
      <c r="E47" s="26" t="str">
        <f aca="false">IF(AND(ISNUMBER($J47),$J47&gt;0,$J47&lt;99),INDEX(Lines!$E$3:$E$1590,MATCH(SMALL(Lines!$G$3:$G$1590,42),Lines!$G$3:$G$1590,0)),"")</f>
        <v/>
      </c>
      <c r="F47" s="26" t="str">
        <f aca="false">IF(AND(ISNUMBER($J47),$J47&gt;0,$J47&lt;99),INDEX(Lines!$O$3:$O$1590,MATCH(SMALL(Lines!$G$3:$G$1590,42),Lines!$G$3:$G$1590,0)),"")</f>
        <v/>
      </c>
      <c r="G47" s="27" t="str">
        <f aca="false">IF($J47=0,INDEX(Lines!$Q$3:$Q$1590,MATCH(SMALL(Lines!$G$3:$G$1590,42),Lines!$G$3:$G$1590,0)),IF(AND(ISNUMBER($J47),$J47&gt;0,$J47&lt;99),INDEX(Lines!$P$3:$P$1590,MATCH(SMALL(Lines!$G$3:$G$1590,42),Lines!$G$3:$G$1590,0)),""))</f>
        <v/>
      </c>
      <c r="H47" s="28" t="str">
        <f aca="false">IF($J47=0,INDEX(Lines!$H$3:$H$1590,MATCH(SMALL(Lines!$G$3:$G$1590,42),Lines!$G$3:$G$1590,0))&amp;" groups",IF(AND(ISNUMBER($J47),$J47&gt;0,$J47&lt;99),INDEX(Lines!$I$3:$I$1590,MATCH(SMALL(Lines!$G$3:$G$1590,42),Lines!$G$3:$G$1590,0)),""))</f>
        <v/>
      </c>
      <c r="I47" s="26"/>
      <c r="J47" s="22" t="str">
        <f aca="false">IFERROR(IF(MOD(SMALL(Lines!$G$3:$G$1590,42),100000)=0,-1,MOD(SMALL(Lines!$G$3:$G$1590,42),100)),"")</f>
        <v/>
      </c>
      <c r="K47" s="22" t="str">
        <f aca="false">IF($J47=0,INDEX(Lines!$L$3:$L$1590,MATCH(SMALL(Lines!$G$3:$G$1590,42),Lines!$G$3:$G$1590,0)),"")</f>
        <v/>
      </c>
    </row>
    <row r="48" customFormat="false" ht="15" hidden="false" customHeight="false" outlineLevel="0" collapsed="false">
      <c r="A48" s="24" t="str">
        <f aca="false">IF(OR($J48=0,AND(ISNUMBER($J48),$J48&gt;0,$J48&lt;99)),INDEX(Lines!$A$3:$A$1590,MATCH(SMALL(Lines!$G$3:$G$1590,43),Lines!$G$3:$G$1590,0)),"")</f>
        <v/>
      </c>
      <c r="B48" s="24" t="str">
        <f aca="false">IF($J48=-1,INDEX(Lines!$J$3:$J$1590,MATCH(SMALL(Lines!$G$3:$G$1590,43),Lines!$G$3:$G$1590,0)),IF($J48=0,INDEX(Lines!$L$3:$L$1590,MATCH(SMALL(Lines!$G$3:$G$1590,43),Lines!$G$3:$G$1590,0)),IF(AND(ISNUMBER($J48),$J48&gt;0,$J48&lt;99),INDEX(Lines!$N$3:$N$1590,MATCH(SMALL(Lines!$G$3:$G$1590,43),Lines!$G$3:$G$1590,0)),"")))</f>
        <v/>
      </c>
      <c r="C48" s="25" t="str">
        <f aca="false">IF($J48=0,INDEX(Lines!$K$3:$K$1590,MATCH(SMALL(Lines!$G$3:$G$1590,43),Lines!$G$3:$G$1590,0)),IF(AND(ISNUMBER($J48),$J48&gt;0,$J48&lt;99),INDEX(Lines!$C$3:$C$1590,MATCH(SMALL(Lines!$G$3:$G$1590,43),Lines!$G$3:$G$1590,0)),""))</f>
        <v/>
      </c>
      <c r="D48" s="26" t="str">
        <f aca="false">IF(AND(ISNUMBER($J48),$J48&gt;0,$J48&lt;99),INDEX(Lines!$D$3:$D$1590,MATCH(SMALL(Lines!$G$3:$G$1590,43),Lines!$G$3:$G$1590,0)),"")</f>
        <v/>
      </c>
      <c r="E48" s="26" t="str">
        <f aca="false">IF(AND(ISNUMBER($J48),$J48&gt;0,$J48&lt;99),INDEX(Lines!$E$3:$E$1590,MATCH(SMALL(Lines!$G$3:$G$1590,43),Lines!$G$3:$G$1590,0)),"")</f>
        <v/>
      </c>
      <c r="F48" s="26" t="str">
        <f aca="false">IF(AND(ISNUMBER($J48),$J48&gt;0,$J48&lt;99),INDEX(Lines!$O$3:$O$1590,MATCH(SMALL(Lines!$G$3:$G$1590,43),Lines!$G$3:$G$1590,0)),"")</f>
        <v/>
      </c>
      <c r="G48" s="27" t="str">
        <f aca="false">IF($J48=0,INDEX(Lines!$Q$3:$Q$1590,MATCH(SMALL(Lines!$G$3:$G$1590,43),Lines!$G$3:$G$1590,0)),IF(AND(ISNUMBER($J48),$J48&gt;0,$J48&lt;99),INDEX(Lines!$P$3:$P$1590,MATCH(SMALL(Lines!$G$3:$G$1590,43),Lines!$G$3:$G$1590,0)),""))</f>
        <v/>
      </c>
      <c r="H48" s="28" t="str">
        <f aca="false">IF($J48=0,INDEX(Lines!$H$3:$H$1590,MATCH(SMALL(Lines!$G$3:$G$1590,43),Lines!$G$3:$G$1590,0))&amp;" groups",IF(AND(ISNUMBER($J48),$J48&gt;0,$J48&lt;99),INDEX(Lines!$I$3:$I$1590,MATCH(SMALL(Lines!$G$3:$G$1590,43),Lines!$G$3:$G$1590,0)),""))</f>
        <v/>
      </c>
      <c r="I48" s="26"/>
      <c r="J48" s="22" t="str">
        <f aca="false">IFERROR(IF(MOD(SMALL(Lines!$G$3:$G$1590,43),100000)=0,-1,MOD(SMALL(Lines!$G$3:$G$1590,43),100)),"")</f>
        <v/>
      </c>
      <c r="K48" s="22" t="str">
        <f aca="false">IF($J48=0,INDEX(Lines!$L$3:$L$1590,MATCH(SMALL(Lines!$G$3:$G$1590,43),Lines!$G$3:$G$1590,0)),"")</f>
        <v/>
      </c>
    </row>
    <row r="49" customFormat="false" ht="15" hidden="false" customHeight="false" outlineLevel="0" collapsed="false">
      <c r="A49" s="24" t="str">
        <f aca="false">IF(OR($J49=0,AND(ISNUMBER($J49),$J49&gt;0,$J49&lt;99)),INDEX(Lines!$A$3:$A$1590,MATCH(SMALL(Lines!$G$3:$G$1590,44),Lines!$G$3:$G$1590,0)),"")</f>
        <v/>
      </c>
      <c r="B49" s="24" t="str">
        <f aca="false">IF($J49=-1,INDEX(Lines!$J$3:$J$1590,MATCH(SMALL(Lines!$G$3:$G$1590,44),Lines!$G$3:$G$1590,0)),IF($J49=0,INDEX(Lines!$L$3:$L$1590,MATCH(SMALL(Lines!$G$3:$G$1590,44),Lines!$G$3:$G$1590,0)),IF(AND(ISNUMBER($J49),$J49&gt;0,$J49&lt;99),INDEX(Lines!$N$3:$N$1590,MATCH(SMALL(Lines!$G$3:$G$1590,44),Lines!$G$3:$G$1590,0)),"")))</f>
        <v/>
      </c>
      <c r="C49" s="25" t="str">
        <f aca="false">IF($J49=0,INDEX(Lines!$K$3:$K$1590,MATCH(SMALL(Lines!$G$3:$G$1590,44),Lines!$G$3:$G$1590,0)),IF(AND(ISNUMBER($J49),$J49&gt;0,$J49&lt;99),INDEX(Lines!$C$3:$C$1590,MATCH(SMALL(Lines!$G$3:$G$1590,44),Lines!$G$3:$G$1590,0)),""))</f>
        <v/>
      </c>
      <c r="D49" s="26" t="str">
        <f aca="false">IF(AND(ISNUMBER($J49),$J49&gt;0,$J49&lt;99),INDEX(Lines!$D$3:$D$1590,MATCH(SMALL(Lines!$G$3:$G$1590,44),Lines!$G$3:$G$1590,0)),"")</f>
        <v/>
      </c>
      <c r="E49" s="26" t="str">
        <f aca="false">IF(AND(ISNUMBER($J49),$J49&gt;0,$J49&lt;99),INDEX(Lines!$E$3:$E$1590,MATCH(SMALL(Lines!$G$3:$G$1590,44),Lines!$G$3:$G$1590,0)),"")</f>
        <v/>
      </c>
      <c r="F49" s="26" t="str">
        <f aca="false">IF(AND(ISNUMBER($J49),$J49&gt;0,$J49&lt;99),INDEX(Lines!$O$3:$O$1590,MATCH(SMALL(Lines!$G$3:$G$1590,44),Lines!$G$3:$G$1590,0)),"")</f>
        <v/>
      </c>
      <c r="G49" s="27" t="str">
        <f aca="false">IF($J49=0,INDEX(Lines!$Q$3:$Q$1590,MATCH(SMALL(Lines!$G$3:$G$1590,44),Lines!$G$3:$G$1590,0)),IF(AND(ISNUMBER($J49),$J49&gt;0,$J49&lt;99),INDEX(Lines!$P$3:$P$1590,MATCH(SMALL(Lines!$G$3:$G$1590,44),Lines!$G$3:$G$1590,0)),""))</f>
        <v/>
      </c>
      <c r="H49" s="28" t="str">
        <f aca="false">IF($J49=0,INDEX(Lines!$H$3:$H$1590,MATCH(SMALL(Lines!$G$3:$G$1590,44),Lines!$G$3:$G$1590,0))&amp;" groups",IF(AND(ISNUMBER($J49),$J49&gt;0,$J49&lt;99),INDEX(Lines!$I$3:$I$1590,MATCH(SMALL(Lines!$G$3:$G$1590,44),Lines!$G$3:$G$1590,0)),""))</f>
        <v/>
      </c>
      <c r="I49" s="26"/>
      <c r="J49" s="22" t="str">
        <f aca="false">IFERROR(IF(MOD(SMALL(Lines!$G$3:$G$1590,44),100000)=0,-1,MOD(SMALL(Lines!$G$3:$G$1590,44),100)),"")</f>
        <v/>
      </c>
      <c r="K49" s="22" t="str">
        <f aca="false">IF($J49=0,INDEX(Lines!$L$3:$L$1590,MATCH(SMALL(Lines!$G$3:$G$1590,44),Lines!$G$3:$G$1590,0)),"")</f>
        <v/>
      </c>
    </row>
    <row r="50" customFormat="false" ht="15" hidden="false" customHeight="false" outlineLevel="0" collapsed="false">
      <c r="A50" s="24" t="str">
        <f aca="false">IF(OR($J50=0,AND(ISNUMBER($J50),$J50&gt;0,$J50&lt;99)),INDEX(Lines!$A$3:$A$1590,MATCH(SMALL(Lines!$G$3:$G$1590,45),Lines!$G$3:$G$1590,0)),"")</f>
        <v/>
      </c>
      <c r="B50" s="24" t="str">
        <f aca="false">IF($J50=-1,INDEX(Lines!$J$3:$J$1590,MATCH(SMALL(Lines!$G$3:$G$1590,45),Lines!$G$3:$G$1590,0)),IF($J50=0,INDEX(Lines!$L$3:$L$1590,MATCH(SMALL(Lines!$G$3:$G$1590,45),Lines!$G$3:$G$1590,0)),IF(AND(ISNUMBER($J50),$J50&gt;0,$J50&lt;99),INDEX(Lines!$N$3:$N$1590,MATCH(SMALL(Lines!$G$3:$G$1590,45),Lines!$G$3:$G$1590,0)),"")))</f>
        <v/>
      </c>
      <c r="C50" s="25" t="str">
        <f aca="false">IF($J50=0,INDEX(Lines!$K$3:$K$1590,MATCH(SMALL(Lines!$G$3:$G$1590,45),Lines!$G$3:$G$1590,0)),IF(AND(ISNUMBER($J50),$J50&gt;0,$J50&lt;99),INDEX(Lines!$C$3:$C$1590,MATCH(SMALL(Lines!$G$3:$G$1590,45),Lines!$G$3:$G$1590,0)),""))</f>
        <v/>
      </c>
      <c r="D50" s="26" t="str">
        <f aca="false">IF(AND(ISNUMBER($J50),$J50&gt;0,$J50&lt;99),INDEX(Lines!$D$3:$D$1590,MATCH(SMALL(Lines!$G$3:$G$1590,45),Lines!$G$3:$G$1590,0)),"")</f>
        <v/>
      </c>
      <c r="E50" s="26" t="str">
        <f aca="false">IF(AND(ISNUMBER($J50),$J50&gt;0,$J50&lt;99),INDEX(Lines!$E$3:$E$1590,MATCH(SMALL(Lines!$G$3:$G$1590,45),Lines!$G$3:$G$1590,0)),"")</f>
        <v/>
      </c>
      <c r="F50" s="26" t="str">
        <f aca="false">IF(AND(ISNUMBER($J50),$J50&gt;0,$J50&lt;99),INDEX(Lines!$O$3:$O$1590,MATCH(SMALL(Lines!$G$3:$G$1590,45),Lines!$G$3:$G$1590,0)),"")</f>
        <v/>
      </c>
      <c r="G50" s="27" t="str">
        <f aca="false">IF($J50=0,INDEX(Lines!$Q$3:$Q$1590,MATCH(SMALL(Lines!$G$3:$G$1590,45),Lines!$G$3:$G$1590,0)),IF(AND(ISNUMBER($J50),$J50&gt;0,$J50&lt;99),INDEX(Lines!$P$3:$P$1590,MATCH(SMALL(Lines!$G$3:$G$1590,45),Lines!$G$3:$G$1590,0)),""))</f>
        <v/>
      </c>
      <c r="H50" s="28" t="str">
        <f aca="false">IF($J50=0,INDEX(Lines!$H$3:$H$1590,MATCH(SMALL(Lines!$G$3:$G$1590,45),Lines!$G$3:$G$1590,0))&amp;" groups",IF(AND(ISNUMBER($J50),$J50&gt;0,$J50&lt;99),INDEX(Lines!$I$3:$I$1590,MATCH(SMALL(Lines!$G$3:$G$1590,45),Lines!$G$3:$G$1590,0)),""))</f>
        <v/>
      </c>
      <c r="I50" s="26"/>
      <c r="J50" s="22" t="str">
        <f aca="false">IFERROR(IF(MOD(SMALL(Lines!$G$3:$G$1590,45),100000)=0,-1,MOD(SMALL(Lines!$G$3:$G$1590,45),100)),"")</f>
        <v/>
      </c>
      <c r="K50" s="22" t="str">
        <f aca="false">IF($J50=0,INDEX(Lines!$L$3:$L$1590,MATCH(SMALL(Lines!$G$3:$G$1590,45),Lines!$G$3:$G$1590,0)),"")</f>
        <v/>
      </c>
    </row>
    <row r="51" customFormat="false" ht="15" hidden="false" customHeight="false" outlineLevel="0" collapsed="false">
      <c r="A51" s="24" t="str">
        <f aca="false">IF(OR($J51=0,AND(ISNUMBER($J51),$J51&gt;0,$J51&lt;99)),INDEX(Lines!$A$3:$A$1590,MATCH(SMALL(Lines!$G$3:$G$1590,46),Lines!$G$3:$G$1590,0)),"")</f>
        <v/>
      </c>
      <c r="B51" s="24" t="str">
        <f aca="false">IF($J51=-1,INDEX(Lines!$J$3:$J$1590,MATCH(SMALL(Lines!$G$3:$G$1590,46),Lines!$G$3:$G$1590,0)),IF($J51=0,INDEX(Lines!$L$3:$L$1590,MATCH(SMALL(Lines!$G$3:$G$1590,46),Lines!$G$3:$G$1590,0)),IF(AND(ISNUMBER($J51),$J51&gt;0,$J51&lt;99),INDEX(Lines!$N$3:$N$1590,MATCH(SMALL(Lines!$G$3:$G$1590,46),Lines!$G$3:$G$1590,0)),"")))</f>
        <v/>
      </c>
      <c r="C51" s="25" t="str">
        <f aca="false">IF($J51=0,INDEX(Lines!$K$3:$K$1590,MATCH(SMALL(Lines!$G$3:$G$1590,46),Lines!$G$3:$G$1590,0)),IF(AND(ISNUMBER($J51),$J51&gt;0,$J51&lt;99),INDEX(Lines!$C$3:$C$1590,MATCH(SMALL(Lines!$G$3:$G$1590,46),Lines!$G$3:$G$1590,0)),""))</f>
        <v/>
      </c>
      <c r="D51" s="26" t="str">
        <f aca="false">IF(AND(ISNUMBER($J51),$J51&gt;0,$J51&lt;99),INDEX(Lines!$D$3:$D$1590,MATCH(SMALL(Lines!$G$3:$G$1590,46),Lines!$G$3:$G$1590,0)),"")</f>
        <v/>
      </c>
      <c r="E51" s="26" t="str">
        <f aca="false">IF(AND(ISNUMBER($J51),$J51&gt;0,$J51&lt;99),INDEX(Lines!$E$3:$E$1590,MATCH(SMALL(Lines!$G$3:$G$1590,46),Lines!$G$3:$G$1590,0)),"")</f>
        <v/>
      </c>
      <c r="F51" s="26" t="str">
        <f aca="false">IF(AND(ISNUMBER($J51),$J51&gt;0,$J51&lt;99),INDEX(Lines!$O$3:$O$1590,MATCH(SMALL(Lines!$G$3:$G$1590,46),Lines!$G$3:$G$1590,0)),"")</f>
        <v/>
      </c>
      <c r="G51" s="27" t="str">
        <f aca="false">IF($J51=0,INDEX(Lines!$Q$3:$Q$1590,MATCH(SMALL(Lines!$G$3:$G$1590,46),Lines!$G$3:$G$1590,0)),IF(AND(ISNUMBER($J51),$J51&gt;0,$J51&lt;99),INDEX(Lines!$P$3:$P$1590,MATCH(SMALL(Lines!$G$3:$G$1590,46),Lines!$G$3:$G$1590,0)),""))</f>
        <v/>
      </c>
      <c r="H51" s="28" t="str">
        <f aca="false">IF($J51=0,INDEX(Lines!$H$3:$H$1590,MATCH(SMALL(Lines!$G$3:$G$1590,46),Lines!$G$3:$G$1590,0))&amp;" groups",IF(AND(ISNUMBER($J51),$J51&gt;0,$J51&lt;99),INDEX(Lines!$I$3:$I$1590,MATCH(SMALL(Lines!$G$3:$G$1590,46),Lines!$G$3:$G$1590,0)),""))</f>
        <v/>
      </c>
      <c r="I51" s="26"/>
      <c r="J51" s="22" t="str">
        <f aca="false">IFERROR(IF(MOD(SMALL(Lines!$G$3:$G$1590,46),100000)=0,-1,MOD(SMALL(Lines!$G$3:$G$1590,46),100)),"")</f>
        <v/>
      </c>
      <c r="K51" s="22" t="str">
        <f aca="false">IF($J51=0,INDEX(Lines!$L$3:$L$1590,MATCH(SMALL(Lines!$G$3:$G$1590,46),Lines!$G$3:$G$1590,0)),"")</f>
        <v/>
      </c>
    </row>
    <row r="52" customFormat="false" ht="15" hidden="false" customHeight="false" outlineLevel="0" collapsed="false">
      <c r="A52" s="24" t="str">
        <f aca="false">IF(OR($J52=0,AND(ISNUMBER($J52),$J52&gt;0,$J52&lt;99)),INDEX(Lines!$A$3:$A$1590,MATCH(SMALL(Lines!$G$3:$G$1590,47),Lines!$G$3:$G$1590,0)),"")</f>
        <v/>
      </c>
      <c r="B52" s="24" t="str">
        <f aca="false">IF($J52=-1,INDEX(Lines!$J$3:$J$1590,MATCH(SMALL(Lines!$G$3:$G$1590,47),Lines!$G$3:$G$1590,0)),IF($J52=0,INDEX(Lines!$L$3:$L$1590,MATCH(SMALL(Lines!$G$3:$G$1590,47),Lines!$G$3:$G$1590,0)),IF(AND(ISNUMBER($J52),$J52&gt;0,$J52&lt;99),INDEX(Lines!$N$3:$N$1590,MATCH(SMALL(Lines!$G$3:$G$1590,47),Lines!$G$3:$G$1590,0)),"")))</f>
        <v/>
      </c>
      <c r="C52" s="25" t="str">
        <f aca="false">IF($J52=0,INDEX(Lines!$K$3:$K$1590,MATCH(SMALL(Lines!$G$3:$G$1590,47),Lines!$G$3:$G$1590,0)),IF(AND(ISNUMBER($J52),$J52&gt;0,$J52&lt;99),INDEX(Lines!$C$3:$C$1590,MATCH(SMALL(Lines!$G$3:$G$1590,47),Lines!$G$3:$G$1590,0)),""))</f>
        <v/>
      </c>
      <c r="D52" s="26" t="str">
        <f aca="false">IF(AND(ISNUMBER($J52),$J52&gt;0,$J52&lt;99),INDEX(Lines!$D$3:$D$1590,MATCH(SMALL(Lines!$G$3:$G$1590,47),Lines!$G$3:$G$1590,0)),"")</f>
        <v/>
      </c>
      <c r="E52" s="26" t="str">
        <f aca="false">IF(AND(ISNUMBER($J52),$J52&gt;0,$J52&lt;99),INDEX(Lines!$E$3:$E$1590,MATCH(SMALL(Lines!$G$3:$G$1590,47),Lines!$G$3:$G$1590,0)),"")</f>
        <v/>
      </c>
      <c r="F52" s="26" t="str">
        <f aca="false">IF(AND(ISNUMBER($J52),$J52&gt;0,$J52&lt;99),INDEX(Lines!$O$3:$O$1590,MATCH(SMALL(Lines!$G$3:$G$1590,47),Lines!$G$3:$G$1590,0)),"")</f>
        <v/>
      </c>
      <c r="G52" s="27" t="str">
        <f aca="false">IF($J52=0,INDEX(Lines!$Q$3:$Q$1590,MATCH(SMALL(Lines!$G$3:$G$1590,47),Lines!$G$3:$G$1590,0)),IF(AND(ISNUMBER($J52),$J52&gt;0,$J52&lt;99),INDEX(Lines!$P$3:$P$1590,MATCH(SMALL(Lines!$G$3:$G$1590,47),Lines!$G$3:$G$1590,0)),""))</f>
        <v/>
      </c>
      <c r="H52" s="28" t="str">
        <f aca="false">IF($J52=0,INDEX(Lines!$H$3:$H$1590,MATCH(SMALL(Lines!$G$3:$G$1590,47),Lines!$G$3:$G$1590,0))&amp;" groups",IF(AND(ISNUMBER($J52),$J52&gt;0,$J52&lt;99),INDEX(Lines!$I$3:$I$1590,MATCH(SMALL(Lines!$G$3:$G$1590,47),Lines!$G$3:$G$1590,0)),""))</f>
        <v/>
      </c>
      <c r="I52" s="26"/>
      <c r="J52" s="22" t="str">
        <f aca="false">IFERROR(IF(MOD(SMALL(Lines!$G$3:$G$1590,47),100000)=0,-1,MOD(SMALL(Lines!$G$3:$G$1590,47),100)),"")</f>
        <v/>
      </c>
      <c r="K52" s="22" t="str">
        <f aca="false">IF($J52=0,INDEX(Lines!$L$3:$L$1590,MATCH(SMALL(Lines!$G$3:$G$1590,47),Lines!$G$3:$G$1590,0)),"")</f>
        <v/>
      </c>
    </row>
    <row r="53" customFormat="false" ht="15" hidden="false" customHeight="false" outlineLevel="0" collapsed="false">
      <c r="A53" s="24" t="str">
        <f aca="false">IF(OR($J53=0,AND(ISNUMBER($J53),$J53&gt;0,$J53&lt;99)),INDEX(Lines!$A$3:$A$1590,MATCH(SMALL(Lines!$G$3:$G$1590,48),Lines!$G$3:$G$1590,0)),"")</f>
        <v/>
      </c>
      <c r="B53" s="24" t="str">
        <f aca="false">IF($J53=-1,INDEX(Lines!$J$3:$J$1590,MATCH(SMALL(Lines!$G$3:$G$1590,48),Lines!$G$3:$G$1590,0)),IF($J53=0,INDEX(Lines!$L$3:$L$1590,MATCH(SMALL(Lines!$G$3:$G$1590,48),Lines!$G$3:$G$1590,0)),IF(AND(ISNUMBER($J53),$J53&gt;0,$J53&lt;99),INDEX(Lines!$N$3:$N$1590,MATCH(SMALL(Lines!$G$3:$G$1590,48),Lines!$G$3:$G$1590,0)),"")))</f>
        <v/>
      </c>
      <c r="C53" s="25" t="str">
        <f aca="false">IF($J53=0,INDEX(Lines!$K$3:$K$1590,MATCH(SMALL(Lines!$G$3:$G$1590,48),Lines!$G$3:$G$1590,0)),IF(AND(ISNUMBER($J53),$J53&gt;0,$J53&lt;99),INDEX(Lines!$C$3:$C$1590,MATCH(SMALL(Lines!$G$3:$G$1590,48),Lines!$G$3:$G$1590,0)),""))</f>
        <v/>
      </c>
      <c r="D53" s="26" t="str">
        <f aca="false">IF(AND(ISNUMBER($J53),$J53&gt;0,$J53&lt;99),INDEX(Lines!$D$3:$D$1590,MATCH(SMALL(Lines!$G$3:$G$1590,48),Lines!$G$3:$G$1590,0)),"")</f>
        <v/>
      </c>
      <c r="E53" s="26" t="str">
        <f aca="false">IF(AND(ISNUMBER($J53),$J53&gt;0,$J53&lt;99),INDEX(Lines!$E$3:$E$1590,MATCH(SMALL(Lines!$G$3:$G$1590,48),Lines!$G$3:$G$1590,0)),"")</f>
        <v/>
      </c>
      <c r="F53" s="26" t="str">
        <f aca="false">IF(AND(ISNUMBER($J53),$J53&gt;0,$J53&lt;99),INDEX(Lines!$O$3:$O$1590,MATCH(SMALL(Lines!$G$3:$G$1590,48),Lines!$G$3:$G$1590,0)),"")</f>
        <v/>
      </c>
      <c r="G53" s="27" t="str">
        <f aca="false">IF($J53=0,INDEX(Lines!$Q$3:$Q$1590,MATCH(SMALL(Lines!$G$3:$G$1590,48),Lines!$G$3:$G$1590,0)),IF(AND(ISNUMBER($J53),$J53&gt;0,$J53&lt;99),INDEX(Lines!$P$3:$P$1590,MATCH(SMALL(Lines!$G$3:$G$1590,48),Lines!$G$3:$G$1590,0)),""))</f>
        <v/>
      </c>
      <c r="H53" s="28" t="str">
        <f aca="false">IF($J53=0,INDEX(Lines!$H$3:$H$1590,MATCH(SMALL(Lines!$G$3:$G$1590,48),Lines!$G$3:$G$1590,0))&amp;" groups",IF(AND(ISNUMBER($J53),$J53&gt;0,$J53&lt;99),INDEX(Lines!$I$3:$I$1590,MATCH(SMALL(Lines!$G$3:$G$1590,48),Lines!$G$3:$G$1590,0)),""))</f>
        <v/>
      </c>
      <c r="I53" s="26"/>
      <c r="J53" s="22" t="str">
        <f aca="false">IFERROR(IF(MOD(SMALL(Lines!$G$3:$G$1590,48),100000)=0,-1,MOD(SMALL(Lines!$G$3:$G$1590,48),100)),"")</f>
        <v/>
      </c>
      <c r="K53" s="22" t="str">
        <f aca="false">IF($J53=0,INDEX(Lines!$L$3:$L$1590,MATCH(SMALL(Lines!$G$3:$G$1590,48),Lines!$G$3:$G$1590,0)),"")</f>
        <v/>
      </c>
    </row>
    <row r="54" customFormat="false" ht="15" hidden="false" customHeight="false" outlineLevel="0" collapsed="false">
      <c r="A54" s="24" t="str">
        <f aca="false">IF(OR($J54=0,AND(ISNUMBER($J54),$J54&gt;0,$J54&lt;99)),INDEX(Lines!$A$3:$A$1590,MATCH(SMALL(Lines!$G$3:$G$1590,49),Lines!$G$3:$G$1590,0)),"")</f>
        <v/>
      </c>
      <c r="B54" s="24" t="str">
        <f aca="false">IF($J54=-1,INDEX(Lines!$J$3:$J$1590,MATCH(SMALL(Lines!$G$3:$G$1590,49),Lines!$G$3:$G$1590,0)),IF($J54=0,INDEX(Lines!$L$3:$L$1590,MATCH(SMALL(Lines!$G$3:$G$1590,49),Lines!$G$3:$G$1590,0)),IF(AND(ISNUMBER($J54),$J54&gt;0,$J54&lt;99),INDEX(Lines!$N$3:$N$1590,MATCH(SMALL(Lines!$G$3:$G$1590,49),Lines!$G$3:$G$1590,0)),"")))</f>
        <v/>
      </c>
      <c r="C54" s="25" t="str">
        <f aca="false">IF($J54=0,INDEX(Lines!$K$3:$K$1590,MATCH(SMALL(Lines!$G$3:$G$1590,49),Lines!$G$3:$G$1590,0)),IF(AND(ISNUMBER($J54),$J54&gt;0,$J54&lt;99),INDEX(Lines!$C$3:$C$1590,MATCH(SMALL(Lines!$G$3:$G$1590,49),Lines!$G$3:$G$1590,0)),""))</f>
        <v/>
      </c>
      <c r="D54" s="26" t="str">
        <f aca="false">IF(AND(ISNUMBER($J54),$J54&gt;0,$J54&lt;99),INDEX(Lines!$D$3:$D$1590,MATCH(SMALL(Lines!$G$3:$G$1590,49),Lines!$G$3:$G$1590,0)),"")</f>
        <v/>
      </c>
      <c r="E54" s="26" t="str">
        <f aca="false">IF(AND(ISNUMBER($J54),$J54&gt;0,$J54&lt;99),INDEX(Lines!$E$3:$E$1590,MATCH(SMALL(Lines!$G$3:$G$1590,49),Lines!$G$3:$G$1590,0)),"")</f>
        <v/>
      </c>
      <c r="F54" s="26" t="str">
        <f aca="false">IF(AND(ISNUMBER($J54),$J54&gt;0,$J54&lt;99),INDEX(Lines!$O$3:$O$1590,MATCH(SMALL(Lines!$G$3:$G$1590,49),Lines!$G$3:$G$1590,0)),"")</f>
        <v/>
      </c>
      <c r="G54" s="27" t="str">
        <f aca="false">IF($J54=0,INDEX(Lines!$Q$3:$Q$1590,MATCH(SMALL(Lines!$G$3:$G$1590,49),Lines!$G$3:$G$1590,0)),IF(AND(ISNUMBER($J54),$J54&gt;0,$J54&lt;99),INDEX(Lines!$P$3:$P$1590,MATCH(SMALL(Lines!$G$3:$G$1590,49),Lines!$G$3:$G$1590,0)),""))</f>
        <v/>
      </c>
      <c r="H54" s="28" t="str">
        <f aca="false">IF($J54=0,INDEX(Lines!$H$3:$H$1590,MATCH(SMALL(Lines!$G$3:$G$1590,49),Lines!$G$3:$G$1590,0))&amp;" groups",IF(AND(ISNUMBER($J54),$J54&gt;0,$J54&lt;99),INDEX(Lines!$I$3:$I$1590,MATCH(SMALL(Lines!$G$3:$G$1590,49),Lines!$G$3:$G$1590,0)),""))</f>
        <v/>
      </c>
      <c r="I54" s="26"/>
      <c r="J54" s="22" t="str">
        <f aca="false">IFERROR(IF(MOD(SMALL(Lines!$G$3:$G$1590,49),100000)=0,-1,MOD(SMALL(Lines!$G$3:$G$1590,49),100)),"")</f>
        <v/>
      </c>
      <c r="K54" s="22" t="str">
        <f aca="false">IF($J54=0,INDEX(Lines!$L$3:$L$1590,MATCH(SMALL(Lines!$G$3:$G$1590,49),Lines!$G$3:$G$1590,0)),"")</f>
        <v/>
      </c>
    </row>
    <row r="55" customFormat="false" ht="15" hidden="false" customHeight="false" outlineLevel="0" collapsed="false">
      <c r="A55" s="24" t="str">
        <f aca="false">IF(OR($J55=0,AND(ISNUMBER($J55),$J55&gt;0,$J55&lt;99)),INDEX(Lines!$A$3:$A$1590,MATCH(SMALL(Lines!$G$3:$G$1590,50),Lines!$G$3:$G$1590,0)),"")</f>
        <v/>
      </c>
      <c r="B55" s="24" t="str">
        <f aca="false">IF($J55=-1,INDEX(Lines!$J$3:$J$1590,MATCH(SMALL(Lines!$G$3:$G$1590,50),Lines!$G$3:$G$1590,0)),IF($J55=0,INDEX(Lines!$L$3:$L$1590,MATCH(SMALL(Lines!$G$3:$G$1590,50),Lines!$G$3:$G$1590,0)),IF(AND(ISNUMBER($J55),$J55&gt;0,$J55&lt;99),INDEX(Lines!$N$3:$N$1590,MATCH(SMALL(Lines!$G$3:$G$1590,50),Lines!$G$3:$G$1590,0)),"")))</f>
        <v/>
      </c>
      <c r="C55" s="25" t="str">
        <f aca="false">IF($J55=0,INDEX(Lines!$K$3:$K$1590,MATCH(SMALL(Lines!$G$3:$G$1590,50),Lines!$G$3:$G$1590,0)),IF(AND(ISNUMBER($J55),$J55&gt;0,$J55&lt;99),INDEX(Lines!$C$3:$C$1590,MATCH(SMALL(Lines!$G$3:$G$1590,50),Lines!$G$3:$G$1590,0)),""))</f>
        <v/>
      </c>
      <c r="D55" s="26" t="str">
        <f aca="false">IF(AND(ISNUMBER($J55),$J55&gt;0,$J55&lt;99),INDEX(Lines!$D$3:$D$1590,MATCH(SMALL(Lines!$G$3:$G$1590,50),Lines!$G$3:$G$1590,0)),"")</f>
        <v/>
      </c>
      <c r="E55" s="26" t="str">
        <f aca="false">IF(AND(ISNUMBER($J55),$J55&gt;0,$J55&lt;99),INDEX(Lines!$E$3:$E$1590,MATCH(SMALL(Lines!$G$3:$G$1590,50),Lines!$G$3:$G$1590,0)),"")</f>
        <v/>
      </c>
      <c r="F55" s="26" t="str">
        <f aca="false">IF(AND(ISNUMBER($J55),$J55&gt;0,$J55&lt;99),INDEX(Lines!$O$3:$O$1590,MATCH(SMALL(Lines!$G$3:$G$1590,50),Lines!$G$3:$G$1590,0)),"")</f>
        <v/>
      </c>
      <c r="G55" s="27" t="str">
        <f aca="false">IF($J55=0,INDEX(Lines!$Q$3:$Q$1590,MATCH(SMALL(Lines!$G$3:$G$1590,50),Lines!$G$3:$G$1590,0)),IF(AND(ISNUMBER($J55),$J55&gt;0,$J55&lt;99),INDEX(Lines!$P$3:$P$1590,MATCH(SMALL(Lines!$G$3:$G$1590,50),Lines!$G$3:$G$1590,0)),""))</f>
        <v/>
      </c>
      <c r="H55" s="28" t="str">
        <f aca="false">IF($J55=0,INDEX(Lines!$H$3:$H$1590,MATCH(SMALL(Lines!$G$3:$G$1590,50),Lines!$G$3:$G$1590,0))&amp;" groups",IF(AND(ISNUMBER($J55),$J55&gt;0,$J55&lt;99),INDEX(Lines!$I$3:$I$1590,MATCH(SMALL(Lines!$G$3:$G$1590,50),Lines!$G$3:$G$1590,0)),""))</f>
        <v/>
      </c>
      <c r="I55" s="26"/>
      <c r="J55" s="22" t="str">
        <f aca="false">IFERROR(IF(MOD(SMALL(Lines!$G$3:$G$1590,50),100000)=0,-1,MOD(SMALL(Lines!$G$3:$G$1590,50),100)),"")</f>
        <v/>
      </c>
      <c r="K55" s="22" t="str">
        <f aca="false">IF($J55=0,INDEX(Lines!$L$3:$L$1590,MATCH(SMALL(Lines!$G$3:$G$1590,50),Lines!$G$3:$G$1590,0)),"")</f>
        <v/>
      </c>
    </row>
    <row r="56" customFormat="false" ht="15" hidden="false" customHeight="false" outlineLevel="0" collapsed="false">
      <c r="A56" s="24" t="str">
        <f aca="false">IF(OR($J56=0,AND(ISNUMBER($J56),$J56&gt;0,$J56&lt;99)),INDEX(Lines!$A$3:$A$1590,MATCH(SMALL(Lines!$G$3:$G$1590,51),Lines!$G$3:$G$1590,0)),"")</f>
        <v/>
      </c>
      <c r="B56" s="24" t="str">
        <f aca="false">IF($J56=-1,INDEX(Lines!$J$3:$J$1590,MATCH(SMALL(Lines!$G$3:$G$1590,51),Lines!$G$3:$G$1590,0)),IF($J56=0,INDEX(Lines!$L$3:$L$1590,MATCH(SMALL(Lines!$G$3:$G$1590,51),Lines!$G$3:$G$1590,0)),IF(AND(ISNUMBER($J56),$J56&gt;0,$J56&lt;99),INDEX(Lines!$N$3:$N$1590,MATCH(SMALL(Lines!$G$3:$G$1590,51),Lines!$G$3:$G$1590,0)),"")))</f>
        <v/>
      </c>
      <c r="C56" s="25" t="str">
        <f aca="false">IF($J56=0,INDEX(Lines!$K$3:$K$1590,MATCH(SMALL(Lines!$G$3:$G$1590,51),Lines!$G$3:$G$1590,0)),IF(AND(ISNUMBER($J56),$J56&gt;0,$J56&lt;99),INDEX(Lines!$C$3:$C$1590,MATCH(SMALL(Lines!$G$3:$G$1590,51),Lines!$G$3:$G$1590,0)),""))</f>
        <v/>
      </c>
      <c r="D56" s="26" t="str">
        <f aca="false">IF(AND(ISNUMBER($J56),$J56&gt;0,$J56&lt;99),INDEX(Lines!$D$3:$D$1590,MATCH(SMALL(Lines!$G$3:$G$1590,51),Lines!$G$3:$G$1590,0)),"")</f>
        <v/>
      </c>
      <c r="E56" s="26" t="str">
        <f aca="false">IF(AND(ISNUMBER($J56),$J56&gt;0,$J56&lt;99),INDEX(Lines!$E$3:$E$1590,MATCH(SMALL(Lines!$G$3:$G$1590,51),Lines!$G$3:$G$1590,0)),"")</f>
        <v/>
      </c>
      <c r="F56" s="26" t="str">
        <f aca="false">IF(AND(ISNUMBER($J56),$J56&gt;0,$J56&lt;99),INDEX(Lines!$O$3:$O$1590,MATCH(SMALL(Lines!$G$3:$G$1590,51),Lines!$G$3:$G$1590,0)),"")</f>
        <v/>
      </c>
      <c r="G56" s="27" t="str">
        <f aca="false">IF($J56=0,INDEX(Lines!$Q$3:$Q$1590,MATCH(SMALL(Lines!$G$3:$G$1590,51),Lines!$G$3:$G$1590,0)),IF(AND(ISNUMBER($J56),$J56&gt;0,$J56&lt;99),INDEX(Lines!$P$3:$P$1590,MATCH(SMALL(Lines!$G$3:$G$1590,51),Lines!$G$3:$G$1590,0)),""))</f>
        <v/>
      </c>
      <c r="H56" s="28" t="str">
        <f aca="false">IF($J56=0,INDEX(Lines!$H$3:$H$1590,MATCH(SMALL(Lines!$G$3:$G$1590,51),Lines!$G$3:$G$1590,0))&amp;" groups",IF(AND(ISNUMBER($J56),$J56&gt;0,$J56&lt;99),INDEX(Lines!$I$3:$I$1590,MATCH(SMALL(Lines!$G$3:$G$1590,51),Lines!$G$3:$G$1590,0)),""))</f>
        <v/>
      </c>
      <c r="I56" s="26"/>
      <c r="J56" s="22" t="str">
        <f aca="false">IFERROR(IF(MOD(SMALL(Lines!$G$3:$G$1590,51),100000)=0,-1,MOD(SMALL(Lines!$G$3:$G$1590,51),100)),"")</f>
        <v/>
      </c>
      <c r="K56" s="22" t="str">
        <f aca="false">IF($J56=0,INDEX(Lines!$L$3:$L$1590,MATCH(SMALL(Lines!$G$3:$G$1590,51),Lines!$G$3:$G$1590,0)),"")</f>
        <v/>
      </c>
    </row>
    <row r="57" customFormat="false" ht="15" hidden="false" customHeight="false" outlineLevel="0" collapsed="false">
      <c r="A57" s="24" t="str">
        <f aca="false">IF(OR($J57=0,AND(ISNUMBER($J57),$J57&gt;0,$J57&lt;99)),INDEX(Lines!$A$3:$A$1590,MATCH(SMALL(Lines!$G$3:$G$1590,52),Lines!$G$3:$G$1590,0)),"")</f>
        <v/>
      </c>
      <c r="B57" s="24" t="str">
        <f aca="false">IF($J57=-1,INDEX(Lines!$J$3:$J$1590,MATCH(SMALL(Lines!$G$3:$G$1590,52),Lines!$G$3:$G$1590,0)),IF($J57=0,INDEX(Lines!$L$3:$L$1590,MATCH(SMALL(Lines!$G$3:$G$1590,52),Lines!$G$3:$G$1590,0)),IF(AND(ISNUMBER($J57),$J57&gt;0,$J57&lt;99),INDEX(Lines!$N$3:$N$1590,MATCH(SMALL(Lines!$G$3:$G$1590,52),Lines!$G$3:$G$1590,0)),"")))</f>
        <v/>
      </c>
      <c r="C57" s="25" t="str">
        <f aca="false">IF($J57=0,INDEX(Lines!$K$3:$K$1590,MATCH(SMALL(Lines!$G$3:$G$1590,52),Lines!$G$3:$G$1590,0)),IF(AND(ISNUMBER($J57),$J57&gt;0,$J57&lt;99),INDEX(Lines!$C$3:$C$1590,MATCH(SMALL(Lines!$G$3:$G$1590,52),Lines!$G$3:$G$1590,0)),""))</f>
        <v/>
      </c>
      <c r="D57" s="26" t="str">
        <f aca="false">IF(AND(ISNUMBER($J57),$J57&gt;0,$J57&lt;99),INDEX(Lines!$D$3:$D$1590,MATCH(SMALL(Lines!$G$3:$G$1590,52),Lines!$G$3:$G$1590,0)),"")</f>
        <v/>
      </c>
      <c r="E57" s="26" t="str">
        <f aca="false">IF(AND(ISNUMBER($J57),$J57&gt;0,$J57&lt;99),INDEX(Lines!$E$3:$E$1590,MATCH(SMALL(Lines!$G$3:$G$1590,52),Lines!$G$3:$G$1590,0)),"")</f>
        <v/>
      </c>
      <c r="F57" s="26" t="str">
        <f aca="false">IF(AND(ISNUMBER($J57),$J57&gt;0,$J57&lt;99),INDEX(Lines!$O$3:$O$1590,MATCH(SMALL(Lines!$G$3:$G$1590,52),Lines!$G$3:$G$1590,0)),"")</f>
        <v/>
      </c>
      <c r="G57" s="27" t="str">
        <f aca="false">IF($J57=0,INDEX(Lines!$Q$3:$Q$1590,MATCH(SMALL(Lines!$G$3:$G$1590,52),Lines!$G$3:$G$1590,0)),IF(AND(ISNUMBER($J57),$J57&gt;0,$J57&lt;99),INDEX(Lines!$P$3:$P$1590,MATCH(SMALL(Lines!$G$3:$G$1590,52),Lines!$G$3:$G$1590,0)),""))</f>
        <v/>
      </c>
      <c r="H57" s="28" t="str">
        <f aca="false">IF($J57=0,INDEX(Lines!$H$3:$H$1590,MATCH(SMALL(Lines!$G$3:$G$1590,52),Lines!$G$3:$G$1590,0))&amp;" groups",IF(AND(ISNUMBER($J57),$J57&gt;0,$J57&lt;99),INDEX(Lines!$I$3:$I$1590,MATCH(SMALL(Lines!$G$3:$G$1590,52),Lines!$G$3:$G$1590,0)),""))</f>
        <v/>
      </c>
      <c r="I57" s="26"/>
      <c r="J57" s="22" t="str">
        <f aca="false">IFERROR(IF(MOD(SMALL(Lines!$G$3:$G$1590,52),100000)=0,-1,MOD(SMALL(Lines!$G$3:$G$1590,52),100)),"")</f>
        <v/>
      </c>
      <c r="K57" s="22" t="str">
        <f aca="false">IF($J57=0,INDEX(Lines!$L$3:$L$1590,MATCH(SMALL(Lines!$G$3:$G$1590,52),Lines!$G$3:$G$1590,0)),"")</f>
        <v/>
      </c>
    </row>
    <row r="58" customFormat="false" ht="15" hidden="false" customHeight="false" outlineLevel="0" collapsed="false">
      <c r="A58" s="24" t="str">
        <f aca="false">IF(OR($J58=0,AND(ISNUMBER($J58),$J58&gt;0,$J58&lt;99)),INDEX(Lines!$A$3:$A$1590,MATCH(SMALL(Lines!$G$3:$G$1590,53),Lines!$G$3:$G$1590,0)),"")</f>
        <v/>
      </c>
      <c r="B58" s="24" t="str">
        <f aca="false">IF($J58=-1,INDEX(Lines!$J$3:$J$1590,MATCH(SMALL(Lines!$G$3:$G$1590,53),Lines!$G$3:$G$1590,0)),IF($J58=0,INDEX(Lines!$L$3:$L$1590,MATCH(SMALL(Lines!$G$3:$G$1590,53),Lines!$G$3:$G$1590,0)),IF(AND(ISNUMBER($J58),$J58&gt;0,$J58&lt;99),INDEX(Lines!$N$3:$N$1590,MATCH(SMALL(Lines!$G$3:$G$1590,53),Lines!$G$3:$G$1590,0)),"")))</f>
        <v/>
      </c>
      <c r="C58" s="25" t="str">
        <f aca="false">IF($J58=0,INDEX(Lines!$K$3:$K$1590,MATCH(SMALL(Lines!$G$3:$G$1590,53),Lines!$G$3:$G$1590,0)),IF(AND(ISNUMBER($J58),$J58&gt;0,$J58&lt;99),INDEX(Lines!$C$3:$C$1590,MATCH(SMALL(Lines!$G$3:$G$1590,53),Lines!$G$3:$G$1590,0)),""))</f>
        <v/>
      </c>
      <c r="D58" s="26" t="str">
        <f aca="false">IF(AND(ISNUMBER($J58),$J58&gt;0,$J58&lt;99),INDEX(Lines!$D$3:$D$1590,MATCH(SMALL(Lines!$G$3:$G$1590,53),Lines!$G$3:$G$1590,0)),"")</f>
        <v/>
      </c>
      <c r="E58" s="26" t="str">
        <f aca="false">IF(AND(ISNUMBER($J58),$J58&gt;0,$J58&lt;99),INDEX(Lines!$E$3:$E$1590,MATCH(SMALL(Lines!$G$3:$G$1590,53),Lines!$G$3:$G$1590,0)),"")</f>
        <v/>
      </c>
      <c r="F58" s="26" t="str">
        <f aca="false">IF(AND(ISNUMBER($J58),$J58&gt;0,$J58&lt;99),INDEX(Lines!$O$3:$O$1590,MATCH(SMALL(Lines!$G$3:$G$1590,53),Lines!$G$3:$G$1590,0)),"")</f>
        <v/>
      </c>
      <c r="G58" s="27" t="str">
        <f aca="false">IF($J58=0,INDEX(Lines!$Q$3:$Q$1590,MATCH(SMALL(Lines!$G$3:$G$1590,53),Lines!$G$3:$G$1590,0)),IF(AND(ISNUMBER($J58),$J58&gt;0,$J58&lt;99),INDEX(Lines!$P$3:$P$1590,MATCH(SMALL(Lines!$G$3:$G$1590,53),Lines!$G$3:$G$1590,0)),""))</f>
        <v/>
      </c>
      <c r="H58" s="28" t="str">
        <f aca="false">IF($J58=0,INDEX(Lines!$H$3:$H$1590,MATCH(SMALL(Lines!$G$3:$G$1590,53),Lines!$G$3:$G$1590,0))&amp;" groups",IF(AND(ISNUMBER($J58),$J58&gt;0,$J58&lt;99),INDEX(Lines!$I$3:$I$1590,MATCH(SMALL(Lines!$G$3:$G$1590,53),Lines!$G$3:$G$1590,0)),""))</f>
        <v/>
      </c>
      <c r="I58" s="26"/>
      <c r="J58" s="22" t="str">
        <f aca="false">IFERROR(IF(MOD(SMALL(Lines!$G$3:$G$1590,53),100000)=0,-1,MOD(SMALL(Lines!$G$3:$G$1590,53),100)),"")</f>
        <v/>
      </c>
      <c r="K58" s="22" t="str">
        <f aca="false">IF($J58=0,INDEX(Lines!$L$3:$L$1590,MATCH(SMALL(Lines!$G$3:$G$1590,53),Lines!$G$3:$G$1590,0)),"")</f>
        <v/>
      </c>
    </row>
    <row r="59" customFormat="false" ht="15" hidden="false" customHeight="false" outlineLevel="0" collapsed="false">
      <c r="A59" s="24" t="str">
        <f aca="false">IF(OR($J59=0,AND(ISNUMBER($J59),$J59&gt;0,$J59&lt;99)),INDEX(Lines!$A$3:$A$1590,MATCH(SMALL(Lines!$G$3:$G$1590,54),Lines!$G$3:$G$1590,0)),"")</f>
        <v/>
      </c>
      <c r="B59" s="24" t="str">
        <f aca="false">IF($J59=-1,INDEX(Lines!$J$3:$J$1590,MATCH(SMALL(Lines!$G$3:$G$1590,54),Lines!$G$3:$G$1590,0)),IF($J59=0,INDEX(Lines!$L$3:$L$1590,MATCH(SMALL(Lines!$G$3:$G$1590,54),Lines!$G$3:$G$1590,0)),IF(AND(ISNUMBER($J59),$J59&gt;0,$J59&lt;99),INDEX(Lines!$N$3:$N$1590,MATCH(SMALL(Lines!$G$3:$G$1590,54),Lines!$G$3:$G$1590,0)),"")))</f>
        <v/>
      </c>
      <c r="C59" s="25" t="str">
        <f aca="false">IF($J59=0,INDEX(Lines!$K$3:$K$1590,MATCH(SMALL(Lines!$G$3:$G$1590,54),Lines!$G$3:$G$1590,0)),IF(AND(ISNUMBER($J59),$J59&gt;0,$J59&lt;99),INDEX(Lines!$C$3:$C$1590,MATCH(SMALL(Lines!$G$3:$G$1590,54),Lines!$G$3:$G$1590,0)),""))</f>
        <v/>
      </c>
      <c r="D59" s="26" t="str">
        <f aca="false">IF(AND(ISNUMBER($J59),$J59&gt;0,$J59&lt;99),INDEX(Lines!$D$3:$D$1590,MATCH(SMALL(Lines!$G$3:$G$1590,54),Lines!$G$3:$G$1590,0)),"")</f>
        <v/>
      </c>
      <c r="E59" s="26" t="str">
        <f aca="false">IF(AND(ISNUMBER($J59),$J59&gt;0,$J59&lt;99),INDEX(Lines!$E$3:$E$1590,MATCH(SMALL(Lines!$G$3:$G$1590,54),Lines!$G$3:$G$1590,0)),"")</f>
        <v/>
      </c>
      <c r="F59" s="26" t="str">
        <f aca="false">IF(AND(ISNUMBER($J59),$J59&gt;0,$J59&lt;99),INDEX(Lines!$O$3:$O$1590,MATCH(SMALL(Lines!$G$3:$G$1590,54),Lines!$G$3:$G$1590,0)),"")</f>
        <v/>
      </c>
      <c r="G59" s="27" t="str">
        <f aca="false">IF($J59=0,INDEX(Lines!$Q$3:$Q$1590,MATCH(SMALL(Lines!$G$3:$G$1590,54),Lines!$G$3:$G$1590,0)),IF(AND(ISNUMBER($J59),$J59&gt;0,$J59&lt;99),INDEX(Lines!$P$3:$P$1590,MATCH(SMALL(Lines!$G$3:$G$1590,54),Lines!$G$3:$G$1590,0)),""))</f>
        <v/>
      </c>
      <c r="H59" s="28" t="str">
        <f aca="false">IF($J59=0,INDEX(Lines!$H$3:$H$1590,MATCH(SMALL(Lines!$G$3:$G$1590,54),Lines!$G$3:$G$1590,0))&amp;" groups",IF(AND(ISNUMBER($J59),$J59&gt;0,$J59&lt;99),INDEX(Lines!$I$3:$I$1590,MATCH(SMALL(Lines!$G$3:$G$1590,54),Lines!$G$3:$G$1590,0)),""))</f>
        <v/>
      </c>
      <c r="I59" s="26"/>
      <c r="J59" s="22" t="str">
        <f aca="false">IFERROR(IF(MOD(SMALL(Lines!$G$3:$G$1590,54),100000)=0,-1,MOD(SMALL(Lines!$G$3:$G$1590,54),100)),"")</f>
        <v/>
      </c>
      <c r="K59" s="22" t="str">
        <f aca="false">IF($J59=0,INDEX(Lines!$L$3:$L$1590,MATCH(SMALL(Lines!$G$3:$G$1590,54),Lines!$G$3:$G$1590,0)),"")</f>
        <v/>
      </c>
    </row>
    <row r="60" customFormat="false" ht="15" hidden="false" customHeight="false" outlineLevel="0" collapsed="false">
      <c r="A60" s="24" t="str">
        <f aca="false">IF(OR($J60=0,AND(ISNUMBER($J60),$J60&gt;0,$J60&lt;99)),INDEX(Lines!$A$3:$A$1590,MATCH(SMALL(Lines!$G$3:$G$1590,55),Lines!$G$3:$G$1590,0)),"")</f>
        <v/>
      </c>
      <c r="B60" s="24" t="str">
        <f aca="false">IF($J60=-1,INDEX(Lines!$J$3:$J$1590,MATCH(SMALL(Lines!$G$3:$G$1590,55),Lines!$G$3:$G$1590,0)),IF($J60=0,INDEX(Lines!$L$3:$L$1590,MATCH(SMALL(Lines!$G$3:$G$1590,55),Lines!$G$3:$G$1590,0)),IF(AND(ISNUMBER($J60),$J60&gt;0,$J60&lt;99),INDEX(Lines!$N$3:$N$1590,MATCH(SMALL(Lines!$G$3:$G$1590,55),Lines!$G$3:$G$1590,0)),"")))</f>
        <v/>
      </c>
      <c r="C60" s="25" t="str">
        <f aca="false">IF($J60=0,INDEX(Lines!$K$3:$K$1590,MATCH(SMALL(Lines!$G$3:$G$1590,55),Lines!$G$3:$G$1590,0)),IF(AND(ISNUMBER($J60),$J60&gt;0,$J60&lt;99),INDEX(Lines!$C$3:$C$1590,MATCH(SMALL(Lines!$G$3:$G$1590,55),Lines!$G$3:$G$1590,0)),""))</f>
        <v/>
      </c>
      <c r="D60" s="26" t="str">
        <f aca="false">IF(AND(ISNUMBER($J60),$J60&gt;0,$J60&lt;99),INDEX(Lines!$D$3:$D$1590,MATCH(SMALL(Lines!$G$3:$G$1590,55),Lines!$G$3:$G$1590,0)),"")</f>
        <v/>
      </c>
      <c r="E60" s="26" t="str">
        <f aca="false">IF(AND(ISNUMBER($J60),$J60&gt;0,$J60&lt;99),INDEX(Lines!$E$3:$E$1590,MATCH(SMALL(Lines!$G$3:$G$1590,55),Lines!$G$3:$G$1590,0)),"")</f>
        <v/>
      </c>
      <c r="F60" s="26" t="str">
        <f aca="false">IF(AND(ISNUMBER($J60),$J60&gt;0,$J60&lt;99),INDEX(Lines!$O$3:$O$1590,MATCH(SMALL(Lines!$G$3:$G$1590,55),Lines!$G$3:$G$1590,0)),"")</f>
        <v/>
      </c>
      <c r="G60" s="27" t="str">
        <f aca="false">IF($J60=0,INDEX(Lines!$Q$3:$Q$1590,MATCH(SMALL(Lines!$G$3:$G$1590,55),Lines!$G$3:$G$1590,0)),IF(AND(ISNUMBER($J60),$J60&gt;0,$J60&lt;99),INDEX(Lines!$P$3:$P$1590,MATCH(SMALL(Lines!$G$3:$G$1590,55),Lines!$G$3:$G$1590,0)),""))</f>
        <v/>
      </c>
      <c r="H60" s="28" t="str">
        <f aca="false">IF($J60=0,INDEX(Lines!$H$3:$H$1590,MATCH(SMALL(Lines!$G$3:$G$1590,55),Lines!$G$3:$G$1590,0))&amp;" groups",IF(AND(ISNUMBER($J60),$J60&gt;0,$J60&lt;99),INDEX(Lines!$I$3:$I$1590,MATCH(SMALL(Lines!$G$3:$G$1590,55),Lines!$G$3:$G$1590,0)),""))</f>
        <v/>
      </c>
      <c r="I60" s="26"/>
      <c r="J60" s="22" t="str">
        <f aca="false">IFERROR(IF(MOD(SMALL(Lines!$G$3:$G$1590,55),100000)=0,-1,MOD(SMALL(Lines!$G$3:$G$1590,55),100)),"")</f>
        <v/>
      </c>
      <c r="K60" s="22" t="str">
        <f aca="false">IF($J60=0,INDEX(Lines!$L$3:$L$1590,MATCH(SMALL(Lines!$G$3:$G$1590,55),Lines!$G$3:$G$1590,0)),"")</f>
        <v/>
      </c>
    </row>
    <row r="61" customFormat="false" ht="15" hidden="false" customHeight="false" outlineLevel="0" collapsed="false">
      <c r="A61" s="24" t="str">
        <f aca="false">IF(OR($J61=0,AND(ISNUMBER($J61),$J61&gt;0,$J61&lt;99)),INDEX(Lines!$A$3:$A$1590,MATCH(SMALL(Lines!$G$3:$G$1590,56),Lines!$G$3:$G$1590,0)),"")</f>
        <v/>
      </c>
      <c r="B61" s="24" t="str">
        <f aca="false">IF($J61=-1,INDEX(Lines!$J$3:$J$1590,MATCH(SMALL(Lines!$G$3:$G$1590,56),Lines!$G$3:$G$1590,0)),IF($J61=0,INDEX(Lines!$L$3:$L$1590,MATCH(SMALL(Lines!$G$3:$G$1590,56),Lines!$G$3:$G$1590,0)),IF(AND(ISNUMBER($J61),$J61&gt;0,$J61&lt;99),INDEX(Lines!$N$3:$N$1590,MATCH(SMALL(Lines!$G$3:$G$1590,56),Lines!$G$3:$G$1590,0)),"")))</f>
        <v/>
      </c>
      <c r="C61" s="25" t="str">
        <f aca="false">IF($J61=0,INDEX(Lines!$K$3:$K$1590,MATCH(SMALL(Lines!$G$3:$G$1590,56),Lines!$G$3:$G$1590,0)),IF(AND(ISNUMBER($J61),$J61&gt;0,$J61&lt;99),INDEX(Lines!$C$3:$C$1590,MATCH(SMALL(Lines!$G$3:$G$1590,56),Lines!$G$3:$G$1590,0)),""))</f>
        <v/>
      </c>
      <c r="D61" s="26" t="str">
        <f aca="false">IF(AND(ISNUMBER($J61),$J61&gt;0,$J61&lt;99),INDEX(Lines!$D$3:$D$1590,MATCH(SMALL(Lines!$G$3:$G$1590,56),Lines!$G$3:$G$1590,0)),"")</f>
        <v/>
      </c>
      <c r="E61" s="26" t="str">
        <f aca="false">IF(AND(ISNUMBER($J61),$J61&gt;0,$J61&lt;99),INDEX(Lines!$E$3:$E$1590,MATCH(SMALL(Lines!$G$3:$G$1590,56),Lines!$G$3:$G$1590,0)),"")</f>
        <v/>
      </c>
      <c r="F61" s="26" t="str">
        <f aca="false">IF(AND(ISNUMBER($J61),$J61&gt;0,$J61&lt;99),INDEX(Lines!$O$3:$O$1590,MATCH(SMALL(Lines!$G$3:$G$1590,56),Lines!$G$3:$G$1590,0)),"")</f>
        <v/>
      </c>
      <c r="G61" s="27" t="str">
        <f aca="false">IF($J61=0,INDEX(Lines!$Q$3:$Q$1590,MATCH(SMALL(Lines!$G$3:$G$1590,56),Lines!$G$3:$G$1590,0)),IF(AND(ISNUMBER($J61),$J61&gt;0,$J61&lt;99),INDEX(Lines!$P$3:$P$1590,MATCH(SMALL(Lines!$G$3:$G$1590,56),Lines!$G$3:$G$1590,0)),""))</f>
        <v/>
      </c>
      <c r="H61" s="28" t="str">
        <f aca="false">IF($J61=0,INDEX(Lines!$H$3:$H$1590,MATCH(SMALL(Lines!$G$3:$G$1590,56),Lines!$G$3:$G$1590,0))&amp;" groups",IF(AND(ISNUMBER($J61),$J61&gt;0,$J61&lt;99),INDEX(Lines!$I$3:$I$1590,MATCH(SMALL(Lines!$G$3:$G$1590,56),Lines!$G$3:$G$1590,0)),""))</f>
        <v/>
      </c>
      <c r="I61" s="26"/>
      <c r="J61" s="22" t="str">
        <f aca="false">IFERROR(IF(MOD(SMALL(Lines!$G$3:$G$1590,56),100000)=0,-1,MOD(SMALL(Lines!$G$3:$G$1590,56),100)),"")</f>
        <v/>
      </c>
      <c r="K61" s="22" t="str">
        <f aca="false">IF($J61=0,INDEX(Lines!$L$3:$L$1590,MATCH(SMALL(Lines!$G$3:$G$1590,56),Lines!$G$3:$G$1590,0)),"")</f>
        <v/>
      </c>
    </row>
    <row r="62" customFormat="false" ht="15" hidden="false" customHeight="false" outlineLevel="0" collapsed="false">
      <c r="A62" s="24" t="str">
        <f aca="false">IF(OR($J62=0,AND(ISNUMBER($J62),$J62&gt;0,$J62&lt;99)),INDEX(Lines!$A$3:$A$1590,MATCH(SMALL(Lines!$G$3:$G$1590,57),Lines!$G$3:$G$1590,0)),"")</f>
        <v/>
      </c>
      <c r="B62" s="24" t="str">
        <f aca="false">IF($J62=-1,INDEX(Lines!$J$3:$J$1590,MATCH(SMALL(Lines!$G$3:$G$1590,57),Lines!$G$3:$G$1590,0)),IF($J62=0,INDEX(Lines!$L$3:$L$1590,MATCH(SMALL(Lines!$G$3:$G$1590,57),Lines!$G$3:$G$1590,0)),IF(AND(ISNUMBER($J62),$J62&gt;0,$J62&lt;99),INDEX(Lines!$N$3:$N$1590,MATCH(SMALL(Lines!$G$3:$G$1590,57),Lines!$G$3:$G$1590,0)),"")))</f>
        <v/>
      </c>
      <c r="C62" s="25" t="str">
        <f aca="false">IF($J62=0,INDEX(Lines!$K$3:$K$1590,MATCH(SMALL(Lines!$G$3:$G$1590,57),Lines!$G$3:$G$1590,0)),IF(AND(ISNUMBER($J62),$J62&gt;0,$J62&lt;99),INDEX(Lines!$C$3:$C$1590,MATCH(SMALL(Lines!$G$3:$G$1590,57),Lines!$G$3:$G$1590,0)),""))</f>
        <v/>
      </c>
      <c r="D62" s="26" t="str">
        <f aca="false">IF(AND(ISNUMBER($J62),$J62&gt;0,$J62&lt;99),INDEX(Lines!$D$3:$D$1590,MATCH(SMALL(Lines!$G$3:$G$1590,57),Lines!$G$3:$G$1590,0)),"")</f>
        <v/>
      </c>
      <c r="E62" s="26" t="str">
        <f aca="false">IF(AND(ISNUMBER($J62),$J62&gt;0,$J62&lt;99),INDEX(Lines!$E$3:$E$1590,MATCH(SMALL(Lines!$G$3:$G$1590,57),Lines!$G$3:$G$1590,0)),"")</f>
        <v/>
      </c>
      <c r="F62" s="26" t="str">
        <f aca="false">IF(AND(ISNUMBER($J62),$J62&gt;0,$J62&lt;99),INDEX(Lines!$O$3:$O$1590,MATCH(SMALL(Lines!$G$3:$G$1590,57),Lines!$G$3:$G$1590,0)),"")</f>
        <v/>
      </c>
      <c r="G62" s="27" t="str">
        <f aca="false">IF($J62=0,INDEX(Lines!$Q$3:$Q$1590,MATCH(SMALL(Lines!$G$3:$G$1590,57),Lines!$G$3:$G$1590,0)),IF(AND(ISNUMBER($J62),$J62&gt;0,$J62&lt;99),INDEX(Lines!$P$3:$P$1590,MATCH(SMALL(Lines!$G$3:$G$1590,57),Lines!$G$3:$G$1590,0)),""))</f>
        <v/>
      </c>
      <c r="H62" s="28" t="str">
        <f aca="false">IF($J62=0,INDEX(Lines!$H$3:$H$1590,MATCH(SMALL(Lines!$G$3:$G$1590,57),Lines!$G$3:$G$1590,0))&amp;" groups",IF(AND(ISNUMBER($J62),$J62&gt;0,$J62&lt;99),INDEX(Lines!$I$3:$I$1590,MATCH(SMALL(Lines!$G$3:$G$1590,57),Lines!$G$3:$G$1590,0)),""))</f>
        <v/>
      </c>
      <c r="I62" s="26"/>
      <c r="J62" s="22" t="str">
        <f aca="false">IFERROR(IF(MOD(SMALL(Lines!$G$3:$G$1590,57),100000)=0,-1,MOD(SMALL(Lines!$G$3:$G$1590,57),100)),"")</f>
        <v/>
      </c>
      <c r="K62" s="22" t="str">
        <f aca="false">IF($J62=0,INDEX(Lines!$L$3:$L$1590,MATCH(SMALL(Lines!$G$3:$G$1590,57),Lines!$G$3:$G$1590,0)),"")</f>
        <v/>
      </c>
    </row>
    <row r="63" customFormat="false" ht="15" hidden="false" customHeight="false" outlineLevel="0" collapsed="false">
      <c r="A63" s="24" t="str">
        <f aca="false">IF(OR($J63=0,AND(ISNUMBER($J63),$J63&gt;0,$J63&lt;99)),INDEX(Lines!$A$3:$A$1590,MATCH(SMALL(Lines!$G$3:$G$1590,58),Lines!$G$3:$G$1590,0)),"")</f>
        <v/>
      </c>
      <c r="B63" s="24" t="str">
        <f aca="false">IF($J63=-1,INDEX(Lines!$J$3:$J$1590,MATCH(SMALL(Lines!$G$3:$G$1590,58),Lines!$G$3:$G$1590,0)),IF($J63=0,INDEX(Lines!$L$3:$L$1590,MATCH(SMALL(Lines!$G$3:$G$1590,58),Lines!$G$3:$G$1590,0)),IF(AND(ISNUMBER($J63),$J63&gt;0,$J63&lt;99),INDEX(Lines!$N$3:$N$1590,MATCH(SMALL(Lines!$G$3:$G$1590,58),Lines!$G$3:$G$1590,0)),"")))</f>
        <v/>
      </c>
      <c r="C63" s="25" t="str">
        <f aca="false">IF($J63=0,INDEX(Lines!$K$3:$K$1590,MATCH(SMALL(Lines!$G$3:$G$1590,58),Lines!$G$3:$G$1590,0)),IF(AND(ISNUMBER($J63),$J63&gt;0,$J63&lt;99),INDEX(Lines!$C$3:$C$1590,MATCH(SMALL(Lines!$G$3:$G$1590,58),Lines!$G$3:$G$1590,0)),""))</f>
        <v/>
      </c>
      <c r="D63" s="26" t="str">
        <f aca="false">IF(AND(ISNUMBER($J63),$J63&gt;0,$J63&lt;99),INDEX(Lines!$D$3:$D$1590,MATCH(SMALL(Lines!$G$3:$G$1590,58),Lines!$G$3:$G$1590,0)),"")</f>
        <v/>
      </c>
      <c r="E63" s="26" t="str">
        <f aca="false">IF(AND(ISNUMBER($J63),$J63&gt;0,$J63&lt;99),INDEX(Lines!$E$3:$E$1590,MATCH(SMALL(Lines!$G$3:$G$1590,58),Lines!$G$3:$G$1590,0)),"")</f>
        <v/>
      </c>
      <c r="F63" s="26" t="str">
        <f aca="false">IF(AND(ISNUMBER($J63),$J63&gt;0,$J63&lt;99),INDEX(Lines!$O$3:$O$1590,MATCH(SMALL(Lines!$G$3:$G$1590,58),Lines!$G$3:$G$1590,0)),"")</f>
        <v/>
      </c>
      <c r="G63" s="27" t="str">
        <f aca="false">IF($J63=0,INDEX(Lines!$Q$3:$Q$1590,MATCH(SMALL(Lines!$G$3:$G$1590,58),Lines!$G$3:$G$1590,0)),IF(AND(ISNUMBER($J63),$J63&gt;0,$J63&lt;99),INDEX(Lines!$P$3:$P$1590,MATCH(SMALL(Lines!$G$3:$G$1590,58),Lines!$G$3:$G$1590,0)),""))</f>
        <v/>
      </c>
      <c r="H63" s="28" t="str">
        <f aca="false">IF($J63=0,INDEX(Lines!$H$3:$H$1590,MATCH(SMALL(Lines!$G$3:$G$1590,58),Lines!$G$3:$G$1590,0))&amp;" groups",IF(AND(ISNUMBER($J63),$J63&gt;0,$J63&lt;99),INDEX(Lines!$I$3:$I$1590,MATCH(SMALL(Lines!$G$3:$G$1590,58),Lines!$G$3:$G$1590,0)),""))</f>
        <v/>
      </c>
      <c r="I63" s="26"/>
      <c r="J63" s="22" t="str">
        <f aca="false">IFERROR(IF(MOD(SMALL(Lines!$G$3:$G$1590,58),100000)=0,-1,MOD(SMALL(Lines!$G$3:$G$1590,58),100)),"")</f>
        <v/>
      </c>
      <c r="K63" s="22" t="str">
        <f aca="false">IF($J63=0,INDEX(Lines!$L$3:$L$1590,MATCH(SMALL(Lines!$G$3:$G$1590,58),Lines!$G$3:$G$1590,0)),"")</f>
        <v/>
      </c>
    </row>
    <row r="64" customFormat="false" ht="15" hidden="false" customHeight="false" outlineLevel="0" collapsed="false">
      <c r="A64" s="24" t="str">
        <f aca="false">IF(OR($J64=0,AND(ISNUMBER($J64),$J64&gt;0,$J64&lt;99)),INDEX(Lines!$A$3:$A$1590,MATCH(SMALL(Lines!$G$3:$G$1590,59),Lines!$G$3:$G$1590,0)),"")</f>
        <v/>
      </c>
      <c r="B64" s="24" t="str">
        <f aca="false">IF($J64=-1,INDEX(Lines!$J$3:$J$1590,MATCH(SMALL(Lines!$G$3:$G$1590,59),Lines!$G$3:$G$1590,0)),IF($J64=0,INDEX(Lines!$L$3:$L$1590,MATCH(SMALL(Lines!$G$3:$G$1590,59),Lines!$G$3:$G$1590,0)),IF(AND(ISNUMBER($J64),$J64&gt;0,$J64&lt;99),INDEX(Lines!$N$3:$N$1590,MATCH(SMALL(Lines!$G$3:$G$1590,59),Lines!$G$3:$G$1590,0)),"")))</f>
        <v/>
      </c>
      <c r="C64" s="25" t="str">
        <f aca="false">IF($J64=0,INDEX(Lines!$K$3:$K$1590,MATCH(SMALL(Lines!$G$3:$G$1590,59),Lines!$G$3:$G$1590,0)),IF(AND(ISNUMBER($J64),$J64&gt;0,$J64&lt;99),INDEX(Lines!$C$3:$C$1590,MATCH(SMALL(Lines!$G$3:$G$1590,59),Lines!$G$3:$G$1590,0)),""))</f>
        <v/>
      </c>
      <c r="D64" s="26" t="str">
        <f aca="false">IF(AND(ISNUMBER($J64),$J64&gt;0,$J64&lt;99),INDEX(Lines!$D$3:$D$1590,MATCH(SMALL(Lines!$G$3:$G$1590,59),Lines!$G$3:$G$1590,0)),"")</f>
        <v/>
      </c>
      <c r="E64" s="26" t="str">
        <f aca="false">IF(AND(ISNUMBER($J64),$J64&gt;0,$J64&lt;99),INDEX(Lines!$E$3:$E$1590,MATCH(SMALL(Lines!$G$3:$G$1590,59),Lines!$G$3:$G$1590,0)),"")</f>
        <v/>
      </c>
      <c r="F64" s="26" t="str">
        <f aca="false">IF(AND(ISNUMBER($J64),$J64&gt;0,$J64&lt;99),INDEX(Lines!$O$3:$O$1590,MATCH(SMALL(Lines!$G$3:$G$1590,59),Lines!$G$3:$G$1590,0)),"")</f>
        <v/>
      </c>
      <c r="G64" s="27" t="str">
        <f aca="false">IF($J64=0,INDEX(Lines!$Q$3:$Q$1590,MATCH(SMALL(Lines!$G$3:$G$1590,59),Lines!$G$3:$G$1590,0)),IF(AND(ISNUMBER($J64),$J64&gt;0,$J64&lt;99),INDEX(Lines!$P$3:$P$1590,MATCH(SMALL(Lines!$G$3:$G$1590,59),Lines!$G$3:$G$1590,0)),""))</f>
        <v/>
      </c>
      <c r="H64" s="28" t="str">
        <f aca="false">IF($J64=0,INDEX(Lines!$H$3:$H$1590,MATCH(SMALL(Lines!$G$3:$G$1590,59),Lines!$G$3:$G$1590,0))&amp;" groups",IF(AND(ISNUMBER($J64),$J64&gt;0,$J64&lt;99),INDEX(Lines!$I$3:$I$1590,MATCH(SMALL(Lines!$G$3:$G$1590,59),Lines!$G$3:$G$1590,0)),""))</f>
        <v/>
      </c>
      <c r="I64" s="26"/>
      <c r="J64" s="22" t="str">
        <f aca="false">IFERROR(IF(MOD(SMALL(Lines!$G$3:$G$1590,59),100000)=0,-1,MOD(SMALL(Lines!$G$3:$G$1590,59),100)),"")</f>
        <v/>
      </c>
      <c r="K64" s="22" t="str">
        <f aca="false">IF($J64=0,INDEX(Lines!$L$3:$L$1590,MATCH(SMALL(Lines!$G$3:$G$1590,59),Lines!$G$3:$G$1590,0)),"")</f>
        <v/>
      </c>
    </row>
    <row r="65" customFormat="false" ht="15" hidden="false" customHeight="false" outlineLevel="0" collapsed="false">
      <c r="A65" s="24" t="str">
        <f aca="false">IF(OR($J65=0,AND(ISNUMBER($J65),$J65&gt;0,$J65&lt;99)),INDEX(Lines!$A$3:$A$1590,MATCH(SMALL(Lines!$G$3:$G$1590,60),Lines!$G$3:$G$1590,0)),"")</f>
        <v/>
      </c>
      <c r="B65" s="24" t="str">
        <f aca="false">IF($J65=-1,INDEX(Lines!$J$3:$J$1590,MATCH(SMALL(Lines!$G$3:$G$1590,60),Lines!$G$3:$G$1590,0)),IF($J65=0,INDEX(Lines!$L$3:$L$1590,MATCH(SMALL(Lines!$G$3:$G$1590,60),Lines!$G$3:$G$1590,0)),IF(AND(ISNUMBER($J65),$J65&gt;0,$J65&lt;99),INDEX(Lines!$N$3:$N$1590,MATCH(SMALL(Lines!$G$3:$G$1590,60),Lines!$G$3:$G$1590,0)),"")))</f>
        <v/>
      </c>
      <c r="C65" s="25" t="str">
        <f aca="false">IF($J65=0,INDEX(Lines!$K$3:$K$1590,MATCH(SMALL(Lines!$G$3:$G$1590,60),Lines!$G$3:$G$1590,0)),IF(AND(ISNUMBER($J65),$J65&gt;0,$J65&lt;99),INDEX(Lines!$C$3:$C$1590,MATCH(SMALL(Lines!$G$3:$G$1590,60),Lines!$G$3:$G$1590,0)),""))</f>
        <v/>
      </c>
      <c r="D65" s="26" t="str">
        <f aca="false">IF(AND(ISNUMBER($J65),$J65&gt;0,$J65&lt;99),INDEX(Lines!$D$3:$D$1590,MATCH(SMALL(Lines!$G$3:$G$1590,60),Lines!$G$3:$G$1590,0)),"")</f>
        <v/>
      </c>
      <c r="E65" s="26" t="str">
        <f aca="false">IF(AND(ISNUMBER($J65),$J65&gt;0,$J65&lt;99),INDEX(Lines!$E$3:$E$1590,MATCH(SMALL(Lines!$G$3:$G$1590,60),Lines!$G$3:$G$1590,0)),"")</f>
        <v/>
      </c>
      <c r="F65" s="26" t="str">
        <f aca="false">IF(AND(ISNUMBER($J65),$J65&gt;0,$J65&lt;99),INDEX(Lines!$O$3:$O$1590,MATCH(SMALL(Lines!$G$3:$G$1590,60),Lines!$G$3:$G$1590,0)),"")</f>
        <v/>
      </c>
      <c r="G65" s="27" t="str">
        <f aca="false">IF($J65=0,INDEX(Lines!$Q$3:$Q$1590,MATCH(SMALL(Lines!$G$3:$G$1590,60),Lines!$G$3:$G$1590,0)),IF(AND(ISNUMBER($J65),$J65&gt;0,$J65&lt;99),INDEX(Lines!$P$3:$P$1590,MATCH(SMALL(Lines!$G$3:$G$1590,60),Lines!$G$3:$G$1590,0)),""))</f>
        <v/>
      </c>
      <c r="H65" s="28" t="str">
        <f aca="false">IF($J65=0,INDEX(Lines!$H$3:$H$1590,MATCH(SMALL(Lines!$G$3:$G$1590,60),Lines!$G$3:$G$1590,0))&amp;" groups",IF(AND(ISNUMBER($J65),$J65&gt;0,$J65&lt;99),INDEX(Lines!$I$3:$I$1590,MATCH(SMALL(Lines!$G$3:$G$1590,60),Lines!$G$3:$G$1590,0)),""))</f>
        <v/>
      </c>
      <c r="I65" s="26"/>
      <c r="J65" s="22" t="str">
        <f aca="false">IFERROR(IF(MOD(SMALL(Lines!$G$3:$G$1590,60),100000)=0,-1,MOD(SMALL(Lines!$G$3:$G$1590,60),100)),"")</f>
        <v/>
      </c>
      <c r="K65" s="22" t="str">
        <f aca="false">IF($J65=0,INDEX(Lines!$L$3:$L$1590,MATCH(SMALL(Lines!$G$3:$G$1590,60),Lines!$G$3:$G$1590,0)),"")</f>
        <v/>
      </c>
    </row>
    <row r="66" customFormat="false" ht="15" hidden="false" customHeight="false" outlineLevel="0" collapsed="false">
      <c r="A66" s="24" t="str">
        <f aca="false">IF(OR($J66=0,AND(ISNUMBER($J66),$J66&gt;0,$J66&lt;99)),INDEX(Lines!$A$3:$A$1590,MATCH(SMALL(Lines!$G$3:$G$1590,61),Lines!$G$3:$G$1590,0)),"")</f>
        <v/>
      </c>
      <c r="B66" s="24" t="str">
        <f aca="false">IF($J66=-1,INDEX(Lines!$J$3:$J$1590,MATCH(SMALL(Lines!$G$3:$G$1590,61),Lines!$G$3:$G$1590,0)),IF($J66=0,INDEX(Lines!$L$3:$L$1590,MATCH(SMALL(Lines!$G$3:$G$1590,61),Lines!$G$3:$G$1590,0)),IF(AND(ISNUMBER($J66),$J66&gt;0,$J66&lt;99),INDEX(Lines!$N$3:$N$1590,MATCH(SMALL(Lines!$G$3:$G$1590,61),Lines!$G$3:$G$1590,0)),"")))</f>
        <v/>
      </c>
      <c r="C66" s="25" t="str">
        <f aca="false">IF($J66=0,INDEX(Lines!$K$3:$K$1590,MATCH(SMALL(Lines!$G$3:$G$1590,61),Lines!$G$3:$G$1590,0)),IF(AND(ISNUMBER($J66),$J66&gt;0,$J66&lt;99),INDEX(Lines!$C$3:$C$1590,MATCH(SMALL(Lines!$G$3:$G$1590,61),Lines!$G$3:$G$1590,0)),""))</f>
        <v/>
      </c>
      <c r="D66" s="26" t="str">
        <f aca="false">IF(AND(ISNUMBER($J66),$J66&gt;0,$J66&lt;99),INDEX(Lines!$D$3:$D$1590,MATCH(SMALL(Lines!$G$3:$G$1590,61),Lines!$G$3:$G$1590,0)),"")</f>
        <v/>
      </c>
      <c r="E66" s="26" t="str">
        <f aca="false">IF(AND(ISNUMBER($J66),$J66&gt;0,$J66&lt;99),INDEX(Lines!$E$3:$E$1590,MATCH(SMALL(Lines!$G$3:$G$1590,61),Lines!$G$3:$G$1590,0)),"")</f>
        <v/>
      </c>
      <c r="F66" s="26" t="str">
        <f aca="false">IF(AND(ISNUMBER($J66),$J66&gt;0,$J66&lt;99),INDEX(Lines!$O$3:$O$1590,MATCH(SMALL(Lines!$G$3:$G$1590,61),Lines!$G$3:$G$1590,0)),"")</f>
        <v/>
      </c>
      <c r="G66" s="27" t="str">
        <f aca="false">IF($J66=0,INDEX(Lines!$Q$3:$Q$1590,MATCH(SMALL(Lines!$G$3:$G$1590,61),Lines!$G$3:$G$1590,0)),IF(AND(ISNUMBER($J66),$J66&gt;0,$J66&lt;99),INDEX(Lines!$P$3:$P$1590,MATCH(SMALL(Lines!$G$3:$G$1590,61),Lines!$G$3:$G$1590,0)),""))</f>
        <v/>
      </c>
      <c r="H66" s="28" t="str">
        <f aca="false">IF($J66=0,INDEX(Lines!$H$3:$H$1590,MATCH(SMALL(Lines!$G$3:$G$1590,61),Lines!$G$3:$G$1590,0))&amp;" groups",IF(AND(ISNUMBER($J66),$J66&gt;0,$J66&lt;99),INDEX(Lines!$I$3:$I$1590,MATCH(SMALL(Lines!$G$3:$G$1590,61),Lines!$G$3:$G$1590,0)),""))</f>
        <v/>
      </c>
      <c r="I66" s="26"/>
      <c r="J66" s="22" t="str">
        <f aca="false">IFERROR(IF(MOD(SMALL(Lines!$G$3:$G$1590,61),100000)=0,-1,MOD(SMALL(Lines!$G$3:$G$1590,61),100)),"")</f>
        <v/>
      </c>
      <c r="K66" s="22" t="str">
        <f aca="false">IF($J66=0,INDEX(Lines!$L$3:$L$1590,MATCH(SMALL(Lines!$G$3:$G$1590,61),Lines!$G$3:$G$1590,0)),"")</f>
        <v/>
      </c>
    </row>
    <row r="67" customFormat="false" ht="15" hidden="false" customHeight="false" outlineLevel="0" collapsed="false">
      <c r="A67" s="24" t="str">
        <f aca="false">IF(OR($J67=0,AND(ISNUMBER($J67),$J67&gt;0,$J67&lt;99)),INDEX(Lines!$A$3:$A$1590,MATCH(SMALL(Lines!$G$3:$G$1590,62),Lines!$G$3:$G$1590,0)),"")</f>
        <v/>
      </c>
      <c r="B67" s="24" t="str">
        <f aca="false">IF($J67=-1,INDEX(Lines!$J$3:$J$1590,MATCH(SMALL(Lines!$G$3:$G$1590,62),Lines!$G$3:$G$1590,0)),IF($J67=0,INDEX(Lines!$L$3:$L$1590,MATCH(SMALL(Lines!$G$3:$G$1590,62),Lines!$G$3:$G$1590,0)),IF(AND(ISNUMBER($J67),$J67&gt;0,$J67&lt;99),INDEX(Lines!$N$3:$N$1590,MATCH(SMALL(Lines!$G$3:$G$1590,62),Lines!$G$3:$G$1590,0)),"")))</f>
        <v/>
      </c>
      <c r="C67" s="25" t="str">
        <f aca="false">IF($J67=0,INDEX(Lines!$K$3:$K$1590,MATCH(SMALL(Lines!$G$3:$G$1590,62),Lines!$G$3:$G$1590,0)),IF(AND(ISNUMBER($J67),$J67&gt;0,$J67&lt;99),INDEX(Lines!$C$3:$C$1590,MATCH(SMALL(Lines!$G$3:$G$1590,62),Lines!$G$3:$G$1590,0)),""))</f>
        <v/>
      </c>
      <c r="D67" s="26" t="str">
        <f aca="false">IF(AND(ISNUMBER($J67),$J67&gt;0,$J67&lt;99),INDEX(Lines!$D$3:$D$1590,MATCH(SMALL(Lines!$G$3:$G$1590,62),Lines!$G$3:$G$1590,0)),"")</f>
        <v/>
      </c>
      <c r="E67" s="26" t="str">
        <f aca="false">IF(AND(ISNUMBER($J67),$J67&gt;0,$J67&lt;99),INDEX(Lines!$E$3:$E$1590,MATCH(SMALL(Lines!$G$3:$G$1590,62),Lines!$G$3:$G$1590,0)),"")</f>
        <v/>
      </c>
      <c r="F67" s="26" t="str">
        <f aca="false">IF(AND(ISNUMBER($J67),$J67&gt;0,$J67&lt;99),INDEX(Lines!$O$3:$O$1590,MATCH(SMALL(Lines!$G$3:$G$1590,62),Lines!$G$3:$G$1590,0)),"")</f>
        <v/>
      </c>
      <c r="G67" s="27" t="str">
        <f aca="false">IF($J67=0,INDEX(Lines!$Q$3:$Q$1590,MATCH(SMALL(Lines!$G$3:$G$1590,62),Lines!$G$3:$G$1590,0)),IF(AND(ISNUMBER($J67),$J67&gt;0,$J67&lt;99),INDEX(Lines!$P$3:$P$1590,MATCH(SMALL(Lines!$G$3:$G$1590,62),Lines!$G$3:$G$1590,0)),""))</f>
        <v/>
      </c>
      <c r="H67" s="28" t="str">
        <f aca="false">IF($J67=0,INDEX(Lines!$H$3:$H$1590,MATCH(SMALL(Lines!$G$3:$G$1590,62),Lines!$G$3:$G$1590,0))&amp;" groups",IF(AND(ISNUMBER($J67),$J67&gt;0,$J67&lt;99),INDEX(Lines!$I$3:$I$1590,MATCH(SMALL(Lines!$G$3:$G$1590,62),Lines!$G$3:$G$1590,0)),""))</f>
        <v/>
      </c>
      <c r="I67" s="26"/>
      <c r="J67" s="22" t="str">
        <f aca="false">IFERROR(IF(MOD(SMALL(Lines!$G$3:$G$1590,62),100000)=0,-1,MOD(SMALL(Lines!$G$3:$G$1590,62),100)),"")</f>
        <v/>
      </c>
      <c r="K67" s="22" t="str">
        <f aca="false">IF($J67=0,INDEX(Lines!$L$3:$L$1590,MATCH(SMALL(Lines!$G$3:$G$1590,62),Lines!$G$3:$G$1590,0)),"")</f>
        <v/>
      </c>
    </row>
    <row r="68" customFormat="false" ht="15" hidden="false" customHeight="false" outlineLevel="0" collapsed="false">
      <c r="A68" s="24" t="str">
        <f aca="false">IF(OR($J68=0,AND(ISNUMBER($J68),$J68&gt;0,$J68&lt;99)),INDEX(Lines!$A$3:$A$1590,MATCH(SMALL(Lines!$G$3:$G$1590,63),Lines!$G$3:$G$1590,0)),"")</f>
        <v/>
      </c>
      <c r="B68" s="24" t="str">
        <f aca="false">IF($J68=-1,INDEX(Lines!$J$3:$J$1590,MATCH(SMALL(Lines!$G$3:$G$1590,63),Lines!$G$3:$G$1590,0)),IF($J68=0,INDEX(Lines!$L$3:$L$1590,MATCH(SMALL(Lines!$G$3:$G$1590,63),Lines!$G$3:$G$1590,0)),IF(AND(ISNUMBER($J68),$J68&gt;0,$J68&lt;99),INDEX(Lines!$N$3:$N$1590,MATCH(SMALL(Lines!$G$3:$G$1590,63),Lines!$G$3:$G$1590,0)),"")))</f>
        <v/>
      </c>
      <c r="C68" s="25" t="str">
        <f aca="false">IF($J68=0,INDEX(Lines!$K$3:$K$1590,MATCH(SMALL(Lines!$G$3:$G$1590,63),Lines!$G$3:$G$1590,0)),IF(AND(ISNUMBER($J68),$J68&gt;0,$J68&lt;99),INDEX(Lines!$C$3:$C$1590,MATCH(SMALL(Lines!$G$3:$G$1590,63),Lines!$G$3:$G$1590,0)),""))</f>
        <v/>
      </c>
      <c r="D68" s="26" t="str">
        <f aca="false">IF(AND(ISNUMBER($J68),$J68&gt;0,$J68&lt;99),INDEX(Lines!$D$3:$D$1590,MATCH(SMALL(Lines!$G$3:$G$1590,63),Lines!$G$3:$G$1590,0)),"")</f>
        <v/>
      </c>
      <c r="E68" s="26" t="str">
        <f aca="false">IF(AND(ISNUMBER($J68),$J68&gt;0,$J68&lt;99),INDEX(Lines!$E$3:$E$1590,MATCH(SMALL(Lines!$G$3:$G$1590,63),Lines!$G$3:$G$1590,0)),"")</f>
        <v/>
      </c>
      <c r="F68" s="26" t="str">
        <f aca="false">IF(AND(ISNUMBER($J68),$J68&gt;0,$J68&lt;99),INDEX(Lines!$O$3:$O$1590,MATCH(SMALL(Lines!$G$3:$G$1590,63),Lines!$G$3:$G$1590,0)),"")</f>
        <v/>
      </c>
      <c r="G68" s="27" t="str">
        <f aca="false">IF($J68=0,INDEX(Lines!$Q$3:$Q$1590,MATCH(SMALL(Lines!$G$3:$G$1590,63),Lines!$G$3:$G$1590,0)),IF(AND(ISNUMBER($J68),$J68&gt;0,$J68&lt;99),INDEX(Lines!$P$3:$P$1590,MATCH(SMALL(Lines!$G$3:$G$1590,63),Lines!$G$3:$G$1590,0)),""))</f>
        <v/>
      </c>
      <c r="H68" s="28" t="str">
        <f aca="false">IF($J68=0,INDEX(Lines!$H$3:$H$1590,MATCH(SMALL(Lines!$G$3:$G$1590,63),Lines!$G$3:$G$1590,0))&amp;" groups",IF(AND(ISNUMBER($J68),$J68&gt;0,$J68&lt;99),INDEX(Lines!$I$3:$I$1590,MATCH(SMALL(Lines!$G$3:$G$1590,63),Lines!$G$3:$G$1590,0)),""))</f>
        <v/>
      </c>
      <c r="I68" s="26"/>
      <c r="J68" s="22" t="str">
        <f aca="false">IFERROR(IF(MOD(SMALL(Lines!$G$3:$G$1590,63),100000)=0,-1,MOD(SMALL(Lines!$G$3:$G$1590,63),100)),"")</f>
        <v/>
      </c>
      <c r="K68" s="22" t="str">
        <f aca="false">IF($J68=0,INDEX(Lines!$L$3:$L$1590,MATCH(SMALL(Lines!$G$3:$G$1590,63),Lines!$G$3:$G$1590,0)),"")</f>
        <v/>
      </c>
    </row>
    <row r="69" customFormat="false" ht="15" hidden="false" customHeight="false" outlineLevel="0" collapsed="false">
      <c r="A69" s="24" t="str">
        <f aca="false">IF(OR($J69=0,AND(ISNUMBER($J69),$J69&gt;0,$J69&lt;99)),INDEX(Lines!$A$3:$A$1590,MATCH(SMALL(Lines!$G$3:$G$1590,64),Lines!$G$3:$G$1590,0)),"")</f>
        <v/>
      </c>
      <c r="B69" s="24" t="str">
        <f aca="false">IF($J69=-1,INDEX(Lines!$J$3:$J$1590,MATCH(SMALL(Lines!$G$3:$G$1590,64),Lines!$G$3:$G$1590,0)),IF($J69=0,INDEX(Lines!$L$3:$L$1590,MATCH(SMALL(Lines!$G$3:$G$1590,64),Lines!$G$3:$G$1590,0)),IF(AND(ISNUMBER($J69),$J69&gt;0,$J69&lt;99),INDEX(Lines!$N$3:$N$1590,MATCH(SMALL(Lines!$G$3:$G$1590,64),Lines!$G$3:$G$1590,0)),"")))</f>
        <v/>
      </c>
      <c r="C69" s="25" t="str">
        <f aca="false">IF($J69=0,INDEX(Lines!$K$3:$K$1590,MATCH(SMALL(Lines!$G$3:$G$1590,64),Lines!$G$3:$G$1590,0)),IF(AND(ISNUMBER($J69),$J69&gt;0,$J69&lt;99),INDEX(Lines!$C$3:$C$1590,MATCH(SMALL(Lines!$G$3:$G$1590,64),Lines!$G$3:$G$1590,0)),""))</f>
        <v/>
      </c>
      <c r="D69" s="26" t="str">
        <f aca="false">IF(AND(ISNUMBER($J69),$J69&gt;0,$J69&lt;99),INDEX(Lines!$D$3:$D$1590,MATCH(SMALL(Lines!$G$3:$G$1590,64),Lines!$G$3:$G$1590,0)),"")</f>
        <v/>
      </c>
      <c r="E69" s="26" t="str">
        <f aca="false">IF(AND(ISNUMBER($J69),$J69&gt;0,$J69&lt;99),INDEX(Lines!$E$3:$E$1590,MATCH(SMALL(Lines!$G$3:$G$1590,64),Lines!$G$3:$G$1590,0)),"")</f>
        <v/>
      </c>
      <c r="F69" s="26" t="str">
        <f aca="false">IF(AND(ISNUMBER($J69),$J69&gt;0,$J69&lt;99),INDEX(Lines!$O$3:$O$1590,MATCH(SMALL(Lines!$G$3:$G$1590,64),Lines!$G$3:$G$1590,0)),"")</f>
        <v/>
      </c>
      <c r="G69" s="27" t="str">
        <f aca="false">IF($J69=0,INDEX(Lines!$Q$3:$Q$1590,MATCH(SMALL(Lines!$G$3:$G$1590,64),Lines!$G$3:$G$1590,0)),IF(AND(ISNUMBER($J69),$J69&gt;0,$J69&lt;99),INDEX(Lines!$P$3:$P$1590,MATCH(SMALL(Lines!$G$3:$G$1590,64),Lines!$G$3:$G$1590,0)),""))</f>
        <v/>
      </c>
      <c r="H69" s="28" t="str">
        <f aca="false">IF($J69=0,INDEX(Lines!$H$3:$H$1590,MATCH(SMALL(Lines!$G$3:$G$1590,64),Lines!$G$3:$G$1590,0))&amp;" groups",IF(AND(ISNUMBER($J69),$J69&gt;0,$J69&lt;99),INDEX(Lines!$I$3:$I$1590,MATCH(SMALL(Lines!$G$3:$G$1590,64),Lines!$G$3:$G$1590,0)),""))</f>
        <v/>
      </c>
      <c r="I69" s="26"/>
      <c r="J69" s="22" t="str">
        <f aca="false">IFERROR(IF(MOD(SMALL(Lines!$G$3:$G$1590,64),100000)=0,-1,MOD(SMALL(Lines!$G$3:$G$1590,64),100)),"")</f>
        <v/>
      </c>
      <c r="K69" s="22" t="str">
        <f aca="false">IF($J69=0,INDEX(Lines!$L$3:$L$1590,MATCH(SMALL(Lines!$G$3:$G$1590,64),Lines!$G$3:$G$1590,0)),"")</f>
        <v/>
      </c>
    </row>
    <row r="70" customFormat="false" ht="15" hidden="false" customHeight="false" outlineLevel="0" collapsed="false">
      <c r="A70" s="24" t="str">
        <f aca="false">IF(OR($J70=0,AND(ISNUMBER($J70),$J70&gt;0,$J70&lt;99)),INDEX(Lines!$A$3:$A$1590,MATCH(SMALL(Lines!$G$3:$G$1590,65),Lines!$G$3:$G$1590,0)),"")</f>
        <v/>
      </c>
      <c r="B70" s="24" t="str">
        <f aca="false">IF($J70=-1,INDEX(Lines!$J$3:$J$1590,MATCH(SMALL(Lines!$G$3:$G$1590,65),Lines!$G$3:$G$1590,0)),IF($J70=0,INDEX(Lines!$L$3:$L$1590,MATCH(SMALL(Lines!$G$3:$G$1590,65),Lines!$G$3:$G$1590,0)),IF(AND(ISNUMBER($J70),$J70&gt;0,$J70&lt;99),INDEX(Lines!$N$3:$N$1590,MATCH(SMALL(Lines!$G$3:$G$1590,65),Lines!$G$3:$G$1590,0)),"")))</f>
        <v/>
      </c>
      <c r="C70" s="25" t="str">
        <f aca="false">IF($J70=0,INDEX(Lines!$K$3:$K$1590,MATCH(SMALL(Lines!$G$3:$G$1590,65),Lines!$G$3:$G$1590,0)),IF(AND(ISNUMBER($J70),$J70&gt;0,$J70&lt;99),INDEX(Lines!$C$3:$C$1590,MATCH(SMALL(Lines!$G$3:$G$1590,65),Lines!$G$3:$G$1590,0)),""))</f>
        <v/>
      </c>
      <c r="D70" s="26" t="str">
        <f aca="false">IF(AND(ISNUMBER($J70),$J70&gt;0,$J70&lt;99),INDEX(Lines!$D$3:$D$1590,MATCH(SMALL(Lines!$G$3:$G$1590,65),Lines!$G$3:$G$1590,0)),"")</f>
        <v/>
      </c>
      <c r="E70" s="26" t="str">
        <f aca="false">IF(AND(ISNUMBER($J70),$J70&gt;0,$J70&lt;99),INDEX(Lines!$E$3:$E$1590,MATCH(SMALL(Lines!$G$3:$G$1590,65),Lines!$G$3:$G$1590,0)),"")</f>
        <v/>
      </c>
      <c r="F70" s="26" t="str">
        <f aca="false">IF(AND(ISNUMBER($J70),$J70&gt;0,$J70&lt;99),INDEX(Lines!$O$3:$O$1590,MATCH(SMALL(Lines!$G$3:$G$1590,65),Lines!$G$3:$G$1590,0)),"")</f>
        <v/>
      </c>
      <c r="G70" s="27" t="str">
        <f aca="false">IF($J70=0,INDEX(Lines!$Q$3:$Q$1590,MATCH(SMALL(Lines!$G$3:$G$1590,65),Lines!$G$3:$G$1590,0)),IF(AND(ISNUMBER($J70),$J70&gt;0,$J70&lt;99),INDEX(Lines!$P$3:$P$1590,MATCH(SMALL(Lines!$G$3:$G$1590,65),Lines!$G$3:$G$1590,0)),""))</f>
        <v/>
      </c>
      <c r="H70" s="28" t="str">
        <f aca="false">IF($J70=0,INDEX(Lines!$H$3:$H$1590,MATCH(SMALL(Lines!$G$3:$G$1590,65),Lines!$G$3:$G$1590,0))&amp;" groups",IF(AND(ISNUMBER($J70),$J70&gt;0,$J70&lt;99),INDEX(Lines!$I$3:$I$1590,MATCH(SMALL(Lines!$G$3:$G$1590,65),Lines!$G$3:$G$1590,0)),""))</f>
        <v/>
      </c>
      <c r="I70" s="26"/>
      <c r="J70" s="22" t="str">
        <f aca="false">IFERROR(IF(MOD(SMALL(Lines!$G$3:$G$1590,65),100000)=0,-1,MOD(SMALL(Lines!$G$3:$G$1590,65),100)),"")</f>
        <v/>
      </c>
      <c r="K70" s="22" t="str">
        <f aca="false">IF($J70=0,INDEX(Lines!$L$3:$L$1590,MATCH(SMALL(Lines!$G$3:$G$1590,65),Lines!$G$3:$G$1590,0)),"")</f>
        <v/>
      </c>
    </row>
    <row r="71" customFormat="false" ht="15" hidden="false" customHeight="false" outlineLevel="0" collapsed="false">
      <c r="A71" s="24" t="str">
        <f aca="false">IF(OR($J71=0,AND(ISNUMBER($J71),$J71&gt;0,$J71&lt;99)),INDEX(Lines!$A$3:$A$1590,MATCH(SMALL(Lines!$G$3:$G$1590,66),Lines!$G$3:$G$1590,0)),"")</f>
        <v/>
      </c>
      <c r="B71" s="24" t="str">
        <f aca="false">IF($J71=-1,INDEX(Lines!$J$3:$J$1590,MATCH(SMALL(Lines!$G$3:$G$1590,66),Lines!$G$3:$G$1590,0)),IF($J71=0,INDEX(Lines!$L$3:$L$1590,MATCH(SMALL(Lines!$G$3:$G$1590,66),Lines!$G$3:$G$1590,0)),IF(AND(ISNUMBER($J71),$J71&gt;0,$J71&lt;99),INDEX(Lines!$N$3:$N$1590,MATCH(SMALL(Lines!$G$3:$G$1590,66),Lines!$G$3:$G$1590,0)),"")))</f>
        <v/>
      </c>
      <c r="C71" s="25" t="str">
        <f aca="false">IF($J71=0,INDEX(Lines!$K$3:$K$1590,MATCH(SMALL(Lines!$G$3:$G$1590,66),Lines!$G$3:$G$1590,0)),IF(AND(ISNUMBER($J71),$J71&gt;0,$J71&lt;99),INDEX(Lines!$C$3:$C$1590,MATCH(SMALL(Lines!$G$3:$G$1590,66),Lines!$G$3:$G$1590,0)),""))</f>
        <v/>
      </c>
      <c r="D71" s="26" t="str">
        <f aca="false">IF(AND(ISNUMBER($J71),$J71&gt;0,$J71&lt;99),INDEX(Lines!$D$3:$D$1590,MATCH(SMALL(Lines!$G$3:$G$1590,66),Lines!$G$3:$G$1590,0)),"")</f>
        <v/>
      </c>
      <c r="E71" s="26" t="str">
        <f aca="false">IF(AND(ISNUMBER($J71),$J71&gt;0,$J71&lt;99),INDEX(Lines!$E$3:$E$1590,MATCH(SMALL(Lines!$G$3:$G$1590,66),Lines!$G$3:$G$1590,0)),"")</f>
        <v/>
      </c>
      <c r="F71" s="26" t="str">
        <f aca="false">IF(AND(ISNUMBER($J71),$J71&gt;0,$J71&lt;99),INDEX(Lines!$O$3:$O$1590,MATCH(SMALL(Lines!$G$3:$G$1590,66),Lines!$G$3:$G$1590,0)),"")</f>
        <v/>
      </c>
      <c r="G71" s="27" t="str">
        <f aca="false">IF($J71=0,INDEX(Lines!$Q$3:$Q$1590,MATCH(SMALL(Lines!$G$3:$G$1590,66),Lines!$G$3:$G$1590,0)),IF(AND(ISNUMBER($J71),$J71&gt;0,$J71&lt;99),INDEX(Lines!$P$3:$P$1590,MATCH(SMALL(Lines!$G$3:$G$1590,66),Lines!$G$3:$G$1590,0)),""))</f>
        <v/>
      </c>
      <c r="H71" s="28" t="str">
        <f aca="false">IF($J71=0,INDEX(Lines!$H$3:$H$1590,MATCH(SMALL(Lines!$G$3:$G$1590,66),Lines!$G$3:$G$1590,0))&amp;" groups",IF(AND(ISNUMBER($J71),$J71&gt;0,$J71&lt;99),INDEX(Lines!$I$3:$I$1590,MATCH(SMALL(Lines!$G$3:$G$1590,66),Lines!$G$3:$G$1590,0)),""))</f>
        <v/>
      </c>
      <c r="I71" s="26"/>
      <c r="J71" s="22" t="str">
        <f aca="false">IFERROR(IF(MOD(SMALL(Lines!$G$3:$G$1590,66),100000)=0,-1,MOD(SMALL(Lines!$G$3:$G$1590,66),100)),"")</f>
        <v/>
      </c>
      <c r="K71" s="22" t="str">
        <f aca="false">IF($J71=0,INDEX(Lines!$L$3:$L$1590,MATCH(SMALL(Lines!$G$3:$G$1590,66),Lines!$G$3:$G$1590,0)),"")</f>
        <v/>
      </c>
    </row>
    <row r="72" customFormat="false" ht="15" hidden="false" customHeight="false" outlineLevel="0" collapsed="false">
      <c r="A72" s="24" t="str">
        <f aca="false">IF(OR($J72=0,AND(ISNUMBER($J72),$J72&gt;0,$J72&lt;99)),INDEX(Lines!$A$3:$A$1590,MATCH(SMALL(Lines!$G$3:$G$1590,67),Lines!$G$3:$G$1590,0)),"")</f>
        <v/>
      </c>
      <c r="B72" s="24" t="str">
        <f aca="false">IF($J72=-1,INDEX(Lines!$J$3:$J$1590,MATCH(SMALL(Lines!$G$3:$G$1590,67),Lines!$G$3:$G$1590,0)),IF($J72=0,INDEX(Lines!$L$3:$L$1590,MATCH(SMALL(Lines!$G$3:$G$1590,67),Lines!$G$3:$G$1590,0)),IF(AND(ISNUMBER($J72),$J72&gt;0,$J72&lt;99),INDEX(Lines!$N$3:$N$1590,MATCH(SMALL(Lines!$G$3:$G$1590,67),Lines!$G$3:$G$1590,0)),"")))</f>
        <v/>
      </c>
      <c r="C72" s="25" t="str">
        <f aca="false">IF($J72=0,INDEX(Lines!$K$3:$K$1590,MATCH(SMALL(Lines!$G$3:$G$1590,67),Lines!$G$3:$G$1590,0)),IF(AND(ISNUMBER($J72),$J72&gt;0,$J72&lt;99),INDEX(Lines!$C$3:$C$1590,MATCH(SMALL(Lines!$G$3:$G$1590,67),Lines!$G$3:$G$1590,0)),""))</f>
        <v/>
      </c>
      <c r="D72" s="26" t="str">
        <f aca="false">IF(AND(ISNUMBER($J72),$J72&gt;0,$J72&lt;99),INDEX(Lines!$D$3:$D$1590,MATCH(SMALL(Lines!$G$3:$G$1590,67),Lines!$G$3:$G$1590,0)),"")</f>
        <v/>
      </c>
      <c r="E72" s="26" t="str">
        <f aca="false">IF(AND(ISNUMBER($J72),$J72&gt;0,$J72&lt;99),INDEX(Lines!$E$3:$E$1590,MATCH(SMALL(Lines!$G$3:$G$1590,67),Lines!$G$3:$G$1590,0)),"")</f>
        <v/>
      </c>
      <c r="F72" s="26" t="str">
        <f aca="false">IF(AND(ISNUMBER($J72),$J72&gt;0,$J72&lt;99),INDEX(Lines!$O$3:$O$1590,MATCH(SMALL(Lines!$G$3:$G$1590,67),Lines!$G$3:$G$1590,0)),"")</f>
        <v/>
      </c>
      <c r="G72" s="27" t="str">
        <f aca="false">IF($J72=0,INDEX(Lines!$Q$3:$Q$1590,MATCH(SMALL(Lines!$G$3:$G$1590,67),Lines!$G$3:$G$1590,0)),IF(AND(ISNUMBER($J72),$J72&gt;0,$J72&lt;99),INDEX(Lines!$P$3:$P$1590,MATCH(SMALL(Lines!$G$3:$G$1590,67),Lines!$G$3:$G$1590,0)),""))</f>
        <v/>
      </c>
      <c r="H72" s="28" t="str">
        <f aca="false">IF($J72=0,INDEX(Lines!$H$3:$H$1590,MATCH(SMALL(Lines!$G$3:$G$1590,67),Lines!$G$3:$G$1590,0))&amp;" groups",IF(AND(ISNUMBER($J72),$J72&gt;0,$J72&lt;99),INDEX(Lines!$I$3:$I$1590,MATCH(SMALL(Lines!$G$3:$G$1590,67),Lines!$G$3:$G$1590,0)),""))</f>
        <v/>
      </c>
      <c r="I72" s="26"/>
      <c r="J72" s="22" t="str">
        <f aca="false">IFERROR(IF(MOD(SMALL(Lines!$G$3:$G$1590,67),100000)=0,-1,MOD(SMALL(Lines!$G$3:$G$1590,67),100)),"")</f>
        <v/>
      </c>
      <c r="K72" s="22" t="str">
        <f aca="false">IF($J72=0,INDEX(Lines!$L$3:$L$1590,MATCH(SMALL(Lines!$G$3:$G$1590,67),Lines!$G$3:$G$1590,0)),"")</f>
        <v/>
      </c>
    </row>
    <row r="73" customFormat="false" ht="15" hidden="false" customHeight="false" outlineLevel="0" collapsed="false">
      <c r="A73" s="24" t="str">
        <f aca="false">IF(OR($J73=0,AND(ISNUMBER($J73),$J73&gt;0,$J73&lt;99)),INDEX(Lines!$A$3:$A$1590,MATCH(SMALL(Lines!$G$3:$G$1590,68),Lines!$G$3:$G$1590,0)),"")</f>
        <v/>
      </c>
      <c r="B73" s="24" t="str">
        <f aca="false">IF($J73=-1,INDEX(Lines!$J$3:$J$1590,MATCH(SMALL(Lines!$G$3:$G$1590,68),Lines!$G$3:$G$1590,0)),IF($J73=0,INDEX(Lines!$L$3:$L$1590,MATCH(SMALL(Lines!$G$3:$G$1590,68),Lines!$G$3:$G$1590,0)),IF(AND(ISNUMBER($J73),$J73&gt;0,$J73&lt;99),INDEX(Lines!$N$3:$N$1590,MATCH(SMALL(Lines!$G$3:$G$1590,68),Lines!$G$3:$G$1590,0)),"")))</f>
        <v/>
      </c>
      <c r="C73" s="25" t="str">
        <f aca="false">IF($J73=0,INDEX(Lines!$K$3:$K$1590,MATCH(SMALL(Lines!$G$3:$G$1590,68),Lines!$G$3:$G$1590,0)),IF(AND(ISNUMBER($J73),$J73&gt;0,$J73&lt;99),INDEX(Lines!$C$3:$C$1590,MATCH(SMALL(Lines!$G$3:$G$1590,68),Lines!$G$3:$G$1590,0)),""))</f>
        <v/>
      </c>
      <c r="D73" s="26" t="str">
        <f aca="false">IF(AND(ISNUMBER($J73),$J73&gt;0,$J73&lt;99),INDEX(Lines!$D$3:$D$1590,MATCH(SMALL(Lines!$G$3:$G$1590,68),Lines!$G$3:$G$1590,0)),"")</f>
        <v/>
      </c>
      <c r="E73" s="26" t="str">
        <f aca="false">IF(AND(ISNUMBER($J73),$J73&gt;0,$J73&lt;99),INDEX(Lines!$E$3:$E$1590,MATCH(SMALL(Lines!$G$3:$G$1590,68),Lines!$G$3:$G$1590,0)),"")</f>
        <v/>
      </c>
      <c r="F73" s="26" t="str">
        <f aca="false">IF(AND(ISNUMBER($J73),$J73&gt;0,$J73&lt;99),INDEX(Lines!$O$3:$O$1590,MATCH(SMALL(Lines!$G$3:$G$1590,68),Lines!$G$3:$G$1590,0)),"")</f>
        <v/>
      </c>
      <c r="G73" s="27" t="str">
        <f aca="false">IF($J73=0,INDEX(Lines!$Q$3:$Q$1590,MATCH(SMALL(Lines!$G$3:$G$1590,68),Lines!$G$3:$G$1590,0)),IF(AND(ISNUMBER($J73),$J73&gt;0,$J73&lt;99),INDEX(Lines!$P$3:$P$1590,MATCH(SMALL(Lines!$G$3:$G$1590,68),Lines!$G$3:$G$1590,0)),""))</f>
        <v/>
      </c>
      <c r="H73" s="28" t="str">
        <f aca="false">IF($J73=0,INDEX(Lines!$H$3:$H$1590,MATCH(SMALL(Lines!$G$3:$G$1590,68),Lines!$G$3:$G$1590,0))&amp;" groups",IF(AND(ISNUMBER($J73),$J73&gt;0,$J73&lt;99),INDEX(Lines!$I$3:$I$1590,MATCH(SMALL(Lines!$G$3:$G$1590,68),Lines!$G$3:$G$1590,0)),""))</f>
        <v/>
      </c>
      <c r="I73" s="26"/>
      <c r="J73" s="22" t="str">
        <f aca="false">IFERROR(IF(MOD(SMALL(Lines!$G$3:$G$1590,68),100000)=0,-1,MOD(SMALL(Lines!$G$3:$G$1590,68),100)),"")</f>
        <v/>
      </c>
      <c r="K73" s="22" t="str">
        <f aca="false">IF($J73=0,INDEX(Lines!$L$3:$L$1590,MATCH(SMALL(Lines!$G$3:$G$1590,68),Lines!$G$3:$G$1590,0)),"")</f>
        <v/>
      </c>
    </row>
    <row r="74" customFormat="false" ht="15" hidden="false" customHeight="false" outlineLevel="0" collapsed="false">
      <c r="A74" s="24" t="str">
        <f aca="false">IF(OR($J74=0,AND(ISNUMBER($J74),$J74&gt;0,$J74&lt;99)),INDEX(Lines!$A$3:$A$1590,MATCH(SMALL(Lines!$G$3:$G$1590,69),Lines!$G$3:$G$1590,0)),"")</f>
        <v/>
      </c>
      <c r="B74" s="24" t="str">
        <f aca="false">IF($J74=-1,INDEX(Lines!$J$3:$J$1590,MATCH(SMALL(Lines!$G$3:$G$1590,69),Lines!$G$3:$G$1590,0)),IF($J74=0,INDEX(Lines!$L$3:$L$1590,MATCH(SMALL(Lines!$G$3:$G$1590,69),Lines!$G$3:$G$1590,0)),IF(AND(ISNUMBER($J74),$J74&gt;0,$J74&lt;99),INDEX(Lines!$N$3:$N$1590,MATCH(SMALL(Lines!$G$3:$G$1590,69),Lines!$G$3:$G$1590,0)),"")))</f>
        <v/>
      </c>
      <c r="C74" s="25" t="str">
        <f aca="false">IF($J74=0,INDEX(Lines!$K$3:$K$1590,MATCH(SMALL(Lines!$G$3:$G$1590,69),Lines!$G$3:$G$1590,0)),IF(AND(ISNUMBER($J74),$J74&gt;0,$J74&lt;99),INDEX(Lines!$C$3:$C$1590,MATCH(SMALL(Lines!$G$3:$G$1590,69),Lines!$G$3:$G$1590,0)),""))</f>
        <v/>
      </c>
      <c r="D74" s="26" t="str">
        <f aca="false">IF(AND(ISNUMBER($J74),$J74&gt;0,$J74&lt;99),INDEX(Lines!$D$3:$D$1590,MATCH(SMALL(Lines!$G$3:$G$1590,69),Lines!$G$3:$G$1590,0)),"")</f>
        <v/>
      </c>
      <c r="E74" s="26" t="str">
        <f aca="false">IF(AND(ISNUMBER($J74),$J74&gt;0,$J74&lt;99),INDEX(Lines!$E$3:$E$1590,MATCH(SMALL(Lines!$G$3:$G$1590,69),Lines!$G$3:$G$1590,0)),"")</f>
        <v/>
      </c>
      <c r="F74" s="26" t="str">
        <f aca="false">IF(AND(ISNUMBER($J74),$J74&gt;0,$J74&lt;99),INDEX(Lines!$O$3:$O$1590,MATCH(SMALL(Lines!$G$3:$G$1590,69),Lines!$G$3:$G$1590,0)),"")</f>
        <v/>
      </c>
      <c r="G74" s="27" t="str">
        <f aca="false">IF($J74=0,INDEX(Lines!$Q$3:$Q$1590,MATCH(SMALL(Lines!$G$3:$G$1590,69),Lines!$G$3:$G$1590,0)),IF(AND(ISNUMBER($J74),$J74&gt;0,$J74&lt;99),INDEX(Lines!$P$3:$P$1590,MATCH(SMALL(Lines!$G$3:$G$1590,69),Lines!$G$3:$G$1590,0)),""))</f>
        <v/>
      </c>
      <c r="H74" s="28" t="str">
        <f aca="false">IF($J74=0,INDEX(Lines!$H$3:$H$1590,MATCH(SMALL(Lines!$G$3:$G$1590,69),Lines!$G$3:$G$1590,0))&amp;" groups",IF(AND(ISNUMBER($J74),$J74&gt;0,$J74&lt;99),INDEX(Lines!$I$3:$I$1590,MATCH(SMALL(Lines!$G$3:$G$1590,69),Lines!$G$3:$G$1590,0)),""))</f>
        <v/>
      </c>
      <c r="I74" s="26"/>
      <c r="J74" s="22" t="str">
        <f aca="false">IFERROR(IF(MOD(SMALL(Lines!$G$3:$G$1590,69),100000)=0,-1,MOD(SMALL(Lines!$G$3:$G$1590,69),100)),"")</f>
        <v/>
      </c>
      <c r="K74" s="22" t="str">
        <f aca="false">IF($J74=0,INDEX(Lines!$L$3:$L$1590,MATCH(SMALL(Lines!$G$3:$G$1590,69),Lines!$G$3:$G$1590,0)),"")</f>
        <v/>
      </c>
    </row>
    <row r="75" customFormat="false" ht="15" hidden="false" customHeight="false" outlineLevel="0" collapsed="false">
      <c r="A75" s="24" t="str">
        <f aca="false">IF(OR($J75=0,AND(ISNUMBER($J75),$J75&gt;0,$J75&lt;99)),INDEX(Lines!$A$3:$A$1590,MATCH(SMALL(Lines!$G$3:$G$1590,70),Lines!$G$3:$G$1590,0)),"")</f>
        <v/>
      </c>
      <c r="B75" s="24" t="str">
        <f aca="false">IF($J75=-1,INDEX(Lines!$J$3:$J$1590,MATCH(SMALL(Lines!$G$3:$G$1590,70),Lines!$G$3:$G$1590,0)),IF($J75=0,INDEX(Lines!$L$3:$L$1590,MATCH(SMALL(Lines!$G$3:$G$1590,70),Lines!$G$3:$G$1590,0)),IF(AND(ISNUMBER($J75),$J75&gt;0,$J75&lt;99),INDEX(Lines!$N$3:$N$1590,MATCH(SMALL(Lines!$G$3:$G$1590,70),Lines!$G$3:$G$1590,0)),"")))</f>
        <v/>
      </c>
      <c r="C75" s="25" t="str">
        <f aca="false">IF($J75=0,INDEX(Lines!$K$3:$K$1590,MATCH(SMALL(Lines!$G$3:$G$1590,70),Lines!$G$3:$G$1590,0)),IF(AND(ISNUMBER($J75),$J75&gt;0,$J75&lt;99),INDEX(Lines!$C$3:$C$1590,MATCH(SMALL(Lines!$G$3:$G$1590,70),Lines!$G$3:$G$1590,0)),""))</f>
        <v/>
      </c>
      <c r="D75" s="26" t="str">
        <f aca="false">IF(AND(ISNUMBER($J75),$J75&gt;0,$J75&lt;99),INDEX(Lines!$D$3:$D$1590,MATCH(SMALL(Lines!$G$3:$G$1590,70),Lines!$G$3:$G$1590,0)),"")</f>
        <v/>
      </c>
      <c r="E75" s="26" t="str">
        <f aca="false">IF(AND(ISNUMBER($J75),$J75&gt;0,$J75&lt;99),INDEX(Lines!$E$3:$E$1590,MATCH(SMALL(Lines!$G$3:$G$1590,70),Lines!$G$3:$G$1590,0)),"")</f>
        <v/>
      </c>
      <c r="F75" s="26" t="str">
        <f aca="false">IF(AND(ISNUMBER($J75),$J75&gt;0,$J75&lt;99),INDEX(Lines!$O$3:$O$1590,MATCH(SMALL(Lines!$G$3:$G$1590,70),Lines!$G$3:$G$1590,0)),"")</f>
        <v/>
      </c>
      <c r="G75" s="27" t="str">
        <f aca="false">IF($J75=0,INDEX(Lines!$Q$3:$Q$1590,MATCH(SMALL(Lines!$G$3:$G$1590,70),Lines!$G$3:$G$1590,0)),IF(AND(ISNUMBER($J75),$J75&gt;0,$J75&lt;99),INDEX(Lines!$P$3:$P$1590,MATCH(SMALL(Lines!$G$3:$G$1590,70),Lines!$G$3:$G$1590,0)),""))</f>
        <v/>
      </c>
      <c r="H75" s="28" t="str">
        <f aca="false">IF($J75=0,INDEX(Lines!$H$3:$H$1590,MATCH(SMALL(Lines!$G$3:$G$1590,70),Lines!$G$3:$G$1590,0))&amp;" groups",IF(AND(ISNUMBER($J75),$J75&gt;0,$J75&lt;99),INDEX(Lines!$I$3:$I$1590,MATCH(SMALL(Lines!$G$3:$G$1590,70),Lines!$G$3:$G$1590,0)),""))</f>
        <v/>
      </c>
      <c r="I75" s="26"/>
      <c r="J75" s="22" t="str">
        <f aca="false">IFERROR(IF(MOD(SMALL(Lines!$G$3:$G$1590,70),100000)=0,-1,MOD(SMALL(Lines!$G$3:$G$1590,70),100)),"")</f>
        <v/>
      </c>
      <c r="K75" s="22" t="str">
        <f aca="false">IF($J75=0,INDEX(Lines!$L$3:$L$1590,MATCH(SMALL(Lines!$G$3:$G$1590,70),Lines!$G$3:$G$1590,0)),"")</f>
        <v/>
      </c>
    </row>
    <row r="76" customFormat="false" ht="15" hidden="false" customHeight="false" outlineLevel="0" collapsed="false">
      <c r="A76" s="24" t="str">
        <f aca="false">IF(OR($J76=0,AND(ISNUMBER($J76),$J76&gt;0,$J76&lt;99)),INDEX(Lines!$A$3:$A$1590,MATCH(SMALL(Lines!$G$3:$G$1590,71),Lines!$G$3:$G$1590,0)),"")</f>
        <v/>
      </c>
      <c r="B76" s="24" t="str">
        <f aca="false">IF($J76=-1,INDEX(Lines!$J$3:$J$1590,MATCH(SMALL(Lines!$G$3:$G$1590,71),Lines!$G$3:$G$1590,0)),IF($J76=0,INDEX(Lines!$L$3:$L$1590,MATCH(SMALL(Lines!$G$3:$G$1590,71),Lines!$G$3:$G$1590,0)),IF(AND(ISNUMBER($J76),$J76&gt;0,$J76&lt;99),INDEX(Lines!$N$3:$N$1590,MATCH(SMALL(Lines!$G$3:$G$1590,71),Lines!$G$3:$G$1590,0)),"")))</f>
        <v/>
      </c>
      <c r="C76" s="25" t="str">
        <f aca="false">IF($J76=0,INDEX(Lines!$K$3:$K$1590,MATCH(SMALL(Lines!$G$3:$G$1590,71),Lines!$G$3:$G$1590,0)),IF(AND(ISNUMBER($J76),$J76&gt;0,$J76&lt;99),INDEX(Lines!$C$3:$C$1590,MATCH(SMALL(Lines!$G$3:$G$1590,71),Lines!$G$3:$G$1590,0)),""))</f>
        <v/>
      </c>
      <c r="D76" s="26" t="str">
        <f aca="false">IF(AND(ISNUMBER($J76),$J76&gt;0,$J76&lt;99),INDEX(Lines!$D$3:$D$1590,MATCH(SMALL(Lines!$G$3:$G$1590,71),Lines!$G$3:$G$1590,0)),"")</f>
        <v/>
      </c>
      <c r="E76" s="26" t="str">
        <f aca="false">IF(AND(ISNUMBER($J76),$J76&gt;0,$J76&lt;99),INDEX(Lines!$E$3:$E$1590,MATCH(SMALL(Lines!$G$3:$G$1590,71),Lines!$G$3:$G$1590,0)),"")</f>
        <v/>
      </c>
      <c r="F76" s="26" t="str">
        <f aca="false">IF(AND(ISNUMBER($J76),$J76&gt;0,$J76&lt;99),INDEX(Lines!$O$3:$O$1590,MATCH(SMALL(Lines!$G$3:$G$1590,71),Lines!$G$3:$G$1590,0)),"")</f>
        <v/>
      </c>
      <c r="G76" s="27" t="str">
        <f aca="false">IF($J76=0,INDEX(Lines!$Q$3:$Q$1590,MATCH(SMALL(Lines!$G$3:$G$1590,71),Lines!$G$3:$G$1590,0)),IF(AND(ISNUMBER($J76),$J76&gt;0,$J76&lt;99),INDEX(Lines!$P$3:$P$1590,MATCH(SMALL(Lines!$G$3:$G$1590,71),Lines!$G$3:$G$1590,0)),""))</f>
        <v/>
      </c>
      <c r="H76" s="28" t="str">
        <f aca="false">IF($J76=0,INDEX(Lines!$H$3:$H$1590,MATCH(SMALL(Lines!$G$3:$G$1590,71),Lines!$G$3:$G$1590,0))&amp;" groups",IF(AND(ISNUMBER($J76),$J76&gt;0,$J76&lt;99),INDEX(Lines!$I$3:$I$1590,MATCH(SMALL(Lines!$G$3:$G$1590,71),Lines!$G$3:$G$1590,0)),""))</f>
        <v/>
      </c>
      <c r="I76" s="26"/>
      <c r="J76" s="22" t="str">
        <f aca="false">IFERROR(IF(MOD(SMALL(Lines!$G$3:$G$1590,71),100000)=0,-1,MOD(SMALL(Lines!$G$3:$G$1590,71),100)),"")</f>
        <v/>
      </c>
      <c r="K76" s="22" t="str">
        <f aca="false">IF($J76=0,INDEX(Lines!$L$3:$L$1590,MATCH(SMALL(Lines!$G$3:$G$1590,71),Lines!$G$3:$G$1590,0)),"")</f>
        <v/>
      </c>
    </row>
    <row r="77" customFormat="false" ht="15" hidden="false" customHeight="false" outlineLevel="0" collapsed="false">
      <c r="A77" s="24" t="str">
        <f aca="false">IF(OR($J77=0,AND(ISNUMBER($J77),$J77&gt;0,$J77&lt;99)),INDEX(Lines!$A$3:$A$1590,MATCH(SMALL(Lines!$G$3:$G$1590,72),Lines!$G$3:$G$1590,0)),"")</f>
        <v/>
      </c>
      <c r="B77" s="24" t="str">
        <f aca="false">IF($J77=-1,INDEX(Lines!$J$3:$J$1590,MATCH(SMALL(Lines!$G$3:$G$1590,72),Lines!$G$3:$G$1590,0)),IF($J77=0,INDEX(Lines!$L$3:$L$1590,MATCH(SMALL(Lines!$G$3:$G$1590,72),Lines!$G$3:$G$1590,0)),IF(AND(ISNUMBER($J77),$J77&gt;0,$J77&lt;99),INDEX(Lines!$N$3:$N$1590,MATCH(SMALL(Lines!$G$3:$G$1590,72),Lines!$G$3:$G$1590,0)),"")))</f>
        <v/>
      </c>
      <c r="C77" s="25" t="str">
        <f aca="false">IF($J77=0,INDEX(Lines!$K$3:$K$1590,MATCH(SMALL(Lines!$G$3:$G$1590,72),Lines!$G$3:$G$1590,0)),IF(AND(ISNUMBER($J77),$J77&gt;0,$J77&lt;99),INDEX(Lines!$C$3:$C$1590,MATCH(SMALL(Lines!$G$3:$G$1590,72),Lines!$G$3:$G$1590,0)),""))</f>
        <v/>
      </c>
      <c r="D77" s="26" t="str">
        <f aca="false">IF(AND(ISNUMBER($J77),$J77&gt;0,$J77&lt;99),INDEX(Lines!$D$3:$D$1590,MATCH(SMALL(Lines!$G$3:$G$1590,72),Lines!$G$3:$G$1590,0)),"")</f>
        <v/>
      </c>
      <c r="E77" s="26" t="str">
        <f aca="false">IF(AND(ISNUMBER($J77),$J77&gt;0,$J77&lt;99),INDEX(Lines!$E$3:$E$1590,MATCH(SMALL(Lines!$G$3:$G$1590,72),Lines!$G$3:$G$1590,0)),"")</f>
        <v/>
      </c>
      <c r="F77" s="26" t="str">
        <f aca="false">IF(AND(ISNUMBER($J77),$J77&gt;0,$J77&lt;99),INDEX(Lines!$O$3:$O$1590,MATCH(SMALL(Lines!$G$3:$G$1590,72),Lines!$G$3:$G$1590,0)),"")</f>
        <v/>
      </c>
      <c r="G77" s="27" t="str">
        <f aca="false">IF($J77=0,INDEX(Lines!$Q$3:$Q$1590,MATCH(SMALL(Lines!$G$3:$G$1590,72),Lines!$G$3:$G$1590,0)),IF(AND(ISNUMBER($J77),$J77&gt;0,$J77&lt;99),INDEX(Lines!$P$3:$P$1590,MATCH(SMALL(Lines!$G$3:$G$1590,72),Lines!$G$3:$G$1590,0)),""))</f>
        <v/>
      </c>
      <c r="H77" s="28" t="str">
        <f aca="false">IF($J77=0,INDEX(Lines!$H$3:$H$1590,MATCH(SMALL(Lines!$G$3:$G$1590,72),Lines!$G$3:$G$1590,0))&amp;" groups",IF(AND(ISNUMBER($J77),$J77&gt;0,$J77&lt;99),INDEX(Lines!$I$3:$I$1590,MATCH(SMALL(Lines!$G$3:$G$1590,72),Lines!$G$3:$G$1590,0)),""))</f>
        <v/>
      </c>
      <c r="I77" s="26"/>
      <c r="J77" s="22" t="str">
        <f aca="false">IFERROR(IF(MOD(SMALL(Lines!$G$3:$G$1590,72),100000)=0,-1,MOD(SMALL(Lines!$G$3:$G$1590,72),100)),"")</f>
        <v/>
      </c>
      <c r="K77" s="22" t="str">
        <f aca="false">IF($J77=0,INDEX(Lines!$L$3:$L$1590,MATCH(SMALL(Lines!$G$3:$G$1590,72),Lines!$G$3:$G$1590,0)),"")</f>
        <v/>
      </c>
    </row>
    <row r="78" customFormat="false" ht="15" hidden="false" customHeight="false" outlineLevel="0" collapsed="false">
      <c r="A78" s="24" t="str">
        <f aca="false">IF(OR($J78=0,AND(ISNUMBER($J78),$J78&gt;0,$J78&lt;99)),INDEX(Lines!$A$3:$A$1590,MATCH(SMALL(Lines!$G$3:$G$1590,73),Lines!$G$3:$G$1590,0)),"")</f>
        <v/>
      </c>
      <c r="B78" s="24" t="str">
        <f aca="false">IF($J78=-1,INDEX(Lines!$J$3:$J$1590,MATCH(SMALL(Lines!$G$3:$G$1590,73),Lines!$G$3:$G$1590,0)),IF($J78=0,INDEX(Lines!$L$3:$L$1590,MATCH(SMALL(Lines!$G$3:$G$1590,73),Lines!$G$3:$G$1590,0)),IF(AND(ISNUMBER($J78),$J78&gt;0,$J78&lt;99),INDEX(Lines!$N$3:$N$1590,MATCH(SMALL(Lines!$G$3:$G$1590,73),Lines!$G$3:$G$1590,0)),"")))</f>
        <v/>
      </c>
      <c r="C78" s="25" t="str">
        <f aca="false">IF($J78=0,INDEX(Lines!$K$3:$K$1590,MATCH(SMALL(Lines!$G$3:$G$1590,73),Lines!$G$3:$G$1590,0)),IF(AND(ISNUMBER($J78),$J78&gt;0,$J78&lt;99),INDEX(Lines!$C$3:$C$1590,MATCH(SMALL(Lines!$G$3:$G$1590,73),Lines!$G$3:$G$1590,0)),""))</f>
        <v/>
      </c>
      <c r="D78" s="26" t="str">
        <f aca="false">IF(AND(ISNUMBER($J78),$J78&gt;0,$J78&lt;99),INDEX(Lines!$D$3:$D$1590,MATCH(SMALL(Lines!$G$3:$G$1590,73),Lines!$G$3:$G$1590,0)),"")</f>
        <v/>
      </c>
      <c r="E78" s="26" t="str">
        <f aca="false">IF(AND(ISNUMBER($J78),$J78&gt;0,$J78&lt;99),INDEX(Lines!$E$3:$E$1590,MATCH(SMALL(Lines!$G$3:$G$1590,73),Lines!$G$3:$G$1590,0)),"")</f>
        <v/>
      </c>
      <c r="F78" s="26" t="str">
        <f aca="false">IF(AND(ISNUMBER($J78),$J78&gt;0,$J78&lt;99),INDEX(Lines!$O$3:$O$1590,MATCH(SMALL(Lines!$G$3:$G$1590,73),Lines!$G$3:$G$1590,0)),"")</f>
        <v/>
      </c>
      <c r="G78" s="27" t="str">
        <f aca="false">IF($J78=0,INDEX(Lines!$Q$3:$Q$1590,MATCH(SMALL(Lines!$G$3:$G$1590,73),Lines!$G$3:$G$1590,0)),IF(AND(ISNUMBER($J78),$J78&gt;0,$J78&lt;99),INDEX(Lines!$P$3:$P$1590,MATCH(SMALL(Lines!$G$3:$G$1590,73),Lines!$G$3:$G$1590,0)),""))</f>
        <v/>
      </c>
      <c r="H78" s="28" t="str">
        <f aca="false">IF($J78=0,INDEX(Lines!$H$3:$H$1590,MATCH(SMALL(Lines!$G$3:$G$1590,73),Lines!$G$3:$G$1590,0))&amp;" groups",IF(AND(ISNUMBER($J78),$J78&gt;0,$J78&lt;99),INDEX(Lines!$I$3:$I$1590,MATCH(SMALL(Lines!$G$3:$G$1590,73),Lines!$G$3:$G$1590,0)),""))</f>
        <v/>
      </c>
      <c r="I78" s="26"/>
      <c r="J78" s="22" t="str">
        <f aca="false">IFERROR(IF(MOD(SMALL(Lines!$G$3:$G$1590,73),100000)=0,-1,MOD(SMALL(Lines!$G$3:$G$1590,73),100)),"")</f>
        <v/>
      </c>
      <c r="K78" s="22" t="str">
        <f aca="false">IF($J78=0,INDEX(Lines!$L$3:$L$1590,MATCH(SMALL(Lines!$G$3:$G$1590,73),Lines!$G$3:$G$1590,0)),"")</f>
        <v/>
      </c>
    </row>
    <row r="79" customFormat="false" ht="15" hidden="false" customHeight="false" outlineLevel="0" collapsed="false">
      <c r="A79" s="24" t="str">
        <f aca="false">IF(OR($J79=0,AND(ISNUMBER($J79),$J79&gt;0,$J79&lt;99)),INDEX(Lines!$A$3:$A$1590,MATCH(SMALL(Lines!$G$3:$G$1590,74),Lines!$G$3:$G$1590,0)),"")</f>
        <v/>
      </c>
      <c r="B79" s="24" t="str">
        <f aca="false">IF($J79=-1,INDEX(Lines!$J$3:$J$1590,MATCH(SMALL(Lines!$G$3:$G$1590,74),Lines!$G$3:$G$1590,0)),IF($J79=0,INDEX(Lines!$L$3:$L$1590,MATCH(SMALL(Lines!$G$3:$G$1590,74),Lines!$G$3:$G$1590,0)),IF(AND(ISNUMBER($J79),$J79&gt;0,$J79&lt;99),INDEX(Lines!$N$3:$N$1590,MATCH(SMALL(Lines!$G$3:$G$1590,74),Lines!$G$3:$G$1590,0)),"")))</f>
        <v/>
      </c>
      <c r="C79" s="25" t="str">
        <f aca="false">IF($J79=0,INDEX(Lines!$K$3:$K$1590,MATCH(SMALL(Lines!$G$3:$G$1590,74),Lines!$G$3:$G$1590,0)),IF(AND(ISNUMBER($J79),$J79&gt;0,$J79&lt;99),INDEX(Lines!$C$3:$C$1590,MATCH(SMALL(Lines!$G$3:$G$1590,74),Lines!$G$3:$G$1590,0)),""))</f>
        <v/>
      </c>
      <c r="D79" s="26" t="str">
        <f aca="false">IF(AND(ISNUMBER($J79),$J79&gt;0,$J79&lt;99),INDEX(Lines!$D$3:$D$1590,MATCH(SMALL(Lines!$G$3:$G$1590,74),Lines!$G$3:$G$1590,0)),"")</f>
        <v/>
      </c>
      <c r="E79" s="26" t="str">
        <f aca="false">IF(AND(ISNUMBER($J79),$J79&gt;0,$J79&lt;99),INDEX(Lines!$E$3:$E$1590,MATCH(SMALL(Lines!$G$3:$G$1590,74),Lines!$G$3:$G$1590,0)),"")</f>
        <v/>
      </c>
      <c r="F79" s="26" t="str">
        <f aca="false">IF(AND(ISNUMBER($J79),$J79&gt;0,$J79&lt;99),INDEX(Lines!$O$3:$O$1590,MATCH(SMALL(Lines!$G$3:$G$1590,74),Lines!$G$3:$G$1590,0)),"")</f>
        <v/>
      </c>
      <c r="G79" s="27" t="str">
        <f aca="false">IF($J79=0,INDEX(Lines!$Q$3:$Q$1590,MATCH(SMALL(Lines!$G$3:$G$1590,74),Lines!$G$3:$G$1590,0)),IF(AND(ISNUMBER($J79),$J79&gt;0,$J79&lt;99),INDEX(Lines!$P$3:$P$1590,MATCH(SMALL(Lines!$G$3:$G$1590,74),Lines!$G$3:$G$1590,0)),""))</f>
        <v/>
      </c>
      <c r="H79" s="28" t="str">
        <f aca="false">IF($J79=0,INDEX(Lines!$H$3:$H$1590,MATCH(SMALL(Lines!$G$3:$G$1590,74),Lines!$G$3:$G$1590,0))&amp;" groups",IF(AND(ISNUMBER($J79),$J79&gt;0,$J79&lt;99),INDEX(Lines!$I$3:$I$1590,MATCH(SMALL(Lines!$G$3:$G$1590,74),Lines!$G$3:$G$1590,0)),""))</f>
        <v/>
      </c>
      <c r="I79" s="26"/>
      <c r="J79" s="22" t="str">
        <f aca="false">IFERROR(IF(MOD(SMALL(Lines!$G$3:$G$1590,74),100000)=0,-1,MOD(SMALL(Lines!$G$3:$G$1590,74),100)),"")</f>
        <v/>
      </c>
      <c r="K79" s="22" t="str">
        <f aca="false">IF($J79=0,INDEX(Lines!$L$3:$L$1590,MATCH(SMALL(Lines!$G$3:$G$1590,74),Lines!$G$3:$G$1590,0)),"")</f>
        <v/>
      </c>
    </row>
    <row r="80" customFormat="false" ht="15" hidden="false" customHeight="false" outlineLevel="0" collapsed="false">
      <c r="A80" s="24" t="str">
        <f aca="false">IF(OR($J80=0,AND(ISNUMBER($J80),$J80&gt;0,$J80&lt;99)),INDEX(Lines!$A$3:$A$1590,MATCH(SMALL(Lines!$G$3:$G$1590,75),Lines!$G$3:$G$1590,0)),"")</f>
        <v/>
      </c>
      <c r="B80" s="24" t="str">
        <f aca="false">IF($J80=-1,INDEX(Lines!$J$3:$J$1590,MATCH(SMALL(Lines!$G$3:$G$1590,75),Lines!$G$3:$G$1590,0)),IF($J80=0,INDEX(Lines!$L$3:$L$1590,MATCH(SMALL(Lines!$G$3:$G$1590,75),Lines!$G$3:$G$1590,0)),IF(AND(ISNUMBER($J80),$J80&gt;0,$J80&lt;99),INDEX(Lines!$N$3:$N$1590,MATCH(SMALL(Lines!$G$3:$G$1590,75),Lines!$G$3:$G$1590,0)),"")))</f>
        <v/>
      </c>
      <c r="C80" s="25" t="str">
        <f aca="false">IF($J80=0,INDEX(Lines!$K$3:$K$1590,MATCH(SMALL(Lines!$G$3:$G$1590,75),Lines!$G$3:$G$1590,0)),IF(AND(ISNUMBER($J80),$J80&gt;0,$J80&lt;99),INDEX(Lines!$C$3:$C$1590,MATCH(SMALL(Lines!$G$3:$G$1590,75),Lines!$G$3:$G$1590,0)),""))</f>
        <v/>
      </c>
      <c r="D80" s="26" t="str">
        <f aca="false">IF(AND(ISNUMBER($J80),$J80&gt;0,$J80&lt;99),INDEX(Lines!$D$3:$D$1590,MATCH(SMALL(Lines!$G$3:$G$1590,75),Lines!$G$3:$G$1590,0)),"")</f>
        <v/>
      </c>
      <c r="E80" s="26" t="str">
        <f aca="false">IF(AND(ISNUMBER($J80),$J80&gt;0,$J80&lt;99),INDEX(Lines!$E$3:$E$1590,MATCH(SMALL(Lines!$G$3:$G$1590,75),Lines!$G$3:$G$1590,0)),"")</f>
        <v/>
      </c>
      <c r="F80" s="26" t="str">
        <f aca="false">IF(AND(ISNUMBER($J80),$J80&gt;0,$J80&lt;99),INDEX(Lines!$O$3:$O$1590,MATCH(SMALL(Lines!$G$3:$G$1590,75),Lines!$G$3:$G$1590,0)),"")</f>
        <v/>
      </c>
      <c r="G80" s="27" t="str">
        <f aca="false">IF($J80=0,INDEX(Lines!$Q$3:$Q$1590,MATCH(SMALL(Lines!$G$3:$G$1590,75),Lines!$G$3:$G$1590,0)),IF(AND(ISNUMBER($J80),$J80&gt;0,$J80&lt;99),INDEX(Lines!$P$3:$P$1590,MATCH(SMALL(Lines!$G$3:$G$1590,75),Lines!$G$3:$G$1590,0)),""))</f>
        <v/>
      </c>
      <c r="H80" s="28" t="str">
        <f aca="false">IF($J80=0,INDEX(Lines!$H$3:$H$1590,MATCH(SMALL(Lines!$G$3:$G$1590,75),Lines!$G$3:$G$1590,0))&amp;" groups",IF(AND(ISNUMBER($J80),$J80&gt;0,$J80&lt;99),INDEX(Lines!$I$3:$I$1590,MATCH(SMALL(Lines!$G$3:$G$1590,75),Lines!$G$3:$G$1590,0)),""))</f>
        <v/>
      </c>
      <c r="I80" s="26"/>
      <c r="J80" s="22" t="str">
        <f aca="false">IFERROR(IF(MOD(SMALL(Lines!$G$3:$G$1590,75),100000)=0,-1,MOD(SMALL(Lines!$G$3:$G$1590,75),100)),"")</f>
        <v/>
      </c>
      <c r="K80" s="22" t="str">
        <f aca="false">IF($J80=0,INDEX(Lines!$L$3:$L$1590,MATCH(SMALL(Lines!$G$3:$G$1590,75),Lines!$G$3:$G$1590,0)),"")</f>
        <v/>
      </c>
    </row>
    <row r="81" customFormat="false" ht="15" hidden="false" customHeight="false" outlineLevel="0" collapsed="false">
      <c r="A81" s="24" t="str">
        <f aca="false">IF(OR($J81=0,AND(ISNUMBER($J81),$J81&gt;0,$J81&lt;99)),INDEX(Lines!$A$3:$A$1590,MATCH(SMALL(Lines!$G$3:$G$1590,76),Lines!$G$3:$G$1590,0)),"")</f>
        <v/>
      </c>
      <c r="B81" s="24" t="str">
        <f aca="false">IF($J81=-1,INDEX(Lines!$J$3:$J$1590,MATCH(SMALL(Lines!$G$3:$G$1590,76),Lines!$G$3:$G$1590,0)),IF($J81=0,INDEX(Lines!$L$3:$L$1590,MATCH(SMALL(Lines!$G$3:$G$1590,76),Lines!$G$3:$G$1590,0)),IF(AND(ISNUMBER($J81),$J81&gt;0,$J81&lt;99),INDEX(Lines!$N$3:$N$1590,MATCH(SMALL(Lines!$G$3:$G$1590,76),Lines!$G$3:$G$1590,0)),"")))</f>
        <v/>
      </c>
      <c r="C81" s="25" t="str">
        <f aca="false">IF($J81=0,INDEX(Lines!$K$3:$K$1590,MATCH(SMALL(Lines!$G$3:$G$1590,76),Lines!$G$3:$G$1590,0)),IF(AND(ISNUMBER($J81),$J81&gt;0,$J81&lt;99),INDEX(Lines!$C$3:$C$1590,MATCH(SMALL(Lines!$G$3:$G$1590,76),Lines!$G$3:$G$1590,0)),""))</f>
        <v/>
      </c>
      <c r="D81" s="26" t="str">
        <f aca="false">IF(AND(ISNUMBER($J81),$J81&gt;0,$J81&lt;99),INDEX(Lines!$D$3:$D$1590,MATCH(SMALL(Lines!$G$3:$G$1590,76),Lines!$G$3:$G$1590,0)),"")</f>
        <v/>
      </c>
      <c r="E81" s="26" t="str">
        <f aca="false">IF(AND(ISNUMBER($J81),$J81&gt;0,$J81&lt;99),INDEX(Lines!$E$3:$E$1590,MATCH(SMALL(Lines!$G$3:$G$1590,76),Lines!$G$3:$G$1590,0)),"")</f>
        <v/>
      </c>
      <c r="F81" s="26" t="str">
        <f aca="false">IF(AND(ISNUMBER($J81),$J81&gt;0,$J81&lt;99),INDEX(Lines!$O$3:$O$1590,MATCH(SMALL(Lines!$G$3:$G$1590,76),Lines!$G$3:$G$1590,0)),"")</f>
        <v/>
      </c>
      <c r="G81" s="27" t="str">
        <f aca="false">IF($J81=0,INDEX(Lines!$Q$3:$Q$1590,MATCH(SMALL(Lines!$G$3:$G$1590,76),Lines!$G$3:$G$1590,0)),IF(AND(ISNUMBER($J81),$J81&gt;0,$J81&lt;99),INDEX(Lines!$P$3:$P$1590,MATCH(SMALL(Lines!$G$3:$G$1590,76),Lines!$G$3:$G$1590,0)),""))</f>
        <v/>
      </c>
      <c r="H81" s="28" t="str">
        <f aca="false">IF($J81=0,INDEX(Lines!$H$3:$H$1590,MATCH(SMALL(Lines!$G$3:$G$1590,76),Lines!$G$3:$G$1590,0))&amp;" groups",IF(AND(ISNUMBER($J81),$J81&gt;0,$J81&lt;99),INDEX(Lines!$I$3:$I$1590,MATCH(SMALL(Lines!$G$3:$G$1590,76),Lines!$G$3:$G$1590,0)),""))</f>
        <v/>
      </c>
      <c r="I81" s="26"/>
      <c r="J81" s="22" t="str">
        <f aca="false">IFERROR(IF(MOD(SMALL(Lines!$G$3:$G$1590,76),100000)=0,-1,MOD(SMALL(Lines!$G$3:$G$1590,76),100)),"")</f>
        <v/>
      </c>
      <c r="K81" s="22" t="str">
        <f aca="false">IF($J81=0,INDEX(Lines!$L$3:$L$1590,MATCH(SMALL(Lines!$G$3:$G$1590,76),Lines!$G$3:$G$1590,0)),"")</f>
        <v/>
      </c>
    </row>
    <row r="82" customFormat="false" ht="15" hidden="false" customHeight="false" outlineLevel="0" collapsed="false">
      <c r="A82" s="24" t="str">
        <f aca="false">IF(OR($J82=0,AND(ISNUMBER($J82),$J82&gt;0,$J82&lt;99)),INDEX(Lines!$A$3:$A$1590,MATCH(SMALL(Lines!$G$3:$G$1590,77),Lines!$G$3:$G$1590,0)),"")</f>
        <v/>
      </c>
      <c r="B82" s="24" t="str">
        <f aca="false">IF($J82=-1,INDEX(Lines!$J$3:$J$1590,MATCH(SMALL(Lines!$G$3:$G$1590,77),Lines!$G$3:$G$1590,0)),IF($J82=0,INDEX(Lines!$L$3:$L$1590,MATCH(SMALL(Lines!$G$3:$G$1590,77),Lines!$G$3:$G$1590,0)),IF(AND(ISNUMBER($J82),$J82&gt;0,$J82&lt;99),INDEX(Lines!$N$3:$N$1590,MATCH(SMALL(Lines!$G$3:$G$1590,77),Lines!$G$3:$G$1590,0)),"")))</f>
        <v/>
      </c>
      <c r="C82" s="25" t="str">
        <f aca="false">IF($J82=0,INDEX(Lines!$K$3:$K$1590,MATCH(SMALL(Lines!$G$3:$G$1590,77),Lines!$G$3:$G$1590,0)),IF(AND(ISNUMBER($J82),$J82&gt;0,$J82&lt;99),INDEX(Lines!$C$3:$C$1590,MATCH(SMALL(Lines!$G$3:$G$1590,77),Lines!$G$3:$G$1590,0)),""))</f>
        <v/>
      </c>
      <c r="D82" s="26" t="str">
        <f aca="false">IF(AND(ISNUMBER($J82),$J82&gt;0,$J82&lt;99),INDEX(Lines!$D$3:$D$1590,MATCH(SMALL(Lines!$G$3:$G$1590,77),Lines!$G$3:$G$1590,0)),"")</f>
        <v/>
      </c>
      <c r="E82" s="26" t="str">
        <f aca="false">IF(AND(ISNUMBER($J82),$J82&gt;0,$J82&lt;99),INDEX(Lines!$E$3:$E$1590,MATCH(SMALL(Lines!$G$3:$G$1590,77),Lines!$G$3:$G$1590,0)),"")</f>
        <v/>
      </c>
      <c r="F82" s="26" t="str">
        <f aca="false">IF(AND(ISNUMBER($J82),$J82&gt;0,$J82&lt;99),INDEX(Lines!$O$3:$O$1590,MATCH(SMALL(Lines!$G$3:$G$1590,77),Lines!$G$3:$G$1590,0)),"")</f>
        <v/>
      </c>
      <c r="G82" s="27" t="str">
        <f aca="false">IF($J82=0,INDEX(Lines!$Q$3:$Q$1590,MATCH(SMALL(Lines!$G$3:$G$1590,77),Lines!$G$3:$G$1590,0)),IF(AND(ISNUMBER($J82),$J82&gt;0,$J82&lt;99),INDEX(Lines!$P$3:$P$1590,MATCH(SMALL(Lines!$G$3:$G$1590,77),Lines!$G$3:$G$1590,0)),""))</f>
        <v/>
      </c>
      <c r="H82" s="28" t="str">
        <f aca="false">IF($J82=0,INDEX(Lines!$H$3:$H$1590,MATCH(SMALL(Lines!$G$3:$G$1590,77),Lines!$G$3:$G$1590,0))&amp;" groups",IF(AND(ISNUMBER($J82),$J82&gt;0,$J82&lt;99),INDEX(Lines!$I$3:$I$1590,MATCH(SMALL(Lines!$G$3:$G$1590,77),Lines!$G$3:$G$1590,0)),""))</f>
        <v/>
      </c>
      <c r="I82" s="26"/>
      <c r="J82" s="22" t="str">
        <f aca="false">IFERROR(IF(MOD(SMALL(Lines!$G$3:$G$1590,77),100000)=0,-1,MOD(SMALL(Lines!$G$3:$G$1590,77),100)),"")</f>
        <v/>
      </c>
      <c r="K82" s="22" t="str">
        <f aca="false">IF($J82=0,INDEX(Lines!$L$3:$L$1590,MATCH(SMALL(Lines!$G$3:$G$1590,77),Lines!$G$3:$G$1590,0)),"")</f>
        <v/>
      </c>
    </row>
    <row r="83" customFormat="false" ht="15" hidden="false" customHeight="false" outlineLevel="0" collapsed="false">
      <c r="A83" s="24" t="str">
        <f aca="false">IF(OR($J83=0,AND(ISNUMBER($J83),$J83&gt;0,$J83&lt;99)),INDEX(Lines!$A$3:$A$1590,MATCH(SMALL(Lines!$G$3:$G$1590,78),Lines!$G$3:$G$1590,0)),"")</f>
        <v/>
      </c>
      <c r="B83" s="24" t="str">
        <f aca="false">IF($J83=-1,INDEX(Lines!$J$3:$J$1590,MATCH(SMALL(Lines!$G$3:$G$1590,78),Lines!$G$3:$G$1590,0)),IF($J83=0,INDEX(Lines!$L$3:$L$1590,MATCH(SMALL(Lines!$G$3:$G$1590,78),Lines!$G$3:$G$1590,0)),IF(AND(ISNUMBER($J83),$J83&gt;0,$J83&lt;99),INDEX(Lines!$N$3:$N$1590,MATCH(SMALL(Lines!$G$3:$G$1590,78),Lines!$G$3:$G$1590,0)),"")))</f>
        <v/>
      </c>
      <c r="C83" s="25" t="str">
        <f aca="false">IF($J83=0,INDEX(Lines!$K$3:$K$1590,MATCH(SMALL(Lines!$G$3:$G$1590,78),Lines!$G$3:$G$1590,0)),IF(AND(ISNUMBER($J83),$J83&gt;0,$J83&lt;99),INDEX(Lines!$C$3:$C$1590,MATCH(SMALL(Lines!$G$3:$G$1590,78),Lines!$G$3:$G$1590,0)),""))</f>
        <v/>
      </c>
      <c r="D83" s="26" t="str">
        <f aca="false">IF(AND(ISNUMBER($J83),$J83&gt;0,$J83&lt;99),INDEX(Lines!$D$3:$D$1590,MATCH(SMALL(Lines!$G$3:$G$1590,78),Lines!$G$3:$G$1590,0)),"")</f>
        <v/>
      </c>
      <c r="E83" s="26" t="str">
        <f aca="false">IF(AND(ISNUMBER($J83),$J83&gt;0,$J83&lt;99),INDEX(Lines!$E$3:$E$1590,MATCH(SMALL(Lines!$G$3:$G$1590,78),Lines!$G$3:$G$1590,0)),"")</f>
        <v/>
      </c>
      <c r="F83" s="26" t="str">
        <f aca="false">IF(AND(ISNUMBER($J83),$J83&gt;0,$J83&lt;99),INDEX(Lines!$O$3:$O$1590,MATCH(SMALL(Lines!$G$3:$G$1590,78),Lines!$G$3:$G$1590,0)),"")</f>
        <v/>
      </c>
      <c r="G83" s="27" t="str">
        <f aca="false">IF($J83=0,INDEX(Lines!$Q$3:$Q$1590,MATCH(SMALL(Lines!$G$3:$G$1590,78),Lines!$G$3:$G$1590,0)),IF(AND(ISNUMBER($J83),$J83&gt;0,$J83&lt;99),INDEX(Lines!$P$3:$P$1590,MATCH(SMALL(Lines!$G$3:$G$1590,78),Lines!$G$3:$G$1590,0)),""))</f>
        <v/>
      </c>
      <c r="H83" s="28" t="str">
        <f aca="false">IF($J83=0,INDEX(Lines!$H$3:$H$1590,MATCH(SMALL(Lines!$G$3:$G$1590,78),Lines!$G$3:$G$1590,0))&amp;" groups",IF(AND(ISNUMBER($J83),$J83&gt;0,$J83&lt;99),INDEX(Lines!$I$3:$I$1590,MATCH(SMALL(Lines!$G$3:$G$1590,78),Lines!$G$3:$G$1590,0)),""))</f>
        <v/>
      </c>
      <c r="I83" s="26"/>
      <c r="J83" s="22" t="str">
        <f aca="false">IFERROR(IF(MOD(SMALL(Lines!$G$3:$G$1590,78),100000)=0,-1,MOD(SMALL(Lines!$G$3:$G$1590,78),100)),"")</f>
        <v/>
      </c>
      <c r="K83" s="22" t="str">
        <f aca="false">IF($J83=0,INDEX(Lines!$L$3:$L$1590,MATCH(SMALL(Lines!$G$3:$G$1590,78),Lines!$G$3:$G$1590,0)),"")</f>
        <v/>
      </c>
    </row>
    <row r="84" customFormat="false" ht="15" hidden="false" customHeight="false" outlineLevel="0" collapsed="false">
      <c r="A84" s="24" t="str">
        <f aca="false">IF(OR($J84=0,AND(ISNUMBER($J84),$J84&gt;0,$J84&lt;99)),INDEX(Lines!$A$3:$A$1590,MATCH(SMALL(Lines!$G$3:$G$1590,79),Lines!$G$3:$G$1590,0)),"")</f>
        <v/>
      </c>
      <c r="B84" s="24" t="str">
        <f aca="false">IF($J84=-1,INDEX(Lines!$J$3:$J$1590,MATCH(SMALL(Lines!$G$3:$G$1590,79),Lines!$G$3:$G$1590,0)),IF($J84=0,INDEX(Lines!$L$3:$L$1590,MATCH(SMALL(Lines!$G$3:$G$1590,79),Lines!$G$3:$G$1590,0)),IF(AND(ISNUMBER($J84),$J84&gt;0,$J84&lt;99),INDEX(Lines!$N$3:$N$1590,MATCH(SMALL(Lines!$G$3:$G$1590,79),Lines!$G$3:$G$1590,0)),"")))</f>
        <v/>
      </c>
      <c r="C84" s="25" t="str">
        <f aca="false">IF($J84=0,INDEX(Lines!$K$3:$K$1590,MATCH(SMALL(Lines!$G$3:$G$1590,79),Lines!$G$3:$G$1590,0)),IF(AND(ISNUMBER($J84),$J84&gt;0,$J84&lt;99),INDEX(Lines!$C$3:$C$1590,MATCH(SMALL(Lines!$G$3:$G$1590,79),Lines!$G$3:$G$1590,0)),""))</f>
        <v/>
      </c>
      <c r="D84" s="26" t="str">
        <f aca="false">IF(AND(ISNUMBER($J84),$J84&gt;0,$J84&lt;99),INDEX(Lines!$D$3:$D$1590,MATCH(SMALL(Lines!$G$3:$G$1590,79),Lines!$G$3:$G$1590,0)),"")</f>
        <v/>
      </c>
      <c r="E84" s="26" t="str">
        <f aca="false">IF(AND(ISNUMBER($J84),$J84&gt;0,$J84&lt;99),INDEX(Lines!$E$3:$E$1590,MATCH(SMALL(Lines!$G$3:$G$1590,79),Lines!$G$3:$G$1590,0)),"")</f>
        <v/>
      </c>
      <c r="F84" s="26" t="str">
        <f aca="false">IF(AND(ISNUMBER($J84),$J84&gt;0,$J84&lt;99),INDEX(Lines!$O$3:$O$1590,MATCH(SMALL(Lines!$G$3:$G$1590,79),Lines!$G$3:$G$1590,0)),"")</f>
        <v/>
      </c>
      <c r="G84" s="27" t="str">
        <f aca="false">IF($J84=0,INDEX(Lines!$Q$3:$Q$1590,MATCH(SMALL(Lines!$G$3:$G$1590,79),Lines!$G$3:$G$1590,0)),IF(AND(ISNUMBER($J84),$J84&gt;0,$J84&lt;99),INDEX(Lines!$P$3:$P$1590,MATCH(SMALL(Lines!$G$3:$G$1590,79),Lines!$G$3:$G$1590,0)),""))</f>
        <v/>
      </c>
      <c r="H84" s="28" t="str">
        <f aca="false">IF($J84=0,INDEX(Lines!$H$3:$H$1590,MATCH(SMALL(Lines!$G$3:$G$1590,79),Lines!$G$3:$G$1590,0))&amp;" groups",IF(AND(ISNUMBER($J84),$J84&gt;0,$J84&lt;99),INDEX(Lines!$I$3:$I$1590,MATCH(SMALL(Lines!$G$3:$G$1590,79),Lines!$G$3:$G$1590,0)),""))</f>
        <v/>
      </c>
      <c r="I84" s="26"/>
      <c r="J84" s="22" t="str">
        <f aca="false">IFERROR(IF(MOD(SMALL(Lines!$G$3:$G$1590,79),100000)=0,-1,MOD(SMALL(Lines!$G$3:$G$1590,79),100)),"")</f>
        <v/>
      </c>
      <c r="K84" s="22" t="str">
        <f aca="false">IF($J84=0,INDEX(Lines!$L$3:$L$1590,MATCH(SMALL(Lines!$G$3:$G$1590,79),Lines!$G$3:$G$1590,0)),"")</f>
        <v/>
      </c>
    </row>
    <row r="85" customFormat="false" ht="15" hidden="false" customHeight="false" outlineLevel="0" collapsed="false">
      <c r="A85" s="24" t="str">
        <f aca="false">IF(OR($J85=0,AND(ISNUMBER($J85),$J85&gt;0,$J85&lt;99)),INDEX(Lines!$A$3:$A$1590,MATCH(SMALL(Lines!$G$3:$G$1590,80),Lines!$G$3:$G$1590,0)),"")</f>
        <v/>
      </c>
      <c r="B85" s="24" t="str">
        <f aca="false">IF($J85=-1,INDEX(Lines!$J$3:$J$1590,MATCH(SMALL(Lines!$G$3:$G$1590,80),Lines!$G$3:$G$1590,0)),IF($J85=0,INDEX(Lines!$L$3:$L$1590,MATCH(SMALL(Lines!$G$3:$G$1590,80),Lines!$G$3:$G$1590,0)),IF(AND(ISNUMBER($J85),$J85&gt;0,$J85&lt;99),INDEX(Lines!$N$3:$N$1590,MATCH(SMALL(Lines!$G$3:$G$1590,80),Lines!$G$3:$G$1590,0)),"")))</f>
        <v/>
      </c>
      <c r="C85" s="25" t="str">
        <f aca="false">IF($J85=0,INDEX(Lines!$K$3:$K$1590,MATCH(SMALL(Lines!$G$3:$G$1590,80),Lines!$G$3:$G$1590,0)),IF(AND(ISNUMBER($J85),$J85&gt;0,$J85&lt;99),INDEX(Lines!$C$3:$C$1590,MATCH(SMALL(Lines!$G$3:$G$1590,80),Lines!$G$3:$G$1590,0)),""))</f>
        <v/>
      </c>
      <c r="D85" s="26" t="str">
        <f aca="false">IF(AND(ISNUMBER($J85),$J85&gt;0,$J85&lt;99),INDEX(Lines!$D$3:$D$1590,MATCH(SMALL(Lines!$G$3:$G$1590,80),Lines!$G$3:$G$1590,0)),"")</f>
        <v/>
      </c>
      <c r="E85" s="26" t="str">
        <f aca="false">IF(AND(ISNUMBER($J85),$J85&gt;0,$J85&lt;99),INDEX(Lines!$E$3:$E$1590,MATCH(SMALL(Lines!$G$3:$G$1590,80),Lines!$G$3:$G$1590,0)),"")</f>
        <v/>
      </c>
      <c r="F85" s="26" t="str">
        <f aca="false">IF(AND(ISNUMBER($J85),$J85&gt;0,$J85&lt;99),INDEX(Lines!$O$3:$O$1590,MATCH(SMALL(Lines!$G$3:$G$1590,80),Lines!$G$3:$G$1590,0)),"")</f>
        <v/>
      </c>
      <c r="G85" s="27" t="str">
        <f aca="false">IF($J85=0,INDEX(Lines!$Q$3:$Q$1590,MATCH(SMALL(Lines!$G$3:$G$1590,80),Lines!$G$3:$G$1590,0)),IF(AND(ISNUMBER($J85),$J85&gt;0,$J85&lt;99),INDEX(Lines!$P$3:$P$1590,MATCH(SMALL(Lines!$G$3:$G$1590,80),Lines!$G$3:$G$1590,0)),""))</f>
        <v/>
      </c>
      <c r="H85" s="28" t="str">
        <f aca="false">IF($J85=0,INDEX(Lines!$H$3:$H$1590,MATCH(SMALL(Lines!$G$3:$G$1590,80),Lines!$G$3:$G$1590,0))&amp;" groups",IF(AND(ISNUMBER($J85),$J85&gt;0,$J85&lt;99),INDEX(Lines!$I$3:$I$1590,MATCH(SMALL(Lines!$G$3:$G$1590,80),Lines!$G$3:$G$1590,0)),""))</f>
        <v/>
      </c>
      <c r="I85" s="26"/>
      <c r="J85" s="22" t="str">
        <f aca="false">IFERROR(IF(MOD(SMALL(Lines!$G$3:$G$1590,80),100000)=0,-1,MOD(SMALL(Lines!$G$3:$G$1590,80),100)),"")</f>
        <v/>
      </c>
      <c r="K85" s="22" t="str">
        <f aca="false">IF($J85=0,INDEX(Lines!$L$3:$L$1590,MATCH(SMALL(Lines!$G$3:$G$1590,80),Lines!$G$3:$G$1590,0)),"")</f>
        <v/>
      </c>
    </row>
    <row r="86" customFormat="false" ht="15" hidden="false" customHeight="false" outlineLevel="0" collapsed="false">
      <c r="A86" s="24" t="str">
        <f aca="false">IF(OR($J86=0,AND(ISNUMBER($J86),$J86&gt;0,$J86&lt;99)),INDEX(Lines!$A$3:$A$1590,MATCH(SMALL(Lines!$G$3:$G$1590,81),Lines!$G$3:$G$1590,0)),"")</f>
        <v/>
      </c>
      <c r="B86" s="24" t="str">
        <f aca="false">IF($J86=-1,INDEX(Lines!$J$3:$J$1590,MATCH(SMALL(Lines!$G$3:$G$1590,81),Lines!$G$3:$G$1590,0)),IF($J86=0,INDEX(Lines!$L$3:$L$1590,MATCH(SMALL(Lines!$G$3:$G$1590,81),Lines!$G$3:$G$1590,0)),IF(AND(ISNUMBER($J86),$J86&gt;0,$J86&lt;99),INDEX(Lines!$N$3:$N$1590,MATCH(SMALL(Lines!$G$3:$G$1590,81),Lines!$G$3:$G$1590,0)),"")))</f>
        <v/>
      </c>
      <c r="C86" s="25" t="str">
        <f aca="false">IF($J86=0,INDEX(Lines!$K$3:$K$1590,MATCH(SMALL(Lines!$G$3:$G$1590,81),Lines!$G$3:$G$1590,0)),IF(AND(ISNUMBER($J86),$J86&gt;0,$J86&lt;99),INDEX(Lines!$C$3:$C$1590,MATCH(SMALL(Lines!$G$3:$G$1590,81),Lines!$G$3:$G$1590,0)),""))</f>
        <v/>
      </c>
      <c r="D86" s="26" t="str">
        <f aca="false">IF(AND(ISNUMBER($J86),$J86&gt;0,$J86&lt;99),INDEX(Lines!$D$3:$D$1590,MATCH(SMALL(Lines!$G$3:$G$1590,81),Lines!$G$3:$G$1590,0)),"")</f>
        <v/>
      </c>
      <c r="E86" s="26" t="str">
        <f aca="false">IF(AND(ISNUMBER($J86),$J86&gt;0,$J86&lt;99),INDEX(Lines!$E$3:$E$1590,MATCH(SMALL(Lines!$G$3:$G$1590,81),Lines!$G$3:$G$1590,0)),"")</f>
        <v/>
      </c>
      <c r="F86" s="26" t="str">
        <f aca="false">IF(AND(ISNUMBER($J86),$J86&gt;0,$J86&lt;99),INDEX(Lines!$O$3:$O$1590,MATCH(SMALL(Lines!$G$3:$G$1590,81),Lines!$G$3:$G$1590,0)),"")</f>
        <v/>
      </c>
      <c r="G86" s="27" t="str">
        <f aca="false">IF($J86=0,INDEX(Lines!$Q$3:$Q$1590,MATCH(SMALL(Lines!$G$3:$G$1590,81),Lines!$G$3:$G$1590,0)),IF(AND(ISNUMBER($J86),$J86&gt;0,$J86&lt;99),INDEX(Lines!$P$3:$P$1590,MATCH(SMALL(Lines!$G$3:$G$1590,81),Lines!$G$3:$G$1590,0)),""))</f>
        <v/>
      </c>
      <c r="H86" s="28" t="str">
        <f aca="false">IF($J86=0,INDEX(Lines!$H$3:$H$1590,MATCH(SMALL(Lines!$G$3:$G$1590,81),Lines!$G$3:$G$1590,0))&amp;" groups",IF(AND(ISNUMBER($J86),$J86&gt;0,$J86&lt;99),INDEX(Lines!$I$3:$I$1590,MATCH(SMALL(Lines!$G$3:$G$1590,81),Lines!$G$3:$G$1590,0)),""))</f>
        <v/>
      </c>
      <c r="I86" s="26"/>
      <c r="J86" s="22" t="str">
        <f aca="false">IFERROR(IF(MOD(SMALL(Lines!$G$3:$G$1590,81),100000)=0,-1,MOD(SMALL(Lines!$G$3:$G$1590,81),100)),"")</f>
        <v/>
      </c>
      <c r="K86" s="22" t="str">
        <f aca="false">IF($J86=0,INDEX(Lines!$L$3:$L$1590,MATCH(SMALL(Lines!$G$3:$G$1590,81),Lines!$G$3:$G$1590,0)),"")</f>
        <v/>
      </c>
    </row>
    <row r="87" customFormat="false" ht="15" hidden="false" customHeight="false" outlineLevel="0" collapsed="false">
      <c r="A87" s="24" t="str">
        <f aca="false">IF(OR($J87=0,AND(ISNUMBER($J87),$J87&gt;0,$J87&lt;99)),INDEX(Lines!$A$3:$A$1590,MATCH(SMALL(Lines!$G$3:$G$1590,82),Lines!$G$3:$G$1590,0)),"")</f>
        <v/>
      </c>
      <c r="B87" s="24" t="str">
        <f aca="false">IF($J87=-1,INDEX(Lines!$J$3:$J$1590,MATCH(SMALL(Lines!$G$3:$G$1590,82),Lines!$G$3:$G$1590,0)),IF($J87=0,INDEX(Lines!$L$3:$L$1590,MATCH(SMALL(Lines!$G$3:$G$1590,82),Lines!$G$3:$G$1590,0)),IF(AND(ISNUMBER($J87),$J87&gt;0,$J87&lt;99),INDEX(Lines!$N$3:$N$1590,MATCH(SMALL(Lines!$G$3:$G$1590,82),Lines!$G$3:$G$1590,0)),"")))</f>
        <v/>
      </c>
      <c r="C87" s="25" t="str">
        <f aca="false">IF($J87=0,INDEX(Lines!$K$3:$K$1590,MATCH(SMALL(Lines!$G$3:$G$1590,82),Lines!$G$3:$G$1590,0)),IF(AND(ISNUMBER($J87),$J87&gt;0,$J87&lt;99),INDEX(Lines!$C$3:$C$1590,MATCH(SMALL(Lines!$G$3:$G$1590,82),Lines!$G$3:$G$1590,0)),""))</f>
        <v/>
      </c>
      <c r="D87" s="26" t="str">
        <f aca="false">IF(AND(ISNUMBER($J87),$J87&gt;0,$J87&lt;99),INDEX(Lines!$D$3:$D$1590,MATCH(SMALL(Lines!$G$3:$G$1590,82),Lines!$G$3:$G$1590,0)),"")</f>
        <v/>
      </c>
      <c r="E87" s="26" t="str">
        <f aca="false">IF(AND(ISNUMBER($J87),$J87&gt;0,$J87&lt;99),INDEX(Lines!$E$3:$E$1590,MATCH(SMALL(Lines!$G$3:$G$1590,82),Lines!$G$3:$G$1590,0)),"")</f>
        <v/>
      </c>
      <c r="F87" s="26" t="str">
        <f aca="false">IF(AND(ISNUMBER($J87),$J87&gt;0,$J87&lt;99),INDEX(Lines!$O$3:$O$1590,MATCH(SMALL(Lines!$G$3:$G$1590,82),Lines!$G$3:$G$1590,0)),"")</f>
        <v/>
      </c>
      <c r="G87" s="27" t="str">
        <f aca="false">IF($J87=0,INDEX(Lines!$Q$3:$Q$1590,MATCH(SMALL(Lines!$G$3:$G$1590,82),Lines!$G$3:$G$1590,0)),IF(AND(ISNUMBER($J87),$J87&gt;0,$J87&lt;99),INDEX(Lines!$P$3:$P$1590,MATCH(SMALL(Lines!$G$3:$G$1590,82),Lines!$G$3:$G$1590,0)),""))</f>
        <v/>
      </c>
      <c r="H87" s="28" t="str">
        <f aca="false">IF($J87=0,INDEX(Lines!$H$3:$H$1590,MATCH(SMALL(Lines!$G$3:$G$1590,82),Lines!$G$3:$G$1590,0))&amp;" groups",IF(AND(ISNUMBER($J87),$J87&gt;0,$J87&lt;99),INDEX(Lines!$I$3:$I$1590,MATCH(SMALL(Lines!$G$3:$G$1590,82),Lines!$G$3:$G$1590,0)),""))</f>
        <v/>
      </c>
      <c r="I87" s="26"/>
      <c r="J87" s="22" t="str">
        <f aca="false">IFERROR(IF(MOD(SMALL(Lines!$G$3:$G$1590,82),100000)=0,-1,MOD(SMALL(Lines!$G$3:$G$1590,82),100)),"")</f>
        <v/>
      </c>
      <c r="K87" s="22" t="str">
        <f aca="false">IF($J87=0,INDEX(Lines!$L$3:$L$1590,MATCH(SMALL(Lines!$G$3:$G$1590,82),Lines!$G$3:$G$1590,0)),"")</f>
        <v/>
      </c>
    </row>
    <row r="88" customFormat="false" ht="15" hidden="false" customHeight="false" outlineLevel="0" collapsed="false">
      <c r="A88" s="24" t="str">
        <f aca="false">IF(OR($J88=0,AND(ISNUMBER($J88),$J88&gt;0,$J88&lt;99)),INDEX(Lines!$A$3:$A$1590,MATCH(SMALL(Lines!$G$3:$G$1590,83),Lines!$G$3:$G$1590,0)),"")</f>
        <v/>
      </c>
      <c r="B88" s="24" t="str">
        <f aca="false">IF($J88=-1,INDEX(Lines!$J$3:$J$1590,MATCH(SMALL(Lines!$G$3:$G$1590,83),Lines!$G$3:$G$1590,0)),IF($J88=0,INDEX(Lines!$L$3:$L$1590,MATCH(SMALL(Lines!$G$3:$G$1590,83),Lines!$G$3:$G$1590,0)),IF(AND(ISNUMBER($J88),$J88&gt;0,$J88&lt;99),INDEX(Lines!$N$3:$N$1590,MATCH(SMALL(Lines!$G$3:$G$1590,83),Lines!$G$3:$G$1590,0)),"")))</f>
        <v/>
      </c>
      <c r="C88" s="25" t="str">
        <f aca="false">IF($J88=0,INDEX(Lines!$K$3:$K$1590,MATCH(SMALL(Lines!$G$3:$G$1590,83),Lines!$G$3:$G$1590,0)),IF(AND(ISNUMBER($J88),$J88&gt;0,$J88&lt;99),INDEX(Lines!$C$3:$C$1590,MATCH(SMALL(Lines!$G$3:$G$1590,83),Lines!$G$3:$G$1590,0)),""))</f>
        <v/>
      </c>
      <c r="D88" s="26" t="str">
        <f aca="false">IF(AND(ISNUMBER($J88),$J88&gt;0,$J88&lt;99),INDEX(Lines!$D$3:$D$1590,MATCH(SMALL(Lines!$G$3:$G$1590,83),Lines!$G$3:$G$1590,0)),"")</f>
        <v/>
      </c>
      <c r="E88" s="26" t="str">
        <f aca="false">IF(AND(ISNUMBER($J88),$J88&gt;0,$J88&lt;99),INDEX(Lines!$E$3:$E$1590,MATCH(SMALL(Lines!$G$3:$G$1590,83),Lines!$G$3:$G$1590,0)),"")</f>
        <v/>
      </c>
      <c r="F88" s="26" t="str">
        <f aca="false">IF(AND(ISNUMBER($J88),$J88&gt;0,$J88&lt;99),INDEX(Lines!$O$3:$O$1590,MATCH(SMALL(Lines!$G$3:$G$1590,83),Lines!$G$3:$G$1590,0)),"")</f>
        <v/>
      </c>
      <c r="G88" s="27" t="str">
        <f aca="false">IF($J88=0,INDEX(Lines!$Q$3:$Q$1590,MATCH(SMALL(Lines!$G$3:$G$1590,83),Lines!$G$3:$G$1590,0)),IF(AND(ISNUMBER($J88),$J88&gt;0,$J88&lt;99),INDEX(Lines!$P$3:$P$1590,MATCH(SMALL(Lines!$G$3:$G$1590,83),Lines!$G$3:$G$1590,0)),""))</f>
        <v/>
      </c>
      <c r="H88" s="28" t="str">
        <f aca="false">IF($J88=0,INDEX(Lines!$H$3:$H$1590,MATCH(SMALL(Lines!$G$3:$G$1590,83),Lines!$G$3:$G$1590,0))&amp;" groups",IF(AND(ISNUMBER($J88),$J88&gt;0,$J88&lt;99),INDEX(Lines!$I$3:$I$1590,MATCH(SMALL(Lines!$G$3:$G$1590,83),Lines!$G$3:$G$1590,0)),""))</f>
        <v/>
      </c>
      <c r="I88" s="26"/>
      <c r="J88" s="22" t="str">
        <f aca="false">IFERROR(IF(MOD(SMALL(Lines!$G$3:$G$1590,83),100000)=0,-1,MOD(SMALL(Lines!$G$3:$G$1590,83),100)),"")</f>
        <v/>
      </c>
      <c r="K88" s="22" t="str">
        <f aca="false">IF($J88=0,INDEX(Lines!$L$3:$L$1590,MATCH(SMALL(Lines!$G$3:$G$1590,83),Lines!$G$3:$G$1590,0)),"")</f>
        <v/>
      </c>
    </row>
    <row r="89" customFormat="false" ht="15" hidden="false" customHeight="false" outlineLevel="0" collapsed="false">
      <c r="A89" s="24" t="str">
        <f aca="false">IF(OR($J89=0,AND(ISNUMBER($J89),$J89&gt;0,$J89&lt;99)),INDEX(Lines!$A$3:$A$1590,MATCH(SMALL(Lines!$G$3:$G$1590,84),Lines!$G$3:$G$1590,0)),"")</f>
        <v/>
      </c>
      <c r="B89" s="24" t="str">
        <f aca="false">IF($J89=-1,INDEX(Lines!$J$3:$J$1590,MATCH(SMALL(Lines!$G$3:$G$1590,84),Lines!$G$3:$G$1590,0)),IF($J89=0,INDEX(Lines!$L$3:$L$1590,MATCH(SMALL(Lines!$G$3:$G$1590,84),Lines!$G$3:$G$1590,0)),IF(AND(ISNUMBER($J89),$J89&gt;0,$J89&lt;99),INDEX(Lines!$N$3:$N$1590,MATCH(SMALL(Lines!$G$3:$G$1590,84),Lines!$G$3:$G$1590,0)),"")))</f>
        <v/>
      </c>
      <c r="C89" s="25" t="str">
        <f aca="false">IF($J89=0,INDEX(Lines!$K$3:$K$1590,MATCH(SMALL(Lines!$G$3:$G$1590,84),Lines!$G$3:$G$1590,0)),IF(AND(ISNUMBER($J89),$J89&gt;0,$J89&lt;99),INDEX(Lines!$C$3:$C$1590,MATCH(SMALL(Lines!$G$3:$G$1590,84),Lines!$G$3:$G$1590,0)),""))</f>
        <v/>
      </c>
      <c r="D89" s="26" t="str">
        <f aca="false">IF(AND(ISNUMBER($J89),$J89&gt;0,$J89&lt;99),INDEX(Lines!$D$3:$D$1590,MATCH(SMALL(Lines!$G$3:$G$1590,84),Lines!$G$3:$G$1590,0)),"")</f>
        <v/>
      </c>
      <c r="E89" s="26" t="str">
        <f aca="false">IF(AND(ISNUMBER($J89),$J89&gt;0,$J89&lt;99),INDEX(Lines!$E$3:$E$1590,MATCH(SMALL(Lines!$G$3:$G$1590,84),Lines!$G$3:$G$1590,0)),"")</f>
        <v/>
      </c>
      <c r="F89" s="26" t="str">
        <f aca="false">IF(AND(ISNUMBER($J89),$J89&gt;0,$J89&lt;99),INDEX(Lines!$O$3:$O$1590,MATCH(SMALL(Lines!$G$3:$G$1590,84),Lines!$G$3:$G$1590,0)),"")</f>
        <v/>
      </c>
      <c r="G89" s="27" t="str">
        <f aca="false">IF($J89=0,INDEX(Lines!$Q$3:$Q$1590,MATCH(SMALL(Lines!$G$3:$G$1590,84),Lines!$G$3:$G$1590,0)),IF(AND(ISNUMBER($J89),$J89&gt;0,$J89&lt;99),INDEX(Lines!$P$3:$P$1590,MATCH(SMALL(Lines!$G$3:$G$1590,84),Lines!$G$3:$G$1590,0)),""))</f>
        <v/>
      </c>
      <c r="H89" s="28" t="str">
        <f aca="false">IF($J89=0,INDEX(Lines!$H$3:$H$1590,MATCH(SMALL(Lines!$G$3:$G$1590,84),Lines!$G$3:$G$1590,0))&amp;" groups",IF(AND(ISNUMBER($J89),$J89&gt;0,$J89&lt;99),INDEX(Lines!$I$3:$I$1590,MATCH(SMALL(Lines!$G$3:$G$1590,84),Lines!$G$3:$G$1590,0)),""))</f>
        <v/>
      </c>
      <c r="I89" s="26"/>
      <c r="J89" s="22" t="str">
        <f aca="false">IFERROR(IF(MOD(SMALL(Lines!$G$3:$G$1590,84),100000)=0,-1,MOD(SMALL(Lines!$G$3:$G$1590,84),100)),"")</f>
        <v/>
      </c>
      <c r="K89" s="22" t="str">
        <f aca="false">IF($J89=0,INDEX(Lines!$L$3:$L$1590,MATCH(SMALL(Lines!$G$3:$G$1590,84),Lines!$G$3:$G$1590,0)),"")</f>
        <v/>
      </c>
    </row>
    <row r="90" customFormat="false" ht="15" hidden="false" customHeight="false" outlineLevel="0" collapsed="false">
      <c r="A90" s="24" t="str">
        <f aca="false">IF(OR($J90=0,AND(ISNUMBER($J90),$J90&gt;0,$J90&lt;99)),INDEX(Lines!$A$3:$A$1590,MATCH(SMALL(Lines!$G$3:$G$1590,85),Lines!$G$3:$G$1590,0)),"")</f>
        <v/>
      </c>
      <c r="B90" s="24" t="str">
        <f aca="false">IF($J90=-1,INDEX(Lines!$J$3:$J$1590,MATCH(SMALL(Lines!$G$3:$G$1590,85),Lines!$G$3:$G$1590,0)),IF($J90=0,INDEX(Lines!$L$3:$L$1590,MATCH(SMALL(Lines!$G$3:$G$1590,85),Lines!$G$3:$G$1590,0)),IF(AND(ISNUMBER($J90),$J90&gt;0,$J90&lt;99),INDEX(Lines!$N$3:$N$1590,MATCH(SMALL(Lines!$G$3:$G$1590,85),Lines!$G$3:$G$1590,0)),"")))</f>
        <v/>
      </c>
      <c r="C90" s="25" t="str">
        <f aca="false">IF($J90=0,INDEX(Lines!$K$3:$K$1590,MATCH(SMALL(Lines!$G$3:$G$1590,85),Lines!$G$3:$G$1590,0)),IF(AND(ISNUMBER($J90),$J90&gt;0,$J90&lt;99),INDEX(Lines!$C$3:$C$1590,MATCH(SMALL(Lines!$G$3:$G$1590,85),Lines!$G$3:$G$1590,0)),""))</f>
        <v/>
      </c>
      <c r="D90" s="26" t="str">
        <f aca="false">IF(AND(ISNUMBER($J90),$J90&gt;0,$J90&lt;99),INDEX(Lines!$D$3:$D$1590,MATCH(SMALL(Lines!$G$3:$G$1590,85),Lines!$G$3:$G$1590,0)),"")</f>
        <v/>
      </c>
      <c r="E90" s="26" t="str">
        <f aca="false">IF(AND(ISNUMBER($J90),$J90&gt;0,$J90&lt;99),INDEX(Lines!$E$3:$E$1590,MATCH(SMALL(Lines!$G$3:$G$1590,85),Lines!$G$3:$G$1590,0)),"")</f>
        <v/>
      </c>
      <c r="F90" s="26" t="str">
        <f aca="false">IF(AND(ISNUMBER($J90),$J90&gt;0,$J90&lt;99),INDEX(Lines!$O$3:$O$1590,MATCH(SMALL(Lines!$G$3:$G$1590,85),Lines!$G$3:$G$1590,0)),"")</f>
        <v/>
      </c>
      <c r="G90" s="27" t="str">
        <f aca="false">IF($J90=0,INDEX(Lines!$Q$3:$Q$1590,MATCH(SMALL(Lines!$G$3:$G$1590,85),Lines!$G$3:$G$1590,0)),IF(AND(ISNUMBER($J90),$J90&gt;0,$J90&lt;99),INDEX(Lines!$P$3:$P$1590,MATCH(SMALL(Lines!$G$3:$G$1590,85),Lines!$G$3:$G$1590,0)),""))</f>
        <v/>
      </c>
      <c r="H90" s="28" t="str">
        <f aca="false">IF($J90=0,INDEX(Lines!$H$3:$H$1590,MATCH(SMALL(Lines!$G$3:$G$1590,85),Lines!$G$3:$G$1590,0))&amp;" groups",IF(AND(ISNUMBER($J90),$J90&gt;0,$J90&lt;99),INDEX(Lines!$I$3:$I$1590,MATCH(SMALL(Lines!$G$3:$G$1590,85),Lines!$G$3:$G$1590,0)),""))</f>
        <v/>
      </c>
      <c r="I90" s="26"/>
      <c r="J90" s="22" t="str">
        <f aca="false">IFERROR(IF(MOD(SMALL(Lines!$G$3:$G$1590,85),100000)=0,-1,MOD(SMALL(Lines!$G$3:$G$1590,85),100)),"")</f>
        <v/>
      </c>
      <c r="K90" s="22" t="str">
        <f aca="false">IF($J90=0,INDEX(Lines!$L$3:$L$1590,MATCH(SMALL(Lines!$G$3:$G$1590,85),Lines!$G$3:$G$1590,0)),"")</f>
        <v/>
      </c>
    </row>
    <row r="91" customFormat="false" ht="15" hidden="false" customHeight="false" outlineLevel="0" collapsed="false">
      <c r="A91" s="24" t="str">
        <f aca="false">IF(OR($J91=0,AND(ISNUMBER($J91),$J91&gt;0,$J91&lt;99)),INDEX(Lines!$A$3:$A$1590,MATCH(SMALL(Lines!$G$3:$G$1590,86),Lines!$G$3:$G$1590,0)),"")</f>
        <v/>
      </c>
      <c r="B91" s="24" t="str">
        <f aca="false">IF($J91=-1,INDEX(Lines!$J$3:$J$1590,MATCH(SMALL(Lines!$G$3:$G$1590,86),Lines!$G$3:$G$1590,0)),IF($J91=0,INDEX(Lines!$L$3:$L$1590,MATCH(SMALL(Lines!$G$3:$G$1590,86),Lines!$G$3:$G$1590,0)),IF(AND(ISNUMBER($J91),$J91&gt;0,$J91&lt;99),INDEX(Lines!$N$3:$N$1590,MATCH(SMALL(Lines!$G$3:$G$1590,86),Lines!$G$3:$G$1590,0)),"")))</f>
        <v/>
      </c>
      <c r="C91" s="25" t="str">
        <f aca="false">IF($J91=0,INDEX(Lines!$K$3:$K$1590,MATCH(SMALL(Lines!$G$3:$G$1590,86),Lines!$G$3:$G$1590,0)),IF(AND(ISNUMBER($J91),$J91&gt;0,$J91&lt;99),INDEX(Lines!$C$3:$C$1590,MATCH(SMALL(Lines!$G$3:$G$1590,86),Lines!$G$3:$G$1590,0)),""))</f>
        <v/>
      </c>
      <c r="D91" s="26" t="str">
        <f aca="false">IF(AND(ISNUMBER($J91),$J91&gt;0,$J91&lt;99),INDEX(Lines!$D$3:$D$1590,MATCH(SMALL(Lines!$G$3:$G$1590,86),Lines!$G$3:$G$1590,0)),"")</f>
        <v/>
      </c>
      <c r="E91" s="26" t="str">
        <f aca="false">IF(AND(ISNUMBER($J91),$J91&gt;0,$J91&lt;99),INDEX(Lines!$E$3:$E$1590,MATCH(SMALL(Lines!$G$3:$G$1590,86),Lines!$G$3:$G$1590,0)),"")</f>
        <v/>
      </c>
      <c r="F91" s="26" t="str">
        <f aca="false">IF(AND(ISNUMBER($J91),$J91&gt;0,$J91&lt;99),INDEX(Lines!$O$3:$O$1590,MATCH(SMALL(Lines!$G$3:$G$1590,86),Lines!$G$3:$G$1590,0)),"")</f>
        <v/>
      </c>
      <c r="G91" s="27" t="str">
        <f aca="false">IF($J91=0,INDEX(Lines!$Q$3:$Q$1590,MATCH(SMALL(Lines!$G$3:$G$1590,86),Lines!$G$3:$G$1590,0)),IF(AND(ISNUMBER($J91),$J91&gt;0,$J91&lt;99),INDEX(Lines!$P$3:$P$1590,MATCH(SMALL(Lines!$G$3:$G$1590,86),Lines!$G$3:$G$1590,0)),""))</f>
        <v/>
      </c>
      <c r="H91" s="28" t="str">
        <f aca="false">IF($J91=0,INDEX(Lines!$H$3:$H$1590,MATCH(SMALL(Lines!$G$3:$G$1590,86),Lines!$G$3:$G$1590,0))&amp;" groups",IF(AND(ISNUMBER($J91),$J91&gt;0,$J91&lt;99),INDEX(Lines!$I$3:$I$1590,MATCH(SMALL(Lines!$G$3:$G$1590,86),Lines!$G$3:$G$1590,0)),""))</f>
        <v/>
      </c>
      <c r="I91" s="26"/>
      <c r="J91" s="22" t="str">
        <f aca="false">IFERROR(IF(MOD(SMALL(Lines!$G$3:$G$1590,86),100000)=0,-1,MOD(SMALL(Lines!$G$3:$G$1590,86),100)),"")</f>
        <v/>
      </c>
      <c r="K91" s="22" t="str">
        <f aca="false">IF($J91=0,INDEX(Lines!$L$3:$L$1590,MATCH(SMALL(Lines!$G$3:$G$1590,86),Lines!$G$3:$G$1590,0)),"")</f>
        <v/>
      </c>
    </row>
    <row r="92" customFormat="false" ht="15" hidden="false" customHeight="false" outlineLevel="0" collapsed="false">
      <c r="A92" s="24" t="str">
        <f aca="false">IF(OR($J92=0,AND(ISNUMBER($J92),$J92&gt;0,$J92&lt;99)),INDEX(Lines!$A$3:$A$1590,MATCH(SMALL(Lines!$G$3:$G$1590,87),Lines!$G$3:$G$1590,0)),"")</f>
        <v/>
      </c>
      <c r="B92" s="24" t="str">
        <f aca="false">IF($J92=-1,INDEX(Lines!$J$3:$J$1590,MATCH(SMALL(Lines!$G$3:$G$1590,87),Lines!$G$3:$G$1590,0)),IF($J92=0,INDEX(Lines!$L$3:$L$1590,MATCH(SMALL(Lines!$G$3:$G$1590,87),Lines!$G$3:$G$1590,0)),IF(AND(ISNUMBER($J92),$J92&gt;0,$J92&lt;99),INDEX(Lines!$N$3:$N$1590,MATCH(SMALL(Lines!$G$3:$G$1590,87),Lines!$G$3:$G$1590,0)),"")))</f>
        <v/>
      </c>
      <c r="C92" s="25" t="str">
        <f aca="false">IF($J92=0,INDEX(Lines!$K$3:$K$1590,MATCH(SMALL(Lines!$G$3:$G$1590,87),Lines!$G$3:$G$1590,0)),IF(AND(ISNUMBER($J92),$J92&gt;0,$J92&lt;99),INDEX(Lines!$C$3:$C$1590,MATCH(SMALL(Lines!$G$3:$G$1590,87),Lines!$G$3:$G$1590,0)),""))</f>
        <v/>
      </c>
      <c r="D92" s="26" t="str">
        <f aca="false">IF(AND(ISNUMBER($J92),$J92&gt;0,$J92&lt;99),INDEX(Lines!$D$3:$D$1590,MATCH(SMALL(Lines!$G$3:$G$1590,87),Lines!$G$3:$G$1590,0)),"")</f>
        <v/>
      </c>
      <c r="E92" s="26" t="str">
        <f aca="false">IF(AND(ISNUMBER($J92),$J92&gt;0,$J92&lt;99),INDEX(Lines!$E$3:$E$1590,MATCH(SMALL(Lines!$G$3:$G$1590,87),Lines!$G$3:$G$1590,0)),"")</f>
        <v/>
      </c>
      <c r="F92" s="26" t="str">
        <f aca="false">IF(AND(ISNUMBER($J92),$J92&gt;0,$J92&lt;99),INDEX(Lines!$O$3:$O$1590,MATCH(SMALL(Lines!$G$3:$G$1590,87),Lines!$G$3:$G$1590,0)),"")</f>
        <v/>
      </c>
      <c r="G92" s="27" t="str">
        <f aca="false">IF($J92=0,INDEX(Lines!$Q$3:$Q$1590,MATCH(SMALL(Lines!$G$3:$G$1590,87),Lines!$G$3:$G$1590,0)),IF(AND(ISNUMBER($J92),$J92&gt;0,$J92&lt;99),INDEX(Lines!$P$3:$P$1590,MATCH(SMALL(Lines!$G$3:$G$1590,87),Lines!$G$3:$G$1590,0)),""))</f>
        <v/>
      </c>
      <c r="H92" s="28" t="str">
        <f aca="false">IF($J92=0,INDEX(Lines!$H$3:$H$1590,MATCH(SMALL(Lines!$G$3:$G$1590,87),Lines!$G$3:$G$1590,0))&amp;" groups",IF(AND(ISNUMBER($J92),$J92&gt;0,$J92&lt;99),INDEX(Lines!$I$3:$I$1590,MATCH(SMALL(Lines!$G$3:$G$1590,87),Lines!$G$3:$G$1590,0)),""))</f>
        <v/>
      </c>
      <c r="I92" s="26"/>
      <c r="J92" s="22" t="str">
        <f aca="false">IFERROR(IF(MOD(SMALL(Lines!$G$3:$G$1590,87),100000)=0,-1,MOD(SMALL(Lines!$G$3:$G$1590,87),100)),"")</f>
        <v/>
      </c>
      <c r="K92" s="22" t="str">
        <f aca="false">IF($J92=0,INDEX(Lines!$L$3:$L$1590,MATCH(SMALL(Lines!$G$3:$G$1590,87),Lines!$G$3:$G$1590,0)),"")</f>
        <v/>
      </c>
    </row>
    <row r="93" customFormat="false" ht="15" hidden="false" customHeight="false" outlineLevel="0" collapsed="false">
      <c r="A93" s="24" t="str">
        <f aca="false">IF(OR($J93=0,AND(ISNUMBER($J93),$J93&gt;0,$J93&lt;99)),INDEX(Lines!$A$3:$A$1590,MATCH(SMALL(Lines!$G$3:$G$1590,88),Lines!$G$3:$G$1590,0)),"")</f>
        <v/>
      </c>
      <c r="B93" s="24" t="str">
        <f aca="false">IF($J93=-1,INDEX(Lines!$J$3:$J$1590,MATCH(SMALL(Lines!$G$3:$G$1590,88),Lines!$G$3:$G$1590,0)),IF($J93=0,INDEX(Lines!$L$3:$L$1590,MATCH(SMALL(Lines!$G$3:$G$1590,88),Lines!$G$3:$G$1590,0)),IF(AND(ISNUMBER($J93),$J93&gt;0,$J93&lt;99),INDEX(Lines!$N$3:$N$1590,MATCH(SMALL(Lines!$G$3:$G$1590,88),Lines!$G$3:$G$1590,0)),"")))</f>
        <v/>
      </c>
      <c r="C93" s="25" t="str">
        <f aca="false">IF($J93=0,INDEX(Lines!$K$3:$K$1590,MATCH(SMALL(Lines!$G$3:$G$1590,88),Lines!$G$3:$G$1590,0)),IF(AND(ISNUMBER($J93),$J93&gt;0,$J93&lt;99),INDEX(Lines!$C$3:$C$1590,MATCH(SMALL(Lines!$G$3:$G$1590,88),Lines!$G$3:$G$1590,0)),""))</f>
        <v/>
      </c>
      <c r="D93" s="26" t="str">
        <f aca="false">IF(AND(ISNUMBER($J93),$J93&gt;0,$J93&lt;99),INDEX(Lines!$D$3:$D$1590,MATCH(SMALL(Lines!$G$3:$G$1590,88),Lines!$G$3:$G$1590,0)),"")</f>
        <v/>
      </c>
      <c r="E93" s="26" t="str">
        <f aca="false">IF(AND(ISNUMBER($J93),$J93&gt;0,$J93&lt;99),INDEX(Lines!$E$3:$E$1590,MATCH(SMALL(Lines!$G$3:$G$1590,88),Lines!$G$3:$G$1590,0)),"")</f>
        <v/>
      </c>
      <c r="F93" s="26" t="str">
        <f aca="false">IF(AND(ISNUMBER($J93),$J93&gt;0,$J93&lt;99),INDEX(Lines!$O$3:$O$1590,MATCH(SMALL(Lines!$G$3:$G$1590,88),Lines!$G$3:$G$1590,0)),"")</f>
        <v/>
      </c>
      <c r="G93" s="27" t="str">
        <f aca="false">IF($J93=0,INDEX(Lines!$Q$3:$Q$1590,MATCH(SMALL(Lines!$G$3:$G$1590,88),Lines!$G$3:$G$1590,0)),IF(AND(ISNUMBER($J93),$J93&gt;0,$J93&lt;99),INDEX(Lines!$P$3:$P$1590,MATCH(SMALL(Lines!$G$3:$G$1590,88),Lines!$G$3:$G$1590,0)),""))</f>
        <v/>
      </c>
      <c r="H93" s="28" t="str">
        <f aca="false">IF($J93=0,INDEX(Lines!$H$3:$H$1590,MATCH(SMALL(Lines!$G$3:$G$1590,88),Lines!$G$3:$G$1590,0))&amp;" groups",IF(AND(ISNUMBER($J93),$J93&gt;0,$J93&lt;99),INDEX(Lines!$I$3:$I$1590,MATCH(SMALL(Lines!$G$3:$G$1590,88),Lines!$G$3:$G$1590,0)),""))</f>
        <v/>
      </c>
      <c r="I93" s="26"/>
      <c r="J93" s="22" t="str">
        <f aca="false">IFERROR(IF(MOD(SMALL(Lines!$G$3:$G$1590,88),100000)=0,-1,MOD(SMALL(Lines!$G$3:$G$1590,88),100)),"")</f>
        <v/>
      </c>
      <c r="K93" s="22" t="str">
        <f aca="false">IF($J93=0,INDEX(Lines!$L$3:$L$1590,MATCH(SMALL(Lines!$G$3:$G$1590,88),Lines!$G$3:$G$1590,0)),"")</f>
        <v/>
      </c>
    </row>
    <row r="94" customFormat="false" ht="15" hidden="false" customHeight="false" outlineLevel="0" collapsed="false">
      <c r="A94" s="24" t="str">
        <f aca="false">IF(OR($J94=0,AND(ISNUMBER($J94),$J94&gt;0,$J94&lt;99)),INDEX(Lines!$A$3:$A$1590,MATCH(SMALL(Lines!$G$3:$G$1590,89),Lines!$G$3:$G$1590,0)),"")</f>
        <v/>
      </c>
      <c r="B94" s="24" t="str">
        <f aca="false">IF($J94=-1,INDEX(Lines!$J$3:$J$1590,MATCH(SMALL(Lines!$G$3:$G$1590,89),Lines!$G$3:$G$1590,0)),IF($J94=0,INDEX(Lines!$L$3:$L$1590,MATCH(SMALL(Lines!$G$3:$G$1590,89),Lines!$G$3:$G$1590,0)),IF(AND(ISNUMBER($J94),$J94&gt;0,$J94&lt;99),INDEX(Lines!$N$3:$N$1590,MATCH(SMALL(Lines!$G$3:$G$1590,89),Lines!$G$3:$G$1590,0)),"")))</f>
        <v/>
      </c>
      <c r="C94" s="25" t="str">
        <f aca="false">IF($J94=0,INDEX(Lines!$K$3:$K$1590,MATCH(SMALL(Lines!$G$3:$G$1590,89),Lines!$G$3:$G$1590,0)),IF(AND(ISNUMBER($J94),$J94&gt;0,$J94&lt;99),INDEX(Lines!$C$3:$C$1590,MATCH(SMALL(Lines!$G$3:$G$1590,89),Lines!$G$3:$G$1590,0)),""))</f>
        <v/>
      </c>
      <c r="D94" s="26" t="str">
        <f aca="false">IF(AND(ISNUMBER($J94),$J94&gt;0,$J94&lt;99),INDEX(Lines!$D$3:$D$1590,MATCH(SMALL(Lines!$G$3:$G$1590,89),Lines!$G$3:$G$1590,0)),"")</f>
        <v/>
      </c>
      <c r="E94" s="26" t="str">
        <f aca="false">IF(AND(ISNUMBER($J94),$J94&gt;0,$J94&lt;99),INDEX(Lines!$E$3:$E$1590,MATCH(SMALL(Lines!$G$3:$G$1590,89),Lines!$G$3:$G$1590,0)),"")</f>
        <v/>
      </c>
      <c r="F94" s="26" t="str">
        <f aca="false">IF(AND(ISNUMBER($J94),$J94&gt;0,$J94&lt;99),INDEX(Lines!$O$3:$O$1590,MATCH(SMALL(Lines!$G$3:$G$1590,89),Lines!$G$3:$G$1590,0)),"")</f>
        <v/>
      </c>
      <c r="G94" s="27" t="str">
        <f aca="false">IF($J94=0,INDEX(Lines!$Q$3:$Q$1590,MATCH(SMALL(Lines!$G$3:$G$1590,89),Lines!$G$3:$G$1590,0)),IF(AND(ISNUMBER($J94),$J94&gt;0,$J94&lt;99),INDEX(Lines!$P$3:$P$1590,MATCH(SMALL(Lines!$G$3:$G$1590,89),Lines!$G$3:$G$1590,0)),""))</f>
        <v/>
      </c>
      <c r="H94" s="28" t="str">
        <f aca="false">IF($J94=0,INDEX(Lines!$H$3:$H$1590,MATCH(SMALL(Lines!$G$3:$G$1590,89),Lines!$G$3:$G$1590,0))&amp;" groups",IF(AND(ISNUMBER($J94),$J94&gt;0,$J94&lt;99),INDEX(Lines!$I$3:$I$1590,MATCH(SMALL(Lines!$G$3:$G$1590,89),Lines!$G$3:$G$1590,0)),""))</f>
        <v/>
      </c>
      <c r="I94" s="26"/>
      <c r="J94" s="22" t="str">
        <f aca="false">IFERROR(IF(MOD(SMALL(Lines!$G$3:$G$1590,89),100000)=0,-1,MOD(SMALL(Lines!$G$3:$G$1590,89),100)),"")</f>
        <v/>
      </c>
      <c r="K94" s="22" t="str">
        <f aca="false">IF($J94=0,INDEX(Lines!$L$3:$L$1590,MATCH(SMALL(Lines!$G$3:$G$1590,89),Lines!$G$3:$G$1590,0)),"")</f>
        <v/>
      </c>
    </row>
    <row r="95" customFormat="false" ht="15" hidden="false" customHeight="false" outlineLevel="0" collapsed="false">
      <c r="A95" s="24" t="str">
        <f aca="false">IF(OR($J95=0,AND(ISNUMBER($J95),$J95&gt;0,$J95&lt;99)),INDEX(Lines!$A$3:$A$1590,MATCH(SMALL(Lines!$G$3:$G$1590,90),Lines!$G$3:$G$1590,0)),"")</f>
        <v/>
      </c>
      <c r="B95" s="24" t="str">
        <f aca="false">IF($J95=-1,INDEX(Lines!$J$3:$J$1590,MATCH(SMALL(Lines!$G$3:$G$1590,90),Lines!$G$3:$G$1590,0)),IF($J95=0,INDEX(Lines!$L$3:$L$1590,MATCH(SMALL(Lines!$G$3:$G$1590,90),Lines!$G$3:$G$1590,0)),IF(AND(ISNUMBER($J95),$J95&gt;0,$J95&lt;99),INDEX(Lines!$N$3:$N$1590,MATCH(SMALL(Lines!$G$3:$G$1590,90),Lines!$G$3:$G$1590,0)),"")))</f>
        <v/>
      </c>
      <c r="C95" s="25" t="str">
        <f aca="false">IF($J95=0,INDEX(Lines!$K$3:$K$1590,MATCH(SMALL(Lines!$G$3:$G$1590,90),Lines!$G$3:$G$1590,0)),IF(AND(ISNUMBER($J95),$J95&gt;0,$J95&lt;99),INDEX(Lines!$C$3:$C$1590,MATCH(SMALL(Lines!$G$3:$G$1590,90),Lines!$G$3:$G$1590,0)),""))</f>
        <v/>
      </c>
      <c r="D95" s="26" t="str">
        <f aca="false">IF(AND(ISNUMBER($J95),$J95&gt;0,$J95&lt;99),INDEX(Lines!$D$3:$D$1590,MATCH(SMALL(Lines!$G$3:$G$1590,90),Lines!$G$3:$G$1590,0)),"")</f>
        <v/>
      </c>
      <c r="E95" s="26" t="str">
        <f aca="false">IF(AND(ISNUMBER($J95),$J95&gt;0,$J95&lt;99),INDEX(Lines!$E$3:$E$1590,MATCH(SMALL(Lines!$G$3:$G$1590,90),Lines!$G$3:$G$1590,0)),"")</f>
        <v/>
      </c>
      <c r="F95" s="26" t="str">
        <f aca="false">IF(AND(ISNUMBER($J95),$J95&gt;0,$J95&lt;99),INDEX(Lines!$O$3:$O$1590,MATCH(SMALL(Lines!$G$3:$G$1590,90),Lines!$G$3:$G$1590,0)),"")</f>
        <v/>
      </c>
      <c r="G95" s="27" t="str">
        <f aca="false">IF($J95=0,INDEX(Lines!$Q$3:$Q$1590,MATCH(SMALL(Lines!$G$3:$G$1590,90),Lines!$G$3:$G$1590,0)),IF(AND(ISNUMBER($J95),$J95&gt;0,$J95&lt;99),INDEX(Lines!$P$3:$P$1590,MATCH(SMALL(Lines!$G$3:$G$1590,90),Lines!$G$3:$G$1590,0)),""))</f>
        <v/>
      </c>
      <c r="H95" s="28" t="str">
        <f aca="false">IF($J95=0,INDEX(Lines!$H$3:$H$1590,MATCH(SMALL(Lines!$G$3:$G$1590,90),Lines!$G$3:$G$1590,0))&amp;" groups",IF(AND(ISNUMBER($J95),$J95&gt;0,$J95&lt;99),INDEX(Lines!$I$3:$I$1590,MATCH(SMALL(Lines!$G$3:$G$1590,90),Lines!$G$3:$G$1590,0)),""))</f>
        <v/>
      </c>
      <c r="I95" s="26"/>
      <c r="J95" s="22" t="str">
        <f aca="false">IFERROR(IF(MOD(SMALL(Lines!$G$3:$G$1590,90),100000)=0,-1,MOD(SMALL(Lines!$G$3:$G$1590,90),100)),"")</f>
        <v/>
      </c>
      <c r="K95" s="22" t="str">
        <f aca="false">IF($J95=0,INDEX(Lines!$L$3:$L$1590,MATCH(SMALL(Lines!$G$3:$G$1590,90),Lines!$G$3:$G$1590,0)),"")</f>
        <v/>
      </c>
    </row>
    <row r="96" customFormat="false" ht="15" hidden="false" customHeight="false" outlineLevel="0" collapsed="false">
      <c r="A96" s="24" t="str">
        <f aca="false">IF(OR($J96=0,AND(ISNUMBER($J96),$J96&gt;0,$J96&lt;99)),INDEX(Lines!$A$3:$A$1590,MATCH(SMALL(Lines!$G$3:$G$1590,91),Lines!$G$3:$G$1590,0)),"")</f>
        <v/>
      </c>
      <c r="B96" s="24" t="str">
        <f aca="false">IF($J96=-1,INDEX(Lines!$J$3:$J$1590,MATCH(SMALL(Lines!$G$3:$G$1590,91),Lines!$G$3:$G$1590,0)),IF($J96=0,INDEX(Lines!$L$3:$L$1590,MATCH(SMALL(Lines!$G$3:$G$1590,91),Lines!$G$3:$G$1590,0)),IF(AND(ISNUMBER($J96),$J96&gt;0,$J96&lt;99),INDEX(Lines!$N$3:$N$1590,MATCH(SMALL(Lines!$G$3:$G$1590,91),Lines!$G$3:$G$1590,0)),"")))</f>
        <v/>
      </c>
      <c r="C96" s="25" t="str">
        <f aca="false">IF($J96=0,INDEX(Lines!$K$3:$K$1590,MATCH(SMALL(Lines!$G$3:$G$1590,91),Lines!$G$3:$G$1590,0)),IF(AND(ISNUMBER($J96),$J96&gt;0,$J96&lt;99),INDEX(Lines!$C$3:$C$1590,MATCH(SMALL(Lines!$G$3:$G$1590,91),Lines!$G$3:$G$1590,0)),""))</f>
        <v/>
      </c>
      <c r="D96" s="26" t="str">
        <f aca="false">IF(AND(ISNUMBER($J96),$J96&gt;0,$J96&lt;99),INDEX(Lines!$D$3:$D$1590,MATCH(SMALL(Lines!$G$3:$G$1590,91),Lines!$G$3:$G$1590,0)),"")</f>
        <v/>
      </c>
      <c r="E96" s="26" t="str">
        <f aca="false">IF(AND(ISNUMBER($J96),$J96&gt;0,$J96&lt;99),INDEX(Lines!$E$3:$E$1590,MATCH(SMALL(Lines!$G$3:$G$1590,91),Lines!$G$3:$G$1590,0)),"")</f>
        <v/>
      </c>
      <c r="F96" s="26" t="str">
        <f aca="false">IF(AND(ISNUMBER($J96),$J96&gt;0,$J96&lt;99),INDEX(Lines!$O$3:$O$1590,MATCH(SMALL(Lines!$G$3:$G$1590,91),Lines!$G$3:$G$1590,0)),"")</f>
        <v/>
      </c>
      <c r="G96" s="27" t="str">
        <f aca="false">IF($J96=0,INDEX(Lines!$Q$3:$Q$1590,MATCH(SMALL(Lines!$G$3:$G$1590,91),Lines!$G$3:$G$1590,0)),IF(AND(ISNUMBER($J96),$J96&gt;0,$J96&lt;99),INDEX(Lines!$P$3:$P$1590,MATCH(SMALL(Lines!$G$3:$G$1590,91),Lines!$G$3:$G$1590,0)),""))</f>
        <v/>
      </c>
      <c r="H96" s="28" t="str">
        <f aca="false">IF($J96=0,INDEX(Lines!$H$3:$H$1590,MATCH(SMALL(Lines!$G$3:$G$1590,91),Lines!$G$3:$G$1590,0))&amp;" groups",IF(AND(ISNUMBER($J96),$J96&gt;0,$J96&lt;99),INDEX(Lines!$I$3:$I$1590,MATCH(SMALL(Lines!$G$3:$G$1590,91),Lines!$G$3:$G$1590,0)),""))</f>
        <v/>
      </c>
      <c r="I96" s="26"/>
      <c r="J96" s="22" t="str">
        <f aca="false">IFERROR(IF(MOD(SMALL(Lines!$G$3:$G$1590,91),100000)=0,-1,MOD(SMALL(Lines!$G$3:$G$1590,91),100)),"")</f>
        <v/>
      </c>
      <c r="K96" s="22" t="str">
        <f aca="false">IF($J96=0,INDEX(Lines!$L$3:$L$1590,MATCH(SMALL(Lines!$G$3:$G$1590,91),Lines!$G$3:$G$1590,0)),"")</f>
        <v/>
      </c>
    </row>
    <row r="97" customFormat="false" ht="15" hidden="false" customHeight="false" outlineLevel="0" collapsed="false">
      <c r="A97" s="24" t="str">
        <f aca="false">IF(OR($J97=0,AND(ISNUMBER($J97),$J97&gt;0,$J97&lt;99)),INDEX(Lines!$A$3:$A$1590,MATCH(SMALL(Lines!$G$3:$G$1590,92),Lines!$G$3:$G$1590,0)),"")</f>
        <v/>
      </c>
      <c r="B97" s="24" t="str">
        <f aca="false">IF($J97=-1,INDEX(Lines!$J$3:$J$1590,MATCH(SMALL(Lines!$G$3:$G$1590,92),Lines!$G$3:$G$1590,0)),IF($J97=0,INDEX(Lines!$L$3:$L$1590,MATCH(SMALL(Lines!$G$3:$G$1590,92),Lines!$G$3:$G$1590,0)),IF(AND(ISNUMBER($J97),$J97&gt;0,$J97&lt;99),INDEX(Lines!$N$3:$N$1590,MATCH(SMALL(Lines!$G$3:$G$1590,92),Lines!$G$3:$G$1590,0)),"")))</f>
        <v/>
      </c>
      <c r="C97" s="25" t="str">
        <f aca="false">IF($J97=0,INDEX(Lines!$K$3:$K$1590,MATCH(SMALL(Lines!$G$3:$G$1590,92),Lines!$G$3:$G$1590,0)),IF(AND(ISNUMBER($J97),$J97&gt;0,$J97&lt;99),INDEX(Lines!$C$3:$C$1590,MATCH(SMALL(Lines!$G$3:$G$1590,92),Lines!$G$3:$G$1590,0)),""))</f>
        <v/>
      </c>
      <c r="D97" s="26" t="str">
        <f aca="false">IF(AND(ISNUMBER($J97),$J97&gt;0,$J97&lt;99),INDEX(Lines!$D$3:$D$1590,MATCH(SMALL(Lines!$G$3:$G$1590,92),Lines!$G$3:$G$1590,0)),"")</f>
        <v/>
      </c>
      <c r="E97" s="26" t="str">
        <f aca="false">IF(AND(ISNUMBER($J97),$J97&gt;0,$J97&lt;99),INDEX(Lines!$E$3:$E$1590,MATCH(SMALL(Lines!$G$3:$G$1590,92),Lines!$G$3:$G$1590,0)),"")</f>
        <v/>
      </c>
      <c r="F97" s="26" t="str">
        <f aca="false">IF(AND(ISNUMBER($J97),$J97&gt;0,$J97&lt;99),INDEX(Lines!$O$3:$O$1590,MATCH(SMALL(Lines!$G$3:$G$1590,92),Lines!$G$3:$G$1590,0)),"")</f>
        <v/>
      </c>
      <c r="G97" s="27" t="str">
        <f aca="false">IF($J97=0,INDEX(Lines!$Q$3:$Q$1590,MATCH(SMALL(Lines!$G$3:$G$1590,92),Lines!$G$3:$G$1590,0)),IF(AND(ISNUMBER($J97),$J97&gt;0,$J97&lt;99),INDEX(Lines!$P$3:$P$1590,MATCH(SMALL(Lines!$G$3:$G$1590,92),Lines!$G$3:$G$1590,0)),""))</f>
        <v/>
      </c>
      <c r="H97" s="28" t="str">
        <f aca="false">IF($J97=0,INDEX(Lines!$H$3:$H$1590,MATCH(SMALL(Lines!$G$3:$G$1590,92),Lines!$G$3:$G$1590,0))&amp;" groups",IF(AND(ISNUMBER($J97),$J97&gt;0,$J97&lt;99),INDEX(Lines!$I$3:$I$1590,MATCH(SMALL(Lines!$G$3:$G$1590,92),Lines!$G$3:$G$1590,0)),""))</f>
        <v/>
      </c>
      <c r="I97" s="26"/>
      <c r="J97" s="22" t="str">
        <f aca="false">IFERROR(IF(MOD(SMALL(Lines!$G$3:$G$1590,92),100000)=0,-1,MOD(SMALL(Lines!$G$3:$G$1590,92),100)),"")</f>
        <v/>
      </c>
      <c r="K97" s="22" t="str">
        <f aca="false">IF($J97=0,INDEX(Lines!$L$3:$L$1590,MATCH(SMALL(Lines!$G$3:$G$1590,92),Lines!$G$3:$G$1590,0)),"")</f>
        <v/>
      </c>
    </row>
    <row r="98" customFormat="false" ht="15" hidden="false" customHeight="false" outlineLevel="0" collapsed="false">
      <c r="A98" s="24" t="str">
        <f aca="false">IF(OR($J98=0,AND(ISNUMBER($J98),$J98&gt;0,$J98&lt;99)),INDEX(Lines!$A$3:$A$1590,MATCH(SMALL(Lines!$G$3:$G$1590,93),Lines!$G$3:$G$1590,0)),"")</f>
        <v/>
      </c>
      <c r="B98" s="24" t="str">
        <f aca="false">IF($J98=-1,INDEX(Lines!$J$3:$J$1590,MATCH(SMALL(Lines!$G$3:$G$1590,93),Lines!$G$3:$G$1590,0)),IF($J98=0,INDEX(Lines!$L$3:$L$1590,MATCH(SMALL(Lines!$G$3:$G$1590,93),Lines!$G$3:$G$1590,0)),IF(AND(ISNUMBER($J98),$J98&gt;0,$J98&lt;99),INDEX(Lines!$N$3:$N$1590,MATCH(SMALL(Lines!$G$3:$G$1590,93),Lines!$G$3:$G$1590,0)),"")))</f>
        <v/>
      </c>
      <c r="C98" s="25" t="str">
        <f aca="false">IF($J98=0,INDEX(Lines!$K$3:$K$1590,MATCH(SMALL(Lines!$G$3:$G$1590,93),Lines!$G$3:$G$1590,0)),IF(AND(ISNUMBER($J98),$J98&gt;0,$J98&lt;99),INDEX(Lines!$C$3:$C$1590,MATCH(SMALL(Lines!$G$3:$G$1590,93),Lines!$G$3:$G$1590,0)),""))</f>
        <v/>
      </c>
      <c r="D98" s="26" t="str">
        <f aca="false">IF(AND(ISNUMBER($J98),$J98&gt;0,$J98&lt;99),INDEX(Lines!$D$3:$D$1590,MATCH(SMALL(Lines!$G$3:$G$1590,93),Lines!$G$3:$G$1590,0)),"")</f>
        <v/>
      </c>
      <c r="E98" s="26" t="str">
        <f aca="false">IF(AND(ISNUMBER($J98),$J98&gt;0,$J98&lt;99),INDEX(Lines!$E$3:$E$1590,MATCH(SMALL(Lines!$G$3:$G$1590,93),Lines!$G$3:$G$1590,0)),"")</f>
        <v/>
      </c>
      <c r="F98" s="26" t="str">
        <f aca="false">IF(AND(ISNUMBER($J98),$J98&gt;0,$J98&lt;99),INDEX(Lines!$O$3:$O$1590,MATCH(SMALL(Lines!$G$3:$G$1590,93),Lines!$G$3:$G$1590,0)),"")</f>
        <v/>
      </c>
      <c r="G98" s="27" t="str">
        <f aca="false">IF($J98=0,INDEX(Lines!$Q$3:$Q$1590,MATCH(SMALL(Lines!$G$3:$G$1590,93),Lines!$G$3:$G$1590,0)),IF(AND(ISNUMBER($J98),$J98&gt;0,$J98&lt;99),INDEX(Lines!$P$3:$P$1590,MATCH(SMALL(Lines!$G$3:$G$1590,93),Lines!$G$3:$G$1590,0)),""))</f>
        <v/>
      </c>
      <c r="H98" s="28" t="str">
        <f aca="false">IF($J98=0,INDEX(Lines!$H$3:$H$1590,MATCH(SMALL(Lines!$G$3:$G$1590,93),Lines!$G$3:$G$1590,0))&amp;" groups",IF(AND(ISNUMBER($J98),$J98&gt;0,$J98&lt;99),INDEX(Lines!$I$3:$I$1590,MATCH(SMALL(Lines!$G$3:$G$1590,93),Lines!$G$3:$G$1590,0)),""))</f>
        <v/>
      </c>
      <c r="I98" s="26"/>
      <c r="J98" s="22" t="str">
        <f aca="false">IFERROR(IF(MOD(SMALL(Lines!$G$3:$G$1590,93),100000)=0,-1,MOD(SMALL(Lines!$G$3:$G$1590,93),100)),"")</f>
        <v/>
      </c>
      <c r="K98" s="22" t="str">
        <f aca="false">IF($J98=0,INDEX(Lines!$L$3:$L$1590,MATCH(SMALL(Lines!$G$3:$G$1590,93),Lines!$G$3:$G$1590,0)),"")</f>
        <v/>
      </c>
    </row>
    <row r="99" customFormat="false" ht="15" hidden="false" customHeight="false" outlineLevel="0" collapsed="false">
      <c r="A99" s="24" t="str">
        <f aca="false">IF(OR($J99=0,AND(ISNUMBER($J99),$J99&gt;0,$J99&lt;99)),INDEX(Lines!$A$3:$A$1590,MATCH(SMALL(Lines!$G$3:$G$1590,94),Lines!$G$3:$G$1590,0)),"")</f>
        <v/>
      </c>
      <c r="B99" s="24" t="str">
        <f aca="false">IF($J99=-1,INDEX(Lines!$J$3:$J$1590,MATCH(SMALL(Lines!$G$3:$G$1590,94),Lines!$G$3:$G$1590,0)),IF($J99=0,INDEX(Lines!$L$3:$L$1590,MATCH(SMALL(Lines!$G$3:$G$1590,94),Lines!$G$3:$G$1590,0)),IF(AND(ISNUMBER($J99),$J99&gt;0,$J99&lt;99),INDEX(Lines!$N$3:$N$1590,MATCH(SMALL(Lines!$G$3:$G$1590,94),Lines!$G$3:$G$1590,0)),"")))</f>
        <v/>
      </c>
      <c r="C99" s="25" t="str">
        <f aca="false">IF($J99=0,INDEX(Lines!$K$3:$K$1590,MATCH(SMALL(Lines!$G$3:$G$1590,94),Lines!$G$3:$G$1590,0)),IF(AND(ISNUMBER($J99),$J99&gt;0,$J99&lt;99),INDEX(Lines!$C$3:$C$1590,MATCH(SMALL(Lines!$G$3:$G$1590,94),Lines!$G$3:$G$1590,0)),""))</f>
        <v/>
      </c>
      <c r="D99" s="26" t="str">
        <f aca="false">IF(AND(ISNUMBER($J99),$J99&gt;0,$J99&lt;99),INDEX(Lines!$D$3:$D$1590,MATCH(SMALL(Lines!$G$3:$G$1590,94),Lines!$G$3:$G$1590,0)),"")</f>
        <v/>
      </c>
      <c r="E99" s="26" t="str">
        <f aca="false">IF(AND(ISNUMBER($J99),$J99&gt;0,$J99&lt;99),INDEX(Lines!$E$3:$E$1590,MATCH(SMALL(Lines!$G$3:$G$1590,94),Lines!$G$3:$G$1590,0)),"")</f>
        <v/>
      </c>
      <c r="F99" s="26" t="str">
        <f aca="false">IF(AND(ISNUMBER($J99),$J99&gt;0,$J99&lt;99),INDEX(Lines!$O$3:$O$1590,MATCH(SMALL(Lines!$G$3:$G$1590,94),Lines!$G$3:$G$1590,0)),"")</f>
        <v/>
      </c>
      <c r="G99" s="27" t="str">
        <f aca="false">IF($J99=0,INDEX(Lines!$Q$3:$Q$1590,MATCH(SMALL(Lines!$G$3:$G$1590,94),Lines!$G$3:$G$1590,0)),IF(AND(ISNUMBER($J99),$J99&gt;0,$J99&lt;99),INDEX(Lines!$P$3:$P$1590,MATCH(SMALL(Lines!$G$3:$G$1590,94),Lines!$G$3:$G$1590,0)),""))</f>
        <v/>
      </c>
      <c r="H99" s="28" t="str">
        <f aca="false">IF($J99=0,INDEX(Lines!$H$3:$H$1590,MATCH(SMALL(Lines!$G$3:$G$1590,94),Lines!$G$3:$G$1590,0))&amp;" groups",IF(AND(ISNUMBER($J99),$J99&gt;0,$J99&lt;99),INDEX(Lines!$I$3:$I$1590,MATCH(SMALL(Lines!$G$3:$G$1590,94),Lines!$G$3:$G$1590,0)),""))</f>
        <v/>
      </c>
      <c r="I99" s="26"/>
      <c r="J99" s="22" t="str">
        <f aca="false">IFERROR(IF(MOD(SMALL(Lines!$G$3:$G$1590,94),100000)=0,-1,MOD(SMALL(Lines!$G$3:$G$1590,94),100)),"")</f>
        <v/>
      </c>
      <c r="K99" s="22" t="str">
        <f aca="false">IF($J99=0,INDEX(Lines!$L$3:$L$1590,MATCH(SMALL(Lines!$G$3:$G$1590,94),Lines!$G$3:$G$1590,0)),"")</f>
        <v/>
      </c>
    </row>
    <row r="100" customFormat="false" ht="15" hidden="false" customHeight="false" outlineLevel="0" collapsed="false">
      <c r="A100" s="24" t="str">
        <f aca="false">IF(OR($J100=0,AND(ISNUMBER($J100),$J100&gt;0,$J100&lt;99)),INDEX(Lines!$A$3:$A$1590,MATCH(SMALL(Lines!$G$3:$G$1590,95),Lines!$G$3:$G$1590,0)),"")</f>
        <v/>
      </c>
      <c r="B100" s="24" t="str">
        <f aca="false">IF($J100=-1,INDEX(Lines!$J$3:$J$1590,MATCH(SMALL(Lines!$G$3:$G$1590,95),Lines!$G$3:$G$1590,0)),IF($J100=0,INDEX(Lines!$L$3:$L$1590,MATCH(SMALL(Lines!$G$3:$G$1590,95),Lines!$G$3:$G$1590,0)),IF(AND(ISNUMBER($J100),$J100&gt;0,$J100&lt;99),INDEX(Lines!$N$3:$N$1590,MATCH(SMALL(Lines!$G$3:$G$1590,95),Lines!$G$3:$G$1590,0)),"")))</f>
        <v/>
      </c>
      <c r="C100" s="25" t="str">
        <f aca="false">IF($J100=0,INDEX(Lines!$K$3:$K$1590,MATCH(SMALL(Lines!$G$3:$G$1590,95),Lines!$G$3:$G$1590,0)),IF(AND(ISNUMBER($J100),$J100&gt;0,$J100&lt;99),INDEX(Lines!$C$3:$C$1590,MATCH(SMALL(Lines!$G$3:$G$1590,95),Lines!$G$3:$G$1590,0)),""))</f>
        <v/>
      </c>
      <c r="D100" s="26" t="str">
        <f aca="false">IF(AND(ISNUMBER($J100),$J100&gt;0,$J100&lt;99),INDEX(Lines!$D$3:$D$1590,MATCH(SMALL(Lines!$G$3:$G$1590,95),Lines!$G$3:$G$1590,0)),"")</f>
        <v/>
      </c>
      <c r="E100" s="26" t="str">
        <f aca="false">IF(AND(ISNUMBER($J100),$J100&gt;0,$J100&lt;99),INDEX(Lines!$E$3:$E$1590,MATCH(SMALL(Lines!$G$3:$G$1590,95),Lines!$G$3:$G$1590,0)),"")</f>
        <v/>
      </c>
      <c r="F100" s="26" t="str">
        <f aca="false">IF(AND(ISNUMBER($J100),$J100&gt;0,$J100&lt;99),INDEX(Lines!$O$3:$O$1590,MATCH(SMALL(Lines!$G$3:$G$1590,95),Lines!$G$3:$G$1590,0)),"")</f>
        <v/>
      </c>
      <c r="G100" s="27" t="str">
        <f aca="false">IF($J100=0,INDEX(Lines!$Q$3:$Q$1590,MATCH(SMALL(Lines!$G$3:$G$1590,95),Lines!$G$3:$G$1590,0)),IF(AND(ISNUMBER($J100),$J100&gt;0,$J100&lt;99),INDEX(Lines!$P$3:$P$1590,MATCH(SMALL(Lines!$G$3:$G$1590,95),Lines!$G$3:$G$1590,0)),""))</f>
        <v/>
      </c>
      <c r="H100" s="28" t="str">
        <f aca="false">IF($J100=0,INDEX(Lines!$H$3:$H$1590,MATCH(SMALL(Lines!$G$3:$G$1590,95),Lines!$G$3:$G$1590,0))&amp;" groups",IF(AND(ISNUMBER($J100),$J100&gt;0,$J100&lt;99),INDEX(Lines!$I$3:$I$1590,MATCH(SMALL(Lines!$G$3:$G$1590,95),Lines!$G$3:$G$1590,0)),""))</f>
        <v/>
      </c>
      <c r="I100" s="26"/>
      <c r="J100" s="22" t="str">
        <f aca="false">IFERROR(IF(MOD(SMALL(Lines!$G$3:$G$1590,95),100000)=0,-1,MOD(SMALL(Lines!$G$3:$G$1590,95),100)),"")</f>
        <v/>
      </c>
      <c r="K100" s="22" t="str">
        <f aca="false">IF($J100=0,INDEX(Lines!$L$3:$L$1590,MATCH(SMALL(Lines!$G$3:$G$1590,95),Lines!$G$3:$G$1590,0)),"")</f>
        <v/>
      </c>
    </row>
    <row r="101" customFormat="false" ht="15" hidden="false" customHeight="false" outlineLevel="0" collapsed="false">
      <c r="A101" s="24" t="str">
        <f aca="false">IF(OR($J101=0,AND(ISNUMBER($J101),$J101&gt;0,$J101&lt;99)),INDEX(Lines!$A$3:$A$1590,MATCH(SMALL(Lines!$G$3:$G$1590,96),Lines!$G$3:$G$1590,0)),"")</f>
        <v/>
      </c>
      <c r="B101" s="24" t="str">
        <f aca="false">IF($J101=-1,INDEX(Lines!$J$3:$J$1590,MATCH(SMALL(Lines!$G$3:$G$1590,96),Lines!$G$3:$G$1590,0)),IF($J101=0,INDEX(Lines!$L$3:$L$1590,MATCH(SMALL(Lines!$G$3:$G$1590,96),Lines!$G$3:$G$1590,0)),IF(AND(ISNUMBER($J101),$J101&gt;0,$J101&lt;99),INDEX(Lines!$N$3:$N$1590,MATCH(SMALL(Lines!$G$3:$G$1590,96),Lines!$G$3:$G$1590,0)),"")))</f>
        <v/>
      </c>
      <c r="C101" s="25" t="str">
        <f aca="false">IF($J101=0,INDEX(Lines!$K$3:$K$1590,MATCH(SMALL(Lines!$G$3:$G$1590,96),Lines!$G$3:$G$1590,0)),IF(AND(ISNUMBER($J101),$J101&gt;0,$J101&lt;99),INDEX(Lines!$C$3:$C$1590,MATCH(SMALL(Lines!$G$3:$G$1590,96),Lines!$G$3:$G$1590,0)),""))</f>
        <v/>
      </c>
      <c r="D101" s="26" t="str">
        <f aca="false">IF(AND(ISNUMBER($J101),$J101&gt;0,$J101&lt;99),INDEX(Lines!$D$3:$D$1590,MATCH(SMALL(Lines!$G$3:$G$1590,96),Lines!$G$3:$G$1590,0)),"")</f>
        <v/>
      </c>
      <c r="E101" s="26" t="str">
        <f aca="false">IF(AND(ISNUMBER($J101),$J101&gt;0,$J101&lt;99),INDEX(Lines!$E$3:$E$1590,MATCH(SMALL(Lines!$G$3:$G$1590,96),Lines!$G$3:$G$1590,0)),"")</f>
        <v/>
      </c>
      <c r="F101" s="26" t="str">
        <f aca="false">IF(AND(ISNUMBER($J101),$J101&gt;0,$J101&lt;99),INDEX(Lines!$O$3:$O$1590,MATCH(SMALL(Lines!$G$3:$G$1590,96),Lines!$G$3:$G$1590,0)),"")</f>
        <v/>
      </c>
      <c r="G101" s="27" t="str">
        <f aca="false">IF($J101=0,INDEX(Lines!$Q$3:$Q$1590,MATCH(SMALL(Lines!$G$3:$G$1590,96),Lines!$G$3:$G$1590,0)),IF(AND(ISNUMBER($J101),$J101&gt;0,$J101&lt;99),INDEX(Lines!$P$3:$P$1590,MATCH(SMALL(Lines!$G$3:$G$1590,96),Lines!$G$3:$G$1590,0)),""))</f>
        <v/>
      </c>
      <c r="H101" s="28" t="str">
        <f aca="false">IF($J101=0,INDEX(Lines!$H$3:$H$1590,MATCH(SMALL(Lines!$G$3:$G$1590,96),Lines!$G$3:$G$1590,0))&amp;" groups",IF(AND(ISNUMBER($J101),$J101&gt;0,$J101&lt;99),INDEX(Lines!$I$3:$I$1590,MATCH(SMALL(Lines!$G$3:$G$1590,96),Lines!$G$3:$G$1590,0)),""))</f>
        <v/>
      </c>
      <c r="I101" s="26"/>
      <c r="J101" s="22" t="str">
        <f aca="false">IFERROR(IF(MOD(SMALL(Lines!$G$3:$G$1590,96),100000)=0,-1,MOD(SMALL(Lines!$G$3:$G$1590,96),100)),"")</f>
        <v/>
      </c>
      <c r="K101" s="22" t="str">
        <f aca="false">IF($J101=0,INDEX(Lines!$L$3:$L$1590,MATCH(SMALL(Lines!$G$3:$G$1590,96),Lines!$G$3:$G$1590,0)),"")</f>
        <v/>
      </c>
    </row>
    <row r="102" customFormat="false" ht="15" hidden="false" customHeight="false" outlineLevel="0" collapsed="false">
      <c r="A102" s="24" t="str">
        <f aca="false">IF(OR($J102=0,AND(ISNUMBER($J102),$J102&gt;0,$J102&lt;99)),INDEX(Lines!$A$3:$A$1590,MATCH(SMALL(Lines!$G$3:$G$1590,97),Lines!$G$3:$G$1590,0)),"")</f>
        <v/>
      </c>
      <c r="B102" s="24" t="str">
        <f aca="false">IF($J102=-1,INDEX(Lines!$J$3:$J$1590,MATCH(SMALL(Lines!$G$3:$G$1590,97),Lines!$G$3:$G$1590,0)),IF($J102=0,INDEX(Lines!$L$3:$L$1590,MATCH(SMALL(Lines!$G$3:$G$1590,97),Lines!$G$3:$G$1590,0)),IF(AND(ISNUMBER($J102),$J102&gt;0,$J102&lt;99),INDEX(Lines!$N$3:$N$1590,MATCH(SMALL(Lines!$G$3:$G$1590,97),Lines!$G$3:$G$1590,0)),"")))</f>
        <v/>
      </c>
      <c r="C102" s="25" t="str">
        <f aca="false">IF($J102=0,INDEX(Lines!$K$3:$K$1590,MATCH(SMALL(Lines!$G$3:$G$1590,97),Lines!$G$3:$G$1590,0)),IF(AND(ISNUMBER($J102),$J102&gt;0,$J102&lt;99),INDEX(Lines!$C$3:$C$1590,MATCH(SMALL(Lines!$G$3:$G$1590,97),Lines!$G$3:$G$1590,0)),""))</f>
        <v/>
      </c>
      <c r="D102" s="26" t="str">
        <f aca="false">IF(AND(ISNUMBER($J102),$J102&gt;0,$J102&lt;99),INDEX(Lines!$D$3:$D$1590,MATCH(SMALL(Lines!$G$3:$G$1590,97),Lines!$G$3:$G$1590,0)),"")</f>
        <v/>
      </c>
      <c r="E102" s="26" t="str">
        <f aca="false">IF(AND(ISNUMBER($J102),$J102&gt;0,$J102&lt;99),INDEX(Lines!$E$3:$E$1590,MATCH(SMALL(Lines!$G$3:$G$1590,97),Lines!$G$3:$G$1590,0)),"")</f>
        <v/>
      </c>
      <c r="F102" s="26" t="str">
        <f aca="false">IF(AND(ISNUMBER($J102),$J102&gt;0,$J102&lt;99),INDEX(Lines!$O$3:$O$1590,MATCH(SMALL(Lines!$G$3:$G$1590,97),Lines!$G$3:$G$1590,0)),"")</f>
        <v/>
      </c>
      <c r="G102" s="27" t="str">
        <f aca="false">IF($J102=0,INDEX(Lines!$Q$3:$Q$1590,MATCH(SMALL(Lines!$G$3:$G$1590,97),Lines!$G$3:$G$1590,0)),IF(AND(ISNUMBER($J102),$J102&gt;0,$J102&lt;99),INDEX(Lines!$P$3:$P$1590,MATCH(SMALL(Lines!$G$3:$G$1590,97),Lines!$G$3:$G$1590,0)),""))</f>
        <v/>
      </c>
      <c r="H102" s="28" t="str">
        <f aca="false">IF($J102=0,INDEX(Lines!$H$3:$H$1590,MATCH(SMALL(Lines!$G$3:$G$1590,97),Lines!$G$3:$G$1590,0))&amp;" groups",IF(AND(ISNUMBER($J102),$J102&gt;0,$J102&lt;99),INDEX(Lines!$I$3:$I$1590,MATCH(SMALL(Lines!$G$3:$G$1590,97),Lines!$G$3:$G$1590,0)),""))</f>
        <v/>
      </c>
      <c r="I102" s="26"/>
      <c r="J102" s="22" t="str">
        <f aca="false">IFERROR(IF(MOD(SMALL(Lines!$G$3:$G$1590,97),100000)=0,-1,MOD(SMALL(Lines!$G$3:$G$1590,97),100)),"")</f>
        <v/>
      </c>
      <c r="K102" s="22" t="str">
        <f aca="false">IF($J102=0,INDEX(Lines!$L$3:$L$1590,MATCH(SMALL(Lines!$G$3:$G$1590,97),Lines!$G$3:$G$1590,0)),"")</f>
        <v/>
      </c>
    </row>
    <row r="103" customFormat="false" ht="15" hidden="false" customHeight="false" outlineLevel="0" collapsed="false">
      <c r="A103" s="24" t="str">
        <f aca="false">IF(OR($J103=0,AND(ISNUMBER($J103),$J103&gt;0,$J103&lt;99)),INDEX(Lines!$A$3:$A$1590,MATCH(SMALL(Lines!$G$3:$G$1590,98),Lines!$G$3:$G$1590,0)),"")</f>
        <v/>
      </c>
      <c r="B103" s="24" t="str">
        <f aca="false">IF($J103=-1,INDEX(Lines!$J$3:$J$1590,MATCH(SMALL(Lines!$G$3:$G$1590,98),Lines!$G$3:$G$1590,0)),IF($J103=0,INDEX(Lines!$L$3:$L$1590,MATCH(SMALL(Lines!$G$3:$G$1590,98),Lines!$G$3:$G$1590,0)),IF(AND(ISNUMBER($J103),$J103&gt;0,$J103&lt;99),INDEX(Lines!$N$3:$N$1590,MATCH(SMALL(Lines!$G$3:$G$1590,98),Lines!$G$3:$G$1590,0)),"")))</f>
        <v/>
      </c>
      <c r="C103" s="25" t="str">
        <f aca="false">IF($J103=0,INDEX(Lines!$K$3:$K$1590,MATCH(SMALL(Lines!$G$3:$G$1590,98),Lines!$G$3:$G$1590,0)),IF(AND(ISNUMBER($J103),$J103&gt;0,$J103&lt;99),INDEX(Lines!$C$3:$C$1590,MATCH(SMALL(Lines!$G$3:$G$1590,98),Lines!$G$3:$G$1590,0)),""))</f>
        <v/>
      </c>
      <c r="D103" s="26" t="str">
        <f aca="false">IF(AND(ISNUMBER($J103),$J103&gt;0,$J103&lt;99),INDEX(Lines!$D$3:$D$1590,MATCH(SMALL(Lines!$G$3:$G$1590,98),Lines!$G$3:$G$1590,0)),"")</f>
        <v/>
      </c>
      <c r="E103" s="26" t="str">
        <f aca="false">IF(AND(ISNUMBER($J103),$J103&gt;0,$J103&lt;99),INDEX(Lines!$E$3:$E$1590,MATCH(SMALL(Lines!$G$3:$G$1590,98),Lines!$G$3:$G$1590,0)),"")</f>
        <v/>
      </c>
      <c r="F103" s="26" t="str">
        <f aca="false">IF(AND(ISNUMBER($J103),$J103&gt;0,$J103&lt;99),INDEX(Lines!$O$3:$O$1590,MATCH(SMALL(Lines!$G$3:$G$1590,98),Lines!$G$3:$G$1590,0)),"")</f>
        <v/>
      </c>
      <c r="G103" s="27" t="str">
        <f aca="false">IF($J103=0,INDEX(Lines!$Q$3:$Q$1590,MATCH(SMALL(Lines!$G$3:$G$1590,98),Lines!$G$3:$G$1590,0)),IF(AND(ISNUMBER($J103),$J103&gt;0,$J103&lt;99),INDEX(Lines!$P$3:$P$1590,MATCH(SMALL(Lines!$G$3:$G$1590,98),Lines!$G$3:$G$1590,0)),""))</f>
        <v/>
      </c>
      <c r="H103" s="28" t="str">
        <f aca="false">IF($J103=0,INDEX(Lines!$H$3:$H$1590,MATCH(SMALL(Lines!$G$3:$G$1590,98),Lines!$G$3:$G$1590,0))&amp;" groups",IF(AND(ISNUMBER($J103),$J103&gt;0,$J103&lt;99),INDEX(Lines!$I$3:$I$1590,MATCH(SMALL(Lines!$G$3:$G$1590,98),Lines!$G$3:$G$1590,0)),""))</f>
        <v/>
      </c>
      <c r="I103" s="26"/>
      <c r="J103" s="22" t="str">
        <f aca="false">IFERROR(IF(MOD(SMALL(Lines!$G$3:$G$1590,98),100000)=0,-1,MOD(SMALL(Lines!$G$3:$G$1590,98),100)),"")</f>
        <v/>
      </c>
      <c r="K103" s="22" t="str">
        <f aca="false">IF($J103=0,INDEX(Lines!$L$3:$L$1590,MATCH(SMALL(Lines!$G$3:$G$1590,98),Lines!$G$3:$G$1590,0)),"")</f>
        <v/>
      </c>
    </row>
    <row r="104" customFormat="false" ht="15" hidden="false" customHeight="false" outlineLevel="0" collapsed="false">
      <c r="A104" s="24" t="str">
        <f aca="false">IF(OR($J104=0,AND(ISNUMBER($J104),$J104&gt;0,$J104&lt;99)),INDEX(Lines!$A$3:$A$1590,MATCH(SMALL(Lines!$G$3:$G$1590,99),Lines!$G$3:$G$1590,0)),"")</f>
        <v/>
      </c>
      <c r="B104" s="24" t="str">
        <f aca="false">IF($J104=-1,INDEX(Lines!$J$3:$J$1590,MATCH(SMALL(Lines!$G$3:$G$1590,99),Lines!$G$3:$G$1590,0)),IF($J104=0,INDEX(Lines!$L$3:$L$1590,MATCH(SMALL(Lines!$G$3:$G$1590,99),Lines!$G$3:$G$1590,0)),IF(AND(ISNUMBER($J104),$J104&gt;0,$J104&lt;99),INDEX(Lines!$N$3:$N$1590,MATCH(SMALL(Lines!$G$3:$G$1590,99),Lines!$G$3:$G$1590,0)),"")))</f>
        <v/>
      </c>
      <c r="C104" s="25" t="str">
        <f aca="false">IF($J104=0,INDEX(Lines!$K$3:$K$1590,MATCH(SMALL(Lines!$G$3:$G$1590,99),Lines!$G$3:$G$1590,0)),IF(AND(ISNUMBER($J104),$J104&gt;0,$J104&lt;99),INDEX(Lines!$C$3:$C$1590,MATCH(SMALL(Lines!$G$3:$G$1590,99),Lines!$G$3:$G$1590,0)),""))</f>
        <v/>
      </c>
      <c r="D104" s="26" t="str">
        <f aca="false">IF(AND(ISNUMBER($J104),$J104&gt;0,$J104&lt;99),INDEX(Lines!$D$3:$D$1590,MATCH(SMALL(Lines!$G$3:$G$1590,99),Lines!$G$3:$G$1590,0)),"")</f>
        <v/>
      </c>
      <c r="E104" s="26" t="str">
        <f aca="false">IF(AND(ISNUMBER($J104),$J104&gt;0,$J104&lt;99),INDEX(Lines!$E$3:$E$1590,MATCH(SMALL(Lines!$G$3:$G$1590,99),Lines!$G$3:$G$1590,0)),"")</f>
        <v/>
      </c>
      <c r="F104" s="26" t="str">
        <f aca="false">IF(AND(ISNUMBER($J104),$J104&gt;0,$J104&lt;99),INDEX(Lines!$O$3:$O$1590,MATCH(SMALL(Lines!$G$3:$G$1590,99),Lines!$G$3:$G$1590,0)),"")</f>
        <v/>
      </c>
      <c r="G104" s="27" t="str">
        <f aca="false">IF($J104=0,INDEX(Lines!$Q$3:$Q$1590,MATCH(SMALL(Lines!$G$3:$G$1590,99),Lines!$G$3:$G$1590,0)),IF(AND(ISNUMBER($J104),$J104&gt;0,$J104&lt;99),INDEX(Lines!$P$3:$P$1590,MATCH(SMALL(Lines!$G$3:$G$1590,99),Lines!$G$3:$G$1590,0)),""))</f>
        <v/>
      </c>
      <c r="H104" s="28" t="str">
        <f aca="false">IF($J104=0,INDEX(Lines!$H$3:$H$1590,MATCH(SMALL(Lines!$G$3:$G$1590,99),Lines!$G$3:$G$1590,0))&amp;" groups",IF(AND(ISNUMBER($J104),$J104&gt;0,$J104&lt;99),INDEX(Lines!$I$3:$I$1590,MATCH(SMALL(Lines!$G$3:$G$1590,99),Lines!$G$3:$G$1590,0)),""))</f>
        <v/>
      </c>
      <c r="I104" s="26"/>
      <c r="J104" s="22" t="str">
        <f aca="false">IFERROR(IF(MOD(SMALL(Lines!$G$3:$G$1590,99),100000)=0,-1,MOD(SMALL(Lines!$G$3:$G$1590,99),100)),"")</f>
        <v/>
      </c>
      <c r="K104" s="22" t="str">
        <f aca="false">IF($J104=0,INDEX(Lines!$L$3:$L$1590,MATCH(SMALL(Lines!$G$3:$G$1590,99),Lines!$G$3:$G$1590,0)),"")</f>
        <v/>
      </c>
    </row>
    <row r="105" customFormat="false" ht="15" hidden="false" customHeight="false" outlineLevel="0" collapsed="false">
      <c r="A105" s="24" t="str">
        <f aca="false">IF(OR($J105=0,AND(ISNUMBER($J105),$J105&gt;0,$J105&lt;99)),INDEX(Lines!$A$3:$A$1590,MATCH(SMALL(Lines!$G$3:$G$1590,100),Lines!$G$3:$G$1590,0)),"")</f>
        <v/>
      </c>
      <c r="B105" s="24" t="str">
        <f aca="false">IF($J105=-1,INDEX(Lines!$J$3:$J$1590,MATCH(SMALL(Lines!$G$3:$G$1590,100),Lines!$G$3:$G$1590,0)),IF($J105=0,INDEX(Lines!$L$3:$L$1590,MATCH(SMALL(Lines!$G$3:$G$1590,100),Lines!$G$3:$G$1590,0)),IF(AND(ISNUMBER($J105),$J105&gt;0,$J105&lt;99),INDEX(Lines!$N$3:$N$1590,MATCH(SMALL(Lines!$G$3:$G$1590,100),Lines!$G$3:$G$1590,0)),"")))</f>
        <v/>
      </c>
      <c r="C105" s="25" t="str">
        <f aca="false">IF($J105=0,INDEX(Lines!$K$3:$K$1590,MATCH(SMALL(Lines!$G$3:$G$1590,100),Lines!$G$3:$G$1590,0)),IF(AND(ISNUMBER($J105),$J105&gt;0,$J105&lt;99),INDEX(Lines!$C$3:$C$1590,MATCH(SMALL(Lines!$G$3:$G$1590,100),Lines!$G$3:$G$1590,0)),""))</f>
        <v/>
      </c>
      <c r="D105" s="26" t="str">
        <f aca="false">IF(AND(ISNUMBER($J105),$J105&gt;0,$J105&lt;99),INDEX(Lines!$D$3:$D$1590,MATCH(SMALL(Lines!$G$3:$G$1590,100),Lines!$G$3:$G$1590,0)),"")</f>
        <v/>
      </c>
      <c r="E105" s="26" t="str">
        <f aca="false">IF(AND(ISNUMBER($J105),$J105&gt;0,$J105&lt;99),INDEX(Lines!$E$3:$E$1590,MATCH(SMALL(Lines!$G$3:$G$1590,100),Lines!$G$3:$G$1590,0)),"")</f>
        <v/>
      </c>
      <c r="F105" s="26" t="str">
        <f aca="false">IF(AND(ISNUMBER($J105),$J105&gt;0,$J105&lt;99),INDEX(Lines!$O$3:$O$1590,MATCH(SMALL(Lines!$G$3:$G$1590,100),Lines!$G$3:$G$1590,0)),"")</f>
        <v/>
      </c>
      <c r="G105" s="27" t="str">
        <f aca="false">IF($J105=0,INDEX(Lines!$Q$3:$Q$1590,MATCH(SMALL(Lines!$G$3:$G$1590,100),Lines!$G$3:$G$1590,0)),IF(AND(ISNUMBER($J105),$J105&gt;0,$J105&lt;99),INDEX(Lines!$P$3:$P$1590,MATCH(SMALL(Lines!$G$3:$G$1590,100),Lines!$G$3:$G$1590,0)),""))</f>
        <v/>
      </c>
      <c r="H105" s="28" t="str">
        <f aca="false">IF($J105=0,INDEX(Lines!$H$3:$H$1590,MATCH(SMALL(Lines!$G$3:$G$1590,100),Lines!$G$3:$G$1590,0))&amp;" groups",IF(AND(ISNUMBER($J105),$J105&gt;0,$J105&lt;99),INDEX(Lines!$I$3:$I$1590,MATCH(SMALL(Lines!$G$3:$G$1590,100),Lines!$G$3:$G$1590,0)),""))</f>
        <v/>
      </c>
      <c r="I105" s="26"/>
      <c r="J105" s="22" t="str">
        <f aca="false">IFERROR(IF(MOD(SMALL(Lines!$G$3:$G$1590,100),100000)=0,-1,MOD(SMALL(Lines!$G$3:$G$1590,100),100)),"")</f>
        <v/>
      </c>
      <c r="K105" s="22" t="str">
        <f aca="false">IF($J105=0,INDEX(Lines!$L$3:$L$1590,MATCH(SMALL(Lines!$G$3:$G$1590,100),Lines!$G$3:$G$1590,0)),"")</f>
        <v/>
      </c>
    </row>
    <row r="106" customFormat="false" ht="15" hidden="false" customHeight="false" outlineLevel="0" collapsed="false">
      <c r="A106" s="24" t="str">
        <f aca="false">IF(OR($J106=0,AND(ISNUMBER($J106),$J106&gt;0,$J106&lt;99)),INDEX(Lines!$A$3:$A$1590,MATCH(SMALL(Lines!$G$3:$G$1590,101),Lines!$G$3:$G$1590,0)),"")</f>
        <v/>
      </c>
      <c r="B106" s="24" t="str">
        <f aca="false">IF($J106=-1,INDEX(Lines!$J$3:$J$1590,MATCH(SMALL(Lines!$G$3:$G$1590,101),Lines!$G$3:$G$1590,0)),IF($J106=0,INDEX(Lines!$L$3:$L$1590,MATCH(SMALL(Lines!$G$3:$G$1590,101),Lines!$G$3:$G$1590,0)),IF(AND(ISNUMBER($J106),$J106&gt;0,$J106&lt;99),INDEX(Lines!$N$3:$N$1590,MATCH(SMALL(Lines!$G$3:$G$1590,101),Lines!$G$3:$G$1590,0)),"")))</f>
        <v/>
      </c>
      <c r="C106" s="25" t="str">
        <f aca="false">IF($J106=0,INDEX(Lines!$K$3:$K$1590,MATCH(SMALL(Lines!$G$3:$G$1590,101),Lines!$G$3:$G$1590,0)),IF(AND(ISNUMBER($J106),$J106&gt;0,$J106&lt;99),INDEX(Lines!$C$3:$C$1590,MATCH(SMALL(Lines!$G$3:$G$1590,101),Lines!$G$3:$G$1590,0)),""))</f>
        <v/>
      </c>
      <c r="D106" s="26" t="str">
        <f aca="false">IF(AND(ISNUMBER($J106),$J106&gt;0,$J106&lt;99),INDEX(Lines!$D$3:$D$1590,MATCH(SMALL(Lines!$G$3:$G$1590,101),Lines!$G$3:$G$1590,0)),"")</f>
        <v/>
      </c>
      <c r="E106" s="26" t="str">
        <f aca="false">IF(AND(ISNUMBER($J106),$J106&gt;0,$J106&lt;99),INDEX(Lines!$E$3:$E$1590,MATCH(SMALL(Lines!$G$3:$G$1590,101),Lines!$G$3:$G$1590,0)),"")</f>
        <v/>
      </c>
      <c r="F106" s="26" t="str">
        <f aca="false">IF(AND(ISNUMBER($J106),$J106&gt;0,$J106&lt;99),INDEX(Lines!$O$3:$O$1590,MATCH(SMALL(Lines!$G$3:$G$1590,101),Lines!$G$3:$G$1590,0)),"")</f>
        <v/>
      </c>
      <c r="G106" s="27" t="str">
        <f aca="false">IF($J106=0,INDEX(Lines!$Q$3:$Q$1590,MATCH(SMALL(Lines!$G$3:$G$1590,101),Lines!$G$3:$G$1590,0)),IF(AND(ISNUMBER($J106),$J106&gt;0,$J106&lt;99),INDEX(Lines!$P$3:$P$1590,MATCH(SMALL(Lines!$G$3:$G$1590,101),Lines!$G$3:$G$1590,0)),""))</f>
        <v/>
      </c>
      <c r="H106" s="28" t="str">
        <f aca="false">IF($J106=0,INDEX(Lines!$H$3:$H$1590,MATCH(SMALL(Lines!$G$3:$G$1590,101),Lines!$G$3:$G$1590,0))&amp;" groups",IF(AND(ISNUMBER($J106),$J106&gt;0,$J106&lt;99),INDEX(Lines!$I$3:$I$1590,MATCH(SMALL(Lines!$G$3:$G$1590,101),Lines!$G$3:$G$1590,0)),""))</f>
        <v/>
      </c>
      <c r="I106" s="26"/>
      <c r="J106" s="22" t="str">
        <f aca="false">IFERROR(IF(MOD(SMALL(Lines!$G$3:$G$1590,101),100000)=0,-1,MOD(SMALL(Lines!$G$3:$G$1590,101),100)),"")</f>
        <v/>
      </c>
      <c r="K106" s="22" t="str">
        <f aca="false">IF($J106=0,INDEX(Lines!$L$3:$L$1590,MATCH(SMALL(Lines!$G$3:$G$1590,101),Lines!$G$3:$G$1590,0)),"")</f>
        <v/>
      </c>
    </row>
    <row r="107" customFormat="false" ht="15" hidden="false" customHeight="false" outlineLevel="0" collapsed="false">
      <c r="A107" s="24" t="str">
        <f aca="false">IF(OR($J107=0,AND(ISNUMBER($J107),$J107&gt;0,$J107&lt;99)),INDEX(Lines!$A$3:$A$1590,MATCH(SMALL(Lines!$G$3:$G$1590,102),Lines!$G$3:$G$1590,0)),"")</f>
        <v/>
      </c>
      <c r="B107" s="24" t="str">
        <f aca="false">IF($J107=-1,INDEX(Lines!$J$3:$J$1590,MATCH(SMALL(Lines!$G$3:$G$1590,102),Lines!$G$3:$G$1590,0)),IF($J107=0,INDEX(Lines!$L$3:$L$1590,MATCH(SMALL(Lines!$G$3:$G$1590,102),Lines!$G$3:$G$1590,0)),IF(AND(ISNUMBER($J107),$J107&gt;0,$J107&lt;99),INDEX(Lines!$N$3:$N$1590,MATCH(SMALL(Lines!$G$3:$G$1590,102),Lines!$G$3:$G$1590,0)),"")))</f>
        <v/>
      </c>
      <c r="C107" s="25" t="str">
        <f aca="false">IF($J107=0,INDEX(Lines!$K$3:$K$1590,MATCH(SMALL(Lines!$G$3:$G$1590,102),Lines!$G$3:$G$1590,0)),IF(AND(ISNUMBER($J107),$J107&gt;0,$J107&lt;99),INDEX(Lines!$C$3:$C$1590,MATCH(SMALL(Lines!$G$3:$G$1590,102),Lines!$G$3:$G$1590,0)),""))</f>
        <v/>
      </c>
      <c r="D107" s="26" t="str">
        <f aca="false">IF(AND(ISNUMBER($J107),$J107&gt;0,$J107&lt;99),INDEX(Lines!$D$3:$D$1590,MATCH(SMALL(Lines!$G$3:$G$1590,102),Lines!$G$3:$G$1590,0)),"")</f>
        <v/>
      </c>
      <c r="E107" s="26" t="str">
        <f aca="false">IF(AND(ISNUMBER($J107),$J107&gt;0,$J107&lt;99),INDEX(Lines!$E$3:$E$1590,MATCH(SMALL(Lines!$G$3:$G$1590,102),Lines!$G$3:$G$1590,0)),"")</f>
        <v/>
      </c>
      <c r="F107" s="26" t="str">
        <f aca="false">IF(AND(ISNUMBER($J107),$J107&gt;0,$J107&lt;99),INDEX(Lines!$O$3:$O$1590,MATCH(SMALL(Lines!$G$3:$G$1590,102),Lines!$G$3:$G$1590,0)),"")</f>
        <v/>
      </c>
      <c r="G107" s="27" t="str">
        <f aca="false">IF($J107=0,INDEX(Lines!$Q$3:$Q$1590,MATCH(SMALL(Lines!$G$3:$G$1590,102),Lines!$G$3:$G$1590,0)),IF(AND(ISNUMBER($J107),$J107&gt;0,$J107&lt;99),INDEX(Lines!$P$3:$P$1590,MATCH(SMALL(Lines!$G$3:$G$1590,102),Lines!$G$3:$G$1590,0)),""))</f>
        <v/>
      </c>
      <c r="H107" s="28" t="str">
        <f aca="false">IF($J107=0,INDEX(Lines!$H$3:$H$1590,MATCH(SMALL(Lines!$G$3:$G$1590,102),Lines!$G$3:$G$1590,0))&amp;" groups",IF(AND(ISNUMBER($J107),$J107&gt;0,$J107&lt;99),INDEX(Lines!$I$3:$I$1590,MATCH(SMALL(Lines!$G$3:$G$1590,102),Lines!$G$3:$G$1590,0)),""))</f>
        <v/>
      </c>
      <c r="I107" s="26"/>
      <c r="J107" s="22" t="str">
        <f aca="false">IFERROR(IF(MOD(SMALL(Lines!$G$3:$G$1590,102),100000)=0,-1,MOD(SMALL(Lines!$G$3:$G$1590,102),100)),"")</f>
        <v/>
      </c>
      <c r="K107" s="22" t="str">
        <f aca="false">IF($J107=0,INDEX(Lines!$L$3:$L$1590,MATCH(SMALL(Lines!$G$3:$G$1590,102),Lines!$G$3:$G$1590,0)),"")</f>
        <v/>
      </c>
    </row>
    <row r="108" customFormat="false" ht="15" hidden="false" customHeight="false" outlineLevel="0" collapsed="false">
      <c r="A108" s="24" t="str">
        <f aca="false">IF(OR($J108=0,AND(ISNUMBER($J108),$J108&gt;0,$J108&lt;99)),INDEX(Lines!$A$3:$A$1590,MATCH(SMALL(Lines!$G$3:$G$1590,103),Lines!$G$3:$G$1590,0)),"")</f>
        <v/>
      </c>
      <c r="B108" s="24" t="str">
        <f aca="false">IF($J108=-1,INDEX(Lines!$J$3:$J$1590,MATCH(SMALL(Lines!$G$3:$G$1590,103),Lines!$G$3:$G$1590,0)),IF($J108=0,INDEX(Lines!$L$3:$L$1590,MATCH(SMALL(Lines!$G$3:$G$1590,103),Lines!$G$3:$G$1590,0)),IF(AND(ISNUMBER($J108),$J108&gt;0,$J108&lt;99),INDEX(Lines!$N$3:$N$1590,MATCH(SMALL(Lines!$G$3:$G$1590,103),Lines!$G$3:$G$1590,0)),"")))</f>
        <v/>
      </c>
      <c r="C108" s="25" t="str">
        <f aca="false">IF($J108=0,INDEX(Lines!$K$3:$K$1590,MATCH(SMALL(Lines!$G$3:$G$1590,103),Lines!$G$3:$G$1590,0)),IF(AND(ISNUMBER($J108),$J108&gt;0,$J108&lt;99),INDEX(Lines!$C$3:$C$1590,MATCH(SMALL(Lines!$G$3:$G$1590,103),Lines!$G$3:$G$1590,0)),""))</f>
        <v/>
      </c>
      <c r="D108" s="26" t="str">
        <f aca="false">IF(AND(ISNUMBER($J108),$J108&gt;0,$J108&lt;99),INDEX(Lines!$D$3:$D$1590,MATCH(SMALL(Lines!$G$3:$G$1590,103),Lines!$G$3:$G$1590,0)),"")</f>
        <v/>
      </c>
      <c r="E108" s="26" t="str">
        <f aca="false">IF(AND(ISNUMBER($J108),$J108&gt;0,$J108&lt;99),INDEX(Lines!$E$3:$E$1590,MATCH(SMALL(Lines!$G$3:$G$1590,103),Lines!$G$3:$G$1590,0)),"")</f>
        <v/>
      </c>
      <c r="F108" s="26" t="str">
        <f aca="false">IF(AND(ISNUMBER($J108),$J108&gt;0,$J108&lt;99),INDEX(Lines!$O$3:$O$1590,MATCH(SMALL(Lines!$G$3:$G$1590,103),Lines!$G$3:$G$1590,0)),"")</f>
        <v/>
      </c>
      <c r="G108" s="27" t="str">
        <f aca="false">IF($J108=0,INDEX(Lines!$Q$3:$Q$1590,MATCH(SMALL(Lines!$G$3:$G$1590,103),Lines!$G$3:$G$1590,0)),IF(AND(ISNUMBER($J108),$J108&gt;0,$J108&lt;99),INDEX(Lines!$P$3:$P$1590,MATCH(SMALL(Lines!$G$3:$G$1590,103),Lines!$G$3:$G$1590,0)),""))</f>
        <v/>
      </c>
      <c r="H108" s="28" t="str">
        <f aca="false">IF($J108=0,INDEX(Lines!$H$3:$H$1590,MATCH(SMALL(Lines!$G$3:$G$1590,103),Lines!$G$3:$G$1590,0))&amp;" groups",IF(AND(ISNUMBER($J108),$J108&gt;0,$J108&lt;99),INDEX(Lines!$I$3:$I$1590,MATCH(SMALL(Lines!$G$3:$G$1590,103),Lines!$G$3:$G$1590,0)),""))</f>
        <v/>
      </c>
      <c r="I108" s="26"/>
      <c r="J108" s="22" t="str">
        <f aca="false">IFERROR(IF(MOD(SMALL(Lines!$G$3:$G$1590,103),100000)=0,-1,MOD(SMALL(Lines!$G$3:$G$1590,103),100)),"")</f>
        <v/>
      </c>
      <c r="K108" s="22" t="str">
        <f aca="false">IF($J108=0,INDEX(Lines!$L$3:$L$1590,MATCH(SMALL(Lines!$G$3:$G$1590,103),Lines!$G$3:$G$1590,0)),"")</f>
        <v/>
      </c>
    </row>
    <row r="109" customFormat="false" ht="15" hidden="false" customHeight="false" outlineLevel="0" collapsed="false">
      <c r="A109" s="24" t="str">
        <f aca="false">IF(OR($J109=0,AND(ISNUMBER($J109),$J109&gt;0,$J109&lt;99)),INDEX(Lines!$A$3:$A$1590,MATCH(SMALL(Lines!$G$3:$G$1590,104),Lines!$G$3:$G$1590,0)),"")</f>
        <v/>
      </c>
      <c r="B109" s="24" t="str">
        <f aca="false">IF($J109=-1,INDEX(Lines!$J$3:$J$1590,MATCH(SMALL(Lines!$G$3:$G$1590,104),Lines!$G$3:$G$1590,0)),IF($J109=0,INDEX(Lines!$L$3:$L$1590,MATCH(SMALL(Lines!$G$3:$G$1590,104),Lines!$G$3:$G$1590,0)),IF(AND(ISNUMBER($J109),$J109&gt;0,$J109&lt;99),INDEX(Lines!$N$3:$N$1590,MATCH(SMALL(Lines!$G$3:$G$1590,104),Lines!$G$3:$G$1590,0)),"")))</f>
        <v/>
      </c>
      <c r="C109" s="25" t="str">
        <f aca="false">IF($J109=0,INDEX(Lines!$K$3:$K$1590,MATCH(SMALL(Lines!$G$3:$G$1590,104),Lines!$G$3:$G$1590,0)),IF(AND(ISNUMBER($J109),$J109&gt;0,$J109&lt;99),INDEX(Lines!$C$3:$C$1590,MATCH(SMALL(Lines!$G$3:$G$1590,104),Lines!$G$3:$G$1590,0)),""))</f>
        <v/>
      </c>
      <c r="D109" s="26" t="str">
        <f aca="false">IF(AND(ISNUMBER($J109),$J109&gt;0,$J109&lt;99),INDEX(Lines!$D$3:$D$1590,MATCH(SMALL(Lines!$G$3:$G$1590,104),Lines!$G$3:$G$1590,0)),"")</f>
        <v/>
      </c>
      <c r="E109" s="26" t="str">
        <f aca="false">IF(AND(ISNUMBER($J109),$J109&gt;0,$J109&lt;99),INDEX(Lines!$E$3:$E$1590,MATCH(SMALL(Lines!$G$3:$G$1590,104),Lines!$G$3:$G$1590,0)),"")</f>
        <v/>
      </c>
      <c r="F109" s="26" t="str">
        <f aca="false">IF(AND(ISNUMBER($J109),$J109&gt;0,$J109&lt;99),INDEX(Lines!$O$3:$O$1590,MATCH(SMALL(Lines!$G$3:$G$1590,104),Lines!$G$3:$G$1590,0)),"")</f>
        <v/>
      </c>
      <c r="G109" s="27" t="str">
        <f aca="false">IF($J109=0,INDEX(Lines!$Q$3:$Q$1590,MATCH(SMALL(Lines!$G$3:$G$1590,104),Lines!$G$3:$G$1590,0)),IF(AND(ISNUMBER($J109),$J109&gt;0,$J109&lt;99),INDEX(Lines!$P$3:$P$1590,MATCH(SMALL(Lines!$G$3:$G$1590,104),Lines!$G$3:$G$1590,0)),""))</f>
        <v/>
      </c>
      <c r="H109" s="28" t="str">
        <f aca="false">IF($J109=0,INDEX(Lines!$H$3:$H$1590,MATCH(SMALL(Lines!$G$3:$G$1590,104),Lines!$G$3:$G$1590,0))&amp;" groups",IF(AND(ISNUMBER($J109),$J109&gt;0,$J109&lt;99),INDEX(Lines!$I$3:$I$1590,MATCH(SMALL(Lines!$G$3:$G$1590,104),Lines!$G$3:$G$1590,0)),""))</f>
        <v/>
      </c>
      <c r="I109" s="26"/>
      <c r="J109" s="22" t="str">
        <f aca="false">IFERROR(IF(MOD(SMALL(Lines!$G$3:$G$1590,104),100000)=0,-1,MOD(SMALL(Lines!$G$3:$G$1590,104),100)),"")</f>
        <v/>
      </c>
      <c r="K109" s="22" t="str">
        <f aca="false">IF($J109=0,INDEX(Lines!$L$3:$L$1590,MATCH(SMALL(Lines!$G$3:$G$1590,104),Lines!$G$3:$G$1590,0)),"")</f>
        <v/>
      </c>
    </row>
    <row r="110" customFormat="false" ht="15" hidden="false" customHeight="false" outlineLevel="0" collapsed="false">
      <c r="A110" s="24" t="str">
        <f aca="false">IF(OR($J110=0,AND(ISNUMBER($J110),$J110&gt;0,$J110&lt;99)),INDEX(Lines!$A$3:$A$1590,MATCH(SMALL(Lines!$G$3:$G$1590,105),Lines!$G$3:$G$1590,0)),"")</f>
        <v/>
      </c>
      <c r="B110" s="24" t="str">
        <f aca="false">IF($J110=-1,INDEX(Lines!$J$3:$J$1590,MATCH(SMALL(Lines!$G$3:$G$1590,105),Lines!$G$3:$G$1590,0)),IF($J110=0,INDEX(Lines!$L$3:$L$1590,MATCH(SMALL(Lines!$G$3:$G$1590,105),Lines!$G$3:$G$1590,0)),IF(AND(ISNUMBER($J110),$J110&gt;0,$J110&lt;99),INDEX(Lines!$N$3:$N$1590,MATCH(SMALL(Lines!$G$3:$G$1590,105),Lines!$G$3:$G$1590,0)),"")))</f>
        <v/>
      </c>
      <c r="C110" s="25" t="str">
        <f aca="false">IF($J110=0,INDEX(Lines!$K$3:$K$1590,MATCH(SMALL(Lines!$G$3:$G$1590,105),Lines!$G$3:$G$1590,0)),IF(AND(ISNUMBER($J110),$J110&gt;0,$J110&lt;99),INDEX(Lines!$C$3:$C$1590,MATCH(SMALL(Lines!$G$3:$G$1590,105),Lines!$G$3:$G$1590,0)),""))</f>
        <v/>
      </c>
      <c r="D110" s="26" t="str">
        <f aca="false">IF(AND(ISNUMBER($J110),$J110&gt;0,$J110&lt;99),INDEX(Lines!$D$3:$D$1590,MATCH(SMALL(Lines!$G$3:$G$1590,105),Lines!$G$3:$G$1590,0)),"")</f>
        <v/>
      </c>
      <c r="E110" s="26" t="str">
        <f aca="false">IF(AND(ISNUMBER($J110),$J110&gt;0,$J110&lt;99),INDEX(Lines!$E$3:$E$1590,MATCH(SMALL(Lines!$G$3:$G$1590,105),Lines!$G$3:$G$1590,0)),"")</f>
        <v/>
      </c>
      <c r="F110" s="26" t="str">
        <f aca="false">IF(AND(ISNUMBER($J110),$J110&gt;0,$J110&lt;99),INDEX(Lines!$O$3:$O$1590,MATCH(SMALL(Lines!$G$3:$G$1590,105),Lines!$G$3:$G$1590,0)),"")</f>
        <v/>
      </c>
      <c r="G110" s="27" t="str">
        <f aca="false">IF($J110=0,INDEX(Lines!$Q$3:$Q$1590,MATCH(SMALL(Lines!$G$3:$G$1590,105),Lines!$G$3:$G$1590,0)),IF(AND(ISNUMBER($J110),$J110&gt;0,$J110&lt;99),INDEX(Lines!$P$3:$P$1590,MATCH(SMALL(Lines!$G$3:$G$1590,105),Lines!$G$3:$G$1590,0)),""))</f>
        <v/>
      </c>
      <c r="H110" s="28" t="str">
        <f aca="false">IF($J110=0,INDEX(Lines!$H$3:$H$1590,MATCH(SMALL(Lines!$G$3:$G$1590,105),Lines!$G$3:$G$1590,0))&amp;" groups",IF(AND(ISNUMBER($J110),$J110&gt;0,$J110&lt;99),INDEX(Lines!$I$3:$I$1590,MATCH(SMALL(Lines!$G$3:$G$1590,105),Lines!$G$3:$G$1590,0)),""))</f>
        <v/>
      </c>
      <c r="I110" s="26"/>
      <c r="J110" s="22" t="str">
        <f aca="false">IFERROR(IF(MOD(SMALL(Lines!$G$3:$G$1590,105),100000)=0,-1,MOD(SMALL(Lines!$G$3:$G$1590,105),100)),"")</f>
        <v/>
      </c>
      <c r="K110" s="22" t="str">
        <f aca="false">IF($J110=0,INDEX(Lines!$L$3:$L$1590,MATCH(SMALL(Lines!$G$3:$G$1590,105),Lines!$G$3:$G$1590,0)),"")</f>
        <v/>
      </c>
    </row>
    <row r="111" customFormat="false" ht="15" hidden="false" customHeight="false" outlineLevel="0" collapsed="false">
      <c r="A111" s="24" t="str">
        <f aca="false">IF(OR($J111=0,AND(ISNUMBER($J111),$J111&gt;0,$J111&lt;99)),INDEX(Lines!$A$3:$A$1590,MATCH(SMALL(Lines!$G$3:$G$1590,106),Lines!$G$3:$G$1590,0)),"")</f>
        <v/>
      </c>
      <c r="B111" s="24" t="str">
        <f aca="false">IF($J111=-1,INDEX(Lines!$J$3:$J$1590,MATCH(SMALL(Lines!$G$3:$G$1590,106),Lines!$G$3:$G$1590,0)),IF($J111=0,INDEX(Lines!$L$3:$L$1590,MATCH(SMALL(Lines!$G$3:$G$1590,106),Lines!$G$3:$G$1590,0)),IF(AND(ISNUMBER($J111),$J111&gt;0,$J111&lt;99),INDEX(Lines!$N$3:$N$1590,MATCH(SMALL(Lines!$G$3:$G$1590,106),Lines!$G$3:$G$1590,0)),"")))</f>
        <v/>
      </c>
      <c r="C111" s="25" t="str">
        <f aca="false">IF($J111=0,INDEX(Lines!$K$3:$K$1590,MATCH(SMALL(Lines!$G$3:$G$1590,106),Lines!$G$3:$G$1590,0)),IF(AND(ISNUMBER($J111),$J111&gt;0,$J111&lt;99),INDEX(Lines!$C$3:$C$1590,MATCH(SMALL(Lines!$G$3:$G$1590,106),Lines!$G$3:$G$1590,0)),""))</f>
        <v/>
      </c>
      <c r="D111" s="26" t="str">
        <f aca="false">IF(AND(ISNUMBER($J111),$J111&gt;0,$J111&lt;99),INDEX(Lines!$D$3:$D$1590,MATCH(SMALL(Lines!$G$3:$G$1590,106),Lines!$G$3:$G$1590,0)),"")</f>
        <v/>
      </c>
      <c r="E111" s="26" t="str">
        <f aca="false">IF(AND(ISNUMBER($J111),$J111&gt;0,$J111&lt;99),INDEX(Lines!$E$3:$E$1590,MATCH(SMALL(Lines!$G$3:$G$1590,106),Lines!$G$3:$G$1590,0)),"")</f>
        <v/>
      </c>
      <c r="F111" s="26" t="str">
        <f aca="false">IF(AND(ISNUMBER($J111),$J111&gt;0,$J111&lt;99),INDEX(Lines!$O$3:$O$1590,MATCH(SMALL(Lines!$G$3:$G$1590,106),Lines!$G$3:$G$1590,0)),"")</f>
        <v/>
      </c>
      <c r="G111" s="27" t="str">
        <f aca="false">IF($J111=0,INDEX(Lines!$Q$3:$Q$1590,MATCH(SMALL(Lines!$G$3:$G$1590,106),Lines!$G$3:$G$1590,0)),IF(AND(ISNUMBER($J111),$J111&gt;0,$J111&lt;99),INDEX(Lines!$P$3:$P$1590,MATCH(SMALL(Lines!$G$3:$G$1590,106),Lines!$G$3:$G$1590,0)),""))</f>
        <v/>
      </c>
      <c r="H111" s="28" t="str">
        <f aca="false">IF($J111=0,INDEX(Lines!$H$3:$H$1590,MATCH(SMALL(Lines!$G$3:$G$1590,106),Lines!$G$3:$G$1590,0))&amp;" groups",IF(AND(ISNUMBER($J111),$J111&gt;0,$J111&lt;99),INDEX(Lines!$I$3:$I$1590,MATCH(SMALL(Lines!$G$3:$G$1590,106),Lines!$G$3:$G$1590,0)),""))</f>
        <v/>
      </c>
      <c r="I111" s="26"/>
      <c r="J111" s="22" t="str">
        <f aca="false">IFERROR(IF(MOD(SMALL(Lines!$G$3:$G$1590,106),100000)=0,-1,MOD(SMALL(Lines!$G$3:$G$1590,106),100)),"")</f>
        <v/>
      </c>
      <c r="K111" s="22" t="str">
        <f aca="false">IF($J111=0,INDEX(Lines!$L$3:$L$1590,MATCH(SMALL(Lines!$G$3:$G$1590,106),Lines!$G$3:$G$1590,0)),"")</f>
        <v/>
      </c>
    </row>
    <row r="112" customFormat="false" ht="15" hidden="false" customHeight="false" outlineLevel="0" collapsed="false">
      <c r="A112" s="24" t="str">
        <f aca="false">IF(OR($J112=0,AND(ISNUMBER($J112),$J112&gt;0,$J112&lt;99)),INDEX(Lines!$A$3:$A$1590,MATCH(SMALL(Lines!$G$3:$G$1590,107),Lines!$G$3:$G$1590,0)),"")</f>
        <v/>
      </c>
      <c r="B112" s="24" t="str">
        <f aca="false">IF($J112=-1,INDEX(Lines!$J$3:$J$1590,MATCH(SMALL(Lines!$G$3:$G$1590,107),Lines!$G$3:$G$1590,0)),IF($J112=0,INDEX(Lines!$L$3:$L$1590,MATCH(SMALL(Lines!$G$3:$G$1590,107),Lines!$G$3:$G$1590,0)),IF(AND(ISNUMBER($J112),$J112&gt;0,$J112&lt;99),INDEX(Lines!$N$3:$N$1590,MATCH(SMALL(Lines!$G$3:$G$1590,107),Lines!$G$3:$G$1590,0)),"")))</f>
        <v/>
      </c>
      <c r="C112" s="25" t="str">
        <f aca="false">IF($J112=0,INDEX(Lines!$K$3:$K$1590,MATCH(SMALL(Lines!$G$3:$G$1590,107),Lines!$G$3:$G$1590,0)),IF(AND(ISNUMBER($J112),$J112&gt;0,$J112&lt;99),INDEX(Lines!$C$3:$C$1590,MATCH(SMALL(Lines!$G$3:$G$1590,107),Lines!$G$3:$G$1590,0)),""))</f>
        <v/>
      </c>
      <c r="D112" s="26" t="str">
        <f aca="false">IF(AND(ISNUMBER($J112),$J112&gt;0,$J112&lt;99),INDEX(Lines!$D$3:$D$1590,MATCH(SMALL(Lines!$G$3:$G$1590,107),Lines!$G$3:$G$1590,0)),"")</f>
        <v/>
      </c>
      <c r="E112" s="26" t="str">
        <f aca="false">IF(AND(ISNUMBER($J112),$J112&gt;0,$J112&lt;99),INDEX(Lines!$E$3:$E$1590,MATCH(SMALL(Lines!$G$3:$G$1590,107),Lines!$G$3:$G$1590,0)),"")</f>
        <v/>
      </c>
      <c r="F112" s="26" t="str">
        <f aca="false">IF(AND(ISNUMBER($J112),$J112&gt;0,$J112&lt;99),INDEX(Lines!$O$3:$O$1590,MATCH(SMALL(Lines!$G$3:$G$1590,107),Lines!$G$3:$G$1590,0)),"")</f>
        <v/>
      </c>
      <c r="G112" s="27" t="str">
        <f aca="false">IF($J112=0,INDEX(Lines!$Q$3:$Q$1590,MATCH(SMALL(Lines!$G$3:$G$1590,107),Lines!$G$3:$G$1590,0)),IF(AND(ISNUMBER($J112),$J112&gt;0,$J112&lt;99),INDEX(Lines!$P$3:$P$1590,MATCH(SMALL(Lines!$G$3:$G$1590,107),Lines!$G$3:$G$1590,0)),""))</f>
        <v/>
      </c>
      <c r="H112" s="28" t="str">
        <f aca="false">IF($J112=0,INDEX(Lines!$H$3:$H$1590,MATCH(SMALL(Lines!$G$3:$G$1590,107),Lines!$G$3:$G$1590,0))&amp;" groups",IF(AND(ISNUMBER($J112),$J112&gt;0,$J112&lt;99),INDEX(Lines!$I$3:$I$1590,MATCH(SMALL(Lines!$G$3:$G$1590,107),Lines!$G$3:$G$1590,0)),""))</f>
        <v/>
      </c>
      <c r="I112" s="26"/>
      <c r="J112" s="22" t="str">
        <f aca="false">IFERROR(IF(MOD(SMALL(Lines!$G$3:$G$1590,107),100000)=0,-1,MOD(SMALL(Lines!$G$3:$G$1590,107),100)),"")</f>
        <v/>
      </c>
      <c r="K112" s="22" t="str">
        <f aca="false">IF($J112=0,INDEX(Lines!$L$3:$L$1590,MATCH(SMALL(Lines!$G$3:$G$1590,107),Lines!$G$3:$G$1590,0)),"")</f>
        <v/>
      </c>
    </row>
    <row r="113" customFormat="false" ht="15" hidden="false" customHeight="false" outlineLevel="0" collapsed="false">
      <c r="A113" s="24" t="str">
        <f aca="false">IF(OR($J113=0,AND(ISNUMBER($J113),$J113&gt;0,$J113&lt;99)),INDEX(Lines!$A$3:$A$1590,MATCH(SMALL(Lines!$G$3:$G$1590,108),Lines!$G$3:$G$1590,0)),"")</f>
        <v/>
      </c>
      <c r="B113" s="24" t="str">
        <f aca="false">IF($J113=-1,INDEX(Lines!$J$3:$J$1590,MATCH(SMALL(Lines!$G$3:$G$1590,108),Lines!$G$3:$G$1590,0)),IF($J113=0,INDEX(Lines!$L$3:$L$1590,MATCH(SMALL(Lines!$G$3:$G$1590,108),Lines!$G$3:$G$1590,0)),IF(AND(ISNUMBER($J113),$J113&gt;0,$J113&lt;99),INDEX(Lines!$N$3:$N$1590,MATCH(SMALL(Lines!$G$3:$G$1590,108),Lines!$G$3:$G$1590,0)),"")))</f>
        <v/>
      </c>
      <c r="C113" s="25" t="str">
        <f aca="false">IF($J113=0,INDEX(Lines!$K$3:$K$1590,MATCH(SMALL(Lines!$G$3:$G$1590,108),Lines!$G$3:$G$1590,0)),IF(AND(ISNUMBER($J113),$J113&gt;0,$J113&lt;99),INDEX(Lines!$C$3:$C$1590,MATCH(SMALL(Lines!$G$3:$G$1590,108),Lines!$G$3:$G$1590,0)),""))</f>
        <v/>
      </c>
      <c r="D113" s="26" t="str">
        <f aca="false">IF(AND(ISNUMBER($J113),$J113&gt;0,$J113&lt;99),INDEX(Lines!$D$3:$D$1590,MATCH(SMALL(Lines!$G$3:$G$1590,108),Lines!$G$3:$G$1590,0)),"")</f>
        <v/>
      </c>
      <c r="E113" s="26" t="str">
        <f aca="false">IF(AND(ISNUMBER($J113),$J113&gt;0,$J113&lt;99),INDEX(Lines!$E$3:$E$1590,MATCH(SMALL(Lines!$G$3:$G$1590,108),Lines!$G$3:$G$1590,0)),"")</f>
        <v/>
      </c>
      <c r="F113" s="26" t="str">
        <f aca="false">IF(AND(ISNUMBER($J113),$J113&gt;0,$J113&lt;99),INDEX(Lines!$O$3:$O$1590,MATCH(SMALL(Lines!$G$3:$G$1590,108),Lines!$G$3:$G$1590,0)),"")</f>
        <v/>
      </c>
      <c r="G113" s="27" t="str">
        <f aca="false">IF($J113=0,INDEX(Lines!$Q$3:$Q$1590,MATCH(SMALL(Lines!$G$3:$G$1590,108),Lines!$G$3:$G$1590,0)),IF(AND(ISNUMBER($J113),$J113&gt;0,$J113&lt;99),INDEX(Lines!$P$3:$P$1590,MATCH(SMALL(Lines!$G$3:$G$1590,108),Lines!$G$3:$G$1590,0)),""))</f>
        <v/>
      </c>
      <c r="H113" s="28" t="str">
        <f aca="false">IF($J113=0,INDEX(Lines!$H$3:$H$1590,MATCH(SMALL(Lines!$G$3:$G$1590,108),Lines!$G$3:$G$1590,0))&amp;" groups",IF(AND(ISNUMBER($J113),$J113&gt;0,$J113&lt;99),INDEX(Lines!$I$3:$I$1590,MATCH(SMALL(Lines!$G$3:$G$1590,108),Lines!$G$3:$G$1590,0)),""))</f>
        <v/>
      </c>
      <c r="I113" s="26"/>
      <c r="J113" s="22" t="str">
        <f aca="false">IFERROR(IF(MOD(SMALL(Lines!$G$3:$G$1590,108),100000)=0,-1,MOD(SMALL(Lines!$G$3:$G$1590,108),100)),"")</f>
        <v/>
      </c>
      <c r="K113" s="22" t="str">
        <f aca="false">IF($J113=0,INDEX(Lines!$L$3:$L$1590,MATCH(SMALL(Lines!$G$3:$G$1590,108),Lines!$G$3:$G$1590,0)),"")</f>
        <v/>
      </c>
    </row>
    <row r="114" customFormat="false" ht="15" hidden="false" customHeight="false" outlineLevel="0" collapsed="false">
      <c r="A114" s="24" t="str">
        <f aca="false">IF(OR($J114=0,AND(ISNUMBER($J114),$J114&gt;0,$J114&lt;99)),INDEX(Lines!$A$3:$A$1590,MATCH(SMALL(Lines!$G$3:$G$1590,109),Lines!$G$3:$G$1590,0)),"")</f>
        <v/>
      </c>
      <c r="B114" s="24" t="str">
        <f aca="false">IF($J114=-1,INDEX(Lines!$J$3:$J$1590,MATCH(SMALL(Lines!$G$3:$G$1590,109),Lines!$G$3:$G$1590,0)),IF($J114=0,INDEX(Lines!$L$3:$L$1590,MATCH(SMALL(Lines!$G$3:$G$1590,109),Lines!$G$3:$G$1590,0)),IF(AND(ISNUMBER($J114),$J114&gt;0,$J114&lt;99),INDEX(Lines!$N$3:$N$1590,MATCH(SMALL(Lines!$G$3:$G$1590,109),Lines!$G$3:$G$1590,0)),"")))</f>
        <v/>
      </c>
      <c r="C114" s="25" t="str">
        <f aca="false">IF($J114=0,INDEX(Lines!$K$3:$K$1590,MATCH(SMALL(Lines!$G$3:$G$1590,109),Lines!$G$3:$G$1590,0)),IF(AND(ISNUMBER($J114),$J114&gt;0,$J114&lt;99),INDEX(Lines!$C$3:$C$1590,MATCH(SMALL(Lines!$G$3:$G$1590,109),Lines!$G$3:$G$1590,0)),""))</f>
        <v/>
      </c>
      <c r="D114" s="26" t="str">
        <f aca="false">IF(AND(ISNUMBER($J114),$J114&gt;0,$J114&lt;99),INDEX(Lines!$D$3:$D$1590,MATCH(SMALL(Lines!$G$3:$G$1590,109),Lines!$G$3:$G$1590,0)),"")</f>
        <v/>
      </c>
      <c r="E114" s="26" t="str">
        <f aca="false">IF(AND(ISNUMBER($J114),$J114&gt;0,$J114&lt;99),INDEX(Lines!$E$3:$E$1590,MATCH(SMALL(Lines!$G$3:$G$1590,109),Lines!$G$3:$G$1590,0)),"")</f>
        <v/>
      </c>
      <c r="F114" s="26" t="str">
        <f aca="false">IF(AND(ISNUMBER($J114),$J114&gt;0,$J114&lt;99),INDEX(Lines!$O$3:$O$1590,MATCH(SMALL(Lines!$G$3:$G$1590,109),Lines!$G$3:$G$1590,0)),"")</f>
        <v/>
      </c>
      <c r="G114" s="27" t="str">
        <f aca="false">IF($J114=0,INDEX(Lines!$Q$3:$Q$1590,MATCH(SMALL(Lines!$G$3:$G$1590,109),Lines!$G$3:$G$1590,0)),IF(AND(ISNUMBER($J114),$J114&gt;0,$J114&lt;99),INDEX(Lines!$P$3:$P$1590,MATCH(SMALL(Lines!$G$3:$G$1590,109),Lines!$G$3:$G$1590,0)),""))</f>
        <v/>
      </c>
      <c r="H114" s="28" t="str">
        <f aca="false">IF($J114=0,INDEX(Lines!$H$3:$H$1590,MATCH(SMALL(Lines!$G$3:$G$1590,109),Lines!$G$3:$G$1590,0))&amp;" groups",IF(AND(ISNUMBER($J114),$J114&gt;0,$J114&lt;99),INDEX(Lines!$I$3:$I$1590,MATCH(SMALL(Lines!$G$3:$G$1590,109),Lines!$G$3:$G$1590,0)),""))</f>
        <v/>
      </c>
      <c r="I114" s="26"/>
      <c r="J114" s="22" t="str">
        <f aca="false">IFERROR(IF(MOD(SMALL(Lines!$G$3:$G$1590,109),100000)=0,-1,MOD(SMALL(Lines!$G$3:$G$1590,109),100)),"")</f>
        <v/>
      </c>
      <c r="K114" s="22" t="str">
        <f aca="false">IF($J114=0,INDEX(Lines!$L$3:$L$1590,MATCH(SMALL(Lines!$G$3:$G$1590,109),Lines!$G$3:$G$1590,0)),"")</f>
        <v/>
      </c>
    </row>
    <row r="115" customFormat="false" ht="15" hidden="false" customHeight="false" outlineLevel="0" collapsed="false">
      <c r="A115" s="24" t="str">
        <f aca="false">IF(OR($J115=0,AND(ISNUMBER($J115),$J115&gt;0,$J115&lt;99)),INDEX(Lines!$A$3:$A$1590,MATCH(SMALL(Lines!$G$3:$G$1590,110),Lines!$G$3:$G$1590,0)),"")</f>
        <v/>
      </c>
      <c r="B115" s="24" t="str">
        <f aca="false">IF($J115=-1,INDEX(Lines!$J$3:$J$1590,MATCH(SMALL(Lines!$G$3:$G$1590,110),Lines!$G$3:$G$1590,0)),IF($J115=0,INDEX(Lines!$L$3:$L$1590,MATCH(SMALL(Lines!$G$3:$G$1590,110),Lines!$G$3:$G$1590,0)),IF(AND(ISNUMBER($J115),$J115&gt;0,$J115&lt;99),INDEX(Lines!$N$3:$N$1590,MATCH(SMALL(Lines!$G$3:$G$1590,110),Lines!$G$3:$G$1590,0)),"")))</f>
        <v/>
      </c>
      <c r="C115" s="25" t="str">
        <f aca="false">IF($J115=0,INDEX(Lines!$K$3:$K$1590,MATCH(SMALL(Lines!$G$3:$G$1590,110),Lines!$G$3:$G$1590,0)),IF(AND(ISNUMBER($J115),$J115&gt;0,$J115&lt;99),INDEX(Lines!$C$3:$C$1590,MATCH(SMALL(Lines!$G$3:$G$1590,110),Lines!$G$3:$G$1590,0)),""))</f>
        <v/>
      </c>
      <c r="D115" s="26" t="str">
        <f aca="false">IF(AND(ISNUMBER($J115),$J115&gt;0,$J115&lt;99),INDEX(Lines!$D$3:$D$1590,MATCH(SMALL(Lines!$G$3:$G$1590,110),Lines!$G$3:$G$1590,0)),"")</f>
        <v/>
      </c>
      <c r="E115" s="26" t="str">
        <f aca="false">IF(AND(ISNUMBER($J115),$J115&gt;0,$J115&lt;99),INDEX(Lines!$E$3:$E$1590,MATCH(SMALL(Lines!$G$3:$G$1590,110),Lines!$G$3:$G$1590,0)),"")</f>
        <v/>
      </c>
      <c r="F115" s="26" t="str">
        <f aca="false">IF(AND(ISNUMBER($J115),$J115&gt;0,$J115&lt;99),INDEX(Lines!$O$3:$O$1590,MATCH(SMALL(Lines!$G$3:$G$1590,110),Lines!$G$3:$G$1590,0)),"")</f>
        <v/>
      </c>
      <c r="G115" s="27" t="str">
        <f aca="false">IF($J115=0,INDEX(Lines!$Q$3:$Q$1590,MATCH(SMALL(Lines!$G$3:$G$1590,110),Lines!$G$3:$G$1590,0)),IF(AND(ISNUMBER($J115),$J115&gt;0,$J115&lt;99),INDEX(Lines!$P$3:$P$1590,MATCH(SMALL(Lines!$G$3:$G$1590,110),Lines!$G$3:$G$1590,0)),""))</f>
        <v/>
      </c>
      <c r="H115" s="28" t="str">
        <f aca="false">IF($J115=0,INDEX(Lines!$H$3:$H$1590,MATCH(SMALL(Lines!$G$3:$G$1590,110),Lines!$G$3:$G$1590,0))&amp;" groups",IF(AND(ISNUMBER($J115),$J115&gt;0,$J115&lt;99),INDEX(Lines!$I$3:$I$1590,MATCH(SMALL(Lines!$G$3:$G$1590,110),Lines!$G$3:$G$1590,0)),""))</f>
        <v/>
      </c>
      <c r="I115" s="26"/>
      <c r="J115" s="22" t="str">
        <f aca="false">IFERROR(IF(MOD(SMALL(Lines!$G$3:$G$1590,110),100000)=0,-1,MOD(SMALL(Lines!$G$3:$G$1590,110),100)),"")</f>
        <v/>
      </c>
      <c r="K115" s="22" t="str">
        <f aca="false">IF($J115=0,INDEX(Lines!$L$3:$L$1590,MATCH(SMALL(Lines!$G$3:$G$1590,110),Lines!$G$3:$G$1590,0)),"")</f>
        <v/>
      </c>
    </row>
    <row r="116" customFormat="false" ht="15" hidden="false" customHeight="false" outlineLevel="0" collapsed="false">
      <c r="A116" s="24" t="str">
        <f aca="false">IF(OR($J116=0,AND(ISNUMBER($J116),$J116&gt;0,$J116&lt;99)),INDEX(Lines!$A$3:$A$1590,MATCH(SMALL(Lines!$G$3:$G$1590,111),Lines!$G$3:$G$1590,0)),"")</f>
        <v/>
      </c>
      <c r="B116" s="24" t="str">
        <f aca="false">IF($J116=-1,INDEX(Lines!$J$3:$J$1590,MATCH(SMALL(Lines!$G$3:$G$1590,111),Lines!$G$3:$G$1590,0)),IF($J116=0,INDEX(Lines!$L$3:$L$1590,MATCH(SMALL(Lines!$G$3:$G$1590,111),Lines!$G$3:$G$1590,0)),IF(AND(ISNUMBER($J116),$J116&gt;0,$J116&lt;99),INDEX(Lines!$N$3:$N$1590,MATCH(SMALL(Lines!$G$3:$G$1590,111),Lines!$G$3:$G$1590,0)),"")))</f>
        <v/>
      </c>
      <c r="C116" s="25" t="str">
        <f aca="false">IF($J116=0,INDEX(Lines!$K$3:$K$1590,MATCH(SMALL(Lines!$G$3:$G$1590,111),Lines!$G$3:$G$1590,0)),IF(AND(ISNUMBER($J116),$J116&gt;0,$J116&lt;99),INDEX(Lines!$C$3:$C$1590,MATCH(SMALL(Lines!$G$3:$G$1590,111),Lines!$G$3:$G$1590,0)),""))</f>
        <v/>
      </c>
      <c r="D116" s="26" t="str">
        <f aca="false">IF(AND(ISNUMBER($J116),$J116&gt;0,$J116&lt;99),INDEX(Lines!$D$3:$D$1590,MATCH(SMALL(Lines!$G$3:$G$1590,111),Lines!$G$3:$G$1590,0)),"")</f>
        <v/>
      </c>
      <c r="E116" s="26" t="str">
        <f aca="false">IF(AND(ISNUMBER($J116),$J116&gt;0,$J116&lt;99),INDEX(Lines!$E$3:$E$1590,MATCH(SMALL(Lines!$G$3:$G$1590,111),Lines!$G$3:$G$1590,0)),"")</f>
        <v/>
      </c>
      <c r="F116" s="26" t="str">
        <f aca="false">IF(AND(ISNUMBER($J116),$J116&gt;0,$J116&lt;99),INDEX(Lines!$O$3:$O$1590,MATCH(SMALL(Lines!$G$3:$G$1590,111),Lines!$G$3:$G$1590,0)),"")</f>
        <v/>
      </c>
      <c r="G116" s="27" t="str">
        <f aca="false">IF($J116=0,INDEX(Lines!$Q$3:$Q$1590,MATCH(SMALL(Lines!$G$3:$G$1590,111),Lines!$G$3:$G$1590,0)),IF(AND(ISNUMBER($J116),$J116&gt;0,$J116&lt;99),INDEX(Lines!$P$3:$P$1590,MATCH(SMALL(Lines!$G$3:$G$1590,111),Lines!$G$3:$G$1590,0)),""))</f>
        <v/>
      </c>
      <c r="H116" s="28" t="str">
        <f aca="false">IF($J116=0,INDEX(Lines!$H$3:$H$1590,MATCH(SMALL(Lines!$G$3:$G$1590,111),Lines!$G$3:$G$1590,0))&amp;" groups",IF(AND(ISNUMBER($J116),$J116&gt;0,$J116&lt;99),INDEX(Lines!$I$3:$I$1590,MATCH(SMALL(Lines!$G$3:$G$1590,111),Lines!$G$3:$G$1590,0)),""))</f>
        <v/>
      </c>
      <c r="I116" s="26"/>
      <c r="J116" s="22" t="str">
        <f aca="false">IFERROR(IF(MOD(SMALL(Lines!$G$3:$G$1590,111),100000)=0,-1,MOD(SMALL(Lines!$G$3:$G$1590,111),100)),"")</f>
        <v/>
      </c>
      <c r="K116" s="22" t="str">
        <f aca="false">IF($J116=0,INDEX(Lines!$L$3:$L$1590,MATCH(SMALL(Lines!$G$3:$G$1590,111),Lines!$G$3:$G$1590,0)),"")</f>
        <v/>
      </c>
    </row>
    <row r="117" customFormat="false" ht="15" hidden="false" customHeight="false" outlineLevel="0" collapsed="false">
      <c r="A117" s="24" t="str">
        <f aca="false">IF(OR($J117=0,AND(ISNUMBER($J117),$J117&gt;0,$J117&lt;99)),INDEX(Lines!$A$3:$A$1590,MATCH(SMALL(Lines!$G$3:$G$1590,112),Lines!$G$3:$G$1590,0)),"")</f>
        <v/>
      </c>
      <c r="B117" s="24" t="str">
        <f aca="false">IF($J117=-1,INDEX(Lines!$J$3:$J$1590,MATCH(SMALL(Lines!$G$3:$G$1590,112),Lines!$G$3:$G$1590,0)),IF($J117=0,INDEX(Lines!$L$3:$L$1590,MATCH(SMALL(Lines!$G$3:$G$1590,112),Lines!$G$3:$G$1590,0)),IF(AND(ISNUMBER($J117),$J117&gt;0,$J117&lt;99),INDEX(Lines!$N$3:$N$1590,MATCH(SMALL(Lines!$G$3:$G$1590,112),Lines!$G$3:$G$1590,0)),"")))</f>
        <v/>
      </c>
      <c r="C117" s="25" t="str">
        <f aca="false">IF($J117=0,INDEX(Lines!$K$3:$K$1590,MATCH(SMALL(Lines!$G$3:$G$1590,112),Lines!$G$3:$G$1590,0)),IF(AND(ISNUMBER($J117),$J117&gt;0,$J117&lt;99),INDEX(Lines!$C$3:$C$1590,MATCH(SMALL(Lines!$G$3:$G$1590,112),Lines!$G$3:$G$1590,0)),""))</f>
        <v/>
      </c>
      <c r="D117" s="26" t="str">
        <f aca="false">IF(AND(ISNUMBER($J117),$J117&gt;0,$J117&lt;99),INDEX(Lines!$D$3:$D$1590,MATCH(SMALL(Lines!$G$3:$G$1590,112),Lines!$G$3:$G$1590,0)),"")</f>
        <v/>
      </c>
      <c r="E117" s="26" t="str">
        <f aca="false">IF(AND(ISNUMBER($J117),$J117&gt;0,$J117&lt;99),INDEX(Lines!$E$3:$E$1590,MATCH(SMALL(Lines!$G$3:$G$1590,112),Lines!$G$3:$G$1590,0)),"")</f>
        <v/>
      </c>
      <c r="F117" s="26" t="str">
        <f aca="false">IF(AND(ISNUMBER($J117),$J117&gt;0,$J117&lt;99),INDEX(Lines!$O$3:$O$1590,MATCH(SMALL(Lines!$G$3:$G$1590,112),Lines!$G$3:$G$1590,0)),"")</f>
        <v/>
      </c>
      <c r="G117" s="27" t="str">
        <f aca="false">IF($J117=0,INDEX(Lines!$Q$3:$Q$1590,MATCH(SMALL(Lines!$G$3:$G$1590,112),Lines!$G$3:$G$1590,0)),IF(AND(ISNUMBER($J117),$J117&gt;0,$J117&lt;99),INDEX(Lines!$P$3:$P$1590,MATCH(SMALL(Lines!$G$3:$G$1590,112),Lines!$G$3:$G$1590,0)),""))</f>
        <v/>
      </c>
      <c r="H117" s="28" t="str">
        <f aca="false">IF($J117=0,INDEX(Lines!$H$3:$H$1590,MATCH(SMALL(Lines!$G$3:$G$1590,112),Lines!$G$3:$G$1590,0))&amp;" groups",IF(AND(ISNUMBER($J117),$J117&gt;0,$J117&lt;99),INDEX(Lines!$I$3:$I$1590,MATCH(SMALL(Lines!$G$3:$G$1590,112),Lines!$G$3:$G$1590,0)),""))</f>
        <v/>
      </c>
      <c r="I117" s="26"/>
      <c r="J117" s="22" t="str">
        <f aca="false">IFERROR(IF(MOD(SMALL(Lines!$G$3:$G$1590,112),100000)=0,-1,MOD(SMALL(Lines!$G$3:$G$1590,112),100)),"")</f>
        <v/>
      </c>
      <c r="K117" s="22" t="str">
        <f aca="false">IF($J117=0,INDEX(Lines!$L$3:$L$1590,MATCH(SMALL(Lines!$G$3:$G$1590,112),Lines!$G$3:$G$1590,0)),"")</f>
        <v/>
      </c>
    </row>
    <row r="118" customFormat="false" ht="15" hidden="false" customHeight="false" outlineLevel="0" collapsed="false">
      <c r="A118" s="24" t="str">
        <f aca="false">IF(OR($J118=0,AND(ISNUMBER($J118),$J118&gt;0,$J118&lt;99)),INDEX(Lines!$A$3:$A$1590,MATCH(SMALL(Lines!$G$3:$G$1590,113),Lines!$G$3:$G$1590,0)),"")</f>
        <v/>
      </c>
      <c r="B118" s="24" t="str">
        <f aca="false">IF($J118=-1,INDEX(Lines!$J$3:$J$1590,MATCH(SMALL(Lines!$G$3:$G$1590,113),Lines!$G$3:$G$1590,0)),IF($J118=0,INDEX(Lines!$L$3:$L$1590,MATCH(SMALL(Lines!$G$3:$G$1590,113),Lines!$G$3:$G$1590,0)),IF(AND(ISNUMBER($J118),$J118&gt;0,$J118&lt;99),INDEX(Lines!$N$3:$N$1590,MATCH(SMALL(Lines!$G$3:$G$1590,113),Lines!$G$3:$G$1590,0)),"")))</f>
        <v/>
      </c>
      <c r="C118" s="25" t="str">
        <f aca="false">IF($J118=0,INDEX(Lines!$K$3:$K$1590,MATCH(SMALL(Lines!$G$3:$G$1590,113),Lines!$G$3:$G$1590,0)),IF(AND(ISNUMBER($J118),$J118&gt;0,$J118&lt;99),INDEX(Lines!$C$3:$C$1590,MATCH(SMALL(Lines!$G$3:$G$1590,113),Lines!$G$3:$G$1590,0)),""))</f>
        <v/>
      </c>
      <c r="D118" s="26" t="str">
        <f aca="false">IF(AND(ISNUMBER($J118),$J118&gt;0,$J118&lt;99),INDEX(Lines!$D$3:$D$1590,MATCH(SMALL(Lines!$G$3:$G$1590,113),Lines!$G$3:$G$1590,0)),"")</f>
        <v/>
      </c>
      <c r="E118" s="26" t="str">
        <f aca="false">IF(AND(ISNUMBER($J118),$J118&gt;0,$J118&lt;99),INDEX(Lines!$E$3:$E$1590,MATCH(SMALL(Lines!$G$3:$G$1590,113),Lines!$G$3:$G$1590,0)),"")</f>
        <v/>
      </c>
      <c r="F118" s="26" t="str">
        <f aca="false">IF(AND(ISNUMBER($J118),$J118&gt;0,$J118&lt;99),INDEX(Lines!$O$3:$O$1590,MATCH(SMALL(Lines!$G$3:$G$1590,113),Lines!$G$3:$G$1590,0)),"")</f>
        <v/>
      </c>
      <c r="G118" s="27" t="str">
        <f aca="false">IF($J118=0,INDEX(Lines!$Q$3:$Q$1590,MATCH(SMALL(Lines!$G$3:$G$1590,113),Lines!$G$3:$G$1590,0)),IF(AND(ISNUMBER($J118),$J118&gt;0,$J118&lt;99),INDEX(Lines!$P$3:$P$1590,MATCH(SMALL(Lines!$G$3:$G$1590,113),Lines!$G$3:$G$1590,0)),""))</f>
        <v/>
      </c>
      <c r="H118" s="28" t="str">
        <f aca="false">IF($J118=0,INDEX(Lines!$H$3:$H$1590,MATCH(SMALL(Lines!$G$3:$G$1590,113),Lines!$G$3:$G$1590,0))&amp;" groups",IF(AND(ISNUMBER($J118),$J118&gt;0,$J118&lt;99),INDEX(Lines!$I$3:$I$1590,MATCH(SMALL(Lines!$G$3:$G$1590,113),Lines!$G$3:$G$1590,0)),""))</f>
        <v/>
      </c>
      <c r="I118" s="26"/>
      <c r="J118" s="22" t="str">
        <f aca="false">IFERROR(IF(MOD(SMALL(Lines!$G$3:$G$1590,113),100000)=0,-1,MOD(SMALL(Lines!$G$3:$G$1590,113),100)),"")</f>
        <v/>
      </c>
      <c r="K118" s="22" t="str">
        <f aca="false">IF($J118=0,INDEX(Lines!$L$3:$L$1590,MATCH(SMALL(Lines!$G$3:$G$1590,113),Lines!$G$3:$G$1590,0)),"")</f>
        <v/>
      </c>
    </row>
    <row r="119" customFormat="false" ht="15" hidden="false" customHeight="false" outlineLevel="0" collapsed="false">
      <c r="A119" s="24" t="str">
        <f aca="false">IF(OR($J119=0,AND(ISNUMBER($J119),$J119&gt;0,$J119&lt;99)),INDEX(Lines!$A$3:$A$1590,MATCH(SMALL(Lines!$G$3:$G$1590,114),Lines!$G$3:$G$1590,0)),"")</f>
        <v/>
      </c>
      <c r="B119" s="24" t="str">
        <f aca="false">IF($J119=-1,INDEX(Lines!$J$3:$J$1590,MATCH(SMALL(Lines!$G$3:$G$1590,114),Lines!$G$3:$G$1590,0)),IF($J119=0,INDEX(Lines!$L$3:$L$1590,MATCH(SMALL(Lines!$G$3:$G$1590,114),Lines!$G$3:$G$1590,0)),IF(AND(ISNUMBER($J119),$J119&gt;0,$J119&lt;99),INDEX(Lines!$N$3:$N$1590,MATCH(SMALL(Lines!$G$3:$G$1590,114),Lines!$G$3:$G$1590,0)),"")))</f>
        <v/>
      </c>
      <c r="C119" s="25" t="str">
        <f aca="false">IF($J119=0,INDEX(Lines!$K$3:$K$1590,MATCH(SMALL(Lines!$G$3:$G$1590,114),Lines!$G$3:$G$1590,0)),IF(AND(ISNUMBER($J119),$J119&gt;0,$J119&lt;99),INDEX(Lines!$C$3:$C$1590,MATCH(SMALL(Lines!$G$3:$G$1590,114),Lines!$G$3:$G$1590,0)),""))</f>
        <v/>
      </c>
      <c r="D119" s="26" t="str">
        <f aca="false">IF(AND(ISNUMBER($J119),$J119&gt;0,$J119&lt;99),INDEX(Lines!$D$3:$D$1590,MATCH(SMALL(Lines!$G$3:$G$1590,114),Lines!$G$3:$G$1590,0)),"")</f>
        <v/>
      </c>
      <c r="E119" s="26" t="str">
        <f aca="false">IF(AND(ISNUMBER($J119),$J119&gt;0,$J119&lt;99),INDEX(Lines!$E$3:$E$1590,MATCH(SMALL(Lines!$G$3:$G$1590,114),Lines!$G$3:$G$1590,0)),"")</f>
        <v/>
      </c>
      <c r="F119" s="26" t="str">
        <f aca="false">IF(AND(ISNUMBER($J119),$J119&gt;0,$J119&lt;99),INDEX(Lines!$O$3:$O$1590,MATCH(SMALL(Lines!$G$3:$G$1590,114),Lines!$G$3:$G$1590,0)),"")</f>
        <v/>
      </c>
      <c r="G119" s="27" t="str">
        <f aca="false">IF($J119=0,INDEX(Lines!$Q$3:$Q$1590,MATCH(SMALL(Lines!$G$3:$G$1590,114),Lines!$G$3:$G$1590,0)),IF(AND(ISNUMBER($J119),$J119&gt;0,$J119&lt;99),INDEX(Lines!$P$3:$P$1590,MATCH(SMALL(Lines!$G$3:$G$1590,114),Lines!$G$3:$G$1590,0)),""))</f>
        <v/>
      </c>
      <c r="H119" s="28" t="str">
        <f aca="false">IF($J119=0,INDEX(Lines!$H$3:$H$1590,MATCH(SMALL(Lines!$G$3:$G$1590,114),Lines!$G$3:$G$1590,0))&amp;" groups",IF(AND(ISNUMBER($J119),$J119&gt;0,$J119&lt;99),INDEX(Lines!$I$3:$I$1590,MATCH(SMALL(Lines!$G$3:$G$1590,114),Lines!$G$3:$G$1590,0)),""))</f>
        <v/>
      </c>
      <c r="I119" s="26"/>
      <c r="J119" s="22" t="str">
        <f aca="false">IFERROR(IF(MOD(SMALL(Lines!$G$3:$G$1590,114),100000)=0,-1,MOD(SMALL(Lines!$G$3:$G$1590,114),100)),"")</f>
        <v/>
      </c>
      <c r="K119" s="22" t="str">
        <f aca="false">IF($J119=0,INDEX(Lines!$L$3:$L$1590,MATCH(SMALL(Lines!$G$3:$G$1590,114),Lines!$G$3:$G$1590,0)),"")</f>
        <v/>
      </c>
    </row>
    <row r="120" customFormat="false" ht="15" hidden="false" customHeight="false" outlineLevel="0" collapsed="false">
      <c r="A120" s="24" t="str">
        <f aca="false">IF(OR($J120=0,AND(ISNUMBER($J120),$J120&gt;0,$J120&lt;99)),INDEX(Lines!$A$3:$A$1590,MATCH(SMALL(Lines!$G$3:$G$1590,115),Lines!$G$3:$G$1590,0)),"")</f>
        <v/>
      </c>
      <c r="B120" s="24" t="str">
        <f aca="false">IF($J120=-1,INDEX(Lines!$J$3:$J$1590,MATCH(SMALL(Lines!$G$3:$G$1590,115),Lines!$G$3:$G$1590,0)),IF($J120=0,INDEX(Lines!$L$3:$L$1590,MATCH(SMALL(Lines!$G$3:$G$1590,115),Lines!$G$3:$G$1590,0)),IF(AND(ISNUMBER($J120),$J120&gt;0,$J120&lt;99),INDEX(Lines!$N$3:$N$1590,MATCH(SMALL(Lines!$G$3:$G$1590,115),Lines!$G$3:$G$1590,0)),"")))</f>
        <v/>
      </c>
      <c r="C120" s="25" t="str">
        <f aca="false">IF($J120=0,INDEX(Lines!$K$3:$K$1590,MATCH(SMALL(Lines!$G$3:$G$1590,115),Lines!$G$3:$G$1590,0)),IF(AND(ISNUMBER($J120),$J120&gt;0,$J120&lt;99),INDEX(Lines!$C$3:$C$1590,MATCH(SMALL(Lines!$G$3:$G$1590,115),Lines!$G$3:$G$1590,0)),""))</f>
        <v/>
      </c>
      <c r="D120" s="26" t="str">
        <f aca="false">IF(AND(ISNUMBER($J120),$J120&gt;0,$J120&lt;99),INDEX(Lines!$D$3:$D$1590,MATCH(SMALL(Lines!$G$3:$G$1590,115),Lines!$G$3:$G$1590,0)),"")</f>
        <v/>
      </c>
      <c r="E120" s="26" t="str">
        <f aca="false">IF(AND(ISNUMBER($J120),$J120&gt;0,$J120&lt;99),INDEX(Lines!$E$3:$E$1590,MATCH(SMALL(Lines!$G$3:$G$1590,115),Lines!$G$3:$G$1590,0)),"")</f>
        <v/>
      </c>
      <c r="F120" s="26" t="str">
        <f aca="false">IF(AND(ISNUMBER($J120),$J120&gt;0,$J120&lt;99),INDEX(Lines!$O$3:$O$1590,MATCH(SMALL(Lines!$G$3:$G$1590,115),Lines!$G$3:$G$1590,0)),"")</f>
        <v/>
      </c>
      <c r="G120" s="27" t="str">
        <f aca="false">IF($J120=0,INDEX(Lines!$Q$3:$Q$1590,MATCH(SMALL(Lines!$G$3:$G$1590,115),Lines!$G$3:$G$1590,0)),IF(AND(ISNUMBER($J120),$J120&gt;0,$J120&lt;99),INDEX(Lines!$P$3:$P$1590,MATCH(SMALL(Lines!$G$3:$G$1590,115),Lines!$G$3:$G$1590,0)),""))</f>
        <v/>
      </c>
      <c r="H120" s="28" t="str">
        <f aca="false">IF($J120=0,INDEX(Lines!$H$3:$H$1590,MATCH(SMALL(Lines!$G$3:$G$1590,115),Lines!$G$3:$G$1590,0))&amp;" groups",IF(AND(ISNUMBER($J120),$J120&gt;0,$J120&lt;99),INDEX(Lines!$I$3:$I$1590,MATCH(SMALL(Lines!$G$3:$G$1590,115),Lines!$G$3:$G$1590,0)),""))</f>
        <v/>
      </c>
      <c r="I120" s="26"/>
      <c r="J120" s="22" t="str">
        <f aca="false">IFERROR(IF(MOD(SMALL(Lines!$G$3:$G$1590,115),100000)=0,-1,MOD(SMALL(Lines!$G$3:$G$1590,115),100)),"")</f>
        <v/>
      </c>
      <c r="K120" s="22" t="str">
        <f aca="false">IF($J120=0,INDEX(Lines!$L$3:$L$1590,MATCH(SMALL(Lines!$G$3:$G$1590,115),Lines!$G$3:$G$1590,0)),"")</f>
        <v/>
      </c>
    </row>
    <row r="121" customFormat="false" ht="15" hidden="false" customHeight="false" outlineLevel="0" collapsed="false">
      <c r="A121" s="24" t="str">
        <f aca="false">IF(OR($J121=0,AND(ISNUMBER($J121),$J121&gt;0,$J121&lt;99)),INDEX(Lines!$A$3:$A$1590,MATCH(SMALL(Lines!$G$3:$G$1590,116),Lines!$G$3:$G$1590,0)),"")</f>
        <v/>
      </c>
      <c r="B121" s="24" t="str">
        <f aca="false">IF($J121=-1,INDEX(Lines!$J$3:$J$1590,MATCH(SMALL(Lines!$G$3:$G$1590,116),Lines!$G$3:$G$1590,0)),IF($J121=0,INDEX(Lines!$L$3:$L$1590,MATCH(SMALL(Lines!$G$3:$G$1590,116),Lines!$G$3:$G$1590,0)),IF(AND(ISNUMBER($J121),$J121&gt;0,$J121&lt;99),INDEX(Lines!$N$3:$N$1590,MATCH(SMALL(Lines!$G$3:$G$1590,116),Lines!$G$3:$G$1590,0)),"")))</f>
        <v/>
      </c>
      <c r="C121" s="25" t="str">
        <f aca="false">IF($J121=0,INDEX(Lines!$K$3:$K$1590,MATCH(SMALL(Lines!$G$3:$G$1590,116),Lines!$G$3:$G$1590,0)),IF(AND(ISNUMBER($J121),$J121&gt;0,$J121&lt;99),INDEX(Lines!$C$3:$C$1590,MATCH(SMALL(Lines!$G$3:$G$1590,116),Lines!$G$3:$G$1590,0)),""))</f>
        <v/>
      </c>
      <c r="D121" s="26" t="str">
        <f aca="false">IF(AND(ISNUMBER($J121),$J121&gt;0,$J121&lt;99),INDEX(Lines!$D$3:$D$1590,MATCH(SMALL(Lines!$G$3:$G$1590,116),Lines!$G$3:$G$1590,0)),"")</f>
        <v/>
      </c>
      <c r="E121" s="26" t="str">
        <f aca="false">IF(AND(ISNUMBER($J121),$J121&gt;0,$J121&lt;99),INDEX(Lines!$E$3:$E$1590,MATCH(SMALL(Lines!$G$3:$G$1590,116),Lines!$G$3:$G$1590,0)),"")</f>
        <v/>
      </c>
      <c r="F121" s="26" t="str">
        <f aca="false">IF(AND(ISNUMBER($J121),$J121&gt;0,$J121&lt;99),INDEX(Lines!$O$3:$O$1590,MATCH(SMALL(Lines!$G$3:$G$1590,116),Lines!$G$3:$G$1590,0)),"")</f>
        <v/>
      </c>
      <c r="G121" s="27" t="str">
        <f aca="false">IF($J121=0,INDEX(Lines!$Q$3:$Q$1590,MATCH(SMALL(Lines!$G$3:$G$1590,116),Lines!$G$3:$G$1590,0)),IF(AND(ISNUMBER($J121),$J121&gt;0,$J121&lt;99),INDEX(Lines!$P$3:$P$1590,MATCH(SMALL(Lines!$G$3:$G$1590,116),Lines!$G$3:$G$1590,0)),""))</f>
        <v/>
      </c>
      <c r="H121" s="28" t="str">
        <f aca="false">IF($J121=0,INDEX(Lines!$H$3:$H$1590,MATCH(SMALL(Lines!$G$3:$G$1590,116),Lines!$G$3:$G$1590,0))&amp;" groups",IF(AND(ISNUMBER($J121),$J121&gt;0,$J121&lt;99),INDEX(Lines!$I$3:$I$1590,MATCH(SMALL(Lines!$G$3:$G$1590,116),Lines!$G$3:$G$1590,0)),""))</f>
        <v/>
      </c>
      <c r="I121" s="26"/>
      <c r="J121" s="22" t="str">
        <f aca="false">IFERROR(IF(MOD(SMALL(Lines!$G$3:$G$1590,116),100000)=0,-1,MOD(SMALL(Lines!$G$3:$G$1590,116),100)),"")</f>
        <v/>
      </c>
      <c r="K121" s="22" t="str">
        <f aca="false">IF($J121=0,INDEX(Lines!$L$3:$L$1590,MATCH(SMALL(Lines!$G$3:$G$1590,116),Lines!$G$3:$G$1590,0)),"")</f>
        <v/>
      </c>
    </row>
    <row r="122" customFormat="false" ht="15" hidden="false" customHeight="false" outlineLevel="0" collapsed="false">
      <c r="A122" s="24" t="str">
        <f aca="false">IF(OR($J122=0,AND(ISNUMBER($J122),$J122&gt;0,$J122&lt;99)),INDEX(Lines!$A$3:$A$1590,MATCH(SMALL(Lines!$G$3:$G$1590,117),Lines!$G$3:$G$1590,0)),"")</f>
        <v/>
      </c>
      <c r="B122" s="24" t="str">
        <f aca="false">IF($J122=-1,INDEX(Lines!$J$3:$J$1590,MATCH(SMALL(Lines!$G$3:$G$1590,117),Lines!$G$3:$G$1590,0)),IF($J122=0,INDEX(Lines!$L$3:$L$1590,MATCH(SMALL(Lines!$G$3:$G$1590,117),Lines!$G$3:$G$1590,0)),IF(AND(ISNUMBER($J122),$J122&gt;0,$J122&lt;99),INDEX(Lines!$N$3:$N$1590,MATCH(SMALL(Lines!$G$3:$G$1590,117),Lines!$G$3:$G$1590,0)),"")))</f>
        <v/>
      </c>
      <c r="C122" s="25" t="str">
        <f aca="false">IF($J122=0,INDEX(Lines!$K$3:$K$1590,MATCH(SMALL(Lines!$G$3:$G$1590,117),Lines!$G$3:$G$1590,0)),IF(AND(ISNUMBER($J122),$J122&gt;0,$J122&lt;99),INDEX(Lines!$C$3:$C$1590,MATCH(SMALL(Lines!$G$3:$G$1590,117),Lines!$G$3:$G$1590,0)),""))</f>
        <v/>
      </c>
      <c r="D122" s="26" t="str">
        <f aca="false">IF(AND(ISNUMBER($J122),$J122&gt;0,$J122&lt;99),INDEX(Lines!$D$3:$D$1590,MATCH(SMALL(Lines!$G$3:$G$1590,117),Lines!$G$3:$G$1590,0)),"")</f>
        <v/>
      </c>
      <c r="E122" s="26" t="str">
        <f aca="false">IF(AND(ISNUMBER($J122),$J122&gt;0,$J122&lt;99),INDEX(Lines!$E$3:$E$1590,MATCH(SMALL(Lines!$G$3:$G$1590,117),Lines!$G$3:$G$1590,0)),"")</f>
        <v/>
      </c>
      <c r="F122" s="26" t="str">
        <f aca="false">IF(AND(ISNUMBER($J122),$J122&gt;0,$J122&lt;99),INDEX(Lines!$O$3:$O$1590,MATCH(SMALL(Lines!$G$3:$G$1590,117),Lines!$G$3:$G$1590,0)),"")</f>
        <v/>
      </c>
      <c r="G122" s="27" t="str">
        <f aca="false">IF($J122=0,INDEX(Lines!$Q$3:$Q$1590,MATCH(SMALL(Lines!$G$3:$G$1590,117),Lines!$G$3:$G$1590,0)),IF(AND(ISNUMBER($J122),$J122&gt;0,$J122&lt;99),INDEX(Lines!$P$3:$P$1590,MATCH(SMALL(Lines!$G$3:$G$1590,117),Lines!$G$3:$G$1590,0)),""))</f>
        <v/>
      </c>
      <c r="H122" s="28" t="str">
        <f aca="false">IF($J122=0,INDEX(Lines!$H$3:$H$1590,MATCH(SMALL(Lines!$G$3:$G$1590,117),Lines!$G$3:$G$1590,0))&amp;" groups",IF(AND(ISNUMBER($J122),$J122&gt;0,$J122&lt;99),INDEX(Lines!$I$3:$I$1590,MATCH(SMALL(Lines!$G$3:$G$1590,117),Lines!$G$3:$G$1590,0)),""))</f>
        <v/>
      </c>
      <c r="I122" s="26"/>
      <c r="J122" s="22" t="str">
        <f aca="false">IFERROR(IF(MOD(SMALL(Lines!$G$3:$G$1590,117),100000)=0,-1,MOD(SMALL(Lines!$G$3:$G$1590,117),100)),"")</f>
        <v/>
      </c>
      <c r="K122" s="22" t="str">
        <f aca="false">IF($J122=0,INDEX(Lines!$L$3:$L$1590,MATCH(SMALL(Lines!$G$3:$G$1590,117),Lines!$G$3:$G$1590,0)),"")</f>
        <v/>
      </c>
    </row>
    <row r="123" customFormat="false" ht="15" hidden="false" customHeight="false" outlineLevel="0" collapsed="false">
      <c r="A123" s="24" t="str">
        <f aca="false">IF(OR($J123=0,AND(ISNUMBER($J123),$J123&gt;0,$J123&lt;99)),INDEX(Lines!$A$3:$A$1590,MATCH(SMALL(Lines!$G$3:$G$1590,118),Lines!$G$3:$G$1590,0)),"")</f>
        <v/>
      </c>
      <c r="B123" s="24" t="str">
        <f aca="false">IF($J123=-1,INDEX(Lines!$J$3:$J$1590,MATCH(SMALL(Lines!$G$3:$G$1590,118),Lines!$G$3:$G$1590,0)),IF($J123=0,INDEX(Lines!$L$3:$L$1590,MATCH(SMALL(Lines!$G$3:$G$1590,118),Lines!$G$3:$G$1590,0)),IF(AND(ISNUMBER($J123),$J123&gt;0,$J123&lt;99),INDEX(Lines!$N$3:$N$1590,MATCH(SMALL(Lines!$G$3:$G$1590,118),Lines!$G$3:$G$1590,0)),"")))</f>
        <v/>
      </c>
      <c r="C123" s="25" t="str">
        <f aca="false">IF($J123=0,INDEX(Lines!$K$3:$K$1590,MATCH(SMALL(Lines!$G$3:$G$1590,118),Lines!$G$3:$G$1590,0)),IF(AND(ISNUMBER($J123),$J123&gt;0,$J123&lt;99),INDEX(Lines!$C$3:$C$1590,MATCH(SMALL(Lines!$G$3:$G$1590,118),Lines!$G$3:$G$1590,0)),""))</f>
        <v/>
      </c>
      <c r="D123" s="26" t="str">
        <f aca="false">IF(AND(ISNUMBER($J123),$J123&gt;0,$J123&lt;99),INDEX(Lines!$D$3:$D$1590,MATCH(SMALL(Lines!$G$3:$G$1590,118),Lines!$G$3:$G$1590,0)),"")</f>
        <v/>
      </c>
      <c r="E123" s="26" t="str">
        <f aca="false">IF(AND(ISNUMBER($J123),$J123&gt;0,$J123&lt;99),INDEX(Lines!$E$3:$E$1590,MATCH(SMALL(Lines!$G$3:$G$1590,118),Lines!$G$3:$G$1590,0)),"")</f>
        <v/>
      </c>
      <c r="F123" s="26" t="str">
        <f aca="false">IF(AND(ISNUMBER($J123),$J123&gt;0,$J123&lt;99),INDEX(Lines!$O$3:$O$1590,MATCH(SMALL(Lines!$G$3:$G$1590,118),Lines!$G$3:$G$1590,0)),"")</f>
        <v/>
      </c>
      <c r="G123" s="27" t="str">
        <f aca="false">IF($J123=0,INDEX(Lines!$Q$3:$Q$1590,MATCH(SMALL(Lines!$G$3:$G$1590,118),Lines!$G$3:$G$1590,0)),IF(AND(ISNUMBER($J123),$J123&gt;0,$J123&lt;99),INDEX(Lines!$P$3:$P$1590,MATCH(SMALL(Lines!$G$3:$G$1590,118),Lines!$G$3:$G$1590,0)),""))</f>
        <v/>
      </c>
      <c r="H123" s="28" t="str">
        <f aca="false">IF($J123=0,INDEX(Lines!$H$3:$H$1590,MATCH(SMALL(Lines!$G$3:$G$1590,118),Lines!$G$3:$G$1590,0))&amp;" groups",IF(AND(ISNUMBER($J123),$J123&gt;0,$J123&lt;99),INDEX(Lines!$I$3:$I$1590,MATCH(SMALL(Lines!$G$3:$G$1590,118),Lines!$G$3:$G$1590,0)),""))</f>
        <v/>
      </c>
      <c r="I123" s="26"/>
      <c r="J123" s="22" t="str">
        <f aca="false">IFERROR(IF(MOD(SMALL(Lines!$G$3:$G$1590,118),100000)=0,-1,MOD(SMALL(Lines!$G$3:$G$1590,118),100)),"")</f>
        <v/>
      </c>
      <c r="K123" s="22" t="str">
        <f aca="false">IF($J123=0,INDEX(Lines!$L$3:$L$1590,MATCH(SMALL(Lines!$G$3:$G$1590,118),Lines!$G$3:$G$1590,0)),"")</f>
        <v/>
      </c>
    </row>
    <row r="124" customFormat="false" ht="15" hidden="false" customHeight="false" outlineLevel="0" collapsed="false">
      <c r="A124" s="24" t="str">
        <f aca="false">IF(OR($J124=0,AND(ISNUMBER($J124),$J124&gt;0,$J124&lt;99)),INDEX(Lines!$A$3:$A$1590,MATCH(SMALL(Lines!$G$3:$G$1590,119),Lines!$G$3:$G$1590,0)),"")</f>
        <v/>
      </c>
      <c r="B124" s="24" t="str">
        <f aca="false">IF($J124=-1,INDEX(Lines!$J$3:$J$1590,MATCH(SMALL(Lines!$G$3:$G$1590,119),Lines!$G$3:$G$1590,0)),IF($J124=0,INDEX(Lines!$L$3:$L$1590,MATCH(SMALL(Lines!$G$3:$G$1590,119),Lines!$G$3:$G$1590,0)),IF(AND(ISNUMBER($J124),$J124&gt;0,$J124&lt;99),INDEX(Lines!$N$3:$N$1590,MATCH(SMALL(Lines!$G$3:$G$1590,119),Lines!$G$3:$G$1590,0)),"")))</f>
        <v/>
      </c>
      <c r="C124" s="25" t="str">
        <f aca="false">IF($J124=0,INDEX(Lines!$K$3:$K$1590,MATCH(SMALL(Lines!$G$3:$G$1590,119),Lines!$G$3:$G$1590,0)),IF(AND(ISNUMBER($J124),$J124&gt;0,$J124&lt;99),INDEX(Lines!$C$3:$C$1590,MATCH(SMALL(Lines!$G$3:$G$1590,119),Lines!$G$3:$G$1590,0)),""))</f>
        <v/>
      </c>
      <c r="D124" s="26" t="str">
        <f aca="false">IF(AND(ISNUMBER($J124),$J124&gt;0,$J124&lt;99),INDEX(Lines!$D$3:$D$1590,MATCH(SMALL(Lines!$G$3:$G$1590,119),Lines!$G$3:$G$1590,0)),"")</f>
        <v/>
      </c>
      <c r="E124" s="26" t="str">
        <f aca="false">IF(AND(ISNUMBER($J124),$J124&gt;0,$J124&lt;99),INDEX(Lines!$E$3:$E$1590,MATCH(SMALL(Lines!$G$3:$G$1590,119),Lines!$G$3:$G$1590,0)),"")</f>
        <v/>
      </c>
      <c r="F124" s="26" t="str">
        <f aca="false">IF(AND(ISNUMBER($J124),$J124&gt;0,$J124&lt;99),INDEX(Lines!$O$3:$O$1590,MATCH(SMALL(Lines!$G$3:$G$1590,119),Lines!$G$3:$G$1590,0)),"")</f>
        <v/>
      </c>
      <c r="G124" s="27" t="str">
        <f aca="false">IF($J124=0,INDEX(Lines!$Q$3:$Q$1590,MATCH(SMALL(Lines!$G$3:$G$1590,119),Lines!$G$3:$G$1590,0)),IF(AND(ISNUMBER($J124),$J124&gt;0,$J124&lt;99),INDEX(Lines!$P$3:$P$1590,MATCH(SMALL(Lines!$G$3:$G$1590,119),Lines!$G$3:$G$1590,0)),""))</f>
        <v/>
      </c>
      <c r="H124" s="28" t="str">
        <f aca="false">IF($J124=0,INDEX(Lines!$H$3:$H$1590,MATCH(SMALL(Lines!$G$3:$G$1590,119),Lines!$G$3:$G$1590,0))&amp;" groups",IF(AND(ISNUMBER($J124),$J124&gt;0,$J124&lt;99),INDEX(Lines!$I$3:$I$1590,MATCH(SMALL(Lines!$G$3:$G$1590,119),Lines!$G$3:$G$1590,0)),""))</f>
        <v/>
      </c>
      <c r="I124" s="26"/>
      <c r="J124" s="22" t="str">
        <f aca="false">IFERROR(IF(MOD(SMALL(Lines!$G$3:$G$1590,119),100000)=0,-1,MOD(SMALL(Lines!$G$3:$G$1590,119),100)),"")</f>
        <v/>
      </c>
      <c r="K124" s="22" t="str">
        <f aca="false">IF($J124=0,INDEX(Lines!$L$3:$L$1590,MATCH(SMALL(Lines!$G$3:$G$1590,119),Lines!$G$3:$G$1590,0)),"")</f>
        <v/>
      </c>
    </row>
    <row r="125" customFormat="false" ht="15" hidden="false" customHeight="false" outlineLevel="0" collapsed="false">
      <c r="A125" s="24" t="str">
        <f aca="false">IF(OR($J125=0,AND(ISNUMBER($J125),$J125&gt;0,$J125&lt;99)),INDEX(Lines!$A$3:$A$1590,MATCH(SMALL(Lines!$G$3:$G$1590,120),Lines!$G$3:$G$1590,0)),"")</f>
        <v/>
      </c>
      <c r="B125" s="24" t="str">
        <f aca="false">IF($J125=-1,INDEX(Lines!$J$3:$J$1590,MATCH(SMALL(Lines!$G$3:$G$1590,120),Lines!$G$3:$G$1590,0)),IF($J125=0,INDEX(Lines!$L$3:$L$1590,MATCH(SMALL(Lines!$G$3:$G$1590,120),Lines!$G$3:$G$1590,0)),IF(AND(ISNUMBER($J125),$J125&gt;0,$J125&lt;99),INDEX(Lines!$N$3:$N$1590,MATCH(SMALL(Lines!$G$3:$G$1590,120),Lines!$G$3:$G$1590,0)),"")))</f>
        <v/>
      </c>
      <c r="C125" s="25" t="str">
        <f aca="false">IF($J125=0,INDEX(Lines!$K$3:$K$1590,MATCH(SMALL(Lines!$G$3:$G$1590,120),Lines!$G$3:$G$1590,0)),IF(AND(ISNUMBER($J125),$J125&gt;0,$J125&lt;99),INDEX(Lines!$C$3:$C$1590,MATCH(SMALL(Lines!$G$3:$G$1590,120),Lines!$G$3:$G$1590,0)),""))</f>
        <v/>
      </c>
      <c r="D125" s="26" t="str">
        <f aca="false">IF(AND(ISNUMBER($J125),$J125&gt;0,$J125&lt;99),INDEX(Lines!$D$3:$D$1590,MATCH(SMALL(Lines!$G$3:$G$1590,120),Lines!$G$3:$G$1590,0)),"")</f>
        <v/>
      </c>
      <c r="E125" s="26" t="str">
        <f aca="false">IF(AND(ISNUMBER($J125),$J125&gt;0,$J125&lt;99),INDEX(Lines!$E$3:$E$1590,MATCH(SMALL(Lines!$G$3:$G$1590,120),Lines!$G$3:$G$1590,0)),"")</f>
        <v/>
      </c>
      <c r="F125" s="26" t="str">
        <f aca="false">IF(AND(ISNUMBER($J125),$J125&gt;0,$J125&lt;99),INDEX(Lines!$O$3:$O$1590,MATCH(SMALL(Lines!$G$3:$G$1590,120),Lines!$G$3:$G$1590,0)),"")</f>
        <v/>
      </c>
      <c r="G125" s="27" t="str">
        <f aca="false">IF($J125=0,INDEX(Lines!$Q$3:$Q$1590,MATCH(SMALL(Lines!$G$3:$G$1590,120),Lines!$G$3:$G$1590,0)),IF(AND(ISNUMBER($J125),$J125&gt;0,$J125&lt;99),INDEX(Lines!$P$3:$P$1590,MATCH(SMALL(Lines!$G$3:$G$1590,120),Lines!$G$3:$G$1590,0)),""))</f>
        <v/>
      </c>
      <c r="H125" s="28" t="str">
        <f aca="false">IF($J125=0,INDEX(Lines!$H$3:$H$1590,MATCH(SMALL(Lines!$G$3:$G$1590,120),Lines!$G$3:$G$1590,0))&amp;" groups",IF(AND(ISNUMBER($J125),$J125&gt;0,$J125&lt;99),INDEX(Lines!$I$3:$I$1590,MATCH(SMALL(Lines!$G$3:$G$1590,120),Lines!$G$3:$G$1590,0)),""))</f>
        <v/>
      </c>
      <c r="I125" s="26"/>
      <c r="J125" s="22" t="str">
        <f aca="false">IFERROR(IF(MOD(SMALL(Lines!$G$3:$G$1590,120),100000)=0,-1,MOD(SMALL(Lines!$G$3:$G$1590,120),100)),"")</f>
        <v/>
      </c>
      <c r="K125" s="22" t="str">
        <f aca="false">IF($J125=0,INDEX(Lines!$L$3:$L$1590,MATCH(SMALL(Lines!$G$3:$G$1590,120),Lines!$G$3:$G$1590,0)),"")</f>
        <v/>
      </c>
    </row>
    <row r="126" customFormat="false" ht="15" hidden="false" customHeight="false" outlineLevel="0" collapsed="false">
      <c r="A126" s="24" t="str">
        <f aca="false">IF(OR($J126=0,AND(ISNUMBER($J126),$J126&gt;0,$J126&lt;99)),INDEX(Lines!$A$3:$A$1590,MATCH(SMALL(Lines!$G$3:$G$1590,121),Lines!$G$3:$G$1590,0)),"")</f>
        <v/>
      </c>
      <c r="B126" s="24" t="str">
        <f aca="false">IF($J126=-1,INDEX(Lines!$J$3:$J$1590,MATCH(SMALL(Lines!$G$3:$G$1590,121),Lines!$G$3:$G$1590,0)),IF($J126=0,INDEX(Lines!$L$3:$L$1590,MATCH(SMALL(Lines!$G$3:$G$1590,121),Lines!$G$3:$G$1590,0)),IF(AND(ISNUMBER($J126),$J126&gt;0,$J126&lt;99),INDEX(Lines!$N$3:$N$1590,MATCH(SMALL(Lines!$G$3:$G$1590,121),Lines!$G$3:$G$1590,0)),"")))</f>
        <v/>
      </c>
      <c r="C126" s="25" t="str">
        <f aca="false">IF($J126=0,INDEX(Lines!$K$3:$K$1590,MATCH(SMALL(Lines!$G$3:$G$1590,121),Lines!$G$3:$G$1590,0)),IF(AND(ISNUMBER($J126),$J126&gt;0,$J126&lt;99),INDEX(Lines!$C$3:$C$1590,MATCH(SMALL(Lines!$G$3:$G$1590,121),Lines!$G$3:$G$1590,0)),""))</f>
        <v/>
      </c>
      <c r="D126" s="26" t="str">
        <f aca="false">IF(AND(ISNUMBER($J126),$J126&gt;0,$J126&lt;99),INDEX(Lines!$D$3:$D$1590,MATCH(SMALL(Lines!$G$3:$G$1590,121),Lines!$G$3:$G$1590,0)),"")</f>
        <v/>
      </c>
      <c r="E126" s="26" t="str">
        <f aca="false">IF(AND(ISNUMBER($J126),$J126&gt;0,$J126&lt;99),INDEX(Lines!$E$3:$E$1590,MATCH(SMALL(Lines!$G$3:$G$1590,121),Lines!$G$3:$G$1590,0)),"")</f>
        <v/>
      </c>
      <c r="F126" s="26" t="str">
        <f aca="false">IF(AND(ISNUMBER($J126),$J126&gt;0,$J126&lt;99),INDEX(Lines!$O$3:$O$1590,MATCH(SMALL(Lines!$G$3:$G$1590,121),Lines!$G$3:$G$1590,0)),"")</f>
        <v/>
      </c>
      <c r="G126" s="27" t="str">
        <f aca="false">IF($J126=0,INDEX(Lines!$Q$3:$Q$1590,MATCH(SMALL(Lines!$G$3:$G$1590,121),Lines!$G$3:$G$1590,0)),IF(AND(ISNUMBER($J126),$J126&gt;0,$J126&lt;99),INDEX(Lines!$P$3:$P$1590,MATCH(SMALL(Lines!$G$3:$G$1590,121),Lines!$G$3:$G$1590,0)),""))</f>
        <v/>
      </c>
      <c r="H126" s="28" t="str">
        <f aca="false">IF($J126=0,INDEX(Lines!$H$3:$H$1590,MATCH(SMALL(Lines!$G$3:$G$1590,121),Lines!$G$3:$G$1590,0))&amp;" groups",IF(AND(ISNUMBER($J126),$J126&gt;0,$J126&lt;99),INDEX(Lines!$I$3:$I$1590,MATCH(SMALL(Lines!$G$3:$G$1590,121),Lines!$G$3:$G$1590,0)),""))</f>
        <v/>
      </c>
      <c r="I126" s="26"/>
      <c r="J126" s="22" t="str">
        <f aca="false">IFERROR(IF(MOD(SMALL(Lines!$G$3:$G$1590,121),100000)=0,-1,MOD(SMALL(Lines!$G$3:$G$1590,121),100)),"")</f>
        <v/>
      </c>
      <c r="K126" s="22" t="str">
        <f aca="false">IF($J126=0,INDEX(Lines!$L$3:$L$1590,MATCH(SMALL(Lines!$G$3:$G$1590,121),Lines!$G$3:$G$1590,0)),"")</f>
        <v/>
      </c>
    </row>
    <row r="127" customFormat="false" ht="15" hidden="false" customHeight="false" outlineLevel="0" collapsed="false">
      <c r="A127" s="24" t="str">
        <f aca="false">IF(OR($J127=0,AND(ISNUMBER($J127),$J127&gt;0,$J127&lt;99)),INDEX(Lines!$A$3:$A$1590,MATCH(SMALL(Lines!$G$3:$G$1590,122),Lines!$G$3:$G$1590,0)),"")</f>
        <v/>
      </c>
      <c r="B127" s="24" t="str">
        <f aca="false">IF($J127=-1,INDEX(Lines!$J$3:$J$1590,MATCH(SMALL(Lines!$G$3:$G$1590,122),Lines!$G$3:$G$1590,0)),IF($J127=0,INDEX(Lines!$L$3:$L$1590,MATCH(SMALL(Lines!$G$3:$G$1590,122),Lines!$G$3:$G$1590,0)),IF(AND(ISNUMBER($J127),$J127&gt;0,$J127&lt;99),INDEX(Lines!$N$3:$N$1590,MATCH(SMALL(Lines!$G$3:$G$1590,122),Lines!$G$3:$G$1590,0)),"")))</f>
        <v/>
      </c>
      <c r="C127" s="25" t="str">
        <f aca="false">IF($J127=0,INDEX(Lines!$K$3:$K$1590,MATCH(SMALL(Lines!$G$3:$G$1590,122),Lines!$G$3:$G$1590,0)),IF(AND(ISNUMBER($J127),$J127&gt;0,$J127&lt;99),INDEX(Lines!$C$3:$C$1590,MATCH(SMALL(Lines!$G$3:$G$1590,122),Lines!$G$3:$G$1590,0)),""))</f>
        <v/>
      </c>
      <c r="D127" s="26" t="str">
        <f aca="false">IF(AND(ISNUMBER($J127),$J127&gt;0,$J127&lt;99),INDEX(Lines!$D$3:$D$1590,MATCH(SMALL(Lines!$G$3:$G$1590,122),Lines!$G$3:$G$1590,0)),"")</f>
        <v/>
      </c>
      <c r="E127" s="26" t="str">
        <f aca="false">IF(AND(ISNUMBER($J127),$J127&gt;0,$J127&lt;99),INDEX(Lines!$E$3:$E$1590,MATCH(SMALL(Lines!$G$3:$G$1590,122),Lines!$G$3:$G$1590,0)),"")</f>
        <v/>
      </c>
      <c r="F127" s="26" t="str">
        <f aca="false">IF(AND(ISNUMBER($J127),$J127&gt;0,$J127&lt;99),INDEX(Lines!$O$3:$O$1590,MATCH(SMALL(Lines!$G$3:$G$1590,122),Lines!$G$3:$G$1590,0)),"")</f>
        <v/>
      </c>
      <c r="G127" s="27" t="str">
        <f aca="false">IF($J127=0,INDEX(Lines!$Q$3:$Q$1590,MATCH(SMALL(Lines!$G$3:$G$1590,122),Lines!$G$3:$G$1590,0)),IF(AND(ISNUMBER($J127),$J127&gt;0,$J127&lt;99),INDEX(Lines!$P$3:$P$1590,MATCH(SMALL(Lines!$G$3:$G$1590,122),Lines!$G$3:$G$1590,0)),""))</f>
        <v/>
      </c>
      <c r="H127" s="28" t="str">
        <f aca="false">IF($J127=0,INDEX(Lines!$H$3:$H$1590,MATCH(SMALL(Lines!$G$3:$G$1590,122),Lines!$G$3:$G$1590,0))&amp;" groups",IF(AND(ISNUMBER($J127),$J127&gt;0,$J127&lt;99),INDEX(Lines!$I$3:$I$1590,MATCH(SMALL(Lines!$G$3:$G$1590,122),Lines!$G$3:$G$1590,0)),""))</f>
        <v/>
      </c>
      <c r="I127" s="26"/>
      <c r="J127" s="22" t="str">
        <f aca="false">IFERROR(IF(MOD(SMALL(Lines!$G$3:$G$1590,122),100000)=0,-1,MOD(SMALL(Lines!$G$3:$G$1590,122),100)),"")</f>
        <v/>
      </c>
      <c r="K127" s="22" t="str">
        <f aca="false">IF($J127=0,INDEX(Lines!$L$3:$L$1590,MATCH(SMALL(Lines!$G$3:$G$1590,122),Lines!$G$3:$G$1590,0)),"")</f>
        <v/>
      </c>
    </row>
    <row r="128" customFormat="false" ht="15" hidden="false" customHeight="false" outlineLevel="0" collapsed="false">
      <c r="A128" s="24" t="str">
        <f aca="false">IF(OR($J128=0,AND(ISNUMBER($J128),$J128&gt;0,$J128&lt;99)),INDEX(Lines!$A$3:$A$1590,MATCH(SMALL(Lines!$G$3:$G$1590,123),Lines!$G$3:$G$1590,0)),"")</f>
        <v/>
      </c>
      <c r="B128" s="24" t="str">
        <f aca="false">IF($J128=-1,INDEX(Lines!$J$3:$J$1590,MATCH(SMALL(Lines!$G$3:$G$1590,123),Lines!$G$3:$G$1590,0)),IF($J128=0,INDEX(Lines!$L$3:$L$1590,MATCH(SMALL(Lines!$G$3:$G$1590,123),Lines!$G$3:$G$1590,0)),IF(AND(ISNUMBER($J128),$J128&gt;0,$J128&lt;99),INDEX(Lines!$N$3:$N$1590,MATCH(SMALL(Lines!$G$3:$G$1590,123),Lines!$G$3:$G$1590,0)),"")))</f>
        <v/>
      </c>
      <c r="C128" s="25" t="str">
        <f aca="false">IF($J128=0,INDEX(Lines!$K$3:$K$1590,MATCH(SMALL(Lines!$G$3:$G$1590,123),Lines!$G$3:$G$1590,0)),IF(AND(ISNUMBER($J128),$J128&gt;0,$J128&lt;99),INDEX(Lines!$C$3:$C$1590,MATCH(SMALL(Lines!$G$3:$G$1590,123),Lines!$G$3:$G$1590,0)),""))</f>
        <v/>
      </c>
      <c r="D128" s="26" t="str">
        <f aca="false">IF(AND(ISNUMBER($J128),$J128&gt;0,$J128&lt;99),INDEX(Lines!$D$3:$D$1590,MATCH(SMALL(Lines!$G$3:$G$1590,123),Lines!$G$3:$G$1590,0)),"")</f>
        <v/>
      </c>
      <c r="E128" s="26" t="str">
        <f aca="false">IF(AND(ISNUMBER($J128),$J128&gt;0,$J128&lt;99),INDEX(Lines!$E$3:$E$1590,MATCH(SMALL(Lines!$G$3:$G$1590,123),Lines!$G$3:$G$1590,0)),"")</f>
        <v/>
      </c>
      <c r="F128" s="26" t="str">
        <f aca="false">IF(AND(ISNUMBER($J128),$J128&gt;0,$J128&lt;99),INDEX(Lines!$O$3:$O$1590,MATCH(SMALL(Lines!$G$3:$G$1590,123),Lines!$G$3:$G$1590,0)),"")</f>
        <v/>
      </c>
      <c r="G128" s="27" t="str">
        <f aca="false">IF($J128=0,INDEX(Lines!$Q$3:$Q$1590,MATCH(SMALL(Lines!$G$3:$G$1590,123),Lines!$G$3:$G$1590,0)),IF(AND(ISNUMBER($J128),$J128&gt;0,$J128&lt;99),INDEX(Lines!$P$3:$P$1590,MATCH(SMALL(Lines!$G$3:$G$1590,123),Lines!$G$3:$G$1590,0)),""))</f>
        <v/>
      </c>
      <c r="H128" s="28" t="str">
        <f aca="false">IF($J128=0,INDEX(Lines!$H$3:$H$1590,MATCH(SMALL(Lines!$G$3:$G$1590,123),Lines!$G$3:$G$1590,0))&amp;" groups",IF(AND(ISNUMBER($J128),$J128&gt;0,$J128&lt;99),INDEX(Lines!$I$3:$I$1590,MATCH(SMALL(Lines!$G$3:$G$1590,123),Lines!$G$3:$G$1590,0)),""))</f>
        <v/>
      </c>
      <c r="I128" s="26"/>
      <c r="J128" s="22" t="str">
        <f aca="false">IFERROR(IF(MOD(SMALL(Lines!$G$3:$G$1590,123),100000)=0,-1,MOD(SMALL(Lines!$G$3:$G$1590,123),100)),"")</f>
        <v/>
      </c>
      <c r="K128" s="22" t="str">
        <f aca="false">IF($J128=0,INDEX(Lines!$L$3:$L$1590,MATCH(SMALL(Lines!$G$3:$G$1590,123),Lines!$G$3:$G$1590,0)),"")</f>
        <v/>
      </c>
    </row>
    <row r="129" customFormat="false" ht="15" hidden="false" customHeight="false" outlineLevel="0" collapsed="false">
      <c r="A129" s="24" t="str">
        <f aca="false">IF(OR($J129=0,AND(ISNUMBER($J129),$J129&gt;0,$J129&lt;99)),INDEX(Lines!$A$3:$A$1590,MATCH(SMALL(Lines!$G$3:$G$1590,124),Lines!$G$3:$G$1590,0)),"")</f>
        <v/>
      </c>
      <c r="B129" s="24" t="str">
        <f aca="false">IF($J129=-1,INDEX(Lines!$J$3:$J$1590,MATCH(SMALL(Lines!$G$3:$G$1590,124),Lines!$G$3:$G$1590,0)),IF($J129=0,INDEX(Lines!$L$3:$L$1590,MATCH(SMALL(Lines!$G$3:$G$1590,124),Lines!$G$3:$G$1590,0)),IF(AND(ISNUMBER($J129),$J129&gt;0,$J129&lt;99),INDEX(Lines!$N$3:$N$1590,MATCH(SMALL(Lines!$G$3:$G$1590,124),Lines!$G$3:$G$1590,0)),"")))</f>
        <v/>
      </c>
      <c r="C129" s="25" t="str">
        <f aca="false">IF($J129=0,INDEX(Lines!$K$3:$K$1590,MATCH(SMALL(Lines!$G$3:$G$1590,124),Lines!$G$3:$G$1590,0)),IF(AND(ISNUMBER($J129),$J129&gt;0,$J129&lt;99),INDEX(Lines!$C$3:$C$1590,MATCH(SMALL(Lines!$G$3:$G$1590,124),Lines!$G$3:$G$1590,0)),""))</f>
        <v/>
      </c>
      <c r="D129" s="26" t="str">
        <f aca="false">IF(AND(ISNUMBER($J129),$J129&gt;0,$J129&lt;99),INDEX(Lines!$D$3:$D$1590,MATCH(SMALL(Lines!$G$3:$G$1590,124),Lines!$G$3:$G$1590,0)),"")</f>
        <v/>
      </c>
      <c r="E129" s="26" t="str">
        <f aca="false">IF(AND(ISNUMBER($J129),$J129&gt;0,$J129&lt;99),INDEX(Lines!$E$3:$E$1590,MATCH(SMALL(Lines!$G$3:$G$1590,124),Lines!$G$3:$G$1590,0)),"")</f>
        <v/>
      </c>
      <c r="F129" s="26" t="str">
        <f aca="false">IF(AND(ISNUMBER($J129),$J129&gt;0,$J129&lt;99),INDEX(Lines!$O$3:$O$1590,MATCH(SMALL(Lines!$G$3:$G$1590,124),Lines!$G$3:$G$1590,0)),"")</f>
        <v/>
      </c>
      <c r="G129" s="27" t="str">
        <f aca="false">IF($J129=0,INDEX(Lines!$Q$3:$Q$1590,MATCH(SMALL(Lines!$G$3:$G$1590,124),Lines!$G$3:$G$1590,0)),IF(AND(ISNUMBER($J129),$J129&gt;0,$J129&lt;99),INDEX(Lines!$P$3:$P$1590,MATCH(SMALL(Lines!$G$3:$G$1590,124),Lines!$G$3:$G$1590,0)),""))</f>
        <v/>
      </c>
      <c r="H129" s="28" t="str">
        <f aca="false">IF($J129=0,INDEX(Lines!$H$3:$H$1590,MATCH(SMALL(Lines!$G$3:$G$1590,124),Lines!$G$3:$G$1590,0))&amp;" groups",IF(AND(ISNUMBER($J129),$J129&gt;0,$J129&lt;99),INDEX(Lines!$I$3:$I$1590,MATCH(SMALL(Lines!$G$3:$G$1590,124),Lines!$G$3:$G$1590,0)),""))</f>
        <v/>
      </c>
      <c r="I129" s="26"/>
      <c r="J129" s="22" t="str">
        <f aca="false">IFERROR(IF(MOD(SMALL(Lines!$G$3:$G$1590,124),100000)=0,-1,MOD(SMALL(Lines!$G$3:$G$1590,124),100)),"")</f>
        <v/>
      </c>
      <c r="K129" s="22" t="str">
        <f aca="false">IF($J129=0,INDEX(Lines!$L$3:$L$1590,MATCH(SMALL(Lines!$G$3:$G$1590,124),Lines!$G$3:$G$1590,0)),"")</f>
        <v/>
      </c>
    </row>
    <row r="130" customFormat="false" ht="15" hidden="false" customHeight="false" outlineLevel="0" collapsed="false">
      <c r="A130" s="24" t="str">
        <f aca="false">IF(OR($J130=0,AND(ISNUMBER($J130),$J130&gt;0,$J130&lt;99)),INDEX(Lines!$A$3:$A$1590,MATCH(SMALL(Lines!$G$3:$G$1590,125),Lines!$G$3:$G$1590,0)),"")</f>
        <v/>
      </c>
      <c r="B130" s="24" t="str">
        <f aca="false">IF($J130=-1,INDEX(Lines!$J$3:$J$1590,MATCH(SMALL(Lines!$G$3:$G$1590,125),Lines!$G$3:$G$1590,0)),IF($J130=0,INDEX(Lines!$L$3:$L$1590,MATCH(SMALL(Lines!$G$3:$G$1590,125),Lines!$G$3:$G$1590,0)),IF(AND(ISNUMBER($J130),$J130&gt;0,$J130&lt;99),INDEX(Lines!$N$3:$N$1590,MATCH(SMALL(Lines!$G$3:$G$1590,125),Lines!$G$3:$G$1590,0)),"")))</f>
        <v/>
      </c>
      <c r="C130" s="25" t="str">
        <f aca="false">IF($J130=0,INDEX(Lines!$K$3:$K$1590,MATCH(SMALL(Lines!$G$3:$G$1590,125),Lines!$G$3:$G$1590,0)),IF(AND(ISNUMBER($J130),$J130&gt;0,$J130&lt;99),INDEX(Lines!$C$3:$C$1590,MATCH(SMALL(Lines!$G$3:$G$1590,125),Lines!$G$3:$G$1590,0)),""))</f>
        <v/>
      </c>
      <c r="D130" s="26" t="str">
        <f aca="false">IF(AND(ISNUMBER($J130),$J130&gt;0,$J130&lt;99),INDEX(Lines!$D$3:$D$1590,MATCH(SMALL(Lines!$G$3:$G$1590,125),Lines!$G$3:$G$1590,0)),"")</f>
        <v/>
      </c>
      <c r="E130" s="26" t="str">
        <f aca="false">IF(AND(ISNUMBER($J130),$J130&gt;0,$J130&lt;99),INDEX(Lines!$E$3:$E$1590,MATCH(SMALL(Lines!$G$3:$G$1590,125),Lines!$G$3:$G$1590,0)),"")</f>
        <v/>
      </c>
      <c r="F130" s="26" t="str">
        <f aca="false">IF(AND(ISNUMBER($J130),$J130&gt;0,$J130&lt;99),INDEX(Lines!$O$3:$O$1590,MATCH(SMALL(Lines!$G$3:$G$1590,125),Lines!$G$3:$G$1590,0)),"")</f>
        <v/>
      </c>
      <c r="G130" s="27" t="str">
        <f aca="false">IF($J130=0,INDEX(Lines!$Q$3:$Q$1590,MATCH(SMALL(Lines!$G$3:$G$1590,125),Lines!$G$3:$G$1590,0)),IF(AND(ISNUMBER($J130),$J130&gt;0,$J130&lt;99),INDEX(Lines!$P$3:$P$1590,MATCH(SMALL(Lines!$G$3:$G$1590,125),Lines!$G$3:$G$1590,0)),""))</f>
        <v/>
      </c>
      <c r="H130" s="28" t="str">
        <f aca="false">IF($J130=0,INDEX(Lines!$H$3:$H$1590,MATCH(SMALL(Lines!$G$3:$G$1590,125),Lines!$G$3:$G$1590,0))&amp;" groups",IF(AND(ISNUMBER($J130),$J130&gt;0,$J130&lt;99),INDEX(Lines!$I$3:$I$1590,MATCH(SMALL(Lines!$G$3:$G$1590,125),Lines!$G$3:$G$1590,0)),""))</f>
        <v/>
      </c>
      <c r="I130" s="26"/>
      <c r="J130" s="22" t="str">
        <f aca="false">IFERROR(IF(MOD(SMALL(Lines!$G$3:$G$1590,125),100000)=0,-1,MOD(SMALL(Lines!$G$3:$G$1590,125),100)),"")</f>
        <v/>
      </c>
      <c r="K130" s="22" t="str">
        <f aca="false">IF($J130=0,INDEX(Lines!$L$3:$L$1590,MATCH(SMALL(Lines!$G$3:$G$1590,125),Lines!$G$3:$G$1590,0)),"")</f>
        <v/>
      </c>
    </row>
    <row r="131" customFormat="false" ht="15" hidden="false" customHeight="false" outlineLevel="0" collapsed="false">
      <c r="A131" s="24" t="str">
        <f aca="false">IF(OR($J131=0,AND(ISNUMBER($J131),$J131&gt;0,$J131&lt;99)),INDEX(Lines!$A$3:$A$1590,MATCH(SMALL(Lines!$G$3:$G$1590,126),Lines!$G$3:$G$1590,0)),"")</f>
        <v/>
      </c>
      <c r="B131" s="24" t="str">
        <f aca="false">IF($J131=-1,INDEX(Lines!$J$3:$J$1590,MATCH(SMALL(Lines!$G$3:$G$1590,126),Lines!$G$3:$G$1590,0)),IF($J131=0,INDEX(Lines!$L$3:$L$1590,MATCH(SMALL(Lines!$G$3:$G$1590,126),Lines!$G$3:$G$1590,0)),IF(AND(ISNUMBER($J131),$J131&gt;0,$J131&lt;99),INDEX(Lines!$N$3:$N$1590,MATCH(SMALL(Lines!$G$3:$G$1590,126),Lines!$G$3:$G$1590,0)),"")))</f>
        <v/>
      </c>
      <c r="C131" s="25" t="str">
        <f aca="false">IF($J131=0,INDEX(Lines!$K$3:$K$1590,MATCH(SMALL(Lines!$G$3:$G$1590,126),Lines!$G$3:$G$1590,0)),IF(AND(ISNUMBER($J131),$J131&gt;0,$J131&lt;99),INDEX(Lines!$C$3:$C$1590,MATCH(SMALL(Lines!$G$3:$G$1590,126),Lines!$G$3:$G$1590,0)),""))</f>
        <v/>
      </c>
      <c r="D131" s="26" t="str">
        <f aca="false">IF(AND(ISNUMBER($J131),$J131&gt;0,$J131&lt;99),INDEX(Lines!$D$3:$D$1590,MATCH(SMALL(Lines!$G$3:$G$1590,126),Lines!$G$3:$G$1590,0)),"")</f>
        <v/>
      </c>
      <c r="E131" s="26" t="str">
        <f aca="false">IF(AND(ISNUMBER($J131),$J131&gt;0,$J131&lt;99),INDEX(Lines!$E$3:$E$1590,MATCH(SMALL(Lines!$G$3:$G$1590,126),Lines!$G$3:$G$1590,0)),"")</f>
        <v/>
      </c>
      <c r="F131" s="26" t="str">
        <f aca="false">IF(AND(ISNUMBER($J131),$J131&gt;0,$J131&lt;99),INDEX(Lines!$O$3:$O$1590,MATCH(SMALL(Lines!$G$3:$G$1590,126),Lines!$G$3:$G$1590,0)),"")</f>
        <v/>
      </c>
      <c r="G131" s="27" t="str">
        <f aca="false">IF($J131=0,INDEX(Lines!$Q$3:$Q$1590,MATCH(SMALL(Lines!$G$3:$G$1590,126),Lines!$G$3:$G$1590,0)),IF(AND(ISNUMBER($J131),$J131&gt;0,$J131&lt;99),INDEX(Lines!$P$3:$P$1590,MATCH(SMALL(Lines!$G$3:$G$1590,126),Lines!$G$3:$G$1590,0)),""))</f>
        <v/>
      </c>
      <c r="H131" s="28" t="str">
        <f aca="false">IF($J131=0,INDEX(Lines!$H$3:$H$1590,MATCH(SMALL(Lines!$G$3:$G$1590,126),Lines!$G$3:$G$1590,0))&amp;" groups",IF(AND(ISNUMBER($J131),$J131&gt;0,$J131&lt;99),INDEX(Lines!$I$3:$I$1590,MATCH(SMALL(Lines!$G$3:$G$1590,126),Lines!$G$3:$G$1590,0)),""))</f>
        <v/>
      </c>
      <c r="I131" s="26"/>
      <c r="J131" s="22" t="str">
        <f aca="false">IFERROR(IF(MOD(SMALL(Lines!$G$3:$G$1590,126),100000)=0,-1,MOD(SMALL(Lines!$G$3:$G$1590,126),100)),"")</f>
        <v/>
      </c>
      <c r="K131" s="22" t="str">
        <f aca="false">IF($J131=0,INDEX(Lines!$L$3:$L$1590,MATCH(SMALL(Lines!$G$3:$G$1590,126),Lines!$G$3:$G$1590,0)),"")</f>
        <v/>
      </c>
    </row>
    <row r="132" customFormat="false" ht="15" hidden="false" customHeight="false" outlineLevel="0" collapsed="false">
      <c r="A132" s="24" t="str">
        <f aca="false">IF(OR($J132=0,AND(ISNUMBER($J132),$J132&gt;0,$J132&lt;99)),INDEX(Lines!$A$3:$A$1590,MATCH(SMALL(Lines!$G$3:$G$1590,127),Lines!$G$3:$G$1590,0)),"")</f>
        <v/>
      </c>
      <c r="B132" s="24" t="str">
        <f aca="false">IF($J132=-1,INDEX(Lines!$J$3:$J$1590,MATCH(SMALL(Lines!$G$3:$G$1590,127),Lines!$G$3:$G$1590,0)),IF($J132=0,INDEX(Lines!$L$3:$L$1590,MATCH(SMALL(Lines!$G$3:$G$1590,127),Lines!$G$3:$G$1590,0)),IF(AND(ISNUMBER($J132),$J132&gt;0,$J132&lt;99),INDEX(Lines!$N$3:$N$1590,MATCH(SMALL(Lines!$G$3:$G$1590,127),Lines!$G$3:$G$1590,0)),"")))</f>
        <v/>
      </c>
      <c r="C132" s="25" t="str">
        <f aca="false">IF($J132=0,INDEX(Lines!$K$3:$K$1590,MATCH(SMALL(Lines!$G$3:$G$1590,127),Lines!$G$3:$G$1590,0)),IF(AND(ISNUMBER($J132),$J132&gt;0,$J132&lt;99),INDEX(Lines!$C$3:$C$1590,MATCH(SMALL(Lines!$G$3:$G$1590,127),Lines!$G$3:$G$1590,0)),""))</f>
        <v/>
      </c>
      <c r="D132" s="26" t="str">
        <f aca="false">IF(AND(ISNUMBER($J132),$J132&gt;0,$J132&lt;99),INDEX(Lines!$D$3:$D$1590,MATCH(SMALL(Lines!$G$3:$G$1590,127),Lines!$G$3:$G$1590,0)),"")</f>
        <v/>
      </c>
      <c r="E132" s="26" t="str">
        <f aca="false">IF(AND(ISNUMBER($J132),$J132&gt;0,$J132&lt;99),INDEX(Lines!$E$3:$E$1590,MATCH(SMALL(Lines!$G$3:$G$1590,127),Lines!$G$3:$G$1590,0)),"")</f>
        <v/>
      </c>
      <c r="F132" s="26" t="str">
        <f aca="false">IF(AND(ISNUMBER($J132),$J132&gt;0,$J132&lt;99),INDEX(Lines!$O$3:$O$1590,MATCH(SMALL(Lines!$G$3:$G$1590,127),Lines!$G$3:$G$1590,0)),"")</f>
        <v/>
      </c>
      <c r="G132" s="27" t="str">
        <f aca="false">IF($J132=0,INDEX(Lines!$Q$3:$Q$1590,MATCH(SMALL(Lines!$G$3:$G$1590,127),Lines!$G$3:$G$1590,0)),IF(AND(ISNUMBER($J132),$J132&gt;0,$J132&lt;99),INDEX(Lines!$P$3:$P$1590,MATCH(SMALL(Lines!$G$3:$G$1590,127),Lines!$G$3:$G$1590,0)),""))</f>
        <v/>
      </c>
      <c r="H132" s="28" t="str">
        <f aca="false">IF($J132=0,INDEX(Lines!$H$3:$H$1590,MATCH(SMALL(Lines!$G$3:$G$1590,127),Lines!$G$3:$G$1590,0))&amp;" groups",IF(AND(ISNUMBER($J132),$J132&gt;0,$J132&lt;99),INDEX(Lines!$I$3:$I$1590,MATCH(SMALL(Lines!$G$3:$G$1590,127),Lines!$G$3:$G$1590,0)),""))</f>
        <v/>
      </c>
      <c r="I132" s="26"/>
      <c r="J132" s="22" t="str">
        <f aca="false">IFERROR(IF(MOD(SMALL(Lines!$G$3:$G$1590,127),100000)=0,-1,MOD(SMALL(Lines!$G$3:$G$1590,127),100)),"")</f>
        <v/>
      </c>
      <c r="K132" s="22" t="str">
        <f aca="false">IF($J132=0,INDEX(Lines!$L$3:$L$1590,MATCH(SMALL(Lines!$G$3:$G$1590,127),Lines!$G$3:$G$1590,0)),"")</f>
        <v/>
      </c>
    </row>
    <row r="133" customFormat="false" ht="15" hidden="false" customHeight="false" outlineLevel="0" collapsed="false">
      <c r="A133" s="24" t="str">
        <f aca="false">IF(OR($J133=0,AND(ISNUMBER($J133),$J133&gt;0,$J133&lt;99)),INDEX(Lines!$A$3:$A$1590,MATCH(SMALL(Lines!$G$3:$G$1590,128),Lines!$G$3:$G$1590,0)),"")</f>
        <v/>
      </c>
      <c r="B133" s="24" t="str">
        <f aca="false">IF($J133=-1,INDEX(Lines!$J$3:$J$1590,MATCH(SMALL(Lines!$G$3:$G$1590,128),Lines!$G$3:$G$1590,0)),IF($J133=0,INDEX(Lines!$L$3:$L$1590,MATCH(SMALL(Lines!$G$3:$G$1590,128),Lines!$G$3:$G$1590,0)),IF(AND(ISNUMBER($J133),$J133&gt;0,$J133&lt;99),INDEX(Lines!$N$3:$N$1590,MATCH(SMALL(Lines!$G$3:$G$1590,128),Lines!$G$3:$G$1590,0)),"")))</f>
        <v/>
      </c>
      <c r="C133" s="25" t="str">
        <f aca="false">IF($J133=0,INDEX(Lines!$K$3:$K$1590,MATCH(SMALL(Lines!$G$3:$G$1590,128),Lines!$G$3:$G$1590,0)),IF(AND(ISNUMBER($J133),$J133&gt;0,$J133&lt;99),INDEX(Lines!$C$3:$C$1590,MATCH(SMALL(Lines!$G$3:$G$1590,128),Lines!$G$3:$G$1590,0)),""))</f>
        <v/>
      </c>
      <c r="D133" s="26" t="str">
        <f aca="false">IF(AND(ISNUMBER($J133),$J133&gt;0,$J133&lt;99),INDEX(Lines!$D$3:$D$1590,MATCH(SMALL(Lines!$G$3:$G$1590,128),Lines!$G$3:$G$1590,0)),"")</f>
        <v/>
      </c>
      <c r="E133" s="26" t="str">
        <f aca="false">IF(AND(ISNUMBER($J133),$J133&gt;0,$J133&lt;99),INDEX(Lines!$E$3:$E$1590,MATCH(SMALL(Lines!$G$3:$G$1590,128),Lines!$G$3:$G$1590,0)),"")</f>
        <v/>
      </c>
      <c r="F133" s="26" t="str">
        <f aca="false">IF(AND(ISNUMBER($J133),$J133&gt;0,$J133&lt;99),INDEX(Lines!$O$3:$O$1590,MATCH(SMALL(Lines!$G$3:$G$1590,128),Lines!$G$3:$G$1590,0)),"")</f>
        <v/>
      </c>
      <c r="G133" s="27" t="str">
        <f aca="false">IF($J133=0,INDEX(Lines!$Q$3:$Q$1590,MATCH(SMALL(Lines!$G$3:$G$1590,128),Lines!$G$3:$G$1590,0)),IF(AND(ISNUMBER($J133),$J133&gt;0,$J133&lt;99),INDEX(Lines!$P$3:$P$1590,MATCH(SMALL(Lines!$G$3:$G$1590,128),Lines!$G$3:$G$1590,0)),""))</f>
        <v/>
      </c>
      <c r="H133" s="28" t="str">
        <f aca="false">IF($J133=0,INDEX(Lines!$H$3:$H$1590,MATCH(SMALL(Lines!$G$3:$G$1590,128),Lines!$G$3:$G$1590,0))&amp;" groups",IF(AND(ISNUMBER($J133),$J133&gt;0,$J133&lt;99),INDEX(Lines!$I$3:$I$1590,MATCH(SMALL(Lines!$G$3:$G$1590,128),Lines!$G$3:$G$1590,0)),""))</f>
        <v/>
      </c>
      <c r="I133" s="26"/>
      <c r="J133" s="22" t="str">
        <f aca="false">IFERROR(IF(MOD(SMALL(Lines!$G$3:$G$1590,128),100000)=0,-1,MOD(SMALL(Lines!$G$3:$G$1590,128),100)),"")</f>
        <v/>
      </c>
      <c r="K133" s="22" t="str">
        <f aca="false">IF($J133=0,INDEX(Lines!$L$3:$L$1590,MATCH(SMALL(Lines!$G$3:$G$1590,128),Lines!$G$3:$G$1590,0)),"")</f>
        <v/>
      </c>
    </row>
    <row r="134" customFormat="false" ht="15" hidden="false" customHeight="false" outlineLevel="0" collapsed="false">
      <c r="A134" s="24" t="str">
        <f aca="false">IF(OR($J134=0,AND(ISNUMBER($J134),$J134&gt;0,$J134&lt;99)),INDEX(Lines!$A$3:$A$1590,MATCH(SMALL(Lines!$G$3:$G$1590,129),Lines!$G$3:$G$1590,0)),"")</f>
        <v/>
      </c>
      <c r="B134" s="24" t="str">
        <f aca="false">IF($J134=-1,INDEX(Lines!$J$3:$J$1590,MATCH(SMALL(Lines!$G$3:$G$1590,129),Lines!$G$3:$G$1590,0)),IF($J134=0,INDEX(Lines!$L$3:$L$1590,MATCH(SMALL(Lines!$G$3:$G$1590,129),Lines!$G$3:$G$1590,0)),IF(AND(ISNUMBER($J134),$J134&gt;0,$J134&lt;99),INDEX(Lines!$N$3:$N$1590,MATCH(SMALL(Lines!$G$3:$G$1590,129),Lines!$G$3:$G$1590,0)),"")))</f>
        <v/>
      </c>
      <c r="C134" s="25" t="str">
        <f aca="false">IF($J134=0,INDEX(Lines!$K$3:$K$1590,MATCH(SMALL(Lines!$G$3:$G$1590,129),Lines!$G$3:$G$1590,0)),IF(AND(ISNUMBER($J134),$J134&gt;0,$J134&lt;99),INDEX(Lines!$C$3:$C$1590,MATCH(SMALL(Lines!$G$3:$G$1590,129),Lines!$G$3:$G$1590,0)),""))</f>
        <v/>
      </c>
      <c r="D134" s="26" t="str">
        <f aca="false">IF(AND(ISNUMBER($J134),$J134&gt;0,$J134&lt;99),INDEX(Lines!$D$3:$D$1590,MATCH(SMALL(Lines!$G$3:$G$1590,129),Lines!$G$3:$G$1590,0)),"")</f>
        <v/>
      </c>
      <c r="E134" s="26" t="str">
        <f aca="false">IF(AND(ISNUMBER($J134),$J134&gt;0,$J134&lt;99),INDEX(Lines!$E$3:$E$1590,MATCH(SMALL(Lines!$G$3:$G$1590,129),Lines!$G$3:$G$1590,0)),"")</f>
        <v/>
      </c>
      <c r="F134" s="26" t="str">
        <f aca="false">IF(AND(ISNUMBER($J134),$J134&gt;0,$J134&lt;99),INDEX(Lines!$O$3:$O$1590,MATCH(SMALL(Lines!$G$3:$G$1590,129),Lines!$G$3:$G$1590,0)),"")</f>
        <v/>
      </c>
      <c r="G134" s="27" t="str">
        <f aca="false">IF($J134=0,INDEX(Lines!$Q$3:$Q$1590,MATCH(SMALL(Lines!$G$3:$G$1590,129),Lines!$G$3:$G$1590,0)),IF(AND(ISNUMBER($J134),$J134&gt;0,$J134&lt;99),INDEX(Lines!$P$3:$P$1590,MATCH(SMALL(Lines!$G$3:$G$1590,129),Lines!$G$3:$G$1590,0)),""))</f>
        <v/>
      </c>
      <c r="H134" s="28" t="str">
        <f aca="false">IF($J134=0,INDEX(Lines!$H$3:$H$1590,MATCH(SMALL(Lines!$G$3:$G$1590,129),Lines!$G$3:$G$1590,0))&amp;" groups",IF(AND(ISNUMBER($J134),$J134&gt;0,$J134&lt;99),INDEX(Lines!$I$3:$I$1590,MATCH(SMALL(Lines!$G$3:$G$1590,129),Lines!$G$3:$G$1590,0)),""))</f>
        <v/>
      </c>
      <c r="I134" s="26"/>
      <c r="J134" s="22" t="str">
        <f aca="false">IFERROR(IF(MOD(SMALL(Lines!$G$3:$G$1590,129),100000)=0,-1,MOD(SMALL(Lines!$G$3:$G$1590,129),100)),"")</f>
        <v/>
      </c>
      <c r="K134" s="22" t="str">
        <f aca="false">IF($J134=0,INDEX(Lines!$L$3:$L$1590,MATCH(SMALL(Lines!$G$3:$G$1590,129),Lines!$G$3:$G$1590,0)),"")</f>
        <v/>
      </c>
    </row>
    <row r="135" customFormat="false" ht="15" hidden="false" customHeight="false" outlineLevel="0" collapsed="false">
      <c r="A135" s="24" t="str">
        <f aca="false">IF(OR($J135=0,AND(ISNUMBER($J135),$J135&gt;0,$J135&lt;99)),INDEX(Lines!$A$3:$A$1590,MATCH(SMALL(Lines!$G$3:$G$1590,130),Lines!$G$3:$G$1590,0)),"")</f>
        <v/>
      </c>
      <c r="B135" s="24" t="str">
        <f aca="false">IF($J135=-1,INDEX(Lines!$J$3:$J$1590,MATCH(SMALL(Lines!$G$3:$G$1590,130),Lines!$G$3:$G$1590,0)),IF($J135=0,INDEX(Lines!$L$3:$L$1590,MATCH(SMALL(Lines!$G$3:$G$1590,130),Lines!$G$3:$G$1590,0)),IF(AND(ISNUMBER($J135),$J135&gt;0,$J135&lt;99),INDEX(Lines!$N$3:$N$1590,MATCH(SMALL(Lines!$G$3:$G$1590,130),Lines!$G$3:$G$1590,0)),"")))</f>
        <v/>
      </c>
      <c r="C135" s="25" t="str">
        <f aca="false">IF($J135=0,INDEX(Lines!$K$3:$K$1590,MATCH(SMALL(Lines!$G$3:$G$1590,130),Lines!$G$3:$G$1590,0)),IF(AND(ISNUMBER($J135),$J135&gt;0,$J135&lt;99),INDEX(Lines!$C$3:$C$1590,MATCH(SMALL(Lines!$G$3:$G$1590,130),Lines!$G$3:$G$1590,0)),""))</f>
        <v/>
      </c>
      <c r="D135" s="26" t="str">
        <f aca="false">IF(AND(ISNUMBER($J135),$J135&gt;0,$J135&lt;99),INDEX(Lines!$D$3:$D$1590,MATCH(SMALL(Lines!$G$3:$G$1590,130),Lines!$G$3:$G$1590,0)),"")</f>
        <v/>
      </c>
      <c r="E135" s="26" t="str">
        <f aca="false">IF(AND(ISNUMBER($J135),$J135&gt;0,$J135&lt;99),INDEX(Lines!$E$3:$E$1590,MATCH(SMALL(Lines!$G$3:$G$1590,130),Lines!$G$3:$G$1590,0)),"")</f>
        <v/>
      </c>
      <c r="F135" s="26" t="str">
        <f aca="false">IF(AND(ISNUMBER($J135),$J135&gt;0,$J135&lt;99),INDEX(Lines!$O$3:$O$1590,MATCH(SMALL(Lines!$G$3:$G$1590,130),Lines!$G$3:$G$1590,0)),"")</f>
        <v/>
      </c>
      <c r="G135" s="27" t="str">
        <f aca="false">IF($J135=0,INDEX(Lines!$Q$3:$Q$1590,MATCH(SMALL(Lines!$G$3:$G$1590,130),Lines!$G$3:$G$1590,0)),IF(AND(ISNUMBER($J135),$J135&gt;0,$J135&lt;99),INDEX(Lines!$P$3:$P$1590,MATCH(SMALL(Lines!$G$3:$G$1590,130),Lines!$G$3:$G$1590,0)),""))</f>
        <v/>
      </c>
      <c r="H135" s="28" t="str">
        <f aca="false">IF($J135=0,INDEX(Lines!$H$3:$H$1590,MATCH(SMALL(Lines!$G$3:$G$1590,130),Lines!$G$3:$G$1590,0))&amp;" groups",IF(AND(ISNUMBER($J135),$J135&gt;0,$J135&lt;99),INDEX(Lines!$I$3:$I$1590,MATCH(SMALL(Lines!$G$3:$G$1590,130),Lines!$G$3:$G$1590,0)),""))</f>
        <v/>
      </c>
      <c r="I135" s="26"/>
      <c r="J135" s="22" t="str">
        <f aca="false">IFERROR(IF(MOD(SMALL(Lines!$G$3:$G$1590,130),100000)=0,-1,MOD(SMALL(Lines!$G$3:$G$1590,130),100)),"")</f>
        <v/>
      </c>
      <c r="K135" s="22" t="str">
        <f aca="false">IF($J135=0,INDEX(Lines!$L$3:$L$1590,MATCH(SMALL(Lines!$G$3:$G$1590,130),Lines!$G$3:$G$1590,0)),"")</f>
        <v/>
      </c>
    </row>
    <row r="136" customFormat="false" ht="15" hidden="false" customHeight="false" outlineLevel="0" collapsed="false">
      <c r="A136" s="24" t="str">
        <f aca="false">IF(OR($J136=0,AND(ISNUMBER($J136),$J136&gt;0,$J136&lt;99)),INDEX(Lines!$A$3:$A$1590,MATCH(SMALL(Lines!$G$3:$G$1590,131),Lines!$G$3:$G$1590,0)),"")</f>
        <v/>
      </c>
      <c r="B136" s="24" t="str">
        <f aca="false">IF($J136=-1,INDEX(Lines!$J$3:$J$1590,MATCH(SMALL(Lines!$G$3:$G$1590,131),Lines!$G$3:$G$1590,0)),IF($J136=0,INDEX(Lines!$L$3:$L$1590,MATCH(SMALL(Lines!$G$3:$G$1590,131),Lines!$G$3:$G$1590,0)),IF(AND(ISNUMBER($J136),$J136&gt;0,$J136&lt;99),INDEX(Lines!$N$3:$N$1590,MATCH(SMALL(Lines!$G$3:$G$1590,131),Lines!$G$3:$G$1590,0)),"")))</f>
        <v/>
      </c>
      <c r="C136" s="25" t="str">
        <f aca="false">IF($J136=0,INDEX(Lines!$K$3:$K$1590,MATCH(SMALL(Lines!$G$3:$G$1590,131),Lines!$G$3:$G$1590,0)),IF(AND(ISNUMBER($J136),$J136&gt;0,$J136&lt;99),INDEX(Lines!$C$3:$C$1590,MATCH(SMALL(Lines!$G$3:$G$1590,131),Lines!$G$3:$G$1590,0)),""))</f>
        <v/>
      </c>
      <c r="D136" s="26" t="str">
        <f aca="false">IF(AND(ISNUMBER($J136),$J136&gt;0,$J136&lt;99),INDEX(Lines!$D$3:$D$1590,MATCH(SMALL(Lines!$G$3:$G$1590,131),Lines!$G$3:$G$1590,0)),"")</f>
        <v/>
      </c>
      <c r="E136" s="26" t="str">
        <f aca="false">IF(AND(ISNUMBER($J136),$J136&gt;0,$J136&lt;99),INDEX(Lines!$E$3:$E$1590,MATCH(SMALL(Lines!$G$3:$G$1590,131),Lines!$G$3:$G$1590,0)),"")</f>
        <v/>
      </c>
      <c r="F136" s="26" t="str">
        <f aca="false">IF(AND(ISNUMBER($J136),$J136&gt;0,$J136&lt;99),INDEX(Lines!$O$3:$O$1590,MATCH(SMALL(Lines!$G$3:$G$1590,131),Lines!$G$3:$G$1590,0)),"")</f>
        <v/>
      </c>
      <c r="G136" s="27" t="str">
        <f aca="false">IF($J136=0,INDEX(Lines!$Q$3:$Q$1590,MATCH(SMALL(Lines!$G$3:$G$1590,131),Lines!$G$3:$G$1590,0)),IF(AND(ISNUMBER($J136),$J136&gt;0,$J136&lt;99),INDEX(Lines!$P$3:$P$1590,MATCH(SMALL(Lines!$G$3:$G$1590,131),Lines!$G$3:$G$1590,0)),""))</f>
        <v/>
      </c>
      <c r="H136" s="28" t="str">
        <f aca="false">IF($J136=0,INDEX(Lines!$H$3:$H$1590,MATCH(SMALL(Lines!$G$3:$G$1590,131),Lines!$G$3:$G$1590,0))&amp;" groups",IF(AND(ISNUMBER($J136),$J136&gt;0,$J136&lt;99),INDEX(Lines!$I$3:$I$1590,MATCH(SMALL(Lines!$G$3:$G$1590,131),Lines!$G$3:$G$1590,0)),""))</f>
        <v/>
      </c>
      <c r="I136" s="26"/>
      <c r="J136" s="22" t="str">
        <f aca="false">IFERROR(IF(MOD(SMALL(Lines!$G$3:$G$1590,131),100000)=0,-1,MOD(SMALL(Lines!$G$3:$G$1590,131),100)),"")</f>
        <v/>
      </c>
      <c r="K136" s="22" t="str">
        <f aca="false">IF($J136=0,INDEX(Lines!$L$3:$L$1590,MATCH(SMALL(Lines!$G$3:$G$1590,131),Lines!$G$3:$G$1590,0)),"")</f>
        <v/>
      </c>
    </row>
    <row r="137" customFormat="false" ht="15" hidden="false" customHeight="false" outlineLevel="0" collapsed="false">
      <c r="A137" s="24" t="str">
        <f aca="false">IF(OR($J137=0,AND(ISNUMBER($J137),$J137&gt;0,$J137&lt;99)),INDEX(Lines!$A$3:$A$1590,MATCH(SMALL(Lines!$G$3:$G$1590,132),Lines!$G$3:$G$1590,0)),"")</f>
        <v/>
      </c>
      <c r="B137" s="24" t="str">
        <f aca="false">IF($J137=-1,INDEX(Lines!$J$3:$J$1590,MATCH(SMALL(Lines!$G$3:$G$1590,132),Lines!$G$3:$G$1590,0)),IF($J137=0,INDEX(Lines!$L$3:$L$1590,MATCH(SMALL(Lines!$G$3:$G$1590,132),Lines!$G$3:$G$1590,0)),IF(AND(ISNUMBER($J137),$J137&gt;0,$J137&lt;99),INDEX(Lines!$N$3:$N$1590,MATCH(SMALL(Lines!$G$3:$G$1590,132),Lines!$G$3:$G$1590,0)),"")))</f>
        <v/>
      </c>
      <c r="C137" s="25" t="str">
        <f aca="false">IF($J137=0,INDEX(Lines!$K$3:$K$1590,MATCH(SMALL(Lines!$G$3:$G$1590,132),Lines!$G$3:$G$1590,0)),IF(AND(ISNUMBER($J137),$J137&gt;0,$J137&lt;99),INDEX(Lines!$C$3:$C$1590,MATCH(SMALL(Lines!$G$3:$G$1590,132),Lines!$G$3:$G$1590,0)),""))</f>
        <v/>
      </c>
      <c r="D137" s="26" t="str">
        <f aca="false">IF(AND(ISNUMBER($J137),$J137&gt;0,$J137&lt;99),INDEX(Lines!$D$3:$D$1590,MATCH(SMALL(Lines!$G$3:$G$1590,132),Lines!$G$3:$G$1590,0)),"")</f>
        <v/>
      </c>
      <c r="E137" s="26" t="str">
        <f aca="false">IF(AND(ISNUMBER($J137),$J137&gt;0,$J137&lt;99),INDEX(Lines!$E$3:$E$1590,MATCH(SMALL(Lines!$G$3:$G$1590,132),Lines!$G$3:$G$1590,0)),"")</f>
        <v/>
      </c>
      <c r="F137" s="26" t="str">
        <f aca="false">IF(AND(ISNUMBER($J137),$J137&gt;0,$J137&lt;99),INDEX(Lines!$O$3:$O$1590,MATCH(SMALL(Lines!$G$3:$G$1590,132),Lines!$G$3:$G$1590,0)),"")</f>
        <v/>
      </c>
      <c r="G137" s="27" t="str">
        <f aca="false">IF($J137=0,INDEX(Lines!$Q$3:$Q$1590,MATCH(SMALL(Lines!$G$3:$G$1590,132),Lines!$G$3:$G$1590,0)),IF(AND(ISNUMBER($J137),$J137&gt;0,$J137&lt;99),INDEX(Lines!$P$3:$P$1590,MATCH(SMALL(Lines!$G$3:$G$1590,132),Lines!$G$3:$G$1590,0)),""))</f>
        <v/>
      </c>
      <c r="H137" s="28" t="str">
        <f aca="false">IF($J137=0,INDEX(Lines!$H$3:$H$1590,MATCH(SMALL(Lines!$G$3:$G$1590,132),Lines!$G$3:$G$1590,0))&amp;" groups",IF(AND(ISNUMBER($J137),$J137&gt;0,$J137&lt;99),INDEX(Lines!$I$3:$I$1590,MATCH(SMALL(Lines!$G$3:$G$1590,132),Lines!$G$3:$G$1590,0)),""))</f>
        <v/>
      </c>
      <c r="I137" s="26"/>
      <c r="J137" s="22" t="str">
        <f aca="false">IFERROR(IF(MOD(SMALL(Lines!$G$3:$G$1590,132),100000)=0,-1,MOD(SMALL(Lines!$G$3:$G$1590,132),100)),"")</f>
        <v/>
      </c>
      <c r="K137" s="22" t="str">
        <f aca="false">IF($J137=0,INDEX(Lines!$L$3:$L$1590,MATCH(SMALL(Lines!$G$3:$G$1590,132),Lines!$G$3:$G$1590,0)),"")</f>
        <v/>
      </c>
    </row>
    <row r="138" customFormat="false" ht="15" hidden="false" customHeight="false" outlineLevel="0" collapsed="false">
      <c r="A138" s="24" t="str">
        <f aca="false">IF(OR($J138=0,AND(ISNUMBER($J138),$J138&gt;0,$J138&lt;99)),INDEX(Lines!$A$3:$A$1590,MATCH(SMALL(Lines!$G$3:$G$1590,133),Lines!$G$3:$G$1590,0)),"")</f>
        <v/>
      </c>
      <c r="B138" s="24" t="str">
        <f aca="false">IF($J138=-1,INDEX(Lines!$J$3:$J$1590,MATCH(SMALL(Lines!$G$3:$G$1590,133),Lines!$G$3:$G$1590,0)),IF($J138=0,INDEX(Lines!$L$3:$L$1590,MATCH(SMALL(Lines!$G$3:$G$1590,133),Lines!$G$3:$G$1590,0)),IF(AND(ISNUMBER($J138),$J138&gt;0,$J138&lt;99),INDEX(Lines!$N$3:$N$1590,MATCH(SMALL(Lines!$G$3:$G$1590,133),Lines!$G$3:$G$1590,0)),"")))</f>
        <v/>
      </c>
      <c r="C138" s="25" t="str">
        <f aca="false">IF($J138=0,INDEX(Lines!$K$3:$K$1590,MATCH(SMALL(Lines!$G$3:$G$1590,133),Lines!$G$3:$G$1590,0)),IF(AND(ISNUMBER($J138),$J138&gt;0,$J138&lt;99),INDEX(Lines!$C$3:$C$1590,MATCH(SMALL(Lines!$G$3:$G$1590,133),Lines!$G$3:$G$1590,0)),""))</f>
        <v/>
      </c>
      <c r="D138" s="26" t="str">
        <f aca="false">IF(AND(ISNUMBER($J138),$J138&gt;0,$J138&lt;99),INDEX(Lines!$D$3:$D$1590,MATCH(SMALL(Lines!$G$3:$G$1590,133),Lines!$G$3:$G$1590,0)),"")</f>
        <v/>
      </c>
      <c r="E138" s="26" t="str">
        <f aca="false">IF(AND(ISNUMBER($J138),$J138&gt;0,$J138&lt;99),INDEX(Lines!$E$3:$E$1590,MATCH(SMALL(Lines!$G$3:$G$1590,133),Lines!$G$3:$G$1590,0)),"")</f>
        <v/>
      </c>
      <c r="F138" s="26" t="str">
        <f aca="false">IF(AND(ISNUMBER($J138),$J138&gt;0,$J138&lt;99),INDEX(Lines!$O$3:$O$1590,MATCH(SMALL(Lines!$G$3:$G$1590,133),Lines!$G$3:$G$1590,0)),"")</f>
        <v/>
      </c>
      <c r="G138" s="27" t="str">
        <f aca="false">IF($J138=0,INDEX(Lines!$Q$3:$Q$1590,MATCH(SMALL(Lines!$G$3:$G$1590,133),Lines!$G$3:$G$1590,0)),IF(AND(ISNUMBER($J138),$J138&gt;0,$J138&lt;99),INDEX(Lines!$P$3:$P$1590,MATCH(SMALL(Lines!$G$3:$G$1590,133),Lines!$G$3:$G$1590,0)),""))</f>
        <v/>
      </c>
      <c r="H138" s="28" t="str">
        <f aca="false">IF($J138=0,INDEX(Lines!$H$3:$H$1590,MATCH(SMALL(Lines!$G$3:$G$1590,133),Lines!$G$3:$G$1590,0))&amp;" groups",IF(AND(ISNUMBER($J138),$J138&gt;0,$J138&lt;99),INDEX(Lines!$I$3:$I$1590,MATCH(SMALL(Lines!$G$3:$G$1590,133),Lines!$G$3:$G$1590,0)),""))</f>
        <v/>
      </c>
      <c r="I138" s="26"/>
      <c r="J138" s="22" t="str">
        <f aca="false">IFERROR(IF(MOD(SMALL(Lines!$G$3:$G$1590,133),100000)=0,-1,MOD(SMALL(Lines!$G$3:$G$1590,133),100)),"")</f>
        <v/>
      </c>
      <c r="K138" s="22" t="str">
        <f aca="false">IF($J138=0,INDEX(Lines!$L$3:$L$1590,MATCH(SMALL(Lines!$G$3:$G$1590,133),Lines!$G$3:$G$1590,0)),"")</f>
        <v/>
      </c>
    </row>
    <row r="139" customFormat="false" ht="15" hidden="false" customHeight="false" outlineLevel="0" collapsed="false">
      <c r="A139" s="24" t="str">
        <f aca="false">IF(OR($J139=0,AND(ISNUMBER($J139),$J139&gt;0,$J139&lt;99)),INDEX(Lines!$A$3:$A$1590,MATCH(SMALL(Lines!$G$3:$G$1590,134),Lines!$G$3:$G$1590,0)),"")</f>
        <v/>
      </c>
      <c r="B139" s="24" t="str">
        <f aca="false">IF($J139=-1,INDEX(Lines!$J$3:$J$1590,MATCH(SMALL(Lines!$G$3:$G$1590,134),Lines!$G$3:$G$1590,0)),IF($J139=0,INDEX(Lines!$L$3:$L$1590,MATCH(SMALL(Lines!$G$3:$G$1590,134),Lines!$G$3:$G$1590,0)),IF(AND(ISNUMBER($J139),$J139&gt;0,$J139&lt;99),INDEX(Lines!$N$3:$N$1590,MATCH(SMALL(Lines!$G$3:$G$1590,134),Lines!$G$3:$G$1590,0)),"")))</f>
        <v/>
      </c>
      <c r="C139" s="25" t="str">
        <f aca="false">IF($J139=0,INDEX(Lines!$K$3:$K$1590,MATCH(SMALL(Lines!$G$3:$G$1590,134),Lines!$G$3:$G$1590,0)),IF(AND(ISNUMBER($J139),$J139&gt;0,$J139&lt;99),INDEX(Lines!$C$3:$C$1590,MATCH(SMALL(Lines!$G$3:$G$1590,134),Lines!$G$3:$G$1590,0)),""))</f>
        <v/>
      </c>
      <c r="D139" s="26" t="str">
        <f aca="false">IF(AND(ISNUMBER($J139),$J139&gt;0,$J139&lt;99),INDEX(Lines!$D$3:$D$1590,MATCH(SMALL(Lines!$G$3:$G$1590,134),Lines!$G$3:$G$1590,0)),"")</f>
        <v/>
      </c>
      <c r="E139" s="26" t="str">
        <f aca="false">IF(AND(ISNUMBER($J139),$J139&gt;0,$J139&lt;99),INDEX(Lines!$E$3:$E$1590,MATCH(SMALL(Lines!$G$3:$G$1590,134),Lines!$G$3:$G$1590,0)),"")</f>
        <v/>
      </c>
      <c r="F139" s="26" t="str">
        <f aca="false">IF(AND(ISNUMBER($J139),$J139&gt;0,$J139&lt;99),INDEX(Lines!$O$3:$O$1590,MATCH(SMALL(Lines!$G$3:$G$1590,134),Lines!$G$3:$G$1590,0)),"")</f>
        <v/>
      </c>
      <c r="G139" s="27" t="str">
        <f aca="false">IF($J139=0,INDEX(Lines!$Q$3:$Q$1590,MATCH(SMALL(Lines!$G$3:$G$1590,134),Lines!$G$3:$G$1590,0)),IF(AND(ISNUMBER($J139),$J139&gt;0,$J139&lt;99),INDEX(Lines!$P$3:$P$1590,MATCH(SMALL(Lines!$G$3:$G$1590,134),Lines!$G$3:$G$1590,0)),""))</f>
        <v/>
      </c>
      <c r="H139" s="28" t="str">
        <f aca="false">IF($J139=0,INDEX(Lines!$H$3:$H$1590,MATCH(SMALL(Lines!$G$3:$G$1590,134),Lines!$G$3:$G$1590,0))&amp;" groups",IF(AND(ISNUMBER($J139),$J139&gt;0,$J139&lt;99),INDEX(Lines!$I$3:$I$1590,MATCH(SMALL(Lines!$G$3:$G$1590,134),Lines!$G$3:$G$1590,0)),""))</f>
        <v/>
      </c>
      <c r="I139" s="26"/>
      <c r="J139" s="22" t="str">
        <f aca="false">IFERROR(IF(MOD(SMALL(Lines!$G$3:$G$1590,134),100000)=0,-1,MOD(SMALL(Lines!$G$3:$G$1590,134),100)),"")</f>
        <v/>
      </c>
      <c r="K139" s="22" t="str">
        <f aca="false">IF($J139=0,INDEX(Lines!$L$3:$L$1590,MATCH(SMALL(Lines!$G$3:$G$1590,134),Lines!$G$3:$G$1590,0)),"")</f>
        <v/>
      </c>
    </row>
    <row r="140" customFormat="false" ht="15" hidden="false" customHeight="false" outlineLevel="0" collapsed="false">
      <c r="A140" s="24" t="str">
        <f aca="false">IF(OR($J140=0,AND(ISNUMBER($J140),$J140&gt;0,$J140&lt;99)),INDEX(Lines!$A$3:$A$1590,MATCH(SMALL(Lines!$G$3:$G$1590,135),Lines!$G$3:$G$1590,0)),"")</f>
        <v/>
      </c>
      <c r="B140" s="24" t="str">
        <f aca="false">IF($J140=-1,INDEX(Lines!$J$3:$J$1590,MATCH(SMALL(Lines!$G$3:$G$1590,135),Lines!$G$3:$G$1590,0)),IF($J140=0,INDEX(Lines!$L$3:$L$1590,MATCH(SMALL(Lines!$G$3:$G$1590,135),Lines!$G$3:$G$1590,0)),IF(AND(ISNUMBER($J140),$J140&gt;0,$J140&lt;99),INDEX(Lines!$N$3:$N$1590,MATCH(SMALL(Lines!$G$3:$G$1590,135),Lines!$G$3:$G$1590,0)),"")))</f>
        <v/>
      </c>
      <c r="C140" s="25" t="str">
        <f aca="false">IF($J140=0,INDEX(Lines!$K$3:$K$1590,MATCH(SMALL(Lines!$G$3:$G$1590,135),Lines!$G$3:$G$1590,0)),IF(AND(ISNUMBER($J140),$J140&gt;0,$J140&lt;99),INDEX(Lines!$C$3:$C$1590,MATCH(SMALL(Lines!$G$3:$G$1590,135),Lines!$G$3:$G$1590,0)),""))</f>
        <v/>
      </c>
      <c r="D140" s="26" t="str">
        <f aca="false">IF(AND(ISNUMBER($J140),$J140&gt;0,$J140&lt;99),INDEX(Lines!$D$3:$D$1590,MATCH(SMALL(Lines!$G$3:$G$1590,135),Lines!$G$3:$G$1590,0)),"")</f>
        <v/>
      </c>
      <c r="E140" s="26" t="str">
        <f aca="false">IF(AND(ISNUMBER($J140),$J140&gt;0,$J140&lt;99),INDEX(Lines!$E$3:$E$1590,MATCH(SMALL(Lines!$G$3:$G$1590,135),Lines!$G$3:$G$1590,0)),"")</f>
        <v/>
      </c>
      <c r="F140" s="26" t="str">
        <f aca="false">IF(AND(ISNUMBER($J140),$J140&gt;0,$J140&lt;99),INDEX(Lines!$O$3:$O$1590,MATCH(SMALL(Lines!$G$3:$G$1590,135),Lines!$G$3:$G$1590,0)),"")</f>
        <v/>
      </c>
      <c r="G140" s="27" t="str">
        <f aca="false">IF($J140=0,INDEX(Lines!$Q$3:$Q$1590,MATCH(SMALL(Lines!$G$3:$G$1590,135),Lines!$G$3:$G$1590,0)),IF(AND(ISNUMBER($J140),$J140&gt;0,$J140&lt;99),INDEX(Lines!$P$3:$P$1590,MATCH(SMALL(Lines!$G$3:$G$1590,135),Lines!$G$3:$G$1590,0)),""))</f>
        <v/>
      </c>
      <c r="H140" s="28" t="str">
        <f aca="false">IF($J140=0,INDEX(Lines!$H$3:$H$1590,MATCH(SMALL(Lines!$G$3:$G$1590,135),Lines!$G$3:$G$1590,0))&amp;" groups",IF(AND(ISNUMBER($J140),$J140&gt;0,$J140&lt;99),INDEX(Lines!$I$3:$I$1590,MATCH(SMALL(Lines!$G$3:$G$1590,135),Lines!$G$3:$G$1590,0)),""))</f>
        <v/>
      </c>
      <c r="I140" s="26"/>
      <c r="J140" s="22" t="str">
        <f aca="false">IFERROR(IF(MOD(SMALL(Lines!$G$3:$G$1590,135),100000)=0,-1,MOD(SMALL(Lines!$G$3:$G$1590,135),100)),"")</f>
        <v/>
      </c>
      <c r="K140" s="22" t="str">
        <f aca="false">IF($J140=0,INDEX(Lines!$L$3:$L$1590,MATCH(SMALL(Lines!$G$3:$G$1590,135),Lines!$G$3:$G$1590,0)),"")</f>
        <v/>
      </c>
    </row>
    <row r="141" customFormat="false" ht="15" hidden="false" customHeight="false" outlineLevel="0" collapsed="false">
      <c r="A141" s="24" t="str">
        <f aca="false">IF(OR($J141=0,AND(ISNUMBER($J141),$J141&gt;0,$J141&lt;99)),INDEX(Lines!$A$3:$A$1590,MATCH(SMALL(Lines!$G$3:$G$1590,136),Lines!$G$3:$G$1590,0)),"")</f>
        <v/>
      </c>
      <c r="B141" s="24" t="str">
        <f aca="false">IF($J141=-1,INDEX(Lines!$J$3:$J$1590,MATCH(SMALL(Lines!$G$3:$G$1590,136),Lines!$G$3:$G$1590,0)),IF($J141=0,INDEX(Lines!$L$3:$L$1590,MATCH(SMALL(Lines!$G$3:$G$1590,136),Lines!$G$3:$G$1590,0)),IF(AND(ISNUMBER($J141),$J141&gt;0,$J141&lt;99),INDEX(Lines!$N$3:$N$1590,MATCH(SMALL(Lines!$G$3:$G$1590,136),Lines!$G$3:$G$1590,0)),"")))</f>
        <v/>
      </c>
      <c r="C141" s="25" t="str">
        <f aca="false">IF($J141=0,INDEX(Lines!$K$3:$K$1590,MATCH(SMALL(Lines!$G$3:$G$1590,136),Lines!$G$3:$G$1590,0)),IF(AND(ISNUMBER($J141),$J141&gt;0,$J141&lt;99),INDEX(Lines!$C$3:$C$1590,MATCH(SMALL(Lines!$G$3:$G$1590,136),Lines!$G$3:$G$1590,0)),""))</f>
        <v/>
      </c>
      <c r="D141" s="26" t="str">
        <f aca="false">IF(AND(ISNUMBER($J141),$J141&gt;0,$J141&lt;99),INDEX(Lines!$D$3:$D$1590,MATCH(SMALL(Lines!$G$3:$G$1590,136),Lines!$G$3:$G$1590,0)),"")</f>
        <v/>
      </c>
      <c r="E141" s="26" t="str">
        <f aca="false">IF(AND(ISNUMBER($J141),$J141&gt;0,$J141&lt;99),INDEX(Lines!$E$3:$E$1590,MATCH(SMALL(Lines!$G$3:$G$1590,136),Lines!$G$3:$G$1590,0)),"")</f>
        <v/>
      </c>
      <c r="F141" s="26" t="str">
        <f aca="false">IF(AND(ISNUMBER($J141),$J141&gt;0,$J141&lt;99),INDEX(Lines!$O$3:$O$1590,MATCH(SMALL(Lines!$G$3:$G$1590,136),Lines!$G$3:$G$1590,0)),"")</f>
        <v/>
      </c>
      <c r="G141" s="27" t="str">
        <f aca="false">IF($J141=0,INDEX(Lines!$Q$3:$Q$1590,MATCH(SMALL(Lines!$G$3:$G$1590,136),Lines!$G$3:$G$1590,0)),IF(AND(ISNUMBER($J141),$J141&gt;0,$J141&lt;99),INDEX(Lines!$P$3:$P$1590,MATCH(SMALL(Lines!$G$3:$G$1590,136),Lines!$G$3:$G$1590,0)),""))</f>
        <v/>
      </c>
      <c r="H141" s="28" t="str">
        <f aca="false">IF($J141=0,INDEX(Lines!$H$3:$H$1590,MATCH(SMALL(Lines!$G$3:$G$1590,136),Lines!$G$3:$G$1590,0))&amp;" groups",IF(AND(ISNUMBER($J141),$J141&gt;0,$J141&lt;99),INDEX(Lines!$I$3:$I$1590,MATCH(SMALL(Lines!$G$3:$G$1590,136),Lines!$G$3:$G$1590,0)),""))</f>
        <v/>
      </c>
      <c r="I141" s="26"/>
      <c r="J141" s="22" t="str">
        <f aca="false">IFERROR(IF(MOD(SMALL(Lines!$G$3:$G$1590,136),100000)=0,-1,MOD(SMALL(Lines!$G$3:$G$1590,136),100)),"")</f>
        <v/>
      </c>
      <c r="K141" s="22" t="str">
        <f aca="false">IF($J141=0,INDEX(Lines!$L$3:$L$1590,MATCH(SMALL(Lines!$G$3:$G$1590,136),Lines!$G$3:$G$1590,0)),"")</f>
        <v/>
      </c>
    </row>
    <row r="142" customFormat="false" ht="15" hidden="false" customHeight="false" outlineLevel="0" collapsed="false">
      <c r="A142" s="24" t="str">
        <f aca="false">IF(OR($J142=0,AND(ISNUMBER($J142),$J142&gt;0,$J142&lt;99)),INDEX(Lines!$A$3:$A$1590,MATCH(SMALL(Lines!$G$3:$G$1590,137),Lines!$G$3:$G$1590,0)),"")</f>
        <v/>
      </c>
      <c r="B142" s="24" t="str">
        <f aca="false">IF($J142=-1,INDEX(Lines!$J$3:$J$1590,MATCH(SMALL(Lines!$G$3:$G$1590,137),Lines!$G$3:$G$1590,0)),IF($J142=0,INDEX(Lines!$L$3:$L$1590,MATCH(SMALL(Lines!$G$3:$G$1590,137),Lines!$G$3:$G$1590,0)),IF(AND(ISNUMBER($J142),$J142&gt;0,$J142&lt;99),INDEX(Lines!$N$3:$N$1590,MATCH(SMALL(Lines!$G$3:$G$1590,137),Lines!$G$3:$G$1590,0)),"")))</f>
        <v/>
      </c>
      <c r="C142" s="25" t="str">
        <f aca="false">IF($J142=0,INDEX(Lines!$K$3:$K$1590,MATCH(SMALL(Lines!$G$3:$G$1590,137),Lines!$G$3:$G$1590,0)),IF(AND(ISNUMBER($J142),$J142&gt;0,$J142&lt;99),INDEX(Lines!$C$3:$C$1590,MATCH(SMALL(Lines!$G$3:$G$1590,137),Lines!$G$3:$G$1590,0)),""))</f>
        <v/>
      </c>
      <c r="D142" s="26" t="str">
        <f aca="false">IF(AND(ISNUMBER($J142),$J142&gt;0,$J142&lt;99),INDEX(Lines!$D$3:$D$1590,MATCH(SMALL(Lines!$G$3:$G$1590,137),Lines!$G$3:$G$1590,0)),"")</f>
        <v/>
      </c>
      <c r="E142" s="26" t="str">
        <f aca="false">IF(AND(ISNUMBER($J142),$J142&gt;0,$J142&lt;99),INDEX(Lines!$E$3:$E$1590,MATCH(SMALL(Lines!$G$3:$G$1590,137),Lines!$G$3:$G$1590,0)),"")</f>
        <v/>
      </c>
      <c r="F142" s="26" t="str">
        <f aca="false">IF(AND(ISNUMBER($J142),$J142&gt;0,$J142&lt;99),INDEX(Lines!$O$3:$O$1590,MATCH(SMALL(Lines!$G$3:$G$1590,137),Lines!$G$3:$G$1590,0)),"")</f>
        <v/>
      </c>
      <c r="G142" s="27" t="str">
        <f aca="false">IF($J142=0,INDEX(Lines!$Q$3:$Q$1590,MATCH(SMALL(Lines!$G$3:$G$1590,137),Lines!$G$3:$G$1590,0)),IF(AND(ISNUMBER($J142),$J142&gt;0,$J142&lt;99),INDEX(Lines!$P$3:$P$1590,MATCH(SMALL(Lines!$G$3:$G$1590,137),Lines!$G$3:$G$1590,0)),""))</f>
        <v/>
      </c>
      <c r="H142" s="28" t="str">
        <f aca="false">IF($J142=0,INDEX(Lines!$H$3:$H$1590,MATCH(SMALL(Lines!$G$3:$G$1590,137),Lines!$G$3:$G$1590,0))&amp;" groups",IF(AND(ISNUMBER($J142),$J142&gt;0,$J142&lt;99),INDEX(Lines!$I$3:$I$1590,MATCH(SMALL(Lines!$G$3:$G$1590,137),Lines!$G$3:$G$1590,0)),""))</f>
        <v/>
      </c>
      <c r="I142" s="26"/>
      <c r="J142" s="22" t="str">
        <f aca="false">IFERROR(IF(MOD(SMALL(Lines!$G$3:$G$1590,137),100000)=0,-1,MOD(SMALL(Lines!$G$3:$G$1590,137),100)),"")</f>
        <v/>
      </c>
      <c r="K142" s="22" t="str">
        <f aca="false">IF($J142=0,INDEX(Lines!$L$3:$L$1590,MATCH(SMALL(Lines!$G$3:$G$1590,137),Lines!$G$3:$G$1590,0)),"")</f>
        <v/>
      </c>
    </row>
    <row r="143" customFormat="false" ht="15" hidden="false" customHeight="false" outlineLevel="0" collapsed="false">
      <c r="A143" s="24" t="str">
        <f aca="false">IF(OR($J143=0,AND(ISNUMBER($J143),$J143&gt;0,$J143&lt;99)),INDEX(Lines!$A$3:$A$1590,MATCH(SMALL(Lines!$G$3:$G$1590,138),Lines!$G$3:$G$1590,0)),"")</f>
        <v/>
      </c>
      <c r="B143" s="24" t="str">
        <f aca="false">IF($J143=-1,INDEX(Lines!$J$3:$J$1590,MATCH(SMALL(Lines!$G$3:$G$1590,138),Lines!$G$3:$G$1590,0)),IF($J143=0,INDEX(Lines!$L$3:$L$1590,MATCH(SMALL(Lines!$G$3:$G$1590,138),Lines!$G$3:$G$1590,0)),IF(AND(ISNUMBER($J143),$J143&gt;0,$J143&lt;99),INDEX(Lines!$N$3:$N$1590,MATCH(SMALL(Lines!$G$3:$G$1590,138),Lines!$G$3:$G$1590,0)),"")))</f>
        <v/>
      </c>
      <c r="C143" s="25" t="str">
        <f aca="false">IF($J143=0,INDEX(Lines!$K$3:$K$1590,MATCH(SMALL(Lines!$G$3:$G$1590,138),Lines!$G$3:$G$1590,0)),IF(AND(ISNUMBER($J143),$J143&gt;0,$J143&lt;99),INDEX(Lines!$C$3:$C$1590,MATCH(SMALL(Lines!$G$3:$G$1590,138),Lines!$G$3:$G$1590,0)),""))</f>
        <v/>
      </c>
      <c r="D143" s="26" t="str">
        <f aca="false">IF(AND(ISNUMBER($J143),$J143&gt;0,$J143&lt;99),INDEX(Lines!$D$3:$D$1590,MATCH(SMALL(Lines!$G$3:$G$1590,138),Lines!$G$3:$G$1590,0)),"")</f>
        <v/>
      </c>
      <c r="E143" s="26" t="str">
        <f aca="false">IF(AND(ISNUMBER($J143),$J143&gt;0,$J143&lt;99),INDEX(Lines!$E$3:$E$1590,MATCH(SMALL(Lines!$G$3:$G$1590,138),Lines!$G$3:$G$1590,0)),"")</f>
        <v/>
      </c>
      <c r="F143" s="26" t="str">
        <f aca="false">IF(AND(ISNUMBER($J143),$J143&gt;0,$J143&lt;99),INDEX(Lines!$O$3:$O$1590,MATCH(SMALL(Lines!$G$3:$G$1590,138),Lines!$G$3:$G$1590,0)),"")</f>
        <v/>
      </c>
      <c r="G143" s="27" t="str">
        <f aca="false">IF($J143=0,INDEX(Lines!$Q$3:$Q$1590,MATCH(SMALL(Lines!$G$3:$G$1590,138),Lines!$G$3:$G$1590,0)),IF(AND(ISNUMBER($J143),$J143&gt;0,$J143&lt;99),INDEX(Lines!$P$3:$P$1590,MATCH(SMALL(Lines!$G$3:$G$1590,138),Lines!$G$3:$G$1590,0)),""))</f>
        <v/>
      </c>
      <c r="H143" s="28" t="str">
        <f aca="false">IF($J143=0,INDEX(Lines!$H$3:$H$1590,MATCH(SMALL(Lines!$G$3:$G$1590,138),Lines!$G$3:$G$1590,0))&amp;" groups",IF(AND(ISNUMBER($J143),$J143&gt;0,$J143&lt;99),INDEX(Lines!$I$3:$I$1590,MATCH(SMALL(Lines!$G$3:$G$1590,138),Lines!$G$3:$G$1590,0)),""))</f>
        <v/>
      </c>
      <c r="I143" s="26"/>
      <c r="J143" s="22" t="str">
        <f aca="false">IFERROR(IF(MOD(SMALL(Lines!$G$3:$G$1590,138),100000)=0,-1,MOD(SMALL(Lines!$G$3:$G$1590,138),100)),"")</f>
        <v/>
      </c>
      <c r="K143" s="22" t="str">
        <f aca="false">IF($J143=0,INDEX(Lines!$L$3:$L$1590,MATCH(SMALL(Lines!$G$3:$G$1590,138),Lines!$G$3:$G$1590,0)),"")</f>
        <v/>
      </c>
    </row>
    <row r="144" customFormat="false" ht="15" hidden="false" customHeight="false" outlineLevel="0" collapsed="false">
      <c r="A144" s="24" t="str">
        <f aca="false">IF(OR($J144=0,AND(ISNUMBER($J144),$J144&gt;0,$J144&lt;99)),INDEX(Lines!$A$3:$A$1590,MATCH(SMALL(Lines!$G$3:$G$1590,139),Lines!$G$3:$G$1590,0)),"")</f>
        <v/>
      </c>
      <c r="B144" s="24" t="str">
        <f aca="false">IF($J144=-1,INDEX(Lines!$J$3:$J$1590,MATCH(SMALL(Lines!$G$3:$G$1590,139),Lines!$G$3:$G$1590,0)),IF($J144=0,INDEX(Lines!$L$3:$L$1590,MATCH(SMALL(Lines!$G$3:$G$1590,139),Lines!$G$3:$G$1590,0)),IF(AND(ISNUMBER($J144),$J144&gt;0,$J144&lt;99),INDEX(Lines!$N$3:$N$1590,MATCH(SMALL(Lines!$G$3:$G$1590,139),Lines!$G$3:$G$1590,0)),"")))</f>
        <v/>
      </c>
      <c r="C144" s="25" t="str">
        <f aca="false">IF($J144=0,INDEX(Lines!$K$3:$K$1590,MATCH(SMALL(Lines!$G$3:$G$1590,139),Lines!$G$3:$G$1590,0)),IF(AND(ISNUMBER($J144),$J144&gt;0,$J144&lt;99),INDEX(Lines!$C$3:$C$1590,MATCH(SMALL(Lines!$G$3:$G$1590,139),Lines!$G$3:$G$1590,0)),""))</f>
        <v/>
      </c>
      <c r="D144" s="26" t="str">
        <f aca="false">IF(AND(ISNUMBER($J144),$J144&gt;0,$J144&lt;99),INDEX(Lines!$D$3:$D$1590,MATCH(SMALL(Lines!$G$3:$G$1590,139),Lines!$G$3:$G$1590,0)),"")</f>
        <v/>
      </c>
      <c r="E144" s="26" t="str">
        <f aca="false">IF(AND(ISNUMBER($J144),$J144&gt;0,$J144&lt;99),INDEX(Lines!$E$3:$E$1590,MATCH(SMALL(Lines!$G$3:$G$1590,139),Lines!$G$3:$G$1590,0)),"")</f>
        <v/>
      </c>
      <c r="F144" s="26" t="str">
        <f aca="false">IF(AND(ISNUMBER($J144),$J144&gt;0,$J144&lt;99),INDEX(Lines!$O$3:$O$1590,MATCH(SMALL(Lines!$G$3:$G$1590,139),Lines!$G$3:$G$1590,0)),"")</f>
        <v/>
      </c>
      <c r="G144" s="27" t="str">
        <f aca="false">IF($J144=0,INDEX(Lines!$Q$3:$Q$1590,MATCH(SMALL(Lines!$G$3:$G$1590,139),Lines!$G$3:$G$1590,0)),IF(AND(ISNUMBER($J144),$J144&gt;0,$J144&lt;99),INDEX(Lines!$P$3:$P$1590,MATCH(SMALL(Lines!$G$3:$G$1590,139),Lines!$G$3:$G$1590,0)),""))</f>
        <v/>
      </c>
      <c r="H144" s="28" t="str">
        <f aca="false">IF($J144=0,INDEX(Lines!$H$3:$H$1590,MATCH(SMALL(Lines!$G$3:$G$1590,139),Lines!$G$3:$G$1590,0))&amp;" groups",IF(AND(ISNUMBER($J144),$J144&gt;0,$J144&lt;99),INDEX(Lines!$I$3:$I$1590,MATCH(SMALL(Lines!$G$3:$G$1590,139),Lines!$G$3:$G$1590,0)),""))</f>
        <v/>
      </c>
      <c r="I144" s="26"/>
      <c r="J144" s="22" t="str">
        <f aca="false">IFERROR(IF(MOD(SMALL(Lines!$G$3:$G$1590,139),100000)=0,-1,MOD(SMALL(Lines!$G$3:$G$1590,139),100)),"")</f>
        <v/>
      </c>
      <c r="K144" s="22" t="str">
        <f aca="false">IF($J144=0,INDEX(Lines!$L$3:$L$1590,MATCH(SMALL(Lines!$G$3:$G$1590,139),Lines!$G$3:$G$1590,0)),"")</f>
        <v/>
      </c>
    </row>
    <row r="145" customFormat="false" ht="15" hidden="false" customHeight="false" outlineLevel="0" collapsed="false">
      <c r="A145" s="24" t="str">
        <f aca="false">IF(OR($J145=0,AND(ISNUMBER($J145),$J145&gt;0,$J145&lt;99)),INDEX(Lines!$A$3:$A$1590,MATCH(SMALL(Lines!$G$3:$G$1590,140),Lines!$G$3:$G$1590,0)),"")</f>
        <v/>
      </c>
      <c r="B145" s="24" t="str">
        <f aca="false">IF($J145=-1,INDEX(Lines!$J$3:$J$1590,MATCH(SMALL(Lines!$G$3:$G$1590,140),Lines!$G$3:$G$1590,0)),IF($J145=0,INDEX(Lines!$L$3:$L$1590,MATCH(SMALL(Lines!$G$3:$G$1590,140),Lines!$G$3:$G$1590,0)),IF(AND(ISNUMBER($J145),$J145&gt;0,$J145&lt;99),INDEX(Lines!$N$3:$N$1590,MATCH(SMALL(Lines!$G$3:$G$1590,140),Lines!$G$3:$G$1590,0)),"")))</f>
        <v/>
      </c>
      <c r="C145" s="25" t="str">
        <f aca="false">IF($J145=0,INDEX(Lines!$K$3:$K$1590,MATCH(SMALL(Lines!$G$3:$G$1590,140),Lines!$G$3:$G$1590,0)),IF(AND(ISNUMBER($J145),$J145&gt;0,$J145&lt;99),INDEX(Lines!$C$3:$C$1590,MATCH(SMALL(Lines!$G$3:$G$1590,140),Lines!$G$3:$G$1590,0)),""))</f>
        <v/>
      </c>
      <c r="D145" s="26" t="str">
        <f aca="false">IF(AND(ISNUMBER($J145),$J145&gt;0,$J145&lt;99),INDEX(Lines!$D$3:$D$1590,MATCH(SMALL(Lines!$G$3:$G$1590,140),Lines!$G$3:$G$1590,0)),"")</f>
        <v/>
      </c>
      <c r="E145" s="26" t="str">
        <f aca="false">IF(AND(ISNUMBER($J145),$J145&gt;0,$J145&lt;99),INDEX(Lines!$E$3:$E$1590,MATCH(SMALL(Lines!$G$3:$G$1590,140),Lines!$G$3:$G$1590,0)),"")</f>
        <v/>
      </c>
      <c r="F145" s="26" t="str">
        <f aca="false">IF(AND(ISNUMBER($J145),$J145&gt;0,$J145&lt;99),INDEX(Lines!$O$3:$O$1590,MATCH(SMALL(Lines!$G$3:$G$1590,140),Lines!$G$3:$G$1590,0)),"")</f>
        <v/>
      </c>
      <c r="G145" s="27" t="str">
        <f aca="false">IF($J145=0,INDEX(Lines!$Q$3:$Q$1590,MATCH(SMALL(Lines!$G$3:$G$1590,140),Lines!$G$3:$G$1590,0)),IF(AND(ISNUMBER($J145),$J145&gt;0,$J145&lt;99),INDEX(Lines!$P$3:$P$1590,MATCH(SMALL(Lines!$G$3:$G$1590,140),Lines!$G$3:$G$1590,0)),""))</f>
        <v/>
      </c>
      <c r="H145" s="28" t="str">
        <f aca="false">IF($J145=0,INDEX(Lines!$H$3:$H$1590,MATCH(SMALL(Lines!$G$3:$G$1590,140),Lines!$G$3:$G$1590,0))&amp;" groups",IF(AND(ISNUMBER($J145),$J145&gt;0,$J145&lt;99),INDEX(Lines!$I$3:$I$1590,MATCH(SMALL(Lines!$G$3:$G$1590,140),Lines!$G$3:$G$1590,0)),""))</f>
        <v/>
      </c>
      <c r="I145" s="26"/>
      <c r="J145" s="22" t="str">
        <f aca="false">IFERROR(IF(MOD(SMALL(Lines!$G$3:$G$1590,140),100000)=0,-1,MOD(SMALL(Lines!$G$3:$G$1590,140),100)),"")</f>
        <v/>
      </c>
      <c r="K145" s="22" t="str">
        <f aca="false">IF($J145=0,INDEX(Lines!$L$3:$L$1590,MATCH(SMALL(Lines!$G$3:$G$1590,140),Lines!$G$3:$G$1590,0)),"")</f>
        <v/>
      </c>
    </row>
    <row r="146" customFormat="false" ht="15" hidden="false" customHeight="false" outlineLevel="0" collapsed="false">
      <c r="A146" s="24" t="str">
        <f aca="false">IF(OR($J146=0,AND(ISNUMBER($J146),$J146&gt;0,$J146&lt;99)),INDEX(Lines!$A$3:$A$1590,MATCH(SMALL(Lines!$G$3:$G$1590,141),Lines!$G$3:$G$1590,0)),"")</f>
        <v/>
      </c>
      <c r="B146" s="24" t="str">
        <f aca="false">IF($J146=-1,INDEX(Lines!$J$3:$J$1590,MATCH(SMALL(Lines!$G$3:$G$1590,141),Lines!$G$3:$G$1590,0)),IF($J146=0,INDEX(Lines!$L$3:$L$1590,MATCH(SMALL(Lines!$G$3:$G$1590,141),Lines!$G$3:$G$1590,0)),IF(AND(ISNUMBER($J146),$J146&gt;0,$J146&lt;99),INDEX(Lines!$N$3:$N$1590,MATCH(SMALL(Lines!$G$3:$G$1590,141),Lines!$G$3:$G$1590,0)),"")))</f>
        <v/>
      </c>
      <c r="C146" s="25" t="str">
        <f aca="false">IF($J146=0,INDEX(Lines!$K$3:$K$1590,MATCH(SMALL(Lines!$G$3:$G$1590,141),Lines!$G$3:$G$1590,0)),IF(AND(ISNUMBER($J146),$J146&gt;0,$J146&lt;99),INDEX(Lines!$C$3:$C$1590,MATCH(SMALL(Lines!$G$3:$G$1590,141),Lines!$G$3:$G$1590,0)),""))</f>
        <v/>
      </c>
      <c r="D146" s="26" t="str">
        <f aca="false">IF(AND(ISNUMBER($J146),$J146&gt;0,$J146&lt;99),INDEX(Lines!$D$3:$D$1590,MATCH(SMALL(Lines!$G$3:$G$1590,141),Lines!$G$3:$G$1590,0)),"")</f>
        <v/>
      </c>
      <c r="E146" s="26" t="str">
        <f aca="false">IF(AND(ISNUMBER($J146),$J146&gt;0,$J146&lt;99),INDEX(Lines!$E$3:$E$1590,MATCH(SMALL(Lines!$G$3:$G$1590,141),Lines!$G$3:$G$1590,0)),"")</f>
        <v/>
      </c>
      <c r="F146" s="26" t="str">
        <f aca="false">IF(AND(ISNUMBER($J146),$J146&gt;0,$J146&lt;99),INDEX(Lines!$O$3:$O$1590,MATCH(SMALL(Lines!$G$3:$G$1590,141),Lines!$G$3:$G$1590,0)),"")</f>
        <v/>
      </c>
      <c r="G146" s="27" t="str">
        <f aca="false">IF($J146=0,INDEX(Lines!$Q$3:$Q$1590,MATCH(SMALL(Lines!$G$3:$G$1590,141),Lines!$G$3:$G$1590,0)),IF(AND(ISNUMBER($J146),$J146&gt;0,$J146&lt;99),INDEX(Lines!$P$3:$P$1590,MATCH(SMALL(Lines!$G$3:$G$1590,141),Lines!$G$3:$G$1590,0)),""))</f>
        <v/>
      </c>
      <c r="H146" s="28" t="str">
        <f aca="false">IF($J146=0,INDEX(Lines!$H$3:$H$1590,MATCH(SMALL(Lines!$G$3:$G$1590,141),Lines!$G$3:$G$1590,0))&amp;" groups",IF(AND(ISNUMBER($J146),$J146&gt;0,$J146&lt;99),INDEX(Lines!$I$3:$I$1590,MATCH(SMALL(Lines!$G$3:$G$1590,141),Lines!$G$3:$G$1590,0)),""))</f>
        <v/>
      </c>
      <c r="I146" s="26"/>
      <c r="J146" s="22" t="str">
        <f aca="false">IFERROR(IF(MOD(SMALL(Lines!$G$3:$G$1590,141),100000)=0,-1,MOD(SMALL(Lines!$G$3:$G$1590,141),100)),"")</f>
        <v/>
      </c>
      <c r="K146" s="22" t="str">
        <f aca="false">IF($J146=0,INDEX(Lines!$L$3:$L$1590,MATCH(SMALL(Lines!$G$3:$G$1590,141),Lines!$G$3:$G$1590,0)),"")</f>
        <v/>
      </c>
    </row>
    <row r="147" customFormat="false" ht="15" hidden="false" customHeight="false" outlineLevel="0" collapsed="false">
      <c r="A147" s="24" t="str">
        <f aca="false">IF(OR($J147=0,AND(ISNUMBER($J147),$J147&gt;0,$J147&lt;99)),INDEX(Lines!$A$3:$A$1590,MATCH(SMALL(Lines!$G$3:$G$1590,142),Lines!$G$3:$G$1590,0)),"")</f>
        <v/>
      </c>
      <c r="B147" s="24" t="str">
        <f aca="false">IF($J147=-1,INDEX(Lines!$J$3:$J$1590,MATCH(SMALL(Lines!$G$3:$G$1590,142),Lines!$G$3:$G$1590,0)),IF($J147=0,INDEX(Lines!$L$3:$L$1590,MATCH(SMALL(Lines!$G$3:$G$1590,142),Lines!$G$3:$G$1590,0)),IF(AND(ISNUMBER($J147),$J147&gt;0,$J147&lt;99),INDEX(Lines!$N$3:$N$1590,MATCH(SMALL(Lines!$G$3:$G$1590,142),Lines!$G$3:$G$1590,0)),"")))</f>
        <v/>
      </c>
      <c r="C147" s="25" t="str">
        <f aca="false">IF($J147=0,INDEX(Lines!$K$3:$K$1590,MATCH(SMALL(Lines!$G$3:$G$1590,142),Lines!$G$3:$G$1590,0)),IF(AND(ISNUMBER($J147),$J147&gt;0,$J147&lt;99),INDEX(Lines!$C$3:$C$1590,MATCH(SMALL(Lines!$G$3:$G$1590,142),Lines!$G$3:$G$1590,0)),""))</f>
        <v/>
      </c>
      <c r="D147" s="26" t="str">
        <f aca="false">IF(AND(ISNUMBER($J147),$J147&gt;0,$J147&lt;99),INDEX(Lines!$D$3:$D$1590,MATCH(SMALL(Lines!$G$3:$G$1590,142),Lines!$G$3:$G$1590,0)),"")</f>
        <v/>
      </c>
      <c r="E147" s="26" t="str">
        <f aca="false">IF(AND(ISNUMBER($J147),$J147&gt;0,$J147&lt;99),INDEX(Lines!$E$3:$E$1590,MATCH(SMALL(Lines!$G$3:$G$1590,142),Lines!$G$3:$G$1590,0)),"")</f>
        <v/>
      </c>
      <c r="F147" s="26" t="str">
        <f aca="false">IF(AND(ISNUMBER($J147),$J147&gt;0,$J147&lt;99),INDEX(Lines!$O$3:$O$1590,MATCH(SMALL(Lines!$G$3:$G$1590,142),Lines!$G$3:$G$1590,0)),"")</f>
        <v/>
      </c>
      <c r="G147" s="27" t="str">
        <f aca="false">IF($J147=0,INDEX(Lines!$Q$3:$Q$1590,MATCH(SMALL(Lines!$G$3:$G$1590,142),Lines!$G$3:$G$1590,0)),IF(AND(ISNUMBER($J147),$J147&gt;0,$J147&lt;99),INDEX(Lines!$P$3:$P$1590,MATCH(SMALL(Lines!$G$3:$G$1590,142),Lines!$G$3:$G$1590,0)),""))</f>
        <v/>
      </c>
      <c r="H147" s="28" t="str">
        <f aca="false">IF($J147=0,INDEX(Lines!$H$3:$H$1590,MATCH(SMALL(Lines!$G$3:$G$1590,142),Lines!$G$3:$G$1590,0))&amp;" groups",IF(AND(ISNUMBER($J147),$J147&gt;0,$J147&lt;99),INDEX(Lines!$I$3:$I$1590,MATCH(SMALL(Lines!$G$3:$G$1590,142),Lines!$G$3:$G$1590,0)),""))</f>
        <v/>
      </c>
      <c r="I147" s="26"/>
      <c r="J147" s="22" t="str">
        <f aca="false">IFERROR(IF(MOD(SMALL(Lines!$G$3:$G$1590,142),100000)=0,-1,MOD(SMALL(Lines!$G$3:$G$1590,142),100)),"")</f>
        <v/>
      </c>
      <c r="K147" s="22" t="str">
        <f aca="false">IF($J147=0,INDEX(Lines!$L$3:$L$1590,MATCH(SMALL(Lines!$G$3:$G$1590,142),Lines!$G$3:$G$1590,0)),"")</f>
        <v/>
      </c>
    </row>
    <row r="148" customFormat="false" ht="15" hidden="false" customHeight="false" outlineLevel="0" collapsed="false">
      <c r="A148" s="24" t="str">
        <f aca="false">IF(OR($J148=0,AND(ISNUMBER($J148),$J148&gt;0,$J148&lt;99)),INDEX(Lines!$A$3:$A$1590,MATCH(SMALL(Lines!$G$3:$G$1590,143),Lines!$G$3:$G$1590,0)),"")</f>
        <v/>
      </c>
      <c r="B148" s="24" t="str">
        <f aca="false">IF($J148=-1,INDEX(Lines!$J$3:$J$1590,MATCH(SMALL(Lines!$G$3:$G$1590,143),Lines!$G$3:$G$1590,0)),IF($J148=0,INDEX(Lines!$L$3:$L$1590,MATCH(SMALL(Lines!$G$3:$G$1590,143),Lines!$G$3:$G$1590,0)),IF(AND(ISNUMBER($J148),$J148&gt;0,$J148&lt;99),INDEX(Lines!$N$3:$N$1590,MATCH(SMALL(Lines!$G$3:$G$1590,143),Lines!$G$3:$G$1590,0)),"")))</f>
        <v/>
      </c>
      <c r="C148" s="25" t="str">
        <f aca="false">IF($J148=0,INDEX(Lines!$K$3:$K$1590,MATCH(SMALL(Lines!$G$3:$G$1590,143),Lines!$G$3:$G$1590,0)),IF(AND(ISNUMBER($J148),$J148&gt;0,$J148&lt;99),INDEX(Lines!$C$3:$C$1590,MATCH(SMALL(Lines!$G$3:$G$1590,143),Lines!$G$3:$G$1590,0)),""))</f>
        <v/>
      </c>
      <c r="D148" s="26" t="str">
        <f aca="false">IF(AND(ISNUMBER($J148),$J148&gt;0,$J148&lt;99),INDEX(Lines!$D$3:$D$1590,MATCH(SMALL(Lines!$G$3:$G$1590,143),Lines!$G$3:$G$1590,0)),"")</f>
        <v/>
      </c>
      <c r="E148" s="26" t="str">
        <f aca="false">IF(AND(ISNUMBER($J148),$J148&gt;0,$J148&lt;99),INDEX(Lines!$E$3:$E$1590,MATCH(SMALL(Lines!$G$3:$G$1590,143),Lines!$G$3:$G$1590,0)),"")</f>
        <v/>
      </c>
      <c r="F148" s="26" t="str">
        <f aca="false">IF(AND(ISNUMBER($J148),$J148&gt;0,$J148&lt;99),INDEX(Lines!$O$3:$O$1590,MATCH(SMALL(Lines!$G$3:$G$1590,143),Lines!$G$3:$G$1590,0)),"")</f>
        <v/>
      </c>
      <c r="G148" s="27" t="str">
        <f aca="false">IF($J148=0,INDEX(Lines!$Q$3:$Q$1590,MATCH(SMALL(Lines!$G$3:$G$1590,143),Lines!$G$3:$G$1590,0)),IF(AND(ISNUMBER($J148),$J148&gt;0,$J148&lt;99),INDEX(Lines!$P$3:$P$1590,MATCH(SMALL(Lines!$G$3:$G$1590,143),Lines!$G$3:$G$1590,0)),""))</f>
        <v/>
      </c>
      <c r="H148" s="28" t="str">
        <f aca="false">IF($J148=0,INDEX(Lines!$H$3:$H$1590,MATCH(SMALL(Lines!$G$3:$G$1590,143),Lines!$G$3:$G$1590,0))&amp;" groups",IF(AND(ISNUMBER($J148),$J148&gt;0,$J148&lt;99),INDEX(Lines!$I$3:$I$1590,MATCH(SMALL(Lines!$G$3:$G$1590,143),Lines!$G$3:$G$1590,0)),""))</f>
        <v/>
      </c>
      <c r="I148" s="26"/>
      <c r="J148" s="22" t="str">
        <f aca="false">IFERROR(IF(MOD(SMALL(Lines!$G$3:$G$1590,143),100000)=0,-1,MOD(SMALL(Lines!$G$3:$G$1590,143),100)),"")</f>
        <v/>
      </c>
      <c r="K148" s="22" t="str">
        <f aca="false">IF($J148=0,INDEX(Lines!$L$3:$L$1590,MATCH(SMALL(Lines!$G$3:$G$1590,143),Lines!$G$3:$G$1590,0)),"")</f>
        <v/>
      </c>
    </row>
    <row r="149" customFormat="false" ht="15" hidden="false" customHeight="false" outlineLevel="0" collapsed="false">
      <c r="A149" s="24" t="str">
        <f aca="false">IF(OR($J149=0,AND(ISNUMBER($J149),$J149&gt;0,$J149&lt;99)),INDEX(Lines!$A$3:$A$1590,MATCH(SMALL(Lines!$G$3:$G$1590,144),Lines!$G$3:$G$1590,0)),"")</f>
        <v/>
      </c>
      <c r="B149" s="24" t="str">
        <f aca="false">IF($J149=-1,INDEX(Lines!$J$3:$J$1590,MATCH(SMALL(Lines!$G$3:$G$1590,144),Lines!$G$3:$G$1590,0)),IF($J149=0,INDEX(Lines!$L$3:$L$1590,MATCH(SMALL(Lines!$G$3:$G$1590,144),Lines!$G$3:$G$1590,0)),IF(AND(ISNUMBER($J149),$J149&gt;0,$J149&lt;99),INDEX(Lines!$N$3:$N$1590,MATCH(SMALL(Lines!$G$3:$G$1590,144),Lines!$G$3:$G$1590,0)),"")))</f>
        <v/>
      </c>
      <c r="C149" s="25" t="str">
        <f aca="false">IF($J149=0,INDEX(Lines!$K$3:$K$1590,MATCH(SMALL(Lines!$G$3:$G$1590,144),Lines!$G$3:$G$1590,0)),IF(AND(ISNUMBER($J149),$J149&gt;0,$J149&lt;99),INDEX(Lines!$C$3:$C$1590,MATCH(SMALL(Lines!$G$3:$G$1590,144),Lines!$G$3:$G$1590,0)),""))</f>
        <v/>
      </c>
      <c r="D149" s="26" t="str">
        <f aca="false">IF(AND(ISNUMBER($J149),$J149&gt;0,$J149&lt;99),INDEX(Lines!$D$3:$D$1590,MATCH(SMALL(Lines!$G$3:$G$1590,144),Lines!$G$3:$G$1590,0)),"")</f>
        <v/>
      </c>
      <c r="E149" s="26" t="str">
        <f aca="false">IF(AND(ISNUMBER($J149),$J149&gt;0,$J149&lt;99),INDEX(Lines!$E$3:$E$1590,MATCH(SMALL(Lines!$G$3:$G$1590,144),Lines!$G$3:$G$1590,0)),"")</f>
        <v/>
      </c>
      <c r="F149" s="26" t="str">
        <f aca="false">IF(AND(ISNUMBER($J149),$J149&gt;0,$J149&lt;99),INDEX(Lines!$O$3:$O$1590,MATCH(SMALL(Lines!$G$3:$G$1590,144),Lines!$G$3:$G$1590,0)),"")</f>
        <v/>
      </c>
      <c r="G149" s="27" t="str">
        <f aca="false">IF($J149=0,INDEX(Lines!$Q$3:$Q$1590,MATCH(SMALL(Lines!$G$3:$G$1590,144),Lines!$G$3:$G$1590,0)),IF(AND(ISNUMBER($J149),$J149&gt;0,$J149&lt;99),INDEX(Lines!$P$3:$P$1590,MATCH(SMALL(Lines!$G$3:$G$1590,144),Lines!$G$3:$G$1590,0)),""))</f>
        <v/>
      </c>
      <c r="H149" s="28" t="str">
        <f aca="false">IF($J149=0,INDEX(Lines!$H$3:$H$1590,MATCH(SMALL(Lines!$G$3:$G$1590,144),Lines!$G$3:$G$1590,0))&amp;" groups",IF(AND(ISNUMBER($J149),$J149&gt;0,$J149&lt;99),INDEX(Lines!$I$3:$I$1590,MATCH(SMALL(Lines!$G$3:$G$1590,144),Lines!$G$3:$G$1590,0)),""))</f>
        <v/>
      </c>
      <c r="I149" s="26"/>
      <c r="J149" s="22" t="str">
        <f aca="false">IFERROR(IF(MOD(SMALL(Lines!$G$3:$G$1590,144),100000)=0,-1,MOD(SMALL(Lines!$G$3:$G$1590,144),100)),"")</f>
        <v/>
      </c>
      <c r="K149" s="22" t="str">
        <f aca="false">IF($J149=0,INDEX(Lines!$L$3:$L$1590,MATCH(SMALL(Lines!$G$3:$G$1590,144),Lines!$G$3:$G$1590,0)),"")</f>
        <v/>
      </c>
    </row>
    <row r="150" customFormat="false" ht="15" hidden="false" customHeight="false" outlineLevel="0" collapsed="false">
      <c r="A150" s="24" t="str">
        <f aca="false">IF(OR($J150=0,AND(ISNUMBER($J150),$J150&gt;0,$J150&lt;99)),INDEX(Lines!$A$3:$A$1590,MATCH(SMALL(Lines!$G$3:$G$1590,145),Lines!$G$3:$G$1590,0)),"")</f>
        <v/>
      </c>
      <c r="B150" s="24" t="str">
        <f aca="false">IF($J150=-1,INDEX(Lines!$J$3:$J$1590,MATCH(SMALL(Lines!$G$3:$G$1590,145),Lines!$G$3:$G$1590,0)),IF($J150=0,INDEX(Lines!$L$3:$L$1590,MATCH(SMALL(Lines!$G$3:$G$1590,145),Lines!$G$3:$G$1590,0)),IF(AND(ISNUMBER($J150),$J150&gt;0,$J150&lt;99),INDEX(Lines!$N$3:$N$1590,MATCH(SMALL(Lines!$G$3:$G$1590,145),Lines!$G$3:$G$1590,0)),"")))</f>
        <v/>
      </c>
      <c r="C150" s="25" t="str">
        <f aca="false">IF($J150=0,INDEX(Lines!$K$3:$K$1590,MATCH(SMALL(Lines!$G$3:$G$1590,145),Lines!$G$3:$G$1590,0)),IF(AND(ISNUMBER($J150),$J150&gt;0,$J150&lt;99),INDEX(Lines!$C$3:$C$1590,MATCH(SMALL(Lines!$G$3:$G$1590,145),Lines!$G$3:$G$1590,0)),""))</f>
        <v/>
      </c>
      <c r="D150" s="26" t="str">
        <f aca="false">IF(AND(ISNUMBER($J150),$J150&gt;0,$J150&lt;99),INDEX(Lines!$D$3:$D$1590,MATCH(SMALL(Lines!$G$3:$G$1590,145),Lines!$G$3:$G$1590,0)),"")</f>
        <v/>
      </c>
      <c r="E150" s="26" t="str">
        <f aca="false">IF(AND(ISNUMBER($J150),$J150&gt;0,$J150&lt;99),INDEX(Lines!$E$3:$E$1590,MATCH(SMALL(Lines!$G$3:$G$1590,145),Lines!$G$3:$G$1590,0)),"")</f>
        <v/>
      </c>
      <c r="F150" s="26" t="str">
        <f aca="false">IF(AND(ISNUMBER($J150),$J150&gt;0,$J150&lt;99),INDEX(Lines!$O$3:$O$1590,MATCH(SMALL(Lines!$G$3:$G$1590,145),Lines!$G$3:$G$1590,0)),"")</f>
        <v/>
      </c>
      <c r="G150" s="27" t="str">
        <f aca="false">IF($J150=0,INDEX(Lines!$Q$3:$Q$1590,MATCH(SMALL(Lines!$G$3:$G$1590,145),Lines!$G$3:$G$1590,0)),IF(AND(ISNUMBER($J150),$J150&gt;0,$J150&lt;99),INDEX(Lines!$P$3:$P$1590,MATCH(SMALL(Lines!$G$3:$G$1590,145),Lines!$G$3:$G$1590,0)),""))</f>
        <v/>
      </c>
      <c r="H150" s="28" t="str">
        <f aca="false">IF($J150=0,INDEX(Lines!$H$3:$H$1590,MATCH(SMALL(Lines!$G$3:$G$1590,145),Lines!$G$3:$G$1590,0))&amp;" groups",IF(AND(ISNUMBER($J150),$J150&gt;0,$J150&lt;99),INDEX(Lines!$I$3:$I$1590,MATCH(SMALL(Lines!$G$3:$G$1590,145),Lines!$G$3:$G$1590,0)),""))</f>
        <v/>
      </c>
      <c r="I150" s="26"/>
      <c r="J150" s="22" t="str">
        <f aca="false">IFERROR(IF(MOD(SMALL(Lines!$G$3:$G$1590,145),100000)=0,-1,MOD(SMALL(Lines!$G$3:$G$1590,145),100)),"")</f>
        <v/>
      </c>
      <c r="K150" s="22" t="str">
        <f aca="false">IF($J150=0,INDEX(Lines!$L$3:$L$1590,MATCH(SMALL(Lines!$G$3:$G$1590,145),Lines!$G$3:$G$1590,0)),"")</f>
        <v/>
      </c>
    </row>
    <row r="151" customFormat="false" ht="15" hidden="false" customHeight="false" outlineLevel="0" collapsed="false">
      <c r="A151" s="24" t="str">
        <f aca="false">IF(OR($J151=0,AND(ISNUMBER($J151),$J151&gt;0,$J151&lt;99)),INDEX(Lines!$A$3:$A$1590,MATCH(SMALL(Lines!$G$3:$G$1590,146),Lines!$G$3:$G$1590,0)),"")</f>
        <v/>
      </c>
      <c r="B151" s="24" t="str">
        <f aca="false">IF($J151=-1,INDEX(Lines!$J$3:$J$1590,MATCH(SMALL(Lines!$G$3:$G$1590,146),Lines!$G$3:$G$1590,0)),IF($J151=0,INDEX(Lines!$L$3:$L$1590,MATCH(SMALL(Lines!$G$3:$G$1590,146),Lines!$G$3:$G$1590,0)),IF(AND(ISNUMBER($J151),$J151&gt;0,$J151&lt;99),INDEX(Lines!$N$3:$N$1590,MATCH(SMALL(Lines!$G$3:$G$1590,146),Lines!$G$3:$G$1590,0)),"")))</f>
        <v/>
      </c>
      <c r="C151" s="25" t="str">
        <f aca="false">IF($J151=0,INDEX(Lines!$K$3:$K$1590,MATCH(SMALL(Lines!$G$3:$G$1590,146),Lines!$G$3:$G$1590,0)),IF(AND(ISNUMBER($J151),$J151&gt;0,$J151&lt;99),INDEX(Lines!$C$3:$C$1590,MATCH(SMALL(Lines!$G$3:$G$1590,146),Lines!$G$3:$G$1590,0)),""))</f>
        <v/>
      </c>
      <c r="D151" s="26" t="str">
        <f aca="false">IF(AND(ISNUMBER($J151),$J151&gt;0,$J151&lt;99),INDEX(Lines!$D$3:$D$1590,MATCH(SMALL(Lines!$G$3:$G$1590,146),Lines!$G$3:$G$1590,0)),"")</f>
        <v/>
      </c>
      <c r="E151" s="26" t="str">
        <f aca="false">IF(AND(ISNUMBER($J151),$J151&gt;0,$J151&lt;99),INDEX(Lines!$E$3:$E$1590,MATCH(SMALL(Lines!$G$3:$G$1590,146),Lines!$G$3:$G$1590,0)),"")</f>
        <v/>
      </c>
      <c r="F151" s="26" t="str">
        <f aca="false">IF(AND(ISNUMBER($J151),$J151&gt;0,$J151&lt;99),INDEX(Lines!$O$3:$O$1590,MATCH(SMALL(Lines!$G$3:$G$1590,146),Lines!$G$3:$G$1590,0)),"")</f>
        <v/>
      </c>
      <c r="G151" s="27" t="str">
        <f aca="false">IF($J151=0,INDEX(Lines!$Q$3:$Q$1590,MATCH(SMALL(Lines!$G$3:$G$1590,146),Lines!$G$3:$G$1590,0)),IF(AND(ISNUMBER($J151),$J151&gt;0,$J151&lt;99),INDEX(Lines!$P$3:$P$1590,MATCH(SMALL(Lines!$G$3:$G$1590,146),Lines!$G$3:$G$1590,0)),""))</f>
        <v/>
      </c>
      <c r="H151" s="28" t="str">
        <f aca="false">IF($J151=0,INDEX(Lines!$H$3:$H$1590,MATCH(SMALL(Lines!$G$3:$G$1590,146),Lines!$G$3:$G$1590,0))&amp;" groups",IF(AND(ISNUMBER($J151),$J151&gt;0,$J151&lt;99),INDEX(Lines!$I$3:$I$1590,MATCH(SMALL(Lines!$G$3:$G$1590,146),Lines!$G$3:$G$1590,0)),""))</f>
        <v/>
      </c>
      <c r="I151" s="26"/>
      <c r="J151" s="22" t="str">
        <f aca="false">IFERROR(IF(MOD(SMALL(Lines!$G$3:$G$1590,146),100000)=0,-1,MOD(SMALL(Lines!$G$3:$G$1590,146),100)),"")</f>
        <v/>
      </c>
      <c r="K151" s="22" t="str">
        <f aca="false">IF($J151=0,INDEX(Lines!$L$3:$L$1590,MATCH(SMALL(Lines!$G$3:$G$1590,146),Lines!$G$3:$G$1590,0)),"")</f>
        <v/>
      </c>
    </row>
    <row r="152" customFormat="false" ht="15" hidden="false" customHeight="false" outlineLevel="0" collapsed="false">
      <c r="A152" s="24" t="str">
        <f aca="false">IF(OR($J152=0,AND(ISNUMBER($J152),$J152&gt;0,$J152&lt;99)),INDEX(Lines!$A$3:$A$1590,MATCH(SMALL(Lines!$G$3:$G$1590,147),Lines!$G$3:$G$1590,0)),"")</f>
        <v/>
      </c>
      <c r="B152" s="24" t="str">
        <f aca="false">IF($J152=-1,INDEX(Lines!$J$3:$J$1590,MATCH(SMALL(Lines!$G$3:$G$1590,147),Lines!$G$3:$G$1590,0)),IF($J152=0,INDEX(Lines!$L$3:$L$1590,MATCH(SMALL(Lines!$G$3:$G$1590,147),Lines!$G$3:$G$1590,0)),IF(AND(ISNUMBER($J152),$J152&gt;0,$J152&lt;99),INDEX(Lines!$N$3:$N$1590,MATCH(SMALL(Lines!$G$3:$G$1590,147),Lines!$G$3:$G$1590,0)),"")))</f>
        <v/>
      </c>
      <c r="C152" s="25" t="str">
        <f aca="false">IF($J152=0,INDEX(Lines!$K$3:$K$1590,MATCH(SMALL(Lines!$G$3:$G$1590,147),Lines!$G$3:$G$1590,0)),IF(AND(ISNUMBER($J152),$J152&gt;0,$J152&lt;99),INDEX(Lines!$C$3:$C$1590,MATCH(SMALL(Lines!$G$3:$G$1590,147),Lines!$G$3:$G$1590,0)),""))</f>
        <v/>
      </c>
      <c r="D152" s="26" t="str">
        <f aca="false">IF(AND(ISNUMBER($J152),$J152&gt;0,$J152&lt;99),INDEX(Lines!$D$3:$D$1590,MATCH(SMALL(Lines!$G$3:$G$1590,147),Lines!$G$3:$G$1590,0)),"")</f>
        <v/>
      </c>
      <c r="E152" s="26" t="str">
        <f aca="false">IF(AND(ISNUMBER($J152),$J152&gt;0,$J152&lt;99),INDEX(Lines!$E$3:$E$1590,MATCH(SMALL(Lines!$G$3:$G$1590,147),Lines!$G$3:$G$1590,0)),"")</f>
        <v/>
      </c>
      <c r="F152" s="26" t="str">
        <f aca="false">IF(AND(ISNUMBER($J152),$J152&gt;0,$J152&lt;99),INDEX(Lines!$O$3:$O$1590,MATCH(SMALL(Lines!$G$3:$G$1590,147),Lines!$G$3:$G$1590,0)),"")</f>
        <v/>
      </c>
      <c r="G152" s="27" t="str">
        <f aca="false">IF($J152=0,INDEX(Lines!$Q$3:$Q$1590,MATCH(SMALL(Lines!$G$3:$G$1590,147),Lines!$G$3:$G$1590,0)),IF(AND(ISNUMBER($J152),$J152&gt;0,$J152&lt;99),INDEX(Lines!$P$3:$P$1590,MATCH(SMALL(Lines!$G$3:$G$1590,147),Lines!$G$3:$G$1590,0)),""))</f>
        <v/>
      </c>
      <c r="H152" s="28" t="str">
        <f aca="false">IF($J152=0,INDEX(Lines!$H$3:$H$1590,MATCH(SMALL(Lines!$G$3:$G$1590,147),Lines!$G$3:$G$1590,0))&amp;" groups",IF(AND(ISNUMBER($J152),$J152&gt;0,$J152&lt;99),INDEX(Lines!$I$3:$I$1590,MATCH(SMALL(Lines!$G$3:$G$1590,147),Lines!$G$3:$G$1590,0)),""))</f>
        <v/>
      </c>
      <c r="I152" s="26"/>
      <c r="J152" s="22" t="str">
        <f aca="false">IFERROR(IF(MOD(SMALL(Lines!$G$3:$G$1590,147),100000)=0,-1,MOD(SMALL(Lines!$G$3:$G$1590,147),100)),"")</f>
        <v/>
      </c>
      <c r="K152" s="22" t="str">
        <f aca="false">IF($J152=0,INDEX(Lines!$L$3:$L$1590,MATCH(SMALL(Lines!$G$3:$G$1590,147),Lines!$G$3:$G$1590,0)),"")</f>
        <v/>
      </c>
    </row>
    <row r="153" customFormat="false" ht="15" hidden="false" customHeight="false" outlineLevel="0" collapsed="false">
      <c r="A153" s="24" t="str">
        <f aca="false">IF(OR($J153=0,AND(ISNUMBER($J153),$J153&gt;0,$J153&lt;99)),INDEX(Lines!$A$3:$A$1590,MATCH(SMALL(Lines!$G$3:$G$1590,148),Lines!$G$3:$G$1590,0)),"")</f>
        <v/>
      </c>
      <c r="B153" s="24" t="str">
        <f aca="false">IF($J153=-1,INDEX(Lines!$J$3:$J$1590,MATCH(SMALL(Lines!$G$3:$G$1590,148),Lines!$G$3:$G$1590,0)),IF($J153=0,INDEX(Lines!$L$3:$L$1590,MATCH(SMALL(Lines!$G$3:$G$1590,148),Lines!$G$3:$G$1590,0)),IF(AND(ISNUMBER($J153),$J153&gt;0,$J153&lt;99),INDEX(Lines!$N$3:$N$1590,MATCH(SMALL(Lines!$G$3:$G$1590,148),Lines!$G$3:$G$1590,0)),"")))</f>
        <v/>
      </c>
      <c r="C153" s="25" t="str">
        <f aca="false">IF($J153=0,INDEX(Lines!$K$3:$K$1590,MATCH(SMALL(Lines!$G$3:$G$1590,148),Lines!$G$3:$G$1590,0)),IF(AND(ISNUMBER($J153),$J153&gt;0,$J153&lt;99),INDEX(Lines!$C$3:$C$1590,MATCH(SMALL(Lines!$G$3:$G$1590,148),Lines!$G$3:$G$1590,0)),""))</f>
        <v/>
      </c>
      <c r="D153" s="26" t="str">
        <f aca="false">IF(AND(ISNUMBER($J153),$J153&gt;0,$J153&lt;99),INDEX(Lines!$D$3:$D$1590,MATCH(SMALL(Lines!$G$3:$G$1590,148),Lines!$G$3:$G$1590,0)),"")</f>
        <v/>
      </c>
      <c r="E153" s="26" t="str">
        <f aca="false">IF(AND(ISNUMBER($J153),$J153&gt;0,$J153&lt;99),INDEX(Lines!$E$3:$E$1590,MATCH(SMALL(Lines!$G$3:$G$1590,148),Lines!$G$3:$G$1590,0)),"")</f>
        <v/>
      </c>
      <c r="F153" s="26" t="str">
        <f aca="false">IF(AND(ISNUMBER($J153),$J153&gt;0,$J153&lt;99),INDEX(Lines!$O$3:$O$1590,MATCH(SMALL(Lines!$G$3:$G$1590,148),Lines!$G$3:$G$1590,0)),"")</f>
        <v/>
      </c>
      <c r="G153" s="27" t="str">
        <f aca="false">IF($J153=0,INDEX(Lines!$Q$3:$Q$1590,MATCH(SMALL(Lines!$G$3:$G$1590,148),Lines!$G$3:$G$1590,0)),IF(AND(ISNUMBER($J153),$J153&gt;0,$J153&lt;99),INDEX(Lines!$P$3:$P$1590,MATCH(SMALL(Lines!$G$3:$G$1590,148),Lines!$G$3:$G$1590,0)),""))</f>
        <v/>
      </c>
      <c r="H153" s="28" t="str">
        <f aca="false">IF($J153=0,INDEX(Lines!$H$3:$H$1590,MATCH(SMALL(Lines!$G$3:$G$1590,148),Lines!$G$3:$G$1590,0))&amp;" groups",IF(AND(ISNUMBER($J153),$J153&gt;0,$J153&lt;99),INDEX(Lines!$I$3:$I$1590,MATCH(SMALL(Lines!$G$3:$G$1590,148),Lines!$G$3:$G$1590,0)),""))</f>
        <v/>
      </c>
      <c r="I153" s="26"/>
      <c r="J153" s="22" t="str">
        <f aca="false">IFERROR(IF(MOD(SMALL(Lines!$G$3:$G$1590,148),100000)=0,-1,MOD(SMALL(Lines!$G$3:$G$1590,148),100)),"")</f>
        <v/>
      </c>
      <c r="K153" s="22" t="str">
        <f aca="false">IF($J153=0,INDEX(Lines!$L$3:$L$1590,MATCH(SMALL(Lines!$G$3:$G$1590,148),Lines!$G$3:$G$1590,0)),"")</f>
        <v/>
      </c>
    </row>
    <row r="154" customFormat="false" ht="15" hidden="false" customHeight="false" outlineLevel="0" collapsed="false">
      <c r="A154" s="24" t="str">
        <f aca="false">IF(OR($J154=0,AND(ISNUMBER($J154),$J154&gt;0,$J154&lt;99)),INDEX(Lines!$A$3:$A$1590,MATCH(SMALL(Lines!$G$3:$G$1590,149),Lines!$G$3:$G$1590,0)),"")</f>
        <v/>
      </c>
      <c r="B154" s="24" t="str">
        <f aca="false">IF($J154=-1,INDEX(Lines!$J$3:$J$1590,MATCH(SMALL(Lines!$G$3:$G$1590,149),Lines!$G$3:$G$1590,0)),IF($J154=0,INDEX(Lines!$L$3:$L$1590,MATCH(SMALL(Lines!$G$3:$G$1590,149),Lines!$G$3:$G$1590,0)),IF(AND(ISNUMBER($J154),$J154&gt;0,$J154&lt;99),INDEX(Lines!$N$3:$N$1590,MATCH(SMALL(Lines!$G$3:$G$1590,149),Lines!$G$3:$G$1590,0)),"")))</f>
        <v/>
      </c>
      <c r="C154" s="25" t="str">
        <f aca="false">IF($J154=0,INDEX(Lines!$K$3:$K$1590,MATCH(SMALL(Lines!$G$3:$G$1590,149),Lines!$G$3:$G$1590,0)),IF(AND(ISNUMBER($J154),$J154&gt;0,$J154&lt;99),INDEX(Lines!$C$3:$C$1590,MATCH(SMALL(Lines!$G$3:$G$1590,149),Lines!$G$3:$G$1590,0)),""))</f>
        <v/>
      </c>
      <c r="D154" s="26" t="str">
        <f aca="false">IF(AND(ISNUMBER($J154),$J154&gt;0,$J154&lt;99),INDEX(Lines!$D$3:$D$1590,MATCH(SMALL(Lines!$G$3:$G$1590,149),Lines!$G$3:$G$1590,0)),"")</f>
        <v/>
      </c>
      <c r="E154" s="26" t="str">
        <f aca="false">IF(AND(ISNUMBER($J154),$J154&gt;0,$J154&lt;99),INDEX(Lines!$E$3:$E$1590,MATCH(SMALL(Lines!$G$3:$G$1590,149),Lines!$G$3:$G$1590,0)),"")</f>
        <v/>
      </c>
      <c r="F154" s="26" t="str">
        <f aca="false">IF(AND(ISNUMBER($J154),$J154&gt;0,$J154&lt;99),INDEX(Lines!$O$3:$O$1590,MATCH(SMALL(Lines!$G$3:$G$1590,149),Lines!$G$3:$G$1590,0)),"")</f>
        <v/>
      </c>
      <c r="G154" s="27" t="str">
        <f aca="false">IF($J154=0,INDEX(Lines!$Q$3:$Q$1590,MATCH(SMALL(Lines!$G$3:$G$1590,149),Lines!$G$3:$G$1590,0)),IF(AND(ISNUMBER($J154),$J154&gt;0,$J154&lt;99),INDEX(Lines!$P$3:$P$1590,MATCH(SMALL(Lines!$G$3:$G$1590,149),Lines!$G$3:$G$1590,0)),""))</f>
        <v/>
      </c>
      <c r="H154" s="28" t="str">
        <f aca="false">IF($J154=0,INDEX(Lines!$H$3:$H$1590,MATCH(SMALL(Lines!$G$3:$G$1590,149),Lines!$G$3:$G$1590,0))&amp;" groups",IF(AND(ISNUMBER($J154),$J154&gt;0,$J154&lt;99),INDEX(Lines!$I$3:$I$1590,MATCH(SMALL(Lines!$G$3:$G$1590,149),Lines!$G$3:$G$1590,0)),""))</f>
        <v/>
      </c>
      <c r="I154" s="26"/>
      <c r="J154" s="22" t="str">
        <f aca="false">IFERROR(IF(MOD(SMALL(Lines!$G$3:$G$1590,149),100000)=0,-1,MOD(SMALL(Lines!$G$3:$G$1590,149),100)),"")</f>
        <v/>
      </c>
      <c r="K154" s="22" t="str">
        <f aca="false">IF($J154=0,INDEX(Lines!$L$3:$L$1590,MATCH(SMALL(Lines!$G$3:$G$1590,149),Lines!$G$3:$G$1590,0)),"")</f>
        <v/>
      </c>
    </row>
    <row r="155" customFormat="false" ht="15" hidden="false" customHeight="false" outlineLevel="0" collapsed="false">
      <c r="A155" s="24" t="str">
        <f aca="false">IF(OR($J155=0,AND(ISNUMBER($J155),$J155&gt;0,$J155&lt;99)),INDEX(Lines!$A$3:$A$1590,MATCH(SMALL(Lines!$G$3:$G$1590,150),Lines!$G$3:$G$1590,0)),"")</f>
        <v/>
      </c>
      <c r="B155" s="24" t="str">
        <f aca="false">IF($J155=-1,INDEX(Lines!$J$3:$J$1590,MATCH(SMALL(Lines!$G$3:$G$1590,150),Lines!$G$3:$G$1590,0)),IF($J155=0,INDEX(Lines!$L$3:$L$1590,MATCH(SMALL(Lines!$G$3:$G$1590,150),Lines!$G$3:$G$1590,0)),IF(AND(ISNUMBER($J155),$J155&gt;0,$J155&lt;99),INDEX(Lines!$N$3:$N$1590,MATCH(SMALL(Lines!$G$3:$G$1590,150),Lines!$G$3:$G$1590,0)),"")))</f>
        <v/>
      </c>
      <c r="C155" s="25" t="str">
        <f aca="false">IF($J155=0,INDEX(Lines!$K$3:$K$1590,MATCH(SMALL(Lines!$G$3:$G$1590,150),Lines!$G$3:$G$1590,0)),IF(AND(ISNUMBER($J155),$J155&gt;0,$J155&lt;99),INDEX(Lines!$C$3:$C$1590,MATCH(SMALL(Lines!$G$3:$G$1590,150),Lines!$G$3:$G$1590,0)),""))</f>
        <v/>
      </c>
      <c r="D155" s="26" t="str">
        <f aca="false">IF(AND(ISNUMBER($J155),$J155&gt;0,$J155&lt;99),INDEX(Lines!$D$3:$D$1590,MATCH(SMALL(Lines!$G$3:$G$1590,150),Lines!$G$3:$G$1590,0)),"")</f>
        <v/>
      </c>
      <c r="E155" s="26" t="str">
        <f aca="false">IF(AND(ISNUMBER($J155),$J155&gt;0,$J155&lt;99),INDEX(Lines!$E$3:$E$1590,MATCH(SMALL(Lines!$G$3:$G$1590,150),Lines!$G$3:$G$1590,0)),"")</f>
        <v/>
      </c>
      <c r="F155" s="26" t="str">
        <f aca="false">IF(AND(ISNUMBER($J155),$J155&gt;0,$J155&lt;99),INDEX(Lines!$O$3:$O$1590,MATCH(SMALL(Lines!$G$3:$G$1590,150),Lines!$G$3:$G$1590,0)),"")</f>
        <v/>
      </c>
      <c r="G155" s="27" t="str">
        <f aca="false">IF($J155=0,INDEX(Lines!$Q$3:$Q$1590,MATCH(SMALL(Lines!$G$3:$G$1590,150),Lines!$G$3:$G$1590,0)),IF(AND(ISNUMBER($J155),$J155&gt;0,$J155&lt;99),INDEX(Lines!$P$3:$P$1590,MATCH(SMALL(Lines!$G$3:$G$1590,150),Lines!$G$3:$G$1590,0)),""))</f>
        <v/>
      </c>
      <c r="H155" s="28" t="str">
        <f aca="false">IF($J155=0,INDEX(Lines!$H$3:$H$1590,MATCH(SMALL(Lines!$G$3:$G$1590,150),Lines!$G$3:$G$1590,0))&amp;" groups",IF(AND(ISNUMBER($J155),$J155&gt;0,$J155&lt;99),INDEX(Lines!$I$3:$I$1590,MATCH(SMALL(Lines!$G$3:$G$1590,150),Lines!$G$3:$G$1590,0)),""))</f>
        <v/>
      </c>
      <c r="I155" s="26"/>
      <c r="J155" s="22" t="str">
        <f aca="false">IFERROR(IF(MOD(SMALL(Lines!$G$3:$G$1590,150),100000)=0,-1,MOD(SMALL(Lines!$G$3:$G$1590,150),100)),"")</f>
        <v/>
      </c>
      <c r="K155" s="22" t="str">
        <f aca="false">IF($J155=0,INDEX(Lines!$L$3:$L$1590,MATCH(SMALL(Lines!$G$3:$G$1590,150),Lines!$G$3:$G$1590,0)),"")</f>
        <v/>
      </c>
    </row>
    <row r="156" customFormat="false" ht="15" hidden="false" customHeight="false" outlineLevel="0" collapsed="false">
      <c r="A156" s="24" t="str">
        <f aca="false">IF(OR($J156=0,AND(ISNUMBER($J156),$J156&gt;0,$J156&lt;99)),INDEX(Lines!$A$3:$A$1590,MATCH(SMALL(Lines!$G$3:$G$1590,151),Lines!$G$3:$G$1590,0)),"")</f>
        <v/>
      </c>
      <c r="B156" s="24" t="str">
        <f aca="false">IF($J156=-1,INDEX(Lines!$J$3:$J$1590,MATCH(SMALL(Lines!$G$3:$G$1590,151),Lines!$G$3:$G$1590,0)),IF($J156=0,INDEX(Lines!$L$3:$L$1590,MATCH(SMALL(Lines!$G$3:$G$1590,151),Lines!$G$3:$G$1590,0)),IF(AND(ISNUMBER($J156),$J156&gt;0,$J156&lt;99),INDEX(Lines!$N$3:$N$1590,MATCH(SMALL(Lines!$G$3:$G$1590,151),Lines!$G$3:$G$1590,0)),"")))</f>
        <v/>
      </c>
      <c r="C156" s="25" t="str">
        <f aca="false">IF($J156=0,INDEX(Lines!$K$3:$K$1590,MATCH(SMALL(Lines!$G$3:$G$1590,151),Lines!$G$3:$G$1590,0)),IF(AND(ISNUMBER($J156),$J156&gt;0,$J156&lt;99),INDEX(Lines!$C$3:$C$1590,MATCH(SMALL(Lines!$G$3:$G$1590,151),Lines!$G$3:$G$1590,0)),""))</f>
        <v/>
      </c>
      <c r="D156" s="26" t="str">
        <f aca="false">IF(AND(ISNUMBER($J156),$J156&gt;0,$J156&lt;99),INDEX(Lines!$D$3:$D$1590,MATCH(SMALL(Lines!$G$3:$G$1590,151),Lines!$G$3:$G$1590,0)),"")</f>
        <v/>
      </c>
      <c r="E156" s="26" t="str">
        <f aca="false">IF(AND(ISNUMBER($J156),$J156&gt;0,$J156&lt;99),INDEX(Lines!$E$3:$E$1590,MATCH(SMALL(Lines!$G$3:$G$1590,151),Lines!$G$3:$G$1590,0)),"")</f>
        <v/>
      </c>
      <c r="F156" s="26" t="str">
        <f aca="false">IF(AND(ISNUMBER($J156),$J156&gt;0,$J156&lt;99),INDEX(Lines!$O$3:$O$1590,MATCH(SMALL(Lines!$G$3:$G$1590,151),Lines!$G$3:$G$1590,0)),"")</f>
        <v/>
      </c>
      <c r="G156" s="27" t="str">
        <f aca="false">IF($J156=0,INDEX(Lines!$Q$3:$Q$1590,MATCH(SMALL(Lines!$G$3:$G$1590,151),Lines!$G$3:$G$1590,0)),IF(AND(ISNUMBER($J156),$J156&gt;0,$J156&lt;99),INDEX(Lines!$P$3:$P$1590,MATCH(SMALL(Lines!$G$3:$G$1590,151),Lines!$G$3:$G$1590,0)),""))</f>
        <v/>
      </c>
      <c r="H156" s="28" t="str">
        <f aca="false">IF($J156=0,INDEX(Lines!$H$3:$H$1590,MATCH(SMALL(Lines!$G$3:$G$1590,151),Lines!$G$3:$G$1590,0))&amp;" groups",IF(AND(ISNUMBER($J156),$J156&gt;0,$J156&lt;99),INDEX(Lines!$I$3:$I$1590,MATCH(SMALL(Lines!$G$3:$G$1590,151),Lines!$G$3:$G$1590,0)),""))</f>
        <v/>
      </c>
      <c r="I156" s="26"/>
      <c r="J156" s="22" t="str">
        <f aca="false">IFERROR(IF(MOD(SMALL(Lines!$G$3:$G$1590,151),100000)=0,-1,MOD(SMALL(Lines!$G$3:$G$1590,151),100)),"")</f>
        <v/>
      </c>
      <c r="K156" s="22" t="str">
        <f aca="false">IF($J156=0,INDEX(Lines!$L$3:$L$1590,MATCH(SMALL(Lines!$G$3:$G$1590,151),Lines!$G$3:$G$1590,0)),"")</f>
        <v/>
      </c>
    </row>
    <row r="157" customFormat="false" ht="15" hidden="false" customHeight="false" outlineLevel="0" collapsed="false">
      <c r="A157" s="24" t="str">
        <f aca="false">IF(OR($J157=0,AND(ISNUMBER($J157),$J157&gt;0,$J157&lt;99)),INDEX(Lines!$A$3:$A$1590,MATCH(SMALL(Lines!$G$3:$G$1590,152),Lines!$G$3:$G$1590,0)),"")</f>
        <v/>
      </c>
      <c r="B157" s="24" t="str">
        <f aca="false">IF($J157=-1,INDEX(Lines!$J$3:$J$1590,MATCH(SMALL(Lines!$G$3:$G$1590,152),Lines!$G$3:$G$1590,0)),IF($J157=0,INDEX(Lines!$L$3:$L$1590,MATCH(SMALL(Lines!$G$3:$G$1590,152),Lines!$G$3:$G$1590,0)),IF(AND(ISNUMBER($J157),$J157&gt;0,$J157&lt;99),INDEX(Lines!$N$3:$N$1590,MATCH(SMALL(Lines!$G$3:$G$1590,152),Lines!$G$3:$G$1590,0)),"")))</f>
        <v/>
      </c>
      <c r="C157" s="25" t="str">
        <f aca="false">IF($J157=0,INDEX(Lines!$K$3:$K$1590,MATCH(SMALL(Lines!$G$3:$G$1590,152),Lines!$G$3:$G$1590,0)),IF(AND(ISNUMBER($J157),$J157&gt;0,$J157&lt;99),INDEX(Lines!$C$3:$C$1590,MATCH(SMALL(Lines!$G$3:$G$1590,152),Lines!$G$3:$G$1590,0)),""))</f>
        <v/>
      </c>
      <c r="D157" s="26" t="str">
        <f aca="false">IF(AND(ISNUMBER($J157),$J157&gt;0,$J157&lt;99),INDEX(Lines!$D$3:$D$1590,MATCH(SMALL(Lines!$G$3:$G$1590,152),Lines!$G$3:$G$1590,0)),"")</f>
        <v/>
      </c>
      <c r="E157" s="26" t="str">
        <f aca="false">IF(AND(ISNUMBER($J157),$J157&gt;0,$J157&lt;99),INDEX(Lines!$E$3:$E$1590,MATCH(SMALL(Lines!$G$3:$G$1590,152),Lines!$G$3:$G$1590,0)),"")</f>
        <v/>
      </c>
      <c r="F157" s="26" t="str">
        <f aca="false">IF(AND(ISNUMBER($J157),$J157&gt;0,$J157&lt;99),INDEX(Lines!$O$3:$O$1590,MATCH(SMALL(Lines!$G$3:$G$1590,152),Lines!$G$3:$G$1590,0)),"")</f>
        <v/>
      </c>
      <c r="G157" s="27" t="str">
        <f aca="false">IF($J157=0,INDEX(Lines!$Q$3:$Q$1590,MATCH(SMALL(Lines!$G$3:$G$1590,152),Lines!$G$3:$G$1590,0)),IF(AND(ISNUMBER($J157),$J157&gt;0,$J157&lt;99),INDEX(Lines!$P$3:$P$1590,MATCH(SMALL(Lines!$G$3:$G$1590,152),Lines!$G$3:$G$1590,0)),""))</f>
        <v/>
      </c>
      <c r="H157" s="28" t="str">
        <f aca="false">IF($J157=0,INDEX(Lines!$H$3:$H$1590,MATCH(SMALL(Lines!$G$3:$G$1590,152),Lines!$G$3:$G$1590,0))&amp;" groups",IF(AND(ISNUMBER($J157),$J157&gt;0,$J157&lt;99),INDEX(Lines!$I$3:$I$1590,MATCH(SMALL(Lines!$G$3:$G$1590,152),Lines!$G$3:$G$1590,0)),""))</f>
        <v/>
      </c>
      <c r="I157" s="26"/>
      <c r="J157" s="22" t="str">
        <f aca="false">IFERROR(IF(MOD(SMALL(Lines!$G$3:$G$1590,152),100000)=0,-1,MOD(SMALL(Lines!$G$3:$G$1590,152),100)),"")</f>
        <v/>
      </c>
      <c r="K157" s="22" t="str">
        <f aca="false">IF($J157=0,INDEX(Lines!$L$3:$L$1590,MATCH(SMALL(Lines!$G$3:$G$1590,152),Lines!$G$3:$G$1590,0)),"")</f>
        <v/>
      </c>
    </row>
    <row r="158" customFormat="false" ht="15" hidden="false" customHeight="false" outlineLevel="0" collapsed="false">
      <c r="A158" s="24" t="str">
        <f aca="false">IF(OR($J158=0,AND(ISNUMBER($J158),$J158&gt;0,$J158&lt;99)),INDEX(Lines!$A$3:$A$1590,MATCH(SMALL(Lines!$G$3:$G$1590,153),Lines!$G$3:$G$1590,0)),"")</f>
        <v/>
      </c>
      <c r="B158" s="24" t="str">
        <f aca="false">IF($J158=-1,INDEX(Lines!$J$3:$J$1590,MATCH(SMALL(Lines!$G$3:$G$1590,153),Lines!$G$3:$G$1590,0)),IF($J158=0,INDEX(Lines!$L$3:$L$1590,MATCH(SMALL(Lines!$G$3:$G$1590,153),Lines!$G$3:$G$1590,0)),IF(AND(ISNUMBER($J158),$J158&gt;0,$J158&lt;99),INDEX(Lines!$N$3:$N$1590,MATCH(SMALL(Lines!$G$3:$G$1590,153),Lines!$G$3:$G$1590,0)),"")))</f>
        <v/>
      </c>
      <c r="C158" s="25" t="str">
        <f aca="false">IF($J158=0,INDEX(Lines!$K$3:$K$1590,MATCH(SMALL(Lines!$G$3:$G$1590,153),Lines!$G$3:$G$1590,0)),IF(AND(ISNUMBER($J158),$J158&gt;0,$J158&lt;99),INDEX(Lines!$C$3:$C$1590,MATCH(SMALL(Lines!$G$3:$G$1590,153),Lines!$G$3:$G$1590,0)),""))</f>
        <v/>
      </c>
      <c r="D158" s="26" t="str">
        <f aca="false">IF(AND(ISNUMBER($J158),$J158&gt;0,$J158&lt;99),INDEX(Lines!$D$3:$D$1590,MATCH(SMALL(Lines!$G$3:$G$1590,153),Lines!$G$3:$G$1590,0)),"")</f>
        <v/>
      </c>
      <c r="E158" s="26" t="str">
        <f aca="false">IF(AND(ISNUMBER($J158),$J158&gt;0,$J158&lt;99),INDEX(Lines!$E$3:$E$1590,MATCH(SMALL(Lines!$G$3:$G$1590,153),Lines!$G$3:$G$1590,0)),"")</f>
        <v/>
      </c>
      <c r="F158" s="26" t="str">
        <f aca="false">IF(AND(ISNUMBER($J158),$J158&gt;0,$J158&lt;99),INDEX(Lines!$O$3:$O$1590,MATCH(SMALL(Lines!$G$3:$G$1590,153),Lines!$G$3:$G$1590,0)),"")</f>
        <v/>
      </c>
      <c r="G158" s="27" t="str">
        <f aca="false">IF($J158=0,INDEX(Lines!$Q$3:$Q$1590,MATCH(SMALL(Lines!$G$3:$G$1590,153),Lines!$G$3:$G$1590,0)),IF(AND(ISNUMBER($J158),$J158&gt;0,$J158&lt;99),INDEX(Lines!$P$3:$P$1590,MATCH(SMALL(Lines!$G$3:$G$1590,153),Lines!$G$3:$G$1590,0)),""))</f>
        <v/>
      </c>
      <c r="H158" s="28" t="str">
        <f aca="false">IF($J158=0,INDEX(Lines!$H$3:$H$1590,MATCH(SMALL(Lines!$G$3:$G$1590,153),Lines!$G$3:$G$1590,0))&amp;" groups",IF(AND(ISNUMBER($J158),$J158&gt;0,$J158&lt;99),INDEX(Lines!$I$3:$I$1590,MATCH(SMALL(Lines!$G$3:$G$1590,153),Lines!$G$3:$G$1590,0)),""))</f>
        <v/>
      </c>
      <c r="I158" s="26"/>
      <c r="J158" s="22" t="str">
        <f aca="false">IFERROR(IF(MOD(SMALL(Lines!$G$3:$G$1590,153),100000)=0,-1,MOD(SMALL(Lines!$G$3:$G$1590,153),100)),"")</f>
        <v/>
      </c>
      <c r="K158" s="22" t="str">
        <f aca="false">IF($J158=0,INDEX(Lines!$L$3:$L$1590,MATCH(SMALL(Lines!$G$3:$G$1590,153),Lines!$G$3:$G$1590,0)),"")</f>
        <v/>
      </c>
    </row>
    <row r="159" customFormat="false" ht="15" hidden="false" customHeight="false" outlineLevel="0" collapsed="false">
      <c r="A159" s="24" t="str">
        <f aca="false">IF(OR($J159=0,AND(ISNUMBER($J159),$J159&gt;0,$J159&lt;99)),INDEX(Lines!$A$3:$A$1590,MATCH(SMALL(Lines!$G$3:$G$1590,154),Lines!$G$3:$G$1590,0)),"")</f>
        <v/>
      </c>
      <c r="B159" s="24" t="str">
        <f aca="false">IF($J159=-1,INDEX(Lines!$J$3:$J$1590,MATCH(SMALL(Lines!$G$3:$G$1590,154),Lines!$G$3:$G$1590,0)),IF($J159=0,INDEX(Lines!$L$3:$L$1590,MATCH(SMALL(Lines!$G$3:$G$1590,154),Lines!$G$3:$G$1590,0)),IF(AND(ISNUMBER($J159),$J159&gt;0,$J159&lt;99),INDEX(Lines!$N$3:$N$1590,MATCH(SMALL(Lines!$G$3:$G$1590,154),Lines!$G$3:$G$1590,0)),"")))</f>
        <v/>
      </c>
      <c r="C159" s="25" t="str">
        <f aca="false">IF($J159=0,INDEX(Lines!$K$3:$K$1590,MATCH(SMALL(Lines!$G$3:$G$1590,154),Lines!$G$3:$G$1590,0)),IF(AND(ISNUMBER($J159),$J159&gt;0,$J159&lt;99),INDEX(Lines!$C$3:$C$1590,MATCH(SMALL(Lines!$G$3:$G$1590,154),Lines!$G$3:$G$1590,0)),""))</f>
        <v/>
      </c>
      <c r="D159" s="26" t="str">
        <f aca="false">IF(AND(ISNUMBER($J159),$J159&gt;0,$J159&lt;99),INDEX(Lines!$D$3:$D$1590,MATCH(SMALL(Lines!$G$3:$G$1590,154),Lines!$G$3:$G$1590,0)),"")</f>
        <v/>
      </c>
      <c r="E159" s="26" t="str">
        <f aca="false">IF(AND(ISNUMBER($J159),$J159&gt;0,$J159&lt;99),INDEX(Lines!$E$3:$E$1590,MATCH(SMALL(Lines!$G$3:$G$1590,154),Lines!$G$3:$G$1590,0)),"")</f>
        <v/>
      </c>
      <c r="F159" s="26" t="str">
        <f aca="false">IF(AND(ISNUMBER($J159),$J159&gt;0,$J159&lt;99),INDEX(Lines!$O$3:$O$1590,MATCH(SMALL(Lines!$G$3:$G$1590,154),Lines!$G$3:$G$1590,0)),"")</f>
        <v/>
      </c>
      <c r="G159" s="27" t="str">
        <f aca="false">IF($J159=0,INDEX(Lines!$Q$3:$Q$1590,MATCH(SMALL(Lines!$G$3:$G$1590,154),Lines!$G$3:$G$1590,0)),IF(AND(ISNUMBER($J159),$J159&gt;0,$J159&lt;99),INDEX(Lines!$P$3:$P$1590,MATCH(SMALL(Lines!$G$3:$G$1590,154),Lines!$G$3:$G$1590,0)),""))</f>
        <v/>
      </c>
      <c r="H159" s="28" t="str">
        <f aca="false">IF($J159=0,INDEX(Lines!$H$3:$H$1590,MATCH(SMALL(Lines!$G$3:$G$1590,154),Lines!$G$3:$G$1590,0))&amp;" groups",IF(AND(ISNUMBER($J159),$J159&gt;0,$J159&lt;99),INDEX(Lines!$I$3:$I$1590,MATCH(SMALL(Lines!$G$3:$G$1590,154),Lines!$G$3:$G$1590,0)),""))</f>
        <v/>
      </c>
      <c r="I159" s="26"/>
      <c r="J159" s="22" t="str">
        <f aca="false">IFERROR(IF(MOD(SMALL(Lines!$G$3:$G$1590,154),100000)=0,-1,MOD(SMALL(Lines!$G$3:$G$1590,154),100)),"")</f>
        <v/>
      </c>
      <c r="K159" s="22" t="str">
        <f aca="false">IF($J159=0,INDEX(Lines!$L$3:$L$1590,MATCH(SMALL(Lines!$G$3:$G$1590,154),Lines!$G$3:$G$1590,0)),"")</f>
        <v/>
      </c>
    </row>
    <row r="160" customFormat="false" ht="15" hidden="false" customHeight="false" outlineLevel="0" collapsed="false">
      <c r="A160" s="24" t="str">
        <f aca="false">IF(OR($J160=0,AND(ISNUMBER($J160),$J160&gt;0,$J160&lt;99)),INDEX(Lines!$A$3:$A$1590,MATCH(SMALL(Lines!$G$3:$G$1590,155),Lines!$G$3:$G$1590,0)),"")</f>
        <v/>
      </c>
      <c r="B160" s="24" t="str">
        <f aca="false">IF($J160=-1,INDEX(Lines!$J$3:$J$1590,MATCH(SMALL(Lines!$G$3:$G$1590,155),Lines!$G$3:$G$1590,0)),IF($J160=0,INDEX(Lines!$L$3:$L$1590,MATCH(SMALL(Lines!$G$3:$G$1590,155),Lines!$G$3:$G$1590,0)),IF(AND(ISNUMBER($J160),$J160&gt;0,$J160&lt;99),INDEX(Lines!$N$3:$N$1590,MATCH(SMALL(Lines!$G$3:$G$1590,155),Lines!$G$3:$G$1590,0)),"")))</f>
        <v/>
      </c>
      <c r="C160" s="25" t="str">
        <f aca="false">IF($J160=0,INDEX(Lines!$K$3:$K$1590,MATCH(SMALL(Lines!$G$3:$G$1590,155),Lines!$G$3:$G$1590,0)),IF(AND(ISNUMBER($J160),$J160&gt;0,$J160&lt;99),INDEX(Lines!$C$3:$C$1590,MATCH(SMALL(Lines!$G$3:$G$1590,155),Lines!$G$3:$G$1590,0)),""))</f>
        <v/>
      </c>
      <c r="D160" s="26" t="str">
        <f aca="false">IF(AND(ISNUMBER($J160),$J160&gt;0,$J160&lt;99),INDEX(Lines!$D$3:$D$1590,MATCH(SMALL(Lines!$G$3:$G$1590,155),Lines!$G$3:$G$1590,0)),"")</f>
        <v/>
      </c>
      <c r="E160" s="26" t="str">
        <f aca="false">IF(AND(ISNUMBER($J160),$J160&gt;0,$J160&lt;99),INDEX(Lines!$E$3:$E$1590,MATCH(SMALL(Lines!$G$3:$G$1590,155),Lines!$G$3:$G$1590,0)),"")</f>
        <v/>
      </c>
      <c r="F160" s="26" t="str">
        <f aca="false">IF(AND(ISNUMBER($J160),$J160&gt;0,$J160&lt;99),INDEX(Lines!$O$3:$O$1590,MATCH(SMALL(Lines!$G$3:$G$1590,155),Lines!$G$3:$G$1590,0)),"")</f>
        <v/>
      </c>
      <c r="G160" s="27" t="str">
        <f aca="false">IF($J160=0,INDEX(Lines!$Q$3:$Q$1590,MATCH(SMALL(Lines!$G$3:$G$1590,155),Lines!$G$3:$G$1590,0)),IF(AND(ISNUMBER($J160),$J160&gt;0,$J160&lt;99),INDEX(Lines!$P$3:$P$1590,MATCH(SMALL(Lines!$G$3:$G$1590,155),Lines!$G$3:$G$1590,0)),""))</f>
        <v/>
      </c>
      <c r="H160" s="28" t="str">
        <f aca="false">IF($J160=0,INDEX(Lines!$H$3:$H$1590,MATCH(SMALL(Lines!$G$3:$G$1590,155),Lines!$G$3:$G$1590,0))&amp;" groups",IF(AND(ISNUMBER($J160),$J160&gt;0,$J160&lt;99),INDEX(Lines!$I$3:$I$1590,MATCH(SMALL(Lines!$G$3:$G$1590,155),Lines!$G$3:$G$1590,0)),""))</f>
        <v/>
      </c>
      <c r="I160" s="26"/>
      <c r="J160" s="22" t="str">
        <f aca="false">IFERROR(IF(MOD(SMALL(Lines!$G$3:$G$1590,155),100000)=0,-1,MOD(SMALL(Lines!$G$3:$G$1590,155),100)),"")</f>
        <v/>
      </c>
      <c r="K160" s="22" t="str">
        <f aca="false">IF($J160=0,INDEX(Lines!$L$3:$L$1590,MATCH(SMALL(Lines!$G$3:$G$1590,155),Lines!$G$3:$G$1590,0)),"")</f>
        <v/>
      </c>
    </row>
    <row r="161" customFormat="false" ht="15" hidden="false" customHeight="false" outlineLevel="0" collapsed="false">
      <c r="A161" s="24" t="str">
        <f aca="false">IF(OR($J161=0,AND(ISNUMBER($J161),$J161&gt;0,$J161&lt;99)),INDEX(Lines!$A$3:$A$1590,MATCH(SMALL(Lines!$G$3:$G$1590,156),Lines!$G$3:$G$1590,0)),"")</f>
        <v/>
      </c>
      <c r="B161" s="24" t="str">
        <f aca="false">IF($J161=-1,INDEX(Lines!$J$3:$J$1590,MATCH(SMALL(Lines!$G$3:$G$1590,156),Lines!$G$3:$G$1590,0)),IF($J161=0,INDEX(Lines!$L$3:$L$1590,MATCH(SMALL(Lines!$G$3:$G$1590,156),Lines!$G$3:$G$1590,0)),IF(AND(ISNUMBER($J161),$J161&gt;0,$J161&lt;99),INDEX(Lines!$N$3:$N$1590,MATCH(SMALL(Lines!$G$3:$G$1590,156),Lines!$G$3:$G$1590,0)),"")))</f>
        <v/>
      </c>
      <c r="C161" s="25" t="str">
        <f aca="false">IF($J161=0,INDEX(Lines!$K$3:$K$1590,MATCH(SMALL(Lines!$G$3:$G$1590,156),Lines!$G$3:$G$1590,0)),IF(AND(ISNUMBER($J161),$J161&gt;0,$J161&lt;99),INDEX(Lines!$C$3:$C$1590,MATCH(SMALL(Lines!$G$3:$G$1590,156),Lines!$G$3:$G$1590,0)),""))</f>
        <v/>
      </c>
      <c r="D161" s="26" t="str">
        <f aca="false">IF(AND(ISNUMBER($J161),$J161&gt;0,$J161&lt;99),INDEX(Lines!$D$3:$D$1590,MATCH(SMALL(Lines!$G$3:$G$1590,156),Lines!$G$3:$G$1590,0)),"")</f>
        <v/>
      </c>
      <c r="E161" s="26" t="str">
        <f aca="false">IF(AND(ISNUMBER($J161),$J161&gt;0,$J161&lt;99),INDEX(Lines!$E$3:$E$1590,MATCH(SMALL(Lines!$G$3:$G$1590,156),Lines!$G$3:$G$1590,0)),"")</f>
        <v/>
      </c>
      <c r="F161" s="26" t="str">
        <f aca="false">IF(AND(ISNUMBER($J161),$J161&gt;0,$J161&lt;99),INDEX(Lines!$O$3:$O$1590,MATCH(SMALL(Lines!$G$3:$G$1590,156),Lines!$G$3:$G$1590,0)),"")</f>
        <v/>
      </c>
      <c r="G161" s="27" t="str">
        <f aca="false">IF($J161=0,INDEX(Lines!$Q$3:$Q$1590,MATCH(SMALL(Lines!$G$3:$G$1590,156),Lines!$G$3:$G$1590,0)),IF(AND(ISNUMBER($J161),$J161&gt;0,$J161&lt;99),INDEX(Lines!$P$3:$P$1590,MATCH(SMALL(Lines!$G$3:$G$1590,156),Lines!$G$3:$G$1590,0)),""))</f>
        <v/>
      </c>
      <c r="H161" s="28" t="str">
        <f aca="false">IF($J161=0,INDEX(Lines!$H$3:$H$1590,MATCH(SMALL(Lines!$G$3:$G$1590,156),Lines!$G$3:$G$1590,0))&amp;" groups",IF(AND(ISNUMBER($J161),$J161&gt;0,$J161&lt;99),INDEX(Lines!$I$3:$I$1590,MATCH(SMALL(Lines!$G$3:$G$1590,156),Lines!$G$3:$G$1590,0)),""))</f>
        <v/>
      </c>
      <c r="I161" s="26"/>
      <c r="J161" s="22" t="str">
        <f aca="false">IFERROR(IF(MOD(SMALL(Lines!$G$3:$G$1590,156),100000)=0,-1,MOD(SMALL(Lines!$G$3:$G$1590,156),100)),"")</f>
        <v/>
      </c>
      <c r="K161" s="22" t="str">
        <f aca="false">IF($J161=0,INDEX(Lines!$L$3:$L$1590,MATCH(SMALL(Lines!$G$3:$G$1590,156),Lines!$G$3:$G$1590,0)),"")</f>
        <v/>
      </c>
    </row>
    <row r="162" customFormat="false" ht="15" hidden="false" customHeight="false" outlineLevel="0" collapsed="false">
      <c r="A162" s="24" t="str">
        <f aca="false">IF(OR($J162=0,AND(ISNUMBER($J162),$J162&gt;0,$J162&lt;99)),INDEX(Lines!$A$3:$A$1590,MATCH(SMALL(Lines!$G$3:$G$1590,157),Lines!$G$3:$G$1590,0)),"")</f>
        <v/>
      </c>
      <c r="B162" s="24" t="str">
        <f aca="false">IF($J162=-1,INDEX(Lines!$J$3:$J$1590,MATCH(SMALL(Lines!$G$3:$G$1590,157),Lines!$G$3:$G$1590,0)),IF($J162=0,INDEX(Lines!$L$3:$L$1590,MATCH(SMALL(Lines!$G$3:$G$1590,157),Lines!$G$3:$G$1590,0)),IF(AND(ISNUMBER($J162),$J162&gt;0,$J162&lt;99),INDEX(Lines!$N$3:$N$1590,MATCH(SMALL(Lines!$G$3:$G$1590,157),Lines!$G$3:$G$1590,0)),"")))</f>
        <v/>
      </c>
      <c r="C162" s="25" t="str">
        <f aca="false">IF($J162=0,INDEX(Lines!$K$3:$K$1590,MATCH(SMALL(Lines!$G$3:$G$1590,157),Lines!$G$3:$G$1590,0)),IF(AND(ISNUMBER($J162),$J162&gt;0,$J162&lt;99),INDEX(Lines!$C$3:$C$1590,MATCH(SMALL(Lines!$G$3:$G$1590,157),Lines!$G$3:$G$1590,0)),""))</f>
        <v/>
      </c>
      <c r="D162" s="26" t="str">
        <f aca="false">IF(AND(ISNUMBER($J162),$J162&gt;0,$J162&lt;99),INDEX(Lines!$D$3:$D$1590,MATCH(SMALL(Lines!$G$3:$G$1590,157),Lines!$G$3:$G$1590,0)),"")</f>
        <v/>
      </c>
      <c r="E162" s="26" t="str">
        <f aca="false">IF(AND(ISNUMBER($J162),$J162&gt;0,$J162&lt;99),INDEX(Lines!$E$3:$E$1590,MATCH(SMALL(Lines!$G$3:$G$1590,157),Lines!$G$3:$G$1590,0)),"")</f>
        <v/>
      </c>
      <c r="F162" s="26" t="str">
        <f aca="false">IF(AND(ISNUMBER($J162),$J162&gt;0,$J162&lt;99),INDEX(Lines!$O$3:$O$1590,MATCH(SMALL(Lines!$G$3:$G$1590,157),Lines!$G$3:$G$1590,0)),"")</f>
        <v/>
      </c>
      <c r="G162" s="27" t="str">
        <f aca="false">IF($J162=0,INDEX(Lines!$Q$3:$Q$1590,MATCH(SMALL(Lines!$G$3:$G$1590,157),Lines!$G$3:$G$1590,0)),IF(AND(ISNUMBER($J162),$J162&gt;0,$J162&lt;99),INDEX(Lines!$P$3:$P$1590,MATCH(SMALL(Lines!$G$3:$G$1590,157),Lines!$G$3:$G$1590,0)),""))</f>
        <v/>
      </c>
      <c r="H162" s="28" t="str">
        <f aca="false">IF($J162=0,INDEX(Lines!$H$3:$H$1590,MATCH(SMALL(Lines!$G$3:$G$1590,157),Lines!$G$3:$G$1590,0))&amp;" groups",IF(AND(ISNUMBER($J162),$J162&gt;0,$J162&lt;99),INDEX(Lines!$I$3:$I$1590,MATCH(SMALL(Lines!$G$3:$G$1590,157),Lines!$G$3:$G$1590,0)),""))</f>
        <v/>
      </c>
      <c r="I162" s="26"/>
      <c r="J162" s="22" t="str">
        <f aca="false">IFERROR(IF(MOD(SMALL(Lines!$G$3:$G$1590,157),100000)=0,-1,MOD(SMALL(Lines!$G$3:$G$1590,157),100)),"")</f>
        <v/>
      </c>
      <c r="K162" s="22" t="str">
        <f aca="false">IF($J162=0,INDEX(Lines!$L$3:$L$1590,MATCH(SMALL(Lines!$G$3:$G$1590,157),Lines!$G$3:$G$1590,0)),"")</f>
        <v/>
      </c>
    </row>
    <row r="163" customFormat="false" ht="15" hidden="false" customHeight="false" outlineLevel="0" collapsed="false">
      <c r="A163" s="24" t="str">
        <f aca="false">IF(OR($J163=0,AND(ISNUMBER($J163),$J163&gt;0,$J163&lt;99)),INDEX(Lines!$A$3:$A$1590,MATCH(SMALL(Lines!$G$3:$G$1590,158),Lines!$G$3:$G$1590,0)),"")</f>
        <v/>
      </c>
      <c r="B163" s="24" t="str">
        <f aca="false">IF($J163=-1,INDEX(Lines!$J$3:$J$1590,MATCH(SMALL(Lines!$G$3:$G$1590,158),Lines!$G$3:$G$1590,0)),IF($J163=0,INDEX(Lines!$L$3:$L$1590,MATCH(SMALL(Lines!$G$3:$G$1590,158),Lines!$G$3:$G$1590,0)),IF(AND(ISNUMBER($J163),$J163&gt;0,$J163&lt;99),INDEX(Lines!$N$3:$N$1590,MATCH(SMALL(Lines!$G$3:$G$1590,158),Lines!$G$3:$G$1590,0)),"")))</f>
        <v/>
      </c>
      <c r="C163" s="25" t="str">
        <f aca="false">IF($J163=0,INDEX(Lines!$K$3:$K$1590,MATCH(SMALL(Lines!$G$3:$G$1590,158),Lines!$G$3:$G$1590,0)),IF(AND(ISNUMBER($J163),$J163&gt;0,$J163&lt;99),INDEX(Lines!$C$3:$C$1590,MATCH(SMALL(Lines!$G$3:$G$1590,158),Lines!$G$3:$G$1590,0)),""))</f>
        <v/>
      </c>
      <c r="D163" s="26" t="str">
        <f aca="false">IF(AND(ISNUMBER($J163),$J163&gt;0,$J163&lt;99),INDEX(Lines!$D$3:$D$1590,MATCH(SMALL(Lines!$G$3:$G$1590,158),Lines!$G$3:$G$1590,0)),"")</f>
        <v/>
      </c>
      <c r="E163" s="26" t="str">
        <f aca="false">IF(AND(ISNUMBER($J163),$J163&gt;0,$J163&lt;99),INDEX(Lines!$E$3:$E$1590,MATCH(SMALL(Lines!$G$3:$G$1590,158),Lines!$G$3:$G$1590,0)),"")</f>
        <v/>
      </c>
      <c r="F163" s="26" t="str">
        <f aca="false">IF(AND(ISNUMBER($J163),$J163&gt;0,$J163&lt;99),INDEX(Lines!$O$3:$O$1590,MATCH(SMALL(Lines!$G$3:$G$1590,158),Lines!$G$3:$G$1590,0)),"")</f>
        <v/>
      </c>
      <c r="G163" s="27" t="str">
        <f aca="false">IF($J163=0,INDEX(Lines!$Q$3:$Q$1590,MATCH(SMALL(Lines!$G$3:$G$1590,158),Lines!$G$3:$G$1590,0)),IF(AND(ISNUMBER($J163),$J163&gt;0,$J163&lt;99),INDEX(Lines!$P$3:$P$1590,MATCH(SMALL(Lines!$G$3:$G$1590,158),Lines!$G$3:$G$1590,0)),""))</f>
        <v/>
      </c>
      <c r="H163" s="28" t="str">
        <f aca="false">IF($J163=0,INDEX(Lines!$H$3:$H$1590,MATCH(SMALL(Lines!$G$3:$G$1590,158),Lines!$G$3:$G$1590,0))&amp;" groups",IF(AND(ISNUMBER($J163),$J163&gt;0,$J163&lt;99),INDEX(Lines!$I$3:$I$1590,MATCH(SMALL(Lines!$G$3:$G$1590,158),Lines!$G$3:$G$1590,0)),""))</f>
        <v/>
      </c>
      <c r="I163" s="26"/>
      <c r="J163" s="22" t="str">
        <f aca="false">IFERROR(IF(MOD(SMALL(Lines!$G$3:$G$1590,158),100000)=0,-1,MOD(SMALL(Lines!$G$3:$G$1590,158),100)),"")</f>
        <v/>
      </c>
      <c r="K163" s="22" t="str">
        <f aca="false">IF($J163=0,INDEX(Lines!$L$3:$L$1590,MATCH(SMALL(Lines!$G$3:$G$1590,158),Lines!$G$3:$G$1590,0)),"")</f>
        <v/>
      </c>
    </row>
    <row r="164" customFormat="false" ht="15" hidden="false" customHeight="false" outlineLevel="0" collapsed="false">
      <c r="A164" s="24" t="str">
        <f aca="false">IF(OR($J164=0,AND(ISNUMBER($J164),$J164&gt;0,$J164&lt;99)),INDEX(Lines!$A$3:$A$1590,MATCH(SMALL(Lines!$G$3:$G$1590,159),Lines!$G$3:$G$1590,0)),"")</f>
        <v/>
      </c>
      <c r="B164" s="24" t="str">
        <f aca="false">IF($J164=-1,INDEX(Lines!$J$3:$J$1590,MATCH(SMALL(Lines!$G$3:$G$1590,159),Lines!$G$3:$G$1590,0)),IF($J164=0,INDEX(Lines!$L$3:$L$1590,MATCH(SMALL(Lines!$G$3:$G$1590,159),Lines!$G$3:$G$1590,0)),IF(AND(ISNUMBER($J164),$J164&gt;0,$J164&lt;99),INDEX(Lines!$N$3:$N$1590,MATCH(SMALL(Lines!$G$3:$G$1590,159),Lines!$G$3:$G$1590,0)),"")))</f>
        <v/>
      </c>
      <c r="C164" s="25" t="str">
        <f aca="false">IF($J164=0,INDEX(Lines!$K$3:$K$1590,MATCH(SMALL(Lines!$G$3:$G$1590,159),Lines!$G$3:$G$1590,0)),IF(AND(ISNUMBER($J164),$J164&gt;0,$J164&lt;99),INDEX(Lines!$C$3:$C$1590,MATCH(SMALL(Lines!$G$3:$G$1590,159),Lines!$G$3:$G$1590,0)),""))</f>
        <v/>
      </c>
      <c r="D164" s="26" t="str">
        <f aca="false">IF(AND(ISNUMBER($J164),$J164&gt;0,$J164&lt;99),INDEX(Lines!$D$3:$D$1590,MATCH(SMALL(Lines!$G$3:$G$1590,159),Lines!$G$3:$G$1590,0)),"")</f>
        <v/>
      </c>
      <c r="E164" s="26" t="str">
        <f aca="false">IF(AND(ISNUMBER($J164),$J164&gt;0,$J164&lt;99),INDEX(Lines!$E$3:$E$1590,MATCH(SMALL(Lines!$G$3:$G$1590,159),Lines!$G$3:$G$1590,0)),"")</f>
        <v/>
      </c>
      <c r="F164" s="26" t="str">
        <f aca="false">IF(AND(ISNUMBER($J164),$J164&gt;0,$J164&lt;99),INDEX(Lines!$O$3:$O$1590,MATCH(SMALL(Lines!$G$3:$G$1590,159),Lines!$G$3:$G$1590,0)),"")</f>
        <v/>
      </c>
      <c r="G164" s="27" t="str">
        <f aca="false">IF($J164=0,INDEX(Lines!$Q$3:$Q$1590,MATCH(SMALL(Lines!$G$3:$G$1590,159),Lines!$G$3:$G$1590,0)),IF(AND(ISNUMBER($J164),$J164&gt;0,$J164&lt;99),INDEX(Lines!$P$3:$P$1590,MATCH(SMALL(Lines!$G$3:$G$1590,159),Lines!$G$3:$G$1590,0)),""))</f>
        <v/>
      </c>
      <c r="H164" s="28" t="str">
        <f aca="false">IF($J164=0,INDEX(Lines!$H$3:$H$1590,MATCH(SMALL(Lines!$G$3:$G$1590,159),Lines!$G$3:$G$1590,0))&amp;" groups",IF(AND(ISNUMBER($J164),$J164&gt;0,$J164&lt;99),INDEX(Lines!$I$3:$I$1590,MATCH(SMALL(Lines!$G$3:$G$1590,159),Lines!$G$3:$G$1590,0)),""))</f>
        <v/>
      </c>
      <c r="I164" s="26"/>
      <c r="J164" s="22" t="str">
        <f aca="false">IFERROR(IF(MOD(SMALL(Lines!$G$3:$G$1590,159),100000)=0,-1,MOD(SMALL(Lines!$G$3:$G$1590,159),100)),"")</f>
        <v/>
      </c>
      <c r="K164" s="22" t="str">
        <f aca="false">IF($J164=0,INDEX(Lines!$L$3:$L$1590,MATCH(SMALL(Lines!$G$3:$G$1590,159),Lines!$G$3:$G$1590,0)),"")</f>
        <v/>
      </c>
    </row>
    <row r="165" customFormat="false" ht="15" hidden="false" customHeight="false" outlineLevel="0" collapsed="false">
      <c r="A165" s="24" t="str">
        <f aca="false">IF(OR($J165=0,AND(ISNUMBER($J165),$J165&gt;0,$J165&lt;99)),INDEX(Lines!$A$3:$A$1590,MATCH(SMALL(Lines!$G$3:$G$1590,160),Lines!$G$3:$G$1590,0)),"")</f>
        <v/>
      </c>
      <c r="B165" s="24" t="str">
        <f aca="false">IF($J165=-1,INDEX(Lines!$J$3:$J$1590,MATCH(SMALL(Lines!$G$3:$G$1590,160),Lines!$G$3:$G$1590,0)),IF($J165=0,INDEX(Lines!$L$3:$L$1590,MATCH(SMALL(Lines!$G$3:$G$1590,160),Lines!$G$3:$G$1590,0)),IF(AND(ISNUMBER($J165),$J165&gt;0,$J165&lt;99),INDEX(Lines!$N$3:$N$1590,MATCH(SMALL(Lines!$G$3:$G$1590,160),Lines!$G$3:$G$1590,0)),"")))</f>
        <v/>
      </c>
      <c r="C165" s="25" t="str">
        <f aca="false">IF($J165=0,INDEX(Lines!$K$3:$K$1590,MATCH(SMALL(Lines!$G$3:$G$1590,160),Lines!$G$3:$G$1590,0)),IF(AND(ISNUMBER($J165),$J165&gt;0,$J165&lt;99),INDEX(Lines!$C$3:$C$1590,MATCH(SMALL(Lines!$G$3:$G$1590,160),Lines!$G$3:$G$1590,0)),""))</f>
        <v/>
      </c>
      <c r="D165" s="26" t="str">
        <f aca="false">IF(AND(ISNUMBER($J165),$J165&gt;0,$J165&lt;99),INDEX(Lines!$D$3:$D$1590,MATCH(SMALL(Lines!$G$3:$G$1590,160),Lines!$G$3:$G$1590,0)),"")</f>
        <v/>
      </c>
      <c r="E165" s="26" t="str">
        <f aca="false">IF(AND(ISNUMBER($J165),$J165&gt;0,$J165&lt;99),INDEX(Lines!$E$3:$E$1590,MATCH(SMALL(Lines!$G$3:$G$1590,160),Lines!$G$3:$G$1590,0)),"")</f>
        <v/>
      </c>
      <c r="F165" s="26" t="str">
        <f aca="false">IF(AND(ISNUMBER($J165),$J165&gt;0,$J165&lt;99),INDEX(Lines!$O$3:$O$1590,MATCH(SMALL(Lines!$G$3:$G$1590,160),Lines!$G$3:$G$1590,0)),"")</f>
        <v/>
      </c>
      <c r="G165" s="27" t="str">
        <f aca="false">IF($J165=0,INDEX(Lines!$Q$3:$Q$1590,MATCH(SMALL(Lines!$G$3:$G$1590,160),Lines!$G$3:$G$1590,0)),IF(AND(ISNUMBER($J165),$J165&gt;0,$J165&lt;99),INDEX(Lines!$P$3:$P$1590,MATCH(SMALL(Lines!$G$3:$G$1590,160),Lines!$G$3:$G$1590,0)),""))</f>
        <v/>
      </c>
      <c r="H165" s="28" t="str">
        <f aca="false">IF($J165=0,INDEX(Lines!$H$3:$H$1590,MATCH(SMALL(Lines!$G$3:$G$1590,160),Lines!$G$3:$G$1590,0))&amp;" groups",IF(AND(ISNUMBER($J165),$J165&gt;0,$J165&lt;99),INDEX(Lines!$I$3:$I$1590,MATCH(SMALL(Lines!$G$3:$G$1590,160),Lines!$G$3:$G$1590,0)),""))</f>
        <v/>
      </c>
      <c r="I165" s="26"/>
      <c r="J165" s="22" t="str">
        <f aca="false">IFERROR(IF(MOD(SMALL(Lines!$G$3:$G$1590,160),100000)=0,-1,MOD(SMALL(Lines!$G$3:$G$1590,160),100)),"")</f>
        <v/>
      </c>
      <c r="K165" s="22" t="str">
        <f aca="false">IF($J165=0,INDEX(Lines!$L$3:$L$1590,MATCH(SMALL(Lines!$G$3:$G$1590,160),Lines!$G$3:$G$1590,0)),"")</f>
        <v/>
      </c>
    </row>
    <row r="166" customFormat="false" ht="15" hidden="false" customHeight="false" outlineLevel="0" collapsed="false">
      <c r="A166" s="24" t="str">
        <f aca="false">IF(OR($J166=0,AND(ISNUMBER($J166),$J166&gt;0,$J166&lt;99)),INDEX(Lines!$A$3:$A$1590,MATCH(SMALL(Lines!$G$3:$G$1590,161),Lines!$G$3:$G$1590,0)),"")</f>
        <v/>
      </c>
      <c r="B166" s="24" t="str">
        <f aca="false">IF($J166=-1,INDEX(Lines!$J$3:$J$1590,MATCH(SMALL(Lines!$G$3:$G$1590,161),Lines!$G$3:$G$1590,0)),IF($J166=0,INDEX(Lines!$L$3:$L$1590,MATCH(SMALL(Lines!$G$3:$G$1590,161),Lines!$G$3:$G$1590,0)),IF(AND(ISNUMBER($J166),$J166&gt;0,$J166&lt;99),INDEX(Lines!$N$3:$N$1590,MATCH(SMALL(Lines!$G$3:$G$1590,161),Lines!$G$3:$G$1590,0)),"")))</f>
        <v/>
      </c>
      <c r="C166" s="25" t="str">
        <f aca="false">IF($J166=0,INDEX(Lines!$K$3:$K$1590,MATCH(SMALL(Lines!$G$3:$G$1590,161),Lines!$G$3:$G$1590,0)),IF(AND(ISNUMBER($J166),$J166&gt;0,$J166&lt;99),INDEX(Lines!$C$3:$C$1590,MATCH(SMALL(Lines!$G$3:$G$1590,161),Lines!$G$3:$G$1590,0)),""))</f>
        <v/>
      </c>
      <c r="D166" s="26" t="str">
        <f aca="false">IF(AND(ISNUMBER($J166),$J166&gt;0,$J166&lt;99),INDEX(Lines!$D$3:$D$1590,MATCH(SMALL(Lines!$G$3:$G$1590,161),Lines!$G$3:$G$1590,0)),"")</f>
        <v/>
      </c>
      <c r="E166" s="26" t="str">
        <f aca="false">IF(AND(ISNUMBER($J166),$J166&gt;0,$J166&lt;99),INDEX(Lines!$E$3:$E$1590,MATCH(SMALL(Lines!$G$3:$G$1590,161),Lines!$G$3:$G$1590,0)),"")</f>
        <v/>
      </c>
      <c r="F166" s="26" t="str">
        <f aca="false">IF(AND(ISNUMBER($J166),$J166&gt;0,$J166&lt;99),INDEX(Lines!$O$3:$O$1590,MATCH(SMALL(Lines!$G$3:$G$1590,161),Lines!$G$3:$G$1590,0)),"")</f>
        <v/>
      </c>
      <c r="G166" s="27" t="str">
        <f aca="false">IF($J166=0,INDEX(Lines!$Q$3:$Q$1590,MATCH(SMALL(Lines!$G$3:$G$1590,161),Lines!$G$3:$G$1590,0)),IF(AND(ISNUMBER($J166),$J166&gt;0,$J166&lt;99),INDEX(Lines!$P$3:$P$1590,MATCH(SMALL(Lines!$G$3:$G$1590,161),Lines!$G$3:$G$1590,0)),""))</f>
        <v/>
      </c>
      <c r="H166" s="28" t="str">
        <f aca="false">IF($J166=0,INDEX(Lines!$H$3:$H$1590,MATCH(SMALL(Lines!$G$3:$G$1590,161),Lines!$G$3:$G$1590,0))&amp;" groups",IF(AND(ISNUMBER($J166),$J166&gt;0,$J166&lt;99),INDEX(Lines!$I$3:$I$1590,MATCH(SMALL(Lines!$G$3:$G$1590,161),Lines!$G$3:$G$1590,0)),""))</f>
        <v/>
      </c>
      <c r="I166" s="26"/>
      <c r="J166" s="22" t="str">
        <f aca="false">IFERROR(IF(MOD(SMALL(Lines!$G$3:$G$1590,161),100000)=0,-1,MOD(SMALL(Lines!$G$3:$G$1590,161),100)),"")</f>
        <v/>
      </c>
      <c r="K166" s="22" t="str">
        <f aca="false">IF($J166=0,INDEX(Lines!$L$3:$L$1590,MATCH(SMALL(Lines!$G$3:$G$1590,161),Lines!$G$3:$G$1590,0)),"")</f>
        <v/>
      </c>
    </row>
    <row r="167" customFormat="false" ht="15" hidden="false" customHeight="false" outlineLevel="0" collapsed="false">
      <c r="A167" s="24" t="str">
        <f aca="false">IF(OR($J167=0,AND(ISNUMBER($J167),$J167&gt;0,$J167&lt;99)),INDEX(Lines!$A$3:$A$1590,MATCH(SMALL(Lines!$G$3:$G$1590,162),Lines!$G$3:$G$1590,0)),"")</f>
        <v/>
      </c>
      <c r="B167" s="24" t="str">
        <f aca="false">IF($J167=-1,INDEX(Lines!$J$3:$J$1590,MATCH(SMALL(Lines!$G$3:$G$1590,162),Lines!$G$3:$G$1590,0)),IF($J167=0,INDEX(Lines!$L$3:$L$1590,MATCH(SMALL(Lines!$G$3:$G$1590,162),Lines!$G$3:$G$1590,0)),IF(AND(ISNUMBER($J167),$J167&gt;0,$J167&lt;99),INDEX(Lines!$N$3:$N$1590,MATCH(SMALL(Lines!$G$3:$G$1590,162),Lines!$G$3:$G$1590,0)),"")))</f>
        <v/>
      </c>
      <c r="C167" s="25" t="str">
        <f aca="false">IF($J167=0,INDEX(Lines!$K$3:$K$1590,MATCH(SMALL(Lines!$G$3:$G$1590,162),Lines!$G$3:$G$1590,0)),IF(AND(ISNUMBER($J167),$J167&gt;0,$J167&lt;99),INDEX(Lines!$C$3:$C$1590,MATCH(SMALL(Lines!$G$3:$G$1590,162),Lines!$G$3:$G$1590,0)),""))</f>
        <v/>
      </c>
      <c r="D167" s="26" t="str">
        <f aca="false">IF(AND(ISNUMBER($J167),$J167&gt;0,$J167&lt;99),INDEX(Lines!$D$3:$D$1590,MATCH(SMALL(Lines!$G$3:$G$1590,162),Lines!$G$3:$G$1590,0)),"")</f>
        <v/>
      </c>
      <c r="E167" s="26" t="str">
        <f aca="false">IF(AND(ISNUMBER($J167),$J167&gt;0,$J167&lt;99),INDEX(Lines!$E$3:$E$1590,MATCH(SMALL(Lines!$G$3:$G$1590,162),Lines!$G$3:$G$1590,0)),"")</f>
        <v/>
      </c>
      <c r="F167" s="26" t="str">
        <f aca="false">IF(AND(ISNUMBER($J167),$J167&gt;0,$J167&lt;99),INDEX(Lines!$O$3:$O$1590,MATCH(SMALL(Lines!$G$3:$G$1590,162),Lines!$G$3:$G$1590,0)),"")</f>
        <v/>
      </c>
      <c r="G167" s="27" t="str">
        <f aca="false">IF($J167=0,INDEX(Lines!$Q$3:$Q$1590,MATCH(SMALL(Lines!$G$3:$G$1590,162),Lines!$G$3:$G$1590,0)),IF(AND(ISNUMBER($J167),$J167&gt;0,$J167&lt;99),INDEX(Lines!$P$3:$P$1590,MATCH(SMALL(Lines!$G$3:$G$1590,162),Lines!$G$3:$G$1590,0)),""))</f>
        <v/>
      </c>
      <c r="H167" s="28" t="str">
        <f aca="false">IF($J167=0,INDEX(Lines!$H$3:$H$1590,MATCH(SMALL(Lines!$G$3:$G$1590,162),Lines!$G$3:$G$1590,0))&amp;" groups",IF(AND(ISNUMBER($J167),$J167&gt;0,$J167&lt;99),INDEX(Lines!$I$3:$I$1590,MATCH(SMALL(Lines!$G$3:$G$1590,162),Lines!$G$3:$G$1590,0)),""))</f>
        <v/>
      </c>
      <c r="I167" s="26"/>
      <c r="J167" s="22" t="str">
        <f aca="false">IFERROR(IF(MOD(SMALL(Lines!$G$3:$G$1590,162),100000)=0,-1,MOD(SMALL(Lines!$G$3:$G$1590,162),100)),"")</f>
        <v/>
      </c>
      <c r="K167" s="22" t="str">
        <f aca="false">IF($J167=0,INDEX(Lines!$L$3:$L$1590,MATCH(SMALL(Lines!$G$3:$G$1590,162),Lines!$G$3:$G$1590,0)),"")</f>
        <v/>
      </c>
    </row>
    <row r="168" customFormat="false" ht="15" hidden="false" customHeight="false" outlineLevel="0" collapsed="false">
      <c r="A168" s="24" t="str">
        <f aca="false">IF(OR($J168=0,AND(ISNUMBER($J168),$J168&gt;0,$J168&lt;99)),INDEX(Lines!$A$3:$A$1590,MATCH(SMALL(Lines!$G$3:$G$1590,163),Lines!$G$3:$G$1590,0)),"")</f>
        <v/>
      </c>
      <c r="B168" s="24" t="str">
        <f aca="false">IF($J168=-1,INDEX(Lines!$J$3:$J$1590,MATCH(SMALL(Lines!$G$3:$G$1590,163),Lines!$G$3:$G$1590,0)),IF($J168=0,INDEX(Lines!$L$3:$L$1590,MATCH(SMALL(Lines!$G$3:$G$1590,163),Lines!$G$3:$G$1590,0)),IF(AND(ISNUMBER($J168),$J168&gt;0,$J168&lt;99),INDEX(Lines!$N$3:$N$1590,MATCH(SMALL(Lines!$G$3:$G$1590,163),Lines!$G$3:$G$1590,0)),"")))</f>
        <v/>
      </c>
      <c r="C168" s="25" t="str">
        <f aca="false">IF($J168=0,INDEX(Lines!$K$3:$K$1590,MATCH(SMALL(Lines!$G$3:$G$1590,163),Lines!$G$3:$G$1590,0)),IF(AND(ISNUMBER($J168),$J168&gt;0,$J168&lt;99),INDEX(Lines!$C$3:$C$1590,MATCH(SMALL(Lines!$G$3:$G$1590,163),Lines!$G$3:$G$1590,0)),""))</f>
        <v/>
      </c>
      <c r="D168" s="26" t="str">
        <f aca="false">IF(AND(ISNUMBER($J168),$J168&gt;0,$J168&lt;99),INDEX(Lines!$D$3:$D$1590,MATCH(SMALL(Lines!$G$3:$G$1590,163),Lines!$G$3:$G$1590,0)),"")</f>
        <v/>
      </c>
      <c r="E168" s="26" t="str">
        <f aca="false">IF(AND(ISNUMBER($J168),$J168&gt;0,$J168&lt;99),INDEX(Lines!$E$3:$E$1590,MATCH(SMALL(Lines!$G$3:$G$1590,163),Lines!$G$3:$G$1590,0)),"")</f>
        <v/>
      </c>
      <c r="F168" s="26" t="str">
        <f aca="false">IF(AND(ISNUMBER($J168),$J168&gt;0,$J168&lt;99),INDEX(Lines!$O$3:$O$1590,MATCH(SMALL(Lines!$G$3:$G$1590,163),Lines!$G$3:$G$1590,0)),"")</f>
        <v/>
      </c>
      <c r="G168" s="27" t="str">
        <f aca="false">IF($J168=0,INDEX(Lines!$Q$3:$Q$1590,MATCH(SMALL(Lines!$G$3:$G$1590,163),Lines!$G$3:$G$1590,0)),IF(AND(ISNUMBER($J168),$J168&gt;0,$J168&lt;99),INDEX(Lines!$P$3:$P$1590,MATCH(SMALL(Lines!$G$3:$G$1590,163),Lines!$G$3:$G$1590,0)),""))</f>
        <v/>
      </c>
      <c r="H168" s="28" t="str">
        <f aca="false">IF($J168=0,INDEX(Lines!$H$3:$H$1590,MATCH(SMALL(Lines!$G$3:$G$1590,163),Lines!$G$3:$G$1590,0))&amp;" groups",IF(AND(ISNUMBER($J168),$J168&gt;0,$J168&lt;99),INDEX(Lines!$I$3:$I$1590,MATCH(SMALL(Lines!$G$3:$G$1590,163),Lines!$G$3:$G$1590,0)),""))</f>
        <v/>
      </c>
      <c r="I168" s="26"/>
      <c r="J168" s="22" t="str">
        <f aca="false">IFERROR(IF(MOD(SMALL(Lines!$G$3:$G$1590,163),100000)=0,-1,MOD(SMALL(Lines!$G$3:$G$1590,163),100)),"")</f>
        <v/>
      </c>
      <c r="K168" s="22" t="str">
        <f aca="false">IF($J168=0,INDEX(Lines!$L$3:$L$1590,MATCH(SMALL(Lines!$G$3:$G$1590,163),Lines!$G$3:$G$1590,0)),"")</f>
        <v/>
      </c>
    </row>
    <row r="169" customFormat="false" ht="15" hidden="false" customHeight="false" outlineLevel="0" collapsed="false">
      <c r="A169" s="24" t="str">
        <f aca="false">IF(OR($J169=0,AND(ISNUMBER($J169),$J169&gt;0,$J169&lt;99)),INDEX(Lines!$A$3:$A$1590,MATCH(SMALL(Lines!$G$3:$G$1590,164),Lines!$G$3:$G$1590,0)),"")</f>
        <v/>
      </c>
      <c r="B169" s="24" t="str">
        <f aca="false">IF($J169=-1,INDEX(Lines!$J$3:$J$1590,MATCH(SMALL(Lines!$G$3:$G$1590,164),Lines!$G$3:$G$1590,0)),IF($J169=0,INDEX(Lines!$L$3:$L$1590,MATCH(SMALL(Lines!$G$3:$G$1590,164),Lines!$G$3:$G$1590,0)),IF(AND(ISNUMBER($J169),$J169&gt;0,$J169&lt;99),INDEX(Lines!$N$3:$N$1590,MATCH(SMALL(Lines!$G$3:$G$1590,164),Lines!$G$3:$G$1590,0)),"")))</f>
        <v/>
      </c>
      <c r="C169" s="25" t="str">
        <f aca="false">IF($J169=0,INDEX(Lines!$K$3:$K$1590,MATCH(SMALL(Lines!$G$3:$G$1590,164),Lines!$G$3:$G$1590,0)),IF(AND(ISNUMBER($J169),$J169&gt;0,$J169&lt;99),INDEX(Lines!$C$3:$C$1590,MATCH(SMALL(Lines!$G$3:$G$1590,164),Lines!$G$3:$G$1590,0)),""))</f>
        <v/>
      </c>
      <c r="D169" s="26" t="str">
        <f aca="false">IF(AND(ISNUMBER($J169),$J169&gt;0,$J169&lt;99),INDEX(Lines!$D$3:$D$1590,MATCH(SMALL(Lines!$G$3:$G$1590,164),Lines!$G$3:$G$1590,0)),"")</f>
        <v/>
      </c>
      <c r="E169" s="26" t="str">
        <f aca="false">IF(AND(ISNUMBER($J169),$J169&gt;0,$J169&lt;99),INDEX(Lines!$E$3:$E$1590,MATCH(SMALL(Lines!$G$3:$G$1590,164),Lines!$G$3:$G$1590,0)),"")</f>
        <v/>
      </c>
      <c r="F169" s="26" t="str">
        <f aca="false">IF(AND(ISNUMBER($J169),$J169&gt;0,$J169&lt;99),INDEX(Lines!$O$3:$O$1590,MATCH(SMALL(Lines!$G$3:$G$1590,164),Lines!$G$3:$G$1590,0)),"")</f>
        <v/>
      </c>
      <c r="G169" s="27" t="str">
        <f aca="false">IF($J169=0,INDEX(Lines!$Q$3:$Q$1590,MATCH(SMALL(Lines!$G$3:$G$1590,164),Lines!$G$3:$G$1590,0)),IF(AND(ISNUMBER($J169),$J169&gt;0,$J169&lt;99),INDEX(Lines!$P$3:$P$1590,MATCH(SMALL(Lines!$G$3:$G$1590,164),Lines!$G$3:$G$1590,0)),""))</f>
        <v/>
      </c>
      <c r="H169" s="28" t="str">
        <f aca="false">IF($J169=0,INDEX(Lines!$H$3:$H$1590,MATCH(SMALL(Lines!$G$3:$G$1590,164),Lines!$G$3:$G$1590,0))&amp;" groups",IF(AND(ISNUMBER($J169),$J169&gt;0,$J169&lt;99),INDEX(Lines!$I$3:$I$1590,MATCH(SMALL(Lines!$G$3:$G$1590,164),Lines!$G$3:$G$1590,0)),""))</f>
        <v/>
      </c>
      <c r="I169" s="26"/>
      <c r="J169" s="22" t="str">
        <f aca="false">IFERROR(IF(MOD(SMALL(Lines!$G$3:$G$1590,164),100000)=0,-1,MOD(SMALL(Lines!$G$3:$G$1590,164),100)),"")</f>
        <v/>
      </c>
      <c r="K169" s="22" t="str">
        <f aca="false">IF($J169=0,INDEX(Lines!$L$3:$L$1590,MATCH(SMALL(Lines!$G$3:$G$1590,164),Lines!$G$3:$G$1590,0)),"")</f>
        <v/>
      </c>
    </row>
    <row r="170" customFormat="false" ht="15" hidden="false" customHeight="false" outlineLevel="0" collapsed="false">
      <c r="A170" s="24" t="str">
        <f aca="false">IF(OR($J170=0,AND(ISNUMBER($J170),$J170&gt;0,$J170&lt;99)),INDEX(Lines!$A$3:$A$1590,MATCH(SMALL(Lines!$G$3:$G$1590,165),Lines!$G$3:$G$1590,0)),"")</f>
        <v/>
      </c>
      <c r="B170" s="24" t="str">
        <f aca="false">IF($J170=-1,INDEX(Lines!$J$3:$J$1590,MATCH(SMALL(Lines!$G$3:$G$1590,165),Lines!$G$3:$G$1590,0)),IF($J170=0,INDEX(Lines!$L$3:$L$1590,MATCH(SMALL(Lines!$G$3:$G$1590,165),Lines!$G$3:$G$1590,0)),IF(AND(ISNUMBER($J170),$J170&gt;0,$J170&lt;99),INDEX(Lines!$N$3:$N$1590,MATCH(SMALL(Lines!$G$3:$G$1590,165),Lines!$G$3:$G$1590,0)),"")))</f>
        <v/>
      </c>
      <c r="C170" s="25" t="str">
        <f aca="false">IF($J170=0,INDEX(Lines!$K$3:$K$1590,MATCH(SMALL(Lines!$G$3:$G$1590,165),Lines!$G$3:$G$1590,0)),IF(AND(ISNUMBER($J170),$J170&gt;0,$J170&lt;99),INDEX(Lines!$C$3:$C$1590,MATCH(SMALL(Lines!$G$3:$G$1590,165),Lines!$G$3:$G$1590,0)),""))</f>
        <v/>
      </c>
      <c r="D170" s="26" t="str">
        <f aca="false">IF(AND(ISNUMBER($J170),$J170&gt;0,$J170&lt;99),INDEX(Lines!$D$3:$D$1590,MATCH(SMALL(Lines!$G$3:$G$1590,165),Lines!$G$3:$G$1590,0)),"")</f>
        <v/>
      </c>
      <c r="E170" s="26" t="str">
        <f aca="false">IF(AND(ISNUMBER($J170),$J170&gt;0,$J170&lt;99),INDEX(Lines!$E$3:$E$1590,MATCH(SMALL(Lines!$G$3:$G$1590,165),Lines!$G$3:$G$1590,0)),"")</f>
        <v/>
      </c>
      <c r="F170" s="26" t="str">
        <f aca="false">IF(AND(ISNUMBER($J170),$J170&gt;0,$J170&lt;99),INDEX(Lines!$O$3:$O$1590,MATCH(SMALL(Lines!$G$3:$G$1590,165),Lines!$G$3:$G$1590,0)),"")</f>
        <v/>
      </c>
      <c r="G170" s="27" t="str">
        <f aca="false">IF($J170=0,INDEX(Lines!$Q$3:$Q$1590,MATCH(SMALL(Lines!$G$3:$G$1590,165),Lines!$G$3:$G$1590,0)),IF(AND(ISNUMBER($J170),$J170&gt;0,$J170&lt;99),INDEX(Lines!$P$3:$P$1590,MATCH(SMALL(Lines!$G$3:$G$1590,165),Lines!$G$3:$G$1590,0)),""))</f>
        <v/>
      </c>
      <c r="H170" s="28" t="str">
        <f aca="false">IF($J170=0,INDEX(Lines!$H$3:$H$1590,MATCH(SMALL(Lines!$G$3:$G$1590,165),Lines!$G$3:$G$1590,0))&amp;" groups",IF(AND(ISNUMBER($J170),$J170&gt;0,$J170&lt;99),INDEX(Lines!$I$3:$I$1590,MATCH(SMALL(Lines!$G$3:$G$1590,165),Lines!$G$3:$G$1590,0)),""))</f>
        <v/>
      </c>
      <c r="I170" s="26"/>
      <c r="J170" s="22" t="str">
        <f aca="false">IFERROR(IF(MOD(SMALL(Lines!$G$3:$G$1590,165),100000)=0,-1,MOD(SMALL(Lines!$G$3:$G$1590,165),100)),"")</f>
        <v/>
      </c>
      <c r="K170" s="22" t="str">
        <f aca="false">IF($J170=0,INDEX(Lines!$L$3:$L$1590,MATCH(SMALL(Lines!$G$3:$G$1590,165),Lines!$G$3:$G$1590,0)),"")</f>
        <v/>
      </c>
    </row>
    <row r="171" customFormat="false" ht="15" hidden="false" customHeight="false" outlineLevel="0" collapsed="false">
      <c r="A171" s="24" t="str">
        <f aca="false">IF(OR($J171=0,AND(ISNUMBER($J171),$J171&gt;0,$J171&lt;99)),INDEX(Lines!$A$3:$A$1590,MATCH(SMALL(Lines!$G$3:$G$1590,166),Lines!$G$3:$G$1590,0)),"")</f>
        <v/>
      </c>
      <c r="B171" s="24" t="str">
        <f aca="false">IF($J171=-1,INDEX(Lines!$J$3:$J$1590,MATCH(SMALL(Lines!$G$3:$G$1590,166),Lines!$G$3:$G$1590,0)),IF($J171=0,INDEX(Lines!$L$3:$L$1590,MATCH(SMALL(Lines!$G$3:$G$1590,166),Lines!$G$3:$G$1590,0)),IF(AND(ISNUMBER($J171),$J171&gt;0,$J171&lt;99),INDEX(Lines!$N$3:$N$1590,MATCH(SMALL(Lines!$G$3:$G$1590,166),Lines!$G$3:$G$1590,0)),"")))</f>
        <v/>
      </c>
      <c r="C171" s="25" t="str">
        <f aca="false">IF($J171=0,INDEX(Lines!$K$3:$K$1590,MATCH(SMALL(Lines!$G$3:$G$1590,166),Lines!$G$3:$G$1590,0)),IF(AND(ISNUMBER($J171),$J171&gt;0,$J171&lt;99),INDEX(Lines!$C$3:$C$1590,MATCH(SMALL(Lines!$G$3:$G$1590,166),Lines!$G$3:$G$1590,0)),""))</f>
        <v/>
      </c>
      <c r="D171" s="26" t="str">
        <f aca="false">IF(AND(ISNUMBER($J171),$J171&gt;0,$J171&lt;99),INDEX(Lines!$D$3:$D$1590,MATCH(SMALL(Lines!$G$3:$G$1590,166),Lines!$G$3:$G$1590,0)),"")</f>
        <v/>
      </c>
      <c r="E171" s="26" t="str">
        <f aca="false">IF(AND(ISNUMBER($J171),$J171&gt;0,$J171&lt;99),INDEX(Lines!$E$3:$E$1590,MATCH(SMALL(Lines!$G$3:$G$1590,166),Lines!$G$3:$G$1590,0)),"")</f>
        <v/>
      </c>
      <c r="F171" s="26" t="str">
        <f aca="false">IF(AND(ISNUMBER($J171),$J171&gt;0,$J171&lt;99),INDEX(Lines!$O$3:$O$1590,MATCH(SMALL(Lines!$G$3:$G$1590,166),Lines!$G$3:$G$1590,0)),"")</f>
        <v/>
      </c>
      <c r="G171" s="27" t="str">
        <f aca="false">IF($J171=0,INDEX(Lines!$Q$3:$Q$1590,MATCH(SMALL(Lines!$G$3:$G$1590,166),Lines!$G$3:$G$1590,0)),IF(AND(ISNUMBER($J171),$J171&gt;0,$J171&lt;99),INDEX(Lines!$P$3:$P$1590,MATCH(SMALL(Lines!$G$3:$G$1590,166),Lines!$G$3:$G$1590,0)),""))</f>
        <v/>
      </c>
      <c r="H171" s="28" t="str">
        <f aca="false">IF($J171=0,INDEX(Lines!$H$3:$H$1590,MATCH(SMALL(Lines!$G$3:$G$1590,166),Lines!$G$3:$G$1590,0))&amp;" groups",IF(AND(ISNUMBER($J171),$J171&gt;0,$J171&lt;99),INDEX(Lines!$I$3:$I$1590,MATCH(SMALL(Lines!$G$3:$G$1590,166),Lines!$G$3:$G$1590,0)),""))</f>
        <v/>
      </c>
      <c r="I171" s="26"/>
      <c r="J171" s="22" t="str">
        <f aca="false">IFERROR(IF(MOD(SMALL(Lines!$G$3:$G$1590,166),100000)=0,-1,MOD(SMALL(Lines!$G$3:$G$1590,166),100)),"")</f>
        <v/>
      </c>
      <c r="K171" s="22" t="str">
        <f aca="false">IF($J171=0,INDEX(Lines!$L$3:$L$1590,MATCH(SMALL(Lines!$G$3:$G$1590,166),Lines!$G$3:$G$1590,0)),"")</f>
        <v/>
      </c>
    </row>
    <row r="172" customFormat="false" ht="15" hidden="false" customHeight="false" outlineLevel="0" collapsed="false">
      <c r="A172" s="24" t="str">
        <f aca="false">IF(OR($J172=0,AND(ISNUMBER($J172),$J172&gt;0,$J172&lt;99)),INDEX(Lines!$A$3:$A$1590,MATCH(SMALL(Lines!$G$3:$G$1590,167),Lines!$G$3:$G$1590,0)),"")</f>
        <v/>
      </c>
      <c r="B172" s="24" t="str">
        <f aca="false">IF($J172=-1,INDEX(Lines!$J$3:$J$1590,MATCH(SMALL(Lines!$G$3:$G$1590,167),Lines!$G$3:$G$1590,0)),IF($J172=0,INDEX(Lines!$L$3:$L$1590,MATCH(SMALL(Lines!$G$3:$G$1590,167),Lines!$G$3:$G$1590,0)),IF(AND(ISNUMBER($J172),$J172&gt;0,$J172&lt;99),INDEX(Lines!$N$3:$N$1590,MATCH(SMALL(Lines!$G$3:$G$1590,167),Lines!$G$3:$G$1590,0)),"")))</f>
        <v/>
      </c>
      <c r="C172" s="25" t="str">
        <f aca="false">IF($J172=0,INDEX(Lines!$K$3:$K$1590,MATCH(SMALL(Lines!$G$3:$G$1590,167),Lines!$G$3:$G$1590,0)),IF(AND(ISNUMBER($J172),$J172&gt;0,$J172&lt;99),INDEX(Lines!$C$3:$C$1590,MATCH(SMALL(Lines!$G$3:$G$1590,167),Lines!$G$3:$G$1590,0)),""))</f>
        <v/>
      </c>
      <c r="D172" s="26" t="str">
        <f aca="false">IF(AND(ISNUMBER($J172),$J172&gt;0,$J172&lt;99),INDEX(Lines!$D$3:$D$1590,MATCH(SMALL(Lines!$G$3:$G$1590,167),Lines!$G$3:$G$1590,0)),"")</f>
        <v/>
      </c>
      <c r="E172" s="26" t="str">
        <f aca="false">IF(AND(ISNUMBER($J172),$J172&gt;0,$J172&lt;99),INDEX(Lines!$E$3:$E$1590,MATCH(SMALL(Lines!$G$3:$G$1590,167),Lines!$G$3:$G$1590,0)),"")</f>
        <v/>
      </c>
      <c r="F172" s="26" t="str">
        <f aca="false">IF(AND(ISNUMBER($J172),$J172&gt;0,$J172&lt;99),INDEX(Lines!$O$3:$O$1590,MATCH(SMALL(Lines!$G$3:$G$1590,167),Lines!$G$3:$G$1590,0)),"")</f>
        <v/>
      </c>
      <c r="G172" s="27" t="str">
        <f aca="false">IF($J172=0,INDEX(Lines!$Q$3:$Q$1590,MATCH(SMALL(Lines!$G$3:$G$1590,167),Lines!$G$3:$G$1590,0)),IF(AND(ISNUMBER($J172),$J172&gt;0,$J172&lt;99),INDEX(Lines!$P$3:$P$1590,MATCH(SMALL(Lines!$G$3:$G$1590,167),Lines!$G$3:$G$1590,0)),""))</f>
        <v/>
      </c>
      <c r="H172" s="28" t="str">
        <f aca="false">IF($J172=0,INDEX(Lines!$H$3:$H$1590,MATCH(SMALL(Lines!$G$3:$G$1590,167),Lines!$G$3:$G$1590,0))&amp;" groups",IF(AND(ISNUMBER($J172),$J172&gt;0,$J172&lt;99),INDEX(Lines!$I$3:$I$1590,MATCH(SMALL(Lines!$G$3:$G$1590,167),Lines!$G$3:$G$1590,0)),""))</f>
        <v/>
      </c>
      <c r="I172" s="26"/>
      <c r="J172" s="22" t="str">
        <f aca="false">IFERROR(IF(MOD(SMALL(Lines!$G$3:$G$1590,167),100000)=0,-1,MOD(SMALL(Lines!$G$3:$G$1590,167),100)),"")</f>
        <v/>
      </c>
      <c r="K172" s="22" t="str">
        <f aca="false">IF($J172=0,INDEX(Lines!$L$3:$L$1590,MATCH(SMALL(Lines!$G$3:$G$1590,167),Lines!$G$3:$G$1590,0)),"")</f>
        <v/>
      </c>
    </row>
    <row r="173" customFormat="false" ht="15" hidden="false" customHeight="false" outlineLevel="0" collapsed="false">
      <c r="A173" s="24" t="str">
        <f aca="false">IF(OR($J173=0,AND(ISNUMBER($J173),$J173&gt;0,$J173&lt;99)),INDEX(Lines!$A$3:$A$1590,MATCH(SMALL(Lines!$G$3:$G$1590,168),Lines!$G$3:$G$1590,0)),"")</f>
        <v/>
      </c>
      <c r="B173" s="24" t="str">
        <f aca="false">IF($J173=-1,INDEX(Lines!$J$3:$J$1590,MATCH(SMALL(Lines!$G$3:$G$1590,168),Lines!$G$3:$G$1590,0)),IF($J173=0,INDEX(Lines!$L$3:$L$1590,MATCH(SMALL(Lines!$G$3:$G$1590,168),Lines!$G$3:$G$1590,0)),IF(AND(ISNUMBER($J173),$J173&gt;0,$J173&lt;99),INDEX(Lines!$N$3:$N$1590,MATCH(SMALL(Lines!$G$3:$G$1590,168),Lines!$G$3:$G$1590,0)),"")))</f>
        <v/>
      </c>
      <c r="C173" s="25" t="str">
        <f aca="false">IF($J173=0,INDEX(Lines!$K$3:$K$1590,MATCH(SMALL(Lines!$G$3:$G$1590,168),Lines!$G$3:$G$1590,0)),IF(AND(ISNUMBER($J173),$J173&gt;0,$J173&lt;99),INDEX(Lines!$C$3:$C$1590,MATCH(SMALL(Lines!$G$3:$G$1590,168),Lines!$G$3:$G$1590,0)),""))</f>
        <v/>
      </c>
      <c r="D173" s="26" t="str">
        <f aca="false">IF(AND(ISNUMBER($J173),$J173&gt;0,$J173&lt;99),INDEX(Lines!$D$3:$D$1590,MATCH(SMALL(Lines!$G$3:$G$1590,168),Lines!$G$3:$G$1590,0)),"")</f>
        <v/>
      </c>
      <c r="E173" s="26" t="str">
        <f aca="false">IF(AND(ISNUMBER($J173),$J173&gt;0,$J173&lt;99),INDEX(Lines!$E$3:$E$1590,MATCH(SMALL(Lines!$G$3:$G$1590,168),Lines!$G$3:$G$1590,0)),"")</f>
        <v/>
      </c>
      <c r="F173" s="26" t="str">
        <f aca="false">IF(AND(ISNUMBER($J173),$J173&gt;0,$J173&lt;99),INDEX(Lines!$O$3:$O$1590,MATCH(SMALL(Lines!$G$3:$G$1590,168),Lines!$G$3:$G$1590,0)),"")</f>
        <v/>
      </c>
      <c r="G173" s="27" t="str">
        <f aca="false">IF($J173=0,INDEX(Lines!$Q$3:$Q$1590,MATCH(SMALL(Lines!$G$3:$G$1590,168),Lines!$G$3:$G$1590,0)),IF(AND(ISNUMBER($J173),$J173&gt;0,$J173&lt;99),INDEX(Lines!$P$3:$P$1590,MATCH(SMALL(Lines!$G$3:$G$1590,168),Lines!$G$3:$G$1590,0)),""))</f>
        <v/>
      </c>
      <c r="H173" s="28" t="str">
        <f aca="false">IF($J173=0,INDEX(Lines!$H$3:$H$1590,MATCH(SMALL(Lines!$G$3:$G$1590,168),Lines!$G$3:$G$1590,0))&amp;" groups",IF(AND(ISNUMBER($J173),$J173&gt;0,$J173&lt;99),INDEX(Lines!$I$3:$I$1590,MATCH(SMALL(Lines!$G$3:$G$1590,168),Lines!$G$3:$G$1590,0)),""))</f>
        <v/>
      </c>
      <c r="I173" s="26"/>
      <c r="J173" s="22" t="str">
        <f aca="false">IFERROR(IF(MOD(SMALL(Lines!$G$3:$G$1590,168),100000)=0,-1,MOD(SMALL(Lines!$G$3:$G$1590,168),100)),"")</f>
        <v/>
      </c>
      <c r="K173" s="22" t="str">
        <f aca="false">IF($J173=0,INDEX(Lines!$L$3:$L$1590,MATCH(SMALL(Lines!$G$3:$G$1590,168),Lines!$G$3:$G$1590,0)),"")</f>
        <v/>
      </c>
    </row>
    <row r="174" customFormat="false" ht="15" hidden="false" customHeight="false" outlineLevel="0" collapsed="false">
      <c r="A174" s="24" t="str">
        <f aca="false">IF(OR($J174=0,AND(ISNUMBER($J174),$J174&gt;0,$J174&lt;99)),INDEX(Lines!$A$3:$A$1590,MATCH(SMALL(Lines!$G$3:$G$1590,169),Lines!$G$3:$G$1590,0)),"")</f>
        <v/>
      </c>
      <c r="B174" s="24" t="str">
        <f aca="false">IF($J174=-1,INDEX(Lines!$J$3:$J$1590,MATCH(SMALL(Lines!$G$3:$G$1590,169),Lines!$G$3:$G$1590,0)),IF($J174=0,INDEX(Lines!$L$3:$L$1590,MATCH(SMALL(Lines!$G$3:$G$1590,169),Lines!$G$3:$G$1590,0)),IF(AND(ISNUMBER($J174),$J174&gt;0,$J174&lt;99),INDEX(Lines!$N$3:$N$1590,MATCH(SMALL(Lines!$G$3:$G$1590,169),Lines!$G$3:$G$1590,0)),"")))</f>
        <v/>
      </c>
      <c r="C174" s="25" t="str">
        <f aca="false">IF($J174=0,INDEX(Lines!$K$3:$K$1590,MATCH(SMALL(Lines!$G$3:$G$1590,169),Lines!$G$3:$G$1590,0)),IF(AND(ISNUMBER($J174),$J174&gt;0,$J174&lt;99),INDEX(Lines!$C$3:$C$1590,MATCH(SMALL(Lines!$G$3:$G$1590,169),Lines!$G$3:$G$1590,0)),""))</f>
        <v/>
      </c>
      <c r="D174" s="26" t="str">
        <f aca="false">IF(AND(ISNUMBER($J174),$J174&gt;0,$J174&lt;99),INDEX(Lines!$D$3:$D$1590,MATCH(SMALL(Lines!$G$3:$G$1590,169),Lines!$G$3:$G$1590,0)),"")</f>
        <v/>
      </c>
      <c r="E174" s="26" t="str">
        <f aca="false">IF(AND(ISNUMBER($J174),$J174&gt;0,$J174&lt;99),INDEX(Lines!$E$3:$E$1590,MATCH(SMALL(Lines!$G$3:$G$1590,169),Lines!$G$3:$G$1590,0)),"")</f>
        <v/>
      </c>
      <c r="F174" s="26" t="str">
        <f aca="false">IF(AND(ISNUMBER($J174),$J174&gt;0,$J174&lt;99),INDEX(Lines!$O$3:$O$1590,MATCH(SMALL(Lines!$G$3:$G$1590,169),Lines!$G$3:$G$1590,0)),"")</f>
        <v/>
      </c>
      <c r="G174" s="27" t="str">
        <f aca="false">IF($J174=0,INDEX(Lines!$Q$3:$Q$1590,MATCH(SMALL(Lines!$G$3:$G$1590,169),Lines!$G$3:$G$1590,0)),IF(AND(ISNUMBER($J174),$J174&gt;0,$J174&lt;99),INDEX(Lines!$P$3:$P$1590,MATCH(SMALL(Lines!$G$3:$G$1590,169),Lines!$G$3:$G$1590,0)),""))</f>
        <v/>
      </c>
      <c r="H174" s="28" t="str">
        <f aca="false">IF($J174=0,INDEX(Lines!$H$3:$H$1590,MATCH(SMALL(Lines!$G$3:$G$1590,169),Lines!$G$3:$G$1590,0))&amp;" groups",IF(AND(ISNUMBER($J174),$J174&gt;0,$J174&lt;99),INDEX(Lines!$I$3:$I$1590,MATCH(SMALL(Lines!$G$3:$G$1590,169),Lines!$G$3:$G$1590,0)),""))</f>
        <v/>
      </c>
      <c r="I174" s="26"/>
      <c r="J174" s="22" t="str">
        <f aca="false">IFERROR(IF(MOD(SMALL(Lines!$G$3:$G$1590,169),100000)=0,-1,MOD(SMALL(Lines!$G$3:$G$1590,169),100)),"")</f>
        <v/>
      </c>
      <c r="K174" s="22" t="str">
        <f aca="false">IF($J174=0,INDEX(Lines!$L$3:$L$1590,MATCH(SMALL(Lines!$G$3:$G$1590,169),Lines!$G$3:$G$1590,0)),"")</f>
        <v/>
      </c>
    </row>
    <row r="175" customFormat="false" ht="15" hidden="false" customHeight="false" outlineLevel="0" collapsed="false">
      <c r="A175" s="24" t="str">
        <f aca="false">IF(OR($J175=0,AND(ISNUMBER($J175),$J175&gt;0,$J175&lt;99)),INDEX(Lines!$A$3:$A$1590,MATCH(SMALL(Lines!$G$3:$G$1590,170),Lines!$G$3:$G$1590,0)),"")</f>
        <v/>
      </c>
      <c r="B175" s="24" t="str">
        <f aca="false">IF($J175=-1,INDEX(Lines!$J$3:$J$1590,MATCH(SMALL(Lines!$G$3:$G$1590,170),Lines!$G$3:$G$1590,0)),IF($J175=0,INDEX(Lines!$L$3:$L$1590,MATCH(SMALL(Lines!$G$3:$G$1590,170),Lines!$G$3:$G$1590,0)),IF(AND(ISNUMBER($J175),$J175&gt;0,$J175&lt;99),INDEX(Lines!$N$3:$N$1590,MATCH(SMALL(Lines!$G$3:$G$1590,170),Lines!$G$3:$G$1590,0)),"")))</f>
        <v/>
      </c>
      <c r="C175" s="25" t="str">
        <f aca="false">IF($J175=0,INDEX(Lines!$K$3:$K$1590,MATCH(SMALL(Lines!$G$3:$G$1590,170),Lines!$G$3:$G$1590,0)),IF(AND(ISNUMBER($J175),$J175&gt;0,$J175&lt;99),INDEX(Lines!$C$3:$C$1590,MATCH(SMALL(Lines!$G$3:$G$1590,170),Lines!$G$3:$G$1590,0)),""))</f>
        <v/>
      </c>
      <c r="D175" s="26" t="str">
        <f aca="false">IF(AND(ISNUMBER($J175),$J175&gt;0,$J175&lt;99),INDEX(Lines!$D$3:$D$1590,MATCH(SMALL(Lines!$G$3:$G$1590,170),Lines!$G$3:$G$1590,0)),"")</f>
        <v/>
      </c>
      <c r="E175" s="26" t="str">
        <f aca="false">IF(AND(ISNUMBER($J175),$J175&gt;0,$J175&lt;99),INDEX(Lines!$E$3:$E$1590,MATCH(SMALL(Lines!$G$3:$G$1590,170),Lines!$G$3:$G$1590,0)),"")</f>
        <v/>
      </c>
      <c r="F175" s="26" t="str">
        <f aca="false">IF(AND(ISNUMBER($J175),$J175&gt;0,$J175&lt;99),INDEX(Lines!$O$3:$O$1590,MATCH(SMALL(Lines!$G$3:$G$1590,170),Lines!$G$3:$G$1590,0)),"")</f>
        <v/>
      </c>
      <c r="G175" s="27" t="str">
        <f aca="false">IF($J175=0,INDEX(Lines!$Q$3:$Q$1590,MATCH(SMALL(Lines!$G$3:$G$1590,170),Lines!$G$3:$G$1590,0)),IF(AND(ISNUMBER($J175),$J175&gt;0,$J175&lt;99),INDEX(Lines!$P$3:$P$1590,MATCH(SMALL(Lines!$G$3:$G$1590,170),Lines!$G$3:$G$1590,0)),""))</f>
        <v/>
      </c>
      <c r="H175" s="28" t="str">
        <f aca="false">IF($J175=0,INDEX(Lines!$H$3:$H$1590,MATCH(SMALL(Lines!$G$3:$G$1590,170),Lines!$G$3:$G$1590,0))&amp;" groups",IF(AND(ISNUMBER($J175),$J175&gt;0,$J175&lt;99),INDEX(Lines!$I$3:$I$1590,MATCH(SMALL(Lines!$G$3:$G$1590,170),Lines!$G$3:$G$1590,0)),""))</f>
        <v/>
      </c>
      <c r="I175" s="26"/>
      <c r="J175" s="22" t="str">
        <f aca="false">IFERROR(IF(MOD(SMALL(Lines!$G$3:$G$1590,170),100000)=0,-1,MOD(SMALL(Lines!$G$3:$G$1590,170),100)),"")</f>
        <v/>
      </c>
      <c r="K175" s="22" t="str">
        <f aca="false">IF($J175=0,INDEX(Lines!$L$3:$L$1590,MATCH(SMALL(Lines!$G$3:$G$1590,170),Lines!$G$3:$G$1590,0)),"")</f>
        <v/>
      </c>
    </row>
    <row r="176" customFormat="false" ht="15" hidden="false" customHeight="false" outlineLevel="0" collapsed="false">
      <c r="A176" s="24" t="str">
        <f aca="false">IF(OR($J176=0,AND(ISNUMBER($J176),$J176&gt;0,$J176&lt;99)),INDEX(Lines!$A$3:$A$1590,MATCH(SMALL(Lines!$G$3:$G$1590,171),Lines!$G$3:$G$1590,0)),"")</f>
        <v/>
      </c>
      <c r="B176" s="24" t="str">
        <f aca="false">IF($J176=-1,INDEX(Lines!$J$3:$J$1590,MATCH(SMALL(Lines!$G$3:$G$1590,171),Lines!$G$3:$G$1590,0)),IF($J176=0,INDEX(Lines!$L$3:$L$1590,MATCH(SMALL(Lines!$G$3:$G$1590,171),Lines!$G$3:$G$1590,0)),IF(AND(ISNUMBER($J176),$J176&gt;0,$J176&lt;99),INDEX(Lines!$N$3:$N$1590,MATCH(SMALL(Lines!$G$3:$G$1590,171),Lines!$G$3:$G$1590,0)),"")))</f>
        <v/>
      </c>
      <c r="C176" s="25" t="str">
        <f aca="false">IF($J176=0,INDEX(Lines!$K$3:$K$1590,MATCH(SMALL(Lines!$G$3:$G$1590,171),Lines!$G$3:$G$1590,0)),IF(AND(ISNUMBER($J176),$J176&gt;0,$J176&lt;99),INDEX(Lines!$C$3:$C$1590,MATCH(SMALL(Lines!$G$3:$G$1590,171),Lines!$G$3:$G$1590,0)),""))</f>
        <v/>
      </c>
      <c r="D176" s="26" t="str">
        <f aca="false">IF(AND(ISNUMBER($J176),$J176&gt;0,$J176&lt;99),INDEX(Lines!$D$3:$D$1590,MATCH(SMALL(Lines!$G$3:$G$1590,171),Lines!$G$3:$G$1590,0)),"")</f>
        <v/>
      </c>
      <c r="E176" s="26" t="str">
        <f aca="false">IF(AND(ISNUMBER($J176),$J176&gt;0,$J176&lt;99),INDEX(Lines!$E$3:$E$1590,MATCH(SMALL(Lines!$G$3:$G$1590,171),Lines!$G$3:$G$1590,0)),"")</f>
        <v/>
      </c>
      <c r="F176" s="26" t="str">
        <f aca="false">IF(AND(ISNUMBER($J176),$J176&gt;0,$J176&lt;99),INDEX(Lines!$O$3:$O$1590,MATCH(SMALL(Lines!$G$3:$G$1590,171),Lines!$G$3:$G$1590,0)),"")</f>
        <v/>
      </c>
      <c r="G176" s="27" t="str">
        <f aca="false">IF($J176=0,INDEX(Lines!$Q$3:$Q$1590,MATCH(SMALL(Lines!$G$3:$G$1590,171),Lines!$G$3:$G$1590,0)),IF(AND(ISNUMBER($J176),$J176&gt;0,$J176&lt;99),INDEX(Lines!$P$3:$P$1590,MATCH(SMALL(Lines!$G$3:$G$1590,171),Lines!$G$3:$G$1590,0)),""))</f>
        <v/>
      </c>
      <c r="H176" s="28" t="str">
        <f aca="false">IF($J176=0,INDEX(Lines!$H$3:$H$1590,MATCH(SMALL(Lines!$G$3:$G$1590,171),Lines!$G$3:$G$1590,0))&amp;" groups",IF(AND(ISNUMBER($J176),$J176&gt;0,$J176&lt;99),INDEX(Lines!$I$3:$I$1590,MATCH(SMALL(Lines!$G$3:$G$1590,171),Lines!$G$3:$G$1590,0)),""))</f>
        <v/>
      </c>
      <c r="I176" s="26"/>
      <c r="J176" s="22" t="str">
        <f aca="false">IFERROR(IF(MOD(SMALL(Lines!$G$3:$G$1590,171),100000)=0,-1,MOD(SMALL(Lines!$G$3:$G$1590,171),100)),"")</f>
        <v/>
      </c>
      <c r="K176" s="22" t="str">
        <f aca="false">IF($J176=0,INDEX(Lines!$L$3:$L$1590,MATCH(SMALL(Lines!$G$3:$G$1590,171),Lines!$G$3:$G$1590,0)),"")</f>
        <v/>
      </c>
    </row>
    <row r="177" customFormat="false" ht="15" hidden="false" customHeight="false" outlineLevel="0" collapsed="false">
      <c r="A177" s="24" t="str">
        <f aca="false">IF(OR($J177=0,AND(ISNUMBER($J177),$J177&gt;0,$J177&lt;99)),INDEX(Lines!$A$3:$A$1590,MATCH(SMALL(Lines!$G$3:$G$1590,172),Lines!$G$3:$G$1590,0)),"")</f>
        <v/>
      </c>
      <c r="B177" s="24" t="str">
        <f aca="false">IF($J177=-1,INDEX(Lines!$J$3:$J$1590,MATCH(SMALL(Lines!$G$3:$G$1590,172),Lines!$G$3:$G$1590,0)),IF($J177=0,INDEX(Lines!$L$3:$L$1590,MATCH(SMALL(Lines!$G$3:$G$1590,172),Lines!$G$3:$G$1590,0)),IF(AND(ISNUMBER($J177),$J177&gt;0,$J177&lt;99),INDEX(Lines!$N$3:$N$1590,MATCH(SMALL(Lines!$G$3:$G$1590,172),Lines!$G$3:$G$1590,0)),"")))</f>
        <v/>
      </c>
      <c r="C177" s="25" t="str">
        <f aca="false">IF($J177=0,INDEX(Lines!$K$3:$K$1590,MATCH(SMALL(Lines!$G$3:$G$1590,172),Lines!$G$3:$G$1590,0)),IF(AND(ISNUMBER($J177),$J177&gt;0,$J177&lt;99),INDEX(Lines!$C$3:$C$1590,MATCH(SMALL(Lines!$G$3:$G$1590,172),Lines!$G$3:$G$1590,0)),""))</f>
        <v/>
      </c>
      <c r="D177" s="26" t="str">
        <f aca="false">IF(AND(ISNUMBER($J177),$J177&gt;0,$J177&lt;99),INDEX(Lines!$D$3:$D$1590,MATCH(SMALL(Lines!$G$3:$G$1590,172),Lines!$G$3:$G$1590,0)),"")</f>
        <v/>
      </c>
      <c r="E177" s="26" t="str">
        <f aca="false">IF(AND(ISNUMBER($J177),$J177&gt;0,$J177&lt;99),INDEX(Lines!$E$3:$E$1590,MATCH(SMALL(Lines!$G$3:$G$1590,172),Lines!$G$3:$G$1590,0)),"")</f>
        <v/>
      </c>
      <c r="F177" s="26" t="str">
        <f aca="false">IF(AND(ISNUMBER($J177),$J177&gt;0,$J177&lt;99),INDEX(Lines!$O$3:$O$1590,MATCH(SMALL(Lines!$G$3:$G$1590,172),Lines!$G$3:$G$1590,0)),"")</f>
        <v/>
      </c>
      <c r="G177" s="27" t="str">
        <f aca="false">IF($J177=0,INDEX(Lines!$Q$3:$Q$1590,MATCH(SMALL(Lines!$G$3:$G$1590,172),Lines!$G$3:$G$1590,0)),IF(AND(ISNUMBER($J177),$J177&gt;0,$J177&lt;99),INDEX(Lines!$P$3:$P$1590,MATCH(SMALL(Lines!$G$3:$G$1590,172),Lines!$G$3:$G$1590,0)),""))</f>
        <v/>
      </c>
      <c r="H177" s="28" t="str">
        <f aca="false">IF($J177=0,INDEX(Lines!$H$3:$H$1590,MATCH(SMALL(Lines!$G$3:$G$1590,172),Lines!$G$3:$G$1590,0))&amp;" groups",IF(AND(ISNUMBER($J177),$J177&gt;0,$J177&lt;99),INDEX(Lines!$I$3:$I$1590,MATCH(SMALL(Lines!$G$3:$G$1590,172),Lines!$G$3:$G$1590,0)),""))</f>
        <v/>
      </c>
      <c r="I177" s="26"/>
      <c r="J177" s="22" t="str">
        <f aca="false">IFERROR(IF(MOD(SMALL(Lines!$G$3:$G$1590,172),100000)=0,-1,MOD(SMALL(Lines!$G$3:$G$1590,172),100)),"")</f>
        <v/>
      </c>
      <c r="K177" s="22" t="str">
        <f aca="false">IF($J177=0,INDEX(Lines!$L$3:$L$1590,MATCH(SMALL(Lines!$G$3:$G$1590,172),Lines!$G$3:$G$1590,0)),"")</f>
        <v/>
      </c>
    </row>
    <row r="178" customFormat="false" ht="15" hidden="false" customHeight="false" outlineLevel="0" collapsed="false">
      <c r="A178" s="24" t="str">
        <f aca="false">IF(OR($J178=0,AND(ISNUMBER($J178),$J178&gt;0,$J178&lt;99)),INDEX(Lines!$A$3:$A$1590,MATCH(SMALL(Lines!$G$3:$G$1590,173),Lines!$G$3:$G$1590,0)),"")</f>
        <v/>
      </c>
      <c r="B178" s="24" t="str">
        <f aca="false">IF($J178=-1,INDEX(Lines!$J$3:$J$1590,MATCH(SMALL(Lines!$G$3:$G$1590,173),Lines!$G$3:$G$1590,0)),IF($J178=0,INDEX(Lines!$L$3:$L$1590,MATCH(SMALL(Lines!$G$3:$G$1590,173),Lines!$G$3:$G$1590,0)),IF(AND(ISNUMBER($J178),$J178&gt;0,$J178&lt;99),INDEX(Lines!$N$3:$N$1590,MATCH(SMALL(Lines!$G$3:$G$1590,173),Lines!$G$3:$G$1590,0)),"")))</f>
        <v/>
      </c>
      <c r="C178" s="25" t="str">
        <f aca="false">IF($J178=0,INDEX(Lines!$K$3:$K$1590,MATCH(SMALL(Lines!$G$3:$G$1590,173),Lines!$G$3:$G$1590,0)),IF(AND(ISNUMBER($J178),$J178&gt;0,$J178&lt;99),INDEX(Lines!$C$3:$C$1590,MATCH(SMALL(Lines!$G$3:$G$1590,173),Lines!$G$3:$G$1590,0)),""))</f>
        <v/>
      </c>
      <c r="D178" s="26" t="str">
        <f aca="false">IF(AND(ISNUMBER($J178),$J178&gt;0,$J178&lt;99),INDEX(Lines!$D$3:$D$1590,MATCH(SMALL(Lines!$G$3:$G$1590,173),Lines!$G$3:$G$1590,0)),"")</f>
        <v/>
      </c>
      <c r="E178" s="26" t="str">
        <f aca="false">IF(AND(ISNUMBER($J178),$J178&gt;0,$J178&lt;99),INDEX(Lines!$E$3:$E$1590,MATCH(SMALL(Lines!$G$3:$G$1590,173),Lines!$G$3:$G$1590,0)),"")</f>
        <v/>
      </c>
      <c r="F178" s="26" t="str">
        <f aca="false">IF(AND(ISNUMBER($J178),$J178&gt;0,$J178&lt;99),INDEX(Lines!$O$3:$O$1590,MATCH(SMALL(Lines!$G$3:$G$1590,173),Lines!$G$3:$G$1590,0)),"")</f>
        <v/>
      </c>
      <c r="G178" s="27" t="str">
        <f aca="false">IF($J178=0,INDEX(Lines!$Q$3:$Q$1590,MATCH(SMALL(Lines!$G$3:$G$1590,173),Lines!$G$3:$G$1590,0)),IF(AND(ISNUMBER($J178),$J178&gt;0,$J178&lt;99),INDEX(Lines!$P$3:$P$1590,MATCH(SMALL(Lines!$G$3:$G$1590,173),Lines!$G$3:$G$1590,0)),""))</f>
        <v/>
      </c>
      <c r="H178" s="28" t="str">
        <f aca="false">IF($J178=0,INDEX(Lines!$H$3:$H$1590,MATCH(SMALL(Lines!$G$3:$G$1590,173),Lines!$G$3:$G$1590,0))&amp;" groups",IF(AND(ISNUMBER($J178),$J178&gt;0,$J178&lt;99),INDEX(Lines!$I$3:$I$1590,MATCH(SMALL(Lines!$G$3:$G$1590,173),Lines!$G$3:$G$1590,0)),""))</f>
        <v/>
      </c>
      <c r="I178" s="26"/>
      <c r="J178" s="22" t="str">
        <f aca="false">IFERROR(IF(MOD(SMALL(Lines!$G$3:$G$1590,173),100000)=0,-1,MOD(SMALL(Lines!$G$3:$G$1590,173),100)),"")</f>
        <v/>
      </c>
      <c r="K178" s="22" t="str">
        <f aca="false">IF($J178=0,INDEX(Lines!$L$3:$L$1590,MATCH(SMALL(Lines!$G$3:$G$1590,173),Lines!$G$3:$G$1590,0)),"")</f>
        <v/>
      </c>
    </row>
    <row r="179" customFormat="false" ht="15" hidden="false" customHeight="false" outlineLevel="0" collapsed="false">
      <c r="A179" s="24" t="str">
        <f aca="false">IF(OR($J179=0,AND(ISNUMBER($J179),$J179&gt;0,$J179&lt;99)),INDEX(Lines!$A$3:$A$1590,MATCH(SMALL(Lines!$G$3:$G$1590,174),Lines!$G$3:$G$1590,0)),"")</f>
        <v/>
      </c>
      <c r="B179" s="24" t="str">
        <f aca="false">IF($J179=-1,INDEX(Lines!$J$3:$J$1590,MATCH(SMALL(Lines!$G$3:$G$1590,174),Lines!$G$3:$G$1590,0)),IF($J179=0,INDEX(Lines!$L$3:$L$1590,MATCH(SMALL(Lines!$G$3:$G$1590,174),Lines!$G$3:$G$1590,0)),IF(AND(ISNUMBER($J179),$J179&gt;0,$J179&lt;99),INDEX(Lines!$N$3:$N$1590,MATCH(SMALL(Lines!$G$3:$G$1590,174),Lines!$G$3:$G$1590,0)),"")))</f>
        <v/>
      </c>
      <c r="C179" s="25" t="str">
        <f aca="false">IF($J179=0,INDEX(Lines!$K$3:$K$1590,MATCH(SMALL(Lines!$G$3:$G$1590,174),Lines!$G$3:$G$1590,0)),IF(AND(ISNUMBER($J179),$J179&gt;0,$J179&lt;99),INDEX(Lines!$C$3:$C$1590,MATCH(SMALL(Lines!$G$3:$G$1590,174),Lines!$G$3:$G$1590,0)),""))</f>
        <v/>
      </c>
      <c r="D179" s="26" t="str">
        <f aca="false">IF(AND(ISNUMBER($J179),$J179&gt;0,$J179&lt;99),INDEX(Lines!$D$3:$D$1590,MATCH(SMALL(Lines!$G$3:$G$1590,174),Lines!$G$3:$G$1590,0)),"")</f>
        <v/>
      </c>
      <c r="E179" s="26" t="str">
        <f aca="false">IF(AND(ISNUMBER($J179),$J179&gt;0,$J179&lt;99),INDEX(Lines!$E$3:$E$1590,MATCH(SMALL(Lines!$G$3:$G$1590,174),Lines!$G$3:$G$1590,0)),"")</f>
        <v/>
      </c>
      <c r="F179" s="26" t="str">
        <f aca="false">IF(AND(ISNUMBER($J179),$J179&gt;0,$J179&lt;99),INDEX(Lines!$O$3:$O$1590,MATCH(SMALL(Lines!$G$3:$G$1590,174),Lines!$G$3:$G$1590,0)),"")</f>
        <v/>
      </c>
      <c r="G179" s="27" t="str">
        <f aca="false">IF($J179=0,INDEX(Lines!$Q$3:$Q$1590,MATCH(SMALL(Lines!$G$3:$G$1590,174),Lines!$G$3:$G$1590,0)),IF(AND(ISNUMBER($J179),$J179&gt;0,$J179&lt;99),INDEX(Lines!$P$3:$P$1590,MATCH(SMALL(Lines!$G$3:$G$1590,174),Lines!$G$3:$G$1590,0)),""))</f>
        <v/>
      </c>
      <c r="H179" s="28" t="str">
        <f aca="false">IF($J179=0,INDEX(Lines!$H$3:$H$1590,MATCH(SMALL(Lines!$G$3:$G$1590,174),Lines!$G$3:$G$1590,0))&amp;" groups",IF(AND(ISNUMBER($J179),$J179&gt;0,$J179&lt;99),INDEX(Lines!$I$3:$I$1590,MATCH(SMALL(Lines!$G$3:$G$1590,174),Lines!$G$3:$G$1590,0)),""))</f>
        <v/>
      </c>
      <c r="I179" s="26"/>
      <c r="J179" s="22" t="str">
        <f aca="false">IFERROR(IF(MOD(SMALL(Lines!$G$3:$G$1590,174),100000)=0,-1,MOD(SMALL(Lines!$G$3:$G$1590,174),100)),"")</f>
        <v/>
      </c>
      <c r="K179" s="22" t="str">
        <f aca="false">IF($J179=0,INDEX(Lines!$L$3:$L$1590,MATCH(SMALL(Lines!$G$3:$G$1590,174),Lines!$G$3:$G$1590,0)),"")</f>
        <v/>
      </c>
    </row>
    <row r="180" customFormat="false" ht="15" hidden="false" customHeight="false" outlineLevel="0" collapsed="false">
      <c r="A180" s="24" t="str">
        <f aca="false">IF(OR($J180=0,AND(ISNUMBER($J180),$J180&gt;0,$J180&lt;99)),INDEX(Lines!$A$3:$A$1590,MATCH(SMALL(Lines!$G$3:$G$1590,175),Lines!$G$3:$G$1590,0)),"")</f>
        <v/>
      </c>
      <c r="B180" s="24" t="str">
        <f aca="false">IF($J180=-1,INDEX(Lines!$J$3:$J$1590,MATCH(SMALL(Lines!$G$3:$G$1590,175),Lines!$G$3:$G$1590,0)),IF($J180=0,INDEX(Lines!$L$3:$L$1590,MATCH(SMALL(Lines!$G$3:$G$1590,175),Lines!$G$3:$G$1590,0)),IF(AND(ISNUMBER($J180),$J180&gt;0,$J180&lt;99),INDEX(Lines!$N$3:$N$1590,MATCH(SMALL(Lines!$G$3:$G$1590,175),Lines!$G$3:$G$1590,0)),"")))</f>
        <v/>
      </c>
      <c r="C180" s="25" t="str">
        <f aca="false">IF($J180=0,INDEX(Lines!$K$3:$K$1590,MATCH(SMALL(Lines!$G$3:$G$1590,175),Lines!$G$3:$G$1590,0)),IF(AND(ISNUMBER($J180),$J180&gt;0,$J180&lt;99),INDEX(Lines!$C$3:$C$1590,MATCH(SMALL(Lines!$G$3:$G$1590,175),Lines!$G$3:$G$1590,0)),""))</f>
        <v/>
      </c>
      <c r="D180" s="26" t="str">
        <f aca="false">IF(AND(ISNUMBER($J180),$J180&gt;0,$J180&lt;99),INDEX(Lines!$D$3:$D$1590,MATCH(SMALL(Lines!$G$3:$G$1590,175),Lines!$G$3:$G$1590,0)),"")</f>
        <v/>
      </c>
      <c r="E180" s="26" t="str">
        <f aca="false">IF(AND(ISNUMBER($J180),$J180&gt;0,$J180&lt;99),INDEX(Lines!$E$3:$E$1590,MATCH(SMALL(Lines!$G$3:$G$1590,175),Lines!$G$3:$G$1590,0)),"")</f>
        <v/>
      </c>
      <c r="F180" s="26" t="str">
        <f aca="false">IF(AND(ISNUMBER($J180),$J180&gt;0,$J180&lt;99),INDEX(Lines!$O$3:$O$1590,MATCH(SMALL(Lines!$G$3:$G$1590,175),Lines!$G$3:$G$1590,0)),"")</f>
        <v/>
      </c>
      <c r="G180" s="27" t="str">
        <f aca="false">IF($J180=0,INDEX(Lines!$Q$3:$Q$1590,MATCH(SMALL(Lines!$G$3:$G$1590,175),Lines!$G$3:$G$1590,0)),IF(AND(ISNUMBER($J180),$J180&gt;0,$J180&lt;99),INDEX(Lines!$P$3:$P$1590,MATCH(SMALL(Lines!$G$3:$G$1590,175),Lines!$G$3:$G$1590,0)),""))</f>
        <v/>
      </c>
      <c r="H180" s="28" t="str">
        <f aca="false">IF($J180=0,INDEX(Lines!$H$3:$H$1590,MATCH(SMALL(Lines!$G$3:$G$1590,175),Lines!$G$3:$G$1590,0))&amp;" groups",IF(AND(ISNUMBER($J180),$J180&gt;0,$J180&lt;99),INDEX(Lines!$I$3:$I$1590,MATCH(SMALL(Lines!$G$3:$G$1590,175),Lines!$G$3:$G$1590,0)),""))</f>
        <v/>
      </c>
      <c r="I180" s="26"/>
      <c r="J180" s="22" t="str">
        <f aca="false">IFERROR(IF(MOD(SMALL(Lines!$G$3:$G$1590,175),100000)=0,-1,MOD(SMALL(Lines!$G$3:$G$1590,175),100)),"")</f>
        <v/>
      </c>
      <c r="K180" s="22" t="str">
        <f aca="false">IF($J180=0,INDEX(Lines!$L$3:$L$1590,MATCH(SMALL(Lines!$G$3:$G$1590,175),Lines!$G$3:$G$1590,0)),"")</f>
        <v/>
      </c>
    </row>
    <row r="181" customFormat="false" ht="15" hidden="false" customHeight="false" outlineLevel="0" collapsed="false">
      <c r="A181" s="24" t="str">
        <f aca="false">IF(OR($J181=0,AND(ISNUMBER($J181),$J181&gt;0,$J181&lt;99)),INDEX(Lines!$A$3:$A$1590,MATCH(SMALL(Lines!$G$3:$G$1590,176),Lines!$G$3:$G$1590,0)),"")</f>
        <v/>
      </c>
      <c r="B181" s="24" t="str">
        <f aca="false">IF($J181=-1,INDEX(Lines!$J$3:$J$1590,MATCH(SMALL(Lines!$G$3:$G$1590,176),Lines!$G$3:$G$1590,0)),IF($J181=0,INDEX(Lines!$L$3:$L$1590,MATCH(SMALL(Lines!$G$3:$G$1590,176),Lines!$G$3:$G$1590,0)),IF(AND(ISNUMBER($J181),$J181&gt;0,$J181&lt;99),INDEX(Lines!$N$3:$N$1590,MATCH(SMALL(Lines!$G$3:$G$1590,176),Lines!$G$3:$G$1590,0)),"")))</f>
        <v/>
      </c>
      <c r="C181" s="25" t="str">
        <f aca="false">IF($J181=0,INDEX(Lines!$K$3:$K$1590,MATCH(SMALL(Lines!$G$3:$G$1590,176),Lines!$G$3:$G$1590,0)),IF(AND(ISNUMBER($J181),$J181&gt;0,$J181&lt;99),INDEX(Lines!$C$3:$C$1590,MATCH(SMALL(Lines!$G$3:$G$1590,176),Lines!$G$3:$G$1590,0)),""))</f>
        <v/>
      </c>
      <c r="D181" s="26" t="str">
        <f aca="false">IF(AND(ISNUMBER($J181),$J181&gt;0,$J181&lt;99),INDEX(Lines!$D$3:$D$1590,MATCH(SMALL(Lines!$G$3:$G$1590,176),Lines!$G$3:$G$1590,0)),"")</f>
        <v/>
      </c>
      <c r="E181" s="26" t="str">
        <f aca="false">IF(AND(ISNUMBER($J181),$J181&gt;0,$J181&lt;99),INDEX(Lines!$E$3:$E$1590,MATCH(SMALL(Lines!$G$3:$G$1590,176),Lines!$G$3:$G$1590,0)),"")</f>
        <v/>
      </c>
      <c r="F181" s="26" t="str">
        <f aca="false">IF(AND(ISNUMBER($J181),$J181&gt;0,$J181&lt;99),INDEX(Lines!$O$3:$O$1590,MATCH(SMALL(Lines!$G$3:$G$1590,176),Lines!$G$3:$G$1590,0)),"")</f>
        <v/>
      </c>
      <c r="G181" s="27" t="str">
        <f aca="false">IF($J181=0,INDEX(Lines!$Q$3:$Q$1590,MATCH(SMALL(Lines!$G$3:$G$1590,176),Lines!$G$3:$G$1590,0)),IF(AND(ISNUMBER($J181),$J181&gt;0,$J181&lt;99),INDEX(Lines!$P$3:$P$1590,MATCH(SMALL(Lines!$G$3:$G$1590,176),Lines!$G$3:$G$1590,0)),""))</f>
        <v/>
      </c>
      <c r="H181" s="28" t="str">
        <f aca="false">IF($J181=0,INDEX(Lines!$H$3:$H$1590,MATCH(SMALL(Lines!$G$3:$G$1590,176),Lines!$G$3:$G$1590,0))&amp;" groups",IF(AND(ISNUMBER($J181),$J181&gt;0,$J181&lt;99),INDEX(Lines!$I$3:$I$1590,MATCH(SMALL(Lines!$G$3:$G$1590,176),Lines!$G$3:$G$1590,0)),""))</f>
        <v/>
      </c>
      <c r="I181" s="26"/>
      <c r="J181" s="22" t="str">
        <f aca="false">IFERROR(IF(MOD(SMALL(Lines!$G$3:$G$1590,176),100000)=0,-1,MOD(SMALL(Lines!$G$3:$G$1590,176),100)),"")</f>
        <v/>
      </c>
      <c r="K181" s="22" t="str">
        <f aca="false">IF($J181=0,INDEX(Lines!$L$3:$L$1590,MATCH(SMALL(Lines!$G$3:$G$1590,176),Lines!$G$3:$G$1590,0)),"")</f>
        <v/>
      </c>
    </row>
    <row r="182" customFormat="false" ht="15" hidden="false" customHeight="false" outlineLevel="0" collapsed="false">
      <c r="A182" s="24" t="str">
        <f aca="false">IF(OR($J182=0,AND(ISNUMBER($J182),$J182&gt;0,$J182&lt;99)),INDEX(Lines!$A$3:$A$1590,MATCH(SMALL(Lines!$G$3:$G$1590,177),Lines!$G$3:$G$1590,0)),"")</f>
        <v/>
      </c>
      <c r="B182" s="24" t="str">
        <f aca="false">IF($J182=-1,INDEX(Lines!$J$3:$J$1590,MATCH(SMALL(Lines!$G$3:$G$1590,177),Lines!$G$3:$G$1590,0)),IF($J182=0,INDEX(Lines!$L$3:$L$1590,MATCH(SMALL(Lines!$G$3:$G$1590,177),Lines!$G$3:$G$1590,0)),IF(AND(ISNUMBER($J182),$J182&gt;0,$J182&lt;99),INDEX(Lines!$N$3:$N$1590,MATCH(SMALL(Lines!$G$3:$G$1590,177),Lines!$G$3:$G$1590,0)),"")))</f>
        <v/>
      </c>
      <c r="C182" s="25" t="str">
        <f aca="false">IF($J182=0,INDEX(Lines!$K$3:$K$1590,MATCH(SMALL(Lines!$G$3:$G$1590,177),Lines!$G$3:$G$1590,0)),IF(AND(ISNUMBER($J182),$J182&gt;0,$J182&lt;99),INDEX(Lines!$C$3:$C$1590,MATCH(SMALL(Lines!$G$3:$G$1590,177),Lines!$G$3:$G$1590,0)),""))</f>
        <v/>
      </c>
      <c r="D182" s="26" t="str">
        <f aca="false">IF(AND(ISNUMBER($J182),$J182&gt;0,$J182&lt;99),INDEX(Lines!$D$3:$D$1590,MATCH(SMALL(Lines!$G$3:$G$1590,177),Lines!$G$3:$G$1590,0)),"")</f>
        <v/>
      </c>
      <c r="E182" s="26" t="str">
        <f aca="false">IF(AND(ISNUMBER($J182),$J182&gt;0,$J182&lt;99),INDEX(Lines!$E$3:$E$1590,MATCH(SMALL(Lines!$G$3:$G$1590,177),Lines!$G$3:$G$1590,0)),"")</f>
        <v/>
      </c>
      <c r="F182" s="26" t="str">
        <f aca="false">IF(AND(ISNUMBER($J182),$J182&gt;0,$J182&lt;99),INDEX(Lines!$O$3:$O$1590,MATCH(SMALL(Lines!$G$3:$G$1590,177),Lines!$G$3:$G$1590,0)),"")</f>
        <v/>
      </c>
      <c r="G182" s="27" t="str">
        <f aca="false">IF($J182=0,INDEX(Lines!$Q$3:$Q$1590,MATCH(SMALL(Lines!$G$3:$G$1590,177),Lines!$G$3:$G$1590,0)),IF(AND(ISNUMBER($J182),$J182&gt;0,$J182&lt;99),INDEX(Lines!$P$3:$P$1590,MATCH(SMALL(Lines!$G$3:$G$1590,177),Lines!$G$3:$G$1590,0)),""))</f>
        <v/>
      </c>
      <c r="H182" s="28" t="str">
        <f aca="false">IF($J182=0,INDEX(Lines!$H$3:$H$1590,MATCH(SMALL(Lines!$G$3:$G$1590,177),Lines!$G$3:$G$1590,0))&amp;" groups",IF(AND(ISNUMBER($J182),$J182&gt;0,$J182&lt;99),INDEX(Lines!$I$3:$I$1590,MATCH(SMALL(Lines!$G$3:$G$1590,177),Lines!$G$3:$G$1590,0)),""))</f>
        <v/>
      </c>
      <c r="I182" s="26"/>
      <c r="J182" s="22" t="str">
        <f aca="false">IFERROR(IF(MOD(SMALL(Lines!$G$3:$G$1590,177),100000)=0,-1,MOD(SMALL(Lines!$G$3:$G$1590,177),100)),"")</f>
        <v/>
      </c>
      <c r="K182" s="22" t="str">
        <f aca="false">IF($J182=0,INDEX(Lines!$L$3:$L$1590,MATCH(SMALL(Lines!$G$3:$G$1590,177),Lines!$G$3:$G$1590,0)),"")</f>
        <v/>
      </c>
    </row>
    <row r="183" customFormat="false" ht="15" hidden="false" customHeight="false" outlineLevel="0" collapsed="false">
      <c r="A183" s="24" t="str">
        <f aca="false">IF(OR($J183=0,AND(ISNUMBER($J183),$J183&gt;0,$J183&lt;99)),INDEX(Lines!$A$3:$A$1590,MATCH(SMALL(Lines!$G$3:$G$1590,178),Lines!$G$3:$G$1590,0)),"")</f>
        <v/>
      </c>
      <c r="B183" s="24" t="str">
        <f aca="false">IF($J183=-1,INDEX(Lines!$J$3:$J$1590,MATCH(SMALL(Lines!$G$3:$G$1590,178),Lines!$G$3:$G$1590,0)),IF($J183=0,INDEX(Lines!$L$3:$L$1590,MATCH(SMALL(Lines!$G$3:$G$1590,178),Lines!$G$3:$G$1590,0)),IF(AND(ISNUMBER($J183),$J183&gt;0,$J183&lt;99),INDEX(Lines!$N$3:$N$1590,MATCH(SMALL(Lines!$G$3:$G$1590,178),Lines!$G$3:$G$1590,0)),"")))</f>
        <v/>
      </c>
      <c r="C183" s="25" t="str">
        <f aca="false">IF($J183=0,INDEX(Lines!$K$3:$K$1590,MATCH(SMALL(Lines!$G$3:$G$1590,178),Lines!$G$3:$G$1590,0)),IF(AND(ISNUMBER($J183),$J183&gt;0,$J183&lt;99),INDEX(Lines!$C$3:$C$1590,MATCH(SMALL(Lines!$G$3:$G$1590,178),Lines!$G$3:$G$1590,0)),""))</f>
        <v/>
      </c>
      <c r="D183" s="26" t="str">
        <f aca="false">IF(AND(ISNUMBER($J183),$J183&gt;0,$J183&lt;99),INDEX(Lines!$D$3:$D$1590,MATCH(SMALL(Lines!$G$3:$G$1590,178),Lines!$G$3:$G$1590,0)),"")</f>
        <v/>
      </c>
      <c r="E183" s="26" t="str">
        <f aca="false">IF(AND(ISNUMBER($J183),$J183&gt;0,$J183&lt;99),INDEX(Lines!$E$3:$E$1590,MATCH(SMALL(Lines!$G$3:$G$1590,178),Lines!$G$3:$G$1590,0)),"")</f>
        <v/>
      </c>
      <c r="F183" s="26" t="str">
        <f aca="false">IF(AND(ISNUMBER($J183),$J183&gt;0,$J183&lt;99),INDEX(Lines!$O$3:$O$1590,MATCH(SMALL(Lines!$G$3:$G$1590,178),Lines!$G$3:$G$1590,0)),"")</f>
        <v/>
      </c>
      <c r="G183" s="27" t="str">
        <f aca="false">IF($J183=0,INDEX(Lines!$Q$3:$Q$1590,MATCH(SMALL(Lines!$G$3:$G$1590,178),Lines!$G$3:$G$1590,0)),IF(AND(ISNUMBER($J183),$J183&gt;0,$J183&lt;99),INDEX(Lines!$P$3:$P$1590,MATCH(SMALL(Lines!$G$3:$G$1590,178),Lines!$G$3:$G$1590,0)),""))</f>
        <v/>
      </c>
      <c r="H183" s="28" t="str">
        <f aca="false">IF($J183=0,INDEX(Lines!$H$3:$H$1590,MATCH(SMALL(Lines!$G$3:$G$1590,178),Lines!$G$3:$G$1590,0))&amp;" groups",IF(AND(ISNUMBER($J183),$J183&gt;0,$J183&lt;99),INDEX(Lines!$I$3:$I$1590,MATCH(SMALL(Lines!$G$3:$G$1590,178),Lines!$G$3:$G$1590,0)),""))</f>
        <v/>
      </c>
      <c r="I183" s="26"/>
      <c r="J183" s="22" t="str">
        <f aca="false">IFERROR(IF(MOD(SMALL(Lines!$G$3:$G$1590,178),100000)=0,-1,MOD(SMALL(Lines!$G$3:$G$1590,178),100)),"")</f>
        <v/>
      </c>
      <c r="K183" s="22" t="str">
        <f aca="false">IF($J183=0,INDEX(Lines!$L$3:$L$1590,MATCH(SMALL(Lines!$G$3:$G$1590,178),Lines!$G$3:$G$1590,0)),"")</f>
        <v/>
      </c>
    </row>
    <row r="184" customFormat="false" ht="15" hidden="false" customHeight="false" outlineLevel="0" collapsed="false">
      <c r="A184" s="24" t="str">
        <f aca="false">IF(OR($J184=0,AND(ISNUMBER($J184),$J184&gt;0,$J184&lt;99)),INDEX(Lines!$A$3:$A$1590,MATCH(SMALL(Lines!$G$3:$G$1590,179),Lines!$G$3:$G$1590,0)),"")</f>
        <v/>
      </c>
      <c r="B184" s="24" t="str">
        <f aca="false">IF($J184=-1,INDEX(Lines!$J$3:$J$1590,MATCH(SMALL(Lines!$G$3:$G$1590,179),Lines!$G$3:$G$1590,0)),IF($J184=0,INDEX(Lines!$L$3:$L$1590,MATCH(SMALL(Lines!$G$3:$G$1590,179),Lines!$G$3:$G$1590,0)),IF(AND(ISNUMBER($J184),$J184&gt;0,$J184&lt;99),INDEX(Lines!$N$3:$N$1590,MATCH(SMALL(Lines!$G$3:$G$1590,179),Lines!$G$3:$G$1590,0)),"")))</f>
        <v/>
      </c>
      <c r="C184" s="25" t="str">
        <f aca="false">IF($J184=0,INDEX(Lines!$K$3:$K$1590,MATCH(SMALL(Lines!$G$3:$G$1590,179),Lines!$G$3:$G$1590,0)),IF(AND(ISNUMBER($J184),$J184&gt;0,$J184&lt;99),INDEX(Lines!$C$3:$C$1590,MATCH(SMALL(Lines!$G$3:$G$1590,179),Lines!$G$3:$G$1590,0)),""))</f>
        <v/>
      </c>
      <c r="D184" s="26" t="str">
        <f aca="false">IF(AND(ISNUMBER($J184),$J184&gt;0,$J184&lt;99),INDEX(Lines!$D$3:$D$1590,MATCH(SMALL(Lines!$G$3:$G$1590,179),Lines!$G$3:$G$1590,0)),"")</f>
        <v/>
      </c>
      <c r="E184" s="26" t="str">
        <f aca="false">IF(AND(ISNUMBER($J184),$J184&gt;0,$J184&lt;99),INDEX(Lines!$E$3:$E$1590,MATCH(SMALL(Lines!$G$3:$G$1590,179),Lines!$G$3:$G$1590,0)),"")</f>
        <v/>
      </c>
      <c r="F184" s="26" t="str">
        <f aca="false">IF(AND(ISNUMBER($J184),$J184&gt;0,$J184&lt;99),INDEX(Lines!$O$3:$O$1590,MATCH(SMALL(Lines!$G$3:$G$1590,179),Lines!$G$3:$G$1590,0)),"")</f>
        <v/>
      </c>
      <c r="G184" s="27" t="str">
        <f aca="false">IF($J184=0,INDEX(Lines!$Q$3:$Q$1590,MATCH(SMALL(Lines!$G$3:$G$1590,179),Lines!$G$3:$G$1590,0)),IF(AND(ISNUMBER($J184),$J184&gt;0,$J184&lt;99),INDEX(Lines!$P$3:$P$1590,MATCH(SMALL(Lines!$G$3:$G$1590,179),Lines!$G$3:$G$1590,0)),""))</f>
        <v/>
      </c>
      <c r="H184" s="28" t="str">
        <f aca="false">IF($J184=0,INDEX(Lines!$H$3:$H$1590,MATCH(SMALL(Lines!$G$3:$G$1590,179),Lines!$G$3:$G$1590,0))&amp;" groups",IF(AND(ISNUMBER($J184),$J184&gt;0,$J184&lt;99),INDEX(Lines!$I$3:$I$1590,MATCH(SMALL(Lines!$G$3:$G$1590,179),Lines!$G$3:$G$1590,0)),""))</f>
        <v/>
      </c>
      <c r="I184" s="26"/>
      <c r="J184" s="22" t="str">
        <f aca="false">IFERROR(IF(MOD(SMALL(Lines!$G$3:$G$1590,179),100000)=0,-1,MOD(SMALL(Lines!$G$3:$G$1590,179),100)),"")</f>
        <v/>
      </c>
      <c r="K184" s="22" t="str">
        <f aca="false">IF($J184=0,INDEX(Lines!$L$3:$L$1590,MATCH(SMALL(Lines!$G$3:$G$1590,179),Lines!$G$3:$G$1590,0)),"")</f>
        <v/>
      </c>
    </row>
    <row r="185" customFormat="false" ht="15" hidden="false" customHeight="false" outlineLevel="0" collapsed="false">
      <c r="A185" s="24" t="str">
        <f aca="false">IF(OR($J185=0,AND(ISNUMBER($J185),$J185&gt;0,$J185&lt;99)),INDEX(Lines!$A$3:$A$1590,MATCH(SMALL(Lines!$G$3:$G$1590,180),Lines!$G$3:$G$1590,0)),"")</f>
        <v/>
      </c>
      <c r="B185" s="24" t="str">
        <f aca="false">IF($J185=-1,INDEX(Lines!$J$3:$J$1590,MATCH(SMALL(Lines!$G$3:$G$1590,180),Lines!$G$3:$G$1590,0)),IF($J185=0,INDEX(Lines!$L$3:$L$1590,MATCH(SMALL(Lines!$G$3:$G$1590,180),Lines!$G$3:$G$1590,0)),IF(AND(ISNUMBER($J185),$J185&gt;0,$J185&lt;99),INDEX(Lines!$N$3:$N$1590,MATCH(SMALL(Lines!$G$3:$G$1590,180),Lines!$G$3:$G$1590,0)),"")))</f>
        <v/>
      </c>
      <c r="C185" s="25" t="str">
        <f aca="false">IF($J185=0,INDEX(Lines!$K$3:$K$1590,MATCH(SMALL(Lines!$G$3:$G$1590,180),Lines!$G$3:$G$1590,0)),IF(AND(ISNUMBER($J185),$J185&gt;0,$J185&lt;99),INDEX(Lines!$C$3:$C$1590,MATCH(SMALL(Lines!$G$3:$G$1590,180),Lines!$G$3:$G$1590,0)),""))</f>
        <v/>
      </c>
      <c r="D185" s="26" t="str">
        <f aca="false">IF(AND(ISNUMBER($J185),$J185&gt;0,$J185&lt;99),INDEX(Lines!$D$3:$D$1590,MATCH(SMALL(Lines!$G$3:$G$1590,180),Lines!$G$3:$G$1590,0)),"")</f>
        <v/>
      </c>
      <c r="E185" s="26" t="str">
        <f aca="false">IF(AND(ISNUMBER($J185),$J185&gt;0,$J185&lt;99),INDEX(Lines!$E$3:$E$1590,MATCH(SMALL(Lines!$G$3:$G$1590,180),Lines!$G$3:$G$1590,0)),"")</f>
        <v/>
      </c>
      <c r="F185" s="26" t="str">
        <f aca="false">IF(AND(ISNUMBER($J185),$J185&gt;0,$J185&lt;99),INDEX(Lines!$O$3:$O$1590,MATCH(SMALL(Lines!$G$3:$G$1590,180),Lines!$G$3:$G$1590,0)),"")</f>
        <v/>
      </c>
      <c r="G185" s="27" t="str">
        <f aca="false">IF($J185=0,INDEX(Lines!$Q$3:$Q$1590,MATCH(SMALL(Lines!$G$3:$G$1590,180),Lines!$G$3:$G$1590,0)),IF(AND(ISNUMBER($J185),$J185&gt;0,$J185&lt;99),INDEX(Lines!$P$3:$P$1590,MATCH(SMALL(Lines!$G$3:$G$1590,180),Lines!$G$3:$G$1590,0)),""))</f>
        <v/>
      </c>
      <c r="H185" s="28" t="str">
        <f aca="false">IF($J185=0,INDEX(Lines!$H$3:$H$1590,MATCH(SMALL(Lines!$G$3:$G$1590,180),Lines!$G$3:$G$1590,0))&amp;" groups",IF(AND(ISNUMBER($J185),$J185&gt;0,$J185&lt;99),INDEX(Lines!$I$3:$I$1590,MATCH(SMALL(Lines!$G$3:$G$1590,180),Lines!$G$3:$G$1590,0)),""))</f>
        <v/>
      </c>
      <c r="I185" s="26"/>
      <c r="J185" s="22" t="str">
        <f aca="false">IFERROR(IF(MOD(SMALL(Lines!$G$3:$G$1590,180),100000)=0,-1,MOD(SMALL(Lines!$G$3:$G$1590,180),100)),"")</f>
        <v/>
      </c>
      <c r="K185" s="22" t="str">
        <f aca="false">IF($J185=0,INDEX(Lines!$L$3:$L$1590,MATCH(SMALL(Lines!$G$3:$G$1590,180),Lines!$G$3:$G$1590,0)),"")</f>
        <v/>
      </c>
    </row>
    <row r="186" customFormat="false" ht="15" hidden="false" customHeight="false" outlineLevel="0" collapsed="false">
      <c r="A186" s="24" t="str">
        <f aca="false">IF(OR($J186=0,AND(ISNUMBER($J186),$J186&gt;0,$J186&lt;99)),INDEX(Lines!$A$3:$A$1590,MATCH(SMALL(Lines!$G$3:$G$1590,181),Lines!$G$3:$G$1590,0)),"")</f>
        <v/>
      </c>
      <c r="B186" s="24" t="str">
        <f aca="false">IF($J186=-1,INDEX(Lines!$J$3:$J$1590,MATCH(SMALL(Lines!$G$3:$G$1590,181),Lines!$G$3:$G$1590,0)),IF($J186=0,INDEX(Lines!$L$3:$L$1590,MATCH(SMALL(Lines!$G$3:$G$1590,181),Lines!$G$3:$G$1590,0)),IF(AND(ISNUMBER($J186),$J186&gt;0,$J186&lt;99),INDEX(Lines!$N$3:$N$1590,MATCH(SMALL(Lines!$G$3:$G$1590,181),Lines!$G$3:$G$1590,0)),"")))</f>
        <v/>
      </c>
      <c r="C186" s="25" t="str">
        <f aca="false">IF($J186=0,INDEX(Lines!$K$3:$K$1590,MATCH(SMALL(Lines!$G$3:$G$1590,181),Lines!$G$3:$G$1590,0)),IF(AND(ISNUMBER($J186),$J186&gt;0,$J186&lt;99),INDEX(Lines!$C$3:$C$1590,MATCH(SMALL(Lines!$G$3:$G$1590,181),Lines!$G$3:$G$1590,0)),""))</f>
        <v/>
      </c>
      <c r="D186" s="26" t="str">
        <f aca="false">IF(AND(ISNUMBER($J186),$J186&gt;0,$J186&lt;99),INDEX(Lines!$D$3:$D$1590,MATCH(SMALL(Lines!$G$3:$G$1590,181),Lines!$G$3:$G$1590,0)),"")</f>
        <v/>
      </c>
      <c r="E186" s="26" t="str">
        <f aca="false">IF(AND(ISNUMBER($J186),$J186&gt;0,$J186&lt;99),INDEX(Lines!$E$3:$E$1590,MATCH(SMALL(Lines!$G$3:$G$1590,181),Lines!$G$3:$G$1590,0)),"")</f>
        <v/>
      </c>
      <c r="F186" s="26" t="str">
        <f aca="false">IF(AND(ISNUMBER($J186),$J186&gt;0,$J186&lt;99),INDEX(Lines!$O$3:$O$1590,MATCH(SMALL(Lines!$G$3:$G$1590,181),Lines!$G$3:$G$1590,0)),"")</f>
        <v/>
      </c>
      <c r="G186" s="27" t="str">
        <f aca="false">IF($J186=0,INDEX(Lines!$Q$3:$Q$1590,MATCH(SMALL(Lines!$G$3:$G$1590,181),Lines!$G$3:$G$1590,0)),IF(AND(ISNUMBER($J186),$J186&gt;0,$J186&lt;99),INDEX(Lines!$P$3:$P$1590,MATCH(SMALL(Lines!$G$3:$G$1590,181),Lines!$G$3:$G$1590,0)),""))</f>
        <v/>
      </c>
      <c r="H186" s="28" t="str">
        <f aca="false">IF($J186=0,INDEX(Lines!$H$3:$H$1590,MATCH(SMALL(Lines!$G$3:$G$1590,181),Lines!$G$3:$G$1590,0))&amp;" groups",IF(AND(ISNUMBER($J186),$J186&gt;0,$J186&lt;99),INDEX(Lines!$I$3:$I$1590,MATCH(SMALL(Lines!$G$3:$G$1590,181),Lines!$G$3:$G$1590,0)),""))</f>
        <v/>
      </c>
      <c r="I186" s="26"/>
      <c r="J186" s="22" t="str">
        <f aca="false">IFERROR(IF(MOD(SMALL(Lines!$G$3:$G$1590,181),100000)=0,-1,MOD(SMALL(Lines!$G$3:$G$1590,181),100)),"")</f>
        <v/>
      </c>
      <c r="K186" s="22" t="str">
        <f aca="false">IF($J186=0,INDEX(Lines!$L$3:$L$1590,MATCH(SMALL(Lines!$G$3:$G$1590,181),Lines!$G$3:$G$1590,0)),"")</f>
        <v/>
      </c>
    </row>
    <row r="187" customFormat="false" ht="15" hidden="false" customHeight="false" outlineLevel="0" collapsed="false">
      <c r="A187" s="24" t="str">
        <f aca="false">IF(OR($J187=0,AND(ISNUMBER($J187),$J187&gt;0,$J187&lt;99)),INDEX(Lines!$A$3:$A$1590,MATCH(SMALL(Lines!$G$3:$G$1590,182),Lines!$G$3:$G$1590,0)),"")</f>
        <v/>
      </c>
      <c r="B187" s="24" t="str">
        <f aca="false">IF($J187=-1,INDEX(Lines!$J$3:$J$1590,MATCH(SMALL(Lines!$G$3:$G$1590,182),Lines!$G$3:$G$1590,0)),IF($J187=0,INDEX(Lines!$L$3:$L$1590,MATCH(SMALL(Lines!$G$3:$G$1590,182),Lines!$G$3:$G$1590,0)),IF(AND(ISNUMBER($J187),$J187&gt;0,$J187&lt;99),INDEX(Lines!$N$3:$N$1590,MATCH(SMALL(Lines!$G$3:$G$1590,182),Lines!$G$3:$G$1590,0)),"")))</f>
        <v/>
      </c>
      <c r="C187" s="25" t="str">
        <f aca="false">IF($J187=0,INDEX(Lines!$K$3:$K$1590,MATCH(SMALL(Lines!$G$3:$G$1590,182),Lines!$G$3:$G$1590,0)),IF(AND(ISNUMBER($J187),$J187&gt;0,$J187&lt;99),INDEX(Lines!$C$3:$C$1590,MATCH(SMALL(Lines!$G$3:$G$1590,182),Lines!$G$3:$G$1590,0)),""))</f>
        <v/>
      </c>
      <c r="D187" s="26" t="str">
        <f aca="false">IF(AND(ISNUMBER($J187),$J187&gt;0,$J187&lt;99),INDEX(Lines!$D$3:$D$1590,MATCH(SMALL(Lines!$G$3:$G$1590,182),Lines!$G$3:$G$1590,0)),"")</f>
        <v/>
      </c>
      <c r="E187" s="26" t="str">
        <f aca="false">IF(AND(ISNUMBER($J187),$J187&gt;0,$J187&lt;99),INDEX(Lines!$E$3:$E$1590,MATCH(SMALL(Lines!$G$3:$G$1590,182),Lines!$G$3:$G$1590,0)),"")</f>
        <v/>
      </c>
      <c r="F187" s="26" t="str">
        <f aca="false">IF(AND(ISNUMBER($J187),$J187&gt;0,$J187&lt;99),INDEX(Lines!$O$3:$O$1590,MATCH(SMALL(Lines!$G$3:$G$1590,182),Lines!$G$3:$G$1590,0)),"")</f>
        <v/>
      </c>
      <c r="G187" s="27" t="str">
        <f aca="false">IF($J187=0,INDEX(Lines!$Q$3:$Q$1590,MATCH(SMALL(Lines!$G$3:$G$1590,182),Lines!$G$3:$G$1590,0)),IF(AND(ISNUMBER($J187),$J187&gt;0,$J187&lt;99),INDEX(Lines!$P$3:$P$1590,MATCH(SMALL(Lines!$G$3:$G$1590,182),Lines!$G$3:$G$1590,0)),""))</f>
        <v/>
      </c>
      <c r="H187" s="28" t="str">
        <f aca="false">IF($J187=0,INDEX(Lines!$H$3:$H$1590,MATCH(SMALL(Lines!$G$3:$G$1590,182),Lines!$G$3:$G$1590,0))&amp;" groups",IF(AND(ISNUMBER($J187),$J187&gt;0,$J187&lt;99),INDEX(Lines!$I$3:$I$1590,MATCH(SMALL(Lines!$G$3:$G$1590,182),Lines!$G$3:$G$1590,0)),""))</f>
        <v/>
      </c>
      <c r="I187" s="26"/>
      <c r="J187" s="22" t="str">
        <f aca="false">IFERROR(IF(MOD(SMALL(Lines!$G$3:$G$1590,182),100000)=0,-1,MOD(SMALL(Lines!$G$3:$G$1590,182),100)),"")</f>
        <v/>
      </c>
      <c r="K187" s="22" t="str">
        <f aca="false">IF($J187=0,INDEX(Lines!$L$3:$L$1590,MATCH(SMALL(Lines!$G$3:$G$1590,182),Lines!$G$3:$G$1590,0)),"")</f>
        <v/>
      </c>
    </row>
    <row r="188" customFormat="false" ht="15" hidden="false" customHeight="false" outlineLevel="0" collapsed="false">
      <c r="A188" s="24" t="str">
        <f aca="false">IF(OR($J188=0,AND(ISNUMBER($J188),$J188&gt;0,$J188&lt;99)),INDEX(Lines!$A$3:$A$1590,MATCH(SMALL(Lines!$G$3:$G$1590,183),Lines!$G$3:$G$1590,0)),"")</f>
        <v/>
      </c>
      <c r="B188" s="24" t="str">
        <f aca="false">IF($J188=-1,INDEX(Lines!$J$3:$J$1590,MATCH(SMALL(Lines!$G$3:$G$1590,183),Lines!$G$3:$G$1590,0)),IF($J188=0,INDEX(Lines!$L$3:$L$1590,MATCH(SMALL(Lines!$G$3:$G$1590,183),Lines!$G$3:$G$1590,0)),IF(AND(ISNUMBER($J188),$J188&gt;0,$J188&lt;99),INDEX(Lines!$N$3:$N$1590,MATCH(SMALL(Lines!$G$3:$G$1590,183),Lines!$G$3:$G$1590,0)),"")))</f>
        <v/>
      </c>
      <c r="C188" s="25" t="str">
        <f aca="false">IF($J188=0,INDEX(Lines!$K$3:$K$1590,MATCH(SMALL(Lines!$G$3:$G$1590,183),Lines!$G$3:$G$1590,0)),IF(AND(ISNUMBER($J188),$J188&gt;0,$J188&lt;99),INDEX(Lines!$C$3:$C$1590,MATCH(SMALL(Lines!$G$3:$G$1590,183),Lines!$G$3:$G$1590,0)),""))</f>
        <v/>
      </c>
      <c r="D188" s="26" t="str">
        <f aca="false">IF(AND(ISNUMBER($J188),$J188&gt;0,$J188&lt;99),INDEX(Lines!$D$3:$D$1590,MATCH(SMALL(Lines!$G$3:$G$1590,183),Lines!$G$3:$G$1590,0)),"")</f>
        <v/>
      </c>
      <c r="E188" s="26" t="str">
        <f aca="false">IF(AND(ISNUMBER($J188),$J188&gt;0,$J188&lt;99),INDEX(Lines!$E$3:$E$1590,MATCH(SMALL(Lines!$G$3:$G$1590,183),Lines!$G$3:$G$1590,0)),"")</f>
        <v/>
      </c>
      <c r="F188" s="26" t="str">
        <f aca="false">IF(AND(ISNUMBER($J188),$J188&gt;0,$J188&lt;99),INDEX(Lines!$O$3:$O$1590,MATCH(SMALL(Lines!$G$3:$G$1590,183),Lines!$G$3:$G$1590,0)),"")</f>
        <v/>
      </c>
      <c r="G188" s="27" t="str">
        <f aca="false">IF($J188=0,INDEX(Lines!$Q$3:$Q$1590,MATCH(SMALL(Lines!$G$3:$G$1590,183),Lines!$G$3:$G$1590,0)),IF(AND(ISNUMBER($J188),$J188&gt;0,$J188&lt;99),INDEX(Lines!$P$3:$P$1590,MATCH(SMALL(Lines!$G$3:$G$1590,183),Lines!$G$3:$G$1590,0)),""))</f>
        <v/>
      </c>
      <c r="H188" s="28" t="str">
        <f aca="false">IF($J188=0,INDEX(Lines!$H$3:$H$1590,MATCH(SMALL(Lines!$G$3:$G$1590,183),Lines!$G$3:$G$1590,0))&amp;" groups",IF(AND(ISNUMBER($J188),$J188&gt;0,$J188&lt;99),INDEX(Lines!$I$3:$I$1590,MATCH(SMALL(Lines!$G$3:$G$1590,183),Lines!$G$3:$G$1590,0)),""))</f>
        <v/>
      </c>
      <c r="I188" s="26"/>
      <c r="J188" s="22" t="str">
        <f aca="false">IFERROR(IF(MOD(SMALL(Lines!$G$3:$G$1590,183),100000)=0,-1,MOD(SMALL(Lines!$G$3:$G$1590,183),100)),"")</f>
        <v/>
      </c>
      <c r="K188" s="22" t="str">
        <f aca="false">IF($J188=0,INDEX(Lines!$L$3:$L$1590,MATCH(SMALL(Lines!$G$3:$G$1590,183),Lines!$G$3:$G$1590,0)),"")</f>
        <v/>
      </c>
    </row>
    <row r="189" customFormat="false" ht="15" hidden="false" customHeight="false" outlineLevel="0" collapsed="false">
      <c r="A189" s="24" t="str">
        <f aca="false">IF(OR($J189=0,AND(ISNUMBER($J189),$J189&gt;0,$J189&lt;99)),INDEX(Lines!$A$3:$A$1590,MATCH(SMALL(Lines!$G$3:$G$1590,184),Lines!$G$3:$G$1590,0)),"")</f>
        <v/>
      </c>
      <c r="B189" s="24" t="str">
        <f aca="false">IF($J189=-1,INDEX(Lines!$J$3:$J$1590,MATCH(SMALL(Lines!$G$3:$G$1590,184),Lines!$G$3:$G$1590,0)),IF($J189=0,INDEX(Lines!$L$3:$L$1590,MATCH(SMALL(Lines!$G$3:$G$1590,184),Lines!$G$3:$G$1590,0)),IF(AND(ISNUMBER($J189),$J189&gt;0,$J189&lt;99),INDEX(Lines!$N$3:$N$1590,MATCH(SMALL(Lines!$G$3:$G$1590,184),Lines!$G$3:$G$1590,0)),"")))</f>
        <v/>
      </c>
      <c r="C189" s="25" t="str">
        <f aca="false">IF($J189=0,INDEX(Lines!$K$3:$K$1590,MATCH(SMALL(Lines!$G$3:$G$1590,184),Lines!$G$3:$G$1590,0)),IF(AND(ISNUMBER($J189),$J189&gt;0,$J189&lt;99),INDEX(Lines!$C$3:$C$1590,MATCH(SMALL(Lines!$G$3:$G$1590,184),Lines!$G$3:$G$1590,0)),""))</f>
        <v/>
      </c>
      <c r="D189" s="26" t="str">
        <f aca="false">IF(AND(ISNUMBER($J189),$J189&gt;0,$J189&lt;99),INDEX(Lines!$D$3:$D$1590,MATCH(SMALL(Lines!$G$3:$G$1590,184),Lines!$G$3:$G$1590,0)),"")</f>
        <v/>
      </c>
      <c r="E189" s="26" t="str">
        <f aca="false">IF(AND(ISNUMBER($J189),$J189&gt;0,$J189&lt;99),INDEX(Lines!$E$3:$E$1590,MATCH(SMALL(Lines!$G$3:$G$1590,184),Lines!$G$3:$G$1590,0)),"")</f>
        <v/>
      </c>
      <c r="F189" s="26" t="str">
        <f aca="false">IF(AND(ISNUMBER($J189),$J189&gt;0,$J189&lt;99),INDEX(Lines!$O$3:$O$1590,MATCH(SMALL(Lines!$G$3:$G$1590,184),Lines!$G$3:$G$1590,0)),"")</f>
        <v/>
      </c>
      <c r="G189" s="27" t="str">
        <f aca="false">IF($J189=0,INDEX(Lines!$Q$3:$Q$1590,MATCH(SMALL(Lines!$G$3:$G$1590,184),Lines!$G$3:$G$1590,0)),IF(AND(ISNUMBER($J189),$J189&gt;0,$J189&lt;99),INDEX(Lines!$P$3:$P$1590,MATCH(SMALL(Lines!$G$3:$G$1590,184),Lines!$G$3:$G$1590,0)),""))</f>
        <v/>
      </c>
      <c r="H189" s="28" t="str">
        <f aca="false">IF($J189=0,INDEX(Lines!$H$3:$H$1590,MATCH(SMALL(Lines!$G$3:$G$1590,184),Lines!$G$3:$G$1590,0))&amp;" groups",IF(AND(ISNUMBER($J189),$J189&gt;0,$J189&lt;99),INDEX(Lines!$I$3:$I$1590,MATCH(SMALL(Lines!$G$3:$G$1590,184),Lines!$G$3:$G$1590,0)),""))</f>
        <v/>
      </c>
      <c r="I189" s="26"/>
      <c r="J189" s="22" t="str">
        <f aca="false">IFERROR(IF(MOD(SMALL(Lines!$G$3:$G$1590,184),100000)=0,-1,MOD(SMALL(Lines!$G$3:$G$1590,184),100)),"")</f>
        <v/>
      </c>
      <c r="K189" s="22" t="str">
        <f aca="false">IF($J189=0,INDEX(Lines!$L$3:$L$1590,MATCH(SMALL(Lines!$G$3:$G$1590,184),Lines!$G$3:$G$1590,0)),"")</f>
        <v/>
      </c>
    </row>
    <row r="190" customFormat="false" ht="15" hidden="false" customHeight="false" outlineLevel="0" collapsed="false">
      <c r="A190" s="24" t="str">
        <f aca="false">IF(OR($J190=0,AND(ISNUMBER($J190),$J190&gt;0,$J190&lt;99)),INDEX(Lines!$A$3:$A$1590,MATCH(SMALL(Lines!$G$3:$G$1590,185),Lines!$G$3:$G$1590,0)),"")</f>
        <v/>
      </c>
      <c r="B190" s="24" t="str">
        <f aca="false">IF($J190=-1,INDEX(Lines!$J$3:$J$1590,MATCH(SMALL(Lines!$G$3:$G$1590,185),Lines!$G$3:$G$1590,0)),IF($J190=0,INDEX(Lines!$L$3:$L$1590,MATCH(SMALL(Lines!$G$3:$G$1590,185),Lines!$G$3:$G$1590,0)),IF(AND(ISNUMBER($J190),$J190&gt;0,$J190&lt;99),INDEX(Lines!$N$3:$N$1590,MATCH(SMALL(Lines!$G$3:$G$1590,185),Lines!$G$3:$G$1590,0)),"")))</f>
        <v/>
      </c>
      <c r="C190" s="25" t="str">
        <f aca="false">IF($J190=0,INDEX(Lines!$K$3:$K$1590,MATCH(SMALL(Lines!$G$3:$G$1590,185),Lines!$G$3:$G$1590,0)),IF(AND(ISNUMBER($J190),$J190&gt;0,$J190&lt;99),INDEX(Lines!$C$3:$C$1590,MATCH(SMALL(Lines!$G$3:$G$1590,185),Lines!$G$3:$G$1590,0)),""))</f>
        <v/>
      </c>
      <c r="D190" s="26" t="str">
        <f aca="false">IF(AND(ISNUMBER($J190),$J190&gt;0,$J190&lt;99),INDEX(Lines!$D$3:$D$1590,MATCH(SMALL(Lines!$G$3:$G$1590,185),Lines!$G$3:$G$1590,0)),"")</f>
        <v/>
      </c>
      <c r="E190" s="26" t="str">
        <f aca="false">IF(AND(ISNUMBER($J190),$J190&gt;0,$J190&lt;99),INDEX(Lines!$E$3:$E$1590,MATCH(SMALL(Lines!$G$3:$G$1590,185),Lines!$G$3:$G$1590,0)),"")</f>
        <v/>
      </c>
      <c r="F190" s="26" t="str">
        <f aca="false">IF(AND(ISNUMBER($J190),$J190&gt;0,$J190&lt;99),INDEX(Lines!$O$3:$O$1590,MATCH(SMALL(Lines!$G$3:$G$1590,185),Lines!$G$3:$G$1590,0)),"")</f>
        <v/>
      </c>
      <c r="G190" s="27" t="str">
        <f aca="false">IF($J190=0,INDEX(Lines!$Q$3:$Q$1590,MATCH(SMALL(Lines!$G$3:$G$1590,185),Lines!$G$3:$G$1590,0)),IF(AND(ISNUMBER($J190),$J190&gt;0,$J190&lt;99),INDEX(Lines!$P$3:$P$1590,MATCH(SMALL(Lines!$G$3:$G$1590,185),Lines!$G$3:$G$1590,0)),""))</f>
        <v/>
      </c>
      <c r="H190" s="28" t="str">
        <f aca="false">IF($J190=0,INDEX(Lines!$H$3:$H$1590,MATCH(SMALL(Lines!$G$3:$G$1590,185),Lines!$G$3:$G$1590,0))&amp;" groups",IF(AND(ISNUMBER($J190),$J190&gt;0,$J190&lt;99),INDEX(Lines!$I$3:$I$1590,MATCH(SMALL(Lines!$G$3:$G$1590,185),Lines!$G$3:$G$1590,0)),""))</f>
        <v/>
      </c>
      <c r="I190" s="26"/>
      <c r="J190" s="22" t="str">
        <f aca="false">IFERROR(IF(MOD(SMALL(Lines!$G$3:$G$1590,185),100000)=0,-1,MOD(SMALL(Lines!$G$3:$G$1590,185),100)),"")</f>
        <v/>
      </c>
      <c r="K190" s="22" t="str">
        <f aca="false">IF($J190=0,INDEX(Lines!$L$3:$L$1590,MATCH(SMALL(Lines!$G$3:$G$1590,185),Lines!$G$3:$G$1590,0)),"")</f>
        <v/>
      </c>
    </row>
    <row r="191" customFormat="false" ht="15" hidden="false" customHeight="false" outlineLevel="0" collapsed="false">
      <c r="A191" s="24" t="str">
        <f aca="false">IF(OR($J191=0,AND(ISNUMBER($J191),$J191&gt;0,$J191&lt;99)),INDEX(Lines!$A$3:$A$1590,MATCH(SMALL(Lines!$G$3:$G$1590,186),Lines!$G$3:$G$1590,0)),"")</f>
        <v/>
      </c>
      <c r="B191" s="24" t="str">
        <f aca="false">IF($J191=-1,INDEX(Lines!$J$3:$J$1590,MATCH(SMALL(Lines!$G$3:$G$1590,186),Lines!$G$3:$G$1590,0)),IF($J191=0,INDEX(Lines!$L$3:$L$1590,MATCH(SMALL(Lines!$G$3:$G$1590,186),Lines!$G$3:$G$1590,0)),IF(AND(ISNUMBER($J191),$J191&gt;0,$J191&lt;99),INDEX(Lines!$N$3:$N$1590,MATCH(SMALL(Lines!$G$3:$G$1590,186),Lines!$G$3:$G$1590,0)),"")))</f>
        <v/>
      </c>
      <c r="C191" s="25" t="str">
        <f aca="false">IF($J191=0,INDEX(Lines!$K$3:$K$1590,MATCH(SMALL(Lines!$G$3:$G$1590,186),Lines!$G$3:$G$1590,0)),IF(AND(ISNUMBER($J191),$J191&gt;0,$J191&lt;99),INDEX(Lines!$C$3:$C$1590,MATCH(SMALL(Lines!$G$3:$G$1590,186),Lines!$G$3:$G$1590,0)),""))</f>
        <v/>
      </c>
      <c r="D191" s="26" t="str">
        <f aca="false">IF(AND(ISNUMBER($J191),$J191&gt;0,$J191&lt;99),INDEX(Lines!$D$3:$D$1590,MATCH(SMALL(Lines!$G$3:$G$1590,186),Lines!$G$3:$G$1590,0)),"")</f>
        <v/>
      </c>
      <c r="E191" s="26" t="str">
        <f aca="false">IF(AND(ISNUMBER($J191),$J191&gt;0,$J191&lt;99),INDEX(Lines!$E$3:$E$1590,MATCH(SMALL(Lines!$G$3:$G$1590,186),Lines!$G$3:$G$1590,0)),"")</f>
        <v/>
      </c>
      <c r="F191" s="26" t="str">
        <f aca="false">IF(AND(ISNUMBER($J191),$J191&gt;0,$J191&lt;99),INDEX(Lines!$O$3:$O$1590,MATCH(SMALL(Lines!$G$3:$G$1590,186),Lines!$G$3:$G$1590,0)),"")</f>
        <v/>
      </c>
      <c r="G191" s="27" t="str">
        <f aca="false">IF($J191=0,INDEX(Lines!$Q$3:$Q$1590,MATCH(SMALL(Lines!$G$3:$G$1590,186),Lines!$G$3:$G$1590,0)),IF(AND(ISNUMBER($J191),$J191&gt;0,$J191&lt;99),INDEX(Lines!$P$3:$P$1590,MATCH(SMALL(Lines!$G$3:$G$1590,186),Lines!$G$3:$G$1590,0)),""))</f>
        <v/>
      </c>
      <c r="H191" s="28" t="str">
        <f aca="false">IF($J191=0,INDEX(Lines!$H$3:$H$1590,MATCH(SMALL(Lines!$G$3:$G$1590,186),Lines!$G$3:$G$1590,0))&amp;" groups",IF(AND(ISNUMBER($J191),$J191&gt;0,$J191&lt;99),INDEX(Lines!$I$3:$I$1590,MATCH(SMALL(Lines!$G$3:$G$1590,186),Lines!$G$3:$G$1590,0)),""))</f>
        <v/>
      </c>
      <c r="I191" s="26"/>
      <c r="J191" s="22" t="str">
        <f aca="false">IFERROR(IF(MOD(SMALL(Lines!$G$3:$G$1590,186),100000)=0,-1,MOD(SMALL(Lines!$G$3:$G$1590,186),100)),"")</f>
        <v/>
      </c>
      <c r="K191" s="22" t="str">
        <f aca="false">IF($J191=0,INDEX(Lines!$L$3:$L$1590,MATCH(SMALL(Lines!$G$3:$G$1590,186),Lines!$G$3:$G$1590,0)),"")</f>
        <v/>
      </c>
    </row>
    <row r="192" customFormat="false" ht="15" hidden="false" customHeight="false" outlineLevel="0" collapsed="false">
      <c r="A192" s="24" t="str">
        <f aca="false">IF(OR($J192=0,AND(ISNUMBER($J192),$J192&gt;0,$J192&lt;99)),INDEX(Lines!$A$3:$A$1590,MATCH(SMALL(Lines!$G$3:$G$1590,187),Lines!$G$3:$G$1590,0)),"")</f>
        <v/>
      </c>
      <c r="B192" s="24" t="str">
        <f aca="false">IF($J192=-1,INDEX(Lines!$J$3:$J$1590,MATCH(SMALL(Lines!$G$3:$G$1590,187),Lines!$G$3:$G$1590,0)),IF($J192=0,INDEX(Lines!$L$3:$L$1590,MATCH(SMALL(Lines!$G$3:$G$1590,187),Lines!$G$3:$G$1590,0)),IF(AND(ISNUMBER($J192),$J192&gt;0,$J192&lt;99),INDEX(Lines!$N$3:$N$1590,MATCH(SMALL(Lines!$G$3:$G$1590,187),Lines!$G$3:$G$1590,0)),"")))</f>
        <v/>
      </c>
      <c r="C192" s="25" t="str">
        <f aca="false">IF($J192=0,INDEX(Lines!$K$3:$K$1590,MATCH(SMALL(Lines!$G$3:$G$1590,187),Lines!$G$3:$G$1590,0)),IF(AND(ISNUMBER($J192),$J192&gt;0,$J192&lt;99),INDEX(Lines!$C$3:$C$1590,MATCH(SMALL(Lines!$G$3:$G$1590,187),Lines!$G$3:$G$1590,0)),""))</f>
        <v/>
      </c>
      <c r="D192" s="26" t="str">
        <f aca="false">IF(AND(ISNUMBER($J192),$J192&gt;0,$J192&lt;99),INDEX(Lines!$D$3:$D$1590,MATCH(SMALL(Lines!$G$3:$G$1590,187),Lines!$G$3:$G$1590,0)),"")</f>
        <v/>
      </c>
      <c r="E192" s="26" t="str">
        <f aca="false">IF(AND(ISNUMBER($J192),$J192&gt;0,$J192&lt;99),INDEX(Lines!$E$3:$E$1590,MATCH(SMALL(Lines!$G$3:$G$1590,187),Lines!$G$3:$G$1590,0)),"")</f>
        <v/>
      </c>
      <c r="F192" s="26" t="str">
        <f aca="false">IF(AND(ISNUMBER($J192),$J192&gt;0,$J192&lt;99),INDEX(Lines!$O$3:$O$1590,MATCH(SMALL(Lines!$G$3:$G$1590,187),Lines!$G$3:$G$1590,0)),"")</f>
        <v/>
      </c>
      <c r="G192" s="27" t="str">
        <f aca="false">IF($J192=0,INDEX(Lines!$Q$3:$Q$1590,MATCH(SMALL(Lines!$G$3:$G$1590,187),Lines!$G$3:$G$1590,0)),IF(AND(ISNUMBER($J192),$J192&gt;0,$J192&lt;99),INDEX(Lines!$P$3:$P$1590,MATCH(SMALL(Lines!$G$3:$G$1590,187),Lines!$G$3:$G$1590,0)),""))</f>
        <v/>
      </c>
      <c r="H192" s="28" t="str">
        <f aca="false">IF($J192=0,INDEX(Lines!$H$3:$H$1590,MATCH(SMALL(Lines!$G$3:$G$1590,187),Lines!$G$3:$G$1590,0))&amp;" groups",IF(AND(ISNUMBER($J192),$J192&gt;0,$J192&lt;99),INDEX(Lines!$I$3:$I$1590,MATCH(SMALL(Lines!$G$3:$G$1590,187),Lines!$G$3:$G$1590,0)),""))</f>
        <v/>
      </c>
      <c r="I192" s="26"/>
      <c r="J192" s="22" t="str">
        <f aca="false">IFERROR(IF(MOD(SMALL(Lines!$G$3:$G$1590,187),100000)=0,-1,MOD(SMALL(Lines!$G$3:$G$1590,187),100)),"")</f>
        <v/>
      </c>
      <c r="K192" s="22" t="str">
        <f aca="false">IF($J192=0,INDEX(Lines!$L$3:$L$1590,MATCH(SMALL(Lines!$G$3:$G$1590,187),Lines!$G$3:$G$1590,0)),"")</f>
        <v/>
      </c>
    </row>
    <row r="193" customFormat="false" ht="15" hidden="false" customHeight="false" outlineLevel="0" collapsed="false">
      <c r="A193" s="24" t="str">
        <f aca="false">IF(OR($J193=0,AND(ISNUMBER($J193),$J193&gt;0,$J193&lt;99)),INDEX(Lines!$A$3:$A$1590,MATCH(SMALL(Lines!$G$3:$G$1590,188),Lines!$G$3:$G$1590,0)),"")</f>
        <v/>
      </c>
      <c r="B193" s="24" t="str">
        <f aca="false">IF($J193=-1,INDEX(Lines!$J$3:$J$1590,MATCH(SMALL(Lines!$G$3:$G$1590,188),Lines!$G$3:$G$1590,0)),IF($J193=0,INDEX(Lines!$L$3:$L$1590,MATCH(SMALL(Lines!$G$3:$G$1590,188),Lines!$G$3:$G$1590,0)),IF(AND(ISNUMBER($J193),$J193&gt;0,$J193&lt;99),INDEX(Lines!$N$3:$N$1590,MATCH(SMALL(Lines!$G$3:$G$1590,188),Lines!$G$3:$G$1590,0)),"")))</f>
        <v/>
      </c>
      <c r="C193" s="25" t="str">
        <f aca="false">IF($J193=0,INDEX(Lines!$K$3:$K$1590,MATCH(SMALL(Lines!$G$3:$G$1590,188),Lines!$G$3:$G$1590,0)),IF(AND(ISNUMBER($J193),$J193&gt;0,$J193&lt;99),INDEX(Lines!$C$3:$C$1590,MATCH(SMALL(Lines!$G$3:$G$1590,188),Lines!$G$3:$G$1590,0)),""))</f>
        <v/>
      </c>
      <c r="D193" s="26" t="str">
        <f aca="false">IF(AND(ISNUMBER($J193),$J193&gt;0,$J193&lt;99),INDEX(Lines!$D$3:$D$1590,MATCH(SMALL(Lines!$G$3:$G$1590,188),Lines!$G$3:$G$1590,0)),"")</f>
        <v/>
      </c>
      <c r="E193" s="26" t="str">
        <f aca="false">IF(AND(ISNUMBER($J193),$J193&gt;0,$J193&lt;99),INDEX(Lines!$E$3:$E$1590,MATCH(SMALL(Lines!$G$3:$G$1590,188),Lines!$G$3:$G$1590,0)),"")</f>
        <v/>
      </c>
      <c r="F193" s="26" t="str">
        <f aca="false">IF(AND(ISNUMBER($J193),$J193&gt;0,$J193&lt;99),INDEX(Lines!$O$3:$O$1590,MATCH(SMALL(Lines!$G$3:$G$1590,188),Lines!$G$3:$G$1590,0)),"")</f>
        <v/>
      </c>
      <c r="G193" s="27" t="str">
        <f aca="false">IF($J193=0,INDEX(Lines!$Q$3:$Q$1590,MATCH(SMALL(Lines!$G$3:$G$1590,188),Lines!$G$3:$G$1590,0)),IF(AND(ISNUMBER($J193),$J193&gt;0,$J193&lt;99),INDEX(Lines!$P$3:$P$1590,MATCH(SMALL(Lines!$G$3:$G$1590,188),Lines!$G$3:$G$1590,0)),""))</f>
        <v/>
      </c>
      <c r="H193" s="28" t="str">
        <f aca="false">IF($J193=0,INDEX(Lines!$H$3:$H$1590,MATCH(SMALL(Lines!$G$3:$G$1590,188),Lines!$G$3:$G$1590,0))&amp;" groups",IF(AND(ISNUMBER($J193),$J193&gt;0,$J193&lt;99),INDEX(Lines!$I$3:$I$1590,MATCH(SMALL(Lines!$G$3:$G$1590,188),Lines!$G$3:$G$1590,0)),""))</f>
        <v/>
      </c>
      <c r="I193" s="26"/>
      <c r="J193" s="22" t="str">
        <f aca="false">IFERROR(IF(MOD(SMALL(Lines!$G$3:$G$1590,188),100000)=0,-1,MOD(SMALL(Lines!$G$3:$G$1590,188),100)),"")</f>
        <v/>
      </c>
      <c r="K193" s="22" t="str">
        <f aca="false">IF($J193=0,INDEX(Lines!$L$3:$L$1590,MATCH(SMALL(Lines!$G$3:$G$1590,188),Lines!$G$3:$G$1590,0)),"")</f>
        <v/>
      </c>
    </row>
    <row r="194" customFormat="false" ht="15" hidden="false" customHeight="false" outlineLevel="0" collapsed="false">
      <c r="A194" s="24" t="str">
        <f aca="false">IF(OR($J194=0,AND(ISNUMBER($J194),$J194&gt;0,$J194&lt;99)),INDEX(Lines!$A$3:$A$1590,MATCH(SMALL(Lines!$G$3:$G$1590,189),Lines!$G$3:$G$1590,0)),"")</f>
        <v/>
      </c>
      <c r="B194" s="24" t="str">
        <f aca="false">IF($J194=-1,INDEX(Lines!$J$3:$J$1590,MATCH(SMALL(Lines!$G$3:$G$1590,189),Lines!$G$3:$G$1590,0)),IF($J194=0,INDEX(Lines!$L$3:$L$1590,MATCH(SMALL(Lines!$G$3:$G$1590,189),Lines!$G$3:$G$1590,0)),IF(AND(ISNUMBER($J194),$J194&gt;0,$J194&lt;99),INDEX(Lines!$N$3:$N$1590,MATCH(SMALL(Lines!$G$3:$G$1590,189),Lines!$G$3:$G$1590,0)),"")))</f>
        <v/>
      </c>
      <c r="C194" s="25" t="str">
        <f aca="false">IF($J194=0,INDEX(Lines!$K$3:$K$1590,MATCH(SMALL(Lines!$G$3:$G$1590,189),Lines!$G$3:$G$1590,0)),IF(AND(ISNUMBER($J194),$J194&gt;0,$J194&lt;99),INDEX(Lines!$C$3:$C$1590,MATCH(SMALL(Lines!$G$3:$G$1590,189),Lines!$G$3:$G$1590,0)),""))</f>
        <v/>
      </c>
      <c r="D194" s="26" t="str">
        <f aca="false">IF(AND(ISNUMBER($J194),$J194&gt;0,$J194&lt;99),INDEX(Lines!$D$3:$D$1590,MATCH(SMALL(Lines!$G$3:$G$1590,189),Lines!$G$3:$G$1590,0)),"")</f>
        <v/>
      </c>
      <c r="E194" s="26" t="str">
        <f aca="false">IF(AND(ISNUMBER($J194),$J194&gt;0,$J194&lt;99),INDEX(Lines!$E$3:$E$1590,MATCH(SMALL(Lines!$G$3:$G$1590,189),Lines!$G$3:$G$1590,0)),"")</f>
        <v/>
      </c>
      <c r="F194" s="26" t="str">
        <f aca="false">IF(AND(ISNUMBER($J194),$J194&gt;0,$J194&lt;99),INDEX(Lines!$O$3:$O$1590,MATCH(SMALL(Lines!$G$3:$G$1590,189),Lines!$G$3:$G$1590,0)),"")</f>
        <v/>
      </c>
      <c r="G194" s="27" t="str">
        <f aca="false">IF($J194=0,INDEX(Lines!$Q$3:$Q$1590,MATCH(SMALL(Lines!$G$3:$G$1590,189),Lines!$G$3:$G$1590,0)),IF(AND(ISNUMBER($J194),$J194&gt;0,$J194&lt;99),INDEX(Lines!$P$3:$P$1590,MATCH(SMALL(Lines!$G$3:$G$1590,189),Lines!$G$3:$G$1590,0)),""))</f>
        <v/>
      </c>
      <c r="H194" s="28" t="str">
        <f aca="false">IF($J194=0,INDEX(Lines!$H$3:$H$1590,MATCH(SMALL(Lines!$G$3:$G$1590,189),Lines!$G$3:$G$1590,0))&amp;" groups",IF(AND(ISNUMBER($J194),$J194&gt;0,$J194&lt;99),INDEX(Lines!$I$3:$I$1590,MATCH(SMALL(Lines!$G$3:$G$1590,189),Lines!$G$3:$G$1590,0)),""))</f>
        <v/>
      </c>
      <c r="I194" s="26"/>
      <c r="J194" s="22" t="str">
        <f aca="false">IFERROR(IF(MOD(SMALL(Lines!$G$3:$G$1590,189),100000)=0,-1,MOD(SMALL(Lines!$G$3:$G$1590,189),100)),"")</f>
        <v/>
      </c>
      <c r="K194" s="22" t="str">
        <f aca="false">IF($J194=0,INDEX(Lines!$L$3:$L$1590,MATCH(SMALL(Lines!$G$3:$G$1590,189),Lines!$G$3:$G$1590,0)),"")</f>
        <v/>
      </c>
    </row>
    <row r="195" customFormat="false" ht="15" hidden="false" customHeight="false" outlineLevel="0" collapsed="false">
      <c r="A195" s="24" t="str">
        <f aca="false">IF(OR($J195=0,AND(ISNUMBER($J195),$J195&gt;0,$J195&lt;99)),INDEX(Lines!$A$3:$A$1590,MATCH(SMALL(Lines!$G$3:$G$1590,190),Lines!$G$3:$G$1590,0)),"")</f>
        <v/>
      </c>
      <c r="B195" s="24" t="str">
        <f aca="false">IF($J195=-1,INDEX(Lines!$J$3:$J$1590,MATCH(SMALL(Lines!$G$3:$G$1590,190),Lines!$G$3:$G$1590,0)),IF($J195=0,INDEX(Lines!$L$3:$L$1590,MATCH(SMALL(Lines!$G$3:$G$1590,190),Lines!$G$3:$G$1590,0)),IF(AND(ISNUMBER($J195),$J195&gt;0,$J195&lt;99),INDEX(Lines!$N$3:$N$1590,MATCH(SMALL(Lines!$G$3:$G$1590,190),Lines!$G$3:$G$1590,0)),"")))</f>
        <v/>
      </c>
      <c r="C195" s="25" t="str">
        <f aca="false">IF($J195=0,INDEX(Lines!$K$3:$K$1590,MATCH(SMALL(Lines!$G$3:$G$1590,190),Lines!$G$3:$G$1590,0)),IF(AND(ISNUMBER($J195),$J195&gt;0,$J195&lt;99),INDEX(Lines!$C$3:$C$1590,MATCH(SMALL(Lines!$G$3:$G$1590,190),Lines!$G$3:$G$1590,0)),""))</f>
        <v/>
      </c>
      <c r="D195" s="26" t="str">
        <f aca="false">IF(AND(ISNUMBER($J195),$J195&gt;0,$J195&lt;99),INDEX(Lines!$D$3:$D$1590,MATCH(SMALL(Lines!$G$3:$G$1590,190),Lines!$G$3:$G$1590,0)),"")</f>
        <v/>
      </c>
      <c r="E195" s="26" t="str">
        <f aca="false">IF(AND(ISNUMBER($J195),$J195&gt;0,$J195&lt;99),INDEX(Lines!$E$3:$E$1590,MATCH(SMALL(Lines!$G$3:$G$1590,190),Lines!$G$3:$G$1590,0)),"")</f>
        <v/>
      </c>
      <c r="F195" s="26" t="str">
        <f aca="false">IF(AND(ISNUMBER($J195),$J195&gt;0,$J195&lt;99),INDEX(Lines!$O$3:$O$1590,MATCH(SMALL(Lines!$G$3:$G$1590,190),Lines!$G$3:$G$1590,0)),"")</f>
        <v/>
      </c>
      <c r="G195" s="27" t="str">
        <f aca="false">IF($J195=0,INDEX(Lines!$Q$3:$Q$1590,MATCH(SMALL(Lines!$G$3:$G$1590,190),Lines!$G$3:$G$1590,0)),IF(AND(ISNUMBER($J195),$J195&gt;0,$J195&lt;99),INDEX(Lines!$P$3:$P$1590,MATCH(SMALL(Lines!$G$3:$G$1590,190),Lines!$G$3:$G$1590,0)),""))</f>
        <v/>
      </c>
      <c r="H195" s="28" t="str">
        <f aca="false">IF($J195=0,INDEX(Lines!$H$3:$H$1590,MATCH(SMALL(Lines!$G$3:$G$1590,190),Lines!$G$3:$G$1590,0))&amp;" groups",IF(AND(ISNUMBER($J195),$J195&gt;0,$J195&lt;99),INDEX(Lines!$I$3:$I$1590,MATCH(SMALL(Lines!$G$3:$G$1590,190),Lines!$G$3:$G$1590,0)),""))</f>
        <v/>
      </c>
      <c r="I195" s="26"/>
      <c r="J195" s="22" t="str">
        <f aca="false">IFERROR(IF(MOD(SMALL(Lines!$G$3:$G$1590,190),100000)=0,-1,MOD(SMALL(Lines!$G$3:$G$1590,190),100)),"")</f>
        <v/>
      </c>
      <c r="K195" s="22" t="str">
        <f aca="false">IF($J195=0,INDEX(Lines!$L$3:$L$1590,MATCH(SMALL(Lines!$G$3:$G$1590,190),Lines!$G$3:$G$1590,0)),"")</f>
        <v/>
      </c>
    </row>
    <row r="196" customFormat="false" ht="15" hidden="false" customHeight="false" outlineLevel="0" collapsed="false">
      <c r="A196" s="24" t="str">
        <f aca="false">IF(OR($J196=0,AND(ISNUMBER($J196),$J196&gt;0,$J196&lt;99)),INDEX(Lines!$A$3:$A$1590,MATCH(SMALL(Lines!$G$3:$G$1590,191),Lines!$G$3:$G$1590,0)),"")</f>
        <v/>
      </c>
      <c r="B196" s="24" t="str">
        <f aca="false">IF($J196=-1,INDEX(Lines!$J$3:$J$1590,MATCH(SMALL(Lines!$G$3:$G$1590,191),Lines!$G$3:$G$1590,0)),IF($J196=0,INDEX(Lines!$L$3:$L$1590,MATCH(SMALL(Lines!$G$3:$G$1590,191),Lines!$G$3:$G$1590,0)),IF(AND(ISNUMBER($J196),$J196&gt;0,$J196&lt;99),INDEX(Lines!$N$3:$N$1590,MATCH(SMALL(Lines!$G$3:$G$1590,191),Lines!$G$3:$G$1590,0)),"")))</f>
        <v/>
      </c>
      <c r="C196" s="25" t="str">
        <f aca="false">IF($J196=0,INDEX(Lines!$K$3:$K$1590,MATCH(SMALL(Lines!$G$3:$G$1590,191),Lines!$G$3:$G$1590,0)),IF(AND(ISNUMBER($J196),$J196&gt;0,$J196&lt;99),INDEX(Lines!$C$3:$C$1590,MATCH(SMALL(Lines!$G$3:$G$1590,191),Lines!$G$3:$G$1590,0)),""))</f>
        <v/>
      </c>
      <c r="D196" s="26" t="str">
        <f aca="false">IF(AND(ISNUMBER($J196),$J196&gt;0,$J196&lt;99),INDEX(Lines!$D$3:$D$1590,MATCH(SMALL(Lines!$G$3:$G$1590,191),Lines!$G$3:$G$1590,0)),"")</f>
        <v/>
      </c>
      <c r="E196" s="26" t="str">
        <f aca="false">IF(AND(ISNUMBER($J196),$J196&gt;0,$J196&lt;99),INDEX(Lines!$E$3:$E$1590,MATCH(SMALL(Lines!$G$3:$G$1590,191),Lines!$G$3:$G$1590,0)),"")</f>
        <v/>
      </c>
      <c r="F196" s="26" t="str">
        <f aca="false">IF(AND(ISNUMBER($J196),$J196&gt;0,$J196&lt;99),INDEX(Lines!$O$3:$O$1590,MATCH(SMALL(Lines!$G$3:$G$1590,191),Lines!$G$3:$G$1590,0)),"")</f>
        <v/>
      </c>
      <c r="G196" s="27" t="str">
        <f aca="false">IF($J196=0,INDEX(Lines!$Q$3:$Q$1590,MATCH(SMALL(Lines!$G$3:$G$1590,191),Lines!$G$3:$G$1590,0)),IF(AND(ISNUMBER($J196),$J196&gt;0,$J196&lt;99),INDEX(Lines!$P$3:$P$1590,MATCH(SMALL(Lines!$G$3:$G$1590,191),Lines!$G$3:$G$1590,0)),""))</f>
        <v/>
      </c>
      <c r="H196" s="28" t="str">
        <f aca="false">IF($J196=0,INDEX(Lines!$H$3:$H$1590,MATCH(SMALL(Lines!$G$3:$G$1590,191),Lines!$G$3:$G$1590,0))&amp;" groups",IF(AND(ISNUMBER($J196),$J196&gt;0,$J196&lt;99),INDEX(Lines!$I$3:$I$1590,MATCH(SMALL(Lines!$G$3:$G$1590,191),Lines!$G$3:$G$1590,0)),""))</f>
        <v/>
      </c>
      <c r="I196" s="26"/>
      <c r="J196" s="22" t="str">
        <f aca="false">IFERROR(IF(MOD(SMALL(Lines!$G$3:$G$1590,191),100000)=0,-1,MOD(SMALL(Lines!$G$3:$G$1590,191),100)),"")</f>
        <v/>
      </c>
      <c r="K196" s="22" t="str">
        <f aca="false">IF($J196=0,INDEX(Lines!$L$3:$L$1590,MATCH(SMALL(Lines!$G$3:$G$1590,191),Lines!$G$3:$G$1590,0)),"")</f>
        <v/>
      </c>
    </row>
    <row r="197" customFormat="false" ht="15" hidden="false" customHeight="false" outlineLevel="0" collapsed="false">
      <c r="A197" s="24" t="str">
        <f aca="false">IF(OR($J197=0,AND(ISNUMBER($J197),$J197&gt;0,$J197&lt;99)),INDEX(Lines!$A$3:$A$1590,MATCH(SMALL(Lines!$G$3:$G$1590,192),Lines!$G$3:$G$1590,0)),"")</f>
        <v/>
      </c>
      <c r="B197" s="24" t="str">
        <f aca="false">IF($J197=-1,INDEX(Lines!$J$3:$J$1590,MATCH(SMALL(Lines!$G$3:$G$1590,192),Lines!$G$3:$G$1590,0)),IF($J197=0,INDEX(Lines!$L$3:$L$1590,MATCH(SMALL(Lines!$G$3:$G$1590,192),Lines!$G$3:$G$1590,0)),IF(AND(ISNUMBER($J197),$J197&gt;0,$J197&lt;99),INDEX(Lines!$N$3:$N$1590,MATCH(SMALL(Lines!$G$3:$G$1590,192),Lines!$G$3:$G$1590,0)),"")))</f>
        <v/>
      </c>
      <c r="C197" s="25" t="str">
        <f aca="false">IF($J197=0,INDEX(Lines!$K$3:$K$1590,MATCH(SMALL(Lines!$G$3:$G$1590,192),Lines!$G$3:$G$1590,0)),IF(AND(ISNUMBER($J197),$J197&gt;0,$J197&lt;99),INDEX(Lines!$C$3:$C$1590,MATCH(SMALL(Lines!$G$3:$G$1590,192),Lines!$G$3:$G$1590,0)),""))</f>
        <v/>
      </c>
      <c r="D197" s="26" t="str">
        <f aca="false">IF(AND(ISNUMBER($J197),$J197&gt;0,$J197&lt;99),INDEX(Lines!$D$3:$D$1590,MATCH(SMALL(Lines!$G$3:$G$1590,192),Lines!$G$3:$G$1590,0)),"")</f>
        <v/>
      </c>
      <c r="E197" s="26" t="str">
        <f aca="false">IF(AND(ISNUMBER($J197),$J197&gt;0,$J197&lt;99),INDEX(Lines!$E$3:$E$1590,MATCH(SMALL(Lines!$G$3:$G$1590,192),Lines!$G$3:$G$1590,0)),"")</f>
        <v/>
      </c>
      <c r="F197" s="26" t="str">
        <f aca="false">IF(AND(ISNUMBER($J197),$J197&gt;0,$J197&lt;99),INDEX(Lines!$O$3:$O$1590,MATCH(SMALL(Lines!$G$3:$G$1590,192),Lines!$G$3:$G$1590,0)),"")</f>
        <v/>
      </c>
      <c r="G197" s="27" t="str">
        <f aca="false">IF($J197=0,INDEX(Lines!$Q$3:$Q$1590,MATCH(SMALL(Lines!$G$3:$G$1590,192),Lines!$G$3:$G$1590,0)),IF(AND(ISNUMBER($J197),$J197&gt;0,$J197&lt;99),INDEX(Lines!$P$3:$P$1590,MATCH(SMALL(Lines!$G$3:$G$1590,192),Lines!$G$3:$G$1590,0)),""))</f>
        <v/>
      </c>
      <c r="H197" s="28" t="str">
        <f aca="false">IF($J197=0,INDEX(Lines!$H$3:$H$1590,MATCH(SMALL(Lines!$G$3:$G$1590,192),Lines!$G$3:$G$1590,0))&amp;" groups",IF(AND(ISNUMBER($J197),$J197&gt;0,$J197&lt;99),INDEX(Lines!$I$3:$I$1590,MATCH(SMALL(Lines!$G$3:$G$1590,192),Lines!$G$3:$G$1590,0)),""))</f>
        <v/>
      </c>
      <c r="I197" s="26"/>
      <c r="J197" s="22" t="str">
        <f aca="false">IFERROR(IF(MOD(SMALL(Lines!$G$3:$G$1590,192),100000)=0,-1,MOD(SMALL(Lines!$G$3:$G$1590,192),100)),"")</f>
        <v/>
      </c>
      <c r="K197" s="22" t="str">
        <f aca="false">IF($J197=0,INDEX(Lines!$L$3:$L$1590,MATCH(SMALL(Lines!$G$3:$G$1590,192),Lines!$G$3:$G$1590,0)),"")</f>
        <v/>
      </c>
    </row>
    <row r="198" customFormat="false" ht="15" hidden="false" customHeight="false" outlineLevel="0" collapsed="false">
      <c r="A198" s="24" t="str">
        <f aca="false">IF(OR($J198=0,AND(ISNUMBER($J198),$J198&gt;0,$J198&lt;99)),INDEX(Lines!$A$3:$A$1590,MATCH(SMALL(Lines!$G$3:$G$1590,193),Lines!$G$3:$G$1590,0)),"")</f>
        <v/>
      </c>
      <c r="B198" s="24" t="str">
        <f aca="false">IF($J198=-1,INDEX(Lines!$J$3:$J$1590,MATCH(SMALL(Lines!$G$3:$G$1590,193),Lines!$G$3:$G$1590,0)),IF($J198=0,INDEX(Lines!$L$3:$L$1590,MATCH(SMALL(Lines!$G$3:$G$1590,193),Lines!$G$3:$G$1590,0)),IF(AND(ISNUMBER($J198),$J198&gt;0,$J198&lt;99),INDEX(Lines!$N$3:$N$1590,MATCH(SMALL(Lines!$G$3:$G$1590,193),Lines!$G$3:$G$1590,0)),"")))</f>
        <v/>
      </c>
      <c r="C198" s="25" t="str">
        <f aca="false">IF($J198=0,INDEX(Lines!$K$3:$K$1590,MATCH(SMALL(Lines!$G$3:$G$1590,193),Lines!$G$3:$G$1590,0)),IF(AND(ISNUMBER($J198),$J198&gt;0,$J198&lt;99),INDEX(Lines!$C$3:$C$1590,MATCH(SMALL(Lines!$G$3:$G$1590,193),Lines!$G$3:$G$1590,0)),""))</f>
        <v/>
      </c>
      <c r="D198" s="26" t="str">
        <f aca="false">IF(AND(ISNUMBER($J198),$J198&gt;0,$J198&lt;99),INDEX(Lines!$D$3:$D$1590,MATCH(SMALL(Lines!$G$3:$G$1590,193),Lines!$G$3:$G$1590,0)),"")</f>
        <v/>
      </c>
      <c r="E198" s="26" t="str">
        <f aca="false">IF(AND(ISNUMBER($J198),$J198&gt;0,$J198&lt;99),INDEX(Lines!$E$3:$E$1590,MATCH(SMALL(Lines!$G$3:$G$1590,193),Lines!$G$3:$G$1590,0)),"")</f>
        <v/>
      </c>
      <c r="F198" s="26" t="str">
        <f aca="false">IF(AND(ISNUMBER($J198),$J198&gt;0,$J198&lt;99),INDEX(Lines!$O$3:$O$1590,MATCH(SMALL(Lines!$G$3:$G$1590,193),Lines!$G$3:$G$1590,0)),"")</f>
        <v/>
      </c>
      <c r="G198" s="27" t="str">
        <f aca="false">IF($J198=0,INDEX(Lines!$Q$3:$Q$1590,MATCH(SMALL(Lines!$G$3:$G$1590,193),Lines!$G$3:$G$1590,0)),IF(AND(ISNUMBER($J198),$J198&gt;0,$J198&lt;99),INDEX(Lines!$P$3:$P$1590,MATCH(SMALL(Lines!$G$3:$G$1590,193),Lines!$G$3:$G$1590,0)),""))</f>
        <v/>
      </c>
      <c r="H198" s="28" t="str">
        <f aca="false">IF($J198=0,INDEX(Lines!$H$3:$H$1590,MATCH(SMALL(Lines!$G$3:$G$1590,193),Lines!$G$3:$G$1590,0))&amp;" groups",IF(AND(ISNUMBER($J198),$J198&gt;0,$J198&lt;99),INDEX(Lines!$I$3:$I$1590,MATCH(SMALL(Lines!$G$3:$G$1590,193),Lines!$G$3:$G$1590,0)),""))</f>
        <v/>
      </c>
      <c r="I198" s="26"/>
      <c r="J198" s="22" t="str">
        <f aca="false">IFERROR(IF(MOD(SMALL(Lines!$G$3:$G$1590,193),100000)=0,-1,MOD(SMALL(Lines!$G$3:$G$1590,193),100)),"")</f>
        <v/>
      </c>
      <c r="K198" s="22" t="str">
        <f aca="false">IF($J198=0,INDEX(Lines!$L$3:$L$1590,MATCH(SMALL(Lines!$G$3:$G$1590,193),Lines!$G$3:$G$1590,0)),"")</f>
        <v/>
      </c>
    </row>
    <row r="199" customFormat="false" ht="15" hidden="false" customHeight="false" outlineLevel="0" collapsed="false">
      <c r="A199" s="24" t="str">
        <f aca="false">IF(OR($J199=0,AND(ISNUMBER($J199),$J199&gt;0,$J199&lt;99)),INDEX(Lines!$A$3:$A$1590,MATCH(SMALL(Lines!$G$3:$G$1590,194),Lines!$G$3:$G$1590,0)),"")</f>
        <v/>
      </c>
      <c r="B199" s="24" t="str">
        <f aca="false">IF($J199=-1,INDEX(Lines!$J$3:$J$1590,MATCH(SMALL(Lines!$G$3:$G$1590,194),Lines!$G$3:$G$1590,0)),IF($J199=0,INDEX(Lines!$L$3:$L$1590,MATCH(SMALL(Lines!$G$3:$G$1590,194),Lines!$G$3:$G$1590,0)),IF(AND(ISNUMBER($J199),$J199&gt;0,$J199&lt;99),INDEX(Lines!$N$3:$N$1590,MATCH(SMALL(Lines!$G$3:$G$1590,194),Lines!$G$3:$G$1590,0)),"")))</f>
        <v/>
      </c>
      <c r="C199" s="25" t="str">
        <f aca="false">IF($J199=0,INDEX(Lines!$K$3:$K$1590,MATCH(SMALL(Lines!$G$3:$G$1590,194),Lines!$G$3:$G$1590,0)),IF(AND(ISNUMBER($J199),$J199&gt;0,$J199&lt;99),INDEX(Lines!$C$3:$C$1590,MATCH(SMALL(Lines!$G$3:$G$1590,194),Lines!$G$3:$G$1590,0)),""))</f>
        <v/>
      </c>
      <c r="D199" s="26" t="str">
        <f aca="false">IF(AND(ISNUMBER($J199),$J199&gt;0,$J199&lt;99),INDEX(Lines!$D$3:$D$1590,MATCH(SMALL(Lines!$G$3:$G$1590,194),Lines!$G$3:$G$1590,0)),"")</f>
        <v/>
      </c>
      <c r="E199" s="26" t="str">
        <f aca="false">IF(AND(ISNUMBER($J199),$J199&gt;0,$J199&lt;99),INDEX(Lines!$E$3:$E$1590,MATCH(SMALL(Lines!$G$3:$G$1590,194),Lines!$G$3:$G$1590,0)),"")</f>
        <v/>
      </c>
      <c r="F199" s="26" t="str">
        <f aca="false">IF(AND(ISNUMBER($J199),$J199&gt;0,$J199&lt;99),INDEX(Lines!$O$3:$O$1590,MATCH(SMALL(Lines!$G$3:$G$1590,194),Lines!$G$3:$G$1590,0)),"")</f>
        <v/>
      </c>
      <c r="G199" s="27" t="str">
        <f aca="false">IF($J199=0,INDEX(Lines!$Q$3:$Q$1590,MATCH(SMALL(Lines!$G$3:$G$1590,194),Lines!$G$3:$G$1590,0)),IF(AND(ISNUMBER($J199),$J199&gt;0,$J199&lt;99),INDEX(Lines!$P$3:$P$1590,MATCH(SMALL(Lines!$G$3:$G$1590,194),Lines!$G$3:$G$1590,0)),""))</f>
        <v/>
      </c>
      <c r="H199" s="28" t="str">
        <f aca="false">IF($J199=0,INDEX(Lines!$H$3:$H$1590,MATCH(SMALL(Lines!$G$3:$G$1590,194),Lines!$G$3:$G$1590,0))&amp;" groups",IF(AND(ISNUMBER($J199),$J199&gt;0,$J199&lt;99),INDEX(Lines!$I$3:$I$1590,MATCH(SMALL(Lines!$G$3:$G$1590,194),Lines!$G$3:$G$1590,0)),""))</f>
        <v/>
      </c>
      <c r="I199" s="26"/>
      <c r="J199" s="22" t="str">
        <f aca="false">IFERROR(IF(MOD(SMALL(Lines!$G$3:$G$1590,194),100000)=0,-1,MOD(SMALL(Lines!$G$3:$G$1590,194),100)),"")</f>
        <v/>
      </c>
      <c r="K199" s="22" t="str">
        <f aca="false">IF($J199=0,INDEX(Lines!$L$3:$L$1590,MATCH(SMALL(Lines!$G$3:$G$1590,194),Lines!$G$3:$G$1590,0)),"")</f>
        <v/>
      </c>
    </row>
    <row r="200" customFormat="false" ht="15" hidden="false" customHeight="false" outlineLevel="0" collapsed="false">
      <c r="A200" s="24" t="str">
        <f aca="false">IF(OR($J200=0,AND(ISNUMBER($J200),$J200&gt;0,$J200&lt;99)),INDEX(Lines!$A$3:$A$1590,MATCH(SMALL(Lines!$G$3:$G$1590,195),Lines!$G$3:$G$1590,0)),"")</f>
        <v/>
      </c>
      <c r="B200" s="24" t="str">
        <f aca="false">IF($J200=-1,INDEX(Lines!$J$3:$J$1590,MATCH(SMALL(Lines!$G$3:$G$1590,195),Lines!$G$3:$G$1590,0)),IF($J200=0,INDEX(Lines!$L$3:$L$1590,MATCH(SMALL(Lines!$G$3:$G$1590,195),Lines!$G$3:$G$1590,0)),IF(AND(ISNUMBER($J200),$J200&gt;0,$J200&lt;99),INDEX(Lines!$N$3:$N$1590,MATCH(SMALL(Lines!$G$3:$G$1590,195),Lines!$G$3:$G$1590,0)),"")))</f>
        <v/>
      </c>
      <c r="C200" s="25" t="str">
        <f aca="false">IF($J200=0,INDEX(Lines!$K$3:$K$1590,MATCH(SMALL(Lines!$G$3:$G$1590,195),Lines!$G$3:$G$1590,0)),IF(AND(ISNUMBER($J200),$J200&gt;0,$J200&lt;99),INDEX(Lines!$C$3:$C$1590,MATCH(SMALL(Lines!$G$3:$G$1590,195),Lines!$G$3:$G$1590,0)),""))</f>
        <v/>
      </c>
      <c r="D200" s="26" t="str">
        <f aca="false">IF(AND(ISNUMBER($J200),$J200&gt;0,$J200&lt;99),INDEX(Lines!$D$3:$D$1590,MATCH(SMALL(Lines!$G$3:$G$1590,195),Lines!$G$3:$G$1590,0)),"")</f>
        <v/>
      </c>
      <c r="E200" s="26" t="str">
        <f aca="false">IF(AND(ISNUMBER($J200),$J200&gt;0,$J200&lt;99),INDEX(Lines!$E$3:$E$1590,MATCH(SMALL(Lines!$G$3:$G$1590,195),Lines!$G$3:$G$1590,0)),"")</f>
        <v/>
      </c>
      <c r="F200" s="26" t="str">
        <f aca="false">IF(AND(ISNUMBER($J200),$J200&gt;0,$J200&lt;99),INDEX(Lines!$O$3:$O$1590,MATCH(SMALL(Lines!$G$3:$G$1590,195),Lines!$G$3:$G$1590,0)),"")</f>
        <v/>
      </c>
      <c r="G200" s="27" t="str">
        <f aca="false">IF($J200=0,INDEX(Lines!$Q$3:$Q$1590,MATCH(SMALL(Lines!$G$3:$G$1590,195),Lines!$G$3:$G$1590,0)),IF(AND(ISNUMBER($J200),$J200&gt;0,$J200&lt;99),INDEX(Lines!$P$3:$P$1590,MATCH(SMALL(Lines!$G$3:$G$1590,195),Lines!$G$3:$G$1590,0)),""))</f>
        <v/>
      </c>
      <c r="H200" s="28" t="str">
        <f aca="false">IF($J200=0,INDEX(Lines!$H$3:$H$1590,MATCH(SMALL(Lines!$G$3:$G$1590,195),Lines!$G$3:$G$1590,0))&amp;" groups",IF(AND(ISNUMBER($J200),$J200&gt;0,$J200&lt;99),INDEX(Lines!$I$3:$I$1590,MATCH(SMALL(Lines!$G$3:$G$1590,195),Lines!$G$3:$G$1590,0)),""))</f>
        <v/>
      </c>
      <c r="I200" s="26"/>
      <c r="J200" s="22" t="str">
        <f aca="false">IFERROR(IF(MOD(SMALL(Lines!$G$3:$G$1590,195),100000)=0,-1,MOD(SMALL(Lines!$G$3:$G$1590,195),100)),"")</f>
        <v/>
      </c>
      <c r="K200" s="22" t="str">
        <f aca="false">IF($J200=0,INDEX(Lines!$L$3:$L$1590,MATCH(SMALL(Lines!$G$3:$G$1590,195),Lines!$G$3:$G$1590,0)),"")</f>
        <v/>
      </c>
    </row>
    <row r="201" customFormat="false" ht="15" hidden="false" customHeight="false" outlineLevel="0" collapsed="false">
      <c r="A201" s="24" t="str">
        <f aca="false">IF(OR($J201=0,AND(ISNUMBER($J201),$J201&gt;0,$J201&lt;99)),INDEX(Lines!$A$3:$A$1590,MATCH(SMALL(Lines!$G$3:$G$1590,196),Lines!$G$3:$G$1590,0)),"")</f>
        <v/>
      </c>
      <c r="B201" s="24" t="str">
        <f aca="false">IF($J201=-1,INDEX(Lines!$J$3:$J$1590,MATCH(SMALL(Lines!$G$3:$G$1590,196),Lines!$G$3:$G$1590,0)),IF($J201=0,INDEX(Lines!$L$3:$L$1590,MATCH(SMALL(Lines!$G$3:$G$1590,196),Lines!$G$3:$G$1590,0)),IF(AND(ISNUMBER($J201),$J201&gt;0,$J201&lt;99),INDEX(Lines!$N$3:$N$1590,MATCH(SMALL(Lines!$G$3:$G$1590,196),Lines!$G$3:$G$1590,0)),"")))</f>
        <v/>
      </c>
      <c r="C201" s="25" t="str">
        <f aca="false">IF($J201=0,INDEX(Lines!$K$3:$K$1590,MATCH(SMALL(Lines!$G$3:$G$1590,196),Lines!$G$3:$G$1590,0)),IF(AND(ISNUMBER($J201),$J201&gt;0,$J201&lt;99),INDEX(Lines!$C$3:$C$1590,MATCH(SMALL(Lines!$G$3:$G$1590,196),Lines!$G$3:$G$1590,0)),""))</f>
        <v/>
      </c>
      <c r="D201" s="26" t="str">
        <f aca="false">IF(AND(ISNUMBER($J201),$J201&gt;0,$J201&lt;99),INDEX(Lines!$D$3:$D$1590,MATCH(SMALL(Lines!$G$3:$G$1590,196),Lines!$G$3:$G$1590,0)),"")</f>
        <v/>
      </c>
      <c r="E201" s="26" t="str">
        <f aca="false">IF(AND(ISNUMBER($J201),$J201&gt;0,$J201&lt;99),INDEX(Lines!$E$3:$E$1590,MATCH(SMALL(Lines!$G$3:$G$1590,196),Lines!$G$3:$G$1590,0)),"")</f>
        <v/>
      </c>
      <c r="F201" s="26" t="str">
        <f aca="false">IF(AND(ISNUMBER($J201),$J201&gt;0,$J201&lt;99),INDEX(Lines!$O$3:$O$1590,MATCH(SMALL(Lines!$G$3:$G$1590,196),Lines!$G$3:$G$1590,0)),"")</f>
        <v/>
      </c>
      <c r="G201" s="27" t="str">
        <f aca="false">IF($J201=0,INDEX(Lines!$Q$3:$Q$1590,MATCH(SMALL(Lines!$G$3:$G$1590,196),Lines!$G$3:$G$1590,0)),IF(AND(ISNUMBER($J201),$J201&gt;0,$J201&lt;99),INDEX(Lines!$P$3:$P$1590,MATCH(SMALL(Lines!$G$3:$G$1590,196),Lines!$G$3:$G$1590,0)),""))</f>
        <v/>
      </c>
      <c r="H201" s="28" t="str">
        <f aca="false">IF($J201=0,INDEX(Lines!$H$3:$H$1590,MATCH(SMALL(Lines!$G$3:$G$1590,196),Lines!$G$3:$G$1590,0))&amp;" groups",IF(AND(ISNUMBER($J201),$J201&gt;0,$J201&lt;99),INDEX(Lines!$I$3:$I$1590,MATCH(SMALL(Lines!$G$3:$G$1590,196),Lines!$G$3:$G$1590,0)),""))</f>
        <v/>
      </c>
      <c r="I201" s="26"/>
      <c r="J201" s="22" t="str">
        <f aca="false">IFERROR(IF(MOD(SMALL(Lines!$G$3:$G$1590,196),100000)=0,-1,MOD(SMALL(Lines!$G$3:$G$1590,196),100)),"")</f>
        <v/>
      </c>
      <c r="K201" s="22" t="str">
        <f aca="false">IF($J201=0,INDEX(Lines!$L$3:$L$1590,MATCH(SMALL(Lines!$G$3:$G$1590,196),Lines!$G$3:$G$1590,0)),"")</f>
        <v/>
      </c>
    </row>
    <row r="202" customFormat="false" ht="15" hidden="false" customHeight="false" outlineLevel="0" collapsed="false">
      <c r="A202" s="24" t="str">
        <f aca="false">IF(OR($J202=0,AND(ISNUMBER($J202),$J202&gt;0,$J202&lt;99)),INDEX(Lines!$A$3:$A$1590,MATCH(SMALL(Lines!$G$3:$G$1590,197),Lines!$G$3:$G$1590,0)),"")</f>
        <v/>
      </c>
      <c r="B202" s="24" t="str">
        <f aca="false">IF($J202=-1,INDEX(Lines!$J$3:$J$1590,MATCH(SMALL(Lines!$G$3:$G$1590,197),Lines!$G$3:$G$1590,0)),IF($J202=0,INDEX(Lines!$L$3:$L$1590,MATCH(SMALL(Lines!$G$3:$G$1590,197),Lines!$G$3:$G$1590,0)),IF(AND(ISNUMBER($J202),$J202&gt;0,$J202&lt;99),INDEX(Lines!$N$3:$N$1590,MATCH(SMALL(Lines!$G$3:$G$1590,197),Lines!$G$3:$G$1590,0)),"")))</f>
        <v/>
      </c>
      <c r="C202" s="25" t="str">
        <f aca="false">IF($J202=0,INDEX(Lines!$K$3:$K$1590,MATCH(SMALL(Lines!$G$3:$G$1590,197),Lines!$G$3:$G$1590,0)),IF(AND(ISNUMBER($J202),$J202&gt;0,$J202&lt;99),INDEX(Lines!$C$3:$C$1590,MATCH(SMALL(Lines!$G$3:$G$1590,197),Lines!$G$3:$G$1590,0)),""))</f>
        <v/>
      </c>
      <c r="D202" s="26" t="str">
        <f aca="false">IF(AND(ISNUMBER($J202),$J202&gt;0,$J202&lt;99),INDEX(Lines!$D$3:$D$1590,MATCH(SMALL(Lines!$G$3:$G$1590,197),Lines!$G$3:$G$1590,0)),"")</f>
        <v/>
      </c>
      <c r="E202" s="26" t="str">
        <f aca="false">IF(AND(ISNUMBER($J202),$J202&gt;0,$J202&lt;99),INDEX(Lines!$E$3:$E$1590,MATCH(SMALL(Lines!$G$3:$G$1590,197),Lines!$G$3:$G$1590,0)),"")</f>
        <v/>
      </c>
      <c r="F202" s="26" t="str">
        <f aca="false">IF(AND(ISNUMBER($J202),$J202&gt;0,$J202&lt;99),INDEX(Lines!$O$3:$O$1590,MATCH(SMALL(Lines!$G$3:$G$1590,197),Lines!$G$3:$G$1590,0)),"")</f>
        <v/>
      </c>
      <c r="G202" s="27" t="str">
        <f aca="false">IF($J202=0,INDEX(Lines!$Q$3:$Q$1590,MATCH(SMALL(Lines!$G$3:$G$1590,197),Lines!$G$3:$G$1590,0)),IF(AND(ISNUMBER($J202),$J202&gt;0,$J202&lt;99),INDEX(Lines!$P$3:$P$1590,MATCH(SMALL(Lines!$G$3:$G$1590,197),Lines!$G$3:$G$1590,0)),""))</f>
        <v/>
      </c>
      <c r="H202" s="28" t="str">
        <f aca="false">IF($J202=0,INDEX(Lines!$H$3:$H$1590,MATCH(SMALL(Lines!$G$3:$G$1590,197),Lines!$G$3:$G$1590,0))&amp;" groups",IF(AND(ISNUMBER($J202),$J202&gt;0,$J202&lt;99),INDEX(Lines!$I$3:$I$1590,MATCH(SMALL(Lines!$G$3:$G$1590,197),Lines!$G$3:$G$1590,0)),""))</f>
        <v/>
      </c>
      <c r="I202" s="26"/>
      <c r="J202" s="22" t="str">
        <f aca="false">IFERROR(IF(MOD(SMALL(Lines!$G$3:$G$1590,197),100000)=0,-1,MOD(SMALL(Lines!$G$3:$G$1590,197),100)),"")</f>
        <v/>
      </c>
      <c r="K202" s="22" t="str">
        <f aca="false">IF($J202=0,INDEX(Lines!$L$3:$L$1590,MATCH(SMALL(Lines!$G$3:$G$1590,197),Lines!$G$3:$G$1590,0)),"")</f>
        <v/>
      </c>
    </row>
    <row r="203" customFormat="false" ht="15" hidden="false" customHeight="false" outlineLevel="0" collapsed="false">
      <c r="A203" s="24" t="str">
        <f aca="false">IF(OR($J203=0,AND(ISNUMBER($J203),$J203&gt;0,$J203&lt;99)),INDEX(Lines!$A$3:$A$1590,MATCH(SMALL(Lines!$G$3:$G$1590,198),Lines!$G$3:$G$1590,0)),"")</f>
        <v/>
      </c>
      <c r="B203" s="24" t="str">
        <f aca="false">IF($J203=-1,INDEX(Lines!$J$3:$J$1590,MATCH(SMALL(Lines!$G$3:$G$1590,198),Lines!$G$3:$G$1590,0)),IF($J203=0,INDEX(Lines!$L$3:$L$1590,MATCH(SMALL(Lines!$G$3:$G$1590,198),Lines!$G$3:$G$1590,0)),IF(AND(ISNUMBER($J203),$J203&gt;0,$J203&lt;99),INDEX(Lines!$N$3:$N$1590,MATCH(SMALL(Lines!$G$3:$G$1590,198),Lines!$G$3:$G$1590,0)),"")))</f>
        <v/>
      </c>
      <c r="C203" s="25" t="str">
        <f aca="false">IF($J203=0,INDEX(Lines!$K$3:$K$1590,MATCH(SMALL(Lines!$G$3:$G$1590,198),Lines!$G$3:$G$1590,0)),IF(AND(ISNUMBER($J203),$J203&gt;0,$J203&lt;99),INDEX(Lines!$C$3:$C$1590,MATCH(SMALL(Lines!$G$3:$G$1590,198),Lines!$G$3:$G$1590,0)),""))</f>
        <v/>
      </c>
      <c r="D203" s="26" t="str">
        <f aca="false">IF(AND(ISNUMBER($J203),$J203&gt;0,$J203&lt;99),INDEX(Lines!$D$3:$D$1590,MATCH(SMALL(Lines!$G$3:$G$1590,198),Lines!$G$3:$G$1590,0)),"")</f>
        <v/>
      </c>
      <c r="E203" s="26" t="str">
        <f aca="false">IF(AND(ISNUMBER($J203),$J203&gt;0,$J203&lt;99),INDEX(Lines!$E$3:$E$1590,MATCH(SMALL(Lines!$G$3:$G$1590,198),Lines!$G$3:$G$1590,0)),"")</f>
        <v/>
      </c>
      <c r="F203" s="26" t="str">
        <f aca="false">IF(AND(ISNUMBER($J203),$J203&gt;0,$J203&lt;99),INDEX(Lines!$O$3:$O$1590,MATCH(SMALL(Lines!$G$3:$G$1590,198),Lines!$G$3:$G$1590,0)),"")</f>
        <v/>
      </c>
      <c r="G203" s="27" t="str">
        <f aca="false">IF($J203=0,INDEX(Lines!$Q$3:$Q$1590,MATCH(SMALL(Lines!$G$3:$G$1590,198),Lines!$G$3:$G$1590,0)),IF(AND(ISNUMBER($J203),$J203&gt;0,$J203&lt;99),INDEX(Lines!$P$3:$P$1590,MATCH(SMALL(Lines!$G$3:$G$1590,198),Lines!$G$3:$G$1590,0)),""))</f>
        <v/>
      </c>
      <c r="H203" s="28" t="str">
        <f aca="false">IF($J203=0,INDEX(Lines!$H$3:$H$1590,MATCH(SMALL(Lines!$G$3:$G$1590,198),Lines!$G$3:$G$1590,0))&amp;" groups",IF(AND(ISNUMBER($J203),$J203&gt;0,$J203&lt;99),INDEX(Lines!$I$3:$I$1590,MATCH(SMALL(Lines!$G$3:$G$1590,198),Lines!$G$3:$G$1590,0)),""))</f>
        <v/>
      </c>
      <c r="I203" s="26"/>
      <c r="J203" s="22" t="str">
        <f aca="false">IFERROR(IF(MOD(SMALL(Lines!$G$3:$G$1590,198),100000)=0,-1,MOD(SMALL(Lines!$G$3:$G$1590,198),100)),"")</f>
        <v/>
      </c>
      <c r="K203" s="22" t="str">
        <f aca="false">IF($J203=0,INDEX(Lines!$L$3:$L$1590,MATCH(SMALL(Lines!$G$3:$G$1590,198),Lines!$G$3:$G$1590,0)),"")</f>
        <v/>
      </c>
    </row>
    <row r="204" customFormat="false" ht="15" hidden="false" customHeight="false" outlineLevel="0" collapsed="false">
      <c r="A204" s="24" t="str">
        <f aca="false">IF(OR($J204=0,AND(ISNUMBER($J204),$J204&gt;0,$J204&lt;99)),INDEX(Lines!$A$3:$A$1590,MATCH(SMALL(Lines!$G$3:$G$1590,199),Lines!$G$3:$G$1590,0)),"")</f>
        <v/>
      </c>
      <c r="B204" s="24" t="str">
        <f aca="false">IF($J204=-1,INDEX(Lines!$J$3:$J$1590,MATCH(SMALL(Lines!$G$3:$G$1590,199),Lines!$G$3:$G$1590,0)),IF($J204=0,INDEX(Lines!$L$3:$L$1590,MATCH(SMALL(Lines!$G$3:$G$1590,199),Lines!$G$3:$G$1590,0)),IF(AND(ISNUMBER($J204),$J204&gt;0,$J204&lt;99),INDEX(Lines!$N$3:$N$1590,MATCH(SMALL(Lines!$G$3:$G$1590,199),Lines!$G$3:$G$1590,0)),"")))</f>
        <v/>
      </c>
      <c r="C204" s="25" t="str">
        <f aca="false">IF($J204=0,INDEX(Lines!$K$3:$K$1590,MATCH(SMALL(Lines!$G$3:$G$1590,199),Lines!$G$3:$G$1590,0)),IF(AND(ISNUMBER($J204),$J204&gt;0,$J204&lt;99),INDEX(Lines!$C$3:$C$1590,MATCH(SMALL(Lines!$G$3:$G$1590,199),Lines!$G$3:$G$1590,0)),""))</f>
        <v/>
      </c>
      <c r="D204" s="26" t="str">
        <f aca="false">IF(AND(ISNUMBER($J204),$J204&gt;0,$J204&lt;99),INDEX(Lines!$D$3:$D$1590,MATCH(SMALL(Lines!$G$3:$G$1590,199),Lines!$G$3:$G$1590,0)),"")</f>
        <v/>
      </c>
      <c r="E204" s="26" t="str">
        <f aca="false">IF(AND(ISNUMBER($J204),$J204&gt;0,$J204&lt;99),INDEX(Lines!$E$3:$E$1590,MATCH(SMALL(Lines!$G$3:$G$1590,199),Lines!$G$3:$G$1590,0)),"")</f>
        <v/>
      </c>
      <c r="F204" s="26" t="str">
        <f aca="false">IF(AND(ISNUMBER($J204),$J204&gt;0,$J204&lt;99),INDEX(Lines!$O$3:$O$1590,MATCH(SMALL(Lines!$G$3:$G$1590,199),Lines!$G$3:$G$1590,0)),"")</f>
        <v/>
      </c>
      <c r="G204" s="27" t="str">
        <f aca="false">IF($J204=0,INDEX(Lines!$Q$3:$Q$1590,MATCH(SMALL(Lines!$G$3:$G$1590,199),Lines!$G$3:$G$1590,0)),IF(AND(ISNUMBER($J204),$J204&gt;0,$J204&lt;99),INDEX(Lines!$P$3:$P$1590,MATCH(SMALL(Lines!$G$3:$G$1590,199),Lines!$G$3:$G$1590,0)),""))</f>
        <v/>
      </c>
      <c r="H204" s="28" t="str">
        <f aca="false">IF($J204=0,INDEX(Lines!$H$3:$H$1590,MATCH(SMALL(Lines!$G$3:$G$1590,199),Lines!$G$3:$G$1590,0))&amp;" groups",IF(AND(ISNUMBER($J204),$J204&gt;0,$J204&lt;99),INDEX(Lines!$I$3:$I$1590,MATCH(SMALL(Lines!$G$3:$G$1590,199),Lines!$G$3:$G$1590,0)),""))</f>
        <v/>
      </c>
      <c r="I204" s="26"/>
      <c r="J204" s="22" t="str">
        <f aca="false">IFERROR(IF(MOD(SMALL(Lines!$G$3:$G$1590,199),100000)=0,-1,MOD(SMALL(Lines!$G$3:$G$1590,199),100)),"")</f>
        <v/>
      </c>
      <c r="K204" s="22" t="str">
        <f aca="false">IF($J204=0,INDEX(Lines!$L$3:$L$1590,MATCH(SMALL(Lines!$G$3:$G$1590,199),Lines!$G$3:$G$1590,0)),"")</f>
        <v/>
      </c>
    </row>
    <row r="205" customFormat="false" ht="15" hidden="false" customHeight="false" outlineLevel="0" collapsed="false">
      <c r="A205" s="24" t="str">
        <f aca="false">IF(OR($J205=0,AND(ISNUMBER($J205),$J205&gt;0,$J205&lt;99)),INDEX(Lines!$A$3:$A$1590,MATCH(SMALL(Lines!$G$3:$G$1590,200),Lines!$G$3:$G$1590,0)),"")</f>
        <v/>
      </c>
      <c r="B205" s="24" t="str">
        <f aca="false">IF($J205=-1,INDEX(Lines!$J$3:$J$1590,MATCH(SMALL(Lines!$G$3:$G$1590,200),Lines!$G$3:$G$1590,0)),IF($J205=0,INDEX(Lines!$L$3:$L$1590,MATCH(SMALL(Lines!$G$3:$G$1590,200),Lines!$G$3:$G$1590,0)),IF(AND(ISNUMBER($J205),$J205&gt;0,$J205&lt;99),INDEX(Lines!$N$3:$N$1590,MATCH(SMALL(Lines!$G$3:$G$1590,200),Lines!$G$3:$G$1590,0)),"")))</f>
        <v/>
      </c>
      <c r="C205" s="25" t="str">
        <f aca="false">IF($J205=0,INDEX(Lines!$K$3:$K$1590,MATCH(SMALL(Lines!$G$3:$G$1590,200),Lines!$G$3:$G$1590,0)),IF(AND(ISNUMBER($J205),$J205&gt;0,$J205&lt;99),INDEX(Lines!$C$3:$C$1590,MATCH(SMALL(Lines!$G$3:$G$1590,200),Lines!$G$3:$G$1590,0)),""))</f>
        <v/>
      </c>
      <c r="D205" s="26" t="str">
        <f aca="false">IF(AND(ISNUMBER($J205),$J205&gt;0,$J205&lt;99),INDEX(Lines!$D$3:$D$1590,MATCH(SMALL(Lines!$G$3:$G$1590,200),Lines!$G$3:$G$1590,0)),"")</f>
        <v/>
      </c>
      <c r="E205" s="26" t="str">
        <f aca="false">IF(AND(ISNUMBER($J205),$J205&gt;0,$J205&lt;99),INDEX(Lines!$E$3:$E$1590,MATCH(SMALL(Lines!$G$3:$G$1590,200),Lines!$G$3:$G$1590,0)),"")</f>
        <v/>
      </c>
      <c r="F205" s="26" t="str">
        <f aca="false">IF(AND(ISNUMBER($J205),$J205&gt;0,$J205&lt;99),INDEX(Lines!$O$3:$O$1590,MATCH(SMALL(Lines!$G$3:$G$1590,200),Lines!$G$3:$G$1590,0)),"")</f>
        <v/>
      </c>
      <c r="G205" s="27" t="str">
        <f aca="false">IF($J205=0,INDEX(Lines!$Q$3:$Q$1590,MATCH(SMALL(Lines!$G$3:$G$1590,200),Lines!$G$3:$G$1590,0)),IF(AND(ISNUMBER($J205),$J205&gt;0,$J205&lt;99),INDEX(Lines!$P$3:$P$1590,MATCH(SMALL(Lines!$G$3:$G$1590,200),Lines!$G$3:$G$1590,0)),""))</f>
        <v/>
      </c>
      <c r="H205" s="28" t="str">
        <f aca="false">IF($J205=0,INDEX(Lines!$H$3:$H$1590,MATCH(SMALL(Lines!$G$3:$G$1590,200),Lines!$G$3:$G$1590,0))&amp;" groups",IF(AND(ISNUMBER($J205),$J205&gt;0,$J205&lt;99),INDEX(Lines!$I$3:$I$1590,MATCH(SMALL(Lines!$G$3:$G$1590,200),Lines!$G$3:$G$1590,0)),""))</f>
        <v/>
      </c>
      <c r="I205" s="26"/>
      <c r="J205" s="22" t="str">
        <f aca="false">IFERROR(IF(MOD(SMALL(Lines!$G$3:$G$1590,200),100000)=0,-1,MOD(SMALL(Lines!$G$3:$G$1590,200),100)),"")</f>
        <v/>
      </c>
      <c r="K205" s="22" t="str">
        <f aca="false">IF($J205=0,INDEX(Lines!$L$3:$L$1590,MATCH(SMALL(Lines!$G$3:$G$1590,200),Lines!$G$3:$G$1590,0)),"")</f>
        <v/>
      </c>
    </row>
    <row r="206" customFormat="false" ht="15" hidden="false" customHeight="false" outlineLevel="0" collapsed="false">
      <c r="A206" s="24" t="str">
        <f aca="false">IF(OR($J206=0,AND(ISNUMBER($J206),$J206&gt;0,$J206&lt;99)),INDEX(Lines!$A$3:$A$1590,MATCH(SMALL(Lines!$G$3:$G$1590,201),Lines!$G$3:$G$1590,0)),"")</f>
        <v/>
      </c>
      <c r="B206" s="24" t="str">
        <f aca="false">IF($J206=-1,INDEX(Lines!$J$3:$J$1590,MATCH(SMALL(Lines!$G$3:$G$1590,201),Lines!$G$3:$G$1590,0)),IF($J206=0,INDEX(Lines!$L$3:$L$1590,MATCH(SMALL(Lines!$G$3:$G$1590,201),Lines!$G$3:$G$1590,0)),IF(AND(ISNUMBER($J206),$J206&gt;0,$J206&lt;99),INDEX(Lines!$N$3:$N$1590,MATCH(SMALL(Lines!$G$3:$G$1590,201),Lines!$G$3:$G$1590,0)),"")))</f>
        <v/>
      </c>
      <c r="C206" s="25" t="str">
        <f aca="false">IF($J206=0,INDEX(Lines!$K$3:$K$1590,MATCH(SMALL(Lines!$G$3:$G$1590,201),Lines!$G$3:$G$1590,0)),IF(AND(ISNUMBER($J206),$J206&gt;0,$J206&lt;99),INDEX(Lines!$C$3:$C$1590,MATCH(SMALL(Lines!$G$3:$G$1590,201),Lines!$G$3:$G$1590,0)),""))</f>
        <v/>
      </c>
      <c r="D206" s="26" t="str">
        <f aca="false">IF(AND(ISNUMBER($J206),$J206&gt;0,$J206&lt;99),INDEX(Lines!$D$3:$D$1590,MATCH(SMALL(Lines!$G$3:$G$1590,201),Lines!$G$3:$G$1590,0)),"")</f>
        <v/>
      </c>
      <c r="E206" s="26" t="str">
        <f aca="false">IF(AND(ISNUMBER($J206),$J206&gt;0,$J206&lt;99),INDEX(Lines!$E$3:$E$1590,MATCH(SMALL(Lines!$G$3:$G$1590,201),Lines!$G$3:$G$1590,0)),"")</f>
        <v/>
      </c>
      <c r="F206" s="26" t="str">
        <f aca="false">IF(AND(ISNUMBER($J206),$J206&gt;0,$J206&lt;99),INDEX(Lines!$O$3:$O$1590,MATCH(SMALL(Lines!$G$3:$G$1590,201),Lines!$G$3:$G$1590,0)),"")</f>
        <v/>
      </c>
      <c r="G206" s="27" t="str">
        <f aca="false">IF($J206=0,INDEX(Lines!$Q$3:$Q$1590,MATCH(SMALL(Lines!$G$3:$G$1590,201),Lines!$G$3:$G$1590,0)),IF(AND(ISNUMBER($J206),$J206&gt;0,$J206&lt;99),INDEX(Lines!$P$3:$P$1590,MATCH(SMALL(Lines!$G$3:$G$1590,201),Lines!$G$3:$G$1590,0)),""))</f>
        <v/>
      </c>
      <c r="H206" s="28" t="str">
        <f aca="false">IF($J206=0,INDEX(Lines!$H$3:$H$1590,MATCH(SMALL(Lines!$G$3:$G$1590,201),Lines!$G$3:$G$1590,0))&amp;" groups",IF(AND(ISNUMBER($J206),$J206&gt;0,$J206&lt;99),INDEX(Lines!$I$3:$I$1590,MATCH(SMALL(Lines!$G$3:$G$1590,201),Lines!$G$3:$G$1590,0)),""))</f>
        <v/>
      </c>
      <c r="I206" s="26"/>
      <c r="J206" s="22" t="str">
        <f aca="false">IFERROR(IF(MOD(SMALL(Lines!$G$3:$G$1590,201),100000)=0,-1,MOD(SMALL(Lines!$G$3:$G$1590,201),100)),"")</f>
        <v/>
      </c>
      <c r="K206" s="22" t="str">
        <f aca="false">IF($J206=0,INDEX(Lines!$L$3:$L$1590,MATCH(SMALL(Lines!$G$3:$G$1590,201),Lines!$G$3:$G$1590,0)),"")</f>
        <v/>
      </c>
    </row>
    <row r="207" customFormat="false" ht="15" hidden="false" customHeight="false" outlineLevel="0" collapsed="false">
      <c r="A207" s="24" t="str">
        <f aca="false">IF(OR($J207=0,AND(ISNUMBER($J207),$J207&gt;0,$J207&lt;99)),INDEX(Lines!$A$3:$A$1590,MATCH(SMALL(Lines!$G$3:$G$1590,202),Lines!$G$3:$G$1590,0)),"")</f>
        <v/>
      </c>
      <c r="B207" s="24" t="str">
        <f aca="false">IF($J207=-1,INDEX(Lines!$J$3:$J$1590,MATCH(SMALL(Lines!$G$3:$G$1590,202),Lines!$G$3:$G$1590,0)),IF($J207=0,INDEX(Lines!$L$3:$L$1590,MATCH(SMALL(Lines!$G$3:$G$1590,202),Lines!$G$3:$G$1590,0)),IF(AND(ISNUMBER($J207),$J207&gt;0,$J207&lt;99),INDEX(Lines!$N$3:$N$1590,MATCH(SMALL(Lines!$G$3:$G$1590,202),Lines!$G$3:$G$1590,0)),"")))</f>
        <v/>
      </c>
      <c r="C207" s="25" t="str">
        <f aca="false">IF($J207=0,INDEX(Lines!$K$3:$K$1590,MATCH(SMALL(Lines!$G$3:$G$1590,202),Lines!$G$3:$G$1590,0)),IF(AND(ISNUMBER($J207),$J207&gt;0,$J207&lt;99),INDEX(Lines!$C$3:$C$1590,MATCH(SMALL(Lines!$G$3:$G$1590,202),Lines!$G$3:$G$1590,0)),""))</f>
        <v/>
      </c>
      <c r="D207" s="26" t="str">
        <f aca="false">IF(AND(ISNUMBER($J207),$J207&gt;0,$J207&lt;99),INDEX(Lines!$D$3:$D$1590,MATCH(SMALL(Lines!$G$3:$G$1590,202),Lines!$G$3:$G$1590,0)),"")</f>
        <v/>
      </c>
      <c r="E207" s="26" t="str">
        <f aca="false">IF(AND(ISNUMBER($J207),$J207&gt;0,$J207&lt;99),INDEX(Lines!$E$3:$E$1590,MATCH(SMALL(Lines!$G$3:$G$1590,202),Lines!$G$3:$G$1590,0)),"")</f>
        <v/>
      </c>
      <c r="F207" s="26" t="str">
        <f aca="false">IF(AND(ISNUMBER($J207),$J207&gt;0,$J207&lt;99),INDEX(Lines!$O$3:$O$1590,MATCH(SMALL(Lines!$G$3:$G$1590,202),Lines!$G$3:$G$1590,0)),"")</f>
        <v/>
      </c>
      <c r="G207" s="27" t="str">
        <f aca="false">IF($J207=0,INDEX(Lines!$Q$3:$Q$1590,MATCH(SMALL(Lines!$G$3:$G$1590,202),Lines!$G$3:$G$1590,0)),IF(AND(ISNUMBER($J207),$J207&gt;0,$J207&lt;99),INDEX(Lines!$P$3:$P$1590,MATCH(SMALL(Lines!$G$3:$G$1590,202),Lines!$G$3:$G$1590,0)),""))</f>
        <v/>
      </c>
      <c r="H207" s="28" t="str">
        <f aca="false">IF($J207=0,INDEX(Lines!$H$3:$H$1590,MATCH(SMALL(Lines!$G$3:$G$1590,202),Lines!$G$3:$G$1590,0))&amp;" groups",IF(AND(ISNUMBER($J207),$J207&gt;0,$J207&lt;99),INDEX(Lines!$I$3:$I$1590,MATCH(SMALL(Lines!$G$3:$G$1590,202),Lines!$G$3:$G$1590,0)),""))</f>
        <v/>
      </c>
      <c r="I207" s="26"/>
      <c r="J207" s="22" t="str">
        <f aca="false">IFERROR(IF(MOD(SMALL(Lines!$G$3:$G$1590,202),100000)=0,-1,MOD(SMALL(Lines!$G$3:$G$1590,202),100)),"")</f>
        <v/>
      </c>
      <c r="K207" s="22" t="str">
        <f aca="false">IF($J207=0,INDEX(Lines!$L$3:$L$1590,MATCH(SMALL(Lines!$G$3:$G$1590,202),Lines!$G$3:$G$1590,0)),"")</f>
        <v/>
      </c>
    </row>
    <row r="208" customFormat="false" ht="15" hidden="false" customHeight="false" outlineLevel="0" collapsed="false">
      <c r="A208" s="24" t="str">
        <f aca="false">IF(OR($J208=0,AND(ISNUMBER($J208),$J208&gt;0,$J208&lt;99)),INDEX(Lines!$A$3:$A$1590,MATCH(SMALL(Lines!$G$3:$G$1590,203),Lines!$G$3:$G$1590,0)),"")</f>
        <v/>
      </c>
      <c r="B208" s="24" t="str">
        <f aca="false">IF($J208=-1,INDEX(Lines!$J$3:$J$1590,MATCH(SMALL(Lines!$G$3:$G$1590,203),Lines!$G$3:$G$1590,0)),IF($J208=0,INDEX(Lines!$L$3:$L$1590,MATCH(SMALL(Lines!$G$3:$G$1590,203),Lines!$G$3:$G$1590,0)),IF(AND(ISNUMBER($J208),$J208&gt;0,$J208&lt;99),INDEX(Lines!$N$3:$N$1590,MATCH(SMALL(Lines!$G$3:$G$1590,203),Lines!$G$3:$G$1590,0)),"")))</f>
        <v/>
      </c>
      <c r="C208" s="25" t="str">
        <f aca="false">IF($J208=0,INDEX(Lines!$K$3:$K$1590,MATCH(SMALL(Lines!$G$3:$G$1590,203),Lines!$G$3:$G$1590,0)),IF(AND(ISNUMBER($J208),$J208&gt;0,$J208&lt;99),INDEX(Lines!$C$3:$C$1590,MATCH(SMALL(Lines!$G$3:$G$1590,203),Lines!$G$3:$G$1590,0)),""))</f>
        <v/>
      </c>
      <c r="D208" s="26" t="str">
        <f aca="false">IF(AND(ISNUMBER($J208),$J208&gt;0,$J208&lt;99),INDEX(Lines!$D$3:$D$1590,MATCH(SMALL(Lines!$G$3:$G$1590,203),Lines!$G$3:$G$1590,0)),"")</f>
        <v/>
      </c>
      <c r="E208" s="26" t="str">
        <f aca="false">IF(AND(ISNUMBER($J208),$J208&gt;0,$J208&lt;99),INDEX(Lines!$E$3:$E$1590,MATCH(SMALL(Lines!$G$3:$G$1590,203),Lines!$G$3:$G$1590,0)),"")</f>
        <v/>
      </c>
      <c r="F208" s="26" t="str">
        <f aca="false">IF(AND(ISNUMBER($J208),$J208&gt;0,$J208&lt;99),INDEX(Lines!$O$3:$O$1590,MATCH(SMALL(Lines!$G$3:$G$1590,203),Lines!$G$3:$G$1590,0)),"")</f>
        <v/>
      </c>
      <c r="G208" s="27" t="str">
        <f aca="false">IF($J208=0,INDEX(Lines!$Q$3:$Q$1590,MATCH(SMALL(Lines!$G$3:$G$1590,203),Lines!$G$3:$G$1590,0)),IF(AND(ISNUMBER($J208),$J208&gt;0,$J208&lt;99),INDEX(Lines!$P$3:$P$1590,MATCH(SMALL(Lines!$G$3:$G$1590,203),Lines!$G$3:$G$1590,0)),""))</f>
        <v/>
      </c>
      <c r="H208" s="28" t="str">
        <f aca="false">IF($J208=0,INDEX(Lines!$H$3:$H$1590,MATCH(SMALL(Lines!$G$3:$G$1590,203),Lines!$G$3:$G$1590,0))&amp;" groups",IF(AND(ISNUMBER($J208),$J208&gt;0,$J208&lt;99),INDEX(Lines!$I$3:$I$1590,MATCH(SMALL(Lines!$G$3:$G$1590,203),Lines!$G$3:$G$1590,0)),""))</f>
        <v/>
      </c>
      <c r="I208" s="26"/>
      <c r="J208" s="22" t="str">
        <f aca="false">IFERROR(IF(MOD(SMALL(Lines!$G$3:$G$1590,203),100000)=0,-1,MOD(SMALL(Lines!$G$3:$G$1590,203),100)),"")</f>
        <v/>
      </c>
      <c r="K208" s="22" t="str">
        <f aca="false">IF($J208=0,INDEX(Lines!$L$3:$L$1590,MATCH(SMALL(Lines!$G$3:$G$1590,203),Lines!$G$3:$G$1590,0)),"")</f>
        <v/>
      </c>
    </row>
    <row r="209" customFormat="false" ht="15" hidden="false" customHeight="false" outlineLevel="0" collapsed="false">
      <c r="A209" s="24" t="str">
        <f aca="false">IF(OR($J209=0,AND(ISNUMBER($J209),$J209&gt;0,$J209&lt;99)),INDEX(Lines!$A$3:$A$1590,MATCH(SMALL(Lines!$G$3:$G$1590,204),Lines!$G$3:$G$1590,0)),"")</f>
        <v/>
      </c>
      <c r="B209" s="24" t="str">
        <f aca="false">IF($J209=-1,INDEX(Lines!$J$3:$J$1590,MATCH(SMALL(Lines!$G$3:$G$1590,204),Lines!$G$3:$G$1590,0)),IF($J209=0,INDEX(Lines!$L$3:$L$1590,MATCH(SMALL(Lines!$G$3:$G$1590,204),Lines!$G$3:$G$1590,0)),IF(AND(ISNUMBER($J209),$J209&gt;0,$J209&lt;99),INDEX(Lines!$N$3:$N$1590,MATCH(SMALL(Lines!$G$3:$G$1590,204),Lines!$G$3:$G$1590,0)),"")))</f>
        <v/>
      </c>
      <c r="C209" s="25" t="str">
        <f aca="false">IF($J209=0,INDEX(Lines!$K$3:$K$1590,MATCH(SMALL(Lines!$G$3:$G$1590,204),Lines!$G$3:$G$1590,0)),IF(AND(ISNUMBER($J209),$J209&gt;0,$J209&lt;99),INDEX(Lines!$C$3:$C$1590,MATCH(SMALL(Lines!$G$3:$G$1590,204),Lines!$G$3:$G$1590,0)),""))</f>
        <v/>
      </c>
      <c r="D209" s="26" t="str">
        <f aca="false">IF(AND(ISNUMBER($J209),$J209&gt;0,$J209&lt;99),INDEX(Lines!$D$3:$D$1590,MATCH(SMALL(Lines!$G$3:$G$1590,204),Lines!$G$3:$G$1590,0)),"")</f>
        <v/>
      </c>
      <c r="E209" s="26" t="str">
        <f aca="false">IF(AND(ISNUMBER($J209),$J209&gt;0,$J209&lt;99),INDEX(Lines!$E$3:$E$1590,MATCH(SMALL(Lines!$G$3:$G$1590,204),Lines!$G$3:$G$1590,0)),"")</f>
        <v/>
      </c>
      <c r="F209" s="26" t="str">
        <f aca="false">IF(AND(ISNUMBER($J209),$J209&gt;0,$J209&lt;99),INDEX(Lines!$O$3:$O$1590,MATCH(SMALL(Lines!$G$3:$G$1590,204),Lines!$G$3:$G$1590,0)),"")</f>
        <v/>
      </c>
      <c r="G209" s="27" t="str">
        <f aca="false">IF($J209=0,INDEX(Lines!$Q$3:$Q$1590,MATCH(SMALL(Lines!$G$3:$G$1590,204),Lines!$G$3:$G$1590,0)),IF(AND(ISNUMBER($J209),$J209&gt;0,$J209&lt;99),INDEX(Lines!$P$3:$P$1590,MATCH(SMALL(Lines!$G$3:$G$1590,204),Lines!$G$3:$G$1590,0)),""))</f>
        <v/>
      </c>
      <c r="H209" s="28" t="str">
        <f aca="false">IF($J209=0,INDEX(Lines!$H$3:$H$1590,MATCH(SMALL(Lines!$G$3:$G$1590,204),Lines!$G$3:$G$1590,0))&amp;" groups",IF(AND(ISNUMBER($J209),$J209&gt;0,$J209&lt;99),INDEX(Lines!$I$3:$I$1590,MATCH(SMALL(Lines!$G$3:$G$1590,204),Lines!$G$3:$G$1590,0)),""))</f>
        <v/>
      </c>
      <c r="I209" s="26"/>
      <c r="J209" s="22" t="str">
        <f aca="false">IFERROR(IF(MOD(SMALL(Lines!$G$3:$G$1590,204),100000)=0,-1,MOD(SMALL(Lines!$G$3:$G$1590,204),100)),"")</f>
        <v/>
      </c>
      <c r="K209" s="22" t="str">
        <f aca="false">IF($J209=0,INDEX(Lines!$L$3:$L$1590,MATCH(SMALL(Lines!$G$3:$G$1590,204),Lines!$G$3:$G$1590,0)),"")</f>
        <v/>
      </c>
    </row>
    <row r="210" customFormat="false" ht="15" hidden="false" customHeight="false" outlineLevel="0" collapsed="false">
      <c r="A210" s="24" t="str">
        <f aca="false">IF(OR($J210=0,AND(ISNUMBER($J210),$J210&gt;0,$J210&lt;99)),INDEX(Lines!$A$3:$A$1590,MATCH(SMALL(Lines!$G$3:$G$1590,205),Lines!$G$3:$G$1590,0)),"")</f>
        <v/>
      </c>
      <c r="B210" s="24" t="str">
        <f aca="false">IF($J210=-1,INDEX(Lines!$J$3:$J$1590,MATCH(SMALL(Lines!$G$3:$G$1590,205),Lines!$G$3:$G$1590,0)),IF($J210=0,INDEX(Lines!$L$3:$L$1590,MATCH(SMALL(Lines!$G$3:$G$1590,205),Lines!$G$3:$G$1590,0)),IF(AND(ISNUMBER($J210),$J210&gt;0,$J210&lt;99),INDEX(Lines!$N$3:$N$1590,MATCH(SMALL(Lines!$G$3:$G$1590,205),Lines!$G$3:$G$1590,0)),"")))</f>
        <v/>
      </c>
      <c r="C210" s="25" t="str">
        <f aca="false">IF($J210=0,INDEX(Lines!$K$3:$K$1590,MATCH(SMALL(Lines!$G$3:$G$1590,205),Lines!$G$3:$G$1590,0)),IF(AND(ISNUMBER($J210),$J210&gt;0,$J210&lt;99),INDEX(Lines!$C$3:$C$1590,MATCH(SMALL(Lines!$G$3:$G$1590,205),Lines!$G$3:$G$1590,0)),""))</f>
        <v/>
      </c>
      <c r="D210" s="26" t="str">
        <f aca="false">IF(AND(ISNUMBER($J210),$J210&gt;0,$J210&lt;99),INDEX(Lines!$D$3:$D$1590,MATCH(SMALL(Lines!$G$3:$G$1590,205),Lines!$G$3:$G$1590,0)),"")</f>
        <v/>
      </c>
      <c r="E210" s="26" t="str">
        <f aca="false">IF(AND(ISNUMBER($J210),$J210&gt;0,$J210&lt;99),INDEX(Lines!$E$3:$E$1590,MATCH(SMALL(Lines!$G$3:$G$1590,205),Lines!$G$3:$G$1590,0)),"")</f>
        <v/>
      </c>
      <c r="F210" s="26" t="str">
        <f aca="false">IF(AND(ISNUMBER($J210),$J210&gt;0,$J210&lt;99),INDEX(Lines!$O$3:$O$1590,MATCH(SMALL(Lines!$G$3:$G$1590,205),Lines!$G$3:$G$1590,0)),"")</f>
        <v/>
      </c>
      <c r="G210" s="27" t="str">
        <f aca="false">IF($J210=0,INDEX(Lines!$Q$3:$Q$1590,MATCH(SMALL(Lines!$G$3:$G$1590,205),Lines!$G$3:$G$1590,0)),IF(AND(ISNUMBER($J210),$J210&gt;0,$J210&lt;99),INDEX(Lines!$P$3:$P$1590,MATCH(SMALL(Lines!$G$3:$G$1590,205),Lines!$G$3:$G$1590,0)),""))</f>
        <v/>
      </c>
      <c r="H210" s="28" t="str">
        <f aca="false">IF($J210=0,INDEX(Lines!$H$3:$H$1590,MATCH(SMALL(Lines!$G$3:$G$1590,205),Lines!$G$3:$G$1590,0))&amp;" groups",IF(AND(ISNUMBER($J210),$J210&gt;0,$J210&lt;99),INDEX(Lines!$I$3:$I$1590,MATCH(SMALL(Lines!$G$3:$G$1590,205),Lines!$G$3:$G$1590,0)),""))</f>
        <v/>
      </c>
      <c r="I210" s="26"/>
      <c r="J210" s="22" t="str">
        <f aca="false">IFERROR(IF(MOD(SMALL(Lines!$G$3:$G$1590,205),100000)=0,-1,MOD(SMALL(Lines!$G$3:$G$1590,205),100)),"")</f>
        <v/>
      </c>
      <c r="K210" s="22" t="str">
        <f aca="false">IF($J210=0,INDEX(Lines!$L$3:$L$1590,MATCH(SMALL(Lines!$G$3:$G$1590,205),Lines!$G$3:$G$1590,0)),"")</f>
        <v/>
      </c>
    </row>
    <row r="211" customFormat="false" ht="15" hidden="false" customHeight="false" outlineLevel="0" collapsed="false">
      <c r="A211" s="24" t="str">
        <f aca="false">IF(OR($J211=0,AND(ISNUMBER($J211),$J211&gt;0,$J211&lt;99)),INDEX(Lines!$A$3:$A$1590,MATCH(SMALL(Lines!$G$3:$G$1590,206),Lines!$G$3:$G$1590,0)),"")</f>
        <v/>
      </c>
      <c r="B211" s="24" t="str">
        <f aca="false">IF($J211=-1,INDEX(Lines!$J$3:$J$1590,MATCH(SMALL(Lines!$G$3:$G$1590,206),Lines!$G$3:$G$1590,0)),IF($J211=0,INDEX(Lines!$L$3:$L$1590,MATCH(SMALL(Lines!$G$3:$G$1590,206),Lines!$G$3:$G$1590,0)),IF(AND(ISNUMBER($J211),$J211&gt;0,$J211&lt;99),INDEX(Lines!$N$3:$N$1590,MATCH(SMALL(Lines!$G$3:$G$1590,206),Lines!$G$3:$G$1590,0)),"")))</f>
        <v/>
      </c>
      <c r="C211" s="25" t="str">
        <f aca="false">IF($J211=0,INDEX(Lines!$K$3:$K$1590,MATCH(SMALL(Lines!$G$3:$G$1590,206),Lines!$G$3:$G$1590,0)),IF(AND(ISNUMBER($J211),$J211&gt;0,$J211&lt;99),INDEX(Lines!$C$3:$C$1590,MATCH(SMALL(Lines!$G$3:$G$1590,206),Lines!$G$3:$G$1590,0)),""))</f>
        <v/>
      </c>
      <c r="D211" s="26" t="str">
        <f aca="false">IF(AND(ISNUMBER($J211),$J211&gt;0,$J211&lt;99),INDEX(Lines!$D$3:$D$1590,MATCH(SMALL(Lines!$G$3:$G$1590,206),Lines!$G$3:$G$1590,0)),"")</f>
        <v/>
      </c>
      <c r="E211" s="26" t="str">
        <f aca="false">IF(AND(ISNUMBER($J211),$J211&gt;0,$J211&lt;99),INDEX(Lines!$E$3:$E$1590,MATCH(SMALL(Lines!$G$3:$G$1590,206),Lines!$G$3:$G$1590,0)),"")</f>
        <v/>
      </c>
      <c r="F211" s="26" t="str">
        <f aca="false">IF(AND(ISNUMBER($J211),$J211&gt;0,$J211&lt;99),INDEX(Lines!$O$3:$O$1590,MATCH(SMALL(Lines!$G$3:$G$1590,206),Lines!$G$3:$G$1590,0)),"")</f>
        <v/>
      </c>
      <c r="G211" s="27" t="str">
        <f aca="false">IF($J211=0,INDEX(Lines!$Q$3:$Q$1590,MATCH(SMALL(Lines!$G$3:$G$1590,206),Lines!$G$3:$G$1590,0)),IF(AND(ISNUMBER($J211),$J211&gt;0,$J211&lt;99),INDEX(Lines!$P$3:$P$1590,MATCH(SMALL(Lines!$G$3:$G$1590,206),Lines!$G$3:$G$1590,0)),""))</f>
        <v/>
      </c>
      <c r="H211" s="28" t="str">
        <f aca="false">IF($J211=0,INDEX(Lines!$H$3:$H$1590,MATCH(SMALL(Lines!$G$3:$G$1590,206),Lines!$G$3:$G$1590,0))&amp;" groups",IF(AND(ISNUMBER($J211),$J211&gt;0,$J211&lt;99),INDEX(Lines!$I$3:$I$1590,MATCH(SMALL(Lines!$G$3:$G$1590,206),Lines!$G$3:$G$1590,0)),""))</f>
        <v/>
      </c>
      <c r="I211" s="26"/>
      <c r="J211" s="22" t="str">
        <f aca="false">IFERROR(IF(MOD(SMALL(Lines!$G$3:$G$1590,206),100000)=0,-1,MOD(SMALL(Lines!$G$3:$G$1590,206),100)),"")</f>
        <v/>
      </c>
      <c r="K211" s="22" t="str">
        <f aca="false">IF($J211=0,INDEX(Lines!$L$3:$L$1590,MATCH(SMALL(Lines!$G$3:$G$1590,206),Lines!$G$3:$G$1590,0)),"")</f>
        <v/>
      </c>
    </row>
    <row r="212" customFormat="false" ht="15" hidden="false" customHeight="false" outlineLevel="0" collapsed="false">
      <c r="A212" s="24" t="str">
        <f aca="false">IF(OR($J212=0,AND(ISNUMBER($J212),$J212&gt;0,$J212&lt;99)),INDEX(Lines!$A$3:$A$1590,MATCH(SMALL(Lines!$G$3:$G$1590,207),Lines!$G$3:$G$1590,0)),"")</f>
        <v/>
      </c>
      <c r="B212" s="24" t="str">
        <f aca="false">IF($J212=-1,INDEX(Lines!$J$3:$J$1590,MATCH(SMALL(Lines!$G$3:$G$1590,207),Lines!$G$3:$G$1590,0)),IF($J212=0,INDEX(Lines!$L$3:$L$1590,MATCH(SMALL(Lines!$G$3:$G$1590,207),Lines!$G$3:$G$1590,0)),IF(AND(ISNUMBER($J212),$J212&gt;0,$J212&lt;99),INDEX(Lines!$N$3:$N$1590,MATCH(SMALL(Lines!$G$3:$G$1590,207),Lines!$G$3:$G$1590,0)),"")))</f>
        <v/>
      </c>
      <c r="C212" s="25" t="str">
        <f aca="false">IF($J212=0,INDEX(Lines!$K$3:$K$1590,MATCH(SMALL(Lines!$G$3:$G$1590,207),Lines!$G$3:$G$1590,0)),IF(AND(ISNUMBER($J212),$J212&gt;0,$J212&lt;99),INDEX(Lines!$C$3:$C$1590,MATCH(SMALL(Lines!$G$3:$G$1590,207),Lines!$G$3:$G$1590,0)),""))</f>
        <v/>
      </c>
      <c r="D212" s="26" t="str">
        <f aca="false">IF(AND(ISNUMBER($J212),$J212&gt;0,$J212&lt;99),INDEX(Lines!$D$3:$D$1590,MATCH(SMALL(Lines!$G$3:$G$1590,207),Lines!$G$3:$G$1590,0)),"")</f>
        <v/>
      </c>
      <c r="E212" s="26" t="str">
        <f aca="false">IF(AND(ISNUMBER($J212),$J212&gt;0,$J212&lt;99),INDEX(Lines!$E$3:$E$1590,MATCH(SMALL(Lines!$G$3:$G$1590,207),Lines!$G$3:$G$1590,0)),"")</f>
        <v/>
      </c>
      <c r="F212" s="26" t="str">
        <f aca="false">IF(AND(ISNUMBER($J212),$J212&gt;0,$J212&lt;99),INDEX(Lines!$O$3:$O$1590,MATCH(SMALL(Lines!$G$3:$G$1590,207),Lines!$G$3:$G$1590,0)),"")</f>
        <v/>
      </c>
      <c r="G212" s="27" t="str">
        <f aca="false">IF($J212=0,INDEX(Lines!$Q$3:$Q$1590,MATCH(SMALL(Lines!$G$3:$G$1590,207),Lines!$G$3:$G$1590,0)),IF(AND(ISNUMBER($J212),$J212&gt;0,$J212&lt;99),INDEX(Lines!$P$3:$P$1590,MATCH(SMALL(Lines!$G$3:$G$1590,207),Lines!$G$3:$G$1590,0)),""))</f>
        <v/>
      </c>
      <c r="H212" s="28" t="str">
        <f aca="false">IF($J212=0,INDEX(Lines!$H$3:$H$1590,MATCH(SMALL(Lines!$G$3:$G$1590,207),Lines!$G$3:$G$1590,0))&amp;" groups",IF(AND(ISNUMBER($J212),$J212&gt;0,$J212&lt;99),INDEX(Lines!$I$3:$I$1590,MATCH(SMALL(Lines!$G$3:$G$1590,207),Lines!$G$3:$G$1590,0)),""))</f>
        <v/>
      </c>
      <c r="I212" s="26"/>
      <c r="J212" s="22" t="str">
        <f aca="false">IFERROR(IF(MOD(SMALL(Lines!$G$3:$G$1590,207),100000)=0,-1,MOD(SMALL(Lines!$G$3:$G$1590,207),100)),"")</f>
        <v/>
      </c>
      <c r="K212" s="22" t="str">
        <f aca="false">IF($J212=0,INDEX(Lines!$L$3:$L$1590,MATCH(SMALL(Lines!$G$3:$G$1590,207),Lines!$G$3:$G$1590,0)),"")</f>
        <v/>
      </c>
    </row>
    <row r="213" customFormat="false" ht="15" hidden="false" customHeight="false" outlineLevel="0" collapsed="false">
      <c r="A213" s="24" t="str">
        <f aca="false">IF(OR($J213=0,AND(ISNUMBER($J213),$J213&gt;0,$J213&lt;99)),INDEX(Lines!$A$3:$A$1590,MATCH(SMALL(Lines!$G$3:$G$1590,208),Lines!$G$3:$G$1590,0)),"")</f>
        <v/>
      </c>
      <c r="B213" s="24" t="str">
        <f aca="false">IF($J213=-1,INDEX(Lines!$J$3:$J$1590,MATCH(SMALL(Lines!$G$3:$G$1590,208),Lines!$G$3:$G$1590,0)),IF($J213=0,INDEX(Lines!$L$3:$L$1590,MATCH(SMALL(Lines!$G$3:$G$1590,208),Lines!$G$3:$G$1590,0)),IF(AND(ISNUMBER($J213),$J213&gt;0,$J213&lt;99),INDEX(Lines!$N$3:$N$1590,MATCH(SMALL(Lines!$G$3:$G$1590,208),Lines!$G$3:$G$1590,0)),"")))</f>
        <v/>
      </c>
      <c r="C213" s="25" t="str">
        <f aca="false">IF($J213=0,INDEX(Lines!$K$3:$K$1590,MATCH(SMALL(Lines!$G$3:$G$1590,208),Lines!$G$3:$G$1590,0)),IF(AND(ISNUMBER($J213),$J213&gt;0,$J213&lt;99),INDEX(Lines!$C$3:$C$1590,MATCH(SMALL(Lines!$G$3:$G$1590,208),Lines!$G$3:$G$1590,0)),""))</f>
        <v/>
      </c>
      <c r="D213" s="26" t="str">
        <f aca="false">IF(AND(ISNUMBER($J213),$J213&gt;0,$J213&lt;99),INDEX(Lines!$D$3:$D$1590,MATCH(SMALL(Lines!$G$3:$G$1590,208),Lines!$G$3:$G$1590,0)),"")</f>
        <v/>
      </c>
      <c r="E213" s="26" t="str">
        <f aca="false">IF(AND(ISNUMBER($J213),$J213&gt;0,$J213&lt;99),INDEX(Lines!$E$3:$E$1590,MATCH(SMALL(Lines!$G$3:$G$1590,208),Lines!$G$3:$G$1590,0)),"")</f>
        <v/>
      </c>
      <c r="F213" s="26" t="str">
        <f aca="false">IF(AND(ISNUMBER($J213),$J213&gt;0,$J213&lt;99),INDEX(Lines!$O$3:$O$1590,MATCH(SMALL(Lines!$G$3:$G$1590,208),Lines!$G$3:$G$1590,0)),"")</f>
        <v/>
      </c>
      <c r="G213" s="27" t="str">
        <f aca="false">IF($J213=0,INDEX(Lines!$Q$3:$Q$1590,MATCH(SMALL(Lines!$G$3:$G$1590,208),Lines!$G$3:$G$1590,0)),IF(AND(ISNUMBER($J213),$J213&gt;0,$J213&lt;99),INDEX(Lines!$P$3:$P$1590,MATCH(SMALL(Lines!$G$3:$G$1590,208),Lines!$G$3:$G$1590,0)),""))</f>
        <v/>
      </c>
      <c r="H213" s="28" t="str">
        <f aca="false">IF($J213=0,INDEX(Lines!$H$3:$H$1590,MATCH(SMALL(Lines!$G$3:$G$1590,208),Lines!$G$3:$G$1590,0))&amp;" groups",IF(AND(ISNUMBER($J213),$J213&gt;0,$J213&lt;99),INDEX(Lines!$I$3:$I$1590,MATCH(SMALL(Lines!$G$3:$G$1590,208),Lines!$G$3:$G$1590,0)),""))</f>
        <v/>
      </c>
      <c r="I213" s="26"/>
      <c r="J213" s="22" t="str">
        <f aca="false">IFERROR(IF(MOD(SMALL(Lines!$G$3:$G$1590,208),100000)=0,-1,MOD(SMALL(Lines!$G$3:$G$1590,208),100)),"")</f>
        <v/>
      </c>
      <c r="K213" s="22" t="str">
        <f aca="false">IF($J213=0,INDEX(Lines!$L$3:$L$1590,MATCH(SMALL(Lines!$G$3:$G$1590,208),Lines!$G$3:$G$1590,0)),"")</f>
        <v/>
      </c>
    </row>
    <row r="214" customFormat="false" ht="15" hidden="false" customHeight="false" outlineLevel="0" collapsed="false">
      <c r="A214" s="24" t="str">
        <f aca="false">IF(OR($J214=0,AND(ISNUMBER($J214),$J214&gt;0,$J214&lt;99)),INDEX(Lines!$A$3:$A$1590,MATCH(SMALL(Lines!$G$3:$G$1590,209),Lines!$G$3:$G$1590,0)),"")</f>
        <v/>
      </c>
      <c r="B214" s="24" t="str">
        <f aca="false">IF($J214=-1,INDEX(Lines!$J$3:$J$1590,MATCH(SMALL(Lines!$G$3:$G$1590,209),Lines!$G$3:$G$1590,0)),IF($J214=0,INDEX(Lines!$L$3:$L$1590,MATCH(SMALL(Lines!$G$3:$G$1590,209),Lines!$G$3:$G$1590,0)),IF(AND(ISNUMBER($J214),$J214&gt;0,$J214&lt;99),INDEX(Lines!$N$3:$N$1590,MATCH(SMALL(Lines!$G$3:$G$1590,209),Lines!$G$3:$G$1590,0)),"")))</f>
        <v/>
      </c>
      <c r="C214" s="25" t="str">
        <f aca="false">IF($J214=0,INDEX(Lines!$K$3:$K$1590,MATCH(SMALL(Lines!$G$3:$G$1590,209),Lines!$G$3:$G$1590,0)),IF(AND(ISNUMBER($J214),$J214&gt;0,$J214&lt;99),INDEX(Lines!$C$3:$C$1590,MATCH(SMALL(Lines!$G$3:$G$1590,209),Lines!$G$3:$G$1590,0)),""))</f>
        <v/>
      </c>
      <c r="D214" s="26" t="str">
        <f aca="false">IF(AND(ISNUMBER($J214),$J214&gt;0,$J214&lt;99),INDEX(Lines!$D$3:$D$1590,MATCH(SMALL(Lines!$G$3:$G$1590,209),Lines!$G$3:$G$1590,0)),"")</f>
        <v/>
      </c>
      <c r="E214" s="26" t="str">
        <f aca="false">IF(AND(ISNUMBER($J214),$J214&gt;0,$J214&lt;99),INDEX(Lines!$E$3:$E$1590,MATCH(SMALL(Lines!$G$3:$G$1590,209),Lines!$G$3:$G$1590,0)),"")</f>
        <v/>
      </c>
      <c r="F214" s="26" t="str">
        <f aca="false">IF(AND(ISNUMBER($J214),$J214&gt;0,$J214&lt;99),INDEX(Lines!$O$3:$O$1590,MATCH(SMALL(Lines!$G$3:$G$1590,209),Lines!$G$3:$G$1590,0)),"")</f>
        <v/>
      </c>
      <c r="G214" s="27" t="str">
        <f aca="false">IF($J214=0,INDEX(Lines!$Q$3:$Q$1590,MATCH(SMALL(Lines!$G$3:$G$1590,209),Lines!$G$3:$G$1590,0)),IF(AND(ISNUMBER($J214),$J214&gt;0,$J214&lt;99),INDEX(Lines!$P$3:$P$1590,MATCH(SMALL(Lines!$G$3:$G$1590,209),Lines!$G$3:$G$1590,0)),""))</f>
        <v/>
      </c>
      <c r="H214" s="28" t="str">
        <f aca="false">IF($J214=0,INDEX(Lines!$H$3:$H$1590,MATCH(SMALL(Lines!$G$3:$G$1590,209),Lines!$G$3:$G$1590,0))&amp;" groups",IF(AND(ISNUMBER($J214),$J214&gt;0,$J214&lt;99),INDEX(Lines!$I$3:$I$1590,MATCH(SMALL(Lines!$G$3:$G$1590,209),Lines!$G$3:$G$1590,0)),""))</f>
        <v/>
      </c>
      <c r="I214" s="26"/>
      <c r="J214" s="22" t="str">
        <f aca="false">IFERROR(IF(MOD(SMALL(Lines!$G$3:$G$1590,209),100000)=0,-1,MOD(SMALL(Lines!$G$3:$G$1590,209),100)),"")</f>
        <v/>
      </c>
      <c r="K214" s="22" t="str">
        <f aca="false">IF($J214=0,INDEX(Lines!$L$3:$L$1590,MATCH(SMALL(Lines!$G$3:$G$1590,209),Lines!$G$3:$G$1590,0)),"")</f>
        <v/>
      </c>
    </row>
    <row r="215" customFormat="false" ht="15" hidden="false" customHeight="false" outlineLevel="0" collapsed="false">
      <c r="A215" s="24" t="str">
        <f aca="false">IF(OR($J215=0,AND(ISNUMBER($J215),$J215&gt;0,$J215&lt;99)),INDEX(Lines!$A$3:$A$1590,MATCH(SMALL(Lines!$G$3:$G$1590,210),Lines!$G$3:$G$1590,0)),"")</f>
        <v/>
      </c>
      <c r="B215" s="24" t="str">
        <f aca="false">IF($J215=-1,INDEX(Lines!$J$3:$J$1590,MATCH(SMALL(Lines!$G$3:$G$1590,210),Lines!$G$3:$G$1590,0)),IF($J215=0,INDEX(Lines!$L$3:$L$1590,MATCH(SMALL(Lines!$G$3:$G$1590,210),Lines!$G$3:$G$1590,0)),IF(AND(ISNUMBER($J215),$J215&gt;0,$J215&lt;99),INDEX(Lines!$N$3:$N$1590,MATCH(SMALL(Lines!$G$3:$G$1590,210),Lines!$G$3:$G$1590,0)),"")))</f>
        <v/>
      </c>
      <c r="C215" s="25" t="str">
        <f aca="false">IF($J215=0,INDEX(Lines!$K$3:$K$1590,MATCH(SMALL(Lines!$G$3:$G$1590,210),Lines!$G$3:$G$1590,0)),IF(AND(ISNUMBER($J215),$J215&gt;0,$J215&lt;99),INDEX(Lines!$C$3:$C$1590,MATCH(SMALL(Lines!$G$3:$G$1590,210),Lines!$G$3:$G$1590,0)),""))</f>
        <v/>
      </c>
      <c r="D215" s="26" t="str">
        <f aca="false">IF(AND(ISNUMBER($J215),$J215&gt;0,$J215&lt;99),INDEX(Lines!$D$3:$D$1590,MATCH(SMALL(Lines!$G$3:$G$1590,210),Lines!$G$3:$G$1590,0)),"")</f>
        <v/>
      </c>
      <c r="E215" s="26" t="str">
        <f aca="false">IF(AND(ISNUMBER($J215),$J215&gt;0,$J215&lt;99),INDEX(Lines!$E$3:$E$1590,MATCH(SMALL(Lines!$G$3:$G$1590,210),Lines!$G$3:$G$1590,0)),"")</f>
        <v/>
      </c>
      <c r="F215" s="26" t="str">
        <f aca="false">IF(AND(ISNUMBER($J215),$J215&gt;0,$J215&lt;99),INDEX(Lines!$O$3:$O$1590,MATCH(SMALL(Lines!$G$3:$G$1590,210),Lines!$G$3:$G$1590,0)),"")</f>
        <v/>
      </c>
      <c r="G215" s="27" t="str">
        <f aca="false">IF($J215=0,INDEX(Lines!$Q$3:$Q$1590,MATCH(SMALL(Lines!$G$3:$G$1590,210),Lines!$G$3:$G$1590,0)),IF(AND(ISNUMBER($J215),$J215&gt;0,$J215&lt;99),INDEX(Lines!$P$3:$P$1590,MATCH(SMALL(Lines!$G$3:$G$1590,210),Lines!$G$3:$G$1590,0)),""))</f>
        <v/>
      </c>
      <c r="H215" s="28" t="str">
        <f aca="false">IF($J215=0,INDEX(Lines!$H$3:$H$1590,MATCH(SMALL(Lines!$G$3:$G$1590,210),Lines!$G$3:$G$1590,0))&amp;" groups",IF(AND(ISNUMBER($J215),$J215&gt;0,$J215&lt;99),INDEX(Lines!$I$3:$I$1590,MATCH(SMALL(Lines!$G$3:$G$1590,210),Lines!$G$3:$G$1590,0)),""))</f>
        <v/>
      </c>
      <c r="I215" s="26"/>
      <c r="J215" s="22" t="str">
        <f aca="false">IFERROR(IF(MOD(SMALL(Lines!$G$3:$G$1590,210),100000)=0,-1,MOD(SMALL(Lines!$G$3:$G$1590,210),100)),"")</f>
        <v/>
      </c>
      <c r="K215" s="22" t="str">
        <f aca="false">IF($J215=0,INDEX(Lines!$L$3:$L$1590,MATCH(SMALL(Lines!$G$3:$G$1590,210),Lines!$G$3:$G$1590,0)),"")</f>
        <v/>
      </c>
    </row>
    <row r="216" customFormat="false" ht="15" hidden="false" customHeight="false" outlineLevel="0" collapsed="false">
      <c r="A216" s="24" t="str">
        <f aca="false">IF(OR($J216=0,AND(ISNUMBER($J216),$J216&gt;0,$J216&lt;99)),INDEX(Lines!$A$3:$A$1590,MATCH(SMALL(Lines!$G$3:$G$1590,211),Lines!$G$3:$G$1590,0)),"")</f>
        <v/>
      </c>
      <c r="B216" s="24" t="str">
        <f aca="false">IF($J216=-1,INDEX(Lines!$J$3:$J$1590,MATCH(SMALL(Lines!$G$3:$G$1590,211),Lines!$G$3:$G$1590,0)),IF($J216=0,INDEX(Lines!$L$3:$L$1590,MATCH(SMALL(Lines!$G$3:$G$1590,211),Lines!$G$3:$G$1590,0)),IF(AND(ISNUMBER($J216),$J216&gt;0,$J216&lt;99),INDEX(Lines!$N$3:$N$1590,MATCH(SMALL(Lines!$G$3:$G$1590,211),Lines!$G$3:$G$1590,0)),"")))</f>
        <v/>
      </c>
      <c r="C216" s="25" t="str">
        <f aca="false">IF($J216=0,INDEX(Lines!$K$3:$K$1590,MATCH(SMALL(Lines!$G$3:$G$1590,211),Lines!$G$3:$G$1590,0)),IF(AND(ISNUMBER($J216),$J216&gt;0,$J216&lt;99),INDEX(Lines!$C$3:$C$1590,MATCH(SMALL(Lines!$G$3:$G$1590,211),Lines!$G$3:$G$1590,0)),""))</f>
        <v/>
      </c>
      <c r="D216" s="26" t="str">
        <f aca="false">IF(AND(ISNUMBER($J216),$J216&gt;0,$J216&lt;99),INDEX(Lines!$D$3:$D$1590,MATCH(SMALL(Lines!$G$3:$G$1590,211),Lines!$G$3:$G$1590,0)),"")</f>
        <v/>
      </c>
      <c r="E216" s="26" t="str">
        <f aca="false">IF(AND(ISNUMBER($J216),$J216&gt;0,$J216&lt;99),INDEX(Lines!$E$3:$E$1590,MATCH(SMALL(Lines!$G$3:$G$1590,211),Lines!$G$3:$G$1590,0)),"")</f>
        <v/>
      </c>
      <c r="F216" s="26" t="str">
        <f aca="false">IF(AND(ISNUMBER($J216),$J216&gt;0,$J216&lt;99),INDEX(Lines!$O$3:$O$1590,MATCH(SMALL(Lines!$G$3:$G$1590,211),Lines!$G$3:$G$1590,0)),"")</f>
        <v/>
      </c>
      <c r="G216" s="27" t="str">
        <f aca="false">IF($J216=0,INDEX(Lines!$Q$3:$Q$1590,MATCH(SMALL(Lines!$G$3:$G$1590,211),Lines!$G$3:$G$1590,0)),IF(AND(ISNUMBER($J216),$J216&gt;0,$J216&lt;99),INDEX(Lines!$P$3:$P$1590,MATCH(SMALL(Lines!$G$3:$G$1590,211),Lines!$G$3:$G$1590,0)),""))</f>
        <v/>
      </c>
      <c r="H216" s="28" t="str">
        <f aca="false">IF($J216=0,INDEX(Lines!$H$3:$H$1590,MATCH(SMALL(Lines!$G$3:$G$1590,211),Lines!$G$3:$G$1590,0))&amp;" groups",IF(AND(ISNUMBER($J216),$J216&gt;0,$J216&lt;99),INDEX(Lines!$I$3:$I$1590,MATCH(SMALL(Lines!$G$3:$G$1590,211),Lines!$G$3:$G$1590,0)),""))</f>
        <v/>
      </c>
      <c r="I216" s="26"/>
      <c r="J216" s="22" t="str">
        <f aca="false">IFERROR(IF(MOD(SMALL(Lines!$G$3:$G$1590,211),100000)=0,-1,MOD(SMALL(Lines!$G$3:$G$1590,211),100)),"")</f>
        <v/>
      </c>
      <c r="K216" s="22" t="str">
        <f aca="false">IF($J216=0,INDEX(Lines!$L$3:$L$1590,MATCH(SMALL(Lines!$G$3:$G$1590,211),Lines!$G$3:$G$1590,0)),"")</f>
        <v/>
      </c>
    </row>
    <row r="217" customFormat="false" ht="15" hidden="false" customHeight="false" outlineLevel="0" collapsed="false">
      <c r="A217" s="24" t="str">
        <f aca="false">IF(OR($J217=0,AND(ISNUMBER($J217),$J217&gt;0,$J217&lt;99)),INDEX(Lines!$A$3:$A$1590,MATCH(SMALL(Lines!$G$3:$G$1590,212),Lines!$G$3:$G$1590,0)),"")</f>
        <v/>
      </c>
      <c r="B217" s="24" t="str">
        <f aca="false">IF($J217=-1,INDEX(Lines!$J$3:$J$1590,MATCH(SMALL(Lines!$G$3:$G$1590,212),Lines!$G$3:$G$1590,0)),IF($J217=0,INDEX(Lines!$L$3:$L$1590,MATCH(SMALL(Lines!$G$3:$G$1590,212),Lines!$G$3:$G$1590,0)),IF(AND(ISNUMBER($J217),$J217&gt;0,$J217&lt;99),INDEX(Lines!$N$3:$N$1590,MATCH(SMALL(Lines!$G$3:$G$1590,212),Lines!$G$3:$G$1590,0)),"")))</f>
        <v/>
      </c>
      <c r="C217" s="25" t="str">
        <f aca="false">IF($J217=0,INDEX(Lines!$K$3:$K$1590,MATCH(SMALL(Lines!$G$3:$G$1590,212),Lines!$G$3:$G$1590,0)),IF(AND(ISNUMBER($J217),$J217&gt;0,$J217&lt;99),INDEX(Lines!$C$3:$C$1590,MATCH(SMALL(Lines!$G$3:$G$1590,212),Lines!$G$3:$G$1590,0)),""))</f>
        <v/>
      </c>
      <c r="D217" s="26" t="str">
        <f aca="false">IF(AND(ISNUMBER($J217),$J217&gt;0,$J217&lt;99),INDEX(Lines!$D$3:$D$1590,MATCH(SMALL(Lines!$G$3:$G$1590,212),Lines!$G$3:$G$1590,0)),"")</f>
        <v/>
      </c>
      <c r="E217" s="26" t="str">
        <f aca="false">IF(AND(ISNUMBER($J217),$J217&gt;0,$J217&lt;99),INDEX(Lines!$E$3:$E$1590,MATCH(SMALL(Lines!$G$3:$G$1590,212),Lines!$G$3:$G$1590,0)),"")</f>
        <v/>
      </c>
      <c r="F217" s="26" t="str">
        <f aca="false">IF(AND(ISNUMBER($J217),$J217&gt;0,$J217&lt;99),INDEX(Lines!$O$3:$O$1590,MATCH(SMALL(Lines!$G$3:$G$1590,212),Lines!$G$3:$G$1590,0)),"")</f>
        <v/>
      </c>
      <c r="G217" s="27" t="str">
        <f aca="false">IF($J217=0,INDEX(Lines!$Q$3:$Q$1590,MATCH(SMALL(Lines!$G$3:$G$1590,212),Lines!$G$3:$G$1590,0)),IF(AND(ISNUMBER($J217),$J217&gt;0,$J217&lt;99),INDEX(Lines!$P$3:$P$1590,MATCH(SMALL(Lines!$G$3:$G$1590,212),Lines!$G$3:$G$1590,0)),""))</f>
        <v/>
      </c>
      <c r="H217" s="28" t="str">
        <f aca="false">IF($J217=0,INDEX(Lines!$H$3:$H$1590,MATCH(SMALL(Lines!$G$3:$G$1590,212),Lines!$G$3:$G$1590,0))&amp;" groups",IF(AND(ISNUMBER($J217),$J217&gt;0,$J217&lt;99),INDEX(Lines!$I$3:$I$1590,MATCH(SMALL(Lines!$G$3:$G$1590,212),Lines!$G$3:$G$1590,0)),""))</f>
        <v/>
      </c>
      <c r="I217" s="26"/>
      <c r="J217" s="22" t="str">
        <f aca="false">IFERROR(IF(MOD(SMALL(Lines!$G$3:$G$1590,212),100000)=0,-1,MOD(SMALL(Lines!$G$3:$G$1590,212),100)),"")</f>
        <v/>
      </c>
      <c r="K217" s="22" t="str">
        <f aca="false">IF($J217=0,INDEX(Lines!$L$3:$L$1590,MATCH(SMALL(Lines!$G$3:$G$1590,212),Lines!$G$3:$G$1590,0)),"")</f>
        <v/>
      </c>
    </row>
    <row r="218" customFormat="false" ht="15" hidden="false" customHeight="false" outlineLevel="0" collapsed="false">
      <c r="A218" s="24" t="str">
        <f aca="false">IF(OR($J218=0,AND(ISNUMBER($J218),$J218&gt;0,$J218&lt;99)),INDEX(Lines!$A$3:$A$1590,MATCH(SMALL(Lines!$G$3:$G$1590,213),Lines!$G$3:$G$1590,0)),"")</f>
        <v/>
      </c>
      <c r="B218" s="24" t="str">
        <f aca="false">IF($J218=-1,INDEX(Lines!$J$3:$J$1590,MATCH(SMALL(Lines!$G$3:$G$1590,213),Lines!$G$3:$G$1590,0)),IF($J218=0,INDEX(Lines!$L$3:$L$1590,MATCH(SMALL(Lines!$G$3:$G$1590,213),Lines!$G$3:$G$1590,0)),IF(AND(ISNUMBER($J218),$J218&gt;0,$J218&lt;99),INDEX(Lines!$N$3:$N$1590,MATCH(SMALL(Lines!$G$3:$G$1590,213),Lines!$G$3:$G$1590,0)),"")))</f>
        <v/>
      </c>
      <c r="C218" s="25" t="str">
        <f aca="false">IF($J218=0,INDEX(Lines!$K$3:$K$1590,MATCH(SMALL(Lines!$G$3:$G$1590,213),Lines!$G$3:$G$1590,0)),IF(AND(ISNUMBER($J218),$J218&gt;0,$J218&lt;99),INDEX(Lines!$C$3:$C$1590,MATCH(SMALL(Lines!$G$3:$G$1590,213),Lines!$G$3:$G$1590,0)),""))</f>
        <v/>
      </c>
      <c r="D218" s="26" t="str">
        <f aca="false">IF(AND(ISNUMBER($J218),$J218&gt;0,$J218&lt;99),INDEX(Lines!$D$3:$D$1590,MATCH(SMALL(Lines!$G$3:$G$1590,213),Lines!$G$3:$G$1590,0)),"")</f>
        <v/>
      </c>
      <c r="E218" s="26" t="str">
        <f aca="false">IF(AND(ISNUMBER($J218),$J218&gt;0,$J218&lt;99),INDEX(Lines!$E$3:$E$1590,MATCH(SMALL(Lines!$G$3:$G$1590,213),Lines!$G$3:$G$1590,0)),"")</f>
        <v/>
      </c>
      <c r="F218" s="26" t="str">
        <f aca="false">IF(AND(ISNUMBER($J218),$J218&gt;0,$J218&lt;99),INDEX(Lines!$O$3:$O$1590,MATCH(SMALL(Lines!$G$3:$G$1590,213),Lines!$G$3:$G$1590,0)),"")</f>
        <v/>
      </c>
      <c r="G218" s="27" t="str">
        <f aca="false">IF($J218=0,INDEX(Lines!$Q$3:$Q$1590,MATCH(SMALL(Lines!$G$3:$G$1590,213),Lines!$G$3:$G$1590,0)),IF(AND(ISNUMBER($J218),$J218&gt;0,$J218&lt;99),INDEX(Lines!$P$3:$P$1590,MATCH(SMALL(Lines!$G$3:$G$1590,213),Lines!$G$3:$G$1590,0)),""))</f>
        <v/>
      </c>
      <c r="H218" s="28" t="str">
        <f aca="false">IF($J218=0,INDEX(Lines!$H$3:$H$1590,MATCH(SMALL(Lines!$G$3:$G$1590,213),Lines!$G$3:$G$1590,0))&amp;" groups",IF(AND(ISNUMBER($J218),$J218&gt;0,$J218&lt;99),INDEX(Lines!$I$3:$I$1590,MATCH(SMALL(Lines!$G$3:$G$1590,213),Lines!$G$3:$G$1590,0)),""))</f>
        <v/>
      </c>
      <c r="I218" s="26"/>
      <c r="J218" s="22" t="str">
        <f aca="false">IFERROR(IF(MOD(SMALL(Lines!$G$3:$G$1590,213),100000)=0,-1,MOD(SMALL(Lines!$G$3:$G$1590,213),100)),"")</f>
        <v/>
      </c>
      <c r="K218" s="22" t="str">
        <f aca="false">IF($J218=0,INDEX(Lines!$L$3:$L$1590,MATCH(SMALL(Lines!$G$3:$G$1590,213),Lines!$G$3:$G$1590,0)),"")</f>
        <v/>
      </c>
    </row>
    <row r="219" customFormat="false" ht="15" hidden="false" customHeight="false" outlineLevel="0" collapsed="false">
      <c r="A219" s="24" t="str">
        <f aca="false">IF(OR($J219=0,AND(ISNUMBER($J219),$J219&gt;0,$J219&lt;99)),INDEX(Lines!$A$3:$A$1590,MATCH(SMALL(Lines!$G$3:$G$1590,214),Lines!$G$3:$G$1590,0)),"")</f>
        <v/>
      </c>
      <c r="B219" s="24" t="str">
        <f aca="false">IF($J219=-1,INDEX(Lines!$J$3:$J$1590,MATCH(SMALL(Lines!$G$3:$G$1590,214),Lines!$G$3:$G$1590,0)),IF($J219=0,INDEX(Lines!$L$3:$L$1590,MATCH(SMALL(Lines!$G$3:$G$1590,214),Lines!$G$3:$G$1590,0)),IF(AND(ISNUMBER($J219),$J219&gt;0,$J219&lt;99),INDEX(Lines!$N$3:$N$1590,MATCH(SMALL(Lines!$G$3:$G$1590,214),Lines!$G$3:$G$1590,0)),"")))</f>
        <v/>
      </c>
      <c r="C219" s="25" t="str">
        <f aca="false">IF($J219=0,INDEX(Lines!$K$3:$K$1590,MATCH(SMALL(Lines!$G$3:$G$1590,214),Lines!$G$3:$G$1590,0)),IF(AND(ISNUMBER($J219),$J219&gt;0,$J219&lt;99),INDEX(Lines!$C$3:$C$1590,MATCH(SMALL(Lines!$G$3:$G$1590,214),Lines!$G$3:$G$1590,0)),""))</f>
        <v/>
      </c>
      <c r="D219" s="26" t="str">
        <f aca="false">IF(AND(ISNUMBER($J219),$J219&gt;0,$J219&lt;99),INDEX(Lines!$D$3:$D$1590,MATCH(SMALL(Lines!$G$3:$G$1590,214),Lines!$G$3:$G$1590,0)),"")</f>
        <v/>
      </c>
      <c r="E219" s="26" t="str">
        <f aca="false">IF(AND(ISNUMBER($J219),$J219&gt;0,$J219&lt;99),INDEX(Lines!$E$3:$E$1590,MATCH(SMALL(Lines!$G$3:$G$1590,214),Lines!$G$3:$G$1590,0)),"")</f>
        <v/>
      </c>
      <c r="F219" s="26" t="str">
        <f aca="false">IF(AND(ISNUMBER($J219),$J219&gt;0,$J219&lt;99),INDEX(Lines!$O$3:$O$1590,MATCH(SMALL(Lines!$G$3:$G$1590,214),Lines!$G$3:$G$1590,0)),"")</f>
        <v/>
      </c>
      <c r="G219" s="27" t="str">
        <f aca="false">IF($J219=0,INDEX(Lines!$Q$3:$Q$1590,MATCH(SMALL(Lines!$G$3:$G$1590,214),Lines!$G$3:$G$1590,0)),IF(AND(ISNUMBER($J219),$J219&gt;0,$J219&lt;99),INDEX(Lines!$P$3:$P$1590,MATCH(SMALL(Lines!$G$3:$G$1590,214),Lines!$G$3:$G$1590,0)),""))</f>
        <v/>
      </c>
      <c r="H219" s="28" t="str">
        <f aca="false">IF($J219=0,INDEX(Lines!$H$3:$H$1590,MATCH(SMALL(Lines!$G$3:$G$1590,214),Lines!$G$3:$G$1590,0))&amp;" groups",IF(AND(ISNUMBER($J219),$J219&gt;0,$J219&lt;99),INDEX(Lines!$I$3:$I$1590,MATCH(SMALL(Lines!$G$3:$G$1590,214),Lines!$G$3:$G$1590,0)),""))</f>
        <v/>
      </c>
      <c r="I219" s="26"/>
      <c r="J219" s="22" t="str">
        <f aca="false">IFERROR(IF(MOD(SMALL(Lines!$G$3:$G$1590,214),100000)=0,-1,MOD(SMALL(Lines!$G$3:$G$1590,214),100)),"")</f>
        <v/>
      </c>
      <c r="K219" s="22" t="str">
        <f aca="false">IF($J219=0,INDEX(Lines!$L$3:$L$1590,MATCH(SMALL(Lines!$G$3:$G$1590,214),Lines!$G$3:$G$1590,0)),"")</f>
        <v/>
      </c>
    </row>
    <row r="220" customFormat="false" ht="15" hidden="false" customHeight="false" outlineLevel="0" collapsed="false">
      <c r="A220" s="24" t="str">
        <f aca="false">IF(OR($J220=0,AND(ISNUMBER($J220),$J220&gt;0,$J220&lt;99)),INDEX(Lines!$A$3:$A$1590,MATCH(SMALL(Lines!$G$3:$G$1590,215),Lines!$G$3:$G$1590,0)),"")</f>
        <v/>
      </c>
      <c r="B220" s="24" t="str">
        <f aca="false">IF($J220=-1,INDEX(Lines!$J$3:$J$1590,MATCH(SMALL(Lines!$G$3:$G$1590,215),Lines!$G$3:$G$1590,0)),IF($J220=0,INDEX(Lines!$L$3:$L$1590,MATCH(SMALL(Lines!$G$3:$G$1590,215),Lines!$G$3:$G$1590,0)),IF(AND(ISNUMBER($J220),$J220&gt;0,$J220&lt;99),INDEX(Lines!$N$3:$N$1590,MATCH(SMALL(Lines!$G$3:$G$1590,215),Lines!$G$3:$G$1590,0)),"")))</f>
        <v/>
      </c>
      <c r="C220" s="25" t="str">
        <f aca="false">IF($J220=0,INDEX(Lines!$K$3:$K$1590,MATCH(SMALL(Lines!$G$3:$G$1590,215),Lines!$G$3:$G$1590,0)),IF(AND(ISNUMBER($J220),$J220&gt;0,$J220&lt;99),INDEX(Lines!$C$3:$C$1590,MATCH(SMALL(Lines!$G$3:$G$1590,215),Lines!$G$3:$G$1590,0)),""))</f>
        <v/>
      </c>
      <c r="D220" s="26" t="str">
        <f aca="false">IF(AND(ISNUMBER($J220),$J220&gt;0,$J220&lt;99),INDEX(Lines!$D$3:$D$1590,MATCH(SMALL(Lines!$G$3:$G$1590,215),Lines!$G$3:$G$1590,0)),"")</f>
        <v/>
      </c>
      <c r="E220" s="26" t="str">
        <f aca="false">IF(AND(ISNUMBER($J220),$J220&gt;0,$J220&lt;99),INDEX(Lines!$E$3:$E$1590,MATCH(SMALL(Lines!$G$3:$G$1590,215),Lines!$G$3:$G$1590,0)),"")</f>
        <v/>
      </c>
      <c r="F220" s="26" t="str">
        <f aca="false">IF(AND(ISNUMBER($J220),$J220&gt;0,$J220&lt;99),INDEX(Lines!$O$3:$O$1590,MATCH(SMALL(Lines!$G$3:$G$1590,215),Lines!$G$3:$G$1590,0)),"")</f>
        <v/>
      </c>
      <c r="G220" s="27" t="str">
        <f aca="false">IF($J220=0,INDEX(Lines!$Q$3:$Q$1590,MATCH(SMALL(Lines!$G$3:$G$1590,215),Lines!$G$3:$G$1590,0)),IF(AND(ISNUMBER($J220),$J220&gt;0,$J220&lt;99),INDEX(Lines!$P$3:$P$1590,MATCH(SMALL(Lines!$G$3:$G$1590,215),Lines!$G$3:$G$1590,0)),""))</f>
        <v/>
      </c>
      <c r="H220" s="28" t="str">
        <f aca="false">IF($J220=0,INDEX(Lines!$H$3:$H$1590,MATCH(SMALL(Lines!$G$3:$G$1590,215),Lines!$G$3:$G$1590,0))&amp;" groups",IF(AND(ISNUMBER($J220),$J220&gt;0,$J220&lt;99),INDEX(Lines!$I$3:$I$1590,MATCH(SMALL(Lines!$G$3:$G$1590,215),Lines!$G$3:$G$1590,0)),""))</f>
        <v/>
      </c>
      <c r="I220" s="26"/>
      <c r="J220" s="22" t="str">
        <f aca="false">IFERROR(IF(MOD(SMALL(Lines!$G$3:$G$1590,215),100000)=0,-1,MOD(SMALL(Lines!$G$3:$G$1590,215),100)),"")</f>
        <v/>
      </c>
      <c r="K220" s="22" t="str">
        <f aca="false">IF($J220=0,INDEX(Lines!$L$3:$L$1590,MATCH(SMALL(Lines!$G$3:$G$1590,215),Lines!$G$3:$G$1590,0)),"")</f>
        <v/>
      </c>
    </row>
    <row r="221" customFormat="false" ht="15" hidden="false" customHeight="false" outlineLevel="0" collapsed="false">
      <c r="A221" s="24" t="str">
        <f aca="false">IF(OR($J221=0,AND(ISNUMBER($J221),$J221&gt;0,$J221&lt;99)),INDEX(Lines!$A$3:$A$1590,MATCH(SMALL(Lines!$G$3:$G$1590,216),Lines!$G$3:$G$1590,0)),"")</f>
        <v/>
      </c>
      <c r="B221" s="24" t="str">
        <f aca="false">IF($J221=-1,INDEX(Lines!$J$3:$J$1590,MATCH(SMALL(Lines!$G$3:$G$1590,216),Lines!$G$3:$G$1590,0)),IF($J221=0,INDEX(Lines!$L$3:$L$1590,MATCH(SMALL(Lines!$G$3:$G$1590,216),Lines!$G$3:$G$1590,0)),IF(AND(ISNUMBER($J221),$J221&gt;0,$J221&lt;99),INDEX(Lines!$N$3:$N$1590,MATCH(SMALL(Lines!$G$3:$G$1590,216),Lines!$G$3:$G$1590,0)),"")))</f>
        <v/>
      </c>
      <c r="C221" s="25" t="str">
        <f aca="false">IF($J221=0,INDEX(Lines!$K$3:$K$1590,MATCH(SMALL(Lines!$G$3:$G$1590,216),Lines!$G$3:$G$1590,0)),IF(AND(ISNUMBER($J221),$J221&gt;0,$J221&lt;99),INDEX(Lines!$C$3:$C$1590,MATCH(SMALL(Lines!$G$3:$G$1590,216),Lines!$G$3:$G$1590,0)),""))</f>
        <v/>
      </c>
      <c r="D221" s="26" t="str">
        <f aca="false">IF(AND(ISNUMBER($J221),$J221&gt;0,$J221&lt;99),INDEX(Lines!$D$3:$D$1590,MATCH(SMALL(Lines!$G$3:$G$1590,216),Lines!$G$3:$G$1590,0)),"")</f>
        <v/>
      </c>
      <c r="E221" s="26" t="str">
        <f aca="false">IF(AND(ISNUMBER($J221),$J221&gt;0,$J221&lt;99),INDEX(Lines!$E$3:$E$1590,MATCH(SMALL(Lines!$G$3:$G$1590,216),Lines!$G$3:$G$1590,0)),"")</f>
        <v/>
      </c>
      <c r="F221" s="26" t="str">
        <f aca="false">IF(AND(ISNUMBER($J221),$J221&gt;0,$J221&lt;99),INDEX(Lines!$O$3:$O$1590,MATCH(SMALL(Lines!$G$3:$G$1590,216),Lines!$G$3:$G$1590,0)),"")</f>
        <v/>
      </c>
      <c r="G221" s="27" t="str">
        <f aca="false">IF($J221=0,INDEX(Lines!$Q$3:$Q$1590,MATCH(SMALL(Lines!$G$3:$G$1590,216),Lines!$G$3:$G$1590,0)),IF(AND(ISNUMBER($J221),$J221&gt;0,$J221&lt;99),INDEX(Lines!$P$3:$P$1590,MATCH(SMALL(Lines!$G$3:$G$1590,216),Lines!$G$3:$G$1590,0)),""))</f>
        <v/>
      </c>
      <c r="H221" s="28" t="str">
        <f aca="false">IF($J221=0,INDEX(Lines!$H$3:$H$1590,MATCH(SMALL(Lines!$G$3:$G$1590,216),Lines!$G$3:$G$1590,0))&amp;" groups",IF(AND(ISNUMBER($J221),$J221&gt;0,$J221&lt;99),INDEX(Lines!$I$3:$I$1590,MATCH(SMALL(Lines!$G$3:$G$1590,216),Lines!$G$3:$G$1590,0)),""))</f>
        <v/>
      </c>
      <c r="I221" s="26"/>
      <c r="J221" s="22" t="str">
        <f aca="false">IFERROR(IF(MOD(SMALL(Lines!$G$3:$G$1590,216),100000)=0,-1,MOD(SMALL(Lines!$G$3:$G$1590,216),100)),"")</f>
        <v/>
      </c>
      <c r="K221" s="22" t="str">
        <f aca="false">IF($J221=0,INDEX(Lines!$L$3:$L$1590,MATCH(SMALL(Lines!$G$3:$G$1590,216),Lines!$G$3:$G$1590,0)),"")</f>
        <v/>
      </c>
    </row>
    <row r="222" customFormat="false" ht="15" hidden="false" customHeight="false" outlineLevel="0" collapsed="false">
      <c r="A222" s="24" t="str">
        <f aca="false">IF(OR($J222=0,AND(ISNUMBER($J222),$J222&gt;0,$J222&lt;99)),INDEX(Lines!$A$3:$A$1590,MATCH(SMALL(Lines!$G$3:$G$1590,217),Lines!$G$3:$G$1590,0)),"")</f>
        <v/>
      </c>
      <c r="B222" s="24" t="str">
        <f aca="false">IF($J222=-1,INDEX(Lines!$J$3:$J$1590,MATCH(SMALL(Lines!$G$3:$G$1590,217),Lines!$G$3:$G$1590,0)),IF($J222=0,INDEX(Lines!$L$3:$L$1590,MATCH(SMALL(Lines!$G$3:$G$1590,217),Lines!$G$3:$G$1590,0)),IF(AND(ISNUMBER($J222),$J222&gt;0,$J222&lt;99),INDEX(Lines!$N$3:$N$1590,MATCH(SMALL(Lines!$G$3:$G$1590,217),Lines!$G$3:$G$1590,0)),"")))</f>
        <v/>
      </c>
      <c r="C222" s="25" t="str">
        <f aca="false">IF($J222=0,INDEX(Lines!$K$3:$K$1590,MATCH(SMALL(Lines!$G$3:$G$1590,217),Lines!$G$3:$G$1590,0)),IF(AND(ISNUMBER($J222),$J222&gt;0,$J222&lt;99),INDEX(Lines!$C$3:$C$1590,MATCH(SMALL(Lines!$G$3:$G$1590,217),Lines!$G$3:$G$1590,0)),""))</f>
        <v/>
      </c>
      <c r="D222" s="26" t="str">
        <f aca="false">IF(AND(ISNUMBER($J222),$J222&gt;0,$J222&lt;99),INDEX(Lines!$D$3:$D$1590,MATCH(SMALL(Lines!$G$3:$G$1590,217),Lines!$G$3:$G$1590,0)),"")</f>
        <v/>
      </c>
      <c r="E222" s="26" t="str">
        <f aca="false">IF(AND(ISNUMBER($J222),$J222&gt;0,$J222&lt;99),INDEX(Lines!$E$3:$E$1590,MATCH(SMALL(Lines!$G$3:$G$1590,217),Lines!$G$3:$G$1590,0)),"")</f>
        <v/>
      </c>
      <c r="F222" s="26" t="str">
        <f aca="false">IF(AND(ISNUMBER($J222),$J222&gt;0,$J222&lt;99),INDEX(Lines!$O$3:$O$1590,MATCH(SMALL(Lines!$G$3:$G$1590,217),Lines!$G$3:$G$1590,0)),"")</f>
        <v/>
      </c>
      <c r="G222" s="27" t="str">
        <f aca="false">IF($J222=0,INDEX(Lines!$Q$3:$Q$1590,MATCH(SMALL(Lines!$G$3:$G$1590,217),Lines!$G$3:$G$1590,0)),IF(AND(ISNUMBER($J222),$J222&gt;0,$J222&lt;99),INDEX(Lines!$P$3:$P$1590,MATCH(SMALL(Lines!$G$3:$G$1590,217),Lines!$G$3:$G$1590,0)),""))</f>
        <v/>
      </c>
      <c r="H222" s="28" t="str">
        <f aca="false">IF($J222=0,INDEX(Lines!$H$3:$H$1590,MATCH(SMALL(Lines!$G$3:$G$1590,217),Lines!$G$3:$G$1590,0))&amp;" groups",IF(AND(ISNUMBER($J222),$J222&gt;0,$J222&lt;99),INDEX(Lines!$I$3:$I$1590,MATCH(SMALL(Lines!$G$3:$G$1590,217),Lines!$G$3:$G$1590,0)),""))</f>
        <v/>
      </c>
      <c r="I222" s="26"/>
      <c r="J222" s="22" t="str">
        <f aca="false">IFERROR(IF(MOD(SMALL(Lines!$G$3:$G$1590,217),100000)=0,-1,MOD(SMALL(Lines!$G$3:$G$1590,217),100)),"")</f>
        <v/>
      </c>
      <c r="K222" s="22" t="str">
        <f aca="false">IF($J222=0,INDEX(Lines!$L$3:$L$1590,MATCH(SMALL(Lines!$G$3:$G$1590,217),Lines!$G$3:$G$1590,0)),"")</f>
        <v/>
      </c>
    </row>
    <row r="223" customFormat="false" ht="15" hidden="false" customHeight="false" outlineLevel="0" collapsed="false">
      <c r="A223" s="24" t="str">
        <f aca="false">IF(OR($J223=0,AND(ISNUMBER($J223),$J223&gt;0,$J223&lt;99)),INDEX(Lines!$A$3:$A$1590,MATCH(SMALL(Lines!$G$3:$G$1590,218),Lines!$G$3:$G$1590,0)),"")</f>
        <v/>
      </c>
      <c r="B223" s="24" t="str">
        <f aca="false">IF($J223=-1,INDEX(Lines!$J$3:$J$1590,MATCH(SMALL(Lines!$G$3:$G$1590,218),Lines!$G$3:$G$1590,0)),IF($J223=0,INDEX(Lines!$L$3:$L$1590,MATCH(SMALL(Lines!$G$3:$G$1590,218),Lines!$G$3:$G$1590,0)),IF(AND(ISNUMBER($J223),$J223&gt;0,$J223&lt;99),INDEX(Lines!$N$3:$N$1590,MATCH(SMALL(Lines!$G$3:$G$1590,218),Lines!$G$3:$G$1590,0)),"")))</f>
        <v/>
      </c>
      <c r="C223" s="25" t="str">
        <f aca="false">IF($J223=0,INDEX(Lines!$K$3:$K$1590,MATCH(SMALL(Lines!$G$3:$G$1590,218),Lines!$G$3:$G$1590,0)),IF(AND(ISNUMBER($J223),$J223&gt;0,$J223&lt;99),INDEX(Lines!$C$3:$C$1590,MATCH(SMALL(Lines!$G$3:$G$1590,218),Lines!$G$3:$G$1590,0)),""))</f>
        <v/>
      </c>
      <c r="D223" s="26" t="str">
        <f aca="false">IF(AND(ISNUMBER($J223),$J223&gt;0,$J223&lt;99),INDEX(Lines!$D$3:$D$1590,MATCH(SMALL(Lines!$G$3:$G$1590,218),Lines!$G$3:$G$1590,0)),"")</f>
        <v/>
      </c>
      <c r="E223" s="26" t="str">
        <f aca="false">IF(AND(ISNUMBER($J223),$J223&gt;0,$J223&lt;99),INDEX(Lines!$E$3:$E$1590,MATCH(SMALL(Lines!$G$3:$G$1590,218),Lines!$G$3:$G$1590,0)),"")</f>
        <v/>
      </c>
      <c r="F223" s="26" t="str">
        <f aca="false">IF(AND(ISNUMBER($J223),$J223&gt;0,$J223&lt;99),INDEX(Lines!$O$3:$O$1590,MATCH(SMALL(Lines!$G$3:$G$1590,218),Lines!$G$3:$G$1590,0)),"")</f>
        <v/>
      </c>
      <c r="G223" s="27" t="str">
        <f aca="false">IF($J223=0,INDEX(Lines!$Q$3:$Q$1590,MATCH(SMALL(Lines!$G$3:$G$1590,218),Lines!$G$3:$G$1590,0)),IF(AND(ISNUMBER($J223),$J223&gt;0,$J223&lt;99),INDEX(Lines!$P$3:$P$1590,MATCH(SMALL(Lines!$G$3:$G$1590,218),Lines!$G$3:$G$1590,0)),""))</f>
        <v/>
      </c>
      <c r="H223" s="28" t="str">
        <f aca="false">IF($J223=0,INDEX(Lines!$H$3:$H$1590,MATCH(SMALL(Lines!$G$3:$G$1590,218),Lines!$G$3:$G$1590,0))&amp;" groups",IF(AND(ISNUMBER($J223),$J223&gt;0,$J223&lt;99),INDEX(Lines!$I$3:$I$1590,MATCH(SMALL(Lines!$G$3:$G$1590,218),Lines!$G$3:$G$1590,0)),""))</f>
        <v/>
      </c>
      <c r="I223" s="26"/>
      <c r="J223" s="22" t="str">
        <f aca="false">IFERROR(IF(MOD(SMALL(Lines!$G$3:$G$1590,218),100000)=0,-1,MOD(SMALL(Lines!$G$3:$G$1590,218),100)),"")</f>
        <v/>
      </c>
      <c r="K223" s="22" t="str">
        <f aca="false">IF($J223=0,INDEX(Lines!$L$3:$L$1590,MATCH(SMALL(Lines!$G$3:$G$1590,218),Lines!$G$3:$G$1590,0)),"")</f>
        <v/>
      </c>
    </row>
    <row r="224" customFormat="false" ht="15" hidden="false" customHeight="false" outlineLevel="0" collapsed="false">
      <c r="A224" s="24" t="str">
        <f aca="false">IF(OR($J224=0,AND(ISNUMBER($J224),$J224&gt;0,$J224&lt;99)),INDEX(Lines!$A$3:$A$1590,MATCH(SMALL(Lines!$G$3:$G$1590,219),Lines!$G$3:$G$1590,0)),"")</f>
        <v/>
      </c>
      <c r="B224" s="24" t="str">
        <f aca="false">IF($J224=-1,INDEX(Lines!$J$3:$J$1590,MATCH(SMALL(Lines!$G$3:$G$1590,219),Lines!$G$3:$G$1590,0)),IF($J224=0,INDEX(Lines!$L$3:$L$1590,MATCH(SMALL(Lines!$G$3:$G$1590,219),Lines!$G$3:$G$1590,0)),IF(AND(ISNUMBER($J224),$J224&gt;0,$J224&lt;99),INDEX(Lines!$N$3:$N$1590,MATCH(SMALL(Lines!$G$3:$G$1590,219),Lines!$G$3:$G$1590,0)),"")))</f>
        <v/>
      </c>
      <c r="C224" s="25" t="str">
        <f aca="false">IF($J224=0,INDEX(Lines!$K$3:$K$1590,MATCH(SMALL(Lines!$G$3:$G$1590,219),Lines!$G$3:$G$1590,0)),IF(AND(ISNUMBER($J224),$J224&gt;0,$J224&lt;99),INDEX(Lines!$C$3:$C$1590,MATCH(SMALL(Lines!$G$3:$G$1590,219),Lines!$G$3:$G$1590,0)),""))</f>
        <v/>
      </c>
      <c r="D224" s="26" t="str">
        <f aca="false">IF(AND(ISNUMBER($J224),$J224&gt;0,$J224&lt;99),INDEX(Lines!$D$3:$D$1590,MATCH(SMALL(Lines!$G$3:$G$1590,219),Lines!$G$3:$G$1590,0)),"")</f>
        <v/>
      </c>
      <c r="E224" s="26" t="str">
        <f aca="false">IF(AND(ISNUMBER($J224),$J224&gt;0,$J224&lt;99),INDEX(Lines!$E$3:$E$1590,MATCH(SMALL(Lines!$G$3:$G$1590,219),Lines!$G$3:$G$1590,0)),"")</f>
        <v/>
      </c>
      <c r="F224" s="26" t="str">
        <f aca="false">IF(AND(ISNUMBER($J224),$J224&gt;0,$J224&lt;99),INDEX(Lines!$O$3:$O$1590,MATCH(SMALL(Lines!$G$3:$G$1590,219),Lines!$G$3:$G$1590,0)),"")</f>
        <v/>
      </c>
      <c r="G224" s="27" t="str">
        <f aca="false">IF($J224=0,INDEX(Lines!$Q$3:$Q$1590,MATCH(SMALL(Lines!$G$3:$G$1590,219),Lines!$G$3:$G$1590,0)),IF(AND(ISNUMBER($J224),$J224&gt;0,$J224&lt;99),INDEX(Lines!$P$3:$P$1590,MATCH(SMALL(Lines!$G$3:$G$1590,219),Lines!$G$3:$G$1590,0)),""))</f>
        <v/>
      </c>
      <c r="H224" s="28" t="str">
        <f aca="false">IF($J224=0,INDEX(Lines!$H$3:$H$1590,MATCH(SMALL(Lines!$G$3:$G$1590,219),Lines!$G$3:$G$1590,0))&amp;" groups",IF(AND(ISNUMBER($J224),$J224&gt;0,$J224&lt;99),INDEX(Lines!$I$3:$I$1590,MATCH(SMALL(Lines!$G$3:$G$1590,219),Lines!$G$3:$G$1590,0)),""))</f>
        <v/>
      </c>
      <c r="I224" s="26"/>
      <c r="J224" s="22" t="str">
        <f aca="false">IFERROR(IF(MOD(SMALL(Lines!$G$3:$G$1590,219),100000)=0,-1,MOD(SMALL(Lines!$G$3:$G$1590,219),100)),"")</f>
        <v/>
      </c>
      <c r="K224" s="22" t="str">
        <f aca="false">IF($J224=0,INDEX(Lines!$L$3:$L$1590,MATCH(SMALL(Lines!$G$3:$G$1590,219),Lines!$G$3:$G$1590,0)),"")</f>
        <v/>
      </c>
    </row>
    <row r="225" customFormat="false" ht="15" hidden="false" customHeight="false" outlineLevel="0" collapsed="false">
      <c r="A225" s="24" t="str">
        <f aca="false">IF(OR($J225=0,AND(ISNUMBER($J225),$J225&gt;0,$J225&lt;99)),INDEX(Lines!$A$3:$A$1590,MATCH(SMALL(Lines!$G$3:$G$1590,220),Lines!$G$3:$G$1590,0)),"")</f>
        <v/>
      </c>
      <c r="B225" s="24" t="str">
        <f aca="false">IF($J225=-1,INDEX(Lines!$J$3:$J$1590,MATCH(SMALL(Lines!$G$3:$G$1590,220),Lines!$G$3:$G$1590,0)),IF($J225=0,INDEX(Lines!$L$3:$L$1590,MATCH(SMALL(Lines!$G$3:$G$1590,220),Lines!$G$3:$G$1590,0)),IF(AND(ISNUMBER($J225),$J225&gt;0,$J225&lt;99),INDEX(Lines!$N$3:$N$1590,MATCH(SMALL(Lines!$G$3:$G$1590,220),Lines!$G$3:$G$1590,0)),"")))</f>
        <v/>
      </c>
      <c r="C225" s="25" t="str">
        <f aca="false">IF($J225=0,INDEX(Lines!$K$3:$K$1590,MATCH(SMALL(Lines!$G$3:$G$1590,220),Lines!$G$3:$G$1590,0)),IF(AND(ISNUMBER($J225),$J225&gt;0,$J225&lt;99),INDEX(Lines!$C$3:$C$1590,MATCH(SMALL(Lines!$G$3:$G$1590,220),Lines!$G$3:$G$1590,0)),""))</f>
        <v/>
      </c>
      <c r="D225" s="26" t="str">
        <f aca="false">IF(AND(ISNUMBER($J225),$J225&gt;0,$J225&lt;99),INDEX(Lines!$D$3:$D$1590,MATCH(SMALL(Lines!$G$3:$G$1590,220),Lines!$G$3:$G$1590,0)),"")</f>
        <v/>
      </c>
      <c r="E225" s="26" t="str">
        <f aca="false">IF(AND(ISNUMBER($J225),$J225&gt;0,$J225&lt;99),INDEX(Lines!$E$3:$E$1590,MATCH(SMALL(Lines!$G$3:$G$1590,220),Lines!$G$3:$G$1590,0)),"")</f>
        <v/>
      </c>
      <c r="F225" s="26" t="str">
        <f aca="false">IF(AND(ISNUMBER($J225),$J225&gt;0,$J225&lt;99),INDEX(Lines!$O$3:$O$1590,MATCH(SMALL(Lines!$G$3:$G$1590,220),Lines!$G$3:$G$1590,0)),"")</f>
        <v/>
      </c>
      <c r="G225" s="27" t="str">
        <f aca="false">IF($J225=0,INDEX(Lines!$Q$3:$Q$1590,MATCH(SMALL(Lines!$G$3:$G$1590,220),Lines!$G$3:$G$1590,0)),IF(AND(ISNUMBER($J225),$J225&gt;0,$J225&lt;99),INDEX(Lines!$P$3:$P$1590,MATCH(SMALL(Lines!$G$3:$G$1590,220),Lines!$G$3:$G$1590,0)),""))</f>
        <v/>
      </c>
      <c r="H225" s="28" t="str">
        <f aca="false">IF($J225=0,INDEX(Lines!$H$3:$H$1590,MATCH(SMALL(Lines!$G$3:$G$1590,220),Lines!$G$3:$G$1590,0))&amp;" groups",IF(AND(ISNUMBER($J225),$J225&gt;0,$J225&lt;99),INDEX(Lines!$I$3:$I$1590,MATCH(SMALL(Lines!$G$3:$G$1590,220),Lines!$G$3:$G$1590,0)),""))</f>
        <v/>
      </c>
      <c r="I225" s="26"/>
      <c r="J225" s="22" t="str">
        <f aca="false">IFERROR(IF(MOD(SMALL(Lines!$G$3:$G$1590,220),100000)=0,-1,MOD(SMALL(Lines!$G$3:$G$1590,220),100)),"")</f>
        <v/>
      </c>
      <c r="K225" s="22" t="str">
        <f aca="false">IF($J225=0,INDEX(Lines!$L$3:$L$1590,MATCH(SMALL(Lines!$G$3:$G$1590,220),Lines!$G$3:$G$1590,0)),"")</f>
        <v/>
      </c>
    </row>
    <row r="226" customFormat="false" ht="15" hidden="false" customHeight="false" outlineLevel="0" collapsed="false">
      <c r="A226" s="24" t="str">
        <f aca="false">IF(OR($J226=0,AND(ISNUMBER($J226),$J226&gt;0,$J226&lt;99)),INDEX(Lines!$A$3:$A$1590,MATCH(SMALL(Lines!$G$3:$G$1590,221),Lines!$G$3:$G$1590,0)),"")</f>
        <v/>
      </c>
      <c r="B226" s="24" t="str">
        <f aca="false">IF($J226=-1,INDEX(Lines!$J$3:$J$1590,MATCH(SMALL(Lines!$G$3:$G$1590,221),Lines!$G$3:$G$1590,0)),IF($J226=0,INDEX(Lines!$L$3:$L$1590,MATCH(SMALL(Lines!$G$3:$G$1590,221),Lines!$G$3:$G$1590,0)),IF(AND(ISNUMBER($J226),$J226&gt;0,$J226&lt;99),INDEX(Lines!$N$3:$N$1590,MATCH(SMALL(Lines!$G$3:$G$1590,221),Lines!$G$3:$G$1590,0)),"")))</f>
        <v/>
      </c>
      <c r="C226" s="25" t="str">
        <f aca="false">IF($J226=0,INDEX(Lines!$K$3:$K$1590,MATCH(SMALL(Lines!$G$3:$G$1590,221),Lines!$G$3:$G$1590,0)),IF(AND(ISNUMBER($J226),$J226&gt;0,$J226&lt;99),INDEX(Lines!$C$3:$C$1590,MATCH(SMALL(Lines!$G$3:$G$1590,221),Lines!$G$3:$G$1590,0)),""))</f>
        <v/>
      </c>
      <c r="D226" s="26" t="str">
        <f aca="false">IF(AND(ISNUMBER($J226),$J226&gt;0,$J226&lt;99),INDEX(Lines!$D$3:$D$1590,MATCH(SMALL(Lines!$G$3:$G$1590,221),Lines!$G$3:$G$1590,0)),"")</f>
        <v/>
      </c>
      <c r="E226" s="26" t="str">
        <f aca="false">IF(AND(ISNUMBER($J226),$J226&gt;0,$J226&lt;99),INDEX(Lines!$E$3:$E$1590,MATCH(SMALL(Lines!$G$3:$G$1590,221),Lines!$G$3:$G$1590,0)),"")</f>
        <v/>
      </c>
      <c r="F226" s="26" t="str">
        <f aca="false">IF(AND(ISNUMBER($J226),$J226&gt;0,$J226&lt;99),INDEX(Lines!$O$3:$O$1590,MATCH(SMALL(Lines!$G$3:$G$1590,221),Lines!$G$3:$G$1590,0)),"")</f>
        <v/>
      </c>
      <c r="G226" s="27" t="str">
        <f aca="false">IF($J226=0,INDEX(Lines!$Q$3:$Q$1590,MATCH(SMALL(Lines!$G$3:$G$1590,221),Lines!$G$3:$G$1590,0)),IF(AND(ISNUMBER($J226),$J226&gt;0,$J226&lt;99),INDEX(Lines!$P$3:$P$1590,MATCH(SMALL(Lines!$G$3:$G$1590,221),Lines!$G$3:$G$1590,0)),""))</f>
        <v/>
      </c>
      <c r="H226" s="28" t="str">
        <f aca="false">IF($J226=0,INDEX(Lines!$H$3:$H$1590,MATCH(SMALL(Lines!$G$3:$G$1590,221),Lines!$G$3:$G$1590,0))&amp;" groups",IF(AND(ISNUMBER($J226),$J226&gt;0,$J226&lt;99),INDEX(Lines!$I$3:$I$1590,MATCH(SMALL(Lines!$G$3:$G$1590,221),Lines!$G$3:$G$1590,0)),""))</f>
        <v/>
      </c>
      <c r="I226" s="26"/>
      <c r="J226" s="22" t="str">
        <f aca="false">IFERROR(IF(MOD(SMALL(Lines!$G$3:$G$1590,221),100000)=0,-1,MOD(SMALL(Lines!$G$3:$G$1590,221),100)),"")</f>
        <v/>
      </c>
      <c r="K226" s="22" t="str">
        <f aca="false">IF($J226=0,INDEX(Lines!$L$3:$L$1590,MATCH(SMALL(Lines!$G$3:$G$1590,221),Lines!$G$3:$G$1590,0)),"")</f>
        <v/>
      </c>
    </row>
    <row r="227" customFormat="false" ht="15" hidden="false" customHeight="false" outlineLevel="0" collapsed="false">
      <c r="A227" s="24" t="str">
        <f aca="false">IF(OR($J227=0,AND(ISNUMBER($J227),$J227&gt;0,$J227&lt;99)),INDEX(Lines!$A$3:$A$1590,MATCH(SMALL(Lines!$G$3:$G$1590,222),Lines!$G$3:$G$1590,0)),"")</f>
        <v/>
      </c>
      <c r="B227" s="24" t="str">
        <f aca="false">IF($J227=-1,INDEX(Lines!$J$3:$J$1590,MATCH(SMALL(Lines!$G$3:$G$1590,222),Lines!$G$3:$G$1590,0)),IF($J227=0,INDEX(Lines!$L$3:$L$1590,MATCH(SMALL(Lines!$G$3:$G$1590,222),Lines!$G$3:$G$1590,0)),IF(AND(ISNUMBER($J227),$J227&gt;0,$J227&lt;99),INDEX(Lines!$N$3:$N$1590,MATCH(SMALL(Lines!$G$3:$G$1590,222),Lines!$G$3:$G$1590,0)),"")))</f>
        <v/>
      </c>
      <c r="C227" s="25" t="str">
        <f aca="false">IF($J227=0,INDEX(Lines!$K$3:$K$1590,MATCH(SMALL(Lines!$G$3:$G$1590,222),Lines!$G$3:$G$1590,0)),IF(AND(ISNUMBER($J227),$J227&gt;0,$J227&lt;99),INDEX(Lines!$C$3:$C$1590,MATCH(SMALL(Lines!$G$3:$G$1590,222),Lines!$G$3:$G$1590,0)),""))</f>
        <v/>
      </c>
      <c r="D227" s="26" t="str">
        <f aca="false">IF(AND(ISNUMBER($J227),$J227&gt;0,$J227&lt;99),INDEX(Lines!$D$3:$D$1590,MATCH(SMALL(Lines!$G$3:$G$1590,222),Lines!$G$3:$G$1590,0)),"")</f>
        <v/>
      </c>
      <c r="E227" s="26" t="str">
        <f aca="false">IF(AND(ISNUMBER($J227),$J227&gt;0,$J227&lt;99),INDEX(Lines!$E$3:$E$1590,MATCH(SMALL(Lines!$G$3:$G$1590,222),Lines!$G$3:$G$1590,0)),"")</f>
        <v/>
      </c>
      <c r="F227" s="26" t="str">
        <f aca="false">IF(AND(ISNUMBER($J227),$J227&gt;0,$J227&lt;99),INDEX(Lines!$O$3:$O$1590,MATCH(SMALL(Lines!$G$3:$G$1590,222),Lines!$G$3:$G$1590,0)),"")</f>
        <v/>
      </c>
      <c r="G227" s="27" t="str">
        <f aca="false">IF($J227=0,INDEX(Lines!$Q$3:$Q$1590,MATCH(SMALL(Lines!$G$3:$G$1590,222),Lines!$G$3:$G$1590,0)),IF(AND(ISNUMBER($J227),$J227&gt;0,$J227&lt;99),INDEX(Lines!$P$3:$P$1590,MATCH(SMALL(Lines!$G$3:$G$1590,222),Lines!$G$3:$G$1590,0)),""))</f>
        <v/>
      </c>
      <c r="H227" s="28" t="str">
        <f aca="false">IF($J227=0,INDEX(Lines!$H$3:$H$1590,MATCH(SMALL(Lines!$G$3:$G$1590,222),Lines!$G$3:$G$1590,0))&amp;" groups",IF(AND(ISNUMBER($J227),$J227&gt;0,$J227&lt;99),INDEX(Lines!$I$3:$I$1590,MATCH(SMALL(Lines!$G$3:$G$1590,222),Lines!$G$3:$G$1590,0)),""))</f>
        <v/>
      </c>
      <c r="I227" s="26"/>
      <c r="J227" s="22" t="str">
        <f aca="false">IFERROR(IF(MOD(SMALL(Lines!$G$3:$G$1590,222),100000)=0,-1,MOD(SMALL(Lines!$G$3:$G$1590,222),100)),"")</f>
        <v/>
      </c>
      <c r="K227" s="22" t="str">
        <f aca="false">IF($J227=0,INDEX(Lines!$L$3:$L$1590,MATCH(SMALL(Lines!$G$3:$G$1590,222),Lines!$G$3:$G$1590,0)),"")</f>
        <v/>
      </c>
    </row>
    <row r="228" customFormat="false" ht="15" hidden="false" customHeight="false" outlineLevel="0" collapsed="false">
      <c r="A228" s="24" t="str">
        <f aca="false">IF(OR($J228=0,AND(ISNUMBER($J228),$J228&gt;0,$J228&lt;99)),INDEX(Lines!$A$3:$A$1590,MATCH(SMALL(Lines!$G$3:$G$1590,223),Lines!$G$3:$G$1590,0)),"")</f>
        <v/>
      </c>
      <c r="B228" s="24" t="str">
        <f aca="false">IF($J228=-1,INDEX(Lines!$J$3:$J$1590,MATCH(SMALL(Lines!$G$3:$G$1590,223),Lines!$G$3:$G$1590,0)),IF($J228=0,INDEX(Lines!$L$3:$L$1590,MATCH(SMALL(Lines!$G$3:$G$1590,223),Lines!$G$3:$G$1590,0)),IF(AND(ISNUMBER($J228),$J228&gt;0,$J228&lt;99),INDEX(Lines!$N$3:$N$1590,MATCH(SMALL(Lines!$G$3:$G$1590,223),Lines!$G$3:$G$1590,0)),"")))</f>
        <v/>
      </c>
      <c r="C228" s="25" t="str">
        <f aca="false">IF($J228=0,INDEX(Lines!$K$3:$K$1590,MATCH(SMALL(Lines!$G$3:$G$1590,223),Lines!$G$3:$G$1590,0)),IF(AND(ISNUMBER($J228),$J228&gt;0,$J228&lt;99),INDEX(Lines!$C$3:$C$1590,MATCH(SMALL(Lines!$G$3:$G$1590,223),Lines!$G$3:$G$1590,0)),""))</f>
        <v/>
      </c>
      <c r="D228" s="26" t="str">
        <f aca="false">IF(AND(ISNUMBER($J228),$J228&gt;0,$J228&lt;99),INDEX(Lines!$D$3:$D$1590,MATCH(SMALL(Lines!$G$3:$G$1590,223),Lines!$G$3:$G$1590,0)),"")</f>
        <v/>
      </c>
      <c r="E228" s="26" t="str">
        <f aca="false">IF(AND(ISNUMBER($J228),$J228&gt;0,$J228&lt;99),INDEX(Lines!$E$3:$E$1590,MATCH(SMALL(Lines!$G$3:$G$1590,223),Lines!$G$3:$G$1590,0)),"")</f>
        <v/>
      </c>
      <c r="F228" s="26" t="str">
        <f aca="false">IF(AND(ISNUMBER($J228),$J228&gt;0,$J228&lt;99),INDEX(Lines!$O$3:$O$1590,MATCH(SMALL(Lines!$G$3:$G$1590,223),Lines!$G$3:$G$1590,0)),"")</f>
        <v/>
      </c>
      <c r="G228" s="27" t="str">
        <f aca="false">IF($J228=0,INDEX(Lines!$Q$3:$Q$1590,MATCH(SMALL(Lines!$G$3:$G$1590,223),Lines!$G$3:$G$1590,0)),IF(AND(ISNUMBER($J228),$J228&gt;0,$J228&lt;99),INDEX(Lines!$P$3:$P$1590,MATCH(SMALL(Lines!$G$3:$G$1590,223),Lines!$G$3:$G$1590,0)),""))</f>
        <v/>
      </c>
      <c r="H228" s="28" t="str">
        <f aca="false">IF($J228=0,INDEX(Lines!$H$3:$H$1590,MATCH(SMALL(Lines!$G$3:$G$1590,223),Lines!$G$3:$G$1590,0))&amp;" groups",IF(AND(ISNUMBER($J228),$J228&gt;0,$J228&lt;99),INDEX(Lines!$I$3:$I$1590,MATCH(SMALL(Lines!$G$3:$G$1590,223),Lines!$G$3:$G$1590,0)),""))</f>
        <v/>
      </c>
      <c r="I228" s="26"/>
      <c r="J228" s="22" t="str">
        <f aca="false">IFERROR(IF(MOD(SMALL(Lines!$G$3:$G$1590,223),100000)=0,-1,MOD(SMALL(Lines!$G$3:$G$1590,223),100)),"")</f>
        <v/>
      </c>
      <c r="K228" s="22" t="str">
        <f aca="false">IF($J228=0,INDEX(Lines!$L$3:$L$1590,MATCH(SMALL(Lines!$G$3:$G$1590,223),Lines!$G$3:$G$1590,0)),"")</f>
        <v/>
      </c>
    </row>
    <row r="229" customFormat="false" ht="15" hidden="false" customHeight="false" outlineLevel="0" collapsed="false">
      <c r="A229" s="24" t="str">
        <f aca="false">IF(OR($J229=0,AND(ISNUMBER($J229),$J229&gt;0,$J229&lt;99)),INDEX(Lines!$A$3:$A$1590,MATCH(SMALL(Lines!$G$3:$G$1590,224),Lines!$G$3:$G$1590,0)),"")</f>
        <v/>
      </c>
      <c r="B229" s="24" t="str">
        <f aca="false">IF($J229=-1,INDEX(Lines!$J$3:$J$1590,MATCH(SMALL(Lines!$G$3:$G$1590,224),Lines!$G$3:$G$1590,0)),IF($J229=0,INDEX(Lines!$L$3:$L$1590,MATCH(SMALL(Lines!$G$3:$G$1590,224),Lines!$G$3:$G$1590,0)),IF(AND(ISNUMBER($J229),$J229&gt;0,$J229&lt;99),INDEX(Lines!$N$3:$N$1590,MATCH(SMALL(Lines!$G$3:$G$1590,224),Lines!$G$3:$G$1590,0)),"")))</f>
        <v/>
      </c>
      <c r="C229" s="25" t="str">
        <f aca="false">IF($J229=0,INDEX(Lines!$K$3:$K$1590,MATCH(SMALL(Lines!$G$3:$G$1590,224),Lines!$G$3:$G$1590,0)),IF(AND(ISNUMBER($J229),$J229&gt;0,$J229&lt;99),INDEX(Lines!$C$3:$C$1590,MATCH(SMALL(Lines!$G$3:$G$1590,224),Lines!$G$3:$G$1590,0)),""))</f>
        <v/>
      </c>
      <c r="D229" s="26" t="str">
        <f aca="false">IF(AND(ISNUMBER($J229),$J229&gt;0,$J229&lt;99),INDEX(Lines!$D$3:$D$1590,MATCH(SMALL(Lines!$G$3:$G$1590,224),Lines!$G$3:$G$1590,0)),"")</f>
        <v/>
      </c>
      <c r="E229" s="26" t="str">
        <f aca="false">IF(AND(ISNUMBER($J229),$J229&gt;0,$J229&lt;99),INDEX(Lines!$E$3:$E$1590,MATCH(SMALL(Lines!$G$3:$G$1590,224),Lines!$G$3:$G$1590,0)),"")</f>
        <v/>
      </c>
      <c r="F229" s="26" t="str">
        <f aca="false">IF(AND(ISNUMBER($J229),$J229&gt;0,$J229&lt;99),INDEX(Lines!$O$3:$O$1590,MATCH(SMALL(Lines!$G$3:$G$1590,224),Lines!$G$3:$G$1590,0)),"")</f>
        <v/>
      </c>
      <c r="G229" s="27" t="str">
        <f aca="false">IF($J229=0,INDEX(Lines!$Q$3:$Q$1590,MATCH(SMALL(Lines!$G$3:$G$1590,224),Lines!$G$3:$G$1590,0)),IF(AND(ISNUMBER($J229),$J229&gt;0,$J229&lt;99),INDEX(Lines!$P$3:$P$1590,MATCH(SMALL(Lines!$G$3:$G$1590,224),Lines!$G$3:$G$1590,0)),""))</f>
        <v/>
      </c>
      <c r="H229" s="28" t="str">
        <f aca="false">IF($J229=0,INDEX(Lines!$H$3:$H$1590,MATCH(SMALL(Lines!$G$3:$G$1590,224),Lines!$G$3:$G$1590,0))&amp;" groups",IF(AND(ISNUMBER($J229),$J229&gt;0,$J229&lt;99),INDEX(Lines!$I$3:$I$1590,MATCH(SMALL(Lines!$G$3:$G$1590,224),Lines!$G$3:$G$1590,0)),""))</f>
        <v/>
      </c>
      <c r="I229" s="26"/>
      <c r="J229" s="22" t="str">
        <f aca="false">IFERROR(IF(MOD(SMALL(Lines!$G$3:$G$1590,224),100000)=0,-1,MOD(SMALL(Lines!$G$3:$G$1590,224),100)),"")</f>
        <v/>
      </c>
      <c r="K229" s="22" t="str">
        <f aca="false">IF($J229=0,INDEX(Lines!$L$3:$L$1590,MATCH(SMALL(Lines!$G$3:$G$1590,224),Lines!$G$3:$G$1590,0)),"")</f>
        <v/>
      </c>
    </row>
    <row r="230" customFormat="false" ht="15" hidden="false" customHeight="false" outlineLevel="0" collapsed="false">
      <c r="A230" s="24" t="str">
        <f aca="false">IF(OR($J230=0,AND(ISNUMBER($J230),$J230&gt;0,$J230&lt;99)),INDEX(Lines!$A$3:$A$1590,MATCH(SMALL(Lines!$G$3:$G$1590,225),Lines!$G$3:$G$1590,0)),"")</f>
        <v/>
      </c>
      <c r="B230" s="24" t="str">
        <f aca="false">IF($J230=-1,INDEX(Lines!$J$3:$J$1590,MATCH(SMALL(Lines!$G$3:$G$1590,225),Lines!$G$3:$G$1590,0)),IF($J230=0,INDEX(Lines!$L$3:$L$1590,MATCH(SMALL(Lines!$G$3:$G$1590,225),Lines!$G$3:$G$1590,0)),IF(AND(ISNUMBER($J230),$J230&gt;0,$J230&lt;99),INDEX(Lines!$N$3:$N$1590,MATCH(SMALL(Lines!$G$3:$G$1590,225),Lines!$G$3:$G$1590,0)),"")))</f>
        <v/>
      </c>
      <c r="C230" s="25" t="str">
        <f aca="false">IF($J230=0,INDEX(Lines!$K$3:$K$1590,MATCH(SMALL(Lines!$G$3:$G$1590,225),Lines!$G$3:$G$1590,0)),IF(AND(ISNUMBER($J230),$J230&gt;0,$J230&lt;99),INDEX(Lines!$C$3:$C$1590,MATCH(SMALL(Lines!$G$3:$G$1590,225),Lines!$G$3:$G$1590,0)),""))</f>
        <v/>
      </c>
      <c r="D230" s="26" t="str">
        <f aca="false">IF(AND(ISNUMBER($J230),$J230&gt;0,$J230&lt;99),INDEX(Lines!$D$3:$D$1590,MATCH(SMALL(Lines!$G$3:$G$1590,225),Lines!$G$3:$G$1590,0)),"")</f>
        <v/>
      </c>
      <c r="E230" s="26" t="str">
        <f aca="false">IF(AND(ISNUMBER($J230),$J230&gt;0,$J230&lt;99),INDEX(Lines!$E$3:$E$1590,MATCH(SMALL(Lines!$G$3:$G$1590,225),Lines!$G$3:$G$1590,0)),"")</f>
        <v/>
      </c>
      <c r="F230" s="26" t="str">
        <f aca="false">IF(AND(ISNUMBER($J230),$J230&gt;0,$J230&lt;99),INDEX(Lines!$O$3:$O$1590,MATCH(SMALL(Lines!$G$3:$G$1590,225),Lines!$G$3:$G$1590,0)),"")</f>
        <v/>
      </c>
      <c r="G230" s="27" t="str">
        <f aca="false">IF($J230=0,INDEX(Lines!$Q$3:$Q$1590,MATCH(SMALL(Lines!$G$3:$G$1590,225),Lines!$G$3:$G$1590,0)),IF(AND(ISNUMBER($J230),$J230&gt;0,$J230&lt;99),INDEX(Lines!$P$3:$P$1590,MATCH(SMALL(Lines!$G$3:$G$1590,225),Lines!$G$3:$G$1590,0)),""))</f>
        <v/>
      </c>
      <c r="H230" s="28" t="str">
        <f aca="false">IF($J230=0,INDEX(Lines!$H$3:$H$1590,MATCH(SMALL(Lines!$G$3:$G$1590,225),Lines!$G$3:$G$1590,0))&amp;" groups",IF(AND(ISNUMBER($J230),$J230&gt;0,$J230&lt;99),INDEX(Lines!$I$3:$I$1590,MATCH(SMALL(Lines!$G$3:$G$1590,225),Lines!$G$3:$G$1590,0)),""))</f>
        <v/>
      </c>
      <c r="I230" s="26"/>
      <c r="J230" s="22" t="str">
        <f aca="false">IFERROR(IF(MOD(SMALL(Lines!$G$3:$G$1590,225),100000)=0,-1,MOD(SMALL(Lines!$G$3:$G$1590,225),100)),"")</f>
        <v/>
      </c>
      <c r="K230" s="22" t="str">
        <f aca="false">IF($J230=0,INDEX(Lines!$L$3:$L$1590,MATCH(SMALL(Lines!$G$3:$G$1590,225),Lines!$G$3:$G$1590,0)),"")</f>
        <v/>
      </c>
    </row>
    <row r="231" customFormat="false" ht="15" hidden="false" customHeight="false" outlineLevel="0" collapsed="false">
      <c r="A231" s="24" t="str">
        <f aca="false">IF(OR($J231=0,AND(ISNUMBER($J231),$J231&gt;0,$J231&lt;99)),INDEX(Lines!$A$3:$A$1590,MATCH(SMALL(Lines!$G$3:$G$1590,226),Lines!$G$3:$G$1590,0)),"")</f>
        <v/>
      </c>
      <c r="B231" s="24" t="str">
        <f aca="false">IF($J231=-1,INDEX(Lines!$J$3:$J$1590,MATCH(SMALL(Lines!$G$3:$G$1590,226),Lines!$G$3:$G$1590,0)),IF($J231=0,INDEX(Lines!$L$3:$L$1590,MATCH(SMALL(Lines!$G$3:$G$1590,226),Lines!$G$3:$G$1590,0)),IF(AND(ISNUMBER($J231),$J231&gt;0,$J231&lt;99),INDEX(Lines!$N$3:$N$1590,MATCH(SMALL(Lines!$G$3:$G$1590,226),Lines!$G$3:$G$1590,0)),"")))</f>
        <v/>
      </c>
      <c r="C231" s="25" t="str">
        <f aca="false">IF($J231=0,INDEX(Lines!$K$3:$K$1590,MATCH(SMALL(Lines!$G$3:$G$1590,226),Lines!$G$3:$G$1590,0)),IF(AND(ISNUMBER($J231),$J231&gt;0,$J231&lt;99),INDEX(Lines!$C$3:$C$1590,MATCH(SMALL(Lines!$G$3:$G$1590,226),Lines!$G$3:$G$1590,0)),""))</f>
        <v/>
      </c>
      <c r="D231" s="26" t="str">
        <f aca="false">IF(AND(ISNUMBER($J231),$J231&gt;0,$J231&lt;99),INDEX(Lines!$D$3:$D$1590,MATCH(SMALL(Lines!$G$3:$G$1590,226),Lines!$G$3:$G$1590,0)),"")</f>
        <v/>
      </c>
      <c r="E231" s="26" t="str">
        <f aca="false">IF(AND(ISNUMBER($J231),$J231&gt;0,$J231&lt;99),INDEX(Lines!$E$3:$E$1590,MATCH(SMALL(Lines!$G$3:$G$1590,226),Lines!$G$3:$G$1590,0)),"")</f>
        <v/>
      </c>
      <c r="F231" s="26" t="str">
        <f aca="false">IF(AND(ISNUMBER($J231),$J231&gt;0,$J231&lt;99),INDEX(Lines!$O$3:$O$1590,MATCH(SMALL(Lines!$G$3:$G$1590,226),Lines!$G$3:$G$1590,0)),"")</f>
        <v/>
      </c>
      <c r="G231" s="27" t="str">
        <f aca="false">IF($J231=0,INDEX(Lines!$Q$3:$Q$1590,MATCH(SMALL(Lines!$G$3:$G$1590,226),Lines!$G$3:$G$1590,0)),IF(AND(ISNUMBER($J231),$J231&gt;0,$J231&lt;99),INDEX(Lines!$P$3:$P$1590,MATCH(SMALL(Lines!$G$3:$G$1590,226),Lines!$G$3:$G$1590,0)),""))</f>
        <v/>
      </c>
      <c r="H231" s="28" t="str">
        <f aca="false">IF($J231=0,INDEX(Lines!$H$3:$H$1590,MATCH(SMALL(Lines!$G$3:$G$1590,226),Lines!$G$3:$G$1590,0))&amp;" groups",IF(AND(ISNUMBER($J231),$J231&gt;0,$J231&lt;99),INDEX(Lines!$I$3:$I$1590,MATCH(SMALL(Lines!$G$3:$G$1590,226),Lines!$G$3:$G$1590,0)),""))</f>
        <v/>
      </c>
      <c r="I231" s="26"/>
      <c r="J231" s="22" t="str">
        <f aca="false">IFERROR(IF(MOD(SMALL(Lines!$G$3:$G$1590,226),100000)=0,-1,MOD(SMALL(Lines!$G$3:$G$1590,226),100)),"")</f>
        <v/>
      </c>
      <c r="K231" s="22" t="str">
        <f aca="false">IF($J231=0,INDEX(Lines!$L$3:$L$1590,MATCH(SMALL(Lines!$G$3:$G$1590,226),Lines!$G$3:$G$1590,0)),"")</f>
        <v/>
      </c>
    </row>
    <row r="232" customFormat="false" ht="15" hidden="false" customHeight="false" outlineLevel="0" collapsed="false">
      <c r="A232" s="24" t="str">
        <f aca="false">IF(OR($J232=0,AND(ISNUMBER($J232),$J232&gt;0,$J232&lt;99)),INDEX(Lines!$A$3:$A$1590,MATCH(SMALL(Lines!$G$3:$G$1590,227),Lines!$G$3:$G$1590,0)),"")</f>
        <v/>
      </c>
      <c r="B232" s="24" t="str">
        <f aca="false">IF($J232=-1,INDEX(Lines!$J$3:$J$1590,MATCH(SMALL(Lines!$G$3:$G$1590,227),Lines!$G$3:$G$1590,0)),IF($J232=0,INDEX(Lines!$L$3:$L$1590,MATCH(SMALL(Lines!$G$3:$G$1590,227),Lines!$G$3:$G$1590,0)),IF(AND(ISNUMBER($J232),$J232&gt;0,$J232&lt;99),INDEX(Lines!$N$3:$N$1590,MATCH(SMALL(Lines!$G$3:$G$1590,227),Lines!$G$3:$G$1590,0)),"")))</f>
        <v/>
      </c>
      <c r="C232" s="25" t="str">
        <f aca="false">IF($J232=0,INDEX(Lines!$K$3:$K$1590,MATCH(SMALL(Lines!$G$3:$G$1590,227),Lines!$G$3:$G$1590,0)),IF(AND(ISNUMBER($J232),$J232&gt;0,$J232&lt;99),INDEX(Lines!$C$3:$C$1590,MATCH(SMALL(Lines!$G$3:$G$1590,227),Lines!$G$3:$G$1590,0)),""))</f>
        <v/>
      </c>
      <c r="D232" s="26" t="str">
        <f aca="false">IF(AND(ISNUMBER($J232),$J232&gt;0,$J232&lt;99),INDEX(Lines!$D$3:$D$1590,MATCH(SMALL(Lines!$G$3:$G$1590,227),Lines!$G$3:$G$1590,0)),"")</f>
        <v/>
      </c>
      <c r="E232" s="26" t="str">
        <f aca="false">IF(AND(ISNUMBER($J232),$J232&gt;0,$J232&lt;99),INDEX(Lines!$E$3:$E$1590,MATCH(SMALL(Lines!$G$3:$G$1590,227),Lines!$G$3:$G$1590,0)),"")</f>
        <v/>
      </c>
      <c r="F232" s="26" t="str">
        <f aca="false">IF(AND(ISNUMBER($J232),$J232&gt;0,$J232&lt;99),INDEX(Lines!$O$3:$O$1590,MATCH(SMALL(Lines!$G$3:$G$1590,227),Lines!$G$3:$G$1590,0)),"")</f>
        <v/>
      </c>
      <c r="G232" s="27" t="str">
        <f aca="false">IF($J232=0,INDEX(Lines!$Q$3:$Q$1590,MATCH(SMALL(Lines!$G$3:$G$1590,227),Lines!$G$3:$G$1590,0)),IF(AND(ISNUMBER($J232),$J232&gt;0,$J232&lt;99),INDEX(Lines!$P$3:$P$1590,MATCH(SMALL(Lines!$G$3:$G$1590,227),Lines!$G$3:$G$1590,0)),""))</f>
        <v/>
      </c>
      <c r="H232" s="28" t="str">
        <f aca="false">IF($J232=0,INDEX(Lines!$H$3:$H$1590,MATCH(SMALL(Lines!$G$3:$G$1590,227),Lines!$G$3:$G$1590,0))&amp;" groups",IF(AND(ISNUMBER($J232),$J232&gt;0,$J232&lt;99),INDEX(Lines!$I$3:$I$1590,MATCH(SMALL(Lines!$G$3:$G$1590,227),Lines!$G$3:$G$1590,0)),""))</f>
        <v/>
      </c>
      <c r="I232" s="26"/>
      <c r="J232" s="22" t="str">
        <f aca="false">IFERROR(IF(MOD(SMALL(Lines!$G$3:$G$1590,227),100000)=0,-1,MOD(SMALL(Lines!$G$3:$G$1590,227),100)),"")</f>
        <v/>
      </c>
      <c r="K232" s="22" t="str">
        <f aca="false">IF($J232=0,INDEX(Lines!$L$3:$L$1590,MATCH(SMALL(Lines!$G$3:$G$1590,227),Lines!$G$3:$G$1590,0)),"")</f>
        <v/>
      </c>
    </row>
    <row r="233" customFormat="false" ht="15" hidden="false" customHeight="false" outlineLevel="0" collapsed="false">
      <c r="A233" s="24" t="str">
        <f aca="false">IF(OR($J233=0,AND(ISNUMBER($J233),$J233&gt;0,$J233&lt;99)),INDEX(Lines!$A$3:$A$1590,MATCH(SMALL(Lines!$G$3:$G$1590,228),Lines!$G$3:$G$1590,0)),"")</f>
        <v/>
      </c>
      <c r="B233" s="24" t="str">
        <f aca="false">IF($J233=-1,INDEX(Lines!$J$3:$J$1590,MATCH(SMALL(Lines!$G$3:$G$1590,228),Lines!$G$3:$G$1590,0)),IF($J233=0,INDEX(Lines!$L$3:$L$1590,MATCH(SMALL(Lines!$G$3:$G$1590,228),Lines!$G$3:$G$1590,0)),IF(AND(ISNUMBER($J233),$J233&gt;0,$J233&lt;99),INDEX(Lines!$N$3:$N$1590,MATCH(SMALL(Lines!$G$3:$G$1590,228),Lines!$G$3:$G$1590,0)),"")))</f>
        <v/>
      </c>
      <c r="C233" s="25" t="str">
        <f aca="false">IF($J233=0,INDEX(Lines!$K$3:$K$1590,MATCH(SMALL(Lines!$G$3:$G$1590,228),Lines!$G$3:$G$1590,0)),IF(AND(ISNUMBER($J233),$J233&gt;0,$J233&lt;99),INDEX(Lines!$C$3:$C$1590,MATCH(SMALL(Lines!$G$3:$G$1590,228),Lines!$G$3:$G$1590,0)),""))</f>
        <v/>
      </c>
      <c r="D233" s="26" t="str">
        <f aca="false">IF(AND(ISNUMBER($J233),$J233&gt;0,$J233&lt;99),INDEX(Lines!$D$3:$D$1590,MATCH(SMALL(Lines!$G$3:$G$1590,228),Lines!$G$3:$G$1590,0)),"")</f>
        <v/>
      </c>
      <c r="E233" s="26" t="str">
        <f aca="false">IF(AND(ISNUMBER($J233),$J233&gt;0,$J233&lt;99),INDEX(Lines!$E$3:$E$1590,MATCH(SMALL(Lines!$G$3:$G$1590,228),Lines!$G$3:$G$1590,0)),"")</f>
        <v/>
      </c>
      <c r="F233" s="26" t="str">
        <f aca="false">IF(AND(ISNUMBER($J233),$J233&gt;0,$J233&lt;99),INDEX(Lines!$O$3:$O$1590,MATCH(SMALL(Lines!$G$3:$G$1590,228),Lines!$G$3:$G$1590,0)),"")</f>
        <v/>
      </c>
      <c r="G233" s="27" t="str">
        <f aca="false">IF($J233=0,INDEX(Lines!$Q$3:$Q$1590,MATCH(SMALL(Lines!$G$3:$G$1590,228),Lines!$G$3:$G$1590,0)),IF(AND(ISNUMBER($J233),$J233&gt;0,$J233&lt;99),INDEX(Lines!$P$3:$P$1590,MATCH(SMALL(Lines!$G$3:$G$1590,228),Lines!$G$3:$G$1590,0)),""))</f>
        <v/>
      </c>
      <c r="H233" s="28" t="str">
        <f aca="false">IF($J233=0,INDEX(Lines!$H$3:$H$1590,MATCH(SMALL(Lines!$G$3:$G$1590,228),Lines!$G$3:$G$1590,0))&amp;" groups",IF(AND(ISNUMBER($J233),$J233&gt;0,$J233&lt;99),INDEX(Lines!$I$3:$I$1590,MATCH(SMALL(Lines!$G$3:$G$1590,228),Lines!$G$3:$G$1590,0)),""))</f>
        <v/>
      </c>
      <c r="I233" s="26"/>
      <c r="J233" s="22" t="str">
        <f aca="false">IFERROR(IF(MOD(SMALL(Lines!$G$3:$G$1590,228),100000)=0,-1,MOD(SMALL(Lines!$G$3:$G$1590,228),100)),"")</f>
        <v/>
      </c>
      <c r="K233" s="22" t="str">
        <f aca="false">IF($J233=0,INDEX(Lines!$L$3:$L$1590,MATCH(SMALL(Lines!$G$3:$G$1590,228),Lines!$G$3:$G$1590,0)),"")</f>
        <v/>
      </c>
    </row>
    <row r="234" customFormat="false" ht="15" hidden="false" customHeight="false" outlineLevel="0" collapsed="false">
      <c r="A234" s="24" t="str">
        <f aca="false">IF(OR($J234=0,AND(ISNUMBER($J234),$J234&gt;0,$J234&lt;99)),INDEX(Lines!$A$3:$A$1590,MATCH(SMALL(Lines!$G$3:$G$1590,229),Lines!$G$3:$G$1590,0)),"")</f>
        <v/>
      </c>
      <c r="B234" s="24" t="str">
        <f aca="false">IF($J234=-1,INDEX(Lines!$J$3:$J$1590,MATCH(SMALL(Lines!$G$3:$G$1590,229),Lines!$G$3:$G$1590,0)),IF($J234=0,INDEX(Lines!$L$3:$L$1590,MATCH(SMALL(Lines!$G$3:$G$1590,229),Lines!$G$3:$G$1590,0)),IF(AND(ISNUMBER($J234),$J234&gt;0,$J234&lt;99),INDEX(Lines!$N$3:$N$1590,MATCH(SMALL(Lines!$G$3:$G$1590,229),Lines!$G$3:$G$1590,0)),"")))</f>
        <v/>
      </c>
      <c r="C234" s="25" t="str">
        <f aca="false">IF($J234=0,INDEX(Lines!$K$3:$K$1590,MATCH(SMALL(Lines!$G$3:$G$1590,229),Lines!$G$3:$G$1590,0)),IF(AND(ISNUMBER($J234),$J234&gt;0,$J234&lt;99),INDEX(Lines!$C$3:$C$1590,MATCH(SMALL(Lines!$G$3:$G$1590,229),Lines!$G$3:$G$1590,0)),""))</f>
        <v/>
      </c>
      <c r="D234" s="26" t="str">
        <f aca="false">IF(AND(ISNUMBER($J234),$J234&gt;0,$J234&lt;99),INDEX(Lines!$D$3:$D$1590,MATCH(SMALL(Lines!$G$3:$G$1590,229),Lines!$G$3:$G$1590,0)),"")</f>
        <v/>
      </c>
      <c r="E234" s="26" t="str">
        <f aca="false">IF(AND(ISNUMBER($J234),$J234&gt;0,$J234&lt;99),INDEX(Lines!$E$3:$E$1590,MATCH(SMALL(Lines!$G$3:$G$1590,229),Lines!$G$3:$G$1590,0)),"")</f>
        <v/>
      </c>
      <c r="F234" s="26" t="str">
        <f aca="false">IF(AND(ISNUMBER($J234),$J234&gt;0,$J234&lt;99),INDEX(Lines!$O$3:$O$1590,MATCH(SMALL(Lines!$G$3:$G$1590,229),Lines!$G$3:$G$1590,0)),"")</f>
        <v/>
      </c>
      <c r="G234" s="27" t="str">
        <f aca="false">IF($J234=0,INDEX(Lines!$Q$3:$Q$1590,MATCH(SMALL(Lines!$G$3:$G$1590,229),Lines!$G$3:$G$1590,0)),IF(AND(ISNUMBER($J234),$J234&gt;0,$J234&lt;99),INDEX(Lines!$P$3:$P$1590,MATCH(SMALL(Lines!$G$3:$G$1590,229),Lines!$G$3:$G$1590,0)),""))</f>
        <v/>
      </c>
      <c r="H234" s="28" t="str">
        <f aca="false">IF($J234=0,INDEX(Lines!$H$3:$H$1590,MATCH(SMALL(Lines!$G$3:$G$1590,229),Lines!$G$3:$G$1590,0))&amp;" groups",IF(AND(ISNUMBER($J234),$J234&gt;0,$J234&lt;99),INDEX(Lines!$I$3:$I$1590,MATCH(SMALL(Lines!$G$3:$G$1590,229),Lines!$G$3:$G$1590,0)),""))</f>
        <v/>
      </c>
      <c r="I234" s="26"/>
      <c r="J234" s="22" t="str">
        <f aca="false">IFERROR(IF(MOD(SMALL(Lines!$G$3:$G$1590,229),100000)=0,-1,MOD(SMALL(Lines!$G$3:$G$1590,229),100)),"")</f>
        <v/>
      </c>
      <c r="K234" s="22" t="str">
        <f aca="false">IF($J234=0,INDEX(Lines!$L$3:$L$1590,MATCH(SMALL(Lines!$G$3:$G$1590,229),Lines!$G$3:$G$1590,0)),"")</f>
        <v/>
      </c>
    </row>
    <row r="235" customFormat="false" ht="15" hidden="false" customHeight="false" outlineLevel="0" collapsed="false">
      <c r="A235" s="24" t="str">
        <f aca="false">IF(OR($J235=0,AND(ISNUMBER($J235),$J235&gt;0,$J235&lt;99)),INDEX(Lines!$A$3:$A$1590,MATCH(SMALL(Lines!$G$3:$G$1590,230),Lines!$G$3:$G$1590,0)),"")</f>
        <v/>
      </c>
      <c r="B235" s="24" t="str">
        <f aca="false">IF($J235=-1,INDEX(Lines!$J$3:$J$1590,MATCH(SMALL(Lines!$G$3:$G$1590,230),Lines!$G$3:$G$1590,0)),IF($J235=0,INDEX(Lines!$L$3:$L$1590,MATCH(SMALL(Lines!$G$3:$G$1590,230),Lines!$G$3:$G$1590,0)),IF(AND(ISNUMBER($J235),$J235&gt;0,$J235&lt;99),INDEX(Lines!$N$3:$N$1590,MATCH(SMALL(Lines!$G$3:$G$1590,230),Lines!$G$3:$G$1590,0)),"")))</f>
        <v/>
      </c>
      <c r="C235" s="25" t="str">
        <f aca="false">IF($J235=0,INDEX(Lines!$K$3:$K$1590,MATCH(SMALL(Lines!$G$3:$G$1590,230),Lines!$G$3:$G$1590,0)),IF(AND(ISNUMBER($J235),$J235&gt;0,$J235&lt;99),INDEX(Lines!$C$3:$C$1590,MATCH(SMALL(Lines!$G$3:$G$1590,230),Lines!$G$3:$G$1590,0)),""))</f>
        <v/>
      </c>
      <c r="D235" s="26" t="str">
        <f aca="false">IF(AND(ISNUMBER($J235),$J235&gt;0,$J235&lt;99),INDEX(Lines!$D$3:$D$1590,MATCH(SMALL(Lines!$G$3:$G$1590,230),Lines!$G$3:$G$1590,0)),"")</f>
        <v/>
      </c>
      <c r="E235" s="26" t="str">
        <f aca="false">IF(AND(ISNUMBER($J235),$J235&gt;0,$J235&lt;99),INDEX(Lines!$E$3:$E$1590,MATCH(SMALL(Lines!$G$3:$G$1590,230),Lines!$G$3:$G$1590,0)),"")</f>
        <v/>
      </c>
      <c r="F235" s="26" t="str">
        <f aca="false">IF(AND(ISNUMBER($J235),$J235&gt;0,$J235&lt;99),INDEX(Lines!$O$3:$O$1590,MATCH(SMALL(Lines!$G$3:$G$1590,230),Lines!$G$3:$G$1590,0)),"")</f>
        <v/>
      </c>
      <c r="G235" s="27" t="str">
        <f aca="false">IF($J235=0,INDEX(Lines!$Q$3:$Q$1590,MATCH(SMALL(Lines!$G$3:$G$1590,230),Lines!$G$3:$G$1590,0)),IF(AND(ISNUMBER($J235),$J235&gt;0,$J235&lt;99),INDEX(Lines!$P$3:$P$1590,MATCH(SMALL(Lines!$G$3:$G$1590,230),Lines!$G$3:$G$1590,0)),""))</f>
        <v/>
      </c>
      <c r="H235" s="28" t="str">
        <f aca="false">IF($J235=0,INDEX(Lines!$H$3:$H$1590,MATCH(SMALL(Lines!$G$3:$G$1590,230),Lines!$G$3:$G$1590,0))&amp;" groups",IF(AND(ISNUMBER($J235),$J235&gt;0,$J235&lt;99),INDEX(Lines!$I$3:$I$1590,MATCH(SMALL(Lines!$G$3:$G$1590,230),Lines!$G$3:$G$1590,0)),""))</f>
        <v/>
      </c>
      <c r="I235" s="26"/>
      <c r="J235" s="22" t="str">
        <f aca="false">IFERROR(IF(MOD(SMALL(Lines!$G$3:$G$1590,230),100000)=0,-1,MOD(SMALL(Lines!$G$3:$G$1590,230),100)),"")</f>
        <v/>
      </c>
      <c r="K235" s="22" t="str">
        <f aca="false">IF($J235=0,INDEX(Lines!$L$3:$L$1590,MATCH(SMALL(Lines!$G$3:$G$1590,230),Lines!$G$3:$G$1590,0)),"")</f>
        <v/>
      </c>
    </row>
    <row r="236" customFormat="false" ht="15" hidden="false" customHeight="false" outlineLevel="0" collapsed="false">
      <c r="A236" s="24" t="str">
        <f aca="false">IF(OR($J236=0,AND(ISNUMBER($J236),$J236&gt;0,$J236&lt;99)),INDEX(Lines!$A$3:$A$1590,MATCH(SMALL(Lines!$G$3:$G$1590,231),Lines!$G$3:$G$1590,0)),"")</f>
        <v/>
      </c>
      <c r="B236" s="24" t="str">
        <f aca="false">IF($J236=-1,INDEX(Lines!$J$3:$J$1590,MATCH(SMALL(Lines!$G$3:$G$1590,231),Lines!$G$3:$G$1590,0)),IF($J236=0,INDEX(Lines!$L$3:$L$1590,MATCH(SMALL(Lines!$G$3:$G$1590,231),Lines!$G$3:$G$1590,0)),IF(AND(ISNUMBER($J236),$J236&gt;0,$J236&lt;99),INDEX(Lines!$N$3:$N$1590,MATCH(SMALL(Lines!$G$3:$G$1590,231),Lines!$G$3:$G$1590,0)),"")))</f>
        <v/>
      </c>
      <c r="C236" s="25" t="str">
        <f aca="false">IF($J236=0,INDEX(Lines!$K$3:$K$1590,MATCH(SMALL(Lines!$G$3:$G$1590,231),Lines!$G$3:$G$1590,0)),IF(AND(ISNUMBER($J236),$J236&gt;0,$J236&lt;99),INDEX(Lines!$C$3:$C$1590,MATCH(SMALL(Lines!$G$3:$G$1590,231),Lines!$G$3:$G$1590,0)),""))</f>
        <v/>
      </c>
      <c r="D236" s="26" t="str">
        <f aca="false">IF(AND(ISNUMBER($J236),$J236&gt;0,$J236&lt;99),INDEX(Lines!$D$3:$D$1590,MATCH(SMALL(Lines!$G$3:$G$1590,231),Lines!$G$3:$G$1590,0)),"")</f>
        <v/>
      </c>
      <c r="E236" s="26" t="str">
        <f aca="false">IF(AND(ISNUMBER($J236),$J236&gt;0,$J236&lt;99),INDEX(Lines!$E$3:$E$1590,MATCH(SMALL(Lines!$G$3:$G$1590,231),Lines!$G$3:$G$1590,0)),"")</f>
        <v/>
      </c>
      <c r="F236" s="26" t="str">
        <f aca="false">IF(AND(ISNUMBER($J236),$J236&gt;0,$J236&lt;99),INDEX(Lines!$O$3:$O$1590,MATCH(SMALL(Lines!$G$3:$G$1590,231),Lines!$G$3:$G$1590,0)),"")</f>
        <v/>
      </c>
      <c r="G236" s="27" t="str">
        <f aca="false">IF($J236=0,INDEX(Lines!$Q$3:$Q$1590,MATCH(SMALL(Lines!$G$3:$G$1590,231),Lines!$G$3:$G$1590,0)),IF(AND(ISNUMBER($J236),$J236&gt;0,$J236&lt;99),INDEX(Lines!$P$3:$P$1590,MATCH(SMALL(Lines!$G$3:$G$1590,231),Lines!$G$3:$G$1590,0)),""))</f>
        <v/>
      </c>
      <c r="H236" s="28" t="str">
        <f aca="false">IF($J236=0,INDEX(Lines!$H$3:$H$1590,MATCH(SMALL(Lines!$G$3:$G$1590,231),Lines!$G$3:$G$1590,0))&amp;" groups",IF(AND(ISNUMBER($J236),$J236&gt;0,$J236&lt;99),INDEX(Lines!$I$3:$I$1590,MATCH(SMALL(Lines!$G$3:$G$1590,231),Lines!$G$3:$G$1590,0)),""))</f>
        <v/>
      </c>
      <c r="I236" s="26"/>
      <c r="J236" s="22" t="str">
        <f aca="false">IFERROR(IF(MOD(SMALL(Lines!$G$3:$G$1590,231),100000)=0,-1,MOD(SMALL(Lines!$G$3:$G$1590,231),100)),"")</f>
        <v/>
      </c>
      <c r="K236" s="22" t="str">
        <f aca="false">IF($J236=0,INDEX(Lines!$L$3:$L$1590,MATCH(SMALL(Lines!$G$3:$G$1590,231),Lines!$G$3:$G$1590,0)),"")</f>
        <v/>
      </c>
    </row>
    <row r="237" customFormat="false" ht="15" hidden="false" customHeight="false" outlineLevel="0" collapsed="false">
      <c r="A237" s="24" t="str">
        <f aca="false">IF(OR($J237=0,AND(ISNUMBER($J237),$J237&gt;0,$J237&lt;99)),INDEX(Lines!$A$3:$A$1590,MATCH(SMALL(Lines!$G$3:$G$1590,232),Lines!$G$3:$G$1590,0)),"")</f>
        <v/>
      </c>
      <c r="B237" s="24" t="str">
        <f aca="false">IF($J237=-1,INDEX(Lines!$J$3:$J$1590,MATCH(SMALL(Lines!$G$3:$G$1590,232),Lines!$G$3:$G$1590,0)),IF($J237=0,INDEX(Lines!$L$3:$L$1590,MATCH(SMALL(Lines!$G$3:$G$1590,232),Lines!$G$3:$G$1590,0)),IF(AND(ISNUMBER($J237),$J237&gt;0,$J237&lt;99),INDEX(Lines!$N$3:$N$1590,MATCH(SMALL(Lines!$G$3:$G$1590,232),Lines!$G$3:$G$1590,0)),"")))</f>
        <v/>
      </c>
      <c r="C237" s="25" t="str">
        <f aca="false">IF($J237=0,INDEX(Lines!$K$3:$K$1590,MATCH(SMALL(Lines!$G$3:$G$1590,232),Lines!$G$3:$G$1590,0)),IF(AND(ISNUMBER($J237),$J237&gt;0,$J237&lt;99),INDEX(Lines!$C$3:$C$1590,MATCH(SMALL(Lines!$G$3:$G$1590,232),Lines!$G$3:$G$1590,0)),""))</f>
        <v/>
      </c>
      <c r="D237" s="26" t="str">
        <f aca="false">IF(AND(ISNUMBER($J237),$J237&gt;0,$J237&lt;99),INDEX(Lines!$D$3:$D$1590,MATCH(SMALL(Lines!$G$3:$G$1590,232),Lines!$G$3:$G$1590,0)),"")</f>
        <v/>
      </c>
      <c r="E237" s="26" t="str">
        <f aca="false">IF(AND(ISNUMBER($J237),$J237&gt;0,$J237&lt;99),INDEX(Lines!$E$3:$E$1590,MATCH(SMALL(Lines!$G$3:$G$1590,232),Lines!$G$3:$G$1590,0)),"")</f>
        <v/>
      </c>
      <c r="F237" s="26" t="str">
        <f aca="false">IF(AND(ISNUMBER($J237),$J237&gt;0,$J237&lt;99),INDEX(Lines!$O$3:$O$1590,MATCH(SMALL(Lines!$G$3:$G$1590,232),Lines!$G$3:$G$1590,0)),"")</f>
        <v/>
      </c>
      <c r="G237" s="27" t="str">
        <f aca="false">IF($J237=0,INDEX(Lines!$Q$3:$Q$1590,MATCH(SMALL(Lines!$G$3:$G$1590,232),Lines!$G$3:$G$1590,0)),IF(AND(ISNUMBER($J237),$J237&gt;0,$J237&lt;99),INDEX(Lines!$P$3:$P$1590,MATCH(SMALL(Lines!$G$3:$G$1590,232),Lines!$G$3:$G$1590,0)),""))</f>
        <v/>
      </c>
      <c r="H237" s="28" t="str">
        <f aca="false">IF($J237=0,INDEX(Lines!$H$3:$H$1590,MATCH(SMALL(Lines!$G$3:$G$1590,232),Lines!$G$3:$G$1590,0))&amp;" groups",IF(AND(ISNUMBER($J237),$J237&gt;0,$J237&lt;99),INDEX(Lines!$I$3:$I$1590,MATCH(SMALL(Lines!$G$3:$G$1590,232),Lines!$G$3:$G$1590,0)),""))</f>
        <v/>
      </c>
      <c r="I237" s="26"/>
      <c r="J237" s="22" t="str">
        <f aca="false">IFERROR(IF(MOD(SMALL(Lines!$G$3:$G$1590,232),100000)=0,-1,MOD(SMALL(Lines!$G$3:$G$1590,232),100)),"")</f>
        <v/>
      </c>
      <c r="K237" s="22" t="str">
        <f aca="false">IF($J237=0,INDEX(Lines!$L$3:$L$1590,MATCH(SMALL(Lines!$G$3:$G$1590,232),Lines!$G$3:$G$1590,0)),"")</f>
        <v/>
      </c>
    </row>
    <row r="238" customFormat="false" ht="15" hidden="false" customHeight="false" outlineLevel="0" collapsed="false">
      <c r="A238" s="24" t="str">
        <f aca="false">IF(OR($J238=0,AND(ISNUMBER($J238),$J238&gt;0,$J238&lt;99)),INDEX(Lines!$A$3:$A$1590,MATCH(SMALL(Lines!$G$3:$G$1590,233),Lines!$G$3:$G$1590,0)),"")</f>
        <v/>
      </c>
      <c r="B238" s="24" t="str">
        <f aca="false">IF($J238=-1,INDEX(Lines!$J$3:$J$1590,MATCH(SMALL(Lines!$G$3:$G$1590,233),Lines!$G$3:$G$1590,0)),IF($J238=0,INDEX(Lines!$L$3:$L$1590,MATCH(SMALL(Lines!$G$3:$G$1590,233),Lines!$G$3:$G$1590,0)),IF(AND(ISNUMBER($J238),$J238&gt;0,$J238&lt;99),INDEX(Lines!$N$3:$N$1590,MATCH(SMALL(Lines!$G$3:$G$1590,233),Lines!$G$3:$G$1590,0)),"")))</f>
        <v/>
      </c>
      <c r="C238" s="25" t="str">
        <f aca="false">IF($J238=0,INDEX(Lines!$K$3:$K$1590,MATCH(SMALL(Lines!$G$3:$G$1590,233),Lines!$G$3:$G$1590,0)),IF(AND(ISNUMBER($J238),$J238&gt;0,$J238&lt;99),INDEX(Lines!$C$3:$C$1590,MATCH(SMALL(Lines!$G$3:$G$1590,233),Lines!$G$3:$G$1590,0)),""))</f>
        <v/>
      </c>
      <c r="D238" s="26" t="str">
        <f aca="false">IF(AND(ISNUMBER($J238),$J238&gt;0,$J238&lt;99),INDEX(Lines!$D$3:$D$1590,MATCH(SMALL(Lines!$G$3:$G$1590,233),Lines!$G$3:$G$1590,0)),"")</f>
        <v/>
      </c>
      <c r="E238" s="26" t="str">
        <f aca="false">IF(AND(ISNUMBER($J238),$J238&gt;0,$J238&lt;99),INDEX(Lines!$E$3:$E$1590,MATCH(SMALL(Lines!$G$3:$G$1590,233),Lines!$G$3:$G$1590,0)),"")</f>
        <v/>
      </c>
      <c r="F238" s="26" t="str">
        <f aca="false">IF(AND(ISNUMBER($J238),$J238&gt;0,$J238&lt;99),INDEX(Lines!$O$3:$O$1590,MATCH(SMALL(Lines!$G$3:$G$1590,233),Lines!$G$3:$G$1590,0)),"")</f>
        <v/>
      </c>
      <c r="G238" s="27" t="str">
        <f aca="false">IF($J238=0,INDEX(Lines!$Q$3:$Q$1590,MATCH(SMALL(Lines!$G$3:$G$1590,233),Lines!$G$3:$G$1590,0)),IF(AND(ISNUMBER($J238),$J238&gt;0,$J238&lt;99),INDEX(Lines!$P$3:$P$1590,MATCH(SMALL(Lines!$G$3:$G$1590,233),Lines!$G$3:$G$1590,0)),""))</f>
        <v/>
      </c>
      <c r="H238" s="28" t="str">
        <f aca="false">IF($J238=0,INDEX(Lines!$H$3:$H$1590,MATCH(SMALL(Lines!$G$3:$G$1590,233),Lines!$G$3:$G$1590,0))&amp;" groups",IF(AND(ISNUMBER($J238),$J238&gt;0,$J238&lt;99),INDEX(Lines!$I$3:$I$1590,MATCH(SMALL(Lines!$G$3:$G$1590,233),Lines!$G$3:$G$1590,0)),""))</f>
        <v/>
      </c>
      <c r="I238" s="26"/>
      <c r="J238" s="22" t="str">
        <f aca="false">IFERROR(IF(MOD(SMALL(Lines!$G$3:$G$1590,233),100000)=0,-1,MOD(SMALL(Lines!$G$3:$G$1590,233),100)),"")</f>
        <v/>
      </c>
      <c r="K238" s="22" t="str">
        <f aca="false">IF($J238=0,INDEX(Lines!$L$3:$L$1590,MATCH(SMALL(Lines!$G$3:$G$1590,233),Lines!$G$3:$G$1590,0)),"")</f>
        <v/>
      </c>
    </row>
    <row r="239" customFormat="false" ht="15" hidden="false" customHeight="false" outlineLevel="0" collapsed="false">
      <c r="A239" s="24" t="str">
        <f aca="false">IF(OR($J239=0,AND(ISNUMBER($J239),$J239&gt;0,$J239&lt;99)),INDEX(Lines!$A$3:$A$1590,MATCH(SMALL(Lines!$G$3:$G$1590,234),Lines!$G$3:$G$1590,0)),"")</f>
        <v/>
      </c>
      <c r="B239" s="24" t="str">
        <f aca="false">IF($J239=-1,INDEX(Lines!$J$3:$J$1590,MATCH(SMALL(Lines!$G$3:$G$1590,234),Lines!$G$3:$G$1590,0)),IF($J239=0,INDEX(Lines!$L$3:$L$1590,MATCH(SMALL(Lines!$G$3:$G$1590,234),Lines!$G$3:$G$1590,0)),IF(AND(ISNUMBER($J239),$J239&gt;0,$J239&lt;99),INDEX(Lines!$N$3:$N$1590,MATCH(SMALL(Lines!$G$3:$G$1590,234),Lines!$G$3:$G$1590,0)),"")))</f>
        <v/>
      </c>
      <c r="C239" s="25" t="str">
        <f aca="false">IF($J239=0,INDEX(Lines!$K$3:$K$1590,MATCH(SMALL(Lines!$G$3:$G$1590,234),Lines!$G$3:$G$1590,0)),IF(AND(ISNUMBER($J239),$J239&gt;0,$J239&lt;99),INDEX(Lines!$C$3:$C$1590,MATCH(SMALL(Lines!$G$3:$G$1590,234),Lines!$G$3:$G$1590,0)),""))</f>
        <v/>
      </c>
      <c r="D239" s="26" t="str">
        <f aca="false">IF(AND(ISNUMBER($J239),$J239&gt;0,$J239&lt;99),INDEX(Lines!$D$3:$D$1590,MATCH(SMALL(Lines!$G$3:$G$1590,234),Lines!$G$3:$G$1590,0)),"")</f>
        <v/>
      </c>
      <c r="E239" s="26" t="str">
        <f aca="false">IF(AND(ISNUMBER($J239),$J239&gt;0,$J239&lt;99),INDEX(Lines!$E$3:$E$1590,MATCH(SMALL(Lines!$G$3:$G$1590,234),Lines!$G$3:$G$1590,0)),"")</f>
        <v/>
      </c>
      <c r="F239" s="26" t="str">
        <f aca="false">IF(AND(ISNUMBER($J239),$J239&gt;0,$J239&lt;99),INDEX(Lines!$O$3:$O$1590,MATCH(SMALL(Lines!$G$3:$G$1590,234),Lines!$G$3:$G$1590,0)),"")</f>
        <v/>
      </c>
      <c r="G239" s="27" t="str">
        <f aca="false">IF($J239=0,INDEX(Lines!$Q$3:$Q$1590,MATCH(SMALL(Lines!$G$3:$G$1590,234),Lines!$G$3:$G$1590,0)),IF(AND(ISNUMBER($J239),$J239&gt;0,$J239&lt;99),INDEX(Lines!$P$3:$P$1590,MATCH(SMALL(Lines!$G$3:$G$1590,234),Lines!$G$3:$G$1590,0)),""))</f>
        <v/>
      </c>
      <c r="H239" s="28" t="str">
        <f aca="false">IF($J239=0,INDEX(Lines!$H$3:$H$1590,MATCH(SMALL(Lines!$G$3:$G$1590,234),Lines!$G$3:$G$1590,0))&amp;" groups",IF(AND(ISNUMBER($J239),$J239&gt;0,$J239&lt;99),INDEX(Lines!$I$3:$I$1590,MATCH(SMALL(Lines!$G$3:$G$1590,234),Lines!$G$3:$G$1590,0)),""))</f>
        <v/>
      </c>
      <c r="I239" s="26"/>
      <c r="J239" s="22" t="str">
        <f aca="false">IFERROR(IF(MOD(SMALL(Lines!$G$3:$G$1590,234),100000)=0,-1,MOD(SMALL(Lines!$G$3:$G$1590,234),100)),"")</f>
        <v/>
      </c>
      <c r="K239" s="22" t="str">
        <f aca="false">IF($J239=0,INDEX(Lines!$L$3:$L$1590,MATCH(SMALL(Lines!$G$3:$G$1590,234),Lines!$G$3:$G$1590,0)),"")</f>
        <v/>
      </c>
    </row>
    <row r="240" customFormat="false" ht="15" hidden="false" customHeight="false" outlineLevel="0" collapsed="false">
      <c r="A240" s="24" t="str">
        <f aca="false">IF(OR($J240=0,AND(ISNUMBER($J240),$J240&gt;0,$J240&lt;99)),INDEX(Lines!$A$3:$A$1590,MATCH(SMALL(Lines!$G$3:$G$1590,235),Lines!$G$3:$G$1590,0)),"")</f>
        <v/>
      </c>
      <c r="B240" s="24" t="str">
        <f aca="false">IF($J240=-1,INDEX(Lines!$J$3:$J$1590,MATCH(SMALL(Lines!$G$3:$G$1590,235),Lines!$G$3:$G$1590,0)),IF($J240=0,INDEX(Lines!$L$3:$L$1590,MATCH(SMALL(Lines!$G$3:$G$1590,235),Lines!$G$3:$G$1590,0)),IF(AND(ISNUMBER($J240),$J240&gt;0,$J240&lt;99),INDEX(Lines!$N$3:$N$1590,MATCH(SMALL(Lines!$G$3:$G$1590,235),Lines!$G$3:$G$1590,0)),"")))</f>
        <v/>
      </c>
      <c r="C240" s="25" t="str">
        <f aca="false">IF($J240=0,INDEX(Lines!$K$3:$K$1590,MATCH(SMALL(Lines!$G$3:$G$1590,235),Lines!$G$3:$G$1590,0)),IF(AND(ISNUMBER($J240),$J240&gt;0,$J240&lt;99),INDEX(Lines!$C$3:$C$1590,MATCH(SMALL(Lines!$G$3:$G$1590,235),Lines!$G$3:$G$1590,0)),""))</f>
        <v/>
      </c>
      <c r="D240" s="26" t="str">
        <f aca="false">IF(AND(ISNUMBER($J240),$J240&gt;0,$J240&lt;99),INDEX(Lines!$D$3:$D$1590,MATCH(SMALL(Lines!$G$3:$G$1590,235),Lines!$G$3:$G$1590,0)),"")</f>
        <v/>
      </c>
      <c r="E240" s="26" t="str">
        <f aca="false">IF(AND(ISNUMBER($J240),$J240&gt;0,$J240&lt;99),INDEX(Lines!$E$3:$E$1590,MATCH(SMALL(Lines!$G$3:$G$1590,235),Lines!$G$3:$G$1590,0)),"")</f>
        <v/>
      </c>
      <c r="F240" s="26" t="str">
        <f aca="false">IF(AND(ISNUMBER($J240),$J240&gt;0,$J240&lt;99),INDEX(Lines!$O$3:$O$1590,MATCH(SMALL(Lines!$G$3:$G$1590,235),Lines!$G$3:$G$1590,0)),"")</f>
        <v/>
      </c>
      <c r="G240" s="27" t="str">
        <f aca="false">IF($J240=0,INDEX(Lines!$Q$3:$Q$1590,MATCH(SMALL(Lines!$G$3:$G$1590,235),Lines!$G$3:$G$1590,0)),IF(AND(ISNUMBER($J240),$J240&gt;0,$J240&lt;99),INDEX(Lines!$P$3:$P$1590,MATCH(SMALL(Lines!$G$3:$G$1590,235),Lines!$G$3:$G$1590,0)),""))</f>
        <v/>
      </c>
      <c r="H240" s="28" t="str">
        <f aca="false">IF($J240=0,INDEX(Lines!$H$3:$H$1590,MATCH(SMALL(Lines!$G$3:$G$1590,235),Lines!$G$3:$G$1590,0))&amp;" groups",IF(AND(ISNUMBER($J240),$J240&gt;0,$J240&lt;99),INDEX(Lines!$I$3:$I$1590,MATCH(SMALL(Lines!$G$3:$G$1590,235),Lines!$G$3:$G$1590,0)),""))</f>
        <v/>
      </c>
      <c r="I240" s="26"/>
      <c r="J240" s="22" t="str">
        <f aca="false">IFERROR(IF(MOD(SMALL(Lines!$G$3:$G$1590,235),100000)=0,-1,MOD(SMALL(Lines!$G$3:$G$1590,235),100)),"")</f>
        <v/>
      </c>
      <c r="K240" s="22" t="str">
        <f aca="false">IF($J240=0,INDEX(Lines!$L$3:$L$1590,MATCH(SMALL(Lines!$G$3:$G$1590,235),Lines!$G$3:$G$1590,0)),"")</f>
        <v/>
      </c>
    </row>
    <row r="241" customFormat="false" ht="15" hidden="false" customHeight="false" outlineLevel="0" collapsed="false">
      <c r="A241" s="24" t="str">
        <f aca="false">IF(OR($J241=0,AND(ISNUMBER($J241),$J241&gt;0,$J241&lt;99)),INDEX(Lines!$A$3:$A$1590,MATCH(SMALL(Lines!$G$3:$G$1590,236),Lines!$G$3:$G$1590,0)),"")</f>
        <v/>
      </c>
      <c r="B241" s="24" t="str">
        <f aca="false">IF($J241=-1,INDEX(Lines!$J$3:$J$1590,MATCH(SMALL(Lines!$G$3:$G$1590,236),Lines!$G$3:$G$1590,0)),IF($J241=0,INDEX(Lines!$L$3:$L$1590,MATCH(SMALL(Lines!$G$3:$G$1590,236),Lines!$G$3:$G$1590,0)),IF(AND(ISNUMBER($J241),$J241&gt;0,$J241&lt;99),INDEX(Lines!$N$3:$N$1590,MATCH(SMALL(Lines!$G$3:$G$1590,236),Lines!$G$3:$G$1590,0)),"")))</f>
        <v/>
      </c>
      <c r="C241" s="25" t="str">
        <f aca="false">IF($J241=0,INDEX(Lines!$K$3:$K$1590,MATCH(SMALL(Lines!$G$3:$G$1590,236),Lines!$G$3:$G$1590,0)),IF(AND(ISNUMBER($J241),$J241&gt;0,$J241&lt;99),INDEX(Lines!$C$3:$C$1590,MATCH(SMALL(Lines!$G$3:$G$1590,236),Lines!$G$3:$G$1590,0)),""))</f>
        <v/>
      </c>
      <c r="D241" s="26" t="str">
        <f aca="false">IF(AND(ISNUMBER($J241),$J241&gt;0,$J241&lt;99),INDEX(Lines!$D$3:$D$1590,MATCH(SMALL(Lines!$G$3:$G$1590,236),Lines!$G$3:$G$1590,0)),"")</f>
        <v/>
      </c>
      <c r="E241" s="26" t="str">
        <f aca="false">IF(AND(ISNUMBER($J241),$J241&gt;0,$J241&lt;99),INDEX(Lines!$E$3:$E$1590,MATCH(SMALL(Lines!$G$3:$G$1590,236),Lines!$G$3:$G$1590,0)),"")</f>
        <v/>
      </c>
      <c r="F241" s="26" t="str">
        <f aca="false">IF(AND(ISNUMBER($J241),$J241&gt;0,$J241&lt;99),INDEX(Lines!$O$3:$O$1590,MATCH(SMALL(Lines!$G$3:$G$1590,236),Lines!$G$3:$G$1590,0)),"")</f>
        <v/>
      </c>
      <c r="G241" s="27" t="str">
        <f aca="false">IF($J241=0,INDEX(Lines!$Q$3:$Q$1590,MATCH(SMALL(Lines!$G$3:$G$1590,236),Lines!$G$3:$G$1590,0)),IF(AND(ISNUMBER($J241),$J241&gt;0,$J241&lt;99),INDEX(Lines!$P$3:$P$1590,MATCH(SMALL(Lines!$G$3:$G$1590,236),Lines!$G$3:$G$1590,0)),""))</f>
        <v/>
      </c>
      <c r="H241" s="28" t="str">
        <f aca="false">IF($J241=0,INDEX(Lines!$H$3:$H$1590,MATCH(SMALL(Lines!$G$3:$G$1590,236),Lines!$G$3:$G$1590,0))&amp;" groups",IF(AND(ISNUMBER($J241),$J241&gt;0,$J241&lt;99),INDEX(Lines!$I$3:$I$1590,MATCH(SMALL(Lines!$G$3:$G$1590,236),Lines!$G$3:$G$1590,0)),""))</f>
        <v/>
      </c>
      <c r="I241" s="26"/>
      <c r="J241" s="22" t="str">
        <f aca="false">IFERROR(IF(MOD(SMALL(Lines!$G$3:$G$1590,236),100000)=0,-1,MOD(SMALL(Lines!$G$3:$G$1590,236),100)),"")</f>
        <v/>
      </c>
      <c r="K241" s="22" t="str">
        <f aca="false">IF($J241=0,INDEX(Lines!$L$3:$L$1590,MATCH(SMALL(Lines!$G$3:$G$1590,236),Lines!$G$3:$G$1590,0)),"")</f>
        <v/>
      </c>
    </row>
    <row r="242" customFormat="false" ht="15" hidden="false" customHeight="false" outlineLevel="0" collapsed="false">
      <c r="A242" s="24" t="str">
        <f aca="false">IF(OR($J242=0,AND(ISNUMBER($J242),$J242&gt;0,$J242&lt;99)),INDEX(Lines!$A$3:$A$1590,MATCH(SMALL(Lines!$G$3:$G$1590,237),Lines!$G$3:$G$1590,0)),"")</f>
        <v/>
      </c>
      <c r="B242" s="24" t="str">
        <f aca="false">IF($J242=-1,INDEX(Lines!$J$3:$J$1590,MATCH(SMALL(Lines!$G$3:$G$1590,237),Lines!$G$3:$G$1590,0)),IF($J242=0,INDEX(Lines!$L$3:$L$1590,MATCH(SMALL(Lines!$G$3:$G$1590,237),Lines!$G$3:$G$1590,0)),IF(AND(ISNUMBER($J242),$J242&gt;0,$J242&lt;99),INDEX(Lines!$N$3:$N$1590,MATCH(SMALL(Lines!$G$3:$G$1590,237),Lines!$G$3:$G$1590,0)),"")))</f>
        <v/>
      </c>
      <c r="C242" s="25" t="str">
        <f aca="false">IF($J242=0,INDEX(Lines!$K$3:$K$1590,MATCH(SMALL(Lines!$G$3:$G$1590,237),Lines!$G$3:$G$1590,0)),IF(AND(ISNUMBER($J242),$J242&gt;0,$J242&lt;99),INDEX(Lines!$C$3:$C$1590,MATCH(SMALL(Lines!$G$3:$G$1590,237),Lines!$G$3:$G$1590,0)),""))</f>
        <v/>
      </c>
      <c r="D242" s="26" t="str">
        <f aca="false">IF(AND(ISNUMBER($J242),$J242&gt;0,$J242&lt;99),INDEX(Lines!$D$3:$D$1590,MATCH(SMALL(Lines!$G$3:$G$1590,237),Lines!$G$3:$G$1590,0)),"")</f>
        <v/>
      </c>
      <c r="E242" s="26" t="str">
        <f aca="false">IF(AND(ISNUMBER($J242),$J242&gt;0,$J242&lt;99),INDEX(Lines!$E$3:$E$1590,MATCH(SMALL(Lines!$G$3:$G$1590,237),Lines!$G$3:$G$1590,0)),"")</f>
        <v/>
      </c>
      <c r="F242" s="26" t="str">
        <f aca="false">IF(AND(ISNUMBER($J242),$J242&gt;0,$J242&lt;99),INDEX(Lines!$O$3:$O$1590,MATCH(SMALL(Lines!$G$3:$G$1590,237),Lines!$G$3:$G$1590,0)),"")</f>
        <v/>
      </c>
      <c r="G242" s="27" t="str">
        <f aca="false">IF($J242=0,INDEX(Lines!$Q$3:$Q$1590,MATCH(SMALL(Lines!$G$3:$G$1590,237),Lines!$G$3:$G$1590,0)),IF(AND(ISNUMBER($J242),$J242&gt;0,$J242&lt;99),INDEX(Lines!$P$3:$P$1590,MATCH(SMALL(Lines!$G$3:$G$1590,237),Lines!$G$3:$G$1590,0)),""))</f>
        <v/>
      </c>
      <c r="H242" s="28" t="str">
        <f aca="false">IF($J242=0,INDEX(Lines!$H$3:$H$1590,MATCH(SMALL(Lines!$G$3:$G$1590,237),Lines!$G$3:$G$1590,0))&amp;" groups",IF(AND(ISNUMBER($J242),$J242&gt;0,$J242&lt;99),INDEX(Lines!$I$3:$I$1590,MATCH(SMALL(Lines!$G$3:$G$1590,237),Lines!$G$3:$G$1590,0)),""))</f>
        <v/>
      </c>
      <c r="I242" s="26"/>
      <c r="J242" s="22" t="str">
        <f aca="false">IFERROR(IF(MOD(SMALL(Lines!$G$3:$G$1590,237),100000)=0,-1,MOD(SMALL(Lines!$G$3:$G$1590,237),100)),"")</f>
        <v/>
      </c>
      <c r="K242" s="22" t="str">
        <f aca="false">IF($J242=0,INDEX(Lines!$L$3:$L$1590,MATCH(SMALL(Lines!$G$3:$G$1590,237),Lines!$G$3:$G$1590,0)),"")</f>
        <v/>
      </c>
    </row>
    <row r="243" customFormat="false" ht="15" hidden="false" customHeight="false" outlineLevel="0" collapsed="false">
      <c r="A243" s="24" t="str">
        <f aca="false">IF(OR($J243=0,AND(ISNUMBER($J243),$J243&gt;0,$J243&lt;99)),INDEX(Lines!$A$3:$A$1590,MATCH(SMALL(Lines!$G$3:$G$1590,238),Lines!$G$3:$G$1590,0)),"")</f>
        <v/>
      </c>
      <c r="B243" s="24" t="str">
        <f aca="false">IF($J243=-1,INDEX(Lines!$J$3:$J$1590,MATCH(SMALL(Lines!$G$3:$G$1590,238),Lines!$G$3:$G$1590,0)),IF($J243=0,INDEX(Lines!$L$3:$L$1590,MATCH(SMALL(Lines!$G$3:$G$1590,238),Lines!$G$3:$G$1590,0)),IF(AND(ISNUMBER($J243),$J243&gt;0,$J243&lt;99),INDEX(Lines!$N$3:$N$1590,MATCH(SMALL(Lines!$G$3:$G$1590,238),Lines!$G$3:$G$1590,0)),"")))</f>
        <v/>
      </c>
      <c r="C243" s="25" t="str">
        <f aca="false">IF($J243=0,INDEX(Lines!$K$3:$K$1590,MATCH(SMALL(Lines!$G$3:$G$1590,238),Lines!$G$3:$G$1590,0)),IF(AND(ISNUMBER($J243),$J243&gt;0,$J243&lt;99),INDEX(Lines!$C$3:$C$1590,MATCH(SMALL(Lines!$G$3:$G$1590,238),Lines!$G$3:$G$1590,0)),""))</f>
        <v/>
      </c>
      <c r="D243" s="26" t="str">
        <f aca="false">IF(AND(ISNUMBER($J243),$J243&gt;0,$J243&lt;99),INDEX(Lines!$D$3:$D$1590,MATCH(SMALL(Lines!$G$3:$G$1590,238),Lines!$G$3:$G$1590,0)),"")</f>
        <v/>
      </c>
      <c r="E243" s="26" t="str">
        <f aca="false">IF(AND(ISNUMBER($J243),$J243&gt;0,$J243&lt;99),INDEX(Lines!$E$3:$E$1590,MATCH(SMALL(Lines!$G$3:$G$1590,238),Lines!$G$3:$G$1590,0)),"")</f>
        <v/>
      </c>
      <c r="F243" s="26" t="str">
        <f aca="false">IF(AND(ISNUMBER($J243),$J243&gt;0,$J243&lt;99),INDEX(Lines!$O$3:$O$1590,MATCH(SMALL(Lines!$G$3:$G$1590,238),Lines!$G$3:$G$1590,0)),"")</f>
        <v/>
      </c>
      <c r="G243" s="27" t="str">
        <f aca="false">IF($J243=0,INDEX(Lines!$Q$3:$Q$1590,MATCH(SMALL(Lines!$G$3:$G$1590,238),Lines!$G$3:$G$1590,0)),IF(AND(ISNUMBER($J243),$J243&gt;0,$J243&lt;99),INDEX(Lines!$P$3:$P$1590,MATCH(SMALL(Lines!$G$3:$G$1590,238),Lines!$G$3:$G$1590,0)),""))</f>
        <v/>
      </c>
      <c r="H243" s="28" t="str">
        <f aca="false">IF($J243=0,INDEX(Lines!$H$3:$H$1590,MATCH(SMALL(Lines!$G$3:$G$1590,238),Lines!$G$3:$G$1590,0))&amp;" groups",IF(AND(ISNUMBER($J243),$J243&gt;0,$J243&lt;99),INDEX(Lines!$I$3:$I$1590,MATCH(SMALL(Lines!$G$3:$G$1590,238),Lines!$G$3:$G$1590,0)),""))</f>
        <v/>
      </c>
      <c r="I243" s="26"/>
      <c r="J243" s="22" t="str">
        <f aca="false">IFERROR(IF(MOD(SMALL(Lines!$G$3:$G$1590,238),100000)=0,-1,MOD(SMALL(Lines!$G$3:$G$1590,238),100)),"")</f>
        <v/>
      </c>
      <c r="K243" s="22" t="str">
        <f aca="false">IF($J243=0,INDEX(Lines!$L$3:$L$1590,MATCH(SMALL(Lines!$G$3:$G$1590,238),Lines!$G$3:$G$1590,0)),"")</f>
        <v/>
      </c>
    </row>
    <row r="244" customFormat="false" ht="15" hidden="false" customHeight="false" outlineLevel="0" collapsed="false">
      <c r="A244" s="24" t="str">
        <f aca="false">IF(OR($J244=0,AND(ISNUMBER($J244),$J244&gt;0,$J244&lt;99)),INDEX(Lines!$A$3:$A$1590,MATCH(SMALL(Lines!$G$3:$G$1590,239),Lines!$G$3:$G$1590,0)),"")</f>
        <v/>
      </c>
      <c r="B244" s="24" t="str">
        <f aca="false">IF($J244=-1,INDEX(Lines!$J$3:$J$1590,MATCH(SMALL(Lines!$G$3:$G$1590,239),Lines!$G$3:$G$1590,0)),IF($J244=0,INDEX(Lines!$L$3:$L$1590,MATCH(SMALL(Lines!$G$3:$G$1590,239),Lines!$G$3:$G$1590,0)),IF(AND(ISNUMBER($J244),$J244&gt;0,$J244&lt;99),INDEX(Lines!$N$3:$N$1590,MATCH(SMALL(Lines!$G$3:$G$1590,239),Lines!$G$3:$G$1590,0)),"")))</f>
        <v/>
      </c>
      <c r="C244" s="25" t="str">
        <f aca="false">IF($J244=0,INDEX(Lines!$K$3:$K$1590,MATCH(SMALL(Lines!$G$3:$G$1590,239),Lines!$G$3:$G$1590,0)),IF(AND(ISNUMBER($J244),$J244&gt;0,$J244&lt;99),INDEX(Lines!$C$3:$C$1590,MATCH(SMALL(Lines!$G$3:$G$1590,239),Lines!$G$3:$G$1590,0)),""))</f>
        <v/>
      </c>
      <c r="D244" s="26" t="str">
        <f aca="false">IF(AND(ISNUMBER($J244),$J244&gt;0,$J244&lt;99),INDEX(Lines!$D$3:$D$1590,MATCH(SMALL(Lines!$G$3:$G$1590,239),Lines!$G$3:$G$1590,0)),"")</f>
        <v/>
      </c>
      <c r="E244" s="26" t="str">
        <f aca="false">IF(AND(ISNUMBER($J244),$J244&gt;0,$J244&lt;99),INDEX(Lines!$E$3:$E$1590,MATCH(SMALL(Lines!$G$3:$G$1590,239),Lines!$G$3:$G$1590,0)),"")</f>
        <v/>
      </c>
      <c r="F244" s="26" t="str">
        <f aca="false">IF(AND(ISNUMBER($J244),$J244&gt;0,$J244&lt;99),INDEX(Lines!$O$3:$O$1590,MATCH(SMALL(Lines!$G$3:$G$1590,239),Lines!$G$3:$G$1590,0)),"")</f>
        <v/>
      </c>
      <c r="G244" s="27" t="str">
        <f aca="false">IF($J244=0,INDEX(Lines!$Q$3:$Q$1590,MATCH(SMALL(Lines!$G$3:$G$1590,239),Lines!$G$3:$G$1590,0)),IF(AND(ISNUMBER($J244),$J244&gt;0,$J244&lt;99),INDEX(Lines!$P$3:$P$1590,MATCH(SMALL(Lines!$G$3:$G$1590,239),Lines!$G$3:$G$1590,0)),""))</f>
        <v/>
      </c>
      <c r="H244" s="28" t="str">
        <f aca="false">IF($J244=0,INDEX(Lines!$H$3:$H$1590,MATCH(SMALL(Lines!$G$3:$G$1590,239),Lines!$G$3:$G$1590,0))&amp;" groups",IF(AND(ISNUMBER($J244),$J244&gt;0,$J244&lt;99),INDEX(Lines!$I$3:$I$1590,MATCH(SMALL(Lines!$G$3:$G$1590,239),Lines!$G$3:$G$1590,0)),""))</f>
        <v/>
      </c>
      <c r="I244" s="26"/>
      <c r="J244" s="22" t="str">
        <f aca="false">IFERROR(IF(MOD(SMALL(Lines!$G$3:$G$1590,239),100000)=0,-1,MOD(SMALL(Lines!$G$3:$G$1590,239),100)),"")</f>
        <v/>
      </c>
      <c r="K244" s="22" t="str">
        <f aca="false">IF($J244=0,INDEX(Lines!$L$3:$L$1590,MATCH(SMALL(Lines!$G$3:$G$1590,239),Lines!$G$3:$G$1590,0)),"")</f>
        <v/>
      </c>
    </row>
    <row r="245" customFormat="false" ht="15" hidden="false" customHeight="false" outlineLevel="0" collapsed="false">
      <c r="A245" s="24" t="str">
        <f aca="false">IF(OR($J245=0,AND(ISNUMBER($J245),$J245&gt;0,$J245&lt;99)),INDEX(Lines!$A$3:$A$1590,MATCH(SMALL(Lines!$G$3:$G$1590,240),Lines!$G$3:$G$1590,0)),"")</f>
        <v/>
      </c>
      <c r="B245" s="24" t="str">
        <f aca="false">IF($J245=-1,INDEX(Lines!$J$3:$J$1590,MATCH(SMALL(Lines!$G$3:$G$1590,240),Lines!$G$3:$G$1590,0)),IF($J245=0,INDEX(Lines!$L$3:$L$1590,MATCH(SMALL(Lines!$G$3:$G$1590,240),Lines!$G$3:$G$1590,0)),IF(AND(ISNUMBER($J245),$J245&gt;0,$J245&lt;99),INDEX(Lines!$N$3:$N$1590,MATCH(SMALL(Lines!$G$3:$G$1590,240),Lines!$G$3:$G$1590,0)),"")))</f>
        <v/>
      </c>
      <c r="C245" s="25" t="str">
        <f aca="false">IF($J245=0,INDEX(Lines!$K$3:$K$1590,MATCH(SMALL(Lines!$G$3:$G$1590,240),Lines!$G$3:$G$1590,0)),IF(AND(ISNUMBER($J245),$J245&gt;0,$J245&lt;99),INDEX(Lines!$C$3:$C$1590,MATCH(SMALL(Lines!$G$3:$G$1590,240),Lines!$G$3:$G$1590,0)),""))</f>
        <v/>
      </c>
      <c r="D245" s="26" t="str">
        <f aca="false">IF(AND(ISNUMBER($J245),$J245&gt;0,$J245&lt;99),INDEX(Lines!$D$3:$D$1590,MATCH(SMALL(Lines!$G$3:$G$1590,240),Lines!$G$3:$G$1590,0)),"")</f>
        <v/>
      </c>
      <c r="E245" s="26" t="str">
        <f aca="false">IF(AND(ISNUMBER($J245),$J245&gt;0,$J245&lt;99),INDEX(Lines!$E$3:$E$1590,MATCH(SMALL(Lines!$G$3:$G$1590,240),Lines!$G$3:$G$1590,0)),"")</f>
        <v/>
      </c>
      <c r="F245" s="26" t="str">
        <f aca="false">IF(AND(ISNUMBER($J245),$J245&gt;0,$J245&lt;99),INDEX(Lines!$O$3:$O$1590,MATCH(SMALL(Lines!$G$3:$G$1590,240),Lines!$G$3:$G$1590,0)),"")</f>
        <v/>
      </c>
      <c r="G245" s="27" t="str">
        <f aca="false">IF($J245=0,INDEX(Lines!$Q$3:$Q$1590,MATCH(SMALL(Lines!$G$3:$G$1590,240),Lines!$G$3:$G$1590,0)),IF(AND(ISNUMBER($J245),$J245&gt;0,$J245&lt;99),INDEX(Lines!$P$3:$P$1590,MATCH(SMALL(Lines!$G$3:$G$1590,240),Lines!$G$3:$G$1590,0)),""))</f>
        <v/>
      </c>
      <c r="H245" s="28" t="str">
        <f aca="false">IF($J245=0,INDEX(Lines!$H$3:$H$1590,MATCH(SMALL(Lines!$G$3:$G$1590,240),Lines!$G$3:$G$1590,0))&amp;" groups",IF(AND(ISNUMBER($J245),$J245&gt;0,$J245&lt;99),INDEX(Lines!$I$3:$I$1590,MATCH(SMALL(Lines!$G$3:$G$1590,240),Lines!$G$3:$G$1590,0)),""))</f>
        <v/>
      </c>
      <c r="I245" s="26"/>
      <c r="J245" s="22" t="str">
        <f aca="false">IFERROR(IF(MOD(SMALL(Lines!$G$3:$G$1590,240),100000)=0,-1,MOD(SMALL(Lines!$G$3:$G$1590,240),100)),"")</f>
        <v/>
      </c>
      <c r="K245" s="22" t="str">
        <f aca="false">IF($J245=0,INDEX(Lines!$L$3:$L$1590,MATCH(SMALL(Lines!$G$3:$G$1590,240),Lines!$G$3:$G$1590,0)),"")</f>
        <v/>
      </c>
    </row>
    <row r="246" customFormat="false" ht="15" hidden="false" customHeight="false" outlineLevel="0" collapsed="false">
      <c r="A246" s="24" t="str">
        <f aca="false">IF(OR($J246=0,AND(ISNUMBER($J246),$J246&gt;0,$J246&lt;99)),INDEX(Lines!$A$3:$A$1590,MATCH(SMALL(Lines!$G$3:$G$1590,241),Lines!$G$3:$G$1590,0)),"")</f>
        <v/>
      </c>
      <c r="B246" s="24" t="str">
        <f aca="false">IF($J246=-1,INDEX(Lines!$J$3:$J$1590,MATCH(SMALL(Lines!$G$3:$G$1590,241),Lines!$G$3:$G$1590,0)),IF($J246=0,INDEX(Lines!$L$3:$L$1590,MATCH(SMALL(Lines!$G$3:$G$1590,241),Lines!$G$3:$G$1590,0)),IF(AND(ISNUMBER($J246),$J246&gt;0,$J246&lt;99),INDEX(Lines!$N$3:$N$1590,MATCH(SMALL(Lines!$G$3:$G$1590,241),Lines!$G$3:$G$1590,0)),"")))</f>
        <v/>
      </c>
      <c r="C246" s="25" t="str">
        <f aca="false">IF($J246=0,INDEX(Lines!$K$3:$K$1590,MATCH(SMALL(Lines!$G$3:$G$1590,241),Lines!$G$3:$G$1590,0)),IF(AND(ISNUMBER($J246),$J246&gt;0,$J246&lt;99),INDEX(Lines!$C$3:$C$1590,MATCH(SMALL(Lines!$G$3:$G$1590,241),Lines!$G$3:$G$1590,0)),""))</f>
        <v/>
      </c>
      <c r="D246" s="26" t="str">
        <f aca="false">IF(AND(ISNUMBER($J246),$J246&gt;0,$J246&lt;99),INDEX(Lines!$D$3:$D$1590,MATCH(SMALL(Lines!$G$3:$G$1590,241),Lines!$G$3:$G$1590,0)),"")</f>
        <v/>
      </c>
      <c r="E246" s="26" t="str">
        <f aca="false">IF(AND(ISNUMBER($J246),$J246&gt;0,$J246&lt;99),INDEX(Lines!$E$3:$E$1590,MATCH(SMALL(Lines!$G$3:$G$1590,241),Lines!$G$3:$G$1590,0)),"")</f>
        <v/>
      </c>
      <c r="F246" s="26" t="str">
        <f aca="false">IF(AND(ISNUMBER($J246),$J246&gt;0,$J246&lt;99),INDEX(Lines!$O$3:$O$1590,MATCH(SMALL(Lines!$G$3:$G$1590,241),Lines!$G$3:$G$1590,0)),"")</f>
        <v/>
      </c>
      <c r="G246" s="27" t="str">
        <f aca="false">IF($J246=0,INDEX(Lines!$Q$3:$Q$1590,MATCH(SMALL(Lines!$G$3:$G$1590,241),Lines!$G$3:$G$1590,0)),IF(AND(ISNUMBER($J246),$J246&gt;0,$J246&lt;99),INDEX(Lines!$P$3:$P$1590,MATCH(SMALL(Lines!$G$3:$G$1590,241),Lines!$G$3:$G$1590,0)),""))</f>
        <v/>
      </c>
      <c r="H246" s="28" t="str">
        <f aca="false">IF($J246=0,INDEX(Lines!$H$3:$H$1590,MATCH(SMALL(Lines!$G$3:$G$1590,241),Lines!$G$3:$G$1590,0))&amp;" groups",IF(AND(ISNUMBER($J246),$J246&gt;0,$J246&lt;99),INDEX(Lines!$I$3:$I$1590,MATCH(SMALL(Lines!$G$3:$G$1590,241),Lines!$G$3:$G$1590,0)),""))</f>
        <v/>
      </c>
      <c r="I246" s="26"/>
      <c r="J246" s="22" t="str">
        <f aca="false">IFERROR(IF(MOD(SMALL(Lines!$G$3:$G$1590,241),100000)=0,-1,MOD(SMALL(Lines!$G$3:$G$1590,241),100)),"")</f>
        <v/>
      </c>
      <c r="K246" s="22" t="str">
        <f aca="false">IF($J246=0,INDEX(Lines!$L$3:$L$1590,MATCH(SMALL(Lines!$G$3:$G$1590,241),Lines!$G$3:$G$1590,0)),"")</f>
        <v/>
      </c>
    </row>
    <row r="247" customFormat="false" ht="15" hidden="false" customHeight="false" outlineLevel="0" collapsed="false">
      <c r="A247" s="24" t="str">
        <f aca="false">IF(OR($J247=0,AND(ISNUMBER($J247),$J247&gt;0,$J247&lt;99)),INDEX(Lines!$A$3:$A$1590,MATCH(SMALL(Lines!$G$3:$G$1590,242),Lines!$G$3:$G$1590,0)),"")</f>
        <v/>
      </c>
      <c r="B247" s="24" t="str">
        <f aca="false">IF($J247=-1,INDEX(Lines!$J$3:$J$1590,MATCH(SMALL(Lines!$G$3:$G$1590,242),Lines!$G$3:$G$1590,0)),IF($J247=0,INDEX(Lines!$L$3:$L$1590,MATCH(SMALL(Lines!$G$3:$G$1590,242),Lines!$G$3:$G$1590,0)),IF(AND(ISNUMBER($J247),$J247&gt;0,$J247&lt;99),INDEX(Lines!$N$3:$N$1590,MATCH(SMALL(Lines!$G$3:$G$1590,242),Lines!$G$3:$G$1590,0)),"")))</f>
        <v/>
      </c>
      <c r="C247" s="25" t="str">
        <f aca="false">IF($J247=0,INDEX(Lines!$K$3:$K$1590,MATCH(SMALL(Lines!$G$3:$G$1590,242),Lines!$G$3:$G$1590,0)),IF(AND(ISNUMBER($J247),$J247&gt;0,$J247&lt;99),INDEX(Lines!$C$3:$C$1590,MATCH(SMALL(Lines!$G$3:$G$1590,242),Lines!$G$3:$G$1590,0)),""))</f>
        <v/>
      </c>
      <c r="D247" s="26" t="str">
        <f aca="false">IF(AND(ISNUMBER($J247),$J247&gt;0,$J247&lt;99),INDEX(Lines!$D$3:$D$1590,MATCH(SMALL(Lines!$G$3:$G$1590,242),Lines!$G$3:$G$1590,0)),"")</f>
        <v/>
      </c>
      <c r="E247" s="26" t="str">
        <f aca="false">IF(AND(ISNUMBER($J247),$J247&gt;0,$J247&lt;99),INDEX(Lines!$E$3:$E$1590,MATCH(SMALL(Lines!$G$3:$G$1590,242),Lines!$G$3:$G$1590,0)),"")</f>
        <v/>
      </c>
      <c r="F247" s="26" t="str">
        <f aca="false">IF(AND(ISNUMBER($J247),$J247&gt;0,$J247&lt;99),INDEX(Lines!$O$3:$O$1590,MATCH(SMALL(Lines!$G$3:$G$1590,242),Lines!$G$3:$G$1590,0)),"")</f>
        <v/>
      </c>
      <c r="G247" s="27" t="str">
        <f aca="false">IF($J247=0,INDEX(Lines!$Q$3:$Q$1590,MATCH(SMALL(Lines!$G$3:$G$1590,242),Lines!$G$3:$G$1590,0)),IF(AND(ISNUMBER($J247),$J247&gt;0,$J247&lt;99),INDEX(Lines!$P$3:$P$1590,MATCH(SMALL(Lines!$G$3:$G$1590,242),Lines!$G$3:$G$1590,0)),""))</f>
        <v/>
      </c>
      <c r="H247" s="28" t="str">
        <f aca="false">IF($J247=0,INDEX(Lines!$H$3:$H$1590,MATCH(SMALL(Lines!$G$3:$G$1590,242),Lines!$G$3:$G$1590,0))&amp;" groups",IF(AND(ISNUMBER($J247),$J247&gt;0,$J247&lt;99),INDEX(Lines!$I$3:$I$1590,MATCH(SMALL(Lines!$G$3:$G$1590,242),Lines!$G$3:$G$1590,0)),""))</f>
        <v/>
      </c>
      <c r="I247" s="26"/>
      <c r="J247" s="22" t="str">
        <f aca="false">IFERROR(IF(MOD(SMALL(Lines!$G$3:$G$1590,242),100000)=0,-1,MOD(SMALL(Lines!$G$3:$G$1590,242),100)),"")</f>
        <v/>
      </c>
      <c r="K247" s="22" t="str">
        <f aca="false">IF($J247=0,INDEX(Lines!$L$3:$L$1590,MATCH(SMALL(Lines!$G$3:$G$1590,242),Lines!$G$3:$G$1590,0)),"")</f>
        <v/>
      </c>
    </row>
    <row r="248" customFormat="false" ht="15" hidden="false" customHeight="false" outlineLevel="0" collapsed="false">
      <c r="A248" s="24" t="str">
        <f aca="false">IF(OR($J248=0,AND(ISNUMBER($J248),$J248&gt;0,$J248&lt;99)),INDEX(Lines!$A$3:$A$1590,MATCH(SMALL(Lines!$G$3:$G$1590,243),Lines!$G$3:$G$1590,0)),"")</f>
        <v/>
      </c>
      <c r="B248" s="24" t="str">
        <f aca="false">IF($J248=-1,INDEX(Lines!$J$3:$J$1590,MATCH(SMALL(Lines!$G$3:$G$1590,243),Lines!$G$3:$G$1590,0)),IF($J248=0,INDEX(Lines!$L$3:$L$1590,MATCH(SMALL(Lines!$G$3:$G$1590,243),Lines!$G$3:$G$1590,0)),IF(AND(ISNUMBER($J248),$J248&gt;0,$J248&lt;99),INDEX(Lines!$N$3:$N$1590,MATCH(SMALL(Lines!$G$3:$G$1590,243),Lines!$G$3:$G$1590,0)),"")))</f>
        <v/>
      </c>
      <c r="C248" s="25" t="str">
        <f aca="false">IF($J248=0,INDEX(Lines!$K$3:$K$1590,MATCH(SMALL(Lines!$G$3:$G$1590,243),Lines!$G$3:$G$1590,0)),IF(AND(ISNUMBER($J248),$J248&gt;0,$J248&lt;99),INDEX(Lines!$C$3:$C$1590,MATCH(SMALL(Lines!$G$3:$G$1590,243),Lines!$G$3:$G$1590,0)),""))</f>
        <v/>
      </c>
      <c r="D248" s="26" t="str">
        <f aca="false">IF(AND(ISNUMBER($J248),$J248&gt;0,$J248&lt;99),INDEX(Lines!$D$3:$D$1590,MATCH(SMALL(Lines!$G$3:$G$1590,243),Lines!$G$3:$G$1590,0)),"")</f>
        <v/>
      </c>
      <c r="E248" s="26" t="str">
        <f aca="false">IF(AND(ISNUMBER($J248),$J248&gt;0,$J248&lt;99),INDEX(Lines!$E$3:$E$1590,MATCH(SMALL(Lines!$G$3:$G$1590,243),Lines!$G$3:$G$1590,0)),"")</f>
        <v/>
      </c>
      <c r="F248" s="26" t="str">
        <f aca="false">IF(AND(ISNUMBER($J248),$J248&gt;0,$J248&lt;99),INDEX(Lines!$O$3:$O$1590,MATCH(SMALL(Lines!$G$3:$G$1590,243),Lines!$G$3:$G$1590,0)),"")</f>
        <v/>
      </c>
      <c r="G248" s="27" t="str">
        <f aca="false">IF($J248=0,INDEX(Lines!$Q$3:$Q$1590,MATCH(SMALL(Lines!$G$3:$G$1590,243),Lines!$G$3:$G$1590,0)),IF(AND(ISNUMBER($J248),$J248&gt;0,$J248&lt;99),INDEX(Lines!$P$3:$P$1590,MATCH(SMALL(Lines!$G$3:$G$1590,243),Lines!$G$3:$G$1590,0)),""))</f>
        <v/>
      </c>
      <c r="H248" s="28" t="str">
        <f aca="false">IF($J248=0,INDEX(Lines!$H$3:$H$1590,MATCH(SMALL(Lines!$G$3:$G$1590,243),Lines!$G$3:$G$1590,0))&amp;" groups",IF(AND(ISNUMBER($J248),$J248&gt;0,$J248&lt;99),INDEX(Lines!$I$3:$I$1590,MATCH(SMALL(Lines!$G$3:$G$1590,243),Lines!$G$3:$G$1590,0)),""))</f>
        <v/>
      </c>
      <c r="I248" s="26"/>
      <c r="J248" s="22" t="str">
        <f aca="false">IFERROR(IF(MOD(SMALL(Lines!$G$3:$G$1590,243),100000)=0,-1,MOD(SMALL(Lines!$G$3:$G$1590,243),100)),"")</f>
        <v/>
      </c>
      <c r="K248" s="22" t="str">
        <f aca="false">IF($J248=0,INDEX(Lines!$L$3:$L$1590,MATCH(SMALL(Lines!$G$3:$G$1590,243),Lines!$G$3:$G$1590,0)),"")</f>
        <v/>
      </c>
    </row>
    <row r="249" customFormat="false" ht="15" hidden="false" customHeight="false" outlineLevel="0" collapsed="false">
      <c r="A249" s="24" t="str">
        <f aca="false">IF(OR($J249=0,AND(ISNUMBER($J249),$J249&gt;0,$J249&lt;99)),INDEX(Lines!$A$3:$A$1590,MATCH(SMALL(Lines!$G$3:$G$1590,244),Lines!$G$3:$G$1590,0)),"")</f>
        <v/>
      </c>
      <c r="B249" s="24" t="str">
        <f aca="false">IF($J249=-1,INDEX(Lines!$J$3:$J$1590,MATCH(SMALL(Lines!$G$3:$G$1590,244),Lines!$G$3:$G$1590,0)),IF($J249=0,INDEX(Lines!$L$3:$L$1590,MATCH(SMALL(Lines!$G$3:$G$1590,244),Lines!$G$3:$G$1590,0)),IF(AND(ISNUMBER($J249),$J249&gt;0,$J249&lt;99),INDEX(Lines!$N$3:$N$1590,MATCH(SMALL(Lines!$G$3:$G$1590,244),Lines!$G$3:$G$1590,0)),"")))</f>
        <v/>
      </c>
      <c r="C249" s="25" t="str">
        <f aca="false">IF($J249=0,INDEX(Lines!$K$3:$K$1590,MATCH(SMALL(Lines!$G$3:$G$1590,244),Lines!$G$3:$G$1590,0)),IF(AND(ISNUMBER($J249),$J249&gt;0,$J249&lt;99),INDEX(Lines!$C$3:$C$1590,MATCH(SMALL(Lines!$G$3:$G$1590,244),Lines!$G$3:$G$1590,0)),""))</f>
        <v/>
      </c>
      <c r="D249" s="26" t="str">
        <f aca="false">IF(AND(ISNUMBER($J249),$J249&gt;0,$J249&lt;99),INDEX(Lines!$D$3:$D$1590,MATCH(SMALL(Lines!$G$3:$G$1590,244),Lines!$G$3:$G$1590,0)),"")</f>
        <v/>
      </c>
      <c r="E249" s="26" t="str">
        <f aca="false">IF(AND(ISNUMBER($J249),$J249&gt;0,$J249&lt;99),INDEX(Lines!$E$3:$E$1590,MATCH(SMALL(Lines!$G$3:$G$1590,244),Lines!$G$3:$G$1590,0)),"")</f>
        <v/>
      </c>
      <c r="F249" s="26" t="str">
        <f aca="false">IF(AND(ISNUMBER($J249),$J249&gt;0,$J249&lt;99),INDEX(Lines!$O$3:$O$1590,MATCH(SMALL(Lines!$G$3:$G$1590,244),Lines!$G$3:$G$1590,0)),"")</f>
        <v/>
      </c>
      <c r="G249" s="27" t="str">
        <f aca="false">IF($J249=0,INDEX(Lines!$Q$3:$Q$1590,MATCH(SMALL(Lines!$G$3:$G$1590,244),Lines!$G$3:$G$1590,0)),IF(AND(ISNUMBER($J249),$J249&gt;0,$J249&lt;99),INDEX(Lines!$P$3:$P$1590,MATCH(SMALL(Lines!$G$3:$G$1590,244),Lines!$G$3:$G$1590,0)),""))</f>
        <v/>
      </c>
      <c r="H249" s="28" t="str">
        <f aca="false">IF($J249=0,INDEX(Lines!$H$3:$H$1590,MATCH(SMALL(Lines!$G$3:$G$1590,244),Lines!$G$3:$G$1590,0))&amp;" groups",IF(AND(ISNUMBER($J249),$J249&gt;0,$J249&lt;99),INDEX(Lines!$I$3:$I$1590,MATCH(SMALL(Lines!$G$3:$G$1590,244),Lines!$G$3:$G$1590,0)),""))</f>
        <v/>
      </c>
      <c r="I249" s="26"/>
      <c r="J249" s="22" t="str">
        <f aca="false">IFERROR(IF(MOD(SMALL(Lines!$G$3:$G$1590,244),100000)=0,-1,MOD(SMALL(Lines!$G$3:$G$1590,244),100)),"")</f>
        <v/>
      </c>
      <c r="K249" s="22" t="str">
        <f aca="false">IF($J249=0,INDEX(Lines!$L$3:$L$1590,MATCH(SMALL(Lines!$G$3:$G$1590,244),Lines!$G$3:$G$1590,0)),"")</f>
        <v/>
      </c>
    </row>
    <row r="250" customFormat="false" ht="15" hidden="false" customHeight="false" outlineLevel="0" collapsed="false">
      <c r="A250" s="24" t="str">
        <f aca="false">IF(OR($J250=0,AND(ISNUMBER($J250),$J250&gt;0,$J250&lt;99)),INDEX(Lines!$A$3:$A$1590,MATCH(SMALL(Lines!$G$3:$G$1590,245),Lines!$G$3:$G$1590,0)),"")</f>
        <v/>
      </c>
      <c r="B250" s="24" t="str">
        <f aca="false">IF($J250=-1,INDEX(Lines!$J$3:$J$1590,MATCH(SMALL(Lines!$G$3:$G$1590,245),Lines!$G$3:$G$1590,0)),IF($J250=0,INDEX(Lines!$L$3:$L$1590,MATCH(SMALL(Lines!$G$3:$G$1590,245),Lines!$G$3:$G$1590,0)),IF(AND(ISNUMBER($J250),$J250&gt;0,$J250&lt;99),INDEX(Lines!$N$3:$N$1590,MATCH(SMALL(Lines!$G$3:$G$1590,245),Lines!$G$3:$G$1590,0)),"")))</f>
        <v/>
      </c>
      <c r="C250" s="25" t="str">
        <f aca="false">IF($J250=0,INDEX(Lines!$K$3:$K$1590,MATCH(SMALL(Lines!$G$3:$G$1590,245),Lines!$G$3:$G$1590,0)),IF(AND(ISNUMBER($J250),$J250&gt;0,$J250&lt;99),INDEX(Lines!$C$3:$C$1590,MATCH(SMALL(Lines!$G$3:$G$1590,245),Lines!$G$3:$G$1590,0)),""))</f>
        <v/>
      </c>
      <c r="D250" s="26" t="str">
        <f aca="false">IF(AND(ISNUMBER($J250),$J250&gt;0,$J250&lt;99),INDEX(Lines!$D$3:$D$1590,MATCH(SMALL(Lines!$G$3:$G$1590,245),Lines!$G$3:$G$1590,0)),"")</f>
        <v/>
      </c>
      <c r="E250" s="26" t="str">
        <f aca="false">IF(AND(ISNUMBER($J250),$J250&gt;0,$J250&lt;99),INDEX(Lines!$E$3:$E$1590,MATCH(SMALL(Lines!$G$3:$G$1590,245),Lines!$G$3:$G$1590,0)),"")</f>
        <v/>
      </c>
      <c r="F250" s="26" t="str">
        <f aca="false">IF(AND(ISNUMBER($J250),$J250&gt;0,$J250&lt;99),INDEX(Lines!$O$3:$O$1590,MATCH(SMALL(Lines!$G$3:$G$1590,245),Lines!$G$3:$G$1590,0)),"")</f>
        <v/>
      </c>
      <c r="G250" s="27" t="str">
        <f aca="false">IF($J250=0,INDEX(Lines!$Q$3:$Q$1590,MATCH(SMALL(Lines!$G$3:$G$1590,245),Lines!$G$3:$G$1590,0)),IF(AND(ISNUMBER($J250),$J250&gt;0,$J250&lt;99),INDEX(Lines!$P$3:$P$1590,MATCH(SMALL(Lines!$G$3:$G$1590,245),Lines!$G$3:$G$1590,0)),""))</f>
        <v/>
      </c>
      <c r="H250" s="28" t="str">
        <f aca="false">IF($J250=0,INDEX(Lines!$H$3:$H$1590,MATCH(SMALL(Lines!$G$3:$G$1590,245),Lines!$G$3:$G$1590,0))&amp;" groups",IF(AND(ISNUMBER($J250),$J250&gt;0,$J250&lt;99),INDEX(Lines!$I$3:$I$1590,MATCH(SMALL(Lines!$G$3:$G$1590,245),Lines!$G$3:$G$1590,0)),""))</f>
        <v/>
      </c>
      <c r="I250" s="26"/>
      <c r="J250" s="22" t="str">
        <f aca="false">IFERROR(IF(MOD(SMALL(Lines!$G$3:$G$1590,245),100000)=0,-1,MOD(SMALL(Lines!$G$3:$G$1590,245),100)),"")</f>
        <v/>
      </c>
      <c r="K250" s="22" t="str">
        <f aca="false">IF($J250=0,INDEX(Lines!$L$3:$L$1590,MATCH(SMALL(Lines!$G$3:$G$1590,245),Lines!$G$3:$G$1590,0)),"")</f>
        <v/>
      </c>
    </row>
    <row r="251" customFormat="false" ht="15" hidden="false" customHeight="false" outlineLevel="0" collapsed="false">
      <c r="A251" s="24" t="str">
        <f aca="false">IF(OR($J251=0,AND(ISNUMBER($J251),$J251&gt;0,$J251&lt;99)),INDEX(Lines!$A$3:$A$1590,MATCH(SMALL(Lines!$G$3:$G$1590,246),Lines!$G$3:$G$1590,0)),"")</f>
        <v/>
      </c>
      <c r="B251" s="24" t="str">
        <f aca="false">IF($J251=-1,INDEX(Lines!$J$3:$J$1590,MATCH(SMALL(Lines!$G$3:$G$1590,246),Lines!$G$3:$G$1590,0)),IF($J251=0,INDEX(Lines!$L$3:$L$1590,MATCH(SMALL(Lines!$G$3:$G$1590,246),Lines!$G$3:$G$1590,0)),IF(AND(ISNUMBER($J251),$J251&gt;0,$J251&lt;99),INDEX(Lines!$N$3:$N$1590,MATCH(SMALL(Lines!$G$3:$G$1590,246),Lines!$G$3:$G$1590,0)),"")))</f>
        <v/>
      </c>
      <c r="C251" s="25" t="str">
        <f aca="false">IF($J251=0,INDEX(Lines!$K$3:$K$1590,MATCH(SMALL(Lines!$G$3:$G$1590,246),Lines!$G$3:$G$1590,0)),IF(AND(ISNUMBER($J251),$J251&gt;0,$J251&lt;99),INDEX(Lines!$C$3:$C$1590,MATCH(SMALL(Lines!$G$3:$G$1590,246),Lines!$G$3:$G$1590,0)),""))</f>
        <v/>
      </c>
      <c r="D251" s="26" t="str">
        <f aca="false">IF(AND(ISNUMBER($J251),$J251&gt;0,$J251&lt;99),INDEX(Lines!$D$3:$D$1590,MATCH(SMALL(Lines!$G$3:$G$1590,246),Lines!$G$3:$G$1590,0)),"")</f>
        <v/>
      </c>
      <c r="E251" s="26" t="str">
        <f aca="false">IF(AND(ISNUMBER($J251),$J251&gt;0,$J251&lt;99),INDEX(Lines!$E$3:$E$1590,MATCH(SMALL(Lines!$G$3:$G$1590,246),Lines!$G$3:$G$1590,0)),"")</f>
        <v/>
      </c>
      <c r="F251" s="26" t="str">
        <f aca="false">IF(AND(ISNUMBER($J251),$J251&gt;0,$J251&lt;99),INDEX(Lines!$O$3:$O$1590,MATCH(SMALL(Lines!$G$3:$G$1590,246),Lines!$G$3:$G$1590,0)),"")</f>
        <v/>
      </c>
      <c r="G251" s="27" t="str">
        <f aca="false">IF($J251=0,INDEX(Lines!$Q$3:$Q$1590,MATCH(SMALL(Lines!$G$3:$G$1590,246),Lines!$G$3:$G$1590,0)),IF(AND(ISNUMBER($J251),$J251&gt;0,$J251&lt;99),INDEX(Lines!$P$3:$P$1590,MATCH(SMALL(Lines!$G$3:$G$1590,246),Lines!$G$3:$G$1590,0)),""))</f>
        <v/>
      </c>
      <c r="H251" s="28" t="str">
        <f aca="false">IF($J251=0,INDEX(Lines!$H$3:$H$1590,MATCH(SMALL(Lines!$G$3:$G$1590,246),Lines!$G$3:$G$1590,0))&amp;" groups",IF(AND(ISNUMBER($J251),$J251&gt;0,$J251&lt;99),INDEX(Lines!$I$3:$I$1590,MATCH(SMALL(Lines!$G$3:$G$1590,246),Lines!$G$3:$G$1590,0)),""))</f>
        <v/>
      </c>
      <c r="I251" s="26"/>
      <c r="J251" s="22" t="str">
        <f aca="false">IFERROR(IF(MOD(SMALL(Lines!$G$3:$G$1590,246),100000)=0,-1,MOD(SMALL(Lines!$G$3:$G$1590,246),100)),"")</f>
        <v/>
      </c>
      <c r="K251" s="22" t="str">
        <f aca="false">IF($J251=0,INDEX(Lines!$L$3:$L$1590,MATCH(SMALL(Lines!$G$3:$G$1590,246),Lines!$G$3:$G$1590,0)),"")</f>
        <v/>
      </c>
    </row>
    <row r="252" customFormat="false" ht="15" hidden="false" customHeight="false" outlineLevel="0" collapsed="false">
      <c r="A252" s="24" t="str">
        <f aca="false">IF(OR($J252=0,AND(ISNUMBER($J252),$J252&gt;0,$J252&lt;99)),INDEX(Lines!$A$3:$A$1590,MATCH(SMALL(Lines!$G$3:$G$1590,247),Lines!$G$3:$G$1590,0)),"")</f>
        <v/>
      </c>
      <c r="B252" s="24" t="str">
        <f aca="false">IF($J252=-1,INDEX(Lines!$J$3:$J$1590,MATCH(SMALL(Lines!$G$3:$G$1590,247),Lines!$G$3:$G$1590,0)),IF($J252=0,INDEX(Lines!$L$3:$L$1590,MATCH(SMALL(Lines!$G$3:$G$1590,247),Lines!$G$3:$G$1590,0)),IF(AND(ISNUMBER($J252),$J252&gt;0,$J252&lt;99),INDEX(Lines!$N$3:$N$1590,MATCH(SMALL(Lines!$G$3:$G$1590,247),Lines!$G$3:$G$1590,0)),"")))</f>
        <v/>
      </c>
      <c r="C252" s="25" t="str">
        <f aca="false">IF($J252=0,INDEX(Lines!$K$3:$K$1590,MATCH(SMALL(Lines!$G$3:$G$1590,247),Lines!$G$3:$G$1590,0)),IF(AND(ISNUMBER($J252),$J252&gt;0,$J252&lt;99),INDEX(Lines!$C$3:$C$1590,MATCH(SMALL(Lines!$G$3:$G$1590,247),Lines!$G$3:$G$1590,0)),""))</f>
        <v/>
      </c>
      <c r="D252" s="26" t="str">
        <f aca="false">IF(AND(ISNUMBER($J252),$J252&gt;0,$J252&lt;99),INDEX(Lines!$D$3:$D$1590,MATCH(SMALL(Lines!$G$3:$G$1590,247),Lines!$G$3:$G$1590,0)),"")</f>
        <v/>
      </c>
      <c r="E252" s="26" t="str">
        <f aca="false">IF(AND(ISNUMBER($J252),$J252&gt;0,$J252&lt;99),INDEX(Lines!$E$3:$E$1590,MATCH(SMALL(Lines!$G$3:$G$1590,247),Lines!$G$3:$G$1590,0)),"")</f>
        <v/>
      </c>
      <c r="F252" s="26" t="str">
        <f aca="false">IF(AND(ISNUMBER($J252),$J252&gt;0,$J252&lt;99),INDEX(Lines!$O$3:$O$1590,MATCH(SMALL(Lines!$G$3:$G$1590,247),Lines!$G$3:$G$1590,0)),"")</f>
        <v/>
      </c>
      <c r="G252" s="27" t="str">
        <f aca="false">IF($J252=0,INDEX(Lines!$Q$3:$Q$1590,MATCH(SMALL(Lines!$G$3:$G$1590,247),Lines!$G$3:$G$1590,0)),IF(AND(ISNUMBER($J252),$J252&gt;0,$J252&lt;99),INDEX(Lines!$P$3:$P$1590,MATCH(SMALL(Lines!$G$3:$G$1590,247),Lines!$G$3:$G$1590,0)),""))</f>
        <v/>
      </c>
      <c r="H252" s="28" t="str">
        <f aca="false">IF($J252=0,INDEX(Lines!$H$3:$H$1590,MATCH(SMALL(Lines!$G$3:$G$1590,247),Lines!$G$3:$G$1590,0))&amp;" groups",IF(AND(ISNUMBER($J252),$J252&gt;0,$J252&lt;99),INDEX(Lines!$I$3:$I$1590,MATCH(SMALL(Lines!$G$3:$G$1590,247),Lines!$G$3:$G$1590,0)),""))</f>
        <v/>
      </c>
      <c r="I252" s="26"/>
      <c r="J252" s="22" t="str">
        <f aca="false">IFERROR(IF(MOD(SMALL(Lines!$G$3:$G$1590,247),100000)=0,-1,MOD(SMALL(Lines!$G$3:$G$1590,247),100)),"")</f>
        <v/>
      </c>
      <c r="K252" s="22" t="str">
        <f aca="false">IF($J252=0,INDEX(Lines!$L$3:$L$1590,MATCH(SMALL(Lines!$G$3:$G$1590,247),Lines!$G$3:$G$1590,0)),"")</f>
        <v/>
      </c>
    </row>
    <row r="253" customFormat="false" ht="15" hidden="false" customHeight="false" outlineLevel="0" collapsed="false">
      <c r="A253" s="24" t="str">
        <f aca="false">IF(OR($J253=0,AND(ISNUMBER($J253),$J253&gt;0,$J253&lt;99)),INDEX(Lines!$A$3:$A$1590,MATCH(SMALL(Lines!$G$3:$G$1590,248),Lines!$G$3:$G$1590,0)),"")</f>
        <v/>
      </c>
      <c r="B253" s="24" t="str">
        <f aca="false">IF($J253=-1,INDEX(Lines!$J$3:$J$1590,MATCH(SMALL(Lines!$G$3:$G$1590,248),Lines!$G$3:$G$1590,0)),IF($J253=0,INDEX(Lines!$L$3:$L$1590,MATCH(SMALL(Lines!$G$3:$G$1590,248),Lines!$G$3:$G$1590,0)),IF(AND(ISNUMBER($J253),$J253&gt;0,$J253&lt;99),INDEX(Lines!$N$3:$N$1590,MATCH(SMALL(Lines!$G$3:$G$1590,248),Lines!$G$3:$G$1590,0)),"")))</f>
        <v/>
      </c>
      <c r="C253" s="25" t="str">
        <f aca="false">IF($J253=0,INDEX(Lines!$K$3:$K$1590,MATCH(SMALL(Lines!$G$3:$G$1590,248),Lines!$G$3:$G$1590,0)),IF(AND(ISNUMBER($J253),$J253&gt;0,$J253&lt;99),INDEX(Lines!$C$3:$C$1590,MATCH(SMALL(Lines!$G$3:$G$1590,248),Lines!$G$3:$G$1590,0)),""))</f>
        <v/>
      </c>
      <c r="D253" s="26" t="str">
        <f aca="false">IF(AND(ISNUMBER($J253),$J253&gt;0,$J253&lt;99),INDEX(Lines!$D$3:$D$1590,MATCH(SMALL(Lines!$G$3:$G$1590,248),Lines!$G$3:$G$1590,0)),"")</f>
        <v/>
      </c>
      <c r="E253" s="26" t="str">
        <f aca="false">IF(AND(ISNUMBER($J253),$J253&gt;0,$J253&lt;99),INDEX(Lines!$E$3:$E$1590,MATCH(SMALL(Lines!$G$3:$G$1590,248),Lines!$G$3:$G$1590,0)),"")</f>
        <v/>
      </c>
      <c r="F253" s="26" t="str">
        <f aca="false">IF(AND(ISNUMBER($J253),$J253&gt;0,$J253&lt;99),INDEX(Lines!$O$3:$O$1590,MATCH(SMALL(Lines!$G$3:$G$1590,248),Lines!$G$3:$G$1590,0)),"")</f>
        <v/>
      </c>
      <c r="G253" s="27" t="str">
        <f aca="false">IF($J253=0,INDEX(Lines!$Q$3:$Q$1590,MATCH(SMALL(Lines!$G$3:$G$1590,248),Lines!$G$3:$G$1590,0)),IF(AND(ISNUMBER($J253),$J253&gt;0,$J253&lt;99),INDEX(Lines!$P$3:$P$1590,MATCH(SMALL(Lines!$G$3:$G$1590,248),Lines!$G$3:$G$1590,0)),""))</f>
        <v/>
      </c>
      <c r="H253" s="28" t="str">
        <f aca="false">IF($J253=0,INDEX(Lines!$H$3:$H$1590,MATCH(SMALL(Lines!$G$3:$G$1590,248),Lines!$G$3:$G$1590,0))&amp;" groups",IF(AND(ISNUMBER($J253),$J253&gt;0,$J253&lt;99),INDEX(Lines!$I$3:$I$1590,MATCH(SMALL(Lines!$G$3:$G$1590,248),Lines!$G$3:$G$1590,0)),""))</f>
        <v/>
      </c>
      <c r="I253" s="26"/>
      <c r="J253" s="22" t="str">
        <f aca="false">IFERROR(IF(MOD(SMALL(Lines!$G$3:$G$1590,248),100000)=0,-1,MOD(SMALL(Lines!$G$3:$G$1590,248),100)),"")</f>
        <v/>
      </c>
      <c r="K253" s="22" t="str">
        <f aca="false">IF($J253=0,INDEX(Lines!$L$3:$L$1590,MATCH(SMALL(Lines!$G$3:$G$1590,248),Lines!$G$3:$G$1590,0)),"")</f>
        <v/>
      </c>
    </row>
    <row r="254" customFormat="false" ht="15" hidden="false" customHeight="false" outlineLevel="0" collapsed="false">
      <c r="A254" s="24" t="str">
        <f aca="false">IF(OR($J254=0,AND(ISNUMBER($J254),$J254&gt;0,$J254&lt;99)),INDEX(Lines!$A$3:$A$1590,MATCH(SMALL(Lines!$G$3:$G$1590,249),Lines!$G$3:$G$1590,0)),"")</f>
        <v/>
      </c>
      <c r="B254" s="24" t="str">
        <f aca="false">IF($J254=-1,INDEX(Lines!$J$3:$J$1590,MATCH(SMALL(Lines!$G$3:$G$1590,249),Lines!$G$3:$G$1590,0)),IF($J254=0,INDEX(Lines!$L$3:$L$1590,MATCH(SMALL(Lines!$G$3:$G$1590,249),Lines!$G$3:$G$1590,0)),IF(AND(ISNUMBER($J254),$J254&gt;0,$J254&lt;99),INDEX(Lines!$N$3:$N$1590,MATCH(SMALL(Lines!$G$3:$G$1590,249),Lines!$G$3:$G$1590,0)),"")))</f>
        <v/>
      </c>
      <c r="C254" s="25" t="str">
        <f aca="false">IF($J254=0,INDEX(Lines!$K$3:$K$1590,MATCH(SMALL(Lines!$G$3:$G$1590,249),Lines!$G$3:$G$1590,0)),IF(AND(ISNUMBER($J254),$J254&gt;0,$J254&lt;99),INDEX(Lines!$C$3:$C$1590,MATCH(SMALL(Lines!$G$3:$G$1590,249),Lines!$G$3:$G$1590,0)),""))</f>
        <v/>
      </c>
      <c r="D254" s="26" t="str">
        <f aca="false">IF(AND(ISNUMBER($J254),$J254&gt;0,$J254&lt;99),INDEX(Lines!$D$3:$D$1590,MATCH(SMALL(Lines!$G$3:$G$1590,249),Lines!$G$3:$G$1590,0)),"")</f>
        <v/>
      </c>
      <c r="E254" s="26" t="str">
        <f aca="false">IF(AND(ISNUMBER($J254),$J254&gt;0,$J254&lt;99),INDEX(Lines!$E$3:$E$1590,MATCH(SMALL(Lines!$G$3:$G$1590,249),Lines!$G$3:$G$1590,0)),"")</f>
        <v/>
      </c>
      <c r="F254" s="26" t="str">
        <f aca="false">IF(AND(ISNUMBER($J254),$J254&gt;0,$J254&lt;99),INDEX(Lines!$O$3:$O$1590,MATCH(SMALL(Lines!$G$3:$G$1590,249),Lines!$G$3:$G$1590,0)),"")</f>
        <v/>
      </c>
      <c r="G254" s="27" t="str">
        <f aca="false">IF($J254=0,INDEX(Lines!$Q$3:$Q$1590,MATCH(SMALL(Lines!$G$3:$G$1590,249),Lines!$G$3:$G$1590,0)),IF(AND(ISNUMBER($J254),$J254&gt;0,$J254&lt;99),INDEX(Lines!$P$3:$P$1590,MATCH(SMALL(Lines!$G$3:$G$1590,249),Lines!$G$3:$G$1590,0)),""))</f>
        <v/>
      </c>
      <c r="H254" s="28" t="str">
        <f aca="false">IF($J254=0,INDEX(Lines!$H$3:$H$1590,MATCH(SMALL(Lines!$G$3:$G$1590,249),Lines!$G$3:$G$1590,0))&amp;" groups",IF(AND(ISNUMBER($J254),$J254&gt;0,$J254&lt;99),INDEX(Lines!$I$3:$I$1590,MATCH(SMALL(Lines!$G$3:$G$1590,249),Lines!$G$3:$G$1590,0)),""))</f>
        <v/>
      </c>
      <c r="I254" s="26"/>
      <c r="J254" s="22" t="str">
        <f aca="false">IFERROR(IF(MOD(SMALL(Lines!$G$3:$G$1590,249),100000)=0,-1,MOD(SMALL(Lines!$G$3:$G$1590,249),100)),"")</f>
        <v/>
      </c>
      <c r="K254" s="22" t="str">
        <f aca="false">IF($J254=0,INDEX(Lines!$L$3:$L$1590,MATCH(SMALL(Lines!$G$3:$G$1590,249),Lines!$G$3:$G$1590,0)),"")</f>
        <v/>
      </c>
    </row>
    <row r="255" customFormat="false" ht="15" hidden="false" customHeight="false" outlineLevel="0" collapsed="false">
      <c r="A255" s="24" t="str">
        <f aca="false">IF(OR($J255=0,AND(ISNUMBER($J255),$J255&gt;0,$J255&lt;99)),INDEX(Lines!$A$3:$A$1590,MATCH(SMALL(Lines!$G$3:$G$1590,250),Lines!$G$3:$G$1590,0)),"")</f>
        <v/>
      </c>
      <c r="B255" s="24" t="str">
        <f aca="false">IF($J255=-1,INDEX(Lines!$J$3:$J$1590,MATCH(SMALL(Lines!$G$3:$G$1590,250),Lines!$G$3:$G$1590,0)),IF($J255=0,INDEX(Lines!$L$3:$L$1590,MATCH(SMALL(Lines!$G$3:$G$1590,250),Lines!$G$3:$G$1590,0)),IF(AND(ISNUMBER($J255),$J255&gt;0,$J255&lt;99),INDEX(Lines!$N$3:$N$1590,MATCH(SMALL(Lines!$G$3:$G$1590,250),Lines!$G$3:$G$1590,0)),"")))</f>
        <v/>
      </c>
      <c r="C255" s="25" t="str">
        <f aca="false">IF($J255=0,INDEX(Lines!$K$3:$K$1590,MATCH(SMALL(Lines!$G$3:$G$1590,250),Lines!$G$3:$G$1590,0)),IF(AND(ISNUMBER($J255),$J255&gt;0,$J255&lt;99),INDEX(Lines!$C$3:$C$1590,MATCH(SMALL(Lines!$G$3:$G$1590,250),Lines!$G$3:$G$1590,0)),""))</f>
        <v/>
      </c>
      <c r="D255" s="26" t="str">
        <f aca="false">IF(AND(ISNUMBER($J255),$J255&gt;0,$J255&lt;99),INDEX(Lines!$D$3:$D$1590,MATCH(SMALL(Lines!$G$3:$G$1590,250),Lines!$G$3:$G$1590,0)),"")</f>
        <v/>
      </c>
      <c r="E255" s="26" t="str">
        <f aca="false">IF(AND(ISNUMBER($J255),$J255&gt;0,$J255&lt;99),INDEX(Lines!$E$3:$E$1590,MATCH(SMALL(Lines!$G$3:$G$1590,250),Lines!$G$3:$G$1590,0)),"")</f>
        <v/>
      </c>
      <c r="F255" s="26" t="str">
        <f aca="false">IF(AND(ISNUMBER($J255),$J255&gt;0,$J255&lt;99),INDEX(Lines!$O$3:$O$1590,MATCH(SMALL(Lines!$G$3:$G$1590,250),Lines!$G$3:$G$1590,0)),"")</f>
        <v/>
      </c>
      <c r="G255" s="27" t="str">
        <f aca="false">IF($J255=0,INDEX(Lines!$Q$3:$Q$1590,MATCH(SMALL(Lines!$G$3:$G$1590,250),Lines!$G$3:$G$1590,0)),IF(AND(ISNUMBER($J255),$J255&gt;0,$J255&lt;99),INDEX(Lines!$P$3:$P$1590,MATCH(SMALL(Lines!$G$3:$G$1590,250),Lines!$G$3:$G$1590,0)),""))</f>
        <v/>
      </c>
      <c r="H255" s="28" t="str">
        <f aca="false">IF($J255=0,INDEX(Lines!$H$3:$H$1590,MATCH(SMALL(Lines!$G$3:$G$1590,250),Lines!$G$3:$G$1590,0))&amp;" groups",IF(AND(ISNUMBER($J255),$J255&gt;0,$J255&lt;99),INDEX(Lines!$I$3:$I$1590,MATCH(SMALL(Lines!$G$3:$G$1590,250),Lines!$G$3:$G$1590,0)),""))</f>
        <v/>
      </c>
      <c r="I255" s="26"/>
      <c r="J255" s="22" t="str">
        <f aca="false">IFERROR(IF(MOD(SMALL(Lines!$G$3:$G$1590,250),100000)=0,-1,MOD(SMALL(Lines!$G$3:$G$1590,250),100)),"")</f>
        <v/>
      </c>
      <c r="K255" s="22" t="str">
        <f aca="false">IF($J255=0,INDEX(Lines!$L$3:$L$1590,MATCH(SMALL(Lines!$G$3:$G$1590,250),Lines!$G$3:$G$1590,0)),"")</f>
        <v/>
      </c>
    </row>
    <row r="256" customFormat="false" ht="15" hidden="false" customHeight="false" outlineLevel="0" collapsed="false">
      <c r="A256" s="24" t="str">
        <f aca="false">IF(OR($J256=0,AND(ISNUMBER($J256),$J256&gt;0,$J256&lt;99)),INDEX(Lines!$A$3:$A$1590,MATCH(SMALL(Lines!$G$3:$G$1590,251),Lines!$G$3:$G$1590,0)),"")</f>
        <v/>
      </c>
      <c r="B256" s="24" t="str">
        <f aca="false">IF($J256=-1,INDEX(Lines!$J$3:$J$1590,MATCH(SMALL(Lines!$G$3:$G$1590,251),Lines!$G$3:$G$1590,0)),IF($J256=0,INDEX(Lines!$L$3:$L$1590,MATCH(SMALL(Lines!$G$3:$G$1590,251),Lines!$G$3:$G$1590,0)),IF(AND(ISNUMBER($J256),$J256&gt;0,$J256&lt;99),INDEX(Lines!$N$3:$N$1590,MATCH(SMALL(Lines!$G$3:$G$1590,251),Lines!$G$3:$G$1590,0)),"")))</f>
        <v/>
      </c>
      <c r="C256" s="25" t="str">
        <f aca="false">IF($J256=0,INDEX(Lines!$K$3:$K$1590,MATCH(SMALL(Lines!$G$3:$G$1590,251),Lines!$G$3:$G$1590,0)),IF(AND(ISNUMBER($J256),$J256&gt;0,$J256&lt;99),INDEX(Lines!$C$3:$C$1590,MATCH(SMALL(Lines!$G$3:$G$1590,251),Lines!$G$3:$G$1590,0)),""))</f>
        <v/>
      </c>
      <c r="D256" s="26" t="str">
        <f aca="false">IF(AND(ISNUMBER($J256),$J256&gt;0,$J256&lt;99),INDEX(Lines!$D$3:$D$1590,MATCH(SMALL(Lines!$G$3:$G$1590,251),Lines!$G$3:$G$1590,0)),"")</f>
        <v/>
      </c>
      <c r="E256" s="26" t="str">
        <f aca="false">IF(AND(ISNUMBER($J256),$J256&gt;0,$J256&lt;99),INDEX(Lines!$E$3:$E$1590,MATCH(SMALL(Lines!$G$3:$G$1590,251),Lines!$G$3:$G$1590,0)),"")</f>
        <v/>
      </c>
      <c r="F256" s="26" t="str">
        <f aca="false">IF(AND(ISNUMBER($J256),$J256&gt;0,$J256&lt;99),INDEX(Lines!$O$3:$O$1590,MATCH(SMALL(Lines!$G$3:$G$1590,251),Lines!$G$3:$G$1590,0)),"")</f>
        <v/>
      </c>
      <c r="G256" s="27" t="str">
        <f aca="false">IF($J256=0,INDEX(Lines!$Q$3:$Q$1590,MATCH(SMALL(Lines!$G$3:$G$1590,251),Lines!$G$3:$G$1590,0)),IF(AND(ISNUMBER($J256),$J256&gt;0,$J256&lt;99),INDEX(Lines!$P$3:$P$1590,MATCH(SMALL(Lines!$G$3:$G$1590,251),Lines!$G$3:$G$1590,0)),""))</f>
        <v/>
      </c>
      <c r="H256" s="28" t="str">
        <f aca="false">IF($J256=0,INDEX(Lines!$H$3:$H$1590,MATCH(SMALL(Lines!$G$3:$G$1590,251),Lines!$G$3:$G$1590,0))&amp;" groups",IF(AND(ISNUMBER($J256),$J256&gt;0,$J256&lt;99),INDEX(Lines!$I$3:$I$1590,MATCH(SMALL(Lines!$G$3:$G$1590,251),Lines!$G$3:$G$1590,0)),""))</f>
        <v/>
      </c>
      <c r="I256" s="26"/>
      <c r="J256" s="22" t="str">
        <f aca="false">IFERROR(IF(MOD(SMALL(Lines!$G$3:$G$1590,251),100000)=0,-1,MOD(SMALL(Lines!$G$3:$G$1590,251),100)),"")</f>
        <v/>
      </c>
      <c r="K256" s="22" t="str">
        <f aca="false">IF($J256=0,INDEX(Lines!$L$3:$L$1590,MATCH(SMALL(Lines!$G$3:$G$1590,251),Lines!$G$3:$G$1590,0)),"")</f>
        <v/>
      </c>
    </row>
    <row r="257" customFormat="false" ht="15" hidden="false" customHeight="false" outlineLevel="0" collapsed="false">
      <c r="A257" s="24" t="str">
        <f aca="false">IF(OR($J257=0,AND(ISNUMBER($J257),$J257&gt;0,$J257&lt;99)),INDEX(Lines!$A$3:$A$1590,MATCH(SMALL(Lines!$G$3:$G$1590,252),Lines!$G$3:$G$1590,0)),"")</f>
        <v/>
      </c>
      <c r="B257" s="24" t="str">
        <f aca="false">IF($J257=-1,INDEX(Lines!$J$3:$J$1590,MATCH(SMALL(Lines!$G$3:$G$1590,252),Lines!$G$3:$G$1590,0)),IF($J257=0,INDEX(Lines!$L$3:$L$1590,MATCH(SMALL(Lines!$G$3:$G$1590,252),Lines!$G$3:$G$1590,0)),IF(AND(ISNUMBER($J257),$J257&gt;0,$J257&lt;99),INDEX(Lines!$N$3:$N$1590,MATCH(SMALL(Lines!$G$3:$G$1590,252),Lines!$G$3:$G$1590,0)),"")))</f>
        <v/>
      </c>
      <c r="C257" s="25" t="str">
        <f aca="false">IF($J257=0,INDEX(Lines!$K$3:$K$1590,MATCH(SMALL(Lines!$G$3:$G$1590,252),Lines!$G$3:$G$1590,0)),IF(AND(ISNUMBER($J257),$J257&gt;0,$J257&lt;99),INDEX(Lines!$C$3:$C$1590,MATCH(SMALL(Lines!$G$3:$G$1590,252),Lines!$G$3:$G$1590,0)),""))</f>
        <v/>
      </c>
      <c r="D257" s="26" t="str">
        <f aca="false">IF(AND(ISNUMBER($J257),$J257&gt;0,$J257&lt;99),INDEX(Lines!$D$3:$D$1590,MATCH(SMALL(Lines!$G$3:$G$1590,252),Lines!$G$3:$G$1590,0)),"")</f>
        <v/>
      </c>
      <c r="E257" s="26" t="str">
        <f aca="false">IF(AND(ISNUMBER($J257),$J257&gt;0,$J257&lt;99),INDEX(Lines!$E$3:$E$1590,MATCH(SMALL(Lines!$G$3:$G$1590,252),Lines!$G$3:$G$1590,0)),"")</f>
        <v/>
      </c>
      <c r="F257" s="26" t="str">
        <f aca="false">IF(AND(ISNUMBER($J257),$J257&gt;0,$J257&lt;99),INDEX(Lines!$O$3:$O$1590,MATCH(SMALL(Lines!$G$3:$G$1590,252),Lines!$G$3:$G$1590,0)),"")</f>
        <v/>
      </c>
      <c r="G257" s="27" t="str">
        <f aca="false">IF($J257=0,INDEX(Lines!$Q$3:$Q$1590,MATCH(SMALL(Lines!$G$3:$G$1590,252),Lines!$G$3:$G$1590,0)),IF(AND(ISNUMBER($J257),$J257&gt;0,$J257&lt;99),INDEX(Lines!$P$3:$P$1590,MATCH(SMALL(Lines!$G$3:$G$1590,252),Lines!$G$3:$G$1590,0)),""))</f>
        <v/>
      </c>
      <c r="H257" s="28" t="str">
        <f aca="false">IF($J257=0,INDEX(Lines!$H$3:$H$1590,MATCH(SMALL(Lines!$G$3:$G$1590,252),Lines!$G$3:$G$1590,0))&amp;" groups",IF(AND(ISNUMBER($J257),$J257&gt;0,$J257&lt;99),INDEX(Lines!$I$3:$I$1590,MATCH(SMALL(Lines!$G$3:$G$1590,252),Lines!$G$3:$G$1590,0)),""))</f>
        <v/>
      </c>
      <c r="I257" s="26"/>
      <c r="J257" s="22" t="str">
        <f aca="false">IFERROR(IF(MOD(SMALL(Lines!$G$3:$G$1590,252),100000)=0,-1,MOD(SMALL(Lines!$G$3:$G$1590,252),100)),"")</f>
        <v/>
      </c>
      <c r="K257" s="22" t="str">
        <f aca="false">IF($J257=0,INDEX(Lines!$L$3:$L$1590,MATCH(SMALL(Lines!$G$3:$G$1590,252),Lines!$G$3:$G$1590,0)),"")</f>
        <v/>
      </c>
    </row>
    <row r="258" customFormat="false" ht="15" hidden="false" customHeight="false" outlineLevel="0" collapsed="false">
      <c r="A258" s="24" t="str">
        <f aca="false">IF(OR($J258=0,AND(ISNUMBER($J258),$J258&gt;0,$J258&lt;99)),INDEX(Lines!$A$3:$A$1590,MATCH(SMALL(Lines!$G$3:$G$1590,253),Lines!$G$3:$G$1590,0)),"")</f>
        <v/>
      </c>
      <c r="B258" s="24" t="str">
        <f aca="false">IF($J258=-1,INDEX(Lines!$J$3:$J$1590,MATCH(SMALL(Lines!$G$3:$G$1590,253),Lines!$G$3:$G$1590,0)),IF($J258=0,INDEX(Lines!$L$3:$L$1590,MATCH(SMALL(Lines!$G$3:$G$1590,253),Lines!$G$3:$G$1590,0)),IF(AND(ISNUMBER($J258),$J258&gt;0,$J258&lt;99),INDEX(Lines!$N$3:$N$1590,MATCH(SMALL(Lines!$G$3:$G$1590,253),Lines!$G$3:$G$1590,0)),"")))</f>
        <v/>
      </c>
      <c r="C258" s="25" t="str">
        <f aca="false">IF($J258=0,INDEX(Lines!$K$3:$K$1590,MATCH(SMALL(Lines!$G$3:$G$1590,253),Lines!$G$3:$G$1590,0)),IF(AND(ISNUMBER($J258),$J258&gt;0,$J258&lt;99),INDEX(Lines!$C$3:$C$1590,MATCH(SMALL(Lines!$G$3:$G$1590,253),Lines!$G$3:$G$1590,0)),""))</f>
        <v/>
      </c>
      <c r="D258" s="26" t="str">
        <f aca="false">IF(AND(ISNUMBER($J258),$J258&gt;0,$J258&lt;99),INDEX(Lines!$D$3:$D$1590,MATCH(SMALL(Lines!$G$3:$G$1590,253),Lines!$G$3:$G$1590,0)),"")</f>
        <v/>
      </c>
      <c r="E258" s="26" t="str">
        <f aca="false">IF(AND(ISNUMBER($J258),$J258&gt;0,$J258&lt;99),INDEX(Lines!$E$3:$E$1590,MATCH(SMALL(Lines!$G$3:$G$1590,253),Lines!$G$3:$G$1590,0)),"")</f>
        <v/>
      </c>
      <c r="F258" s="26" t="str">
        <f aca="false">IF(AND(ISNUMBER($J258),$J258&gt;0,$J258&lt;99),INDEX(Lines!$O$3:$O$1590,MATCH(SMALL(Lines!$G$3:$G$1590,253),Lines!$G$3:$G$1590,0)),"")</f>
        <v/>
      </c>
      <c r="G258" s="27" t="str">
        <f aca="false">IF($J258=0,INDEX(Lines!$Q$3:$Q$1590,MATCH(SMALL(Lines!$G$3:$G$1590,253),Lines!$G$3:$G$1590,0)),IF(AND(ISNUMBER($J258),$J258&gt;0,$J258&lt;99),INDEX(Lines!$P$3:$P$1590,MATCH(SMALL(Lines!$G$3:$G$1590,253),Lines!$G$3:$G$1590,0)),""))</f>
        <v/>
      </c>
      <c r="H258" s="28" t="str">
        <f aca="false">IF($J258=0,INDEX(Lines!$H$3:$H$1590,MATCH(SMALL(Lines!$G$3:$G$1590,253),Lines!$G$3:$G$1590,0))&amp;" groups",IF(AND(ISNUMBER($J258),$J258&gt;0,$J258&lt;99),INDEX(Lines!$I$3:$I$1590,MATCH(SMALL(Lines!$G$3:$G$1590,253),Lines!$G$3:$G$1590,0)),""))</f>
        <v/>
      </c>
      <c r="I258" s="26"/>
      <c r="J258" s="22" t="str">
        <f aca="false">IFERROR(IF(MOD(SMALL(Lines!$G$3:$G$1590,253),100000)=0,-1,MOD(SMALL(Lines!$G$3:$G$1590,253),100)),"")</f>
        <v/>
      </c>
      <c r="K258" s="22" t="str">
        <f aca="false">IF($J258=0,INDEX(Lines!$L$3:$L$1590,MATCH(SMALL(Lines!$G$3:$G$1590,253),Lines!$G$3:$G$1590,0)),"")</f>
        <v/>
      </c>
    </row>
    <row r="259" customFormat="false" ht="15" hidden="false" customHeight="false" outlineLevel="0" collapsed="false">
      <c r="A259" s="24" t="str">
        <f aca="false">IF(OR($J259=0,AND(ISNUMBER($J259),$J259&gt;0,$J259&lt;99)),INDEX(Lines!$A$3:$A$1590,MATCH(SMALL(Lines!$G$3:$G$1590,254),Lines!$G$3:$G$1590,0)),"")</f>
        <v/>
      </c>
      <c r="B259" s="24" t="str">
        <f aca="false">IF($J259=-1,INDEX(Lines!$J$3:$J$1590,MATCH(SMALL(Lines!$G$3:$G$1590,254),Lines!$G$3:$G$1590,0)),IF($J259=0,INDEX(Lines!$L$3:$L$1590,MATCH(SMALL(Lines!$G$3:$G$1590,254),Lines!$G$3:$G$1590,0)),IF(AND(ISNUMBER($J259),$J259&gt;0,$J259&lt;99),INDEX(Lines!$N$3:$N$1590,MATCH(SMALL(Lines!$G$3:$G$1590,254),Lines!$G$3:$G$1590,0)),"")))</f>
        <v/>
      </c>
      <c r="C259" s="25" t="str">
        <f aca="false">IF($J259=0,INDEX(Lines!$K$3:$K$1590,MATCH(SMALL(Lines!$G$3:$G$1590,254),Lines!$G$3:$G$1590,0)),IF(AND(ISNUMBER($J259),$J259&gt;0,$J259&lt;99),INDEX(Lines!$C$3:$C$1590,MATCH(SMALL(Lines!$G$3:$G$1590,254),Lines!$G$3:$G$1590,0)),""))</f>
        <v/>
      </c>
      <c r="D259" s="26" t="str">
        <f aca="false">IF(AND(ISNUMBER($J259),$J259&gt;0,$J259&lt;99),INDEX(Lines!$D$3:$D$1590,MATCH(SMALL(Lines!$G$3:$G$1590,254),Lines!$G$3:$G$1590,0)),"")</f>
        <v/>
      </c>
      <c r="E259" s="26" t="str">
        <f aca="false">IF(AND(ISNUMBER($J259),$J259&gt;0,$J259&lt;99),INDEX(Lines!$E$3:$E$1590,MATCH(SMALL(Lines!$G$3:$G$1590,254),Lines!$G$3:$G$1590,0)),"")</f>
        <v/>
      </c>
      <c r="F259" s="26" t="str">
        <f aca="false">IF(AND(ISNUMBER($J259),$J259&gt;0,$J259&lt;99),INDEX(Lines!$O$3:$O$1590,MATCH(SMALL(Lines!$G$3:$G$1590,254),Lines!$G$3:$G$1590,0)),"")</f>
        <v/>
      </c>
      <c r="G259" s="27" t="str">
        <f aca="false">IF($J259=0,INDEX(Lines!$Q$3:$Q$1590,MATCH(SMALL(Lines!$G$3:$G$1590,254),Lines!$G$3:$G$1590,0)),IF(AND(ISNUMBER($J259),$J259&gt;0,$J259&lt;99),INDEX(Lines!$P$3:$P$1590,MATCH(SMALL(Lines!$G$3:$G$1590,254),Lines!$G$3:$G$1590,0)),""))</f>
        <v/>
      </c>
      <c r="H259" s="28" t="str">
        <f aca="false">IF($J259=0,INDEX(Lines!$H$3:$H$1590,MATCH(SMALL(Lines!$G$3:$G$1590,254),Lines!$G$3:$G$1590,0))&amp;" groups",IF(AND(ISNUMBER($J259),$J259&gt;0,$J259&lt;99),INDEX(Lines!$I$3:$I$1590,MATCH(SMALL(Lines!$G$3:$G$1590,254),Lines!$G$3:$G$1590,0)),""))</f>
        <v/>
      </c>
      <c r="I259" s="26"/>
      <c r="J259" s="22" t="str">
        <f aca="false">IFERROR(IF(MOD(SMALL(Lines!$G$3:$G$1590,254),100000)=0,-1,MOD(SMALL(Lines!$G$3:$G$1590,254),100)),"")</f>
        <v/>
      </c>
      <c r="K259" s="22" t="str">
        <f aca="false">IF($J259=0,INDEX(Lines!$L$3:$L$1590,MATCH(SMALL(Lines!$G$3:$G$1590,254),Lines!$G$3:$G$1590,0)),"")</f>
        <v/>
      </c>
    </row>
    <row r="260" customFormat="false" ht="15" hidden="false" customHeight="false" outlineLevel="0" collapsed="false">
      <c r="A260" s="24" t="str">
        <f aca="false">IF(OR($J260=0,AND(ISNUMBER($J260),$J260&gt;0,$J260&lt;99)),INDEX(Lines!$A$3:$A$1590,MATCH(SMALL(Lines!$G$3:$G$1590,255),Lines!$G$3:$G$1590,0)),"")</f>
        <v/>
      </c>
      <c r="B260" s="24" t="str">
        <f aca="false">IF($J260=-1,INDEX(Lines!$J$3:$J$1590,MATCH(SMALL(Lines!$G$3:$G$1590,255),Lines!$G$3:$G$1590,0)),IF($J260=0,INDEX(Lines!$L$3:$L$1590,MATCH(SMALL(Lines!$G$3:$G$1590,255),Lines!$G$3:$G$1590,0)),IF(AND(ISNUMBER($J260),$J260&gt;0,$J260&lt;99),INDEX(Lines!$N$3:$N$1590,MATCH(SMALL(Lines!$G$3:$G$1590,255),Lines!$G$3:$G$1590,0)),"")))</f>
        <v/>
      </c>
      <c r="C260" s="25" t="str">
        <f aca="false">IF($J260=0,INDEX(Lines!$K$3:$K$1590,MATCH(SMALL(Lines!$G$3:$G$1590,255),Lines!$G$3:$G$1590,0)),IF(AND(ISNUMBER($J260),$J260&gt;0,$J260&lt;99),INDEX(Lines!$C$3:$C$1590,MATCH(SMALL(Lines!$G$3:$G$1590,255),Lines!$G$3:$G$1590,0)),""))</f>
        <v/>
      </c>
      <c r="D260" s="26" t="str">
        <f aca="false">IF(AND(ISNUMBER($J260),$J260&gt;0,$J260&lt;99),INDEX(Lines!$D$3:$D$1590,MATCH(SMALL(Lines!$G$3:$G$1590,255),Lines!$G$3:$G$1590,0)),"")</f>
        <v/>
      </c>
      <c r="E260" s="26" t="str">
        <f aca="false">IF(AND(ISNUMBER($J260),$J260&gt;0,$J260&lt;99),INDEX(Lines!$E$3:$E$1590,MATCH(SMALL(Lines!$G$3:$G$1590,255),Lines!$G$3:$G$1590,0)),"")</f>
        <v/>
      </c>
      <c r="F260" s="26" t="str">
        <f aca="false">IF(AND(ISNUMBER($J260),$J260&gt;0,$J260&lt;99),INDEX(Lines!$O$3:$O$1590,MATCH(SMALL(Lines!$G$3:$G$1590,255),Lines!$G$3:$G$1590,0)),"")</f>
        <v/>
      </c>
      <c r="G260" s="27" t="str">
        <f aca="false">IF($J260=0,INDEX(Lines!$Q$3:$Q$1590,MATCH(SMALL(Lines!$G$3:$G$1590,255),Lines!$G$3:$G$1590,0)),IF(AND(ISNUMBER($J260),$J260&gt;0,$J260&lt;99),INDEX(Lines!$P$3:$P$1590,MATCH(SMALL(Lines!$G$3:$G$1590,255),Lines!$G$3:$G$1590,0)),""))</f>
        <v/>
      </c>
      <c r="H260" s="28" t="str">
        <f aca="false">IF($J260=0,INDEX(Lines!$H$3:$H$1590,MATCH(SMALL(Lines!$G$3:$G$1590,255),Lines!$G$3:$G$1590,0))&amp;" groups",IF(AND(ISNUMBER($J260),$J260&gt;0,$J260&lt;99),INDEX(Lines!$I$3:$I$1590,MATCH(SMALL(Lines!$G$3:$G$1590,255),Lines!$G$3:$G$1590,0)),""))</f>
        <v/>
      </c>
      <c r="I260" s="26"/>
      <c r="J260" s="22" t="str">
        <f aca="false">IFERROR(IF(MOD(SMALL(Lines!$G$3:$G$1590,255),100000)=0,-1,MOD(SMALL(Lines!$G$3:$G$1590,255),100)),"")</f>
        <v/>
      </c>
      <c r="K260" s="22" t="str">
        <f aca="false">IF($J260=0,INDEX(Lines!$L$3:$L$1590,MATCH(SMALL(Lines!$G$3:$G$1590,255),Lines!$G$3:$G$1590,0)),"")</f>
        <v/>
      </c>
    </row>
    <row r="261" customFormat="false" ht="15" hidden="false" customHeight="false" outlineLevel="0" collapsed="false">
      <c r="A261" s="24" t="str">
        <f aca="false">IF(OR($J261=0,AND(ISNUMBER($J261),$J261&gt;0,$J261&lt;99)),INDEX(Lines!$A$3:$A$1590,MATCH(SMALL(Lines!$G$3:$G$1590,256),Lines!$G$3:$G$1590,0)),"")</f>
        <v/>
      </c>
      <c r="B261" s="24" t="str">
        <f aca="false">IF($J261=-1,INDEX(Lines!$J$3:$J$1590,MATCH(SMALL(Lines!$G$3:$G$1590,256),Lines!$G$3:$G$1590,0)),IF($J261=0,INDEX(Lines!$L$3:$L$1590,MATCH(SMALL(Lines!$G$3:$G$1590,256),Lines!$G$3:$G$1590,0)),IF(AND(ISNUMBER($J261),$J261&gt;0,$J261&lt;99),INDEX(Lines!$N$3:$N$1590,MATCH(SMALL(Lines!$G$3:$G$1590,256),Lines!$G$3:$G$1590,0)),"")))</f>
        <v/>
      </c>
      <c r="C261" s="25" t="str">
        <f aca="false">IF($J261=0,INDEX(Lines!$K$3:$K$1590,MATCH(SMALL(Lines!$G$3:$G$1590,256),Lines!$G$3:$G$1590,0)),IF(AND(ISNUMBER($J261),$J261&gt;0,$J261&lt;99),INDEX(Lines!$C$3:$C$1590,MATCH(SMALL(Lines!$G$3:$G$1590,256),Lines!$G$3:$G$1590,0)),""))</f>
        <v/>
      </c>
      <c r="D261" s="26" t="str">
        <f aca="false">IF(AND(ISNUMBER($J261),$J261&gt;0,$J261&lt;99),INDEX(Lines!$D$3:$D$1590,MATCH(SMALL(Lines!$G$3:$G$1590,256),Lines!$G$3:$G$1590,0)),"")</f>
        <v/>
      </c>
      <c r="E261" s="26" t="str">
        <f aca="false">IF(AND(ISNUMBER($J261),$J261&gt;0,$J261&lt;99),INDEX(Lines!$E$3:$E$1590,MATCH(SMALL(Lines!$G$3:$G$1590,256),Lines!$G$3:$G$1590,0)),"")</f>
        <v/>
      </c>
      <c r="F261" s="26" t="str">
        <f aca="false">IF(AND(ISNUMBER($J261),$J261&gt;0,$J261&lt;99),INDEX(Lines!$O$3:$O$1590,MATCH(SMALL(Lines!$G$3:$G$1590,256),Lines!$G$3:$G$1590,0)),"")</f>
        <v/>
      </c>
      <c r="G261" s="27" t="str">
        <f aca="false">IF($J261=0,INDEX(Lines!$Q$3:$Q$1590,MATCH(SMALL(Lines!$G$3:$G$1590,256),Lines!$G$3:$G$1590,0)),IF(AND(ISNUMBER($J261),$J261&gt;0,$J261&lt;99),INDEX(Lines!$P$3:$P$1590,MATCH(SMALL(Lines!$G$3:$G$1590,256),Lines!$G$3:$G$1590,0)),""))</f>
        <v/>
      </c>
      <c r="H261" s="28" t="str">
        <f aca="false">IF($J261=0,INDEX(Lines!$H$3:$H$1590,MATCH(SMALL(Lines!$G$3:$G$1590,256),Lines!$G$3:$G$1590,0))&amp;" groups",IF(AND(ISNUMBER($J261),$J261&gt;0,$J261&lt;99),INDEX(Lines!$I$3:$I$1590,MATCH(SMALL(Lines!$G$3:$G$1590,256),Lines!$G$3:$G$1590,0)),""))</f>
        <v/>
      </c>
      <c r="I261" s="26"/>
      <c r="J261" s="22" t="str">
        <f aca="false">IFERROR(IF(MOD(SMALL(Lines!$G$3:$G$1590,256),100000)=0,-1,MOD(SMALL(Lines!$G$3:$G$1590,256),100)),"")</f>
        <v/>
      </c>
      <c r="K261" s="22" t="str">
        <f aca="false">IF($J261=0,INDEX(Lines!$L$3:$L$1590,MATCH(SMALL(Lines!$G$3:$G$1590,256),Lines!$G$3:$G$1590,0)),"")</f>
        <v/>
      </c>
    </row>
    <row r="262" customFormat="false" ht="15" hidden="false" customHeight="false" outlineLevel="0" collapsed="false">
      <c r="A262" s="24" t="str">
        <f aca="false">IF(OR($J262=0,AND(ISNUMBER($J262),$J262&gt;0,$J262&lt;99)),INDEX(Lines!$A$3:$A$1590,MATCH(SMALL(Lines!$G$3:$G$1590,257),Lines!$G$3:$G$1590,0)),"")</f>
        <v/>
      </c>
      <c r="B262" s="24" t="str">
        <f aca="false">IF($J262=-1,INDEX(Lines!$J$3:$J$1590,MATCH(SMALL(Lines!$G$3:$G$1590,257),Lines!$G$3:$G$1590,0)),IF($J262=0,INDEX(Lines!$L$3:$L$1590,MATCH(SMALL(Lines!$G$3:$G$1590,257),Lines!$G$3:$G$1590,0)),IF(AND(ISNUMBER($J262),$J262&gt;0,$J262&lt;99),INDEX(Lines!$N$3:$N$1590,MATCH(SMALL(Lines!$G$3:$G$1590,257),Lines!$G$3:$G$1590,0)),"")))</f>
        <v/>
      </c>
      <c r="C262" s="25" t="str">
        <f aca="false">IF($J262=0,INDEX(Lines!$K$3:$K$1590,MATCH(SMALL(Lines!$G$3:$G$1590,257),Lines!$G$3:$G$1590,0)),IF(AND(ISNUMBER($J262),$J262&gt;0,$J262&lt;99),INDEX(Lines!$C$3:$C$1590,MATCH(SMALL(Lines!$G$3:$G$1590,257),Lines!$G$3:$G$1590,0)),""))</f>
        <v/>
      </c>
      <c r="D262" s="26" t="str">
        <f aca="false">IF(AND(ISNUMBER($J262),$J262&gt;0,$J262&lt;99),INDEX(Lines!$D$3:$D$1590,MATCH(SMALL(Lines!$G$3:$G$1590,257),Lines!$G$3:$G$1590,0)),"")</f>
        <v/>
      </c>
      <c r="E262" s="26" t="str">
        <f aca="false">IF(AND(ISNUMBER($J262),$J262&gt;0,$J262&lt;99),INDEX(Lines!$E$3:$E$1590,MATCH(SMALL(Lines!$G$3:$G$1590,257),Lines!$G$3:$G$1590,0)),"")</f>
        <v/>
      </c>
      <c r="F262" s="26" t="str">
        <f aca="false">IF(AND(ISNUMBER($J262),$J262&gt;0,$J262&lt;99),INDEX(Lines!$O$3:$O$1590,MATCH(SMALL(Lines!$G$3:$G$1590,257),Lines!$G$3:$G$1590,0)),"")</f>
        <v/>
      </c>
      <c r="G262" s="27" t="str">
        <f aca="false">IF($J262=0,INDEX(Lines!$Q$3:$Q$1590,MATCH(SMALL(Lines!$G$3:$G$1590,257),Lines!$G$3:$G$1590,0)),IF(AND(ISNUMBER($J262),$J262&gt;0,$J262&lt;99),INDEX(Lines!$P$3:$P$1590,MATCH(SMALL(Lines!$G$3:$G$1590,257),Lines!$G$3:$G$1590,0)),""))</f>
        <v/>
      </c>
      <c r="H262" s="28" t="str">
        <f aca="false">IF($J262=0,INDEX(Lines!$H$3:$H$1590,MATCH(SMALL(Lines!$G$3:$G$1590,257),Lines!$G$3:$G$1590,0))&amp;" groups",IF(AND(ISNUMBER($J262),$J262&gt;0,$J262&lt;99),INDEX(Lines!$I$3:$I$1590,MATCH(SMALL(Lines!$G$3:$G$1590,257),Lines!$G$3:$G$1590,0)),""))</f>
        <v/>
      </c>
      <c r="I262" s="26"/>
      <c r="J262" s="22" t="str">
        <f aca="false">IFERROR(IF(MOD(SMALL(Lines!$G$3:$G$1590,257),100000)=0,-1,MOD(SMALL(Lines!$G$3:$G$1590,257),100)),"")</f>
        <v/>
      </c>
      <c r="K262" s="22" t="str">
        <f aca="false">IF($J262=0,INDEX(Lines!$L$3:$L$1590,MATCH(SMALL(Lines!$G$3:$G$1590,257),Lines!$G$3:$G$1590,0)),"")</f>
        <v/>
      </c>
    </row>
    <row r="263" customFormat="false" ht="15" hidden="false" customHeight="false" outlineLevel="0" collapsed="false">
      <c r="A263" s="24" t="str">
        <f aca="false">IF(OR($J263=0,AND(ISNUMBER($J263),$J263&gt;0,$J263&lt;99)),INDEX(Lines!$A$3:$A$1590,MATCH(SMALL(Lines!$G$3:$G$1590,258),Lines!$G$3:$G$1590,0)),"")</f>
        <v/>
      </c>
      <c r="B263" s="24" t="str">
        <f aca="false">IF($J263=-1,INDEX(Lines!$J$3:$J$1590,MATCH(SMALL(Lines!$G$3:$G$1590,258),Lines!$G$3:$G$1590,0)),IF($J263=0,INDEX(Lines!$L$3:$L$1590,MATCH(SMALL(Lines!$G$3:$G$1590,258),Lines!$G$3:$G$1590,0)),IF(AND(ISNUMBER($J263),$J263&gt;0,$J263&lt;99),INDEX(Lines!$N$3:$N$1590,MATCH(SMALL(Lines!$G$3:$G$1590,258),Lines!$G$3:$G$1590,0)),"")))</f>
        <v/>
      </c>
      <c r="C263" s="25" t="str">
        <f aca="false">IF($J263=0,INDEX(Lines!$K$3:$K$1590,MATCH(SMALL(Lines!$G$3:$G$1590,258),Lines!$G$3:$G$1590,0)),IF(AND(ISNUMBER($J263),$J263&gt;0,$J263&lt;99),INDEX(Lines!$C$3:$C$1590,MATCH(SMALL(Lines!$G$3:$G$1590,258),Lines!$G$3:$G$1590,0)),""))</f>
        <v/>
      </c>
      <c r="D263" s="26" t="str">
        <f aca="false">IF(AND(ISNUMBER($J263),$J263&gt;0,$J263&lt;99),INDEX(Lines!$D$3:$D$1590,MATCH(SMALL(Lines!$G$3:$G$1590,258),Lines!$G$3:$G$1590,0)),"")</f>
        <v/>
      </c>
      <c r="E263" s="26" t="str">
        <f aca="false">IF(AND(ISNUMBER($J263),$J263&gt;0,$J263&lt;99),INDEX(Lines!$E$3:$E$1590,MATCH(SMALL(Lines!$G$3:$G$1590,258),Lines!$G$3:$G$1590,0)),"")</f>
        <v/>
      </c>
      <c r="F263" s="26" t="str">
        <f aca="false">IF(AND(ISNUMBER($J263),$J263&gt;0,$J263&lt;99),INDEX(Lines!$O$3:$O$1590,MATCH(SMALL(Lines!$G$3:$G$1590,258),Lines!$G$3:$G$1590,0)),"")</f>
        <v/>
      </c>
      <c r="G263" s="27" t="str">
        <f aca="false">IF($J263=0,INDEX(Lines!$Q$3:$Q$1590,MATCH(SMALL(Lines!$G$3:$G$1590,258),Lines!$G$3:$G$1590,0)),IF(AND(ISNUMBER($J263),$J263&gt;0,$J263&lt;99),INDEX(Lines!$P$3:$P$1590,MATCH(SMALL(Lines!$G$3:$G$1590,258),Lines!$G$3:$G$1590,0)),""))</f>
        <v/>
      </c>
      <c r="H263" s="28" t="str">
        <f aca="false">IF($J263=0,INDEX(Lines!$H$3:$H$1590,MATCH(SMALL(Lines!$G$3:$G$1590,258),Lines!$G$3:$G$1590,0))&amp;" groups",IF(AND(ISNUMBER($J263),$J263&gt;0,$J263&lt;99),INDEX(Lines!$I$3:$I$1590,MATCH(SMALL(Lines!$G$3:$G$1590,258),Lines!$G$3:$G$1590,0)),""))</f>
        <v/>
      </c>
      <c r="I263" s="26"/>
      <c r="J263" s="22" t="str">
        <f aca="false">IFERROR(IF(MOD(SMALL(Lines!$G$3:$G$1590,258),100000)=0,-1,MOD(SMALL(Lines!$G$3:$G$1590,258),100)),"")</f>
        <v/>
      </c>
      <c r="K263" s="22" t="str">
        <f aca="false">IF($J263=0,INDEX(Lines!$L$3:$L$1590,MATCH(SMALL(Lines!$G$3:$G$1590,258),Lines!$G$3:$G$1590,0)),"")</f>
        <v/>
      </c>
    </row>
    <row r="264" customFormat="false" ht="15" hidden="false" customHeight="false" outlineLevel="0" collapsed="false">
      <c r="A264" s="24" t="str">
        <f aca="false">IF(OR($J264=0,AND(ISNUMBER($J264),$J264&gt;0,$J264&lt;99)),INDEX(Lines!$A$3:$A$1590,MATCH(SMALL(Lines!$G$3:$G$1590,259),Lines!$G$3:$G$1590,0)),"")</f>
        <v/>
      </c>
      <c r="B264" s="24" t="str">
        <f aca="false">IF($J264=-1,INDEX(Lines!$J$3:$J$1590,MATCH(SMALL(Lines!$G$3:$G$1590,259),Lines!$G$3:$G$1590,0)),IF($J264=0,INDEX(Lines!$L$3:$L$1590,MATCH(SMALL(Lines!$G$3:$G$1590,259),Lines!$G$3:$G$1590,0)),IF(AND(ISNUMBER($J264),$J264&gt;0,$J264&lt;99),INDEX(Lines!$N$3:$N$1590,MATCH(SMALL(Lines!$G$3:$G$1590,259),Lines!$G$3:$G$1590,0)),"")))</f>
        <v/>
      </c>
      <c r="C264" s="25" t="str">
        <f aca="false">IF($J264=0,INDEX(Lines!$K$3:$K$1590,MATCH(SMALL(Lines!$G$3:$G$1590,259),Lines!$G$3:$G$1590,0)),IF(AND(ISNUMBER($J264),$J264&gt;0,$J264&lt;99),INDEX(Lines!$C$3:$C$1590,MATCH(SMALL(Lines!$G$3:$G$1590,259),Lines!$G$3:$G$1590,0)),""))</f>
        <v/>
      </c>
      <c r="D264" s="26" t="str">
        <f aca="false">IF(AND(ISNUMBER($J264),$J264&gt;0,$J264&lt;99),INDEX(Lines!$D$3:$D$1590,MATCH(SMALL(Lines!$G$3:$G$1590,259),Lines!$G$3:$G$1590,0)),"")</f>
        <v/>
      </c>
      <c r="E264" s="26" t="str">
        <f aca="false">IF(AND(ISNUMBER($J264),$J264&gt;0,$J264&lt;99),INDEX(Lines!$E$3:$E$1590,MATCH(SMALL(Lines!$G$3:$G$1590,259),Lines!$G$3:$G$1590,0)),"")</f>
        <v/>
      </c>
      <c r="F264" s="26" t="str">
        <f aca="false">IF(AND(ISNUMBER($J264),$J264&gt;0,$J264&lt;99),INDEX(Lines!$O$3:$O$1590,MATCH(SMALL(Lines!$G$3:$G$1590,259),Lines!$G$3:$G$1590,0)),"")</f>
        <v/>
      </c>
      <c r="G264" s="27" t="str">
        <f aca="false">IF($J264=0,INDEX(Lines!$Q$3:$Q$1590,MATCH(SMALL(Lines!$G$3:$G$1590,259),Lines!$G$3:$G$1590,0)),IF(AND(ISNUMBER($J264),$J264&gt;0,$J264&lt;99),INDEX(Lines!$P$3:$P$1590,MATCH(SMALL(Lines!$G$3:$G$1590,259),Lines!$G$3:$G$1590,0)),""))</f>
        <v/>
      </c>
      <c r="H264" s="28" t="str">
        <f aca="false">IF($J264=0,INDEX(Lines!$H$3:$H$1590,MATCH(SMALL(Lines!$G$3:$G$1590,259),Lines!$G$3:$G$1590,0))&amp;" groups",IF(AND(ISNUMBER($J264),$J264&gt;0,$J264&lt;99),INDEX(Lines!$I$3:$I$1590,MATCH(SMALL(Lines!$G$3:$G$1590,259),Lines!$G$3:$G$1590,0)),""))</f>
        <v/>
      </c>
      <c r="I264" s="26"/>
      <c r="J264" s="22" t="str">
        <f aca="false">IFERROR(IF(MOD(SMALL(Lines!$G$3:$G$1590,259),100000)=0,-1,MOD(SMALL(Lines!$G$3:$G$1590,259),100)),"")</f>
        <v/>
      </c>
      <c r="K264" s="22" t="str">
        <f aca="false">IF($J264=0,INDEX(Lines!$L$3:$L$1590,MATCH(SMALL(Lines!$G$3:$G$1590,259),Lines!$G$3:$G$1590,0)),"")</f>
        <v/>
      </c>
    </row>
    <row r="265" customFormat="false" ht="15" hidden="false" customHeight="false" outlineLevel="0" collapsed="false">
      <c r="A265" s="24" t="str">
        <f aca="false">IF(OR($J265=0,AND(ISNUMBER($J265),$J265&gt;0,$J265&lt;99)),INDEX(Lines!$A$3:$A$1590,MATCH(SMALL(Lines!$G$3:$G$1590,260),Lines!$G$3:$G$1590,0)),"")</f>
        <v/>
      </c>
      <c r="B265" s="24" t="str">
        <f aca="false">IF($J265=-1,INDEX(Lines!$J$3:$J$1590,MATCH(SMALL(Lines!$G$3:$G$1590,260),Lines!$G$3:$G$1590,0)),IF($J265=0,INDEX(Lines!$L$3:$L$1590,MATCH(SMALL(Lines!$G$3:$G$1590,260),Lines!$G$3:$G$1590,0)),IF(AND(ISNUMBER($J265),$J265&gt;0,$J265&lt;99),INDEX(Lines!$N$3:$N$1590,MATCH(SMALL(Lines!$G$3:$G$1590,260),Lines!$G$3:$G$1590,0)),"")))</f>
        <v/>
      </c>
      <c r="C265" s="25" t="str">
        <f aca="false">IF($J265=0,INDEX(Lines!$K$3:$K$1590,MATCH(SMALL(Lines!$G$3:$G$1590,260),Lines!$G$3:$G$1590,0)),IF(AND(ISNUMBER($J265),$J265&gt;0,$J265&lt;99),INDEX(Lines!$C$3:$C$1590,MATCH(SMALL(Lines!$G$3:$G$1590,260),Lines!$G$3:$G$1590,0)),""))</f>
        <v/>
      </c>
      <c r="D265" s="26" t="str">
        <f aca="false">IF(AND(ISNUMBER($J265),$J265&gt;0,$J265&lt;99),INDEX(Lines!$D$3:$D$1590,MATCH(SMALL(Lines!$G$3:$G$1590,260),Lines!$G$3:$G$1590,0)),"")</f>
        <v/>
      </c>
      <c r="E265" s="26" t="str">
        <f aca="false">IF(AND(ISNUMBER($J265),$J265&gt;0,$J265&lt;99),INDEX(Lines!$E$3:$E$1590,MATCH(SMALL(Lines!$G$3:$G$1590,260),Lines!$G$3:$G$1590,0)),"")</f>
        <v/>
      </c>
      <c r="F265" s="26" t="str">
        <f aca="false">IF(AND(ISNUMBER($J265),$J265&gt;0,$J265&lt;99),INDEX(Lines!$O$3:$O$1590,MATCH(SMALL(Lines!$G$3:$G$1590,260),Lines!$G$3:$G$1590,0)),"")</f>
        <v/>
      </c>
      <c r="G265" s="27" t="str">
        <f aca="false">IF($J265=0,INDEX(Lines!$Q$3:$Q$1590,MATCH(SMALL(Lines!$G$3:$G$1590,260),Lines!$G$3:$G$1590,0)),IF(AND(ISNUMBER($J265),$J265&gt;0,$J265&lt;99),INDEX(Lines!$P$3:$P$1590,MATCH(SMALL(Lines!$G$3:$G$1590,260),Lines!$G$3:$G$1590,0)),""))</f>
        <v/>
      </c>
      <c r="H265" s="28" t="str">
        <f aca="false">IF($J265=0,INDEX(Lines!$H$3:$H$1590,MATCH(SMALL(Lines!$G$3:$G$1590,260),Lines!$G$3:$G$1590,0))&amp;" groups",IF(AND(ISNUMBER($J265),$J265&gt;0,$J265&lt;99),INDEX(Lines!$I$3:$I$1590,MATCH(SMALL(Lines!$G$3:$G$1590,260),Lines!$G$3:$G$1590,0)),""))</f>
        <v/>
      </c>
      <c r="I265" s="26"/>
      <c r="J265" s="22" t="str">
        <f aca="false">IFERROR(IF(MOD(SMALL(Lines!$G$3:$G$1590,260),100000)=0,-1,MOD(SMALL(Lines!$G$3:$G$1590,260),100)),"")</f>
        <v/>
      </c>
      <c r="K265" s="22" t="str">
        <f aca="false">IF($J265=0,INDEX(Lines!$L$3:$L$1590,MATCH(SMALL(Lines!$G$3:$G$1590,260),Lines!$G$3:$G$1590,0)),"")</f>
        <v/>
      </c>
    </row>
    <row r="266" customFormat="false" ht="15" hidden="false" customHeight="false" outlineLevel="0" collapsed="false">
      <c r="A266" s="24" t="str">
        <f aca="false">IF(OR($J266=0,AND(ISNUMBER($J266),$J266&gt;0,$J266&lt;99)),INDEX(Lines!$A$3:$A$1590,MATCH(SMALL(Lines!$G$3:$G$1590,261),Lines!$G$3:$G$1590,0)),"")</f>
        <v/>
      </c>
      <c r="B266" s="24" t="str">
        <f aca="false">IF($J266=-1,INDEX(Lines!$J$3:$J$1590,MATCH(SMALL(Lines!$G$3:$G$1590,261),Lines!$G$3:$G$1590,0)),IF($J266=0,INDEX(Lines!$L$3:$L$1590,MATCH(SMALL(Lines!$G$3:$G$1590,261),Lines!$G$3:$G$1590,0)),IF(AND(ISNUMBER($J266),$J266&gt;0,$J266&lt;99),INDEX(Lines!$N$3:$N$1590,MATCH(SMALL(Lines!$G$3:$G$1590,261),Lines!$G$3:$G$1590,0)),"")))</f>
        <v/>
      </c>
      <c r="C266" s="25" t="str">
        <f aca="false">IF($J266=0,INDEX(Lines!$K$3:$K$1590,MATCH(SMALL(Lines!$G$3:$G$1590,261),Lines!$G$3:$G$1590,0)),IF(AND(ISNUMBER($J266),$J266&gt;0,$J266&lt;99),INDEX(Lines!$C$3:$C$1590,MATCH(SMALL(Lines!$G$3:$G$1590,261),Lines!$G$3:$G$1590,0)),""))</f>
        <v/>
      </c>
      <c r="D266" s="26" t="str">
        <f aca="false">IF(AND(ISNUMBER($J266),$J266&gt;0,$J266&lt;99),INDEX(Lines!$D$3:$D$1590,MATCH(SMALL(Lines!$G$3:$G$1590,261),Lines!$G$3:$G$1590,0)),"")</f>
        <v/>
      </c>
      <c r="E266" s="26" t="str">
        <f aca="false">IF(AND(ISNUMBER($J266),$J266&gt;0,$J266&lt;99),INDEX(Lines!$E$3:$E$1590,MATCH(SMALL(Lines!$G$3:$G$1590,261),Lines!$G$3:$G$1590,0)),"")</f>
        <v/>
      </c>
      <c r="F266" s="26" t="str">
        <f aca="false">IF(AND(ISNUMBER($J266),$J266&gt;0,$J266&lt;99),INDEX(Lines!$O$3:$O$1590,MATCH(SMALL(Lines!$G$3:$G$1590,261),Lines!$G$3:$G$1590,0)),"")</f>
        <v/>
      </c>
      <c r="G266" s="27" t="str">
        <f aca="false">IF($J266=0,INDEX(Lines!$Q$3:$Q$1590,MATCH(SMALL(Lines!$G$3:$G$1590,261),Lines!$G$3:$G$1590,0)),IF(AND(ISNUMBER($J266),$J266&gt;0,$J266&lt;99),INDEX(Lines!$P$3:$P$1590,MATCH(SMALL(Lines!$G$3:$G$1590,261),Lines!$G$3:$G$1590,0)),""))</f>
        <v/>
      </c>
      <c r="H266" s="28" t="str">
        <f aca="false">IF($J266=0,INDEX(Lines!$H$3:$H$1590,MATCH(SMALL(Lines!$G$3:$G$1590,261),Lines!$G$3:$G$1590,0))&amp;" groups",IF(AND(ISNUMBER($J266),$J266&gt;0,$J266&lt;99),INDEX(Lines!$I$3:$I$1590,MATCH(SMALL(Lines!$G$3:$G$1590,261),Lines!$G$3:$G$1590,0)),""))</f>
        <v/>
      </c>
      <c r="I266" s="26"/>
      <c r="J266" s="22" t="str">
        <f aca="false">IFERROR(IF(MOD(SMALL(Lines!$G$3:$G$1590,261),100000)=0,-1,MOD(SMALL(Lines!$G$3:$G$1590,261),100)),"")</f>
        <v/>
      </c>
      <c r="K266" s="22" t="str">
        <f aca="false">IF($J266=0,INDEX(Lines!$L$3:$L$1590,MATCH(SMALL(Lines!$G$3:$G$1590,261),Lines!$G$3:$G$1590,0)),"")</f>
        <v/>
      </c>
    </row>
    <row r="267" customFormat="false" ht="15" hidden="false" customHeight="false" outlineLevel="0" collapsed="false">
      <c r="A267" s="24" t="str">
        <f aca="false">IF(OR($J267=0,AND(ISNUMBER($J267),$J267&gt;0,$J267&lt;99)),INDEX(Lines!$A$3:$A$1590,MATCH(SMALL(Lines!$G$3:$G$1590,262),Lines!$G$3:$G$1590,0)),"")</f>
        <v/>
      </c>
      <c r="B267" s="24" t="str">
        <f aca="false">IF($J267=-1,INDEX(Lines!$J$3:$J$1590,MATCH(SMALL(Lines!$G$3:$G$1590,262),Lines!$G$3:$G$1590,0)),IF($J267=0,INDEX(Lines!$L$3:$L$1590,MATCH(SMALL(Lines!$G$3:$G$1590,262),Lines!$G$3:$G$1590,0)),IF(AND(ISNUMBER($J267),$J267&gt;0,$J267&lt;99),INDEX(Lines!$N$3:$N$1590,MATCH(SMALL(Lines!$G$3:$G$1590,262),Lines!$G$3:$G$1590,0)),"")))</f>
        <v/>
      </c>
      <c r="C267" s="25" t="str">
        <f aca="false">IF($J267=0,INDEX(Lines!$K$3:$K$1590,MATCH(SMALL(Lines!$G$3:$G$1590,262),Lines!$G$3:$G$1590,0)),IF(AND(ISNUMBER($J267),$J267&gt;0,$J267&lt;99),INDEX(Lines!$C$3:$C$1590,MATCH(SMALL(Lines!$G$3:$G$1590,262),Lines!$G$3:$G$1590,0)),""))</f>
        <v/>
      </c>
      <c r="D267" s="26" t="str">
        <f aca="false">IF(AND(ISNUMBER($J267),$J267&gt;0,$J267&lt;99),INDEX(Lines!$D$3:$D$1590,MATCH(SMALL(Lines!$G$3:$G$1590,262),Lines!$G$3:$G$1590,0)),"")</f>
        <v/>
      </c>
      <c r="E267" s="26" t="str">
        <f aca="false">IF(AND(ISNUMBER($J267),$J267&gt;0,$J267&lt;99),INDEX(Lines!$E$3:$E$1590,MATCH(SMALL(Lines!$G$3:$G$1590,262),Lines!$G$3:$G$1590,0)),"")</f>
        <v/>
      </c>
      <c r="F267" s="26" t="str">
        <f aca="false">IF(AND(ISNUMBER($J267),$J267&gt;0,$J267&lt;99),INDEX(Lines!$O$3:$O$1590,MATCH(SMALL(Lines!$G$3:$G$1590,262),Lines!$G$3:$G$1590,0)),"")</f>
        <v/>
      </c>
      <c r="G267" s="27" t="str">
        <f aca="false">IF($J267=0,INDEX(Lines!$Q$3:$Q$1590,MATCH(SMALL(Lines!$G$3:$G$1590,262),Lines!$G$3:$G$1590,0)),IF(AND(ISNUMBER($J267),$J267&gt;0,$J267&lt;99),INDEX(Lines!$P$3:$P$1590,MATCH(SMALL(Lines!$G$3:$G$1590,262),Lines!$G$3:$G$1590,0)),""))</f>
        <v/>
      </c>
      <c r="H267" s="28" t="str">
        <f aca="false">IF($J267=0,INDEX(Lines!$H$3:$H$1590,MATCH(SMALL(Lines!$G$3:$G$1590,262),Lines!$G$3:$G$1590,0))&amp;" groups",IF(AND(ISNUMBER($J267),$J267&gt;0,$J267&lt;99),INDEX(Lines!$I$3:$I$1590,MATCH(SMALL(Lines!$G$3:$G$1590,262),Lines!$G$3:$G$1590,0)),""))</f>
        <v/>
      </c>
      <c r="I267" s="26"/>
      <c r="J267" s="22" t="str">
        <f aca="false">IFERROR(IF(MOD(SMALL(Lines!$G$3:$G$1590,262),100000)=0,-1,MOD(SMALL(Lines!$G$3:$G$1590,262),100)),"")</f>
        <v/>
      </c>
      <c r="K267" s="22" t="str">
        <f aca="false">IF($J267=0,INDEX(Lines!$L$3:$L$1590,MATCH(SMALL(Lines!$G$3:$G$1590,262),Lines!$G$3:$G$1590,0)),"")</f>
        <v/>
      </c>
    </row>
    <row r="268" customFormat="false" ht="15" hidden="false" customHeight="false" outlineLevel="0" collapsed="false">
      <c r="A268" s="24" t="str">
        <f aca="false">IF(OR($J268=0,AND(ISNUMBER($J268),$J268&gt;0,$J268&lt;99)),INDEX(Lines!$A$3:$A$1590,MATCH(SMALL(Lines!$G$3:$G$1590,263),Lines!$G$3:$G$1590,0)),"")</f>
        <v/>
      </c>
      <c r="B268" s="24" t="str">
        <f aca="false">IF($J268=-1,INDEX(Lines!$J$3:$J$1590,MATCH(SMALL(Lines!$G$3:$G$1590,263),Lines!$G$3:$G$1590,0)),IF($J268=0,INDEX(Lines!$L$3:$L$1590,MATCH(SMALL(Lines!$G$3:$G$1590,263),Lines!$G$3:$G$1590,0)),IF(AND(ISNUMBER($J268),$J268&gt;0,$J268&lt;99),INDEX(Lines!$N$3:$N$1590,MATCH(SMALL(Lines!$G$3:$G$1590,263),Lines!$G$3:$G$1590,0)),"")))</f>
        <v/>
      </c>
      <c r="C268" s="25" t="str">
        <f aca="false">IF($J268=0,INDEX(Lines!$K$3:$K$1590,MATCH(SMALL(Lines!$G$3:$G$1590,263),Lines!$G$3:$G$1590,0)),IF(AND(ISNUMBER($J268),$J268&gt;0,$J268&lt;99),INDEX(Lines!$C$3:$C$1590,MATCH(SMALL(Lines!$G$3:$G$1590,263),Lines!$G$3:$G$1590,0)),""))</f>
        <v/>
      </c>
      <c r="D268" s="26" t="str">
        <f aca="false">IF(AND(ISNUMBER($J268),$J268&gt;0,$J268&lt;99),INDEX(Lines!$D$3:$D$1590,MATCH(SMALL(Lines!$G$3:$G$1590,263),Lines!$G$3:$G$1590,0)),"")</f>
        <v/>
      </c>
      <c r="E268" s="26" t="str">
        <f aca="false">IF(AND(ISNUMBER($J268),$J268&gt;0,$J268&lt;99),INDEX(Lines!$E$3:$E$1590,MATCH(SMALL(Lines!$G$3:$G$1590,263),Lines!$G$3:$G$1590,0)),"")</f>
        <v/>
      </c>
      <c r="F268" s="26" t="str">
        <f aca="false">IF(AND(ISNUMBER($J268),$J268&gt;0,$J268&lt;99),INDEX(Lines!$O$3:$O$1590,MATCH(SMALL(Lines!$G$3:$G$1590,263),Lines!$G$3:$G$1590,0)),"")</f>
        <v/>
      </c>
      <c r="G268" s="27" t="str">
        <f aca="false">IF($J268=0,INDEX(Lines!$Q$3:$Q$1590,MATCH(SMALL(Lines!$G$3:$G$1590,263),Lines!$G$3:$G$1590,0)),IF(AND(ISNUMBER($J268),$J268&gt;0,$J268&lt;99),INDEX(Lines!$P$3:$P$1590,MATCH(SMALL(Lines!$G$3:$G$1590,263),Lines!$G$3:$G$1590,0)),""))</f>
        <v/>
      </c>
      <c r="H268" s="28" t="str">
        <f aca="false">IF($J268=0,INDEX(Lines!$H$3:$H$1590,MATCH(SMALL(Lines!$G$3:$G$1590,263),Lines!$G$3:$G$1590,0))&amp;" groups",IF(AND(ISNUMBER($J268),$J268&gt;0,$J268&lt;99),INDEX(Lines!$I$3:$I$1590,MATCH(SMALL(Lines!$G$3:$G$1590,263),Lines!$G$3:$G$1590,0)),""))</f>
        <v/>
      </c>
      <c r="I268" s="26"/>
      <c r="J268" s="22" t="str">
        <f aca="false">IFERROR(IF(MOD(SMALL(Lines!$G$3:$G$1590,263),100000)=0,-1,MOD(SMALL(Lines!$G$3:$G$1590,263),100)),"")</f>
        <v/>
      </c>
      <c r="K268" s="22" t="str">
        <f aca="false">IF($J268=0,INDEX(Lines!$L$3:$L$1590,MATCH(SMALL(Lines!$G$3:$G$1590,263),Lines!$G$3:$G$1590,0)),"")</f>
        <v/>
      </c>
    </row>
    <row r="269" customFormat="false" ht="15" hidden="false" customHeight="false" outlineLevel="0" collapsed="false">
      <c r="A269" s="24" t="str">
        <f aca="false">IF(OR($J269=0,AND(ISNUMBER($J269),$J269&gt;0,$J269&lt;99)),INDEX(Lines!$A$3:$A$1590,MATCH(SMALL(Lines!$G$3:$G$1590,264),Lines!$G$3:$G$1590,0)),"")</f>
        <v/>
      </c>
      <c r="B269" s="24" t="str">
        <f aca="false">IF($J269=-1,INDEX(Lines!$J$3:$J$1590,MATCH(SMALL(Lines!$G$3:$G$1590,264),Lines!$G$3:$G$1590,0)),IF($J269=0,INDEX(Lines!$L$3:$L$1590,MATCH(SMALL(Lines!$G$3:$G$1590,264),Lines!$G$3:$G$1590,0)),IF(AND(ISNUMBER($J269),$J269&gt;0,$J269&lt;99),INDEX(Lines!$N$3:$N$1590,MATCH(SMALL(Lines!$G$3:$G$1590,264),Lines!$G$3:$G$1590,0)),"")))</f>
        <v/>
      </c>
      <c r="C269" s="25" t="str">
        <f aca="false">IF($J269=0,INDEX(Lines!$K$3:$K$1590,MATCH(SMALL(Lines!$G$3:$G$1590,264),Lines!$G$3:$G$1590,0)),IF(AND(ISNUMBER($J269),$J269&gt;0,$J269&lt;99),INDEX(Lines!$C$3:$C$1590,MATCH(SMALL(Lines!$G$3:$G$1590,264),Lines!$G$3:$G$1590,0)),""))</f>
        <v/>
      </c>
      <c r="D269" s="26" t="str">
        <f aca="false">IF(AND(ISNUMBER($J269),$J269&gt;0,$J269&lt;99),INDEX(Lines!$D$3:$D$1590,MATCH(SMALL(Lines!$G$3:$G$1590,264),Lines!$G$3:$G$1590,0)),"")</f>
        <v/>
      </c>
      <c r="E269" s="26" t="str">
        <f aca="false">IF(AND(ISNUMBER($J269),$J269&gt;0,$J269&lt;99),INDEX(Lines!$E$3:$E$1590,MATCH(SMALL(Lines!$G$3:$G$1590,264),Lines!$G$3:$G$1590,0)),"")</f>
        <v/>
      </c>
      <c r="F269" s="26" t="str">
        <f aca="false">IF(AND(ISNUMBER($J269),$J269&gt;0,$J269&lt;99),INDEX(Lines!$O$3:$O$1590,MATCH(SMALL(Lines!$G$3:$G$1590,264),Lines!$G$3:$G$1590,0)),"")</f>
        <v/>
      </c>
      <c r="G269" s="27" t="str">
        <f aca="false">IF($J269=0,INDEX(Lines!$Q$3:$Q$1590,MATCH(SMALL(Lines!$G$3:$G$1590,264),Lines!$G$3:$G$1590,0)),IF(AND(ISNUMBER($J269),$J269&gt;0,$J269&lt;99),INDEX(Lines!$P$3:$P$1590,MATCH(SMALL(Lines!$G$3:$G$1590,264),Lines!$G$3:$G$1590,0)),""))</f>
        <v/>
      </c>
      <c r="H269" s="28" t="str">
        <f aca="false">IF($J269=0,INDEX(Lines!$H$3:$H$1590,MATCH(SMALL(Lines!$G$3:$G$1590,264),Lines!$G$3:$G$1590,0))&amp;" groups",IF(AND(ISNUMBER($J269),$J269&gt;0,$J269&lt;99),INDEX(Lines!$I$3:$I$1590,MATCH(SMALL(Lines!$G$3:$G$1590,264),Lines!$G$3:$G$1590,0)),""))</f>
        <v/>
      </c>
      <c r="I269" s="26"/>
      <c r="J269" s="22" t="str">
        <f aca="false">IFERROR(IF(MOD(SMALL(Lines!$G$3:$G$1590,264),100000)=0,-1,MOD(SMALL(Lines!$G$3:$G$1590,264),100)),"")</f>
        <v/>
      </c>
      <c r="K269" s="22" t="str">
        <f aca="false">IF($J269=0,INDEX(Lines!$L$3:$L$1590,MATCH(SMALL(Lines!$G$3:$G$1590,264),Lines!$G$3:$G$1590,0)),"")</f>
        <v/>
      </c>
    </row>
    <row r="270" customFormat="false" ht="15" hidden="false" customHeight="false" outlineLevel="0" collapsed="false">
      <c r="A270" s="24" t="str">
        <f aca="false">IF(OR($J270=0,AND(ISNUMBER($J270),$J270&gt;0,$J270&lt;99)),INDEX(Lines!$A$3:$A$1590,MATCH(SMALL(Lines!$G$3:$G$1590,265),Lines!$G$3:$G$1590,0)),"")</f>
        <v/>
      </c>
      <c r="B270" s="24" t="str">
        <f aca="false">IF($J270=-1,INDEX(Lines!$J$3:$J$1590,MATCH(SMALL(Lines!$G$3:$G$1590,265),Lines!$G$3:$G$1590,0)),IF($J270=0,INDEX(Lines!$L$3:$L$1590,MATCH(SMALL(Lines!$G$3:$G$1590,265),Lines!$G$3:$G$1590,0)),IF(AND(ISNUMBER($J270),$J270&gt;0,$J270&lt;99),INDEX(Lines!$N$3:$N$1590,MATCH(SMALL(Lines!$G$3:$G$1590,265),Lines!$G$3:$G$1590,0)),"")))</f>
        <v/>
      </c>
      <c r="C270" s="25" t="str">
        <f aca="false">IF($J270=0,INDEX(Lines!$K$3:$K$1590,MATCH(SMALL(Lines!$G$3:$G$1590,265),Lines!$G$3:$G$1590,0)),IF(AND(ISNUMBER($J270),$J270&gt;0,$J270&lt;99),INDEX(Lines!$C$3:$C$1590,MATCH(SMALL(Lines!$G$3:$G$1590,265),Lines!$G$3:$G$1590,0)),""))</f>
        <v/>
      </c>
      <c r="D270" s="26" t="str">
        <f aca="false">IF(AND(ISNUMBER($J270),$J270&gt;0,$J270&lt;99),INDEX(Lines!$D$3:$D$1590,MATCH(SMALL(Lines!$G$3:$G$1590,265),Lines!$G$3:$G$1590,0)),"")</f>
        <v/>
      </c>
      <c r="E270" s="26" t="str">
        <f aca="false">IF(AND(ISNUMBER($J270),$J270&gt;0,$J270&lt;99),INDEX(Lines!$E$3:$E$1590,MATCH(SMALL(Lines!$G$3:$G$1590,265),Lines!$G$3:$G$1590,0)),"")</f>
        <v/>
      </c>
      <c r="F270" s="26" t="str">
        <f aca="false">IF(AND(ISNUMBER($J270),$J270&gt;0,$J270&lt;99),INDEX(Lines!$O$3:$O$1590,MATCH(SMALL(Lines!$G$3:$G$1590,265),Lines!$G$3:$G$1590,0)),"")</f>
        <v/>
      </c>
      <c r="G270" s="27" t="str">
        <f aca="false">IF($J270=0,INDEX(Lines!$Q$3:$Q$1590,MATCH(SMALL(Lines!$G$3:$G$1590,265),Lines!$G$3:$G$1590,0)),IF(AND(ISNUMBER($J270),$J270&gt;0,$J270&lt;99),INDEX(Lines!$P$3:$P$1590,MATCH(SMALL(Lines!$G$3:$G$1590,265),Lines!$G$3:$G$1590,0)),""))</f>
        <v/>
      </c>
      <c r="H270" s="28" t="str">
        <f aca="false">IF($J270=0,INDEX(Lines!$H$3:$H$1590,MATCH(SMALL(Lines!$G$3:$G$1590,265),Lines!$G$3:$G$1590,0))&amp;" groups",IF(AND(ISNUMBER($J270),$J270&gt;0,$J270&lt;99),INDEX(Lines!$I$3:$I$1590,MATCH(SMALL(Lines!$G$3:$G$1590,265),Lines!$G$3:$G$1590,0)),""))</f>
        <v/>
      </c>
      <c r="I270" s="26"/>
      <c r="J270" s="22" t="str">
        <f aca="false">IFERROR(IF(MOD(SMALL(Lines!$G$3:$G$1590,265),100000)=0,-1,MOD(SMALL(Lines!$G$3:$G$1590,265),100)),"")</f>
        <v/>
      </c>
      <c r="K270" s="22" t="str">
        <f aca="false">IF($J270=0,INDEX(Lines!$L$3:$L$1590,MATCH(SMALL(Lines!$G$3:$G$1590,265),Lines!$G$3:$G$1590,0)),"")</f>
        <v/>
      </c>
    </row>
    <row r="271" customFormat="false" ht="15" hidden="false" customHeight="false" outlineLevel="0" collapsed="false">
      <c r="A271" s="24" t="str">
        <f aca="false">IF(OR($J271=0,AND(ISNUMBER($J271),$J271&gt;0,$J271&lt;99)),INDEX(Lines!$A$3:$A$1590,MATCH(SMALL(Lines!$G$3:$G$1590,266),Lines!$G$3:$G$1590,0)),"")</f>
        <v/>
      </c>
      <c r="B271" s="24" t="str">
        <f aca="false">IF($J271=-1,INDEX(Lines!$J$3:$J$1590,MATCH(SMALL(Lines!$G$3:$G$1590,266),Lines!$G$3:$G$1590,0)),IF($J271=0,INDEX(Lines!$L$3:$L$1590,MATCH(SMALL(Lines!$G$3:$G$1590,266),Lines!$G$3:$G$1590,0)),IF(AND(ISNUMBER($J271),$J271&gt;0,$J271&lt;99),INDEX(Lines!$N$3:$N$1590,MATCH(SMALL(Lines!$G$3:$G$1590,266),Lines!$G$3:$G$1590,0)),"")))</f>
        <v/>
      </c>
      <c r="C271" s="25" t="str">
        <f aca="false">IF($J271=0,INDEX(Lines!$K$3:$K$1590,MATCH(SMALL(Lines!$G$3:$G$1590,266),Lines!$G$3:$G$1590,0)),IF(AND(ISNUMBER($J271),$J271&gt;0,$J271&lt;99),INDEX(Lines!$C$3:$C$1590,MATCH(SMALL(Lines!$G$3:$G$1590,266),Lines!$G$3:$G$1590,0)),""))</f>
        <v/>
      </c>
      <c r="D271" s="26" t="str">
        <f aca="false">IF(AND(ISNUMBER($J271),$J271&gt;0,$J271&lt;99),INDEX(Lines!$D$3:$D$1590,MATCH(SMALL(Lines!$G$3:$G$1590,266),Lines!$G$3:$G$1590,0)),"")</f>
        <v/>
      </c>
      <c r="E271" s="26" t="str">
        <f aca="false">IF(AND(ISNUMBER($J271),$J271&gt;0,$J271&lt;99),INDEX(Lines!$E$3:$E$1590,MATCH(SMALL(Lines!$G$3:$G$1590,266),Lines!$G$3:$G$1590,0)),"")</f>
        <v/>
      </c>
      <c r="F271" s="26" t="str">
        <f aca="false">IF(AND(ISNUMBER($J271),$J271&gt;0,$J271&lt;99),INDEX(Lines!$O$3:$O$1590,MATCH(SMALL(Lines!$G$3:$G$1590,266),Lines!$G$3:$G$1590,0)),"")</f>
        <v/>
      </c>
      <c r="G271" s="27" t="str">
        <f aca="false">IF($J271=0,INDEX(Lines!$Q$3:$Q$1590,MATCH(SMALL(Lines!$G$3:$G$1590,266),Lines!$G$3:$G$1590,0)),IF(AND(ISNUMBER($J271),$J271&gt;0,$J271&lt;99),INDEX(Lines!$P$3:$P$1590,MATCH(SMALL(Lines!$G$3:$G$1590,266),Lines!$G$3:$G$1590,0)),""))</f>
        <v/>
      </c>
      <c r="H271" s="28" t="str">
        <f aca="false">IF($J271=0,INDEX(Lines!$H$3:$H$1590,MATCH(SMALL(Lines!$G$3:$G$1590,266),Lines!$G$3:$G$1590,0))&amp;" groups",IF(AND(ISNUMBER($J271),$J271&gt;0,$J271&lt;99),INDEX(Lines!$I$3:$I$1590,MATCH(SMALL(Lines!$G$3:$G$1590,266),Lines!$G$3:$G$1590,0)),""))</f>
        <v/>
      </c>
      <c r="I271" s="26"/>
      <c r="J271" s="22" t="str">
        <f aca="false">IFERROR(IF(MOD(SMALL(Lines!$G$3:$G$1590,266),100000)=0,-1,MOD(SMALL(Lines!$G$3:$G$1590,266),100)),"")</f>
        <v/>
      </c>
      <c r="K271" s="22" t="str">
        <f aca="false">IF($J271=0,INDEX(Lines!$L$3:$L$1590,MATCH(SMALL(Lines!$G$3:$G$1590,266),Lines!$G$3:$G$1590,0)),"")</f>
        <v/>
      </c>
    </row>
    <row r="272" customFormat="false" ht="15" hidden="false" customHeight="false" outlineLevel="0" collapsed="false">
      <c r="A272" s="24" t="str">
        <f aca="false">IF(OR($J272=0,AND(ISNUMBER($J272),$J272&gt;0,$J272&lt;99)),INDEX(Lines!$A$3:$A$1590,MATCH(SMALL(Lines!$G$3:$G$1590,267),Lines!$G$3:$G$1590,0)),"")</f>
        <v/>
      </c>
      <c r="B272" s="24" t="str">
        <f aca="false">IF($J272=-1,INDEX(Lines!$J$3:$J$1590,MATCH(SMALL(Lines!$G$3:$G$1590,267),Lines!$G$3:$G$1590,0)),IF($J272=0,INDEX(Lines!$L$3:$L$1590,MATCH(SMALL(Lines!$G$3:$G$1590,267),Lines!$G$3:$G$1590,0)),IF(AND(ISNUMBER($J272),$J272&gt;0,$J272&lt;99),INDEX(Lines!$N$3:$N$1590,MATCH(SMALL(Lines!$G$3:$G$1590,267),Lines!$G$3:$G$1590,0)),"")))</f>
        <v/>
      </c>
      <c r="C272" s="25" t="str">
        <f aca="false">IF($J272=0,INDEX(Lines!$K$3:$K$1590,MATCH(SMALL(Lines!$G$3:$G$1590,267),Lines!$G$3:$G$1590,0)),IF(AND(ISNUMBER($J272),$J272&gt;0,$J272&lt;99),INDEX(Lines!$C$3:$C$1590,MATCH(SMALL(Lines!$G$3:$G$1590,267),Lines!$G$3:$G$1590,0)),""))</f>
        <v/>
      </c>
      <c r="D272" s="26" t="str">
        <f aca="false">IF(AND(ISNUMBER($J272),$J272&gt;0,$J272&lt;99),INDEX(Lines!$D$3:$D$1590,MATCH(SMALL(Lines!$G$3:$G$1590,267),Lines!$G$3:$G$1590,0)),"")</f>
        <v/>
      </c>
      <c r="E272" s="26" t="str">
        <f aca="false">IF(AND(ISNUMBER($J272),$J272&gt;0,$J272&lt;99),INDEX(Lines!$E$3:$E$1590,MATCH(SMALL(Lines!$G$3:$G$1590,267),Lines!$G$3:$G$1590,0)),"")</f>
        <v/>
      </c>
      <c r="F272" s="26" t="str">
        <f aca="false">IF(AND(ISNUMBER($J272),$J272&gt;0,$J272&lt;99),INDEX(Lines!$O$3:$O$1590,MATCH(SMALL(Lines!$G$3:$G$1590,267),Lines!$G$3:$G$1590,0)),"")</f>
        <v/>
      </c>
      <c r="G272" s="27" t="str">
        <f aca="false">IF($J272=0,INDEX(Lines!$Q$3:$Q$1590,MATCH(SMALL(Lines!$G$3:$G$1590,267),Lines!$G$3:$G$1590,0)),IF(AND(ISNUMBER($J272),$J272&gt;0,$J272&lt;99),INDEX(Lines!$P$3:$P$1590,MATCH(SMALL(Lines!$G$3:$G$1590,267),Lines!$G$3:$G$1590,0)),""))</f>
        <v/>
      </c>
      <c r="H272" s="28" t="str">
        <f aca="false">IF($J272=0,INDEX(Lines!$H$3:$H$1590,MATCH(SMALL(Lines!$G$3:$G$1590,267),Lines!$G$3:$G$1590,0))&amp;" groups",IF(AND(ISNUMBER($J272),$J272&gt;0,$J272&lt;99),INDEX(Lines!$I$3:$I$1590,MATCH(SMALL(Lines!$G$3:$G$1590,267),Lines!$G$3:$G$1590,0)),""))</f>
        <v/>
      </c>
      <c r="I272" s="26"/>
      <c r="J272" s="22" t="str">
        <f aca="false">IFERROR(IF(MOD(SMALL(Lines!$G$3:$G$1590,267),100000)=0,-1,MOD(SMALL(Lines!$G$3:$G$1590,267),100)),"")</f>
        <v/>
      </c>
      <c r="K272" s="22" t="str">
        <f aca="false">IF($J272=0,INDEX(Lines!$L$3:$L$1590,MATCH(SMALL(Lines!$G$3:$G$1590,267),Lines!$G$3:$G$1590,0)),"")</f>
        <v/>
      </c>
    </row>
    <row r="273" customFormat="false" ht="15" hidden="false" customHeight="false" outlineLevel="0" collapsed="false">
      <c r="A273" s="24" t="str">
        <f aca="false">IF(OR($J273=0,AND(ISNUMBER($J273),$J273&gt;0,$J273&lt;99)),INDEX(Lines!$A$3:$A$1590,MATCH(SMALL(Lines!$G$3:$G$1590,268),Lines!$G$3:$G$1590,0)),"")</f>
        <v/>
      </c>
      <c r="B273" s="24" t="str">
        <f aca="false">IF($J273=-1,INDEX(Lines!$J$3:$J$1590,MATCH(SMALL(Lines!$G$3:$G$1590,268),Lines!$G$3:$G$1590,0)),IF($J273=0,INDEX(Lines!$L$3:$L$1590,MATCH(SMALL(Lines!$G$3:$G$1590,268),Lines!$G$3:$G$1590,0)),IF(AND(ISNUMBER($J273),$J273&gt;0,$J273&lt;99),INDEX(Lines!$N$3:$N$1590,MATCH(SMALL(Lines!$G$3:$G$1590,268),Lines!$G$3:$G$1590,0)),"")))</f>
        <v/>
      </c>
      <c r="C273" s="25" t="str">
        <f aca="false">IF($J273=0,INDEX(Lines!$K$3:$K$1590,MATCH(SMALL(Lines!$G$3:$G$1590,268),Lines!$G$3:$G$1590,0)),IF(AND(ISNUMBER($J273),$J273&gt;0,$J273&lt;99),INDEX(Lines!$C$3:$C$1590,MATCH(SMALL(Lines!$G$3:$G$1590,268),Lines!$G$3:$G$1590,0)),""))</f>
        <v/>
      </c>
      <c r="D273" s="26" t="str">
        <f aca="false">IF(AND(ISNUMBER($J273),$J273&gt;0,$J273&lt;99),INDEX(Lines!$D$3:$D$1590,MATCH(SMALL(Lines!$G$3:$G$1590,268),Lines!$G$3:$G$1590,0)),"")</f>
        <v/>
      </c>
      <c r="E273" s="26" t="str">
        <f aca="false">IF(AND(ISNUMBER($J273),$J273&gt;0,$J273&lt;99),INDEX(Lines!$E$3:$E$1590,MATCH(SMALL(Lines!$G$3:$G$1590,268),Lines!$G$3:$G$1590,0)),"")</f>
        <v/>
      </c>
      <c r="F273" s="26" t="str">
        <f aca="false">IF(AND(ISNUMBER($J273),$J273&gt;0,$J273&lt;99),INDEX(Lines!$O$3:$O$1590,MATCH(SMALL(Lines!$G$3:$G$1590,268),Lines!$G$3:$G$1590,0)),"")</f>
        <v/>
      </c>
      <c r="G273" s="27" t="str">
        <f aca="false">IF($J273=0,INDEX(Lines!$Q$3:$Q$1590,MATCH(SMALL(Lines!$G$3:$G$1590,268),Lines!$G$3:$G$1590,0)),IF(AND(ISNUMBER($J273),$J273&gt;0,$J273&lt;99),INDEX(Lines!$P$3:$P$1590,MATCH(SMALL(Lines!$G$3:$G$1590,268),Lines!$G$3:$G$1590,0)),""))</f>
        <v/>
      </c>
      <c r="H273" s="28" t="str">
        <f aca="false">IF($J273=0,INDEX(Lines!$H$3:$H$1590,MATCH(SMALL(Lines!$G$3:$G$1590,268),Lines!$G$3:$G$1590,0))&amp;" groups",IF(AND(ISNUMBER($J273),$J273&gt;0,$J273&lt;99),INDEX(Lines!$I$3:$I$1590,MATCH(SMALL(Lines!$G$3:$G$1590,268),Lines!$G$3:$G$1590,0)),""))</f>
        <v/>
      </c>
      <c r="I273" s="26"/>
      <c r="J273" s="22" t="str">
        <f aca="false">IFERROR(IF(MOD(SMALL(Lines!$G$3:$G$1590,268),100000)=0,-1,MOD(SMALL(Lines!$G$3:$G$1590,268),100)),"")</f>
        <v/>
      </c>
      <c r="K273" s="22" t="str">
        <f aca="false">IF($J273=0,INDEX(Lines!$L$3:$L$1590,MATCH(SMALL(Lines!$G$3:$G$1590,268),Lines!$G$3:$G$1590,0)),"")</f>
        <v/>
      </c>
    </row>
    <row r="274" customFormat="false" ht="15" hidden="false" customHeight="false" outlineLevel="0" collapsed="false">
      <c r="A274" s="24" t="str">
        <f aca="false">IF(OR($J274=0,AND(ISNUMBER($J274),$J274&gt;0,$J274&lt;99)),INDEX(Lines!$A$3:$A$1590,MATCH(SMALL(Lines!$G$3:$G$1590,269),Lines!$G$3:$G$1590,0)),"")</f>
        <v/>
      </c>
      <c r="B274" s="24" t="str">
        <f aca="false">IF($J274=-1,INDEX(Lines!$J$3:$J$1590,MATCH(SMALL(Lines!$G$3:$G$1590,269),Lines!$G$3:$G$1590,0)),IF($J274=0,INDEX(Lines!$L$3:$L$1590,MATCH(SMALL(Lines!$G$3:$G$1590,269),Lines!$G$3:$G$1590,0)),IF(AND(ISNUMBER($J274),$J274&gt;0,$J274&lt;99),INDEX(Lines!$N$3:$N$1590,MATCH(SMALL(Lines!$G$3:$G$1590,269),Lines!$G$3:$G$1590,0)),"")))</f>
        <v/>
      </c>
      <c r="C274" s="25" t="str">
        <f aca="false">IF($J274=0,INDEX(Lines!$K$3:$K$1590,MATCH(SMALL(Lines!$G$3:$G$1590,269),Lines!$G$3:$G$1590,0)),IF(AND(ISNUMBER($J274),$J274&gt;0,$J274&lt;99),INDEX(Lines!$C$3:$C$1590,MATCH(SMALL(Lines!$G$3:$G$1590,269),Lines!$G$3:$G$1590,0)),""))</f>
        <v/>
      </c>
      <c r="D274" s="26" t="str">
        <f aca="false">IF(AND(ISNUMBER($J274),$J274&gt;0,$J274&lt;99),INDEX(Lines!$D$3:$D$1590,MATCH(SMALL(Lines!$G$3:$G$1590,269),Lines!$G$3:$G$1590,0)),"")</f>
        <v/>
      </c>
      <c r="E274" s="26" t="str">
        <f aca="false">IF(AND(ISNUMBER($J274),$J274&gt;0,$J274&lt;99),INDEX(Lines!$E$3:$E$1590,MATCH(SMALL(Lines!$G$3:$G$1590,269),Lines!$G$3:$G$1590,0)),"")</f>
        <v/>
      </c>
      <c r="F274" s="26" t="str">
        <f aca="false">IF(AND(ISNUMBER($J274),$J274&gt;0,$J274&lt;99),INDEX(Lines!$O$3:$O$1590,MATCH(SMALL(Lines!$G$3:$G$1590,269),Lines!$G$3:$G$1590,0)),"")</f>
        <v/>
      </c>
      <c r="G274" s="27" t="str">
        <f aca="false">IF($J274=0,INDEX(Lines!$Q$3:$Q$1590,MATCH(SMALL(Lines!$G$3:$G$1590,269),Lines!$G$3:$G$1590,0)),IF(AND(ISNUMBER($J274),$J274&gt;0,$J274&lt;99),INDEX(Lines!$P$3:$P$1590,MATCH(SMALL(Lines!$G$3:$G$1590,269),Lines!$G$3:$G$1590,0)),""))</f>
        <v/>
      </c>
      <c r="H274" s="28" t="str">
        <f aca="false">IF($J274=0,INDEX(Lines!$H$3:$H$1590,MATCH(SMALL(Lines!$G$3:$G$1590,269),Lines!$G$3:$G$1590,0))&amp;" groups",IF(AND(ISNUMBER($J274),$J274&gt;0,$J274&lt;99),INDEX(Lines!$I$3:$I$1590,MATCH(SMALL(Lines!$G$3:$G$1590,269),Lines!$G$3:$G$1590,0)),""))</f>
        <v/>
      </c>
      <c r="I274" s="26"/>
      <c r="J274" s="22" t="str">
        <f aca="false">IFERROR(IF(MOD(SMALL(Lines!$G$3:$G$1590,269),100000)=0,-1,MOD(SMALL(Lines!$G$3:$G$1590,269),100)),"")</f>
        <v/>
      </c>
      <c r="K274" s="22" t="str">
        <f aca="false">IF($J274=0,INDEX(Lines!$L$3:$L$1590,MATCH(SMALL(Lines!$G$3:$G$1590,269),Lines!$G$3:$G$1590,0)),"")</f>
        <v/>
      </c>
    </row>
    <row r="275" customFormat="false" ht="15" hidden="false" customHeight="false" outlineLevel="0" collapsed="false">
      <c r="A275" s="24" t="str">
        <f aca="false">IF(OR($J275=0,AND(ISNUMBER($J275),$J275&gt;0,$J275&lt;99)),INDEX(Lines!$A$3:$A$1590,MATCH(SMALL(Lines!$G$3:$G$1590,270),Lines!$G$3:$G$1590,0)),"")</f>
        <v/>
      </c>
      <c r="B275" s="24" t="str">
        <f aca="false">IF($J275=-1,INDEX(Lines!$J$3:$J$1590,MATCH(SMALL(Lines!$G$3:$G$1590,270),Lines!$G$3:$G$1590,0)),IF($J275=0,INDEX(Lines!$L$3:$L$1590,MATCH(SMALL(Lines!$G$3:$G$1590,270),Lines!$G$3:$G$1590,0)),IF(AND(ISNUMBER($J275),$J275&gt;0,$J275&lt;99),INDEX(Lines!$N$3:$N$1590,MATCH(SMALL(Lines!$G$3:$G$1590,270),Lines!$G$3:$G$1590,0)),"")))</f>
        <v/>
      </c>
      <c r="C275" s="25" t="str">
        <f aca="false">IF($J275=0,INDEX(Lines!$K$3:$K$1590,MATCH(SMALL(Lines!$G$3:$G$1590,270),Lines!$G$3:$G$1590,0)),IF(AND(ISNUMBER($J275),$J275&gt;0,$J275&lt;99),INDEX(Lines!$C$3:$C$1590,MATCH(SMALL(Lines!$G$3:$G$1590,270),Lines!$G$3:$G$1590,0)),""))</f>
        <v/>
      </c>
      <c r="D275" s="26" t="str">
        <f aca="false">IF(AND(ISNUMBER($J275),$J275&gt;0,$J275&lt;99),INDEX(Lines!$D$3:$D$1590,MATCH(SMALL(Lines!$G$3:$G$1590,270),Lines!$G$3:$G$1590,0)),"")</f>
        <v/>
      </c>
      <c r="E275" s="26" t="str">
        <f aca="false">IF(AND(ISNUMBER($J275),$J275&gt;0,$J275&lt;99),INDEX(Lines!$E$3:$E$1590,MATCH(SMALL(Lines!$G$3:$G$1590,270),Lines!$G$3:$G$1590,0)),"")</f>
        <v/>
      </c>
      <c r="F275" s="26" t="str">
        <f aca="false">IF(AND(ISNUMBER($J275),$J275&gt;0,$J275&lt;99),INDEX(Lines!$O$3:$O$1590,MATCH(SMALL(Lines!$G$3:$G$1590,270),Lines!$G$3:$G$1590,0)),"")</f>
        <v/>
      </c>
      <c r="G275" s="27" t="str">
        <f aca="false">IF($J275=0,INDEX(Lines!$Q$3:$Q$1590,MATCH(SMALL(Lines!$G$3:$G$1590,270),Lines!$G$3:$G$1590,0)),IF(AND(ISNUMBER($J275),$J275&gt;0,$J275&lt;99),INDEX(Lines!$P$3:$P$1590,MATCH(SMALL(Lines!$G$3:$G$1590,270),Lines!$G$3:$G$1590,0)),""))</f>
        <v/>
      </c>
      <c r="H275" s="28" t="str">
        <f aca="false">IF($J275=0,INDEX(Lines!$H$3:$H$1590,MATCH(SMALL(Lines!$G$3:$G$1590,270),Lines!$G$3:$G$1590,0))&amp;" groups",IF(AND(ISNUMBER($J275),$J275&gt;0,$J275&lt;99),INDEX(Lines!$I$3:$I$1590,MATCH(SMALL(Lines!$G$3:$G$1590,270),Lines!$G$3:$G$1590,0)),""))</f>
        <v/>
      </c>
      <c r="I275" s="26"/>
      <c r="J275" s="22" t="str">
        <f aca="false">IFERROR(IF(MOD(SMALL(Lines!$G$3:$G$1590,270),100000)=0,-1,MOD(SMALL(Lines!$G$3:$G$1590,270),100)),"")</f>
        <v/>
      </c>
      <c r="K275" s="22" t="str">
        <f aca="false">IF($J275=0,INDEX(Lines!$L$3:$L$1590,MATCH(SMALL(Lines!$G$3:$G$1590,270),Lines!$G$3:$G$1590,0)),"")</f>
        <v/>
      </c>
    </row>
    <row r="276" customFormat="false" ht="15" hidden="false" customHeight="false" outlineLevel="0" collapsed="false">
      <c r="A276" s="24" t="str">
        <f aca="false">IF(OR($J276=0,AND(ISNUMBER($J276),$J276&gt;0,$J276&lt;99)),INDEX(Lines!$A$3:$A$1590,MATCH(SMALL(Lines!$G$3:$G$1590,271),Lines!$G$3:$G$1590,0)),"")</f>
        <v/>
      </c>
      <c r="B276" s="24" t="str">
        <f aca="false">IF($J276=-1,INDEX(Lines!$J$3:$J$1590,MATCH(SMALL(Lines!$G$3:$G$1590,271),Lines!$G$3:$G$1590,0)),IF($J276=0,INDEX(Lines!$L$3:$L$1590,MATCH(SMALL(Lines!$G$3:$G$1590,271),Lines!$G$3:$G$1590,0)),IF(AND(ISNUMBER($J276),$J276&gt;0,$J276&lt;99),INDEX(Lines!$N$3:$N$1590,MATCH(SMALL(Lines!$G$3:$G$1590,271),Lines!$G$3:$G$1590,0)),"")))</f>
        <v/>
      </c>
      <c r="C276" s="25" t="str">
        <f aca="false">IF($J276=0,INDEX(Lines!$K$3:$K$1590,MATCH(SMALL(Lines!$G$3:$G$1590,271),Lines!$G$3:$G$1590,0)),IF(AND(ISNUMBER($J276),$J276&gt;0,$J276&lt;99),INDEX(Lines!$C$3:$C$1590,MATCH(SMALL(Lines!$G$3:$G$1590,271),Lines!$G$3:$G$1590,0)),""))</f>
        <v/>
      </c>
      <c r="D276" s="26" t="str">
        <f aca="false">IF(AND(ISNUMBER($J276),$J276&gt;0,$J276&lt;99),INDEX(Lines!$D$3:$D$1590,MATCH(SMALL(Lines!$G$3:$G$1590,271),Lines!$G$3:$G$1590,0)),"")</f>
        <v/>
      </c>
      <c r="E276" s="26" t="str">
        <f aca="false">IF(AND(ISNUMBER($J276),$J276&gt;0,$J276&lt;99),INDEX(Lines!$E$3:$E$1590,MATCH(SMALL(Lines!$G$3:$G$1590,271),Lines!$G$3:$G$1590,0)),"")</f>
        <v/>
      </c>
      <c r="F276" s="26" t="str">
        <f aca="false">IF(AND(ISNUMBER($J276),$J276&gt;0,$J276&lt;99),INDEX(Lines!$O$3:$O$1590,MATCH(SMALL(Lines!$G$3:$G$1590,271),Lines!$G$3:$G$1590,0)),"")</f>
        <v/>
      </c>
      <c r="G276" s="27" t="str">
        <f aca="false">IF($J276=0,INDEX(Lines!$Q$3:$Q$1590,MATCH(SMALL(Lines!$G$3:$G$1590,271),Lines!$G$3:$G$1590,0)),IF(AND(ISNUMBER($J276),$J276&gt;0,$J276&lt;99),INDEX(Lines!$P$3:$P$1590,MATCH(SMALL(Lines!$G$3:$G$1590,271),Lines!$G$3:$G$1590,0)),""))</f>
        <v/>
      </c>
      <c r="H276" s="28" t="str">
        <f aca="false">IF($J276=0,INDEX(Lines!$H$3:$H$1590,MATCH(SMALL(Lines!$G$3:$G$1590,271),Lines!$G$3:$G$1590,0))&amp;" groups",IF(AND(ISNUMBER($J276),$J276&gt;0,$J276&lt;99),INDEX(Lines!$I$3:$I$1590,MATCH(SMALL(Lines!$G$3:$G$1590,271),Lines!$G$3:$G$1590,0)),""))</f>
        <v/>
      </c>
      <c r="I276" s="26"/>
      <c r="J276" s="22" t="str">
        <f aca="false">IFERROR(IF(MOD(SMALL(Lines!$G$3:$G$1590,271),100000)=0,-1,MOD(SMALL(Lines!$G$3:$G$1590,271),100)),"")</f>
        <v/>
      </c>
      <c r="K276" s="22" t="str">
        <f aca="false">IF($J276=0,INDEX(Lines!$L$3:$L$1590,MATCH(SMALL(Lines!$G$3:$G$1590,271),Lines!$G$3:$G$1590,0)),"")</f>
        <v/>
      </c>
    </row>
    <row r="277" customFormat="false" ht="15" hidden="false" customHeight="false" outlineLevel="0" collapsed="false">
      <c r="A277" s="24" t="str">
        <f aca="false">IF(OR($J277=0,AND(ISNUMBER($J277),$J277&gt;0,$J277&lt;99)),INDEX(Lines!$A$3:$A$1590,MATCH(SMALL(Lines!$G$3:$G$1590,272),Lines!$G$3:$G$1590,0)),"")</f>
        <v/>
      </c>
      <c r="B277" s="24" t="str">
        <f aca="false">IF($J277=-1,INDEX(Lines!$J$3:$J$1590,MATCH(SMALL(Lines!$G$3:$G$1590,272),Lines!$G$3:$G$1590,0)),IF($J277=0,INDEX(Lines!$L$3:$L$1590,MATCH(SMALL(Lines!$G$3:$G$1590,272),Lines!$G$3:$G$1590,0)),IF(AND(ISNUMBER($J277),$J277&gt;0,$J277&lt;99),INDEX(Lines!$N$3:$N$1590,MATCH(SMALL(Lines!$G$3:$G$1590,272),Lines!$G$3:$G$1590,0)),"")))</f>
        <v/>
      </c>
      <c r="C277" s="25" t="str">
        <f aca="false">IF($J277=0,INDEX(Lines!$K$3:$K$1590,MATCH(SMALL(Lines!$G$3:$G$1590,272),Lines!$G$3:$G$1590,0)),IF(AND(ISNUMBER($J277),$J277&gt;0,$J277&lt;99),INDEX(Lines!$C$3:$C$1590,MATCH(SMALL(Lines!$G$3:$G$1590,272),Lines!$G$3:$G$1590,0)),""))</f>
        <v/>
      </c>
      <c r="D277" s="26" t="str">
        <f aca="false">IF(AND(ISNUMBER($J277),$J277&gt;0,$J277&lt;99),INDEX(Lines!$D$3:$D$1590,MATCH(SMALL(Lines!$G$3:$G$1590,272),Lines!$G$3:$G$1590,0)),"")</f>
        <v/>
      </c>
      <c r="E277" s="26" t="str">
        <f aca="false">IF(AND(ISNUMBER($J277),$J277&gt;0,$J277&lt;99),INDEX(Lines!$E$3:$E$1590,MATCH(SMALL(Lines!$G$3:$G$1590,272),Lines!$G$3:$G$1590,0)),"")</f>
        <v/>
      </c>
      <c r="F277" s="26" t="str">
        <f aca="false">IF(AND(ISNUMBER($J277),$J277&gt;0,$J277&lt;99),INDEX(Lines!$O$3:$O$1590,MATCH(SMALL(Lines!$G$3:$G$1590,272),Lines!$G$3:$G$1590,0)),"")</f>
        <v/>
      </c>
      <c r="G277" s="27" t="str">
        <f aca="false">IF($J277=0,INDEX(Lines!$Q$3:$Q$1590,MATCH(SMALL(Lines!$G$3:$G$1590,272),Lines!$G$3:$G$1590,0)),IF(AND(ISNUMBER($J277),$J277&gt;0,$J277&lt;99),INDEX(Lines!$P$3:$P$1590,MATCH(SMALL(Lines!$G$3:$G$1590,272),Lines!$G$3:$G$1590,0)),""))</f>
        <v/>
      </c>
      <c r="H277" s="28" t="str">
        <f aca="false">IF($J277=0,INDEX(Lines!$H$3:$H$1590,MATCH(SMALL(Lines!$G$3:$G$1590,272),Lines!$G$3:$G$1590,0))&amp;" groups",IF(AND(ISNUMBER($J277),$J277&gt;0,$J277&lt;99),INDEX(Lines!$I$3:$I$1590,MATCH(SMALL(Lines!$G$3:$G$1590,272),Lines!$G$3:$G$1590,0)),""))</f>
        <v/>
      </c>
      <c r="I277" s="26"/>
      <c r="J277" s="22" t="str">
        <f aca="false">IFERROR(IF(MOD(SMALL(Lines!$G$3:$G$1590,272),100000)=0,-1,MOD(SMALL(Lines!$G$3:$G$1590,272),100)),"")</f>
        <v/>
      </c>
      <c r="K277" s="22" t="str">
        <f aca="false">IF($J277=0,INDEX(Lines!$L$3:$L$1590,MATCH(SMALL(Lines!$G$3:$G$1590,272),Lines!$G$3:$G$1590,0)),"")</f>
        <v/>
      </c>
    </row>
    <row r="278" customFormat="false" ht="15" hidden="false" customHeight="false" outlineLevel="0" collapsed="false">
      <c r="A278" s="24" t="str">
        <f aca="false">IF(OR($J278=0,AND(ISNUMBER($J278),$J278&gt;0,$J278&lt;99)),INDEX(Lines!$A$3:$A$1590,MATCH(SMALL(Lines!$G$3:$G$1590,273),Lines!$G$3:$G$1590,0)),"")</f>
        <v/>
      </c>
      <c r="B278" s="24" t="str">
        <f aca="false">IF($J278=-1,INDEX(Lines!$J$3:$J$1590,MATCH(SMALL(Lines!$G$3:$G$1590,273),Lines!$G$3:$G$1590,0)),IF($J278=0,INDEX(Lines!$L$3:$L$1590,MATCH(SMALL(Lines!$G$3:$G$1590,273),Lines!$G$3:$G$1590,0)),IF(AND(ISNUMBER($J278),$J278&gt;0,$J278&lt;99),INDEX(Lines!$N$3:$N$1590,MATCH(SMALL(Lines!$G$3:$G$1590,273),Lines!$G$3:$G$1590,0)),"")))</f>
        <v/>
      </c>
      <c r="C278" s="25" t="str">
        <f aca="false">IF($J278=0,INDEX(Lines!$K$3:$K$1590,MATCH(SMALL(Lines!$G$3:$G$1590,273),Lines!$G$3:$G$1590,0)),IF(AND(ISNUMBER($J278),$J278&gt;0,$J278&lt;99),INDEX(Lines!$C$3:$C$1590,MATCH(SMALL(Lines!$G$3:$G$1590,273),Lines!$G$3:$G$1590,0)),""))</f>
        <v/>
      </c>
      <c r="D278" s="26" t="str">
        <f aca="false">IF(AND(ISNUMBER($J278),$J278&gt;0,$J278&lt;99),INDEX(Lines!$D$3:$D$1590,MATCH(SMALL(Lines!$G$3:$G$1590,273),Lines!$G$3:$G$1590,0)),"")</f>
        <v/>
      </c>
      <c r="E278" s="26" t="str">
        <f aca="false">IF(AND(ISNUMBER($J278),$J278&gt;0,$J278&lt;99),INDEX(Lines!$E$3:$E$1590,MATCH(SMALL(Lines!$G$3:$G$1590,273),Lines!$G$3:$G$1590,0)),"")</f>
        <v/>
      </c>
      <c r="F278" s="26" t="str">
        <f aca="false">IF(AND(ISNUMBER($J278),$J278&gt;0,$J278&lt;99),INDEX(Lines!$O$3:$O$1590,MATCH(SMALL(Lines!$G$3:$G$1590,273),Lines!$G$3:$G$1590,0)),"")</f>
        <v/>
      </c>
      <c r="G278" s="27" t="str">
        <f aca="false">IF($J278=0,INDEX(Lines!$Q$3:$Q$1590,MATCH(SMALL(Lines!$G$3:$G$1590,273),Lines!$G$3:$G$1590,0)),IF(AND(ISNUMBER($J278),$J278&gt;0,$J278&lt;99),INDEX(Lines!$P$3:$P$1590,MATCH(SMALL(Lines!$G$3:$G$1590,273),Lines!$G$3:$G$1590,0)),""))</f>
        <v/>
      </c>
      <c r="H278" s="28" t="str">
        <f aca="false">IF($J278=0,INDEX(Lines!$H$3:$H$1590,MATCH(SMALL(Lines!$G$3:$G$1590,273),Lines!$G$3:$G$1590,0))&amp;" groups",IF(AND(ISNUMBER($J278),$J278&gt;0,$J278&lt;99),INDEX(Lines!$I$3:$I$1590,MATCH(SMALL(Lines!$G$3:$G$1590,273),Lines!$G$3:$G$1590,0)),""))</f>
        <v/>
      </c>
      <c r="I278" s="26"/>
      <c r="J278" s="22" t="str">
        <f aca="false">IFERROR(IF(MOD(SMALL(Lines!$G$3:$G$1590,273),100000)=0,-1,MOD(SMALL(Lines!$G$3:$G$1590,273),100)),"")</f>
        <v/>
      </c>
      <c r="K278" s="22" t="str">
        <f aca="false">IF($J278=0,INDEX(Lines!$L$3:$L$1590,MATCH(SMALL(Lines!$G$3:$G$1590,273),Lines!$G$3:$G$1590,0)),"")</f>
        <v/>
      </c>
    </row>
    <row r="279" customFormat="false" ht="15" hidden="false" customHeight="false" outlineLevel="0" collapsed="false">
      <c r="A279" s="24" t="str">
        <f aca="false">IF(OR($J279=0,AND(ISNUMBER($J279),$J279&gt;0,$J279&lt;99)),INDEX(Lines!$A$3:$A$1590,MATCH(SMALL(Lines!$G$3:$G$1590,274),Lines!$G$3:$G$1590,0)),"")</f>
        <v/>
      </c>
      <c r="B279" s="24" t="str">
        <f aca="false">IF($J279=-1,INDEX(Lines!$J$3:$J$1590,MATCH(SMALL(Lines!$G$3:$G$1590,274),Lines!$G$3:$G$1590,0)),IF($J279=0,INDEX(Lines!$L$3:$L$1590,MATCH(SMALL(Lines!$G$3:$G$1590,274),Lines!$G$3:$G$1590,0)),IF(AND(ISNUMBER($J279),$J279&gt;0,$J279&lt;99),INDEX(Lines!$N$3:$N$1590,MATCH(SMALL(Lines!$G$3:$G$1590,274),Lines!$G$3:$G$1590,0)),"")))</f>
        <v/>
      </c>
      <c r="C279" s="25" t="str">
        <f aca="false">IF($J279=0,INDEX(Lines!$K$3:$K$1590,MATCH(SMALL(Lines!$G$3:$G$1590,274),Lines!$G$3:$G$1590,0)),IF(AND(ISNUMBER($J279),$J279&gt;0,$J279&lt;99),INDEX(Lines!$C$3:$C$1590,MATCH(SMALL(Lines!$G$3:$G$1590,274),Lines!$G$3:$G$1590,0)),""))</f>
        <v/>
      </c>
      <c r="D279" s="26" t="str">
        <f aca="false">IF(AND(ISNUMBER($J279),$J279&gt;0,$J279&lt;99),INDEX(Lines!$D$3:$D$1590,MATCH(SMALL(Lines!$G$3:$G$1590,274),Lines!$G$3:$G$1590,0)),"")</f>
        <v/>
      </c>
      <c r="E279" s="26" t="str">
        <f aca="false">IF(AND(ISNUMBER($J279),$J279&gt;0,$J279&lt;99),INDEX(Lines!$E$3:$E$1590,MATCH(SMALL(Lines!$G$3:$G$1590,274),Lines!$G$3:$G$1590,0)),"")</f>
        <v/>
      </c>
      <c r="F279" s="26" t="str">
        <f aca="false">IF(AND(ISNUMBER($J279),$J279&gt;0,$J279&lt;99),INDEX(Lines!$O$3:$O$1590,MATCH(SMALL(Lines!$G$3:$G$1590,274),Lines!$G$3:$G$1590,0)),"")</f>
        <v/>
      </c>
      <c r="G279" s="27" t="str">
        <f aca="false">IF($J279=0,INDEX(Lines!$Q$3:$Q$1590,MATCH(SMALL(Lines!$G$3:$G$1590,274),Lines!$G$3:$G$1590,0)),IF(AND(ISNUMBER($J279),$J279&gt;0,$J279&lt;99),INDEX(Lines!$P$3:$P$1590,MATCH(SMALL(Lines!$G$3:$G$1590,274),Lines!$G$3:$G$1590,0)),""))</f>
        <v/>
      </c>
      <c r="H279" s="28" t="str">
        <f aca="false">IF($J279=0,INDEX(Lines!$H$3:$H$1590,MATCH(SMALL(Lines!$G$3:$G$1590,274),Lines!$G$3:$G$1590,0))&amp;" groups",IF(AND(ISNUMBER($J279),$J279&gt;0,$J279&lt;99),INDEX(Lines!$I$3:$I$1590,MATCH(SMALL(Lines!$G$3:$G$1590,274),Lines!$G$3:$G$1590,0)),""))</f>
        <v/>
      </c>
      <c r="I279" s="26"/>
      <c r="J279" s="22" t="str">
        <f aca="false">IFERROR(IF(MOD(SMALL(Lines!$G$3:$G$1590,274),100000)=0,-1,MOD(SMALL(Lines!$G$3:$G$1590,274),100)),"")</f>
        <v/>
      </c>
      <c r="K279" s="22" t="str">
        <f aca="false">IF($J279=0,INDEX(Lines!$L$3:$L$1590,MATCH(SMALL(Lines!$G$3:$G$1590,274),Lines!$G$3:$G$1590,0)),"")</f>
        <v/>
      </c>
    </row>
    <row r="280" customFormat="false" ht="15" hidden="false" customHeight="false" outlineLevel="0" collapsed="false">
      <c r="A280" s="24" t="str">
        <f aca="false">IF(OR($J280=0,AND(ISNUMBER($J280),$J280&gt;0,$J280&lt;99)),INDEX(Lines!$A$3:$A$1590,MATCH(SMALL(Lines!$G$3:$G$1590,275),Lines!$G$3:$G$1590,0)),"")</f>
        <v/>
      </c>
      <c r="B280" s="24" t="str">
        <f aca="false">IF($J280=-1,INDEX(Lines!$J$3:$J$1590,MATCH(SMALL(Lines!$G$3:$G$1590,275),Lines!$G$3:$G$1590,0)),IF($J280=0,INDEX(Lines!$L$3:$L$1590,MATCH(SMALL(Lines!$G$3:$G$1590,275),Lines!$G$3:$G$1590,0)),IF(AND(ISNUMBER($J280),$J280&gt;0,$J280&lt;99),INDEX(Lines!$N$3:$N$1590,MATCH(SMALL(Lines!$G$3:$G$1590,275),Lines!$G$3:$G$1590,0)),"")))</f>
        <v/>
      </c>
      <c r="C280" s="25" t="str">
        <f aca="false">IF($J280=0,INDEX(Lines!$K$3:$K$1590,MATCH(SMALL(Lines!$G$3:$G$1590,275),Lines!$G$3:$G$1590,0)),IF(AND(ISNUMBER($J280),$J280&gt;0,$J280&lt;99),INDEX(Lines!$C$3:$C$1590,MATCH(SMALL(Lines!$G$3:$G$1590,275),Lines!$G$3:$G$1590,0)),""))</f>
        <v/>
      </c>
      <c r="D280" s="26" t="str">
        <f aca="false">IF(AND(ISNUMBER($J280),$J280&gt;0,$J280&lt;99),INDEX(Lines!$D$3:$D$1590,MATCH(SMALL(Lines!$G$3:$G$1590,275),Lines!$G$3:$G$1590,0)),"")</f>
        <v/>
      </c>
      <c r="E280" s="26" t="str">
        <f aca="false">IF(AND(ISNUMBER($J280),$J280&gt;0,$J280&lt;99),INDEX(Lines!$E$3:$E$1590,MATCH(SMALL(Lines!$G$3:$G$1590,275),Lines!$G$3:$G$1590,0)),"")</f>
        <v/>
      </c>
      <c r="F280" s="26" t="str">
        <f aca="false">IF(AND(ISNUMBER($J280),$J280&gt;0,$J280&lt;99),INDEX(Lines!$O$3:$O$1590,MATCH(SMALL(Lines!$G$3:$G$1590,275),Lines!$G$3:$G$1590,0)),"")</f>
        <v/>
      </c>
      <c r="G280" s="27" t="str">
        <f aca="false">IF($J280=0,INDEX(Lines!$Q$3:$Q$1590,MATCH(SMALL(Lines!$G$3:$G$1590,275),Lines!$G$3:$G$1590,0)),IF(AND(ISNUMBER($J280),$J280&gt;0,$J280&lt;99),INDEX(Lines!$P$3:$P$1590,MATCH(SMALL(Lines!$G$3:$G$1590,275),Lines!$G$3:$G$1590,0)),""))</f>
        <v/>
      </c>
      <c r="H280" s="28" t="str">
        <f aca="false">IF($J280=0,INDEX(Lines!$H$3:$H$1590,MATCH(SMALL(Lines!$G$3:$G$1590,275),Lines!$G$3:$G$1590,0))&amp;" groups",IF(AND(ISNUMBER($J280),$J280&gt;0,$J280&lt;99),INDEX(Lines!$I$3:$I$1590,MATCH(SMALL(Lines!$G$3:$G$1590,275),Lines!$G$3:$G$1590,0)),""))</f>
        <v/>
      </c>
      <c r="I280" s="26"/>
      <c r="J280" s="22" t="str">
        <f aca="false">IFERROR(IF(MOD(SMALL(Lines!$G$3:$G$1590,275),100000)=0,-1,MOD(SMALL(Lines!$G$3:$G$1590,275),100)),"")</f>
        <v/>
      </c>
      <c r="K280" s="22" t="str">
        <f aca="false">IF($J280=0,INDEX(Lines!$L$3:$L$1590,MATCH(SMALL(Lines!$G$3:$G$1590,275),Lines!$G$3:$G$1590,0)),"")</f>
        <v/>
      </c>
    </row>
    <row r="281" customFormat="false" ht="15" hidden="false" customHeight="false" outlineLevel="0" collapsed="false">
      <c r="A281" s="24" t="str">
        <f aca="false">IF(OR($J281=0,AND(ISNUMBER($J281),$J281&gt;0,$J281&lt;99)),INDEX(Lines!$A$3:$A$1590,MATCH(SMALL(Lines!$G$3:$G$1590,276),Lines!$G$3:$G$1590,0)),"")</f>
        <v/>
      </c>
      <c r="B281" s="24" t="str">
        <f aca="false">IF($J281=-1,INDEX(Lines!$J$3:$J$1590,MATCH(SMALL(Lines!$G$3:$G$1590,276),Lines!$G$3:$G$1590,0)),IF($J281=0,INDEX(Lines!$L$3:$L$1590,MATCH(SMALL(Lines!$G$3:$G$1590,276),Lines!$G$3:$G$1590,0)),IF(AND(ISNUMBER($J281),$J281&gt;0,$J281&lt;99),INDEX(Lines!$N$3:$N$1590,MATCH(SMALL(Lines!$G$3:$G$1590,276),Lines!$G$3:$G$1590,0)),"")))</f>
        <v/>
      </c>
      <c r="C281" s="25" t="str">
        <f aca="false">IF($J281=0,INDEX(Lines!$K$3:$K$1590,MATCH(SMALL(Lines!$G$3:$G$1590,276),Lines!$G$3:$G$1590,0)),IF(AND(ISNUMBER($J281),$J281&gt;0,$J281&lt;99),INDEX(Lines!$C$3:$C$1590,MATCH(SMALL(Lines!$G$3:$G$1590,276),Lines!$G$3:$G$1590,0)),""))</f>
        <v/>
      </c>
      <c r="D281" s="26" t="str">
        <f aca="false">IF(AND(ISNUMBER($J281),$J281&gt;0,$J281&lt;99),INDEX(Lines!$D$3:$D$1590,MATCH(SMALL(Lines!$G$3:$G$1590,276),Lines!$G$3:$G$1590,0)),"")</f>
        <v/>
      </c>
      <c r="E281" s="26" t="str">
        <f aca="false">IF(AND(ISNUMBER($J281),$J281&gt;0,$J281&lt;99),INDEX(Lines!$E$3:$E$1590,MATCH(SMALL(Lines!$G$3:$G$1590,276),Lines!$G$3:$G$1590,0)),"")</f>
        <v/>
      </c>
      <c r="F281" s="26" t="str">
        <f aca="false">IF(AND(ISNUMBER($J281),$J281&gt;0,$J281&lt;99),INDEX(Lines!$O$3:$O$1590,MATCH(SMALL(Lines!$G$3:$G$1590,276),Lines!$G$3:$G$1590,0)),"")</f>
        <v/>
      </c>
      <c r="G281" s="27" t="str">
        <f aca="false">IF($J281=0,INDEX(Lines!$Q$3:$Q$1590,MATCH(SMALL(Lines!$G$3:$G$1590,276),Lines!$G$3:$G$1590,0)),IF(AND(ISNUMBER($J281),$J281&gt;0,$J281&lt;99),INDEX(Lines!$P$3:$P$1590,MATCH(SMALL(Lines!$G$3:$G$1590,276),Lines!$G$3:$G$1590,0)),""))</f>
        <v/>
      </c>
      <c r="H281" s="28" t="str">
        <f aca="false">IF($J281=0,INDEX(Lines!$H$3:$H$1590,MATCH(SMALL(Lines!$G$3:$G$1590,276),Lines!$G$3:$G$1590,0))&amp;" groups",IF(AND(ISNUMBER($J281),$J281&gt;0,$J281&lt;99),INDEX(Lines!$I$3:$I$1590,MATCH(SMALL(Lines!$G$3:$G$1590,276),Lines!$G$3:$G$1590,0)),""))</f>
        <v/>
      </c>
      <c r="I281" s="26"/>
      <c r="J281" s="22" t="str">
        <f aca="false">IFERROR(IF(MOD(SMALL(Lines!$G$3:$G$1590,276),100000)=0,-1,MOD(SMALL(Lines!$G$3:$G$1590,276),100)),"")</f>
        <v/>
      </c>
      <c r="K281" s="22" t="str">
        <f aca="false">IF($J281=0,INDEX(Lines!$L$3:$L$1590,MATCH(SMALL(Lines!$G$3:$G$1590,276),Lines!$G$3:$G$1590,0)),"")</f>
        <v/>
      </c>
    </row>
    <row r="282" customFormat="false" ht="15" hidden="false" customHeight="false" outlineLevel="0" collapsed="false">
      <c r="A282" s="24" t="str">
        <f aca="false">IF(OR($J282=0,AND(ISNUMBER($J282),$J282&gt;0,$J282&lt;99)),INDEX(Lines!$A$3:$A$1590,MATCH(SMALL(Lines!$G$3:$G$1590,277),Lines!$G$3:$G$1590,0)),"")</f>
        <v/>
      </c>
      <c r="B282" s="24" t="str">
        <f aca="false">IF($J282=-1,INDEX(Lines!$J$3:$J$1590,MATCH(SMALL(Lines!$G$3:$G$1590,277),Lines!$G$3:$G$1590,0)),IF($J282=0,INDEX(Lines!$L$3:$L$1590,MATCH(SMALL(Lines!$G$3:$G$1590,277),Lines!$G$3:$G$1590,0)),IF(AND(ISNUMBER($J282),$J282&gt;0,$J282&lt;99),INDEX(Lines!$N$3:$N$1590,MATCH(SMALL(Lines!$G$3:$G$1590,277),Lines!$G$3:$G$1590,0)),"")))</f>
        <v/>
      </c>
      <c r="C282" s="25" t="str">
        <f aca="false">IF($J282=0,INDEX(Lines!$K$3:$K$1590,MATCH(SMALL(Lines!$G$3:$G$1590,277),Lines!$G$3:$G$1590,0)),IF(AND(ISNUMBER($J282),$J282&gt;0,$J282&lt;99),INDEX(Lines!$C$3:$C$1590,MATCH(SMALL(Lines!$G$3:$G$1590,277),Lines!$G$3:$G$1590,0)),""))</f>
        <v/>
      </c>
      <c r="D282" s="26" t="str">
        <f aca="false">IF(AND(ISNUMBER($J282),$J282&gt;0,$J282&lt;99),INDEX(Lines!$D$3:$D$1590,MATCH(SMALL(Lines!$G$3:$G$1590,277),Lines!$G$3:$G$1590,0)),"")</f>
        <v/>
      </c>
      <c r="E282" s="26" t="str">
        <f aca="false">IF(AND(ISNUMBER($J282),$J282&gt;0,$J282&lt;99),INDEX(Lines!$E$3:$E$1590,MATCH(SMALL(Lines!$G$3:$G$1590,277),Lines!$G$3:$G$1590,0)),"")</f>
        <v/>
      </c>
      <c r="F282" s="26" t="str">
        <f aca="false">IF(AND(ISNUMBER($J282),$J282&gt;0,$J282&lt;99),INDEX(Lines!$O$3:$O$1590,MATCH(SMALL(Lines!$G$3:$G$1590,277),Lines!$G$3:$G$1590,0)),"")</f>
        <v/>
      </c>
      <c r="G282" s="27" t="str">
        <f aca="false">IF($J282=0,INDEX(Lines!$Q$3:$Q$1590,MATCH(SMALL(Lines!$G$3:$G$1590,277),Lines!$G$3:$G$1590,0)),IF(AND(ISNUMBER($J282),$J282&gt;0,$J282&lt;99),INDEX(Lines!$P$3:$P$1590,MATCH(SMALL(Lines!$G$3:$G$1590,277),Lines!$G$3:$G$1590,0)),""))</f>
        <v/>
      </c>
      <c r="H282" s="28" t="str">
        <f aca="false">IF($J282=0,INDEX(Lines!$H$3:$H$1590,MATCH(SMALL(Lines!$G$3:$G$1590,277),Lines!$G$3:$G$1590,0))&amp;" groups",IF(AND(ISNUMBER($J282),$J282&gt;0,$J282&lt;99),INDEX(Lines!$I$3:$I$1590,MATCH(SMALL(Lines!$G$3:$G$1590,277),Lines!$G$3:$G$1590,0)),""))</f>
        <v/>
      </c>
      <c r="I282" s="26"/>
      <c r="J282" s="22" t="str">
        <f aca="false">IFERROR(IF(MOD(SMALL(Lines!$G$3:$G$1590,277),100000)=0,-1,MOD(SMALL(Lines!$G$3:$G$1590,277),100)),"")</f>
        <v/>
      </c>
      <c r="K282" s="22" t="str">
        <f aca="false">IF($J282=0,INDEX(Lines!$L$3:$L$1590,MATCH(SMALL(Lines!$G$3:$G$1590,277),Lines!$G$3:$G$1590,0)),"")</f>
        <v/>
      </c>
    </row>
    <row r="283" customFormat="false" ht="15" hidden="false" customHeight="false" outlineLevel="0" collapsed="false">
      <c r="A283" s="24" t="str">
        <f aca="false">IF(OR($J283=0,AND(ISNUMBER($J283),$J283&gt;0,$J283&lt;99)),INDEX(Lines!$A$3:$A$1590,MATCH(SMALL(Lines!$G$3:$G$1590,278),Lines!$G$3:$G$1590,0)),"")</f>
        <v/>
      </c>
      <c r="B283" s="24" t="str">
        <f aca="false">IF($J283=-1,INDEX(Lines!$J$3:$J$1590,MATCH(SMALL(Lines!$G$3:$G$1590,278),Lines!$G$3:$G$1590,0)),IF($J283=0,INDEX(Lines!$L$3:$L$1590,MATCH(SMALL(Lines!$G$3:$G$1590,278),Lines!$G$3:$G$1590,0)),IF(AND(ISNUMBER($J283),$J283&gt;0,$J283&lt;99),INDEX(Lines!$N$3:$N$1590,MATCH(SMALL(Lines!$G$3:$G$1590,278),Lines!$G$3:$G$1590,0)),"")))</f>
        <v/>
      </c>
      <c r="C283" s="25" t="str">
        <f aca="false">IF($J283=0,INDEX(Lines!$K$3:$K$1590,MATCH(SMALL(Lines!$G$3:$G$1590,278),Lines!$G$3:$G$1590,0)),IF(AND(ISNUMBER($J283),$J283&gt;0,$J283&lt;99),INDEX(Lines!$C$3:$C$1590,MATCH(SMALL(Lines!$G$3:$G$1590,278),Lines!$G$3:$G$1590,0)),""))</f>
        <v/>
      </c>
      <c r="D283" s="26" t="str">
        <f aca="false">IF(AND(ISNUMBER($J283),$J283&gt;0,$J283&lt;99),INDEX(Lines!$D$3:$D$1590,MATCH(SMALL(Lines!$G$3:$G$1590,278),Lines!$G$3:$G$1590,0)),"")</f>
        <v/>
      </c>
      <c r="E283" s="26" t="str">
        <f aca="false">IF(AND(ISNUMBER($J283),$J283&gt;0,$J283&lt;99),INDEX(Lines!$E$3:$E$1590,MATCH(SMALL(Lines!$G$3:$G$1590,278),Lines!$G$3:$G$1590,0)),"")</f>
        <v/>
      </c>
      <c r="F283" s="26" t="str">
        <f aca="false">IF(AND(ISNUMBER($J283),$J283&gt;0,$J283&lt;99),INDEX(Lines!$O$3:$O$1590,MATCH(SMALL(Lines!$G$3:$G$1590,278),Lines!$G$3:$G$1590,0)),"")</f>
        <v/>
      </c>
      <c r="G283" s="27" t="str">
        <f aca="false">IF($J283=0,INDEX(Lines!$Q$3:$Q$1590,MATCH(SMALL(Lines!$G$3:$G$1590,278),Lines!$G$3:$G$1590,0)),IF(AND(ISNUMBER($J283),$J283&gt;0,$J283&lt;99),INDEX(Lines!$P$3:$P$1590,MATCH(SMALL(Lines!$G$3:$G$1590,278),Lines!$G$3:$G$1590,0)),""))</f>
        <v/>
      </c>
      <c r="H283" s="28" t="str">
        <f aca="false">IF($J283=0,INDEX(Lines!$H$3:$H$1590,MATCH(SMALL(Lines!$G$3:$G$1590,278),Lines!$G$3:$G$1590,0))&amp;" groups",IF(AND(ISNUMBER($J283),$J283&gt;0,$J283&lt;99),INDEX(Lines!$I$3:$I$1590,MATCH(SMALL(Lines!$G$3:$G$1590,278),Lines!$G$3:$G$1590,0)),""))</f>
        <v/>
      </c>
      <c r="I283" s="26"/>
      <c r="J283" s="22" t="str">
        <f aca="false">IFERROR(IF(MOD(SMALL(Lines!$G$3:$G$1590,278),100000)=0,-1,MOD(SMALL(Lines!$G$3:$G$1590,278),100)),"")</f>
        <v/>
      </c>
      <c r="K283" s="22" t="str">
        <f aca="false">IF($J283=0,INDEX(Lines!$L$3:$L$1590,MATCH(SMALL(Lines!$G$3:$G$1590,278),Lines!$G$3:$G$1590,0)),"")</f>
        <v/>
      </c>
    </row>
    <row r="284" customFormat="false" ht="15" hidden="false" customHeight="false" outlineLevel="0" collapsed="false">
      <c r="A284" s="24" t="str">
        <f aca="false">IF(OR($J284=0,AND(ISNUMBER($J284),$J284&gt;0,$J284&lt;99)),INDEX(Lines!$A$3:$A$1590,MATCH(SMALL(Lines!$G$3:$G$1590,279),Lines!$G$3:$G$1590,0)),"")</f>
        <v/>
      </c>
      <c r="B284" s="24" t="str">
        <f aca="false">IF($J284=-1,INDEX(Lines!$J$3:$J$1590,MATCH(SMALL(Lines!$G$3:$G$1590,279),Lines!$G$3:$G$1590,0)),IF($J284=0,INDEX(Lines!$L$3:$L$1590,MATCH(SMALL(Lines!$G$3:$G$1590,279),Lines!$G$3:$G$1590,0)),IF(AND(ISNUMBER($J284),$J284&gt;0,$J284&lt;99),INDEX(Lines!$N$3:$N$1590,MATCH(SMALL(Lines!$G$3:$G$1590,279),Lines!$G$3:$G$1590,0)),"")))</f>
        <v/>
      </c>
      <c r="C284" s="25" t="str">
        <f aca="false">IF($J284=0,INDEX(Lines!$K$3:$K$1590,MATCH(SMALL(Lines!$G$3:$G$1590,279),Lines!$G$3:$G$1590,0)),IF(AND(ISNUMBER($J284),$J284&gt;0,$J284&lt;99),INDEX(Lines!$C$3:$C$1590,MATCH(SMALL(Lines!$G$3:$G$1590,279),Lines!$G$3:$G$1590,0)),""))</f>
        <v/>
      </c>
      <c r="D284" s="26" t="str">
        <f aca="false">IF(AND(ISNUMBER($J284),$J284&gt;0,$J284&lt;99),INDEX(Lines!$D$3:$D$1590,MATCH(SMALL(Lines!$G$3:$G$1590,279),Lines!$G$3:$G$1590,0)),"")</f>
        <v/>
      </c>
      <c r="E284" s="26" t="str">
        <f aca="false">IF(AND(ISNUMBER($J284),$J284&gt;0,$J284&lt;99),INDEX(Lines!$E$3:$E$1590,MATCH(SMALL(Lines!$G$3:$G$1590,279),Lines!$G$3:$G$1590,0)),"")</f>
        <v/>
      </c>
      <c r="F284" s="26" t="str">
        <f aca="false">IF(AND(ISNUMBER($J284),$J284&gt;0,$J284&lt;99),INDEX(Lines!$O$3:$O$1590,MATCH(SMALL(Lines!$G$3:$G$1590,279),Lines!$G$3:$G$1590,0)),"")</f>
        <v/>
      </c>
      <c r="G284" s="27" t="str">
        <f aca="false">IF($J284=0,INDEX(Lines!$Q$3:$Q$1590,MATCH(SMALL(Lines!$G$3:$G$1590,279),Lines!$G$3:$G$1590,0)),IF(AND(ISNUMBER($J284),$J284&gt;0,$J284&lt;99),INDEX(Lines!$P$3:$P$1590,MATCH(SMALL(Lines!$G$3:$G$1590,279),Lines!$G$3:$G$1590,0)),""))</f>
        <v/>
      </c>
      <c r="H284" s="28" t="str">
        <f aca="false">IF($J284=0,INDEX(Lines!$H$3:$H$1590,MATCH(SMALL(Lines!$G$3:$G$1590,279),Lines!$G$3:$G$1590,0))&amp;" groups",IF(AND(ISNUMBER($J284),$J284&gt;0,$J284&lt;99),INDEX(Lines!$I$3:$I$1590,MATCH(SMALL(Lines!$G$3:$G$1590,279),Lines!$G$3:$G$1590,0)),""))</f>
        <v/>
      </c>
      <c r="I284" s="26"/>
      <c r="J284" s="22" t="str">
        <f aca="false">IFERROR(IF(MOD(SMALL(Lines!$G$3:$G$1590,279),100000)=0,-1,MOD(SMALL(Lines!$G$3:$G$1590,279),100)),"")</f>
        <v/>
      </c>
      <c r="K284" s="22" t="str">
        <f aca="false">IF($J284=0,INDEX(Lines!$L$3:$L$1590,MATCH(SMALL(Lines!$G$3:$G$1590,279),Lines!$G$3:$G$1590,0)),"")</f>
        <v/>
      </c>
    </row>
    <row r="285" customFormat="false" ht="15" hidden="false" customHeight="false" outlineLevel="0" collapsed="false">
      <c r="A285" s="24" t="str">
        <f aca="false">IF(OR($J285=0,AND(ISNUMBER($J285),$J285&gt;0,$J285&lt;99)),INDEX(Lines!$A$3:$A$1590,MATCH(SMALL(Lines!$G$3:$G$1590,280),Lines!$G$3:$G$1590,0)),"")</f>
        <v/>
      </c>
      <c r="B285" s="24" t="str">
        <f aca="false">IF($J285=-1,INDEX(Lines!$J$3:$J$1590,MATCH(SMALL(Lines!$G$3:$G$1590,280),Lines!$G$3:$G$1590,0)),IF($J285=0,INDEX(Lines!$L$3:$L$1590,MATCH(SMALL(Lines!$G$3:$G$1590,280),Lines!$G$3:$G$1590,0)),IF(AND(ISNUMBER($J285),$J285&gt;0,$J285&lt;99),INDEX(Lines!$N$3:$N$1590,MATCH(SMALL(Lines!$G$3:$G$1590,280),Lines!$G$3:$G$1590,0)),"")))</f>
        <v/>
      </c>
      <c r="C285" s="25" t="str">
        <f aca="false">IF($J285=0,INDEX(Lines!$K$3:$K$1590,MATCH(SMALL(Lines!$G$3:$G$1590,280),Lines!$G$3:$G$1590,0)),IF(AND(ISNUMBER($J285),$J285&gt;0,$J285&lt;99),INDEX(Lines!$C$3:$C$1590,MATCH(SMALL(Lines!$G$3:$G$1590,280),Lines!$G$3:$G$1590,0)),""))</f>
        <v/>
      </c>
      <c r="D285" s="26" t="str">
        <f aca="false">IF(AND(ISNUMBER($J285),$J285&gt;0,$J285&lt;99),INDEX(Lines!$D$3:$D$1590,MATCH(SMALL(Lines!$G$3:$G$1590,280),Lines!$G$3:$G$1590,0)),"")</f>
        <v/>
      </c>
      <c r="E285" s="26" t="str">
        <f aca="false">IF(AND(ISNUMBER($J285),$J285&gt;0,$J285&lt;99),INDEX(Lines!$E$3:$E$1590,MATCH(SMALL(Lines!$G$3:$G$1590,280),Lines!$G$3:$G$1590,0)),"")</f>
        <v/>
      </c>
      <c r="F285" s="26" t="str">
        <f aca="false">IF(AND(ISNUMBER($J285),$J285&gt;0,$J285&lt;99),INDEX(Lines!$O$3:$O$1590,MATCH(SMALL(Lines!$G$3:$G$1590,280),Lines!$G$3:$G$1590,0)),"")</f>
        <v/>
      </c>
      <c r="G285" s="27" t="str">
        <f aca="false">IF($J285=0,INDEX(Lines!$Q$3:$Q$1590,MATCH(SMALL(Lines!$G$3:$G$1590,280),Lines!$G$3:$G$1590,0)),IF(AND(ISNUMBER($J285),$J285&gt;0,$J285&lt;99),INDEX(Lines!$P$3:$P$1590,MATCH(SMALL(Lines!$G$3:$G$1590,280),Lines!$G$3:$G$1590,0)),""))</f>
        <v/>
      </c>
      <c r="H285" s="28" t="str">
        <f aca="false">IF($J285=0,INDEX(Lines!$H$3:$H$1590,MATCH(SMALL(Lines!$G$3:$G$1590,280),Lines!$G$3:$G$1590,0))&amp;" groups",IF(AND(ISNUMBER($J285),$J285&gt;0,$J285&lt;99),INDEX(Lines!$I$3:$I$1590,MATCH(SMALL(Lines!$G$3:$G$1590,280),Lines!$G$3:$G$1590,0)),""))</f>
        <v/>
      </c>
      <c r="I285" s="26"/>
      <c r="J285" s="22" t="str">
        <f aca="false">IFERROR(IF(MOD(SMALL(Lines!$G$3:$G$1590,280),100000)=0,-1,MOD(SMALL(Lines!$G$3:$G$1590,280),100)),"")</f>
        <v/>
      </c>
      <c r="K285" s="22" t="str">
        <f aca="false">IF($J285=0,INDEX(Lines!$L$3:$L$1590,MATCH(SMALL(Lines!$G$3:$G$1590,280),Lines!$G$3:$G$1590,0)),"")</f>
        <v/>
      </c>
    </row>
    <row r="286" customFormat="false" ht="15" hidden="false" customHeight="false" outlineLevel="0" collapsed="false">
      <c r="A286" s="24" t="str">
        <f aca="false">IF(OR($J286=0,AND(ISNUMBER($J286),$J286&gt;0,$J286&lt;99)),INDEX(Lines!$A$3:$A$1590,MATCH(SMALL(Lines!$G$3:$G$1590,281),Lines!$G$3:$G$1590,0)),"")</f>
        <v/>
      </c>
      <c r="B286" s="24" t="str">
        <f aca="false">IF($J286=-1,INDEX(Lines!$J$3:$J$1590,MATCH(SMALL(Lines!$G$3:$G$1590,281),Lines!$G$3:$G$1590,0)),IF($J286=0,INDEX(Lines!$L$3:$L$1590,MATCH(SMALL(Lines!$G$3:$G$1590,281),Lines!$G$3:$G$1590,0)),IF(AND(ISNUMBER($J286),$J286&gt;0,$J286&lt;99),INDEX(Lines!$N$3:$N$1590,MATCH(SMALL(Lines!$G$3:$G$1590,281),Lines!$G$3:$G$1590,0)),"")))</f>
        <v/>
      </c>
      <c r="C286" s="25" t="str">
        <f aca="false">IF($J286=0,INDEX(Lines!$K$3:$K$1590,MATCH(SMALL(Lines!$G$3:$G$1590,281),Lines!$G$3:$G$1590,0)),IF(AND(ISNUMBER($J286),$J286&gt;0,$J286&lt;99),INDEX(Lines!$C$3:$C$1590,MATCH(SMALL(Lines!$G$3:$G$1590,281),Lines!$G$3:$G$1590,0)),""))</f>
        <v/>
      </c>
      <c r="D286" s="26" t="str">
        <f aca="false">IF(AND(ISNUMBER($J286),$J286&gt;0,$J286&lt;99),INDEX(Lines!$D$3:$D$1590,MATCH(SMALL(Lines!$G$3:$G$1590,281),Lines!$G$3:$G$1590,0)),"")</f>
        <v/>
      </c>
      <c r="E286" s="26" t="str">
        <f aca="false">IF(AND(ISNUMBER($J286),$J286&gt;0,$J286&lt;99),INDEX(Lines!$E$3:$E$1590,MATCH(SMALL(Lines!$G$3:$G$1590,281),Lines!$G$3:$G$1590,0)),"")</f>
        <v/>
      </c>
      <c r="F286" s="26" t="str">
        <f aca="false">IF(AND(ISNUMBER($J286),$J286&gt;0,$J286&lt;99),INDEX(Lines!$O$3:$O$1590,MATCH(SMALL(Lines!$G$3:$G$1590,281),Lines!$G$3:$G$1590,0)),"")</f>
        <v/>
      </c>
      <c r="G286" s="27" t="str">
        <f aca="false">IF($J286=0,INDEX(Lines!$Q$3:$Q$1590,MATCH(SMALL(Lines!$G$3:$G$1590,281),Lines!$G$3:$G$1590,0)),IF(AND(ISNUMBER($J286),$J286&gt;0,$J286&lt;99),INDEX(Lines!$P$3:$P$1590,MATCH(SMALL(Lines!$G$3:$G$1590,281),Lines!$G$3:$G$1590,0)),""))</f>
        <v/>
      </c>
      <c r="H286" s="28" t="str">
        <f aca="false">IF($J286=0,INDEX(Lines!$H$3:$H$1590,MATCH(SMALL(Lines!$G$3:$G$1590,281),Lines!$G$3:$G$1590,0))&amp;" groups",IF(AND(ISNUMBER($J286),$J286&gt;0,$J286&lt;99),INDEX(Lines!$I$3:$I$1590,MATCH(SMALL(Lines!$G$3:$G$1590,281),Lines!$G$3:$G$1590,0)),""))</f>
        <v/>
      </c>
      <c r="I286" s="26"/>
      <c r="J286" s="22" t="str">
        <f aca="false">IFERROR(IF(MOD(SMALL(Lines!$G$3:$G$1590,281),100000)=0,-1,MOD(SMALL(Lines!$G$3:$G$1590,281),100)),"")</f>
        <v/>
      </c>
      <c r="K286" s="22" t="str">
        <f aca="false">IF($J286=0,INDEX(Lines!$L$3:$L$1590,MATCH(SMALL(Lines!$G$3:$G$1590,281),Lines!$G$3:$G$1590,0)),"")</f>
        <v/>
      </c>
    </row>
    <row r="287" customFormat="false" ht="15" hidden="false" customHeight="false" outlineLevel="0" collapsed="false">
      <c r="A287" s="24" t="str">
        <f aca="false">IF(OR($J287=0,AND(ISNUMBER($J287),$J287&gt;0,$J287&lt;99)),INDEX(Lines!$A$3:$A$1590,MATCH(SMALL(Lines!$G$3:$G$1590,282),Lines!$G$3:$G$1590,0)),"")</f>
        <v/>
      </c>
      <c r="B287" s="24" t="str">
        <f aca="false">IF($J287=-1,INDEX(Lines!$J$3:$J$1590,MATCH(SMALL(Lines!$G$3:$G$1590,282),Lines!$G$3:$G$1590,0)),IF($J287=0,INDEX(Lines!$L$3:$L$1590,MATCH(SMALL(Lines!$G$3:$G$1590,282),Lines!$G$3:$G$1590,0)),IF(AND(ISNUMBER($J287),$J287&gt;0,$J287&lt;99),INDEX(Lines!$N$3:$N$1590,MATCH(SMALL(Lines!$G$3:$G$1590,282),Lines!$G$3:$G$1590,0)),"")))</f>
        <v/>
      </c>
      <c r="C287" s="25" t="str">
        <f aca="false">IF($J287=0,INDEX(Lines!$K$3:$K$1590,MATCH(SMALL(Lines!$G$3:$G$1590,282),Lines!$G$3:$G$1590,0)),IF(AND(ISNUMBER($J287),$J287&gt;0,$J287&lt;99),INDEX(Lines!$C$3:$C$1590,MATCH(SMALL(Lines!$G$3:$G$1590,282),Lines!$G$3:$G$1590,0)),""))</f>
        <v/>
      </c>
      <c r="D287" s="26" t="str">
        <f aca="false">IF(AND(ISNUMBER($J287),$J287&gt;0,$J287&lt;99),INDEX(Lines!$D$3:$D$1590,MATCH(SMALL(Lines!$G$3:$G$1590,282),Lines!$G$3:$G$1590,0)),"")</f>
        <v/>
      </c>
      <c r="E287" s="26" t="str">
        <f aca="false">IF(AND(ISNUMBER($J287),$J287&gt;0,$J287&lt;99),INDEX(Lines!$E$3:$E$1590,MATCH(SMALL(Lines!$G$3:$G$1590,282),Lines!$G$3:$G$1590,0)),"")</f>
        <v/>
      </c>
      <c r="F287" s="26" t="str">
        <f aca="false">IF(AND(ISNUMBER($J287),$J287&gt;0,$J287&lt;99),INDEX(Lines!$O$3:$O$1590,MATCH(SMALL(Lines!$G$3:$G$1590,282),Lines!$G$3:$G$1590,0)),"")</f>
        <v/>
      </c>
      <c r="G287" s="27" t="str">
        <f aca="false">IF($J287=0,INDEX(Lines!$Q$3:$Q$1590,MATCH(SMALL(Lines!$G$3:$G$1590,282),Lines!$G$3:$G$1590,0)),IF(AND(ISNUMBER($J287),$J287&gt;0,$J287&lt;99),INDEX(Lines!$P$3:$P$1590,MATCH(SMALL(Lines!$G$3:$G$1590,282),Lines!$G$3:$G$1590,0)),""))</f>
        <v/>
      </c>
      <c r="H287" s="28" t="str">
        <f aca="false">IF($J287=0,INDEX(Lines!$H$3:$H$1590,MATCH(SMALL(Lines!$G$3:$G$1590,282),Lines!$G$3:$G$1590,0))&amp;" groups",IF(AND(ISNUMBER($J287),$J287&gt;0,$J287&lt;99),INDEX(Lines!$I$3:$I$1590,MATCH(SMALL(Lines!$G$3:$G$1590,282),Lines!$G$3:$G$1590,0)),""))</f>
        <v/>
      </c>
      <c r="I287" s="26"/>
      <c r="J287" s="22" t="str">
        <f aca="false">IFERROR(IF(MOD(SMALL(Lines!$G$3:$G$1590,282),100000)=0,-1,MOD(SMALL(Lines!$G$3:$G$1590,282),100)),"")</f>
        <v/>
      </c>
      <c r="K287" s="22" t="str">
        <f aca="false">IF($J287=0,INDEX(Lines!$L$3:$L$1590,MATCH(SMALL(Lines!$G$3:$G$1590,282),Lines!$G$3:$G$1590,0)),"")</f>
        <v/>
      </c>
    </row>
    <row r="288" customFormat="false" ht="15" hidden="false" customHeight="false" outlineLevel="0" collapsed="false">
      <c r="A288" s="24" t="str">
        <f aca="false">IF(OR($J288=0,AND(ISNUMBER($J288),$J288&gt;0,$J288&lt;99)),INDEX(Lines!$A$3:$A$1590,MATCH(SMALL(Lines!$G$3:$G$1590,283),Lines!$G$3:$G$1590,0)),"")</f>
        <v/>
      </c>
      <c r="B288" s="24" t="str">
        <f aca="false">IF($J288=-1,INDEX(Lines!$J$3:$J$1590,MATCH(SMALL(Lines!$G$3:$G$1590,283),Lines!$G$3:$G$1590,0)),IF($J288=0,INDEX(Lines!$L$3:$L$1590,MATCH(SMALL(Lines!$G$3:$G$1590,283),Lines!$G$3:$G$1590,0)),IF(AND(ISNUMBER($J288),$J288&gt;0,$J288&lt;99),INDEX(Lines!$N$3:$N$1590,MATCH(SMALL(Lines!$G$3:$G$1590,283),Lines!$G$3:$G$1590,0)),"")))</f>
        <v/>
      </c>
      <c r="C288" s="25" t="str">
        <f aca="false">IF($J288=0,INDEX(Lines!$K$3:$K$1590,MATCH(SMALL(Lines!$G$3:$G$1590,283),Lines!$G$3:$G$1590,0)),IF(AND(ISNUMBER($J288),$J288&gt;0,$J288&lt;99),INDEX(Lines!$C$3:$C$1590,MATCH(SMALL(Lines!$G$3:$G$1590,283),Lines!$G$3:$G$1590,0)),""))</f>
        <v/>
      </c>
      <c r="D288" s="26" t="str">
        <f aca="false">IF(AND(ISNUMBER($J288),$J288&gt;0,$J288&lt;99),INDEX(Lines!$D$3:$D$1590,MATCH(SMALL(Lines!$G$3:$G$1590,283),Lines!$G$3:$G$1590,0)),"")</f>
        <v/>
      </c>
      <c r="E288" s="26" t="str">
        <f aca="false">IF(AND(ISNUMBER($J288),$J288&gt;0,$J288&lt;99),INDEX(Lines!$E$3:$E$1590,MATCH(SMALL(Lines!$G$3:$G$1590,283),Lines!$G$3:$G$1590,0)),"")</f>
        <v/>
      </c>
      <c r="F288" s="26" t="str">
        <f aca="false">IF(AND(ISNUMBER($J288),$J288&gt;0,$J288&lt;99),INDEX(Lines!$O$3:$O$1590,MATCH(SMALL(Lines!$G$3:$G$1590,283),Lines!$G$3:$G$1590,0)),"")</f>
        <v/>
      </c>
      <c r="G288" s="27" t="str">
        <f aca="false">IF($J288=0,INDEX(Lines!$Q$3:$Q$1590,MATCH(SMALL(Lines!$G$3:$G$1590,283),Lines!$G$3:$G$1590,0)),IF(AND(ISNUMBER($J288),$J288&gt;0,$J288&lt;99),INDEX(Lines!$P$3:$P$1590,MATCH(SMALL(Lines!$G$3:$G$1590,283),Lines!$G$3:$G$1590,0)),""))</f>
        <v/>
      </c>
      <c r="H288" s="28" t="str">
        <f aca="false">IF($J288=0,INDEX(Lines!$H$3:$H$1590,MATCH(SMALL(Lines!$G$3:$G$1590,283),Lines!$G$3:$G$1590,0))&amp;" groups",IF(AND(ISNUMBER($J288),$J288&gt;0,$J288&lt;99),INDEX(Lines!$I$3:$I$1590,MATCH(SMALL(Lines!$G$3:$G$1590,283),Lines!$G$3:$G$1590,0)),""))</f>
        <v/>
      </c>
      <c r="I288" s="26"/>
      <c r="J288" s="22" t="str">
        <f aca="false">IFERROR(IF(MOD(SMALL(Lines!$G$3:$G$1590,283),100000)=0,-1,MOD(SMALL(Lines!$G$3:$G$1590,283),100)),"")</f>
        <v/>
      </c>
      <c r="K288" s="22" t="str">
        <f aca="false">IF($J288=0,INDEX(Lines!$L$3:$L$1590,MATCH(SMALL(Lines!$G$3:$G$1590,283),Lines!$G$3:$G$1590,0)),"")</f>
        <v/>
      </c>
    </row>
    <row r="289" customFormat="false" ht="15" hidden="false" customHeight="false" outlineLevel="0" collapsed="false">
      <c r="A289" s="24" t="str">
        <f aca="false">IF(OR($J289=0,AND(ISNUMBER($J289),$J289&gt;0,$J289&lt;99)),INDEX(Lines!$A$3:$A$1590,MATCH(SMALL(Lines!$G$3:$G$1590,284),Lines!$G$3:$G$1590,0)),"")</f>
        <v/>
      </c>
      <c r="B289" s="24" t="str">
        <f aca="false">IF($J289=-1,INDEX(Lines!$J$3:$J$1590,MATCH(SMALL(Lines!$G$3:$G$1590,284),Lines!$G$3:$G$1590,0)),IF($J289=0,INDEX(Lines!$L$3:$L$1590,MATCH(SMALL(Lines!$G$3:$G$1590,284),Lines!$G$3:$G$1590,0)),IF(AND(ISNUMBER($J289),$J289&gt;0,$J289&lt;99),INDEX(Lines!$N$3:$N$1590,MATCH(SMALL(Lines!$G$3:$G$1590,284),Lines!$G$3:$G$1590,0)),"")))</f>
        <v/>
      </c>
      <c r="C289" s="25" t="str">
        <f aca="false">IF($J289=0,INDEX(Lines!$K$3:$K$1590,MATCH(SMALL(Lines!$G$3:$G$1590,284),Lines!$G$3:$G$1590,0)),IF(AND(ISNUMBER($J289),$J289&gt;0,$J289&lt;99),INDEX(Lines!$C$3:$C$1590,MATCH(SMALL(Lines!$G$3:$G$1590,284),Lines!$G$3:$G$1590,0)),""))</f>
        <v/>
      </c>
      <c r="D289" s="26" t="str">
        <f aca="false">IF(AND(ISNUMBER($J289),$J289&gt;0,$J289&lt;99),INDEX(Lines!$D$3:$D$1590,MATCH(SMALL(Lines!$G$3:$G$1590,284),Lines!$G$3:$G$1590,0)),"")</f>
        <v/>
      </c>
      <c r="E289" s="26" t="str">
        <f aca="false">IF(AND(ISNUMBER($J289),$J289&gt;0,$J289&lt;99),INDEX(Lines!$E$3:$E$1590,MATCH(SMALL(Lines!$G$3:$G$1590,284),Lines!$G$3:$G$1590,0)),"")</f>
        <v/>
      </c>
      <c r="F289" s="26" t="str">
        <f aca="false">IF(AND(ISNUMBER($J289),$J289&gt;0,$J289&lt;99),INDEX(Lines!$O$3:$O$1590,MATCH(SMALL(Lines!$G$3:$G$1590,284),Lines!$G$3:$G$1590,0)),"")</f>
        <v/>
      </c>
      <c r="G289" s="27" t="str">
        <f aca="false">IF($J289=0,INDEX(Lines!$Q$3:$Q$1590,MATCH(SMALL(Lines!$G$3:$G$1590,284),Lines!$G$3:$G$1590,0)),IF(AND(ISNUMBER($J289),$J289&gt;0,$J289&lt;99),INDEX(Lines!$P$3:$P$1590,MATCH(SMALL(Lines!$G$3:$G$1590,284),Lines!$G$3:$G$1590,0)),""))</f>
        <v/>
      </c>
      <c r="H289" s="28" t="str">
        <f aca="false">IF($J289=0,INDEX(Lines!$H$3:$H$1590,MATCH(SMALL(Lines!$G$3:$G$1590,284),Lines!$G$3:$G$1590,0))&amp;" groups",IF(AND(ISNUMBER($J289),$J289&gt;0,$J289&lt;99),INDEX(Lines!$I$3:$I$1590,MATCH(SMALL(Lines!$G$3:$G$1590,284),Lines!$G$3:$G$1590,0)),""))</f>
        <v/>
      </c>
      <c r="I289" s="26"/>
      <c r="J289" s="22" t="str">
        <f aca="false">IFERROR(IF(MOD(SMALL(Lines!$G$3:$G$1590,284),100000)=0,-1,MOD(SMALL(Lines!$G$3:$G$1590,284),100)),"")</f>
        <v/>
      </c>
      <c r="K289" s="22" t="str">
        <f aca="false">IF($J289=0,INDEX(Lines!$L$3:$L$1590,MATCH(SMALL(Lines!$G$3:$G$1590,284),Lines!$G$3:$G$1590,0)),"")</f>
        <v/>
      </c>
    </row>
    <row r="290" customFormat="false" ht="15" hidden="false" customHeight="false" outlineLevel="0" collapsed="false">
      <c r="A290" s="24" t="str">
        <f aca="false">IF(OR($J290=0,AND(ISNUMBER($J290),$J290&gt;0,$J290&lt;99)),INDEX(Lines!$A$3:$A$1590,MATCH(SMALL(Lines!$G$3:$G$1590,285),Lines!$G$3:$G$1590,0)),"")</f>
        <v/>
      </c>
      <c r="B290" s="24" t="str">
        <f aca="false">IF($J290=-1,INDEX(Lines!$J$3:$J$1590,MATCH(SMALL(Lines!$G$3:$G$1590,285),Lines!$G$3:$G$1590,0)),IF($J290=0,INDEX(Lines!$L$3:$L$1590,MATCH(SMALL(Lines!$G$3:$G$1590,285),Lines!$G$3:$G$1590,0)),IF(AND(ISNUMBER($J290),$J290&gt;0,$J290&lt;99),INDEX(Lines!$N$3:$N$1590,MATCH(SMALL(Lines!$G$3:$G$1590,285),Lines!$G$3:$G$1590,0)),"")))</f>
        <v/>
      </c>
      <c r="C290" s="25" t="str">
        <f aca="false">IF($J290=0,INDEX(Lines!$K$3:$K$1590,MATCH(SMALL(Lines!$G$3:$G$1590,285),Lines!$G$3:$G$1590,0)),IF(AND(ISNUMBER($J290),$J290&gt;0,$J290&lt;99),INDEX(Lines!$C$3:$C$1590,MATCH(SMALL(Lines!$G$3:$G$1590,285),Lines!$G$3:$G$1590,0)),""))</f>
        <v/>
      </c>
      <c r="D290" s="26" t="str">
        <f aca="false">IF(AND(ISNUMBER($J290),$J290&gt;0,$J290&lt;99),INDEX(Lines!$D$3:$D$1590,MATCH(SMALL(Lines!$G$3:$G$1590,285),Lines!$G$3:$G$1590,0)),"")</f>
        <v/>
      </c>
      <c r="E290" s="26" t="str">
        <f aca="false">IF(AND(ISNUMBER($J290),$J290&gt;0,$J290&lt;99),INDEX(Lines!$E$3:$E$1590,MATCH(SMALL(Lines!$G$3:$G$1590,285),Lines!$G$3:$G$1590,0)),"")</f>
        <v/>
      </c>
      <c r="F290" s="26" t="str">
        <f aca="false">IF(AND(ISNUMBER($J290),$J290&gt;0,$J290&lt;99),INDEX(Lines!$O$3:$O$1590,MATCH(SMALL(Lines!$G$3:$G$1590,285),Lines!$G$3:$G$1590,0)),"")</f>
        <v/>
      </c>
      <c r="G290" s="27" t="str">
        <f aca="false">IF($J290=0,INDEX(Lines!$Q$3:$Q$1590,MATCH(SMALL(Lines!$G$3:$G$1590,285),Lines!$G$3:$G$1590,0)),IF(AND(ISNUMBER($J290),$J290&gt;0,$J290&lt;99),INDEX(Lines!$P$3:$P$1590,MATCH(SMALL(Lines!$G$3:$G$1590,285),Lines!$G$3:$G$1590,0)),""))</f>
        <v/>
      </c>
      <c r="H290" s="28" t="str">
        <f aca="false">IF($J290=0,INDEX(Lines!$H$3:$H$1590,MATCH(SMALL(Lines!$G$3:$G$1590,285),Lines!$G$3:$G$1590,0))&amp;" groups",IF(AND(ISNUMBER($J290),$J290&gt;0,$J290&lt;99),INDEX(Lines!$I$3:$I$1590,MATCH(SMALL(Lines!$G$3:$G$1590,285),Lines!$G$3:$G$1590,0)),""))</f>
        <v/>
      </c>
      <c r="I290" s="26"/>
      <c r="J290" s="22" t="str">
        <f aca="false">IFERROR(IF(MOD(SMALL(Lines!$G$3:$G$1590,285),100000)=0,-1,MOD(SMALL(Lines!$G$3:$G$1590,285),100)),"")</f>
        <v/>
      </c>
      <c r="K290" s="22" t="str">
        <f aca="false">IF($J290=0,INDEX(Lines!$L$3:$L$1590,MATCH(SMALL(Lines!$G$3:$G$1590,285),Lines!$G$3:$G$1590,0)),"")</f>
        <v/>
      </c>
    </row>
    <row r="291" customFormat="false" ht="15" hidden="false" customHeight="false" outlineLevel="0" collapsed="false">
      <c r="A291" s="24" t="str">
        <f aca="false">IF(OR($J291=0,AND(ISNUMBER($J291),$J291&gt;0,$J291&lt;99)),INDEX(Lines!$A$3:$A$1590,MATCH(SMALL(Lines!$G$3:$G$1590,286),Lines!$G$3:$G$1590,0)),"")</f>
        <v/>
      </c>
      <c r="B291" s="24" t="str">
        <f aca="false">IF($J291=-1,INDEX(Lines!$J$3:$J$1590,MATCH(SMALL(Lines!$G$3:$G$1590,286),Lines!$G$3:$G$1590,0)),IF($J291=0,INDEX(Lines!$L$3:$L$1590,MATCH(SMALL(Lines!$G$3:$G$1590,286),Lines!$G$3:$G$1590,0)),IF(AND(ISNUMBER($J291),$J291&gt;0,$J291&lt;99),INDEX(Lines!$N$3:$N$1590,MATCH(SMALL(Lines!$G$3:$G$1590,286),Lines!$G$3:$G$1590,0)),"")))</f>
        <v/>
      </c>
      <c r="C291" s="25" t="str">
        <f aca="false">IF($J291=0,INDEX(Lines!$K$3:$K$1590,MATCH(SMALL(Lines!$G$3:$G$1590,286),Lines!$G$3:$G$1590,0)),IF(AND(ISNUMBER($J291),$J291&gt;0,$J291&lt;99),INDEX(Lines!$C$3:$C$1590,MATCH(SMALL(Lines!$G$3:$G$1590,286),Lines!$G$3:$G$1590,0)),""))</f>
        <v/>
      </c>
      <c r="D291" s="26" t="str">
        <f aca="false">IF(AND(ISNUMBER($J291),$J291&gt;0,$J291&lt;99),INDEX(Lines!$D$3:$D$1590,MATCH(SMALL(Lines!$G$3:$G$1590,286),Lines!$G$3:$G$1590,0)),"")</f>
        <v/>
      </c>
      <c r="E291" s="26" t="str">
        <f aca="false">IF(AND(ISNUMBER($J291),$J291&gt;0,$J291&lt;99),INDEX(Lines!$E$3:$E$1590,MATCH(SMALL(Lines!$G$3:$G$1590,286),Lines!$G$3:$G$1590,0)),"")</f>
        <v/>
      </c>
      <c r="F291" s="26" t="str">
        <f aca="false">IF(AND(ISNUMBER($J291),$J291&gt;0,$J291&lt;99),INDEX(Lines!$O$3:$O$1590,MATCH(SMALL(Lines!$G$3:$G$1590,286),Lines!$G$3:$G$1590,0)),"")</f>
        <v/>
      </c>
      <c r="G291" s="27" t="str">
        <f aca="false">IF($J291=0,INDEX(Lines!$Q$3:$Q$1590,MATCH(SMALL(Lines!$G$3:$G$1590,286),Lines!$G$3:$G$1590,0)),IF(AND(ISNUMBER($J291),$J291&gt;0,$J291&lt;99),INDEX(Lines!$P$3:$P$1590,MATCH(SMALL(Lines!$G$3:$G$1590,286),Lines!$G$3:$G$1590,0)),""))</f>
        <v/>
      </c>
      <c r="H291" s="28" t="str">
        <f aca="false">IF($J291=0,INDEX(Lines!$H$3:$H$1590,MATCH(SMALL(Lines!$G$3:$G$1590,286),Lines!$G$3:$G$1590,0))&amp;" groups",IF(AND(ISNUMBER($J291),$J291&gt;0,$J291&lt;99),INDEX(Lines!$I$3:$I$1590,MATCH(SMALL(Lines!$G$3:$G$1590,286),Lines!$G$3:$G$1590,0)),""))</f>
        <v/>
      </c>
      <c r="I291" s="26"/>
      <c r="J291" s="22" t="str">
        <f aca="false">IFERROR(IF(MOD(SMALL(Lines!$G$3:$G$1590,286),100000)=0,-1,MOD(SMALL(Lines!$G$3:$G$1590,286),100)),"")</f>
        <v/>
      </c>
      <c r="K291" s="22" t="str">
        <f aca="false">IF($J291=0,INDEX(Lines!$L$3:$L$1590,MATCH(SMALL(Lines!$G$3:$G$1590,286),Lines!$G$3:$G$1590,0)),"")</f>
        <v/>
      </c>
    </row>
    <row r="292" customFormat="false" ht="15" hidden="false" customHeight="false" outlineLevel="0" collapsed="false">
      <c r="A292" s="24" t="str">
        <f aca="false">IF(OR($J292=0,AND(ISNUMBER($J292),$J292&gt;0,$J292&lt;99)),INDEX(Lines!$A$3:$A$1590,MATCH(SMALL(Lines!$G$3:$G$1590,287),Lines!$G$3:$G$1590,0)),"")</f>
        <v/>
      </c>
      <c r="B292" s="24" t="str">
        <f aca="false">IF($J292=-1,INDEX(Lines!$J$3:$J$1590,MATCH(SMALL(Lines!$G$3:$G$1590,287),Lines!$G$3:$G$1590,0)),IF($J292=0,INDEX(Lines!$L$3:$L$1590,MATCH(SMALL(Lines!$G$3:$G$1590,287),Lines!$G$3:$G$1590,0)),IF(AND(ISNUMBER($J292),$J292&gt;0,$J292&lt;99),INDEX(Lines!$N$3:$N$1590,MATCH(SMALL(Lines!$G$3:$G$1590,287),Lines!$G$3:$G$1590,0)),"")))</f>
        <v/>
      </c>
      <c r="C292" s="25" t="str">
        <f aca="false">IF($J292=0,INDEX(Lines!$K$3:$K$1590,MATCH(SMALL(Lines!$G$3:$G$1590,287),Lines!$G$3:$G$1590,0)),IF(AND(ISNUMBER($J292),$J292&gt;0,$J292&lt;99),INDEX(Lines!$C$3:$C$1590,MATCH(SMALL(Lines!$G$3:$G$1590,287),Lines!$G$3:$G$1590,0)),""))</f>
        <v/>
      </c>
      <c r="D292" s="26" t="str">
        <f aca="false">IF(AND(ISNUMBER($J292),$J292&gt;0,$J292&lt;99),INDEX(Lines!$D$3:$D$1590,MATCH(SMALL(Lines!$G$3:$G$1590,287),Lines!$G$3:$G$1590,0)),"")</f>
        <v/>
      </c>
      <c r="E292" s="26" t="str">
        <f aca="false">IF(AND(ISNUMBER($J292),$J292&gt;0,$J292&lt;99),INDEX(Lines!$E$3:$E$1590,MATCH(SMALL(Lines!$G$3:$G$1590,287),Lines!$G$3:$G$1590,0)),"")</f>
        <v/>
      </c>
      <c r="F292" s="26" t="str">
        <f aca="false">IF(AND(ISNUMBER($J292),$J292&gt;0,$J292&lt;99),INDEX(Lines!$O$3:$O$1590,MATCH(SMALL(Lines!$G$3:$G$1590,287),Lines!$G$3:$G$1590,0)),"")</f>
        <v/>
      </c>
      <c r="G292" s="27" t="str">
        <f aca="false">IF($J292=0,INDEX(Lines!$Q$3:$Q$1590,MATCH(SMALL(Lines!$G$3:$G$1590,287),Lines!$G$3:$G$1590,0)),IF(AND(ISNUMBER($J292),$J292&gt;0,$J292&lt;99),INDEX(Lines!$P$3:$P$1590,MATCH(SMALL(Lines!$G$3:$G$1590,287),Lines!$G$3:$G$1590,0)),""))</f>
        <v/>
      </c>
      <c r="H292" s="28" t="str">
        <f aca="false">IF($J292=0,INDEX(Lines!$H$3:$H$1590,MATCH(SMALL(Lines!$G$3:$G$1590,287),Lines!$G$3:$G$1590,0))&amp;" groups",IF(AND(ISNUMBER($J292),$J292&gt;0,$J292&lt;99),INDEX(Lines!$I$3:$I$1590,MATCH(SMALL(Lines!$G$3:$G$1590,287),Lines!$G$3:$G$1590,0)),""))</f>
        <v/>
      </c>
      <c r="I292" s="26"/>
      <c r="J292" s="22" t="str">
        <f aca="false">IFERROR(IF(MOD(SMALL(Lines!$G$3:$G$1590,287),100000)=0,-1,MOD(SMALL(Lines!$G$3:$G$1590,287),100)),"")</f>
        <v/>
      </c>
      <c r="K292" s="22" t="str">
        <f aca="false">IF($J292=0,INDEX(Lines!$L$3:$L$1590,MATCH(SMALL(Lines!$G$3:$G$1590,287),Lines!$G$3:$G$1590,0)),"")</f>
        <v/>
      </c>
    </row>
    <row r="293" customFormat="false" ht="15" hidden="false" customHeight="false" outlineLevel="0" collapsed="false">
      <c r="A293" s="24" t="str">
        <f aca="false">IF(OR($J293=0,AND(ISNUMBER($J293),$J293&gt;0,$J293&lt;99)),INDEX(Lines!$A$3:$A$1590,MATCH(SMALL(Lines!$G$3:$G$1590,288),Lines!$G$3:$G$1590,0)),"")</f>
        <v/>
      </c>
      <c r="B293" s="24" t="str">
        <f aca="false">IF($J293=-1,INDEX(Lines!$J$3:$J$1590,MATCH(SMALL(Lines!$G$3:$G$1590,288),Lines!$G$3:$G$1590,0)),IF($J293=0,INDEX(Lines!$L$3:$L$1590,MATCH(SMALL(Lines!$G$3:$G$1590,288),Lines!$G$3:$G$1590,0)),IF(AND(ISNUMBER($J293),$J293&gt;0,$J293&lt;99),INDEX(Lines!$N$3:$N$1590,MATCH(SMALL(Lines!$G$3:$G$1590,288),Lines!$G$3:$G$1590,0)),"")))</f>
        <v/>
      </c>
      <c r="C293" s="25" t="str">
        <f aca="false">IF($J293=0,INDEX(Lines!$K$3:$K$1590,MATCH(SMALL(Lines!$G$3:$G$1590,288),Lines!$G$3:$G$1590,0)),IF(AND(ISNUMBER($J293),$J293&gt;0,$J293&lt;99),INDEX(Lines!$C$3:$C$1590,MATCH(SMALL(Lines!$G$3:$G$1590,288),Lines!$G$3:$G$1590,0)),""))</f>
        <v/>
      </c>
      <c r="D293" s="26" t="str">
        <f aca="false">IF(AND(ISNUMBER($J293),$J293&gt;0,$J293&lt;99),INDEX(Lines!$D$3:$D$1590,MATCH(SMALL(Lines!$G$3:$G$1590,288),Lines!$G$3:$G$1590,0)),"")</f>
        <v/>
      </c>
      <c r="E293" s="26" t="str">
        <f aca="false">IF(AND(ISNUMBER($J293),$J293&gt;0,$J293&lt;99),INDEX(Lines!$E$3:$E$1590,MATCH(SMALL(Lines!$G$3:$G$1590,288),Lines!$G$3:$G$1590,0)),"")</f>
        <v/>
      </c>
      <c r="F293" s="26" t="str">
        <f aca="false">IF(AND(ISNUMBER($J293),$J293&gt;0,$J293&lt;99),INDEX(Lines!$O$3:$O$1590,MATCH(SMALL(Lines!$G$3:$G$1590,288),Lines!$G$3:$G$1590,0)),"")</f>
        <v/>
      </c>
      <c r="G293" s="27" t="str">
        <f aca="false">IF($J293=0,INDEX(Lines!$Q$3:$Q$1590,MATCH(SMALL(Lines!$G$3:$G$1590,288),Lines!$G$3:$G$1590,0)),IF(AND(ISNUMBER($J293),$J293&gt;0,$J293&lt;99),INDEX(Lines!$P$3:$P$1590,MATCH(SMALL(Lines!$G$3:$G$1590,288),Lines!$G$3:$G$1590,0)),""))</f>
        <v/>
      </c>
      <c r="H293" s="28" t="str">
        <f aca="false">IF($J293=0,INDEX(Lines!$H$3:$H$1590,MATCH(SMALL(Lines!$G$3:$G$1590,288),Lines!$G$3:$G$1590,0))&amp;" groups",IF(AND(ISNUMBER($J293),$J293&gt;0,$J293&lt;99),INDEX(Lines!$I$3:$I$1590,MATCH(SMALL(Lines!$G$3:$G$1590,288),Lines!$G$3:$G$1590,0)),""))</f>
        <v/>
      </c>
      <c r="I293" s="26"/>
      <c r="J293" s="22" t="str">
        <f aca="false">IFERROR(IF(MOD(SMALL(Lines!$G$3:$G$1590,288),100000)=0,-1,MOD(SMALL(Lines!$G$3:$G$1590,288),100)),"")</f>
        <v/>
      </c>
      <c r="K293" s="22" t="str">
        <f aca="false">IF($J293=0,INDEX(Lines!$L$3:$L$1590,MATCH(SMALL(Lines!$G$3:$G$1590,288),Lines!$G$3:$G$1590,0)),"")</f>
        <v/>
      </c>
    </row>
    <row r="294" customFormat="false" ht="15" hidden="false" customHeight="false" outlineLevel="0" collapsed="false">
      <c r="A294" s="24" t="str">
        <f aca="false">IF(OR($J294=0,AND(ISNUMBER($J294),$J294&gt;0,$J294&lt;99)),INDEX(Lines!$A$3:$A$1590,MATCH(SMALL(Lines!$G$3:$G$1590,289),Lines!$G$3:$G$1590,0)),"")</f>
        <v/>
      </c>
      <c r="B294" s="24" t="str">
        <f aca="false">IF($J294=-1,INDEX(Lines!$J$3:$J$1590,MATCH(SMALL(Lines!$G$3:$G$1590,289),Lines!$G$3:$G$1590,0)),IF($J294=0,INDEX(Lines!$L$3:$L$1590,MATCH(SMALL(Lines!$G$3:$G$1590,289),Lines!$G$3:$G$1590,0)),IF(AND(ISNUMBER($J294),$J294&gt;0,$J294&lt;99),INDEX(Lines!$N$3:$N$1590,MATCH(SMALL(Lines!$G$3:$G$1590,289),Lines!$G$3:$G$1590,0)),"")))</f>
        <v/>
      </c>
      <c r="C294" s="25" t="str">
        <f aca="false">IF($J294=0,INDEX(Lines!$K$3:$K$1590,MATCH(SMALL(Lines!$G$3:$G$1590,289),Lines!$G$3:$G$1590,0)),IF(AND(ISNUMBER($J294),$J294&gt;0,$J294&lt;99),INDEX(Lines!$C$3:$C$1590,MATCH(SMALL(Lines!$G$3:$G$1590,289),Lines!$G$3:$G$1590,0)),""))</f>
        <v/>
      </c>
      <c r="D294" s="26" t="str">
        <f aca="false">IF(AND(ISNUMBER($J294),$J294&gt;0,$J294&lt;99),INDEX(Lines!$D$3:$D$1590,MATCH(SMALL(Lines!$G$3:$G$1590,289),Lines!$G$3:$G$1590,0)),"")</f>
        <v/>
      </c>
      <c r="E294" s="26" t="str">
        <f aca="false">IF(AND(ISNUMBER($J294),$J294&gt;0,$J294&lt;99),INDEX(Lines!$E$3:$E$1590,MATCH(SMALL(Lines!$G$3:$G$1590,289),Lines!$G$3:$G$1590,0)),"")</f>
        <v/>
      </c>
      <c r="F294" s="26" t="str">
        <f aca="false">IF(AND(ISNUMBER($J294),$J294&gt;0,$J294&lt;99),INDEX(Lines!$O$3:$O$1590,MATCH(SMALL(Lines!$G$3:$G$1590,289),Lines!$G$3:$G$1590,0)),"")</f>
        <v/>
      </c>
      <c r="G294" s="27" t="str">
        <f aca="false">IF($J294=0,INDEX(Lines!$Q$3:$Q$1590,MATCH(SMALL(Lines!$G$3:$G$1590,289),Lines!$G$3:$G$1590,0)),IF(AND(ISNUMBER($J294),$J294&gt;0,$J294&lt;99),INDEX(Lines!$P$3:$P$1590,MATCH(SMALL(Lines!$G$3:$G$1590,289),Lines!$G$3:$G$1590,0)),""))</f>
        <v/>
      </c>
      <c r="H294" s="28" t="str">
        <f aca="false">IF($J294=0,INDEX(Lines!$H$3:$H$1590,MATCH(SMALL(Lines!$G$3:$G$1590,289),Lines!$G$3:$G$1590,0))&amp;" groups",IF(AND(ISNUMBER($J294),$J294&gt;0,$J294&lt;99),INDEX(Lines!$I$3:$I$1590,MATCH(SMALL(Lines!$G$3:$G$1590,289),Lines!$G$3:$G$1590,0)),""))</f>
        <v/>
      </c>
      <c r="I294" s="26"/>
      <c r="J294" s="22" t="str">
        <f aca="false">IFERROR(IF(MOD(SMALL(Lines!$G$3:$G$1590,289),100000)=0,-1,MOD(SMALL(Lines!$G$3:$G$1590,289),100)),"")</f>
        <v/>
      </c>
      <c r="K294" s="22" t="str">
        <f aca="false">IF($J294=0,INDEX(Lines!$L$3:$L$1590,MATCH(SMALL(Lines!$G$3:$G$1590,289),Lines!$G$3:$G$1590,0)),"")</f>
        <v/>
      </c>
    </row>
    <row r="295" customFormat="false" ht="15" hidden="false" customHeight="false" outlineLevel="0" collapsed="false">
      <c r="A295" s="24" t="str">
        <f aca="false">IF(OR($J295=0,AND(ISNUMBER($J295),$J295&gt;0,$J295&lt;99)),INDEX(Lines!$A$3:$A$1590,MATCH(SMALL(Lines!$G$3:$G$1590,290),Lines!$G$3:$G$1590,0)),"")</f>
        <v/>
      </c>
      <c r="B295" s="24" t="str">
        <f aca="false">IF($J295=-1,INDEX(Lines!$J$3:$J$1590,MATCH(SMALL(Lines!$G$3:$G$1590,290),Lines!$G$3:$G$1590,0)),IF($J295=0,INDEX(Lines!$L$3:$L$1590,MATCH(SMALL(Lines!$G$3:$G$1590,290),Lines!$G$3:$G$1590,0)),IF(AND(ISNUMBER($J295),$J295&gt;0,$J295&lt;99),INDEX(Lines!$N$3:$N$1590,MATCH(SMALL(Lines!$G$3:$G$1590,290),Lines!$G$3:$G$1590,0)),"")))</f>
        <v/>
      </c>
      <c r="C295" s="25" t="str">
        <f aca="false">IF($J295=0,INDEX(Lines!$K$3:$K$1590,MATCH(SMALL(Lines!$G$3:$G$1590,290),Lines!$G$3:$G$1590,0)),IF(AND(ISNUMBER($J295),$J295&gt;0,$J295&lt;99),INDEX(Lines!$C$3:$C$1590,MATCH(SMALL(Lines!$G$3:$G$1590,290),Lines!$G$3:$G$1590,0)),""))</f>
        <v/>
      </c>
      <c r="D295" s="26" t="str">
        <f aca="false">IF(AND(ISNUMBER($J295),$J295&gt;0,$J295&lt;99),INDEX(Lines!$D$3:$D$1590,MATCH(SMALL(Lines!$G$3:$G$1590,290),Lines!$G$3:$G$1590,0)),"")</f>
        <v/>
      </c>
      <c r="E295" s="26" t="str">
        <f aca="false">IF(AND(ISNUMBER($J295),$J295&gt;0,$J295&lt;99),INDEX(Lines!$E$3:$E$1590,MATCH(SMALL(Lines!$G$3:$G$1590,290),Lines!$G$3:$G$1590,0)),"")</f>
        <v/>
      </c>
      <c r="F295" s="26" t="str">
        <f aca="false">IF(AND(ISNUMBER($J295),$J295&gt;0,$J295&lt;99),INDEX(Lines!$O$3:$O$1590,MATCH(SMALL(Lines!$G$3:$G$1590,290),Lines!$G$3:$G$1590,0)),"")</f>
        <v/>
      </c>
      <c r="G295" s="27" t="str">
        <f aca="false">IF($J295=0,INDEX(Lines!$Q$3:$Q$1590,MATCH(SMALL(Lines!$G$3:$G$1590,290),Lines!$G$3:$G$1590,0)),IF(AND(ISNUMBER($J295),$J295&gt;0,$J295&lt;99),INDEX(Lines!$P$3:$P$1590,MATCH(SMALL(Lines!$G$3:$G$1590,290),Lines!$G$3:$G$1590,0)),""))</f>
        <v/>
      </c>
      <c r="H295" s="28" t="str">
        <f aca="false">IF($J295=0,INDEX(Lines!$H$3:$H$1590,MATCH(SMALL(Lines!$G$3:$G$1590,290),Lines!$G$3:$G$1590,0))&amp;" groups",IF(AND(ISNUMBER($J295),$J295&gt;0,$J295&lt;99),INDEX(Lines!$I$3:$I$1590,MATCH(SMALL(Lines!$G$3:$G$1590,290),Lines!$G$3:$G$1590,0)),""))</f>
        <v/>
      </c>
      <c r="I295" s="26"/>
      <c r="J295" s="22" t="str">
        <f aca="false">IFERROR(IF(MOD(SMALL(Lines!$G$3:$G$1590,290),100000)=0,-1,MOD(SMALL(Lines!$G$3:$G$1590,290),100)),"")</f>
        <v/>
      </c>
      <c r="K295" s="22" t="str">
        <f aca="false">IF($J295=0,INDEX(Lines!$L$3:$L$1590,MATCH(SMALL(Lines!$G$3:$G$1590,290),Lines!$G$3:$G$1590,0)),"")</f>
        <v/>
      </c>
    </row>
    <row r="296" customFormat="false" ht="15" hidden="false" customHeight="false" outlineLevel="0" collapsed="false">
      <c r="A296" s="24" t="str">
        <f aca="false">IF(OR($J296=0,AND(ISNUMBER($J296),$J296&gt;0,$J296&lt;99)),INDEX(Lines!$A$3:$A$1590,MATCH(SMALL(Lines!$G$3:$G$1590,291),Lines!$G$3:$G$1590,0)),"")</f>
        <v/>
      </c>
      <c r="B296" s="24" t="str">
        <f aca="false">IF($J296=-1,INDEX(Lines!$J$3:$J$1590,MATCH(SMALL(Lines!$G$3:$G$1590,291),Lines!$G$3:$G$1590,0)),IF($J296=0,INDEX(Lines!$L$3:$L$1590,MATCH(SMALL(Lines!$G$3:$G$1590,291),Lines!$G$3:$G$1590,0)),IF(AND(ISNUMBER($J296),$J296&gt;0,$J296&lt;99),INDEX(Lines!$N$3:$N$1590,MATCH(SMALL(Lines!$G$3:$G$1590,291),Lines!$G$3:$G$1590,0)),"")))</f>
        <v/>
      </c>
      <c r="C296" s="25" t="str">
        <f aca="false">IF($J296=0,INDEX(Lines!$K$3:$K$1590,MATCH(SMALL(Lines!$G$3:$G$1590,291),Lines!$G$3:$G$1590,0)),IF(AND(ISNUMBER($J296),$J296&gt;0,$J296&lt;99),INDEX(Lines!$C$3:$C$1590,MATCH(SMALL(Lines!$G$3:$G$1590,291),Lines!$G$3:$G$1590,0)),""))</f>
        <v/>
      </c>
      <c r="D296" s="26" t="str">
        <f aca="false">IF(AND(ISNUMBER($J296),$J296&gt;0,$J296&lt;99),INDEX(Lines!$D$3:$D$1590,MATCH(SMALL(Lines!$G$3:$G$1590,291),Lines!$G$3:$G$1590,0)),"")</f>
        <v/>
      </c>
      <c r="E296" s="26" t="str">
        <f aca="false">IF(AND(ISNUMBER($J296),$J296&gt;0,$J296&lt;99),INDEX(Lines!$E$3:$E$1590,MATCH(SMALL(Lines!$G$3:$G$1590,291),Lines!$G$3:$G$1590,0)),"")</f>
        <v/>
      </c>
      <c r="F296" s="26" t="str">
        <f aca="false">IF(AND(ISNUMBER($J296),$J296&gt;0,$J296&lt;99),INDEX(Lines!$O$3:$O$1590,MATCH(SMALL(Lines!$G$3:$G$1590,291),Lines!$G$3:$G$1590,0)),"")</f>
        <v/>
      </c>
      <c r="G296" s="27" t="str">
        <f aca="false">IF($J296=0,INDEX(Lines!$Q$3:$Q$1590,MATCH(SMALL(Lines!$G$3:$G$1590,291),Lines!$G$3:$G$1590,0)),IF(AND(ISNUMBER($J296),$J296&gt;0,$J296&lt;99),INDEX(Lines!$P$3:$P$1590,MATCH(SMALL(Lines!$G$3:$G$1590,291),Lines!$G$3:$G$1590,0)),""))</f>
        <v/>
      </c>
      <c r="H296" s="28" t="str">
        <f aca="false">IF($J296=0,INDEX(Lines!$H$3:$H$1590,MATCH(SMALL(Lines!$G$3:$G$1590,291),Lines!$G$3:$G$1590,0))&amp;" groups",IF(AND(ISNUMBER($J296),$J296&gt;0,$J296&lt;99),INDEX(Lines!$I$3:$I$1590,MATCH(SMALL(Lines!$G$3:$G$1590,291),Lines!$G$3:$G$1590,0)),""))</f>
        <v/>
      </c>
      <c r="I296" s="26"/>
      <c r="J296" s="22" t="str">
        <f aca="false">IFERROR(IF(MOD(SMALL(Lines!$G$3:$G$1590,291),100000)=0,-1,MOD(SMALL(Lines!$G$3:$G$1590,291),100)),"")</f>
        <v/>
      </c>
      <c r="K296" s="22" t="str">
        <f aca="false">IF($J296=0,INDEX(Lines!$L$3:$L$1590,MATCH(SMALL(Lines!$G$3:$G$1590,291),Lines!$G$3:$G$1590,0)),"")</f>
        <v/>
      </c>
    </row>
    <row r="297" customFormat="false" ht="15" hidden="false" customHeight="false" outlineLevel="0" collapsed="false">
      <c r="A297" s="24" t="str">
        <f aca="false">IF(OR($J297=0,AND(ISNUMBER($J297),$J297&gt;0,$J297&lt;99)),INDEX(Lines!$A$3:$A$1590,MATCH(SMALL(Lines!$G$3:$G$1590,292),Lines!$G$3:$G$1590,0)),"")</f>
        <v/>
      </c>
      <c r="B297" s="24" t="str">
        <f aca="false">IF($J297=-1,INDEX(Lines!$J$3:$J$1590,MATCH(SMALL(Lines!$G$3:$G$1590,292),Lines!$G$3:$G$1590,0)),IF($J297=0,INDEX(Lines!$L$3:$L$1590,MATCH(SMALL(Lines!$G$3:$G$1590,292),Lines!$G$3:$G$1590,0)),IF(AND(ISNUMBER($J297),$J297&gt;0,$J297&lt;99),INDEX(Lines!$N$3:$N$1590,MATCH(SMALL(Lines!$G$3:$G$1590,292),Lines!$G$3:$G$1590,0)),"")))</f>
        <v/>
      </c>
      <c r="C297" s="25" t="str">
        <f aca="false">IF($J297=0,INDEX(Lines!$K$3:$K$1590,MATCH(SMALL(Lines!$G$3:$G$1590,292),Lines!$G$3:$G$1590,0)),IF(AND(ISNUMBER($J297),$J297&gt;0,$J297&lt;99),INDEX(Lines!$C$3:$C$1590,MATCH(SMALL(Lines!$G$3:$G$1590,292),Lines!$G$3:$G$1590,0)),""))</f>
        <v/>
      </c>
      <c r="D297" s="26" t="str">
        <f aca="false">IF(AND(ISNUMBER($J297),$J297&gt;0,$J297&lt;99),INDEX(Lines!$D$3:$D$1590,MATCH(SMALL(Lines!$G$3:$G$1590,292),Lines!$G$3:$G$1590,0)),"")</f>
        <v/>
      </c>
      <c r="E297" s="26" t="str">
        <f aca="false">IF(AND(ISNUMBER($J297),$J297&gt;0,$J297&lt;99),INDEX(Lines!$E$3:$E$1590,MATCH(SMALL(Lines!$G$3:$G$1590,292),Lines!$G$3:$G$1590,0)),"")</f>
        <v/>
      </c>
      <c r="F297" s="26" t="str">
        <f aca="false">IF(AND(ISNUMBER($J297),$J297&gt;0,$J297&lt;99),INDEX(Lines!$O$3:$O$1590,MATCH(SMALL(Lines!$G$3:$G$1590,292),Lines!$G$3:$G$1590,0)),"")</f>
        <v/>
      </c>
      <c r="G297" s="27" t="str">
        <f aca="false">IF($J297=0,INDEX(Lines!$Q$3:$Q$1590,MATCH(SMALL(Lines!$G$3:$G$1590,292),Lines!$G$3:$G$1590,0)),IF(AND(ISNUMBER($J297),$J297&gt;0,$J297&lt;99),INDEX(Lines!$P$3:$P$1590,MATCH(SMALL(Lines!$G$3:$G$1590,292),Lines!$G$3:$G$1590,0)),""))</f>
        <v/>
      </c>
      <c r="H297" s="28" t="str">
        <f aca="false">IF($J297=0,INDEX(Lines!$H$3:$H$1590,MATCH(SMALL(Lines!$G$3:$G$1590,292),Lines!$G$3:$G$1590,0))&amp;" groups",IF(AND(ISNUMBER($J297),$J297&gt;0,$J297&lt;99),INDEX(Lines!$I$3:$I$1590,MATCH(SMALL(Lines!$G$3:$G$1590,292),Lines!$G$3:$G$1590,0)),""))</f>
        <v/>
      </c>
      <c r="I297" s="26"/>
      <c r="J297" s="22" t="str">
        <f aca="false">IFERROR(IF(MOD(SMALL(Lines!$G$3:$G$1590,292),100000)=0,-1,MOD(SMALL(Lines!$G$3:$G$1590,292),100)),"")</f>
        <v/>
      </c>
      <c r="K297" s="22" t="str">
        <f aca="false">IF($J297=0,INDEX(Lines!$L$3:$L$1590,MATCH(SMALL(Lines!$G$3:$G$1590,292),Lines!$G$3:$G$1590,0)),"")</f>
        <v/>
      </c>
    </row>
    <row r="298" customFormat="false" ht="15" hidden="false" customHeight="false" outlineLevel="0" collapsed="false">
      <c r="A298" s="24" t="str">
        <f aca="false">IF(OR($J298=0,AND(ISNUMBER($J298),$J298&gt;0,$J298&lt;99)),INDEX(Lines!$A$3:$A$1590,MATCH(SMALL(Lines!$G$3:$G$1590,293),Lines!$G$3:$G$1590,0)),"")</f>
        <v/>
      </c>
      <c r="B298" s="24" t="str">
        <f aca="false">IF($J298=-1,INDEX(Lines!$J$3:$J$1590,MATCH(SMALL(Lines!$G$3:$G$1590,293),Lines!$G$3:$G$1590,0)),IF($J298=0,INDEX(Lines!$L$3:$L$1590,MATCH(SMALL(Lines!$G$3:$G$1590,293),Lines!$G$3:$G$1590,0)),IF(AND(ISNUMBER($J298),$J298&gt;0,$J298&lt;99),INDEX(Lines!$N$3:$N$1590,MATCH(SMALL(Lines!$G$3:$G$1590,293),Lines!$G$3:$G$1590,0)),"")))</f>
        <v/>
      </c>
      <c r="C298" s="25" t="str">
        <f aca="false">IF($J298=0,INDEX(Lines!$K$3:$K$1590,MATCH(SMALL(Lines!$G$3:$G$1590,293),Lines!$G$3:$G$1590,0)),IF(AND(ISNUMBER($J298),$J298&gt;0,$J298&lt;99),INDEX(Lines!$C$3:$C$1590,MATCH(SMALL(Lines!$G$3:$G$1590,293),Lines!$G$3:$G$1590,0)),""))</f>
        <v/>
      </c>
      <c r="D298" s="26" t="str">
        <f aca="false">IF(AND(ISNUMBER($J298),$J298&gt;0,$J298&lt;99),INDEX(Lines!$D$3:$D$1590,MATCH(SMALL(Lines!$G$3:$G$1590,293),Lines!$G$3:$G$1590,0)),"")</f>
        <v/>
      </c>
      <c r="E298" s="26" t="str">
        <f aca="false">IF(AND(ISNUMBER($J298),$J298&gt;0,$J298&lt;99),INDEX(Lines!$E$3:$E$1590,MATCH(SMALL(Lines!$G$3:$G$1590,293),Lines!$G$3:$G$1590,0)),"")</f>
        <v/>
      </c>
      <c r="F298" s="26" t="str">
        <f aca="false">IF(AND(ISNUMBER($J298),$J298&gt;0,$J298&lt;99),INDEX(Lines!$O$3:$O$1590,MATCH(SMALL(Lines!$G$3:$G$1590,293),Lines!$G$3:$G$1590,0)),"")</f>
        <v/>
      </c>
      <c r="G298" s="27" t="str">
        <f aca="false">IF($J298=0,INDEX(Lines!$Q$3:$Q$1590,MATCH(SMALL(Lines!$G$3:$G$1590,293),Lines!$G$3:$G$1590,0)),IF(AND(ISNUMBER($J298),$J298&gt;0,$J298&lt;99),INDEX(Lines!$P$3:$P$1590,MATCH(SMALL(Lines!$G$3:$G$1590,293),Lines!$G$3:$G$1590,0)),""))</f>
        <v/>
      </c>
      <c r="H298" s="28" t="str">
        <f aca="false">IF($J298=0,INDEX(Lines!$H$3:$H$1590,MATCH(SMALL(Lines!$G$3:$G$1590,293),Lines!$G$3:$G$1590,0))&amp;" groups",IF(AND(ISNUMBER($J298),$J298&gt;0,$J298&lt;99),INDEX(Lines!$I$3:$I$1590,MATCH(SMALL(Lines!$G$3:$G$1590,293),Lines!$G$3:$G$1590,0)),""))</f>
        <v/>
      </c>
      <c r="I298" s="26"/>
      <c r="J298" s="22" t="str">
        <f aca="false">IFERROR(IF(MOD(SMALL(Lines!$G$3:$G$1590,293),100000)=0,-1,MOD(SMALL(Lines!$G$3:$G$1590,293),100)),"")</f>
        <v/>
      </c>
      <c r="K298" s="22" t="str">
        <f aca="false">IF($J298=0,INDEX(Lines!$L$3:$L$1590,MATCH(SMALL(Lines!$G$3:$G$1590,293),Lines!$G$3:$G$1590,0)),"")</f>
        <v/>
      </c>
    </row>
    <row r="299" customFormat="false" ht="15" hidden="false" customHeight="false" outlineLevel="0" collapsed="false">
      <c r="A299" s="24" t="str">
        <f aca="false">IF(OR($J299=0,AND(ISNUMBER($J299),$J299&gt;0,$J299&lt;99)),INDEX(Lines!$A$3:$A$1590,MATCH(SMALL(Lines!$G$3:$G$1590,294),Lines!$G$3:$G$1590,0)),"")</f>
        <v/>
      </c>
      <c r="B299" s="24" t="str">
        <f aca="false">IF($J299=-1,INDEX(Lines!$J$3:$J$1590,MATCH(SMALL(Lines!$G$3:$G$1590,294),Lines!$G$3:$G$1590,0)),IF($J299=0,INDEX(Lines!$L$3:$L$1590,MATCH(SMALL(Lines!$G$3:$G$1590,294),Lines!$G$3:$G$1590,0)),IF(AND(ISNUMBER($J299),$J299&gt;0,$J299&lt;99),INDEX(Lines!$N$3:$N$1590,MATCH(SMALL(Lines!$G$3:$G$1590,294),Lines!$G$3:$G$1590,0)),"")))</f>
        <v/>
      </c>
      <c r="C299" s="25" t="str">
        <f aca="false">IF($J299=0,INDEX(Lines!$K$3:$K$1590,MATCH(SMALL(Lines!$G$3:$G$1590,294),Lines!$G$3:$G$1590,0)),IF(AND(ISNUMBER($J299),$J299&gt;0,$J299&lt;99),INDEX(Lines!$C$3:$C$1590,MATCH(SMALL(Lines!$G$3:$G$1590,294),Lines!$G$3:$G$1590,0)),""))</f>
        <v/>
      </c>
      <c r="D299" s="26" t="str">
        <f aca="false">IF(AND(ISNUMBER($J299),$J299&gt;0,$J299&lt;99),INDEX(Lines!$D$3:$D$1590,MATCH(SMALL(Lines!$G$3:$G$1590,294),Lines!$G$3:$G$1590,0)),"")</f>
        <v/>
      </c>
      <c r="E299" s="26" t="str">
        <f aca="false">IF(AND(ISNUMBER($J299),$J299&gt;0,$J299&lt;99),INDEX(Lines!$E$3:$E$1590,MATCH(SMALL(Lines!$G$3:$G$1590,294),Lines!$G$3:$G$1590,0)),"")</f>
        <v/>
      </c>
      <c r="F299" s="26" t="str">
        <f aca="false">IF(AND(ISNUMBER($J299),$J299&gt;0,$J299&lt;99),INDEX(Lines!$O$3:$O$1590,MATCH(SMALL(Lines!$G$3:$G$1590,294),Lines!$G$3:$G$1590,0)),"")</f>
        <v/>
      </c>
      <c r="G299" s="27" t="str">
        <f aca="false">IF($J299=0,INDEX(Lines!$Q$3:$Q$1590,MATCH(SMALL(Lines!$G$3:$G$1590,294),Lines!$G$3:$G$1590,0)),IF(AND(ISNUMBER($J299),$J299&gt;0,$J299&lt;99),INDEX(Lines!$P$3:$P$1590,MATCH(SMALL(Lines!$G$3:$G$1590,294),Lines!$G$3:$G$1590,0)),""))</f>
        <v/>
      </c>
      <c r="H299" s="28" t="str">
        <f aca="false">IF($J299=0,INDEX(Lines!$H$3:$H$1590,MATCH(SMALL(Lines!$G$3:$G$1590,294),Lines!$G$3:$G$1590,0))&amp;" groups",IF(AND(ISNUMBER($J299),$J299&gt;0,$J299&lt;99),INDEX(Lines!$I$3:$I$1590,MATCH(SMALL(Lines!$G$3:$G$1590,294),Lines!$G$3:$G$1590,0)),""))</f>
        <v/>
      </c>
      <c r="I299" s="26"/>
      <c r="J299" s="22" t="str">
        <f aca="false">IFERROR(IF(MOD(SMALL(Lines!$G$3:$G$1590,294),100000)=0,-1,MOD(SMALL(Lines!$G$3:$G$1590,294),100)),"")</f>
        <v/>
      </c>
      <c r="K299" s="22" t="str">
        <f aca="false">IF($J299=0,INDEX(Lines!$L$3:$L$1590,MATCH(SMALL(Lines!$G$3:$G$1590,294),Lines!$G$3:$G$1590,0)),"")</f>
        <v/>
      </c>
    </row>
    <row r="300" customFormat="false" ht="15" hidden="false" customHeight="false" outlineLevel="0" collapsed="false">
      <c r="A300" s="24" t="str">
        <f aca="false">IF(OR($J300=0,AND(ISNUMBER($J300),$J300&gt;0,$J300&lt;99)),INDEX(Lines!$A$3:$A$1590,MATCH(SMALL(Lines!$G$3:$G$1590,295),Lines!$G$3:$G$1590,0)),"")</f>
        <v/>
      </c>
      <c r="B300" s="24" t="str">
        <f aca="false">IF($J300=-1,INDEX(Lines!$J$3:$J$1590,MATCH(SMALL(Lines!$G$3:$G$1590,295),Lines!$G$3:$G$1590,0)),IF($J300=0,INDEX(Lines!$L$3:$L$1590,MATCH(SMALL(Lines!$G$3:$G$1590,295),Lines!$G$3:$G$1590,0)),IF(AND(ISNUMBER($J300),$J300&gt;0,$J300&lt;99),INDEX(Lines!$N$3:$N$1590,MATCH(SMALL(Lines!$G$3:$G$1590,295),Lines!$G$3:$G$1590,0)),"")))</f>
        <v/>
      </c>
      <c r="C300" s="25" t="str">
        <f aca="false">IF($J300=0,INDEX(Lines!$K$3:$K$1590,MATCH(SMALL(Lines!$G$3:$G$1590,295),Lines!$G$3:$G$1590,0)),IF(AND(ISNUMBER($J300),$J300&gt;0,$J300&lt;99),INDEX(Lines!$C$3:$C$1590,MATCH(SMALL(Lines!$G$3:$G$1590,295),Lines!$G$3:$G$1590,0)),""))</f>
        <v/>
      </c>
      <c r="D300" s="26" t="str">
        <f aca="false">IF(AND(ISNUMBER($J300),$J300&gt;0,$J300&lt;99),INDEX(Lines!$D$3:$D$1590,MATCH(SMALL(Lines!$G$3:$G$1590,295),Lines!$G$3:$G$1590,0)),"")</f>
        <v/>
      </c>
      <c r="E300" s="26" t="str">
        <f aca="false">IF(AND(ISNUMBER($J300),$J300&gt;0,$J300&lt;99),INDEX(Lines!$E$3:$E$1590,MATCH(SMALL(Lines!$G$3:$G$1590,295),Lines!$G$3:$G$1590,0)),"")</f>
        <v/>
      </c>
      <c r="F300" s="26" t="str">
        <f aca="false">IF(AND(ISNUMBER($J300),$J300&gt;0,$J300&lt;99),INDEX(Lines!$O$3:$O$1590,MATCH(SMALL(Lines!$G$3:$G$1590,295),Lines!$G$3:$G$1590,0)),"")</f>
        <v/>
      </c>
      <c r="G300" s="27" t="str">
        <f aca="false">IF($J300=0,INDEX(Lines!$Q$3:$Q$1590,MATCH(SMALL(Lines!$G$3:$G$1590,295),Lines!$G$3:$G$1590,0)),IF(AND(ISNUMBER($J300),$J300&gt;0,$J300&lt;99),INDEX(Lines!$P$3:$P$1590,MATCH(SMALL(Lines!$G$3:$G$1590,295),Lines!$G$3:$G$1590,0)),""))</f>
        <v/>
      </c>
      <c r="H300" s="28" t="str">
        <f aca="false">IF($J300=0,INDEX(Lines!$H$3:$H$1590,MATCH(SMALL(Lines!$G$3:$G$1590,295),Lines!$G$3:$G$1590,0))&amp;" groups",IF(AND(ISNUMBER($J300),$J300&gt;0,$J300&lt;99),INDEX(Lines!$I$3:$I$1590,MATCH(SMALL(Lines!$G$3:$G$1590,295),Lines!$G$3:$G$1590,0)),""))</f>
        <v/>
      </c>
      <c r="I300" s="26"/>
      <c r="J300" s="22" t="str">
        <f aca="false">IFERROR(IF(MOD(SMALL(Lines!$G$3:$G$1590,295),100000)=0,-1,MOD(SMALL(Lines!$G$3:$G$1590,295),100)),"")</f>
        <v/>
      </c>
      <c r="K300" s="22" t="str">
        <f aca="false">IF($J300=0,INDEX(Lines!$L$3:$L$1590,MATCH(SMALL(Lines!$G$3:$G$1590,295),Lines!$G$3:$G$1590,0)),"")</f>
        <v/>
      </c>
    </row>
    <row r="301" customFormat="false" ht="15" hidden="false" customHeight="false" outlineLevel="0" collapsed="false">
      <c r="A301" s="24" t="str">
        <f aca="false">IF(OR($J301=0,AND(ISNUMBER($J301),$J301&gt;0,$J301&lt;99)),INDEX(Lines!$A$3:$A$1590,MATCH(SMALL(Lines!$G$3:$G$1590,296),Lines!$G$3:$G$1590,0)),"")</f>
        <v/>
      </c>
      <c r="B301" s="24" t="str">
        <f aca="false">IF($J301=-1,INDEX(Lines!$J$3:$J$1590,MATCH(SMALL(Lines!$G$3:$G$1590,296),Lines!$G$3:$G$1590,0)),IF($J301=0,INDEX(Lines!$L$3:$L$1590,MATCH(SMALL(Lines!$G$3:$G$1590,296),Lines!$G$3:$G$1590,0)),IF(AND(ISNUMBER($J301),$J301&gt;0,$J301&lt;99),INDEX(Lines!$N$3:$N$1590,MATCH(SMALL(Lines!$G$3:$G$1590,296),Lines!$G$3:$G$1590,0)),"")))</f>
        <v/>
      </c>
      <c r="C301" s="25" t="str">
        <f aca="false">IF($J301=0,INDEX(Lines!$K$3:$K$1590,MATCH(SMALL(Lines!$G$3:$G$1590,296),Lines!$G$3:$G$1590,0)),IF(AND(ISNUMBER($J301),$J301&gt;0,$J301&lt;99),INDEX(Lines!$C$3:$C$1590,MATCH(SMALL(Lines!$G$3:$G$1590,296),Lines!$G$3:$G$1590,0)),""))</f>
        <v/>
      </c>
      <c r="D301" s="26" t="str">
        <f aca="false">IF(AND(ISNUMBER($J301),$J301&gt;0,$J301&lt;99),INDEX(Lines!$D$3:$D$1590,MATCH(SMALL(Lines!$G$3:$G$1590,296),Lines!$G$3:$G$1590,0)),"")</f>
        <v/>
      </c>
      <c r="E301" s="26" t="str">
        <f aca="false">IF(AND(ISNUMBER($J301),$J301&gt;0,$J301&lt;99),INDEX(Lines!$E$3:$E$1590,MATCH(SMALL(Lines!$G$3:$G$1590,296),Lines!$G$3:$G$1590,0)),"")</f>
        <v/>
      </c>
      <c r="F301" s="26" t="str">
        <f aca="false">IF(AND(ISNUMBER($J301),$J301&gt;0,$J301&lt;99),INDEX(Lines!$O$3:$O$1590,MATCH(SMALL(Lines!$G$3:$G$1590,296),Lines!$G$3:$G$1590,0)),"")</f>
        <v/>
      </c>
      <c r="G301" s="27" t="str">
        <f aca="false">IF($J301=0,INDEX(Lines!$Q$3:$Q$1590,MATCH(SMALL(Lines!$G$3:$G$1590,296),Lines!$G$3:$G$1590,0)),IF(AND(ISNUMBER($J301),$J301&gt;0,$J301&lt;99),INDEX(Lines!$P$3:$P$1590,MATCH(SMALL(Lines!$G$3:$G$1590,296),Lines!$G$3:$G$1590,0)),""))</f>
        <v/>
      </c>
      <c r="H301" s="28" t="str">
        <f aca="false">IF($J301=0,INDEX(Lines!$H$3:$H$1590,MATCH(SMALL(Lines!$G$3:$G$1590,296),Lines!$G$3:$G$1590,0))&amp;" groups",IF(AND(ISNUMBER($J301),$J301&gt;0,$J301&lt;99),INDEX(Lines!$I$3:$I$1590,MATCH(SMALL(Lines!$G$3:$G$1590,296),Lines!$G$3:$G$1590,0)),""))</f>
        <v/>
      </c>
      <c r="I301" s="26"/>
      <c r="J301" s="22" t="str">
        <f aca="false">IFERROR(IF(MOD(SMALL(Lines!$G$3:$G$1590,296),100000)=0,-1,MOD(SMALL(Lines!$G$3:$G$1590,296),100)),"")</f>
        <v/>
      </c>
      <c r="K301" s="22" t="str">
        <f aca="false">IF($J301=0,INDEX(Lines!$L$3:$L$1590,MATCH(SMALL(Lines!$G$3:$G$1590,296),Lines!$G$3:$G$1590,0)),"")</f>
        <v/>
      </c>
    </row>
    <row r="302" customFormat="false" ht="15" hidden="false" customHeight="false" outlineLevel="0" collapsed="false">
      <c r="A302" s="24" t="str">
        <f aca="false">IF(OR($J302=0,AND(ISNUMBER($J302),$J302&gt;0,$J302&lt;99)),INDEX(Lines!$A$3:$A$1590,MATCH(SMALL(Lines!$G$3:$G$1590,297),Lines!$G$3:$G$1590,0)),"")</f>
        <v/>
      </c>
      <c r="B302" s="24" t="str">
        <f aca="false">IF($J302=-1,INDEX(Lines!$J$3:$J$1590,MATCH(SMALL(Lines!$G$3:$G$1590,297),Lines!$G$3:$G$1590,0)),IF($J302=0,INDEX(Lines!$L$3:$L$1590,MATCH(SMALL(Lines!$G$3:$G$1590,297),Lines!$G$3:$G$1590,0)),IF(AND(ISNUMBER($J302),$J302&gt;0,$J302&lt;99),INDEX(Lines!$N$3:$N$1590,MATCH(SMALL(Lines!$G$3:$G$1590,297),Lines!$G$3:$G$1590,0)),"")))</f>
        <v/>
      </c>
      <c r="C302" s="25" t="str">
        <f aca="false">IF($J302=0,INDEX(Lines!$K$3:$K$1590,MATCH(SMALL(Lines!$G$3:$G$1590,297),Lines!$G$3:$G$1590,0)),IF(AND(ISNUMBER($J302),$J302&gt;0,$J302&lt;99),INDEX(Lines!$C$3:$C$1590,MATCH(SMALL(Lines!$G$3:$G$1590,297),Lines!$G$3:$G$1590,0)),""))</f>
        <v/>
      </c>
      <c r="D302" s="26" t="str">
        <f aca="false">IF(AND(ISNUMBER($J302),$J302&gt;0,$J302&lt;99),INDEX(Lines!$D$3:$D$1590,MATCH(SMALL(Lines!$G$3:$G$1590,297),Lines!$G$3:$G$1590,0)),"")</f>
        <v/>
      </c>
      <c r="E302" s="26" t="str">
        <f aca="false">IF(AND(ISNUMBER($J302),$J302&gt;0,$J302&lt;99),INDEX(Lines!$E$3:$E$1590,MATCH(SMALL(Lines!$G$3:$G$1590,297),Lines!$G$3:$G$1590,0)),"")</f>
        <v/>
      </c>
      <c r="F302" s="26" t="str">
        <f aca="false">IF(AND(ISNUMBER($J302),$J302&gt;0,$J302&lt;99),INDEX(Lines!$O$3:$O$1590,MATCH(SMALL(Lines!$G$3:$G$1590,297),Lines!$G$3:$G$1590,0)),"")</f>
        <v/>
      </c>
      <c r="G302" s="27" t="str">
        <f aca="false">IF($J302=0,INDEX(Lines!$Q$3:$Q$1590,MATCH(SMALL(Lines!$G$3:$G$1590,297),Lines!$G$3:$G$1590,0)),IF(AND(ISNUMBER($J302),$J302&gt;0,$J302&lt;99),INDEX(Lines!$P$3:$P$1590,MATCH(SMALL(Lines!$G$3:$G$1590,297),Lines!$G$3:$G$1590,0)),""))</f>
        <v/>
      </c>
      <c r="H302" s="28" t="str">
        <f aca="false">IF($J302=0,INDEX(Lines!$H$3:$H$1590,MATCH(SMALL(Lines!$G$3:$G$1590,297),Lines!$G$3:$G$1590,0))&amp;" groups",IF(AND(ISNUMBER($J302),$J302&gt;0,$J302&lt;99),INDEX(Lines!$I$3:$I$1590,MATCH(SMALL(Lines!$G$3:$G$1590,297),Lines!$G$3:$G$1590,0)),""))</f>
        <v/>
      </c>
      <c r="I302" s="26"/>
      <c r="J302" s="22" t="str">
        <f aca="false">IFERROR(IF(MOD(SMALL(Lines!$G$3:$G$1590,297),100000)=0,-1,MOD(SMALL(Lines!$G$3:$G$1590,297),100)),"")</f>
        <v/>
      </c>
      <c r="K302" s="22" t="str">
        <f aca="false">IF($J302=0,INDEX(Lines!$L$3:$L$1590,MATCH(SMALL(Lines!$G$3:$G$1590,297),Lines!$G$3:$G$1590,0)),"")</f>
        <v/>
      </c>
    </row>
    <row r="303" customFormat="false" ht="15" hidden="false" customHeight="false" outlineLevel="0" collapsed="false">
      <c r="A303" s="24" t="str">
        <f aca="false">IF(OR($J303=0,AND(ISNUMBER($J303),$J303&gt;0,$J303&lt;99)),INDEX(Lines!$A$3:$A$1590,MATCH(SMALL(Lines!$G$3:$G$1590,298),Lines!$G$3:$G$1590,0)),"")</f>
        <v/>
      </c>
      <c r="B303" s="24" t="str">
        <f aca="false">IF($J303=-1,INDEX(Lines!$J$3:$J$1590,MATCH(SMALL(Lines!$G$3:$G$1590,298),Lines!$G$3:$G$1590,0)),IF($J303=0,INDEX(Lines!$L$3:$L$1590,MATCH(SMALL(Lines!$G$3:$G$1590,298),Lines!$G$3:$G$1590,0)),IF(AND(ISNUMBER($J303),$J303&gt;0,$J303&lt;99),INDEX(Lines!$N$3:$N$1590,MATCH(SMALL(Lines!$G$3:$G$1590,298),Lines!$G$3:$G$1590,0)),"")))</f>
        <v/>
      </c>
      <c r="C303" s="25" t="str">
        <f aca="false">IF($J303=0,INDEX(Lines!$K$3:$K$1590,MATCH(SMALL(Lines!$G$3:$G$1590,298),Lines!$G$3:$G$1590,0)),IF(AND(ISNUMBER($J303),$J303&gt;0,$J303&lt;99),INDEX(Lines!$C$3:$C$1590,MATCH(SMALL(Lines!$G$3:$G$1590,298),Lines!$G$3:$G$1590,0)),""))</f>
        <v/>
      </c>
      <c r="D303" s="26" t="str">
        <f aca="false">IF(AND(ISNUMBER($J303),$J303&gt;0,$J303&lt;99),INDEX(Lines!$D$3:$D$1590,MATCH(SMALL(Lines!$G$3:$G$1590,298),Lines!$G$3:$G$1590,0)),"")</f>
        <v/>
      </c>
      <c r="E303" s="26" t="str">
        <f aca="false">IF(AND(ISNUMBER($J303),$J303&gt;0,$J303&lt;99),INDEX(Lines!$E$3:$E$1590,MATCH(SMALL(Lines!$G$3:$G$1590,298),Lines!$G$3:$G$1590,0)),"")</f>
        <v/>
      </c>
      <c r="F303" s="26" t="str">
        <f aca="false">IF(AND(ISNUMBER($J303),$J303&gt;0,$J303&lt;99),INDEX(Lines!$O$3:$O$1590,MATCH(SMALL(Lines!$G$3:$G$1590,298),Lines!$G$3:$G$1590,0)),"")</f>
        <v/>
      </c>
      <c r="G303" s="27" t="str">
        <f aca="false">IF($J303=0,INDEX(Lines!$Q$3:$Q$1590,MATCH(SMALL(Lines!$G$3:$G$1590,298),Lines!$G$3:$G$1590,0)),IF(AND(ISNUMBER($J303),$J303&gt;0,$J303&lt;99),INDEX(Lines!$P$3:$P$1590,MATCH(SMALL(Lines!$G$3:$G$1590,298),Lines!$G$3:$G$1590,0)),""))</f>
        <v/>
      </c>
      <c r="H303" s="28" t="str">
        <f aca="false">IF($J303=0,INDEX(Lines!$H$3:$H$1590,MATCH(SMALL(Lines!$G$3:$G$1590,298),Lines!$G$3:$G$1590,0))&amp;" groups",IF(AND(ISNUMBER($J303),$J303&gt;0,$J303&lt;99),INDEX(Lines!$I$3:$I$1590,MATCH(SMALL(Lines!$G$3:$G$1590,298),Lines!$G$3:$G$1590,0)),""))</f>
        <v/>
      </c>
      <c r="I303" s="26"/>
      <c r="J303" s="22" t="str">
        <f aca="false">IFERROR(IF(MOD(SMALL(Lines!$G$3:$G$1590,298),100000)=0,-1,MOD(SMALL(Lines!$G$3:$G$1590,298),100)),"")</f>
        <v/>
      </c>
      <c r="K303" s="22" t="str">
        <f aca="false">IF($J303=0,INDEX(Lines!$L$3:$L$1590,MATCH(SMALL(Lines!$G$3:$G$1590,298),Lines!$G$3:$G$1590,0)),"")</f>
        <v/>
      </c>
    </row>
    <row r="304" customFormat="false" ht="15" hidden="false" customHeight="false" outlineLevel="0" collapsed="false">
      <c r="A304" s="24" t="str">
        <f aca="false">IF(OR($J304=0,AND(ISNUMBER($J304),$J304&gt;0,$J304&lt;99)),INDEX(Lines!$A$3:$A$1590,MATCH(SMALL(Lines!$G$3:$G$1590,299),Lines!$G$3:$G$1590,0)),"")</f>
        <v/>
      </c>
      <c r="B304" s="24" t="str">
        <f aca="false">IF($J304=-1,INDEX(Lines!$J$3:$J$1590,MATCH(SMALL(Lines!$G$3:$G$1590,299),Lines!$G$3:$G$1590,0)),IF($J304=0,INDEX(Lines!$L$3:$L$1590,MATCH(SMALL(Lines!$G$3:$G$1590,299),Lines!$G$3:$G$1590,0)),IF(AND(ISNUMBER($J304),$J304&gt;0,$J304&lt;99),INDEX(Lines!$N$3:$N$1590,MATCH(SMALL(Lines!$G$3:$G$1590,299),Lines!$G$3:$G$1590,0)),"")))</f>
        <v/>
      </c>
      <c r="C304" s="25" t="str">
        <f aca="false">IF($J304=0,INDEX(Lines!$K$3:$K$1590,MATCH(SMALL(Lines!$G$3:$G$1590,299),Lines!$G$3:$G$1590,0)),IF(AND(ISNUMBER($J304),$J304&gt;0,$J304&lt;99),INDEX(Lines!$C$3:$C$1590,MATCH(SMALL(Lines!$G$3:$G$1590,299),Lines!$G$3:$G$1590,0)),""))</f>
        <v/>
      </c>
      <c r="D304" s="26" t="str">
        <f aca="false">IF(AND(ISNUMBER($J304),$J304&gt;0,$J304&lt;99),INDEX(Lines!$D$3:$D$1590,MATCH(SMALL(Lines!$G$3:$G$1590,299),Lines!$G$3:$G$1590,0)),"")</f>
        <v/>
      </c>
      <c r="E304" s="26" t="str">
        <f aca="false">IF(AND(ISNUMBER($J304),$J304&gt;0,$J304&lt;99),INDEX(Lines!$E$3:$E$1590,MATCH(SMALL(Lines!$G$3:$G$1590,299),Lines!$G$3:$G$1590,0)),"")</f>
        <v/>
      </c>
      <c r="F304" s="26" t="str">
        <f aca="false">IF(AND(ISNUMBER($J304),$J304&gt;0,$J304&lt;99),INDEX(Lines!$O$3:$O$1590,MATCH(SMALL(Lines!$G$3:$G$1590,299),Lines!$G$3:$G$1590,0)),"")</f>
        <v/>
      </c>
      <c r="G304" s="27" t="str">
        <f aca="false">IF($J304=0,INDEX(Lines!$Q$3:$Q$1590,MATCH(SMALL(Lines!$G$3:$G$1590,299),Lines!$G$3:$G$1590,0)),IF(AND(ISNUMBER($J304),$J304&gt;0,$J304&lt;99),INDEX(Lines!$P$3:$P$1590,MATCH(SMALL(Lines!$G$3:$G$1590,299),Lines!$G$3:$G$1590,0)),""))</f>
        <v/>
      </c>
      <c r="H304" s="28" t="str">
        <f aca="false">IF($J304=0,INDEX(Lines!$H$3:$H$1590,MATCH(SMALL(Lines!$G$3:$G$1590,299),Lines!$G$3:$G$1590,0))&amp;" groups",IF(AND(ISNUMBER($J304),$J304&gt;0,$J304&lt;99),INDEX(Lines!$I$3:$I$1590,MATCH(SMALL(Lines!$G$3:$G$1590,299),Lines!$G$3:$G$1590,0)),""))</f>
        <v/>
      </c>
      <c r="I304" s="26"/>
      <c r="J304" s="22" t="str">
        <f aca="false">IFERROR(IF(MOD(SMALL(Lines!$G$3:$G$1590,299),100000)=0,-1,MOD(SMALL(Lines!$G$3:$G$1590,299),100)),"")</f>
        <v/>
      </c>
      <c r="K304" s="22" t="str">
        <f aca="false">IF($J304=0,INDEX(Lines!$L$3:$L$1590,MATCH(SMALL(Lines!$G$3:$G$1590,299),Lines!$G$3:$G$1590,0)),"")</f>
        <v/>
      </c>
    </row>
    <row r="305" customFormat="false" ht="15" hidden="false" customHeight="false" outlineLevel="0" collapsed="false">
      <c r="A305" s="24" t="str">
        <f aca="false">IF(OR($J305=0,AND(ISNUMBER($J305),$J305&gt;0,$J305&lt;99)),INDEX(Lines!$A$3:$A$1590,MATCH(SMALL(Lines!$G$3:$G$1590,300),Lines!$G$3:$G$1590,0)),"")</f>
        <v/>
      </c>
      <c r="B305" s="24" t="str">
        <f aca="false">IF($J305=-1,INDEX(Lines!$J$3:$J$1590,MATCH(SMALL(Lines!$G$3:$G$1590,300),Lines!$G$3:$G$1590,0)),IF($J305=0,INDEX(Lines!$L$3:$L$1590,MATCH(SMALL(Lines!$G$3:$G$1590,300),Lines!$G$3:$G$1590,0)),IF(AND(ISNUMBER($J305),$J305&gt;0,$J305&lt;99),INDEX(Lines!$N$3:$N$1590,MATCH(SMALL(Lines!$G$3:$G$1590,300),Lines!$G$3:$G$1590,0)),"")))</f>
        <v/>
      </c>
      <c r="C305" s="25" t="str">
        <f aca="false">IF($J305=0,INDEX(Lines!$K$3:$K$1590,MATCH(SMALL(Lines!$G$3:$G$1590,300),Lines!$G$3:$G$1590,0)),IF(AND(ISNUMBER($J305),$J305&gt;0,$J305&lt;99),INDEX(Lines!$C$3:$C$1590,MATCH(SMALL(Lines!$G$3:$G$1590,300),Lines!$G$3:$G$1590,0)),""))</f>
        <v/>
      </c>
      <c r="D305" s="26" t="str">
        <f aca="false">IF(AND(ISNUMBER($J305),$J305&gt;0,$J305&lt;99),INDEX(Lines!$D$3:$D$1590,MATCH(SMALL(Lines!$G$3:$G$1590,300),Lines!$G$3:$G$1590,0)),"")</f>
        <v/>
      </c>
      <c r="E305" s="26" t="str">
        <f aca="false">IF(AND(ISNUMBER($J305),$J305&gt;0,$J305&lt;99),INDEX(Lines!$E$3:$E$1590,MATCH(SMALL(Lines!$G$3:$G$1590,300),Lines!$G$3:$G$1590,0)),"")</f>
        <v/>
      </c>
      <c r="F305" s="26" t="str">
        <f aca="false">IF(AND(ISNUMBER($J305),$J305&gt;0,$J305&lt;99),INDEX(Lines!$O$3:$O$1590,MATCH(SMALL(Lines!$G$3:$G$1590,300),Lines!$G$3:$G$1590,0)),"")</f>
        <v/>
      </c>
      <c r="G305" s="27" t="str">
        <f aca="false">IF($J305=0,INDEX(Lines!$Q$3:$Q$1590,MATCH(SMALL(Lines!$G$3:$G$1590,300),Lines!$G$3:$G$1590,0)),IF(AND(ISNUMBER($J305),$J305&gt;0,$J305&lt;99),INDEX(Lines!$P$3:$P$1590,MATCH(SMALL(Lines!$G$3:$G$1590,300),Lines!$G$3:$G$1590,0)),""))</f>
        <v/>
      </c>
      <c r="H305" s="28" t="str">
        <f aca="false">IF($J305=0,INDEX(Lines!$H$3:$H$1590,MATCH(SMALL(Lines!$G$3:$G$1590,300),Lines!$G$3:$G$1590,0))&amp;" groups",IF(AND(ISNUMBER($J305),$J305&gt;0,$J305&lt;99),INDEX(Lines!$I$3:$I$1590,MATCH(SMALL(Lines!$G$3:$G$1590,300),Lines!$G$3:$G$1590,0)),""))</f>
        <v/>
      </c>
      <c r="I305" s="26"/>
      <c r="J305" s="22" t="str">
        <f aca="false">IFERROR(IF(MOD(SMALL(Lines!$G$3:$G$1590,300),100000)=0,-1,MOD(SMALL(Lines!$G$3:$G$1590,300),100)),"")</f>
        <v/>
      </c>
      <c r="K305" s="22" t="str">
        <f aca="false">IF($J305=0,INDEX(Lines!$L$3:$L$1590,MATCH(SMALL(Lines!$G$3:$G$1590,300),Lines!$G$3:$G$1590,0)),"")</f>
        <v/>
      </c>
    </row>
    <row r="306" customFormat="false" ht="15" hidden="false" customHeight="false" outlineLevel="0" collapsed="false">
      <c r="A306" s="24" t="str">
        <f aca="false">IF(OR($J306=0,AND(ISNUMBER($J306),$J306&gt;0,$J306&lt;99)),INDEX(Lines!$A$3:$A$1590,MATCH(SMALL(Lines!$G$3:$G$1590,301),Lines!$G$3:$G$1590,0)),"")</f>
        <v/>
      </c>
      <c r="B306" s="24" t="str">
        <f aca="false">IF($J306=-1,INDEX(Lines!$J$3:$J$1590,MATCH(SMALL(Lines!$G$3:$G$1590,301),Lines!$G$3:$G$1590,0)),IF($J306=0,INDEX(Lines!$L$3:$L$1590,MATCH(SMALL(Lines!$G$3:$G$1590,301),Lines!$G$3:$G$1590,0)),IF(AND(ISNUMBER($J306),$J306&gt;0,$J306&lt;99),INDEX(Lines!$N$3:$N$1590,MATCH(SMALL(Lines!$G$3:$G$1590,301),Lines!$G$3:$G$1590,0)),"")))</f>
        <v/>
      </c>
      <c r="C306" s="25" t="str">
        <f aca="false">IF($J306=0,INDEX(Lines!$K$3:$K$1590,MATCH(SMALL(Lines!$G$3:$G$1590,301),Lines!$G$3:$G$1590,0)),IF(AND(ISNUMBER($J306),$J306&gt;0,$J306&lt;99),INDEX(Lines!$C$3:$C$1590,MATCH(SMALL(Lines!$G$3:$G$1590,301),Lines!$G$3:$G$1590,0)),""))</f>
        <v/>
      </c>
      <c r="D306" s="26" t="str">
        <f aca="false">IF(AND(ISNUMBER($J306),$J306&gt;0,$J306&lt;99),INDEX(Lines!$D$3:$D$1590,MATCH(SMALL(Lines!$G$3:$G$1590,301),Lines!$G$3:$G$1590,0)),"")</f>
        <v/>
      </c>
      <c r="E306" s="26" t="str">
        <f aca="false">IF(AND(ISNUMBER($J306),$J306&gt;0,$J306&lt;99),INDEX(Lines!$E$3:$E$1590,MATCH(SMALL(Lines!$G$3:$G$1590,301),Lines!$G$3:$G$1590,0)),"")</f>
        <v/>
      </c>
      <c r="F306" s="26" t="str">
        <f aca="false">IF(AND(ISNUMBER($J306),$J306&gt;0,$J306&lt;99),INDEX(Lines!$O$3:$O$1590,MATCH(SMALL(Lines!$G$3:$G$1590,301),Lines!$G$3:$G$1590,0)),"")</f>
        <v/>
      </c>
      <c r="G306" s="27" t="str">
        <f aca="false">IF($J306=0,INDEX(Lines!$Q$3:$Q$1590,MATCH(SMALL(Lines!$G$3:$G$1590,301),Lines!$G$3:$G$1590,0)),IF(AND(ISNUMBER($J306),$J306&gt;0,$J306&lt;99),INDEX(Lines!$P$3:$P$1590,MATCH(SMALL(Lines!$G$3:$G$1590,301),Lines!$G$3:$G$1590,0)),""))</f>
        <v/>
      </c>
      <c r="H306" s="28" t="str">
        <f aca="false">IF($J306=0,INDEX(Lines!$H$3:$H$1590,MATCH(SMALL(Lines!$G$3:$G$1590,301),Lines!$G$3:$G$1590,0))&amp;" groups",IF(AND(ISNUMBER($J306),$J306&gt;0,$J306&lt;99),INDEX(Lines!$I$3:$I$1590,MATCH(SMALL(Lines!$G$3:$G$1590,301),Lines!$G$3:$G$1590,0)),""))</f>
        <v/>
      </c>
      <c r="I306" s="26"/>
      <c r="J306" s="22" t="str">
        <f aca="false">IFERROR(IF(MOD(SMALL(Lines!$G$3:$G$1590,301),100000)=0,-1,MOD(SMALL(Lines!$G$3:$G$1590,301),100)),"")</f>
        <v/>
      </c>
      <c r="K306" s="22" t="str">
        <f aca="false">IF($J306=0,INDEX(Lines!$L$3:$L$1590,MATCH(SMALL(Lines!$G$3:$G$1590,301),Lines!$G$3:$G$1590,0)),"")</f>
        <v/>
      </c>
    </row>
    <row r="307" customFormat="false" ht="15" hidden="false" customHeight="false" outlineLevel="0" collapsed="false">
      <c r="A307" s="24" t="str">
        <f aca="false">IF(OR($J307=0,AND(ISNUMBER($J307),$J307&gt;0,$J307&lt;99)),INDEX(Lines!$A$3:$A$1590,MATCH(SMALL(Lines!$G$3:$G$1590,302),Lines!$G$3:$G$1590,0)),"")</f>
        <v/>
      </c>
      <c r="B307" s="24" t="str">
        <f aca="false">IF($J307=-1,INDEX(Lines!$J$3:$J$1590,MATCH(SMALL(Lines!$G$3:$G$1590,302),Lines!$G$3:$G$1590,0)),IF($J307=0,INDEX(Lines!$L$3:$L$1590,MATCH(SMALL(Lines!$G$3:$G$1590,302),Lines!$G$3:$G$1590,0)),IF(AND(ISNUMBER($J307),$J307&gt;0,$J307&lt;99),INDEX(Lines!$N$3:$N$1590,MATCH(SMALL(Lines!$G$3:$G$1590,302),Lines!$G$3:$G$1590,0)),"")))</f>
        <v/>
      </c>
      <c r="C307" s="25" t="str">
        <f aca="false">IF($J307=0,INDEX(Lines!$K$3:$K$1590,MATCH(SMALL(Lines!$G$3:$G$1590,302),Lines!$G$3:$G$1590,0)),IF(AND(ISNUMBER($J307),$J307&gt;0,$J307&lt;99),INDEX(Lines!$C$3:$C$1590,MATCH(SMALL(Lines!$G$3:$G$1590,302),Lines!$G$3:$G$1590,0)),""))</f>
        <v/>
      </c>
      <c r="D307" s="26" t="str">
        <f aca="false">IF(AND(ISNUMBER($J307),$J307&gt;0,$J307&lt;99),INDEX(Lines!$D$3:$D$1590,MATCH(SMALL(Lines!$G$3:$G$1590,302),Lines!$G$3:$G$1590,0)),"")</f>
        <v/>
      </c>
      <c r="E307" s="26" t="str">
        <f aca="false">IF(AND(ISNUMBER($J307),$J307&gt;0,$J307&lt;99),INDEX(Lines!$E$3:$E$1590,MATCH(SMALL(Lines!$G$3:$G$1590,302),Lines!$G$3:$G$1590,0)),"")</f>
        <v/>
      </c>
      <c r="F307" s="26" t="str">
        <f aca="false">IF(AND(ISNUMBER($J307),$J307&gt;0,$J307&lt;99),INDEX(Lines!$O$3:$O$1590,MATCH(SMALL(Lines!$G$3:$G$1590,302),Lines!$G$3:$G$1590,0)),"")</f>
        <v/>
      </c>
      <c r="G307" s="27" t="str">
        <f aca="false">IF($J307=0,INDEX(Lines!$Q$3:$Q$1590,MATCH(SMALL(Lines!$G$3:$G$1590,302),Lines!$G$3:$G$1590,0)),IF(AND(ISNUMBER($J307),$J307&gt;0,$J307&lt;99),INDEX(Lines!$P$3:$P$1590,MATCH(SMALL(Lines!$G$3:$G$1590,302),Lines!$G$3:$G$1590,0)),""))</f>
        <v/>
      </c>
      <c r="H307" s="28" t="str">
        <f aca="false">IF($J307=0,INDEX(Lines!$H$3:$H$1590,MATCH(SMALL(Lines!$G$3:$G$1590,302),Lines!$G$3:$G$1590,0))&amp;" groups",IF(AND(ISNUMBER($J307),$J307&gt;0,$J307&lt;99),INDEX(Lines!$I$3:$I$1590,MATCH(SMALL(Lines!$G$3:$G$1590,302),Lines!$G$3:$G$1590,0)),""))</f>
        <v/>
      </c>
      <c r="I307" s="26"/>
      <c r="J307" s="22" t="str">
        <f aca="false">IFERROR(IF(MOD(SMALL(Lines!$G$3:$G$1590,302),100000)=0,-1,MOD(SMALL(Lines!$G$3:$G$1590,302),100)),"")</f>
        <v/>
      </c>
      <c r="K307" s="22" t="str">
        <f aca="false">IF($J307=0,INDEX(Lines!$L$3:$L$1590,MATCH(SMALL(Lines!$G$3:$G$1590,302),Lines!$G$3:$G$1590,0)),"")</f>
        <v/>
      </c>
    </row>
    <row r="308" customFormat="false" ht="15" hidden="false" customHeight="false" outlineLevel="0" collapsed="false">
      <c r="A308" s="24" t="str">
        <f aca="false">IF(OR($J308=0,AND(ISNUMBER($J308),$J308&gt;0,$J308&lt;99)),INDEX(Lines!$A$3:$A$1590,MATCH(SMALL(Lines!$G$3:$G$1590,303),Lines!$G$3:$G$1590,0)),"")</f>
        <v/>
      </c>
      <c r="B308" s="24" t="str">
        <f aca="false">IF($J308=-1,INDEX(Lines!$J$3:$J$1590,MATCH(SMALL(Lines!$G$3:$G$1590,303),Lines!$G$3:$G$1590,0)),IF($J308=0,INDEX(Lines!$L$3:$L$1590,MATCH(SMALL(Lines!$G$3:$G$1590,303),Lines!$G$3:$G$1590,0)),IF(AND(ISNUMBER($J308),$J308&gt;0,$J308&lt;99),INDEX(Lines!$N$3:$N$1590,MATCH(SMALL(Lines!$G$3:$G$1590,303),Lines!$G$3:$G$1590,0)),"")))</f>
        <v/>
      </c>
      <c r="C308" s="25" t="str">
        <f aca="false">IF($J308=0,INDEX(Lines!$K$3:$K$1590,MATCH(SMALL(Lines!$G$3:$G$1590,303),Lines!$G$3:$G$1590,0)),IF(AND(ISNUMBER($J308),$J308&gt;0,$J308&lt;99),INDEX(Lines!$C$3:$C$1590,MATCH(SMALL(Lines!$G$3:$G$1590,303),Lines!$G$3:$G$1590,0)),""))</f>
        <v/>
      </c>
      <c r="D308" s="26" t="str">
        <f aca="false">IF(AND(ISNUMBER($J308),$J308&gt;0,$J308&lt;99),INDEX(Lines!$D$3:$D$1590,MATCH(SMALL(Lines!$G$3:$G$1590,303),Lines!$G$3:$G$1590,0)),"")</f>
        <v/>
      </c>
      <c r="E308" s="26" t="str">
        <f aca="false">IF(AND(ISNUMBER($J308),$J308&gt;0,$J308&lt;99),INDEX(Lines!$E$3:$E$1590,MATCH(SMALL(Lines!$G$3:$G$1590,303),Lines!$G$3:$G$1590,0)),"")</f>
        <v/>
      </c>
      <c r="F308" s="26" t="str">
        <f aca="false">IF(AND(ISNUMBER($J308),$J308&gt;0,$J308&lt;99),INDEX(Lines!$O$3:$O$1590,MATCH(SMALL(Lines!$G$3:$G$1590,303),Lines!$G$3:$G$1590,0)),"")</f>
        <v/>
      </c>
      <c r="G308" s="27" t="str">
        <f aca="false">IF($J308=0,INDEX(Lines!$Q$3:$Q$1590,MATCH(SMALL(Lines!$G$3:$G$1590,303),Lines!$G$3:$G$1590,0)),IF(AND(ISNUMBER($J308),$J308&gt;0,$J308&lt;99),INDEX(Lines!$P$3:$P$1590,MATCH(SMALL(Lines!$G$3:$G$1590,303),Lines!$G$3:$G$1590,0)),""))</f>
        <v/>
      </c>
      <c r="H308" s="28" t="str">
        <f aca="false">IF($J308=0,INDEX(Lines!$H$3:$H$1590,MATCH(SMALL(Lines!$G$3:$G$1590,303),Lines!$G$3:$G$1590,0))&amp;" groups",IF(AND(ISNUMBER($J308),$J308&gt;0,$J308&lt;99),INDEX(Lines!$I$3:$I$1590,MATCH(SMALL(Lines!$G$3:$G$1590,303),Lines!$G$3:$G$1590,0)),""))</f>
        <v/>
      </c>
      <c r="I308" s="26"/>
      <c r="J308" s="22" t="str">
        <f aca="false">IFERROR(IF(MOD(SMALL(Lines!$G$3:$G$1590,303),100000)=0,-1,MOD(SMALL(Lines!$G$3:$G$1590,303),100)),"")</f>
        <v/>
      </c>
      <c r="K308" s="22" t="str">
        <f aca="false">IF($J308=0,INDEX(Lines!$L$3:$L$1590,MATCH(SMALL(Lines!$G$3:$G$1590,303),Lines!$G$3:$G$1590,0)),"")</f>
        <v/>
      </c>
    </row>
    <row r="309" customFormat="false" ht="15" hidden="false" customHeight="false" outlineLevel="0" collapsed="false">
      <c r="A309" s="24" t="str">
        <f aca="false">IF(OR($J309=0,AND(ISNUMBER($J309),$J309&gt;0,$J309&lt;99)),INDEX(Lines!$A$3:$A$1590,MATCH(SMALL(Lines!$G$3:$G$1590,304),Lines!$G$3:$G$1590,0)),"")</f>
        <v/>
      </c>
      <c r="B309" s="24" t="str">
        <f aca="false">IF($J309=-1,INDEX(Lines!$J$3:$J$1590,MATCH(SMALL(Lines!$G$3:$G$1590,304),Lines!$G$3:$G$1590,0)),IF($J309=0,INDEX(Lines!$L$3:$L$1590,MATCH(SMALL(Lines!$G$3:$G$1590,304),Lines!$G$3:$G$1590,0)),IF(AND(ISNUMBER($J309),$J309&gt;0,$J309&lt;99),INDEX(Lines!$N$3:$N$1590,MATCH(SMALL(Lines!$G$3:$G$1590,304),Lines!$G$3:$G$1590,0)),"")))</f>
        <v/>
      </c>
      <c r="C309" s="25" t="str">
        <f aca="false">IF($J309=0,INDEX(Lines!$K$3:$K$1590,MATCH(SMALL(Lines!$G$3:$G$1590,304),Lines!$G$3:$G$1590,0)),IF(AND(ISNUMBER($J309),$J309&gt;0,$J309&lt;99),INDEX(Lines!$C$3:$C$1590,MATCH(SMALL(Lines!$G$3:$G$1590,304),Lines!$G$3:$G$1590,0)),""))</f>
        <v/>
      </c>
      <c r="D309" s="26" t="str">
        <f aca="false">IF(AND(ISNUMBER($J309),$J309&gt;0,$J309&lt;99),INDEX(Lines!$D$3:$D$1590,MATCH(SMALL(Lines!$G$3:$G$1590,304),Lines!$G$3:$G$1590,0)),"")</f>
        <v/>
      </c>
      <c r="E309" s="26" t="str">
        <f aca="false">IF(AND(ISNUMBER($J309),$J309&gt;0,$J309&lt;99),INDEX(Lines!$E$3:$E$1590,MATCH(SMALL(Lines!$G$3:$G$1590,304),Lines!$G$3:$G$1590,0)),"")</f>
        <v/>
      </c>
      <c r="F309" s="26" t="str">
        <f aca="false">IF(AND(ISNUMBER($J309),$J309&gt;0,$J309&lt;99),INDEX(Lines!$O$3:$O$1590,MATCH(SMALL(Lines!$G$3:$G$1590,304),Lines!$G$3:$G$1590,0)),"")</f>
        <v/>
      </c>
      <c r="G309" s="27" t="str">
        <f aca="false">IF($J309=0,INDEX(Lines!$Q$3:$Q$1590,MATCH(SMALL(Lines!$G$3:$G$1590,304),Lines!$G$3:$G$1590,0)),IF(AND(ISNUMBER($J309),$J309&gt;0,$J309&lt;99),INDEX(Lines!$P$3:$P$1590,MATCH(SMALL(Lines!$G$3:$G$1590,304),Lines!$G$3:$G$1590,0)),""))</f>
        <v/>
      </c>
      <c r="H309" s="28" t="str">
        <f aca="false">IF($J309=0,INDEX(Lines!$H$3:$H$1590,MATCH(SMALL(Lines!$G$3:$G$1590,304),Lines!$G$3:$G$1590,0))&amp;" groups",IF(AND(ISNUMBER($J309),$J309&gt;0,$J309&lt;99),INDEX(Lines!$I$3:$I$1590,MATCH(SMALL(Lines!$G$3:$G$1590,304),Lines!$G$3:$G$1590,0)),""))</f>
        <v/>
      </c>
      <c r="I309" s="26"/>
      <c r="J309" s="22" t="str">
        <f aca="false">IFERROR(IF(MOD(SMALL(Lines!$G$3:$G$1590,304),100000)=0,-1,MOD(SMALL(Lines!$G$3:$G$1590,304),100)),"")</f>
        <v/>
      </c>
      <c r="K309" s="22" t="str">
        <f aca="false">IF($J309=0,INDEX(Lines!$L$3:$L$1590,MATCH(SMALL(Lines!$G$3:$G$1590,304),Lines!$G$3:$G$1590,0)),"")</f>
        <v/>
      </c>
    </row>
    <row r="310" customFormat="false" ht="15" hidden="false" customHeight="false" outlineLevel="0" collapsed="false">
      <c r="A310" s="24" t="str">
        <f aca="false">IF(OR($J310=0,AND(ISNUMBER($J310),$J310&gt;0,$J310&lt;99)),INDEX(Lines!$A$3:$A$1590,MATCH(SMALL(Lines!$G$3:$G$1590,305),Lines!$G$3:$G$1590,0)),"")</f>
        <v/>
      </c>
      <c r="B310" s="24" t="str">
        <f aca="false">IF($J310=-1,INDEX(Lines!$J$3:$J$1590,MATCH(SMALL(Lines!$G$3:$G$1590,305),Lines!$G$3:$G$1590,0)),IF($J310=0,INDEX(Lines!$L$3:$L$1590,MATCH(SMALL(Lines!$G$3:$G$1590,305),Lines!$G$3:$G$1590,0)),IF(AND(ISNUMBER($J310),$J310&gt;0,$J310&lt;99),INDEX(Lines!$N$3:$N$1590,MATCH(SMALL(Lines!$G$3:$G$1590,305),Lines!$G$3:$G$1590,0)),"")))</f>
        <v/>
      </c>
      <c r="C310" s="25" t="str">
        <f aca="false">IF($J310=0,INDEX(Lines!$K$3:$K$1590,MATCH(SMALL(Lines!$G$3:$G$1590,305),Lines!$G$3:$G$1590,0)),IF(AND(ISNUMBER($J310),$J310&gt;0,$J310&lt;99),INDEX(Lines!$C$3:$C$1590,MATCH(SMALL(Lines!$G$3:$G$1590,305),Lines!$G$3:$G$1590,0)),""))</f>
        <v/>
      </c>
      <c r="D310" s="26" t="str">
        <f aca="false">IF(AND(ISNUMBER($J310),$J310&gt;0,$J310&lt;99),INDEX(Lines!$D$3:$D$1590,MATCH(SMALL(Lines!$G$3:$G$1590,305),Lines!$G$3:$G$1590,0)),"")</f>
        <v/>
      </c>
      <c r="E310" s="26" t="str">
        <f aca="false">IF(AND(ISNUMBER($J310),$J310&gt;0,$J310&lt;99),INDEX(Lines!$E$3:$E$1590,MATCH(SMALL(Lines!$G$3:$G$1590,305),Lines!$G$3:$G$1590,0)),"")</f>
        <v/>
      </c>
      <c r="F310" s="26" t="str">
        <f aca="false">IF(AND(ISNUMBER($J310),$J310&gt;0,$J310&lt;99),INDEX(Lines!$O$3:$O$1590,MATCH(SMALL(Lines!$G$3:$G$1590,305),Lines!$G$3:$G$1590,0)),"")</f>
        <v/>
      </c>
      <c r="G310" s="27" t="str">
        <f aca="false">IF($J310=0,INDEX(Lines!$Q$3:$Q$1590,MATCH(SMALL(Lines!$G$3:$G$1590,305),Lines!$G$3:$G$1590,0)),IF(AND(ISNUMBER($J310),$J310&gt;0,$J310&lt;99),INDEX(Lines!$P$3:$P$1590,MATCH(SMALL(Lines!$G$3:$G$1590,305),Lines!$G$3:$G$1590,0)),""))</f>
        <v/>
      </c>
      <c r="H310" s="28" t="str">
        <f aca="false">IF($J310=0,INDEX(Lines!$H$3:$H$1590,MATCH(SMALL(Lines!$G$3:$G$1590,305),Lines!$G$3:$G$1590,0))&amp;" groups",IF(AND(ISNUMBER($J310),$J310&gt;0,$J310&lt;99),INDEX(Lines!$I$3:$I$1590,MATCH(SMALL(Lines!$G$3:$G$1590,305),Lines!$G$3:$G$1590,0)),""))</f>
        <v/>
      </c>
      <c r="I310" s="26"/>
      <c r="J310" s="22" t="str">
        <f aca="false">IFERROR(IF(MOD(SMALL(Lines!$G$3:$G$1590,305),100000)=0,-1,MOD(SMALL(Lines!$G$3:$G$1590,305),100)),"")</f>
        <v/>
      </c>
      <c r="K310" s="22" t="str">
        <f aca="false">IF($J310=0,INDEX(Lines!$L$3:$L$1590,MATCH(SMALL(Lines!$G$3:$G$1590,305),Lines!$G$3:$G$1590,0)),"")</f>
        <v/>
      </c>
    </row>
    <row r="311" customFormat="false" ht="15" hidden="false" customHeight="false" outlineLevel="0" collapsed="false">
      <c r="A311" s="24" t="str">
        <f aca="false">IF(OR($J311=0,AND(ISNUMBER($J311),$J311&gt;0,$J311&lt;99)),INDEX(Lines!$A$3:$A$1590,MATCH(SMALL(Lines!$G$3:$G$1590,306),Lines!$G$3:$G$1590,0)),"")</f>
        <v/>
      </c>
      <c r="B311" s="24" t="str">
        <f aca="false">IF($J311=-1,INDEX(Lines!$J$3:$J$1590,MATCH(SMALL(Lines!$G$3:$G$1590,306),Lines!$G$3:$G$1590,0)),IF($J311=0,INDEX(Lines!$L$3:$L$1590,MATCH(SMALL(Lines!$G$3:$G$1590,306),Lines!$G$3:$G$1590,0)),IF(AND(ISNUMBER($J311),$J311&gt;0,$J311&lt;99),INDEX(Lines!$N$3:$N$1590,MATCH(SMALL(Lines!$G$3:$G$1590,306),Lines!$G$3:$G$1590,0)),"")))</f>
        <v/>
      </c>
      <c r="C311" s="25" t="str">
        <f aca="false">IF($J311=0,INDEX(Lines!$K$3:$K$1590,MATCH(SMALL(Lines!$G$3:$G$1590,306),Lines!$G$3:$G$1590,0)),IF(AND(ISNUMBER($J311),$J311&gt;0,$J311&lt;99),INDEX(Lines!$C$3:$C$1590,MATCH(SMALL(Lines!$G$3:$G$1590,306),Lines!$G$3:$G$1590,0)),""))</f>
        <v/>
      </c>
      <c r="D311" s="26" t="str">
        <f aca="false">IF(AND(ISNUMBER($J311),$J311&gt;0,$J311&lt;99),INDEX(Lines!$D$3:$D$1590,MATCH(SMALL(Lines!$G$3:$G$1590,306),Lines!$G$3:$G$1590,0)),"")</f>
        <v/>
      </c>
      <c r="E311" s="26" t="str">
        <f aca="false">IF(AND(ISNUMBER($J311),$J311&gt;0,$J311&lt;99),INDEX(Lines!$E$3:$E$1590,MATCH(SMALL(Lines!$G$3:$G$1590,306),Lines!$G$3:$G$1590,0)),"")</f>
        <v/>
      </c>
      <c r="F311" s="26" t="str">
        <f aca="false">IF(AND(ISNUMBER($J311),$J311&gt;0,$J311&lt;99),INDEX(Lines!$O$3:$O$1590,MATCH(SMALL(Lines!$G$3:$G$1590,306),Lines!$G$3:$G$1590,0)),"")</f>
        <v/>
      </c>
      <c r="G311" s="27" t="str">
        <f aca="false">IF($J311=0,INDEX(Lines!$Q$3:$Q$1590,MATCH(SMALL(Lines!$G$3:$G$1590,306),Lines!$G$3:$G$1590,0)),IF(AND(ISNUMBER($J311),$J311&gt;0,$J311&lt;99),INDEX(Lines!$P$3:$P$1590,MATCH(SMALL(Lines!$G$3:$G$1590,306),Lines!$G$3:$G$1590,0)),""))</f>
        <v/>
      </c>
      <c r="H311" s="28" t="str">
        <f aca="false">IF($J311=0,INDEX(Lines!$H$3:$H$1590,MATCH(SMALL(Lines!$G$3:$G$1590,306),Lines!$G$3:$G$1590,0))&amp;" groups",IF(AND(ISNUMBER($J311),$J311&gt;0,$J311&lt;99),INDEX(Lines!$I$3:$I$1590,MATCH(SMALL(Lines!$G$3:$G$1590,306),Lines!$G$3:$G$1590,0)),""))</f>
        <v/>
      </c>
      <c r="I311" s="26"/>
      <c r="J311" s="22" t="str">
        <f aca="false">IFERROR(IF(MOD(SMALL(Lines!$G$3:$G$1590,306),100000)=0,-1,MOD(SMALL(Lines!$G$3:$G$1590,306),100)),"")</f>
        <v/>
      </c>
      <c r="K311" s="22" t="str">
        <f aca="false">IF($J311=0,INDEX(Lines!$L$3:$L$1590,MATCH(SMALL(Lines!$G$3:$G$1590,306),Lines!$G$3:$G$1590,0)),"")</f>
        <v/>
      </c>
    </row>
    <row r="312" customFormat="false" ht="15" hidden="false" customHeight="false" outlineLevel="0" collapsed="false">
      <c r="A312" s="24" t="str">
        <f aca="false">IF(OR($J312=0,AND(ISNUMBER($J312),$J312&gt;0,$J312&lt;99)),INDEX(Lines!$A$3:$A$1590,MATCH(SMALL(Lines!$G$3:$G$1590,307),Lines!$G$3:$G$1590,0)),"")</f>
        <v/>
      </c>
      <c r="B312" s="24" t="str">
        <f aca="false">IF($J312=-1,INDEX(Lines!$J$3:$J$1590,MATCH(SMALL(Lines!$G$3:$G$1590,307),Lines!$G$3:$G$1590,0)),IF($J312=0,INDEX(Lines!$L$3:$L$1590,MATCH(SMALL(Lines!$G$3:$G$1590,307),Lines!$G$3:$G$1590,0)),IF(AND(ISNUMBER($J312),$J312&gt;0,$J312&lt;99),INDEX(Lines!$N$3:$N$1590,MATCH(SMALL(Lines!$G$3:$G$1590,307),Lines!$G$3:$G$1590,0)),"")))</f>
        <v/>
      </c>
      <c r="C312" s="25" t="str">
        <f aca="false">IF($J312=0,INDEX(Lines!$K$3:$K$1590,MATCH(SMALL(Lines!$G$3:$G$1590,307),Lines!$G$3:$G$1590,0)),IF(AND(ISNUMBER($J312),$J312&gt;0,$J312&lt;99),INDEX(Lines!$C$3:$C$1590,MATCH(SMALL(Lines!$G$3:$G$1590,307),Lines!$G$3:$G$1590,0)),""))</f>
        <v/>
      </c>
      <c r="D312" s="26" t="str">
        <f aca="false">IF(AND(ISNUMBER($J312),$J312&gt;0,$J312&lt;99),INDEX(Lines!$D$3:$D$1590,MATCH(SMALL(Lines!$G$3:$G$1590,307),Lines!$G$3:$G$1590,0)),"")</f>
        <v/>
      </c>
      <c r="E312" s="26" t="str">
        <f aca="false">IF(AND(ISNUMBER($J312),$J312&gt;0,$J312&lt;99),INDEX(Lines!$E$3:$E$1590,MATCH(SMALL(Lines!$G$3:$G$1590,307),Lines!$G$3:$G$1590,0)),"")</f>
        <v/>
      </c>
      <c r="F312" s="26" t="str">
        <f aca="false">IF(AND(ISNUMBER($J312),$J312&gt;0,$J312&lt;99),INDEX(Lines!$O$3:$O$1590,MATCH(SMALL(Lines!$G$3:$G$1590,307),Lines!$G$3:$G$1590,0)),"")</f>
        <v/>
      </c>
      <c r="G312" s="27" t="str">
        <f aca="false">IF($J312=0,INDEX(Lines!$Q$3:$Q$1590,MATCH(SMALL(Lines!$G$3:$G$1590,307),Lines!$G$3:$G$1590,0)),IF(AND(ISNUMBER($J312),$J312&gt;0,$J312&lt;99),INDEX(Lines!$P$3:$P$1590,MATCH(SMALL(Lines!$G$3:$G$1590,307),Lines!$G$3:$G$1590,0)),""))</f>
        <v/>
      </c>
      <c r="H312" s="28" t="str">
        <f aca="false">IF($J312=0,INDEX(Lines!$H$3:$H$1590,MATCH(SMALL(Lines!$G$3:$G$1590,307),Lines!$G$3:$G$1590,0))&amp;" groups",IF(AND(ISNUMBER($J312),$J312&gt;0,$J312&lt;99),INDEX(Lines!$I$3:$I$1590,MATCH(SMALL(Lines!$G$3:$G$1590,307),Lines!$G$3:$G$1590,0)),""))</f>
        <v/>
      </c>
      <c r="I312" s="26"/>
      <c r="J312" s="22" t="str">
        <f aca="false">IFERROR(IF(MOD(SMALL(Lines!$G$3:$G$1590,307),100000)=0,-1,MOD(SMALL(Lines!$G$3:$G$1590,307),100)),"")</f>
        <v/>
      </c>
      <c r="K312" s="22" t="str">
        <f aca="false">IF($J312=0,INDEX(Lines!$L$3:$L$1590,MATCH(SMALL(Lines!$G$3:$G$1590,307),Lines!$G$3:$G$1590,0)),"")</f>
        <v/>
      </c>
    </row>
    <row r="313" customFormat="false" ht="15" hidden="false" customHeight="false" outlineLevel="0" collapsed="false">
      <c r="A313" s="24" t="str">
        <f aca="false">IF(OR($J313=0,AND(ISNUMBER($J313),$J313&gt;0,$J313&lt;99)),INDEX(Lines!$A$3:$A$1590,MATCH(SMALL(Lines!$G$3:$G$1590,308),Lines!$G$3:$G$1590,0)),"")</f>
        <v/>
      </c>
      <c r="B313" s="24" t="str">
        <f aca="false">IF($J313=-1,INDEX(Lines!$J$3:$J$1590,MATCH(SMALL(Lines!$G$3:$G$1590,308),Lines!$G$3:$G$1590,0)),IF($J313=0,INDEX(Lines!$L$3:$L$1590,MATCH(SMALL(Lines!$G$3:$G$1590,308),Lines!$G$3:$G$1590,0)),IF(AND(ISNUMBER($J313),$J313&gt;0,$J313&lt;99),INDEX(Lines!$N$3:$N$1590,MATCH(SMALL(Lines!$G$3:$G$1590,308),Lines!$G$3:$G$1590,0)),"")))</f>
        <v/>
      </c>
      <c r="C313" s="25" t="str">
        <f aca="false">IF($J313=0,INDEX(Lines!$K$3:$K$1590,MATCH(SMALL(Lines!$G$3:$G$1590,308),Lines!$G$3:$G$1590,0)),IF(AND(ISNUMBER($J313),$J313&gt;0,$J313&lt;99),INDEX(Lines!$C$3:$C$1590,MATCH(SMALL(Lines!$G$3:$G$1590,308),Lines!$G$3:$G$1590,0)),""))</f>
        <v/>
      </c>
      <c r="D313" s="26" t="str">
        <f aca="false">IF(AND(ISNUMBER($J313),$J313&gt;0,$J313&lt;99),INDEX(Lines!$D$3:$D$1590,MATCH(SMALL(Lines!$G$3:$G$1590,308),Lines!$G$3:$G$1590,0)),"")</f>
        <v/>
      </c>
      <c r="E313" s="26" t="str">
        <f aca="false">IF(AND(ISNUMBER($J313),$J313&gt;0,$J313&lt;99),INDEX(Lines!$E$3:$E$1590,MATCH(SMALL(Lines!$G$3:$G$1590,308),Lines!$G$3:$G$1590,0)),"")</f>
        <v/>
      </c>
      <c r="F313" s="26" t="str">
        <f aca="false">IF(AND(ISNUMBER($J313),$J313&gt;0,$J313&lt;99),INDEX(Lines!$O$3:$O$1590,MATCH(SMALL(Lines!$G$3:$G$1590,308),Lines!$G$3:$G$1590,0)),"")</f>
        <v/>
      </c>
      <c r="G313" s="27" t="str">
        <f aca="false">IF($J313=0,INDEX(Lines!$Q$3:$Q$1590,MATCH(SMALL(Lines!$G$3:$G$1590,308),Lines!$G$3:$G$1590,0)),IF(AND(ISNUMBER($J313),$J313&gt;0,$J313&lt;99),INDEX(Lines!$P$3:$P$1590,MATCH(SMALL(Lines!$G$3:$G$1590,308),Lines!$G$3:$G$1590,0)),""))</f>
        <v/>
      </c>
      <c r="H313" s="28" t="str">
        <f aca="false">IF($J313=0,INDEX(Lines!$H$3:$H$1590,MATCH(SMALL(Lines!$G$3:$G$1590,308),Lines!$G$3:$G$1590,0))&amp;" groups",IF(AND(ISNUMBER($J313),$J313&gt;0,$J313&lt;99),INDEX(Lines!$I$3:$I$1590,MATCH(SMALL(Lines!$G$3:$G$1590,308),Lines!$G$3:$G$1590,0)),""))</f>
        <v/>
      </c>
      <c r="I313" s="26"/>
      <c r="J313" s="22" t="str">
        <f aca="false">IFERROR(IF(MOD(SMALL(Lines!$G$3:$G$1590,308),100000)=0,-1,MOD(SMALL(Lines!$G$3:$G$1590,308),100)),"")</f>
        <v/>
      </c>
      <c r="K313" s="22" t="str">
        <f aca="false">IF($J313=0,INDEX(Lines!$L$3:$L$1590,MATCH(SMALL(Lines!$G$3:$G$1590,308),Lines!$G$3:$G$1590,0)),"")</f>
        <v/>
      </c>
    </row>
    <row r="314" customFormat="false" ht="15" hidden="false" customHeight="false" outlineLevel="0" collapsed="false">
      <c r="A314" s="24" t="str">
        <f aca="false">IF(OR($J314=0,AND(ISNUMBER($J314),$J314&gt;0,$J314&lt;99)),INDEX(Lines!$A$3:$A$1590,MATCH(SMALL(Lines!$G$3:$G$1590,309),Lines!$G$3:$G$1590,0)),"")</f>
        <v/>
      </c>
      <c r="B314" s="24" t="str">
        <f aca="false">IF($J314=-1,INDEX(Lines!$J$3:$J$1590,MATCH(SMALL(Lines!$G$3:$G$1590,309),Lines!$G$3:$G$1590,0)),IF($J314=0,INDEX(Lines!$L$3:$L$1590,MATCH(SMALL(Lines!$G$3:$G$1590,309),Lines!$G$3:$G$1590,0)),IF(AND(ISNUMBER($J314),$J314&gt;0,$J314&lt;99),INDEX(Lines!$N$3:$N$1590,MATCH(SMALL(Lines!$G$3:$G$1590,309),Lines!$G$3:$G$1590,0)),"")))</f>
        <v/>
      </c>
      <c r="C314" s="25" t="str">
        <f aca="false">IF($J314=0,INDEX(Lines!$K$3:$K$1590,MATCH(SMALL(Lines!$G$3:$G$1590,309),Lines!$G$3:$G$1590,0)),IF(AND(ISNUMBER($J314),$J314&gt;0,$J314&lt;99),INDEX(Lines!$C$3:$C$1590,MATCH(SMALL(Lines!$G$3:$G$1590,309),Lines!$G$3:$G$1590,0)),""))</f>
        <v/>
      </c>
      <c r="D314" s="26" t="str">
        <f aca="false">IF(AND(ISNUMBER($J314),$J314&gt;0,$J314&lt;99),INDEX(Lines!$D$3:$D$1590,MATCH(SMALL(Lines!$G$3:$G$1590,309),Lines!$G$3:$G$1590,0)),"")</f>
        <v/>
      </c>
      <c r="E314" s="26" t="str">
        <f aca="false">IF(AND(ISNUMBER($J314),$J314&gt;0,$J314&lt;99),INDEX(Lines!$E$3:$E$1590,MATCH(SMALL(Lines!$G$3:$G$1590,309),Lines!$G$3:$G$1590,0)),"")</f>
        <v/>
      </c>
      <c r="F314" s="26" t="str">
        <f aca="false">IF(AND(ISNUMBER($J314),$J314&gt;0,$J314&lt;99),INDEX(Lines!$O$3:$O$1590,MATCH(SMALL(Lines!$G$3:$G$1590,309),Lines!$G$3:$G$1590,0)),"")</f>
        <v/>
      </c>
      <c r="G314" s="27" t="str">
        <f aca="false">IF($J314=0,INDEX(Lines!$Q$3:$Q$1590,MATCH(SMALL(Lines!$G$3:$G$1590,309),Lines!$G$3:$G$1590,0)),IF(AND(ISNUMBER($J314),$J314&gt;0,$J314&lt;99),INDEX(Lines!$P$3:$P$1590,MATCH(SMALL(Lines!$G$3:$G$1590,309),Lines!$G$3:$G$1590,0)),""))</f>
        <v/>
      </c>
      <c r="H314" s="28" t="str">
        <f aca="false">IF($J314=0,INDEX(Lines!$H$3:$H$1590,MATCH(SMALL(Lines!$G$3:$G$1590,309),Lines!$G$3:$G$1590,0))&amp;" groups",IF(AND(ISNUMBER($J314),$J314&gt;0,$J314&lt;99),INDEX(Lines!$I$3:$I$1590,MATCH(SMALL(Lines!$G$3:$G$1590,309),Lines!$G$3:$G$1590,0)),""))</f>
        <v/>
      </c>
      <c r="I314" s="26"/>
      <c r="J314" s="22" t="str">
        <f aca="false">IFERROR(IF(MOD(SMALL(Lines!$G$3:$G$1590,309),100000)=0,-1,MOD(SMALL(Lines!$G$3:$G$1590,309),100)),"")</f>
        <v/>
      </c>
      <c r="K314" s="22" t="str">
        <f aca="false">IF($J314=0,INDEX(Lines!$L$3:$L$1590,MATCH(SMALL(Lines!$G$3:$G$1590,309),Lines!$G$3:$G$1590,0)),"")</f>
        <v/>
      </c>
    </row>
    <row r="315" customFormat="false" ht="15" hidden="false" customHeight="false" outlineLevel="0" collapsed="false">
      <c r="A315" s="24" t="str">
        <f aca="false">IF(OR($J315=0,AND(ISNUMBER($J315),$J315&gt;0,$J315&lt;99)),INDEX(Lines!$A$3:$A$1590,MATCH(SMALL(Lines!$G$3:$G$1590,310),Lines!$G$3:$G$1590,0)),"")</f>
        <v/>
      </c>
      <c r="B315" s="24" t="str">
        <f aca="false">IF($J315=-1,INDEX(Lines!$J$3:$J$1590,MATCH(SMALL(Lines!$G$3:$G$1590,310),Lines!$G$3:$G$1590,0)),IF($J315=0,INDEX(Lines!$L$3:$L$1590,MATCH(SMALL(Lines!$G$3:$G$1590,310),Lines!$G$3:$G$1590,0)),IF(AND(ISNUMBER($J315),$J315&gt;0,$J315&lt;99),INDEX(Lines!$N$3:$N$1590,MATCH(SMALL(Lines!$G$3:$G$1590,310),Lines!$G$3:$G$1590,0)),"")))</f>
        <v/>
      </c>
      <c r="C315" s="25" t="str">
        <f aca="false">IF($J315=0,INDEX(Lines!$K$3:$K$1590,MATCH(SMALL(Lines!$G$3:$G$1590,310),Lines!$G$3:$G$1590,0)),IF(AND(ISNUMBER($J315),$J315&gt;0,$J315&lt;99),INDEX(Lines!$C$3:$C$1590,MATCH(SMALL(Lines!$G$3:$G$1590,310),Lines!$G$3:$G$1590,0)),""))</f>
        <v/>
      </c>
      <c r="D315" s="26" t="str">
        <f aca="false">IF(AND(ISNUMBER($J315),$J315&gt;0,$J315&lt;99),INDEX(Lines!$D$3:$D$1590,MATCH(SMALL(Lines!$G$3:$G$1590,310),Lines!$G$3:$G$1590,0)),"")</f>
        <v/>
      </c>
      <c r="E315" s="26" t="str">
        <f aca="false">IF(AND(ISNUMBER($J315),$J315&gt;0,$J315&lt;99),INDEX(Lines!$E$3:$E$1590,MATCH(SMALL(Lines!$G$3:$G$1590,310),Lines!$G$3:$G$1590,0)),"")</f>
        <v/>
      </c>
      <c r="F315" s="26" t="str">
        <f aca="false">IF(AND(ISNUMBER($J315),$J315&gt;0,$J315&lt;99),INDEX(Lines!$O$3:$O$1590,MATCH(SMALL(Lines!$G$3:$G$1590,310),Lines!$G$3:$G$1590,0)),"")</f>
        <v/>
      </c>
      <c r="G315" s="27" t="str">
        <f aca="false">IF($J315=0,INDEX(Lines!$Q$3:$Q$1590,MATCH(SMALL(Lines!$G$3:$G$1590,310),Lines!$G$3:$G$1590,0)),IF(AND(ISNUMBER($J315),$J315&gt;0,$J315&lt;99),INDEX(Lines!$P$3:$P$1590,MATCH(SMALL(Lines!$G$3:$G$1590,310),Lines!$G$3:$G$1590,0)),""))</f>
        <v/>
      </c>
      <c r="H315" s="28" t="str">
        <f aca="false">IF($J315=0,INDEX(Lines!$H$3:$H$1590,MATCH(SMALL(Lines!$G$3:$G$1590,310),Lines!$G$3:$G$1590,0))&amp;" groups",IF(AND(ISNUMBER($J315),$J315&gt;0,$J315&lt;99),INDEX(Lines!$I$3:$I$1590,MATCH(SMALL(Lines!$G$3:$G$1590,310),Lines!$G$3:$G$1590,0)),""))</f>
        <v/>
      </c>
      <c r="I315" s="26"/>
      <c r="J315" s="22" t="str">
        <f aca="false">IFERROR(IF(MOD(SMALL(Lines!$G$3:$G$1590,310),100000)=0,-1,MOD(SMALL(Lines!$G$3:$G$1590,310),100)),"")</f>
        <v/>
      </c>
      <c r="K315" s="22" t="str">
        <f aca="false">IF($J315=0,INDEX(Lines!$L$3:$L$1590,MATCH(SMALL(Lines!$G$3:$G$1590,310),Lines!$G$3:$G$1590,0)),"")</f>
        <v/>
      </c>
    </row>
    <row r="316" customFormat="false" ht="15" hidden="false" customHeight="false" outlineLevel="0" collapsed="false">
      <c r="A316" s="24" t="str">
        <f aca="false">IF(OR($J316=0,AND(ISNUMBER($J316),$J316&gt;0,$J316&lt;99)),INDEX(Lines!$A$3:$A$1590,MATCH(SMALL(Lines!$G$3:$G$1590,311),Lines!$G$3:$G$1590,0)),"")</f>
        <v/>
      </c>
      <c r="B316" s="24" t="str">
        <f aca="false">IF($J316=-1,INDEX(Lines!$J$3:$J$1590,MATCH(SMALL(Lines!$G$3:$G$1590,311),Lines!$G$3:$G$1590,0)),IF($J316=0,INDEX(Lines!$L$3:$L$1590,MATCH(SMALL(Lines!$G$3:$G$1590,311),Lines!$G$3:$G$1590,0)),IF(AND(ISNUMBER($J316),$J316&gt;0,$J316&lt;99),INDEX(Lines!$N$3:$N$1590,MATCH(SMALL(Lines!$G$3:$G$1590,311),Lines!$G$3:$G$1590,0)),"")))</f>
        <v/>
      </c>
      <c r="C316" s="25" t="str">
        <f aca="false">IF($J316=0,INDEX(Lines!$K$3:$K$1590,MATCH(SMALL(Lines!$G$3:$G$1590,311),Lines!$G$3:$G$1590,0)),IF(AND(ISNUMBER($J316),$J316&gt;0,$J316&lt;99),INDEX(Lines!$C$3:$C$1590,MATCH(SMALL(Lines!$G$3:$G$1590,311),Lines!$G$3:$G$1590,0)),""))</f>
        <v/>
      </c>
      <c r="D316" s="26" t="str">
        <f aca="false">IF(AND(ISNUMBER($J316),$J316&gt;0,$J316&lt;99),INDEX(Lines!$D$3:$D$1590,MATCH(SMALL(Lines!$G$3:$G$1590,311),Lines!$G$3:$G$1590,0)),"")</f>
        <v/>
      </c>
      <c r="E316" s="26" t="str">
        <f aca="false">IF(AND(ISNUMBER($J316),$J316&gt;0,$J316&lt;99),INDEX(Lines!$E$3:$E$1590,MATCH(SMALL(Lines!$G$3:$G$1590,311),Lines!$G$3:$G$1590,0)),"")</f>
        <v/>
      </c>
      <c r="F316" s="26" t="str">
        <f aca="false">IF(AND(ISNUMBER($J316),$J316&gt;0,$J316&lt;99),INDEX(Lines!$O$3:$O$1590,MATCH(SMALL(Lines!$G$3:$G$1590,311),Lines!$G$3:$G$1590,0)),"")</f>
        <v/>
      </c>
      <c r="G316" s="27" t="str">
        <f aca="false">IF($J316=0,INDEX(Lines!$Q$3:$Q$1590,MATCH(SMALL(Lines!$G$3:$G$1590,311),Lines!$G$3:$G$1590,0)),IF(AND(ISNUMBER($J316),$J316&gt;0,$J316&lt;99),INDEX(Lines!$P$3:$P$1590,MATCH(SMALL(Lines!$G$3:$G$1590,311),Lines!$G$3:$G$1590,0)),""))</f>
        <v/>
      </c>
      <c r="H316" s="28" t="str">
        <f aca="false">IF($J316=0,INDEX(Lines!$H$3:$H$1590,MATCH(SMALL(Lines!$G$3:$G$1590,311),Lines!$G$3:$G$1590,0))&amp;" groups",IF(AND(ISNUMBER($J316),$J316&gt;0,$J316&lt;99),INDEX(Lines!$I$3:$I$1590,MATCH(SMALL(Lines!$G$3:$G$1590,311),Lines!$G$3:$G$1590,0)),""))</f>
        <v/>
      </c>
      <c r="I316" s="26"/>
      <c r="J316" s="22" t="str">
        <f aca="false">IFERROR(IF(MOD(SMALL(Lines!$G$3:$G$1590,311),100000)=0,-1,MOD(SMALL(Lines!$G$3:$G$1590,311),100)),"")</f>
        <v/>
      </c>
      <c r="K316" s="22" t="str">
        <f aca="false">IF($J316=0,INDEX(Lines!$L$3:$L$1590,MATCH(SMALL(Lines!$G$3:$G$1590,311),Lines!$G$3:$G$1590,0)),"")</f>
        <v/>
      </c>
    </row>
    <row r="317" customFormat="false" ht="15" hidden="false" customHeight="false" outlineLevel="0" collapsed="false">
      <c r="A317" s="24" t="str">
        <f aca="false">IF(OR($J317=0,AND(ISNUMBER($J317),$J317&gt;0,$J317&lt;99)),INDEX(Lines!$A$3:$A$1590,MATCH(SMALL(Lines!$G$3:$G$1590,312),Lines!$G$3:$G$1590,0)),"")</f>
        <v/>
      </c>
      <c r="B317" s="24" t="str">
        <f aca="false">IF($J317=-1,INDEX(Lines!$J$3:$J$1590,MATCH(SMALL(Lines!$G$3:$G$1590,312),Lines!$G$3:$G$1590,0)),IF($J317=0,INDEX(Lines!$L$3:$L$1590,MATCH(SMALL(Lines!$G$3:$G$1590,312),Lines!$G$3:$G$1590,0)),IF(AND(ISNUMBER($J317),$J317&gt;0,$J317&lt;99),INDEX(Lines!$N$3:$N$1590,MATCH(SMALL(Lines!$G$3:$G$1590,312),Lines!$G$3:$G$1590,0)),"")))</f>
        <v/>
      </c>
      <c r="C317" s="25" t="str">
        <f aca="false">IF($J317=0,INDEX(Lines!$K$3:$K$1590,MATCH(SMALL(Lines!$G$3:$G$1590,312),Lines!$G$3:$G$1590,0)),IF(AND(ISNUMBER($J317),$J317&gt;0,$J317&lt;99),INDEX(Lines!$C$3:$C$1590,MATCH(SMALL(Lines!$G$3:$G$1590,312),Lines!$G$3:$G$1590,0)),""))</f>
        <v/>
      </c>
      <c r="D317" s="26" t="str">
        <f aca="false">IF(AND(ISNUMBER($J317),$J317&gt;0,$J317&lt;99),INDEX(Lines!$D$3:$D$1590,MATCH(SMALL(Lines!$G$3:$G$1590,312),Lines!$G$3:$G$1590,0)),"")</f>
        <v/>
      </c>
      <c r="E317" s="26" t="str">
        <f aca="false">IF(AND(ISNUMBER($J317),$J317&gt;0,$J317&lt;99),INDEX(Lines!$E$3:$E$1590,MATCH(SMALL(Lines!$G$3:$G$1590,312),Lines!$G$3:$G$1590,0)),"")</f>
        <v/>
      </c>
      <c r="F317" s="26" t="str">
        <f aca="false">IF(AND(ISNUMBER($J317),$J317&gt;0,$J317&lt;99),INDEX(Lines!$O$3:$O$1590,MATCH(SMALL(Lines!$G$3:$G$1590,312),Lines!$G$3:$G$1590,0)),"")</f>
        <v/>
      </c>
      <c r="G317" s="27" t="str">
        <f aca="false">IF($J317=0,INDEX(Lines!$Q$3:$Q$1590,MATCH(SMALL(Lines!$G$3:$G$1590,312),Lines!$G$3:$G$1590,0)),IF(AND(ISNUMBER($J317),$J317&gt;0,$J317&lt;99),INDEX(Lines!$P$3:$P$1590,MATCH(SMALL(Lines!$G$3:$G$1590,312),Lines!$G$3:$G$1590,0)),""))</f>
        <v/>
      </c>
      <c r="H317" s="28" t="str">
        <f aca="false">IF($J317=0,INDEX(Lines!$H$3:$H$1590,MATCH(SMALL(Lines!$G$3:$G$1590,312),Lines!$G$3:$G$1590,0))&amp;" groups",IF(AND(ISNUMBER($J317),$J317&gt;0,$J317&lt;99),INDEX(Lines!$I$3:$I$1590,MATCH(SMALL(Lines!$G$3:$G$1590,312),Lines!$G$3:$G$1590,0)),""))</f>
        <v/>
      </c>
      <c r="I317" s="26"/>
      <c r="J317" s="22" t="str">
        <f aca="false">IFERROR(IF(MOD(SMALL(Lines!$G$3:$G$1590,312),100000)=0,-1,MOD(SMALL(Lines!$G$3:$G$1590,312),100)),"")</f>
        <v/>
      </c>
      <c r="K317" s="22" t="str">
        <f aca="false">IF($J317=0,INDEX(Lines!$L$3:$L$1590,MATCH(SMALL(Lines!$G$3:$G$1590,312),Lines!$G$3:$G$1590,0)),"")</f>
        <v/>
      </c>
    </row>
    <row r="318" customFormat="false" ht="15" hidden="false" customHeight="false" outlineLevel="0" collapsed="false">
      <c r="A318" s="24" t="str">
        <f aca="false">IF(OR($J318=0,AND(ISNUMBER($J318),$J318&gt;0,$J318&lt;99)),INDEX(Lines!$A$3:$A$1590,MATCH(SMALL(Lines!$G$3:$G$1590,313),Lines!$G$3:$G$1590,0)),"")</f>
        <v/>
      </c>
      <c r="B318" s="24" t="str">
        <f aca="false">IF($J318=-1,INDEX(Lines!$J$3:$J$1590,MATCH(SMALL(Lines!$G$3:$G$1590,313),Lines!$G$3:$G$1590,0)),IF($J318=0,INDEX(Lines!$L$3:$L$1590,MATCH(SMALL(Lines!$G$3:$G$1590,313),Lines!$G$3:$G$1590,0)),IF(AND(ISNUMBER($J318),$J318&gt;0,$J318&lt;99),INDEX(Lines!$N$3:$N$1590,MATCH(SMALL(Lines!$G$3:$G$1590,313),Lines!$G$3:$G$1590,0)),"")))</f>
        <v/>
      </c>
      <c r="C318" s="25" t="str">
        <f aca="false">IF($J318=0,INDEX(Lines!$K$3:$K$1590,MATCH(SMALL(Lines!$G$3:$G$1590,313),Lines!$G$3:$G$1590,0)),IF(AND(ISNUMBER($J318),$J318&gt;0,$J318&lt;99),INDEX(Lines!$C$3:$C$1590,MATCH(SMALL(Lines!$G$3:$G$1590,313),Lines!$G$3:$G$1590,0)),""))</f>
        <v/>
      </c>
      <c r="D318" s="26" t="str">
        <f aca="false">IF(AND(ISNUMBER($J318),$J318&gt;0,$J318&lt;99),INDEX(Lines!$D$3:$D$1590,MATCH(SMALL(Lines!$G$3:$G$1590,313),Lines!$G$3:$G$1590,0)),"")</f>
        <v/>
      </c>
      <c r="E318" s="26" t="str">
        <f aca="false">IF(AND(ISNUMBER($J318),$J318&gt;0,$J318&lt;99),INDEX(Lines!$E$3:$E$1590,MATCH(SMALL(Lines!$G$3:$G$1590,313),Lines!$G$3:$G$1590,0)),"")</f>
        <v/>
      </c>
      <c r="F318" s="26" t="str">
        <f aca="false">IF(AND(ISNUMBER($J318),$J318&gt;0,$J318&lt;99),INDEX(Lines!$O$3:$O$1590,MATCH(SMALL(Lines!$G$3:$G$1590,313),Lines!$G$3:$G$1590,0)),"")</f>
        <v/>
      </c>
      <c r="G318" s="27" t="str">
        <f aca="false">IF($J318=0,INDEX(Lines!$Q$3:$Q$1590,MATCH(SMALL(Lines!$G$3:$G$1590,313),Lines!$G$3:$G$1590,0)),IF(AND(ISNUMBER($J318),$J318&gt;0,$J318&lt;99),INDEX(Lines!$P$3:$P$1590,MATCH(SMALL(Lines!$G$3:$G$1590,313),Lines!$G$3:$G$1590,0)),""))</f>
        <v/>
      </c>
      <c r="H318" s="28" t="str">
        <f aca="false">IF($J318=0,INDEX(Lines!$H$3:$H$1590,MATCH(SMALL(Lines!$G$3:$G$1590,313),Lines!$G$3:$G$1590,0))&amp;" groups",IF(AND(ISNUMBER($J318),$J318&gt;0,$J318&lt;99),INDEX(Lines!$I$3:$I$1590,MATCH(SMALL(Lines!$G$3:$G$1590,313),Lines!$G$3:$G$1590,0)),""))</f>
        <v/>
      </c>
      <c r="I318" s="26"/>
      <c r="J318" s="22" t="str">
        <f aca="false">IFERROR(IF(MOD(SMALL(Lines!$G$3:$G$1590,313),100000)=0,-1,MOD(SMALL(Lines!$G$3:$G$1590,313),100)),"")</f>
        <v/>
      </c>
      <c r="K318" s="22" t="str">
        <f aca="false">IF($J318=0,INDEX(Lines!$L$3:$L$1590,MATCH(SMALL(Lines!$G$3:$G$1590,313),Lines!$G$3:$G$1590,0)),"")</f>
        <v/>
      </c>
    </row>
    <row r="319" customFormat="false" ht="15" hidden="false" customHeight="false" outlineLevel="0" collapsed="false">
      <c r="A319" s="24" t="str">
        <f aca="false">IF(OR($J319=0,AND(ISNUMBER($J319),$J319&gt;0,$J319&lt;99)),INDEX(Lines!$A$3:$A$1590,MATCH(SMALL(Lines!$G$3:$G$1590,314),Lines!$G$3:$G$1590,0)),"")</f>
        <v/>
      </c>
      <c r="B319" s="24" t="str">
        <f aca="false">IF($J319=-1,INDEX(Lines!$J$3:$J$1590,MATCH(SMALL(Lines!$G$3:$G$1590,314),Lines!$G$3:$G$1590,0)),IF($J319=0,INDEX(Lines!$L$3:$L$1590,MATCH(SMALL(Lines!$G$3:$G$1590,314),Lines!$G$3:$G$1590,0)),IF(AND(ISNUMBER($J319),$J319&gt;0,$J319&lt;99),INDEX(Lines!$N$3:$N$1590,MATCH(SMALL(Lines!$G$3:$G$1590,314),Lines!$G$3:$G$1590,0)),"")))</f>
        <v/>
      </c>
      <c r="C319" s="25" t="str">
        <f aca="false">IF($J319=0,INDEX(Lines!$K$3:$K$1590,MATCH(SMALL(Lines!$G$3:$G$1590,314),Lines!$G$3:$G$1590,0)),IF(AND(ISNUMBER($J319),$J319&gt;0,$J319&lt;99),INDEX(Lines!$C$3:$C$1590,MATCH(SMALL(Lines!$G$3:$G$1590,314),Lines!$G$3:$G$1590,0)),""))</f>
        <v/>
      </c>
      <c r="D319" s="26" t="str">
        <f aca="false">IF(AND(ISNUMBER($J319),$J319&gt;0,$J319&lt;99),INDEX(Lines!$D$3:$D$1590,MATCH(SMALL(Lines!$G$3:$G$1590,314),Lines!$G$3:$G$1590,0)),"")</f>
        <v/>
      </c>
      <c r="E319" s="26" t="str">
        <f aca="false">IF(AND(ISNUMBER($J319),$J319&gt;0,$J319&lt;99),INDEX(Lines!$E$3:$E$1590,MATCH(SMALL(Lines!$G$3:$G$1590,314),Lines!$G$3:$G$1590,0)),"")</f>
        <v/>
      </c>
      <c r="F319" s="26" t="str">
        <f aca="false">IF(AND(ISNUMBER($J319),$J319&gt;0,$J319&lt;99),INDEX(Lines!$O$3:$O$1590,MATCH(SMALL(Lines!$G$3:$G$1590,314),Lines!$G$3:$G$1590,0)),"")</f>
        <v/>
      </c>
      <c r="G319" s="27" t="str">
        <f aca="false">IF($J319=0,INDEX(Lines!$Q$3:$Q$1590,MATCH(SMALL(Lines!$G$3:$G$1590,314),Lines!$G$3:$G$1590,0)),IF(AND(ISNUMBER($J319),$J319&gt;0,$J319&lt;99),INDEX(Lines!$P$3:$P$1590,MATCH(SMALL(Lines!$G$3:$G$1590,314),Lines!$G$3:$G$1590,0)),""))</f>
        <v/>
      </c>
      <c r="H319" s="28" t="str">
        <f aca="false">IF($J319=0,INDEX(Lines!$H$3:$H$1590,MATCH(SMALL(Lines!$G$3:$G$1590,314),Lines!$G$3:$G$1590,0))&amp;" groups",IF(AND(ISNUMBER($J319),$J319&gt;0,$J319&lt;99),INDEX(Lines!$I$3:$I$1590,MATCH(SMALL(Lines!$G$3:$G$1590,314),Lines!$G$3:$G$1590,0)),""))</f>
        <v/>
      </c>
      <c r="I319" s="26"/>
      <c r="J319" s="22" t="str">
        <f aca="false">IFERROR(IF(MOD(SMALL(Lines!$G$3:$G$1590,314),100000)=0,-1,MOD(SMALL(Lines!$G$3:$G$1590,314),100)),"")</f>
        <v/>
      </c>
      <c r="K319" s="22" t="str">
        <f aca="false">IF($J319=0,INDEX(Lines!$L$3:$L$1590,MATCH(SMALL(Lines!$G$3:$G$1590,314),Lines!$G$3:$G$1590,0)),"")</f>
        <v/>
      </c>
    </row>
    <row r="320" customFormat="false" ht="15" hidden="false" customHeight="false" outlineLevel="0" collapsed="false">
      <c r="A320" s="24" t="str">
        <f aca="false">IF(OR($J320=0,AND(ISNUMBER($J320),$J320&gt;0,$J320&lt;99)),INDEX(Lines!$A$3:$A$1590,MATCH(SMALL(Lines!$G$3:$G$1590,315),Lines!$G$3:$G$1590,0)),"")</f>
        <v/>
      </c>
      <c r="B320" s="24" t="str">
        <f aca="false">IF($J320=-1,INDEX(Lines!$J$3:$J$1590,MATCH(SMALL(Lines!$G$3:$G$1590,315),Lines!$G$3:$G$1590,0)),IF($J320=0,INDEX(Lines!$L$3:$L$1590,MATCH(SMALL(Lines!$G$3:$G$1590,315),Lines!$G$3:$G$1590,0)),IF(AND(ISNUMBER($J320),$J320&gt;0,$J320&lt;99),INDEX(Lines!$N$3:$N$1590,MATCH(SMALL(Lines!$G$3:$G$1590,315),Lines!$G$3:$G$1590,0)),"")))</f>
        <v/>
      </c>
      <c r="C320" s="25" t="str">
        <f aca="false">IF($J320=0,INDEX(Lines!$K$3:$K$1590,MATCH(SMALL(Lines!$G$3:$G$1590,315),Lines!$G$3:$G$1590,0)),IF(AND(ISNUMBER($J320),$J320&gt;0,$J320&lt;99),INDEX(Lines!$C$3:$C$1590,MATCH(SMALL(Lines!$G$3:$G$1590,315),Lines!$G$3:$G$1590,0)),""))</f>
        <v/>
      </c>
      <c r="D320" s="26" t="str">
        <f aca="false">IF(AND(ISNUMBER($J320),$J320&gt;0,$J320&lt;99),INDEX(Lines!$D$3:$D$1590,MATCH(SMALL(Lines!$G$3:$G$1590,315),Lines!$G$3:$G$1590,0)),"")</f>
        <v/>
      </c>
      <c r="E320" s="26" t="str">
        <f aca="false">IF(AND(ISNUMBER($J320),$J320&gt;0,$J320&lt;99),INDEX(Lines!$E$3:$E$1590,MATCH(SMALL(Lines!$G$3:$G$1590,315),Lines!$G$3:$G$1590,0)),"")</f>
        <v/>
      </c>
      <c r="F320" s="26" t="str">
        <f aca="false">IF(AND(ISNUMBER($J320),$J320&gt;0,$J320&lt;99),INDEX(Lines!$O$3:$O$1590,MATCH(SMALL(Lines!$G$3:$G$1590,315),Lines!$G$3:$G$1590,0)),"")</f>
        <v/>
      </c>
      <c r="G320" s="27" t="str">
        <f aca="false">IF($J320=0,INDEX(Lines!$Q$3:$Q$1590,MATCH(SMALL(Lines!$G$3:$G$1590,315),Lines!$G$3:$G$1590,0)),IF(AND(ISNUMBER($J320),$J320&gt;0,$J320&lt;99),INDEX(Lines!$P$3:$P$1590,MATCH(SMALL(Lines!$G$3:$G$1590,315),Lines!$G$3:$G$1590,0)),""))</f>
        <v/>
      </c>
      <c r="H320" s="28" t="str">
        <f aca="false">IF($J320=0,INDEX(Lines!$H$3:$H$1590,MATCH(SMALL(Lines!$G$3:$G$1590,315),Lines!$G$3:$G$1590,0))&amp;" groups",IF(AND(ISNUMBER($J320),$J320&gt;0,$J320&lt;99),INDEX(Lines!$I$3:$I$1590,MATCH(SMALL(Lines!$G$3:$G$1590,315),Lines!$G$3:$G$1590,0)),""))</f>
        <v/>
      </c>
      <c r="I320" s="26"/>
      <c r="J320" s="22" t="str">
        <f aca="false">IFERROR(IF(MOD(SMALL(Lines!$G$3:$G$1590,315),100000)=0,-1,MOD(SMALL(Lines!$G$3:$G$1590,315),100)),"")</f>
        <v/>
      </c>
      <c r="K320" s="22" t="str">
        <f aca="false">IF($J320=0,INDEX(Lines!$L$3:$L$1590,MATCH(SMALL(Lines!$G$3:$G$1590,315),Lines!$G$3:$G$1590,0)),"")</f>
        <v/>
      </c>
    </row>
    <row r="321" customFormat="false" ht="15" hidden="false" customHeight="false" outlineLevel="0" collapsed="false">
      <c r="A321" s="24" t="str">
        <f aca="false">IF(OR($J321=0,AND(ISNUMBER($J321),$J321&gt;0,$J321&lt;99)),INDEX(Lines!$A$3:$A$1590,MATCH(SMALL(Lines!$G$3:$G$1590,316),Lines!$G$3:$G$1590,0)),"")</f>
        <v/>
      </c>
      <c r="B321" s="24" t="str">
        <f aca="false">IF($J321=-1,INDEX(Lines!$J$3:$J$1590,MATCH(SMALL(Lines!$G$3:$G$1590,316),Lines!$G$3:$G$1590,0)),IF($J321=0,INDEX(Lines!$L$3:$L$1590,MATCH(SMALL(Lines!$G$3:$G$1590,316),Lines!$G$3:$G$1590,0)),IF(AND(ISNUMBER($J321),$J321&gt;0,$J321&lt;99),INDEX(Lines!$N$3:$N$1590,MATCH(SMALL(Lines!$G$3:$G$1590,316),Lines!$G$3:$G$1590,0)),"")))</f>
        <v/>
      </c>
      <c r="C321" s="25" t="str">
        <f aca="false">IF($J321=0,INDEX(Lines!$K$3:$K$1590,MATCH(SMALL(Lines!$G$3:$G$1590,316),Lines!$G$3:$G$1590,0)),IF(AND(ISNUMBER($J321),$J321&gt;0,$J321&lt;99),INDEX(Lines!$C$3:$C$1590,MATCH(SMALL(Lines!$G$3:$G$1590,316),Lines!$G$3:$G$1590,0)),""))</f>
        <v/>
      </c>
      <c r="D321" s="26" t="str">
        <f aca="false">IF(AND(ISNUMBER($J321),$J321&gt;0,$J321&lt;99),INDEX(Lines!$D$3:$D$1590,MATCH(SMALL(Lines!$G$3:$G$1590,316),Lines!$G$3:$G$1590,0)),"")</f>
        <v/>
      </c>
      <c r="E321" s="26" t="str">
        <f aca="false">IF(AND(ISNUMBER($J321),$J321&gt;0,$J321&lt;99),INDEX(Lines!$E$3:$E$1590,MATCH(SMALL(Lines!$G$3:$G$1590,316),Lines!$G$3:$G$1590,0)),"")</f>
        <v/>
      </c>
      <c r="F321" s="26" t="str">
        <f aca="false">IF(AND(ISNUMBER($J321),$J321&gt;0,$J321&lt;99),INDEX(Lines!$O$3:$O$1590,MATCH(SMALL(Lines!$G$3:$G$1590,316),Lines!$G$3:$G$1590,0)),"")</f>
        <v/>
      </c>
      <c r="G321" s="27" t="str">
        <f aca="false">IF($J321=0,INDEX(Lines!$Q$3:$Q$1590,MATCH(SMALL(Lines!$G$3:$G$1590,316),Lines!$G$3:$G$1590,0)),IF(AND(ISNUMBER($J321),$J321&gt;0,$J321&lt;99),INDEX(Lines!$P$3:$P$1590,MATCH(SMALL(Lines!$G$3:$G$1590,316),Lines!$G$3:$G$1590,0)),""))</f>
        <v/>
      </c>
      <c r="H321" s="28" t="str">
        <f aca="false">IF($J321=0,INDEX(Lines!$H$3:$H$1590,MATCH(SMALL(Lines!$G$3:$G$1590,316),Lines!$G$3:$G$1590,0))&amp;" groups",IF(AND(ISNUMBER($J321),$J321&gt;0,$J321&lt;99),INDEX(Lines!$I$3:$I$1590,MATCH(SMALL(Lines!$G$3:$G$1590,316),Lines!$G$3:$G$1590,0)),""))</f>
        <v/>
      </c>
      <c r="I321" s="26"/>
      <c r="J321" s="22" t="str">
        <f aca="false">IFERROR(IF(MOD(SMALL(Lines!$G$3:$G$1590,316),100000)=0,-1,MOD(SMALL(Lines!$G$3:$G$1590,316),100)),"")</f>
        <v/>
      </c>
      <c r="K321" s="22" t="str">
        <f aca="false">IF($J321=0,INDEX(Lines!$L$3:$L$1590,MATCH(SMALL(Lines!$G$3:$G$1590,316),Lines!$G$3:$G$1590,0)),"")</f>
        <v/>
      </c>
    </row>
    <row r="322" customFormat="false" ht="15" hidden="false" customHeight="false" outlineLevel="0" collapsed="false">
      <c r="A322" s="24" t="str">
        <f aca="false">IF(OR($J322=0,AND(ISNUMBER($J322),$J322&gt;0,$J322&lt;99)),INDEX(Lines!$A$3:$A$1590,MATCH(SMALL(Lines!$G$3:$G$1590,317),Lines!$G$3:$G$1590,0)),"")</f>
        <v/>
      </c>
      <c r="B322" s="24" t="str">
        <f aca="false">IF($J322=-1,INDEX(Lines!$J$3:$J$1590,MATCH(SMALL(Lines!$G$3:$G$1590,317),Lines!$G$3:$G$1590,0)),IF($J322=0,INDEX(Lines!$L$3:$L$1590,MATCH(SMALL(Lines!$G$3:$G$1590,317),Lines!$G$3:$G$1590,0)),IF(AND(ISNUMBER($J322),$J322&gt;0,$J322&lt;99),INDEX(Lines!$N$3:$N$1590,MATCH(SMALL(Lines!$G$3:$G$1590,317),Lines!$G$3:$G$1590,0)),"")))</f>
        <v/>
      </c>
      <c r="C322" s="25" t="str">
        <f aca="false">IF($J322=0,INDEX(Lines!$K$3:$K$1590,MATCH(SMALL(Lines!$G$3:$G$1590,317),Lines!$G$3:$G$1590,0)),IF(AND(ISNUMBER($J322),$J322&gt;0,$J322&lt;99),INDEX(Lines!$C$3:$C$1590,MATCH(SMALL(Lines!$G$3:$G$1590,317),Lines!$G$3:$G$1590,0)),""))</f>
        <v/>
      </c>
      <c r="D322" s="26" t="str">
        <f aca="false">IF(AND(ISNUMBER($J322),$J322&gt;0,$J322&lt;99),INDEX(Lines!$D$3:$D$1590,MATCH(SMALL(Lines!$G$3:$G$1590,317),Lines!$G$3:$G$1590,0)),"")</f>
        <v/>
      </c>
      <c r="E322" s="26" t="str">
        <f aca="false">IF(AND(ISNUMBER($J322),$J322&gt;0,$J322&lt;99),INDEX(Lines!$E$3:$E$1590,MATCH(SMALL(Lines!$G$3:$G$1590,317),Lines!$G$3:$G$1590,0)),"")</f>
        <v/>
      </c>
      <c r="F322" s="26" t="str">
        <f aca="false">IF(AND(ISNUMBER($J322),$J322&gt;0,$J322&lt;99),INDEX(Lines!$O$3:$O$1590,MATCH(SMALL(Lines!$G$3:$G$1590,317),Lines!$G$3:$G$1590,0)),"")</f>
        <v/>
      </c>
      <c r="G322" s="27" t="str">
        <f aca="false">IF($J322=0,INDEX(Lines!$Q$3:$Q$1590,MATCH(SMALL(Lines!$G$3:$G$1590,317),Lines!$G$3:$G$1590,0)),IF(AND(ISNUMBER($J322),$J322&gt;0,$J322&lt;99),INDEX(Lines!$P$3:$P$1590,MATCH(SMALL(Lines!$G$3:$G$1590,317),Lines!$G$3:$G$1590,0)),""))</f>
        <v/>
      </c>
      <c r="H322" s="28" t="str">
        <f aca="false">IF($J322=0,INDEX(Lines!$H$3:$H$1590,MATCH(SMALL(Lines!$G$3:$G$1590,317),Lines!$G$3:$G$1590,0))&amp;" groups",IF(AND(ISNUMBER($J322),$J322&gt;0,$J322&lt;99),INDEX(Lines!$I$3:$I$1590,MATCH(SMALL(Lines!$G$3:$G$1590,317),Lines!$G$3:$G$1590,0)),""))</f>
        <v/>
      </c>
      <c r="I322" s="26"/>
      <c r="J322" s="22" t="str">
        <f aca="false">IFERROR(IF(MOD(SMALL(Lines!$G$3:$G$1590,317),100000)=0,-1,MOD(SMALL(Lines!$G$3:$G$1590,317),100)),"")</f>
        <v/>
      </c>
      <c r="K322" s="22" t="str">
        <f aca="false">IF($J322=0,INDEX(Lines!$L$3:$L$1590,MATCH(SMALL(Lines!$G$3:$G$1590,317),Lines!$G$3:$G$1590,0)),"")</f>
        <v/>
      </c>
    </row>
    <row r="323" customFormat="false" ht="15" hidden="false" customHeight="false" outlineLevel="0" collapsed="false">
      <c r="A323" s="24" t="str">
        <f aca="false">IF(OR($J323=0,AND(ISNUMBER($J323),$J323&gt;0,$J323&lt;99)),INDEX(Lines!$A$3:$A$1590,MATCH(SMALL(Lines!$G$3:$G$1590,318),Lines!$G$3:$G$1590,0)),"")</f>
        <v/>
      </c>
      <c r="B323" s="24" t="str">
        <f aca="false">IF($J323=-1,INDEX(Lines!$J$3:$J$1590,MATCH(SMALL(Lines!$G$3:$G$1590,318),Lines!$G$3:$G$1590,0)),IF($J323=0,INDEX(Lines!$L$3:$L$1590,MATCH(SMALL(Lines!$G$3:$G$1590,318),Lines!$G$3:$G$1590,0)),IF(AND(ISNUMBER($J323),$J323&gt;0,$J323&lt;99),INDEX(Lines!$N$3:$N$1590,MATCH(SMALL(Lines!$G$3:$G$1590,318),Lines!$G$3:$G$1590,0)),"")))</f>
        <v/>
      </c>
      <c r="C323" s="25" t="str">
        <f aca="false">IF($J323=0,INDEX(Lines!$K$3:$K$1590,MATCH(SMALL(Lines!$G$3:$G$1590,318),Lines!$G$3:$G$1590,0)),IF(AND(ISNUMBER($J323),$J323&gt;0,$J323&lt;99),INDEX(Lines!$C$3:$C$1590,MATCH(SMALL(Lines!$G$3:$G$1590,318),Lines!$G$3:$G$1590,0)),""))</f>
        <v/>
      </c>
      <c r="D323" s="26" t="str">
        <f aca="false">IF(AND(ISNUMBER($J323),$J323&gt;0,$J323&lt;99),INDEX(Lines!$D$3:$D$1590,MATCH(SMALL(Lines!$G$3:$G$1590,318),Lines!$G$3:$G$1590,0)),"")</f>
        <v/>
      </c>
      <c r="E323" s="26" t="str">
        <f aca="false">IF(AND(ISNUMBER($J323),$J323&gt;0,$J323&lt;99),INDEX(Lines!$E$3:$E$1590,MATCH(SMALL(Lines!$G$3:$G$1590,318),Lines!$G$3:$G$1590,0)),"")</f>
        <v/>
      </c>
      <c r="F323" s="26" t="str">
        <f aca="false">IF(AND(ISNUMBER($J323),$J323&gt;0,$J323&lt;99),INDEX(Lines!$O$3:$O$1590,MATCH(SMALL(Lines!$G$3:$G$1590,318),Lines!$G$3:$G$1590,0)),"")</f>
        <v/>
      </c>
      <c r="G323" s="27" t="str">
        <f aca="false">IF($J323=0,INDEX(Lines!$Q$3:$Q$1590,MATCH(SMALL(Lines!$G$3:$G$1590,318),Lines!$G$3:$G$1590,0)),IF(AND(ISNUMBER($J323),$J323&gt;0,$J323&lt;99),INDEX(Lines!$P$3:$P$1590,MATCH(SMALL(Lines!$G$3:$G$1590,318),Lines!$G$3:$G$1590,0)),""))</f>
        <v/>
      </c>
      <c r="H323" s="28" t="str">
        <f aca="false">IF($J323=0,INDEX(Lines!$H$3:$H$1590,MATCH(SMALL(Lines!$G$3:$G$1590,318),Lines!$G$3:$G$1590,0))&amp;" groups",IF(AND(ISNUMBER($J323),$J323&gt;0,$J323&lt;99),INDEX(Lines!$I$3:$I$1590,MATCH(SMALL(Lines!$G$3:$G$1590,318),Lines!$G$3:$G$1590,0)),""))</f>
        <v/>
      </c>
      <c r="I323" s="26"/>
      <c r="J323" s="22" t="str">
        <f aca="false">IFERROR(IF(MOD(SMALL(Lines!$G$3:$G$1590,318),100000)=0,-1,MOD(SMALL(Lines!$G$3:$G$1590,318),100)),"")</f>
        <v/>
      </c>
      <c r="K323" s="22" t="str">
        <f aca="false">IF($J323=0,INDEX(Lines!$L$3:$L$1590,MATCH(SMALL(Lines!$G$3:$G$1590,318),Lines!$G$3:$G$1590,0)),"")</f>
        <v/>
      </c>
    </row>
    <row r="324" customFormat="false" ht="15" hidden="false" customHeight="false" outlineLevel="0" collapsed="false">
      <c r="A324" s="24" t="str">
        <f aca="false">IF(OR($J324=0,AND(ISNUMBER($J324),$J324&gt;0,$J324&lt;99)),INDEX(Lines!$A$3:$A$1590,MATCH(SMALL(Lines!$G$3:$G$1590,319),Lines!$G$3:$G$1590,0)),"")</f>
        <v/>
      </c>
      <c r="B324" s="24" t="str">
        <f aca="false">IF($J324=-1,INDEX(Lines!$J$3:$J$1590,MATCH(SMALL(Lines!$G$3:$G$1590,319),Lines!$G$3:$G$1590,0)),IF($J324=0,INDEX(Lines!$L$3:$L$1590,MATCH(SMALL(Lines!$G$3:$G$1590,319),Lines!$G$3:$G$1590,0)),IF(AND(ISNUMBER($J324),$J324&gt;0,$J324&lt;99),INDEX(Lines!$N$3:$N$1590,MATCH(SMALL(Lines!$G$3:$G$1590,319),Lines!$G$3:$G$1590,0)),"")))</f>
        <v/>
      </c>
      <c r="C324" s="25" t="str">
        <f aca="false">IF($J324=0,INDEX(Lines!$K$3:$K$1590,MATCH(SMALL(Lines!$G$3:$G$1590,319),Lines!$G$3:$G$1590,0)),IF(AND(ISNUMBER($J324),$J324&gt;0,$J324&lt;99),INDEX(Lines!$C$3:$C$1590,MATCH(SMALL(Lines!$G$3:$G$1590,319),Lines!$G$3:$G$1590,0)),""))</f>
        <v/>
      </c>
      <c r="D324" s="26" t="str">
        <f aca="false">IF(AND(ISNUMBER($J324),$J324&gt;0,$J324&lt;99),INDEX(Lines!$D$3:$D$1590,MATCH(SMALL(Lines!$G$3:$G$1590,319),Lines!$G$3:$G$1590,0)),"")</f>
        <v/>
      </c>
      <c r="E324" s="26" t="str">
        <f aca="false">IF(AND(ISNUMBER($J324),$J324&gt;0,$J324&lt;99),INDEX(Lines!$E$3:$E$1590,MATCH(SMALL(Lines!$G$3:$G$1590,319),Lines!$G$3:$G$1590,0)),"")</f>
        <v/>
      </c>
      <c r="F324" s="26" t="str">
        <f aca="false">IF(AND(ISNUMBER($J324),$J324&gt;0,$J324&lt;99),INDEX(Lines!$O$3:$O$1590,MATCH(SMALL(Lines!$G$3:$G$1590,319),Lines!$G$3:$G$1590,0)),"")</f>
        <v/>
      </c>
      <c r="G324" s="27" t="str">
        <f aca="false">IF($J324=0,INDEX(Lines!$Q$3:$Q$1590,MATCH(SMALL(Lines!$G$3:$G$1590,319),Lines!$G$3:$G$1590,0)),IF(AND(ISNUMBER($J324),$J324&gt;0,$J324&lt;99),INDEX(Lines!$P$3:$P$1590,MATCH(SMALL(Lines!$G$3:$G$1590,319),Lines!$G$3:$G$1590,0)),""))</f>
        <v/>
      </c>
      <c r="H324" s="28" t="str">
        <f aca="false">IF($J324=0,INDEX(Lines!$H$3:$H$1590,MATCH(SMALL(Lines!$G$3:$G$1590,319),Lines!$G$3:$G$1590,0))&amp;" groups",IF(AND(ISNUMBER($J324),$J324&gt;0,$J324&lt;99),INDEX(Lines!$I$3:$I$1590,MATCH(SMALL(Lines!$G$3:$G$1590,319),Lines!$G$3:$G$1590,0)),""))</f>
        <v/>
      </c>
      <c r="I324" s="26"/>
      <c r="J324" s="22" t="str">
        <f aca="false">IFERROR(IF(MOD(SMALL(Lines!$G$3:$G$1590,319),100000)=0,-1,MOD(SMALL(Lines!$G$3:$G$1590,319),100)),"")</f>
        <v/>
      </c>
      <c r="K324" s="22" t="str">
        <f aca="false">IF($J324=0,INDEX(Lines!$L$3:$L$1590,MATCH(SMALL(Lines!$G$3:$G$1590,319),Lines!$G$3:$G$1590,0)),"")</f>
        <v/>
      </c>
    </row>
    <row r="325" customFormat="false" ht="15" hidden="false" customHeight="false" outlineLevel="0" collapsed="false">
      <c r="A325" s="24" t="str">
        <f aca="false">IF(OR($J325=0,AND(ISNUMBER($J325),$J325&gt;0,$J325&lt;99)),INDEX(Lines!$A$3:$A$1590,MATCH(SMALL(Lines!$G$3:$G$1590,320),Lines!$G$3:$G$1590,0)),"")</f>
        <v/>
      </c>
      <c r="B325" s="24" t="str">
        <f aca="false">IF($J325=-1,INDEX(Lines!$J$3:$J$1590,MATCH(SMALL(Lines!$G$3:$G$1590,320),Lines!$G$3:$G$1590,0)),IF($J325=0,INDEX(Lines!$L$3:$L$1590,MATCH(SMALL(Lines!$G$3:$G$1590,320),Lines!$G$3:$G$1590,0)),IF(AND(ISNUMBER($J325),$J325&gt;0,$J325&lt;99),INDEX(Lines!$N$3:$N$1590,MATCH(SMALL(Lines!$G$3:$G$1590,320),Lines!$G$3:$G$1590,0)),"")))</f>
        <v/>
      </c>
      <c r="C325" s="25" t="str">
        <f aca="false">IF($J325=0,INDEX(Lines!$K$3:$K$1590,MATCH(SMALL(Lines!$G$3:$G$1590,320),Lines!$G$3:$G$1590,0)),IF(AND(ISNUMBER($J325),$J325&gt;0,$J325&lt;99),INDEX(Lines!$C$3:$C$1590,MATCH(SMALL(Lines!$G$3:$G$1590,320),Lines!$G$3:$G$1590,0)),""))</f>
        <v/>
      </c>
      <c r="D325" s="26" t="str">
        <f aca="false">IF(AND(ISNUMBER($J325),$J325&gt;0,$J325&lt;99),INDEX(Lines!$D$3:$D$1590,MATCH(SMALL(Lines!$G$3:$G$1590,320),Lines!$G$3:$G$1590,0)),"")</f>
        <v/>
      </c>
      <c r="E325" s="26" t="str">
        <f aca="false">IF(AND(ISNUMBER($J325),$J325&gt;0,$J325&lt;99),INDEX(Lines!$E$3:$E$1590,MATCH(SMALL(Lines!$G$3:$G$1590,320),Lines!$G$3:$G$1590,0)),"")</f>
        <v/>
      </c>
      <c r="F325" s="26" t="str">
        <f aca="false">IF(AND(ISNUMBER($J325),$J325&gt;0,$J325&lt;99),INDEX(Lines!$O$3:$O$1590,MATCH(SMALL(Lines!$G$3:$G$1590,320),Lines!$G$3:$G$1590,0)),"")</f>
        <v/>
      </c>
      <c r="G325" s="27" t="str">
        <f aca="false">IF($J325=0,INDEX(Lines!$Q$3:$Q$1590,MATCH(SMALL(Lines!$G$3:$G$1590,320),Lines!$G$3:$G$1590,0)),IF(AND(ISNUMBER($J325),$J325&gt;0,$J325&lt;99),INDEX(Lines!$P$3:$P$1590,MATCH(SMALL(Lines!$G$3:$G$1590,320),Lines!$G$3:$G$1590,0)),""))</f>
        <v/>
      </c>
      <c r="H325" s="28" t="str">
        <f aca="false">IF($J325=0,INDEX(Lines!$H$3:$H$1590,MATCH(SMALL(Lines!$G$3:$G$1590,320),Lines!$G$3:$G$1590,0))&amp;" groups",IF(AND(ISNUMBER($J325),$J325&gt;0,$J325&lt;99),INDEX(Lines!$I$3:$I$1590,MATCH(SMALL(Lines!$G$3:$G$1590,320),Lines!$G$3:$G$1590,0)),""))</f>
        <v/>
      </c>
      <c r="I325" s="26"/>
      <c r="J325" s="22" t="str">
        <f aca="false">IFERROR(IF(MOD(SMALL(Lines!$G$3:$G$1590,320),100000)=0,-1,MOD(SMALL(Lines!$G$3:$G$1590,320),100)),"")</f>
        <v/>
      </c>
      <c r="K325" s="22" t="str">
        <f aca="false">IF($J325=0,INDEX(Lines!$L$3:$L$1590,MATCH(SMALL(Lines!$G$3:$G$1590,320),Lines!$G$3:$G$1590,0)),"")</f>
        <v/>
      </c>
    </row>
  </sheetData>
  <conditionalFormatting sqref="A6:I325">
    <cfRule type="expression" priority="2" aboveAverage="0" equalAverage="0" bottom="0" percent="0" rank="0" text="" dxfId="3">
      <formula>$J6=-1</formula>
    </cfRule>
    <cfRule type="expression" priority="3" aboveAverage="0" equalAverage="0" bottom="0" percent="0" rank="0" text="" dxfId="0">
      <formula>AND(ISNUMBER($J6),$J6&gt;0,$J6&lt;99)</formula>
    </cfRule>
  </conditionalFormatting>
  <conditionalFormatting sqref="A6:A325">
    <cfRule type="expression" priority="4" aboveAverage="0" equalAverage="0" bottom="0" percent="0" rank="0" text="" dxfId="4">
      <formula>AND($J6=0,$K6="Little Explorers (5-7)")</formula>
    </cfRule>
    <cfRule type="expression" priority="5" aboveAverage="0" equalAverage="0" bottom="0" percent="0" rank="0" text="" dxfId="5">
      <formula>AND(ISNUMBER($J6),$J6&gt;0,$J6&lt;99,LEFT($A6,2)="LE")</formula>
    </cfRule>
    <cfRule type="expression" priority="6" aboveAverage="0" equalAverage="0" bottom="0" percent="0" rank="0" text="" dxfId="6">
      <formula>AND($J6=0,$K6="Junior Makers (8-11)")</formula>
    </cfRule>
    <cfRule type="expression" priority="7" aboveAverage="0" equalAverage="0" bottom="0" percent="0" rank="0" text="" dxfId="7">
      <formula>AND(ISNUMBER($J6),$J6&gt;0,$J6&lt;99,LEFT($A6,2)="JM")</formula>
    </cfRule>
    <cfRule type="expression" priority="8" aboveAverage="0" equalAverage="0" bottom="0" percent="0" rank="0" text="" dxfId="8">
      <formula>AND($J6=0,$K6="Young Innovators (12-14)")</formula>
    </cfRule>
    <cfRule type="expression" priority="9" aboveAverage="0" equalAverage="0" bottom="0" percent="0" rank="0" text="" dxfId="9">
      <formula>AND(ISNUMBER($J6),$J6&gt;0,$J6&lt;99,LEFT($A6,2)="YI")</formula>
    </cfRule>
    <cfRule type="expression" priority="10" aboveAverage="0" equalAverage="0" bottom="0" percent="0" rank="0" text="" dxfId="10">
      <formula>AND($J6=0,$K6="Tech Leaders (15-17)")</formula>
    </cfRule>
    <cfRule type="expression" priority="11" aboveAverage="0" equalAverage="0" bottom="0" percent="0" rank="0" text="" dxfId="11">
      <formula>AND(ISNUMBER($J6),$J6&gt;0,$J6&lt;99,LEFT($A6,2)="TL")</formula>
    </cfRule>
  </conditionalFormatting>
  <conditionalFormatting sqref="B6:I325">
    <cfRule type="expression" priority="12" aboveAverage="0" equalAverage="0" bottom="0" percent="0" rank="0" text="" dxfId="12">
      <formula>AND($J6=0,$K6="Little Explorers (5-7)")</formula>
    </cfRule>
    <cfRule type="expression" priority="13" aboveAverage="0" equalAverage="0" bottom="0" percent="0" rank="0" text="" dxfId="13">
      <formula>AND($J6=0,$K6="Junior Makers (8-11)")</formula>
    </cfRule>
    <cfRule type="expression" priority="14" aboveAverage="0" equalAverage="0" bottom="0" percent="0" rank="0" text="" dxfId="14">
      <formula>AND($J6=0,$K6="Young Innovators (12-14)")</formula>
    </cfRule>
    <cfRule type="expression" priority="15" aboveAverage="0" equalAverage="0" bottom="0" percent="0" rank="0" text="" dxfId="15">
      <formula>AND($J6=0,$K6="Tech Leaders (15-17)")</formula>
    </cfRule>
  </conditionalFormatting>
  <conditionalFormatting sqref="H6:H325">
    <cfRule type="expression" priority="16" aboveAverage="0" equalAverage="0" bottom="0" percent="0" rank="0" text="" dxfId="2">
      <formula>AND(ISNUMBER($J6),$J6&gt;0,$J6&lt;99)</formula>
    </cfRule>
  </conditionalFormatting>
  <printOptions headings="false" gridLines="false" gridLinesSet="true" horizontalCentered="false" verticalCentered="false"/>
  <pageMargins left="0.4" right="0.4"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&amp;CPage &amp;P of &amp;N</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7"/>
    <col collapsed="false" customWidth="true" hidden="false" outlineLevel="0" max="4" min="4" style="0" width="8"/>
    <col collapsed="false" customWidth="true" hidden="false" outlineLevel="0" max="5" min="5" style="0" width="40"/>
    <col collapsed="false" customWidth="true" hidden="false" outlineLevel="0" max="6" min="6" style="0" width="13"/>
    <col collapsed="false" customWidth="true" hidden="false" outlineLevel="0" max="7" min="7" style="0" width="8"/>
    <col collapsed="false" customWidth="true" hidden="false" outlineLevel="0" max="8" min="8" style="0" width="10"/>
    <col collapsed="false" customWidth="true" hidden="false" outlineLevel="0" max="9" min="9" style="0" width="15"/>
    <col collapsed="false" customWidth="true" hidden="false" outlineLevel="0" max="10" min="10" style="0" width="10"/>
    <col collapsed="false" customWidth="true" hidden="false" outlineLevel="0" max="11" min="11" style="0" width="13"/>
    <col collapsed="false" customWidth="true" hidden="false" outlineLevel="0" max="12" min="12" style="0" width="34"/>
    <col collapsed="false" customWidth="true" hidden="false" outlineLevel="0" max="13" min="13" style="0" width="9"/>
  </cols>
  <sheetData>
    <row r="1" customFormat="false" ht="17.35" hidden="false" customHeight="false" outlineLevel="0" collapsed="false">
      <c r="A1" s="29" t="s">
        <v>63</v>
      </c>
    </row>
    <row r="2" customFormat="false" ht="15" hidden="false" customHeight="false" outlineLevel="0" collapsed="false">
      <c r="A2" s="2" t="s">
        <v>64</v>
      </c>
    </row>
    <row r="4" customFormat="false" ht="30" hidden="false" customHeight="true" outlineLevel="0" collapsed="false">
      <c r="A4" s="14" t="s">
        <v>47</v>
      </c>
      <c r="B4" s="14" t="s">
        <v>65</v>
      </c>
      <c r="C4" s="14" t="s">
        <v>66</v>
      </c>
      <c r="D4" s="14" t="s">
        <v>45</v>
      </c>
      <c r="E4" s="14" t="s">
        <v>44</v>
      </c>
      <c r="F4" s="14" t="s">
        <v>67</v>
      </c>
      <c r="G4" s="14" t="s">
        <v>68</v>
      </c>
      <c r="H4" s="14" t="s">
        <v>46</v>
      </c>
      <c r="I4" s="14" t="s">
        <v>49</v>
      </c>
      <c r="J4" s="14" t="s">
        <v>69</v>
      </c>
      <c r="K4" s="14" t="s">
        <v>70</v>
      </c>
      <c r="L4" s="14" t="s">
        <v>58</v>
      </c>
      <c r="M4" s="30" t="s">
        <v>71</v>
      </c>
    </row>
    <row r="5" customFormat="false" ht="15" hidden="false" customHeight="false" outlineLevel="0" collapsed="false">
      <c r="A5" s="31" t="s">
        <v>72</v>
      </c>
      <c r="B5" s="32" t="s">
        <v>73</v>
      </c>
      <c r="C5" s="32" t="s">
        <v>74</v>
      </c>
      <c r="D5" s="33" t="s">
        <v>75</v>
      </c>
      <c r="E5" s="34" t="s">
        <v>76</v>
      </c>
      <c r="F5" s="35" t="s">
        <v>77</v>
      </c>
      <c r="G5" s="35"/>
      <c r="H5" s="35"/>
      <c r="I5" s="35"/>
      <c r="J5" s="35" t="n">
        <v>8</v>
      </c>
      <c r="K5" s="36"/>
      <c r="L5" s="37"/>
      <c r="M5" s="38" t="str">
        <f aca="false">IF($F5="Next week",IFERROR(MATCH($G5,{"Mon","Tue","Wed","Thu","Fri"},0),6)*1000+ROW(),"")</f>
        <v/>
      </c>
    </row>
    <row r="6" customFormat="false" ht="15" hidden="false" customHeight="false" outlineLevel="0" collapsed="false">
      <c r="A6" s="31" t="s">
        <v>72</v>
      </c>
      <c r="B6" s="32" t="s">
        <v>73</v>
      </c>
      <c r="C6" s="32" t="s">
        <v>74</v>
      </c>
      <c r="D6" s="33" t="s">
        <v>78</v>
      </c>
      <c r="E6" s="34" t="s">
        <v>79</v>
      </c>
      <c r="F6" s="35" t="s">
        <v>77</v>
      </c>
      <c r="G6" s="35"/>
      <c r="H6" s="35"/>
      <c r="I6" s="35"/>
      <c r="J6" s="35" t="n">
        <v>8</v>
      </c>
      <c r="K6" s="36"/>
      <c r="L6" s="37"/>
      <c r="M6" s="38" t="str">
        <f aca="false">IF($F6="Next week",IFERROR(MATCH($G6,{"Mon","Tue","Wed","Thu","Fri"},0),6)*1000+ROW(),"")</f>
        <v/>
      </c>
    </row>
    <row r="7" customFormat="false" ht="15" hidden="false" customHeight="false" outlineLevel="0" collapsed="false">
      <c r="A7" s="31" t="s">
        <v>72</v>
      </c>
      <c r="B7" s="32" t="s">
        <v>73</v>
      </c>
      <c r="C7" s="32" t="s">
        <v>74</v>
      </c>
      <c r="D7" s="33" t="s">
        <v>80</v>
      </c>
      <c r="E7" s="34" t="s">
        <v>81</v>
      </c>
      <c r="F7" s="35" t="s">
        <v>77</v>
      </c>
      <c r="G7" s="35"/>
      <c r="H7" s="35"/>
      <c r="I7" s="35"/>
      <c r="J7" s="35" t="n">
        <v>8</v>
      </c>
      <c r="K7" s="36"/>
      <c r="L7" s="37"/>
      <c r="M7" s="38" t="str">
        <f aca="false">IF($F7="Next week",IFERROR(MATCH($G7,{"Mon","Tue","Wed","Thu","Fri"},0),6)*1000+ROW(),"")</f>
        <v/>
      </c>
    </row>
    <row r="8" customFormat="false" ht="15" hidden="false" customHeight="false" outlineLevel="0" collapsed="false">
      <c r="A8" s="31" t="s">
        <v>72</v>
      </c>
      <c r="B8" s="32" t="s">
        <v>73</v>
      </c>
      <c r="C8" s="32" t="s">
        <v>74</v>
      </c>
      <c r="D8" s="33" t="s">
        <v>82</v>
      </c>
      <c r="E8" s="34" t="s">
        <v>83</v>
      </c>
      <c r="F8" s="35" t="s">
        <v>77</v>
      </c>
      <c r="G8" s="35"/>
      <c r="H8" s="35"/>
      <c r="I8" s="35"/>
      <c r="J8" s="35" t="n">
        <v>8</v>
      </c>
      <c r="K8" s="36"/>
      <c r="L8" s="37"/>
      <c r="M8" s="38" t="str">
        <f aca="false">IF($F8="Next week",IFERROR(MATCH($G8,{"Mon","Tue","Wed","Thu","Fri"},0),6)*1000+ROW(),"")</f>
        <v/>
      </c>
    </row>
    <row r="9" customFormat="false" ht="15" hidden="false" customHeight="false" outlineLevel="0" collapsed="false">
      <c r="A9" s="31" t="s">
        <v>72</v>
      </c>
      <c r="B9" s="32" t="n">
        <v>1</v>
      </c>
      <c r="C9" s="32" t="n">
        <v>1</v>
      </c>
      <c r="D9" s="33" t="s">
        <v>84</v>
      </c>
      <c r="E9" s="34" t="s">
        <v>85</v>
      </c>
      <c r="F9" s="35" t="s">
        <v>77</v>
      </c>
      <c r="G9" s="35"/>
      <c r="H9" s="35"/>
      <c r="I9" s="35"/>
      <c r="J9" s="35" t="n">
        <v>8</v>
      </c>
      <c r="K9" s="36"/>
      <c r="L9" s="37"/>
      <c r="M9" s="38" t="str">
        <f aca="false">IF($F9="Next week",IFERROR(MATCH($G9,{"Mon","Tue","Wed","Thu","Fri"},0),6)*1000+ROW(),"")</f>
        <v/>
      </c>
    </row>
    <row r="10" customFormat="false" ht="15" hidden="false" customHeight="false" outlineLevel="0" collapsed="false">
      <c r="A10" s="31" t="s">
        <v>72</v>
      </c>
      <c r="B10" s="32" t="n">
        <v>1</v>
      </c>
      <c r="C10" s="32" t="n">
        <v>2</v>
      </c>
      <c r="D10" s="33" t="s">
        <v>86</v>
      </c>
      <c r="E10" s="34" t="s">
        <v>87</v>
      </c>
      <c r="F10" s="35" t="s">
        <v>77</v>
      </c>
      <c r="G10" s="35"/>
      <c r="H10" s="35"/>
      <c r="I10" s="35"/>
      <c r="J10" s="35" t="n">
        <v>8</v>
      </c>
      <c r="K10" s="36"/>
      <c r="L10" s="37"/>
      <c r="M10" s="38" t="str">
        <f aca="false">IF($F10="Next week",IFERROR(MATCH($G10,{"Mon","Tue","Wed","Thu","Fri"},0),6)*1000+ROW(),"")</f>
        <v/>
      </c>
    </row>
    <row r="11" customFormat="false" ht="15" hidden="false" customHeight="false" outlineLevel="0" collapsed="false">
      <c r="A11" s="31" t="s">
        <v>72</v>
      </c>
      <c r="B11" s="32" t="n">
        <v>1</v>
      </c>
      <c r="C11" s="32" t="n">
        <v>3</v>
      </c>
      <c r="D11" s="33" t="s">
        <v>88</v>
      </c>
      <c r="E11" s="34" t="s">
        <v>89</v>
      </c>
      <c r="F11" s="35" t="s">
        <v>77</v>
      </c>
      <c r="G11" s="35"/>
      <c r="H11" s="35"/>
      <c r="I11" s="35"/>
      <c r="J11" s="35" t="n">
        <v>8</v>
      </c>
      <c r="K11" s="36"/>
      <c r="L11" s="37"/>
      <c r="M11" s="38" t="str">
        <f aca="false">IF($F11="Next week",IFERROR(MATCH($G11,{"Mon","Tue","Wed","Thu","Fri"},0),6)*1000+ROW(),"")</f>
        <v/>
      </c>
    </row>
    <row r="12" customFormat="false" ht="15" hidden="false" customHeight="false" outlineLevel="0" collapsed="false">
      <c r="A12" s="31" t="s">
        <v>72</v>
      </c>
      <c r="B12" s="32" t="n">
        <v>1</v>
      </c>
      <c r="C12" s="32" t="n">
        <v>4</v>
      </c>
      <c r="D12" s="33" t="s">
        <v>90</v>
      </c>
      <c r="E12" s="34" t="s">
        <v>91</v>
      </c>
      <c r="F12" s="35" t="s">
        <v>77</v>
      </c>
      <c r="G12" s="35"/>
      <c r="H12" s="35"/>
      <c r="I12" s="35"/>
      <c r="J12" s="35" t="n">
        <v>8</v>
      </c>
      <c r="K12" s="36"/>
      <c r="L12" s="37"/>
      <c r="M12" s="38" t="str">
        <f aca="false">IF($F12="Next week",IFERROR(MATCH($G12,{"Mon","Tue","Wed","Thu","Fri"},0),6)*1000+ROW(),"")</f>
        <v/>
      </c>
    </row>
    <row r="13" customFormat="false" ht="15" hidden="false" customHeight="false" outlineLevel="0" collapsed="false">
      <c r="A13" s="31" t="s">
        <v>72</v>
      </c>
      <c r="B13" s="32" t="n">
        <v>1</v>
      </c>
      <c r="C13" s="32" t="n">
        <v>5</v>
      </c>
      <c r="D13" s="33" t="s">
        <v>92</v>
      </c>
      <c r="E13" s="34" t="s">
        <v>93</v>
      </c>
      <c r="F13" s="35" t="s">
        <v>77</v>
      </c>
      <c r="G13" s="35"/>
      <c r="H13" s="35"/>
      <c r="I13" s="35"/>
      <c r="J13" s="35" t="n">
        <v>8</v>
      </c>
      <c r="K13" s="36"/>
      <c r="L13" s="37"/>
      <c r="M13" s="38" t="str">
        <f aca="false">IF($F13="Next week",IFERROR(MATCH($G13,{"Mon","Tue","Wed","Thu","Fri"},0),6)*1000+ROW(),"")</f>
        <v/>
      </c>
    </row>
    <row r="14" customFormat="false" ht="15" hidden="false" customHeight="false" outlineLevel="0" collapsed="false">
      <c r="A14" s="31" t="s">
        <v>72</v>
      </c>
      <c r="B14" s="32" t="n">
        <v>1</v>
      </c>
      <c r="C14" s="32" t="n">
        <v>6</v>
      </c>
      <c r="D14" s="33" t="s">
        <v>94</v>
      </c>
      <c r="E14" s="34" t="s">
        <v>95</v>
      </c>
      <c r="F14" s="35" t="s">
        <v>77</v>
      </c>
      <c r="G14" s="35"/>
      <c r="H14" s="35"/>
      <c r="I14" s="35"/>
      <c r="J14" s="35" t="n">
        <v>8</v>
      </c>
      <c r="K14" s="36"/>
      <c r="L14" s="37"/>
      <c r="M14" s="38" t="str">
        <f aca="false">IF($F14="Next week",IFERROR(MATCH($G14,{"Mon","Tue","Wed","Thu","Fri"},0),6)*1000+ROW(),"")</f>
        <v/>
      </c>
    </row>
    <row r="15" customFormat="false" ht="15" hidden="false" customHeight="false" outlineLevel="0" collapsed="false">
      <c r="A15" s="31" t="s">
        <v>72</v>
      </c>
      <c r="B15" s="32" t="n">
        <v>1</v>
      </c>
      <c r="C15" s="32" t="n">
        <v>7</v>
      </c>
      <c r="D15" s="33" t="s">
        <v>96</v>
      </c>
      <c r="E15" s="34" t="s">
        <v>97</v>
      </c>
      <c r="F15" s="35" t="s">
        <v>77</v>
      </c>
      <c r="G15" s="35"/>
      <c r="H15" s="35"/>
      <c r="I15" s="35"/>
      <c r="J15" s="35" t="n">
        <v>8</v>
      </c>
      <c r="K15" s="36"/>
      <c r="L15" s="37"/>
      <c r="M15" s="38" t="str">
        <f aca="false">IF($F15="Next week",IFERROR(MATCH($G15,{"Mon","Tue","Wed","Thu","Fri"},0),6)*1000+ROW(),"")</f>
        <v/>
      </c>
    </row>
    <row r="16" customFormat="false" ht="15" hidden="false" customHeight="false" outlineLevel="0" collapsed="false">
      <c r="A16" s="31" t="s">
        <v>72</v>
      </c>
      <c r="B16" s="32" t="n">
        <v>1</v>
      </c>
      <c r="C16" s="32" t="n">
        <v>8</v>
      </c>
      <c r="D16" s="33" t="s">
        <v>98</v>
      </c>
      <c r="E16" s="34" t="s">
        <v>99</v>
      </c>
      <c r="F16" s="35" t="s">
        <v>77</v>
      </c>
      <c r="G16" s="35"/>
      <c r="H16" s="35"/>
      <c r="I16" s="35"/>
      <c r="J16" s="35" t="n">
        <v>8</v>
      </c>
      <c r="K16" s="36"/>
      <c r="L16" s="37"/>
      <c r="M16" s="38" t="str">
        <f aca="false">IF($F16="Next week",IFERROR(MATCH($G16,{"Mon","Tue","Wed","Thu","Fri"},0),6)*1000+ROW(),"")</f>
        <v/>
      </c>
    </row>
    <row r="17" customFormat="false" ht="15" hidden="false" customHeight="false" outlineLevel="0" collapsed="false">
      <c r="A17" s="31" t="s">
        <v>72</v>
      </c>
      <c r="B17" s="32" t="n">
        <v>1</v>
      </c>
      <c r="C17" s="32" t="n">
        <v>9</v>
      </c>
      <c r="D17" s="33" t="s">
        <v>100</v>
      </c>
      <c r="E17" s="34" t="s">
        <v>101</v>
      </c>
      <c r="F17" s="35" t="s">
        <v>77</v>
      </c>
      <c r="G17" s="35"/>
      <c r="H17" s="35"/>
      <c r="I17" s="35"/>
      <c r="J17" s="35" t="n">
        <v>8</v>
      </c>
      <c r="K17" s="36"/>
      <c r="L17" s="37"/>
      <c r="M17" s="38" t="str">
        <f aca="false">IF($F17="Next week",IFERROR(MATCH($G17,{"Mon","Tue","Wed","Thu","Fri"},0),6)*1000+ROW(),"")</f>
        <v/>
      </c>
    </row>
    <row r="18" customFormat="false" ht="15" hidden="false" customHeight="false" outlineLevel="0" collapsed="false">
      <c r="A18" s="31" t="s">
        <v>72</v>
      </c>
      <c r="B18" s="32" t="n">
        <v>1</v>
      </c>
      <c r="C18" s="32" t="n">
        <v>10</v>
      </c>
      <c r="D18" s="33" t="s">
        <v>102</v>
      </c>
      <c r="E18" s="34" t="s">
        <v>103</v>
      </c>
      <c r="F18" s="35" t="s">
        <v>77</v>
      </c>
      <c r="G18" s="35"/>
      <c r="H18" s="35"/>
      <c r="I18" s="35"/>
      <c r="J18" s="35" t="n">
        <v>8</v>
      </c>
      <c r="K18" s="36"/>
      <c r="L18" s="37"/>
      <c r="M18" s="38" t="str">
        <f aca="false">IF($F18="Next week",IFERROR(MATCH($G18,{"Mon","Tue","Wed","Thu","Fri"},0),6)*1000+ROW(),"")</f>
        <v/>
      </c>
    </row>
    <row r="19" customFormat="false" ht="15" hidden="false" customHeight="false" outlineLevel="0" collapsed="false">
      <c r="A19" s="31" t="s">
        <v>72</v>
      </c>
      <c r="B19" s="32" t="n">
        <v>1</v>
      </c>
      <c r="C19" s="32" t="n">
        <v>11</v>
      </c>
      <c r="D19" s="33" t="s">
        <v>104</v>
      </c>
      <c r="E19" s="34" t="s">
        <v>105</v>
      </c>
      <c r="F19" s="35" t="s">
        <v>77</v>
      </c>
      <c r="G19" s="35"/>
      <c r="H19" s="35"/>
      <c r="I19" s="35"/>
      <c r="J19" s="35" t="n">
        <v>8</v>
      </c>
      <c r="K19" s="36"/>
      <c r="L19" s="37"/>
      <c r="M19" s="38" t="str">
        <f aca="false">IF($F19="Next week",IFERROR(MATCH($G19,{"Mon","Tue","Wed","Thu","Fri"},0),6)*1000+ROW(),"")</f>
        <v/>
      </c>
    </row>
    <row r="20" customFormat="false" ht="15" hidden="false" customHeight="false" outlineLevel="0" collapsed="false">
      <c r="A20" s="31" t="s">
        <v>72</v>
      </c>
      <c r="B20" s="32" t="n">
        <v>1</v>
      </c>
      <c r="C20" s="32" t="n">
        <v>12</v>
      </c>
      <c r="D20" s="33" t="s">
        <v>106</v>
      </c>
      <c r="E20" s="34" t="s">
        <v>107</v>
      </c>
      <c r="F20" s="35" t="s">
        <v>77</v>
      </c>
      <c r="G20" s="35"/>
      <c r="H20" s="35"/>
      <c r="I20" s="35"/>
      <c r="J20" s="35" t="n">
        <v>8</v>
      </c>
      <c r="K20" s="36"/>
      <c r="L20" s="37"/>
      <c r="M20" s="38" t="str">
        <f aca="false">IF($F20="Next week",IFERROR(MATCH($G20,{"Mon","Tue","Wed","Thu","Fri"},0),6)*1000+ROW(),"")</f>
        <v/>
      </c>
    </row>
    <row r="21" customFormat="false" ht="15" hidden="false" customHeight="false" outlineLevel="0" collapsed="false">
      <c r="A21" s="31" t="s">
        <v>72</v>
      </c>
      <c r="B21" s="32" t="n">
        <v>1</v>
      </c>
      <c r="C21" s="32" t="n">
        <v>13</v>
      </c>
      <c r="D21" s="33" t="s">
        <v>108</v>
      </c>
      <c r="E21" s="34" t="s">
        <v>109</v>
      </c>
      <c r="F21" s="35" t="s">
        <v>77</v>
      </c>
      <c r="G21" s="35"/>
      <c r="H21" s="35"/>
      <c r="I21" s="35"/>
      <c r="J21" s="35" t="n">
        <v>8</v>
      </c>
      <c r="K21" s="36"/>
      <c r="L21" s="37"/>
      <c r="M21" s="38" t="str">
        <f aca="false">IF($F21="Next week",IFERROR(MATCH($G21,{"Mon","Tue","Wed","Thu","Fri"},0),6)*1000+ROW(),"")</f>
        <v/>
      </c>
    </row>
    <row r="22" customFormat="false" ht="15" hidden="false" customHeight="false" outlineLevel="0" collapsed="false">
      <c r="A22" s="31" t="s">
        <v>72</v>
      </c>
      <c r="B22" s="32" t="n">
        <v>1</v>
      </c>
      <c r="C22" s="32" t="n">
        <v>14</v>
      </c>
      <c r="D22" s="33" t="s">
        <v>110</v>
      </c>
      <c r="E22" s="34" t="s">
        <v>111</v>
      </c>
      <c r="F22" s="35" t="s">
        <v>77</v>
      </c>
      <c r="G22" s="35"/>
      <c r="H22" s="35"/>
      <c r="I22" s="35"/>
      <c r="J22" s="35" t="n">
        <v>8</v>
      </c>
      <c r="K22" s="36"/>
      <c r="L22" s="37"/>
      <c r="M22" s="38" t="str">
        <f aca="false">IF($F22="Next week",IFERROR(MATCH($G22,{"Mon","Tue","Wed","Thu","Fri"},0),6)*1000+ROW(),"")</f>
        <v/>
      </c>
    </row>
    <row r="23" customFormat="false" ht="15" hidden="false" customHeight="false" outlineLevel="0" collapsed="false">
      <c r="A23" s="31" t="s">
        <v>72</v>
      </c>
      <c r="B23" s="32" t="n">
        <v>1</v>
      </c>
      <c r="C23" s="32" t="n">
        <v>15</v>
      </c>
      <c r="D23" s="33" t="s">
        <v>112</v>
      </c>
      <c r="E23" s="34" t="s">
        <v>113</v>
      </c>
      <c r="F23" s="35" t="s">
        <v>77</v>
      </c>
      <c r="G23" s="35"/>
      <c r="H23" s="35"/>
      <c r="I23" s="35"/>
      <c r="J23" s="35" t="n">
        <v>8</v>
      </c>
      <c r="K23" s="36"/>
      <c r="L23" s="37"/>
      <c r="M23" s="38" t="str">
        <f aca="false">IF($F23="Next week",IFERROR(MATCH($G23,{"Mon","Tue","Wed","Thu","Fri"},0),6)*1000+ROW(),"")</f>
        <v/>
      </c>
    </row>
    <row r="24" customFormat="false" ht="15" hidden="false" customHeight="false" outlineLevel="0" collapsed="false">
      <c r="A24" s="31" t="s">
        <v>72</v>
      </c>
      <c r="B24" s="32" t="n">
        <v>1</v>
      </c>
      <c r="C24" s="32" t="n">
        <v>16</v>
      </c>
      <c r="D24" s="33" t="s">
        <v>114</v>
      </c>
      <c r="E24" s="34" t="s">
        <v>115</v>
      </c>
      <c r="F24" s="35" t="s">
        <v>77</v>
      </c>
      <c r="G24" s="35"/>
      <c r="H24" s="35"/>
      <c r="I24" s="35"/>
      <c r="J24" s="35" t="n">
        <v>8</v>
      </c>
      <c r="K24" s="36"/>
      <c r="L24" s="37"/>
      <c r="M24" s="38" t="str">
        <f aca="false">IF($F24="Next week",IFERROR(MATCH($G24,{"Mon","Tue","Wed","Thu","Fri"},0),6)*1000+ROW(),"")</f>
        <v/>
      </c>
    </row>
    <row r="25" customFormat="false" ht="15" hidden="false" customHeight="false" outlineLevel="0" collapsed="false">
      <c r="A25" s="31" t="s">
        <v>72</v>
      </c>
      <c r="B25" s="32" t="n">
        <v>2</v>
      </c>
      <c r="C25" s="32" t="n">
        <v>17</v>
      </c>
      <c r="D25" s="33" t="s">
        <v>116</v>
      </c>
      <c r="E25" s="34" t="s">
        <v>117</v>
      </c>
      <c r="F25" s="35" t="s">
        <v>77</v>
      </c>
      <c r="G25" s="35"/>
      <c r="H25" s="35"/>
      <c r="I25" s="35"/>
      <c r="J25" s="35" t="n">
        <v>8</v>
      </c>
      <c r="K25" s="36"/>
      <c r="L25" s="37"/>
      <c r="M25" s="38" t="str">
        <f aca="false">IF($F25="Next week",IFERROR(MATCH($G25,{"Mon","Tue","Wed","Thu","Fri"},0),6)*1000+ROW(),"")</f>
        <v/>
      </c>
    </row>
    <row r="26" customFormat="false" ht="15" hidden="false" customHeight="false" outlineLevel="0" collapsed="false">
      <c r="A26" s="31" t="s">
        <v>72</v>
      </c>
      <c r="B26" s="32" t="n">
        <v>2</v>
      </c>
      <c r="C26" s="32" t="n">
        <v>18</v>
      </c>
      <c r="D26" s="33" t="s">
        <v>118</v>
      </c>
      <c r="E26" s="34" t="s">
        <v>119</v>
      </c>
      <c r="F26" s="35" t="s">
        <v>77</v>
      </c>
      <c r="G26" s="35"/>
      <c r="H26" s="35"/>
      <c r="I26" s="35"/>
      <c r="J26" s="35" t="n">
        <v>8</v>
      </c>
      <c r="K26" s="36"/>
      <c r="L26" s="37"/>
      <c r="M26" s="38" t="str">
        <f aca="false">IF($F26="Next week",IFERROR(MATCH($G26,{"Mon","Tue","Wed","Thu","Fri"},0),6)*1000+ROW(),"")</f>
        <v/>
      </c>
    </row>
    <row r="27" customFormat="false" ht="15" hidden="false" customHeight="false" outlineLevel="0" collapsed="false">
      <c r="A27" s="31" t="s">
        <v>72</v>
      </c>
      <c r="B27" s="32" t="n">
        <v>2</v>
      </c>
      <c r="C27" s="32" t="n">
        <v>19</v>
      </c>
      <c r="D27" s="33" t="s">
        <v>120</v>
      </c>
      <c r="E27" s="34" t="s">
        <v>121</v>
      </c>
      <c r="F27" s="35" t="s">
        <v>77</v>
      </c>
      <c r="G27" s="35"/>
      <c r="H27" s="35"/>
      <c r="I27" s="35"/>
      <c r="J27" s="35" t="n">
        <v>8</v>
      </c>
      <c r="K27" s="36"/>
      <c r="L27" s="37"/>
      <c r="M27" s="38" t="str">
        <f aca="false">IF($F27="Next week",IFERROR(MATCH($G27,{"Mon","Tue","Wed","Thu","Fri"},0),6)*1000+ROW(),"")</f>
        <v/>
      </c>
    </row>
    <row r="28" customFormat="false" ht="15" hidden="false" customHeight="false" outlineLevel="0" collapsed="false">
      <c r="A28" s="31" t="s">
        <v>72</v>
      </c>
      <c r="B28" s="32" t="n">
        <v>2</v>
      </c>
      <c r="C28" s="32" t="n">
        <v>20</v>
      </c>
      <c r="D28" s="33" t="s">
        <v>122</v>
      </c>
      <c r="E28" s="34" t="s">
        <v>123</v>
      </c>
      <c r="F28" s="35" t="s">
        <v>77</v>
      </c>
      <c r="G28" s="35"/>
      <c r="H28" s="35"/>
      <c r="I28" s="35"/>
      <c r="J28" s="35" t="n">
        <v>8</v>
      </c>
      <c r="K28" s="36"/>
      <c r="L28" s="37"/>
      <c r="M28" s="38" t="str">
        <f aca="false">IF($F28="Next week",IFERROR(MATCH($G28,{"Mon","Tue","Wed","Thu","Fri"},0),6)*1000+ROW(),"")</f>
        <v/>
      </c>
    </row>
    <row r="29" customFormat="false" ht="15" hidden="false" customHeight="false" outlineLevel="0" collapsed="false">
      <c r="A29" s="31" t="s">
        <v>72</v>
      </c>
      <c r="B29" s="32" t="n">
        <v>2</v>
      </c>
      <c r="C29" s="32" t="n">
        <v>21</v>
      </c>
      <c r="D29" s="33" t="s">
        <v>124</v>
      </c>
      <c r="E29" s="34" t="s">
        <v>125</v>
      </c>
      <c r="F29" s="35" t="s">
        <v>77</v>
      </c>
      <c r="G29" s="35"/>
      <c r="H29" s="35"/>
      <c r="I29" s="35"/>
      <c r="J29" s="35" t="n">
        <v>8</v>
      </c>
      <c r="K29" s="36"/>
      <c r="L29" s="37"/>
      <c r="M29" s="38" t="str">
        <f aca="false">IF($F29="Next week",IFERROR(MATCH($G29,{"Mon","Tue","Wed","Thu","Fri"},0),6)*1000+ROW(),"")</f>
        <v/>
      </c>
    </row>
    <row r="30" customFormat="false" ht="15" hidden="false" customHeight="false" outlineLevel="0" collapsed="false">
      <c r="A30" s="31" t="s">
        <v>72</v>
      </c>
      <c r="B30" s="32" t="n">
        <v>2</v>
      </c>
      <c r="C30" s="32" t="n">
        <v>22</v>
      </c>
      <c r="D30" s="33" t="s">
        <v>126</v>
      </c>
      <c r="E30" s="34" t="s">
        <v>127</v>
      </c>
      <c r="F30" s="35" t="s">
        <v>77</v>
      </c>
      <c r="G30" s="35"/>
      <c r="H30" s="35"/>
      <c r="I30" s="35"/>
      <c r="J30" s="35" t="n">
        <v>8</v>
      </c>
      <c r="K30" s="36"/>
      <c r="L30" s="37"/>
      <c r="M30" s="38" t="str">
        <f aca="false">IF($F30="Next week",IFERROR(MATCH($G30,{"Mon","Tue","Wed","Thu","Fri"},0),6)*1000+ROW(),"")</f>
        <v/>
      </c>
    </row>
    <row r="31" customFormat="false" ht="15" hidden="false" customHeight="false" outlineLevel="0" collapsed="false">
      <c r="A31" s="31" t="s">
        <v>72</v>
      </c>
      <c r="B31" s="32" t="n">
        <v>2</v>
      </c>
      <c r="C31" s="32" t="n">
        <v>23</v>
      </c>
      <c r="D31" s="33" t="s">
        <v>128</v>
      </c>
      <c r="E31" s="34" t="s">
        <v>129</v>
      </c>
      <c r="F31" s="35" t="s">
        <v>77</v>
      </c>
      <c r="G31" s="35"/>
      <c r="H31" s="35"/>
      <c r="I31" s="35"/>
      <c r="J31" s="35" t="n">
        <v>8</v>
      </c>
      <c r="K31" s="36"/>
      <c r="L31" s="37"/>
      <c r="M31" s="38" t="str">
        <f aca="false">IF($F31="Next week",IFERROR(MATCH($G31,{"Mon","Tue","Wed","Thu","Fri"},0),6)*1000+ROW(),"")</f>
        <v/>
      </c>
    </row>
    <row r="32" customFormat="false" ht="15" hidden="false" customHeight="false" outlineLevel="0" collapsed="false">
      <c r="A32" s="31" t="s">
        <v>72</v>
      </c>
      <c r="B32" s="32" t="n">
        <v>2</v>
      </c>
      <c r="C32" s="32" t="n">
        <v>24</v>
      </c>
      <c r="D32" s="33" t="s">
        <v>130</v>
      </c>
      <c r="E32" s="34" t="s">
        <v>131</v>
      </c>
      <c r="F32" s="35" t="s">
        <v>77</v>
      </c>
      <c r="G32" s="35"/>
      <c r="H32" s="35"/>
      <c r="I32" s="35"/>
      <c r="J32" s="35" t="n">
        <v>8</v>
      </c>
      <c r="K32" s="36"/>
      <c r="L32" s="37"/>
      <c r="M32" s="38" t="str">
        <f aca="false">IF($F32="Next week",IFERROR(MATCH($G32,{"Mon","Tue","Wed","Thu","Fri"},0),6)*1000+ROW(),"")</f>
        <v/>
      </c>
    </row>
    <row r="33" customFormat="false" ht="15" hidden="false" customHeight="false" outlineLevel="0" collapsed="false">
      <c r="A33" s="31" t="s">
        <v>72</v>
      </c>
      <c r="B33" s="32" t="n">
        <v>2</v>
      </c>
      <c r="C33" s="32" t="n">
        <v>25</v>
      </c>
      <c r="D33" s="33" t="s">
        <v>132</v>
      </c>
      <c r="E33" s="34" t="s">
        <v>133</v>
      </c>
      <c r="F33" s="35" t="s">
        <v>77</v>
      </c>
      <c r="G33" s="35"/>
      <c r="H33" s="35"/>
      <c r="I33" s="35"/>
      <c r="J33" s="35" t="n">
        <v>8</v>
      </c>
      <c r="K33" s="36"/>
      <c r="L33" s="37"/>
      <c r="M33" s="38" t="str">
        <f aca="false">IF($F33="Next week",IFERROR(MATCH($G33,{"Mon","Tue","Wed","Thu","Fri"},0),6)*1000+ROW(),"")</f>
        <v/>
      </c>
    </row>
    <row r="34" customFormat="false" ht="15" hidden="false" customHeight="false" outlineLevel="0" collapsed="false">
      <c r="A34" s="31" t="s">
        <v>72</v>
      </c>
      <c r="B34" s="32" t="n">
        <v>2</v>
      </c>
      <c r="C34" s="32" t="n">
        <v>26</v>
      </c>
      <c r="D34" s="33" t="s">
        <v>134</v>
      </c>
      <c r="E34" s="34" t="s">
        <v>135</v>
      </c>
      <c r="F34" s="35" t="s">
        <v>77</v>
      </c>
      <c r="G34" s="35"/>
      <c r="H34" s="35"/>
      <c r="I34" s="35"/>
      <c r="J34" s="35" t="n">
        <v>8</v>
      </c>
      <c r="K34" s="36"/>
      <c r="L34" s="37"/>
      <c r="M34" s="38" t="str">
        <f aca="false">IF($F34="Next week",IFERROR(MATCH($G34,{"Mon","Tue","Wed","Thu","Fri"},0),6)*1000+ROW(),"")</f>
        <v/>
      </c>
    </row>
    <row r="35" customFormat="false" ht="15" hidden="false" customHeight="false" outlineLevel="0" collapsed="false">
      <c r="A35" s="31" t="s">
        <v>72</v>
      </c>
      <c r="B35" s="32" t="n">
        <v>2</v>
      </c>
      <c r="C35" s="32" t="n">
        <v>27</v>
      </c>
      <c r="D35" s="33" t="s">
        <v>136</v>
      </c>
      <c r="E35" s="34" t="s">
        <v>137</v>
      </c>
      <c r="F35" s="35" t="s">
        <v>77</v>
      </c>
      <c r="G35" s="35"/>
      <c r="H35" s="35"/>
      <c r="I35" s="35"/>
      <c r="J35" s="35" t="n">
        <v>8</v>
      </c>
      <c r="K35" s="36"/>
      <c r="L35" s="37"/>
      <c r="M35" s="38" t="str">
        <f aca="false">IF($F35="Next week",IFERROR(MATCH($G35,{"Mon","Tue","Wed","Thu","Fri"},0),6)*1000+ROW(),"")</f>
        <v/>
      </c>
    </row>
    <row r="36" customFormat="false" ht="15" hidden="false" customHeight="false" outlineLevel="0" collapsed="false">
      <c r="A36" s="31" t="s">
        <v>72</v>
      </c>
      <c r="B36" s="32" t="n">
        <v>2</v>
      </c>
      <c r="C36" s="32" t="n">
        <v>28</v>
      </c>
      <c r="D36" s="33" t="s">
        <v>138</v>
      </c>
      <c r="E36" s="34" t="s">
        <v>139</v>
      </c>
      <c r="F36" s="35" t="s">
        <v>77</v>
      </c>
      <c r="G36" s="35"/>
      <c r="H36" s="35"/>
      <c r="I36" s="35"/>
      <c r="J36" s="35" t="n">
        <v>8</v>
      </c>
      <c r="K36" s="36"/>
      <c r="L36" s="37"/>
      <c r="M36" s="38" t="str">
        <f aca="false">IF($F36="Next week",IFERROR(MATCH($G36,{"Mon","Tue","Wed","Thu","Fri"},0),6)*1000+ROW(),"")</f>
        <v/>
      </c>
    </row>
    <row r="37" customFormat="false" ht="15" hidden="false" customHeight="false" outlineLevel="0" collapsed="false">
      <c r="A37" s="31" t="s">
        <v>72</v>
      </c>
      <c r="B37" s="32" t="n">
        <v>2</v>
      </c>
      <c r="C37" s="32" t="n">
        <v>29</v>
      </c>
      <c r="D37" s="33" t="s">
        <v>140</v>
      </c>
      <c r="E37" s="34" t="s">
        <v>141</v>
      </c>
      <c r="F37" s="35" t="s">
        <v>77</v>
      </c>
      <c r="G37" s="35"/>
      <c r="H37" s="35"/>
      <c r="I37" s="35"/>
      <c r="J37" s="35" t="n">
        <v>8</v>
      </c>
      <c r="K37" s="36"/>
      <c r="L37" s="37"/>
      <c r="M37" s="38" t="str">
        <f aca="false">IF($F37="Next week",IFERROR(MATCH($G37,{"Mon","Tue","Wed","Thu","Fri"},0),6)*1000+ROW(),"")</f>
        <v/>
      </c>
    </row>
    <row r="38" customFormat="false" ht="15" hidden="false" customHeight="false" outlineLevel="0" collapsed="false">
      <c r="A38" s="31" t="s">
        <v>72</v>
      </c>
      <c r="B38" s="32" t="n">
        <v>2</v>
      </c>
      <c r="C38" s="32" t="n">
        <v>30</v>
      </c>
      <c r="D38" s="33" t="s">
        <v>142</v>
      </c>
      <c r="E38" s="34" t="s">
        <v>143</v>
      </c>
      <c r="F38" s="35" t="s">
        <v>77</v>
      </c>
      <c r="G38" s="35"/>
      <c r="H38" s="35"/>
      <c r="I38" s="35"/>
      <c r="J38" s="35" t="n">
        <v>8</v>
      </c>
      <c r="K38" s="36"/>
      <c r="L38" s="37"/>
      <c r="M38" s="38" t="str">
        <f aca="false">IF($F38="Next week",IFERROR(MATCH($G38,{"Mon","Tue","Wed","Thu","Fri"},0),6)*1000+ROW(),"")</f>
        <v/>
      </c>
    </row>
    <row r="39" customFormat="false" ht="15" hidden="false" customHeight="false" outlineLevel="0" collapsed="false">
      <c r="A39" s="31" t="s">
        <v>72</v>
      </c>
      <c r="B39" s="32" t="n">
        <v>2</v>
      </c>
      <c r="C39" s="32" t="n">
        <v>31</v>
      </c>
      <c r="D39" s="33" t="s">
        <v>144</v>
      </c>
      <c r="E39" s="34" t="s">
        <v>145</v>
      </c>
      <c r="F39" s="35" t="s">
        <v>77</v>
      </c>
      <c r="G39" s="35"/>
      <c r="H39" s="35"/>
      <c r="I39" s="35"/>
      <c r="J39" s="35" t="n">
        <v>8</v>
      </c>
      <c r="K39" s="36"/>
      <c r="L39" s="37"/>
      <c r="M39" s="38" t="str">
        <f aca="false">IF($F39="Next week",IFERROR(MATCH($G39,{"Mon","Tue","Wed","Thu","Fri"},0),6)*1000+ROW(),"")</f>
        <v/>
      </c>
    </row>
    <row r="40" customFormat="false" ht="15" hidden="false" customHeight="false" outlineLevel="0" collapsed="false">
      <c r="A40" s="31" t="s">
        <v>72</v>
      </c>
      <c r="B40" s="32" t="n">
        <v>2</v>
      </c>
      <c r="C40" s="32" t="n">
        <v>32</v>
      </c>
      <c r="D40" s="33" t="s">
        <v>146</v>
      </c>
      <c r="E40" s="34" t="s">
        <v>147</v>
      </c>
      <c r="F40" s="35" t="s">
        <v>77</v>
      </c>
      <c r="G40" s="35"/>
      <c r="H40" s="35"/>
      <c r="I40" s="35"/>
      <c r="J40" s="35" t="n">
        <v>8</v>
      </c>
      <c r="K40" s="36"/>
      <c r="L40" s="37"/>
      <c r="M40" s="38" t="str">
        <f aca="false">IF($F40="Next week",IFERROR(MATCH($G40,{"Mon","Tue","Wed","Thu","Fri"},0),6)*1000+ROW(),"")</f>
        <v/>
      </c>
    </row>
    <row r="41" customFormat="false" ht="15" hidden="false" customHeight="false" outlineLevel="0" collapsed="false">
      <c r="A41" s="39" t="s">
        <v>148</v>
      </c>
      <c r="B41" s="32" t="s">
        <v>73</v>
      </c>
      <c r="C41" s="32" t="s">
        <v>74</v>
      </c>
      <c r="D41" s="40" t="s">
        <v>149</v>
      </c>
      <c r="E41" s="34" t="s">
        <v>76</v>
      </c>
      <c r="F41" s="35" t="s">
        <v>77</v>
      </c>
      <c r="G41" s="35"/>
      <c r="H41" s="35"/>
      <c r="I41" s="35"/>
      <c r="J41" s="35" t="n">
        <v>8</v>
      </c>
      <c r="K41" s="36"/>
      <c r="L41" s="37"/>
      <c r="M41" s="38" t="str">
        <f aca="false">IF($F41="Next week",IFERROR(MATCH($G41,{"Mon","Tue","Wed","Thu","Fri"},0),6)*1000+ROW(),"")</f>
        <v/>
      </c>
    </row>
    <row r="42" customFormat="false" ht="15" hidden="false" customHeight="false" outlineLevel="0" collapsed="false">
      <c r="A42" s="39" t="s">
        <v>148</v>
      </c>
      <c r="B42" s="32" t="s">
        <v>73</v>
      </c>
      <c r="C42" s="32" t="s">
        <v>74</v>
      </c>
      <c r="D42" s="40" t="s">
        <v>150</v>
      </c>
      <c r="E42" s="34" t="s">
        <v>79</v>
      </c>
      <c r="F42" s="35" t="s">
        <v>77</v>
      </c>
      <c r="G42" s="35"/>
      <c r="H42" s="35"/>
      <c r="I42" s="35"/>
      <c r="J42" s="35" t="n">
        <v>8</v>
      </c>
      <c r="K42" s="36"/>
      <c r="L42" s="37"/>
      <c r="M42" s="38" t="str">
        <f aca="false">IF($F42="Next week",IFERROR(MATCH($G42,{"Mon","Tue","Wed","Thu","Fri"},0),6)*1000+ROW(),"")</f>
        <v/>
      </c>
    </row>
    <row r="43" customFormat="false" ht="15" hidden="false" customHeight="false" outlineLevel="0" collapsed="false">
      <c r="A43" s="39" t="s">
        <v>148</v>
      </c>
      <c r="B43" s="32" t="s">
        <v>73</v>
      </c>
      <c r="C43" s="32" t="s">
        <v>74</v>
      </c>
      <c r="D43" s="40" t="s">
        <v>151</v>
      </c>
      <c r="E43" s="34" t="s">
        <v>81</v>
      </c>
      <c r="F43" s="35" t="s">
        <v>77</v>
      </c>
      <c r="G43" s="35"/>
      <c r="H43" s="35"/>
      <c r="I43" s="35"/>
      <c r="J43" s="35" t="n">
        <v>8</v>
      </c>
      <c r="K43" s="36"/>
      <c r="L43" s="37"/>
      <c r="M43" s="38" t="str">
        <f aca="false">IF($F43="Next week",IFERROR(MATCH($G43,{"Mon","Tue","Wed","Thu","Fri"},0),6)*1000+ROW(),"")</f>
        <v/>
      </c>
    </row>
    <row r="44" customFormat="false" ht="15" hidden="false" customHeight="false" outlineLevel="0" collapsed="false">
      <c r="A44" s="39" t="s">
        <v>148</v>
      </c>
      <c r="B44" s="32" t="s">
        <v>73</v>
      </c>
      <c r="C44" s="32" t="s">
        <v>74</v>
      </c>
      <c r="D44" s="40" t="s">
        <v>152</v>
      </c>
      <c r="E44" s="34" t="s">
        <v>83</v>
      </c>
      <c r="F44" s="35" t="s">
        <v>77</v>
      </c>
      <c r="G44" s="35"/>
      <c r="H44" s="35"/>
      <c r="I44" s="35"/>
      <c r="J44" s="35" t="n">
        <v>8</v>
      </c>
      <c r="K44" s="36"/>
      <c r="L44" s="37"/>
      <c r="M44" s="38" t="str">
        <f aca="false">IF($F44="Next week",IFERROR(MATCH($G44,{"Mon","Tue","Wed","Thu","Fri"},0),6)*1000+ROW(),"")</f>
        <v/>
      </c>
    </row>
    <row r="45" customFormat="false" ht="15" hidden="false" customHeight="false" outlineLevel="0" collapsed="false">
      <c r="A45" s="39" t="s">
        <v>148</v>
      </c>
      <c r="B45" s="32" t="s">
        <v>153</v>
      </c>
      <c r="C45" s="32" t="s">
        <v>74</v>
      </c>
      <c r="D45" s="40" t="s">
        <v>154</v>
      </c>
      <c r="E45" s="34" t="s">
        <v>155</v>
      </c>
      <c r="F45" s="35" t="s">
        <v>77</v>
      </c>
      <c r="G45" s="35"/>
      <c r="H45" s="35"/>
      <c r="I45" s="35"/>
      <c r="J45" s="35" t="n">
        <v>8</v>
      </c>
      <c r="K45" s="36"/>
      <c r="L45" s="37"/>
      <c r="M45" s="38" t="str">
        <f aca="false">IF($F45="Next week",IFERROR(MATCH($G45,{"Mon","Tue","Wed","Thu","Fri"},0),6)*1000+ROW(),"")</f>
        <v/>
      </c>
    </row>
    <row r="46" customFormat="false" ht="15" hidden="false" customHeight="false" outlineLevel="0" collapsed="false">
      <c r="A46" s="39" t="s">
        <v>148</v>
      </c>
      <c r="B46" s="32" t="n">
        <v>1</v>
      </c>
      <c r="C46" s="32" t="n">
        <v>1</v>
      </c>
      <c r="D46" s="40" t="s">
        <v>156</v>
      </c>
      <c r="E46" s="34" t="s">
        <v>157</v>
      </c>
      <c r="F46" s="35" t="s">
        <v>77</v>
      </c>
      <c r="G46" s="35"/>
      <c r="H46" s="35"/>
      <c r="I46" s="35"/>
      <c r="J46" s="35" t="n">
        <v>8</v>
      </c>
      <c r="K46" s="36"/>
      <c r="L46" s="37"/>
      <c r="M46" s="38" t="str">
        <f aca="false">IF($F46="Next week",IFERROR(MATCH($G46,{"Mon","Tue","Wed","Thu","Fri"},0),6)*1000+ROW(),"")</f>
        <v/>
      </c>
    </row>
    <row r="47" customFormat="false" ht="15" hidden="false" customHeight="false" outlineLevel="0" collapsed="false">
      <c r="A47" s="39" t="s">
        <v>148</v>
      </c>
      <c r="B47" s="32" t="n">
        <v>1</v>
      </c>
      <c r="C47" s="32" t="n">
        <v>2</v>
      </c>
      <c r="D47" s="40" t="s">
        <v>158</v>
      </c>
      <c r="E47" s="34" t="s">
        <v>159</v>
      </c>
      <c r="F47" s="35" t="s">
        <v>77</v>
      </c>
      <c r="G47" s="35"/>
      <c r="H47" s="35"/>
      <c r="I47" s="35"/>
      <c r="J47" s="35" t="n">
        <v>8</v>
      </c>
      <c r="K47" s="36"/>
      <c r="L47" s="37"/>
      <c r="M47" s="38" t="str">
        <f aca="false">IF($F47="Next week",IFERROR(MATCH($G47,{"Mon","Tue","Wed","Thu","Fri"},0),6)*1000+ROW(),"")</f>
        <v/>
      </c>
    </row>
    <row r="48" customFormat="false" ht="15" hidden="false" customHeight="false" outlineLevel="0" collapsed="false">
      <c r="A48" s="39" t="s">
        <v>148</v>
      </c>
      <c r="B48" s="32" t="n">
        <v>1</v>
      </c>
      <c r="C48" s="32" t="n">
        <v>3</v>
      </c>
      <c r="D48" s="40" t="s">
        <v>160</v>
      </c>
      <c r="E48" s="34" t="s">
        <v>161</v>
      </c>
      <c r="F48" s="35" t="s">
        <v>77</v>
      </c>
      <c r="G48" s="35"/>
      <c r="H48" s="35"/>
      <c r="I48" s="35"/>
      <c r="J48" s="35" t="n">
        <v>8</v>
      </c>
      <c r="K48" s="36"/>
      <c r="L48" s="37"/>
      <c r="M48" s="38" t="str">
        <f aca="false">IF($F48="Next week",IFERROR(MATCH($G48,{"Mon","Tue","Wed","Thu","Fri"},0),6)*1000+ROW(),"")</f>
        <v/>
      </c>
    </row>
    <row r="49" customFormat="false" ht="15" hidden="false" customHeight="false" outlineLevel="0" collapsed="false">
      <c r="A49" s="39" t="s">
        <v>148</v>
      </c>
      <c r="B49" s="32" t="n">
        <v>1</v>
      </c>
      <c r="C49" s="32" t="n">
        <v>4</v>
      </c>
      <c r="D49" s="40" t="s">
        <v>162</v>
      </c>
      <c r="E49" s="34" t="s">
        <v>163</v>
      </c>
      <c r="F49" s="35" t="s">
        <v>77</v>
      </c>
      <c r="G49" s="35"/>
      <c r="H49" s="35"/>
      <c r="I49" s="35"/>
      <c r="J49" s="35" t="n">
        <v>8</v>
      </c>
      <c r="K49" s="36"/>
      <c r="L49" s="37"/>
      <c r="M49" s="38" t="str">
        <f aca="false">IF($F49="Next week",IFERROR(MATCH($G49,{"Mon","Tue","Wed","Thu","Fri"},0),6)*1000+ROW(),"")</f>
        <v/>
      </c>
    </row>
    <row r="50" customFormat="false" ht="15" hidden="false" customHeight="false" outlineLevel="0" collapsed="false">
      <c r="A50" s="39" t="s">
        <v>148</v>
      </c>
      <c r="B50" s="32" t="n">
        <v>1</v>
      </c>
      <c r="C50" s="32" t="n">
        <v>5</v>
      </c>
      <c r="D50" s="40" t="s">
        <v>164</v>
      </c>
      <c r="E50" s="34" t="s">
        <v>165</v>
      </c>
      <c r="F50" s="35" t="s">
        <v>77</v>
      </c>
      <c r="G50" s="35"/>
      <c r="H50" s="35"/>
      <c r="I50" s="35"/>
      <c r="J50" s="35" t="n">
        <v>8</v>
      </c>
      <c r="K50" s="36"/>
      <c r="L50" s="37"/>
      <c r="M50" s="38" t="str">
        <f aca="false">IF($F50="Next week",IFERROR(MATCH($G50,{"Mon","Tue","Wed","Thu","Fri"},0),6)*1000+ROW(),"")</f>
        <v/>
      </c>
    </row>
    <row r="51" customFormat="false" ht="15" hidden="false" customHeight="false" outlineLevel="0" collapsed="false">
      <c r="A51" s="39" t="s">
        <v>148</v>
      </c>
      <c r="B51" s="32" t="n">
        <v>1</v>
      </c>
      <c r="C51" s="32" t="n">
        <v>6</v>
      </c>
      <c r="D51" s="40" t="s">
        <v>166</v>
      </c>
      <c r="E51" s="34" t="s">
        <v>167</v>
      </c>
      <c r="F51" s="35" t="s">
        <v>77</v>
      </c>
      <c r="G51" s="35"/>
      <c r="H51" s="35"/>
      <c r="I51" s="35"/>
      <c r="J51" s="35" t="n">
        <v>8</v>
      </c>
      <c r="K51" s="36"/>
      <c r="L51" s="37"/>
      <c r="M51" s="38" t="str">
        <f aca="false">IF($F51="Next week",IFERROR(MATCH($G51,{"Mon","Tue","Wed","Thu","Fri"},0),6)*1000+ROW(),"")</f>
        <v/>
      </c>
    </row>
    <row r="52" customFormat="false" ht="15" hidden="false" customHeight="false" outlineLevel="0" collapsed="false">
      <c r="A52" s="39" t="s">
        <v>148</v>
      </c>
      <c r="B52" s="32" t="n">
        <v>1</v>
      </c>
      <c r="C52" s="32" t="n">
        <v>7</v>
      </c>
      <c r="D52" s="40" t="s">
        <v>168</v>
      </c>
      <c r="E52" s="34" t="s">
        <v>169</v>
      </c>
      <c r="F52" s="35" t="s">
        <v>77</v>
      </c>
      <c r="G52" s="35"/>
      <c r="H52" s="35"/>
      <c r="I52" s="35"/>
      <c r="J52" s="35" t="n">
        <v>8</v>
      </c>
      <c r="K52" s="36"/>
      <c r="L52" s="37"/>
      <c r="M52" s="38" t="str">
        <f aca="false">IF($F52="Next week",IFERROR(MATCH($G52,{"Mon","Tue","Wed","Thu","Fri"},0),6)*1000+ROW(),"")</f>
        <v/>
      </c>
    </row>
    <row r="53" customFormat="false" ht="15" hidden="false" customHeight="false" outlineLevel="0" collapsed="false">
      <c r="A53" s="39" t="s">
        <v>148</v>
      </c>
      <c r="B53" s="32" t="n">
        <v>1</v>
      </c>
      <c r="C53" s="32" t="n">
        <v>8</v>
      </c>
      <c r="D53" s="40" t="s">
        <v>170</v>
      </c>
      <c r="E53" s="34" t="s">
        <v>171</v>
      </c>
      <c r="F53" s="35" t="s">
        <v>77</v>
      </c>
      <c r="G53" s="35"/>
      <c r="H53" s="35"/>
      <c r="I53" s="35"/>
      <c r="J53" s="35" t="n">
        <v>8</v>
      </c>
      <c r="K53" s="36"/>
      <c r="L53" s="37"/>
      <c r="M53" s="38" t="str">
        <f aca="false">IF($F53="Next week",IFERROR(MATCH($G53,{"Mon","Tue","Wed","Thu","Fri"},0),6)*1000+ROW(),"")</f>
        <v/>
      </c>
    </row>
    <row r="54" customFormat="false" ht="15" hidden="false" customHeight="false" outlineLevel="0" collapsed="false">
      <c r="A54" s="39" t="s">
        <v>148</v>
      </c>
      <c r="B54" s="32" t="n">
        <v>1</v>
      </c>
      <c r="C54" s="32" t="n">
        <v>9</v>
      </c>
      <c r="D54" s="40" t="s">
        <v>172</v>
      </c>
      <c r="E54" s="34" t="s">
        <v>173</v>
      </c>
      <c r="F54" s="35" t="s">
        <v>77</v>
      </c>
      <c r="G54" s="35"/>
      <c r="H54" s="35"/>
      <c r="I54" s="35"/>
      <c r="J54" s="35" t="n">
        <v>8</v>
      </c>
      <c r="K54" s="36"/>
      <c r="L54" s="37"/>
      <c r="M54" s="38" t="str">
        <f aca="false">IF($F54="Next week",IFERROR(MATCH($G54,{"Mon","Tue","Wed","Thu","Fri"},0),6)*1000+ROW(),"")</f>
        <v/>
      </c>
    </row>
    <row r="55" customFormat="false" ht="15" hidden="false" customHeight="false" outlineLevel="0" collapsed="false">
      <c r="A55" s="39" t="s">
        <v>148</v>
      </c>
      <c r="B55" s="32" t="n">
        <v>1</v>
      </c>
      <c r="C55" s="32" t="n">
        <v>10</v>
      </c>
      <c r="D55" s="40" t="s">
        <v>174</v>
      </c>
      <c r="E55" s="34" t="s">
        <v>175</v>
      </c>
      <c r="F55" s="35" t="s">
        <v>77</v>
      </c>
      <c r="G55" s="35"/>
      <c r="H55" s="35"/>
      <c r="I55" s="35"/>
      <c r="J55" s="35" t="n">
        <v>8</v>
      </c>
      <c r="K55" s="36"/>
      <c r="L55" s="37"/>
      <c r="M55" s="38" t="str">
        <f aca="false">IF($F55="Next week",IFERROR(MATCH($G55,{"Mon","Tue","Wed","Thu","Fri"},0),6)*1000+ROW(),"")</f>
        <v/>
      </c>
    </row>
    <row r="56" customFormat="false" ht="15" hidden="false" customHeight="false" outlineLevel="0" collapsed="false">
      <c r="A56" s="39" t="s">
        <v>148</v>
      </c>
      <c r="B56" s="32" t="n">
        <v>1</v>
      </c>
      <c r="C56" s="32" t="n">
        <v>11</v>
      </c>
      <c r="D56" s="40" t="s">
        <v>176</v>
      </c>
      <c r="E56" s="34" t="s">
        <v>177</v>
      </c>
      <c r="F56" s="35" t="s">
        <v>77</v>
      </c>
      <c r="G56" s="35"/>
      <c r="H56" s="35"/>
      <c r="I56" s="35"/>
      <c r="J56" s="35" t="n">
        <v>8</v>
      </c>
      <c r="K56" s="36"/>
      <c r="L56" s="37"/>
      <c r="M56" s="38" t="str">
        <f aca="false">IF($F56="Next week",IFERROR(MATCH($G56,{"Mon","Tue","Wed","Thu","Fri"},0),6)*1000+ROW(),"")</f>
        <v/>
      </c>
    </row>
    <row r="57" customFormat="false" ht="15" hidden="false" customHeight="false" outlineLevel="0" collapsed="false">
      <c r="A57" s="39" t="s">
        <v>148</v>
      </c>
      <c r="B57" s="32" t="n">
        <v>1</v>
      </c>
      <c r="C57" s="32" t="n">
        <v>12</v>
      </c>
      <c r="D57" s="40" t="s">
        <v>178</v>
      </c>
      <c r="E57" s="34" t="s">
        <v>179</v>
      </c>
      <c r="F57" s="35" t="s">
        <v>77</v>
      </c>
      <c r="G57" s="35"/>
      <c r="H57" s="35"/>
      <c r="I57" s="35"/>
      <c r="J57" s="35" t="n">
        <v>8</v>
      </c>
      <c r="K57" s="36"/>
      <c r="L57" s="37"/>
      <c r="M57" s="38" t="str">
        <f aca="false">IF($F57="Next week",IFERROR(MATCH($G57,{"Mon","Tue","Wed","Thu","Fri"},0),6)*1000+ROW(),"")</f>
        <v/>
      </c>
    </row>
    <row r="58" customFormat="false" ht="15" hidden="false" customHeight="false" outlineLevel="0" collapsed="false">
      <c r="A58" s="39" t="s">
        <v>148</v>
      </c>
      <c r="B58" s="32" t="n">
        <v>1</v>
      </c>
      <c r="C58" s="32" t="n">
        <v>13</v>
      </c>
      <c r="D58" s="40" t="s">
        <v>180</v>
      </c>
      <c r="E58" s="34" t="s">
        <v>181</v>
      </c>
      <c r="F58" s="35" t="s">
        <v>77</v>
      </c>
      <c r="G58" s="35"/>
      <c r="H58" s="35"/>
      <c r="I58" s="35"/>
      <c r="J58" s="35" t="n">
        <v>8</v>
      </c>
      <c r="K58" s="36"/>
      <c r="L58" s="37"/>
      <c r="M58" s="38" t="str">
        <f aca="false">IF($F58="Next week",IFERROR(MATCH($G58,{"Mon","Tue","Wed","Thu","Fri"},0),6)*1000+ROW(),"")</f>
        <v/>
      </c>
    </row>
    <row r="59" customFormat="false" ht="15" hidden="false" customHeight="false" outlineLevel="0" collapsed="false">
      <c r="A59" s="39" t="s">
        <v>148</v>
      </c>
      <c r="B59" s="32" t="n">
        <v>1</v>
      </c>
      <c r="C59" s="32" t="n">
        <v>14</v>
      </c>
      <c r="D59" s="40" t="s">
        <v>182</v>
      </c>
      <c r="E59" s="34" t="s">
        <v>183</v>
      </c>
      <c r="F59" s="35" t="s">
        <v>77</v>
      </c>
      <c r="G59" s="35"/>
      <c r="H59" s="35"/>
      <c r="I59" s="35"/>
      <c r="J59" s="35" t="n">
        <v>8</v>
      </c>
      <c r="K59" s="36"/>
      <c r="L59" s="37"/>
      <c r="M59" s="38" t="str">
        <f aca="false">IF($F59="Next week",IFERROR(MATCH($G59,{"Mon","Tue","Wed","Thu","Fri"},0),6)*1000+ROW(),"")</f>
        <v/>
      </c>
    </row>
    <row r="60" customFormat="false" ht="15" hidden="false" customHeight="false" outlineLevel="0" collapsed="false">
      <c r="A60" s="39" t="s">
        <v>148</v>
      </c>
      <c r="B60" s="32" t="n">
        <v>1</v>
      </c>
      <c r="C60" s="32" t="n">
        <v>15</v>
      </c>
      <c r="D60" s="40" t="s">
        <v>184</v>
      </c>
      <c r="E60" s="34" t="s">
        <v>185</v>
      </c>
      <c r="F60" s="35" t="s">
        <v>77</v>
      </c>
      <c r="G60" s="35"/>
      <c r="H60" s="35"/>
      <c r="I60" s="35"/>
      <c r="J60" s="35" t="n">
        <v>8</v>
      </c>
      <c r="K60" s="36"/>
      <c r="L60" s="37"/>
      <c r="M60" s="38" t="str">
        <f aca="false">IF($F60="Next week",IFERROR(MATCH($G60,{"Mon","Tue","Wed","Thu","Fri"},0),6)*1000+ROW(),"")</f>
        <v/>
      </c>
    </row>
    <row r="61" customFormat="false" ht="15" hidden="false" customHeight="false" outlineLevel="0" collapsed="false">
      <c r="A61" s="39" t="s">
        <v>148</v>
      </c>
      <c r="B61" s="32" t="n">
        <v>1</v>
      </c>
      <c r="C61" s="32" t="n">
        <v>16</v>
      </c>
      <c r="D61" s="40" t="s">
        <v>186</v>
      </c>
      <c r="E61" s="34" t="s">
        <v>187</v>
      </c>
      <c r="F61" s="35" t="s">
        <v>77</v>
      </c>
      <c r="G61" s="35"/>
      <c r="H61" s="35"/>
      <c r="I61" s="35"/>
      <c r="J61" s="35" t="n">
        <v>8</v>
      </c>
      <c r="K61" s="36"/>
      <c r="L61" s="37"/>
      <c r="M61" s="38" t="str">
        <f aca="false">IF($F61="Next week",IFERROR(MATCH($G61,{"Mon","Tue","Wed","Thu","Fri"},0),6)*1000+ROW(),"")</f>
        <v/>
      </c>
    </row>
    <row r="62" customFormat="false" ht="15" hidden="false" customHeight="false" outlineLevel="0" collapsed="false">
      <c r="A62" s="39" t="s">
        <v>148</v>
      </c>
      <c r="B62" s="32" t="n">
        <v>2</v>
      </c>
      <c r="C62" s="32" t="n">
        <v>17</v>
      </c>
      <c r="D62" s="40" t="s">
        <v>188</v>
      </c>
      <c r="E62" s="34" t="s">
        <v>189</v>
      </c>
      <c r="F62" s="35" t="s">
        <v>77</v>
      </c>
      <c r="G62" s="35"/>
      <c r="H62" s="35"/>
      <c r="I62" s="35"/>
      <c r="J62" s="35" t="n">
        <v>8</v>
      </c>
      <c r="K62" s="36"/>
      <c r="L62" s="37"/>
      <c r="M62" s="38" t="str">
        <f aca="false">IF($F62="Next week",IFERROR(MATCH($G62,{"Mon","Tue","Wed","Thu","Fri"},0),6)*1000+ROW(),"")</f>
        <v/>
      </c>
    </row>
    <row r="63" customFormat="false" ht="15" hidden="false" customHeight="false" outlineLevel="0" collapsed="false">
      <c r="A63" s="39" t="s">
        <v>148</v>
      </c>
      <c r="B63" s="32" t="n">
        <v>2</v>
      </c>
      <c r="C63" s="32" t="n">
        <v>18</v>
      </c>
      <c r="D63" s="40" t="s">
        <v>190</v>
      </c>
      <c r="E63" s="34" t="s">
        <v>191</v>
      </c>
      <c r="F63" s="35" t="s">
        <v>77</v>
      </c>
      <c r="G63" s="35"/>
      <c r="H63" s="35"/>
      <c r="I63" s="35"/>
      <c r="J63" s="35" t="n">
        <v>8</v>
      </c>
      <c r="K63" s="36"/>
      <c r="L63" s="37"/>
      <c r="M63" s="38" t="str">
        <f aca="false">IF($F63="Next week",IFERROR(MATCH($G63,{"Mon","Tue","Wed","Thu","Fri"},0),6)*1000+ROW(),"")</f>
        <v/>
      </c>
    </row>
    <row r="64" customFormat="false" ht="15" hidden="false" customHeight="false" outlineLevel="0" collapsed="false">
      <c r="A64" s="39" t="s">
        <v>148</v>
      </c>
      <c r="B64" s="32" t="n">
        <v>2</v>
      </c>
      <c r="C64" s="32" t="n">
        <v>19</v>
      </c>
      <c r="D64" s="40" t="s">
        <v>192</v>
      </c>
      <c r="E64" s="34" t="s">
        <v>193</v>
      </c>
      <c r="F64" s="35" t="s">
        <v>77</v>
      </c>
      <c r="G64" s="35"/>
      <c r="H64" s="35"/>
      <c r="I64" s="35"/>
      <c r="J64" s="35" t="n">
        <v>8</v>
      </c>
      <c r="K64" s="36"/>
      <c r="L64" s="37"/>
      <c r="M64" s="38" t="str">
        <f aca="false">IF($F64="Next week",IFERROR(MATCH($G64,{"Mon","Tue","Wed","Thu","Fri"},0),6)*1000+ROW(),"")</f>
        <v/>
      </c>
    </row>
    <row r="65" customFormat="false" ht="15" hidden="false" customHeight="false" outlineLevel="0" collapsed="false">
      <c r="A65" s="39" t="s">
        <v>148</v>
      </c>
      <c r="B65" s="32" t="n">
        <v>2</v>
      </c>
      <c r="C65" s="32" t="n">
        <v>20</v>
      </c>
      <c r="D65" s="40" t="s">
        <v>194</v>
      </c>
      <c r="E65" s="34" t="s">
        <v>195</v>
      </c>
      <c r="F65" s="35" t="s">
        <v>77</v>
      </c>
      <c r="G65" s="35"/>
      <c r="H65" s="35"/>
      <c r="I65" s="35"/>
      <c r="J65" s="35" t="n">
        <v>8</v>
      </c>
      <c r="K65" s="36"/>
      <c r="L65" s="37"/>
      <c r="M65" s="38" t="str">
        <f aca="false">IF($F65="Next week",IFERROR(MATCH($G65,{"Mon","Tue","Wed","Thu","Fri"},0),6)*1000+ROW(),"")</f>
        <v/>
      </c>
    </row>
    <row r="66" customFormat="false" ht="15" hidden="false" customHeight="false" outlineLevel="0" collapsed="false">
      <c r="A66" s="39" t="s">
        <v>148</v>
      </c>
      <c r="B66" s="32" t="n">
        <v>2</v>
      </c>
      <c r="C66" s="32" t="n">
        <v>21</v>
      </c>
      <c r="D66" s="40" t="s">
        <v>196</v>
      </c>
      <c r="E66" s="34" t="s">
        <v>197</v>
      </c>
      <c r="F66" s="35" t="s">
        <v>77</v>
      </c>
      <c r="G66" s="35"/>
      <c r="H66" s="35"/>
      <c r="I66" s="35"/>
      <c r="J66" s="35" t="n">
        <v>8</v>
      </c>
      <c r="K66" s="36"/>
      <c r="L66" s="37"/>
      <c r="M66" s="38" t="str">
        <f aca="false">IF($F66="Next week",IFERROR(MATCH($G66,{"Mon","Tue","Wed","Thu","Fri"},0),6)*1000+ROW(),"")</f>
        <v/>
      </c>
    </row>
    <row r="67" customFormat="false" ht="15" hidden="false" customHeight="false" outlineLevel="0" collapsed="false">
      <c r="A67" s="39" t="s">
        <v>148</v>
      </c>
      <c r="B67" s="32" t="n">
        <v>2</v>
      </c>
      <c r="C67" s="32" t="n">
        <v>22</v>
      </c>
      <c r="D67" s="40" t="s">
        <v>198</v>
      </c>
      <c r="E67" s="34" t="s">
        <v>199</v>
      </c>
      <c r="F67" s="35" t="s">
        <v>77</v>
      </c>
      <c r="G67" s="35"/>
      <c r="H67" s="35"/>
      <c r="I67" s="35"/>
      <c r="J67" s="35" t="n">
        <v>8</v>
      </c>
      <c r="K67" s="36"/>
      <c r="L67" s="37"/>
      <c r="M67" s="38" t="str">
        <f aca="false">IF($F67="Next week",IFERROR(MATCH($G67,{"Mon","Tue","Wed","Thu","Fri"},0),6)*1000+ROW(),"")</f>
        <v/>
      </c>
    </row>
    <row r="68" customFormat="false" ht="15" hidden="false" customHeight="false" outlineLevel="0" collapsed="false">
      <c r="A68" s="39" t="s">
        <v>148</v>
      </c>
      <c r="B68" s="32" t="n">
        <v>2</v>
      </c>
      <c r="C68" s="32" t="n">
        <v>23</v>
      </c>
      <c r="D68" s="40" t="s">
        <v>200</v>
      </c>
      <c r="E68" s="34" t="s">
        <v>201</v>
      </c>
      <c r="F68" s="35" t="s">
        <v>77</v>
      </c>
      <c r="G68" s="35"/>
      <c r="H68" s="35"/>
      <c r="I68" s="35"/>
      <c r="J68" s="35" t="n">
        <v>8</v>
      </c>
      <c r="K68" s="36"/>
      <c r="L68" s="37"/>
      <c r="M68" s="38" t="str">
        <f aca="false">IF($F68="Next week",IFERROR(MATCH($G68,{"Mon","Tue","Wed","Thu","Fri"},0),6)*1000+ROW(),"")</f>
        <v/>
      </c>
    </row>
    <row r="69" customFormat="false" ht="15" hidden="false" customHeight="false" outlineLevel="0" collapsed="false">
      <c r="A69" s="39" t="s">
        <v>148</v>
      </c>
      <c r="B69" s="32" t="n">
        <v>2</v>
      </c>
      <c r="C69" s="32" t="n">
        <v>24</v>
      </c>
      <c r="D69" s="40" t="s">
        <v>202</v>
      </c>
      <c r="E69" s="34" t="s">
        <v>203</v>
      </c>
      <c r="F69" s="35" t="s">
        <v>77</v>
      </c>
      <c r="G69" s="35"/>
      <c r="H69" s="35"/>
      <c r="I69" s="35"/>
      <c r="J69" s="35" t="n">
        <v>8</v>
      </c>
      <c r="K69" s="36"/>
      <c r="L69" s="37"/>
      <c r="M69" s="38" t="str">
        <f aca="false">IF($F69="Next week",IFERROR(MATCH($G69,{"Mon","Tue","Wed","Thu","Fri"},0),6)*1000+ROW(),"")</f>
        <v/>
      </c>
    </row>
    <row r="70" customFormat="false" ht="15" hidden="false" customHeight="false" outlineLevel="0" collapsed="false">
      <c r="A70" s="39" t="s">
        <v>148</v>
      </c>
      <c r="B70" s="32" t="n">
        <v>2</v>
      </c>
      <c r="C70" s="32" t="n">
        <v>25</v>
      </c>
      <c r="D70" s="40" t="s">
        <v>204</v>
      </c>
      <c r="E70" s="34" t="s">
        <v>205</v>
      </c>
      <c r="F70" s="35" t="s">
        <v>77</v>
      </c>
      <c r="G70" s="35"/>
      <c r="H70" s="35"/>
      <c r="I70" s="35"/>
      <c r="J70" s="35" t="n">
        <v>8</v>
      </c>
      <c r="K70" s="36"/>
      <c r="L70" s="37"/>
      <c r="M70" s="38" t="str">
        <f aca="false">IF($F70="Next week",IFERROR(MATCH($G70,{"Mon","Tue","Wed","Thu","Fri"},0),6)*1000+ROW(),"")</f>
        <v/>
      </c>
    </row>
    <row r="71" customFormat="false" ht="15" hidden="false" customHeight="false" outlineLevel="0" collapsed="false">
      <c r="A71" s="39" t="s">
        <v>148</v>
      </c>
      <c r="B71" s="32" t="n">
        <v>2</v>
      </c>
      <c r="C71" s="32" t="n">
        <v>26</v>
      </c>
      <c r="D71" s="40" t="s">
        <v>206</v>
      </c>
      <c r="E71" s="34" t="s">
        <v>207</v>
      </c>
      <c r="F71" s="35" t="s">
        <v>77</v>
      </c>
      <c r="G71" s="35"/>
      <c r="H71" s="35"/>
      <c r="I71" s="35"/>
      <c r="J71" s="35" t="n">
        <v>8</v>
      </c>
      <c r="K71" s="36"/>
      <c r="L71" s="37"/>
      <c r="M71" s="38" t="str">
        <f aca="false">IF($F71="Next week",IFERROR(MATCH($G71,{"Mon","Tue","Wed","Thu","Fri"},0),6)*1000+ROW(),"")</f>
        <v/>
      </c>
    </row>
    <row r="72" customFormat="false" ht="15" hidden="false" customHeight="false" outlineLevel="0" collapsed="false">
      <c r="A72" s="39" t="s">
        <v>148</v>
      </c>
      <c r="B72" s="32" t="n">
        <v>2</v>
      </c>
      <c r="C72" s="32" t="n">
        <v>27</v>
      </c>
      <c r="D72" s="40" t="s">
        <v>208</v>
      </c>
      <c r="E72" s="34" t="s">
        <v>209</v>
      </c>
      <c r="F72" s="35" t="s">
        <v>77</v>
      </c>
      <c r="G72" s="35"/>
      <c r="H72" s="35"/>
      <c r="I72" s="35"/>
      <c r="J72" s="35" t="n">
        <v>8</v>
      </c>
      <c r="K72" s="36"/>
      <c r="L72" s="37"/>
      <c r="M72" s="38" t="str">
        <f aca="false">IF($F72="Next week",IFERROR(MATCH($G72,{"Mon","Tue","Wed","Thu","Fri"},0),6)*1000+ROW(),"")</f>
        <v/>
      </c>
    </row>
    <row r="73" customFormat="false" ht="15" hidden="false" customHeight="false" outlineLevel="0" collapsed="false">
      <c r="A73" s="39" t="s">
        <v>148</v>
      </c>
      <c r="B73" s="32" t="n">
        <v>2</v>
      </c>
      <c r="C73" s="32" t="n">
        <v>28</v>
      </c>
      <c r="D73" s="40" t="s">
        <v>210</v>
      </c>
      <c r="E73" s="34" t="s">
        <v>211</v>
      </c>
      <c r="F73" s="35" t="s">
        <v>77</v>
      </c>
      <c r="G73" s="35"/>
      <c r="H73" s="35"/>
      <c r="I73" s="35"/>
      <c r="J73" s="35" t="n">
        <v>8</v>
      </c>
      <c r="K73" s="36"/>
      <c r="L73" s="37"/>
      <c r="M73" s="38" t="str">
        <f aca="false">IF($F73="Next week",IFERROR(MATCH($G73,{"Mon","Tue","Wed","Thu","Fri"},0),6)*1000+ROW(),"")</f>
        <v/>
      </c>
    </row>
    <row r="74" customFormat="false" ht="15" hidden="false" customHeight="false" outlineLevel="0" collapsed="false">
      <c r="A74" s="39" t="s">
        <v>148</v>
      </c>
      <c r="B74" s="32" t="n">
        <v>2</v>
      </c>
      <c r="C74" s="32" t="n">
        <v>29</v>
      </c>
      <c r="D74" s="40" t="s">
        <v>212</v>
      </c>
      <c r="E74" s="34" t="s">
        <v>213</v>
      </c>
      <c r="F74" s="35" t="s">
        <v>77</v>
      </c>
      <c r="G74" s="35"/>
      <c r="H74" s="35"/>
      <c r="I74" s="35"/>
      <c r="J74" s="35" t="n">
        <v>8</v>
      </c>
      <c r="K74" s="36"/>
      <c r="L74" s="37"/>
      <c r="M74" s="38" t="str">
        <f aca="false">IF($F74="Next week",IFERROR(MATCH($G74,{"Mon","Tue","Wed","Thu","Fri"},0),6)*1000+ROW(),"")</f>
        <v/>
      </c>
    </row>
    <row r="75" customFormat="false" ht="15" hidden="false" customHeight="false" outlineLevel="0" collapsed="false">
      <c r="A75" s="39" t="s">
        <v>148</v>
      </c>
      <c r="B75" s="32" t="n">
        <v>2</v>
      </c>
      <c r="C75" s="32" t="n">
        <v>30</v>
      </c>
      <c r="D75" s="40" t="s">
        <v>214</v>
      </c>
      <c r="E75" s="34" t="s">
        <v>215</v>
      </c>
      <c r="F75" s="35" t="s">
        <v>77</v>
      </c>
      <c r="G75" s="35"/>
      <c r="H75" s="35"/>
      <c r="I75" s="35"/>
      <c r="J75" s="35" t="n">
        <v>8</v>
      </c>
      <c r="K75" s="36"/>
      <c r="L75" s="37"/>
      <c r="M75" s="38" t="str">
        <f aca="false">IF($F75="Next week",IFERROR(MATCH($G75,{"Mon","Tue","Wed","Thu","Fri"},0),6)*1000+ROW(),"")</f>
        <v/>
      </c>
    </row>
    <row r="76" customFormat="false" ht="15" hidden="false" customHeight="false" outlineLevel="0" collapsed="false">
      <c r="A76" s="39" t="s">
        <v>148</v>
      </c>
      <c r="B76" s="32" t="n">
        <v>2</v>
      </c>
      <c r="C76" s="32" t="n">
        <v>31</v>
      </c>
      <c r="D76" s="40" t="s">
        <v>216</v>
      </c>
      <c r="E76" s="34" t="s">
        <v>217</v>
      </c>
      <c r="F76" s="35" t="s">
        <v>77</v>
      </c>
      <c r="G76" s="35"/>
      <c r="H76" s="35"/>
      <c r="I76" s="35"/>
      <c r="J76" s="35" t="n">
        <v>8</v>
      </c>
      <c r="K76" s="36"/>
      <c r="L76" s="37"/>
      <c r="M76" s="38" t="str">
        <f aca="false">IF($F76="Next week",IFERROR(MATCH($G76,{"Mon","Tue","Wed","Thu","Fri"},0),6)*1000+ROW(),"")</f>
        <v/>
      </c>
    </row>
    <row r="77" customFormat="false" ht="15" hidden="false" customHeight="false" outlineLevel="0" collapsed="false">
      <c r="A77" s="39" t="s">
        <v>148</v>
      </c>
      <c r="B77" s="32" t="n">
        <v>2</v>
      </c>
      <c r="C77" s="32" t="n">
        <v>32</v>
      </c>
      <c r="D77" s="40" t="s">
        <v>218</v>
      </c>
      <c r="E77" s="34" t="s">
        <v>219</v>
      </c>
      <c r="F77" s="35" t="s">
        <v>77</v>
      </c>
      <c r="G77" s="35"/>
      <c r="H77" s="35"/>
      <c r="I77" s="35"/>
      <c r="J77" s="35" t="n">
        <v>8</v>
      </c>
      <c r="K77" s="36"/>
      <c r="L77" s="37"/>
      <c r="M77" s="38" t="str">
        <f aca="false">IF($F77="Next week",IFERROR(MATCH($G77,{"Mon","Tue","Wed","Thu","Fri"},0),6)*1000+ROW(),"")</f>
        <v/>
      </c>
    </row>
    <row r="78" customFormat="false" ht="23.85" hidden="false" customHeight="false" outlineLevel="0" collapsed="false">
      <c r="A78" s="41" t="s">
        <v>220</v>
      </c>
      <c r="B78" s="32" t="s">
        <v>73</v>
      </c>
      <c r="C78" s="32" t="s">
        <v>74</v>
      </c>
      <c r="D78" s="42" t="s">
        <v>221</v>
      </c>
      <c r="E78" s="34" t="s">
        <v>76</v>
      </c>
      <c r="F78" s="35" t="s">
        <v>77</v>
      </c>
      <c r="G78" s="35"/>
      <c r="H78" s="35"/>
      <c r="I78" s="35"/>
      <c r="J78" s="35" t="n">
        <v>8</v>
      </c>
      <c r="K78" s="36"/>
      <c r="L78" s="37"/>
      <c r="M78" s="38" t="str">
        <f aca="false">IF($F78="Next week",IFERROR(MATCH($G78,{"Mon","Tue","Wed","Thu","Fri"},0),6)*1000+ROW(),"")</f>
        <v/>
      </c>
    </row>
    <row r="79" customFormat="false" ht="23.85" hidden="false" customHeight="false" outlineLevel="0" collapsed="false">
      <c r="A79" s="41" t="s">
        <v>220</v>
      </c>
      <c r="B79" s="32" t="s">
        <v>73</v>
      </c>
      <c r="C79" s="32" t="s">
        <v>74</v>
      </c>
      <c r="D79" s="42" t="s">
        <v>222</v>
      </c>
      <c r="E79" s="34" t="s">
        <v>79</v>
      </c>
      <c r="F79" s="35" t="s">
        <v>77</v>
      </c>
      <c r="G79" s="35"/>
      <c r="H79" s="35"/>
      <c r="I79" s="35"/>
      <c r="J79" s="35" t="n">
        <v>8</v>
      </c>
      <c r="K79" s="36"/>
      <c r="L79" s="37"/>
      <c r="M79" s="38" t="str">
        <f aca="false">IF($F79="Next week",IFERROR(MATCH($G79,{"Mon","Tue","Wed","Thu","Fri"},0),6)*1000+ROW(),"")</f>
        <v/>
      </c>
    </row>
    <row r="80" customFormat="false" ht="23.85" hidden="false" customHeight="false" outlineLevel="0" collapsed="false">
      <c r="A80" s="41" t="s">
        <v>220</v>
      </c>
      <c r="B80" s="32" t="s">
        <v>73</v>
      </c>
      <c r="C80" s="32" t="s">
        <v>74</v>
      </c>
      <c r="D80" s="42" t="s">
        <v>223</v>
      </c>
      <c r="E80" s="34" t="s">
        <v>81</v>
      </c>
      <c r="F80" s="35" t="s">
        <v>77</v>
      </c>
      <c r="G80" s="35"/>
      <c r="H80" s="35"/>
      <c r="I80" s="35"/>
      <c r="J80" s="35" t="n">
        <v>8</v>
      </c>
      <c r="K80" s="36"/>
      <c r="L80" s="37"/>
      <c r="M80" s="38" t="str">
        <f aca="false">IF($F80="Next week",IFERROR(MATCH($G80,{"Mon","Tue","Wed","Thu","Fri"},0),6)*1000+ROW(),"")</f>
        <v/>
      </c>
    </row>
    <row r="81" customFormat="false" ht="23.85" hidden="false" customHeight="false" outlineLevel="0" collapsed="false">
      <c r="A81" s="41" t="s">
        <v>220</v>
      </c>
      <c r="B81" s="32" t="s">
        <v>73</v>
      </c>
      <c r="C81" s="32" t="s">
        <v>74</v>
      </c>
      <c r="D81" s="42" t="s">
        <v>224</v>
      </c>
      <c r="E81" s="34" t="s">
        <v>83</v>
      </c>
      <c r="F81" s="35" t="s">
        <v>77</v>
      </c>
      <c r="G81" s="35"/>
      <c r="H81" s="35"/>
      <c r="I81" s="35"/>
      <c r="J81" s="35" t="n">
        <v>8</v>
      </c>
      <c r="K81" s="36"/>
      <c r="L81" s="37"/>
      <c r="M81" s="38" t="str">
        <f aca="false">IF($F81="Next week",IFERROR(MATCH($G81,{"Mon","Tue","Wed","Thu","Fri"},0),6)*1000+ROW(),"")</f>
        <v/>
      </c>
    </row>
    <row r="82" customFormat="false" ht="23.85" hidden="false" customHeight="false" outlineLevel="0" collapsed="false">
      <c r="A82" s="41" t="s">
        <v>220</v>
      </c>
      <c r="B82" s="32" t="n">
        <v>1</v>
      </c>
      <c r="C82" s="32" t="n">
        <v>1</v>
      </c>
      <c r="D82" s="42" t="s">
        <v>225</v>
      </c>
      <c r="E82" s="34" t="s">
        <v>226</v>
      </c>
      <c r="F82" s="35" t="s">
        <v>77</v>
      </c>
      <c r="G82" s="35"/>
      <c r="H82" s="35"/>
      <c r="I82" s="35"/>
      <c r="J82" s="35" t="n">
        <v>8</v>
      </c>
      <c r="K82" s="36"/>
      <c r="L82" s="37"/>
      <c r="M82" s="38" t="str">
        <f aca="false">IF($F82="Next week",IFERROR(MATCH($G82,{"Mon","Tue","Wed","Thu","Fri"},0),6)*1000+ROW(),"")</f>
        <v/>
      </c>
    </row>
    <row r="83" customFormat="false" ht="23.85" hidden="false" customHeight="false" outlineLevel="0" collapsed="false">
      <c r="A83" s="41" t="s">
        <v>220</v>
      </c>
      <c r="B83" s="32" t="n">
        <v>1</v>
      </c>
      <c r="C83" s="32" t="n">
        <v>2</v>
      </c>
      <c r="D83" s="42" t="s">
        <v>227</v>
      </c>
      <c r="E83" s="34" t="s">
        <v>228</v>
      </c>
      <c r="F83" s="35" t="s">
        <v>77</v>
      </c>
      <c r="G83" s="35"/>
      <c r="H83" s="35"/>
      <c r="I83" s="35"/>
      <c r="J83" s="35" t="n">
        <v>8</v>
      </c>
      <c r="K83" s="36"/>
      <c r="L83" s="37"/>
      <c r="M83" s="38" t="str">
        <f aca="false">IF($F83="Next week",IFERROR(MATCH($G83,{"Mon","Tue","Wed","Thu","Fri"},0),6)*1000+ROW(),"")</f>
        <v/>
      </c>
    </row>
    <row r="84" customFormat="false" ht="23.85" hidden="false" customHeight="false" outlineLevel="0" collapsed="false">
      <c r="A84" s="41" t="s">
        <v>220</v>
      </c>
      <c r="B84" s="32" t="n">
        <v>1</v>
      </c>
      <c r="C84" s="32" t="n">
        <v>3</v>
      </c>
      <c r="D84" s="42" t="s">
        <v>229</v>
      </c>
      <c r="E84" s="34" t="s">
        <v>230</v>
      </c>
      <c r="F84" s="35" t="s">
        <v>77</v>
      </c>
      <c r="G84" s="35"/>
      <c r="H84" s="35"/>
      <c r="I84" s="35"/>
      <c r="J84" s="35" t="n">
        <v>8</v>
      </c>
      <c r="K84" s="36"/>
      <c r="L84" s="37"/>
      <c r="M84" s="38" t="str">
        <f aca="false">IF($F84="Next week",IFERROR(MATCH($G84,{"Mon","Tue","Wed","Thu","Fri"},0),6)*1000+ROW(),"")</f>
        <v/>
      </c>
    </row>
    <row r="85" customFormat="false" ht="23.85" hidden="false" customHeight="false" outlineLevel="0" collapsed="false">
      <c r="A85" s="41" t="s">
        <v>220</v>
      </c>
      <c r="B85" s="32" t="n">
        <v>1</v>
      </c>
      <c r="C85" s="32" t="n">
        <v>4</v>
      </c>
      <c r="D85" s="42" t="s">
        <v>231</v>
      </c>
      <c r="E85" s="34" t="s">
        <v>232</v>
      </c>
      <c r="F85" s="35" t="s">
        <v>77</v>
      </c>
      <c r="G85" s="35"/>
      <c r="H85" s="35"/>
      <c r="I85" s="35"/>
      <c r="J85" s="35" t="n">
        <v>8</v>
      </c>
      <c r="K85" s="36"/>
      <c r="L85" s="37"/>
      <c r="M85" s="38" t="str">
        <f aca="false">IF($F85="Next week",IFERROR(MATCH($G85,{"Mon","Tue","Wed","Thu","Fri"},0),6)*1000+ROW(),"")</f>
        <v/>
      </c>
    </row>
    <row r="86" customFormat="false" ht="23.85" hidden="false" customHeight="false" outlineLevel="0" collapsed="false">
      <c r="A86" s="41" t="s">
        <v>220</v>
      </c>
      <c r="B86" s="32" t="n">
        <v>1</v>
      </c>
      <c r="C86" s="32" t="n">
        <v>5</v>
      </c>
      <c r="D86" s="42" t="s">
        <v>233</v>
      </c>
      <c r="E86" s="34" t="s">
        <v>234</v>
      </c>
      <c r="F86" s="35" t="s">
        <v>77</v>
      </c>
      <c r="G86" s="35"/>
      <c r="H86" s="35"/>
      <c r="I86" s="35"/>
      <c r="J86" s="35" t="n">
        <v>8</v>
      </c>
      <c r="K86" s="36"/>
      <c r="L86" s="37"/>
      <c r="M86" s="38" t="str">
        <f aca="false">IF($F86="Next week",IFERROR(MATCH($G86,{"Mon","Tue","Wed","Thu","Fri"},0),6)*1000+ROW(),"")</f>
        <v/>
      </c>
    </row>
    <row r="87" customFormat="false" ht="23.85" hidden="false" customHeight="false" outlineLevel="0" collapsed="false">
      <c r="A87" s="41" t="s">
        <v>220</v>
      </c>
      <c r="B87" s="32" t="n">
        <v>1</v>
      </c>
      <c r="C87" s="32" t="n">
        <v>6</v>
      </c>
      <c r="D87" s="42" t="s">
        <v>235</v>
      </c>
      <c r="E87" s="34" t="s">
        <v>236</v>
      </c>
      <c r="F87" s="35" t="s">
        <v>77</v>
      </c>
      <c r="G87" s="35"/>
      <c r="H87" s="35"/>
      <c r="I87" s="35"/>
      <c r="J87" s="35" t="n">
        <v>8</v>
      </c>
      <c r="K87" s="36"/>
      <c r="L87" s="37"/>
      <c r="M87" s="38" t="str">
        <f aca="false">IF($F87="Next week",IFERROR(MATCH($G87,{"Mon","Tue","Wed","Thu","Fri"},0),6)*1000+ROW(),"")</f>
        <v/>
      </c>
    </row>
    <row r="88" customFormat="false" ht="23.85" hidden="false" customHeight="false" outlineLevel="0" collapsed="false">
      <c r="A88" s="41" t="s">
        <v>220</v>
      </c>
      <c r="B88" s="32" t="n">
        <v>1</v>
      </c>
      <c r="C88" s="32" t="n">
        <v>7</v>
      </c>
      <c r="D88" s="42" t="s">
        <v>237</v>
      </c>
      <c r="E88" s="34" t="s">
        <v>238</v>
      </c>
      <c r="F88" s="35" t="s">
        <v>77</v>
      </c>
      <c r="G88" s="35"/>
      <c r="H88" s="35"/>
      <c r="I88" s="35"/>
      <c r="J88" s="35" t="n">
        <v>8</v>
      </c>
      <c r="K88" s="36"/>
      <c r="L88" s="37"/>
      <c r="M88" s="38" t="str">
        <f aca="false">IF($F88="Next week",IFERROR(MATCH($G88,{"Mon","Tue","Wed","Thu","Fri"},0),6)*1000+ROW(),"")</f>
        <v/>
      </c>
    </row>
    <row r="89" customFormat="false" ht="23.85" hidden="false" customHeight="false" outlineLevel="0" collapsed="false">
      <c r="A89" s="41" t="s">
        <v>220</v>
      </c>
      <c r="B89" s="32" t="n">
        <v>1</v>
      </c>
      <c r="C89" s="32" t="n">
        <v>8</v>
      </c>
      <c r="D89" s="42" t="s">
        <v>239</v>
      </c>
      <c r="E89" s="34" t="s">
        <v>240</v>
      </c>
      <c r="F89" s="35" t="s">
        <v>77</v>
      </c>
      <c r="G89" s="35"/>
      <c r="H89" s="35"/>
      <c r="I89" s="35"/>
      <c r="J89" s="35" t="n">
        <v>8</v>
      </c>
      <c r="K89" s="36"/>
      <c r="L89" s="37"/>
      <c r="M89" s="38" t="str">
        <f aca="false">IF($F89="Next week",IFERROR(MATCH($G89,{"Mon","Tue","Wed","Thu","Fri"},0),6)*1000+ROW(),"")</f>
        <v/>
      </c>
    </row>
    <row r="90" customFormat="false" ht="23.85" hidden="false" customHeight="false" outlineLevel="0" collapsed="false">
      <c r="A90" s="41" t="s">
        <v>220</v>
      </c>
      <c r="B90" s="32" t="n">
        <v>1</v>
      </c>
      <c r="C90" s="32" t="n">
        <v>9</v>
      </c>
      <c r="D90" s="42" t="s">
        <v>241</v>
      </c>
      <c r="E90" s="34" t="s">
        <v>242</v>
      </c>
      <c r="F90" s="35" t="s">
        <v>77</v>
      </c>
      <c r="G90" s="35"/>
      <c r="H90" s="35"/>
      <c r="I90" s="35"/>
      <c r="J90" s="35" t="n">
        <v>8</v>
      </c>
      <c r="K90" s="36"/>
      <c r="L90" s="37"/>
      <c r="M90" s="38" t="str">
        <f aca="false">IF($F90="Next week",IFERROR(MATCH($G90,{"Mon","Tue","Wed","Thu","Fri"},0),6)*1000+ROW(),"")</f>
        <v/>
      </c>
    </row>
    <row r="91" customFormat="false" ht="23.85" hidden="false" customHeight="false" outlineLevel="0" collapsed="false">
      <c r="A91" s="41" t="s">
        <v>220</v>
      </c>
      <c r="B91" s="32" t="n">
        <v>1</v>
      </c>
      <c r="C91" s="32" t="n">
        <v>10</v>
      </c>
      <c r="D91" s="42" t="s">
        <v>243</v>
      </c>
      <c r="E91" s="34" t="s">
        <v>244</v>
      </c>
      <c r="F91" s="35" t="s">
        <v>77</v>
      </c>
      <c r="G91" s="35"/>
      <c r="H91" s="35"/>
      <c r="I91" s="35"/>
      <c r="J91" s="35" t="n">
        <v>8</v>
      </c>
      <c r="K91" s="36"/>
      <c r="L91" s="37"/>
      <c r="M91" s="38" t="str">
        <f aca="false">IF($F91="Next week",IFERROR(MATCH($G91,{"Mon","Tue","Wed","Thu","Fri"},0),6)*1000+ROW(),"")</f>
        <v/>
      </c>
    </row>
    <row r="92" customFormat="false" ht="23.85" hidden="false" customHeight="false" outlineLevel="0" collapsed="false">
      <c r="A92" s="41" t="s">
        <v>220</v>
      </c>
      <c r="B92" s="32" t="n">
        <v>1</v>
      </c>
      <c r="C92" s="32" t="n">
        <v>11</v>
      </c>
      <c r="D92" s="42" t="s">
        <v>245</v>
      </c>
      <c r="E92" s="34" t="s">
        <v>246</v>
      </c>
      <c r="F92" s="35" t="s">
        <v>77</v>
      </c>
      <c r="G92" s="35"/>
      <c r="H92" s="35"/>
      <c r="I92" s="35"/>
      <c r="J92" s="35" t="n">
        <v>8</v>
      </c>
      <c r="K92" s="36"/>
      <c r="L92" s="37"/>
      <c r="M92" s="38" t="str">
        <f aca="false">IF($F92="Next week",IFERROR(MATCH($G92,{"Mon","Tue","Wed","Thu","Fri"},0),6)*1000+ROW(),"")</f>
        <v/>
      </c>
    </row>
    <row r="93" customFormat="false" ht="23.85" hidden="false" customHeight="false" outlineLevel="0" collapsed="false">
      <c r="A93" s="41" t="s">
        <v>220</v>
      </c>
      <c r="B93" s="32" t="n">
        <v>1</v>
      </c>
      <c r="C93" s="32" t="n">
        <v>12</v>
      </c>
      <c r="D93" s="42" t="s">
        <v>247</v>
      </c>
      <c r="E93" s="34" t="s">
        <v>248</v>
      </c>
      <c r="F93" s="35" t="s">
        <v>77</v>
      </c>
      <c r="G93" s="35"/>
      <c r="H93" s="35"/>
      <c r="I93" s="35"/>
      <c r="J93" s="35" t="n">
        <v>8</v>
      </c>
      <c r="K93" s="36"/>
      <c r="L93" s="37"/>
      <c r="M93" s="38" t="str">
        <f aca="false">IF($F93="Next week",IFERROR(MATCH($G93,{"Mon","Tue","Wed","Thu","Fri"},0),6)*1000+ROW(),"")</f>
        <v/>
      </c>
    </row>
    <row r="94" customFormat="false" ht="23.85" hidden="false" customHeight="false" outlineLevel="0" collapsed="false">
      <c r="A94" s="41" t="s">
        <v>220</v>
      </c>
      <c r="B94" s="32" t="n">
        <v>1</v>
      </c>
      <c r="C94" s="32" t="n">
        <v>13</v>
      </c>
      <c r="D94" s="42" t="s">
        <v>249</v>
      </c>
      <c r="E94" s="34" t="s">
        <v>250</v>
      </c>
      <c r="F94" s="35" t="s">
        <v>77</v>
      </c>
      <c r="G94" s="35"/>
      <c r="H94" s="35"/>
      <c r="I94" s="35"/>
      <c r="J94" s="35" t="n">
        <v>8</v>
      </c>
      <c r="K94" s="36"/>
      <c r="L94" s="37"/>
      <c r="M94" s="38" t="str">
        <f aca="false">IF($F94="Next week",IFERROR(MATCH($G94,{"Mon","Tue","Wed","Thu","Fri"},0),6)*1000+ROW(),"")</f>
        <v/>
      </c>
    </row>
    <row r="95" customFormat="false" ht="23.85" hidden="false" customHeight="false" outlineLevel="0" collapsed="false">
      <c r="A95" s="41" t="s">
        <v>220</v>
      </c>
      <c r="B95" s="32" t="n">
        <v>1</v>
      </c>
      <c r="C95" s="32" t="n">
        <v>14</v>
      </c>
      <c r="D95" s="42" t="s">
        <v>251</v>
      </c>
      <c r="E95" s="34" t="s">
        <v>252</v>
      </c>
      <c r="F95" s="35" t="s">
        <v>77</v>
      </c>
      <c r="G95" s="35"/>
      <c r="H95" s="35"/>
      <c r="I95" s="35"/>
      <c r="J95" s="35" t="n">
        <v>8</v>
      </c>
      <c r="K95" s="36"/>
      <c r="L95" s="37"/>
      <c r="M95" s="38" t="str">
        <f aca="false">IF($F95="Next week",IFERROR(MATCH($G95,{"Mon","Tue","Wed","Thu","Fri"},0),6)*1000+ROW(),"")</f>
        <v/>
      </c>
    </row>
    <row r="96" customFormat="false" ht="23.85" hidden="false" customHeight="false" outlineLevel="0" collapsed="false">
      <c r="A96" s="41" t="s">
        <v>220</v>
      </c>
      <c r="B96" s="32" t="n">
        <v>1</v>
      </c>
      <c r="C96" s="32" t="n">
        <v>15</v>
      </c>
      <c r="D96" s="42" t="s">
        <v>253</v>
      </c>
      <c r="E96" s="34" t="s">
        <v>254</v>
      </c>
      <c r="F96" s="35" t="s">
        <v>77</v>
      </c>
      <c r="G96" s="35"/>
      <c r="H96" s="35"/>
      <c r="I96" s="35"/>
      <c r="J96" s="35" t="n">
        <v>8</v>
      </c>
      <c r="K96" s="36"/>
      <c r="L96" s="37"/>
      <c r="M96" s="38" t="str">
        <f aca="false">IF($F96="Next week",IFERROR(MATCH($G96,{"Mon","Tue","Wed","Thu","Fri"},0),6)*1000+ROW(),"")</f>
        <v/>
      </c>
    </row>
    <row r="97" customFormat="false" ht="23.85" hidden="false" customHeight="false" outlineLevel="0" collapsed="false">
      <c r="A97" s="41" t="s">
        <v>220</v>
      </c>
      <c r="B97" s="32" t="n">
        <v>1</v>
      </c>
      <c r="C97" s="32" t="n">
        <v>16</v>
      </c>
      <c r="D97" s="42" t="s">
        <v>255</v>
      </c>
      <c r="E97" s="34" t="s">
        <v>256</v>
      </c>
      <c r="F97" s="35" t="s">
        <v>77</v>
      </c>
      <c r="G97" s="35"/>
      <c r="H97" s="35"/>
      <c r="I97" s="35"/>
      <c r="J97" s="35" t="n">
        <v>8</v>
      </c>
      <c r="K97" s="36"/>
      <c r="L97" s="37"/>
      <c r="M97" s="38" t="str">
        <f aca="false">IF($F97="Next week",IFERROR(MATCH($G97,{"Mon","Tue","Wed","Thu","Fri"},0),6)*1000+ROW(),"")</f>
        <v/>
      </c>
    </row>
    <row r="98" customFormat="false" ht="23.85" hidden="false" customHeight="false" outlineLevel="0" collapsed="false">
      <c r="A98" s="41" t="s">
        <v>220</v>
      </c>
      <c r="B98" s="32" t="n">
        <v>2</v>
      </c>
      <c r="C98" s="32" t="n">
        <v>17</v>
      </c>
      <c r="D98" s="42" t="s">
        <v>257</v>
      </c>
      <c r="E98" s="34" t="s">
        <v>258</v>
      </c>
      <c r="F98" s="35" t="s">
        <v>77</v>
      </c>
      <c r="G98" s="35"/>
      <c r="H98" s="35"/>
      <c r="I98" s="35"/>
      <c r="J98" s="35" t="n">
        <v>8</v>
      </c>
      <c r="K98" s="36"/>
      <c r="L98" s="37"/>
      <c r="M98" s="38" t="str">
        <f aca="false">IF($F98="Next week",IFERROR(MATCH($G98,{"Mon","Tue","Wed","Thu","Fri"},0),6)*1000+ROW(),"")</f>
        <v/>
      </c>
    </row>
    <row r="99" customFormat="false" ht="23.85" hidden="false" customHeight="false" outlineLevel="0" collapsed="false">
      <c r="A99" s="41" t="s">
        <v>220</v>
      </c>
      <c r="B99" s="32" t="n">
        <v>2</v>
      </c>
      <c r="C99" s="32" t="n">
        <v>18</v>
      </c>
      <c r="D99" s="42" t="s">
        <v>259</v>
      </c>
      <c r="E99" s="34" t="s">
        <v>260</v>
      </c>
      <c r="F99" s="35" t="s">
        <v>77</v>
      </c>
      <c r="G99" s="35"/>
      <c r="H99" s="35"/>
      <c r="I99" s="35"/>
      <c r="J99" s="35" t="n">
        <v>8</v>
      </c>
      <c r="K99" s="36"/>
      <c r="L99" s="37"/>
      <c r="M99" s="38" t="str">
        <f aca="false">IF($F99="Next week",IFERROR(MATCH($G99,{"Mon","Tue","Wed","Thu","Fri"},0),6)*1000+ROW(),"")</f>
        <v/>
      </c>
    </row>
    <row r="100" customFormat="false" ht="23.85" hidden="false" customHeight="false" outlineLevel="0" collapsed="false">
      <c r="A100" s="41" t="s">
        <v>220</v>
      </c>
      <c r="B100" s="32" t="n">
        <v>2</v>
      </c>
      <c r="C100" s="32" t="n">
        <v>19</v>
      </c>
      <c r="D100" s="42" t="s">
        <v>261</v>
      </c>
      <c r="E100" s="34" t="s">
        <v>262</v>
      </c>
      <c r="F100" s="35" t="s">
        <v>77</v>
      </c>
      <c r="G100" s="35"/>
      <c r="H100" s="35"/>
      <c r="I100" s="35"/>
      <c r="J100" s="35" t="n">
        <v>8</v>
      </c>
      <c r="K100" s="36"/>
      <c r="L100" s="37"/>
      <c r="M100" s="38" t="str">
        <f aca="false">IF($F100="Next week",IFERROR(MATCH($G100,{"Mon","Tue","Wed","Thu","Fri"},0),6)*1000+ROW(),"")</f>
        <v/>
      </c>
    </row>
    <row r="101" customFormat="false" ht="23.85" hidden="false" customHeight="false" outlineLevel="0" collapsed="false">
      <c r="A101" s="41" t="s">
        <v>220</v>
      </c>
      <c r="B101" s="32" t="n">
        <v>2</v>
      </c>
      <c r="C101" s="32" t="n">
        <v>20</v>
      </c>
      <c r="D101" s="42" t="s">
        <v>263</v>
      </c>
      <c r="E101" s="34" t="s">
        <v>264</v>
      </c>
      <c r="F101" s="35" t="s">
        <v>77</v>
      </c>
      <c r="G101" s="35"/>
      <c r="H101" s="35"/>
      <c r="I101" s="35"/>
      <c r="J101" s="35" t="n">
        <v>8</v>
      </c>
      <c r="K101" s="36"/>
      <c r="L101" s="37"/>
      <c r="M101" s="38" t="str">
        <f aca="false">IF($F101="Next week",IFERROR(MATCH($G101,{"Mon","Tue","Wed","Thu","Fri"},0),6)*1000+ROW(),"")</f>
        <v/>
      </c>
    </row>
    <row r="102" customFormat="false" ht="23.85" hidden="false" customHeight="false" outlineLevel="0" collapsed="false">
      <c r="A102" s="41" t="s">
        <v>220</v>
      </c>
      <c r="B102" s="32" t="n">
        <v>2</v>
      </c>
      <c r="C102" s="32" t="n">
        <v>21</v>
      </c>
      <c r="D102" s="42" t="s">
        <v>265</v>
      </c>
      <c r="E102" s="34" t="s">
        <v>266</v>
      </c>
      <c r="F102" s="35" t="s">
        <v>77</v>
      </c>
      <c r="G102" s="35"/>
      <c r="H102" s="35"/>
      <c r="I102" s="35"/>
      <c r="J102" s="35" t="n">
        <v>8</v>
      </c>
      <c r="K102" s="36"/>
      <c r="L102" s="37"/>
      <c r="M102" s="38" t="str">
        <f aca="false">IF($F102="Next week",IFERROR(MATCH($G102,{"Mon","Tue","Wed","Thu","Fri"},0),6)*1000+ROW(),"")</f>
        <v/>
      </c>
    </row>
    <row r="103" customFormat="false" ht="23.85" hidden="false" customHeight="false" outlineLevel="0" collapsed="false">
      <c r="A103" s="41" t="s">
        <v>220</v>
      </c>
      <c r="B103" s="32" t="n">
        <v>2</v>
      </c>
      <c r="C103" s="32" t="n">
        <v>22</v>
      </c>
      <c r="D103" s="42" t="s">
        <v>267</v>
      </c>
      <c r="E103" s="34" t="s">
        <v>268</v>
      </c>
      <c r="F103" s="35" t="s">
        <v>77</v>
      </c>
      <c r="G103" s="35"/>
      <c r="H103" s="35"/>
      <c r="I103" s="35"/>
      <c r="J103" s="35" t="n">
        <v>8</v>
      </c>
      <c r="K103" s="36"/>
      <c r="L103" s="37"/>
      <c r="M103" s="38" t="str">
        <f aca="false">IF($F103="Next week",IFERROR(MATCH($G103,{"Mon","Tue","Wed","Thu","Fri"},0),6)*1000+ROW(),"")</f>
        <v/>
      </c>
    </row>
    <row r="104" customFormat="false" ht="23.85" hidden="false" customHeight="false" outlineLevel="0" collapsed="false">
      <c r="A104" s="41" t="s">
        <v>220</v>
      </c>
      <c r="B104" s="32" t="n">
        <v>2</v>
      </c>
      <c r="C104" s="32" t="n">
        <v>23</v>
      </c>
      <c r="D104" s="42" t="s">
        <v>269</v>
      </c>
      <c r="E104" s="34" t="s">
        <v>270</v>
      </c>
      <c r="F104" s="35" t="s">
        <v>77</v>
      </c>
      <c r="G104" s="35"/>
      <c r="H104" s="35"/>
      <c r="I104" s="35"/>
      <c r="J104" s="35" t="n">
        <v>8</v>
      </c>
      <c r="K104" s="36"/>
      <c r="L104" s="37"/>
      <c r="M104" s="38" t="str">
        <f aca="false">IF($F104="Next week",IFERROR(MATCH($G104,{"Mon","Tue","Wed","Thu","Fri"},0),6)*1000+ROW(),"")</f>
        <v/>
      </c>
    </row>
    <row r="105" customFormat="false" ht="23.85" hidden="false" customHeight="false" outlineLevel="0" collapsed="false">
      <c r="A105" s="41" t="s">
        <v>220</v>
      </c>
      <c r="B105" s="32" t="n">
        <v>2</v>
      </c>
      <c r="C105" s="32" t="n">
        <v>24</v>
      </c>
      <c r="D105" s="42" t="s">
        <v>271</v>
      </c>
      <c r="E105" s="34" t="s">
        <v>272</v>
      </c>
      <c r="F105" s="35" t="s">
        <v>77</v>
      </c>
      <c r="G105" s="35"/>
      <c r="H105" s="35"/>
      <c r="I105" s="35"/>
      <c r="J105" s="35" t="n">
        <v>8</v>
      </c>
      <c r="K105" s="36"/>
      <c r="L105" s="37"/>
      <c r="M105" s="38" t="str">
        <f aca="false">IF($F105="Next week",IFERROR(MATCH($G105,{"Mon","Tue","Wed","Thu","Fri"},0),6)*1000+ROW(),"")</f>
        <v/>
      </c>
    </row>
    <row r="106" customFormat="false" ht="23.85" hidden="false" customHeight="false" outlineLevel="0" collapsed="false">
      <c r="A106" s="41" t="s">
        <v>220</v>
      </c>
      <c r="B106" s="32" t="n">
        <v>2</v>
      </c>
      <c r="C106" s="32" t="n">
        <v>25</v>
      </c>
      <c r="D106" s="42" t="s">
        <v>273</v>
      </c>
      <c r="E106" s="34" t="s">
        <v>274</v>
      </c>
      <c r="F106" s="35" t="s">
        <v>77</v>
      </c>
      <c r="G106" s="35"/>
      <c r="H106" s="35"/>
      <c r="I106" s="35"/>
      <c r="J106" s="35" t="n">
        <v>8</v>
      </c>
      <c r="K106" s="36"/>
      <c r="L106" s="37"/>
      <c r="M106" s="38" t="str">
        <f aca="false">IF($F106="Next week",IFERROR(MATCH($G106,{"Mon","Tue","Wed","Thu","Fri"},0),6)*1000+ROW(),"")</f>
        <v/>
      </c>
    </row>
    <row r="107" customFormat="false" ht="23.85" hidden="false" customHeight="false" outlineLevel="0" collapsed="false">
      <c r="A107" s="41" t="s">
        <v>220</v>
      </c>
      <c r="B107" s="32" t="n">
        <v>2</v>
      </c>
      <c r="C107" s="32" t="n">
        <v>26</v>
      </c>
      <c r="D107" s="42" t="s">
        <v>275</v>
      </c>
      <c r="E107" s="34" t="s">
        <v>276</v>
      </c>
      <c r="F107" s="35" t="s">
        <v>77</v>
      </c>
      <c r="G107" s="35"/>
      <c r="H107" s="35"/>
      <c r="I107" s="35"/>
      <c r="J107" s="35" t="n">
        <v>8</v>
      </c>
      <c r="K107" s="36"/>
      <c r="L107" s="37"/>
      <c r="M107" s="38" t="str">
        <f aca="false">IF($F107="Next week",IFERROR(MATCH($G107,{"Mon","Tue","Wed","Thu","Fri"},0),6)*1000+ROW(),"")</f>
        <v/>
      </c>
    </row>
    <row r="108" customFormat="false" ht="23.85" hidden="false" customHeight="false" outlineLevel="0" collapsed="false">
      <c r="A108" s="41" t="s">
        <v>220</v>
      </c>
      <c r="B108" s="32" t="n">
        <v>2</v>
      </c>
      <c r="C108" s="32" t="n">
        <v>27</v>
      </c>
      <c r="D108" s="42" t="s">
        <v>277</v>
      </c>
      <c r="E108" s="34" t="s">
        <v>278</v>
      </c>
      <c r="F108" s="35" t="s">
        <v>77</v>
      </c>
      <c r="G108" s="35"/>
      <c r="H108" s="35"/>
      <c r="I108" s="35"/>
      <c r="J108" s="35" t="n">
        <v>8</v>
      </c>
      <c r="K108" s="36"/>
      <c r="L108" s="37"/>
      <c r="M108" s="38" t="str">
        <f aca="false">IF($F108="Next week",IFERROR(MATCH($G108,{"Mon","Tue","Wed","Thu","Fri"},0),6)*1000+ROW(),"")</f>
        <v/>
      </c>
    </row>
    <row r="109" customFormat="false" ht="23.85" hidden="false" customHeight="false" outlineLevel="0" collapsed="false">
      <c r="A109" s="41" t="s">
        <v>220</v>
      </c>
      <c r="B109" s="32" t="n">
        <v>2</v>
      </c>
      <c r="C109" s="32" t="n">
        <v>28</v>
      </c>
      <c r="D109" s="42" t="s">
        <v>279</v>
      </c>
      <c r="E109" s="34" t="s">
        <v>280</v>
      </c>
      <c r="F109" s="35" t="s">
        <v>77</v>
      </c>
      <c r="G109" s="35"/>
      <c r="H109" s="35"/>
      <c r="I109" s="35"/>
      <c r="J109" s="35" t="n">
        <v>8</v>
      </c>
      <c r="K109" s="36"/>
      <c r="L109" s="37"/>
      <c r="M109" s="38" t="str">
        <f aca="false">IF($F109="Next week",IFERROR(MATCH($G109,{"Mon","Tue","Wed","Thu","Fri"},0),6)*1000+ROW(),"")</f>
        <v/>
      </c>
    </row>
    <row r="110" customFormat="false" ht="23.85" hidden="false" customHeight="false" outlineLevel="0" collapsed="false">
      <c r="A110" s="41" t="s">
        <v>220</v>
      </c>
      <c r="B110" s="32" t="n">
        <v>2</v>
      </c>
      <c r="C110" s="32" t="n">
        <v>29</v>
      </c>
      <c r="D110" s="42" t="s">
        <v>281</v>
      </c>
      <c r="E110" s="34" t="s">
        <v>282</v>
      </c>
      <c r="F110" s="35" t="s">
        <v>77</v>
      </c>
      <c r="G110" s="35"/>
      <c r="H110" s="35"/>
      <c r="I110" s="35"/>
      <c r="J110" s="35" t="n">
        <v>8</v>
      </c>
      <c r="K110" s="36"/>
      <c r="L110" s="37"/>
      <c r="M110" s="38" t="str">
        <f aca="false">IF($F110="Next week",IFERROR(MATCH($G110,{"Mon","Tue","Wed","Thu","Fri"},0),6)*1000+ROW(),"")</f>
        <v/>
      </c>
    </row>
    <row r="111" customFormat="false" ht="23.85" hidden="false" customHeight="false" outlineLevel="0" collapsed="false">
      <c r="A111" s="41" t="s">
        <v>220</v>
      </c>
      <c r="B111" s="32" t="n">
        <v>2</v>
      </c>
      <c r="C111" s="32" t="n">
        <v>30</v>
      </c>
      <c r="D111" s="42" t="s">
        <v>283</v>
      </c>
      <c r="E111" s="34" t="s">
        <v>284</v>
      </c>
      <c r="F111" s="35" t="s">
        <v>77</v>
      </c>
      <c r="G111" s="35"/>
      <c r="H111" s="35"/>
      <c r="I111" s="35"/>
      <c r="J111" s="35" t="n">
        <v>8</v>
      </c>
      <c r="K111" s="36"/>
      <c r="L111" s="37"/>
      <c r="M111" s="38" t="str">
        <f aca="false">IF($F111="Next week",IFERROR(MATCH($G111,{"Mon","Tue","Wed","Thu","Fri"},0),6)*1000+ROW(),"")</f>
        <v/>
      </c>
    </row>
    <row r="112" customFormat="false" ht="23.85" hidden="false" customHeight="false" outlineLevel="0" collapsed="false">
      <c r="A112" s="41" t="s">
        <v>220</v>
      </c>
      <c r="B112" s="32" t="n">
        <v>2</v>
      </c>
      <c r="C112" s="32" t="n">
        <v>31</v>
      </c>
      <c r="D112" s="42" t="s">
        <v>285</v>
      </c>
      <c r="E112" s="34" t="s">
        <v>286</v>
      </c>
      <c r="F112" s="35" t="s">
        <v>77</v>
      </c>
      <c r="G112" s="35"/>
      <c r="H112" s="35"/>
      <c r="I112" s="35"/>
      <c r="J112" s="35" t="n">
        <v>8</v>
      </c>
      <c r="K112" s="36"/>
      <c r="L112" s="37"/>
      <c r="M112" s="38" t="str">
        <f aca="false">IF($F112="Next week",IFERROR(MATCH($G112,{"Mon","Tue","Wed","Thu","Fri"},0),6)*1000+ROW(),"")</f>
        <v/>
      </c>
    </row>
    <row r="113" customFormat="false" ht="23.85" hidden="false" customHeight="false" outlineLevel="0" collapsed="false">
      <c r="A113" s="41" t="s">
        <v>220</v>
      </c>
      <c r="B113" s="32" t="n">
        <v>2</v>
      </c>
      <c r="C113" s="32" t="n">
        <v>32</v>
      </c>
      <c r="D113" s="42" t="s">
        <v>287</v>
      </c>
      <c r="E113" s="34" t="s">
        <v>288</v>
      </c>
      <c r="F113" s="35" t="s">
        <v>77</v>
      </c>
      <c r="G113" s="35"/>
      <c r="H113" s="35"/>
      <c r="I113" s="35"/>
      <c r="J113" s="35" t="n">
        <v>8</v>
      </c>
      <c r="K113" s="36"/>
      <c r="L113" s="37"/>
      <c r="M113" s="38" t="str">
        <f aca="false">IF($F113="Next week",IFERROR(MATCH($G113,{"Mon","Tue","Wed","Thu","Fri"},0),6)*1000+ROW(),"")</f>
        <v/>
      </c>
    </row>
    <row r="114" customFormat="false" ht="15" hidden="false" customHeight="false" outlineLevel="0" collapsed="false">
      <c r="A114" s="43" t="s">
        <v>289</v>
      </c>
      <c r="B114" s="32" t="s">
        <v>73</v>
      </c>
      <c r="C114" s="32" t="s">
        <v>74</v>
      </c>
      <c r="D114" s="44" t="s">
        <v>290</v>
      </c>
      <c r="E114" s="34" t="s">
        <v>76</v>
      </c>
      <c r="F114" s="35" t="s">
        <v>77</v>
      </c>
      <c r="G114" s="35"/>
      <c r="H114" s="35"/>
      <c r="I114" s="35"/>
      <c r="J114" s="35" t="n">
        <v>8</v>
      </c>
      <c r="K114" s="36"/>
      <c r="L114" s="37"/>
      <c r="M114" s="38" t="str">
        <f aca="false">IF($F114="Next week",IFERROR(MATCH($G114,{"Mon","Tue","Wed","Thu","Fri"},0),6)*1000+ROW(),"")</f>
        <v/>
      </c>
    </row>
    <row r="115" customFormat="false" ht="15" hidden="false" customHeight="false" outlineLevel="0" collapsed="false">
      <c r="A115" s="43" t="s">
        <v>289</v>
      </c>
      <c r="B115" s="32" t="s">
        <v>73</v>
      </c>
      <c r="C115" s="32" t="s">
        <v>74</v>
      </c>
      <c r="D115" s="44" t="s">
        <v>291</v>
      </c>
      <c r="E115" s="34" t="s">
        <v>79</v>
      </c>
      <c r="F115" s="35" t="s">
        <v>77</v>
      </c>
      <c r="G115" s="35"/>
      <c r="H115" s="35"/>
      <c r="I115" s="35"/>
      <c r="J115" s="35" t="n">
        <v>8</v>
      </c>
      <c r="K115" s="36"/>
      <c r="L115" s="37"/>
      <c r="M115" s="38" t="str">
        <f aca="false">IF($F115="Next week",IFERROR(MATCH($G115,{"Mon","Tue","Wed","Thu","Fri"},0),6)*1000+ROW(),"")</f>
        <v/>
      </c>
    </row>
    <row r="116" customFormat="false" ht="15" hidden="false" customHeight="false" outlineLevel="0" collapsed="false">
      <c r="A116" s="43" t="s">
        <v>289</v>
      </c>
      <c r="B116" s="32" t="s">
        <v>73</v>
      </c>
      <c r="C116" s="32" t="s">
        <v>74</v>
      </c>
      <c r="D116" s="44" t="s">
        <v>292</v>
      </c>
      <c r="E116" s="34" t="s">
        <v>81</v>
      </c>
      <c r="F116" s="35" t="s">
        <v>77</v>
      </c>
      <c r="G116" s="35"/>
      <c r="H116" s="35"/>
      <c r="I116" s="35"/>
      <c r="J116" s="35" t="n">
        <v>8</v>
      </c>
      <c r="K116" s="36"/>
      <c r="L116" s="37"/>
      <c r="M116" s="38" t="str">
        <f aca="false">IF($F116="Next week",IFERROR(MATCH($G116,{"Mon","Tue","Wed","Thu","Fri"},0),6)*1000+ROW(),"")</f>
        <v/>
      </c>
    </row>
    <row r="117" customFormat="false" ht="15" hidden="false" customHeight="false" outlineLevel="0" collapsed="false">
      <c r="A117" s="43" t="s">
        <v>289</v>
      </c>
      <c r="B117" s="32" t="s">
        <v>73</v>
      </c>
      <c r="C117" s="32" t="s">
        <v>74</v>
      </c>
      <c r="D117" s="44" t="s">
        <v>293</v>
      </c>
      <c r="E117" s="34" t="s">
        <v>83</v>
      </c>
      <c r="F117" s="35" t="s">
        <v>77</v>
      </c>
      <c r="G117" s="35"/>
      <c r="H117" s="35"/>
      <c r="I117" s="35"/>
      <c r="J117" s="35" t="n">
        <v>8</v>
      </c>
      <c r="K117" s="36"/>
      <c r="L117" s="37"/>
      <c r="M117" s="38" t="str">
        <f aca="false">IF($F117="Next week",IFERROR(MATCH($G117,{"Mon","Tue","Wed","Thu","Fri"},0),6)*1000+ROW(),"")</f>
        <v/>
      </c>
    </row>
    <row r="118" customFormat="false" ht="15" hidden="false" customHeight="false" outlineLevel="0" collapsed="false">
      <c r="A118" s="43" t="s">
        <v>289</v>
      </c>
      <c r="B118" s="32" t="n">
        <v>1</v>
      </c>
      <c r="C118" s="32" t="n">
        <v>1</v>
      </c>
      <c r="D118" s="44" t="s">
        <v>294</v>
      </c>
      <c r="E118" s="34" t="s">
        <v>295</v>
      </c>
      <c r="F118" s="35" t="s">
        <v>77</v>
      </c>
      <c r="G118" s="35"/>
      <c r="H118" s="35"/>
      <c r="I118" s="35"/>
      <c r="J118" s="35" t="n">
        <v>8</v>
      </c>
      <c r="K118" s="36"/>
      <c r="L118" s="37"/>
      <c r="M118" s="38" t="str">
        <f aca="false">IF($F118="Next week",IFERROR(MATCH($G118,{"Mon","Tue","Wed","Thu","Fri"},0),6)*1000+ROW(),"")</f>
        <v/>
      </c>
    </row>
    <row r="119" customFormat="false" ht="15" hidden="false" customHeight="false" outlineLevel="0" collapsed="false">
      <c r="A119" s="43" t="s">
        <v>289</v>
      </c>
      <c r="B119" s="32" t="n">
        <v>1</v>
      </c>
      <c r="C119" s="32" t="n">
        <v>2</v>
      </c>
      <c r="D119" s="44" t="s">
        <v>296</v>
      </c>
      <c r="E119" s="34" t="s">
        <v>297</v>
      </c>
      <c r="F119" s="35" t="s">
        <v>77</v>
      </c>
      <c r="G119" s="35"/>
      <c r="H119" s="35"/>
      <c r="I119" s="35"/>
      <c r="J119" s="35" t="n">
        <v>8</v>
      </c>
      <c r="K119" s="36"/>
      <c r="L119" s="37"/>
      <c r="M119" s="38" t="str">
        <f aca="false">IF($F119="Next week",IFERROR(MATCH($G119,{"Mon","Tue","Wed","Thu","Fri"},0),6)*1000+ROW(),"")</f>
        <v/>
      </c>
    </row>
    <row r="120" customFormat="false" ht="23.85" hidden="false" customHeight="false" outlineLevel="0" collapsed="false">
      <c r="A120" s="43" t="s">
        <v>289</v>
      </c>
      <c r="B120" s="32" t="n">
        <v>1</v>
      </c>
      <c r="C120" s="32" t="n">
        <v>3</v>
      </c>
      <c r="D120" s="44" t="s">
        <v>298</v>
      </c>
      <c r="E120" s="34" t="s">
        <v>299</v>
      </c>
      <c r="F120" s="35" t="s">
        <v>77</v>
      </c>
      <c r="G120" s="35"/>
      <c r="H120" s="35"/>
      <c r="I120" s="35"/>
      <c r="J120" s="35" t="n">
        <v>8</v>
      </c>
      <c r="K120" s="36"/>
      <c r="L120" s="37"/>
      <c r="M120" s="38" t="str">
        <f aca="false">IF($F120="Next week",IFERROR(MATCH($G120,{"Mon","Tue","Wed","Thu","Fri"},0),6)*1000+ROW(),"")</f>
        <v/>
      </c>
    </row>
    <row r="121" customFormat="false" ht="15" hidden="false" customHeight="false" outlineLevel="0" collapsed="false">
      <c r="A121" s="43" t="s">
        <v>289</v>
      </c>
      <c r="B121" s="32" t="n">
        <v>1</v>
      </c>
      <c r="C121" s="32" t="n">
        <v>4</v>
      </c>
      <c r="D121" s="44" t="s">
        <v>300</v>
      </c>
      <c r="E121" s="34" t="s">
        <v>301</v>
      </c>
      <c r="F121" s="35" t="s">
        <v>77</v>
      </c>
      <c r="G121" s="35"/>
      <c r="H121" s="35"/>
      <c r="I121" s="35"/>
      <c r="J121" s="35" t="n">
        <v>8</v>
      </c>
      <c r="K121" s="36"/>
      <c r="L121" s="37"/>
      <c r="M121" s="38" t="str">
        <f aca="false">IF($F121="Next week",IFERROR(MATCH($G121,{"Mon","Tue","Wed","Thu","Fri"},0),6)*1000+ROW(),"")</f>
        <v/>
      </c>
    </row>
    <row r="122" customFormat="false" ht="15" hidden="false" customHeight="false" outlineLevel="0" collapsed="false">
      <c r="A122" s="43" t="s">
        <v>289</v>
      </c>
      <c r="B122" s="32" t="n">
        <v>1</v>
      </c>
      <c r="C122" s="32" t="n">
        <v>5</v>
      </c>
      <c r="D122" s="44" t="s">
        <v>302</v>
      </c>
      <c r="E122" s="34" t="s">
        <v>303</v>
      </c>
      <c r="F122" s="35" t="s">
        <v>77</v>
      </c>
      <c r="G122" s="35"/>
      <c r="H122" s="35"/>
      <c r="I122" s="35"/>
      <c r="J122" s="35" t="n">
        <v>8</v>
      </c>
      <c r="K122" s="36"/>
      <c r="L122" s="37"/>
      <c r="M122" s="38" t="str">
        <f aca="false">IF($F122="Next week",IFERROR(MATCH($G122,{"Mon","Tue","Wed","Thu","Fri"},0),6)*1000+ROW(),"")</f>
        <v/>
      </c>
    </row>
    <row r="123" customFormat="false" ht="15" hidden="false" customHeight="false" outlineLevel="0" collapsed="false">
      <c r="A123" s="43" t="s">
        <v>289</v>
      </c>
      <c r="B123" s="32" t="n">
        <v>1</v>
      </c>
      <c r="C123" s="32" t="n">
        <v>6</v>
      </c>
      <c r="D123" s="44" t="s">
        <v>304</v>
      </c>
      <c r="E123" s="34" t="s">
        <v>305</v>
      </c>
      <c r="F123" s="35" t="s">
        <v>77</v>
      </c>
      <c r="G123" s="35"/>
      <c r="H123" s="35"/>
      <c r="I123" s="35"/>
      <c r="J123" s="35" t="n">
        <v>8</v>
      </c>
      <c r="K123" s="36"/>
      <c r="L123" s="37"/>
      <c r="M123" s="38" t="str">
        <f aca="false">IF($F123="Next week",IFERROR(MATCH($G123,{"Mon","Tue","Wed","Thu","Fri"},0),6)*1000+ROW(),"")</f>
        <v/>
      </c>
    </row>
    <row r="124" customFormat="false" ht="15" hidden="false" customHeight="false" outlineLevel="0" collapsed="false">
      <c r="A124" s="43" t="s">
        <v>289</v>
      </c>
      <c r="B124" s="32" t="n">
        <v>1</v>
      </c>
      <c r="C124" s="32" t="n">
        <v>7</v>
      </c>
      <c r="D124" s="44" t="s">
        <v>306</v>
      </c>
      <c r="E124" s="34" t="s">
        <v>307</v>
      </c>
      <c r="F124" s="35" t="s">
        <v>77</v>
      </c>
      <c r="G124" s="35"/>
      <c r="H124" s="35"/>
      <c r="I124" s="35"/>
      <c r="J124" s="35" t="n">
        <v>8</v>
      </c>
      <c r="K124" s="36"/>
      <c r="L124" s="37"/>
      <c r="M124" s="38" t="str">
        <f aca="false">IF($F124="Next week",IFERROR(MATCH($G124,{"Mon","Tue","Wed","Thu","Fri"},0),6)*1000+ROW(),"")</f>
        <v/>
      </c>
    </row>
    <row r="125" customFormat="false" ht="15" hidden="false" customHeight="false" outlineLevel="0" collapsed="false">
      <c r="A125" s="43" t="s">
        <v>289</v>
      </c>
      <c r="B125" s="32" t="n">
        <v>1</v>
      </c>
      <c r="C125" s="32" t="n">
        <v>8</v>
      </c>
      <c r="D125" s="44" t="s">
        <v>308</v>
      </c>
      <c r="E125" s="34" t="s">
        <v>309</v>
      </c>
      <c r="F125" s="35" t="s">
        <v>77</v>
      </c>
      <c r="G125" s="35"/>
      <c r="H125" s="35"/>
      <c r="I125" s="35"/>
      <c r="J125" s="35" t="n">
        <v>8</v>
      </c>
      <c r="K125" s="36"/>
      <c r="L125" s="37"/>
      <c r="M125" s="38" t="str">
        <f aca="false">IF($F125="Next week",IFERROR(MATCH($G125,{"Mon","Tue","Wed","Thu","Fri"},0),6)*1000+ROW(),"")</f>
        <v/>
      </c>
    </row>
    <row r="126" customFormat="false" ht="15" hidden="false" customHeight="false" outlineLevel="0" collapsed="false">
      <c r="A126" s="43" t="s">
        <v>289</v>
      </c>
      <c r="B126" s="32" t="n">
        <v>1</v>
      </c>
      <c r="C126" s="32" t="n">
        <v>9</v>
      </c>
      <c r="D126" s="44" t="s">
        <v>310</v>
      </c>
      <c r="E126" s="34" t="s">
        <v>311</v>
      </c>
      <c r="F126" s="35" t="s">
        <v>77</v>
      </c>
      <c r="G126" s="35"/>
      <c r="H126" s="35"/>
      <c r="I126" s="35"/>
      <c r="J126" s="35" t="n">
        <v>8</v>
      </c>
      <c r="K126" s="36"/>
      <c r="L126" s="37"/>
      <c r="M126" s="38" t="str">
        <f aca="false">IF($F126="Next week",IFERROR(MATCH($G126,{"Mon","Tue","Wed","Thu","Fri"},0),6)*1000+ROW(),"")</f>
        <v/>
      </c>
    </row>
    <row r="127" customFormat="false" ht="15" hidden="false" customHeight="false" outlineLevel="0" collapsed="false">
      <c r="A127" s="43" t="s">
        <v>289</v>
      </c>
      <c r="B127" s="32" t="n">
        <v>1</v>
      </c>
      <c r="C127" s="32" t="n">
        <v>10</v>
      </c>
      <c r="D127" s="44" t="s">
        <v>312</v>
      </c>
      <c r="E127" s="34" t="s">
        <v>313</v>
      </c>
      <c r="F127" s="35" t="s">
        <v>77</v>
      </c>
      <c r="G127" s="35"/>
      <c r="H127" s="35"/>
      <c r="I127" s="35"/>
      <c r="J127" s="35" t="n">
        <v>8</v>
      </c>
      <c r="K127" s="36"/>
      <c r="L127" s="37"/>
      <c r="M127" s="38" t="str">
        <f aca="false">IF($F127="Next week",IFERROR(MATCH($G127,{"Mon","Tue","Wed","Thu","Fri"},0),6)*1000+ROW(),"")</f>
        <v/>
      </c>
    </row>
    <row r="128" customFormat="false" ht="15" hidden="false" customHeight="false" outlineLevel="0" collapsed="false">
      <c r="A128" s="43" t="s">
        <v>289</v>
      </c>
      <c r="B128" s="32" t="n">
        <v>1</v>
      </c>
      <c r="C128" s="32" t="n">
        <v>11</v>
      </c>
      <c r="D128" s="44" t="s">
        <v>314</v>
      </c>
      <c r="E128" s="34" t="s">
        <v>315</v>
      </c>
      <c r="F128" s="35" t="s">
        <v>77</v>
      </c>
      <c r="G128" s="35"/>
      <c r="H128" s="35"/>
      <c r="I128" s="35"/>
      <c r="J128" s="35" t="n">
        <v>8</v>
      </c>
      <c r="K128" s="36"/>
      <c r="L128" s="37"/>
      <c r="M128" s="38" t="str">
        <f aca="false">IF($F128="Next week",IFERROR(MATCH($G128,{"Mon","Tue","Wed","Thu","Fri"},0),6)*1000+ROW(),"")</f>
        <v/>
      </c>
    </row>
    <row r="129" customFormat="false" ht="15" hidden="false" customHeight="false" outlineLevel="0" collapsed="false">
      <c r="A129" s="43" t="s">
        <v>289</v>
      </c>
      <c r="B129" s="32" t="n">
        <v>1</v>
      </c>
      <c r="C129" s="32" t="n">
        <v>12</v>
      </c>
      <c r="D129" s="44" t="s">
        <v>316</v>
      </c>
      <c r="E129" s="34" t="s">
        <v>317</v>
      </c>
      <c r="F129" s="35" t="s">
        <v>77</v>
      </c>
      <c r="G129" s="35"/>
      <c r="H129" s="35"/>
      <c r="I129" s="35"/>
      <c r="J129" s="35" t="n">
        <v>8</v>
      </c>
      <c r="K129" s="36"/>
      <c r="L129" s="37"/>
      <c r="M129" s="38" t="str">
        <f aca="false">IF($F129="Next week",IFERROR(MATCH($G129,{"Mon","Tue","Wed","Thu","Fri"},0),6)*1000+ROW(),"")</f>
        <v/>
      </c>
    </row>
    <row r="130" customFormat="false" ht="15" hidden="false" customHeight="false" outlineLevel="0" collapsed="false">
      <c r="A130" s="43" t="s">
        <v>289</v>
      </c>
      <c r="B130" s="32" t="n">
        <v>1</v>
      </c>
      <c r="C130" s="32" t="n">
        <v>13</v>
      </c>
      <c r="D130" s="44" t="s">
        <v>318</v>
      </c>
      <c r="E130" s="34" t="s">
        <v>319</v>
      </c>
      <c r="F130" s="35" t="s">
        <v>77</v>
      </c>
      <c r="G130" s="35"/>
      <c r="H130" s="35"/>
      <c r="I130" s="35"/>
      <c r="J130" s="35" t="n">
        <v>8</v>
      </c>
      <c r="K130" s="36"/>
      <c r="L130" s="37"/>
      <c r="M130" s="38" t="str">
        <f aca="false">IF($F130="Next week",IFERROR(MATCH($G130,{"Mon","Tue","Wed","Thu","Fri"},0),6)*1000+ROW(),"")</f>
        <v/>
      </c>
    </row>
    <row r="131" customFormat="false" ht="15" hidden="false" customHeight="false" outlineLevel="0" collapsed="false">
      <c r="A131" s="43" t="s">
        <v>289</v>
      </c>
      <c r="B131" s="32" t="n">
        <v>1</v>
      </c>
      <c r="C131" s="32" t="n">
        <v>14</v>
      </c>
      <c r="D131" s="44" t="s">
        <v>320</v>
      </c>
      <c r="E131" s="34" t="s">
        <v>321</v>
      </c>
      <c r="F131" s="35" t="s">
        <v>77</v>
      </c>
      <c r="G131" s="35"/>
      <c r="H131" s="35"/>
      <c r="I131" s="35"/>
      <c r="J131" s="35" t="n">
        <v>8</v>
      </c>
      <c r="K131" s="36"/>
      <c r="L131" s="37"/>
      <c r="M131" s="38" t="str">
        <f aca="false">IF($F131="Next week",IFERROR(MATCH($G131,{"Mon","Tue","Wed","Thu","Fri"},0),6)*1000+ROW(),"")</f>
        <v/>
      </c>
    </row>
    <row r="132" customFormat="false" ht="15" hidden="false" customHeight="false" outlineLevel="0" collapsed="false">
      <c r="A132" s="43" t="s">
        <v>289</v>
      </c>
      <c r="B132" s="32" t="n">
        <v>1</v>
      </c>
      <c r="C132" s="32" t="n">
        <v>15</v>
      </c>
      <c r="D132" s="44" t="s">
        <v>322</v>
      </c>
      <c r="E132" s="34" t="s">
        <v>323</v>
      </c>
      <c r="F132" s="35" t="s">
        <v>77</v>
      </c>
      <c r="G132" s="35"/>
      <c r="H132" s="35"/>
      <c r="I132" s="35"/>
      <c r="J132" s="35" t="n">
        <v>8</v>
      </c>
      <c r="K132" s="36"/>
      <c r="L132" s="37"/>
      <c r="M132" s="38" t="str">
        <f aca="false">IF($F132="Next week",IFERROR(MATCH($G132,{"Mon","Tue","Wed","Thu","Fri"},0),6)*1000+ROW(),"")</f>
        <v/>
      </c>
    </row>
    <row r="133" customFormat="false" ht="15" hidden="false" customHeight="false" outlineLevel="0" collapsed="false">
      <c r="A133" s="43" t="s">
        <v>289</v>
      </c>
      <c r="B133" s="32" t="n">
        <v>1</v>
      </c>
      <c r="C133" s="32" t="n">
        <v>16</v>
      </c>
      <c r="D133" s="44" t="s">
        <v>324</v>
      </c>
      <c r="E133" s="34" t="s">
        <v>325</v>
      </c>
      <c r="F133" s="35" t="s">
        <v>77</v>
      </c>
      <c r="G133" s="35"/>
      <c r="H133" s="35"/>
      <c r="I133" s="35"/>
      <c r="J133" s="35" t="n">
        <v>8</v>
      </c>
      <c r="K133" s="36"/>
      <c r="L133" s="37"/>
      <c r="M133" s="38" t="str">
        <f aca="false">IF($F133="Next week",IFERROR(MATCH($G133,{"Mon","Tue","Wed","Thu","Fri"},0),6)*1000+ROW(),"")</f>
        <v/>
      </c>
    </row>
    <row r="134" customFormat="false" ht="15" hidden="false" customHeight="false" outlineLevel="0" collapsed="false">
      <c r="A134" s="43" t="s">
        <v>289</v>
      </c>
      <c r="B134" s="32" t="n">
        <v>2</v>
      </c>
      <c r="C134" s="32" t="n">
        <v>17</v>
      </c>
      <c r="D134" s="44" t="s">
        <v>326</v>
      </c>
      <c r="E134" s="34" t="s">
        <v>327</v>
      </c>
      <c r="F134" s="35" t="s">
        <v>77</v>
      </c>
      <c r="G134" s="35"/>
      <c r="H134" s="35"/>
      <c r="I134" s="35"/>
      <c r="J134" s="35" t="n">
        <v>8</v>
      </c>
      <c r="K134" s="36"/>
      <c r="L134" s="37"/>
      <c r="M134" s="38" t="str">
        <f aca="false">IF($F134="Next week",IFERROR(MATCH($G134,{"Mon","Tue","Wed","Thu","Fri"},0),6)*1000+ROW(),"")</f>
        <v/>
      </c>
    </row>
    <row r="135" customFormat="false" ht="15" hidden="false" customHeight="false" outlineLevel="0" collapsed="false">
      <c r="A135" s="43" t="s">
        <v>289</v>
      </c>
      <c r="B135" s="32" t="n">
        <v>2</v>
      </c>
      <c r="C135" s="32" t="n">
        <v>18</v>
      </c>
      <c r="D135" s="44" t="s">
        <v>328</v>
      </c>
      <c r="E135" s="34" t="s">
        <v>329</v>
      </c>
      <c r="F135" s="35" t="s">
        <v>77</v>
      </c>
      <c r="G135" s="35"/>
      <c r="H135" s="35"/>
      <c r="I135" s="35"/>
      <c r="J135" s="35" t="n">
        <v>8</v>
      </c>
      <c r="K135" s="36"/>
      <c r="L135" s="37"/>
      <c r="M135" s="38" t="str">
        <f aca="false">IF($F135="Next week",IFERROR(MATCH($G135,{"Mon","Tue","Wed","Thu","Fri"},0),6)*1000+ROW(),"")</f>
        <v/>
      </c>
    </row>
    <row r="136" customFormat="false" ht="15" hidden="false" customHeight="false" outlineLevel="0" collapsed="false">
      <c r="A136" s="43" t="s">
        <v>289</v>
      </c>
      <c r="B136" s="32" t="n">
        <v>2</v>
      </c>
      <c r="C136" s="32" t="n">
        <v>19</v>
      </c>
      <c r="D136" s="44" t="s">
        <v>330</v>
      </c>
      <c r="E136" s="34" t="s">
        <v>331</v>
      </c>
      <c r="F136" s="35" t="s">
        <v>77</v>
      </c>
      <c r="G136" s="35"/>
      <c r="H136" s="35"/>
      <c r="I136" s="35"/>
      <c r="J136" s="35" t="n">
        <v>8</v>
      </c>
      <c r="K136" s="36"/>
      <c r="L136" s="37"/>
      <c r="M136" s="38" t="str">
        <f aca="false">IF($F136="Next week",IFERROR(MATCH($G136,{"Mon","Tue","Wed","Thu","Fri"},0),6)*1000+ROW(),"")</f>
        <v/>
      </c>
    </row>
    <row r="137" customFormat="false" ht="15" hidden="false" customHeight="false" outlineLevel="0" collapsed="false">
      <c r="A137" s="43" t="s">
        <v>289</v>
      </c>
      <c r="B137" s="32" t="n">
        <v>2</v>
      </c>
      <c r="C137" s="32" t="n">
        <v>20</v>
      </c>
      <c r="D137" s="44" t="s">
        <v>332</v>
      </c>
      <c r="E137" s="34" t="s">
        <v>333</v>
      </c>
      <c r="F137" s="35" t="s">
        <v>77</v>
      </c>
      <c r="G137" s="35"/>
      <c r="H137" s="35"/>
      <c r="I137" s="35"/>
      <c r="J137" s="35" t="n">
        <v>8</v>
      </c>
      <c r="K137" s="36"/>
      <c r="L137" s="37"/>
      <c r="M137" s="38" t="str">
        <f aca="false">IF($F137="Next week",IFERROR(MATCH($G137,{"Mon","Tue","Wed","Thu","Fri"},0),6)*1000+ROW(),"")</f>
        <v/>
      </c>
    </row>
    <row r="138" customFormat="false" ht="15" hidden="false" customHeight="false" outlineLevel="0" collapsed="false">
      <c r="A138" s="43" t="s">
        <v>289</v>
      </c>
      <c r="B138" s="32" t="n">
        <v>2</v>
      </c>
      <c r="C138" s="32" t="n">
        <v>21</v>
      </c>
      <c r="D138" s="44" t="s">
        <v>334</v>
      </c>
      <c r="E138" s="34" t="s">
        <v>335</v>
      </c>
      <c r="F138" s="35" t="s">
        <v>77</v>
      </c>
      <c r="G138" s="35"/>
      <c r="H138" s="35"/>
      <c r="I138" s="35"/>
      <c r="J138" s="35" t="n">
        <v>8</v>
      </c>
      <c r="K138" s="36"/>
      <c r="L138" s="37"/>
      <c r="M138" s="38" t="str">
        <f aca="false">IF($F138="Next week",IFERROR(MATCH($G138,{"Mon","Tue","Wed","Thu","Fri"},0),6)*1000+ROW(),"")</f>
        <v/>
      </c>
    </row>
    <row r="139" customFormat="false" ht="15" hidden="false" customHeight="false" outlineLevel="0" collapsed="false">
      <c r="A139" s="43" t="s">
        <v>289</v>
      </c>
      <c r="B139" s="32" t="n">
        <v>2</v>
      </c>
      <c r="C139" s="32" t="n">
        <v>22</v>
      </c>
      <c r="D139" s="44" t="s">
        <v>336</v>
      </c>
      <c r="E139" s="34" t="s">
        <v>337</v>
      </c>
      <c r="F139" s="35" t="s">
        <v>77</v>
      </c>
      <c r="G139" s="35"/>
      <c r="H139" s="35"/>
      <c r="I139" s="35"/>
      <c r="J139" s="35" t="n">
        <v>8</v>
      </c>
      <c r="K139" s="36"/>
      <c r="L139" s="37"/>
      <c r="M139" s="38" t="str">
        <f aca="false">IF($F139="Next week",IFERROR(MATCH($G139,{"Mon","Tue","Wed","Thu","Fri"},0),6)*1000+ROW(),"")</f>
        <v/>
      </c>
    </row>
    <row r="140" customFormat="false" ht="15" hidden="false" customHeight="false" outlineLevel="0" collapsed="false">
      <c r="A140" s="43" t="s">
        <v>289</v>
      </c>
      <c r="B140" s="32" t="n">
        <v>2</v>
      </c>
      <c r="C140" s="32" t="n">
        <v>23</v>
      </c>
      <c r="D140" s="44" t="s">
        <v>338</v>
      </c>
      <c r="E140" s="34" t="s">
        <v>339</v>
      </c>
      <c r="F140" s="35" t="s">
        <v>77</v>
      </c>
      <c r="G140" s="35"/>
      <c r="H140" s="35"/>
      <c r="I140" s="35"/>
      <c r="J140" s="35" t="n">
        <v>8</v>
      </c>
      <c r="K140" s="36"/>
      <c r="L140" s="37"/>
      <c r="M140" s="38" t="str">
        <f aca="false">IF($F140="Next week",IFERROR(MATCH($G140,{"Mon","Tue","Wed","Thu","Fri"},0),6)*1000+ROW(),"")</f>
        <v/>
      </c>
    </row>
    <row r="141" customFormat="false" ht="15" hidden="false" customHeight="false" outlineLevel="0" collapsed="false">
      <c r="A141" s="43" t="s">
        <v>289</v>
      </c>
      <c r="B141" s="32" t="n">
        <v>2</v>
      </c>
      <c r="C141" s="32" t="n">
        <v>24</v>
      </c>
      <c r="D141" s="44" t="s">
        <v>340</v>
      </c>
      <c r="E141" s="34" t="s">
        <v>341</v>
      </c>
      <c r="F141" s="35" t="s">
        <v>77</v>
      </c>
      <c r="G141" s="35"/>
      <c r="H141" s="35"/>
      <c r="I141" s="35"/>
      <c r="J141" s="35" t="n">
        <v>8</v>
      </c>
      <c r="K141" s="36"/>
      <c r="L141" s="37"/>
      <c r="M141" s="38" t="str">
        <f aca="false">IF($F141="Next week",IFERROR(MATCH($G141,{"Mon","Tue","Wed","Thu","Fri"},0),6)*1000+ROW(),"")</f>
        <v/>
      </c>
    </row>
    <row r="142" customFormat="false" ht="15" hidden="false" customHeight="false" outlineLevel="0" collapsed="false">
      <c r="A142" s="43" t="s">
        <v>289</v>
      </c>
      <c r="B142" s="32" t="n">
        <v>2</v>
      </c>
      <c r="C142" s="32" t="n">
        <v>25</v>
      </c>
      <c r="D142" s="44" t="s">
        <v>342</v>
      </c>
      <c r="E142" s="34" t="s">
        <v>343</v>
      </c>
      <c r="F142" s="35" t="s">
        <v>77</v>
      </c>
      <c r="G142" s="35"/>
      <c r="H142" s="35"/>
      <c r="I142" s="35"/>
      <c r="J142" s="35" t="n">
        <v>8</v>
      </c>
      <c r="K142" s="36"/>
      <c r="L142" s="37"/>
      <c r="M142" s="38" t="str">
        <f aca="false">IF($F142="Next week",IFERROR(MATCH($G142,{"Mon","Tue","Wed","Thu","Fri"},0),6)*1000+ROW(),"")</f>
        <v/>
      </c>
    </row>
    <row r="143" customFormat="false" ht="15" hidden="false" customHeight="false" outlineLevel="0" collapsed="false">
      <c r="A143" s="43" t="s">
        <v>289</v>
      </c>
      <c r="B143" s="32" t="n">
        <v>2</v>
      </c>
      <c r="C143" s="32" t="n">
        <v>26</v>
      </c>
      <c r="D143" s="44" t="s">
        <v>344</v>
      </c>
      <c r="E143" s="34" t="s">
        <v>345</v>
      </c>
      <c r="F143" s="35" t="s">
        <v>77</v>
      </c>
      <c r="G143" s="35"/>
      <c r="H143" s="35"/>
      <c r="I143" s="35"/>
      <c r="J143" s="35" t="n">
        <v>8</v>
      </c>
      <c r="K143" s="36"/>
      <c r="L143" s="37"/>
      <c r="M143" s="38" t="str">
        <f aca="false">IF($F143="Next week",IFERROR(MATCH($G143,{"Mon","Tue","Wed","Thu","Fri"},0),6)*1000+ROW(),"")</f>
        <v/>
      </c>
    </row>
    <row r="144" customFormat="false" ht="15" hidden="false" customHeight="false" outlineLevel="0" collapsed="false">
      <c r="A144" s="43" t="s">
        <v>289</v>
      </c>
      <c r="B144" s="32" t="n">
        <v>2</v>
      </c>
      <c r="C144" s="32" t="n">
        <v>27</v>
      </c>
      <c r="D144" s="44" t="s">
        <v>346</v>
      </c>
      <c r="E144" s="34" t="s">
        <v>347</v>
      </c>
      <c r="F144" s="35" t="s">
        <v>77</v>
      </c>
      <c r="G144" s="35"/>
      <c r="H144" s="35"/>
      <c r="I144" s="35"/>
      <c r="J144" s="35" t="n">
        <v>8</v>
      </c>
      <c r="K144" s="36"/>
      <c r="L144" s="37"/>
      <c r="M144" s="38" t="str">
        <f aca="false">IF($F144="Next week",IFERROR(MATCH($G144,{"Mon","Tue","Wed","Thu","Fri"},0),6)*1000+ROW(),"")</f>
        <v/>
      </c>
    </row>
    <row r="145" customFormat="false" ht="15" hidden="false" customHeight="false" outlineLevel="0" collapsed="false">
      <c r="A145" s="43" t="s">
        <v>289</v>
      </c>
      <c r="B145" s="32" t="n">
        <v>2</v>
      </c>
      <c r="C145" s="32" t="n">
        <v>28</v>
      </c>
      <c r="D145" s="44" t="s">
        <v>348</v>
      </c>
      <c r="E145" s="34" t="s">
        <v>349</v>
      </c>
      <c r="F145" s="35" t="s">
        <v>77</v>
      </c>
      <c r="G145" s="35"/>
      <c r="H145" s="35"/>
      <c r="I145" s="35"/>
      <c r="J145" s="35" t="n">
        <v>8</v>
      </c>
      <c r="K145" s="36"/>
      <c r="L145" s="37"/>
      <c r="M145" s="38" t="str">
        <f aca="false">IF($F145="Next week",IFERROR(MATCH($G145,{"Mon","Tue","Wed","Thu","Fri"},0),6)*1000+ROW(),"")</f>
        <v/>
      </c>
    </row>
    <row r="146" customFormat="false" ht="15" hidden="false" customHeight="false" outlineLevel="0" collapsed="false">
      <c r="A146" s="43" t="s">
        <v>289</v>
      </c>
      <c r="B146" s="32" t="n">
        <v>2</v>
      </c>
      <c r="C146" s="32" t="n">
        <v>29</v>
      </c>
      <c r="D146" s="44" t="s">
        <v>350</v>
      </c>
      <c r="E146" s="34" t="s">
        <v>351</v>
      </c>
      <c r="F146" s="35" t="s">
        <v>77</v>
      </c>
      <c r="G146" s="35"/>
      <c r="H146" s="35"/>
      <c r="I146" s="35"/>
      <c r="J146" s="35" t="n">
        <v>8</v>
      </c>
      <c r="K146" s="36"/>
      <c r="L146" s="37"/>
      <c r="M146" s="38" t="str">
        <f aca="false">IF($F146="Next week",IFERROR(MATCH($G146,{"Mon","Tue","Wed","Thu","Fri"},0),6)*1000+ROW(),"")</f>
        <v/>
      </c>
    </row>
    <row r="147" customFormat="false" ht="15" hidden="false" customHeight="false" outlineLevel="0" collapsed="false">
      <c r="A147" s="43" t="s">
        <v>289</v>
      </c>
      <c r="B147" s="32" t="n">
        <v>2</v>
      </c>
      <c r="C147" s="32" t="n">
        <v>30</v>
      </c>
      <c r="D147" s="44" t="s">
        <v>352</v>
      </c>
      <c r="E147" s="34" t="s">
        <v>353</v>
      </c>
      <c r="F147" s="35" t="s">
        <v>77</v>
      </c>
      <c r="G147" s="35"/>
      <c r="H147" s="35"/>
      <c r="I147" s="35"/>
      <c r="J147" s="35" t="n">
        <v>8</v>
      </c>
      <c r="K147" s="36"/>
      <c r="L147" s="37"/>
      <c r="M147" s="38" t="str">
        <f aca="false">IF($F147="Next week",IFERROR(MATCH($G147,{"Mon","Tue","Wed","Thu","Fri"},0),6)*1000+ROW(),"")</f>
        <v/>
      </c>
    </row>
    <row r="148" customFormat="false" ht="15" hidden="false" customHeight="false" outlineLevel="0" collapsed="false">
      <c r="A148" s="43" t="s">
        <v>289</v>
      </c>
      <c r="B148" s="32" t="n">
        <v>2</v>
      </c>
      <c r="C148" s="32" t="n">
        <v>31</v>
      </c>
      <c r="D148" s="44" t="s">
        <v>354</v>
      </c>
      <c r="E148" s="34" t="s">
        <v>355</v>
      </c>
      <c r="F148" s="35" t="s">
        <v>77</v>
      </c>
      <c r="G148" s="35"/>
      <c r="H148" s="35"/>
      <c r="I148" s="35"/>
      <c r="J148" s="35" t="n">
        <v>8</v>
      </c>
      <c r="K148" s="36"/>
      <c r="L148" s="37"/>
      <c r="M148" s="38" t="str">
        <f aca="false">IF($F148="Next week",IFERROR(MATCH($G148,{"Mon","Tue","Wed","Thu","Fri"},0),6)*1000+ROW(),"")</f>
        <v/>
      </c>
    </row>
    <row r="149" customFormat="false" ht="15" hidden="false" customHeight="false" outlineLevel="0" collapsed="false">
      <c r="A149" s="43" t="s">
        <v>289</v>
      </c>
      <c r="B149" s="32" t="n">
        <v>2</v>
      </c>
      <c r="C149" s="32" t="n">
        <v>32</v>
      </c>
      <c r="D149" s="44" t="s">
        <v>356</v>
      </c>
      <c r="E149" s="34" t="s">
        <v>357</v>
      </c>
      <c r="F149" s="35" t="s">
        <v>77</v>
      </c>
      <c r="G149" s="35"/>
      <c r="H149" s="35"/>
      <c r="I149" s="35"/>
      <c r="J149" s="35" t="n">
        <v>8</v>
      </c>
      <c r="K149" s="36"/>
      <c r="L149" s="37"/>
      <c r="M149" s="38" t="str">
        <f aca="false">IF($F149="Next week",IFERROR(MATCH($G149,{"Mon","Tue","Wed","Thu","Fri"},0),6)*1000+ROW(),"")</f>
        <v/>
      </c>
    </row>
  </sheetData>
  <autoFilter ref="A4:L149"/>
  <conditionalFormatting sqref="A5:L149">
    <cfRule type="expression" priority="2" aboveAverage="0" equalAverage="0" bottom="0" percent="0" rank="0" text="" dxfId="24">
      <formula>$F5="Next week"</formula>
    </cfRule>
    <cfRule type="expression" priority="3" aboveAverage="0" equalAverage="0" bottom="0" percent="0" rank="0" text="" dxfId="25">
      <formula>$F5="Done"</formula>
    </cfRule>
    <cfRule type="expression" priority="4" aboveAverage="0" equalAverage="0" bottom="0" percent="0" rank="0" text="" dxfId="26">
      <formula>$F5="Postponed"</formula>
    </cfRule>
    <cfRule type="expression" priority="5" aboveAverage="0" equalAverage="0" bottom="0" percent="0" rank="0" text="" dxfId="27">
      <formula>$F5="Cancelled"</formula>
    </cfRule>
  </conditionalFormatting>
  <dataValidations count="3">
    <dataValidation allowBlank="true" errorStyle="stop" operator="between" showDropDown="false" showErrorMessage="false" showInputMessage="false" sqref="F5:F149" type="list">
      <formula1>"Not started,Next week,Done,Postponed,Cancelled"</formula1>
      <formula2>0</formula2>
    </dataValidation>
    <dataValidation allowBlank="true" errorStyle="stop" operator="between" showDropDown="false" showErrorMessage="false" showInputMessage="false" sqref="G5:G149" type="list">
      <formula1>"Mon,Tue,Wed,Thu,Fri"</formula1>
      <formula2>0</formula2>
    </dataValidation>
    <dataValidation allowBlank="true" errorStyle="stop" operator="between" showDropDown="false" showErrorMessage="false" showInputMessage="false" sqref="J5:J149" type="whole">
      <formula1>1</formula1>
      <formula2>40</formula2>
    </dataValidation>
  </dataValidations>
  <hyperlinks>
    <hyperlink ref="D5" r:id="rId2" location="'Little%20Explorers%20Kits'!A1" display="F-00 (LE)"/>
    <hyperlink ref="D6" r:id="rId3" location="'Little%20Explorers%20Kits'!A1" display="F-01 (LE)"/>
    <hyperlink ref="D7" r:id="rId4" location="'Little%20Explorers%20Kits'!A1" display="F-02 (LE)"/>
    <hyperlink ref="D8" r:id="rId5" location="'Little%20Explorers%20Kits'!A1" display="F-03 (LE)"/>
    <hyperlink ref="D9" r:id="rId6" location="'Little%20Explorers%20Kits'!A1" display="LE-01"/>
    <hyperlink ref="D10" r:id="rId7" location="'Little%20Explorers%20Kits'!A1" display="LE-02"/>
    <hyperlink ref="D11" r:id="rId8" location="'Little%20Explorers%20Kits'!A1" display="LE-03"/>
    <hyperlink ref="D12" r:id="rId9" location="'Little%20Explorers%20Kits'!A1" display="LE-04"/>
    <hyperlink ref="D13" r:id="rId10" location="'Little%20Explorers%20Kits'!A1" display="LE-05"/>
    <hyperlink ref="D14" r:id="rId11" location="'Little%20Explorers%20Kits'!A1" display="LE-06"/>
    <hyperlink ref="D15" r:id="rId12" location="'Little%20Explorers%20Kits'!A1" display="LE-07"/>
    <hyperlink ref="D16" r:id="rId13" location="'Little%20Explorers%20Kits'!A1" display="LE-08"/>
    <hyperlink ref="D17" r:id="rId14" location="'Little%20Explorers%20Kits'!A1" display="LE-09"/>
    <hyperlink ref="D18" r:id="rId15" location="'Little%20Explorers%20Kits'!A1" display="LE-10"/>
    <hyperlink ref="D19" r:id="rId16" location="'Little%20Explorers%20Kits'!A1" display="LE-11"/>
    <hyperlink ref="D20" r:id="rId17" location="'Little%20Explorers%20Kits'!A1" display="LE-12"/>
    <hyperlink ref="D21" r:id="rId18" location="'Little%20Explorers%20Kits'!A1" display="LE-13"/>
    <hyperlink ref="D22" r:id="rId19" location="'Little%20Explorers%20Kits'!A1" display="LE-14"/>
    <hyperlink ref="D23" r:id="rId20" location="'Little%20Explorers%20Kits'!A1" display="LE-15"/>
    <hyperlink ref="D24" r:id="rId21" location="'Little%20Explorers%20Kits'!A1" display="LE-16"/>
    <hyperlink ref="D25" r:id="rId22" location="'Little%20Explorers%20Kits'!A1" display="LE-17"/>
    <hyperlink ref="D26" r:id="rId23" location="'Little%20Explorers%20Kits'!A1" display="LE-18"/>
    <hyperlink ref="D27" r:id="rId24" location="'Little%20Explorers%20Kits'!A1" display="LE-19"/>
    <hyperlink ref="D28" r:id="rId25" location="'Little%20Explorers%20Kits'!A1" display="LE-20"/>
    <hyperlink ref="D29" r:id="rId26" location="'Little%20Explorers%20Kits'!A1" display="LE-21"/>
    <hyperlink ref="D30" r:id="rId27" location="'Little%20Explorers%20Kits'!A1" display="LE-22"/>
    <hyperlink ref="D31" r:id="rId28" location="'Little%20Explorers%20Kits'!A1" display="LE-23"/>
    <hyperlink ref="D32" r:id="rId29" location="'Little%20Explorers%20Kits'!A1" display="LE-24"/>
    <hyperlink ref="D33" r:id="rId30" location="'Little%20Explorers%20Kits'!A1" display="LE-25"/>
    <hyperlink ref="D34" r:id="rId31" location="'Little%20Explorers%20Kits'!A1" display="LE-26"/>
    <hyperlink ref="D35" r:id="rId32" location="'Little%20Explorers%20Kits'!A1" display="LE-27"/>
    <hyperlink ref="D36" r:id="rId33" location="'Little%20Explorers%20Kits'!A1" display="LE-28"/>
    <hyperlink ref="D37" r:id="rId34" location="'Little%20Explorers%20Kits'!A1" display="LE-29"/>
    <hyperlink ref="D38" r:id="rId35" location="'Little%20Explorers%20Kits'!A1" display="LE-30"/>
    <hyperlink ref="D39" r:id="rId36" location="'Little%20Explorers%20Kits'!A1" display="LE-31"/>
    <hyperlink ref="D40" r:id="rId37" location="'Little%20Explorers%20Kits'!A1" display="LE-32"/>
    <hyperlink ref="D41" r:id="rId38" location="'Junior%20Makers%20Kits'!A1" display="F-00 (JM)"/>
    <hyperlink ref="D42" r:id="rId39" location="'Junior%20Makers%20Kits'!A1" display="F-01 (JM)"/>
    <hyperlink ref="D43" r:id="rId40" location="'Junior%20Makers%20Kits'!A1" display="F-02 (JM)"/>
    <hyperlink ref="D44" r:id="rId41" location="'Junior%20Makers%20Kits'!A1" display="F-03 (JM)"/>
    <hyperlink ref="D45" r:id="rId42" location="'Junior%20Makers%20Kits'!A1" display="JM-00"/>
    <hyperlink ref="D46" r:id="rId43" location="'Junior%20Makers%20Kits'!A1" display="JM-01"/>
    <hyperlink ref="D47" r:id="rId44" location="'Junior%20Makers%20Kits'!A1" display="JM-02"/>
    <hyperlink ref="D48" r:id="rId45" location="'Junior%20Makers%20Kits'!A1" display="JM-03"/>
    <hyperlink ref="D49" r:id="rId46" location="'Junior%20Makers%20Kits'!A1" display="JM-04"/>
    <hyperlink ref="D50" r:id="rId47" location="'Junior%20Makers%20Kits'!A1" display="JM-05"/>
    <hyperlink ref="D51" r:id="rId48" location="'Junior%20Makers%20Kits'!A1" display="JM-06"/>
    <hyperlink ref="D52" r:id="rId49" location="'Junior%20Makers%20Kits'!A1" display="JM-07"/>
    <hyperlink ref="D53" r:id="rId50" location="'Junior%20Makers%20Kits'!A1" display="JM-08"/>
    <hyperlink ref="D54" r:id="rId51" location="'Junior%20Makers%20Kits'!A1" display="JM-09"/>
    <hyperlink ref="D55" r:id="rId52" location="'Junior%20Makers%20Kits'!A1" display="JM-10"/>
    <hyperlink ref="D56" r:id="rId53" location="'Junior%20Makers%20Kits'!A1" display="JM-11"/>
    <hyperlink ref="D57" r:id="rId54" location="'Junior%20Makers%20Kits'!A1" display="JM-12"/>
    <hyperlink ref="D58" r:id="rId55" location="'Junior%20Makers%20Kits'!A1" display="JM-13"/>
    <hyperlink ref="D59" r:id="rId56" location="'Junior%20Makers%20Kits'!A1" display="JM-14"/>
    <hyperlink ref="D60" r:id="rId57" location="'Junior%20Makers%20Kits'!A1" display="JM-15"/>
    <hyperlink ref="D61" r:id="rId58" location="'Junior%20Makers%20Kits'!A1" display="JM-16"/>
    <hyperlink ref="D62" r:id="rId59" location="'Junior%20Makers%20Kits'!A1" display="JM-17"/>
    <hyperlink ref="D63" r:id="rId60" location="'Junior%20Makers%20Kits'!A1" display="JM-18"/>
    <hyperlink ref="D64" r:id="rId61" location="'Junior%20Makers%20Kits'!A1" display="JM-19"/>
    <hyperlink ref="D65" r:id="rId62" location="'Junior%20Makers%20Kits'!A1" display="JM-20"/>
    <hyperlink ref="D66" r:id="rId63" location="'Junior%20Makers%20Kits'!A1" display="JM-21"/>
    <hyperlink ref="D67" r:id="rId64" location="'Junior%20Makers%20Kits'!A1" display="JM-22"/>
    <hyperlink ref="D68" r:id="rId65" location="'Junior%20Makers%20Kits'!A1" display="JM-23"/>
    <hyperlink ref="D69" r:id="rId66" location="'Junior%20Makers%20Kits'!A1" display="JM-24"/>
    <hyperlink ref="D70" r:id="rId67" location="'Junior%20Makers%20Kits'!A1" display="JM-25"/>
    <hyperlink ref="D71" r:id="rId68" location="'Junior%20Makers%20Kits'!A1" display="JM-26"/>
    <hyperlink ref="D72" r:id="rId69" location="'Junior%20Makers%20Kits'!A1" display="JM-27"/>
    <hyperlink ref="D73" r:id="rId70" location="'Junior%20Makers%20Kits'!A1" display="JM-28"/>
    <hyperlink ref="D74" r:id="rId71" location="'Junior%20Makers%20Kits'!A1" display="JM-29"/>
    <hyperlink ref="D75" r:id="rId72" location="'Junior%20Makers%20Kits'!A1" display="JM-30"/>
    <hyperlink ref="D76" r:id="rId73" location="'Junior%20Makers%20Kits'!A1" display="JM-31"/>
    <hyperlink ref="D77" r:id="rId74" location="'Junior%20Makers%20Kits'!A1" display="JM-32"/>
    <hyperlink ref="D78" r:id="rId75" location="'Young%20Innovators%20Kits'!A1" display="F-00 (YI)"/>
    <hyperlink ref="D79" r:id="rId76" location="'Young%20Innovators%20Kits'!A1" display="F-01 (YI)"/>
    <hyperlink ref="D80" r:id="rId77" location="'Young%20Innovators%20Kits'!A1" display="F-02 (YI)"/>
    <hyperlink ref="D81" r:id="rId78" location="'Young%20Innovators%20Kits'!A1" display="F-03 (YI)"/>
    <hyperlink ref="D82" r:id="rId79" location="'Young%20Innovators%20Kits'!A1" display="YI-01"/>
    <hyperlink ref="D83" r:id="rId80" location="'Young%20Innovators%20Kits'!A1" display="YI-02"/>
    <hyperlink ref="D84" r:id="rId81" location="'Young%20Innovators%20Kits'!A1" display="YI-03"/>
    <hyperlink ref="D85" r:id="rId82" location="'Young%20Innovators%20Kits'!A1" display="YI-04"/>
    <hyperlink ref="D86" r:id="rId83" location="'Young%20Innovators%20Kits'!A1" display="YI-05"/>
    <hyperlink ref="D87" r:id="rId84" location="'Young%20Innovators%20Kits'!A1" display="YI-06"/>
    <hyperlink ref="D88" r:id="rId85" location="'Young%20Innovators%20Kits'!A1" display="YI-07"/>
    <hyperlink ref="D89" r:id="rId86" location="'Young%20Innovators%20Kits'!A1" display="YI-08"/>
    <hyperlink ref="D90" r:id="rId87" location="'Young%20Innovators%20Kits'!A1" display="YI-09"/>
    <hyperlink ref="D91" r:id="rId88" location="'Young%20Innovators%20Kits'!A1" display="YI-10"/>
    <hyperlink ref="D92" r:id="rId89" location="'Young%20Innovators%20Kits'!A1" display="YI-11"/>
    <hyperlink ref="D93" r:id="rId90" location="'Young%20Innovators%20Kits'!A1" display="YI-12"/>
    <hyperlink ref="D94" r:id="rId91" location="'Young%20Innovators%20Kits'!A1" display="YI-13"/>
    <hyperlink ref="D95" r:id="rId92" location="'Young%20Innovators%20Kits'!A1" display="YI-14"/>
    <hyperlink ref="D96" r:id="rId93" location="'Young%20Innovators%20Kits'!A1" display="YI-15"/>
    <hyperlink ref="D97" r:id="rId94" location="'Young%20Innovators%20Kits'!A1" display="YI-16"/>
    <hyperlink ref="D98" r:id="rId95" location="'Young%20Innovators%20Kits'!A1" display="YI-17"/>
    <hyperlink ref="D99" r:id="rId96" location="'Young%20Innovators%20Kits'!A1" display="YI-18"/>
    <hyperlink ref="D100" r:id="rId97" location="'Young%20Innovators%20Kits'!A1" display="YI-19"/>
    <hyperlink ref="D101" r:id="rId98" location="'Young%20Innovators%20Kits'!A1" display="YI-20"/>
    <hyperlink ref="D102" r:id="rId99" location="'Young%20Innovators%20Kits'!A1" display="YI-21"/>
    <hyperlink ref="D103" r:id="rId100" location="'Young%20Innovators%20Kits'!A1" display="YI-22"/>
    <hyperlink ref="D104" r:id="rId101" location="'Young%20Innovators%20Kits'!A1" display="YI-23"/>
    <hyperlink ref="D105" r:id="rId102" location="'Young%20Innovators%20Kits'!A1" display="YI-24"/>
    <hyperlink ref="D106" r:id="rId103" location="'Young%20Innovators%20Kits'!A1" display="YI-25"/>
    <hyperlink ref="D107" r:id="rId104" location="'Young%20Innovators%20Kits'!A1" display="YI-26"/>
    <hyperlink ref="D108" r:id="rId105" location="'Young%20Innovators%20Kits'!A1" display="YI-27"/>
    <hyperlink ref="D109" r:id="rId106" location="'Young%20Innovators%20Kits'!A1" display="YI-28"/>
    <hyperlink ref="D110" r:id="rId107" location="'Young%20Innovators%20Kits'!A1" display="YI-29"/>
    <hyperlink ref="D111" r:id="rId108" location="'Young%20Innovators%20Kits'!A1" display="YI-30"/>
    <hyperlink ref="D112" r:id="rId109" location="'Young%20Innovators%20Kits'!A1" display="YI-31"/>
    <hyperlink ref="D113" r:id="rId110" location="'Young%20Innovators%20Kits'!A1" display="YI-32"/>
    <hyperlink ref="D114" r:id="rId111" location="'Tech%20Leaders%20Kits'!A1" display="F-00 (TL)"/>
    <hyperlink ref="D115" r:id="rId112" location="'Tech%20Leaders%20Kits'!A1" display="F-01 (TL)"/>
    <hyperlink ref="D116" r:id="rId113" location="'Tech%20Leaders%20Kits'!A1" display="F-02 (TL)"/>
    <hyperlink ref="D117" r:id="rId114" location="'Tech%20Leaders%20Kits'!A1" display="F-03 (TL)"/>
    <hyperlink ref="D118" r:id="rId115" location="'Tech%20Leaders%20Kits'!A1" display="TL-01"/>
    <hyperlink ref="D119" r:id="rId116" location="'Tech%20Leaders%20Kits'!A1" display="TL-02"/>
    <hyperlink ref="D120" r:id="rId117" location="'Tech%20Leaders%20Kits'!A1" display="TL-03"/>
    <hyperlink ref="D121" r:id="rId118" location="'Tech%20Leaders%20Kits'!A1" display="TL-04"/>
    <hyperlink ref="D122" r:id="rId119" location="'Tech%20Leaders%20Kits'!A1" display="TL-05"/>
    <hyperlink ref="D123" r:id="rId120" location="'Tech%20Leaders%20Kits'!A1" display="TL-06"/>
    <hyperlink ref="D124" r:id="rId121" location="'Tech%20Leaders%20Kits'!A1" display="TL-07"/>
    <hyperlink ref="D125" r:id="rId122" location="'Tech%20Leaders%20Kits'!A1" display="TL-08"/>
    <hyperlink ref="D126" r:id="rId123" location="'Tech%20Leaders%20Kits'!A1" display="TL-09"/>
    <hyperlink ref="D127" r:id="rId124" location="'Tech%20Leaders%20Kits'!A1" display="TL-10"/>
    <hyperlink ref="D128" r:id="rId125" location="'Tech%20Leaders%20Kits'!A1" display="TL-11"/>
    <hyperlink ref="D129" r:id="rId126" location="'Tech%20Leaders%20Kits'!A1" display="TL-12"/>
    <hyperlink ref="D130" r:id="rId127" location="'Tech%20Leaders%20Kits'!A1" display="TL-13"/>
    <hyperlink ref="D131" r:id="rId128" location="'Tech%20Leaders%20Kits'!A1" display="TL-14"/>
    <hyperlink ref="D132" r:id="rId129" location="'Tech%20Leaders%20Kits'!A1" display="TL-15"/>
    <hyperlink ref="D133" r:id="rId130" location="'Tech%20Leaders%20Kits'!A1" display="TL-16"/>
    <hyperlink ref="D134" r:id="rId131" location="'Tech%20Leaders%20Kits'!A1" display="TL-17"/>
    <hyperlink ref="D135" r:id="rId132" location="'Tech%20Leaders%20Kits'!A1" display="TL-18"/>
    <hyperlink ref="D136" r:id="rId133" location="'Tech%20Leaders%20Kits'!A1" display="TL-19"/>
    <hyperlink ref="D137" r:id="rId134" location="'Tech%20Leaders%20Kits'!A1" display="TL-20"/>
    <hyperlink ref="D138" r:id="rId135" location="'Tech%20Leaders%20Kits'!A1" display="TL-21"/>
    <hyperlink ref="D139" r:id="rId136" location="'Tech%20Leaders%20Kits'!A1" display="TL-22"/>
    <hyperlink ref="D140" r:id="rId137" location="'Tech%20Leaders%20Kits'!A1" display="TL-23"/>
    <hyperlink ref="D141" r:id="rId138" location="'Tech%20Leaders%20Kits'!A1" display="TL-24"/>
    <hyperlink ref="D142" r:id="rId139" location="'Tech%20Leaders%20Kits'!A1" display="TL-25"/>
    <hyperlink ref="D143" r:id="rId140" location="'Tech%20Leaders%20Kits'!A1" display="TL-26"/>
    <hyperlink ref="D144" r:id="rId141" location="'Tech%20Leaders%20Kits'!A1" display="TL-27"/>
    <hyperlink ref="D145" r:id="rId142" location="'Tech%20Leaders%20Kits'!A1" display="TL-28"/>
    <hyperlink ref="D146" r:id="rId143" location="'Tech%20Leaders%20Kits'!A1" display="TL-29"/>
    <hyperlink ref="D147" r:id="rId144" location="'Tech%20Leaders%20Kits'!A1" display="TL-30"/>
    <hyperlink ref="D148" r:id="rId145" location="'Tech%20Leaders%20Kits'!A1" display="TL-31"/>
    <hyperlink ref="D149" r:id="rId146" location="'Tech%20Leaders%20Kits'!A1" display="TL-32"/>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47"/>
  <legacyDrawing r:id="rId148"/>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9E5B"/>
    <pageSetUpPr fitToPage="true"/>
  </sheetPr>
  <dimension ref="A1:M3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34"/>
    <col collapsed="false" customWidth="true" hidden="false" outlineLevel="0" max="4" min="4" style="0" width="6"/>
    <col collapsed="false" customWidth="true" hidden="false" outlineLevel="0" max="5" min="5" style="0" width="11"/>
    <col collapsed="false" customWidth="true" hidden="false" outlineLevel="0" max="6" min="6" style="0" width="12"/>
    <col collapsed="false" customWidth="true" hidden="false" outlineLevel="0" max="7" min="7" style="0" width="30"/>
    <col collapsed="false" customWidth="true" hidden="false" outlineLevel="0" max="12" min="8" style="0" width="7"/>
    <col collapsed="false" customWidth="true" hidden="false" outlineLevel="0" max="13" min="13" style="0" width="8"/>
  </cols>
  <sheetData>
    <row r="1" customFormat="false" ht="17.35" hidden="false" customHeight="false" outlineLevel="0" collapsed="false">
      <c r="A1" s="45" t="s">
        <v>358</v>
      </c>
    </row>
    <row r="2" customFormat="false" ht="15" hidden="false" customHeight="false" outlineLevel="0" collapsed="false">
      <c r="A2" s="2" t="s">
        <v>359</v>
      </c>
    </row>
    <row r="4" customFormat="false" ht="30" hidden="false" customHeight="true" outlineLevel="0" collapsed="false">
      <c r="A4" s="46" t="s">
        <v>45</v>
      </c>
      <c r="B4" s="46" t="s">
        <v>52</v>
      </c>
      <c r="C4" s="46" t="s">
        <v>53</v>
      </c>
      <c r="D4" s="46" t="s">
        <v>55</v>
      </c>
      <c r="E4" s="46" t="s">
        <v>61</v>
      </c>
      <c r="F4" s="46" t="s">
        <v>54</v>
      </c>
      <c r="G4" s="46" t="s">
        <v>58</v>
      </c>
      <c r="H4" s="30" t="s">
        <v>360</v>
      </c>
      <c r="I4" s="30" t="s">
        <v>361</v>
      </c>
      <c r="J4" s="30" t="s">
        <v>362</v>
      </c>
      <c r="K4" s="30" t="s">
        <v>363</v>
      </c>
      <c r="L4" s="30" t="s">
        <v>364</v>
      </c>
      <c r="M4" s="30" t="s">
        <v>22</v>
      </c>
    </row>
    <row r="5" customFormat="false" ht="19.5" hidden="false" customHeight="true" outlineLevel="0" collapsed="false">
      <c r="A5" s="47" t="s">
        <v>75</v>
      </c>
      <c r="B5" s="48" t="s">
        <v>365</v>
      </c>
      <c r="C5" s="48"/>
      <c r="D5" s="48"/>
      <c r="E5" s="48"/>
      <c r="F5" s="49" t="str">
        <f aca="false">"Status: "&amp;'Session Tracker'!F5&amp;IF('Session Tracker'!G5&lt;&gt;""," ("&amp;'Session Tracker'!G5&amp;")","")</f>
        <v>Status: Not started</v>
      </c>
      <c r="G5" s="49"/>
      <c r="H5" s="50"/>
      <c r="I5" s="50"/>
      <c r="J5" s="50"/>
      <c r="K5" s="50"/>
      <c r="L5" s="50"/>
      <c r="M5" s="50"/>
    </row>
    <row r="6" customFormat="false" ht="23.85" hidden="false" customHeight="false" outlineLevel="0" collapsed="false">
      <c r="A6" s="51" t="s">
        <v>75</v>
      </c>
      <c r="B6" s="34" t="s">
        <v>366</v>
      </c>
      <c r="C6" s="34" t="s">
        <v>367</v>
      </c>
      <c r="D6" s="32" t="n">
        <v>1</v>
      </c>
      <c r="E6" s="32" t="s">
        <v>14</v>
      </c>
      <c r="F6" s="32" t="s">
        <v>368</v>
      </c>
      <c r="G6" s="34"/>
      <c r="H6" s="52" t="n">
        <f aca="false">IF($E6="Per class",$D6*COUNTIFS('Session Tracker'!$D$5:$D$149,$A6,'Session Tracker'!$F$5:$F$149,"Next week",'Session Tracker'!$G$5:$G$149,"Mon"),$D6*SUMIFS('Session Tracker'!$J$5:$J$149,'Session Tracker'!$D$5:$D$149,$A6,'Session Tracker'!$F$5:$F$149,"Next week",'Session Tracker'!$G$5:$G$149,"Mon"))</f>
        <v>0</v>
      </c>
      <c r="I6" s="52" t="n">
        <f aca="false">IF($E6="Per class",$D6*COUNTIFS('Session Tracker'!$D$5:$D$149,$A6,'Session Tracker'!$F$5:$F$149,"Next week",'Session Tracker'!$G$5:$G$149,"Tue"),$D6*SUMIFS('Session Tracker'!$J$5:$J$149,'Session Tracker'!$D$5:$D$149,$A6,'Session Tracker'!$F$5:$F$149,"Next week",'Session Tracker'!$G$5:$G$149,"Tue"))</f>
        <v>0</v>
      </c>
      <c r="J6" s="52" t="n">
        <f aca="false">IF($E6="Per class",$D6*COUNTIFS('Session Tracker'!$D$5:$D$149,$A6,'Session Tracker'!$F$5:$F$149,"Next week",'Session Tracker'!$G$5:$G$149,"Wed"),$D6*SUMIFS('Session Tracker'!$J$5:$J$149,'Session Tracker'!$D$5:$D$149,$A6,'Session Tracker'!$F$5:$F$149,"Next week",'Session Tracker'!$G$5:$G$149,"Wed"))</f>
        <v>0</v>
      </c>
      <c r="K6" s="52" t="n">
        <f aca="false">IF($E6="Per class",$D6*COUNTIFS('Session Tracker'!$D$5:$D$149,$A6,'Session Tracker'!$F$5:$F$149,"Next week",'Session Tracker'!$G$5:$G$149,"Thu"),$D6*SUMIFS('Session Tracker'!$J$5:$J$149,'Session Tracker'!$D$5:$D$149,$A6,'Session Tracker'!$F$5:$F$149,"Next week",'Session Tracker'!$G$5:$G$149,"Thu"))</f>
        <v>0</v>
      </c>
      <c r="L6" s="52" t="n">
        <f aca="false">IF($E6="Per class",$D6*COUNTIFS('Session Tracker'!$D$5:$D$149,$A6,'Session Tracker'!$F$5:$F$149,"Next week",'Session Tracker'!$G$5:$G$149,"Fri"),$D6*SUMIFS('Session Tracker'!$J$5:$J$149,'Session Tracker'!$D$5:$D$149,$A6,'Session Tracker'!$F$5:$F$149,"Next week",'Session Tracker'!$G$5:$G$149,"Fri"))</f>
        <v>0</v>
      </c>
      <c r="M6" s="52" t="n">
        <f aca="false">IF($E6="Per class",$D6*COUNTIFS('Session Tracker'!$D$5:$D$149,$A6,'Session Tracker'!$F$5:$F$149,"Next week",'Session Tracker'!$G$5:$G$149,""),$D6*SUMIFS('Session Tracker'!$J$5:$J$149,'Session Tracker'!$D$5:$D$149,$A6,'Session Tracker'!$F$5:$F$149,"Next week",'Session Tracker'!$G$5:$G$149,""))</f>
        <v>0</v>
      </c>
    </row>
    <row r="7" customFormat="false" ht="15" hidden="false" customHeight="false" outlineLevel="0" collapsed="false">
      <c r="A7" s="51" t="s">
        <v>75</v>
      </c>
      <c r="B7" s="34" t="s">
        <v>369</v>
      </c>
      <c r="C7" s="34" t="s">
        <v>370</v>
      </c>
      <c r="D7" s="32" t="n">
        <v>1</v>
      </c>
      <c r="E7" s="32" t="s">
        <v>14</v>
      </c>
      <c r="F7" s="32" t="s">
        <v>368</v>
      </c>
      <c r="G7" s="34"/>
      <c r="H7" s="52" t="n">
        <f aca="false">IF($E7="Per class",$D7*COUNTIFS('Session Tracker'!$D$5:$D$149,$A7,'Session Tracker'!$F$5:$F$149,"Next week",'Session Tracker'!$G$5:$G$149,"Mon"),$D7*SUMIFS('Session Tracker'!$J$5:$J$149,'Session Tracker'!$D$5:$D$149,$A7,'Session Tracker'!$F$5:$F$149,"Next week",'Session Tracker'!$G$5:$G$149,"Mon"))</f>
        <v>0</v>
      </c>
      <c r="I7" s="52" t="n">
        <f aca="false">IF($E7="Per class",$D7*COUNTIFS('Session Tracker'!$D$5:$D$149,$A7,'Session Tracker'!$F$5:$F$149,"Next week",'Session Tracker'!$G$5:$G$149,"Tue"),$D7*SUMIFS('Session Tracker'!$J$5:$J$149,'Session Tracker'!$D$5:$D$149,$A7,'Session Tracker'!$F$5:$F$149,"Next week",'Session Tracker'!$G$5:$G$149,"Tue"))</f>
        <v>0</v>
      </c>
      <c r="J7" s="52" t="n">
        <f aca="false">IF($E7="Per class",$D7*COUNTIFS('Session Tracker'!$D$5:$D$149,$A7,'Session Tracker'!$F$5:$F$149,"Next week",'Session Tracker'!$G$5:$G$149,"Wed"),$D7*SUMIFS('Session Tracker'!$J$5:$J$149,'Session Tracker'!$D$5:$D$149,$A7,'Session Tracker'!$F$5:$F$149,"Next week",'Session Tracker'!$G$5:$G$149,"Wed"))</f>
        <v>0</v>
      </c>
      <c r="K7" s="52" t="n">
        <f aca="false">IF($E7="Per class",$D7*COUNTIFS('Session Tracker'!$D$5:$D$149,$A7,'Session Tracker'!$F$5:$F$149,"Next week",'Session Tracker'!$G$5:$G$149,"Thu"),$D7*SUMIFS('Session Tracker'!$J$5:$J$149,'Session Tracker'!$D$5:$D$149,$A7,'Session Tracker'!$F$5:$F$149,"Next week",'Session Tracker'!$G$5:$G$149,"Thu"))</f>
        <v>0</v>
      </c>
      <c r="L7" s="52" t="n">
        <f aca="false">IF($E7="Per class",$D7*COUNTIFS('Session Tracker'!$D$5:$D$149,$A7,'Session Tracker'!$F$5:$F$149,"Next week",'Session Tracker'!$G$5:$G$149,"Fri"),$D7*SUMIFS('Session Tracker'!$J$5:$J$149,'Session Tracker'!$D$5:$D$149,$A7,'Session Tracker'!$F$5:$F$149,"Next week",'Session Tracker'!$G$5:$G$149,"Fri"))</f>
        <v>0</v>
      </c>
      <c r="M7" s="52" t="n">
        <f aca="false">IF($E7="Per class",$D7*COUNTIFS('Session Tracker'!$D$5:$D$149,$A7,'Session Tracker'!$F$5:$F$149,"Next week",'Session Tracker'!$G$5:$G$149,""),$D7*SUMIFS('Session Tracker'!$J$5:$J$149,'Session Tracker'!$D$5:$D$149,$A7,'Session Tracker'!$F$5:$F$149,"Next week",'Session Tracker'!$G$5:$G$149,""))</f>
        <v>0</v>
      </c>
    </row>
    <row r="8" customFormat="false" ht="15" hidden="false" customHeight="false" outlineLevel="0" collapsed="false">
      <c r="A8" s="51" t="s">
        <v>75</v>
      </c>
      <c r="B8" s="34" t="s">
        <v>371</v>
      </c>
      <c r="C8" s="34" t="s">
        <v>372</v>
      </c>
      <c r="D8" s="32" t="n">
        <v>1</v>
      </c>
      <c r="E8" s="32" t="s">
        <v>14</v>
      </c>
      <c r="F8" s="32" t="s">
        <v>373</v>
      </c>
      <c r="G8" s="34" t="s">
        <v>374</v>
      </c>
      <c r="H8" s="52" t="n">
        <f aca="false">IF($E8="Per class",$D8*COUNTIFS('Session Tracker'!$D$5:$D$149,$A8,'Session Tracker'!$F$5:$F$149,"Next week",'Session Tracker'!$G$5:$G$149,"Mon"),$D8*SUMIFS('Session Tracker'!$J$5:$J$149,'Session Tracker'!$D$5:$D$149,$A8,'Session Tracker'!$F$5:$F$149,"Next week",'Session Tracker'!$G$5:$G$149,"Mon"))</f>
        <v>0</v>
      </c>
      <c r="I8" s="52" t="n">
        <f aca="false">IF($E8="Per class",$D8*COUNTIFS('Session Tracker'!$D$5:$D$149,$A8,'Session Tracker'!$F$5:$F$149,"Next week",'Session Tracker'!$G$5:$G$149,"Tue"),$D8*SUMIFS('Session Tracker'!$J$5:$J$149,'Session Tracker'!$D$5:$D$149,$A8,'Session Tracker'!$F$5:$F$149,"Next week",'Session Tracker'!$G$5:$G$149,"Tue"))</f>
        <v>0</v>
      </c>
      <c r="J8" s="52" t="n">
        <f aca="false">IF($E8="Per class",$D8*COUNTIFS('Session Tracker'!$D$5:$D$149,$A8,'Session Tracker'!$F$5:$F$149,"Next week",'Session Tracker'!$G$5:$G$149,"Wed"),$D8*SUMIFS('Session Tracker'!$J$5:$J$149,'Session Tracker'!$D$5:$D$149,$A8,'Session Tracker'!$F$5:$F$149,"Next week",'Session Tracker'!$G$5:$G$149,"Wed"))</f>
        <v>0</v>
      </c>
      <c r="K8" s="52" t="n">
        <f aca="false">IF($E8="Per class",$D8*COUNTIFS('Session Tracker'!$D$5:$D$149,$A8,'Session Tracker'!$F$5:$F$149,"Next week",'Session Tracker'!$G$5:$G$149,"Thu"),$D8*SUMIFS('Session Tracker'!$J$5:$J$149,'Session Tracker'!$D$5:$D$149,$A8,'Session Tracker'!$F$5:$F$149,"Next week",'Session Tracker'!$G$5:$G$149,"Thu"))</f>
        <v>0</v>
      </c>
      <c r="L8" s="52" t="n">
        <f aca="false">IF($E8="Per class",$D8*COUNTIFS('Session Tracker'!$D$5:$D$149,$A8,'Session Tracker'!$F$5:$F$149,"Next week",'Session Tracker'!$G$5:$G$149,"Fri"),$D8*SUMIFS('Session Tracker'!$J$5:$J$149,'Session Tracker'!$D$5:$D$149,$A8,'Session Tracker'!$F$5:$F$149,"Next week",'Session Tracker'!$G$5:$G$149,"Fri"))</f>
        <v>0</v>
      </c>
      <c r="M8" s="52" t="n">
        <f aca="false">IF($E8="Per class",$D8*COUNTIFS('Session Tracker'!$D$5:$D$149,$A8,'Session Tracker'!$F$5:$F$149,"Next week",'Session Tracker'!$G$5:$G$149,""),$D8*SUMIFS('Session Tracker'!$J$5:$J$149,'Session Tracker'!$D$5:$D$149,$A8,'Session Tracker'!$F$5:$F$149,"Next week",'Session Tracker'!$G$5:$G$149,""))</f>
        <v>0</v>
      </c>
    </row>
    <row r="9" customFormat="false" ht="15" hidden="false" customHeight="false" outlineLevel="0" collapsed="false">
      <c r="A9" s="51" t="s">
        <v>75</v>
      </c>
      <c r="B9" s="34" t="s">
        <v>375</v>
      </c>
      <c r="C9" s="34" t="s">
        <v>376</v>
      </c>
      <c r="D9" s="32" t="n">
        <v>1</v>
      </c>
      <c r="E9" s="32" t="s">
        <v>14</v>
      </c>
      <c r="F9" s="32" t="s">
        <v>373</v>
      </c>
      <c r="G9" s="34"/>
      <c r="H9" s="52" t="n">
        <f aca="false">IF($E9="Per class",$D9*COUNTIFS('Session Tracker'!$D$5:$D$149,$A9,'Session Tracker'!$F$5:$F$149,"Next week",'Session Tracker'!$G$5:$G$149,"Mon"),$D9*SUMIFS('Session Tracker'!$J$5:$J$149,'Session Tracker'!$D$5:$D$149,$A9,'Session Tracker'!$F$5:$F$149,"Next week",'Session Tracker'!$G$5:$G$149,"Mon"))</f>
        <v>0</v>
      </c>
      <c r="I9" s="52" t="n">
        <f aca="false">IF($E9="Per class",$D9*COUNTIFS('Session Tracker'!$D$5:$D$149,$A9,'Session Tracker'!$F$5:$F$149,"Next week",'Session Tracker'!$G$5:$G$149,"Tue"),$D9*SUMIFS('Session Tracker'!$J$5:$J$149,'Session Tracker'!$D$5:$D$149,$A9,'Session Tracker'!$F$5:$F$149,"Next week",'Session Tracker'!$G$5:$G$149,"Tue"))</f>
        <v>0</v>
      </c>
      <c r="J9" s="52" t="n">
        <f aca="false">IF($E9="Per class",$D9*COUNTIFS('Session Tracker'!$D$5:$D$149,$A9,'Session Tracker'!$F$5:$F$149,"Next week",'Session Tracker'!$G$5:$G$149,"Wed"),$D9*SUMIFS('Session Tracker'!$J$5:$J$149,'Session Tracker'!$D$5:$D$149,$A9,'Session Tracker'!$F$5:$F$149,"Next week",'Session Tracker'!$G$5:$G$149,"Wed"))</f>
        <v>0</v>
      </c>
      <c r="K9" s="52" t="n">
        <f aca="false">IF($E9="Per class",$D9*COUNTIFS('Session Tracker'!$D$5:$D$149,$A9,'Session Tracker'!$F$5:$F$149,"Next week",'Session Tracker'!$G$5:$G$149,"Thu"),$D9*SUMIFS('Session Tracker'!$J$5:$J$149,'Session Tracker'!$D$5:$D$149,$A9,'Session Tracker'!$F$5:$F$149,"Next week",'Session Tracker'!$G$5:$G$149,"Thu"))</f>
        <v>0</v>
      </c>
      <c r="L9" s="52" t="n">
        <f aca="false">IF($E9="Per class",$D9*COUNTIFS('Session Tracker'!$D$5:$D$149,$A9,'Session Tracker'!$F$5:$F$149,"Next week",'Session Tracker'!$G$5:$G$149,"Fri"),$D9*SUMIFS('Session Tracker'!$J$5:$J$149,'Session Tracker'!$D$5:$D$149,$A9,'Session Tracker'!$F$5:$F$149,"Next week",'Session Tracker'!$G$5:$G$149,"Fri"))</f>
        <v>0</v>
      </c>
      <c r="M9" s="52" t="n">
        <f aca="false">IF($E9="Per class",$D9*COUNTIFS('Session Tracker'!$D$5:$D$149,$A9,'Session Tracker'!$F$5:$F$149,"Next week",'Session Tracker'!$G$5:$G$149,""),$D9*SUMIFS('Session Tracker'!$J$5:$J$149,'Session Tracker'!$D$5:$D$149,$A9,'Session Tracker'!$F$5:$F$149,"Next week",'Session Tracker'!$G$5:$G$149,""))</f>
        <v>0</v>
      </c>
    </row>
    <row r="10" customFormat="false" ht="15" hidden="false" customHeight="false" outlineLevel="0" collapsed="false">
      <c r="A10" s="51" t="s">
        <v>75</v>
      </c>
      <c r="B10" s="34" t="s">
        <v>377</v>
      </c>
      <c r="C10" s="34" t="s">
        <v>378</v>
      </c>
      <c r="D10" s="32" t="n">
        <v>1</v>
      </c>
      <c r="E10" s="32" t="s">
        <v>14</v>
      </c>
      <c r="F10" s="32" t="s">
        <v>368</v>
      </c>
      <c r="G10" s="34"/>
      <c r="H10" s="52" t="n">
        <f aca="false">IF($E10="Per class",$D10*COUNTIFS('Session Tracker'!$D$5:$D$149,$A10,'Session Tracker'!$F$5:$F$149,"Next week",'Session Tracker'!$G$5:$G$149,"Mon"),$D10*SUMIFS('Session Tracker'!$J$5:$J$149,'Session Tracker'!$D$5:$D$149,$A10,'Session Tracker'!$F$5:$F$149,"Next week",'Session Tracker'!$G$5:$G$149,"Mon"))</f>
        <v>0</v>
      </c>
      <c r="I10" s="52" t="n">
        <f aca="false">IF($E10="Per class",$D10*COUNTIFS('Session Tracker'!$D$5:$D$149,$A10,'Session Tracker'!$F$5:$F$149,"Next week",'Session Tracker'!$G$5:$G$149,"Tue"),$D10*SUMIFS('Session Tracker'!$J$5:$J$149,'Session Tracker'!$D$5:$D$149,$A10,'Session Tracker'!$F$5:$F$149,"Next week",'Session Tracker'!$G$5:$G$149,"Tue"))</f>
        <v>0</v>
      </c>
      <c r="J10" s="52" t="n">
        <f aca="false">IF($E10="Per class",$D10*COUNTIFS('Session Tracker'!$D$5:$D$149,$A10,'Session Tracker'!$F$5:$F$149,"Next week",'Session Tracker'!$G$5:$G$149,"Wed"),$D10*SUMIFS('Session Tracker'!$J$5:$J$149,'Session Tracker'!$D$5:$D$149,$A10,'Session Tracker'!$F$5:$F$149,"Next week",'Session Tracker'!$G$5:$G$149,"Wed"))</f>
        <v>0</v>
      </c>
      <c r="K10" s="52" t="n">
        <f aca="false">IF($E10="Per class",$D10*COUNTIFS('Session Tracker'!$D$5:$D$149,$A10,'Session Tracker'!$F$5:$F$149,"Next week",'Session Tracker'!$G$5:$G$149,"Thu"),$D10*SUMIFS('Session Tracker'!$J$5:$J$149,'Session Tracker'!$D$5:$D$149,$A10,'Session Tracker'!$F$5:$F$149,"Next week",'Session Tracker'!$G$5:$G$149,"Thu"))</f>
        <v>0</v>
      </c>
      <c r="L10" s="52" t="n">
        <f aca="false">IF($E10="Per class",$D10*COUNTIFS('Session Tracker'!$D$5:$D$149,$A10,'Session Tracker'!$F$5:$F$149,"Next week",'Session Tracker'!$G$5:$G$149,"Fri"),$D10*SUMIFS('Session Tracker'!$J$5:$J$149,'Session Tracker'!$D$5:$D$149,$A10,'Session Tracker'!$F$5:$F$149,"Next week",'Session Tracker'!$G$5:$G$149,"Fri"))</f>
        <v>0</v>
      </c>
      <c r="M10" s="52" t="n">
        <f aca="false">IF($E10="Per class",$D10*COUNTIFS('Session Tracker'!$D$5:$D$149,$A10,'Session Tracker'!$F$5:$F$149,"Next week",'Session Tracker'!$G$5:$G$149,""),$D10*SUMIFS('Session Tracker'!$J$5:$J$149,'Session Tracker'!$D$5:$D$149,$A10,'Session Tracker'!$F$5:$F$149,"Next week",'Session Tracker'!$G$5:$G$149,""))</f>
        <v>0</v>
      </c>
    </row>
    <row r="11" customFormat="false" ht="15" hidden="false" customHeight="false" outlineLevel="0" collapsed="false">
      <c r="A11" s="51" t="s">
        <v>75</v>
      </c>
      <c r="B11" s="34" t="s">
        <v>379</v>
      </c>
      <c r="C11" s="34" t="s">
        <v>380</v>
      </c>
      <c r="D11" s="32" t="n">
        <v>1</v>
      </c>
      <c r="E11" s="32" t="s">
        <v>14</v>
      </c>
      <c r="F11" s="32" t="s">
        <v>368</v>
      </c>
      <c r="G11" s="34"/>
      <c r="H11" s="52" t="n">
        <f aca="false">IF($E11="Per class",$D11*COUNTIFS('Session Tracker'!$D$5:$D$149,$A11,'Session Tracker'!$F$5:$F$149,"Next week",'Session Tracker'!$G$5:$G$149,"Mon"),$D11*SUMIFS('Session Tracker'!$J$5:$J$149,'Session Tracker'!$D$5:$D$149,$A11,'Session Tracker'!$F$5:$F$149,"Next week",'Session Tracker'!$G$5:$G$149,"Mon"))</f>
        <v>0</v>
      </c>
      <c r="I11" s="52" t="n">
        <f aca="false">IF($E11="Per class",$D11*COUNTIFS('Session Tracker'!$D$5:$D$149,$A11,'Session Tracker'!$F$5:$F$149,"Next week",'Session Tracker'!$G$5:$G$149,"Tue"),$D11*SUMIFS('Session Tracker'!$J$5:$J$149,'Session Tracker'!$D$5:$D$149,$A11,'Session Tracker'!$F$5:$F$149,"Next week",'Session Tracker'!$G$5:$G$149,"Tue"))</f>
        <v>0</v>
      </c>
      <c r="J11" s="52" t="n">
        <f aca="false">IF($E11="Per class",$D11*COUNTIFS('Session Tracker'!$D$5:$D$149,$A11,'Session Tracker'!$F$5:$F$149,"Next week",'Session Tracker'!$G$5:$G$149,"Wed"),$D11*SUMIFS('Session Tracker'!$J$5:$J$149,'Session Tracker'!$D$5:$D$149,$A11,'Session Tracker'!$F$5:$F$149,"Next week",'Session Tracker'!$G$5:$G$149,"Wed"))</f>
        <v>0</v>
      </c>
      <c r="K11" s="52" t="n">
        <f aca="false">IF($E11="Per class",$D11*COUNTIFS('Session Tracker'!$D$5:$D$149,$A11,'Session Tracker'!$F$5:$F$149,"Next week",'Session Tracker'!$G$5:$G$149,"Thu"),$D11*SUMIFS('Session Tracker'!$J$5:$J$149,'Session Tracker'!$D$5:$D$149,$A11,'Session Tracker'!$F$5:$F$149,"Next week",'Session Tracker'!$G$5:$G$149,"Thu"))</f>
        <v>0</v>
      </c>
      <c r="L11" s="52" t="n">
        <f aca="false">IF($E11="Per class",$D11*COUNTIFS('Session Tracker'!$D$5:$D$149,$A11,'Session Tracker'!$F$5:$F$149,"Next week",'Session Tracker'!$G$5:$G$149,"Fri"),$D11*SUMIFS('Session Tracker'!$J$5:$J$149,'Session Tracker'!$D$5:$D$149,$A11,'Session Tracker'!$F$5:$F$149,"Next week",'Session Tracker'!$G$5:$G$149,"Fri"))</f>
        <v>0</v>
      </c>
      <c r="M11" s="52" t="n">
        <f aca="false">IF($E11="Per class",$D11*COUNTIFS('Session Tracker'!$D$5:$D$149,$A11,'Session Tracker'!$F$5:$F$149,"Next week",'Session Tracker'!$G$5:$G$149,""),$D11*SUMIFS('Session Tracker'!$J$5:$J$149,'Session Tracker'!$D$5:$D$149,$A11,'Session Tracker'!$F$5:$F$149,"Next week",'Session Tracker'!$G$5:$G$149,""))</f>
        <v>0</v>
      </c>
    </row>
    <row r="12" customFormat="false" ht="15" hidden="false" customHeight="false" outlineLevel="0" collapsed="false">
      <c r="A12" s="51" t="s">
        <v>75</v>
      </c>
      <c r="B12" s="34" t="s">
        <v>379</v>
      </c>
      <c r="C12" s="34" t="s">
        <v>381</v>
      </c>
      <c r="D12" s="32" t="n">
        <v>6</v>
      </c>
      <c r="E12" s="32" t="s">
        <v>14</v>
      </c>
      <c r="F12" s="32" t="s">
        <v>368</v>
      </c>
      <c r="G12" s="34"/>
      <c r="H12" s="52" t="n">
        <f aca="false">IF($E12="Per class",$D12*COUNTIFS('Session Tracker'!$D$5:$D$149,$A12,'Session Tracker'!$F$5:$F$149,"Next week",'Session Tracker'!$G$5:$G$149,"Mon"),$D12*SUMIFS('Session Tracker'!$J$5:$J$149,'Session Tracker'!$D$5:$D$149,$A12,'Session Tracker'!$F$5:$F$149,"Next week",'Session Tracker'!$G$5:$G$149,"Mon"))</f>
        <v>0</v>
      </c>
      <c r="I12" s="52" t="n">
        <f aca="false">IF($E12="Per class",$D12*COUNTIFS('Session Tracker'!$D$5:$D$149,$A12,'Session Tracker'!$F$5:$F$149,"Next week",'Session Tracker'!$G$5:$G$149,"Tue"),$D12*SUMIFS('Session Tracker'!$J$5:$J$149,'Session Tracker'!$D$5:$D$149,$A12,'Session Tracker'!$F$5:$F$149,"Next week",'Session Tracker'!$G$5:$G$149,"Tue"))</f>
        <v>0</v>
      </c>
      <c r="J12" s="52" t="n">
        <f aca="false">IF($E12="Per class",$D12*COUNTIFS('Session Tracker'!$D$5:$D$149,$A12,'Session Tracker'!$F$5:$F$149,"Next week",'Session Tracker'!$G$5:$G$149,"Wed"),$D12*SUMIFS('Session Tracker'!$J$5:$J$149,'Session Tracker'!$D$5:$D$149,$A12,'Session Tracker'!$F$5:$F$149,"Next week",'Session Tracker'!$G$5:$G$149,"Wed"))</f>
        <v>0</v>
      </c>
      <c r="K12" s="52" t="n">
        <f aca="false">IF($E12="Per class",$D12*COUNTIFS('Session Tracker'!$D$5:$D$149,$A12,'Session Tracker'!$F$5:$F$149,"Next week",'Session Tracker'!$G$5:$G$149,"Thu"),$D12*SUMIFS('Session Tracker'!$J$5:$J$149,'Session Tracker'!$D$5:$D$149,$A12,'Session Tracker'!$F$5:$F$149,"Next week",'Session Tracker'!$G$5:$G$149,"Thu"))</f>
        <v>0</v>
      </c>
      <c r="L12" s="52" t="n">
        <f aca="false">IF($E12="Per class",$D12*COUNTIFS('Session Tracker'!$D$5:$D$149,$A12,'Session Tracker'!$F$5:$F$149,"Next week",'Session Tracker'!$G$5:$G$149,"Fri"),$D12*SUMIFS('Session Tracker'!$J$5:$J$149,'Session Tracker'!$D$5:$D$149,$A12,'Session Tracker'!$F$5:$F$149,"Next week",'Session Tracker'!$G$5:$G$149,"Fri"))</f>
        <v>0</v>
      </c>
      <c r="M12" s="52" t="n">
        <f aca="false">IF($E12="Per class",$D12*COUNTIFS('Session Tracker'!$D$5:$D$149,$A12,'Session Tracker'!$F$5:$F$149,"Next week",'Session Tracker'!$G$5:$G$149,""),$D12*SUMIFS('Session Tracker'!$J$5:$J$149,'Session Tracker'!$D$5:$D$149,$A12,'Session Tracker'!$F$5:$F$149,"Next week",'Session Tracker'!$G$5:$G$149,""))</f>
        <v>0</v>
      </c>
    </row>
    <row r="13" customFormat="false" ht="15" hidden="false" customHeight="false" outlineLevel="0" collapsed="false">
      <c r="A13" s="51" t="s">
        <v>75</v>
      </c>
      <c r="B13" s="34" t="s">
        <v>382</v>
      </c>
      <c r="C13" s="34" t="s">
        <v>383</v>
      </c>
      <c r="D13" s="32" t="n">
        <v>1</v>
      </c>
      <c r="E13" s="32" t="s">
        <v>14</v>
      </c>
      <c r="F13" s="32" t="s">
        <v>368</v>
      </c>
      <c r="G13" s="34"/>
      <c r="H13" s="52" t="n">
        <f aca="false">IF($E13="Per class",$D13*COUNTIFS('Session Tracker'!$D$5:$D$149,$A13,'Session Tracker'!$F$5:$F$149,"Next week",'Session Tracker'!$G$5:$G$149,"Mon"),$D13*SUMIFS('Session Tracker'!$J$5:$J$149,'Session Tracker'!$D$5:$D$149,$A13,'Session Tracker'!$F$5:$F$149,"Next week",'Session Tracker'!$G$5:$G$149,"Mon"))</f>
        <v>0</v>
      </c>
      <c r="I13" s="52" t="n">
        <f aca="false">IF($E13="Per class",$D13*COUNTIFS('Session Tracker'!$D$5:$D$149,$A13,'Session Tracker'!$F$5:$F$149,"Next week",'Session Tracker'!$G$5:$G$149,"Tue"),$D13*SUMIFS('Session Tracker'!$J$5:$J$149,'Session Tracker'!$D$5:$D$149,$A13,'Session Tracker'!$F$5:$F$149,"Next week",'Session Tracker'!$G$5:$G$149,"Tue"))</f>
        <v>0</v>
      </c>
      <c r="J13" s="52" t="n">
        <f aca="false">IF($E13="Per class",$D13*COUNTIFS('Session Tracker'!$D$5:$D$149,$A13,'Session Tracker'!$F$5:$F$149,"Next week",'Session Tracker'!$G$5:$G$149,"Wed"),$D13*SUMIFS('Session Tracker'!$J$5:$J$149,'Session Tracker'!$D$5:$D$149,$A13,'Session Tracker'!$F$5:$F$149,"Next week",'Session Tracker'!$G$5:$G$149,"Wed"))</f>
        <v>0</v>
      </c>
      <c r="K13" s="52" t="n">
        <f aca="false">IF($E13="Per class",$D13*COUNTIFS('Session Tracker'!$D$5:$D$149,$A13,'Session Tracker'!$F$5:$F$149,"Next week",'Session Tracker'!$G$5:$G$149,"Thu"),$D13*SUMIFS('Session Tracker'!$J$5:$J$149,'Session Tracker'!$D$5:$D$149,$A13,'Session Tracker'!$F$5:$F$149,"Next week",'Session Tracker'!$G$5:$G$149,"Thu"))</f>
        <v>0</v>
      </c>
      <c r="L13" s="52" t="n">
        <f aca="false">IF($E13="Per class",$D13*COUNTIFS('Session Tracker'!$D$5:$D$149,$A13,'Session Tracker'!$F$5:$F$149,"Next week",'Session Tracker'!$G$5:$G$149,"Fri"),$D13*SUMIFS('Session Tracker'!$J$5:$J$149,'Session Tracker'!$D$5:$D$149,$A13,'Session Tracker'!$F$5:$F$149,"Next week",'Session Tracker'!$G$5:$G$149,"Fri"))</f>
        <v>0</v>
      </c>
      <c r="M13" s="52" t="n">
        <f aca="false">IF($E13="Per class",$D13*COUNTIFS('Session Tracker'!$D$5:$D$149,$A13,'Session Tracker'!$F$5:$F$149,"Next week",'Session Tracker'!$G$5:$G$149,""),$D13*SUMIFS('Session Tracker'!$J$5:$J$149,'Session Tracker'!$D$5:$D$149,$A13,'Session Tracker'!$F$5:$F$149,"Next week",'Session Tracker'!$G$5:$G$149,""))</f>
        <v>0</v>
      </c>
    </row>
    <row r="14" customFormat="false" ht="15" hidden="false" customHeight="false" outlineLevel="0" collapsed="false">
      <c r="A14" s="53" t="s">
        <v>75</v>
      </c>
      <c r="B14" s="54"/>
      <c r="C14" s="54"/>
      <c r="D14" s="54"/>
      <c r="E14" s="54"/>
      <c r="F14" s="54"/>
      <c r="G14" s="54"/>
      <c r="H14" s="52" t="n">
        <f aca="false">IF($E14="Per class",$D14*COUNTIFS('Session Tracker'!$D$5:$D$149,$A14,'Session Tracker'!$F$5:$F$149,"Next week",'Session Tracker'!$G$5:$G$149,"Mon"),$D14*SUMIFS('Session Tracker'!$J$5:$J$149,'Session Tracker'!$D$5:$D$149,$A14,'Session Tracker'!$F$5:$F$149,"Next week",'Session Tracker'!$G$5:$G$149,"Mon"))</f>
        <v>0</v>
      </c>
      <c r="I14" s="52" t="n">
        <f aca="false">IF($E14="Per class",$D14*COUNTIFS('Session Tracker'!$D$5:$D$149,$A14,'Session Tracker'!$F$5:$F$149,"Next week",'Session Tracker'!$G$5:$G$149,"Tue"),$D14*SUMIFS('Session Tracker'!$J$5:$J$149,'Session Tracker'!$D$5:$D$149,$A14,'Session Tracker'!$F$5:$F$149,"Next week",'Session Tracker'!$G$5:$G$149,"Tue"))</f>
        <v>0</v>
      </c>
      <c r="J14" s="52" t="n">
        <f aca="false">IF($E14="Per class",$D14*COUNTIFS('Session Tracker'!$D$5:$D$149,$A14,'Session Tracker'!$F$5:$F$149,"Next week",'Session Tracker'!$G$5:$G$149,"Wed"),$D14*SUMIFS('Session Tracker'!$J$5:$J$149,'Session Tracker'!$D$5:$D$149,$A14,'Session Tracker'!$F$5:$F$149,"Next week",'Session Tracker'!$G$5:$G$149,"Wed"))</f>
        <v>0</v>
      </c>
      <c r="K14" s="52" t="n">
        <f aca="false">IF($E14="Per class",$D14*COUNTIFS('Session Tracker'!$D$5:$D$149,$A14,'Session Tracker'!$F$5:$F$149,"Next week",'Session Tracker'!$G$5:$G$149,"Thu"),$D14*SUMIFS('Session Tracker'!$J$5:$J$149,'Session Tracker'!$D$5:$D$149,$A14,'Session Tracker'!$F$5:$F$149,"Next week",'Session Tracker'!$G$5:$G$149,"Thu"))</f>
        <v>0</v>
      </c>
      <c r="L14" s="52" t="n">
        <f aca="false">IF($E14="Per class",$D14*COUNTIFS('Session Tracker'!$D$5:$D$149,$A14,'Session Tracker'!$F$5:$F$149,"Next week",'Session Tracker'!$G$5:$G$149,"Fri"),$D14*SUMIFS('Session Tracker'!$J$5:$J$149,'Session Tracker'!$D$5:$D$149,$A14,'Session Tracker'!$F$5:$F$149,"Next week",'Session Tracker'!$G$5:$G$149,"Fri"))</f>
        <v>0</v>
      </c>
      <c r="M14" s="52" t="n">
        <f aca="false">IF($E14="Per class",$D14*COUNTIFS('Session Tracker'!$D$5:$D$149,$A14,'Session Tracker'!$F$5:$F$149,"Next week",'Session Tracker'!$G$5:$G$149,""),$D14*SUMIFS('Session Tracker'!$J$5:$J$149,'Session Tracker'!$D$5:$D$149,$A14,'Session Tracker'!$F$5:$F$149,"Next week",'Session Tracker'!$G$5:$G$149,""))</f>
        <v>0</v>
      </c>
    </row>
    <row r="15" customFormat="false" ht="15" hidden="false" customHeight="false" outlineLevel="0" collapsed="false">
      <c r="A15" s="53" t="s">
        <v>75</v>
      </c>
      <c r="B15" s="54"/>
      <c r="C15" s="54"/>
      <c r="D15" s="54"/>
      <c r="E15" s="54"/>
      <c r="F15" s="54"/>
      <c r="G15" s="54"/>
      <c r="H15" s="52" t="n">
        <f aca="false">IF($E15="Per class",$D15*COUNTIFS('Session Tracker'!$D$5:$D$149,$A15,'Session Tracker'!$F$5:$F$149,"Next week",'Session Tracker'!$G$5:$G$149,"Mon"),$D15*SUMIFS('Session Tracker'!$J$5:$J$149,'Session Tracker'!$D$5:$D$149,$A15,'Session Tracker'!$F$5:$F$149,"Next week",'Session Tracker'!$G$5:$G$149,"Mon"))</f>
        <v>0</v>
      </c>
      <c r="I15" s="52" t="n">
        <f aca="false">IF($E15="Per class",$D15*COUNTIFS('Session Tracker'!$D$5:$D$149,$A15,'Session Tracker'!$F$5:$F$149,"Next week",'Session Tracker'!$G$5:$G$149,"Tue"),$D15*SUMIFS('Session Tracker'!$J$5:$J$149,'Session Tracker'!$D$5:$D$149,$A15,'Session Tracker'!$F$5:$F$149,"Next week",'Session Tracker'!$G$5:$G$149,"Tue"))</f>
        <v>0</v>
      </c>
      <c r="J15" s="52" t="n">
        <f aca="false">IF($E15="Per class",$D15*COUNTIFS('Session Tracker'!$D$5:$D$149,$A15,'Session Tracker'!$F$5:$F$149,"Next week",'Session Tracker'!$G$5:$G$149,"Wed"),$D15*SUMIFS('Session Tracker'!$J$5:$J$149,'Session Tracker'!$D$5:$D$149,$A15,'Session Tracker'!$F$5:$F$149,"Next week",'Session Tracker'!$G$5:$G$149,"Wed"))</f>
        <v>0</v>
      </c>
      <c r="K15" s="52" t="n">
        <f aca="false">IF($E15="Per class",$D15*COUNTIFS('Session Tracker'!$D$5:$D$149,$A15,'Session Tracker'!$F$5:$F$149,"Next week",'Session Tracker'!$G$5:$G$149,"Thu"),$D15*SUMIFS('Session Tracker'!$J$5:$J$149,'Session Tracker'!$D$5:$D$149,$A15,'Session Tracker'!$F$5:$F$149,"Next week",'Session Tracker'!$G$5:$G$149,"Thu"))</f>
        <v>0</v>
      </c>
      <c r="L15" s="52" t="n">
        <f aca="false">IF($E15="Per class",$D15*COUNTIFS('Session Tracker'!$D$5:$D$149,$A15,'Session Tracker'!$F$5:$F$149,"Next week",'Session Tracker'!$G$5:$G$149,"Fri"),$D15*SUMIFS('Session Tracker'!$J$5:$J$149,'Session Tracker'!$D$5:$D$149,$A15,'Session Tracker'!$F$5:$F$149,"Next week",'Session Tracker'!$G$5:$G$149,"Fri"))</f>
        <v>0</v>
      </c>
      <c r="M15" s="52" t="n">
        <f aca="false">IF($E15="Per class",$D15*COUNTIFS('Session Tracker'!$D$5:$D$149,$A15,'Session Tracker'!$F$5:$F$149,"Next week",'Session Tracker'!$G$5:$G$149,""),$D15*SUMIFS('Session Tracker'!$J$5:$J$149,'Session Tracker'!$D$5:$D$149,$A15,'Session Tracker'!$F$5:$F$149,"Next week",'Session Tracker'!$G$5:$G$149,""))</f>
        <v>0</v>
      </c>
    </row>
    <row r="17" customFormat="false" ht="19.5" hidden="false" customHeight="true" outlineLevel="0" collapsed="false">
      <c r="A17" s="47" t="s">
        <v>78</v>
      </c>
      <c r="B17" s="48" t="s">
        <v>384</v>
      </c>
      <c r="C17" s="48"/>
      <c r="D17" s="48"/>
      <c r="E17" s="48"/>
      <c r="F17" s="49" t="str">
        <f aca="false">"Status: "&amp;'Session Tracker'!F6&amp;IF('Session Tracker'!G6&lt;&gt;""," ("&amp;'Session Tracker'!G6&amp;")","")</f>
        <v>Status: Not started</v>
      </c>
      <c r="G17" s="49"/>
      <c r="H17" s="50"/>
      <c r="I17" s="50"/>
      <c r="J17" s="50"/>
      <c r="K17" s="50"/>
      <c r="L17" s="50"/>
      <c r="M17" s="50"/>
    </row>
    <row r="18" customFormat="false" ht="23.85" hidden="false" customHeight="false" outlineLevel="0" collapsed="false">
      <c r="A18" s="51" t="s">
        <v>78</v>
      </c>
      <c r="B18" s="34" t="s">
        <v>366</v>
      </c>
      <c r="C18" s="34" t="s">
        <v>367</v>
      </c>
      <c r="D18" s="32" t="n">
        <v>1</v>
      </c>
      <c r="E18" s="32" t="s">
        <v>14</v>
      </c>
      <c r="F18" s="32" t="s">
        <v>368</v>
      </c>
      <c r="G18" s="34"/>
      <c r="H18" s="52" t="n">
        <f aca="false">IF($E18="Per class",$D18*COUNTIFS('Session Tracker'!$D$5:$D$149,$A18,'Session Tracker'!$F$5:$F$149,"Next week",'Session Tracker'!$G$5:$G$149,"Mon"),$D18*SUMIFS('Session Tracker'!$J$5:$J$149,'Session Tracker'!$D$5:$D$149,$A18,'Session Tracker'!$F$5:$F$149,"Next week",'Session Tracker'!$G$5:$G$149,"Mon"))</f>
        <v>0</v>
      </c>
      <c r="I18" s="52" t="n">
        <f aca="false">IF($E18="Per class",$D18*COUNTIFS('Session Tracker'!$D$5:$D$149,$A18,'Session Tracker'!$F$5:$F$149,"Next week",'Session Tracker'!$G$5:$G$149,"Tue"),$D18*SUMIFS('Session Tracker'!$J$5:$J$149,'Session Tracker'!$D$5:$D$149,$A18,'Session Tracker'!$F$5:$F$149,"Next week",'Session Tracker'!$G$5:$G$149,"Tue"))</f>
        <v>0</v>
      </c>
      <c r="J18" s="52" t="n">
        <f aca="false">IF($E18="Per class",$D18*COUNTIFS('Session Tracker'!$D$5:$D$149,$A18,'Session Tracker'!$F$5:$F$149,"Next week",'Session Tracker'!$G$5:$G$149,"Wed"),$D18*SUMIFS('Session Tracker'!$J$5:$J$149,'Session Tracker'!$D$5:$D$149,$A18,'Session Tracker'!$F$5:$F$149,"Next week",'Session Tracker'!$G$5:$G$149,"Wed"))</f>
        <v>0</v>
      </c>
      <c r="K18" s="52" t="n">
        <f aca="false">IF($E18="Per class",$D18*COUNTIFS('Session Tracker'!$D$5:$D$149,$A18,'Session Tracker'!$F$5:$F$149,"Next week",'Session Tracker'!$G$5:$G$149,"Thu"),$D18*SUMIFS('Session Tracker'!$J$5:$J$149,'Session Tracker'!$D$5:$D$149,$A18,'Session Tracker'!$F$5:$F$149,"Next week",'Session Tracker'!$G$5:$G$149,"Thu"))</f>
        <v>0</v>
      </c>
      <c r="L18" s="52" t="n">
        <f aca="false">IF($E18="Per class",$D18*COUNTIFS('Session Tracker'!$D$5:$D$149,$A18,'Session Tracker'!$F$5:$F$149,"Next week",'Session Tracker'!$G$5:$G$149,"Fri"),$D18*SUMIFS('Session Tracker'!$J$5:$J$149,'Session Tracker'!$D$5:$D$149,$A18,'Session Tracker'!$F$5:$F$149,"Next week",'Session Tracker'!$G$5:$G$149,"Fri"))</f>
        <v>0</v>
      </c>
      <c r="M18" s="52" t="n">
        <f aca="false">IF($E18="Per class",$D18*COUNTIFS('Session Tracker'!$D$5:$D$149,$A18,'Session Tracker'!$F$5:$F$149,"Next week",'Session Tracker'!$G$5:$G$149,""),$D18*SUMIFS('Session Tracker'!$J$5:$J$149,'Session Tracker'!$D$5:$D$149,$A18,'Session Tracker'!$F$5:$F$149,"Next week",'Session Tracker'!$G$5:$G$149,""))</f>
        <v>0</v>
      </c>
    </row>
    <row r="19" customFormat="false" ht="15" hidden="false" customHeight="false" outlineLevel="0" collapsed="false">
      <c r="A19" s="51" t="s">
        <v>78</v>
      </c>
      <c r="B19" s="34" t="s">
        <v>371</v>
      </c>
      <c r="C19" s="34" t="s">
        <v>372</v>
      </c>
      <c r="D19" s="32" t="n">
        <v>2</v>
      </c>
      <c r="E19" s="32" t="s">
        <v>14</v>
      </c>
      <c r="F19" s="32" t="s">
        <v>373</v>
      </c>
      <c r="G19" s="34"/>
      <c r="H19" s="52" t="n">
        <f aca="false">IF($E19="Per class",$D19*COUNTIFS('Session Tracker'!$D$5:$D$149,$A19,'Session Tracker'!$F$5:$F$149,"Next week",'Session Tracker'!$G$5:$G$149,"Mon"),$D19*SUMIFS('Session Tracker'!$J$5:$J$149,'Session Tracker'!$D$5:$D$149,$A19,'Session Tracker'!$F$5:$F$149,"Next week",'Session Tracker'!$G$5:$G$149,"Mon"))</f>
        <v>0</v>
      </c>
      <c r="I19" s="52" t="n">
        <f aca="false">IF($E19="Per class",$D19*COUNTIFS('Session Tracker'!$D$5:$D$149,$A19,'Session Tracker'!$F$5:$F$149,"Next week",'Session Tracker'!$G$5:$G$149,"Tue"),$D19*SUMIFS('Session Tracker'!$J$5:$J$149,'Session Tracker'!$D$5:$D$149,$A19,'Session Tracker'!$F$5:$F$149,"Next week",'Session Tracker'!$G$5:$G$149,"Tue"))</f>
        <v>0</v>
      </c>
      <c r="J19" s="52" t="n">
        <f aca="false">IF($E19="Per class",$D19*COUNTIFS('Session Tracker'!$D$5:$D$149,$A19,'Session Tracker'!$F$5:$F$149,"Next week",'Session Tracker'!$G$5:$G$149,"Wed"),$D19*SUMIFS('Session Tracker'!$J$5:$J$149,'Session Tracker'!$D$5:$D$149,$A19,'Session Tracker'!$F$5:$F$149,"Next week",'Session Tracker'!$G$5:$G$149,"Wed"))</f>
        <v>0</v>
      </c>
      <c r="K19" s="52" t="n">
        <f aca="false">IF($E19="Per class",$D19*COUNTIFS('Session Tracker'!$D$5:$D$149,$A19,'Session Tracker'!$F$5:$F$149,"Next week",'Session Tracker'!$G$5:$G$149,"Thu"),$D19*SUMIFS('Session Tracker'!$J$5:$J$149,'Session Tracker'!$D$5:$D$149,$A19,'Session Tracker'!$F$5:$F$149,"Next week",'Session Tracker'!$G$5:$G$149,"Thu"))</f>
        <v>0</v>
      </c>
      <c r="L19" s="52" t="n">
        <f aca="false">IF($E19="Per class",$D19*COUNTIFS('Session Tracker'!$D$5:$D$149,$A19,'Session Tracker'!$F$5:$F$149,"Next week",'Session Tracker'!$G$5:$G$149,"Fri"),$D19*SUMIFS('Session Tracker'!$J$5:$J$149,'Session Tracker'!$D$5:$D$149,$A19,'Session Tracker'!$F$5:$F$149,"Next week",'Session Tracker'!$G$5:$G$149,"Fri"))</f>
        <v>0</v>
      </c>
      <c r="M19" s="52" t="n">
        <f aca="false">IF($E19="Per class",$D19*COUNTIFS('Session Tracker'!$D$5:$D$149,$A19,'Session Tracker'!$F$5:$F$149,"Next week",'Session Tracker'!$G$5:$G$149,""),$D19*SUMIFS('Session Tracker'!$J$5:$J$149,'Session Tracker'!$D$5:$D$149,$A19,'Session Tracker'!$F$5:$F$149,"Next week",'Session Tracker'!$G$5:$G$149,""))</f>
        <v>0</v>
      </c>
    </row>
    <row r="20" customFormat="false" ht="15" hidden="false" customHeight="false" outlineLevel="0" collapsed="false">
      <c r="A20" s="51" t="s">
        <v>78</v>
      </c>
      <c r="B20" s="34" t="s">
        <v>375</v>
      </c>
      <c r="C20" s="34" t="s">
        <v>376</v>
      </c>
      <c r="D20" s="32" t="n">
        <v>2</v>
      </c>
      <c r="E20" s="32" t="s">
        <v>14</v>
      </c>
      <c r="F20" s="32" t="s">
        <v>373</v>
      </c>
      <c r="G20" s="34"/>
      <c r="H20" s="52" t="n">
        <f aca="false">IF($E20="Per class",$D20*COUNTIFS('Session Tracker'!$D$5:$D$149,$A20,'Session Tracker'!$F$5:$F$149,"Next week",'Session Tracker'!$G$5:$G$149,"Mon"),$D20*SUMIFS('Session Tracker'!$J$5:$J$149,'Session Tracker'!$D$5:$D$149,$A20,'Session Tracker'!$F$5:$F$149,"Next week",'Session Tracker'!$G$5:$G$149,"Mon"))</f>
        <v>0</v>
      </c>
      <c r="I20" s="52" t="n">
        <f aca="false">IF($E20="Per class",$D20*COUNTIFS('Session Tracker'!$D$5:$D$149,$A20,'Session Tracker'!$F$5:$F$149,"Next week",'Session Tracker'!$G$5:$G$149,"Tue"),$D20*SUMIFS('Session Tracker'!$J$5:$J$149,'Session Tracker'!$D$5:$D$149,$A20,'Session Tracker'!$F$5:$F$149,"Next week",'Session Tracker'!$G$5:$G$149,"Tue"))</f>
        <v>0</v>
      </c>
      <c r="J20" s="52" t="n">
        <f aca="false">IF($E20="Per class",$D20*COUNTIFS('Session Tracker'!$D$5:$D$149,$A20,'Session Tracker'!$F$5:$F$149,"Next week",'Session Tracker'!$G$5:$G$149,"Wed"),$D20*SUMIFS('Session Tracker'!$J$5:$J$149,'Session Tracker'!$D$5:$D$149,$A20,'Session Tracker'!$F$5:$F$149,"Next week",'Session Tracker'!$G$5:$G$149,"Wed"))</f>
        <v>0</v>
      </c>
      <c r="K20" s="52" t="n">
        <f aca="false">IF($E20="Per class",$D20*COUNTIFS('Session Tracker'!$D$5:$D$149,$A20,'Session Tracker'!$F$5:$F$149,"Next week",'Session Tracker'!$G$5:$G$149,"Thu"),$D20*SUMIFS('Session Tracker'!$J$5:$J$149,'Session Tracker'!$D$5:$D$149,$A20,'Session Tracker'!$F$5:$F$149,"Next week",'Session Tracker'!$G$5:$G$149,"Thu"))</f>
        <v>0</v>
      </c>
      <c r="L20" s="52" t="n">
        <f aca="false">IF($E20="Per class",$D20*COUNTIFS('Session Tracker'!$D$5:$D$149,$A20,'Session Tracker'!$F$5:$F$149,"Next week",'Session Tracker'!$G$5:$G$149,"Fri"),$D20*SUMIFS('Session Tracker'!$J$5:$J$149,'Session Tracker'!$D$5:$D$149,$A20,'Session Tracker'!$F$5:$F$149,"Next week",'Session Tracker'!$G$5:$G$149,"Fri"))</f>
        <v>0</v>
      </c>
      <c r="M20" s="52" t="n">
        <f aca="false">IF($E20="Per class",$D20*COUNTIFS('Session Tracker'!$D$5:$D$149,$A20,'Session Tracker'!$F$5:$F$149,"Next week",'Session Tracker'!$G$5:$G$149,""),$D20*SUMIFS('Session Tracker'!$J$5:$J$149,'Session Tracker'!$D$5:$D$149,$A20,'Session Tracker'!$F$5:$F$149,"Next week",'Session Tracker'!$G$5:$G$149,""))</f>
        <v>0</v>
      </c>
    </row>
    <row r="21" customFormat="false" ht="15" hidden="false" customHeight="false" outlineLevel="0" collapsed="false">
      <c r="A21" s="51" t="s">
        <v>78</v>
      </c>
      <c r="B21" s="34" t="s">
        <v>375</v>
      </c>
      <c r="C21" s="34" t="s">
        <v>385</v>
      </c>
      <c r="D21" s="32" t="n">
        <v>1</v>
      </c>
      <c r="E21" s="32" t="s">
        <v>14</v>
      </c>
      <c r="F21" s="32" t="s">
        <v>368</v>
      </c>
      <c r="G21" s="34" t="s">
        <v>386</v>
      </c>
      <c r="H21" s="52" t="n">
        <f aca="false">IF($E21="Per class",$D21*COUNTIFS('Session Tracker'!$D$5:$D$149,$A21,'Session Tracker'!$F$5:$F$149,"Next week",'Session Tracker'!$G$5:$G$149,"Mon"),$D21*SUMIFS('Session Tracker'!$J$5:$J$149,'Session Tracker'!$D$5:$D$149,$A21,'Session Tracker'!$F$5:$F$149,"Next week",'Session Tracker'!$G$5:$G$149,"Mon"))</f>
        <v>0</v>
      </c>
      <c r="I21" s="52" t="n">
        <f aca="false">IF($E21="Per class",$D21*COUNTIFS('Session Tracker'!$D$5:$D$149,$A21,'Session Tracker'!$F$5:$F$149,"Next week",'Session Tracker'!$G$5:$G$149,"Tue"),$D21*SUMIFS('Session Tracker'!$J$5:$J$149,'Session Tracker'!$D$5:$D$149,$A21,'Session Tracker'!$F$5:$F$149,"Next week",'Session Tracker'!$G$5:$G$149,"Tue"))</f>
        <v>0</v>
      </c>
      <c r="J21" s="52" t="n">
        <f aca="false">IF($E21="Per class",$D21*COUNTIFS('Session Tracker'!$D$5:$D$149,$A21,'Session Tracker'!$F$5:$F$149,"Next week",'Session Tracker'!$G$5:$G$149,"Wed"),$D21*SUMIFS('Session Tracker'!$J$5:$J$149,'Session Tracker'!$D$5:$D$149,$A21,'Session Tracker'!$F$5:$F$149,"Next week",'Session Tracker'!$G$5:$G$149,"Wed"))</f>
        <v>0</v>
      </c>
      <c r="K21" s="52" t="n">
        <f aca="false">IF($E21="Per class",$D21*COUNTIFS('Session Tracker'!$D$5:$D$149,$A21,'Session Tracker'!$F$5:$F$149,"Next week",'Session Tracker'!$G$5:$G$149,"Thu"),$D21*SUMIFS('Session Tracker'!$J$5:$J$149,'Session Tracker'!$D$5:$D$149,$A21,'Session Tracker'!$F$5:$F$149,"Next week",'Session Tracker'!$G$5:$G$149,"Thu"))</f>
        <v>0</v>
      </c>
      <c r="L21" s="52" t="n">
        <f aca="false">IF($E21="Per class",$D21*COUNTIFS('Session Tracker'!$D$5:$D$149,$A21,'Session Tracker'!$F$5:$F$149,"Next week",'Session Tracker'!$G$5:$G$149,"Fri"),$D21*SUMIFS('Session Tracker'!$J$5:$J$149,'Session Tracker'!$D$5:$D$149,$A21,'Session Tracker'!$F$5:$F$149,"Next week",'Session Tracker'!$G$5:$G$149,"Fri"))</f>
        <v>0</v>
      </c>
      <c r="M21" s="52" t="n">
        <f aca="false">IF($E21="Per class",$D21*COUNTIFS('Session Tracker'!$D$5:$D$149,$A21,'Session Tracker'!$F$5:$F$149,"Next week",'Session Tracker'!$G$5:$G$149,""),$D21*SUMIFS('Session Tracker'!$J$5:$J$149,'Session Tracker'!$D$5:$D$149,$A21,'Session Tracker'!$F$5:$F$149,"Next week",'Session Tracker'!$G$5:$G$149,""))</f>
        <v>0</v>
      </c>
    </row>
    <row r="22" customFormat="false" ht="15" hidden="false" customHeight="false" outlineLevel="0" collapsed="false">
      <c r="A22" s="51" t="s">
        <v>78</v>
      </c>
      <c r="B22" s="34" t="s">
        <v>375</v>
      </c>
      <c r="C22" s="34" t="s">
        <v>387</v>
      </c>
      <c r="D22" s="32" t="n">
        <v>1</v>
      </c>
      <c r="E22" s="32" t="s">
        <v>14</v>
      </c>
      <c r="F22" s="32" t="s">
        <v>368</v>
      </c>
      <c r="G22" s="34" t="s">
        <v>388</v>
      </c>
      <c r="H22" s="52" t="n">
        <f aca="false">IF($E22="Per class",$D22*COUNTIFS('Session Tracker'!$D$5:$D$149,$A22,'Session Tracker'!$F$5:$F$149,"Next week",'Session Tracker'!$G$5:$G$149,"Mon"),$D22*SUMIFS('Session Tracker'!$J$5:$J$149,'Session Tracker'!$D$5:$D$149,$A22,'Session Tracker'!$F$5:$F$149,"Next week",'Session Tracker'!$G$5:$G$149,"Mon"))</f>
        <v>0</v>
      </c>
      <c r="I22" s="52" t="n">
        <f aca="false">IF($E22="Per class",$D22*COUNTIFS('Session Tracker'!$D$5:$D$149,$A22,'Session Tracker'!$F$5:$F$149,"Next week",'Session Tracker'!$G$5:$G$149,"Tue"),$D22*SUMIFS('Session Tracker'!$J$5:$J$149,'Session Tracker'!$D$5:$D$149,$A22,'Session Tracker'!$F$5:$F$149,"Next week",'Session Tracker'!$G$5:$G$149,"Tue"))</f>
        <v>0</v>
      </c>
      <c r="J22" s="52" t="n">
        <f aca="false">IF($E22="Per class",$D22*COUNTIFS('Session Tracker'!$D$5:$D$149,$A22,'Session Tracker'!$F$5:$F$149,"Next week",'Session Tracker'!$G$5:$G$149,"Wed"),$D22*SUMIFS('Session Tracker'!$J$5:$J$149,'Session Tracker'!$D$5:$D$149,$A22,'Session Tracker'!$F$5:$F$149,"Next week",'Session Tracker'!$G$5:$G$149,"Wed"))</f>
        <v>0</v>
      </c>
      <c r="K22" s="52" t="n">
        <f aca="false">IF($E22="Per class",$D22*COUNTIFS('Session Tracker'!$D$5:$D$149,$A22,'Session Tracker'!$F$5:$F$149,"Next week",'Session Tracker'!$G$5:$G$149,"Thu"),$D22*SUMIFS('Session Tracker'!$J$5:$J$149,'Session Tracker'!$D$5:$D$149,$A22,'Session Tracker'!$F$5:$F$149,"Next week",'Session Tracker'!$G$5:$G$149,"Thu"))</f>
        <v>0</v>
      </c>
      <c r="L22" s="52" t="n">
        <f aca="false">IF($E22="Per class",$D22*COUNTIFS('Session Tracker'!$D$5:$D$149,$A22,'Session Tracker'!$F$5:$F$149,"Next week",'Session Tracker'!$G$5:$G$149,"Fri"),$D22*SUMIFS('Session Tracker'!$J$5:$J$149,'Session Tracker'!$D$5:$D$149,$A22,'Session Tracker'!$F$5:$F$149,"Next week",'Session Tracker'!$G$5:$G$149,"Fri"))</f>
        <v>0</v>
      </c>
      <c r="M22" s="52" t="n">
        <f aca="false">IF($E22="Per class",$D22*COUNTIFS('Session Tracker'!$D$5:$D$149,$A22,'Session Tracker'!$F$5:$F$149,"Next week",'Session Tracker'!$G$5:$G$149,""),$D22*SUMIFS('Session Tracker'!$J$5:$J$149,'Session Tracker'!$D$5:$D$149,$A22,'Session Tracker'!$F$5:$F$149,"Next week",'Session Tracker'!$G$5:$G$149,""))</f>
        <v>0</v>
      </c>
    </row>
    <row r="23" customFormat="false" ht="15" hidden="false" customHeight="false" outlineLevel="0" collapsed="false">
      <c r="A23" s="51" t="s">
        <v>78</v>
      </c>
      <c r="B23" s="34" t="s">
        <v>379</v>
      </c>
      <c r="C23" s="34" t="s">
        <v>380</v>
      </c>
      <c r="D23" s="32" t="n">
        <v>1</v>
      </c>
      <c r="E23" s="32" t="s">
        <v>14</v>
      </c>
      <c r="F23" s="32" t="s">
        <v>368</v>
      </c>
      <c r="G23" s="34"/>
      <c r="H23" s="52" t="n">
        <f aca="false">IF($E23="Per class",$D23*COUNTIFS('Session Tracker'!$D$5:$D$149,$A23,'Session Tracker'!$F$5:$F$149,"Next week",'Session Tracker'!$G$5:$G$149,"Mon"),$D23*SUMIFS('Session Tracker'!$J$5:$J$149,'Session Tracker'!$D$5:$D$149,$A23,'Session Tracker'!$F$5:$F$149,"Next week",'Session Tracker'!$G$5:$G$149,"Mon"))</f>
        <v>0</v>
      </c>
      <c r="I23" s="52" t="n">
        <f aca="false">IF($E23="Per class",$D23*COUNTIFS('Session Tracker'!$D$5:$D$149,$A23,'Session Tracker'!$F$5:$F$149,"Next week",'Session Tracker'!$G$5:$G$149,"Tue"),$D23*SUMIFS('Session Tracker'!$J$5:$J$149,'Session Tracker'!$D$5:$D$149,$A23,'Session Tracker'!$F$5:$F$149,"Next week",'Session Tracker'!$G$5:$G$149,"Tue"))</f>
        <v>0</v>
      </c>
      <c r="J23" s="52" t="n">
        <f aca="false">IF($E23="Per class",$D23*COUNTIFS('Session Tracker'!$D$5:$D$149,$A23,'Session Tracker'!$F$5:$F$149,"Next week",'Session Tracker'!$G$5:$G$149,"Wed"),$D23*SUMIFS('Session Tracker'!$J$5:$J$149,'Session Tracker'!$D$5:$D$149,$A23,'Session Tracker'!$F$5:$F$149,"Next week",'Session Tracker'!$G$5:$G$149,"Wed"))</f>
        <v>0</v>
      </c>
      <c r="K23" s="52" t="n">
        <f aca="false">IF($E23="Per class",$D23*COUNTIFS('Session Tracker'!$D$5:$D$149,$A23,'Session Tracker'!$F$5:$F$149,"Next week",'Session Tracker'!$G$5:$G$149,"Thu"),$D23*SUMIFS('Session Tracker'!$J$5:$J$149,'Session Tracker'!$D$5:$D$149,$A23,'Session Tracker'!$F$5:$F$149,"Next week",'Session Tracker'!$G$5:$G$149,"Thu"))</f>
        <v>0</v>
      </c>
      <c r="L23" s="52" t="n">
        <f aca="false">IF($E23="Per class",$D23*COUNTIFS('Session Tracker'!$D$5:$D$149,$A23,'Session Tracker'!$F$5:$F$149,"Next week",'Session Tracker'!$G$5:$G$149,"Fri"),$D23*SUMIFS('Session Tracker'!$J$5:$J$149,'Session Tracker'!$D$5:$D$149,$A23,'Session Tracker'!$F$5:$F$149,"Next week",'Session Tracker'!$G$5:$G$149,"Fri"))</f>
        <v>0</v>
      </c>
      <c r="M23" s="52" t="n">
        <f aca="false">IF($E23="Per class",$D23*COUNTIFS('Session Tracker'!$D$5:$D$149,$A23,'Session Tracker'!$F$5:$F$149,"Next week",'Session Tracker'!$G$5:$G$149,""),$D23*SUMIFS('Session Tracker'!$J$5:$J$149,'Session Tracker'!$D$5:$D$149,$A23,'Session Tracker'!$F$5:$F$149,"Next week",'Session Tracker'!$G$5:$G$149,""))</f>
        <v>0</v>
      </c>
    </row>
    <row r="24" customFormat="false" ht="15" hidden="false" customHeight="false" outlineLevel="0" collapsed="false">
      <c r="A24" s="51" t="s">
        <v>78</v>
      </c>
      <c r="B24" s="34" t="s">
        <v>379</v>
      </c>
      <c r="C24" s="34" t="s">
        <v>381</v>
      </c>
      <c r="D24" s="32" t="n">
        <v>8</v>
      </c>
      <c r="E24" s="32" t="s">
        <v>14</v>
      </c>
      <c r="F24" s="32" t="s">
        <v>368</v>
      </c>
      <c r="G24" s="34"/>
      <c r="H24" s="52" t="n">
        <f aca="false">IF($E24="Per class",$D24*COUNTIFS('Session Tracker'!$D$5:$D$149,$A24,'Session Tracker'!$F$5:$F$149,"Next week",'Session Tracker'!$G$5:$G$149,"Mon"),$D24*SUMIFS('Session Tracker'!$J$5:$J$149,'Session Tracker'!$D$5:$D$149,$A24,'Session Tracker'!$F$5:$F$149,"Next week",'Session Tracker'!$G$5:$G$149,"Mon"))</f>
        <v>0</v>
      </c>
      <c r="I24" s="52" t="n">
        <f aca="false">IF($E24="Per class",$D24*COUNTIFS('Session Tracker'!$D$5:$D$149,$A24,'Session Tracker'!$F$5:$F$149,"Next week",'Session Tracker'!$G$5:$G$149,"Tue"),$D24*SUMIFS('Session Tracker'!$J$5:$J$149,'Session Tracker'!$D$5:$D$149,$A24,'Session Tracker'!$F$5:$F$149,"Next week",'Session Tracker'!$G$5:$G$149,"Tue"))</f>
        <v>0</v>
      </c>
      <c r="J24" s="52" t="n">
        <f aca="false">IF($E24="Per class",$D24*COUNTIFS('Session Tracker'!$D$5:$D$149,$A24,'Session Tracker'!$F$5:$F$149,"Next week",'Session Tracker'!$G$5:$G$149,"Wed"),$D24*SUMIFS('Session Tracker'!$J$5:$J$149,'Session Tracker'!$D$5:$D$149,$A24,'Session Tracker'!$F$5:$F$149,"Next week",'Session Tracker'!$G$5:$G$149,"Wed"))</f>
        <v>0</v>
      </c>
      <c r="K24" s="52" t="n">
        <f aca="false">IF($E24="Per class",$D24*COUNTIFS('Session Tracker'!$D$5:$D$149,$A24,'Session Tracker'!$F$5:$F$149,"Next week",'Session Tracker'!$G$5:$G$149,"Thu"),$D24*SUMIFS('Session Tracker'!$J$5:$J$149,'Session Tracker'!$D$5:$D$149,$A24,'Session Tracker'!$F$5:$F$149,"Next week",'Session Tracker'!$G$5:$G$149,"Thu"))</f>
        <v>0</v>
      </c>
      <c r="L24" s="52" t="n">
        <f aca="false">IF($E24="Per class",$D24*COUNTIFS('Session Tracker'!$D$5:$D$149,$A24,'Session Tracker'!$F$5:$F$149,"Next week",'Session Tracker'!$G$5:$G$149,"Fri"),$D24*SUMIFS('Session Tracker'!$J$5:$J$149,'Session Tracker'!$D$5:$D$149,$A24,'Session Tracker'!$F$5:$F$149,"Next week",'Session Tracker'!$G$5:$G$149,"Fri"))</f>
        <v>0</v>
      </c>
      <c r="M24" s="52" t="n">
        <f aca="false">IF($E24="Per class",$D24*COUNTIFS('Session Tracker'!$D$5:$D$149,$A24,'Session Tracker'!$F$5:$F$149,"Next week",'Session Tracker'!$G$5:$G$149,""),$D24*SUMIFS('Session Tracker'!$J$5:$J$149,'Session Tracker'!$D$5:$D$149,$A24,'Session Tracker'!$F$5:$F$149,"Next week",'Session Tracker'!$G$5:$G$149,""))</f>
        <v>0</v>
      </c>
    </row>
    <row r="25" customFormat="false" ht="15" hidden="false" customHeight="false" outlineLevel="0" collapsed="false">
      <c r="A25" s="51" t="s">
        <v>78</v>
      </c>
      <c r="B25" s="34" t="s">
        <v>382</v>
      </c>
      <c r="C25" s="34" t="s">
        <v>383</v>
      </c>
      <c r="D25" s="32" t="n">
        <v>1</v>
      </c>
      <c r="E25" s="32" t="s">
        <v>14</v>
      </c>
      <c r="F25" s="32" t="s">
        <v>368</v>
      </c>
      <c r="G25" s="34"/>
      <c r="H25" s="52" t="n">
        <f aca="false">IF($E25="Per class",$D25*COUNTIFS('Session Tracker'!$D$5:$D$149,$A25,'Session Tracker'!$F$5:$F$149,"Next week",'Session Tracker'!$G$5:$G$149,"Mon"),$D25*SUMIFS('Session Tracker'!$J$5:$J$149,'Session Tracker'!$D$5:$D$149,$A25,'Session Tracker'!$F$5:$F$149,"Next week",'Session Tracker'!$G$5:$G$149,"Mon"))</f>
        <v>0</v>
      </c>
      <c r="I25" s="52" t="n">
        <f aca="false">IF($E25="Per class",$D25*COUNTIFS('Session Tracker'!$D$5:$D$149,$A25,'Session Tracker'!$F$5:$F$149,"Next week",'Session Tracker'!$G$5:$G$149,"Tue"),$D25*SUMIFS('Session Tracker'!$J$5:$J$149,'Session Tracker'!$D$5:$D$149,$A25,'Session Tracker'!$F$5:$F$149,"Next week",'Session Tracker'!$G$5:$G$149,"Tue"))</f>
        <v>0</v>
      </c>
      <c r="J25" s="52" t="n">
        <f aca="false">IF($E25="Per class",$D25*COUNTIFS('Session Tracker'!$D$5:$D$149,$A25,'Session Tracker'!$F$5:$F$149,"Next week",'Session Tracker'!$G$5:$G$149,"Wed"),$D25*SUMIFS('Session Tracker'!$J$5:$J$149,'Session Tracker'!$D$5:$D$149,$A25,'Session Tracker'!$F$5:$F$149,"Next week",'Session Tracker'!$G$5:$G$149,"Wed"))</f>
        <v>0</v>
      </c>
      <c r="K25" s="52" t="n">
        <f aca="false">IF($E25="Per class",$D25*COUNTIFS('Session Tracker'!$D$5:$D$149,$A25,'Session Tracker'!$F$5:$F$149,"Next week",'Session Tracker'!$G$5:$G$149,"Thu"),$D25*SUMIFS('Session Tracker'!$J$5:$J$149,'Session Tracker'!$D$5:$D$149,$A25,'Session Tracker'!$F$5:$F$149,"Next week",'Session Tracker'!$G$5:$G$149,"Thu"))</f>
        <v>0</v>
      </c>
      <c r="L25" s="52" t="n">
        <f aca="false">IF($E25="Per class",$D25*COUNTIFS('Session Tracker'!$D$5:$D$149,$A25,'Session Tracker'!$F$5:$F$149,"Next week",'Session Tracker'!$G$5:$G$149,"Fri"),$D25*SUMIFS('Session Tracker'!$J$5:$J$149,'Session Tracker'!$D$5:$D$149,$A25,'Session Tracker'!$F$5:$F$149,"Next week",'Session Tracker'!$G$5:$G$149,"Fri"))</f>
        <v>0</v>
      </c>
      <c r="M25" s="52" t="n">
        <f aca="false">IF($E25="Per class",$D25*COUNTIFS('Session Tracker'!$D$5:$D$149,$A25,'Session Tracker'!$F$5:$F$149,"Next week",'Session Tracker'!$G$5:$G$149,""),$D25*SUMIFS('Session Tracker'!$J$5:$J$149,'Session Tracker'!$D$5:$D$149,$A25,'Session Tracker'!$F$5:$F$149,"Next week",'Session Tracker'!$G$5:$G$149,""))</f>
        <v>0</v>
      </c>
    </row>
    <row r="26" customFormat="false" ht="15" hidden="false" customHeight="false" outlineLevel="0" collapsed="false">
      <c r="A26" s="51" t="s">
        <v>78</v>
      </c>
      <c r="B26" s="34" t="s">
        <v>377</v>
      </c>
      <c r="C26" s="34" t="s">
        <v>378</v>
      </c>
      <c r="D26" s="32" t="n">
        <v>1</v>
      </c>
      <c r="E26" s="32" t="s">
        <v>14</v>
      </c>
      <c r="F26" s="32" t="s">
        <v>368</v>
      </c>
      <c r="G26" s="34" t="s">
        <v>389</v>
      </c>
      <c r="H26" s="52" t="n">
        <f aca="false">IF($E26="Per class",$D26*COUNTIFS('Session Tracker'!$D$5:$D$149,$A26,'Session Tracker'!$F$5:$F$149,"Next week",'Session Tracker'!$G$5:$G$149,"Mon"),$D26*SUMIFS('Session Tracker'!$J$5:$J$149,'Session Tracker'!$D$5:$D$149,$A26,'Session Tracker'!$F$5:$F$149,"Next week",'Session Tracker'!$G$5:$G$149,"Mon"))</f>
        <v>0</v>
      </c>
      <c r="I26" s="52" t="n">
        <f aca="false">IF($E26="Per class",$D26*COUNTIFS('Session Tracker'!$D$5:$D$149,$A26,'Session Tracker'!$F$5:$F$149,"Next week",'Session Tracker'!$G$5:$G$149,"Tue"),$D26*SUMIFS('Session Tracker'!$J$5:$J$149,'Session Tracker'!$D$5:$D$149,$A26,'Session Tracker'!$F$5:$F$149,"Next week",'Session Tracker'!$G$5:$G$149,"Tue"))</f>
        <v>0</v>
      </c>
      <c r="J26" s="52" t="n">
        <f aca="false">IF($E26="Per class",$D26*COUNTIFS('Session Tracker'!$D$5:$D$149,$A26,'Session Tracker'!$F$5:$F$149,"Next week",'Session Tracker'!$G$5:$G$149,"Wed"),$D26*SUMIFS('Session Tracker'!$J$5:$J$149,'Session Tracker'!$D$5:$D$149,$A26,'Session Tracker'!$F$5:$F$149,"Next week",'Session Tracker'!$G$5:$G$149,"Wed"))</f>
        <v>0</v>
      </c>
      <c r="K26" s="52" t="n">
        <f aca="false">IF($E26="Per class",$D26*COUNTIFS('Session Tracker'!$D$5:$D$149,$A26,'Session Tracker'!$F$5:$F$149,"Next week",'Session Tracker'!$G$5:$G$149,"Thu"),$D26*SUMIFS('Session Tracker'!$J$5:$J$149,'Session Tracker'!$D$5:$D$149,$A26,'Session Tracker'!$F$5:$F$149,"Next week",'Session Tracker'!$G$5:$G$149,"Thu"))</f>
        <v>0</v>
      </c>
      <c r="L26" s="52" t="n">
        <f aca="false">IF($E26="Per class",$D26*COUNTIFS('Session Tracker'!$D$5:$D$149,$A26,'Session Tracker'!$F$5:$F$149,"Next week",'Session Tracker'!$G$5:$G$149,"Fri"),$D26*SUMIFS('Session Tracker'!$J$5:$J$149,'Session Tracker'!$D$5:$D$149,$A26,'Session Tracker'!$F$5:$F$149,"Next week",'Session Tracker'!$G$5:$G$149,"Fri"))</f>
        <v>0</v>
      </c>
      <c r="M26" s="52" t="n">
        <f aca="false">IF($E26="Per class",$D26*COUNTIFS('Session Tracker'!$D$5:$D$149,$A26,'Session Tracker'!$F$5:$F$149,"Next week",'Session Tracker'!$G$5:$G$149,""),$D26*SUMIFS('Session Tracker'!$J$5:$J$149,'Session Tracker'!$D$5:$D$149,$A26,'Session Tracker'!$F$5:$F$149,"Next week",'Session Tracker'!$G$5:$G$149,""))</f>
        <v>0</v>
      </c>
    </row>
    <row r="27" customFormat="false" ht="15" hidden="false" customHeight="false" outlineLevel="0" collapsed="false">
      <c r="A27" s="53" t="s">
        <v>78</v>
      </c>
      <c r="B27" s="54"/>
      <c r="C27" s="54"/>
      <c r="D27" s="54"/>
      <c r="E27" s="54"/>
      <c r="F27" s="54"/>
      <c r="G27" s="54"/>
      <c r="H27" s="52" t="n">
        <f aca="false">IF($E27="Per class",$D27*COUNTIFS('Session Tracker'!$D$5:$D$149,$A27,'Session Tracker'!$F$5:$F$149,"Next week",'Session Tracker'!$G$5:$G$149,"Mon"),$D27*SUMIFS('Session Tracker'!$J$5:$J$149,'Session Tracker'!$D$5:$D$149,$A27,'Session Tracker'!$F$5:$F$149,"Next week",'Session Tracker'!$G$5:$G$149,"Mon"))</f>
        <v>0</v>
      </c>
      <c r="I27" s="52" t="n">
        <f aca="false">IF($E27="Per class",$D27*COUNTIFS('Session Tracker'!$D$5:$D$149,$A27,'Session Tracker'!$F$5:$F$149,"Next week",'Session Tracker'!$G$5:$G$149,"Tue"),$D27*SUMIFS('Session Tracker'!$J$5:$J$149,'Session Tracker'!$D$5:$D$149,$A27,'Session Tracker'!$F$5:$F$149,"Next week",'Session Tracker'!$G$5:$G$149,"Tue"))</f>
        <v>0</v>
      </c>
      <c r="J27" s="52" t="n">
        <f aca="false">IF($E27="Per class",$D27*COUNTIFS('Session Tracker'!$D$5:$D$149,$A27,'Session Tracker'!$F$5:$F$149,"Next week",'Session Tracker'!$G$5:$G$149,"Wed"),$D27*SUMIFS('Session Tracker'!$J$5:$J$149,'Session Tracker'!$D$5:$D$149,$A27,'Session Tracker'!$F$5:$F$149,"Next week",'Session Tracker'!$G$5:$G$149,"Wed"))</f>
        <v>0</v>
      </c>
      <c r="K27" s="52" t="n">
        <f aca="false">IF($E27="Per class",$D27*COUNTIFS('Session Tracker'!$D$5:$D$149,$A27,'Session Tracker'!$F$5:$F$149,"Next week",'Session Tracker'!$G$5:$G$149,"Thu"),$D27*SUMIFS('Session Tracker'!$J$5:$J$149,'Session Tracker'!$D$5:$D$149,$A27,'Session Tracker'!$F$5:$F$149,"Next week",'Session Tracker'!$G$5:$G$149,"Thu"))</f>
        <v>0</v>
      </c>
      <c r="L27" s="52" t="n">
        <f aca="false">IF($E27="Per class",$D27*COUNTIFS('Session Tracker'!$D$5:$D$149,$A27,'Session Tracker'!$F$5:$F$149,"Next week",'Session Tracker'!$G$5:$G$149,"Fri"),$D27*SUMIFS('Session Tracker'!$J$5:$J$149,'Session Tracker'!$D$5:$D$149,$A27,'Session Tracker'!$F$5:$F$149,"Next week",'Session Tracker'!$G$5:$G$149,"Fri"))</f>
        <v>0</v>
      </c>
      <c r="M27" s="52" t="n">
        <f aca="false">IF($E27="Per class",$D27*COUNTIFS('Session Tracker'!$D$5:$D$149,$A27,'Session Tracker'!$F$5:$F$149,"Next week",'Session Tracker'!$G$5:$G$149,""),$D27*SUMIFS('Session Tracker'!$J$5:$J$149,'Session Tracker'!$D$5:$D$149,$A27,'Session Tracker'!$F$5:$F$149,"Next week",'Session Tracker'!$G$5:$G$149,""))</f>
        <v>0</v>
      </c>
    </row>
    <row r="28" customFormat="false" ht="15" hidden="false" customHeight="false" outlineLevel="0" collapsed="false">
      <c r="A28" s="53" t="s">
        <v>78</v>
      </c>
      <c r="B28" s="54"/>
      <c r="C28" s="54"/>
      <c r="D28" s="54"/>
      <c r="E28" s="54"/>
      <c r="F28" s="54"/>
      <c r="G28" s="54"/>
      <c r="H28" s="52" t="n">
        <f aca="false">IF($E28="Per class",$D28*COUNTIFS('Session Tracker'!$D$5:$D$149,$A28,'Session Tracker'!$F$5:$F$149,"Next week",'Session Tracker'!$G$5:$G$149,"Mon"),$D28*SUMIFS('Session Tracker'!$J$5:$J$149,'Session Tracker'!$D$5:$D$149,$A28,'Session Tracker'!$F$5:$F$149,"Next week",'Session Tracker'!$G$5:$G$149,"Mon"))</f>
        <v>0</v>
      </c>
      <c r="I28" s="52" t="n">
        <f aca="false">IF($E28="Per class",$D28*COUNTIFS('Session Tracker'!$D$5:$D$149,$A28,'Session Tracker'!$F$5:$F$149,"Next week",'Session Tracker'!$G$5:$G$149,"Tue"),$D28*SUMIFS('Session Tracker'!$J$5:$J$149,'Session Tracker'!$D$5:$D$149,$A28,'Session Tracker'!$F$5:$F$149,"Next week",'Session Tracker'!$G$5:$G$149,"Tue"))</f>
        <v>0</v>
      </c>
      <c r="J28" s="52" t="n">
        <f aca="false">IF($E28="Per class",$D28*COUNTIFS('Session Tracker'!$D$5:$D$149,$A28,'Session Tracker'!$F$5:$F$149,"Next week",'Session Tracker'!$G$5:$G$149,"Wed"),$D28*SUMIFS('Session Tracker'!$J$5:$J$149,'Session Tracker'!$D$5:$D$149,$A28,'Session Tracker'!$F$5:$F$149,"Next week",'Session Tracker'!$G$5:$G$149,"Wed"))</f>
        <v>0</v>
      </c>
      <c r="K28" s="52" t="n">
        <f aca="false">IF($E28="Per class",$D28*COUNTIFS('Session Tracker'!$D$5:$D$149,$A28,'Session Tracker'!$F$5:$F$149,"Next week",'Session Tracker'!$G$5:$G$149,"Thu"),$D28*SUMIFS('Session Tracker'!$J$5:$J$149,'Session Tracker'!$D$5:$D$149,$A28,'Session Tracker'!$F$5:$F$149,"Next week",'Session Tracker'!$G$5:$G$149,"Thu"))</f>
        <v>0</v>
      </c>
      <c r="L28" s="52" t="n">
        <f aca="false">IF($E28="Per class",$D28*COUNTIFS('Session Tracker'!$D$5:$D$149,$A28,'Session Tracker'!$F$5:$F$149,"Next week",'Session Tracker'!$G$5:$G$149,"Fri"),$D28*SUMIFS('Session Tracker'!$J$5:$J$149,'Session Tracker'!$D$5:$D$149,$A28,'Session Tracker'!$F$5:$F$149,"Next week",'Session Tracker'!$G$5:$G$149,"Fri"))</f>
        <v>0</v>
      </c>
      <c r="M28" s="52" t="n">
        <f aca="false">IF($E28="Per class",$D28*COUNTIFS('Session Tracker'!$D$5:$D$149,$A28,'Session Tracker'!$F$5:$F$149,"Next week",'Session Tracker'!$G$5:$G$149,""),$D28*SUMIFS('Session Tracker'!$J$5:$J$149,'Session Tracker'!$D$5:$D$149,$A28,'Session Tracker'!$F$5:$F$149,"Next week",'Session Tracker'!$G$5:$G$149,""))</f>
        <v>0</v>
      </c>
    </row>
    <row r="30" customFormat="false" ht="19.5" hidden="false" customHeight="true" outlineLevel="0" collapsed="false">
      <c r="A30" s="47" t="s">
        <v>80</v>
      </c>
      <c r="B30" s="48" t="s">
        <v>390</v>
      </c>
      <c r="C30" s="48"/>
      <c r="D30" s="48"/>
      <c r="E30" s="48"/>
      <c r="F30" s="49" t="str">
        <f aca="false">"Status: "&amp;'Session Tracker'!F7&amp;IF('Session Tracker'!G7&lt;&gt;""," ("&amp;'Session Tracker'!G7&amp;")","")</f>
        <v>Status: Not started</v>
      </c>
      <c r="G30" s="49"/>
      <c r="H30" s="50"/>
      <c r="I30" s="50"/>
      <c r="J30" s="50"/>
      <c r="K30" s="50"/>
      <c r="L30" s="50"/>
      <c r="M30" s="50"/>
    </row>
    <row r="31" customFormat="false" ht="23.85" hidden="false" customHeight="false" outlineLevel="0" collapsed="false">
      <c r="A31" s="51" t="s">
        <v>80</v>
      </c>
      <c r="B31" s="34" t="s">
        <v>366</v>
      </c>
      <c r="C31" s="34" t="s">
        <v>391</v>
      </c>
      <c r="D31" s="32" t="n">
        <v>1</v>
      </c>
      <c r="E31" s="32" t="s">
        <v>14</v>
      </c>
      <c r="F31" s="32" t="s">
        <v>368</v>
      </c>
      <c r="G31" s="34" t="s">
        <v>392</v>
      </c>
      <c r="H31" s="52" t="n">
        <f aca="false">IF($E31="Per class",$D31*COUNTIFS('Session Tracker'!$D$5:$D$149,$A31,'Session Tracker'!$F$5:$F$149,"Next week",'Session Tracker'!$G$5:$G$149,"Mon"),$D31*SUMIFS('Session Tracker'!$J$5:$J$149,'Session Tracker'!$D$5:$D$149,$A31,'Session Tracker'!$F$5:$F$149,"Next week",'Session Tracker'!$G$5:$G$149,"Mon"))</f>
        <v>0</v>
      </c>
      <c r="I31" s="52" t="n">
        <f aca="false">IF($E31="Per class",$D31*COUNTIFS('Session Tracker'!$D$5:$D$149,$A31,'Session Tracker'!$F$5:$F$149,"Next week",'Session Tracker'!$G$5:$G$149,"Tue"),$D31*SUMIFS('Session Tracker'!$J$5:$J$149,'Session Tracker'!$D$5:$D$149,$A31,'Session Tracker'!$F$5:$F$149,"Next week",'Session Tracker'!$G$5:$G$149,"Tue"))</f>
        <v>0</v>
      </c>
      <c r="J31" s="52" t="n">
        <f aca="false">IF($E31="Per class",$D31*COUNTIFS('Session Tracker'!$D$5:$D$149,$A31,'Session Tracker'!$F$5:$F$149,"Next week",'Session Tracker'!$G$5:$G$149,"Wed"),$D31*SUMIFS('Session Tracker'!$J$5:$J$149,'Session Tracker'!$D$5:$D$149,$A31,'Session Tracker'!$F$5:$F$149,"Next week",'Session Tracker'!$G$5:$G$149,"Wed"))</f>
        <v>0</v>
      </c>
      <c r="K31" s="52" t="n">
        <f aca="false">IF($E31="Per class",$D31*COUNTIFS('Session Tracker'!$D$5:$D$149,$A31,'Session Tracker'!$F$5:$F$149,"Next week",'Session Tracker'!$G$5:$G$149,"Thu"),$D31*SUMIFS('Session Tracker'!$J$5:$J$149,'Session Tracker'!$D$5:$D$149,$A31,'Session Tracker'!$F$5:$F$149,"Next week",'Session Tracker'!$G$5:$G$149,"Thu"))</f>
        <v>0</v>
      </c>
      <c r="L31" s="52" t="n">
        <f aca="false">IF($E31="Per class",$D31*COUNTIFS('Session Tracker'!$D$5:$D$149,$A31,'Session Tracker'!$F$5:$F$149,"Next week",'Session Tracker'!$G$5:$G$149,"Fri"),$D31*SUMIFS('Session Tracker'!$J$5:$J$149,'Session Tracker'!$D$5:$D$149,$A31,'Session Tracker'!$F$5:$F$149,"Next week",'Session Tracker'!$G$5:$G$149,"Fri"))</f>
        <v>0</v>
      </c>
      <c r="M31" s="52" t="n">
        <f aca="false">IF($E31="Per class",$D31*COUNTIFS('Session Tracker'!$D$5:$D$149,$A31,'Session Tracker'!$F$5:$F$149,"Next week",'Session Tracker'!$G$5:$G$149,""),$D31*SUMIFS('Session Tracker'!$J$5:$J$149,'Session Tracker'!$D$5:$D$149,$A31,'Session Tracker'!$F$5:$F$149,"Next week",'Session Tracker'!$G$5:$G$149,""))</f>
        <v>0</v>
      </c>
    </row>
    <row r="32" customFormat="false" ht="15" hidden="false" customHeight="false" outlineLevel="0" collapsed="false">
      <c r="A32" s="51" t="s">
        <v>80</v>
      </c>
      <c r="B32" s="34" t="s">
        <v>371</v>
      </c>
      <c r="C32" s="34" t="s">
        <v>372</v>
      </c>
      <c r="D32" s="32" t="n">
        <v>1</v>
      </c>
      <c r="E32" s="32" t="s">
        <v>14</v>
      </c>
      <c r="F32" s="32" t="s">
        <v>373</v>
      </c>
      <c r="G32" s="34"/>
      <c r="H32" s="52" t="n">
        <f aca="false">IF($E32="Per class",$D32*COUNTIFS('Session Tracker'!$D$5:$D$149,$A32,'Session Tracker'!$F$5:$F$149,"Next week",'Session Tracker'!$G$5:$G$149,"Mon"),$D32*SUMIFS('Session Tracker'!$J$5:$J$149,'Session Tracker'!$D$5:$D$149,$A32,'Session Tracker'!$F$5:$F$149,"Next week",'Session Tracker'!$G$5:$G$149,"Mon"))</f>
        <v>0</v>
      </c>
      <c r="I32" s="52" t="n">
        <f aca="false">IF($E32="Per class",$D32*COUNTIFS('Session Tracker'!$D$5:$D$149,$A32,'Session Tracker'!$F$5:$F$149,"Next week",'Session Tracker'!$G$5:$G$149,"Tue"),$D32*SUMIFS('Session Tracker'!$J$5:$J$149,'Session Tracker'!$D$5:$D$149,$A32,'Session Tracker'!$F$5:$F$149,"Next week",'Session Tracker'!$G$5:$G$149,"Tue"))</f>
        <v>0</v>
      </c>
      <c r="J32" s="52" t="n">
        <f aca="false">IF($E32="Per class",$D32*COUNTIFS('Session Tracker'!$D$5:$D$149,$A32,'Session Tracker'!$F$5:$F$149,"Next week",'Session Tracker'!$G$5:$G$149,"Wed"),$D32*SUMIFS('Session Tracker'!$J$5:$J$149,'Session Tracker'!$D$5:$D$149,$A32,'Session Tracker'!$F$5:$F$149,"Next week",'Session Tracker'!$G$5:$G$149,"Wed"))</f>
        <v>0</v>
      </c>
      <c r="K32" s="52" t="n">
        <f aca="false">IF($E32="Per class",$D32*COUNTIFS('Session Tracker'!$D$5:$D$149,$A32,'Session Tracker'!$F$5:$F$149,"Next week",'Session Tracker'!$G$5:$G$149,"Thu"),$D32*SUMIFS('Session Tracker'!$J$5:$J$149,'Session Tracker'!$D$5:$D$149,$A32,'Session Tracker'!$F$5:$F$149,"Next week",'Session Tracker'!$G$5:$G$149,"Thu"))</f>
        <v>0</v>
      </c>
      <c r="L32" s="52" t="n">
        <f aca="false">IF($E32="Per class",$D32*COUNTIFS('Session Tracker'!$D$5:$D$149,$A32,'Session Tracker'!$F$5:$F$149,"Next week",'Session Tracker'!$G$5:$G$149,"Fri"),$D32*SUMIFS('Session Tracker'!$J$5:$J$149,'Session Tracker'!$D$5:$D$149,$A32,'Session Tracker'!$F$5:$F$149,"Next week",'Session Tracker'!$G$5:$G$149,"Fri"))</f>
        <v>0</v>
      </c>
      <c r="M32" s="52" t="n">
        <f aca="false">IF($E32="Per class",$D32*COUNTIFS('Session Tracker'!$D$5:$D$149,$A32,'Session Tracker'!$F$5:$F$149,"Next week",'Session Tracker'!$G$5:$G$149,""),$D32*SUMIFS('Session Tracker'!$J$5:$J$149,'Session Tracker'!$D$5:$D$149,$A32,'Session Tracker'!$F$5:$F$149,"Next week",'Session Tracker'!$G$5:$G$149,""))</f>
        <v>0</v>
      </c>
    </row>
    <row r="33" customFormat="false" ht="15" hidden="false" customHeight="false" outlineLevel="0" collapsed="false">
      <c r="A33" s="51" t="s">
        <v>80</v>
      </c>
      <c r="B33" s="34" t="s">
        <v>375</v>
      </c>
      <c r="C33" s="34" t="s">
        <v>376</v>
      </c>
      <c r="D33" s="32" t="n">
        <v>1</v>
      </c>
      <c r="E33" s="32" t="s">
        <v>14</v>
      </c>
      <c r="F33" s="32" t="s">
        <v>373</v>
      </c>
      <c r="G33" s="34"/>
      <c r="H33" s="52" t="n">
        <f aca="false">IF($E33="Per class",$D33*COUNTIFS('Session Tracker'!$D$5:$D$149,$A33,'Session Tracker'!$F$5:$F$149,"Next week",'Session Tracker'!$G$5:$G$149,"Mon"),$D33*SUMIFS('Session Tracker'!$J$5:$J$149,'Session Tracker'!$D$5:$D$149,$A33,'Session Tracker'!$F$5:$F$149,"Next week",'Session Tracker'!$G$5:$G$149,"Mon"))</f>
        <v>0</v>
      </c>
      <c r="I33" s="52" t="n">
        <f aca="false">IF($E33="Per class",$D33*COUNTIFS('Session Tracker'!$D$5:$D$149,$A33,'Session Tracker'!$F$5:$F$149,"Next week",'Session Tracker'!$G$5:$G$149,"Tue"),$D33*SUMIFS('Session Tracker'!$J$5:$J$149,'Session Tracker'!$D$5:$D$149,$A33,'Session Tracker'!$F$5:$F$149,"Next week",'Session Tracker'!$G$5:$G$149,"Tue"))</f>
        <v>0</v>
      </c>
      <c r="J33" s="52" t="n">
        <f aca="false">IF($E33="Per class",$D33*COUNTIFS('Session Tracker'!$D$5:$D$149,$A33,'Session Tracker'!$F$5:$F$149,"Next week",'Session Tracker'!$G$5:$G$149,"Wed"),$D33*SUMIFS('Session Tracker'!$J$5:$J$149,'Session Tracker'!$D$5:$D$149,$A33,'Session Tracker'!$F$5:$F$149,"Next week",'Session Tracker'!$G$5:$G$149,"Wed"))</f>
        <v>0</v>
      </c>
      <c r="K33" s="52" t="n">
        <f aca="false">IF($E33="Per class",$D33*COUNTIFS('Session Tracker'!$D$5:$D$149,$A33,'Session Tracker'!$F$5:$F$149,"Next week",'Session Tracker'!$G$5:$G$149,"Thu"),$D33*SUMIFS('Session Tracker'!$J$5:$J$149,'Session Tracker'!$D$5:$D$149,$A33,'Session Tracker'!$F$5:$F$149,"Next week",'Session Tracker'!$G$5:$G$149,"Thu"))</f>
        <v>0</v>
      </c>
      <c r="L33" s="52" t="n">
        <f aca="false">IF($E33="Per class",$D33*COUNTIFS('Session Tracker'!$D$5:$D$149,$A33,'Session Tracker'!$F$5:$F$149,"Next week",'Session Tracker'!$G$5:$G$149,"Fri"),$D33*SUMIFS('Session Tracker'!$J$5:$J$149,'Session Tracker'!$D$5:$D$149,$A33,'Session Tracker'!$F$5:$F$149,"Next week",'Session Tracker'!$G$5:$G$149,"Fri"))</f>
        <v>0</v>
      </c>
      <c r="M33" s="52" t="n">
        <f aca="false">IF($E33="Per class",$D33*COUNTIFS('Session Tracker'!$D$5:$D$149,$A33,'Session Tracker'!$F$5:$F$149,"Next week",'Session Tracker'!$G$5:$G$149,""),$D33*SUMIFS('Session Tracker'!$J$5:$J$149,'Session Tracker'!$D$5:$D$149,$A33,'Session Tracker'!$F$5:$F$149,"Next week",'Session Tracker'!$G$5:$G$149,""))</f>
        <v>0</v>
      </c>
    </row>
    <row r="34" customFormat="false" ht="15" hidden="false" customHeight="false" outlineLevel="0" collapsed="false">
      <c r="A34" s="51" t="s">
        <v>80</v>
      </c>
      <c r="B34" s="34" t="s">
        <v>375</v>
      </c>
      <c r="C34" s="34" t="s">
        <v>387</v>
      </c>
      <c r="D34" s="32" t="n">
        <v>1</v>
      </c>
      <c r="E34" s="32" t="s">
        <v>14</v>
      </c>
      <c r="F34" s="32" t="s">
        <v>368</v>
      </c>
      <c r="G34" s="34" t="s">
        <v>393</v>
      </c>
      <c r="H34" s="52" t="n">
        <f aca="false">IF($E34="Per class",$D34*COUNTIFS('Session Tracker'!$D$5:$D$149,$A34,'Session Tracker'!$F$5:$F$149,"Next week",'Session Tracker'!$G$5:$G$149,"Mon"),$D34*SUMIFS('Session Tracker'!$J$5:$J$149,'Session Tracker'!$D$5:$D$149,$A34,'Session Tracker'!$F$5:$F$149,"Next week",'Session Tracker'!$G$5:$G$149,"Mon"))</f>
        <v>0</v>
      </c>
      <c r="I34" s="52" t="n">
        <f aca="false">IF($E34="Per class",$D34*COUNTIFS('Session Tracker'!$D$5:$D$149,$A34,'Session Tracker'!$F$5:$F$149,"Next week",'Session Tracker'!$G$5:$G$149,"Tue"),$D34*SUMIFS('Session Tracker'!$J$5:$J$149,'Session Tracker'!$D$5:$D$149,$A34,'Session Tracker'!$F$5:$F$149,"Next week",'Session Tracker'!$G$5:$G$149,"Tue"))</f>
        <v>0</v>
      </c>
      <c r="J34" s="52" t="n">
        <f aca="false">IF($E34="Per class",$D34*COUNTIFS('Session Tracker'!$D$5:$D$149,$A34,'Session Tracker'!$F$5:$F$149,"Next week",'Session Tracker'!$G$5:$G$149,"Wed"),$D34*SUMIFS('Session Tracker'!$J$5:$J$149,'Session Tracker'!$D$5:$D$149,$A34,'Session Tracker'!$F$5:$F$149,"Next week",'Session Tracker'!$G$5:$G$149,"Wed"))</f>
        <v>0</v>
      </c>
      <c r="K34" s="52" t="n">
        <f aca="false">IF($E34="Per class",$D34*COUNTIFS('Session Tracker'!$D$5:$D$149,$A34,'Session Tracker'!$F$5:$F$149,"Next week",'Session Tracker'!$G$5:$G$149,"Thu"),$D34*SUMIFS('Session Tracker'!$J$5:$J$149,'Session Tracker'!$D$5:$D$149,$A34,'Session Tracker'!$F$5:$F$149,"Next week",'Session Tracker'!$G$5:$G$149,"Thu"))</f>
        <v>0</v>
      </c>
      <c r="L34" s="52" t="n">
        <f aca="false">IF($E34="Per class",$D34*COUNTIFS('Session Tracker'!$D$5:$D$149,$A34,'Session Tracker'!$F$5:$F$149,"Next week",'Session Tracker'!$G$5:$G$149,"Fri"),$D34*SUMIFS('Session Tracker'!$J$5:$J$149,'Session Tracker'!$D$5:$D$149,$A34,'Session Tracker'!$F$5:$F$149,"Next week",'Session Tracker'!$G$5:$G$149,"Fri"))</f>
        <v>0</v>
      </c>
      <c r="M34" s="52" t="n">
        <f aca="false">IF($E34="Per class",$D34*COUNTIFS('Session Tracker'!$D$5:$D$149,$A34,'Session Tracker'!$F$5:$F$149,"Next week",'Session Tracker'!$G$5:$G$149,""),$D34*SUMIFS('Session Tracker'!$J$5:$J$149,'Session Tracker'!$D$5:$D$149,$A34,'Session Tracker'!$F$5:$F$149,"Next week",'Session Tracker'!$G$5:$G$149,""))</f>
        <v>0</v>
      </c>
    </row>
    <row r="35" customFormat="false" ht="15" hidden="false" customHeight="false" outlineLevel="0" collapsed="false">
      <c r="A35" s="51" t="s">
        <v>80</v>
      </c>
      <c r="B35" s="34" t="s">
        <v>379</v>
      </c>
      <c r="C35" s="34" t="s">
        <v>380</v>
      </c>
      <c r="D35" s="32" t="n">
        <v>2</v>
      </c>
      <c r="E35" s="32" t="s">
        <v>14</v>
      </c>
      <c r="F35" s="32" t="s">
        <v>368</v>
      </c>
      <c r="G35" s="34" t="s">
        <v>394</v>
      </c>
      <c r="H35" s="52" t="n">
        <f aca="false">IF($E35="Per class",$D35*COUNTIFS('Session Tracker'!$D$5:$D$149,$A35,'Session Tracker'!$F$5:$F$149,"Next week",'Session Tracker'!$G$5:$G$149,"Mon"),$D35*SUMIFS('Session Tracker'!$J$5:$J$149,'Session Tracker'!$D$5:$D$149,$A35,'Session Tracker'!$F$5:$F$149,"Next week",'Session Tracker'!$G$5:$G$149,"Mon"))</f>
        <v>0</v>
      </c>
      <c r="I35" s="52" t="n">
        <f aca="false">IF($E35="Per class",$D35*COUNTIFS('Session Tracker'!$D$5:$D$149,$A35,'Session Tracker'!$F$5:$F$149,"Next week",'Session Tracker'!$G$5:$G$149,"Tue"),$D35*SUMIFS('Session Tracker'!$J$5:$J$149,'Session Tracker'!$D$5:$D$149,$A35,'Session Tracker'!$F$5:$F$149,"Next week",'Session Tracker'!$G$5:$G$149,"Tue"))</f>
        <v>0</v>
      </c>
      <c r="J35" s="52" t="n">
        <f aca="false">IF($E35="Per class",$D35*COUNTIFS('Session Tracker'!$D$5:$D$149,$A35,'Session Tracker'!$F$5:$F$149,"Next week",'Session Tracker'!$G$5:$G$149,"Wed"),$D35*SUMIFS('Session Tracker'!$J$5:$J$149,'Session Tracker'!$D$5:$D$149,$A35,'Session Tracker'!$F$5:$F$149,"Next week",'Session Tracker'!$G$5:$G$149,"Wed"))</f>
        <v>0</v>
      </c>
      <c r="K35" s="52" t="n">
        <f aca="false">IF($E35="Per class",$D35*COUNTIFS('Session Tracker'!$D$5:$D$149,$A35,'Session Tracker'!$F$5:$F$149,"Next week",'Session Tracker'!$G$5:$G$149,"Thu"),$D35*SUMIFS('Session Tracker'!$J$5:$J$149,'Session Tracker'!$D$5:$D$149,$A35,'Session Tracker'!$F$5:$F$149,"Next week",'Session Tracker'!$G$5:$G$149,"Thu"))</f>
        <v>0</v>
      </c>
      <c r="L35" s="52" t="n">
        <f aca="false">IF($E35="Per class",$D35*COUNTIFS('Session Tracker'!$D$5:$D$149,$A35,'Session Tracker'!$F$5:$F$149,"Next week",'Session Tracker'!$G$5:$G$149,"Fri"),$D35*SUMIFS('Session Tracker'!$J$5:$J$149,'Session Tracker'!$D$5:$D$149,$A35,'Session Tracker'!$F$5:$F$149,"Next week",'Session Tracker'!$G$5:$G$149,"Fri"))</f>
        <v>0</v>
      </c>
      <c r="M35" s="52" t="n">
        <f aca="false">IF($E35="Per class",$D35*COUNTIFS('Session Tracker'!$D$5:$D$149,$A35,'Session Tracker'!$F$5:$F$149,"Next week",'Session Tracker'!$G$5:$G$149,""),$D35*SUMIFS('Session Tracker'!$J$5:$J$149,'Session Tracker'!$D$5:$D$149,$A35,'Session Tracker'!$F$5:$F$149,"Next week",'Session Tracker'!$G$5:$G$149,""))</f>
        <v>0</v>
      </c>
    </row>
    <row r="36" customFormat="false" ht="15" hidden="false" customHeight="false" outlineLevel="0" collapsed="false">
      <c r="A36" s="51" t="s">
        <v>80</v>
      </c>
      <c r="B36" s="34" t="s">
        <v>379</v>
      </c>
      <c r="C36" s="34" t="s">
        <v>381</v>
      </c>
      <c r="D36" s="32" t="n">
        <v>6</v>
      </c>
      <c r="E36" s="32" t="s">
        <v>14</v>
      </c>
      <c r="F36" s="32" t="s">
        <v>368</v>
      </c>
      <c r="G36" s="34"/>
      <c r="H36" s="52" t="n">
        <f aca="false">IF($E36="Per class",$D36*COUNTIFS('Session Tracker'!$D$5:$D$149,$A36,'Session Tracker'!$F$5:$F$149,"Next week",'Session Tracker'!$G$5:$G$149,"Mon"),$D36*SUMIFS('Session Tracker'!$J$5:$J$149,'Session Tracker'!$D$5:$D$149,$A36,'Session Tracker'!$F$5:$F$149,"Next week",'Session Tracker'!$G$5:$G$149,"Mon"))</f>
        <v>0</v>
      </c>
      <c r="I36" s="52" t="n">
        <f aca="false">IF($E36="Per class",$D36*COUNTIFS('Session Tracker'!$D$5:$D$149,$A36,'Session Tracker'!$F$5:$F$149,"Next week",'Session Tracker'!$G$5:$G$149,"Tue"),$D36*SUMIFS('Session Tracker'!$J$5:$J$149,'Session Tracker'!$D$5:$D$149,$A36,'Session Tracker'!$F$5:$F$149,"Next week",'Session Tracker'!$G$5:$G$149,"Tue"))</f>
        <v>0</v>
      </c>
      <c r="J36" s="52" t="n">
        <f aca="false">IF($E36="Per class",$D36*COUNTIFS('Session Tracker'!$D$5:$D$149,$A36,'Session Tracker'!$F$5:$F$149,"Next week",'Session Tracker'!$G$5:$G$149,"Wed"),$D36*SUMIFS('Session Tracker'!$J$5:$J$149,'Session Tracker'!$D$5:$D$149,$A36,'Session Tracker'!$F$5:$F$149,"Next week",'Session Tracker'!$G$5:$G$149,"Wed"))</f>
        <v>0</v>
      </c>
      <c r="K36" s="52" t="n">
        <f aca="false">IF($E36="Per class",$D36*COUNTIFS('Session Tracker'!$D$5:$D$149,$A36,'Session Tracker'!$F$5:$F$149,"Next week",'Session Tracker'!$G$5:$G$149,"Thu"),$D36*SUMIFS('Session Tracker'!$J$5:$J$149,'Session Tracker'!$D$5:$D$149,$A36,'Session Tracker'!$F$5:$F$149,"Next week",'Session Tracker'!$G$5:$G$149,"Thu"))</f>
        <v>0</v>
      </c>
      <c r="L36" s="52" t="n">
        <f aca="false">IF($E36="Per class",$D36*COUNTIFS('Session Tracker'!$D$5:$D$149,$A36,'Session Tracker'!$F$5:$F$149,"Next week",'Session Tracker'!$G$5:$G$149,"Fri"),$D36*SUMIFS('Session Tracker'!$J$5:$J$149,'Session Tracker'!$D$5:$D$149,$A36,'Session Tracker'!$F$5:$F$149,"Next week",'Session Tracker'!$G$5:$G$149,"Fri"))</f>
        <v>0</v>
      </c>
      <c r="M36" s="52" t="n">
        <f aca="false">IF($E36="Per class",$D36*COUNTIFS('Session Tracker'!$D$5:$D$149,$A36,'Session Tracker'!$F$5:$F$149,"Next week",'Session Tracker'!$G$5:$G$149,""),$D36*SUMIFS('Session Tracker'!$J$5:$J$149,'Session Tracker'!$D$5:$D$149,$A36,'Session Tracker'!$F$5:$F$149,"Next week",'Session Tracker'!$G$5:$G$149,""))</f>
        <v>0</v>
      </c>
    </row>
    <row r="37" customFormat="false" ht="15" hidden="false" customHeight="false" outlineLevel="0" collapsed="false">
      <c r="A37" s="51" t="s">
        <v>80</v>
      </c>
      <c r="B37" s="34" t="s">
        <v>379</v>
      </c>
      <c r="C37" s="34" t="s">
        <v>395</v>
      </c>
      <c r="D37" s="32" t="n">
        <v>4</v>
      </c>
      <c r="E37" s="32" t="s">
        <v>14</v>
      </c>
      <c r="F37" s="32" t="s">
        <v>368</v>
      </c>
      <c r="G37" s="34" t="s">
        <v>396</v>
      </c>
      <c r="H37" s="52" t="n">
        <f aca="false">IF($E37="Per class",$D37*COUNTIFS('Session Tracker'!$D$5:$D$149,$A37,'Session Tracker'!$F$5:$F$149,"Next week",'Session Tracker'!$G$5:$G$149,"Mon"),$D37*SUMIFS('Session Tracker'!$J$5:$J$149,'Session Tracker'!$D$5:$D$149,$A37,'Session Tracker'!$F$5:$F$149,"Next week",'Session Tracker'!$G$5:$G$149,"Mon"))</f>
        <v>0</v>
      </c>
      <c r="I37" s="52" t="n">
        <f aca="false">IF($E37="Per class",$D37*COUNTIFS('Session Tracker'!$D$5:$D$149,$A37,'Session Tracker'!$F$5:$F$149,"Next week",'Session Tracker'!$G$5:$G$149,"Tue"),$D37*SUMIFS('Session Tracker'!$J$5:$J$149,'Session Tracker'!$D$5:$D$149,$A37,'Session Tracker'!$F$5:$F$149,"Next week",'Session Tracker'!$G$5:$G$149,"Tue"))</f>
        <v>0</v>
      </c>
      <c r="J37" s="52" t="n">
        <f aca="false">IF($E37="Per class",$D37*COUNTIFS('Session Tracker'!$D$5:$D$149,$A37,'Session Tracker'!$F$5:$F$149,"Next week",'Session Tracker'!$G$5:$G$149,"Wed"),$D37*SUMIFS('Session Tracker'!$J$5:$J$149,'Session Tracker'!$D$5:$D$149,$A37,'Session Tracker'!$F$5:$F$149,"Next week",'Session Tracker'!$G$5:$G$149,"Wed"))</f>
        <v>0</v>
      </c>
      <c r="K37" s="52" t="n">
        <f aca="false">IF($E37="Per class",$D37*COUNTIFS('Session Tracker'!$D$5:$D$149,$A37,'Session Tracker'!$F$5:$F$149,"Next week",'Session Tracker'!$G$5:$G$149,"Thu"),$D37*SUMIFS('Session Tracker'!$J$5:$J$149,'Session Tracker'!$D$5:$D$149,$A37,'Session Tracker'!$F$5:$F$149,"Next week",'Session Tracker'!$G$5:$G$149,"Thu"))</f>
        <v>0</v>
      </c>
      <c r="L37" s="52" t="n">
        <f aca="false">IF($E37="Per class",$D37*COUNTIFS('Session Tracker'!$D$5:$D$149,$A37,'Session Tracker'!$F$5:$F$149,"Next week",'Session Tracker'!$G$5:$G$149,"Fri"),$D37*SUMIFS('Session Tracker'!$J$5:$J$149,'Session Tracker'!$D$5:$D$149,$A37,'Session Tracker'!$F$5:$F$149,"Next week",'Session Tracker'!$G$5:$G$149,"Fri"))</f>
        <v>0</v>
      </c>
      <c r="M37" s="52" t="n">
        <f aca="false">IF($E37="Per class",$D37*COUNTIFS('Session Tracker'!$D$5:$D$149,$A37,'Session Tracker'!$F$5:$F$149,"Next week",'Session Tracker'!$G$5:$G$149,""),$D37*SUMIFS('Session Tracker'!$J$5:$J$149,'Session Tracker'!$D$5:$D$149,$A37,'Session Tracker'!$F$5:$F$149,"Next week",'Session Tracker'!$G$5:$G$149,""))</f>
        <v>0</v>
      </c>
    </row>
    <row r="38" customFormat="false" ht="15" hidden="false" customHeight="false" outlineLevel="0" collapsed="false">
      <c r="A38" s="51" t="s">
        <v>80</v>
      </c>
      <c r="B38" s="34" t="s">
        <v>382</v>
      </c>
      <c r="C38" s="34" t="s">
        <v>383</v>
      </c>
      <c r="D38" s="32" t="n">
        <v>1</v>
      </c>
      <c r="E38" s="32" t="s">
        <v>14</v>
      </c>
      <c r="F38" s="32" t="s">
        <v>368</v>
      </c>
      <c r="G38" s="34"/>
      <c r="H38" s="52" t="n">
        <f aca="false">IF($E38="Per class",$D38*COUNTIFS('Session Tracker'!$D$5:$D$149,$A38,'Session Tracker'!$F$5:$F$149,"Next week",'Session Tracker'!$G$5:$G$149,"Mon"),$D38*SUMIFS('Session Tracker'!$J$5:$J$149,'Session Tracker'!$D$5:$D$149,$A38,'Session Tracker'!$F$5:$F$149,"Next week",'Session Tracker'!$G$5:$G$149,"Mon"))</f>
        <v>0</v>
      </c>
      <c r="I38" s="52" t="n">
        <f aca="false">IF($E38="Per class",$D38*COUNTIFS('Session Tracker'!$D$5:$D$149,$A38,'Session Tracker'!$F$5:$F$149,"Next week",'Session Tracker'!$G$5:$G$149,"Tue"),$D38*SUMIFS('Session Tracker'!$J$5:$J$149,'Session Tracker'!$D$5:$D$149,$A38,'Session Tracker'!$F$5:$F$149,"Next week",'Session Tracker'!$G$5:$G$149,"Tue"))</f>
        <v>0</v>
      </c>
      <c r="J38" s="52" t="n">
        <f aca="false">IF($E38="Per class",$D38*COUNTIFS('Session Tracker'!$D$5:$D$149,$A38,'Session Tracker'!$F$5:$F$149,"Next week",'Session Tracker'!$G$5:$G$149,"Wed"),$D38*SUMIFS('Session Tracker'!$J$5:$J$149,'Session Tracker'!$D$5:$D$149,$A38,'Session Tracker'!$F$5:$F$149,"Next week",'Session Tracker'!$G$5:$G$149,"Wed"))</f>
        <v>0</v>
      </c>
      <c r="K38" s="52" t="n">
        <f aca="false">IF($E38="Per class",$D38*COUNTIFS('Session Tracker'!$D$5:$D$149,$A38,'Session Tracker'!$F$5:$F$149,"Next week",'Session Tracker'!$G$5:$G$149,"Thu"),$D38*SUMIFS('Session Tracker'!$J$5:$J$149,'Session Tracker'!$D$5:$D$149,$A38,'Session Tracker'!$F$5:$F$149,"Next week",'Session Tracker'!$G$5:$G$149,"Thu"))</f>
        <v>0</v>
      </c>
      <c r="L38" s="52" t="n">
        <f aca="false">IF($E38="Per class",$D38*COUNTIFS('Session Tracker'!$D$5:$D$149,$A38,'Session Tracker'!$F$5:$F$149,"Next week",'Session Tracker'!$G$5:$G$149,"Fri"),$D38*SUMIFS('Session Tracker'!$J$5:$J$149,'Session Tracker'!$D$5:$D$149,$A38,'Session Tracker'!$F$5:$F$149,"Next week",'Session Tracker'!$G$5:$G$149,"Fri"))</f>
        <v>0</v>
      </c>
      <c r="M38" s="52" t="n">
        <f aca="false">IF($E38="Per class",$D38*COUNTIFS('Session Tracker'!$D$5:$D$149,$A38,'Session Tracker'!$F$5:$F$149,"Next week",'Session Tracker'!$G$5:$G$149,""),$D38*SUMIFS('Session Tracker'!$J$5:$J$149,'Session Tracker'!$D$5:$D$149,$A38,'Session Tracker'!$F$5:$F$149,"Next week",'Session Tracker'!$G$5:$G$149,""))</f>
        <v>0</v>
      </c>
    </row>
    <row r="39" customFormat="false" ht="15" hidden="false" customHeight="false" outlineLevel="0" collapsed="false">
      <c r="A39" s="51" t="s">
        <v>80</v>
      </c>
      <c r="B39" s="34" t="s">
        <v>382</v>
      </c>
      <c r="C39" s="34" t="s">
        <v>397</v>
      </c>
      <c r="D39" s="32" t="n">
        <v>1</v>
      </c>
      <c r="E39" s="32" t="s">
        <v>16</v>
      </c>
      <c r="F39" s="32" t="s">
        <v>368</v>
      </c>
      <c r="G39" s="34" t="s">
        <v>398</v>
      </c>
      <c r="H39" s="52" t="n">
        <f aca="false">IF($E39="Per class",$D39*COUNTIFS('Session Tracker'!$D$5:$D$149,$A39,'Session Tracker'!$F$5:$F$149,"Next week",'Session Tracker'!$G$5:$G$149,"Mon"),$D39*SUMIFS('Session Tracker'!$J$5:$J$149,'Session Tracker'!$D$5:$D$149,$A39,'Session Tracker'!$F$5:$F$149,"Next week",'Session Tracker'!$G$5:$G$149,"Mon"))</f>
        <v>0</v>
      </c>
      <c r="I39" s="52" t="n">
        <f aca="false">IF($E39="Per class",$D39*COUNTIFS('Session Tracker'!$D$5:$D$149,$A39,'Session Tracker'!$F$5:$F$149,"Next week",'Session Tracker'!$G$5:$G$149,"Tue"),$D39*SUMIFS('Session Tracker'!$J$5:$J$149,'Session Tracker'!$D$5:$D$149,$A39,'Session Tracker'!$F$5:$F$149,"Next week",'Session Tracker'!$G$5:$G$149,"Tue"))</f>
        <v>0</v>
      </c>
      <c r="J39" s="52" t="n">
        <f aca="false">IF($E39="Per class",$D39*COUNTIFS('Session Tracker'!$D$5:$D$149,$A39,'Session Tracker'!$F$5:$F$149,"Next week",'Session Tracker'!$G$5:$G$149,"Wed"),$D39*SUMIFS('Session Tracker'!$J$5:$J$149,'Session Tracker'!$D$5:$D$149,$A39,'Session Tracker'!$F$5:$F$149,"Next week",'Session Tracker'!$G$5:$G$149,"Wed"))</f>
        <v>0</v>
      </c>
      <c r="K39" s="52" t="n">
        <f aca="false">IF($E39="Per class",$D39*COUNTIFS('Session Tracker'!$D$5:$D$149,$A39,'Session Tracker'!$F$5:$F$149,"Next week",'Session Tracker'!$G$5:$G$149,"Thu"),$D39*SUMIFS('Session Tracker'!$J$5:$J$149,'Session Tracker'!$D$5:$D$149,$A39,'Session Tracker'!$F$5:$F$149,"Next week",'Session Tracker'!$G$5:$G$149,"Thu"))</f>
        <v>0</v>
      </c>
      <c r="L39" s="52" t="n">
        <f aca="false">IF($E39="Per class",$D39*COUNTIFS('Session Tracker'!$D$5:$D$149,$A39,'Session Tracker'!$F$5:$F$149,"Next week",'Session Tracker'!$G$5:$G$149,"Fri"),$D39*SUMIFS('Session Tracker'!$J$5:$J$149,'Session Tracker'!$D$5:$D$149,$A39,'Session Tracker'!$F$5:$F$149,"Next week",'Session Tracker'!$G$5:$G$149,"Fri"))</f>
        <v>0</v>
      </c>
      <c r="M39" s="52" t="n">
        <f aca="false">IF($E39="Per class",$D39*COUNTIFS('Session Tracker'!$D$5:$D$149,$A39,'Session Tracker'!$F$5:$F$149,"Next week",'Session Tracker'!$G$5:$G$149,""),$D39*SUMIFS('Session Tracker'!$J$5:$J$149,'Session Tracker'!$D$5:$D$149,$A39,'Session Tracker'!$F$5:$F$149,"Next week",'Session Tracker'!$G$5:$G$149,""))</f>
        <v>0</v>
      </c>
    </row>
    <row r="40" customFormat="false" ht="15" hidden="false" customHeight="false" outlineLevel="0" collapsed="false">
      <c r="A40" s="53" t="s">
        <v>80</v>
      </c>
      <c r="B40" s="54"/>
      <c r="C40" s="54"/>
      <c r="D40" s="54"/>
      <c r="E40" s="54"/>
      <c r="F40" s="54"/>
      <c r="G40" s="54"/>
      <c r="H40" s="52" t="n">
        <f aca="false">IF($E40="Per class",$D40*COUNTIFS('Session Tracker'!$D$5:$D$149,$A40,'Session Tracker'!$F$5:$F$149,"Next week",'Session Tracker'!$G$5:$G$149,"Mon"),$D40*SUMIFS('Session Tracker'!$J$5:$J$149,'Session Tracker'!$D$5:$D$149,$A40,'Session Tracker'!$F$5:$F$149,"Next week",'Session Tracker'!$G$5:$G$149,"Mon"))</f>
        <v>0</v>
      </c>
      <c r="I40" s="52" t="n">
        <f aca="false">IF($E40="Per class",$D40*COUNTIFS('Session Tracker'!$D$5:$D$149,$A40,'Session Tracker'!$F$5:$F$149,"Next week",'Session Tracker'!$G$5:$G$149,"Tue"),$D40*SUMIFS('Session Tracker'!$J$5:$J$149,'Session Tracker'!$D$5:$D$149,$A40,'Session Tracker'!$F$5:$F$149,"Next week",'Session Tracker'!$G$5:$G$149,"Tue"))</f>
        <v>0</v>
      </c>
      <c r="J40" s="52" t="n">
        <f aca="false">IF($E40="Per class",$D40*COUNTIFS('Session Tracker'!$D$5:$D$149,$A40,'Session Tracker'!$F$5:$F$149,"Next week",'Session Tracker'!$G$5:$G$149,"Wed"),$D40*SUMIFS('Session Tracker'!$J$5:$J$149,'Session Tracker'!$D$5:$D$149,$A40,'Session Tracker'!$F$5:$F$149,"Next week",'Session Tracker'!$G$5:$G$149,"Wed"))</f>
        <v>0</v>
      </c>
      <c r="K40" s="52" t="n">
        <f aca="false">IF($E40="Per class",$D40*COUNTIFS('Session Tracker'!$D$5:$D$149,$A40,'Session Tracker'!$F$5:$F$149,"Next week",'Session Tracker'!$G$5:$G$149,"Thu"),$D40*SUMIFS('Session Tracker'!$J$5:$J$149,'Session Tracker'!$D$5:$D$149,$A40,'Session Tracker'!$F$5:$F$149,"Next week",'Session Tracker'!$G$5:$G$149,"Thu"))</f>
        <v>0</v>
      </c>
      <c r="L40" s="52" t="n">
        <f aca="false">IF($E40="Per class",$D40*COUNTIFS('Session Tracker'!$D$5:$D$149,$A40,'Session Tracker'!$F$5:$F$149,"Next week",'Session Tracker'!$G$5:$G$149,"Fri"),$D40*SUMIFS('Session Tracker'!$J$5:$J$149,'Session Tracker'!$D$5:$D$149,$A40,'Session Tracker'!$F$5:$F$149,"Next week",'Session Tracker'!$G$5:$G$149,"Fri"))</f>
        <v>0</v>
      </c>
      <c r="M40" s="52" t="n">
        <f aca="false">IF($E40="Per class",$D40*COUNTIFS('Session Tracker'!$D$5:$D$149,$A40,'Session Tracker'!$F$5:$F$149,"Next week",'Session Tracker'!$G$5:$G$149,""),$D40*SUMIFS('Session Tracker'!$J$5:$J$149,'Session Tracker'!$D$5:$D$149,$A40,'Session Tracker'!$F$5:$F$149,"Next week",'Session Tracker'!$G$5:$G$149,""))</f>
        <v>0</v>
      </c>
    </row>
    <row r="41" customFormat="false" ht="15" hidden="false" customHeight="false" outlineLevel="0" collapsed="false">
      <c r="A41" s="53" t="s">
        <v>80</v>
      </c>
      <c r="B41" s="54"/>
      <c r="C41" s="54"/>
      <c r="D41" s="54"/>
      <c r="E41" s="54"/>
      <c r="F41" s="54"/>
      <c r="G41" s="54"/>
      <c r="H41" s="52" t="n">
        <f aca="false">IF($E41="Per class",$D41*COUNTIFS('Session Tracker'!$D$5:$D$149,$A41,'Session Tracker'!$F$5:$F$149,"Next week",'Session Tracker'!$G$5:$G$149,"Mon"),$D41*SUMIFS('Session Tracker'!$J$5:$J$149,'Session Tracker'!$D$5:$D$149,$A41,'Session Tracker'!$F$5:$F$149,"Next week",'Session Tracker'!$G$5:$G$149,"Mon"))</f>
        <v>0</v>
      </c>
      <c r="I41" s="52" t="n">
        <f aca="false">IF($E41="Per class",$D41*COUNTIFS('Session Tracker'!$D$5:$D$149,$A41,'Session Tracker'!$F$5:$F$149,"Next week",'Session Tracker'!$G$5:$G$149,"Tue"),$D41*SUMIFS('Session Tracker'!$J$5:$J$149,'Session Tracker'!$D$5:$D$149,$A41,'Session Tracker'!$F$5:$F$149,"Next week",'Session Tracker'!$G$5:$G$149,"Tue"))</f>
        <v>0</v>
      </c>
      <c r="J41" s="52" t="n">
        <f aca="false">IF($E41="Per class",$D41*COUNTIFS('Session Tracker'!$D$5:$D$149,$A41,'Session Tracker'!$F$5:$F$149,"Next week",'Session Tracker'!$G$5:$G$149,"Wed"),$D41*SUMIFS('Session Tracker'!$J$5:$J$149,'Session Tracker'!$D$5:$D$149,$A41,'Session Tracker'!$F$5:$F$149,"Next week",'Session Tracker'!$G$5:$G$149,"Wed"))</f>
        <v>0</v>
      </c>
      <c r="K41" s="52" t="n">
        <f aca="false">IF($E41="Per class",$D41*COUNTIFS('Session Tracker'!$D$5:$D$149,$A41,'Session Tracker'!$F$5:$F$149,"Next week",'Session Tracker'!$G$5:$G$149,"Thu"),$D41*SUMIFS('Session Tracker'!$J$5:$J$149,'Session Tracker'!$D$5:$D$149,$A41,'Session Tracker'!$F$5:$F$149,"Next week",'Session Tracker'!$G$5:$G$149,"Thu"))</f>
        <v>0</v>
      </c>
      <c r="L41" s="52" t="n">
        <f aca="false">IF($E41="Per class",$D41*COUNTIFS('Session Tracker'!$D$5:$D$149,$A41,'Session Tracker'!$F$5:$F$149,"Next week",'Session Tracker'!$G$5:$G$149,"Fri"),$D41*SUMIFS('Session Tracker'!$J$5:$J$149,'Session Tracker'!$D$5:$D$149,$A41,'Session Tracker'!$F$5:$F$149,"Next week",'Session Tracker'!$G$5:$G$149,"Fri"))</f>
        <v>0</v>
      </c>
      <c r="M41" s="52" t="n">
        <f aca="false">IF($E41="Per class",$D41*COUNTIFS('Session Tracker'!$D$5:$D$149,$A41,'Session Tracker'!$F$5:$F$149,"Next week",'Session Tracker'!$G$5:$G$149,""),$D41*SUMIFS('Session Tracker'!$J$5:$J$149,'Session Tracker'!$D$5:$D$149,$A41,'Session Tracker'!$F$5:$F$149,"Next week",'Session Tracker'!$G$5:$G$149,""))</f>
        <v>0</v>
      </c>
    </row>
    <row r="43" customFormat="false" ht="19.5" hidden="false" customHeight="true" outlineLevel="0" collapsed="false">
      <c r="A43" s="47" t="s">
        <v>82</v>
      </c>
      <c r="B43" s="48" t="s">
        <v>399</v>
      </c>
      <c r="C43" s="48"/>
      <c r="D43" s="48"/>
      <c r="E43" s="48"/>
      <c r="F43" s="49" t="str">
        <f aca="false">"Status: "&amp;'Session Tracker'!F8&amp;IF('Session Tracker'!G8&lt;&gt;""," ("&amp;'Session Tracker'!G8&amp;")","")</f>
        <v>Status: Not started</v>
      </c>
      <c r="G43" s="49"/>
      <c r="H43" s="50"/>
      <c r="I43" s="50"/>
      <c r="J43" s="50"/>
      <c r="K43" s="50"/>
      <c r="L43" s="50"/>
      <c r="M43" s="50"/>
    </row>
    <row r="44" customFormat="false" ht="15" hidden="false" customHeight="false" outlineLevel="0" collapsed="false">
      <c r="A44" s="51" t="s">
        <v>82</v>
      </c>
      <c r="B44" s="34" t="s">
        <v>382</v>
      </c>
      <c r="C44" s="34" t="s">
        <v>383</v>
      </c>
      <c r="D44" s="32" t="n">
        <v>1</v>
      </c>
      <c r="E44" s="32" t="s">
        <v>14</v>
      </c>
      <c r="F44" s="32" t="s">
        <v>368</v>
      </c>
      <c r="G44" s="34" t="s">
        <v>400</v>
      </c>
      <c r="H44" s="52" t="n">
        <f aca="false">IF($E44="Per class",$D44*COUNTIFS('Session Tracker'!$D$5:$D$149,$A44,'Session Tracker'!$F$5:$F$149,"Next week",'Session Tracker'!$G$5:$G$149,"Mon"),$D44*SUMIFS('Session Tracker'!$J$5:$J$149,'Session Tracker'!$D$5:$D$149,$A44,'Session Tracker'!$F$5:$F$149,"Next week",'Session Tracker'!$G$5:$G$149,"Mon"))</f>
        <v>0</v>
      </c>
      <c r="I44" s="52" t="n">
        <f aca="false">IF($E44="Per class",$D44*COUNTIFS('Session Tracker'!$D$5:$D$149,$A44,'Session Tracker'!$F$5:$F$149,"Next week",'Session Tracker'!$G$5:$G$149,"Tue"),$D44*SUMIFS('Session Tracker'!$J$5:$J$149,'Session Tracker'!$D$5:$D$149,$A44,'Session Tracker'!$F$5:$F$149,"Next week",'Session Tracker'!$G$5:$G$149,"Tue"))</f>
        <v>0</v>
      </c>
      <c r="J44" s="52" t="n">
        <f aca="false">IF($E44="Per class",$D44*COUNTIFS('Session Tracker'!$D$5:$D$149,$A44,'Session Tracker'!$F$5:$F$149,"Next week",'Session Tracker'!$G$5:$G$149,"Wed"),$D44*SUMIFS('Session Tracker'!$J$5:$J$149,'Session Tracker'!$D$5:$D$149,$A44,'Session Tracker'!$F$5:$F$149,"Next week",'Session Tracker'!$G$5:$G$149,"Wed"))</f>
        <v>0</v>
      </c>
      <c r="K44" s="52" t="n">
        <f aca="false">IF($E44="Per class",$D44*COUNTIFS('Session Tracker'!$D$5:$D$149,$A44,'Session Tracker'!$F$5:$F$149,"Next week",'Session Tracker'!$G$5:$G$149,"Thu"),$D44*SUMIFS('Session Tracker'!$J$5:$J$149,'Session Tracker'!$D$5:$D$149,$A44,'Session Tracker'!$F$5:$F$149,"Next week",'Session Tracker'!$G$5:$G$149,"Thu"))</f>
        <v>0</v>
      </c>
      <c r="L44" s="52" t="n">
        <f aca="false">IF($E44="Per class",$D44*COUNTIFS('Session Tracker'!$D$5:$D$149,$A44,'Session Tracker'!$F$5:$F$149,"Next week",'Session Tracker'!$G$5:$G$149,"Fri"),$D44*SUMIFS('Session Tracker'!$J$5:$J$149,'Session Tracker'!$D$5:$D$149,$A44,'Session Tracker'!$F$5:$F$149,"Next week",'Session Tracker'!$G$5:$G$149,"Fri"))</f>
        <v>0</v>
      </c>
      <c r="M44" s="52" t="n">
        <f aca="false">IF($E44="Per class",$D44*COUNTIFS('Session Tracker'!$D$5:$D$149,$A44,'Session Tracker'!$F$5:$F$149,"Next week",'Session Tracker'!$G$5:$G$149,""),$D44*SUMIFS('Session Tracker'!$J$5:$J$149,'Session Tracker'!$D$5:$D$149,$A44,'Session Tracker'!$F$5:$F$149,"Next week",'Session Tracker'!$G$5:$G$149,""))</f>
        <v>0</v>
      </c>
    </row>
    <row r="45" customFormat="false" ht="15" hidden="false" customHeight="false" outlineLevel="0" collapsed="false">
      <c r="A45" s="51" t="s">
        <v>82</v>
      </c>
      <c r="B45" s="34" t="s">
        <v>382</v>
      </c>
      <c r="C45" s="34" t="s">
        <v>401</v>
      </c>
      <c r="D45" s="32" t="n">
        <v>1</v>
      </c>
      <c r="E45" s="32" t="s">
        <v>16</v>
      </c>
      <c r="F45" s="32" t="s">
        <v>368</v>
      </c>
      <c r="G45" s="34"/>
      <c r="H45" s="52" t="n">
        <f aca="false">IF($E45="Per class",$D45*COUNTIFS('Session Tracker'!$D$5:$D$149,$A45,'Session Tracker'!$F$5:$F$149,"Next week",'Session Tracker'!$G$5:$G$149,"Mon"),$D45*SUMIFS('Session Tracker'!$J$5:$J$149,'Session Tracker'!$D$5:$D$149,$A45,'Session Tracker'!$F$5:$F$149,"Next week",'Session Tracker'!$G$5:$G$149,"Mon"))</f>
        <v>0</v>
      </c>
      <c r="I45" s="52" t="n">
        <f aca="false">IF($E45="Per class",$D45*COUNTIFS('Session Tracker'!$D$5:$D$149,$A45,'Session Tracker'!$F$5:$F$149,"Next week",'Session Tracker'!$G$5:$G$149,"Tue"),$D45*SUMIFS('Session Tracker'!$J$5:$J$149,'Session Tracker'!$D$5:$D$149,$A45,'Session Tracker'!$F$5:$F$149,"Next week",'Session Tracker'!$G$5:$G$149,"Tue"))</f>
        <v>0</v>
      </c>
      <c r="J45" s="52" t="n">
        <f aca="false">IF($E45="Per class",$D45*COUNTIFS('Session Tracker'!$D$5:$D$149,$A45,'Session Tracker'!$F$5:$F$149,"Next week",'Session Tracker'!$G$5:$G$149,"Wed"),$D45*SUMIFS('Session Tracker'!$J$5:$J$149,'Session Tracker'!$D$5:$D$149,$A45,'Session Tracker'!$F$5:$F$149,"Next week",'Session Tracker'!$G$5:$G$149,"Wed"))</f>
        <v>0</v>
      </c>
      <c r="K45" s="52" t="n">
        <f aca="false">IF($E45="Per class",$D45*COUNTIFS('Session Tracker'!$D$5:$D$149,$A45,'Session Tracker'!$F$5:$F$149,"Next week",'Session Tracker'!$G$5:$G$149,"Thu"),$D45*SUMIFS('Session Tracker'!$J$5:$J$149,'Session Tracker'!$D$5:$D$149,$A45,'Session Tracker'!$F$5:$F$149,"Next week",'Session Tracker'!$G$5:$G$149,"Thu"))</f>
        <v>0</v>
      </c>
      <c r="L45" s="52" t="n">
        <f aca="false">IF($E45="Per class",$D45*COUNTIFS('Session Tracker'!$D$5:$D$149,$A45,'Session Tracker'!$F$5:$F$149,"Next week",'Session Tracker'!$G$5:$G$149,"Fri"),$D45*SUMIFS('Session Tracker'!$J$5:$J$149,'Session Tracker'!$D$5:$D$149,$A45,'Session Tracker'!$F$5:$F$149,"Next week",'Session Tracker'!$G$5:$G$149,"Fri"))</f>
        <v>0</v>
      </c>
      <c r="M45" s="52" t="n">
        <f aca="false">IF($E45="Per class",$D45*COUNTIFS('Session Tracker'!$D$5:$D$149,$A45,'Session Tracker'!$F$5:$F$149,"Next week",'Session Tracker'!$G$5:$G$149,""),$D45*SUMIFS('Session Tracker'!$J$5:$J$149,'Session Tracker'!$D$5:$D$149,$A45,'Session Tracker'!$F$5:$F$149,"Next week",'Session Tracker'!$G$5:$G$149,""))</f>
        <v>0</v>
      </c>
    </row>
    <row r="46" customFormat="false" ht="15" hidden="false" customHeight="false" outlineLevel="0" collapsed="false">
      <c r="A46" s="51" t="s">
        <v>82</v>
      </c>
      <c r="B46" s="34" t="s">
        <v>382</v>
      </c>
      <c r="C46" s="34" t="s">
        <v>402</v>
      </c>
      <c r="D46" s="32" t="n">
        <v>1</v>
      </c>
      <c r="E46" s="32" t="s">
        <v>16</v>
      </c>
      <c r="F46" s="32" t="s">
        <v>373</v>
      </c>
      <c r="G46" s="34" t="s">
        <v>403</v>
      </c>
      <c r="H46" s="52" t="n">
        <f aca="false">IF($E46="Per class",$D46*COUNTIFS('Session Tracker'!$D$5:$D$149,$A46,'Session Tracker'!$F$5:$F$149,"Next week",'Session Tracker'!$G$5:$G$149,"Mon"),$D46*SUMIFS('Session Tracker'!$J$5:$J$149,'Session Tracker'!$D$5:$D$149,$A46,'Session Tracker'!$F$5:$F$149,"Next week",'Session Tracker'!$G$5:$G$149,"Mon"))</f>
        <v>0</v>
      </c>
      <c r="I46" s="52" t="n">
        <f aca="false">IF($E46="Per class",$D46*COUNTIFS('Session Tracker'!$D$5:$D$149,$A46,'Session Tracker'!$F$5:$F$149,"Next week",'Session Tracker'!$G$5:$G$149,"Tue"),$D46*SUMIFS('Session Tracker'!$J$5:$J$149,'Session Tracker'!$D$5:$D$149,$A46,'Session Tracker'!$F$5:$F$149,"Next week",'Session Tracker'!$G$5:$G$149,"Tue"))</f>
        <v>0</v>
      </c>
      <c r="J46" s="52" t="n">
        <f aca="false">IF($E46="Per class",$D46*COUNTIFS('Session Tracker'!$D$5:$D$149,$A46,'Session Tracker'!$F$5:$F$149,"Next week",'Session Tracker'!$G$5:$G$149,"Wed"),$D46*SUMIFS('Session Tracker'!$J$5:$J$149,'Session Tracker'!$D$5:$D$149,$A46,'Session Tracker'!$F$5:$F$149,"Next week",'Session Tracker'!$G$5:$G$149,"Wed"))</f>
        <v>0</v>
      </c>
      <c r="K46" s="52" t="n">
        <f aca="false">IF($E46="Per class",$D46*COUNTIFS('Session Tracker'!$D$5:$D$149,$A46,'Session Tracker'!$F$5:$F$149,"Next week",'Session Tracker'!$G$5:$G$149,"Thu"),$D46*SUMIFS('Session Tracker'!$J$5:$J$149,'Session Tracker'!$D$5:$D$149,$A46,'Session Tracker'!$F$5:$F$149,"Next week",'Session Tracker'!$G$5:$G$149,"Thu"))</f>
        <v>0</v>
      </c>
      <c r="L46" s="52" t="n">
        <f aca="false">IF($E46="Per class",$D46*COUNTIFS('Session Tracker'!$D$5:$D$149,$A46,'Session Tracker'!$F$5:$F$149,"Next week",'Session Tracker'!$G$5:$G$149,"Fri"),$D46*SUMIFS('Session Tracker'!$J$5:$J$149,'Session Tracker'!$D$5:$D$149,$A46,'Session Tracker'!$F$5:$F$149,"Next week",'Session Tracker'!$G$5:$G$149,"Fri"))</f>
        <v>0</v>
      </c>
      <c r="M46" s="52" t="n">
        <f aca="false">IF($E46="Per class",$D46*COUNTIFS('Session Tracker'!$D$5:$D$149,$A46,'Session Tracker'!$F$5:$F$149,"Next week",'Session Tracker'!$G$5:$G$149,""),$D46*SUMIFS('Session Tracker'!$J$5:$J$149,'Session Tracker'!$D$5:$D$149,$A46,'Session Tracker'!$F$5:$F$149,"Next week",'Session Tracker'!$G$5:$G$149,""))</f>
        <v>0</v>
      </c>
    </row>
    <row r="47" customFormat="false" ht="15" hidden="false" customHeight="false" outlineLevel="0" collapsed="false">
      <c r="A47" s="51" t="s">
        <v>82</v>
      </c>
      <c r="B47" s="34" t="s">
        <v>382</v>
      </c>
      <c r="C47" s="34" t="s">
        <v>404</v>
      </c>
      <c r="D47" s="32" t="n">
        <v>1</v>
      </c>
      <c r="E47" s="32" t="s">
        <v>16</v>
      </c>
      <c r="F47" s="32" t="s">
        <v>368</v>
      </c>
      <c r="G47" s="34" t="s">
        <v>405</v>
      </c>
      <c r="H47" s="52" t="n">
        <f aca="false">IF($E47="Per class",$D47*COUNTIFS('Session Tracker'!$D$5:$D$149,$A47,'Session Tracker'!$F$5:$F$149,"Next week",'Session Tracker'!$G$5:$G$149,"Mon"),$D47*SUMIFS('Session Tracker'!$J$5:$J$149,'Session Tracker'!$D$5:$D$149,$A47,'Session Tracker'!$F$5:$F$149,"Next week",'Session Tracker'!$G$5:$G$149,"Mon"))</f>
        <v>0</v>
      </c>
      <c r="I47" s="52" t="n">
        <f aca="false">IF($E47="Per class",$D47*COUNTIFS('Session Tracker'!$D$5:$D$149,$A47,'Session Tracker'!$F$5:$F$149,"Next week",'Session Tracker'!$G$5:$G$149,"Tue"),$D47*SUMIFS('Session Tracker'!$J$5:$J$149,'Session Tracker'!$D$5:$D$149,$A47,'Session Tracker'!$F$5:$F$149,"Next week",'Session Tracker'!$G$5:$G$149,"Tue"))</f>
        <v>0</v>
      </c>
      <c r="J47" s="52" t="n">
        <f aca="false">IF($E47="Per class",$D47*COUNTIFS('Session Tracker'!$D$5:$D$149,$A47,'Session Tracker'!$F$5:$F$149,"Next week",'Session Tracker'!$G$5:$G$149,"Wed"),$D47*SUMIFS('Session Tracker'!$J$5:$J$149,'Session Tracker'!$D$5:$D$149,$A47,'Session Tracker'!$F$5:$F$149,"Next week",'Session Tracker'!$G$5:$G$149,"Wed"))</f>
        <v>0</v>
      </c>
      <c r="K47" s="52" t="n">
        <f aca="false">IF($E47="Per class",$D47*COUNTIFS('Session Tracker'!$D$5:$D$149,$A47,'Session Tracker'!$F$5:$F$149,"Next week",'Session Tracker'!$G$5:$G$149,"Thu"),$D47*SUMIFS('Session Tracker'!$J$5:$J$149,'Session Tracker'!$D$5:$D$149,$A47,'Session Tracker'!$F$5:$F$149,"Next week",'Session Tracker'!$G$5:$G$149,"Thu"))</f>
        <v>0</v>
      </c>
      <c r="L47" s="52" t="n">
        <f aca="false">IF($E47="Per class",$D47*COUNTIFS('Session Tracker'!$D$5:$D$149,$A47,'Session Tracker'!$F$5:$F$149,"Next week",'Session Tracker'!$G$5:$G$149,"Fri"),$D47*SUMIFS('Session Tracker'!$J$5:$J$149,'Session Tracker'!$D$5:$D$149,$A47,'Session Tracker'!$F$5:$F$149,"Next week",'Session Tracker'!$G$5:$G$149,"Fri"))</f>
        <v>0</v>
      </c>
      <c r="M47" s="52" t="n">
        <f aca="false">IF($E47="Per class",$D47*COUNTIFS('Session Tracker'!$D$5:$D$149,$A47,'Session Tracker'!$F$5:$F$149,"Next week",'Session Tracker'!$G$5:$G$149,""),$D47*SUMIFS('Session Tracker'!$J$5:$J$149,'Session Tracker'!$D$5:$D$149,$A47,'Session Tracker'!$F$5:$F$149,"Next week",'Session Tracker'!$G$5:$G$149,""))</f>
        <v>0</v>
      </c>
    </row>
    <row r="48" customFormat="false" ht="15" hidden="false" customHeight="false" outlineLevel="0" collapsed="false">
      <c r="A48" s="53" t="s">
        <v>82</v>
      </c>
      <c r="B48" s="54"/>
      <c r="C48" s="54"/>
      <c r="D48" s="54"/>
      <c r="E48" s="54"/>
      <c r="F48" s="54"/>
      <c r="G48" s="54"/>
      <c r="H48" s="52" t="n">
        <f aca="false">IF($E48="Per class",$D48*COUNTIFS('Session Tracker'!$D$5:$D$149,$A48,'Session Tracker'!$F$5:$F$149,"Next week",'Session Tracker'!$G$5:$G$149,"Mon"),$D48*SUMIFS('Session Tracker'!$J$5:$J$149,'Session Tracker'!$D$5:$D$149,$A48,'Session Tracker'!$F$5:$F$149,"Next week",'Session Tracker'!$G$5:$G$149,"Mon"))</f>
        <v>0</v>
      </c>
      <c r="I48" s="52" t="n">
        <f aca="false">IF($E48="Per class",$D48*COUNTIFS('Session Tracker'!$D$5:$D$149,$A48,'Session Tracker'!$F$5:$F$149,"Next week",'Session Tracker'!$G$5:$G$149,"Tue"),$D48*SUMIFS('Session Tracker'!$J$5:$J$149,'Session Tracker'!$D$5:$D$149,$A48,'Session Tracker'!$F$5:$F$149,"Next week",'Session Tracker'!$G$5:$G$149,"Tue"))</f>
        <v>0</v>
      </c>
      <c r="J48" s="52" t="n">
        <f aca="false">IF($E48="Per class",$D48*COUNTIFS('Session Tracker'!$D$5:$D$149,$A48,'Session Tracker'!$F$5:$F$149,"Next week",'Session Tracker'!$G$5:$G$149,"Wed"),$D48*SUMIFS('Session Tracker'!$J$5:$J$149,'Session Tracker'!$D$5:$D$149,$A48,'Session Tracker'!$F$5:$F$149,"Next week",'Session Tracker'!$G$5:$G$149,"Wed"))</f>
        <v>0</v>
      </c>
      <c r="K48" s="52" t="n">
        <f aca="false">IF($E48="Per class",$D48*COUNTIFS('Session Tracker'!$D$5:$D$149,$A48,'Session Tracker'!$F$5:$F$149,"Next week",'Session Tracker'!$G$5:$G$149,"Thu"),$D48*SUMIFS('Session Tracker'!$J$5:$J$149,'Session Tracker'!$D$5:$D$149,$A48,'Session Tracker'!$F$5:$F$149,"Next week",'Session Tracker'!$G$5:$G$149,"Thu"))</f>
        <v>0</v>
      </c>
      <c r="L48" s="52" t="n">
        <f aca="false">IF($E48="Per class",$D48*COUNTIFS('Session Tracker'!$D$5:$D$149,$A48,'Session Tracker'!$F$5:$F$149,"Next week",'Session Tracker'!$G$5:$G$149,"Fri"),$D48*SUMIFS('Session Tracker'!$J$5:$J$149,'Session Tracker'!$D$5:$D$149,$A48,'Session Tracker'!$F$5:$F$149,"Next week",'Session Tracker'!$G$5:$G$149,"Fri"))</f>
        <v>0</v>
      </c>
      <c r="M48" s="52" t="n">
        <f aca="false">IF($E48="Per class",$D48*COUNTIFS('Session Tracker'!$D$5:$D$149,$A48,'Session Tracker'!$F$5:$F$149,"Next week",'Session Tracker'!$G$5:$G$149,""),$D48*SUMIFS('Session Tracker'!$J$5:$J$149,'Session Tracker'!$D$5:$D$149,$A48,'Session Tracker'!$F$5:$F$149,"Next week",'Session Tracker'!$G$5:$G$149,""))</f>
        <v>0</v>
      </c>
    </row>
    <row r="49" customFormat="false" ht="15" hidden="false" customHeight="false" outlineLevel="0" collapsed="false">
      <c r="A49" s="53" t="s">
        <v>82</v>
      </c>
      <c r="B49" s="54"/>
      <c r="C49" s="54"/>
      <c r="D49" s="54"/>
      <c r="E49" s="54"/>
      <c r="F49" s="54"/>
      <c r="G49" s="54"/>
      <c r="H49" s="52" t="n">
        <f aca="false">IF($E49="Per class",$D49*COUNTIFS('Session Tracker'!$D$5:$D$149,$A49,'Session Tracker'!$F$5:$F$149,"Next week",'Session Tracker'!$G$5:$G$149,"Mon"),$D49*SUMIFS('Session Tracker'!$J$5:$J$149,'Session Tracker'!$D$5:$D$149,$A49,'Session Tracker'!$F$5:$F$149,"Next week",'Session Tracker'!$G$5:$G$149,"Mon"))</f>
        <v>0</v>
      </c>
      <c r="I49" s="52" t="n">
        <f aca="false">IF($E49="Per class",$D49*COUNTIFS('Session Tracker'!$D$5:$D$149,$A49,'Session Tracker'!$F$5:$F$149,"Next week",'Session Tracker'!$G$5:$G$149,"Tue"),$D49*SUMIFS('Session Tracker'!$J$5:$J$149,'Session Tracker'!$D$5:$D$149,$A49,'Session Tracker'!$F$5:$F$149,"Next week",'Session Tracker'!$G$5:$G$149,"Tue"))</f>
        <v>0</v>
      </c>
      <c r="J49" s="52" t="n">
        <f aca="false">IF($E49="Per class",$D49*COUNTIFS('Session Tracker'!$D$5:$D$149,$A49,'Session Tracker'!$F$5:$F$149,"Next week",'Session Tracker'!$G$5:$G$149,"Wed"),$D49*SUMIFS('Session Tracker'!$J$5:$J$149,'Session Tracker'!$D$5:$D$149,$A49,'Session Tracker'!$F$5:$F$149,"Next week",'Session Tracker'!$G$5:$G$149,"Wed"))</f>
        <v>0</v>
      </c>
      <c r="K49" s="52" t="n">
        <f aca="false">IF($E49="Per class",$D49*COUNTIFS('Session Tracker'!$D$5:$D$149,$A49,'Session Tracker'!$F$5:$F$149,"Next week",'Session Tracker'!$G$5:$G$149,"Thu"),$D49*SUMIFS('Session Tracker'!$J$5:$J$149,'Session Tracker'!$D$5:$D$149,$A49,'Session Tracker'!$F$5:$F$149,"Next week",'Session Tracker'!$G$5:$G$149,"Thu"))</f>
        <v>0</v>
      </c>
      <c r="L49" s="52" t="n">
        <f aca="false">IF($E49="Per class",$D49*COUNTIFS('Session Tracker'!$D$5:$D$149,$A49,'Session Tracker'!$F$5:$F$149,"Next week",'Session Tracker'!$G$5:$G$149,"Fri"),$D49*SUMIFS('Session Tracker'!$J$5:$J$149,'Session Tracker'!$D$5:$D$149,$A49,'Session Tracker'!$F$5:$F$149,"Next week",'Session Tracker'!$G$5:$G$149,"Fri"))</f>
        <v>0</v>
      </c>
      <c r="M49" s="52" t="n">
        <f aca="false">IF($E49="Per class",$D49*COUNTIFS('Session Tracker'!$D$5:$D$149,$A49,'Session Tracker'!$F$5:$F$149,"Next week",'Session Tracker'!$G$5:$G$149,""),$D49*SUMIFS('Session Tracker'!$J$5:$J$149,'Session Tracker'!$D$5:$D$149,$A49,'Session Tracker'!$F$5:$F$149,"Next week",'Session Tracker'!$G$5:$G$149,""))</f>
        <v>0</v>
      </c>
    </row>
    <row r="51" customFormat="false" ht="19.5" hidden="false" customHeight="true" outlineLevel="0" collapsed="false">
      <c r="A51" s="47" t="s">
        <v>84</v>
      </c>
      <c r="B51" s="48" t="s">
        <v>406</v>
      </c>
      <c r="C51" s="48"/>
      <c r="D51" s="48"/>
      <c r="E51" s="48"/>
      <c r="F51" s="49" t="str">
        <f aca="false">"Status: "&amp;'Session Tracker'!F9&amp;IF('Session Tracker'!G9&lt;&gt;""," ("&amp;'Session Tracker'!G9&amp;")","")</f>
        <v>Status: Not started</v>
      </c>
      <c r="G51" s="49"/>
      <c r="H51" s="50"/>
      <c r="I51" s="50"/>
      <c r="J51" s="50"/>
      <c r="K51" s="50"/>
      <c r="L51" s="50"/>
      <c r="M51" s="50"/>
    </row>
    <row r="52" customFormat="false" ht="15" hidden="false" customHeight="false" outlineLevel="0" collapsed="false">
      <c r="A52" s="51" t="s">
        <v>84</v>
      </c>
      <c r="B52" s="34" t="s">
        <v>379</v>
      </c>
      <c r="C52" s="34" t="s">
        <v>407</v>
      </c>
      <c r="D52" s="32" t="n">
        <v>1</v>
      </c>
      <c r="E52" s="32" t="s">
        <v>14</v>
      </c>
      <c r="F52" s="32" t="s">
        <v>373</v>
      </c>
      <c r="G52" s="34" t="s">
        <v>408</v>
      </c>
      <c r="H52" s="52" t="n">
        <f aca="false">IF($E52="Per class",$D52*COUNTIFS('Session Tracker'!$D$5:$D$149,$A52,'Session Tracker'!$F$5:$F$149,"Next week",'Session Tracker'!$G$5:$G$149,"Mon"),$D52*SUMIFS('Session Tracker'!$J$5:$J$149,'Session Tracker'!$D$5:$D$149,$A52,'Session Tracker'!$F$5:$F$149,"Next week",'Session Tracker'!$G$5:$G$149,"Mon"))</f>
        <v>0</v>
      </c>
      <c r="I52" s="52" t="n">
        <f aca="false">IF($E52="Per class",$D52*COUNTIFS('Session Tracker'!$D$5:$D$149,$A52,'Session Tracker'!$F$5:$F$149,"Next week",'Session Tracker'!$G$5:$G$149,"Tue"),$D52*SUMIFS('Session Tracker'!$J$5:$J$149,'Session Tracker'!$D$5:$D$149,$A52,'Session Tracker'!$F$5:$F$149,"Next week",'Session Tracker'!$G$5:$G$149,"Tue"))</f>
        <v>0</v>
      </c>
      <c r="J52" s="52" t="n">
        <f aca="false">IF($E52="Per class",$D52*COUNTIFS('Session Tracker'!$D$5:$D$149,$A52,'Session Tracker'!$F$5:$F$149,"Next week",'Session Tracker'!$G$5:$G$149,"Wed"),$D52*SUMIFS('Session Tracker'!$J$5:$J$149,'Session Tracker'!$D$5:$D$149,$A52,'Session Tracker'!$F$5:$F$149,"Next week",'Session Tracker'!$G$5:$G$149,"Wed"))</f>
        <v>0</v>
      </c>
      <c r="K52" s="52" t="n">
        <f aca="false">IF($E52="Per class",$D52*COUNTIFS('Session Tracker'!$D$5:$D$149,$A52,'Session Tracker'!$F$5:$F$149,"Next week",'Session Tracker'!$G$5:$G$149,"Thu"),$D52*SUMIFS('Session Tracker'!$J$5:$J$149,'Session Tracker'!$D$5:$D$149,$A52,'Session Tracker'!$F$5:$F$149,"Next week",'Session Tracker'!$G$5:$G$149,"Thu"))</f>
        <v>0</v>
      </c>
      <c r="L52" s="52" t="n">
        <f aca="false">IF($E52="Per class",$D52*COUNTIFS('Session Tracker'!$D$5:$D$149,$A52,'Session Tracker'!$F$5:$F$149,"Next week",'Session Tracker'!$G$5:$G$149,"Fri"),$D52*SUMIFS('Session Tracker'!$J$5:$J$149,'Session Tracker'!$D$5:$D$149,$A52,'Session Tracker'!$F$5:$F$149,"Next week",'Session Tracker'!$G$5:$G$149,"Fri"))</f>
        <v>0</v>
      </c>
      <c r="M52" s="52" t="n">
        <f aca="false">IF($E52="Per class",$D52*COUNTIFS('Session Tracker'!$D$5:$D$149,$A52,'Session Tracker'!$F$5:$F$149,"Next week",'Session Tracker'!$G$5:$G$149,""),$D52*SUMIFS('Session Tracker'!$J$5:$J$149,'Session Tracker'!$D$5:$D$149,$A52,'Session Tracker'!$F$5:$F$149,"Next week",'Session Tracker'!$G$5:$G$149,""))</f>
        <v>0</v>
      </c>
    </row>
    <row r="53" customFormat="false" ht="15" hidden="false" customHeight="false" outlineLevel="0" collapsed="false">
      <c r="A53" s="51" t="s">
        <v>84</v>
      </c>
      <c r="B53" s="34" t="s">
        <v>371</v>
      </c>
      <c r="C53" s="34" t="s">
        <v>372</v>
      </c>
      <c r="D53" s="32" t="n">
        <v>2</v>
      </c>
      <c r="E53" s="32" t="s">
        <v>14</v>
      </c>
      <c r="F53" s="32" t="s">
        <v>373</v>
      </c>
      <c r="G53" s="34"/>
      <c r="H53" s="52" t="n">
        <f aca="false">IF($E53="Per class",$D53*COUNTIFS('Session Tracker'!$D$5:$D$149,$A53,'Session Tracker'!$F$5:$F$149,"Next week",'Session Tracker'!$G$5:$G$149,"Mon"),$D53*SUMIFS('Session Tracker'!$J$5:$J$149,'Session Tracker'!$D$5:$D$149,$A53,'Session Tracker'!$F$5:$F$149,"Next week",'Session Tracker'!$G$5:$G$149,"Mon"))</f>
        <v>0</v>
      </c>
      <c r="I53" s="52" t="n">
        <f aca="false">IF($E53="Per class",$D53*COUNTIFS('Session Tracker'!$D$5:$D$149,$A53,'Session Tracker'!$F$5:$F$149,"Next week",'Session Tracker'!$G$5:$G$149,"Tue"),$D53*SUMIFS('Session Tracker'!$J$5:$J$149,'Session Tracker'!$D$5:$D$149,$A53,'Session Tracker'!$F$5:$F$149,"Next week",'Session Tracker'!$G$5:$G$149,"Tue"))</f>
        <v>0</v>
      </c>
      <c r="J53" s="52" t="n">
        <f aca="false">IF($E53="Per class",$D53*COUNTIFS('Session Tracker'!$D$5:$D$149,$A53,'Session Tracker'!$F$5:$F$149,"Next week",'Session Tracker'!$G$5:$G$149,"Wed"),$D53*SUMIFS('Session Tracker'!$J$5:$J$149,'Session Tracker'!$D$5:$D$149,$A53,'Session Tracker'!$F$5:$F$149,"Next week",'Session Tracker'!$G$5:$G$149,"Wed"))</f>
        <v>0</v>
      </c>
      <c r="K53" s="52" t="n">
        <f aca="false">IF($E53="Per class",$D53*COUNTIFS('Session Tracker'!$D$5:$D$149,$A53,'Session Tracker'!$F$5:$F$149,"Next week",'Session Tracker'!$G$5:$G$149,"Thu"),$D53*SUMIFS('Session Tracker'!$J$5:$J$149,'Session Tracker'!$D$5:$D$149,$A53,'Session Tracker'!$F$5:$F$149,"Next week",'Session Tracker'!$G$5:$G$149,"Thu"))</f>
        <v>0</v>
      </c>
      <c r="L53" s="52" t="n">
        <f aca="false">IF($E53="Per class",$D53*COUNTIFS('Session Tracker'!$D$5:$D$149,$A53,'Session Tracker'!$F$5:$F$149,"Next week",'Session Tracker'!$G$5:$G$149,"Fri"),$D53*SUMIFS('Session Tracker'!$J$5:$J$149,'Session Tracker'!$D$5:$D$149,$A53,'Session Tracker'!$F$5:$F$149,"Next week",'Session Tracker'!$G$5:$G$149,"Fri"))</f>
        <v>0</v>
      </c>
      <c r="M53" s="52" t="n">
        <f aca="false">IF($E53="Per class",$D53*COUNTIFS('Session Tracker'!$D$5:$D$149,$A53,'Session Tracker'!$F$5:$F$149,"Next week",'Session Tracker'!$G$5:$G$149,""),$D53*SUMIFS('Session Tracker'!$J$5:$J$149,'Session Tracker'!$D$5:$D$149,$A53,'Session Tracker'!$F$5:$F$149,"Next week",'Session Tracker'!$G$5:$G$149,""))</f>
        <v>0</v>
      </c>
    </row>
    <row r="54" customFormat="false" ht="15" hidden="false" customHeight="false" outlineLevel="0" collapsed="false">
      <c r="A54" s="51" t="s">
        <v>84</v>
      </c>
      <c r="B54" s="34" t="s">
        <v>409</v>
      </c>
      <c r="C54" s="34" t="s">
        <v>410</v>
      </c>
      <c r="D54" s="32" t="n">
        <v>1</v>
      </c>
      <c r="E54" s="32" t="s">
        <v>14</v>
      </c>
      <c r="F54" s="32" t="s">
        <v>373</v>
      </c>
      <c r="G54" s="34"/>
      <c r="H54" s="52" t="n">
        <f aca="false">IF($E54="Per class",$D54*COUNTIFS('Session Tracker'!$D$5:$D$149,$A54,'Session Tracker'!$F$5:$F$149,"Next week",'Session Tracker'!$G$5:$G$149,"Mon"),$D54*SUMIFS('Session Tracker'!$J$5:$J$149,'Session Tracker'!$D$5:$D$149,$A54,'Session Tracker'!$F$5:$F$149,"Next week",'Session Tracker'!$G$5:$G$149,"Mon"))</f>
        <v>0</v>
      </c>
      <c r="I54" s="52" t="n">
        <f aca="false">IF($E54="Per class",$D54*COUNTIFS('Session Tracker'!$D$5:$D$149,$A54,'Session Tracker'!$F$5:$F$149,"Next week",'Session Tracker'!$G$5:$G$149,"Tue"),$D54*SUMIFS('Session Tracker'!$J$5:$J$149,'Session Tracker'!$D$5:$D$149,$A54,'Session Tracker'!$F$5:$F$149,"Next week",'Session Tracker'!$G$5:$G$149,"Tue"))</f>
        <v>0</v>
      </c>
      <c r="J54" s="52" t="n">
        <f aca="false">IF($E54="Per class",$D54*COUNTIFS('Session Tracker'!$D$5:$D$149,$A54,'Session Tracker'!$F$5:$F$149,"Next week",'Session Tracker'!$G$5:$G$149,"Wed"),$D54*SUMIFS('Session Tracker'!$J$5:$J$149,'Session Tracker'!$D$5:$D$149,$A54,'Session Tracker'!$F$5:$F$149,"Next week",'Session Tracker'!$G$5:$G$149,"Wed"))</f>
        <v>0</v>
      </c>
      <c r="K54" s="52" t="n">
        <f aca="false">IF($E54="Per class",$D54*COUNTIFS('Session Tracker'!$D$5:$D$149,$A54,'Session Tracker'!$F$5:$F$149,"Next week",'Session Tracker'!$G$5:$G$149,"Thu"),$D54*SUMIFS('Session Tracker'!$J$5:$J$149,'Session Tracker'!$D$5:$D$149,$A54,'Session Tracker'!$F$5:$F$149,"Next week",'Session Tracker'!$G$5:$G$149,"Thu"))</f>
        <v>0</v>
      </c>
      <c r="L54" s="52" t="n">
        <f aca="false">IF($E54="Per class",$D54*COUNTIFS('Session Tracker'!$D$5:$D$149,$A54,'Session Tracker'!$F$5:$F$149,"Next week",'Session Tracker'!$G$5:$G$149,"Fri"),$D54*SUMIFS('Session Tracker'!$J$5:$J$149,'Session Tracker'!$D$5:$D$149,$A54,'Session Tracker'!$F$5:$F$149,"Next week",'Session Tracker'!$G$5:$G$149,"Fri"))</f>
        <v>0</v>
      </c>
      <c r="M54" s="52" t="n">
        <f aca="false">IF($E54="Per class",$D54*COUNTIFS('Session Tracker'!$D$5:$D$149,$A54,'Session Tracker'!$F$5:$F$149,"Next week",'Session Tracker'!$G$5:$G$149,""),$D54*SUMIFS('Session Tracker'!$J$5:$J$149,'Session Tracker'!$D$5:$D$149,$A54,'Session Tracker'!$F$5:$F$149,"Next week",'Session Tracker'!$G$5:$G$149,""))</f>
        <v>0</v>
      </c>
    </row>
    <row r="55" customFormat="false" ht="15" hidden="false" customHeight="false" outlineLevel="0" collapsed="false">
      <c r="A55" s="51" t="s">
        <v>84</v>
      </c>
      <c r="B55" s="34" t="s">
        <v>411</v>
      </c>
      <c r="C55" s="34" t="s">
        <v>412</v>
      </c>
      <c r="D55" s="32" t="n">
        <v>2</v>
      </c>
      <c r="E55" s="32" t="s">
        <v>14</v>
      </c>
      <c r="F55" s="32" t="s">
        <v>373</v>
      </c>
      <c r="G55" s="34"/>
      <c r="H55" s="52" t="n">
        <f aca="false">IF($E55="Per class",$D55*COUNTIFS('Session Tracker'!$D$5:$D$149,$A55,'Session Tracker'!$F$5:$F$149,"Next week",'Session Tracker'!$G$5:$G$149,"Mon"),$D55*SUMIFS('Session Tracker'!$J$5:$J$149,'Session Tracker'!$D$5:$D$149,$A55,'Session Tracker'!$F$5:$F$149,"Next week",'Session Tracker'!$G$5:$G$149,"Mon"))</f>
        <v>0</v>
      </c>
      <c r="I55" s="52" t="n">
        <f aca="false">IF($E55="Per class",$D55*COUNTIFS('Session Tracker'!$D$5:$D$149,$A55,'Session Tracker'!$F$5:$F$149,"Next week",'Session Tracker'!$G$5:$G$149,"Tue"),$D55*SUMIFS('Session Tracker'!$J$5:$J$149,'Session Tracker'!$D$5:$D$149,$A55,'Session Tracker'!$F$5:$F$149,"Next week",'Session Tracker'!$G$5:$G$149,"Tue"))</f>
        <v>0</v>
      </c>
      <c r="J55" s="52" t="n">
        <f aca="false">IF($E55="Per class",$D55*COUNTIFS('Session Tracker'!$D$5:$D$149,$A55,'Session Tracker'!$F$5:$F$149,"Next week",'Session Tracker'!$G$5:$G$149,"Wed"),$D55*SUMIFS('Session Tracker'!$J$5:$J$149,'Session Tracker'!$D$5:$D$149,$A55,'Session Tracker'!$F$5:$F$149,"Next week",'Session Tracker'!$G$5:$G$149,"Wed"))</f>
        <v>0</v>
      </c>
      <c r="K55" s="52" t="n">
        <f aca="false">IF($E55="Per class",$D55*COUNTIFS('Session Tracker'!$D$5:$D$149,$A55,'Session Tracker'!$F$5:$F$149,"Next week",'Session Tracker'!$G$5:$G$149,"Thu"),$D55*SUMIFS('Session Tracker'!$J$5:$J$149,'Session Tracker'!$D$5:$D$149,$A55,'Session Tracker'!$F$5:$F$149,"Next week",'Session Tracker'!$G$5:$G$149,"Thu"))</f>
        <v>0</v>
      </c>
      <c r="L55" s="52" t="n">
        <f aca="false">IF($E55="Per class",$D55*COUNTIFS('Session Tracker'!$D$5:$D$149,$A55,'Session Tracker'!$F$5:$F$149,"Next week",'Session Tracker'!$G$5:$G$149,"Fri"),$D55*SUMIFS('Session Tracker'!$J$5:$J$149,'Session Tracker'!$D$5:$D$149,$A55,'Session Tracker'!$F$5:$F$149,"Next week",'Session Tracker'!$G$5:$G$149,"Fri"))</f>
        <v>0</v>
      </c>
      <c r="M55" s="52" t="n">
        <f aca="false">IF($E55="Per class",$D55*COUNTIFS('Session Tracker'!$D$5:$D$149,$A55,'Session Tracker'!$F$5:$F$149,"Next week",'Session Tracker'!$G$5:$G$149,""),$D55*SUMIFS('Session Tracker'!$J$5:$J$149,'Session Tracker'!$D$5:$D$149,$A55,'Session Tracker'!$F$5:$F$149,"Next week",'Session Tracker'!$G$5:$G$149,""))</f>
        <v>0</v>
      </c>
    </row>
    <row r="56" customFormat="false" ht="15" hidden="false" customHeight="false" outlineLevel="0" collapsed="false">
      <c r="A56" s="51" t="s">
        <v>84</v>
      </c>
      <c r="B56" s="34" t="s">
        <v>411</v>
      </c>
      <c r="C56" s="34" t="s">
        <v>413</v>
      </c>
      <c r="D56" s="32" t="n">
        <v>1</v>
      </c>
      <c r="E56" s="32" t="s">
        <v>14</v>
      </c>
      <c r="F56" s="32" t="s">
        <v>373</v>
      </c>
      <c r="G56" s="34"/>
      <c r="H56" s="52" t="n">
        <f aca="false">IF($E56="Per class",$D56*COUNTIFS('Session Tracker'!$D$5:$D$149,$A56,'Session Tracker'!$F$5:$F$149,"Next week",'Session Tracker'!$G$5:$G$149,"Mon"),$D56*SUMIFS('Session Tracker'!$J$5:$J$149,'Session Tracker'!$D$5:$D$149,$A56,'Session Tracker'!$F$5:$F$149,"Next week",'Session Tracker'!$G$5:$G$149,"Mon"))</f>
        <v>0</v>
      </c>
      <c r="I56" s="52" t="n">
        <f aca="false">IF($E56="Per class",$D56*COUNTIFS('Session Tracker'!$D$5:$D$149,$A56,'Session Tracker'!$F$5:$F$149,"Next week",'Session Tracker'!$G$5:$G$149,"Tue"),$D56*SUMIFS('Session Tracker'!$J$5:$J$149,'Session Tracker'!$D$5:$D$149,$A56,'Session Tracker'!$F$5:$F$149,"Next week",'Session Tracker'!$G$5:$G$149,"Tue"))</f>
        <v>0</v>
      </c>
      <c r="J56" s="52" t="n">
        <f aca="false">IF($E56="Per class",$D56*COUNTIFS('Session Tracker'!$D$5:$D$149,$A56,'Session Tracker'!$F$5:$F$149,"Next week",'Session Tracker'!$G$5:$G$149,"Wed"),$D56*SUMIFS('Session Tracker'!$J$5:$J$149,'Session Tracker'!$D$5:$D$149,$A56,'Session Tracker'!$F$5:$F$149,"Next week",'Session Tracker'!$G$5:$G$149,"Wed"))</f>
        <v>0</v>
      </c>
      <c r="K56" s="52" t="n">
        <f aca="false">IF($E56="Per class",$D56*COUNTIFS('Session Tracker'!$D$5:$D$149,$A56,'Session Tracker'!$F$5:$F$149,"Next week",'Session Tracker'!$G$5:$G$149,"Thu"),$D56*SUMIFS('Session Tracker'!$J$5:$J$149,'Session Tracker'!$D$5:$D$149,$A56,'Session Tracker'!$F$5:$F$149,"Next week",'Session Tracker'!$G$5:$G$149,"Thu"))</f>
        <v>0</v>
      </c>
      <c r="L56" s="52" t="n">
        <f aca="false">IF($E56="Per class",$D56*COUNTIFS('Session Tracker'!$D$5:$D$149,$A56,'Session Tracker'!$F$5:$F$149,"Next week",'Session Tracker'!$G$5:$G$149,"Fri"),$D56*SUMIFS('Session Tracker'!$J$5:$J$149,'Session Tracker'!$D$5:$D$149,$A56,'Session Tracker'!$F$5:$F$149,"Next week",'Session Tracker'!$G$5:$G$149,"Fri"))</f>
        <v>0</v>
      </c>
      <c r="M56" s="52" t="n">
        <f aca="false">IF($E56="Per class",$D56*COUNTIFS('Session Tracker'!$D$5:$D$149,$A56,'Session Tracker'!$F$5:$F$149,"Next week",'Session Tracker'!$G$5:$G$149,""),$D56*SUMIFS('Session Tracker'!$J$5:$J$149,'Session Tracker'!$D$5:$D$149,$A56,'Session Tracker'!$F$5:$F$149,"Next week",'Session Tracker'!$G$5:$G$149,""))</f>
        <v>0</v>
      </c>
    </row>
    <row r="57" customFormat="false" ht="15" hidden="false" customHeight="false" outlineLevel="0" collapsed="false">
      <c r="A57" s="51" t="s">
        <v>84</v>
      </c>
      <c r="B57" s="34" t="s">
        <v>411</v>
      </c>
      <c r="C57" s="34" t="s">
        <v>414</v>
      </c>
      <c r="D57" s="32" t="n">
        <v>1</v>
      </c>
      <c r="E57" s="32" t="s">
        <v>16</v>
      </c>
      <c r="F57" s="32" t="s">
        <v>373</v>
      </c>
      <c r="G57" s="34"/>
      <c r="H57" s="52" t="n">
        <f aca="false">IF($E57="Per class",$D57*COUNTIFS('Session Tracker'!$D$5:$D$149,$A57,'Session Tracker'!$F$5:$F$149,"Next week",'Session Tracker'!$G$5:$G$149,"Mon"),$D57*SUMIFS('Session Tracker'!$J$5:$J$149,'Session Tracker'!$D$5:$D$149,$A57,'Session Tracker'!$F$5:$F$149,"Next week",'Session Tracker'!$G$5:$G$149,"Mon"))</f>
        <v>0</v>
      </c>
      <c r="I57" s="52" t="n">
        <f aca="false">IF($E57="Per class",$D57*COUNTIFS('Session Tracker'!$D$5:$D$149,$A57,'Session Tracker'!$F$5:$F$149,"Next week",'Session Tracker'!$G$5:$G$149,"Tue"),$D57*SUMIFS('Session Tracker'!$J$5:$J$149,'Session Tracker'!$D$5:$D$149,$A57,'Session Tracker'!$F$5:$F$149,"Next week",'Session Tracker'!$G$5:$G$149,"Tue"))</f>
        <v>0</v>
      </c>
      <c r="J57" s="52" t="n">
        <f aca="false">IF($E57="Per class",$D57*COUNTIFS('Session Tracker'!$D$5:$D$149,$A57,'Session Tracker'!$F$5:$F$149,"Next week",'Session Tracker'!$G$5:$G$149,"Wed"),$D57*SUMIFS('Session Tracker'!$J$5:$J$149,'Session Tracker'!$D$5:$D$149,$A57,'Session Tracker'!$F$5:$F$149,"Next week",'Session Tracker'!$G$5:$G$149,"Wed"))</f>
        <v>0</v>
      </c>
      <c r="K57" s="52" t="n">
        <f aca="false">IF($E57="Per class",$D57*COUNTIFS('Session Tracker'!$D$5:$D$149,$A57,'Session Tracker'!$F$5:$F$149,"Next week",'Session Tracker'!$G$5:$G$149,"Thu"),$D57*SUMIFS('Session Tracker'!$J$5:$J$149,'Session Tracker'!$D$5:$D$149,$A57,'Session Tracker'!$F$5:$F$149,"Next week",'Session Tracker'!$G$5:$G$149,"Thu"))</f>
        <v>0</v>
      </c>
      <c r="L57" s="52" t="n">
        <f aca="false">IF($E57="Per class",$D57*COUNTIFS('Session Tracker'!$D$5:$D$149,$A57,'Session Tracker'!$F$5:$F$149,"Next week",'Session Tracker'!$G$5:$G$149,"Fri"),$D57*SUMIFS('Session Tracker'!$J$5:$J$149,'Session Tracker'!$D$5:$D$149,$A57,'Session Tracker'!$F$5:$F$149,"Next week",'Session Tracker'!$G$5:$G$149,"Fri"))</f>
        <v>0</v>
      </c>
      <c r="M57" s="52" t="n">
        <f aca="false">IF($E57="Per class",$D57*COUNTIFS('Session Tracker'!$D$5:$D$149,$A57,'Session Tracker'!$F$5:$F$149,"Next week",'Session Tracker'!$G$5:$G$149,""),$D57*SUMIFS('Session Tracker'!$J$5:$J$149,'Session Tracker'!$D$5:$D$149,$A57,'Session Tracker'!$F$5:$F$149,"Next week",'Session Tracker'!$G$5:$G$149,""))</f>
        <v>0</v>
      </c>
    </row>
    <row r="58" customFormat="false" ht="15" hidden="false" customHeight="false" outlineLevel="0" collapsed="false">
      <c r="A58" s="53" t="s">
        <v>84</v>
      </c>
      <c r="B58" s="54"/>
      <c r="C58" s="54"/>
      <c r="D58" s="54"/>
      <c r="E58" s="54"/>
      <c r="F58" s="54"/>
      <c r="G58" s="54"/>
      <c r="H58" s="52" t="n">
        <f aca="false">IF($E58="Per class",$D58*COUNTIFS('Session Tracker'!$D$5:$D$149,$A58,'Session Tracker'!$F$5:$F$149,"Next week",'Session Tracker'!$G$5:$G$149,"Mon"),$D58*SUMIFS('Session Tracker'!$J$5:$J$149,'Session Tracker'!$D$5:$D$149,$A58,'Session Tracker'!$F$5:$F$149,"Next week",'Session Tracker'!$G$5:$G$149,"Mon"))</f>
        <v>0</v>
      </c>
      <c r="I58" s="52" t="n">
        <f aca="false">IF($E58="Per class",$D58*COUNTIFS('Session Tracker'!$D$5:$D$149,$A58,'Session Tracker'!$F$5:$F$149,"Next week",'Session Tracker'!$G$5:$G$149,"Tue"),$D58*SUMIFS('Session Tracker'!$J$5:$J$149,'Session Tracker'!$D$5:$D$149,$A58,'Session Tracker'!$F$5:$F$149,"Next week",'Session Tracker'!$G$5:$G$149,"Tue"))</f>
        <v>0</v>
      </c>
      <c r="J58" s="52" t="n">
        <f aca="false">IF($E58="Per class",$D58*COUNTIFS('Session Tracker'!$D$5:$D$149,$A58,'Session Tracker'!$F$5:$F$149,"Next week",'Session Tracker'!$G$5:$G$149,"Wed"),$D58*SUMIFS('Session Tracker'!$J$5:$J$149,'Session Tracker'!$D$5:$D$149,$A58,'Session Tracker'!$F$5:$F$149,"Next week",'Session Tracker'!$G$5:$G$149,"Wed"))</f>
        <v>0</v>
      </c>
      <c r="K58" s="52" t="n">
        <f aca="false">IF($E58="Per class",$D58*COUNTIFS('Session Tracker'!$D$5:$D$149,$A58,'Session Tracker'!$F$5:$F$149,"Next week",'Session Tracker'!$G$5:$G$149,"Thu"),$D58*SUMIFS('Session Tracker'!$J$5:$J$149,'Session Tracker'!$D$5:$D$149,$A58,'Session Tracker'!$F$5:$F$149,"Next week",'Session Tracker'!$G$5:$G$149,"Thu"))</f>
        <v>0</v>
      </c>
      <c r="L58" s="52" t="n">
        <f aca="false">IF($E58="Per class",$D58*COUNTIFS('Session Tracker'!$D$5:$D$149,$A58,'Session Tracker'!$F$5:$F$149,"Next week",'Session Tracker'!$G$5:$G$149,"Fri"),$D58*SUMIFS('Session Tracker'!$J$5:$J$149,'Session Tracker'!$D$5:$D$149,$A58,'Session Tracker'!$F$5:$F$149,"Next week",'Session Tracker'!$G$5:$G$149,"Fri"))</f>
        <v>0</v>
      </c>
      <c r="M58" s="52" t="n">
        <f aca="false">IF($E58="Per class",$D58*COUNTIFS('Session Tracker'!$D$5:$D$149,$A58,'Session Tracker'!$F$5:$F$149,"Next week",'Session Tracker'!$G$5:$G$149,""),$D58*SUMIFS('Session Tracker'!$J$5:$J$149,'Session Tracker'!$D$5:$D$149,$A58,'Session Tracker'!$F$5:$F$149,"Next week",'Session Tracker'!$G$5:$G$149,""))</f>
        <v>0</v>
      </c>
    </row>
    <row r="59" customFormat="false" ht="15" hidden="false" customHeight="false" outlineLevel="0" collapsed="false">
      <c r="A59" s="53" t="s">
        <v>84</v>
      </c>
      <c r="B59" s="54"/>
      <c r="C59" s="54"/>
      <c r="D59" s="54"/>
      <c r="E59" s="54"/>
      <c r="F59" s="54"/>
      <c r="G59" s="54"/>
      <c r="H59" s="52" t="n">
        <f aca="false">IF($E59="Per class",$D59*COUNTIFS('Session Tracker'!$D$5:$D$149,$A59,'Session Tracker'!$F$5:$F$149,"Next week",'Session Tracker'!$G$5:$G$149,"Mon"),$D59*SUMIFS('Session Tracker'!$J$5:$J$149,'Session Tracker'!$D$5:$D$149,$A59,'Session Tracker'!$F$5:$F$149,"Next week",'Session Tracker'!$G$5:$G$149,"Mon"))</f>
        <v>0</v>
      </c>
      <c r="I59" s="52" t="n">
        <f aca="false">IF($E59="Per class",$D59*COUNTIFS('Session Tracker'!$D$5:$D$149,$A59,'Session Tracker'!$F$5:$F$149,"Next week",'Session Tracker'!$G$5:$G$149,"Tue"),$D59*SUMIFS('Session Tracker'!$J$5:$J$149,'Session Tracker'!$D$5:$D$149,$A59,'Session Tracker'!$F$5:$F$149,"Next week",'Session Tracker'!$G$5:$G$149,"Tue"))</f>
        <v>0</v>
      </c>
      <c r="J59" s="52" t="n">
        <f aca="false">IF($E59="Per class",$D59*COUNTIFS('Session Tracker'!$D$5:$D$149,$A59,'Session Tracker'!$F$5:$F$149,"Next week",'Session Tracker'!$G$5:$G$149,"Wed"),$D59*SUMIFS('Session Tracker'!$J$5:$J$149,'Session Tracker'!$D$5:$D$149,$A59,'Session Tracker'!$F$5:$F$149,"Next week",'Session Tracker'!$G$5:$G$149,"Wed"))</f>
        <v>0</v>
      </c>
      <c r="K59" s="52" t="n">
        <f aca="false">IF($E59="Per class",$D59*COUNTIFS('Session Tracker'!$D$5:$D$149,$A59,'Session Tracker'!$F$5:$F$149,"Next week",'Session Tracker'!$G$5:$G$149,"Thu"),$D59*SUMIFS('Session Tracker'!$J$5:$J$149,'Session Tracker'!$D$5:$D$149,$A59,'Session Tracker'!$F$5:$F$149,"Next week",'Session Tracker'!$G$5:$G$149,"Thu"))</f>
        <v>0</v>
      </c>
      <c r="L59" s="52" t="n">
        <f aca="false">IF($E59="Per class",$D59*COUNTIFS('Session Tracker'!$D$5:$D$149,$A59,'Session Tracker'!$F$5:$F$149,"Next week",'Session Tracker'!$G$5:$G$149,"Fri"),$D59*SUMIFS('Session Tracker'!$J$5:$J$149,'Session Tracker'!$D$5:$D$149,$A59,'Session Tracker'!$F$5:$F$149,"Next week",'Session Tracker'!$G$5:$G$149,"Fri"))</f>
        <v>0</v>
      </c>
      <c r="M59" s="52" t="n">
        <f aca="false">IF($E59="Per class",$D59*COUNTIFS('Session Tracker'!$D$5:$D$149,$A59,'Session Tracker'!$F$5:$F$149,"Next week",'Session Tracker'!$G$5:$G$149,""),$D59*SUMIFS('Session Tracker'!$J$5:$J$149,'Session Tracker'!$D$5:$D$149,$A59,'Session Tracker'!$F$5:$F$149,"Next week",'Session Tracker'!$G$5:$G$149,""))</f>
        <v>0</v>
      </c>
    </row>
    <row r="61" customFormat="false" ht="19.5" hidden="false" customHeight="true" outlineLevel="0" collapsed="false">
      <c r="A61" s="47" t="s">
        <v>86</v>
      </c>
      <c r="B61" s="48" t="s">
        <v>415</v>
      </c>
      <c r="C61" s="48"/>
      <c r="D61" s="48"/>
      <c r="E61" s="48"/>
      <c r="F61" s="49" t="str">
        <f aca="false">"Status: "&amp;'Session Tracker'!F10&amp;IF('Session Tracker'!G10&lt;&gt;""," ("&amp;'Session Tracker'!G10&amp;")","")</f>
        <v>Status: Not started</v>
      </c>
      <c r="G61" s="49"/>
      <c r="H61" s="50"/>
      <c r="I61" s="50"/>
      <c r="J61" s="50"/>
      <c r="K61" s="50"/>
      <c r="L61" s="50"/>
      <c r="M61" s="50"/>
    </row>
    <row r="62" customFormat="false" ht="23.85" hidden="false" customHeight="false" outlineLevel="0" collapsed="false">
      <c r="A62" s="51" t="s">
        <v>86</v>
      </c>
      <c r="B62" s="34" t="s">
        <v>366</v>
      </c>
      <c r="C62" s="34" t="s">
        <v>367</v>
      </c>
      <c r="D62" s="32" t="n">
        <v>1</v>
      </c>
      <c r="E62" s="32" t="s">
        <v>14</v>
      </c>
      <c r="F62" s="32" t="s">
        <v>368</v>
      </c>
      <c r="G62" s="34" t="s">
        <v>416</v>
      </c>
      <c r="H62" s="52" t="n">
        <f aca="false">IF($E62="Per class",$D62*COUNTIFS('Session Tracker'!$D$5:$D$149,$A62,'Session Tracker'!$F$5:$F$149,"Next week",'Session Tracker'!$G$5:$G$149,"Mon"),$D62*SUMIFS('Session Tracker'!$J$5:$J$149,'Session Tracker'!$D$5:$D$149,$A62,'Session Tracker'!$F$5:$F$149,"Next week",'Session Tracker'!$G$5:$G$149,"Mon"))</f>
        <v>0</v>
      </c>
      <c r="I62" s="52" t="n">
        <f aca="false">IF($E62="Per class",$D62*COUNTIFS('Session Tracker'!$D$5:$D$149,$A62,'Session Tracker'!$F$5:$F$149,"Next week",'Session Tracker'!$G$5:$G$149,"Tue"),$D62*SUMIFS('Session Tracker'!$J$5:$J$149,'Session Tracker'!$D$5:$D$149,$A62,'Session Tracker'!$F$5:$F$149,"Next week",'Session Tracker'!$G$5:$G$149,"Tue"))</f>
        <v>0</v>
      </c>
      <c r="J62" s="52" t="n">
        <f aca="false">IF($E62="Per class",$D62*COUNTIFS('Session Tracker'!$D$5:$D$149,$A62,'Session Tracker'!$F$5:$F$149,"Next week",'Session Tracker'!$G$5:$G$149,"Wed"),$D62*SUMIFS('Session Tracker'!$J$5:$J$149,'Session Tracker'!$D$5:$D$149,$A62,'Session Tracker'!$F$5:$F$149,"Next week",'Session Tracker'!$G$5:$G$149,"Wed"))</f>
        <v>0</v>
      </c>
      <c r="K62" s="52" t="n">
        <f aca="false">IF($E62="Per class",$D62*COUNTIFS('Session Tracker'!$D$5:$D$149,$A62,'Session Tracker'!$F$5:$F$149,"Next week",'Session Tracker'!$G$5:$G$149,"Thu"),$D62*SUMIFS('Session Tracker'!$J$5:$J$149,'Session Tracker'!$D$5:$D$149,$A62,'Session Tracker'!$F$5:$F$149,"Next week",'Session Tracker'!$G$5:$G$149,"Thu"))</f>
        <v>0</v>
      </c>
      <c r="L62" s="52" t="n">
        <f aca="false">IF($E62="Per class",$D62*COUNTIFS('Session Tracker'!$D$5:$D$149,$A62,'Session Tracker'!$F$5:$F$149,"Next week",'Session Tracker'!$G$5:$G$149,"Fri"),$D62*SUMIFS('Session Tracker'!$J$5:$J$149,'Session Tracker'!$D$5:$D$149,$A62,'Session Tracker'!$F$5:$F$149,"Next week",'Session Tracker'!$G$5:$G$149,"Fri"))</f>
        <v>0</v>
      </c>
      <c r="M62" s="52" t="n">
        <f aca="false">IF($E62="Per class",$D62*COUNTIFS('Session Tracker'!$D$5:$D$149,$A62,'Session Tracker'!$F$5:$F$149,"Next week",'Session Tracker'!$G$5:$G$149,""),$D62*SUMIFS('Session Tracker'!$J$5:$J$149,'Session Tracker'!$D$5:$D$149,$A62,'Session Tracker'!$F$5:$F$149,"Next week",'Session Tracker'!$G$5:$G$149,""))</f>
        <v>0</v>
      </c>
    </row>
    <row r="63" customFormat="false" ht="15" hidden="false" customHeight="false" outlineLevel="0" collapsed="false">
      <c r="A63" s="51" t="s">
        <v>86</v>
      </c>
      <c r="B63" s="34" t="s">
        <v>375</v>
      </c>
      <c r="C63" s="34" t="s">
        <v>385</v>
      </c>
      <c r="D63" s="32" t="n">
        <v>1</v>
      </c>
      <c r="E63" s="32" t="s">
        <v>14</v>
      </c>
      <c r="F63" s="32" t="s">
        <v>368</v>
      </c>
      <c r="G63" s="34"/>
      <c r="H63" s="52" t="n">
        <f aca="false">IF($E63="Per class",$D63*COUNTIFS('Session Tracker'!$D$5:$D$149,$A63,'Session Tracker'!$F$5:$F$149,"Next week",'Session Tracker'!$G$5:$G$149,"Mon"),$D63*SUMIFS('Session Tracker'!$J$5:$J$149,'Session Tracker'!$D$5:$D$149,$A63,'Session Tracker'!$F$5:$F$149,"Next week",'Session Tracker'!$G$5:$G$149,"Mon"))</f>
        <v>0</v>
      </c>
      <c r="I63" s="52" t="n">
        <f aca="false">IF($E63="Per class",$D63*COUNTIFS('Session Tracker'!$D$5:$D$149,$A63,'Session Tracker'!$F$5:$F$149,"Next week",'Session Tracker'!$G$5:$G$149,"Tue"),$D63*SUMIFS('Session Tracker'!$J$5:$J$149,'Session Tracker'!$D$5:$D$149,$A63,'Session Tracker'!$F$5:$F$149,"Next week",'Session Tracker'!$G$5:$G$149,"Tue"))</f>
        <v>0</v>
      </c>
      <c r="J63" s="52" t="n">
        <f aca="false">IF($E63="Per class",$D63*COUNTIFS('Session Tracker'!$D$5:$D$149,$A63,'Session Tracker'!$F$5:$F$149,"Next week",'Session Tracker'!$G$5:$G$149,"Wed"),$D63*SUMIFS('Session Tracker'!$J$5:$J$149,'Session Tracker'!$D$5:$D$149,$A63,'Session Tracker'!$F$5:$F$149,"Next week",'Session Tracker'!$G$5:$G$149,"Wed"))</f>
        <v>0</v>
      </c>
      <c r="K63" s="52" t="n">
        <f aca="false">IF($E63="Per class",$D63*COUNTIFS('Session Tracker'!$D$5:$D$149,$A63,'Session Tracker'!$F$5:$F$149,"Next week",'Session Tracker'!$G$5:$G$149,"Thu"),$D63*SUMIFS('Session Tracker'!$J$5:$J$149,'Session Tracker'!$D$5:$D$149,$A63,'Session Tracker'!$F$5:$F$149,"Next week",'Session Tracker'!$G$5:$G$149,"Thu"))</f>
        <v>0</v>
      </c>
      <c r="L63" s="52" t="n">
        <f aca="false">IF($E63="Per class",$D63*COUNTIFS('Session Tracker'!$D$5:$D$149,$A63,'Session Tracker'!$F$5:$F$149,"Next week",'Session Tracker'!$G$5:$G$149,"Fri"),$D63*SUMIFS('Session Tracker'!$J$5:$J$149,'Session Tracker'!$D$5:$D$149,$A63,'Session Tracker'!$F$5:$F$149,"Next week",'Session Tracker'!$G$5:$G$149,"Fri"))</f>
        <v>0</v>
      </c>
      <c r="M63" s="52" t="n">
        <f aca="false">IF($E63="Per class",$D63*COUNTIFS('Session Tracker'!$D$5:$D$149,$A63,'Session Tracker'!$F$5:$F$149,"Next week",'Session Tracker'!$G$5:$G$149,""),$D63*SUMIFS('Session Tracker'!$J$5:$J$149,'Session Tracker'!$D$5:$D$149,$A63,'Session Tracker'!$F$5:$F$149,"Next week",'Session Tracker'!$G$5:$G$149,""))</f>
        <v>0</v>
      </c>
    </row>
    <row r="64" customFormat="false" ht="15" hidden="false" customHeight="false" outlineLevel="0" collapsed="false">
      <c r="A64" s="51" t="s">
        <v>86</v>
      </c>
      <c r="B64" s="34" t="s">
        <v>377</v>
      </c>
      <c r="C64" s="34" t="s">
        <v>378</v>
      </c>
      <c r="D64" s="32" t="n">
        <v>1</v>
      </c>
      <c r="E64" s="32" t="s">
        <v>14</v>
      </c>
      <c r="F64" s="32" t="s">
        <v>368</v>
      </c>
      <c r="G64" s="34"/>
      <c r="H64" s="52" t="n">
        <f aca="false">IF($E64="Per class",$D64*COUNTIFS('Session Tracker'!$D$5:$D$149,$A64,'Session Tracker'!$F$5:$F$149,"Next week",'Session Tracker'!$G$5:$G$149,"Mon"),$D64*SUMIFS('Session Tracker'!$J$5:$J$149,'Session Tracker'!$D$5:$D$149,$A64,'Session Tracker'!$F$5:$F$149,"Next week",'Session Tracker'!$G$5:$G$149,"Mon"))</f>
        <v>0</v>
      </c>
      <c r="I64" s="52" t="n">
        <f aca="false">IF($E64="Per class",$D64*COUNTIFS('Session Tracker'!$D$5:$D$149,$A64,'Session Tracker'!$F$5:$F$149,"Next week",'Session Tracker'!$G$5:$G$149,"Tue"),$D64*SUMIFS('Session Tracker'!$J$5:$J$149,'Session Tracker'!$D$5:$D$149,$A64,'Session Tracker'!$F$5:$F$149,"Next week",'Session Tracker'!$G$5:$G$149,"Tue"))</f>
        <v>0</v>
      </c>
      <c r="J64" s="52" t="n">
        <f aca="false">IF($E64="Per class",$D64*COUNTIFS('Session Tracker'!$D$5:$D$149,$A64,'Session Tracker'!$F$5:$F$149,"Next week",'Session Tracker'!$G$5:$G$149,"Wed"),$D64*SUMIFS('Session Tracker'!$J$5:$J$149,'Session Tracker'!$D$5:$D$149,$A64,'Session Tracker'!$F$5:$F$149,"Next week",'Session Tracker'!$G$5:$G$149,"Wed"))</f>
        <v>0</v>
      </c>
      <c r="K64" s="52" t="n">
        <f aca="false">IF($E64="Per class",$D64*COUNTIFS('Session Tracker'!$D$5:$D$149,$A64,'Session Tracker'!$F$5:$F$149,"Next week",'Session Tracker'!$G$5:$G$149,"Thu"),$D64*SUMIFS('Session Tracker'!$J$5:$J$149,'Session Tracker'!$D$5:$D$149,$A64,'Session Tracker'!$F$5:$F$149,"Next week",'Session Tracker'!$G$5:$G$149,"Thu"))</f>
        <v>0</v>
      </c>
      <c r="L64" s="52" t="n">
        <f aca="false">IF($E64="Per class",$D64*COUNTIFS('Session Tracker'!$D$5:$D$149,$A64,'Session Tracker'!$F$5:$F$149,"Next week",'Session Tracker'!$G$5:$G$149,"Fri"),$D64*SUMIFS('Session Tracker'!$J$5:$J$149,'Session Tracker'!$D$5:$D$149,$A64,'Session Tracker'!$F$5:$F$149,"Next week",'Session Tracker'!$G$5:$G$149,"Fri"))</f>
        <v>0</v>
      </c>
      <c r="M64" s="52" t="n">
        <f aca="false">IF($E64="Per class",$D64*COUNTIFS('Session Tracker'!$D$5:$D$149,$A64,'Session Tracker'!$F$5:$F$149,"Next week",'Session Tracker'!$G$5:$G$149,""),$D64*SUMIFS('Session Tracker'!$J$5:$J$149,'Session Tracker'!$D$5:$D$149,$A64,'Session Tracker'!$F$5:$F$149,"Next week",'Session Tracker'!$G$5:$G$149,""))</f>
        <v>0</v>
      </c>
    </row>
    <row r="65" customFormat="false" ht="15" hidden="false" customHeight="false" outlineLevel="0" collapsed="false">
      <c r="A65" s="51" t="s">
        <v>86</v>
      </c>
      <c r="B65" s="34" t="s">
        <v>371</v>
      </c>
      <c r="C65" s="34" t="s">
        <v>372</v>
      </c>
      <c r="D65" s="32" t="n">
        <v>1</v>
      </c>
      <c r="E65" s="32" t="s">
        <v>14</v>
      </c>
      <c r="F65" s="32" t="s">
        <v>373</v>
      </c>
      <c r="G65" s="34"/>
      <c r="H65" s="52" t="n">
        <f aca="false">IF($E65="Per class",$D65*COUNTIFS('Session Tracker'!$D$5:$D$149,$A65,'Session Tracker'!$F$5:$F$149,"Next week",'Session Tracker'!$G$5:$G$149,"Mon"),$D65*SUMIFS('Session Tracker'!$J$5:$J$149,'Session Tracker'!$D$5:$D$149,$A65,'Session Tracker'!$F$5:$F$149,"Next week",'Session Tracker'!$G$5:$G$149,"Mon"))</f>
        <v>0</v>
      </c>
      <c r="I65" s="52" t="n">
        <f aca="false">IF($E65="Per class",$D65*COUNTIFS('Session Tracker'!$D$5:$D$149,$A65,'Session Tracker'!$F$5:$F$149,"Next week",'Session Tracker'!$G$5:$G$149,"Tue"),$D65*SUMIFS('Session Tracker'!$J$5:$J$149,'Session Tracker'!$D$5:$D$149,$A65,'Session Tracker'!$F$5:$F$149,"Next week",'Session Tracker'!$G$5:$G$149,"Tue"))</f>
        <v>0</v>
      </c>
      <c r="J65" s="52" t="n">
        <f aca="false">IF($E65="Per class",$D65*COUNTIFS('Session Tracker'!$D$5:$D$149,$A65,'Session Tracker'!$F$5:$F$149,"Next week",'Session Tracker'!$G$5:$G$149,"Wed"),$D65*SUMIFS('Session Tracker'!$J$5:$J$149,'Session Tracker'!$D$5:$D$149,$A65,'Session Tracker'!$F$5:$F$149,"Next week",'Session Tracker'!$G$5:$G$149,"Wed"))</f>
        <v>0</v>
      </c>
      <c r="K65" s="52" t="n">
        <f aca="false">IF($E65="Per class",$D65*COUNTIFS('Session Tracker'!$D$5:$D$149,$A65,'Session Tracker'!$F$5:$F$149,"Next week",'Session Tracker'!$G$5:$G$149,"Thu"),$D65*SUMIFS('Session Tracker'!$J$5:$J$149,'Session Tracker'!$D$5:$D$149,$A65,'Session Tracker'!$F$5:$F$149,"Next week",'Session Tracker'!$G$5:$G$149,"Thu"))</f>
        <v>0</v>
      </c>
      <c r="L65" s="52" t="n">
        <f aca="false">IF($E65="Per class",$D65*COUNTIFS('Session Tracker'!$D$5:$D$149,$A65,'Session Tracker'!$F$5:$F$149,"Next week",'Session Tracker'!$G$5:$G$149,"Fri"),$D65*SUMIFS('Session Tracker'!$J$5:$J$149,'Session Tracker'!$D$5:$D$149,$A65,'Session Tracker'!$F$5:$F$149,"Next week",'Session Tracker'!$G$5:$G$149,"Fri"))</f>
        <v>0</v>
      </c>
      <c r="M65" s="52" t="n">
        <f aca="false">IF($E65="Per class",$D65*COUNTIFS('Session Tracker'!$D$5:$D$149,$A65,'Session Tracker'!$F$5:$F$149,"Next week",'Session Tracker'!$G$5:$G$149,""),$D65*SUMIFS('Session Tracker'!$J$5:$J$149,'Session Tracker'!$D$5:$D$149,$A65,'Session Tracker'!$F$5:$F$149,"Next week",'Session Tracker'!$G$5:$G$149,""))</f>
        <v>0</v>
      </c>
    </row>
    <row r="66" customFormat="false" ht="15" hidden="false" customHeight="false" outlineLevel="0" collapsed="false">
      <c r="A66" s="51" t="s">
        <v>86</v>
      </c>
      <c r="B66" s="34" t="s">
        <v>375</v>
      </c>
      <c r="C66" s="34" t="s">
        <v>376</v>
      </c>
      <c r="D66" s="32" t="n">
        <v>1</v>
      </c>
      <c r="E66" s="32" t="s">
        <v>14</v>
      </c>
      <c r="F66" s="32" t="s">
        <v>373</v>
      </c>
      <c r="G66" s="34"/>
      <c r="H66" s="52" t="n">
        <f aca="false">IF($E66="Per class",$D66*COUNTIFS('Session Tracker'!$D$5:$D$149,$A66,'Session Tracker'!$F$5:$F$149,"Next week",'Session Tracker'!$G$5:$G$149,"Mon"),$D66*SUMIFS('Session Tracker'!$J$5:$J$149,'Session Tracker'!$D$5:$D$149,$A66,'Session Tracker'!$F$5:$F$149,"Next week",'Session Tracker'!$G$5:$G$149,"Mon"))</f>
        <v>0</v>
      </c>
      <c r="I66" s="52" t="n">
        <f aca="false">IF($E66="Per class",$D66*COUNTIFS('Session Tracker'!$D$5:$D$149,$A66,'Session Tracker'!$F$5:$F$149,"Next week",'Session Tracker'!$G$5:$G$149,"Tue"),$D66*SUMIFS('Session Tracker'!$J$5:$J$149,'Session Tracker'!$D$5:$D$149,$A66,'Session Tracker'!$F$5:$F$149,"Next week",'Session Tracker'!$G$5:$G$149,"Tue"))</f>
        <v>0</v>
      </c>
      <c r="J66" s="52" t="n">
        <f aca="false">IF($E66="Per class",$D66*COUNTIFS('Session Tracker'!$D$5:$D$149,$A66,'Session Tracker'!$F$5:$F$149,"Next week",'Session Tracker'!$G$5:$G$149,"Wed"),$D66*SUMIFS('Session Tracker'!$J$5:$J$149,'Session Tracker'!$D$5:$D$149,$A66,'Session Tracker'!$F$5:$F$149,"Next week",'Session Tracker'!$G$5:$G$149,"Wed"))</f>
        <v>0</v>
      </c>
      <c r="K66" s="52" t="n">
        <f aca="false">IF($E66="Per class",$D66*COUNTIFS('Session Tracker'!$D$5:$D$149,$A66,'Session Tracker'!$F$5:$F$149,"Next week",'Session Tracker'!$G$5:$G$149,"Thu"),$D66*SUMIFS('Session Tracker'!$J$5:$J$149,'Session Tracker'!$D$5:$D$149,$A66,'Session Tracker'!$F$5:$F$149,"Next week",'Session Tracker'!$G$5:$G$149,"Thu"))</f>
        <v>0</v>
      </c>
      <c r="L66" s="52" t="n">
        <f aca="false">IF($E66="Per class",$D66*COUNTIFS('Session Tracker'!$D$5:$D$149,$A66,'Session Tracker'!$F$5:$F$149,"Next week",'Session Tracker'!$G$5:$G$149,"Fri"),$D66*SUMIFS('Session Tracker'!$J$5:$J$149,'Session Tracker'!$D$5:$D$149,$A66,'Session Tracker'!$F$5:$F$149,"Next week",'Session Tracker'!$G$5:$G$149,"Fri"))</f>
        <v>0</v>
      </c>
      <c r="M66" s="52" t="n">
        <f aca="false">IF($E66="Per class",$D66*COUNTIFS('Session Tracker'!$D$5:$D$149,$A66,'Session Tracker'!$F$5:$F$149,"Next week",'Session Tracker'!$G$5:$G$149,""),$D66*SUMIFS('Session Tracker'!$J$5:$J$149,'Session Tracker'!$D$5:$D$149,$A66,'Session Tracker'!$F$5:$F$149,"Next week",'Session Tracker'!$G$5:$G$149,""))</f>
        <v>0</v>
      </c>
    </row>
    <row r="67" customFormat="false" ht="15" hidden="false" customHeight="false" outlineLevel="0" collapsed="false">
      <c r="A67" s="51" t="s">
        <v>86</v>
      </c>
      <c r="B67" s="34" t="s">
        <v>375</v>
      </c>
      <c r="C67" s="34" t="s">
        <v>417</v>
      </c>
      <c r="D67" s="32" t="n">
        <v>1</v>
      </c>
      <c r="E67" s="32" t="s">
        <v>14</v>
      </c>
      <c r="F67" s="32" t="s">
        <v>373</v>
      </c>
      <c r="G67" s="34"/>
      <c r="H67" s="52" t="n">
        <f aca="false">IF($E67="Per class",$D67*COUNTIFS('Session Tracker'!$D$5:$D$149,$A67,'Session Tracker'!$F$5:$F$149,"Next week",'Session Tracker'!$G$5:$G$149,"Mon"),$D67*SUMIFS('Session Tracker'!$J$5:$J$149,'Session Tracker'!$D$5:$D$149,$A67,'Session Tracker'!$F$5:$F$149,"Next week",'Session Tracker'!$G$5:$G$149,"Mon"))</f>
        <v>0</v>
      </c>
      <c r="I67" s="52" t="n">
        <f aca="false">IF($E67="Per class",$D67*COUNTIFS('Session Tracker'!$D$5:$D$149,$A67,'Session Tracker'!$F$5:$F$149,"Next week",'Session Tracker'!$G$5:$G$149,"Tue"),$D67*SUMIFS('Session Tracker'!$J$5:$J$149,'Session Tracker'!$D$5:$D$149,$A67,'Session Tracker'!$F$5:$F$149,"Next week",'Session Tracker'!$G$5:$G$149,"Tue"))</f>
        <v>0</v>
      </c>
      <c r="J67" s="52" t="n">
        <f aca="false">IF($E67="Per class",$D67*COUNTIFS('Session Tracker'!$D$5:$D$149,$A67,'Session Tracker'!$F$5:$F$149,"Next week",'Session Tracker'!$G$5:$G$149,"Wed"),$D67*SUMIFS('Session Tracker'!$J$5:$J$149,'Session Tracker'!$D$5:$D$149,$A67,'Session Tracker'!$F$5:$F$149,"Next week",'Session Tracker'!$G$5:$G$149,"Wed"))</f>
        <v>0</v>
      </c>
      <c r="K67" s="52" t="n">
        <f aca="false">IF($E67="Per class",$D67*COUNTIFS('Session Tracker'!$D$5:$D$149,$A67,'Session Tracker'!$F$5:$F$149,"Next week",'Session Tracker'!$G$5:$G$149,"Thu"),$D67*SUMIFS('Session Tracker'!$J$5:$J$149,'Session Tracker'!$D$5:$D$149,$A67,'Session Tracker'!$F$5:$F$149,"Next week",'Session Tracker'!$G$5:$G$149,"Thu"))</f>
        <v>0</v>
      </c>
      <c r="L67" s="52" t="n">
        <f aca="false">IF($E67="Per class",$D67*COUNTIFS('Session Tracker'!$D$5:$D$149,$A67,'Session Tracker'!$F$5:$F$149,"Next week",'Session Tracker'!$G$5:$G$149,"Fri"),$D67*SUMIFS('Session Tracker'!$J$5:$J$149,'Session Tracker'!$D$5:$D$149,$A67,'Session Tracker'!$F$5:$F$149,"Next week",'Session Tracker'!$G$5:$G$149,"Fri"))</f>
        <v>0</v>
      </c>
      <c r="M67" s="52" t="n">
        <f aca="false">IF($E67="Per class",$D67*COUNTIFS('Session Tracker'!$D$5:$D$149,$A67,'Session Tracker'!$F$5:$F$149,"Next week",'Session Tracker'!$G$5:$G$149,""),$D67*SUMIFS('Session Tracker'!$J$5:$J$149,'Session Tracker'!$D$5:$D$149,$A67,'Session Tracker'!$F$5:$F$149,"Next week",'Session Tracker'!$G$5:$G$149,""))</f>
        <v>0</v>
      </c>
    </row>
    <row r="68" customFormat="false" ht="15" hidden="false" customHeight="false" outlineLevel="0" collapsed="false">
      <c r="A68" s="51" t="s">
        <v>86</v>
      </c>
      <c r="B68" s="34" t="s">
        <v>379</v>
      </c>
      <c r="C68" s="34" t="s">
        <v>380</v>
      </c>
      <c r="D68" s="32" t="n">
        <v>1</v>
      </c>
      <c r="E68" s="32" t="s">
        <v>14</v>
      </c>
      <c r="F68" s="32" t="s">
        <v>368</v>
      </c>
      <c r="G68" s="34"/>
      <c r="H68" s="52" t="n">
        <f aca="false">IF($E68="Per class",$D68*COUNTIFS('Session Tracker'!$D$5:$D$149,$A68,'Session Tracker'!$F$5:$F$149,"Next week",'Session Tracker'!$G$5:$G$149,"Mon"),$D68*SUMIFS('Session Tracker'!$J$5:$J$149,'Session Tracker'!$D$5:$D$149,$A68,'Session Tracker'!$F$5:$F$149,"Next week",'Session Tracker'!$G$5:$G$149,"Mon"))</f>
        <v>0</v>
      </c>
      <c r="I68" s="52" t="n">
        <f aca="false">IF($E68="Per class",$D68*COUNTIFS('Session Tracker'!$D$5:$D$149,$A68,'Session Tracker'!$F$5:$F$149,"Next week",'Session Tracker'!$G$5:$G$149,"Tue"),$D68*SUMIFS('Session Tracker'!$J$5:$J$149,'Session Tracker'!$D$5:$D$149,$A68,'Session Tracker'!$F$5:$F$149,"Next week",'Session Tracker'!$G$5:$G$149,"Tue"))</f>
        <v>0</v>
      </c>
      <c r="J68" s="52" t="n">
        <f aca="false">IF($E68="Per class",$D68*COUNTIFS('Session Tracker'!$D$5:$D$149,$A68,'Session Tracker'!$F$5:$F$149,"Next week",'Session Tracker'!$G$5:$G$149,"Wed"),$D68*SUMIFS('Session Tracker'!$J$5:$J$149,'Session Tracker'!$D$5:$D$149,$A68,'Session Tracker'!$F$5:$F$149,"Next week",'Session Tracker'!$G$5:$G$149,"Wed"))</f>
        <v>0</v>
      </c>
      <c r="K68" s="52" t="n">
        <f aca="false">IF($E68="Per class",$D68*COUNTIFS('Session Tracker'!$D$5:$D$149,$A68,'Session Tracker'!$F$5:$F$149,"Next week",'Session Tracker'!$G$5:$G$149,"Thu"),$D68*SUMIFS('Session Tracker'!$J$5:$J$149,'Session Tracker'!$D$5:$D$149,$A68,'Session Tracker'!$F$5:$F$149,"Next week",'Session Tracker'!$G$5:$G$149,"Thu"))</f>
        <v>0</v>
      </c>
      <c r="L68" s="52" t="n">
        <f aca="false">IF($E68="Per class",$D68*COUNTIFS('Session Tracker'!$D$5:$D$149,$A68,'Session Tracker'!$F$5:$F$149,"Next week",'Session Tracker'!$G$5:$G$149,"Fri"),$D68*SUMIFS('Session Tracker'!$J$5:$J$149,'Session Tracker'!$D$5:$D$149,$A68,'Session Tracker'!$F$5:$F$149,"Next week",'Session Tracker'!$G$5:$G$149,"Fri"))</f>
        <v>0</v>
      </c>
      <c r="M68" s="52" t="n">
        <f aca="false">IF($E68="Per class",$D68*COUNTIFS('Session Tracker'!$D$5:$D$149,$A68,'Session Tracker'!$F$5:$F$149,"Next week",'Session Tracker'!$G$5:$G$149,""),$D68*SUMIFS('Session Tracker'!$J$5:$J$149,'Session Tracker'!$D$5:$D$149,$A68,'Session Tracker'!$F$5:$F$149,"Next week",'Session Tracker'!$G$5:$G$149,""))</f>
        <v>0</v>
      </c>
    </row>
    <row r="69" customFormat="false" ht="15" hidden="false" customHeight="false" outlineLevel="0" collapsed="false">
      <c r="A69" s="51" t="s">
        <v>86</v>
      </c>
      <c r="B69" s="34" t="s">
        <v>379</v>
      </c>
      <c r="C69" s="34" t="s">
        <v>381</v>
      </c>
      <c r="D69" s="32" t="n">
        <v>6</v>
      </c>
      <c r="E69" s="32" t="s">
        <v>14</v>
      </c>
      <c r="F69" s="32" t="s">
        <v>368</v>
      </c>
      <c r="G69" s="34"/>
      <c r="H69" s="52" t="n">
        <f aca="false">IF($E69="Per class",$D69*COUNTIFS('Session Tracker'!$D$5:$D$149,$A69,'Session Tracker'!$F$5:$F$149,"Next week",'Session Tracker'!$G$5:$G$149,"Mon"),$D69*SUMIFS('Session Tracker'!$J$5:$J$149,'Session Tracker'!$D$5:$D$149,$A69,'Session Tracker'!$F$5:$F$149,"Next week",'Session Tracker'!$G$5:$G$149,"Mon"))</f>
        <v>0</v>
      </c>
      <c r="I69" s="52" t="n">
        <f aca="false">IF($E69="Per class",$D69*COUNTIFS('Session Tracker'!$D$5:$D$149,$A69,'Session Tracker'!$F$5:$F$149,"Next week",'Session Tracker'!$G$5:$G$149,"Tue"),$D69*SUMIFS('Session Tracker'!$J$5:$J$149,'Session Tracker'!$D$5:$D$149,$A69,'Session Tracker'!$F$5:$F$149,"Next week",'Session Tracker'!$G$5:$G$149,"Tue"))</f>
        <v>0</v>
      </c>
      <c r="J69" s="52" t="n">
        <f aca="false">IF($E69="Per class",$D69*COUNTIFS('Session Tracker'!$D$5:$D$149,$A69,'Session Tracker'!$F$5:$F$149,"Next week",'Session Tracker'!$G$5:$G$149,"Wed"),$D69*SUMIFS('Session Tracker'!$J$5:$J$149,'Session Tracker'!$D$5:$D$149,$A69,'Session Tracker'!$F$5:$F$149,"Next week",'Session Tracker'!$G$5:$G$149,"Wed"))</f>
        <v>0</v>
      </c>
      <c r="K69" s="52" t="n">
        <f aca="false">IF($E69="Per class",$D69*COUNTIFS('Session Tracker'!$D$5:$D$149,$A69,'Session Tracker'!$F$5:$F$149,"Next week",'Session Tracker'!$G$5:$G$149,"Thu"),$D69*SUMIFS('Session Tracker'!$J$5:$J$149,'Session Tracker'!$D$5:$D$149,$A69,'Session Tracker'!$F$5:$F$149,"Next week",'Session Tracker'!$G$5:$G$149,"Thu"))</f>
        <v>0</v>
      </c>
      <c r="L69" s="52" t="n">
        <f aca="false">IF($E69="Per class",$D69*COUNTIFS('Session Tracker'!$D$5:$D$149,$A69,'Session Tracker'!$F$5:$F$149,"Next week",'Session Tracker'!$G$5:$G$149,"Fri"),$D69*SUMIFS('Session Tracker'!$J$5:$J$149,'Session Tracker'!$D$5:$D$149,$A69,'Session Tracker'!$F$5:$F$149,"Next week",'Session Tracker'!$G$5:$G$149,"Fri"))</f>
        <v>0</v>
      </c>
      <c r="M69" s="52" t="n">
        <f aca="false">IF($E69="Per class",$D69*COUNTIFS('Session Tracker'!$D$5:$D$149,$A69,'Session Tracker'!$F$5:$F$149,"Next week",'Session Tracker'!$G$5:$G$149,""),$D69*SUMIFS('Session Tracker'!$J$5:$J$149,'Session Tracker'!$D$5:$D$149,$A69,'Session Tracker'!$F$5:$F$149,"Next week",'Session Tracker'!$G$5:$G$149,""))</f>
        <v>0</v>
      </c>
    </row>
    <row r="70" customFormat="false" ht="15" hidden="false" customHeight="false" outlineLevel="0" collapsed="false">
      <c r="A70" s="51" t="s">
        <v>86</v>
      </c>
      <c r="B70" s="34" t="s">
        <v>382</v>
      </c>
      <c r="C70" s="34" t="s">
        <v>383</v>
      </c>
      <c r="D70" s="32" t="n">
        <v>1</v>
      </c>
      <c r="E70" s="32" t="s">
        <v>14</v>
      </c>
      <c r="F70" s="32" t="s">
        <v>368</v>
      </c>
      <c r="G70" s="34"/>
      <c r="H70" s="52" t="n">
        <f aca="false">IF($E70="Per class",$D70*COUNTIFS('Session Tracker'!$D$5:$D$149,$A70,'Session Tracker'!$F$5:$F$149,"Next week",'Session Tracker'!$G$5:$G$149,"Mon"),$D70*SUMIFS('Session Tracker'!$J$5:$J$149,'Session Tracker'!$D$5:$D$149,$A70,'Session Tracker'!$F$5:$F$149,"Next week",'Session Tracker'!$G$5:$G$149,"Mon"))</f>
        <v>0</v>
      </c>
      <c r="I70" s="52" t="n">
        <f aca="false">IF($E70="Per class",$D70*COUNTIFS('Session Tracker'!$D$5:$D$149,$A70,'Session Tracker'!$F$5:$F$149,"Next week",'Session Tracker'!$G$5:$G$149,"Tue"),$D70*SUMIFS('Session Tracker'!$J$5:$J$149,'Session Tracker'!$D$5:$D$149,$A70,'Session Tracker'!$F$5:$F$149,"Next week",'Session Tracker'!$G$5:$G$149,"Tue"))</f>
        <v>0</v>
      </c>
      <c r="J70" s="52" t="n">
        <f aca="false">IF($E70="Per class",$D70*COUNTIFS('Session Tracker'!$D$5:$D$149,$A70,'Session Tracker'!$F$5:$F$149,"Next week",'Session Tracker'!$G$5:$G$149,"Wed"),$D70*SUMIFS('Session Tracker'!$J$5:$J$149,'Session Tracker'!$D$5:$D$149,$A70,'Session Tracker'!$F$5:$F$149,"Next week",'Session Tracker'!$G$5:$G$149,"Wed"))</f>
        <v>0</v>
      </c>
      <c r="K70" s="52" t="n">
        <f aca="false">IF($E70="Per class",$D70*COUNTIFS('Session Tracker'!$D$5:$D$149,$A70,'Session Tracker'!$F$5:$F$149,"Next week",'Session Tracker'!$G$5:$G$149,"Thu"),$D70*SUMIFS('Session Tracker'!$J$5:$J$149,'Session Tracker'!$D$5:$D$149,$A70,'Session Tracker'!$F$5:$F$149,"Next week",'Session Tracker'!$G$5:$G$149,"Thu"))</f>
        <v>0</v>
      </c>
      <c r="L70" s="52" t="n">
        <f aca="false">IF($E70="Per class",$D70*COUNTIFS('Session Tracker'!$D$5:$D$149,$A70,'Session Tracker'!$F$5:$F$149,"Next week",'Session Tracker'!$G$5:$G$149,"Fri"),$D70*SUMIFS('Session Tracker'!$J$5:$J$149,'Session Tracker'!$D$5:$D$149,$A70,'Session Tracker'!$F$5:$F$149,"Next week",'Session Tracker'!$G$5:$G$149,"Fri"))</f>
        <v>0</v>
      </c>
      <c r="M70" s="52" t="n">
        <f aca="false">IF($E70="Per class",$D70*COUNTIFS('Session Tracker'!$D$5:$D$149,$A70,'Session Tracker'!$F$5:$F$149,"Next week",'Session Tracker'!$G$5:$G$149,""),$D70*SUMIFS('Session Tracker'!$J$5:$J$149,'Session Tracker'!$D$5:$D$149,$A70,'Session Tracker'!$F$5:$F$149,"Next week",'Session Tracker'!$G$5:$G$149,""))</f>
        <v>0</v>
      </c>
    </row>
    <row r="71" customFormat="false" ht="15" hidden="false" customHeight="false" outlineLevel="0" collapsed="false">
      <c r="A71" s="53" t="s">
        <v>86</v>
      </c>
      <c r="B71" s="54"/>
      <c r="C71" s="54"/>
      <c r="D71" s="54"/>
      <c r="E71" s="54"/>
      <c r="F71" s="54"/>
      <c r="G71" s="54"/>
      <c r="H71" s="52" t="n">
        <f aca="false">IF($E71="Per class",$D71*COUNTIFS('Session Tracker'!$D$5:$D$149,$A71,'Session Tracker'!$F$5:$F$149,"Next week",'Session Tracker'!$G$5:$G$149,"Mon"),$D71*SUMIFS('Session Tracker'!$J$5:$J$149,'Session Tracker'!$D$5:$D$149,$A71,'Session Tracker'!$F$5:$F$149,"Next week",'Session Tracker'!$G$5:$G$149,"Mon"))</f>
        <v>0</v>
      </c>
      <c r="I71" s="52" t="n">
        <f aca="false">IF($E71="Per class",$D71*COUNTIFS('Session Tracker'!$D$5:$D$149,$A71,'Session Tracker'!$F$5:$F$149,"Next week",'Session Tracker'!$G$5:$G$149,"Tue"),$D71*SUMIFS('Session Tracker'!$J$5:$J$149,'Session Tracker'!$D$5:$D$149,$A71,'Session Tracker'!$F$5:$F$149,"Next week",'Session Tracker'!$G$5:$G$149,"Tue"))</f>
        <v>0</v>
      </c>
      <c r="J71" s="52" t="n">
        <f aca="false">IF($E71="Per class",$D71*COUNTIFS('Session Tracker'!$D$5:$D$149,$A71,'Session Tracker'!$F$5:$F$149,"Next week",'Session Tracker'!$G$5:$G$149,"Wed"),$D71*SUMIFS('Session Tracker'!$J$5:$J$149,'Session Tracker'!$D$5:$D$149,$A71,'Session Tracker'!$F$5:$F$149,"Next week",'Session Tracker'!$G$5:$G$149,"Wed"))</f>
        <v>0</v>
      </c>
      <c r="K71" s="52" t="n">
        <f aca="false">IF($E71="Per class",$D71*COUNTIFS('Session Tracker'!$D$5:$D$149,$A71,'Session Tracker'!$F$5:$F$149,"Next week",'Session Tracker'!$G$5:$G$149,"Thu"),$D71*SUMIFS('Session Tracker'!$J$5:$J$149,'Session Tracker'!$D$5:$D$149,$A71,'Session Tracker'!$F$5:$F$149,"Next week",'Session Tracker'!$G$5:$G$149,"Thu"))</f>
        <v>0</v>
      </c>
      <c r="L71" s="52" t="n">
        <f aca="false">IF($E71="Per class",$D71*COUNTIFS('Session Tracker'!$D$5:$D$149,$A71,'Session Tracker'!$F$5:$F$149,"Next week",'Session Tracker'!$G$5:$G$149,"Fri"),$D71*SUMIFS('Session Tracker'!$J$5:$J$149,'Session Tracker'!$D$5:$D$149,$A71,'Session Tracker'!$F$5:$F$149,"Next week",'Session Tracker'!$G$5:$G$149,"Fri"))</f>
        <v>0</v>
      </c>
      <c r="M71" s="52" t="n">
        <f aca="false">IF($E71="Per class",$D71*COUNTIFS('Session Tracker'!$D$5:$D$149,$A71,'Session Tracker'!$F$5:$F$149,"Next week",'Session Tracker'!$G$5:$G$149,""),$D71*SUMIFS('Session Tracker'!$J$5:$J$149,'Session Tracker'!$D$5:$D$149,$A71,'Session Tracker'!$F$5:$F$149,"Next week",'Session Tracker'!$G$5:$G$149,""))</f>
        <v>0</v>
      </c>
    </row>
    <row r="72" customFormat="false" ht="15" hidden="false" customHeight="false" outlineLevel="0" collapsed="false">
      <c r="A72" s="53" t="s">
        <v>86</v>
      </c>
      <c r="B72" s="54"/>
      <c r="C72" s="54"/>
      <c r="D72" s="54"/>
      <c r="E72" s="54"/>
      <c r="F72" s="54"/>
      <c r="G72" s="54"/>
      <c r="H72" s="52" t="n">
        <f aca="false">IF($E72="Per class",$D72*COUNTIFS('Session Tracker'!$D$5:$D$149,$A72,'Session Tracker'!$F$5:$F$149,"Next week",'Session Tracker'!$G$5:$G$149,"Mon"),$D72*SUMIFS('Session Tracker'!$J$5:$J$149,'Session Tracker'!$D$5:$D$149,$A72,'Session Tracker'!$F$5:$F$149,"Next week",'Session Tracker'!$G$5:$G$149,"Mon"))</f>
        <v>0</v>
      </c>
      <c r="I72" s="52" t="n">
        <f aca="false">IF($E72="Per class",$D72*COUNTIFS('Session Tracker'!$D$5:$D$149,$A72,'Session Tracker'!$F$5:$F$149,"Next week",'Session Tracker'!$G$5:$G$149,"Tue"),$D72*SUMIFS('Session Tracker'!$J$5:$J$149,'Session Tracker'!$D$5:$D$149,$A72,'Session Tracker'!$F$5:$F$149,"Next week",'Session Tracker'!$G$5:$G$149,"Tue"))</f>
        <v>0</v>
      </c>
      <c r="J72" s="52" t="n">
        <f aca="false">IF($E72="Per class",$D72*COUNTIFS('Session Tracker'!$D$5:$D$149,$A72,'Session Tracker'!$F$5:$F$149,"Next week",'Session Tracker'!$G$5:$G$149,"Wed"),$D72*SUMIFS('Session Tracker'!$J$5:$J$149,'Session Tracker'!$D$5:$D$149,$A72,'Session Tracker'!$F$5:$F$149,"Next week",'Session Tracker'!$G$5:$G$149,"Wed"))</f>
        <v>0</v>
      </c>
      <c r="K72" s="52" t="n">
        <f aca="false">IF($E72="Per class",$D72*COUNTIFS('Session Tracker'!$D$5:$D$149,$A72,'Session Tracker'!$F$5:$F$149,"Next week",'Session Tracker'!$G$5:$G$149,"Thu"),$D72*SUMIFS('Session Tracker'!$J$5:$J$149,'Session Tracker'!$D$5:$D$149,$A72,'Session Tracker'!$F$5:$F$149,"Next week",'Session Tracker'!$G$5:$G$149,"Thu"))</f>
        <v>0</v>
      </c>
      <c r="L72" s="52" t="n">
        <f aca="false">IF($E72="Per class",$D72*COUNTIFS('Session Tracker'!$D$5:$D$149,$A72,'Session Tracker'!$F$5:$F$149,"Next week",'Session Tracker'!$G$5:$G$149,"Fri"),$D72*SUMIFS('Session Tracker'!$J$5:$J$149,'Session Tracker'!$D$5:$D$149,$A72,'Session Tracker'!$F$5:$F$149,"Next week",'Session Tracker'!$G$5:$G$149,"Fri"))</f>
        <v>0</v>
      </c>
      <c r="M72" s="52" t="n">
        <f aca="false">IF($E72="Per class",$D72*COUNTIFS('Session Tracker'!$D$5:$D$149,$A72,'Session Tracker'!$F$5:$F$149,"Next week",'Session Tracker'!$G$5:$G$149,""),$D72*SUMIFS('Session Tracker'!$J$5:$J$149,'Session Tracker'!$D$5:$D$149,$A72,'Session Tracker'!$F$5:$F$149,"Next week",'Session Tracker'!$G$5:$G$149,""))</f>
        <v>0</v>
      </c>
    </row>
    <row r="74" customFormat="false" ht="19.5" hidden="false" customHeight="true" outlineLevel="0" collapsed="false">
      <c r="A74" s="47" t="s">
        <v>88</v>
      </c>
      <c r="B74" s="48" t="s">
        <v>418</v>
      </c>
      <c r="C74" s="48"/>
      <c r="D74" s="48"/>
      <c r="E74" s="48"/>
      <c r="F74" s="49" t="str">
        <f aca="false">"Status: "&amp;'Session Tracker'!F11&amp;IF('Session Tracker'!G11&lt;&gt;""," ("&amp;'Session Tracker'!G11&amp;")","")</f>
        <v>Status: Not started</v>
      </c>
      <c r="G74" s="49"/>
      <c r="H74" s="50"/>
      <c r="I74" s="50"/>
      <c r="J74" s="50"/>
      <c r="K74" s="50"/>
      <c r="L74" s="50"/>
      <c r="M74" s="50"/>
    </row>
    <row r="75" customFormat="false" ht="15" hidden="false" customHeight="false" outlineLevel="0" collapsed="false">
      <c r="A75" s="51" t="s">
        <v>88</v>
      </c>
      <c r="B75" s="34" t="s">
        <v>419</v>
      </c>
      <c r="C75" s="34" t="s">
        <v>420</v>
      </c>
      <c r="D75" s="32" t="n">
        <v>4</v>
      </c>
      <c r="E75" s="32" t="s">
        <v>14</v>
      </c>
      <c r="F75" s="32" t="s">
        <v>373</v>
      </c>
      <c r="G75" s="34"/>
      <c r="H75" s="52" t="n">
        <f aca="false">IF($E75="Per class",$D75*COUNTIFS('Session Tracker'!$D$5:$D$149,$A75,'Session Tracker'!$F$5:$F$149,"Next week",'Session Tracker'!$G$5:$G$149,"Mon"),$D75*SUMIFS('Session Tracker'!$J$5:$J$149,'Session Tracker'!$D$5:$D$149,$A75,'Session Tracker'!$F$5:$F$149,"Next week",'Session Tracker'!$G$5:$G$149,"Mon"))</f>
        <v>0</v>
      </c>
      <c r="I75" s="52" t="n">
        <f aca="false">IF($E75="Per class",$D75*COUNTIFS('Session Tracker'!$D$5:$D$149,$A75,'Session Tracker'!$F$5:$F$149,"Next week",'Session Tracker'!$G$5:$G$149,"Tue"),$D75*SUMIFS('Session Tracker'!$J$5:$J$149,'Session Tracker'!$D$5:$D$149,$A75,'Session Tracker'!$F$5:$F$149,"Next week",'Session Tracker'!$G$5:$G$149,"Tue"))</f>
        <v>0</v>
      </c>
      <c r="J75" s="52" t="n">
        <f aca="false">IF($E75="Per class",$D75*COUNTIFS('Session Tracker'!$D$5:$D$149,$A75,'Session Tracker'!$F$5:$F$149,"Next week",'Session Tracker'!$G$5:$G$149,"Wed"),$D75*SUMIFS('Session Tracker'!$J$5:$J$149,'Session Tracker'!$D$5:$D$149,$A75,'Session Tracker'!$F$5:$F$149,"Next week",'Session Tracker'!$G$5:$G$149,"Wed"))</f>
        <v>0</v>
      </c>
      <c r="K75" s="52" t="n">
        <f aca="false">IF($E75="Per class",$D75*COUNTIFS('Session Tracker'!$D$5:$D$149,$A75,'Session Tracker'!$F$5:$F$149,"Next week",'Session Tracker'!$G$5:$G$149,"Thu"),$D75*SUMIFS('Session Tracker'!$J$5:$J$149,'Session Tracker'!$D$5:$D$149,$A75,'Session Tracker'!$F$5:$F$149,"Next week",'Session Tracker'!$G$5:$G$149,"Thu"))</f>
        <v>0</v>
      </c>
      <c r="L75" s="52" t="n">
        <f aca="false">IF($E75="Per class",$D75*COUNTIFS('Session Tracker'!$D$5:$D$149,$A75,'Session Tracker'!$F$5:$F$149,"Next week",'Session Tracker'!$G$5:$G$149,"Fri"),$D75*SUMIFS('Session Tracker'!$J$5:$J$149,'Session Tracker'!$D$5:$D$149,$A75,'Session Tracker'!$F$5:$F$149,"Next week",'Session Tracker'!$G$5:$G$149,"Fri"))</f>
        <v>0</v>
      </c>
      <c r="M75" s="52" t="n">
        <f aca="false">IF($E75="Per class",$D75*COUNTIFS('Session Tracker'!$D$5:$D$149,$A75,'Session Tracker'!$F$5:$F$149,"Next week",'Session Tracker'!$G$5:$G$149,""),$D75*SUMIFS('Session Tracker'!$J$5:$J$149,'Session Tracker'!$D$5:$D$149,$A75,'Session Tracker'!$F$5:$F$149,"Next week",'Session Tracker'!$G$5:$G$149,""))</f>
        <v>0</v>
      </c>
    </row>
    <row r="76" customFormat="false" ht="15" hidden="false" customHeight="false" outlineLevel="0" collapsed="false">
      <c r="A76" s="51" t="s">
        <v>88</v>
      </c>
      <c r="B76" s="34" t="s">
        <v>419</v>
      </c>
      <c r="C76" s="34" t="s">
        <v>421</v>
      </c>
      <c r="D76" s="32" t="n">
        <v>4</v>
      </c>
      <c r="E76" s="32" t="s">
        <v>14</v>
      </c>
      <c r="F76" s="32" t="s">
        <v>373</v>
      </c>
      <c r="G76" s="34"/>
      <c r="H76" s="52" t="n">
        <f aca="false">IF($E76="Per class",$D76*COUNTIFS('Session Tracker'!$D$5:$D$149,$A76,'Session Tracker'!$F$5:$F$149,"Next week",'Session Tracker'!$G$5:$G$149,"Mon"),$D76*SUMIFS('Session Tracker'!$J$5:$J$149,'Session Tracker'!$D$5:$D$149,$A76,'Session Tracker'!$F$5:$F$149,"Next week",'Session Tracker'!$G$5:$G$149,"Mon"))</f>
        <v>0</v>
      </c>
      <c r="I76" s="52" t="n">
        <f aca="false">IF($E76="Per class",$D76*COUNTIFS('Session Tracker'!$D$5:$D$149,$A76,'Session Tracker'!$F$5:$F$149,"Next week",'Session Tracker'!$G$5:$G$149,"Tue"),$D76*SUMIFS('Session Tracker'!$J$5:$J$149,'Session Tracker'!$D$5:$D$149,$A76,'Session Tracker'!$F$5:$F$149,"Next week",'Session Tracker'!$G$5:$G$149,"Tue"))</f>
        <v>0</v>
      </c>
      <c r="J76" s="52" t="n">
        <f aca="false">IF($E76="Per class",$D76*COUNTIFS('Session Tracker'!$D$5:$D$149,$A76,'Session Tracker'!$F$5:$F$149,"Next week",'Session Tracker'!$G$5:$G$149,"Wed"),$D76*SUMIFS('Session Tracker'!$J$5:$J$149,'Session Tracker'!$D$5:$D$149,$A76,'Session Tracker'!$F$5:$F$149,"Next week",'Session Tracker'!$G$5:$G$149,"Wed"))</f>
        <v>0</v>
      </c>
      <c r="K76" s="52" t="n">
        <f aca="false">IF($E76="Per class",$D76*COUNTIFS('Session Tracker'!$D$5:$D$149,$A76,'Session Tracker'!$F$5:$F$149,"Next week",'Session Tracker'!$G$5:$G$149,"Thu"),$D76*SUMIFS('Session Tracker'!$J$5:$J$149,'Session Tracker'!$D$5:$D$149,$A76,'Session Tracker'!$F$5:$F$149,"Next week",'Session Tracker'!$G$5:$G$149,"Thu"))</f>
        <v>0</v>
      </c>
      <c r="L76" s="52" t="n">
        <f aca="false">IF($E76="Per class",$D76*COUNTIFS('Session Tracker'!$D$5:$D$149,$A76,'Session Tracker'!$F$5:$F$149,"Next week",'Session Tracker'!$G$5:$G$149,"Fri"),$D76*SUMIFS('Session Tracker'!$J$5:$J$149,'Session Tracker'!$D$5:$D$149,$A76,'Session Tracker'!$F$5:$F$149,"Next week",'Session Tracker'!$G$5:$G$149,"Fri"))</f>
        <v>0</v>
      </c>
      <c r="M76" s="52" t="n">
        <f aca="false">IF($E76="Per class",$D76*COUNTIFS('Session Tracker'!$D$5:$D$149,$A76,'Session Tracker'!$F$5:$F$149,"Next week",'Session Tracker'!$G$5:$G$149,""),$D76*SUMIFS('Session Tracker'!$J$5:$J$149,'Session Tracker'!$D$5:$D$149,$A76,'Session Tracker'!$F$5:$F$149,"Next week",'Session Tracker'!$G$5:$G$149,""))</f>
        <v>0</v>
      </c>
    </row>
    <row r="77" customFormat="false" ht="15" hidden="false" customHeight="false" outlineLevel="0" collapsed="false">
      <c r="A77" s="51" t="s">
        <v>88</v>
      </c>
      <c r="B77" s="34" t="s">
        <v>419</v>
      </c>
      <c r="C77" s="34" t="s">
        <v>422</v>
      </c>
      <c r="D77" s="32" t="n">
        <v>4</v>
      </c>
      <c r="E77" s="32" t="s">
        <v>14</v>
      </c>
      <c r="F77" s="32" t="s">
        <v>368</v>
      </c>
      <c r="G77" s="34"/>
      <c r="H77" s="52" t="n">
        <f aca="false">IF($E77="Per class",$D77*COUNTIFS('Session Tracker'!$D$5:$D$149,$A77,'Session Tracker'!$F$5:$F$149,"Next week",'Session Tracker'!$G$5:$G$149,"Mon"),$D77*SUMIFS('Session Tracker'!$J$5:$J$149,'Session Tracker'!$D$5:$D$149,$A77,'Session Tracker'!$F$5:$F$149,"Next week",'Session Tracker'!$G$5:$G$149,"Mon"))</f>
        <v>0</v>
      </c>
      <c r="I77" s="52" t="n">
        <f aca="false">IF($E77="Per class",$D77*COUNTIFS('Session Tracker'!$D$5:$D$149,$A77,'Session Tracker'!$F$5:$F$149,"Next week",'Session Tracker'!$G$5:$G$149,"Tue"),$D77*SUMIFS('Session Tracker'!$J$5:$J$149,'Session Tracker'!$D$5:$D$149,$A77,'Session Tracker'!$F$5:$F$149,"Next week",'Session Tracker'!$G$5:$G$149,"Tue"))</f>
        <v>0</v>
      </c>
      <c r="J77" s="52" t="n">
        <f aca="false">IF($E77="Per class",$D77*COUNTIFS('Session Tracker'!$D$5:$D$149,$A77,'Session Tracker'!$F$5:$F$149,"Next week",'Session Tracker'!$G$5:$G$149,"Wed"),$D77*SUMIFS('Session Tracker'!$J$5:$J$149,'Session Tracker'!$D$5:$D$149,$A77,'Session Tracker'!$F$5:$F$149,"Next week",'Session Tracker'!$G$5:$G$149,"Wed"))</f>
        <v>0</v>
      </c>
      <c r="K77" s="52" t="n">
        <f aca="false">IF($E77="Per class",$D77*COUNTIFS('Session Tracker'!$D$5:$D$149,$A77,'Session Tracker'!$F$5:$F$149,"Next week",'Session Tracker'!$G$5:$G$149,"Thu"),$D77*SUMIFS('Session Tracker'!$J$5:$J$149,'Session Tracker'!$D$5:$D$149,$A77,'Session Tracker'!$F$5:$F$149,"Next week",'Session Tracker'!$G$5:$G$149,"Thu"))</f>
        <v>0</v>
      </c>
      <c r="L77" s="52" t="n">
        <f aca="false">IF($E77="Per class",$D77*COUNTIFS('Session Tracker'!$D$5:$D$149,$A77,'Session Tracker'!$F$5:$F$149,"Next week",'Session Tracker'!$G$5:$G$149,"Fri"),$D77*SUMIFS('Session Tracker'!$J$5:$J$149,'Session Tracker'!$D$5:$D$149,$A77,'Session Tracker'!$F$5:$F$149,"Next week",'Session Tracker'!$G$5:$G$149,"Fri"))</f>
        <v>0</v>
      </c>
      <c r="M77" s="52" t="n">
        <f aca="false">IF($E77="Per class",$D77*COUNTIFS('Session Tracker'!$D$5:$D$149,$A77,'Session Tracker'!$F$5:$F$149,"Next week",'Session Tracker'!$G$5:$G$149,""),$D77*SUMIFS('Session Tracker'!$J$5:$J$149,'Session Tracker'!$D$5:$D$149,$A77,'Session Tracker'!$F$5:$F$149,"Next week",'Session Tracker'!$G$5:$G$149,""))</f>
        <v>0</v>
      </c>
    </row>
    <row r="78" customFormat="false" ht="15" hidden="false" customHeight="false" outlineLevel="0" collapsed="false">
      <c r="A78" s="51" t="s">
        <v>88</v>
      </c>
      <c r="B78" s="34" t="s">
        <v>379</v>
      </c>
      <c r="C78" s="34" t="s">
        <v>423</v>
      </c>
      <c r="D78" s="32" t="n">
        <v>5</v>
      </c>
      <c r="E78" s="32" t="s">
        <v>14</v>
      </c>
      <c r="F78" s="32" t="s">
        <v>368</v>
      </c>
      <c r="G78" s="34"/>
      <c r="H78" s="52" t="n">
        <f aca="false">IF($E78="Per class",$D78*COUNTIFS('Session Tracker'!$D$5:$D$149,$A78,'Session Tracker'!$F$5:$F$149,"Next week",'Session Tracker'!$G$5:$G$149,"Mon"),$D78*SUMIFS('Session Tracker'!$J$5:$J$149,'Session Tracker'!$D$5:$D$149,$A78,'Session Tracker'!$F$5:$F$149,"Next week",'Session Tracker'!$G$5:$G$149,"Mon"))</f>
        <v>0</v>
      </c>
      <c r="I78" s="52" t="n">
        <f aca="false">IF($E78="Per class",$D78*COUNTIFS('Session Tracker'!$D$5:$D$149,$A78,'Session Tracker'!$F$5:$F$149,"Next week",'Session Tracker'!$G$5:$G$149,"Tue"),$D78*SUMIFS('Session Tracker'!$J$5:$J$149,'Session Tracker'!$D$5:$D$149,$A78,'Session Tracker'!$F$5:$F$149,"Next week",'Session Tracker'!$G$5:$G$149,"Tue"))</f>
        <v>0</v>
      </c>
      <c r="J78" s="52" t="n">
        <f aca="false">IF($E78="Per class",$D78*COUNTIFS('Session Tracker'!$D$5:$D$149,$A78,'Session Tracker'!$F$5:$F$149,"Next week",'Session Tracker'!$G$5:$G$149,"Wed"),$D78*SUMIFS('Session Tracker'!$J$5:$J$149,'Session Tracker'!$D$5:$D$149,$A78,'Session Tracker'!$F$5:$F$149,"Next week",'Session Tracker'!$G$5:$G$149,"Wed"))</f>
        <v>0</v>
      </c>
      <c r="K78" s="52" t="n">
        <f aca="false">IF($E78="Per class",$D78*COUNTIFS('Session Tracker'!$D$5:$D$149,$A78,'Session Tracker'!$F$5:$F$149,"Next week",'Session Tracker'!$G$5:$G$149,"Thu"),$D78*SUMIFS('Session Tracker'!$J$5:$J$149,'Session Tracker'!$D$5:$D$149,$A78,'Session Tracker'!$F$5:$F$149,"Next week",'Session Tracker'!$G$5:$G$149,"Thu"))</f>
        <v>0</v>
      </c>
      <c r="L78" s="52" t="n">
        <f aca="false">IF($E78="Per class",$D78*COUNTIFS('Session Tracker'!$D$5:$D$149,$A78,'Session Tracker'!$F$5:$F$149,"Next week",'Session Tracker'!$G$5:$G$149,"Fri"),$D78*SUMIFS('Session Tracker'!$J$5:$J$149,'Session Tracker'!$D$5:$D$149,$A78,'Session Tracker'!$F$5:$F$149,"Next week",'Session Tracker'!$G$5:$G$149,"Fri"))</f>
        <v>0</v>
      </c>
      <c r="M78" s="52" t="n">
        <f aca="false">IF($E78="Per class",$D78*COUNTIFS('Session Tracker'!$D$5:$D$149,$A78,'Session Tracker'!$F$5:$F$149,"Next week",'Session Tracker'!$G$5:$G$149,""),$D78*SUMIFS('Session Tracker'!$J$5:$J$149,'Session Tracker'!$D$5:$D$149,$A78,'Session Tracker'!$F$5:$F$149,"Next week",'Session Tracker'!$G$5:$G$149,""))</f>
        <v>0</v>
      </c>
    </row>
    <row r="79" customFormat="false" ht="15" hidden="false" customHeight="false" outlineLevel="0" collapsed="false">
      <c r="A79" s="51" t="s">
        <v>88</v>
      </c>
      <c r="B79" s="34" t="s">
        <v>371</v>
      </c>
      <c r="C79" s="34" t="s">
        <v>372</v>
      </c>
      <c r="D79" s="32" t="n">
        <v>1</v>
      </c>
      <c r="E79" s="32" t="s">
        <v>14</v>
      </c>
      <c r="F79" s="32" t="s">
        <v>373</v>
      </c>
      <c r="G79" s="34" t="s">
        <v>424</v>
      </c>
      <c r="H79" s="52" t="n">
        <f aca="false">IF($E79="Per class",$D79*COUNTIFS('Session Tracker'!$D$5:$D$149,$A79,'Session Tracker'!$F$5:$F$149,"Next week",'Session Tracker'!$G$5:$G$149,"Mon"),$D79*SUMIFS('Session Tracker'!$J$5:$J$149,'Session Tracker'!$D$5:$D$149,$A79,'Session Tracker'!$F$5:$F$149,"Next week",'Session Tracker'!$G$5:$G$149,"Mon"))</f>
        <v>0</v>
      </c>
      <c r="I79" s="52" t="n">
        <f aca="false">IF($E79="Per class",$D79*COUNTIFS('Session Tracker'!$D$5:$D$149,$A79,'Session Tracker'!$F$5:$F$149,"Next week",'Session Tracker'!$G$5:$G$149,"Tue"),$D79*SUMIFS('Session Tracker'!$J$5:$J$149,'Session Tracker'!$D$5:$D$149,$A79,'Session Tracker'!$F$5:$F$149,"Next week",'Session Tracker'!$G$5:$G$149,"Tue"))</f>
        <v>0</v>
      </c>
      <c r="J79" s="52" t="n">
        <f aca="false">IF($E79="Per class",$D79*COUNTIFS('Session Tracker'!$D$5:$D$149,$A79,'Session Tracker'!$F$5:$F$149,"Next week",'Session Tracker'!$G$5:$G$149,"Wed"),$D79*SUMIFS('Session Tracker'!$J$5:$J$149,'Session Tracker'!$D$5:$D$149,$A79,'Session Tracker'!$F$5:$F$149,"Next week",'Session Tracker'!$G$5:$G$149,"Wed"))</f>
        <v>0</v>
      </c>
      <c r="K79" s="52" t="n">
        <f aca="false">IF($E79="Per class",$D79*COUNTIFS('Session Tracker'!$D$5:$D$149,$A79,'Session Tracker'!$F$5:$F$149,"Next week",'Session Tracker'!$G$5:$G$149,"Thu"),$D79*SUMIFS('Session Tracker'!$J$5:$J$149,'Session Tracker'!$D$5:$D$149,$A79,'Session Tracker'!$F$5:$F$149,"Next week",'Session Tracker'!$G$5:$G$149,"Thu"))</f>
        <v>0</v>
      </c>
      <c r="L79" s="52" t="n">
        <f aca="false">IF($E79="Per class",$D79*COUNTIFS('Session Tracker'!$D$5:$D$149,$A79,'Session Tracker'!$F$5:$F$149,"Next week",'Session Tracker'!$G$5:$G$149,"Fri"),$D79*SUMIFS('Session Tracker'!$J$5:$J$149,'Session Tracker'!$D$5:$D$149,$A79,'Session Tracker'!$F$5:$F$149,"Next week",'Session Tracker'!$G$5:$G$149,"Fri"))</f>
        <v>0</v>
      </c>
      <c r="M79" s="52" t="n">
        <f aca="false">IF($E79="Per class",$D79*COUNTIFS('Session Tracker'!$D$5:$D$149,$A79,'Session Tracker'!$F$5:$F$149,"Next week",'Session Tracker'!$G$5:$G$149,""),$D79*SUMIFS('Session Tracker'!$J$5:$J$149,'Session Tracker'!$D$5:$D$149,$A79,'Session Tracker'!$F$5:$F$149,"Next week",'Session Tracker'!$G$5:$G$149,""))</f>
        <v>0</v>
      </c>
    </row>
    <row r="80" customFormat="false" ht="15" hidden="false" customHeight="false" outlineLevel="0" collapsed="false">
      <c r="A80" s="53" t="s">
        <v>88</v>
      </c>
      <c r="B80" s="54"/>
      <c r="C80" s="54"/>
      <c r="D80" s="54"/>
      <c r="E80" s="54"/>
      <c r="F80" s="54"/>
      <c r="G80" s="54"/>
      <c r="H80" s="52" t="n">
        <f aca="false">IF($E80="Per class",$D80*COUNTIFS('Session Tracker'!$D$5:$D$149,$A80,'Session Tracker'!$F$5:$F$149,"Next week",'Session Tracker'!$G$5:$G$149,"Mon"),$D80*SUMIFS('Session Tracker'!$J$5:$J$149,'Session Tracker'!$D$5:$D$149,$A80,'Session Tracker'!$F$5:$F$149,"Next week",'Session Tracker'!$G$5:$G$149,"Mon"))</f>
        <v>0</v>
      </c>
      <c r="I80" s="52" t="n">
        <f aca="false">IF($E80="Per class",$D80*COUNTIFS('Session Tracker'!$D$5:$D$149,$A80,'Session Tracker'!$F$5:$F$149,"Next week",'Session Tracker'!$G$5:$G$149,"Tue"),$D80*SUMIFS('Session Tracker'!$J$5:$J$149,'Session Tracker'!$D$5:$D$149,$A80,'Session Tracker'!$F$5:$F$149,"Next week",'Session Tracker'!$G$5:$G$149,"Tue"))</f>
        <v>0</v>
      </c>
      <c r="J80" s="52" t="n">
        <f aca="false">IF($E80="Per class",$D80*COUNTIFS('Session Tracker'!$D$5:$D$149,$A80,'Session Tracker'!$F$5:$F$149,"Next week",'Session Tracker'!$G$5:$G$149,"Wed"),$D80*SUMIFS('Session Tracker'!$J$5:$J$149,'Session Tracker'!$D$5:$D$149,$A80,'Session Tracker'!$F$5:$F$149,"Next week",'Session Tracker'!$G$5:$G$149,"Wed"))</f>
        <v>0</v>
      </c>
      <c r="K80" s="52" t="n">
        <f aca="false">IF($E80="Per class",$D80*COUNTIFS('Session Tracker'!$D$5:$D$149,$A80,'Session Tracker'!$F$5:$F$149,"Next week",'Session Tracker'!$G$5:$G$149,"Thu"),$D80*SUMIFS('Session Tracker'!$J$5:$J$149,'Session Tracker'!$D$5:$D$149,$A80,'Session Tracker'!$F$5:$F$149,"Next week",'Session Tracker'!$G$5:$G$149,"Thu"))</f>
        <v>0</v>
      </c>
      <c r="L80" s="52" t="n">
        <f aca="false">IF($E80="Per class",$D80*COUNTIFS('Session Tracker'!$D$5:$D$149,$A80,'Session Tracker'!$F$5:$F$149,"Next week",'Session Tracker'!$G$5:$G$149,"Fri"),$D80*SUMIFS('Session Tracker'!$J$5:$J$149,'Session Tracker'!$D$5:$D$149,$A80,'Session Tracker'!$F$5:$F$149,"Next week",'Session Tracker'!$G$5:$G$149,"Fri"))</f>
        <v>0</v>
      </c>
      <c r="M80" s="52" t="n">
        <f aca="false">IF($E80="Per class",$D80*COUNTIFS('Session Tracker'!$D$5:$D$149,$A80,'Session Tracker'!$F$5:$F$149,"Next week",'Session Tracker'!$G$5:$G$149,""),$D80*SUMIFS('Session Tracker'!$J$5:$J$149,'Session Tracker'!$D$5:$D$149,$A80,'Session Tracker'!$F$5:$F$149,"Next week",'Session Tracker'!$G$5:$G$149,""))</f>
        <v>0</v>
      </c>
    </row>
    <row r="81" customFormat="false" ht="15" hidden="false" customHeight="false" outlineLevel="0" collapsed="false">
      <c r="A81" s="53" t="s">
        <v>88</v>
      </c>
      <c r="B81" s="54"/>
      <c r="C81" s="54"/>
      <c r="D81" s="54"/>
      <c r="E81" s="54"/>
      <c r="F81" s="54"/>
      <c r="G81" s="54"/>
      <c r="H81" s="52" t="n">
        <f aca="false">IF($E81="Per class",$D81*COUNTIFS('Session Tracker'!$D$5:$D$149,$A81,'Session Tracker'!$F$5:$F$149,"Next week",'Session Tracker'!$G$5:$G$149,"Mon"),$D81*SUMIFS('Session Tracker'!$J$5:$J$149,'Session Tracker'!$D$5:$D$149,$A81,'Session Tracker'!$F$5:$F$149,"Next week",'Session Tracker'!$G$5:$G$149,"Mon"))</f>
        <v>0</v>
      </c>
      <c r="I81" s="52" t="n">
        <f aca="false">IF($E81="Per class",$D81*COUNTIFS('Session Tracker'!$D$5:$D$149,$A81,'Session Tracker'!$F$5:$F$149,"Next week",'Session Tracker'!$G$5:$G$149,"Tue"),$D81*SUMIFS('Session Tracker'!$J$5:$J$149,'Session Tracker'!$D$5:$D$149,$A81,'Session Tracker'!$F$5:$F$149,"Next week",'Session Tracker'!$G$5:$G$149,"Tue"))</f>
        <v>0</v>
      </c>
      <c r="J81" s="52" t="n">
        <f aca="false">IF($E81="Per class",$D81*COUNTIFS('Session Tracker'!$D$5:$D$149,$A81,'Session Tracker'!$F$5:$F$149,"Next week",'Session Tracker'!$G$5:$G$149,"Wed"),$D81*SUMIFS('Session Tracker'!$J$5:$J$149,'Session Tracker'!$D$5:$D$149,$A81,'Session Tracker'!$F$5:$F$149,"Next week",'Session Tracker'!$G$5:$G$149,"Wed"))</f>
        <v>0</v>
      </c>
      <c r="K81" s="52" t="n">
        <f aca="false">IF($E81="Per class",$D81*COUNTIFS('Session Tracker'!$D$5:$D$149,$A81,'Session Tracker'!$F$5:$F$149,"Next week",'Session Tracker'!$G$5:$G$149,"Thu"),$D81*SUMIFS('Session Tracker'!$J$5:$J$149,'Session Tracker'!$D$5:$D$149,$A81,'Session Tracker'!$F$5:$F$149,"Next week",'Session Tracker'!$G$5:$G$149,"Thu"))</f>
        <v>0</v>
      </c>
      <c r="L81" s="52" t="n">
        <f aca="false">IF($E81="Per class",$D81*COUNTIFS('Session Tracker'!$D$5:$D$149,$A81,'Session Tracker'!$F$5:$F$149,"Next week",'Session Tracker'!$G$5:$G$149,"Fri"),$D81*SUMIFS('Session Tracker'!$J$5:$J$149,'Session Tracker'!$D$5:$D$149,$A81,'Session Tracker'!$F$5:$F$149,"Next week",'Session Tracker'!$G$5:$G$149,"Fri"))</f>
        <v>0</v>
      </c>
      <c r="M81" s="52" t="n">
        <f aca="false">IF($E81="Per class",$D81*COUNTIFS('Session Tracker'!$D$5:$D$149,$A81,'Session Tracker'!$F$5:$F$149,"Next week",'Session Tracker'!$G$5:$G$149,""),$D81*SUMIFS('Session Tracker'!$J$5:$J$149,'Session Tracker'!$D$5:$D$149,$A81,'Session Tracker'!$F$5:$F$149,"Next week",'Session Tracker'!$G$5:$G$149,""))</f>
        <v>0</v>
      </c>
    </row>
    <row r="83" customFormat="false" ht="19.5" hidden="false" customHeight="true" outlineLevel="0" collapsed="false">
      <c r="A83" s="47" t="s">
        <v>90</v>
      </c>
      <c r="B83" s="48" t="s">
        <v>425</v>
      </c>
      <c r="C83" s="48"/>
      <c r="D83" s="48"/>
      <c r="E83" s="48"/>
      <c r="F83" s="49" t="str">
        <f aca="false">"Status: "&amp;'Session Tracker'!F12&amp;IF('Session Tracker'!G12&lt;&gt;""," ("&amp;'Session Tracker'!G12&amp;")","")</f>
        <v>Status: Not started</v>
      </c>
      <c r="G83" s="49"/>
      <c r="H83" s="50"/>
      <c r="I83" s="50"/>
      <c r="J83" s="50"/>
      <c r="K83" s="50"/>
      <c r="L83" s="50"/>
      <c r="M83" s="50"/>
    </row>
    <row r="84" customFormat="false" ht="23.85" hidden="false" customHeight="false" outlineLevel="0" collapsed="false">
      <c r="A84" s="51" t="s">
        <v>90</v>
      </c>
      <c r="B84" s="34" t="s">
        <v>366</v>
      </c>
      <c r="C84" s="34" t="s">
        <v>367</v>
      </c>
      <c r="D84" s="32" t="n">
        <v>1</v>
      </c>
      <c r="E84" s="32" t="s">
        <v>14</v>
      </c>
      <c r="F84" s="32" t="s">
        <v>368</v>
      </c>
      <c r="G84" s="34" t="s">
        <v>416</v>
      </c>
      <c r="H84" s="52" t="n">
        <f aca="false">IF($E84="Per class",$D84*COUNTIFS('Session Tracker'!$D$5:$D$149,$A84,'Session Tracker'!$F$5:$F$149,"Next week",'Session Tracker'!$G$5:$G$149,"Mon"),$D84*SUMIFS('Session Tracker'!$J$5:$J$149,'Session Tracker'!$D$5:$D$149,$A84,'Session Tracker'!$F$5:$F$149,"Next week",'Session Tracker'!$G$5:$G$149,"Mon"))</f>
        <v>0</v>
      </c>
      <c r="I84" s="52" t="n">
        <f aca="false">IF($E84="Per class",$D84*COUNTIFS('Session Tracker'!$D$5:$D$149,$A84,'Session Tracker'!$F$5:$F$149,"Next week",'Session Tracker'!$G$5:$G$149,"Tue"),$D84*SUMIFS('Session Tracker'!$J$5:$J$149,'Session Tracker'!$D$5:$D$149,$A84,'Session Tracker'!$F$5:$F$149,"Next week",'Session Tracker'!$G$5:$G$149,"Tue"))</f>
        <v>0</v>
      </c>
      <c r="J84" s="52" t="n">
        <f aca="false">IF($E84="Per class",$D84*COUNTIFS('Session Tracker'!$D$5:$D$149,$A84,'Session Tracker'!$F$5:$F$149,"Next week",'Session Tracker'!$G$5:$G$149,"Wed"),$D84*SUMIFS('Session Tracker'!$J$5:$J$149,'Session Tracker'!$D$5:$D$149,$A84,'Session Tracker'!$F$5:$F$149,"Next week",'Session Tracker'!$G$5:$G$149,"Wed"))</f>
        <v>0</v>
      </c>
      <c r="K84" s="52" t="n">
        <f aca="false">IF($E84="Per class",$D84*COUNTIFS('Session Tracker'!$D$5:$D$149,$A84,'Session Tracker'!$F$5:$F$149,"Next week",'Session Tracker'!$G$5:$G$149,"Thu"),$D84*SUMIFS('Session Tracker'!$J$5:$J$149,'Session Tracker'!$D$5:$D$149,$A84,'Session Tracker'!$F$5:$F$149,"Next week",'Session Tracker'!$G$5:$G$149,"Thu"))</f>
        <v>0</v>
      </c>
      <c r="L84" s="52" t="n">
        <f aca="false">IF($E84="Per class",$D84*COUNTIFS('Session Tracker'!$D$5:$D$149,$A84,'Session Tracker'!$F$5:$F$149,"Next week",'Session Tracker'!$G$5:$G$149,"Fri"),$D84*SUMIFS('Session Tracker'!$J$5:$J$149,'Session Tracker'!$D$5:$D$149,$A84,'Session Tracker'!$F$5:$F$149,"Next week",'Session Tracker'!$G$5:$G$149,"Fri"))</f>
        <v>0</v>
      </c>
      <c r="M84" s="52" t="n">
        <f aca="false">IF($E84="Per class",$D84*COUNTIFS('Session Tracker'!$D$5:$D$149,$A84,'Session Tracker'!$F$5:$F$149,"Next week",'Session Tracker'!$G$5:$G$149,""),$D84*SUMIFS('Session Tracker'!$J$5:$J$149,'Session Tracker'!$D$5:$D$149,$A84,'Session Tracker'!$F$5:$F$149,"Next week",'Session Tracker'!$G$5:$G$149,""))</f>
        <v>0</v>
      </c>
    </row>
    <row r="85" customFormat="false" ht="15" hidden="false" customHeight="false" outlineLevel="0" collapsed="false">
      <c r="A85" s="51" t="s">
        <v>90</v>
      </c>
      <c r="B85" s="34" t="s">
        <v>371</v>
      </c>
      <c r="C85" s="34" t="s">
        <v>372</v>
      </c>
      <c r="D85" s="32" t="n">
        <v>3</v>
      </c>
      <c r="E85" s="32" t="s">
        <v>14</v>
      </c>
      <c r="F85" s="32" t="s">
        <v>373</v>
      </c>
      <c r="G85" s="34" t="s">
        <v>426</v>
      </c>
      <c r="H85" s="52" t="n">
        <f aca="false">IF($E85="Per class",$D85*COUNTIFS('Session Tracker'!$D$5:$D$149,$A85,'Session Tracker'!$F$5:$F$149,"Next week",'Session Tracker'!$G$5:$G$149,"Mon"),$D85*SUMIFS('Session Tracker'!$J$5:$J$149,'Session Tracker'!$D$5:$D$149,$A85,'Session Tracker'!$F$5:$F$149,"Next week",'Session Tracker'!$G$5:$G$149,"Mon"))</f>
        <v>0</v>
      </c>
      <c r="I85" s="52" t="n">
        <f aca="false">IF($E85="Per class",$D85*COUNTIFS('Session Tracker'!$D$5:$D$149,$A85,'Session Tracker'!$F$5:$F$149,"Next week",'Session Tracker'!$G$5:$G$149,"Tue"),$D85*SUMIFS('Session Tracker'!$J$5:$J$149,'Session Tracker'!$D$5:$D$149,$A85,'Session Tracker'!$F$5:$F$149,"Next week",'Session Tracker'!$G$5:$G$149,"Tue"))</f>
        <v>0</v>
      </c>
      <c r="J85" s="52" t="n">
        <f aca="false">IF($E85="Per class",$D85*COUNTIFS('Session Tracker'!$D$5:$D$149,$A85,'Session Tracker'!$F$5:$F$149,"Next week",'Session Tracker'!$G$5:$G$149,"Wed"),$D85*SUMIFS('Session Tracker'!$J$5:$J$149,'Session Tracker'!$D$5:$D$149,$A85,'Session Tracker'!$F$5:$F$149,"Next week",'Session Tracker'!$G$5:$G$149,"Wed"))</f>
        <v>0</v>
      </c>
      <c r="K85" s="52" t="n">
        <f aca="false">IF($E85="Per class",$D85*COUNTIFS('Session Tracker'!$D$5:$D$149,$A85,'Session Tracker'!$F$5:$F$149,"Next week",'Session Tracker'!$G$5:$G$149,"Thu"),$D85*SUMIFS('Session Tracker'!$J$5:$J$149,'Session Tracker'!$D$5:$D$149,$A85,'Session Tracker'!$F$5:$F$149,"Next week",'Session Tracker'!$G$5:$G$149,"Thu"))</f>
        <v>0</v>
      </c>
      <c r="L85" s="52" t="n">
        <f aca="false">IF($E85="Per class",$D85*COUNTIFS('Session Tracker'!$D$5:$D$149,$A85,'Session Tracker'!$F$5:$F$149,"Next week",'Session Tracker'!$G$5:$G$149,"Fri"),$D85*SUMIFS('Session Tracker'!$J$5:$J$149,'Session Tracker'!$D$5:$D$149,$A85,'Session Tracker'!$F$5:$F$149,"Next week",'Session Tracker'!$G$5:$G$149,"Fri"))</f>
        <v>0</v>
      </c>
      <c r="M85" s="52" t="n">
        <f aca="false">IF($E85="Per class",$D85*COUNTIFS('Session Tracker'!$D$5:$D$149,$A85,'Session Tracker'!$F$5:$F$149,"Next week",'Session Tracker'!$G$5:$G$149,""),$D85*SUMIFS('Session Tracker'!$J$5:$J$149,'Session Tracker'!$D$5:$D$149,$A85,'Session Tracker'!$F$5:$F$149,"Next week",'Session Tracker'!$G$5:$G$149,""))</f>
        <v>0</v>
      </c>
    </row>
    <row r="86" customFormat="false" ht="15" hidden="false" customHeight="false" outlineLevel="0" collapsed="false">
      <c r="A86" s="51" t="s">
        <v>90</v>
      </c>
      <c r="B86" s="34" t="s">
        <v>375</v>
      </c>
      <c r="C86" s="34" t="s">
        <v>376</v>
      </c>
      <c r="D86" s="32" t="n">
        <v>3</v>
      </c>
      <c r="E86" s="32" t="s">
        <v>14</v>
      </c>
      <c r="F86" s="32" t="s">
        <v>373</v>
      </c>
      <c r="G86" s="34"/>
      <c r="H86" s="52" t="n">
        <f aca="false">IF($E86="Per class",$D86*COUNTIFS('Session Tracker'!$D$5:$D$149,$A86,'Session Tracker'!$F$5:$F$149,"Next week",'Session Tracker'!$G$5:$G$149,"Mon"),$D86*SUMIFS('Session Tracker'!$J$5:$J$149,'Session Tracker'!$D$5:$D$149,$A86,'Session Tracker'!$F$5:$F$149,"Next week",'Session Tracker'!$G$5:$G$149,"Mon"))</f>
        <v>0</v>
      </c>
      <c r="I86" s="52" t="n">
        <f aca="false">IF($E86="Per class",$D86*COUNTIFS('Session Tracker'!$D$5:$D$149,$A86,'Session Tracker'!$F$5:$F$149,"Next week",'Session Tracker'!$G$5:$G$149,"Tue"),$D86*SUMIFS('Session Tracker'!$J$5:$J$149,'Session Tracker'!$D$5:$D$149,$A86,'Session Tracker'!$F$5:$F$149,"Next week",'Session Tracker'!$G$5:$G$149,"Tue"))</f>
        <v>0</v>
      </c>
      <c r="J86" s="52" t="n">
        <f aca="false">IF($E86="Per class",$D86*COUNTIFS('Session Tracker'!$D$5:$D$149,$A86,'Session Tracker'!$F$5:$F$149,"Next week",'Session Tracker'!$G$5:$G$149,"Wed"),$D86*SUMIFS('Session Tracker'!$J$5:$J$149,'Session Tracker'!$D$5:$D$149,$A86,'Session Tracker'!$F$5:$F$149,"Next week",'Session Tracker'!$G$5:$G$149,"Wed"))</f>
        <v>0</v>
      </c>
      <c r="K86" s="52" t="n">
        <f aca="false">IF($E86="Per class",$D86*COUNTIFS('Session Tracker'!$D$5:$D$149,$A86,'Session Tracker'!$F$5:$F$149,"Next week",'Session Tracker'!$G$5:$G$149,"Thu"),$D86*SUMIFS('Session Tracker'!$J$5:$J$149,'Session Tracker'!$D$5:$D$149,$A86,'Session Tracker'!$F$5:$F$149,"Next week",'Session Tracker'!$G$5:$G$149,"Thu"))</f>
        <v>0</v>
      </c>
      <c r="L86" s="52" t="n">
        <f aca="false">IF($E86="Per class",$D86*COUNTIFS('Session Tracker'!$D$5:$D$149,$A86,'Session Tracker'!$F$5:$F$149,"Next week",'Session Tracker'!$G$5:$G$149,"Fri"),$D86*SUMIFS('Session Tracker'!$J$5:$J$149,'Session Tracker'!$D$5:$D$149,$A86,'Session Tracker'!$F$5:$F$149,"Next week",'Session Tracker'!$G$5:$G$149,"Fri"))</f>
        <v>0</v>
      </c>
      <c r="M86" s="52" t="n">
        <f aca="false">IF($E86="Per class",$D86*COUNTIFS('Session Tracker'!$D$5:$D$149,$A86,'Session Tracker'!$F$5:$F$149,"Next week",'Session Tracker'!$G$5:$G$149,""),$D86*SUMIFS('Session Tracker'!$J$5:$J$149,'Session Tracker'!$D$5:$D$149,$A86,'Session Tracker'!$F$5:$F$149,"Next week",'Session Tracker'!$G$5:$G$149,""))</f>
        <v>0</v>
      </c>
    </row>
    <row r="87" customFormat="false" ht="15" hidden="false" customHeight="false" outlineLevel="0" collapsed="false">
      <c r="A87" s="51" t="s">
        <v>90</v>
      </c>
      <c r="B87" s="34" t="s">
        <v>377</v>
      </c>
      <c r="C87" s="34" t="s">
        <v>378</v>
      </c>
      <c r="D87" s="32" t="n">
        <v>1</v>
      </c>
      <c r="E87" s="32" t="s">
        <v>14</v>
      </c>
      <c r="F87" s="32" t="s">
        <v>368</v>
      </c>
      <c r="G87" s="34"/>
      <c r="H87" s="52" t="n">
        <f aca="false">IF($E87="Per class",$D87*COUNTIFS('Session Tracker'!$D$5:$D$149,$A87,'Session Tracker'!$F$5:$F$149,"Next week",'Session Tracker'!$G$5:$G$149,"Mon"),$D87*SUMIFS('Session Tracker'!$J$5:$J$149,'Session Tracker'!$D$5:$D$149,$A87,'Session Tracker'!$F$5:$F$149,"Next week",'Session Tracker'!$G$5:$G$149,"Mon"))</f>
        <v>0</v>
      </c>
      <c r="I87" s="52" t="n">
        <f aca="false">IF($E87="Per class",$D87*COUNTIFS('Session Tracker'!$D$5:$D$149,$A87,'Session Tracker'!$F$5:$F$149,"Next week",'Session Tracker'!$G$5:$G$149,"Tue"),$D87*SUMIFS('Session Tracker'!$J$5:$J$149,'Session Tracker'!$D$5:$D$149,$A87,'Session Tracker'!$F$5:$F$149,"Next week",'Session Tracker'!$G$5:$G$149,"Tue"))</f>
        <v>0</v>
      </c>
      <c r="J87" s="52" t="n">
        <f aca="false">IF($E87="Per class",$D87*COUNTIFS('Session Tracker'!$D$5:$D$149,$A87,'Session Tracker'!$F$5:$F$149,"Next week",'Session Tracker'!$G$5:$G$149,"Wed"),$D87*SUMIFS('Session Tracker'!$J$5:$J$149,'Session Tracker'!$D$5:$D$149,$A87,'Session Tracker'!$F$5:$F$149,"Next week",'Session Tracker'!$G$5:$G$149,"Wed"))</f>
        <v>0</v>
      </c>
      <c r="K87" s="52" t="n">
        <f aca="false">IF($E87="Per class",$D87*COUNTIFS('Session Tracker'!$D$5:$D$149,$A87,'Session Tracker'!$F$5:$F$149,"Next week",'Session Tracker'!$G$5:$G$149,"Thu"),$D87*SUMIFS('Session Tracker'!$J$5:$J$149,'Session Tracker'!$D$5:$D$149,$A87,'Session Tracker'!$F$5:$F$149,"Next week",'Session Tracker'!$G$5:$G$149,"Thu"))</f>
        <v>0</v>
      </c>
      <c r="L87" s="52" t="n">
        <f aca="false">IF($E87="Per class",$D87*COUNTIFS('Session Tracker'!$D$5:$D$149,$A87,'Session Tracker'!$F$5:$F$149,"Next week",'Session Tracker'!$G$5:$G$149,"Fri"),$D87*SUMIFS('Session Tracker'!$J$5:$J$149,'Session Tracker'!$D$5:$D$149,$A87,'Session Tracker'!$F$5:$F$149,"Next week",'Session Tracker'!$G$5:$G$149,"Fri"))</f>
        <v>0</v>
      </c>
      <c r="M87" s="52" t="n">
        <f aca="false">IF($E87="Per class",$D87*COUNTIFS('Session Tracker'!$D$5:$D$149,$A87,'Session Tracker'!$F$5:$F$149,"Next week",'Session Tracker'!$G$5:$G$149,""),$D87*SUMIFS('Session Tracker'!$J$5:$J$149,'Session Tracker'!$D$5:$D$149,$A87,'Session Tracker'!$F$5:$F$149,"Next week",'Session Tracker'!$G$5:$G$149,""))</f>
        <v>0</v>
      </c>
    </row>
    <row r="88" customFormat="false" ht="15" hidden="false" customHeight="false" outlineLevel="0" collapsed="false">
      <c r="A88" s="51" t="s">
        <v>90</v>
      </c>
      <c r="B88" s="34" t="s">
        <v>379</v>
      </c>
      <c r="C88" s="34" t="s">
        <v>380</v>
      </c>
      <c r="D88" s="32" t="n">
        <v>1</v>
      </c>
      <c r="E88" s="32" t="s">
        <v>14</v>
      </c>
      <c r="F88" s="32" t="s">
        <v>368</v>
      </c>
      <c r="G88" s="34"/>
      <c r="H88" s="52" t="n">
        <f aca="false">IF($E88="Per class",$D88*COUNTIFS('Session Tracker'!$D$5:$D$149,$A88,'Session Tracker'!$F$5:$F$149,"Next week",'Session Tracker'!$G$5:$G$149,"Mon"),$D88*SUMIFS('Session Tracker'!$J$5:$J$149,'Session Tracker'!$D$5:$D$149,$A88,'Session Tracker'!$F$5:$F$149,"Next week",'Session Tracker'!$G$5:$G$149,"Mon"))</f>
        <v>0</v>
      </c>
      <c r="I88" s="52" t="n">
        <f aca="false">IF($E88="Per class",$D88*COUNTIFS('Session Tracker'!$D$5:$D$149,$A88,'Session Tracker'!$F$5:$F$149,"Next week",'Session Tracker'!$G$5:$G$149,"Tue"),$D88*SUMIFS('Session Tracker'!$J$5:$J$149,'Session Tracker'!$D$5:$D$149,$A88,'Session Tracker'!$F$5:$F$149,"Next week",'Session Tracker'!$G$5:$G$149,"Tue"))</f>
        <v>0</v>
      </c>
      <c r="J88" s="52" t="n">
        <f aca="false">IF($E88="Per class",$D88*COUNTIFS('Session Tracker'!$D$5:$D$149,$A88,'Session Tracker'!$F$5:$F$149,"Next week",'Session Tracker'!$G$5:$G$149,"Wed"),$D88*SUMIFS('Session Tracker'!$J$5:$J$149,'Session Tracker'!$D$5:$D$149,$A88,'Session Tracker'!$F$5:$F$149,"Next week",'Session Tracker'!$G$5:$G$149,"Wed"))</f>
        <v>0</v>
      </c>
      <c r="K88" s="52" t="n">
        <f aca="false">IF($E88="Per class",$D88*COUNTIFS('Session Tracker'!$D$5:$D$149,$A88,'Session Tracker'!$F$5:$F$149,"Next week",'Session Tracker'!$G$5:$G$149,"Thu"),$D88*SUMIFS('Session Tracker'!$J$5:$J$149,'Session Tracker'!$D$5:$D$149,$A88,'Session Tracker'!$F$5:$F$149,"Next week",'Session Tracker'!$G$5:$G$149,"Thu"))</f>
        <v>0</v>
      </c>
      <c r="L88" s="52" t="n">
        <f aca="false">IF($E88="Per class",$D88*COUNTIFS('Session Tracker'!$D$5:$D$149,$A88,'Session Tracker'!$F$5:$F$149,"Next week",'Session Tracker'!$G$5:$G$149,"Fri"),$D88*SUMIFS('Session Tracker'!$J$5:$J$149,'Session Tracker'!$D$5:$D$149,$A88,'Session Tracker'!$F$5:$F$149,"Next week",'Session Tracker'!$G$5:$G$149,"Fri"))</f>
        <v>0</v>
      </c>
      <c r="M88" s="52" t="n">
        <f aca="false">IF($E88="Per class",$D88*COUNTIFS('Session Tracker'!$D$5:$D$149,$A88,'Session Tracker'!$F$5:$F$149,"Next week",'Session Tracker'!$G$5:$G$149,""),$D88*SUMIFS('Session Tracker'!$J$5:$J$149,'Session Tracker'!$D$5:$D$149,$A88,'Session Tracker'!$F$5:$F$149,"Next week",'Session Tracker'!$G$5:$G$149,""))</f>
        <v>0</v>
      </c>
    </row>
    <row r="89" customFormat="false" ht="15" hidden="false" customHeight="false" outlineLevel="0" collapsed="false">
      <c r="A89" s="51" t="s">
        <v>90</v>
      </c>
      <c r="B89" s="34" t="s">
        <v>379</v>
      </c>
      <c r="C89" s="34" t="s">
        <v>381</v>
      </c>
      <c r="D89" s="32" t="n">
        <v>8</v>
      </c>
      <c r="E89" s="32" t="s">
        <v>14</v>
      </c>
      <c r="F89" s="32" t="s">
        <v>368</v>
      </c>
      <c r="G89" s="34"/>
      <c r="H89" s="52" t="n">
        <f aca="false">IF($E89="Per class",$D89*COUNTIFS('Session Tracker'!$D$5:$D$149,$A89,'Session Tracker'!$F$5:$F$149,"Next week",'Session Tracker'!$G$5:$G$149,"Mon"),$D89*SUMIFS('Session Tracker'!$J$5:$J$149,'Session Tracker'!$D$5:$D$149,$A89,'Session Tracker'!$F$5:$F$149,"Next week",'Session Tracker'!$G$5:$G$149,"Mon"))</f>
        <v>0</v>
      </c>
      <c r="I89" s="52" t="n">
        <f aca="false">IF($E89="Per class",$D89*COUNTIFS('Session Tracker'!$D$5:$D$149,$A89,'Session Tracker'!$F$5:$F$149,"Next week",'Session Tracker'!$G$5:$G$149,"Tue"),$D89*SUMIFS('Session Tracker'!$J$5:$J$149,'Session Tracker'!$D$5:$D$149,$A89,'Session Tracker'!$F$5:$F$149,"Next week",'Session Tracker'!$G$5:$G$149,"Tue"))</f>
        <v>0</v>
      </c>
      <c r="J89" s="52" t="n">
        <f aca="false">IF($E89="Per class",$D89*COUNTIFS('Session Tracker'!$D$5:$D$149,$A89,'Session Tracker'!$F$5:$F$149,"Next week",'Session Tracker'!$G$5:$G$149,"Wed"),$D89*SUMIFS('Session Tracker'!$J$5:$J$149,'Session Tracker'!$D$5:$D$149,$A89,'Session Tracker'!$F$5:$F$149,"Next week",'Session Tracker'!$G$5:$G$149,"Wed"))</f>
        <v>0</v>
      </c>
      <c r="K89" s="52" t="n">
        <f aca="false">IF($E89="Per class",$D89*COUNTIFS('Session Tracker'!$D$5:$D$149,$A89,'Session Tracker'!$F$5:$F$149,"Next week",'Session Tracker'!$G$5:$G$149,"Thu"),$D89*SUMIFS('Session Tracker'!$J$5:$J$149,'Session Tracker'!$D$5:$D$149,$A89,'Session Tracker'!$F$5:$F$149,"Next week",'Session Tracker'!$G$5:$G$149,"Thu"))</f>
        <v>0</v>
      </c>
      <c r="L89" s="52" t="n">
        <f aca="false">IF($E89="Per class",$D89*COUNTIFS('Session Tracker'!$D$5:$D$149,$A89,'Session Tracker'!$F$5:$F$149,"Next week",'Session Tracker'!$G$5:$G$149,"Fri"),$D89*SUMIFS('Session Tracker'!$J$5:$J$149,'Session Tracker'!$D$5:$D$149,$A89,'Session Tracker'!$F$5:$F$149,"Next week",'Session Tracker'!$G$5:$G$149,"Fri"))</f>
        <v>0</v>
      </c>
      <c r="M89" s="52" t="n">
        <f aca="false">IF($E89="Per class",$D89*COUNTIFS('Session Tracker'!$D$5:$D$149,$A89,'Session Tracker'!$F$5:$F$149,"Next week",'Session Tracker'!$G$5:$G$149,""),$D89*SUMIFS('Session Tracker'!$J$5:$J$149,'Session Tracker'!$D$5:$D$149,$A89,'Session Tracker'!$F$5:$F$149,"Next week",'Session Tracker'!$G$5:$G$149,""))</f>
        <v>0</v>
      </c>
    </row>
    <row r="90" customFormat="false" ht="15" hidden="false" customHeight="false" outlineLevel="0" collapsed="false">
      <c r="A90" s="51" t="s">
        <v>90</v>
      </c>
      <c r="B90" s="34" t="s">
        <v>382</v>
      </c>
      <c r="C90" s="34" t="s">
        <v>383</v>
      </c>
      <c r="D90" s="32" t="n">
        <v>1</v>
      </c>
      <c r="E90" s="32" t="s">
        <v>14</v>
      </c>
      <c r="F90" s="32" t="s">
        <v>368</v>
      </c>
      <c r="G90" s="34"/>
      <c r="H90" s="52" t="n">
        <f aca="false">IF($E90="Per class",$D90*COUNTIFS('Session Tracker'!$D$5:$D$149,$A90,'Session Tracker'!$F$5:$F$149,"Next week",'Session Tracker'!$G$5:$G$149,"Mon"),$D90*SUMIFS('Session Tracker'!$J$5:$J$149,'Session Tracker'!$D$5:$D$149,$A90,'Session Tracker'!$F$5:$F$149,"Next week",'Session Tracker'!$G$5:$G$149,"Mon"))</f>
        <v>0</v>
      </c>
      <c r="I90" s="52" t="n">
        <f aca="false">IF($E90="Per class",$D90*COUNTIFS('Session Tracker'!$D$5:$D$149,$A90,'Session Tracker'!$F$5:$F$149,"Next week",'Session Tracker'!$G$5:$G$149,"Tue"),$D90*SUMIFS('Session Tracker'!$J$5:$J$149,'Session Tracker'!$D$5:$D$149,$A90,'Session Tracker'!$F$5:$F$149,"Next week",'Session Tracker'!$G$5:$G$149,"Tue"))</f>
        <v>0</v>
      </c>
      <c r="J90" s="52" t="n">
        <f aca="false">IF($E90="Per class",$D90*COUNTIFS('Session Tracker'!$D$5:$D$149,$A90,'Session Tracker'!$F$5:$F$149,"Next week",'Session Tracker'!$G$5:$G$149,"Wed"),$D90*SUMIFS('Session Tracker'!$J$5:$J$149,'Session Tracker'!$D$5:$D$149,$A90,'Session Tracker'!$F$5:$F$149,"Next week",'Session Tracker'!$G$5:$G$149,"Wed"))</f>
        <v>0</v>
      </c>
      <c r="K90" s="52" t="n">
        <f aca="false">IF($E90="Per class",$D90*COUNTIFS('Session Tracker'!$D$5:$D$149,$A90,'Session Tracker'!$F$5:$F$149,"Next week",'Session Tracker'!$G$5:$G$149,"Thu"),$D90*SUMIFS('Session Tracker'!$J$5:$J$149,'Session Tracker'!$D$5:$D$149,$A90,'Session Tracker'!$F$5:$F$149,"Next week",'Session Tracker'!$G$5:$G$149,"Thu"))</f>
        <v>0</v>
      </c>
      <c r="L90" s="52" t="n">
        <f aca="false">IF($E90="Per class",$D90*COUNTIFS('Session Tracker'!$D$5:$D$149,$A90,'Session Tracker'!$F$5:$F$149,"Next week",'Session Tracker'!$G$5:$G$149,"Fri"),$D90*SUMIFS('Session Tracker'!$J$5:$J$149,'Session Tracker'!$D$5:$D$149,$A90,'Session Tracker'!$F$5:$F$149,"Next week",'Session Tracker'!$G$5:$G$149,"Fri"))</f>
        <v>0</v>
      </c>
      <c r="M90" s="52" t="n">
        <f aca="false">IF($E90="Per class",$D90*COUNTIFS('Session Tracker'!$D$5:$D$149,$A90,'Session Tracker'!$F$5:$F$149,"Next week",'Session Tracker'!$G$5:$G$149,""),$D90*SUMIFS('Session Tracker'!$J$5:$J$149,'Session Tracker'!$D$5:$D$149,$A90,'Session Tracker'!$F$5:$F$149,"Next week",'Session Tracker'!$G$5:$G$149,""))</f>
        <v>0</v>
      </c>
    </row>
    <row r="91" customFormat="false" ht="15" hidden="false" customHeight="false" outlineLevel="0" collapsed="false">
      <c r="A91" s="53" t="s">
        <v>90</v>
      </c>
      <c r="B91" s="54"/>
      <c r="C91" s="54"/>
      <c r="D91" s="54"/>
      <c r="E91" s="54"/>
      <c r="F91" s="54"/>
      <c r="G91" s="54"/>
      <c r="H91" s="52" t="n">
        <f aca="false">IF($E91="Per class",$D91*COUNTIFS('Session Tracker'!$D$5:$D$149,$A91,'Session Tracker'!$F$5:$F$149,"Next week",'Session Tracker'!$G$5:$G$149,"Mon"),$D91*SUMIFS('Session Tracker'!$J$5:$J$149,'Session Tracker'!$D$5:$D$149,$A91,'Session Tracker'!$F$5:$F$149,"Next week",'Session Tracker'!$G$5:$G$149,"Mon"))</f>
        <v>0</v>
      </c>
      <c r="I91" s="52" t="n">
        <f aca="false">IF($E91="Per class",$D91*COUNTIFS('Session Tracker'!$D$5:$D$149,$A91,'Session Tracker'!$F$5:$F$149,"Next week",'Session Tracker'!$G$5:$G$149,"Tue"),$D91*SUMIFS('Session Tracker'!$J$5:$J$149,'Session Tracker'!$D$5:$D$149,$A91,'Session Tracker'!$F$5:$F$149,"Next week",'Session Tracker'!$G$5:$G$149,"Tue"))</f>
        <v>0</v>
      </c>
      <c r="J91" s="52" t="n">
        <f aca="false">IF($E91="Per class",$D91*COUNTIFS('Session Tracker'!$D$5:$D$149,$A91,'Session Tracker'!$F$5:$F$149,"Next week",'Session Tracker'!$G$5:$G$149,"Wed"),$D91*SUMIFS('Session Tracker'!$J$5:$J$149,'Session Tracker'!$D$5:$D$149,$A91,'Session Tracker'!$F$5:$F$149,"Next week",'Session Tracker'!$G$5:$G$149,"Wed"))</f>
        <v>0</v>
      </c>
      <c r="K91" s="52" t="n">
        <f aca="false">IF($E91="Per class",$D91*COUNTIFS('Session Tracker'!$D$5:$D$149,$A91,'Session Tracker'!$F$5:$F$149,"Next week",'Session Tracker'!$G$5:$G$149,"Thu"),$D91*SUMIFS('Session Tracker'!$J$5:$J$149,'Session Tracker'!$D$5:$D$149,$A91,'Session Tracker'!$F$5:$F$149,"Next week",'Session Tracker'!$G$5:$G$149,"Thu"))</f>
        <v>0</v>
      </c>
      <c r="L91" s="52" t="n">
        <f aca="false">IF($E91="Per class",$D91*COUNTIFS('Session Tracker'!$D$5:$D$149,$A91,'Session Tracker'!$F$5:$F$149,"Next week",'Session Tracker'!$G$5:$G$149,"Fri"),$D91*SUMIFS('Session Tracker'!$J$5:$J$149,'Session Tracker'!$D$5:$D$149,$A91,'Session Tracker'!$F$5:$F$149,"Next week",'Session Tracker'!$G$5:$G$149,"Fri"))</f>
        <v>0</v>
      </c>
      <c r="M91" s="52" t="n">
        <f aca="false">IF($E91="Per class",$D91*COUNTIFS('Session Tracker'!$D$5:$D$149,$A91,'Session Tracker'!$F$5:$F$149,"Next week",'Session Tracker'!$G$5:$G$149,""),$D91*SUMIFS('Session Tracker'!$J$5:$J$149,'Session Tracker'!$D$5:$D$149,$A91,'Session Tracker'!$F$5:$F$149,"Next week",'Session Tracker'!$G$5:$G$149,""))</f>
        <v>0</v>
      </c>
    </row>
    <row r="92" customFormat="false" ht="15" hidden="false" customHeight="false" outlineLevel="0" collapsed="false">
      <c r="A92" s="53" t="s">
        <v>90</v>
      </c>
      <c r="B92" s="54"/>
      <c r="C92" s="54"/>
      <c r="D92" s="54"/>
      <c r="E92" s="54"/>
      <c r="F92" s="54"/>
      <c r="G92" s="54"/>
      <c r="H92" s="52" t="n">
        <f aca="false">IF($E92="Per class",$D92*COUNTIFS('Session Tracker'!$D$5:$D$149,$A92,'Session Tracker'!$F$5:$F$149,"Next week",'Session Tracker'!$G$5:$G$149,"Mon"),$D92*SUMIFS('Session Tracker'!$J$5:$J$149,'Session Tracker'!$D$5:$D$149,$A92,'Session Tracker'!$F$5:$F$149,"Next week",'Session Tracker'!$G$5:$G$149,"Mon"))</f>
        <v>0</v>
      </c>
      <c r="I92" s="52" t="n">
        <f aca="false">IF($E92="Per class",$D92*COUNTIFS('Session Tracker'!$D$5:$D$149,$A92,'Session Tracker'!$F$5:$F$149,"Next week",'Session Tracker'!$G$5:$G$149,"Tue"),$D92*SUMIFS('Session Tracker'!$J$5:$J$149,'Session Tracker'!$D$5:$D$149,$A92,'Session Tracker'!$F$5:$F$149,"Next week",'Session Tracker'!$G$5:$G$149,"Tue"))</f>
        <v>0</v>
      </c>
      <c r="J92" s="52" t="n">
        <f aca="false">IF($E92="Per class",$D92*COUNTIFS('Session Tracker'!$D$5:$D$149,$A92,'Session Tracker'!$F$5:$F$149,"Next week",'Session Tracker'!$G$5:$G$149,"Wed"),$D92*SUMIFS('Session Tracker'!$J$5:$J$149,'Session Tracker'!$D$5:$D$149,$A92,'Session Tracker'!$F$5:$F$149,"Next week",'Session Tracker'!$G$5:$G$149,"Wed"))</f>
        <v>0</v>
      </c>
      <c r="K92" s="52" t="n">
        <f aca="false">IF($E92="Per class",$D92*COUNTIFS('Session Tracker'!$D$5:$D$149,$A92,'Session Tracker'!$F$5:$F$149,"Next week",'Session Tracker'!$G$5:$G$149,"Thu"),$D92*SUMIFS('Session Tracker'!$J$5:$J$149,'Session Tracker'!$D$5:$D$149,$A92,'Session Tracker'!$F$5:$F$149,"Next week",'Session Tracker'!$G$5:$G$149,"Thu"))</f>
        <v>0</v>
      </c>
      <c r="L92" s="52" t="n">
        <f aca="false">IF($E92="Per class",$D92*COUNTIFS('Session Tracker'!$D$5:$D$149,$A92,'Session Tracker'!$F$5:$F$149,"Next week",'Session Tracker'!$G$5:$G$149,"Fri"),$D92*SUMIFS('Session Tracker'!$J$5:$J$149,'Session Tracker'!$D$5:$D$149,$A92,'Session Tracker'!$F$5:$F$149,"Next week",'Session Tracker'!$G$5:$G$149,"Fri"))</f>
        <v>0</v>
      </c>
      <c r="M92" s="52" t="n">
        <f aca="false">IF($E92="Per class",$D92*COUNTIFS('Session Tracker'!$D$5:$D$149,$A92,'Session Tracker'!$F$5:$F$149,"Next week",'Session Tracker'!$G$5:$G$149,""),$D92*SUMIFS('Session Tracker'!$J$5:$J$149,'Session Tracker'!$D$5:$D$149,$A92,'Session Tracker'!$F$5:$F$149,"Next week",'Session Tracker'!$G$5:$G$149,""))</f>
        <v>0</v>
      </c>
    </row>
    <row r="94" customFormat="false" ht="19.5" hidden="false" customHeight="true" outlineLevel="0" collapsed="false">
      <c r="A94" s="47" t="s">
        <v>92</v>
      </c>
      <c r="B94" s="48" t="s">
        <v>427</v>
      </c>
      <c r="C94" s="48"/>
      <c r="D94" s="48"/>
      <c r="E94" s="48"/>
      <c r="F94" s="49" t="str">
        <f aca="false">"Status: "&amp;'Session Tracker'!F13&amp;IF('Session Tracker'!G13&lt;&gt;""," ("&amp;'Session Tracker'!G13&amp;")","")</f>
        <v>Status: Not started</v>
      </c>
      <c r="G94" s="49"/>
      <c r="H94" s="50"/>
      <c r="I94" s="50"/>
      <c r="J94" s="50"/>
      <c r="K94" s="50"/>
      <c r="L94" s="50"/>
      <c r="M94" s="50"/>
    </row>
    <row r="95" customFormat="false" ht="23.85" hidden="false" customHeight="false" outlineLevel="0" collapsed="false">
      <c r="A95" s="51" t="s">
        <v>92</v>
      </c>
      <c r="B95" s="34" t="s">
        <v>366</v>
      </c>
      <c r="C95" s="34" t="s">
        <v>367</v>
      </c>
      <c r="D95" s="32" t="n">
        <v>1</v>
      </c>
      <c r="E95" s="32" t="s">
        <v>14</v>
      </c>
      <c r="F95" s="32" t="s">
        <v>368</v>
      </c>
      <c r="G95" s="34" t="s">
        <v>416</v>
      </c>
      <c r="H95" s="52" t="n">
        <f aca="false">IF($E95="Per class",$D95*COUNTIFS('Session Tracker'!$D$5:$D$149,$A95,'Session Tracker'!$F$5:$F$149,"Next week",'Session Tracker'!$G$5:$G$149,"Mon"),$D95*SUMIFS('Session Tracker'!$J$5:$J$149,'Session Tracker'!$D$5:$D$149,$A95,'Session Tracker'!$F$5:$F$149,"Next week",'Session Tracker'!$G$5:$G$149,"Mon"))</f>
        <v>0</v>
      </c>
      <c r="I95" s="52" t="n">
        <f aca="false">IF($E95="Per class",$D95*COUNTIFS('Session Tracker'!$D$5:$D$149,$A95,'Session Tracker'!$F$5:$F$149,"Next week",'Session Tracker'!$G$5:$G$149,"Tue"),$D95*SUMIFS('Session Tracker'!$J$5:$J$149,'Session Tracker'!$D$5:$D$149,$A95,'Session Tracker'!$F$5:$F$149,"Next week",'Session Tracker'!$G$5:$G$149,"Tue"))</f>
        <v>0</v>
      </c>
      <c r="J95" s="52" t="n">
        <f aca="false">IF($E95="Per class",$D95*COUNTIFS('Session Tracker'!$D$5:$D$149,$A95,'Session Tracker'!$F$5:$F$149,"Next week",'Session Tracker'!$G$5:$G$149,"Wed"),$D95*SUMIFS('Session Tracker'!$J$5:$J$149,'Session Tracker'!$D$5:$D$149,$A95,'Session Tracker'!$F$5:$F$149,"Next week",'Session Tracker'!$G$5:$G$149,"Wed"))</f>
        <v>0</v>
      </c>
      <c r="K95" s="52" t="n">
        <f aca="false">IF($E95="Per class",$D95*COUNTIFS('Session Tracker'!$D$5:$D$149,$A95,'Session Tracker'!$F$5:$F$149,"Next week",'Session Tracker'!$G$5:$G$149,"Thu"),$D95*SUMIFS('Session Tracker'!$J$5:$J$149,'Session Tracker'!$D$5:$D$149,$A95,'Session Tracker'!$F$5:$F$149,"Next week",'Session Tracker'!$G$5:$G$149,"Thu"))</f>
        <v>0</v>
      </c>
      <c r="L95" s="52" t="n">
        <f aca="false">IF($E95="Per class",$D95*COUNTIFS('Session Tracker'!$D$5:$D$149,$A95,'Session Tracker'!$F$5:$F$149,"Next week",'Session Tracker'!$G$5:$G$149,"Fri"),$D95*SUMIFS('Session Tracker'!$J$5:$J$149,'Session Tracker'!$D$5:$D$149,$A95,'Session Tracker'!$F$5:$F$149,"Next week",'Session Tracker'!$G$5:$G$149,"Fri"))</f>
        <v>0</v>
      </c>
      <c r="M95" s="52" t="n">
        <f aca="false">IF($E95="Per class",$D95*COUNTIFS('Session Tracker'!$D$5:$D$149,$A95,'Session Tracker'!$F$5:$F$149,"Next week",'Session Tracker'!$G$5:$G$149,""),$D95*SUMIFS('Session Tracker'!$J$5:$J$149,'Session Tracker'!$D$5:$D$149,$A95,'Session Tracker'!$F$5:$F$149,"Next week",'Session Tracker'!$G$5:$G$149,""))</f>
        <v>0</v>
      </c>
    </row>
    <row r="96" customFormat="false" ht="15" hidden="false" customHeight="false" outlineLevel="0" collapsed="false">
      <c r="A96" s="51" t="s">
        <v>92</v>
      </c>
      <c r="B96" s="34" t="s">
        <v>369</v>
      </c>
      <c r="C96" s="34" t="s">
        <v>428</v>
      </c>
      <c r="D96" s="32" t="n">
        <v>1</v>
      </c>
      <c r="E96" s="32" t="s">
        <v>14</v>
      </c>
      <c r="F96" s="32" t="s">
        <v>368</v>
      </c>
      <c r="G96" s="34"/>
      <c r="H96" s="52" t="n">
        <f aca="false">IF($E96="Per class",$D96*COUNTIFS('Session Tracker'!$D$5:$D$149,$A96,'Session Tracker'!$F$5:$F$149,"Next week",'Session Tracker'!$G$5:$G$149,"Mon"),$D96*SUMIFS('Session Tracker'!$J$5:$J$149,'Session Tracker'!$D$5:$D$149,$A96,'Session Tracker'!$F$5:$F$149,"Next week",'Session Tracker'!$G$5:$G$149,"Mon"))</f>
        <v>0</v>
      </c>
      <c r="I96" s="52" t="n">
        <f aca="false">IF($E96="Per class",$D96*COUNTIFS('Session Tracker'!$D$5:$D$149,$A96,'Session Tracker'!$F$5:$F$149,"Next week",'Session Tracker'!$G$5:$G$149,"Tue"),$D96*SUMIFS('Session Tracker'!$J$5:$J$149,'Session Tracker'!$D$5:$D$149,$A96,'Session Tracker'!$F$5:$F$149,"Next week",'Session Tracker'!$G$5:$G$149,"Tue"))</f>
        <v>0</v>
      </c>
      <c r="J96" s="52" t="n">
        <f aca="false">IF($E96="Per class",$D96*COUNTIFS('Session Tracker'!$D$5:$D$149,$A96,'Session Tracker'!$F$5:$F$149,"Next week",'Session Tracker'!$G$5:$G$149,"Wed"),$D96*SUMIFS('Session Tracker'!$J$5:$J$149,'Session Tracker'!$D$5:$D$149,$A96,'Session Tracker'!$F$5:$F$149,"Next week",'Session Tracker'!$G$5:$G$149,"Wed"))</f>
        <v>0</v>
      </c>
      <c r="K96" s="52" t="n">
        <f aca="false">IF($E96="Per class",$D96*COUNTIFS('Session Tracker'!$D$5:$D$149,$A96,'Session Tracker'!$F$5:$F$149,"Next week",'Session Tracker'!$G$5:$G$149,"Thu"),$D96*SUMIFS('Session Tracker'!$J$5:$J$149,'Session Tracker'!$D$5:$D$149,$A96,'Session Tracker'!$F$5:$F$149,"Next week",'Session Tracker'!$G$5:$G$149,"Thu"))</f>
        <v>0</v>
      </c>
      <c r="L96" s="52" t="n">
        <f aca="false">IF($E96="Per class",$D96*COUNTIFS('Session Tracker'!$D$5:$D$149,$A96,'Session Tracker'!$F$5:$F$149,"Next week",'Session Tracker'!$G$5:$G$149,"Fri"),$D96*SUMIFS('Session Tracker'!$J$5:$J$149,'Session Tracker'!$D$5:$D$149,$A96,'Session Tracker'!$F$5:$F$149,"Next week",'Session Tracker'!$G$5:$G$149,"Fri"))</f>
        <v>0</v>
      </c>
      <c r="M96" s="52" t="n">
        <f aca="false">IF($E96="Per class",$D96*COUNTIFS('Session Tracker'!$D$5:$D$149,$A96,'Session Tracker'!$F$5:$F$149,"Next week",'Session Tracker'!$G$5:$G$149,""),$D96*SUMIFS('Session Tracker'!$J$5:$J$149,'Session Tracker'!$D$5:$D$149,$A96,'Session Tracker'!$F$5:$F$149,"Next week",'Session Tracker'!$G$5:$G$149,""))</f>
        <v>0</v>
      </c>
    </row>
    <row r="97" customFormat="false" ht="15" hidden="false" customHeight="false" outlineLevel="0" collapsed="false">
      <c r="A97" s="51" t="s">
        <v>92</v>
      </c>
      <c r="B97" s="34" t="s">
        <v>371</v>
      </c>
      <c r="C97" s="34" t="s">
        <v>372</v>
      </c>
      <c r="D97" s="32" t="n">
        <v>2</v>
      </c>
      <c r="E97" s="32" t="s">
        <v>14</v>
      </c>
      <c r="F97" s="32" t="s">
        <v>373</v>
      </c>
      <c r="G97" s="34"/>
      <c r="H97" s="52" t="n">
        <f aca="false">IF($E97="Per class",$D97*COUNTIFS('Session Tracker'!$D$5:$D$149,$A97,'Session Tracker'!$F$5:$F$149,"Next week",'Session Tracker'!$G$5:$G$149,"Mon"),$D97*SUMIFS('Session Tracker'!$J$5:$J$149,'Session Tracker'!$D$5:$D$149,$A97,'Session Tracker'!$F$5:$F$149,"Next week",'Session Tracker'!$G$5:$G$149,"Mon"))</f>
        <v>0</v>
      </c>
      <c r="I97" s="52" t="n">
        <f aca="false">IF($E97="Per class",$D97*COUNTIFS('Session Tracker'!$D$5:$D$149,$A97,'Session Tracker'!$F$5:$F$149,"Next week",'Session Tracker'!$G$5:$G$149,"Tue"),$D97*SUMIFS('Session Tracker'!$J$5:$J$149,'Session Tracker'!$D$5:$D$149,$A97,'Session Tracker'!$F$5:$F$149,"Next week",'Session Tracker'!$G$5:$G$149,"Tue"))</f>
        <v>0</v>
      </c>
      <c r="J97" s="52" t="n">
        <f aca="false">IF($E97="Per class",$D97*COUNTIFS('Session Tracker'!$D$5:$D$149,$A97,'Session Tracker'!$F$5:$F$149,"Next week",'Session Tracker'!$G$5:$G$149,"Wed"),$D97*SUMIFS('Session Tracker'!$J$5:$J$149,'Session Tracker'!$D$5:$D$149,$A97,'Session Tracker'!$F$5:$F$149,"Next week",'Session Tracker'!$G$5:$G$149,"Wed"))</f>
        <v>0</v>
      </c>
      <c r="K97" s="52" t="n">
        <f aca="false">IF($E97="Per class",$D97*COUNTIFS('Session Tracker'!$D$5:$D$149,$A97,'Session Tracker'!$F$5:$F$149,"Next week",'Session Tracker'!$G$5:$G$149,"Thu"),$D97*SUMIFS('Session Tracker'!$J$5:$J$149,'Session Tracker'!$D$5:$D$149,$A97,'Session Tracker'!$F$5:$F$149,"Next week",'Session Tracker'!$G$5:$G$149,"Thu"))</f>
        <v>0</v>
      </c>
      <c r="L97" s="52" t="n">
        <f aca="false">IF($E97="Per class",$D97*COUNTIFS('Session Tracker'!$D$5:$D$149,$A97,'Session Tracker'!$F$5:$F$149,"Next week",'Session Tracker'!$G$5:$G$149,"Fri"),$D97*SUMIFS('Session Tracker'!$J$5:$J$149,'Session Tracker'!$D$5:$D$149,$A97,'Session Tracker'!$F$5:$F$149,"Next week",'Session Tracker'!$G$5:$G$149,"Fri"))</f>
        <v>0</v>
      </c>
      <c r="M97" s="52" t="n">
        <f aca="false">IF($E97="Per class",$D97*COUNTIFS('Session Tracker'!$D$5:$D$149,$A97,'Session Tracker'!$F$5:$F$149,"Next week",'Session Tracker'!$G$5:$G$149,""),$D97*SUMIFS('Session Tracker'!$J$5:$J$149,'Session Tracker'!$D$5:$D$149,$A97,'Session Tracker'!$F$5:$F$149,"Next week",'Session Tracker'!$G$5:$G$149,""))</f>
        <v>0</v>
      </c>
    </row>
    <row r="98" customFormat="false" ht="15" hidden="false" customHeight="false" outlineLevel="0" collapsed="false">
      <c r="A98" s="51" t="s">
        <v>92</v>
      </c>
      <c r="B98" s="34" t="s">
        <v>375</v>
      </c>
      <c r="C98" s="34" t="s">
        <v>376</v>
      </c>
      <c r="D98" s="32" t="n">
        <v>2</v>
      </c>
      <c r="E98" s="32" t="s">
        <v>14</v>
      </c>
      <c r="F98" s="32" t="s">
        <v>373</v>
      </c>
      <c r="G98" s="34"/>
      <c r="H98" s="52" t="n">
        <f aca="false">IF($E98="Per class",$D98*COUNTIFS('Session Tracker'!$D$5:$D$149,$A98,'Session Tracker'!$F$5:$F$149,"Next week",'Session Tracker'!$G$5:$G$149,"Mon"),$D98*SUMIFS('Session Tracker'!$J$5:$J$149,'Session Tracker'!$D$5:$D$149,$A98,'Session Tracker'!$F$5:$F$149,"Next week",'Session Tracker'!$G$5:$G$149,"Mon"))</f>
        <v>0</v>
      </c>
      <c r="I98" s="52" t="n">
        <f aca="false">IF($E98="Per class",$D98*COUNTIFS('Session Tracker'!$D$5:$D$149,$A98,'Session Tracker'!$F$5:$F$149,"Next week",'Session Tracker'!$G$5:$G$149,"Tue"),$D98*SUMIFS('Session Tracker'!$J$5:$J$149,'Session Tracker'!$D$5:$D$149,$A98,'Session Tracker'!$F$5:$F$149,"Next week",'Session Tracker'!$G$5:$G$149,"Tue"))</f>
        <v>0</v>
      </c>
      <c r="J98" s="52" t="n">
        <f aca="false">IF($E98="Per class",$D98*COUNTIFS('Session Tracker'!$D$5:$D$149,$A98,'Session Tracker'!$F$5:$F$149,"Next week",'Session Tracker'!$G$5:$G$149,"Wed"),$D98*SUMIFS('Session Tracker'!$J$5:$J$149,'Session Tracker'!$D$5:$D$149,$A98,'Session Tracker'!$F$5:$F$149,"Next week",'Session Tracker'!$G$5:$G$149,"Wed"))</f>
        <v>0</v>
      </c>
      <c r="K98" s="52" t="n">
        <f aca="false">IF($E98="Per class",$D98*COUNTIFS('Session Tracker'!$D$5:$D$149,$A98,'Session Tracker'!$F$5:$F$149,"Next week",'Session Tracker'!$G$5:$G$149,"Thu"),$D98*SUMIFS('Session Tracker'!$J$5:$J$149,'Session Tracker'!$D$5:$D$149,$A98,'Session Tracker'!$F$5:$F$149,"Next week",'Session Tracker'!$G$5:$G$149,"Thu"))</f>
        <v>0</v>
      </c>
      <c r="L98" s="52" t="n">
        <f aca="false">IF($E98="Per class",$D98*COUNTIFS('Session Tracker'!$D$5:$D$149,$A98,'Session Tracker'!$F$5:$F$149,"Next week",'Session Tracker'!$G$5:$G$149,"Fri"),$D98*SUMIFS('Session Tracker'!$J$5:$J$149,'Session Tracker'!$D$5:$D$149,$A98,'Session Tracker'!$F$5:$F$149,"Next week",'Session Tracker'!$G$5:$G$149,"Fri"))</f>
        <v>0</v>
      </c>
      <c r="M98" s="52" t="n">
        <f aca="false">IF($E98="Per class",$D98*COUNTIFS('Session Tracker'!$D$5:$D$149,$A98,'Session Tracker'!$F$5:$F$149,"Next week",'Session Tracker'!$G$5:$G$149,""),$D98*SUMIFS('Session Tracker'!$J$5:$J$149,'Session Tracker'!$D$5:$D$149,$A98,'Session Tracker'!$F$5:$F$149,"Next week",'Session Tracker'!$G$5:$G$149,""))</f>
        <v>0</v>
      </c>
    </row>
    <row r="99" customFormat="false" ht="15" hidden="false" customHeight="false" outlineLevel="0" collapsed="false">
      <c r="A99" s="51" t="s">
        <v>92</v>
      </c>
      <c r="B99" s="34" t="s">
        <v>379</v>
      </c>
      <c r="C99" s="34" t="s">
        <v>380</v>
      </c>
      <c r="D99" s="32" t="n">
        <v>1</v>
      </c>
      <c r="E99" s="32" t="s">
        <v>14</v>
      </c>
      <c r="F99" s="32" t="s">
        <v>368</v>
      </c>
      <c r="G99" s="34"/>
      <c r="H99" s="52" t="n">
        <f aca="false">IF($E99="Per class",$D99*COUNTIFS('Session Tracker'!$D$5:$D$149,$A99,'Session Tracker'!$F$5:$F$149,"Next week",'Session Tracker'!$G$5:$G$149,"Mon"),$D99*SUMIFS('Session Tracker'!$J$5:$J$149,'Session Tracker'!$D$5:$D$149,$A99,'Session Tracker'!$F$5:$F$149,"Next week",'Session Tracker'!$G$5:$G$149,"Mon"))</f>
        <v>0</v>
      </c>
      <c r="I99" s="52" t="n">
        <f aca="false">IF($E99="Per class",$D99*COUNTIFS('Session Tracker'!$D$5:$D$149,$A99,'Session Tracker'!$F$5:$F$149,"Next week",'Session Tracker'!$G$5:$G$149,"Tue"),$D99*SUMIFS('Session Tracker'!$J$5:$J$149,'Session Tracker'!$D$5:$D$149,$A99,'Session Tracker'!$F$5:$F$149,"Next week",'Session Tracker'!$G$5:$G$149,"Tue"))</f>
        <v>0</v>
      </c>
      <c r="J99" s="52" t="n">
        <f aca="false">IF($E99="Per class",$D99*COUNTIFS('Session Tracker'!$D$5:$D$149,$A99,'Session Tracker'!$F$5:$F$149,"Next week",'Session Tracker'!$G$5:$G$149,"Wed"),$D99*SUMIFS('Session Tracker'!$J$5:$J$149,'Session Tracker'!$D$5:$D$149,$A99,'Session Tracker'!$F$5:$F$149,"Next week",'Session Tracker'!$G$5:$G$149,"Wed"))</f>
        <v>0</v>
      </c>
      <c r="K99" s="52" t="n">
        <f aca="false">IF($E99="Per class",$D99*COUNTIFS('Session Tracker'!$D$5:$D$149,$A99,'Session Tracker'!$F$5:$F$149,"Next week",'Session Tracker'!$G$5:$G$149,"Thu"),$D99*SUMIFS('Session Tracker'!$J$5:$J$149,'Session Tracker'!$D$5:$D$149,$A99,'Session Tracker'!$F$5:$F$149,"Next week",'Session Tracker'!$G$5:$G$149,"Thu"))</f>
        <v>0</v>
      </c>
      <c r="L99" s="52" t="n">
        <f aca="false">IF($E99="Per class",$D99*COUNTIFS('Session Tracker'!$D$5:$D$149,$A99,'Session Tracker'!$F$5:$F$149,"Next week",'Session Tracker'!$G$5:$G$149,"Fri"),$D99*SUMIFS('Session Tracker'!$J$5:$J$149,'Session Tracker'!$D$5:$D$149,$A99,'Session Tracker'!$F$5:$F$149,"Next week",'Session Tracker'!$G$5:$G$149,"Fri"))</f>
        <v>0</v>
      </c>
      <c r="M99" s="52" t="n">
        <f aca="false">IF($E99="Per class",$D99*COUNTIFS('Session Tracker'!$D$5:$D$149,$A99,'Session Tracker'!$F$5:$F$149,"Next week",'Session Tracker'!$G$5:$G$149,""),$D99*SUMIFS('Session Tracker'!$J$5:$J$149,'Session Tracker'!$D$5:$D$149,$A99,'Session Tracker'!$F$5:$F$149,"Next week",'Session Tracker'!$G$5:$G$149,""))</f>
        <v>0</v>
      </c>
    </row>
    <row r="100" customFormat="false" ht="15" hidden="false" customHeight="false" outlineLevel="0" collapsed="false">
      <c r="A100" s="51" t="s">
        <v>92</v>
      </c>
      <c r="B100" s="34" t="s">
        <v>379</v>
      </c>
      <c r="C100" s="34" t="s">
        <v>381</v>
      </c>
      <c r="D100" s="32" t="n">
        <v>4</v>
      </c>
      <c r="E100" s="32" t="s">
        <v>14</v>
      </c>
      <c r="F100" s="32" t="s">
        <v>368</v>
      </c>
      <c r="G100" s="34"/>
      <c r="H100" s="52" t="n">
        <f aca="false">IF($E100="Per class",$D100*COUNTIFS('Session Tracker'!$D$5:$D$149,$A100,'Session Tracker'!$F$5:$F$149,"Next week",'Session Tracker'!$G$5:$G$149,"Mon"),$D100*SUMIFS('Session Tracker'!$J$5:$J$149,'Session Tracker'!$D$5:$D$149,$A100,'Session Tracker'!$F$5:$F$149,"Next week",'Session Tracker'!$G$5:$G$149,"Mon"))</f>
        <v>0</v>
      </c>
      <c r="I100" s="52" t="n">
        <f aca="false">IF($E100="Per class",$D100*COUNTIFS('Session Tracker'!$D$5:$D$149,$A100,'Session Tracker'!$F$5:$F$149,"Next week",'Session Tracker'!$G$5:$G$149,"Tue"),$D100*SUMIFS('Session Tracker'!$J$5:$J$149,'Session Tracker'!$D$5:$D$149,$A100,'Session Tracker'!$F$5:$F$149,"Next week",'Session Tracker'!$G$5:$G$149,"Tue"))</f>
        <v>0</v>
      </c>
      <c r="J100" s="52" t="n">
        <f aca="false">IF($E100="Per class",$D100*COUNTIFS('Session Tracker'!$D$5:$D$149,$A100,'Session Tracker'!$F$5:$F$149,"Next week",'Session Tracker'!$G$5:$G$149,"Wed"),$D100*SUMIFS('Session Tracker'!$J$5:$J$149,'Session Tracker'!$D$5:$D$149,$A100,'Session Tracker'!$F$5:$F$149,"Next week",'Session Tracker'!$G$5:$G$149,"Wed"))</f>
        <v>0</v>
      </c>
      <c r="K100" s="52" t="n">
        <f aca="false">IF($E100="Per class",$D100*COUNTIFS('Session Tracker'!$D$5:$D$149,$A100,'Session Tracker'!$F$5:$F$149,"Next week",'Session Tracker'!$G$5:$G$149,"Thu"),$D100*SUMIFS('Session Tracker'!$J$5:$J$149,'Session Tracker'!$D$5:$D$149,$A100,'Session Tracker'!$F$5:$F$149,"Next week",'Session Tracker'!$G$5:$G$149,"Thu"))</f>
        <v>0</v>
      </c>
      <c r="L100" s="52" t="n">
        <f aca="false">IF($E100="Per class",$D100*COUNTIFS('Session Tracker'!$D$5:$D$149,$A100,'Session Tracker'!$F$5:$F$149,"Next week",'Session Tracker'!$G$5:$G$149,"Fri"),$D100*SUMIFS('Session Tracker'!$J$5:$J$149,'Session Tracker'!$D$5:$D$149,$A100,'Session Tracker'!$F$5:$F$149,"Next week",'Session Tracker'!$G$5:$G$149,"Fri"))</f>
        <v>0</v>
      </c>
      <c r="M100" s="52" t="n">
        <f aca="false">IF($E100="Per class",$D100*COUNTIFS('Session Tracker'!$D$5:$D$149,$A100,'Session Tracker'!$F$5:$F$149,"Next week",'Session Tracker'!$G$5:$G$149,""),$D100*SUMIFS('Session Tracker'!$J$5:$J$149,'Session Tracker'!$D$5:$D$149,$A100,'Session Tracker'!$F$5:$F$149,"Next week",'Session Tracker'!$G$5:$G$149,""))</f>
        <v>0</v>
      </c>
    </row>
    <row r="101" customFormat="false" ht="15" hidden="false" customHeight="false" outlineLevel="0" collapsed="false">
      <c r="A101" s="51" t="s">
        <v>92</v>
      </c>
      <c r="B101" s="34" t="s">
        <v>379</v>
      </c>
      <c r="C101" s="34" t="s">
        <v>395</v>
      </c>
      <c r="D101" s="32" t="n">
        <v>3</v>
      </c>
      <c r="E101" s="32" t="s">
        <v>14</v>
      </c>
      <c r="F101" s="32" t="s">
        <v>368</v>
      </c>
      <c r="G101" s="34"/>
      <c r="H101" s="52" t="n">
        <f aca="false">IF($E101="Per class",$D101*COUNTIFS('Session Tracker'!$D$5:$D$149,$A101,'Session Tracker'!$F$5:$F$149,"Next week",'Session Tracker'!$G$5:$G$149,"Mon"),$D101*SUMIFS('Session Tracker'!$J$5:$J$149,'Session Tracker'!$D$5:$D$149,$A101,'Session Tracker'!$F$5:$F$149,"Next week",'Session Tracker'!$G$5:$G$149,"Mon"))</f>
        <v>0</v>
      </c>
      <c r="I101" s="52" t="n">
        <f aca="false">IF($E101="Per class",$D101*COUNTIFS('Session Tracker'!$D$5:$D$149,$A101,'Session Tracker'!$F$5:$F$149,"Next week",'Session Tracker'!$G$5:$G$149,"Tue"),$D101*SUMIFS('Session Tracker'!$J$5:$J$149,'Session Tracker'!$D$5:$D$149,$A101,'Session Tracker'!$F$5:$F$149,"Next week",'Session Tracker'!$G$5:$G$149,"Tue"))</f>
        <v>0</v>
      </c>
      <c r="J101" s="52" t="n">
        <f aca="false">IF($E101="Per class",$D101*COUNTIFS('Session Tracker'!$D$5:$D$149,$A101,'Session Tracker'!$F$5:$F$149,"Next week",'Session Tracker'!$G$5:$G$149,"Wed"),$D101*SUMIFS('Session Tracker'!$J$5:$J$149,'Session Tracker'!$D$5:$D$149,$A101,'Session Tracker'!$F$5:$F$149,"Next week",'Session Tracker'!$G$5:$G$149,"Wed"))</f>
        <v>0</v>
      </c>
      <c r="K101" s="52" t="n">
        <f aca="false">IF($E101="Per class",$D101*COUNTIFS('Session Tracker'!$D$5:$D$149,$A101,'Session Tracker'!$F$5:$F$149,"Next week",'Session Tracker'!$G$5:$G$149,"Thu"),$D101*SUMIFS('Session Tracker'!$J$5:$J$149,'Session Tracker'!$D$5:$D$149,$A101,'Session Tracker'!$F$5:$F$149,"Next week",'Session Tracker'!$G$5:$G$149,"Thu"))</f>
        <v>0</v>
      </c>
      <c r="L101" s="52" t="n">
        <f aca="false">IF($E101="Per class",$D101*COUNTIFS('Session Tracker'!$D$5:$D$149,$A101,'Session Tracker'!$F$5:$F$149,"Next week",'Session Tracker'!$G$5:$G$149,"Fri"),$D101*SUMIFS('Session Tracker'!$J$5:$J$149,'Session Tracker'!$D$5:$D$149,$A101,'Session Tracker'!$F$5:$F$149,"Next week",'Session Tracker'!$G$5:$G$149,"Fri"))</f>
        <v>0</v>
      </c>
      <c r="M101" s="52" t="n">
        <f aca="false">IF($E101="Per class",$D101*COUNTIFS('Session Tracker'!$D$5:$D$149,$A101,'Session Tracker'!$F$5:$F$149,"Next week",'Session Tracker'!$G$5:$G$149,""),$D101*SUMIFS('Session Tracker'!$J$5:$J$149,'Session Tracker'!$D$5:$D$149,$A101,'Session Tracker'!$F$5:$F$149,"Next week",'Session Tracker'!$G$5:$G$149,""))</f>
        <v>0</v>
      </c>
    </row>
    <row r="102" customFormat="false" ht="15" hidden="false" customHeight="false" outlineLevel="0" collapsed="false">
      <c r="A102" s="51" t="s">
        <v>92</v>
      </c>
      <c r="B102" s="34" t="s">
        <v>382</v>
      </c>
      <c r="C102" s="34" t="s">
        <v>383</v>
      </c>
      <c r="D102" s="32" t="n">
        <v>1</v>
      </c>
      <c r="E102" s="32" t="s">
        <v>14</v>
      </c>
      <c r="F102" s="32" t="s">
        <v>368</v>
      </c>
      <c r="G102" s="34"/>
      <c r="H102" s="52" t="n">
        <f aca="false">IF($E102="Per class",$D102*COUNTIFS('Session Tracker'!$D$5:$D$149,$A102,'Session Tracker'!$F$5:$F$149,"Next week",'Session Tracker'!$G$5:$G$149,"Mon"),$D102*SUMIFS('Session Tracker'!$J$5:$J$149,'Session Tracker'!$D$5:$D$149,$A102,'Session Tracker'!$F$5:$F$149,"Next week",'Session Tracker'!$G$5:$G$149,"Mon"))</f>
        <v>0</v>
      </c>
      <c r="I102" s="52" t="n">
        <f aca="false">IF($E102="Per class",$D102*COUNTIFS('Session Tracker'!$D$5:$D$149,$A102,'Session Tracker'!$F$5:$F$149,"Next week",'Session Tracker'!$G$5:$G$149,"Tue"),$D102*SUMIFS('Session Tracker'!$J$5:$J$149,'Session Tracker'!$D$5:$D$149,$A102,'Session Tracker'!$F$5:$F$149,"Next week",'Session Tracker'!$G$5:$G$149,"Tue"))</f>
        <v>0</v>
      </c>
      <c r="J102" s="52" t="n">
        <f aca="false">IF($E102="Per class",$D102*COUNTIFS('Session Tracker'!$D$5:$D$149,$A102,'Session Tracker'!$F$5:$F$149,"Next week",'Session Tracker'!$G$5:$G$149,"Wed"),$D102*SUMIFS('Session Tracker'!$J$5:$J$149,'Session Tracker'!$D$5:$D$149,$A102,'Session Tracker'!$F$5:$F$149,"Next week",'Session Tracker'!$G$5:$G$149,"Wed"))</f>
        <v>0</v>
      </c>
      <c r="K102" s="52" t="n">
        <f aca="false">IF($E102="Per class",$D102*COUNTIFS('Session Tracker'!$D$5:$D$149,$A102,'Session Tracker'!$F$5:$F$149,"Next week",'Session Tracker'!$G$5:$G$149,"Thu"),$D102*SUMIFS('Session Tracker'!$J$5:$J$149,'Session Tracker'!$D$5:$D$149,$A102,'Session Tracker'!$F$5:$F$149,"Next week",'Session Tracker'!$G$5:$G$149,"Thu"))</f>
        <v>0</v>
      </c>
      <c r="L102" s="52" t="n">
        <f aca="false">IF($E102="Per class",$D102*COUNTIFS('Session Tracker'!$D$5:$D$149,$A102,'Session Tracker'!$F$5:$F$149,"Next week",'Session Tracker'!$G$5:$G$149,"Fri"),$D102*SUMIFS('Session Tracker'!$J$5:$J$149,'Session Tracker'!$D$5:$D$149,$A102,'Session Tracker'!$F$5:$F$149,"Next week",'Session Tracker'!$G$5:$G$149,"Fri"))</f>
        <v>0</v>
      </c>
      <c r="M102" s="52" t="n">
        <f aca="false">IF($E102="Per class",$D102*COUNTIFS('Session Tracker'!$D$5:$D$149,$A102,'Session Tracker'!$F$5:$F$149,"Next week",'Session Tracker'!$G$5:$G$149,""),$D102*SUMIFS('Session Tracker'!$J$5:$J$149,'Session Tracker'!$D$5:$D$149,$A102,'Session Tracker'!$F$5:$F$149,"Next week",'Session Tracker'!$G$5:$G$149,""))</f>
        <v>0</v>
      </c>
    </row>
    <row r="103" customFormat="false" ht="15" hidden="false" customHeight="false" outlineLevel="0" collapsed="false">
      <c r="A103" s="51" t="s">
        <v>92</v>
      </c>
      <c r="B103" s="34" t="s">
        <v>377</v>
      </c>
      <c r="C103" s="34" t="s">
        <v>378</v>
      </c>
      <c r="D103" s="32" t="n">
        <v>1</v>
      </c>
      <c r="E103" s="32" t="s">
        <v>14</v>
      </c>
      <c r="F103" s="32" t="s">
        <v>368</v>
      </c>
      <c r="G103" s="34" t="s">
        <v>389</v>
      </c>
      <c r="H103" s="52" t="n">
        <f aca="false">IF($E103="Per class",$D103*COUNTIFS('Session Tracker'!$D$5:$D$149,$A103,'Session Tracker'!$F$5:$F$149,"Next week",'Session Tracker'!$G$5:$G$149,"Mon"),$D103*SUMIFS('Session Tracker'!$J$5:$J$149,'Session Tracker'!$D$5:$D$149,$A103,'Session Tracker'!$F$5:$F$149,"Next week",'Session Tracker'!$G$5:$G$149,"Mon"))</f>
        <v>0</v>
      </c>
      <c r="I103" s="52" t="n">
        <f aca="false">IF($E103="Per class",$D103*COUNTIFS('Session Tracker'!$D$5:$D$149,$A103,'Session Tracker'!$F$5:$F$149,"Next week",'Session Tracker'!$G$5:$G$149,"Tue"),$D103*SUMIFS('Session Tracker'!$J$5:$J$149,'Session Tracker'!$D$5:$D$149,$A103,'Session Tracker'!$F$5:$F$149,"Next week",'Session Tracker'!$G$5:$G$149,"Tue"))</f>
        <v>0</v>
      </c>
      <c r="J103" s="52" t="n">
        <f aca="false">IF($E103="Per class",$D103*COUNTIFS('Session Tracker'!$D$5:$D$149,$A103,'Session Tracker'!$F$5:$F$149,"Next week",'Session Tracker'!$G$5:$G$149,"Wed"),$D103*SUMIFS('Session Tracker'!$J$5:$J$149,'Session Tracker'!$D$5:$D$149,$A103,'Session Tracker'!$F$5:$F$149,"Next week",'Session Tracker'!$G$5:$G$149,"Wed"))</f>
        <v>0</v>
      </c>
      <c r="K103" s="52" t="n">
        <f aca="false">IF($E103="Per class",$D103*COUNTIFS('Session Tracker'!$D$5:$D$149,$A103,'Session Tracker'!$F$5:$F$149,"Next week",'Session Tracker'!$G$5:$G$149,"Thu"),$D103*SUMIFS('Session Tracker'!$J$5:$J$149,'Session Tracker'!$D$5:$D$149,$A103,'Session Tracker'!$F$5:$F$149,"Next week",'Session Tracker'!$G$5:$G$149,"Thu"))</f>
        <v>0</v>
      </c>
      <c r="L103" s="52" t="n">
        <f aca="false">IF($E103="Per class",$D103*COUNTIFS('Session Tracker'!$D$5:$D$149,$A103,'Session Tracker'!$F$5:$F$149,"Next week",'Session Tracker'!$G$5:$G$149,"Fri"),$D103*SUMIFS('Session Tracker'!$J$5:$J$149,'Session Tracker'!$D$5:$D$149,$A103,'Session Tracker'!$F$5:$F$149,"Next week",'Session Tracker'!$G$5:$G$149,"Fri"))</f>
        <v>0</v>
      </c>
      <c r="M103" s="52" t="n">
        <f aca="false">IF($E103="Per class",$D103*COUNTIFS('Session Tracker'!$D$5:$D$149,$A103,'Session Tracker'!$F$5:$F$149,"Next week",'Session Tracker'!$G$5:$G$149,""),$D103*SUMIFS('Session Tracker'!$J$5:$J$149,'Session Tracker'!$D$5:$D$149,$A103,'Session Tracker'!$F$5:$F$149,"Next week",'Session Tracker'!$G$5:$G$149,""))</f>
        <v>0</v>
      </c>
    </row>
    <row r="104" customFormat="false" ht="15" hidden="false" customHeight="false" outlineLevel="0" collapsed="false">
      <c r="A104" s="53" t="s">
        <v>92</v>
      </c>
      <c r="B104" s="54"/>
      <c r="C104" s="54"/>
      <c r="D104" s="54"/>
      <c r="E104" s="54"/>
      <c r="F104" s="54"/>
      <c r="G104" s="54"/>
      <c r="H104" s="52" t="n">
        <f aca="false">IF($E104="Per class",$D104*COUNTIFS('Session Tracker'!$D$5:$D$149,$A104,'Session Tracker'!$F$5:$F$149,"Next week",'Session Tracker'!$G$5:$G$149,"Mon"),$D104*SUMIFS('Session Tracker'!$J$5:$J$149,'Session Tracker'!$D$5:$D$149,$A104,'Session Tracker'!$F$5:$F$149,"Next week",'Session Tracker'!$G$5:$G$149,"Mon"))</f>
        <v>0</v>
      </c>
      <c r="I104" s="52" t="n">
        <f aca="false">IF($E104="Per class",$D104*COUNTIFS('Session Tracker'!$D$5:$D$149,$A104,'Session Tracker'!$F$5:$F$149,"Next week",'Session Tracker'!$G$5:$G$149,"Tue"),$D104*SUMIFS('Session Tracker'!$J$5:$J$149,'Session Tracker'!$D$5:$D$149,$A104,'Session Tracker'!$F$5:$F$149,"Next week",'Session Tracker'!$G$5:$G$149,"Tue"))</f>
        <v>0</v>
      </c>
      <c r="J104" s="52" t="n">
        <f aca="false">IF($E104="Per class",$D104*COUNTIFS('Session Tracker'!$D$5:$D$149,$A104,'Session Tracker'!$F$5:$F$149,"Next week",'Session Tracker'!$G$5:$G$149,"Wed"),$D104*SUMIFS('Session Tracker'!$J$5:$J$149,'Session Tracker'!$D$5:$D$149,$A104,'Session Tracker'!$F$5:$F$149,"Next week",'Session Tracker'!$G$5:$G$149,"Wed"))</f>
        <v>0</v>
      </c>
      <c r="K104" s="52" t="n">
        <f aca="false">IF($E104="Per class",$D104*COUNTIFS('Session Tracker'!$D$5:$D$149,$A104,'Session Tracker'!$F$5:$F$149,"Next week",'Session Tracker'!$G$5:$G$149,"Thu"),$D104*SUMIFS('Session Tracker'!$J$5:$J$149,'Session Tracker'!$D$5:$D$149,$A104,'Session Tracker'!$F$5:$F$149,"Next week",'Session Tracker'!$G$5:$G$149,"Thu"))</f>
        <v>0</v>
      </c>
      <c r="L104" s="52" t="n">
        <f aca="false">IF($E104="Per class",$D104*COUNTIFS('Session Tracker'!$D$5:$D$149,$A104,'Session Tracker'!$F$5:$F$149,"Next week",'Session Tracker'!$G$5:$G$149,"Fri"),$D104*SUMIFS('Session Tracker'!$J$5:$J$149,'Session Tracker'!$D$5:$D$149,$A104,'Session Tracker'!$F$5:$F$149,"Next week",'Session Tracker'!$G$5:$G$149,"Fri"))</f>
        <v>0</v>
      </c>
      <c r="M104" s="52" t="n">
        <f aca="false">IF($E104="Per class",$D104*COUNTIFS('Session Tracker'!$D$5:$D$149,$A104,'Session Tracker'!$F$5:$F$149,"Next week",'Session Tracker'!$G$5:$G$149,""),$D104*SUMIFS('Session Tracker'!$J$5:$J$149,'Session Tracker'!$D$5:$D$149,$A104,'Session Tracker'!$F$5:$F$149,"Next week",'Session Tracker'!$G$5:$G$149,""))</f>
        <v>0</v>
      </c>
    </row>
    <row r="105" customFormat="false" ht="15" hidden="false" customHeight="false" outlineLevel="0" collapsed="false">
      <c r="A105" s="53" t="s">
        <v>92</v>
      </c>
      <c r="B105" s="54"/>
      <c r="C105" s="54"/>
      <c r="D105" s="54"/>
      <c r="E105" s="54"/>
      <c r="F105" s="54"/>
      <c r="G105" s="54"/>
      <c r="H105" s="52" t="n">
        <f aca="false">IF($E105="Per class",$D105*COUNTIFS('Session Tracker'!$D$5:$D$149,$A105,'Session Tracker'!$F$5:$F$149,"Next week",'Session Tracker'!$G$5:$G$149,"Mon"),$D105*SUMIFS('Session Tracker'!$J$5:$J$149,'Session Tracker'!$D$5:$D$149,$A105,'Session Tracker'!$F$5:$F$149,"Next week",'Session Tracker'!$G$5:$G$149,"Mon"))</f>
        <v>0</v>
      </c>
      <c r="I105" s="52" t="n">
        <f aca="false">IF($E105="Per class",$D105*COUNTIFS('Session Tracker'!$D$5:$D$149,$A105,'Session Tracker'!$F$5:$F$149,"Next week",'Session Tracker'!$G$5:$G$149,"Tue"),$D105*SUMIFS('Session Tracker'!$J$5:$J$149,'Session Tracker'!$D$5:$D$149,$A105,'Session Tracker'!$F$5:$F$149,"Next week",'Session Tracker'!$G$5:$G$149,"Tue"))</f>
        <v>0</v>
      </c>
      <c r="J105" s="52" t="n">
        <f aca="false">IF($E105="Per class",$D105*COUNTIFS('Session Tracker'!$D$5:$D$149,$A105,'Session Tracker'!$F$5:$F$149,"Next week",'Session Tracker'!$G$5:$G$149,"Wed"),$D105*SUMIFS('Session Tracker'!$J$5:$J$149,'Session Tracker'!$D$5:$D$149,$A105,'Session Tracker'!$F$5:$F$149,"Next week",'Session Tracker'!$G$5:$G$149,"Wed"))</f>
        <v>0</v>
      </c>
      <c r="K105" s="52" t="n">
        <f aca="false">IF($E105="Per class",$D105*COUNTIFS('Session Tracker'!$D$5:$D$149,$A105,'Session Tracker'!$F$5:$F$149,"Next week",'Session Tracker'!$G$5:$G$149,"Thu"),$D105*SUMIFS('Session Tracker'!$J$5:$J$149,'Session Tracker'!$D$5:$D$149,$A105,'Session Tracker'!$F$5:$F$149,"Next week",'Session Tracker'!$G$5:$G$149,"Thu"))</f>
        <v>0</v>
      </c>
      <c r="L105" s="52" t="n">
        <f aca="false">IF($E105="Per class",$D105*COUNTIFS('Session Tracker'!$D$5:$D$149,$A105,'Session Tracker'!$F$5:$F$149,"Next week",'Session Tracker'!$G$5:$G$149,"Fri"),$D105*SUMIFS('Session Tracker'!$J$5:$J$149,'Session Tracker'!$D$5:$D$149,$A105,'Session Tracker'!$F$5:$F$149,"Next week",'Session Tracker'!$G$5:$G$149,"Fri"))</f>
        <v>0</v>
      </c>
      <c r="M105" s="52" t="n">
        <f aca="false">IF($E105="Per class",$D105*COUNTIFS('Session Tracker'!$D$5:$D$149,$A105,'Session Tracker'!$F$5:$F$149,"Next week",'Session Tracker'!$G$5:$G$149,""),$D105*SUMIFS('Session Tracker'!$J$5:$J$149,'Session Tracker'!$D$5:$D$149,$A105,'Session Tracker'!$F$5:$F$149,"Next week",'Session Tracker'!$G$5:$G$149,""))</f>
        <v>0</v>
      </c>
    </row>
    <row r="107" customFormat="false" ht="19.5" hidden="false" customHeight="true" outlineLevel="0" collapsed="false">
      <c r="A107" s="47" t="s">
        <v>94</v>
      </c>
      <c r="B107" s="48" t="s">
        <v>429</v>
      </c>
      <c r="C107" s="48"/>
      <c r="D107" s="48"/>
      <c r="E107" s="48"/>
      <c r="F107" s="49" t="str">
        <f aca="false">"Status: "&amp;'Session Tracker'!F14&amp;IF('Session Tracker'!G14&lt;&gt;""," ("&amp;'Session Tracker'!G14&amp;")","")</f>
        <v>Status: Not started</v>
      </c>
      <c r="G107" s="49"/>
      <c r="H107" s="50"/>
      <c r="I107" s="50"/>
      <c r="J107" s="50"/>
      <c r="K107" s="50"/>
      <c r="L107" s="50"/>
      <c r="M107" s="50"/>
    </row>
    <row r="108" customFormat="false" ht="23.85" hidden="false" customHeight="false" outlineLevel="0" collapsed="false">
      <c r="A108" s="51" t="s">
        <v>94</v>
      </c>
      <c r="B108" s="34" t="s">
        <v>366</v>
      </c>
      <c r="C108" s="34" t="s">
        <v>367</v>
      </c>
      <c r="D108" s="32" t="n">
        <v>1</v>
      </c>
      <c r="E108" s="32" t="s">
        <v>14</v>
      </c>
      <c r="F108" s="32" t="s">
        <v>368</v>
      </c>
      <c r="G108" s="34" t="s">
        <v>416</v>
      </c>
      <c r="H108" s="52" t="n">
        <f aca="false">IF($E108="Per class",$D108*COUNTIFS('Session Tracker'!$D$5:$D$149,$A108,'Session Tracker'!$F$5:$F$149,"Next week",'Session Tracker'!$G$5:$G$149,"Mon"),$D108*SUMIFS('Session Tracker'!$J$5:$J$149,'Session Tracker'!$D$5:$D$149,$A108,'Session Tracker'!$F$5:$F$149,"Next week",'Session Tracker'!$G$5:$G$149,"Mon"))</f>
        <v>0</v>
      </c>
      <c r="I108" s="52" t="n">
        <f aca="false">IF($E108="Per class",$D108*COUNTIFS('Session Tracker'!$D$5:$D$149,$A108,'Session Tracker'!$F$5:$F$149,"Next week",'Session Tracker'!$G$5:$G$149,"Tue"),$D108*SUMIFS('Session Tracker'!$J$5:$J$149,'Session Tracker'!$D$5:$D$149,$A108,'Session Tracker'!$F$5:$F$149,"Next week",'Session Tracker'!$G$5:$G$149,"Tue"))</f>
        <v>0</v>
      </c>
      <c r="J108" s="52" t="n">
        <f aca="false">IF($E108="Per class",$D108*COUNTIFS('Session Tracker'!$D$5:$D$149,$A108,'Session Tracker'!$F$5:$F$149,"Next week",'Session Tracker'!$G$5:$G$149,"Wed"),$D108*SUMIFS('Session Tracker'!$J$5:$J$149,'Session Tracker'!$D$5:$D$149,$A108,'Session Tracker'!$F$5:$F$149,"Next week",'Session Tracker'!$G$5:$G$149,"Wed"))</f>
        <v>0</v>
      </c>
      <c r="K108" s="52" t="n">
        <f aca="false">IF($E108="Per class",$D108*COUNTIFS('Session Tracker'!$D$5:$D$149,$A108,'Session Tracker'!$F$5:$F$149,"Next week",'Session Tracker'!$G$5:$G$149,"Thu"),$D108*SUMIFS('Session Tracker'!$J$5:$J$149,'Session Tracker'!$D$5:$D$149,$A108,'Session Tracker'!$F$5:$F$149,"Next week",'Session Tracker'!$G$5:$G$149,"Thu"))</f>
        <v>0</v>
      </c>
      <c r="L108" s="52" t="n">
        <f aca="false">IF($E108="Per class",$D108*COUNTIFS('Session Tracker'!$D$5:$D$149,$A108,'Session Tracker'!$F$5:$F$149,"Next week",'Session Tracker'!$G$5:$G$149,"Fri"),$D108*SUMIFS('Session Tracker'!$J$5:$J$149,'Session Tracker'!$D$5:$D$149,$A108,'Session Tracker'!$F$5:$F$149,"Next week",'Session Tracker'!$G$5:$G$149,"Fri"))</f>
        <v>0</v>
      </c>
      <c r="M108" s="52" t="n">
        <f aca="false">IF($E108="Per class",$D108*COUNTIFS('Session Tracker'!$D$5:$D$149,$A108,'Session Tracker'!$F$5:$F$149,"Next week",'Session Tracker'!$G$5:$G$149,""),$D108*SUMIFS('Session Tracker'!$J$5:$J$149,'Session Tracker'!$D$5:$D$149,$A108,'Session Tracker'!$F$5:$F$149,"Next week",'Session Tracker'!$G$5:$G$149,""))</f>
        <v>0</v>
      </c>
    </row>
    <row r="109" customFormat="false" ht="15" hidden="false" customHeight="false" outlineLevel="0" collapsed="false">
      <c r="A109" s="51" t="s">
        <v>94</v>
      </c>
      <c r="B109" s="34" t="s">
        <v>369</v>
      </c>
      <c r="C109" s="34" t="s">
        <v>430</v>
      </c>
      <c r="D109" s="32" t="n">
        <v>1</v>
      </c>
      <c r="E109" s="32" t="s">
        <v>14</v>
      </c>
      <c r="F109" s="32" t="s">
        <v>368</v>
      </c>
      <c r="G109" s="34"/>
      <c r="H109" s="52" t="n">
        <f aca="false">IF($E109="Per class",$D109*COUNTIFS('Session Tracker'!$D$5:$D$149,$A109,'Session Tracker'!$F$5:$F$149,"Next week",'Session Tracker'!$G$5:$G$149,"Mon"),$D109*SUMIFS('Session Tracker'!$J$5:$J$149,'Session Tracker'!$D$5:$D$149,$A109,'Session Tracker'!$F$5:$F$149,"Next week",'Session Tracker'!$G$5:$G$149,"Mon"))</f>
        <v>0</v>
      </c>
      <c r="I109" s="52" t="n">
        <f aca="false">IF($E109="Per class",$D109*COUNTIFS('Session Tracker'!$D$5:$D$149,$A109,'Session Tracker'!$F$5:$F$149,"Next week",'Session Tracker'!$G$5:$G$149,"Tue"),$D109*SUMIFS('Session Tracker'!$J$5:$J$149,'Session Tracker'!$D$5:$D$149,$A109,'Session Tracker'!$F$5:$F$149,"Next week",'Session Tracker'!$G$5:$G$149,"Tue"))</f>
        <v>0</v>
      </c>
      <c r="J109" s="52" t="n">
        <f aca="false">IF($E109="Per class",$D109*COUNTIFS('Session Tracker'!$D$5:$D$149,$A109,'Session Tracker'!$F$5:$F$149,"Next week",'Session Tracker'!$G$5:$G$149,"Wed"),$D109*SUMIFS('Session Tracker'!$J$5:$J$149,'Session Tracker'!$D$5:$D$149,$A109,'Session Tracker'!$F$5:$F$149,"Next week",'Session Tracker'!$G$5:$G$149,"Wed"))</f>
        <v>0</v>
      </c>
      <c r="K109" s="52" t="n">
        <f aca="false">IF($E109="Per class",$D109*COUNTIFS('Session Tracker'!$D$5:$D$149,$A109,'Session Tracker'!$F$5:$F$149,"Next week",'Session Tracker'!$G$5:$G$149,"Thu"),$D109*SUMIFS('Session Tracker'!$J$5:$J$149,'Session Tracker'!$D$5:$D$149,$A109,'Session Tracker'!$F$5:$F$149,"Next week",'Session Tracker'!$G$5:$G$149,"Thu"))</f>
        <v>0</v>
      </c>
      <c r="L109" s="52" t="n">
        <f aca="false">IF($E109="Per class",$D109*COUNTIFS('Session Tracker'!$D$5:$D$149,$A109,'Session Tracker'!$F$5:$F$149,"Next week",'Session Tracker'!$G$5:$G$149,"Fri"),$D109*SUMIFS('Session Tracker'!$J$5:$J$149,'Session Tracker'!$D$5:$D$149,$A109,'Session Tracker'!$F$5:$F$149,"Next week",'Session Tracker'!$G$5:$G$149,"Fri"))</f>
        <v>0</v>
      </c>
      <c r="M109" s="52" t="n">
        <f aca="false">IF($E109="Per class",$D109*COUNTIFS('Session Tracker'!$D$5:$D$149,$A109,'Session Tracker'!$F$5:$F$149,"Next week",'Session Tracker'!$G$5:$G$149,""),$D109*SUMIFS('Session Tracker'!$J$5:$J$149,'Session Tracker'!$D$5:$D$149,$A109,'Session Tracker'!$F$5:$F$149,"Next week",'Session Tracker'!$G$5:$G$149,""))</f>
        <v>0</v>
      </c>
    </row>
    <row r="110" customFormat="false" ht="15" hidden="false" customHeight="false" outlineLevel="0" collapsed="false">
      <c r="A110" s="51" t="s">
        <v>94</v>
      </c>
      <c r="B110" s="34" t="s">
        <v>371</v>
      </c>
      <c r="C110" s="34" t="s">
        <v>372</v>
      </c>
      <c r="D110" s="32" t="n">
        <v>2</v>
      </c>
      <c r="E110" s="32" t="s">
        <v>14</v>
      </c>
      <c r="F110" s="32" t="s">
        <v>373</v>
      </c>
      <c r="G110" s="34" t="s">
        <v>431</v>
      </c>
      <c r="H110" s="52" t="n">
        <f aca="false">IF($E110="Per class",$D110*COUNTIFS('Session Tracker'!$D$5:$D$149,$A110,'Session Tracker'!$F$5:$F$149,"Next week",'Session Tracker'!$G$5:$G$149,"Mon"),$D110*SUMIFS('Session Tracker'!$J$5:$J$149,'Session Tracker'!$D$5:$D$149,$A110,'Session Tracker'!$F$5:$F$149,"Next week",'Session Tracker'!$G$5:$G$149,"Mon"))</f>
        <v>0</v>
      </c>
      <c r="I110" s="52" t="n">
        <f aca="false">IF($E110="Per class",$D110*COUNTIFS('Session Tracker'!$D$5:$D$149,$A110,'Session Tracker'!$F$5:$F$149,"Next week",'Session Tracker'!$G$5:$G$149,"Tue"),$D110*SUMIFS('Session Tracker'!$J$5:$J$149,'Session Tracker'!$D$5:$D$149,$A110,'Session Tracker'!$F$5:$F$149,"Next week",'Session Tracker'!$G$5:$G$149,"Tue"))</f>
        <v>0</v>
      </c>
      <c r="J110" s="52" t="n">
        <f aca="false">IF($E110="Per class",$D110*COUNTIFS('Session Tracker'!$D$5:$D$149,$A110,'Session Tracker'!$F$5:$F$149,"Next week",'Session Tracker'!$G$5:$G$149,"Wed"),$D110*SUMIFS('Session Tracker'!$J$5:$J$149,'Session Tracker'!$D$5:$D$149,$A110,'Session Tracker'!$F$5:$F$149,"Next week",'Session Tracker'!$G$5:$G$149,"Wed"))</f>
        <v>0</v>
      </c>
      <c r="K110" s="52" t="n">
        <f aca="false">IF($E110="Per class",$D110*COUNTIFS('Session Tracker'!$D$5:$D$149,$A110,'Session Tracker'!$F$5:$F$149,"Next week",'Session Tracker'!$G$5:$G$149,"Thu"),$D110*SUMIFS('Session Tracker'!$J$5:$J$149,'Session Tracker'!$D$5:$D$149,$A110,'Session Tracker'!$F$5:$F$149,"Next week",'Session Tracker'!$G$5:$G$149,"Thu"))</f>
        <v>0</v>
      </c>
      <c r="L110" s="52" t="n">
        <f aca="false">IF($E110="Per class",$D110*COUNTIFS('Session Tracker'!$D$5:$D$149,$A110,'Session Tracker'!$F$5:$F$149,"Next week",'Session Tracker'!$G$5:$G$149,"Fri"),$D110*SUMIFS('Session Tracker'!$J$5:$J$149,'Session Tracker'!$D$5:$D$149,$A110,'Session Tracker'!$F$5:$F$149,"Next week",'Session Tracker'!$G$5:$G$149,"Fri"))</f>
        <v>0</v>
      </c>
      <c r="M110" s="52" t="n">
        <f aca="false">IF($E110="Per class",$D110*COUNTIFS('Session Tracker'!$D$5:$D$149,$A110,'Session Tracker'!$F$5:$F$149,"Next week",'Session Tracker'!$G$5:$G$149,""),$D110*SUMIFS('Session Tracker'!$J$5:$J$149,'Session Tracker'!$D$5:$D$149,$A110,'Session Tracker'!$F$5:$F$149,"Next week",'Session Tracker'!$G$5:$G$149,""))</f>
        <v>0</v>
      </c>
    </row>
    <row r="111" customFormat="false" ht="15" hidden="false" customHeight="false" outlineLevel="0" collapsed="false">
      <c r="A111" s="51" t="s">
        <v>94</v>
      </c>
      <c r="B111" s="34" t="s">
        <v>375</v>
      </c>
      <c r="C111" s="34" t="s">
        <v>376</v>
      </c>
      <c r="D111" s="32" t="n">
        <v>2</v>
      </c>
      <c r="E111" s="32" t="s">
        <v>14</v>
      </c>
      <c r="F111" s="32" t="s">
        <v>373</v>
      </c>
      <c r="G111" s="34"/>
      <c r="H111" s="52" t="n">
        <f aca="false">IF($E111="Per class",$D111*COUNTIFS('Session Tracker'!$D$5:$D$149,$A111,'Session Tracker'!$F$5:$F$149,"Next week",'Session Tracker'!$G$5:$G$149,"Mon"),$D111*SUMIFS('Session Tracker'!$J$5:$J$149,'Session Tracker'!$D$5:$D$149,$A111,'Session Tracker'!$F$5:$F$149,"Next week",'Session Tracker'!$G$5:$G$149,"Mon"))</f>
        <v>0</v>
      </c>
      <c r="I111" s="52" t="n">
        <f aca="false">IF($E111="Per class",$D111*COUNTIFS('Session Tracker'!$D$5:$D$149,$A111,'Session Tracker'!$F$5:$F$149,"Next week",'Session Tracker'!$G$5:$G$149,"Tue"),$D111*SUMIFS('Session Tracker'!$J$5:$J$149,'Session Tracker'!$D$5:$D$149,$A111,'Session Tracker'!$F$5:$F$149,"Next week",'Session Tracker'!$G$5:$G$149,"Tue"))</f>
        <v>0</v>
      </c>
      <c r="J111" s="52" t="n">
        <f aca="false">IF($E111="Per class",$D111*COUNTIFS('Session Tracker'!$D$5:$D$149,$A111,'Session Tracker'!$F$5:$F$149,"Next week",'Session Tracker'!$G$5:$G$149,"Wed"),$D111*SUMIFS('Session Tracker'!$J$5:$J$149,'Session Tracker'!$D$5:$D$149,$A111,'Session Tracker'!$F$5:$F$149,"Next week",'Session Tracker'!$G$5:$G$149,"Wed"))</f>
        <v>0</v>
      </c>
      <c r="K111" s="52" t="n">
        <f aca="false">IF($E111="Per class",$D111*COUNTIFS('Session Tracker'!$D$5:$D$149,$A111,'Session Tracker'!$F$5:$F$149,"Next week",'Session Tracker'!$G$5:$G$149,"Thu"),$D111*SUMIFS('Session Tracker'!$J$5:$J$149,'Session Tracker'!$D$5:$D$149,$A111,'Session Tracker'!$F$5:$F$149,"Next week",'Session Tracker'!$G$5:$G$149,"Thu"))</f>
        <v>0</v>
      </c>
      <c r="L111" s="52" t="n">
        <f aca="false">IF($E111="Per class",$D111*COUNTIFS('Session Tracker'!$D$5:$D$149,$A111,'Session Tracker'!$F$5:$F$149,"Next week",'Session Tracker'!$G$5:$G$149,"Fri"),$D111*SUMIFS('Session Tracker'!$J$5:$J$149,'Session Tracker'!$D$5:$D$149,$A111,'Session Tracker'!$F$5:$F$149,"Next week",'Session Tracker'!$G$5:$G$149,"Fri"))</f>
        <v>0</v>
      </c>
      <c r="M111" s="52" t="n">
        <f aca="false">IF($E111="Per class",$D111*COUNTIFS('Session Tracker'!$D$5:$D$149,$A111,'Session Tracker'!$F$5:$F$149,"Next week",'Session Tracker'!$G$5:$G$149,""),$D111*SUMIFS('Session Tracker'!$J$5:$J$149,'Session Tracker'!$D$5:$D$149,$A111,'Session Tracker'!$F$5:$F$149,"Next week",'Session Tracker'!$G$5:$G$149,""))</f>
        <v>0</v>
      </c>
    </row>
    <row r="112" customFormat="false" ht="15" hidden="false" customHeight="false" outlineLevel="0" collapsed="false">
      <c r="A112" s="51" t="s">
        <v>94</v>
      </c>
      <c r="B112" s="34" t="s">
        <v>375</v>
      </c>
      <c r="C112" s="34" t="s">
        <v>417</v>
      </c>
      <c r="D112" s="32" t="n">
        <v>1</v>
      </c>
      <c r="E112" s="32" t="s">
        <v>14</v>
      </c>
      <c r="F112" s="32" t="s">
        <v>373</v>
      </c>
      <c r="G112" s="34"/>
      <c r="H112" s="52" t="n">
        <f aca="false">IF($E112="Per class",$D112*COUNTIFS('Session Tracker'!$D$5:$D$149,$A112,'Session Tracker'!$F$5:$F$149,"Next week",'Session Tracker'!$G$5:$G$149,"Mon"),$D112*SUMIFS('Session Tracker'!$J$5:$J$149,'Session Tracker'!$D$5:$D$149,$A112,'Session Tracker'!$F$5:$F$149,"Next week",'Session Tracker'!$G$5:$G$149,"Mon"))</f>
        <v>0</v>
      </c>
      <c r="I112" s="52" t="n">
        <f aca="false">IF($E112="Per class",$D112*COUNTIFS('Session Tracker'!$D$5:$D$149,$A112,'Session Tracker'!$F$5:$F$149,"Next week",'Session Tracker'!$G$5:$G$149,"Tue"),$D112*SUMIFS('Session Tracker'!$J$5:$J$149,'Session Tracker'!$D$5:$D$149,$A112,'Session Tracker'!$F$5:$F$149,"Next week",'Session Tracker'!$G$5:$G$149,"Tue"))</f>
        <v>0</v>
      </c>
      <c r="J112" s="52" t="n">
        <f aca="false">IF($E112="Per class",$D112*COUNTIFS('Session Tracker'!$D$5:$D$149,$A112,'Session Tracker'!$F$5:$F$149,"Next week",'Session Tracker'!$G$5:$G$149,"Wed"),$D112*SUMIFS('Session Tracker'!$J$5:$J$149,'Session Tracker'!$D$5:$D$149,$A112,'Session Tracker'!$F$5:$F$149,"Next week",'Session Tracker'!$G$5:$G$149,"Wed"))</f>
        <v>0</v>
      </c>
      <c r="K112" s="52" t="n">
        <f aca="false">IF($E112="Per class",$D112*COUNTIFS('Session Tracker'!$D$5:$D$149,$A112,'Session Tracker'!$F$5:$F$149,"Next week",'Session Tracker'!$G$5:$G$149,"Thu"),$D112*SUMIFS('Session Tracker'!$J$5:$J$149,'Session Tracker'!$D$5:$D$149,$A112,'Session Tracker'!$F$5:$F$149,"Next week",'Session Tracker'!$G$5:$G$149,"Thu"))</f>
        <v>0</v>
      </c>
      <c r="L112" s="52" t="n">
        <f aca="false">IF($E112="Per class",$D112*COUNTIFS('Session Tracker'!$D$5:$D$149,$A112,'Session Tracker'!$F$5:$F$149,"Next week",'Session Tracker'!$G$5:$G$149,"Fri"),$D112*SUMIFS('Session Tracker'!$J$5:$J$149,'Session Tracker'!$D$5:$D$149,$A112,'Session Tracker'!$F$5:$F$149,"Next week",'Session Tracker'!$G$5:$G$149,"Fri"))</f>
        <v>0</v>
      </c>
      <c r="M112" s="52" t="n">
        <f aca="false">IF($E112="Per class",$D112*COUNTIFS('Session Tracker'!$D$5:$D$149,$A112,'Session Tracker'!$F$5:$F$149,"Next week",'Session Tracker'!$G$5:$G$149,""),$D112*SUMIFS('Session Tracker'!$J$5:$J$149,'Session Tracker'!$D$5:$D$149,$A112,'Session Tracker'!$F$5:$F$149,"Next week",'Session Tracker'!$G$5:$G$149,""))</f>
        <v>0</v>
      </c>
    </row>
    <row r="113" customFormat="false" ht="15" hidden="false" customHeight="false" outlineLevel="0" collapsed="false">
      <c r="A113" s="51" t="s">
        <v>94</v>
      </c>
      <c r="B113" s="34" t="s">
        <v>379</v>
      </c>
      <c r="C113" s="34" t="s">
        <v>380</v>
      </c>
      <c r="D113" s="32" t="n">
        <v>1</v>
      </c>
      <c r="E113" s="32" t="s">
        <v>14</v>
      </c>
      <c r="F113" s="32" t="s">
        <v>368</v>
      </c>
      <c r="G113" s="34"/>
      <c r="H113" s="52" t="n">
        <f aca="false">IF($E113="Per class",$D113*COUNTIFS('Session Tracker'!$D$5:$D$149,$A113,'Session Tracker'!$F$5:$F$149,"Next week",'Session Tracker'!$G$5:$G$149,"Mon"),$D113*SUMIFS('Session Tracker'!$J$5:$J$149,'Session Tracker'!$D$5:$D$149,$A113,'Session Tracker'!$F$5:$F$149,"Next week",'Session Tracker'!$G$5:$G$149,"Mon"))</f>
        <v>0</v>
      </c>
      <c r="I113" s="52" t="n">
        <f aca="false">IF($E113="Per class",$D113*COUNTIFS('Session Tracker'!$D$5:$D$149,$A113,'Session Tracker'!$F$5:$F$149,"Next week",'Session Tracker'!$G$5:$G$149,"Tue"),$D113*SUMIFS('Session Tracker'!$J$5:$J$149,'Session Tracker'!$D$5:$D$149,$A113,'Session Tracker'!$F$5:$F$149,"Next week",'Session Tracker'!$G$5:$G$149,"Tue"))</f>
        <v>0</v>
      </c>
      <c r="J113" s="52" t="n">
        <f aca="false">IF($E113="Per class",$D113*COUNTIFS('Session Tracker'!$D$5:$D$149,$A113,'Session Tracker'!$F$5:$F$149,"Next week",'Session Tracker'!$G$5:$G$149,"Wed"),$D113*SUMIFS('Session Tracker'!$J$5:$J$149,'Session Tracker'!$D$5:$D$149,$A113,'Session Tracker'!$F$5:$F$149,"Next week",'Session Tracker'!$G$5:$G$149,"Wed"))</f>
        <v>0</v>
      </c>
      <c r="K113" s="52" t="n">
        <f aca="false">IF($E113="Per class",$D113*COUNTIFS('Session Tracker'!$D$5:$D$149,$A113,'Session Tracker'!$F$5:$F$149,"Next week",'Session Tracker'!$G$5:$G$149,"Thu"),$D113*SUMIFS('Session Tracker'!$J$5:$J$149,'Session Tracker'!$D$5:$D$149,$A113,'Session Tracker'!$F$5:$F$149,"Next week",'Session Tracker'!$G$5:$G$149,"Thu"))</f>
        <v>0</v>
      </c>
      <c r="L113" s="52" t="n">
        <f aca="false">IF($E113="Per class",$D113*COUNTIFS('Session Tracker'!$D$5:$D$149,$A113,'Session Tracker'!$F$5:$F$149,"Next week",'Session Tracker'!$G$5:$G$149,"Fri"),$D113*SUMIFS('Session Tracker'!$J$5:$J$149,'Session Tracker'!$D$5:$D$149,$A113,'Session Tracker'!$F$5:$F$149,"Next week",'Session Tracker'!$G$5:$G$149,"Fri"))</f>
        <v>0</v>
      </c>
      <c r="M113" s="52" t="n">
        <f aca="false">IF($E113="Per class",$D113*COUNTIFS('Session Tracker'!$D$5:$D$149,$A113,'Session Tracker'!$F$5:$F$149,"Next week",'Session Tracker'!$G$5:$G$149,""),$D113*SUMIFS('Session Tracker'!$J$5:$J$149,'Session Tracker'!$D$5:$D$149,$A113,'Session Tracker'!$F$5:$F$149,"Next week",'Session Tracker'!$G$5:$G$149,""))</f>
        <v>0</v>
      </c>
    </row>
    <row r="114" customFormat="false" ht="15" hidden="false" customHeight="false" outlineLevel="0" collapsed="false">
      <c r="A114" s="51" t="s">
        <v>94</v>
      </c>
      <c r="B114" s="34" t="s">
        <v>379</v>
      </c>
      <c r="C114" s="34" t="s">
        <v>381</v>
      </c>
      <c r="D114" s="32" t="n">
        <v>6</v>
      </c>
      <c r="E114" s="32" t="s">
        <v>14</v>
      </c>
      <c r="F114" s="32" t="s">
        <v>368</v>
      </c>
      <c r="G114" s="34"/>
      <c r="H114" s="52" t="n">
        <f aca="false">IF($E114="Per class",$D114*COUNTIFS('Session Tracker'!$D$5:$D$149,$A114,'Session Tracker'!$F$5:$F$149,"Next week",'Session Tracker'!$G$5:$G$149,"Mon"),$D114*SUMIFS('Session Tracker'!$J$5:$J$149,'Session Tracker'!$D$5:$D$149,$A114,'Session Tracker'!$F$5:$F$149,"Next week",'Session Tracker'!$G$5:$G$149,"Mon"))</f>
        <v>0</v>
      </c>
      <c r="I114" s="52" t="n">
        <f aca="false">IF($E114="Per class",$D114*COUNTIFS('Session Tracker'!$D$5:$D$149,$A114,'Session Tracker'!$F$5:$F$149,"Next week",'Session Tracker'!$G$5:$G$149,"Tue"),$D114*SUMIFS('Session Tracker'!$J$5:$J$149,'Session Tracker'!$D$5:$D$149,$A114,'Session Tracker'!$F$5:$F$149,"Next week",'Session Tracker'!$G$5:$G$149,"Tue"))</f>
        <v>0</v>
      </c>
      <c r="J114" s="52" t="n">
        <f aca="false">IF($E114="Per class",$D114*COUNTIFS('Session Tracker'!$D$5:$D$149,$A114,'Session Tracker'!$F$5:$F$149,"Next week",'Session Tracker'!$G$5:$G$149,"Wed"),$D114*SUMIFS('Session Tracker'!$J$5:$J$149,'Session Tracker'!$D$5:$D$149,$A114,'Session Tracker'!$F$5:$F$149,"Next week",'Session Tracker'!$G$5:$G$149,"Wed"))</f>
        <v>0</v>
      </c>
      <c r="K114" s="52" t="n">
        <f aca="false">IF($E114="Per class",$D114*COUNTIFS('Session Tracker'!$D$5:$D$149,$A114,'Session Tracker'!$F$5:$F$149,"Next week",'Session Tracker'!$G$5:$G$149,"Thu"),$D114*SUMIFS('Session Tracker'!$J$5:$J$149,'Session Tracker'!$D$5:$D$149,$A114,'Session Tracker'!$F$5:$F$149,"Next week",'Session Tracker'!$G$5:$G$149,"Thu"))</f>
        <v>0</v>
      </c>
      <c r="L114" s="52" t="n">
        <f aca="false">IF($E114="Per class",$D114*COUNTIFS('Session Tracker'!$D$5:$D$149,$A114,'Session Tracker'!$F$5:$F$149,"Next week",'Session Tracker'!$G$5:$G$149,"Fri"),$D114*SUMIFS('Session Tracker'!$J$5:$J$149,'Session Tracker'!$D$5:$D$149,$A114,'Session Tracker'!$F$5:$F$149,"Next week",'Session Tracker'!$G$5:$G$149,"Fri"))</f>
        <v>0</v>
      </c>
      <c r="M114" s="52" t="n">
        <f aca="false">IF($E114="Per class",$D114*COUNTIFS('Session Tracker'!$D$5:$D$149,$A114,'Session Tracker'!$F$5:$F$149,"Next week",'Session Tracker'!$G$5:$G$149,""),$D114*SUMIFS('Session Tracker'!$J$5:$J$149,'Session Tracker'!$D$5:$D$149,$A114,'Session Tracker'!$F$5:$F$149,"Next week",'Session Tracker'!$G$5:$G$149,""))</f>
        <v>0</v>
      </c>
    </row>
    <row r="115" customFormat="false" ht="15" hidden="false" customHeight="false" outlineLevel="0" collapsed="false">
      <c r="A115" s="51" t="s">
        <v>94</v>
      </c>
      <c r="B115" s="34" t="s">
        <v>382</v>
      </c>
      <c r="C115" s="34" t="s">
        <v>383</v>
      </c>
      <c r="D115" s="32" t="n">
        <v>1</v>
      </c>
      <c r="E115" s="32" t="s">
        <v>14</v>
      </c>
      <c r="F115" s="32" t="s">
        <v>368</v>
      </c>
      <c r="G115" s="34"/>
      <c r="H115" s="52" t="n">
        <f aca="false">IF($E115="Per class",$D115*COUNTIFS('Session Tracker'!$D$5:$D$149,$A115,'Session Tracker'!$F$5:$F$149,"Next week",'Session Tracker'!$G$5:$G$149,"Mon"),$D115*SUMIFS('Session Tracker'!$J$5:$J$149,'Session Tracker'!$D$5:$D$149,$A115,'Session Tracker'!$F$5:$F$149,"Next week",'Session Tracker'!$G$5:$G$149,"Mon"))</f>
        <v>0</v>
      </c>
      <c r="I115" s="52" t="n">
        <f aca="false">IF($E115="Per class",$D115*COUNTIFS('Session Tracker'!$D$5:$D$149,$A115,'Session Tracker'!$F$5:$F$149,"Next week",'Session Tracker'!$G$5:$G$149,"Tue"),$D115*SUMIFS('Session Tracker'!$J$5:$J$149,'Session Tracker'!$D$5:$D$149,$A115,'Session Tracker'!$F$5:$F$149,"Next week",'Session Tracker'!$G$5:$G$149,"Tue"))</f>
        <v>0</v>
      </c>
      <c r="J115" s="52" t="n">
        <f aca="false">IF($E115="Per class",$D115*COUNTIFS('Session Tracker'!$D$5:$D$149,$A115,'Session Tracker'!$F$5:$F$149,"Next week",'Session Tracker'!$G$5:$G$149,"Wed"),$D115*SUMIFS('Session Tracker'!$J$5:$J$149,'Session Tracker'!$D$5:$D$149,$A115,'Session Tracker'!$F$5:$F$149,"Next week",'Session Tracker'!$G$5:$G$149,"Wed"))</f>
        <v>0</v>
      </c>
      <c r="K115" s="52" t="n">
        <f aca="false">IF($E115="Per class",$D115*COUNTIFS('Session Tracker'!$D$5:$D$149,$A115,'Session Tracker'!$F$5:$F$149,"Next week",'Session Tracker'!$G$5:$G$149,"Thu"),$D115*SUMIFS('Session Tracker'!$J$5:$J$149,'Session Tracker'!$D$5:$D$149,$A115,'Session Tracker'!$F$5:$F$149,"Next week",'Session Tracker'!$G$5:$G$149,"Thu"))</f>
        <v>0</v>
      </c>
      <c r="L115" s="52" t="n">
        <f aca="false">IF($E115="Per class",$D115*COUNTIFS('Session Tracker'!$D$5:$D$149,$A115,'Session Tracker'!$F$5:$F$149,"Next week",'Session Tracker'!$G$5:$G$149,"Fri"),$D115*SUMIFS('Session Tracker'!$J$5:$J$149,'Session Tracker'!$D$5:$D$149,$A115,'Session Tracker'!$F$5:$F$149,"Next week",'Session Tracker'!$G$5:$G$149,"Fri"))</f>
        <v>0</v>
      </c>
      <c r="M115" s="52" t="n">
        <f aca="false">IF($E115="Per class",$D115*COUNTIFS('Session Tracker'!$D$5:$D$149,$A115,'Session Tracker'!$F$5:$F$149,"Next week",'Session Tracker'!$G$5:$G$149,""),$D115*SUMIFS('Session Tracker'!$J$5:$J$149,'Session Tracker'!$D$5:$D$149,$A115,'Session Tracker'!$F$5:$F$149,"Next week",'Session Tracker'!$G$5:$G$149,""))</f>
        <v>0</v>
      </c>
    </row>
    <row r="116" customFormat="false" ht="15" hidden="false" customHeight="false" outlineLevel="0" collapsed="false">
      <c r="A116" s="51" t="s">
        <v>94</v>
      </c>
      <c r="B116" s="34" t="s">
        <v>377</v>
      </c>
      <c r="C116" s="34" t="s">
        <v>378</v>
      </c>
      <c r="D116" s="32" t="n">
        <v>1</v>
      </c>
      <c r="E116" s="32" t="s">
        <v>14</v>
      </c>
      <c r="F116" s="32" t="s">
        <v>368</v>
      </c>
      <c r="G116" s="34" t="s">
        <v>389</v>
      </c>
      <c r="H116" s="52" t="n">
        <f aca="false">IF($E116="Per class",$D116*COUNTIFS('Session Tracker'!$D$5:$D$149,$A116,'Session Tracker'!$F$5:$F$149,"Next week",'Session Tracker'!$G$5:$G$149,"Mon"),$D116*SUMIFS('Session Tracker'!$J$5:$J$149,'Session Tracker'!$D$5:$D$149,$A116,'Session Tracker'!$F$5:$F$149,"Next week",'Session Tracker'!$G$5:$G$149,"Mon"))</f>
        <v>0</v>
      </c>
      <c r="I116" s="52" t="n">
        <f aca="false">IF($E116="Per class",$D116*COUNTIFS('Session Tracker'!$D$5:$D$149,$A116,'Session Tracker'!$F$5:$F$149,"Next week",'Session Tracker'!$G$5:$G$149,"Tue"),$D116*SUMIFS('Session Tracker'!$J$5:$J$149,'Session Tracker'!$D$5:$D$149,$A116,'Session Tracker'!$F$5:$F$149,"Next week",'Session Tracker'!$G$5:$G$149,"Tue"))</f>
        <v>0</v>
      </c>
      <c r="J116" s="52" t="n">
        <f aca="false">IF($E116="Per class",$D116*COUNTIFS('Session Tracker'!$D$5:$D$149,$A116,'Session Tracker'!$F$5:$F$149,"Next week",'Session Tracker'!$G$5:$G$149,"Wed"),$D116*SUMIFS('Session Tracker'!$J$5:$J$149,'Session Tracker'!$D$5:$D$149,$A116,'Session Tracker'!$F$5:$F$149,"Next week",'Session Tracker'!$G$5:$G$149,"Wed"))</f>
        <v>0</v>
      </c>
      <c r="K116" s="52" t="n">
        <f aca="false">IF($E116="Per class",$D116*COUNTIFS('Session Tracker'!$D$5:$D$149,$A116,'Session Tracker'!$F$5:$F$149,"Next week",'Session Tracker'!$G$5:$G$149,"Thu"),$D116*SUMIFS('Session Tracker'!$J$5:$J$149,'Session Tracker'!$D$5:$D$149,$A116,'Session Tracker'!$F$5:$F$149,"Next week",'Session Tracker'!$G$5:$G$149,"Thu"))</f>
        <v>0</v>
      </c>
      <c r="L116" s="52" t="n">
        <f aca="false">IF($E116="Per class",$D116*COUNTIFS('Session Tracker'!$D$5:$D$149,$A116,'Session Tracker'!$F$5:$F$149,"Next week",'Session Tracker'!$G$5:$G$149,"Fri"),$D116*SUMIFS('Session Tracker'!$J$5:$J$149,'Session Tracker'!$D$5:$D$149,$A116,'Session Tracker'!$F$5:$F$149,"Next week",'Session Tracker'!$G$5:$G$149,"Fri"))</f>
        <v>0</v>
      </c>
      <c r="M116" s="52" t="n">
        <f aca="false">IF($E116="Per class",$D116*COUNTIFS('Session Tracker'!$D$5:$D$149,$A116,'Session Tracker'!$F$5:$F$149,"Next week",'Session Tracker'!$G$5:$G$149,""),$D116*SUMIFS('Session Tracker'!$J$5:$J$149,'Session Tracker'!$D$5:$D$149,$A116,'Session Tracker'!$F$5:$F$149,"Next week",'Session Tracker'!$G$5:$G$149,""))</f>
        <v>0</v>
      </c>
    </row>
    <row r="117" customFormat="false" ht="15" hidden="false" customHeight="false" outlineLevel="0" collapsed="false">
      <c r="A117" s="53" t="s">
        <v>94</v>
      </c>
      <c r="B117" s="54"/>
      <c r="C117" s="54"/>
      <c r="D117" s="54"/>
      <c r="E117" s="54"/>
      <c r="F117" s="54"/>
      <c r="G117" s="54"/>
      <c r="H117" s="52" t="n">
        <f aca="false">IF($E117="Per class",$D117*COUNTIFS('Session Tracker'!$D$5:$D$149,$A117,'Session Tracker'!$F$5:$F$149,"Next week",'Session Tracker'!$G$5:$G$149,"Mon"),$D117*SUMIFS('Session Tracker'!$J$5:$J$149,'Session Tracker'!$D$5:$D$149,$A117,'Session Tracker'!$F$5:$F$149,"Next week",'Session Tracker'!$G$5:$G$149,"Mon"))</f>
        <v>0</v>
      </c>
      <c r="I117" s="52" t="n">
        <f aca="false">IF($E117="Per class",$D117*COUNTIFS('Session Tracker'!$D$5:$D$149,$A117,'Session Tracker'!$F$5:$F$149,"Next week",'Session Tracker'!$G$5:$G$149,"Tue"),$D117*SUMIFS('Session Tracker'!$J$5:$J$149,'Session Tracker'!$D$5:$D$149,$A117,'Session Tracker'!$F$5:$F$149,"Next week",'Session Tracker'!$G$5:$G$149,"Tue"))</f>
        <v>0</v>
      </c>
      <c r="J117" s="52" t="n">
        <f aca="false">IF($E117="Per class",$D117*COUNTIFS('Session Tracker'!$D$5:$D$149,$A117,'Session Tracker'!$F$5:$F$149,"Next week",'Session Tracker'!$G$5:$G$149,"Wed"),$D117*SUMIFS('Session Tracker'!$J$5:$J$149,'Session Tracker'!$D$5:$D$149,$A117,'Session Tracker'!$F$5:$F$149,"Next week",'Session Tracker'!$G$5:$G$149,"Wed"))</f>
        <v>0</v>
      </c>
      <c r="K117" s="52" t="n">
        <f aca="false">IF($E117="Per class",$D117*COUNTIFS('Session Tracker'!$D$5:$D$149,$A117,'Session Tracker'!$F$5:$F$149,"Next week",'Session Tracker'!$G$5:$G$149,"Thu"),$D117*SUMIFS('Session Tracker'!$J$5:$J$149,'Session Tracker'!$D$5:$D$149,$A117,'Session Tracker'!$F$5:$F$149,"Next week",'Session Tracker'!$G$5:$G$149,"Thu"))</f>
        <v>0</v>
      </c>
      <c r="L117" s="52" t="n">
        <f aca="false">IF($E117="Per class",$D117*COUNTIFS('Session Tracker'!$D$5:$D$149,$A117,'Session Tracker'!$F$5:$F$149,"Next week",'Session Tracker'!$G$5:$G$149,"Fri"),$D117*SUMIFS('Session Tracker'!$J$5:$J$149,'Session Tracker'!$D$5:$D$149,$A117,'Session Tracker'!$F$5:$F$149,"Next week",'Session Tracker'!$G$5:$G$149,"Fri"))</f>
        <v>0</v>
      </c>
      <c r="M117" s="52" t="n">
        <f aca="false">IF($E117="Per class",$D117*COUNTIFS('Session Tracker'!$D$5:$D$149,$A117,'Session Tracker'!$F$5:$F$149,"Next week",'Session Tracker'!$G$5:$G$149,""),$D117*SUMIFS('Session Tracker'!$J$5:$J$149,'Session Tracker'!$D$5:$D$149,$A117,'Session Tracker'!$F$5:$F$149,"Next week",'Session Tracker'!$G$5:$G$149,""))</f>
        <v>0</v>
      </c>
    </row>
    <row r="118" customFormat="false" ht="15" hidden="false" customHeight="false" outlineLevel="0" collapsed="false">
      <c r="A118" s="53" t="s">
        <v>94</v>
      </c>
      <c r="B118" s="54"/>
      <c r="C118" s="54"/>
      <c r="D118" s="54"/>
      <c r="E118" s="54"/>
      <c r="F118" s="54"/>
      <c r="G118" s="54"/>
      <c r="H118" s="52" t="n">
        <f aca="false">IF($E118="Per class",$D118*COUNTIFS('Session Tracker'!$D$5:$D$149,$A118,'Session Tracker'!$F$5:$F$149,"Next week",'Session Tracker'!$G$5:$G$149,"Mon"),$D118*SUMIFS('Session Tracker'!$J$5:$J$149,'Session Tracker'!$D$5:$D$149,$A118,'Session Tracker'!$F$5:$F$149,"Next week",'Session Tracker'!$G$5:$G$149,"Mon"))</f>
        <v>0</v>
      </c>
      <c r="I118" s="52" t="n">
        <f aca="false">IF($E118="Per class",$D118*COUNTIFS('Session Tracker'!$D$5:$D$149,$A118,'Session Tracker'!$F$5:$F$149,"Next week",'Session Tracker'!$G$5:$G$149,"Tue"),$D118*SUMIFS('Session Tracker'!$J$5:$J$149,'Session Tracker'!$D$5:$D$149,$A118,'Session Tracker'!$F$5:$F$149,"Next week",'Session Tracker'!$G$5:$G$149,"Tue"))</f>
        <v>0</v>
      </c>
      <c r="J118" s="52" t="n">
        <f aca="false">IF($E118="Per class",$D118*COUNTIFS('Session Tracker'!$D$5:$D$149,$A118,'Session Tracker'!$F$5:$F$149,"Next week",'Session Tracker'!$G$5:$G$149,"Wed"),$D118*SUMIFS('Session Tracker'!$J$5:$J$149,'Session Tracker'!$D$5:$D$149,$A118,'Session Tracker'!$F$5:$F$149,"Next week",'Session Tracker'!$G$5:$G$149,"Wed"))</f>
        <v>0</v>
      </c>
      <c r="K118" s="52" t="n">
        <f aca="false">IF($E118="Per class",$D118*COUNTIFS('Session Tracker'!$D$5:$D$149,$A118,'Session Tracker'!$F$5:$F$149,"Next week",'Session Tracker'!$G$5:$G$149,"Thu"),$D118*SUMIFS('Session Tracker'!$J$5:$J$149,'Session Tracker'!$D$5:$D$149,$A118,'Session Tracker'!$F$5:$F$149,"Next week",'Session Tracker'!$G$5:$G$149,"Thu"))</f>
        <v>0</v>
      </c>
      <c r="L118" s="52" t="n">
        <f aca="false">IF($E118="Per class",$D118*COUNTIFS('Session Tracker'!$D$5:$D$149,$A118,'Session Tracker'!$F$5:$F$149,"Next week",'Session Tracker'!$G$5:$G$149,"Fri"),$D118*SUMIFS('Session Tracker'!$J$5:$J$149,'Session Tracker'!$D$5:$D$149,$A118,'Session Tracker'!$F$5:$F$149,"Next week",'Session Tracker'!$G$5:$G$149,"Fri"))</f>
        <v>0</v>
      </c>
      <c r="M118" s="52" t="n">
        <f aca="false">IF($E118="Per class",$D118*COUNTIFS('Session Tracker'!$D$5:$D$149,$A118,'Session Tracker'!$F$5:$F$149,"Next week",'Session Tracker'!$G$5:$G$149,""),$D118*SUMIFS('Session Tracker'!$J$5:$J$149,'Session Tracker'!$D$5:$D$149,$A118,'Session Tracker'!$F$5:$F$149,"Next week",'Session Tracker'!$G$5:$G$149,""))</f>
        <v>0</v>
      </c>
    </row>
    <row r="120" customFormat="false" ht="19.5" hidden="false" customHeight="true" outlineLevel="0" collapsed="false">
      <c r="A120" s="47" t="s">
        <v>96</v>
      </c>
      <c r="B120" s="48" t="s">
        <v>432</v>
      </c>
      <c r="C120" s="48"/>
      <c r="D120" s="48"/>
      <c r="E120" s="48"/>
      <c r="F120" s="49" t="str">
        <f aca="false">"Status: "&amp;'Session Tracker'!F15&amp;IF('Session Tracker'!G15&lt;&gt;""," ("&amp;'Session Tracker'!G15&amp;")","")</f>
        <v>Status: Not started</v>
      </c>
      <c r="G120" s="49"/>
      <c r="H120" s="50"/>
      <c r="I120" s="50"/>
      <c r="J120" s="50"/>
      <c r="K120" s="50"/>
      <c r="L120" s="50"/>
      <c r="M120" s="50"/>
    </row>
    <row r="121" customFormat="false" ht="23.85" hidden="false" customHeight="false" outlineLevel="0" collapsed="false">
      <c r="A121" s="51" t="s">
        <v>96</v>
      </c>
      <c r="B121" s="34" t="s">
        <v>366</v>
      </c>
      <c r="C121" s="34" t="s">
        <v>367</v>
      </c>
      <c r="D121" s="32" t="n">
        <v>1</v>
      </c>
      <c r="E121" s="32" t="s">
        <v>14</v>
      </c>
      <c r="F121" s="32" t="s">
        <v>368</v>
      </c>
      <c r="G121" s="34" t="s">
        <v>416</v>
      </c>
      <c r="H121" s="52" t="n">
        <f aca="false">IF($E121="Per class",$D121*COUNTIFS('Session Tracker'!$D$5:$D$149,$A121,'Session Tracker'!$F$5:$F$149,"Next week",'Session Tracker'!$G$5:$G$149,"Mon"),$D121*SUMIFS('Session Tracker'!$J$5:$J$149,'Session Tracker'!$D$5:$D$149,$A121,'Session Tracker'!$F$5:$F$149,"Next week",'Session Tracker'!$G$5:$G$149,"Mon"))</f>
        <v>0</v>
      </c>
      <c r="I121" s="52" t="n">
        <f aca="false">IF($E121="Per class",$D121*COUNTIFS('Session Tracker'!$D$5:$D$149,$A121,'Session Tracker'!$F$5:$F$149,"Next week",'Session Tracker'!$G$5:$G$149,"Tue"),$D121*SUMIFS('Session Tracker'!$J$5:$J$149,'Session Tracker'!$D$5:$D$149,$A121,'Session Tracker'!$F$5:$F$149,"Next week",'Session Tracker'!$G$5:$G$149,"Tue"))</f>
        <v>0</v>
      </c>
      <c r="J121" s="52" t="n">
        <f aca="false">IF($E121="Per class",$D121*COUNTIFS('Session Tracker'!$D$5:$D$149,$A121,'Session Tracker'!$F$5:$F$149,"Next week",'Session Tracker'!$G$5:$G$149,"Wed"),$D121*SUMIFS('Session Tracker'!$J$5:$J$149,'Session Tracker'!$D$5:$D$149,$A121,'Session Tracker'!$F$5:$F$149,"Next week",'Session Tracker'!$G$5:$G$149,"Wed"))</f>
        <v>0</v>
      </c>
      <c r="K121" s="52" t="n">
        <f aca="false">IF($E121="Per class",$D121*COUNTIFS('Session Tracker'!$D$5:$D$149,$A121,'Session Tracker'!$F$5:$F$149,"Next week",'Session Tracker'!$G$5:$G$149,"Thu"),$D121*SUMIFS('Session Tracker'!$J$5:$J$149,'Session Tracker'!$D$5:$D$149,$A121,'Session Tracker'!$F$5:$F$149,"Next week",'Session Tracker'!$G$5:$G$149,"Thu"))</f>
        <v>0</v>
      </c>
      <c r="L121" s="52" t="n">
        <f aca="false">IF($E121="Per class",$D121*COUNTIFS('Session Tracker'!$D$5:$D$149,$A121,'Session Tracker'!$F$5:$F$149,"Next week",'Session Tracker'!$G$5:$G$149,"Fri"),$D121*SUMIFS('Session Tracker'!$J$5:$J$149,'Session Tracker'!$D$5:$D$149,$A121,'Session Tracker'!$F$5:$F$149,"Next week",'Session Tracker'!$G$5:$G$149,"Fri"))</f>
        <v>0</v>
      </c>
      <c r="M121" s="52" t="n">
        <f aca="false">IF($E121="Per class",$D121*COUNTIFS('Session Tracker'!$D$5:$D$149,$A121,'Session Tracker'!$F$5:$F$149,"Next week",'Session Tracker'!$G$5:$G$149,""),$D121*SUMIFS('Session Tracker'!$J$5:$J$149,'Session Tracker'!$D$5:$D$149,$A121,'Session Tracker'!$F$5:$F$149,"Next week",'Session Tracker'!$G$5:$G$149,""))</f>
        <v>0</v>
      </c>
    </row>
    <row r="122" customFormat="false" ht="15" hidden="false" customHeight="false" outlineLevel="0" collapsed="false">
      <c r="A122" s="51" t="s">
        <v>96</v>
      </c>
      <c r="B122" s="34" t="s">
        <v>369</v>
      </c>
      <c r="C122" s="34" t="s">
        <v>433</v>
      </c>
      <c r="D122" s="32" t="n">
        <v>1</v>
      </c>
      <c r="E122" s="32" t="s">
        <v>14</v>
      </c>
      <c r="F122" s="32" t="s">
        <v>368</v>
      </c>
      <c r="G122" s="34"/>
      <c r="H122" s="52" t="n">
        <f aca="false">IF($E122="Per class",$D122*COUNTIFS('Session Tracker'!$D$5:$D$149,$A122,'Session Tracker'!$F$5:$F$149,"Next week",'Session Tracker'!$G$5:$G$149,"Mon"),$D122*SUMIFS('Session Tracker'!$J$5:$J$149,'Session Tracker'!$D$5:$D$149,$A122,'Session Tracker'!$F$5:$F$149,"Next week",'Session Tracker'!$G$5:$G$149,"Mon"))</f>
        <v>0</v>
      </c>
      <c r="I122" s="52" t="n">
        <f aca="false">IF($E122="Per class",$D122*COUNTIFS('Session Tracker'!$D$5:$D$149,$A122,'Session Tracker'!$F$5:$F$149,"Next week",'Session Tracker'!$G$5:$G$149,"Tue"),$D122*SUMIFS('Session Tracker'!$J$5:$J$149,'Session Tracker'!$D$5:$D$149,$A122,'Session Tracker'!$F$5:$F$149,"Next week",'Session Tracker'!$G$5:$G$149,"Tue"))</f>
        <v>0</v>
      </c>
      <c r="J122" s="52" t="n">
        <f aca="false">IF($E122="Per class",$D122*COUNTIFS('Session Tracker'!$D$5:$D$149,$A122,'Session Tracker'!$F$5:$F$149,"Next week",'Session Tracker'!$G$5:$G$149,"Wed"),$D122*SUMIFS('Session Tracker'!$J$5:$J$149,'Session Tracker'!$D$5:$D$149,$A122,'Session Tracker'!$F$5:$F$149,"Next week",'Session Tracker'!$G$5:$G$149,"Wed"))</f>
        <v>0</v>
      </c>
      <c r="K122" s="52" t="n">
        <f aca="false">IF($E122="Per class",$D122*COUNTIFS('Session Tracker'!$D$5:$D$149,$A122,'Session Tracker'!$F$5:$F$149,"Next week",'Session Tracker'!$G$5:$G$149,"Thu"),$D122*SUMIFS('Session Tracker'!$J$5:$J$149,'Session Tracker'!$D$5:$D$149,$A122,'Session Tracker'!$F$5:$F$149,"Next week",'Session Tracker'!$G$5:$G$149,"Thu"))</f>
        <v>0</v>
      </c>
      <c r="L122" s="52" t="n">
        <f aca="false">IF($E122="Per class",$D122*COUNTIFS('Session Tracker'!$D$5:$D$149,$A122,'Session Tracker'!$F$5:$F$149,"Next week",'Session Tracker'!$G$5:$G$149,"Fri"),$D122*SUMIFS('Session Tracker'!$J$5:$J$149,'Session Tracker'!$D$5:$D$149,$A122,'Session Tracker'!$F$5:$F$149,"Next week",'Session Tracker'!$G$5:$G$149,"Fri"))</f>
        <v>0</v>
      </c>
      <c r="M122" s="52" t="n">
        <f aca="false">IF($E122="Per class",$D122*COUNTIFS('Session Tracker'!$D$5:$D$149,$A122,'Session Tracker'!$F$5:$F$149,"Next week",'Session Tracker'!$G$5:$G$149,""),$D122*SUMIFS('Session Tracker'!$J$5:$J$149,'Session Tracker'!$D$5:$D$149,$A122,'Session Tracker'!$F$5:$F$149,"Next week",'Session Tracker'!$G$5:$G$149,""))</f>
        <v>0</v>
      </c>
    </row>
    <row r="123" customFormat="false" ht="15" hidden="false" customHeight="false" outlineLevel="0" collapsed="false">
      <c r="A123" s="51" t="s">
        <v>96</v>
      </c>
      <c r="B123" s="34" t="s">
        <v>377</v>
      </c>
      <c r="C123" s="34" t="s">
        <v>378</v>
      </c>
      <c r="D123" s="32" t="n">
        <v>1</v>
      </c>
      <c r="E123" s="32" t="s">
        <v>14</v>
      </c>
      <c r="F123" s="32" t="s">
        <v>368</v>
      </c>
      <c r="G123" s="34"/>
      <c r="H123" s="52" t="n">
        <f aca="false">IF($E123="Per class",$D123*COUNTIFS('Session Tracker'!$D$5:$D$149,$A123,'Session Tracker'!$F$5:$F$149,"Next week",'Session Tracker'!$G$5:$G$149,"Mon"),$D123*SUMIFS('Session Tracker'!$J$5:$J$149,'Session Tracker'!$D$5:$D$149,$A123,'Session Tracker'!$F$5:$F$149,"Next week",'Session Tracker'!$G$5:$G$149,"Mon"))</f>
        <v>0</v>
      </c>
      <c r="I123" s="52" t="n">
        <f aca="false">IF($E123="Per class",$D123*COUNTIFS('Session Tracker'!$D$5:$D$149,$A123,'Session Tracker'!$F$5:$F$149,"Next week",'Session Tracker'!$G$5:$G$149,"Tue"),$D123*SUMIFS('Session Tracker'!$J$5:$J$149,'Session Tracker'!$D$5:$D$149,$A123,'Session Tracker'!$F$5:$F$149,"Next week",'Session Tracker'!$G$5:$G$149,"Tue"))</f>
        <v>0</v>
      </c>
      <c r="J123" s="52" t="n">
        <f aca="false">IF($E123="Per class",$D123*COUNTIFS('Session Tracker'!$D$5:$D$149,$A123,'Session Tracker'!$F$5:$F$149,"Next week",'Session Tracker'!$G$5:$G$149,"Wed"),$D123*SUMIFS('Session Tracker'!$J$5:$J$149,'Session Tracker'!$D$5:$D$149,$A123,'Session Tracker'!$F$5:$F$149,"Next week",'Session Tracker'!$G$5:$G$149,"Wed"))</f>
        <v>0</v>
      </c>
      <c r="K123" s="52" t="n">
        <f aca="false">IF($E123="Per class",$D123*COUNTIFS('Session Tracker'!$D$5:$D$149,$A123,'Session Tracker'!$F$5:$F$149,"Next week",'Session Tracker'!$G$5:$G$149,"Thu"),$D123*SUMIFS('Session Tracker'!$J$5:$J$149,'Session Tracker'!$D$5:$D$149,$A123,'Session Tracker'!$F$5:$F$149,"Next week",'Session Tracker'!$G$5:$G$149,"Thu"))</f>
        <v>0</v>
      </c>
      <c r="L123" s="52" t="n">
        <f aca="false">IF($E123="Per class",$D123*COUNTIFS('Session Tracker'!$D$5:$D$149,$A123,'Session Tracker'!$F$5:$F$149,"Next week",'Session Tracker'!$G$5:$G$149,"Fri"),$D123*SUMIFS('Session Tracker'!$J$5:$J$149,'Session Tracker'!$D$5:$D$149,$A123,'Session Tracker'!$F$5:$F$149,"Next week",'Session Tracker'!$G$5:$G$149,"Fri"))</f>
        <v>0</v>
      </c>
      <c r="M123" s="52" t="n">
        <f aca="false">IF($E123="Per class",$D123*COUNTIFS('Session Tracker'!$D$5:$D$149,$A123,'Session Tracker'!$F$5:$F$149,"Next week",'Session Tracker'!$G$5:$G$149,""),$D123*SUMIFS('Session Tracker'!$J$5:$J$149,'Session Tracker'!$D$5:$D$149,$A123,'Session Tracker'!$F$5:$F$149,"Next week",'Session Tracker'!$G$5:$G$149,""))</f>
        <v>0</v>
      </c>
    </row>
    <row r="124" customFormat="false" ht="15" hidden="false" customHeight="false" outlineLevel="0" collapsed="false">
      <c r="A124" s="51" t="s">
        <v>96</v>
      </c>
      <c r="B124" s="34" t="s">
        <v>371</v>
      </c>
      <c r="C124" s="34" t="s">
        <v>372</v>
      </c>
      <c r="D124" s="32" t="n">
        <v>1</v>
      </c>
      <c r="E124" s="32" t="s">
        <v>14</v>
      </c>
      <c r="F124" s="32" t="s">
        <v>373</v>
      </c>
      <c r="G124" s="34"/>
      <c r="H124" s="52" t="n">
        <f aca="false">IF($E124="Per class",$D124*COUNTIFS('Session Tracker'!$D$5:$D$149,$A124,'Session Tracker'!$F$5:$F$149,"Next week",'Session Tracker'!$G$5:$G$149,"Mon"),$D124*SUMIFS('Session Tracker'!$J$5:$J$149,'Session Tracker'!$D$5:$D$149,$A124,'Session Tracker'!$F$5:$F$149,"Next week",'Session Tracker'!$G$5:$G$149,"Mon"))</f>
        <v>0</v>
      </c>
      <c r="I124" s="52" t="n">
        <f aca="false">IF($E124="Per class",$D124*COUNTIFS('Session Tracker'!$D$5:$D$149,$A124,'Session Tracker'!$F$5:$F$149,"Next week",'Session Tracker'!$G$5:$G$149,"Tue"),$D124*SUMIFS('Session Tracker'!$J$5:$J$149,'Session Tracker'!$D$5:$D$149,$A124,'Session Tracker'!$F$5:$F$149,"Next week",'Session Tracker'!$G$5:$G$149,"Tue"))</f>
        <v>0</v>
      </c>
      <c r="J124" s="52" t="n">
        <f aca="false">IF($E124="Per class",$D124*COUNTIFS('Session Tracker'!$D$5:$D$149,$A124,'Session Tracker'!$F$5:$F$149,"Next week",'Session Tracker'!$G$5:$G$149,"Wed"),$D124*SUMIFS('Session Tracker'!$J$5:$J$149,'Session Tracker'!$D$5:$D$149,$A124,'Session Tracker'!$F$5:$F$149,"Next week",'Session Tracker'!$G$5:$G$149,"Wed"))</f>
        <v>0</v>
      </c>
      <c r="K124" s="52" t="n">
        <f aca="false">IF($E124="Per class",$D124*COUNTIFS('Session Tracker'!$D$5:$D$149,$A124,'Session Tracker'!$F$5:$F$149,"Next week",'Session Tracker'!$G$5:$G$149,"Thu"),$D124*SUMIFS('Session Tracker'!$J$5:$J$149,'Session Tracker'!$D$5:$D$149,$A124,'Session Tracker'!$F$5:$F$149,"Next week",'Session Tracker'!$G$5:$G$149,"Thu"))</f>
        <v>0</v>
      </c>
      <c r="L124" s="52" t="n">
        <f aca="false">IF($E124="Per class",$D124*COUNTIFS('Session Tracker'!$D$5:$D$149,$A124,'Session Tracker'!$F$5:$F$149,"Next week",'Session Tracker'!$G$5:$G$149,"Fri"),$D124*SUMIFS('Session Tracker'!$J$5:$J$149,'Session Tracker'!$D$5:$D$149,$A124,'Session Tracker'!$F$5:$F$149,"Next week",'Session Tracker'!$G$5:$G$149,"Fri"))</f>
        <v>0</v>
      </c>
      <c r="M124" s="52" t="n">
        <f aca="false">IF($E124="Per class",$D124*COUNTIFS('Session Tracker'!$D$5:$D$149,$A124,'Session Tracker'!$F$5:$F$149,"Next week",'Session Tracker'!$G$5:$G$149,""),$D124*SUMIFS('Session Tracker'!$J$5:$J$149,'Session Tracker'!$D$5:$D$149,$A124,'Session Tracker'!$F$5:$F$149,"Next week",'Session Tracker'!$G$5:$G$149,""))</f>
        <v>0</v>
      </c>
    </row>
    <row r="125" customFormat="false" ht="15" hidden="false" customHeight="false" outlineLevel="0" collapsed="false">
      <c r="A125" s="51" t="s">
        <v>96</v>
      </c>
      <c r="B125" s="34" t="s">
        <v>375</v>
      </c>
      <c r="C125" s="34" t="s">
        <v>376</v>
      </c>
      <c r="D125" s="32" t="n">
        <v>1</v>
      </c>
      <c r="E125" s="32" t="s">
        <v>14</v>
      </c>
      <c r="F125" s="32" t="s">
        <v>373</v>
      </c>
      <c r="G125" s="34"/>
      <c r="H125" s="52" t="n">
        <f aca="false">IF($E125="Per class",$D125*COUNTIFS('Session Tracker'!$D$5:$D$149,$A125,'Session Tracker'!$F$5:$F$149,"Next week",'Session Tracker'!$G$5:$G$149,"Mon"),$D125*SUMIFS('Session Tracker'!$J$5:$J$149,'Session Tracker'!$D$5:$D$149,$A125,'Session Tracker'!$F$5:$F$149,"Next week",'Session Tracker'!$G$5:$G$149,"Mon"))</f>
        <v>0</v>
      </c>
      <c r="I125" s="52" t="n">
        <f aca="false">IF($E125="Per class",$D125*COUNTIFS('Session Tracker'!$D$5:$D$149,$A125,'Session Tracker'!$F$5:$F$149,"Next week",'Session Tracker'!$G$5:$G$149,"Tue"),$D125*SUMIFS('Session Tracker'!$J$5:$J$149,'Session Tracker'!$D$5:$D$149,$A125,'Session Tracker'!$F$5:$F$149,"Next week",'Session Tracker'!$G$5:$G$149,"Tue"))</f>
        <v>0</v>
      </c>
      <c r="J125" s="52" t="n">
        <f aca="false">IF($E125="Per class",$D125*COUNTIFS('Session Tracker'!$D$5:$D$149,$A125,'Session Tracker'!$F$5:$F$149,"Next week",'Session Tracker'!$G$5:$G$149,"Wed"),$D125*SUMIFS('Session Tracker'!$J$5:$J$149,'Session Tracker'!$D$5:$D$149,$A125,'Session Tracker'!$F$5:$F$149,"Next week",'Session Tracker'!$G$5:$G$149,"Wed"))</f>
        <v>0</v>
      </c>
      <c r="K125" s="52" t="n">
        <f aca="false">IF($E125="Per class",$D125*COUNTIFS('Session Tracker'!$D$5:$D$149,$A125,'Session Tracker'!$F$5:$F$149,"Next week",'Session Tracker'!$G$5:$G$149,"Thu"),$D125*SUMIFS('Session Tracker'!$J$5:$J$149,'Session Tracker'!$D$5:$D$149,$A125,'Session Tracker'!$F$5:$F$149,"Next week",'Session Tracker'!$G$5:$G$149,"Thu"))</f>
        <v>0</v>
      </c>
      <c r="L125" s="52" t="n">
        <f aca="false">IF($E125="Per class",$D125*COUNTIFS('Session Tracker'!$D$5:$D$149,$A125,'Session Tracker'!$F$5:$F$149,"Next week",'Session Tracker'!$G$5:$G$149,"Fri"),$D125*SUMIFS('Session Tracker'!$J$5:$J$149,'Session Tracker'!$D$5:$D$149,$A125,'Session Tracker'!$F$5:$F$149,"Next week",'Session Tracker'!$G$5:$G$149,"Fri"))</f>
        <v>0</v>
      </c>
      <c r="M125" s="52" t="n">
        <f aca="false">IF($E125="Per class",$D125*COUNTIFS('Session Tracker'!$D$5:$D$149,$A125,'Session Tracker'!$F$5:$F$149,"Next week",'Session Tracker'!$G$5:$G$149,""),$D125*SUMIFS('Session Tracker'!$J$5:$J$149,'Session Tracker'!$D$5:$D$149,$A125,'Session Tracker'!$F$5:$F$149,"Next week",'Session Tracker'!$G$5:$G$149,""))</f>
        <v>0</v>
      </c>
    </row>
    <row r="126" customFormat="false" ht="15" hidden="false" customHeight="false" outlineLevel="0" collapsed="false">
      <c r="A126" s="51" t="s">
        <v>96</v>
      </c>
      <c r="B126" s="34" t="s">
        <v>411</v>
      </c>
      <c r="C126" s="34" t="s">
        <v>434</v>
      </c>
      <c r="D126" s="32" t="n">
        <v>1</v>
      </c>
      <c r="E126" s="32" t="s">
        <v>14</v>
      </c>
      <c r="F126" s="32" t="s">
        <v>373</v>
      </c>
      <c r="G126" s="34"/>
      <c r="H126" s="52" t="n">
        <f aca="false">IF($E126="Per class",$D126*COUNTIFS('Session Tracker'!$D$5:$D$149,$A126,'Session Tracker'!$F$5:$F$149,"Next week",'Session Tracker'!$G$5:$G$149,"Mon"),$D126*SUMIFS('Session Tracker'!$J$5:$J$149,'Session Tracker'!$D$5:$D$149,$A126,'Session Tracker'!$F$5:$F$149,"Next week",'Session Tracker'!$G$5:$G$149,"Mon"))</f>
        <v>0</v>
      </c>
      <c r="I126" s="52" t="n">
        <f aca="false">IF($E126="Per class",$D126*COUNTIFS('Session Tracker'!$D$5:$D$149,$A126,'Session Tracker'!$F$5:$F$149,"Next week",'Session Tracker'!$G$5:$G$149,"Tue"),$D126*SUMIFS('Session Tracker'!$J$5:$J$149,'Session Tracker'!$D$5:$D$149,$A126,'Session Tracker'!$F$5:$F$149,"Next week",'Session Tracker'!$G$5:$G$149,"Tue"))</f>
        <v>0</v>
      </c>
      <c r="J126" s="52" t="n">
        <f aca="false">IF($E126="Per class",$D126*COUNTIFS('Session Tracker'!$D$5:$D$149,$A126,'Session Tracker'!$F$5:$F$149,"Next week",'Session Tracker'!$G$5:$G$149,"Wed"),$D126*SUMIFS('Session Tracker'!$J$5:$J$149,'Session Tracker'!$D$5:$D$149,$A126,'Session Tracker'!$F$5:$F$149,"Next week",'Session Tracker'!$G$5:$G$149,"Wed"))</f>
        <v>0</v>
      </c>
      <c r="K126" s="52" t="n">
        <f aca="false">IF($E126="Per class",$D126*COUNTIFS('Session Tracker'!$D$5:$D$149,$A126,'Session Tracker'!$F$5:$F$149,"Next week",'Session Tracker'!$G$5:$G$149,"Thu"),$D126*SUMIFS('Session Tracker'!$J$5:$J$149,'Session Tracker'!$D$5:$D$149,$A126,'Session Tracker'!$F$5:$F$149,"Next week",'Session Tracker'!$G$5:$G$149,"Thu"))</f>
        <v>0</v>
      </c>
      <c r="L126" s="52" t="n">
        <f aca="false">IF($E126="Per class",$D126*COUNTIFS('Session Tracker'!$D$5:$D$149,$A126,'Session Tracker'!$F$5:$F$149,"Next week",'Session Tracker'!$G$5:$G$149,"Fri"),$D126*SUMIFS('Session Tracker'!$J$5:$J$149,'Session Tracker'!$D$5:$D$149,$A126,'Session Tracker'!$F$5:$F$149,"Next week",'Session Tracker'!$G$5:$G$149,"Fri"))</f>
        <v>0</v>
      </c>
      <c r="M126" s="52" t="n">
        <f aca="false">IF($E126="Per class",$D126*COUNTIFS('Session Tracker'!$D$5:$D$149,$A126,'Session Tracker'!$F$5:$F$149,"Next week",'Session Tracker'!$G$5:$G$149,""),$D126*SUMIFS('Session Tracker'!$J$5:$J$149,'Session Tracker'!$D$5:$D$149,$A126,'Session Tracker'!$F$5:$F$149,"Next week",'Session Tracker'!$G$5:$G$149,""))</f>
        <v>0</v>
      </c>
    </row>
    <row r="127" customFormat="false" ht="15" hidden="false" customHeight="false" outlineLevel="0" collapsed="false">
      <c r="A127" s="51" t="s">
        <v>96</v>
      </c>
      <c r="B127" s="34" t="s">
        <v>411</v>
      </c>
      <c r="C127" s="34" t="s">
        <v>435</v>
      </c>
      <c r="D127" s="32" t="n">
        <v>1</v>
      </c>
      <c r="E127" s="32" t="s">
        <v>16</v>
      </c>
      <c r="F127" s="32" t="s">
        <v>368</v>
      </c>
      <c r="G127" s="34"/>
      <c r="H127" s="52" t="n">
        <f aca="false">IF($E127="Per class",$D127*COUNTIFS('Session Tracker'!$D$5:$D$149,$A127,'Session Tracker'!$F$5:$F$149,"Next week",'Session Tracker'!$G$5:$G$149,"Mon"),$D127*SUMIFS('Session Tracker'!$J$5:$J$149,'Session Tracker'!$D$5:$D$149,$A127,'Session Tracker'!$F$5:$F$149,"Next week",'Session Tracker'!$G$5:$G$149,"Mon"))</f>
        <v>0</v>
      </c>
      <c r="I127" s="52" t="n">
        <f aca="false">IF($E127="Per class",$D127*COUNTIFS('Session Tracker'!$D$5:$D$149,$A127,'Session Tracker'!$F$5:$F$149,"Next week",'Session Tracker'!$G$5:$G$149,"Tue"),$D127*SUMIFS('Session Tracker'!$J$5:$J$149,'Session Tracker'!$D$5:$D$149,$A127,'Session Tracker'!$F$5:$F$149,"Next week",'Session Tracker'!$G$5:$G$149,"Tue"))</f>
        <v>0</v>
      </c>
      <c r="J127" s="52" t="n">
        <f aca="false">IF($E127="Per class",$D127*COUNTIFS('Session Tracker'!$D$5:$D$149,$A127,'Session Tracker'!$F$5:$F$149,"Next week",'Session Tracker'!$G$5:$G$149,"Wed"),$D127*SUMIFS('Session Tracker'!$J$5:$J$149,'Session Tracker'!$D$5:$D$149,$A127,'Session Tracker'!$F$5:$F$149,"Next week",'Session Tracker'!$G$5:$G$149,"Wed"))</f>
        <v>0</v>
      </c>
      <c r="K127" s="52" t="n">
        <f aca="false">IF($E127="Per class",$D127*COUNTIFS('Session Tracker'!$D$5:$D$149,$A127,'Session Tracker'!$F$5:$F$149,"Next week",'Session Tracker'!$G$5:$G$149,"Thu"),$D127*SUMIFS('Session Tracker'!$J$5:$J$149,'Session Tracker'!$D$5:$D$149,$A127,'Session Tracker'!$F$5:$F$149,"Next week",'Session Tracker'!$G$5:$G$149,"Thu"))</f>
        <v>0</v>
      </c>
      <c r="L127" s="52" t="n">
        <f aca="false">IF($E127="Per class",$D127*COUNTIFS('Session Tracker'!$D$5:$D$149,$A127,'Session Tracker'!$F$5:$F$149,"Next week",'Session Tracker'!$G$5:$G$149,"Fri"),$D127*SUMIFS('Session Tracker'!$J$5:$J$149,'Session Tracker'!$D$5:$D$149,$A127,'Session Tracker'!$F$5:$F$149,"Next week",'Session Tracker'!$G$5:$G$149,"Fri"))</f>
        <v>0</v>
      </c>
      <c r="M127" s="52" t="n">
        <f aca="false">IF($E127="Per class",$D127*COUNTIFS('Session Tracker'!$D$5:$D$149,$A127,'Session Tracker'!$F$5:$F$149,"Next week",'Session Tracker'!$G$5:$G$149,""),$D127*SUMIFS('Session Tracker'!$J$5:$J$149,'Session Tracker'!$D$5:$D$149,$A127,'Session Tracker'!$F$5:$F$149,"Next week",'Session Tracker'!$G$5:$G$149,""))</f>
        <v>0</v>
      </c>
    </row>
    <row r="128" customFormat="false" ht="15" hidden="false" customHeight="false" outlineLevel="0" collapsed="false">
      <c r="A128" s="51" t="s">
        <v>96</v>
      </c>
      <c r="B128" s="34" t="s">
        <v>379</v>
      </c>
      <c r="C128" s="34" t="s">
        <v>380</v>
      </c>
      <c r="D128" s="32" t="n">
        <v>1</v>
      </c>
      <c r="E128" s="32" t="s">
        <v>14</v>
      </c>
      <c r="F128" s="32" t="s">
        <v>368</v>
      </c>
      <c r="G128" s="34"/>
      <c r="H128" s="52" t="n">
        <f aca="false">IF($E128="Per class",$D128*COUNTIFS('Session Tracker'!$D$5:$D$149,$A128,'Session Tracker'!$F$5:$F$149,"Next week",'Session Tracker'!$G$5:$G$149,"Mon"),$D128*SUMIFS('Session Tracker'!$J$5:$J$149,'Session Tracker'!$D$5:$D$149,$A128,'Session Tracker'!$F$5:$F$149,"Next week",'Session Tracker'!$G$5:$G$149,"Mon"))</f>
        <v>0</v>
      </c>
      <c r="I128" s="52" t="n">
        <f aca="false">IF($E128="Per class",$D128*COUNTIFS('Session Tracker'!$D$5:$D$149,$A128,'Session Tracker'!$F$5:$F$149,"Next week",'Session Tracker'!$G$5:$G$149,"Tue"),$D128*SUMIFS('Session Tracker'!$J$5:$J$149,'Session Tracker'!$D$5:$D$149,$A128,'Session Tracker'!$F$5:$F$149,"Next week",'Session Tracker'!$G$5:$G$149,"Tue"))</f>
        <v>0</v>
      </c>
      <c r="J128" s="52" t="n">
        <f aca="false">IF($E128="Per class",$D128*COUNTIFS('Session Tracker'!$D$5:$D$149,$A128,'Session Tracker'!$F$5:$F$149,"Next week",'Session Tracker'!$G$5:$G$149,"Wed"),$D128*SUMIFS('Session Tracker'!$J$5:$J$149,'Session Tracker'!$D$5:$D$149,$A128,'Session Tracker'!$F$5:$F$149,"Next week",'Session Tracker'!$G$5:$G$149,"Wed"))</f>
        <v>0</v>
      </c>
      <c r="K128" s="52" t="n">
        <f aca="false">IF($E128="Per class",$D128*COUNTIFS('Session Tracker'!$D$5:$D$149,$A128,'Session Tracker'!$F$5:$F$149,"Next week",'Session Tracker'!$G$5:$G$149,"Thu"),$D128*SUMIFS('Session Tracker'!$J$5:$J$149,'Session Tracker'!$D$5:$D$149,$A128,'Session Tracker'!$F$5:$F$149,"Next week",'Session Tracker'!$G$5:$G$149,"Thu"))</f>
        <v>0</v>
      </c>
      <c r="L128" s="52" t="n">
        <f aca="false">IF($E128="Per class",$D128*COUNTIFS('Session Tracker'!$D$5:$D$149,$A128,'Session Tracker'!$F$5:$F$149,"Next week",'Session Tracker'!$G$5:$G$149,"Fri"),$D128*SUMIFS('Session Tracker'!$J$5:$J$149,'Session Tracker'!$D$5:$D$149,$A128,'Session Tracker'!$F$5:$F$149,"Next week",'Session Tracker'!$G$5:$G$149,"Fri"))</f>
        <v>0</v>
      </c>
      <c r="M128" s="52" t="n">
        <f aca="false">IF($E128="Per class",$D128*COUNTIFS('Session Tracker'!$D$5:$D$149,$A128,'Session Tracker'!$F$5:$F$149,"Next week",'Session Tracker'!$G$5:$G$149,""),$D128*SUMIFS('Session Tracker'!$J$5:$J$149,'Session Tracker'!$D$5:$D$149,$A128,'Session Tracker'!$F$5:$F$149,"Next week",'Session Tracker'!$G$5:$G$149,""))</f>
        <v>0</v>
      </c>
    </row>
    <row r="129" customFormat="false" ht="15" hidden="false" customHeight="false" outlineLevel="0" collapsed="false">
      <c r="A129" s="51" t="s">
        <v>96</v>
      </c>
      <c r="B129" s="34" t="s">
        <v>379</v>
      </c>
      <c r="C129" s="34" t="s">
        <v>381</v>
      </c>
      <c r="D129" s="32" t="n">
        <v>4</v>
      </c>
      <c r="E129" s="32" t="s">
        <v>14</v>
      </c>
      <c r="F129" s="32" t="s">
        <v>368</v>
      </c>
      <c r="G129" s="34"/>
      <c r="H129" s="52" t="n">
        <f aca="false">IF($E129="Per class",$D129*COUNTIFS('Session Tracker'!$D$5:$D$149,$A129,'Session Tracker'!$F$5:$F$149,"Next week",'Session Tracker'!$G$5:$G$149,"Mon"),$D129*SUMIFS('Session Tracker'!$J$5:$J$149,'Session Tracker'!$D$5:$D$149,$A129,'Session Tracker'!$F$5:$F$149,"Next week",'Session Tracker'!$G$5:$G$149,"Mon"))</f>
        <v>0</v>
      </c>
      <c r="I129" s="52" t="n">
        <f aca="false">IF($E129="Per class",$D129*COUNTIFS('Session Tracker'!$D$5:$D$149,$A129,'Session Tracker'!$F$5:$F$149,"Next week",'Session Tracker'!$G$5:$G$149,"Tue"),$D129*SUMIFS('Session Tracker'!$J$5:$J$149,'Session Tracker'!$D$5:$D$149,$A129,'Session Tracker'!$F$5:$F$149,"Next week",'Session Tracker'!$G$5:$G$149,"Tue"))</f>
        <v>0</v>
      </c>
      <c r="J129" s="52" t="n">
        <f aca="false">IF($E129="Per class",$D129*COUNTIFS('Session Tracker'!$D$5:$D$149,$A129,'Session Tracker'!$F$5:$F$149,"Next week",'Session Tracker'!$G$5:$G$149,"Wed"),$D129*SUMIFS('Session Tracker'!$J$5:$J$149,'Session Tracker'!$D$5:$D$149,$A129,'Session Tracker'!$F$5:$F$149,"Next week",'Session Tracker'!$G$5:$G$149,"Wed"))</f>
        <v>0</v>
      </c>
      <c r="K129" s="52" t="n">
        <f aca="false">IF($E129="Per class",$D129*COUNTIFS('Session Tracker'!$D$5:$D$149,$A129,'Session Tracker'!$F$5:$F$149,"Next week",'Session Tracker'!$G$5:$G$149,"Thu"),$D129*SUMIFS('Session Tracker'!$J$5:$J$149,'Session Tracker'!$D$5:$D$149,$A129,'Session Tracker'!$F$5:$F$149,"Next week",'Session Tracker'!$G$5:$G$149,"Thu"))</f>
        <v>0</v>
      </c>
      <c r="L129" s="52" t="n">
        <f aca="false">IF($E129="Per class",$D129*COUNTIFS('Session Tracker'!$D$5:$D$149,$A129,'Session Tracker'!$F$5:$F$149,"Next week",'Session Tracker'!$G$5:$G$149,"Fri"),$D129*SUMIFS('Session Tracker'!$J$5:$J$149,'Session Tracker'!$D$5:$D$149,$A129,'Session Tracker'!$F$5:$F$149,"Next week",'Session Tracker'!$G$5:$G$149,"Fri"))</f>
        <v>0</v>
      </c>
      <c r="M129" s="52" t="n">
        <f aca="false">IF($E129="Per class",$D129*COUNTIFS('Session Tracker'!$D$5:$D$149,$A129,'Session Tracker'!$F$5:$F$149,"Next week",'Session Tracker'!$G$5:$G$149,""),$D129*SUMIFS('Session Tracker'!$J$5:$J$149,'Session Tracker'!$D$5:$D$149,$A129,'Session Tracker'!$F$5:$F$149,"Next week",'Session Tracker'!$G$5:$G$149,""))</f>
        <v>0</v>
      </c>
    </row>
    <row r="130" customFormat="false" ht="15" hidden="false" customHeight="false" outlineLevel="0" collapsed="false">
      <c r="A130" s="51" t="s">
        <v>96</v>
      </c>
      <c r="B130" s="34" t="s">
        <v>379</v>
      </c>
      <c r="C130" s="34" t="s">
        <v>395</v>
      </c>
      <c r="D130" s="32" t="n">
        <v>3</v>
      </c>
      <c r="E130" s="32" t="s">
        <v>14</v>
      </c>
      <c r="F130" s="32" t="s">
        <v>368</v>
      </c>
      <c r="G130" s="34"/>
      <c r="H130" s="52" t="n">
        <f aca="false">IF($E130="Per class",$D130*COUNTIFS('Session Tracker'!$D$5:$D$149,$A130,'Session Tracker'!$F$5:$F$149,"Next week",'Session Tracker'!$G$5:$G$149,"Mon"),$D130*SUMIFS('Session Tracker'!$J$5:$J$149,'Session Tracker'!$D$5:$D$149,$A130,'Session Tracker'!$F$5:$F$149,"Next week",'Session Tracker'!$G$5:$G$149,"Mon"))</f>
        <v>0</v>
      </c>
      <c r="I130" s="52" t="n">
        <f aca="false">IF($E130="Per class",$D130*COUNTIFS('Session Tracker'!$D$5:$D$149,$A130,'Session Tracker'!$F$5:$F$149,"Next week",'Session Tracker'!$G$5:$G$149,"Tue"),$D130*SUMIFS('Session Tracker'!$J$5:$J$149,'Session Tracker'!$D$5:$D$149,$A130,'Session Tracker'!$F$5:$F$149,"Next week",'Session Tracker'!$G$5:$G$149,"Tue"))</f>
        <v>0</v>
      </c>
      <c r="J130" s="52" t="n">
        <f aca="false">IF($E130="Per class",$D130*COUNTIFS('Session Tracker'!$D$5:$D$149,$A130,'Session Tracker'!$F$5:$F$149,"Next week",'Session Tracker'!$G$5:$G$149,"Wed"),$D130*SUMIFS('Session Tracker'!$J$5:$J$149,'Session Tracker'!$D$5:$D$149,$A130,'Session Tracker'!$F$5:$F$149,"Next week",'Session Tracker'!$G$5:$G$149,"Wed"))</f>
        <v>0</v>
      </c>
      <c r="K130" s="52" t="n">
        <f aca="false">IF($E130="Per class",$D130*COUNTIFS('Session Tracker'!$D$5:$D$149,$A130,'Session Tracker'!$F$5:$F$149,"Next week",'Session Tracker'!$G$5:$G$149,"Thu"),$D130*SUMIFS('Session Tracker'!$J$5:$J$149,'Session Tracker'!$D$5:$D$149,$A130,'Session Tracker'!$F$5:$F$149,"Next week",'Session Tracker'!$G$5:$G$149,"Thu"))</f>
        <v>0</v>
      </c>
      <c r="L130" s="52" t="n">
        <f aca="false">IF($E130="Per class",$D130*COUNTIFS('Session Tracker'!$D$5:$D$149,$A130,'Session Tracker'!$F$5:$F$149,"Next week",'Session Tracker'!$G$5:$G$149,"Fri"),$D130*SUMIFS('Session Tracker'!$J$5:$J$149,'Session Tracker'!$D$5:$D$149,$A130,'Session Tracker'!$F$5:$F$149,"Next week",'Session Tracker'!$G$5:$G$149,"Fri"))</f>
        <v>0</v>
      </c>
      <c r="M130" s="52" t="n">
        <f aca="false">IF($E130="Per class",$D130*COUNTIFS('Session Tracker'!$D$5:$D$149,$A130,'Session Tracker'!$F$5:$F$149,"Next week",'Session Tracker'!$G$5:$G$149,""),$D130*SUMIFS('Session Tracker'!$J$5:$J$149,'Session Tracker'!$D$5:$D$149,$A130,'Session Tracker'!$F$5:$F$149,"Next week",'Session Tracker'!$G$5:$G$149,""))</f>
        <v>0</v>
      </c>
    </row>
    <row r="131" customFormat="false" ht="15" hidden="false" customHeight="false" outlineLevel="0" collapsed="false">
      <c r="A131" s="51" t="s">
        <v>96</v>
      </c>
      <c r="B131" s="34" t="s">
        <v>382</v>
      </c>
      <c r="C131" s="34" t="s">
        <v>383</v>
      </c>
      <c r="D131" s="32" t="n">
        <v>1</v>
      </c>
      <c r="E131" s="32" t="s">
        <v>14</v>
      </c>
      <c r="F131" s="32" t="s">
        <v>368</v>
      </c>
      <c r="G131" s="34"/>
      <c r="H131" s="52" t="n">
        <f aca="false">IF($E131="Per class",$D131*COUNTIFS('Session Tracker'!$D$5:$D$149,$A131,'Session Tracker'!$F$5:$F$149,"Next week",'Session Tracker'!$G$5:$G$149,"Mon"),$D131*SUMIFS('Session Tracker'!$J$5:$J$149,'Session Tracker'!$D$5:$D$149,$A131,'Session Tracker'!$F$5:$F$149,"Next week",'Session Tracker'!$G$5:$G$149,"Mon"))</f>
        <v>0</v>
      </c>
      <c r="I131" s="52" t="n">
        <f aca="false">IF($E131="Per class",$D131*COUNTIFS('Session Tracker'!$D$5:$D$149,$A131,'Session Tracker'!$F$5:$F$149,"Next week",'Session Tracker'!$G$5:$G$149,"Tue"),$D131*SUMIFS('Session Tracker'!$J$5:$J$149,'Session Tracker'!$D$5:$D$149,$A131,'Session Tracker'!$F$5:$F$149,"Next week",'Session Tracker'!$G$5:$G$149,"Tue"))</f>
        <v>0</v>
      </c>
      <c r="J131" s="52" t="n">
        <f aca="false">IF($E131="Per class",$D131*COUNTIFS('Session Tracker'!$D$5:$D$149,$A131,'Session Tracker'!$F$5:$F$149,"Next week",'Session Tracker'!$G$5:$G$149,"Wed"),$D131*SUMIFS('Session Tracker'!$J$5:$J$149,'Session Tracker'!$D$5:$D$149,$A131,'Session Tracker'!$F$5:$F$149,"Next week",'Session Tracker'!$G$5:$G$149,"Wed"))</f>
        <v>0</v>
      </c>
      <c r="K131" s="52" t="n">
        <f aca="false">IF($E131="Per class",$D131*COUNTIFS('Session Tracker'!$D$5:$D$149,$A131,'Session Tracker'!$F$5:$F$149,"Next week",'Session Tracker'!$G$5:$G$149,"Thu"),$D131*SUMIFS('Session Tracker'!$J$5:$J$149,'Session Tracker'!$D$5:$D$149,$A131,'Session Tracker'!$F$5:$F$149,"Next week",'Session Tracker'!$G$5:$G$149,"Thu"))</f>
        <v>0</v>
      </c>
      <c r="L131" s="52" t="n">
        <f aca="false">IF($E131="Per class",$D131*COUNTIFS('Session Tracker'!$D$5:$D$149,$A131,'Session Tracker'!$F$5:$F$149,"Next week",'Session Tracker'!$G$5:$G$149,"Fri"),$D131*SUMIFS('Session Tracker'!$J$5:$J$149,'Session Tracker'!$D$5:$D$149,$A131,'Session Tracker'!$F$5:$F$149,"Next week",'Session Tracker'!$G$5:$G$149,"Fri"))</f>
        <v>0</v>
      </c>
      <c r="M131" s="52" t="n">
        <f aca="false">IF($E131="Per class",$D131*COUNTIFS('Session Tracker'!$D$5:$D$149,$A131,'Session Tracker'!$F$5:$F$149,"Next week",'Session Tracker'!$G$5:$G$149,""),$D131*SUMIFS('Session Tracker'!$J$5:$J$149,'Session Tracker'!$D$5:$D$149,$A131,'Session Tracker'!$F$5:$F$149,"Next week",'Session Tracker'!$G$5:$G$149,""))</f>
        <v>0</v>
      </c>
    </row>
    <row r="132" customFormat="false" ht="15" hidden="false" customHeight="false" outlineLevel="0" collapsed="false">
      <c r="A132" s="53" t="s">
        <v>96</v>
      </c>
      <c r="B132" s="54"/>
      <c r="C132" s="54"/>
      <c r="D132" s="54"/>
      <c r="E132" s="54"/>
      <c r="F132" s="54"/>
      <c r="G132" s="54"/>
      <c r="H132" s="52" t="n">
        <f aca="false">IF($E132="Per class",$D132*COUNTIFS('Session Tracker'!$D$5:$D$149,$A132,'Session Tracker'!$F$5:$F$149,"Next week",'Session Tracker'!$G$5:$G$149,"Mon"),$D132*SUMIFS('Session Tracker'!$J$5:$J$149,'Session Tracker'!$D$5:$D$149,$A132,'Session Tracker'!$F$5:$F$149,"Next week",'Session Tracker'!$G$5:$G$149,"Mon"))</f>
        <v>0</v>
      </c>
      <c r="I132" s="52" t="n">
        <f aca="false">IF($E132="Per class",$D132*COUNTIFS('Session Tracker'!$D$5:$D$149,$A132,'Session Tracker'!$F$5:$F$149,"Next week",'Session Tracker'!$G$5:$G$149,"Tue"),$D132*SUMIFS('Session Tracker'!$J$5:$J$149,'Session Tracker'!$D$5:$D$149,$A132,'Session Tracker'!$F$5:$F$149,"Next week",'Session Tracker'!$G$5:$G$149,"Tue"))</f>
        <v>0</v>
      </c>
      <c r="J132" s="52" t="n">
        <f aca="false">IF($E132="Per class",$D132*COUNTIFS('Session Tracker'!$D$5:$D$149,$A132,'Session Tracker'!$F$5:$F$149,"Next week",'Session Tracker'!$G$5:$G$149,"Wed"),$D132*SUMIFS('Session Tracker'!$J$5:$J$149,'Session Tracker'!$D$5:$D$149,$A132,'Session Tracker'!$F$5:$F$149,"Next week",'Session Tracker'!$G$5:$G$149,"Wed"))</f>
        <v>0</v>
      </c>
      <c r="K132" s="52" t="n">
        <f aca="false">IF($E132="Per class",$D132*COUNTIFS('Session Tracker'!$D$5:$D$149,$A132,'Session Tracker'!$F$5:$F$149,"Next week",'Session Tracker'!$G$5:$G$149,"Thu"),$D132*SUMIFS('Session Tracker'!$J$5:$J$149,'Session Tracker'!$D$5:$D$149,$A132,'Session Tracker'!$F$5:$F$149,"Next week",'Session Tracker'!$G$5:$G$149,"Thu"))</f>
        <v>0</v>
      </c>
      <c r="L132" s="52" t="n">
        <f aca="false">IF($E132="Per class",$D132*COUNTIFS('Session Tracker'!$D$5:$D$149,$A132,'Session Tracker'!$F$5:$F$149,"Next week",'Session Tracker'!$G$5:$G$149,"Fri"),$D132*SUMIFS('Session Tracker'!$J$5:$J$149,'Session Tracker'!$D$5:$D$149,$A132,'Session Tracker'!$F$5:$F$149,"Next week",'Session Tracker'!$G$5:$G$149,"Fri"))</f>
        <v>0</v>
      </c>
      <c r="M132" s="52" t="n">
        <f aca="false">IF($E132="Per class",$D132*COUNTIFS('Session Tracker'!$D$5:$D$149,$A132,'Session Tracker'!$F$5:$F$149,"Next week",'Session Tracker'!$G$5:$G$149,""),$D132*SUMIFS('Session Tracker'!$J$5:$J$149,'Session Tracker'!$D$5:$D$149,$A132,'Session Tracker'!$F$5:$F$149,"Next week",'Session Tracker'!$G$5:$G$149,""))</f>
        <v>0</v>
      </c>
    </row>
    <row r="133" customFormat="false" ht="15" hidden="false" customHeight="false" outlineLevel="0" collapsed="false">
      <c r="A133" s="53" t="s">
        <v>96</v>
      </c>
      <c r="B133" s="54"/>
      <c r="C133" s="54"/>
      <c r="D133" s="54"/>
      <c r="E133" s="54"/>
      <c r="F133" s="54"/>
      <c r="G133" s="54"/>
      <c r="H133" s="52" t="n">
        <f aca="false">IF($E133="Per class",$D133*COUNTIFS('Session Tracker'!$D$5:$D$149,$A133,'Session Tracker'!$F$5:$F$149,"Next week",'Session Tracker'!$G$5:$G$149,"Mon"),$D133*SUMIFS('Session Tracker'!$J$5:$J$149,'Session Tracker'!$D$5:$D$149,$A133,'Session Tracker'!$F$5:$F$149,"Next week",'Session Tracker'!$G$5:$G$149,"Mon"))</f>
        <v>0</v>
      </c>
      <c r="I133" s="52" t="n">
        <f aca="false">IF($E133="Per class",$D133*COUNTIFS('Session Tracker'!$D$5:$D$149,$A133,'Session Tracker'!$F$5:$F$149,"Next week",'Session Tracker'!$G$5:$G$149,"Tue"),$D133*SUMIFS('Session Tracker'!$J$5:$J$149,'Session Tracker'!$D$5:$D$149,$A133,'Session Tracker'!$F$5:$F$149,"Next week",'Session Tracker'!$G$5:$G$149,"Tue"))</f>
        <v>0</v>
      </c>
      <c r="J133" s="52" t="n">
        <f aca="false">IF($E133="Per class",$D133*COUNTIFS('Session Tracker'!$D$5:$D$149,$A133,'Session Tracker'!$F$5:$F$149,"Next week",'Session Tracker'!$G$5:$G$149,"Wed"),$D133*SUMIFS('Session Tracker'!$J$5:$J$149,'Session Tracker'!$D$5:$D$149,$A133,'Session Tracker'!$F$5:$F$149,"Next week",'Session Tracker'!$G$5:$G$149,"Wed"))</f>
        <v>0</v>
      </c>
      <c r="K133" s="52" t="n">
        <f aca="false">IF($E133="Per class",$D133*COUNTIFS('Session Tracker'!$D$5:$D$149,$A133,'Session Tracker'!$F$5:$F$149,"Next week",'Session Tracker'!$G$5:$G$149,"Thu"),$D133*SUMIFS('Session Tracker'!$J$5:$J$149,'Session Tracker'!$D$5:$D$149,$A133,'Session Tracker'!$F$5:$F$149,"Next week",'Session Tracker'!$G$5:$G$149,"Thu"))</f>
        <v>0</v>
      </c>
      <c r="L133" s="52" t="n">
        <f aca="false">IF($E133="Per class",$D133*COUNTIFS('Session Tracker'!$D$5:$D$149,$A133,'Session Tracker'!$F$5:$F$149,"Next week",'Session Tracker'!$G$5:$G$149,"Fri"),$D133*SUMIFS('Session Tracker'!$J$5:$J$149,'Session Tracker'!$D$5:$D$149,$A133,'Session Tracker'!$F$5:$F$149,"Next week",'Session Tracker'!$G$5:$G$149,"Fri"))</f>
        <v>0</v>
      </c>
      <c r="M133" s="52" t="n">
        <f aca="false">IF($E133="Per class",$D133*COUNTIFS('Session Tracker'!$D$5:$D$149,$A133,'Session Tracker'!$F$5:$F$149,"Next week",'Session Tracker'!$G$5:$G$149,""),$D133*SUMIFS('Session Tracker'!$J$5:$J$149,'Session Tracker'!$D$5:$D$149,$A133,'Session Tracker'!$F$5:$F$149,"Next week",'Session Tracker'!$G$5:$G$149,""))</f>
        <v>0</v>
      </c>
    </row>
    <row r="135" customFormat="false" ht="19.5" hidden="false" customHeight="true" outlineLevel="0" collapsed="false">
      <c r="A135" s="47" t="s">
        <v>98</v>
      </c>
      <c r="B135" s="48" t="s">
        <v>436</v>
      </c>
      <c r="C135" s="48"/>
      <c r="D135" s="48"/>
      <c r="E135" s="48"/>
      <c r="F135" s="49" t="str">
        <f aca="false">"Status: "&amp;'Session Tracker'!F16&amp;IF('Session Tracker'!G16&lt;&gt;""," ("&amp;'Session Tracker'!G16&amp;")","")</f>
        <v>Status: Not started</v>
      </c>
      <c r="G135" s="49"/>
      <c r="H135" s="50"/>
      <c r="I135" s="50"/>
      <c r="J135" s="50"/>
      <c r="K135" s="50"/>
      <c r="L135" s="50"/>
      <c r="M135" s="50"/>
    </row>
    <row r="136" customFormat="false" ht="23.85" hidden="false" customHeight="false" outlineLevel="0" collapsed="false">
      <c r="A136" s="51" t="s">
        <v>98</v>
      </c>
      <c r="B136" s="34" t="s">
        <v>366</v>
      </c>
      <c r="C136" s="34" t="s">
        <v>367</v>
      </c>
      <c r="D136" s="32" t="n">
        <v>1</v>
      </c>
      <c r="E136" s="32" t="s">
        <v>14</v>
      </c>
      <c r="F136" s="32" t="s">
        <v>368</v>
      </c>
      <c r="G136" s="34" t="s">
        <v>416</v>
      </c>
      <c r="H136" s="52" t="n">
        <f aca="false">IF($E136="Per class",$D136*COUNTIFS('Session Tracker'!$D$5:$D$149,$A136,'Session Tracker'!$F$5:$F$149,"Next week",'Session Tracker'!$G$5:$G$149,"Mon"),$D136*SUMIFS('Session Tracker'!$J$5:$J$149,'Session Tracker'!$D$5:$D$149,$A136,'Session Tracker'!$F$5:$F$149,"Next week",'Session Tracker'!$G$5:$G$149,"Mon"))</f>
        <v>0</v>
      </c>
      <c r="I136" s="52" t="n">
        <f aca="false">IF($E136="Per class",$D136*COUNTIFS('Session Tracker'!$D$5:$D$149,$A136,'Session Tracker'!$F$5:$F$149,"Next week",'Session Tracker'!$G$5:$G$149,"Tue"),$D136*SUMIFS('Session Tracker'!$J$5:$J$149,'Session Tracker'!$D$5:$D$149,$A136,'Session Tracker'!$F$5:$F$149,"Next week",'Session Tracker'!$G$5:$G$149,"Tue"))</f>
        <v>0</v>
      </c>
      <c r="J136" s="52" t="n">
        <f aca="false">IF($E136="Per class",$D136*COUNTIFS('Session Tracker'!$D$5:$D$149,$A136,'Session Tracker'!$F$5:$F$149,"Next week",'Session Tracker'!$G$5:$G$149,"Wed"),$D136*SUMIFS('Session Tracker'!$J$5:$J$149,'Session Tracker'!$D$5:$D$149,$A136,'Session Tracker'!$F$5:$F$149,"Next week",'Session Tracker'!$G$5:$G$149,"Wed"))</f>
        <v>0</v>
      </c>
      <c r="K136" s="52" t="n">
        <f aca="false">IF($E136="Per class",$D136*COUNTIFS('Session Tracker'!$D$5:$D$149,$A136,'Session Tracker'!$F$5:$F$149,"Next week",'Session Tracker'!$G$5:$G$149,"Thu"),$D136*SUMIFS('Session Tracker'!$J$5:$J$149,'Session Tracker'!$D$5:$D$149,$A136,'Session Tracker'!$F$5:$F$149,"Next week",'Session Tracker'!$G$5:$G$149,"Thu"))</f>
        <v>0</v>
      </c>
      <c r="L136" s="52" t="n">
        <f aca="false">IF($E136="Per class",$D136*COUNTIFS('Session Tracker'!$D$5:$D$149,$A136,'Session Tracker'!$F$5:$F$149,"Next week",'Session Tracker'!$G$5:$G$149,"Fri"),$D136*SUMIFS('Session Tracker'!$J$5:$J$149,'Session Tracker'!$D$5:$D$149,$A136,'Session Tracker'!$F$5:$F$149,"Next week",'Session Tracker'!$G$5:$G$149,"Fri"))</f>
        <v>0</v>
      </c>
      <c r="M136" s="52" t="n">
        <f aca="false">IF($E136="Per class",$D136*COUNTIFS('Session Tracker'!$D$5:$D$149,$A136,'Session Tracker'!$F$5:$F$149,"Next week",'Session Tracker'!$G$5:$G$149,""),$D136*SUMIFS('Session Tracker'!$J$5:$J$149,'Session Tracker'!$D$5:$D$149,$A136,'Session Tracker'!$F$5:$F$149,"Next week",'Session Tracker'!$G$5:$G$149,""))</f>
        <v>0</v>
      </c>
    </row>
    <row r="137" customFormat="false" ht="15" hidden="false" customHeight="false" outlineLevel="0" collapsed="false">
      <c r="A137" s="51" t="s">
        <v>98</v>
      </c>
      <c r="B137" s="34" t="s">
        <v>369</v>
      </c>
      <c r="C137" s="34" t="s">
        <v>437</v>
      </c>
      <c r="D137" s="32" t="n">
        <v>1</v>
      </c>
      <c r="E137" s="32" t="s">
        <v>14</v>
      </c>
      <c r="F137" s="32" t="s">
        <v>368</v>
      </c>
      <c r="G137" s="34"/>
      <c r="H137" s="52" t="n">
        <f aca="false">IF($E137="Per class",$D137*COUNTIFS('Session Tracker'!$D$5:$D$149,$A137,'Session Tracker'!$F$5:$F$149,"Next week",'Session Tracker'!$G$5:$G$149,"Mon"),$D137*SUMIFS('Session Tracker'!$J$5:$J$149,'Session Tracker'!$D$5:$D$149,$A137,'Session Tracker'!$F$5:$F$149,"Next week",'Session Tracker'!$G$5:$G$149,"Mon"))</f>
        <v>0</v>
      </c>
      <c r="I137" s="52" t="n">
        <f aca="false">IF($E137="Per class",$D137*COUNTIFS('Session Tracker'!$D$5:$D$149,$A137,'Session Tracker'!$F$5:$F$149,"Next week",'Session Tracker'!$G$5:$G$149,"Tue"),$D137*SUMIFS('Session Tracker'!$J$5:$J$149,'Session Tracker'!$D$5:$D$149,$A137,'Session Tracker'!$F$5:$F$149,"Next week",'Session Tracker'!$G$5:$G$149,"Tue"))</f>
        <v>0</v>
      </c>
      <c r="J137" s="52" t="n">
        <f aca="false">IF($E137="Per class",$D137*COUNTIFS('Session Tracker'!$D$5:$D$149,$A137,'Session Tracker'!$F$5:$F$149,"Next week",'Session Tracker'!$G$5:$G$149,"Wed"),$D137*SUMIFS('Session Tracker'!$J$5:$J$149,'Session Tracker'!$D$5:$D$149,$A137,'Session Tracker'!$F$5:$F$149,"Next week",'Session Tracker'!$G$5:$G$149,"Wed"))</f>
        <v>0</v>
      </c>
      <c r="K137" s="52" t="n">
        <f aca="false">IF($E137="Per class",$D137*COUNTIFS('Session Tracker'!$D$5:$D$149,$A137,'Session Tracker'!$F$5:$F$149,"Next week",'Session Tracker'!$G$5:$G$149,"Thu"),$D137*SUMIFS('Session Tracker'!$J$5:$J$149,'Session Tracker'!$D$5:$D$149,$A137,'Session Tracker'!$F$5:$F$149,"Next week",'Session Tracker'!$G$5:$G$149,"Thu"))</f>
        <v>0</v>
      </c>
      <c r="L137" s="52" t="n">
        <f aca="false">IF($E137="Per class",$D137*COUNTIFS('Session Tracker'!$D$5:$D$149,$A137,'Session Tracker'!$F$5:$F$149,"Next week",'Session Tracker'!$G$5:$G$149,"Fri"),$D137*SUMIFS('Session Tracker'!$J$5:$J$149,'Session Tracker'!$D$5:$D$149,$A137,'Session Tracker'!$F$5:$F$149,"Next week",'Session Tracker'!$G$5:$G$149,"Fri"))</f>
        <v>0</v>
      </c>
      <c r="M137" s="52" t="n">
        <f aca="false">IF($E137="Per class",$D137*COUNTIFS('Session Tracker'!$D$5:$D$149,$A137,'Session Tracker'!$F$5:$F$149,"Next week",'Session Tracker'!$G$5:$G$149,""),$D137*SUMIFS('Session Tracker'!$J$5:$J$149,'Session Tracker'!$D$5:$D$149,$A137,'Session Tracker'!$F$5:$F$149,"Next week",'Session Tracker'!$G$5:$G$149,""))</f>
        <v>0</v>
      </c>
    </row>
    <row r="138" customFormat="false" ht="15" hidden="false" customHeight="false" outlineLevel="0" collapsed="false">
      <c r="A138" s="51" t="s">
        <v>98</v>
      </c>
      <c r="B138" s="34" t="s">
        <v>377</v>
      </c>
      <c r="C138" s="34" t="s">
        <v>378</v>
      </c>
      <c r="D138" s="32" t="n">
        <v>1</v>
      </c>
      <c r="E138" s="32" t="s">
        <v>14</v>
      </c>
      <c r="F138" s="32" t="s">
        <v>368</v>
      </c>
      <c r="G138" s="34"/>
      <c r="H138" s="52" t="n">
        <f aca="false">IF($E138="Per class",$D138*COUNTIFS('Session Tracker'!$D$5:$D$149,$A138,'Session Tracker'!$F$5:$F$149,"Next week",'Session Tracker'!$G$5:$G$149,"Mon"),$D138*SUMIFS('Session Tracker'!$J$5:$J$149,'Session Tracker'!$D$5:$D$149,$A138,'Session Tracker'!$F$5:$F$149,"Next week",'Session Tracker'!$G$5:$G$149,"Mon"))</f>
        <v>0</v>
      </c>
      <c r="I138" s="52" t="n">
        <f aca="false">IF($E138="Per class",$D138*COUNTIFS('Session Tracker'!$D$5:$D$149,$A138,'Session Tracker'!$F$5:$F$149,"Next week",'Session Tracker'!$G$5:$G$149,"Tue"),$D138*SUMIFS('Session Tracker'!$J$5:$J$149,'Session Tracker'!$D$5:$D$149,$A138,'Session Tracker'!$F$5:$F$149,"Next week",'Session Tracker'!$G$5:$G$149,"Tue"))</f>
        <v>0</v>
      </c>
      <c r="J138" s="52" t="n">
        <f aca="false">IF($E138="Per class",$D138*COUNTIFS('Session Tracker'!$D$5:$D$149,$A138,'Session Tracker'!$F$5:$F$149,"Next week",'Session Tracker'!$G$5:$G$149,"Wed"),$D138*SUMIFS('Session Tracker'!$J$5:$J$149,'Session Tracker'!$D$5:$D$149,$A138,'Session Tracker'!$F$5:$F$149,"Next week",'Session Tracker'!$G$5:$G$149,"Wed"))</f>
        <v>0</v>
      </c>
      <c r="K138" s="52" t="n">
        <f aca="false">IF($E138="Per class",$D138*COUNTIFS('Session Tracker'!$D$5:$D$149,$A138,'Session Tracker'!$F$5:$F$149,"Next week",'Session Tracker'!$G$5:$G$149,"Thu"),$D138*SUMIFS('Session Tracker'!$J$5:$J$149,'Session Tracker'!$D$5:$D$149,$A138,'Session Tracker'!$F$5:$F$149,"Next week",'Session Tracker'!$G$5:$G$149,"Thu"))</f>
        <v>0</v>
      </c>
      <c r="L138" s="52" t="n">
        <f aca="false">IF($E138="Per class",$D138*COUNTIFS('Session Tracker'!$D$5:$D$149,$A138,'Session Tracker'!$F$5:$F$149,"Next week",'Session Tracker'!$G$5:$G$149,"Fri"),$D138*SUMIFS('Session Tracker'!$J$5:$J$149,'Session Tracker'!$D$5:$D$149,$A138,'Session Tracker'!$F$5:$F$149,"Next week",'Session Tracker'!$G$5:$G$149,"Fri"))</f>
        <v>0</v>
      </c>
      <c r="M138" s="52" t="n">
        <f aca="false">IF($E138="Per class",$D138*COUNTIFS('Session Tracker'!$D$5:$D$149,$A138,'Session Tracker'!$F$5:$F$149,"Next week",'Session Tracker'!$G$5:$G$149,""),$D138*SUMIFS('Session Tracker'!$J$5:$J$149,'Session Tracker'!$D$5:$D$149,$A138,'Session Tracker'!$F$5:$F$149,"Next week",'Session Tracker'!$G$5:$G$149,""))</f>
        <v>0</v>
      </c>
    </row>
    <row r="139" customFormat="false" ht="15" hidden="false" customHeight="false" outlineLevel="0" collapsed="false">
      <c r="A139" s="51" t="s">
        <v>98</v>
      </c>
      <c r="B139" s="34" t="s">
        <v>371</v>
      </c>
      <c r="C139" s="34" t="s">
        <v>372</v>
      </c>
      <c r="D139" s="32" t="n">
        <v>1</v>
      </c>
      <c r="E139" s="32" t="s">
        <v>14</v>
      </c>
      <c r="F139" s="32" t="s">
        <v>373</v>
      </c>
      <c r="G139" s="34"/>
      <c r="H139" s="52" t="n">
        <f aca="false">IF($E139="Per class",$D139*COUNTIFS('Session Tracker'!$D$5:$D$149,$A139,'Session Tracker'!$F$5:$F$149,"Next week",'Session Tracker'!$G$5:$G$149,"Mon"),$D139*SUMIFS('Session Tracker'!$J$5:$J$149,'Session Tracker'!$D$5:$D$149,$A139,'Session Tracker'!$F$5:$F$149,"Next week",'Session Tracker'!$G$5:$G$149,"Mon"))</f>
        <v>0</v>
      </c>
      <c r="I139" s="52" t="n">
        <f aca="false">IF($E139="Per class",$D139*COUNTIFS('Session Tracker'!$D$5:$D$149,$A139,'Session Tracker'!$F$5:$F$149,"Next week",'Session Tracker'!$G$5:$G$149,"Tue"),$D139*SUMIFS('Session Tracker'!$J$5:$J$149,'Session Tracker'!$D$5:$D$149,$A139,'Session Tracker'!$F$5:$F$149,"Next week",'Session Tracker'!$G$5:$G$149,"Tue"))</f>
        <v>0</v>
      </c>
      <c r="J139" s="52" t="n">
        <f aca="false">IF($E139="Per class",$D139*COUNTIFS('Session Tracker'!$D$5:$D$149,$A139,'Session Tracker'!$F$5:$F$149,"Next week",'Session Tracker'!$G$5:$G$149,"Wed"),$D139*SUMIFS('Session Tracker'!$J$5:$J$149,'Session Tracker'!$D$5:$D$149,$A139,'Session Tracker'!$F$5:$F$149,"Next week",'Session Tracker'!$G$5:$G$149,"Wed"))</f>
        <v>0</v>
      </c>
      <c r="K139" s="52" t="n">
        <f aca="false">IF($E139="Per class",$D139*COUNTIFS('Session Tracker'!$D$5:$D$149,$A139,'Session Tracker'!$F$5:$F$149,"Next week",'Session Tracker'!$G$5:$G$149,"Thu"),$D139*SUMIFS('Session Tracker'!$J$5:$J$149,'Session Tracker'!$D$5:$D$149,$A139,'Session Tracker'!$F$5:$F$149,"Next week",'Session Tracker'!$G$5:$G$149,"Thu"))</f>
        <v>0</v>
      </c>
      <c r="L139" s="52" t="n">
        <f aca="false">IF($E139="Per class",$D139*COUNTIFS('Session Tracker'!$D$5:$D$149,$A139,'Session Tracker'!$F$5:$F$149,"Next week",'Session Tracker'!$G$5:$G$149,"Fri"),$D139*SUMIFS('Session Tracker'!$J$5:$J$149,'Session Tracker'!$D$5:$D$149,$A139,'Session Tracker'!$F$5:$F$149,"Next week",'Session Tracker'!$G$5:$G$149,"Fri"))</f>
        <v>0</v>
      </c>
      <c r="M139" s="52" t="n">
        <f aca="false">IF($E139="Per class",$D139*COUNTIFS('Session Tracker'!$D$5:$D$149,$A139,'Session Tracker'!$F$5:$F$149,"Next week",'Session Tracker'!$G$5:$G$149,""),$D139*SUMIFS('Session Tracker'!$J$5:$J$149,'Session Tracker'!$D$5:$D$149,$A139,'Session Tracker'!$F$5:$F$149,"Next week",'Session Tracker'!$G$5:$G$149,""))</f>
        <v>0</v>
      </c>
    </row>
    <row r="140" customFormat="false" ht="15" hidden="false" customHeight="false" outlineLevel="0" collapsed="false">
      <c r="A140" s="51" t="s">
        <v>98</v>
      </c>
      <c r="B140" s="34" t="s">
        <v>375</v>
      </c>
      <c r="C140" s="34" t="s">
        <v>376</v>
      </c>
      <c r="D140" s="32" t="n">
        <v>1</v>
      </c>
      <c r="E140" s="32" t="s">
        <v>14</v>
      </c>
      <c r="F140" s="32" t="s">
        <v>373</v>
      </c>
      <c r="G140" s="34"/>
      <c r="H140" s="52" t="n">
        <f aca="false">IF($E140="Per class",$D140*COUNTIFS('Session Tracker'!$D$5:$D$149,$A140,'Session Tracker'!$F$5:$F$149,"Next week",'Session Tracker'!$G$5:$G$149,"Mon"),$D140*SUMIFS('Session Tracker'!$J$5:$J$149,'Session Tracker'!$D$5:$D$149,$A140,'Session Tracker'!$F$5:$F$149,"Next week",'Session Tracker'!$G$5:$G$149,"Mon"))</f>
        <v>0</v>
      </c>
      <c r="I140" s="52" t="n">
        <f aca="false">IF($E140="Per class",$D140*COUNTIFS('Session Tracker'!$D$5:$D$149,$A140,'Session Tracker'!$F$5:$F$149,"Next week",'Session Tracker'!$G$5:$G$149,"Tue"),$D140*SUMIFS('Session Tracker'!$J$5:$J$149,'Session Tracker'!$D$5:$D$149,$A140,'Session Tracker'!$F$5:$F$149,"Next week",'Session Tracker'!$G$5:$G$149,"Tue"))</f>
        <v>0</v>
      </c>
      <c r="J140" s="52" t="n">
        <f aca="false">IF($E140="Per class",$D140*COUNTIFS('Session Tracker'!$D$5:$D$149,$A140,'Session Tracker'!$F$5:$F$149,"Next week",'Session Tracker'!$G$5:$G$149,"Wed"),$D140*SUMIFS('Session Tracker'!$J$5:$J$149,'Session Tracker'!$D$5:$D$149,$A140,'Session Tracker'!$F$5:$F$149,"Next week",'Session Tracker'!$G$5:$G$149,"Wed"))</f>
        <v>0</v>
      </c>
      <c r="K140" s="52" t="n">
        <f aca="false">IF($E140="Per class",$D140*COUNTIFS('Session Tracker'!$D$5:$D$149,$A140,'Session Tracker'!$F$5:$F$149,"Next week",'Session Tracker'!$G$5:$G$149,"Thu"),$D140*SUMIFS('Session Tracker'!$J$5:$J$149,'Session Tracker'!$D$5:$D$149,$A140,'Session Tracker'!$F$5:$F$149,"Next week",'Session Tracker'!$G$5:$G$149,"Thu"))</f>
        <v>0</v>
      </c>
      <c r="L140" s="52" t="n">
        <f aca="false">IF($E140="Per class",$D140*COUNTIFS('Session Tracker'!$D$5:$D$149,$A140,'Session Tracker'!$F$5:$F$149,"Next week",'Session Tracker'!$G$5:$G$149,"Fri"),$D140*SUMIFS('Session Tracker'!$J$5:$J$149,'Session Tracker'!$D$5:$D$149,$A140,'Session Tracker'!$F$5:$F$149,"Next week",'Session Tracker'!$G$5:$G$149,"Fri"))</f>
        <v>0</v>
      </c>
      <c r="M140" s="52" t="n">
        <f aca="false">IF($E140="Per class",$D140*COUNTIFS('Session Tracker'!$D$5:$D$149,$A140,'Session Tracker'!$F$5:$F$149,"Next week",'Session Tracker'!$G$5:$G$149,""),$D140*SUMIFS('Session Tracker'!$J$5:$J$149,'Session Tracker'!$D$5:$D$149,$A140,'Session Tracker'!$F$5:$F$149,"Next week",'Session Tracker'!$G$5:$G$149,""))</f>
        <v>0</v>
      </c>
    </row>
    <row r="141" customFormat="false" ht="15" hidden="false" customHeight="false" outlineLevel="0" collapsed="false">
      <c r="A141" s="51" t="s">
        <v>98</v>
      </c>
      <c r="B141" s="34" t="s">
        <v>379</v>
      </c>
      <c r="C141" s="34" t="s">
        <v>380</v>
      </c>
      <c r="D141" s="32" t="n">
        <v>1</v>
      </c>
      <c r="E141" s="32" t="s">
        <v>14</v>
      </c>
      <c r="F141" s="32" t="s">
        <v>368</v>
      </c>
      <c r="G141" s="34"/>
      <c r="H141" s="52" t="n">
        <f aca="false">IF($E141="Per class",$D141*COUNTIFS('Session Tracker'!$D$5:$D$149,$A141,'Session Tracker'!$F$5:$F$149,"Next week",'Session Tracker'!$G$5:$G$149,"Mon"),$D141*SUMIFS('Session Tracker'!$J$5:$J$149,'Session Tracker'!$D$5:$D$149,$A141,'Session Tracker'!$F$5:$F$149,"Next week",'Session Tracker'!$G$5:$G$149,"Mon"))</f>
        <v>0</v>
      </c>
      <c r="I141" s="52" t="n">
        <f aca="false">IF($E141="Per class",$D141*COUNTIFS('Session Tracker'!$D$5:$D$149,$A141,'Session Tracker'!$F$5:$F$149,"Next week",'Session Tracker'!$G$5:$G$149,"Tue"),$D141*SUMIFS('Session Tracker'!$J$5:$J$149,'Session Tracker'!$D$5:$D$149,$A141,'Session Tracker'!$F$5:$F$149,"Next week",'Session Tracker'!$G$5:$G$149,"Tue"))</f>
        <v>0</v>
      </c>
      <c r="J141" s="52" t="n">
        <f aca="false">IF($E141="Per class",$D141*COUNTIFS('Session Tracker'!$D$5:$D$149,$A141,'Session Tracker'!$F$5:$F$149,"Next week",'Session Tracker'!$G$5:$G$149,"Wed"),$D141*SUMIFS('Session Tracker'!$J$5:$J$149,'Session Tracker'!$D$5:$D$149,$A141,'Session Tracker'!$F$5:$F$149,"Next week",'Session Tracker'!$G$5:$G$149,"Wed"))</f>
        <v>0</v>
      </c>
      <c r="K141" s="52" t="n">
        <f aca="false">IF($E141="Per class",$D141*COUNTIFS('Session Tracker'!$D$5:$D$149,$A141,'Session Tracker'!$F$5:$F$149,"Next week",'Session Tracker'!$G$5:$G$149,"Thu"),$D141*SUMIFS('Session Tracker'!$J$5:$J$149,'Session Tracker'!$D$5:$D$149,$A141,'Session Tracker'!$F$5:$F$149,"Next week",'Session Tracker'!$G$5:$G$149,"Thu"))</f>
        <v>0</v>
      </c>
      <c r="L141" s="52" t="n">
        <f aca="false">IF($E141="Per class",$D141*COUNTIFS('Session Tracker'!$D$5:$D$149,$A141,'Session Tracker'!$F$5:$F$149,"Next week",'Session Tracker'!$G$5:$G$149,"Fri"),$D141*SUMIFS('Session Tracker'!$J$5:$J$149,'Session Tracker'!$D$5:$D$149,$A141,'Session Tracker'!$F$5:$F$149,"Next week",'Session Tracker'!$G$5:$G$149,"Fri"))</f>
        <v>0</v>
      </c>
      <c r="M141" s="52" t="n">
        <f aca="false">IF($E141="Per class",$D141*COUNTIFS('Session Tracker'!$D$5:$D$149,$A141,'Session Tracker'!$F$5:$F$149,"Next week",'Session Tracker'!$G$5:$G$149,""),$D141*SUMIFS('Session Tracker'!$J$5:$J$149,'Session Tracker'!$D$5:$D$149,$A141,'Session Tracker'!$F$5:$F$149,"Next week",'Session Tracker'!$G$5:$G$149,""))</f>
        <v>0</v>
      </c>
    </row>
    <row r="142" customFormat="false" ht="15" hidden="false" customHeight="false" outlineLevel="0" collapsed="false">
      <c r="A142" s="51" t="s">
        <v>98</v>
      </c>
      <c r="B142" s="34" t="s">
        <v>379</v>
      </c>
      <c r="C142" s="34" t="s">
        <v>381</v>
      </c>
      <c r="D142" s="32" t="n">
        <v>4</v>
      </c>
      <c r="E142" s="32" t="s">
        <v>14</v>
      </c>
      <c r="F142" s="32" t="s">
        <v>368</v>
      </c>
      <c r="G142" s="34"/>
      <c r="H142" s="52" t="n">
        <f aca="false">IF($E142="Per class",$D142*COUNTIFS('Session Tracker'!$D$5:$D$149,$A142,'Session Tracker'!$F$5:$F$149,"Next week",'Session Tracker'!$G$5:$G$149,"Mon"),$D142*SUMIFS('Session Tracker'!$J$5:$J$149,'Session Tracker'!$D$5:$D$149,$A142,'Session Tracker'!$F$5:$F$149,"Next week",'Session Tracker'!$G$5:$G$149,"Mon"))</f>
        <v>0</v>
      </c>
      <c r="I142" s="52" t="n">
        <f aca="false">IF($E142="Per class",$D142*COUNTIFS('Session Tracker'!$D$5:$D$149,$A142,'Session Tracker'!$F$5:$F$149,"Next week",'Session Tracker'!$G$5:$G$149,"Tue"),$D142*SUMIFS('Session Tracker'!$J$5:$J$149,'Session Tracker'!$D$5:$D$149,$A142,'Session Tracker'!$F$5:$F$149,"Next week",'Session Tracker'!$G$5:$G$149,"Tue"))</f>
        <v>0</v>
      </c>
      <c r="J142" s="52" t="n">
        <f aca="false">IF($E142="Per class",$D142*COUNTIFS('Session Tracker'!$D$5:$D$149,$A142,'Session Tracker'!$F$5:$F$149,"Next week",'Session Tracker'!$G$5:$G$149,"Wed"),$D142*SUMIFS('Session Tracker'!$J$5:$J$149,'Session Tracker'!$D$5:$D$149,$A142,'Session Tracker'!$F$5:$F$149,"Next week",'Session Tracker'!$G$5:$G$149,"Wed"))</f>
        <v>0</v>
      </c>
      <c r="K142" s="52" t="n">
        <f aca="false">IF($E142="Per class",$D142*COUNTIFS('Session Tracker'!$D$5:$D$149,$A142,'Session Tracker'!$F$5:$F$149,"Next week",'Session Tracker'!$G$5:$G$149,"Thu"),$D142*SUMIFS('Session Tracker'!$J$5:$J$149,'Session Tracker'!$D$5:$D$149,$A142,'Session Tracker'!$F$5:$F$149,"Next week",'Session Tracker'!$G$5:$G$149,"Thu"))</f>
        <v>0</v>
      </c>
      <c r="L142" s="52" t="n">
        <f aca="false">IF($E142="Per class",$D142*COUNTIFS('Session Tracker'!$D$5:$D$149,$A142,'Session Tracker'!$F$5:$F$149,"Next week",'Session Tracker'!$G$5:$G$149,"Fri"),$D142*SUMIFS('Session Tracker'!$J$5:$J$149,'Session Tracker'!$D$5:$D$149,$A142,'Session Tracker'!$F$5:$F$149,"Next week",'Session Tracker'!$G$5:$G$149,"Fri"))</f>
        <v>0</v>
      </c>
      <c r="M142" s="52" t="n">
        <f aca="false">IF($E142="Per class",$D142*COUNTIFS('Session Tracker'!$D$5:$D$149,$A142,'Session Tracker'!$F$5:$F$149,"Next week",'Session Tracker'!$G$5:$G$149,""),$D142*SUMIFS('Session Tracker'!$J$5:$J$149,'Session Tracker'!$D$5:$D$149,$A142,'Session Tracker'!$F$5:$F$149,"Next week",'Session Tracker'!$G$5:$G$149,""))</f>
        <v>0</v>
      </c>
    </row>
    <row r="143" customFormat="false" ht="15" hidden="false" customHeight="false" outlineLevel="0" collapsed="false">
      <c r="A143" s="51" t="s">
        <v>98</v>
      </c>
      <c r="B143" s="34" t="s">
        <v>379</v>
      </c>
      <c r="C143" s="34" t="s">
        <v>395</v>
      </c>
      <c r="D143" s="32" t="n">
        <v>3</v>
      </c>
      <c r="E143" s="32" t="s">
        <v>14</v>
      </c>
      <c r="F143" s="32" t="s">
        <v>368</v>
      </c>
      <c r="G143" s="34"/>
      <c r="H143" s="52" t="n">
        <f aca="false">IF($E143="Per class",$D143*COUNTIFS('Session Tracker'!$D$5:$D$149,$A143,'Session Tracker'!$F$5:$F$149,"Next week",'Session Tracker'!$G$5:$G$149,"Mon"),$D143*SUMIFS('Session Tracker'!$J$5:$J$149,'Session Tracker'!$D$5:$D$149,$A143,'Session Tracker'!$F$5:$F$149,"Next week",'Session Tracker'!$G$5:$G$149,"Mon"))</f>
        <v>0</v>
      </c>
      <c r="I143" s="52" t="n">
        <f aca="false">IF($E143="Per class",$D143*COUNTIFS('Session Tracker'!$D$5:$D$149,$A143,'Session Tracker'!$F$5:$F$149,"Next week",'Session Tracker'!$G$5:$G$149,"Tue"),$D143*SUMIFS('Session Tracker'!$J$5:$J$149,'Session Tracker'!$D$5:$D$149,$A143,'Session Tracker'!$F$5:$F$149,"Next week",'Session Tracker'!$G$5:$G$149,"Tue"))</f>
        <v>0</v>
      </c>
      <c r="J143" s="52" t="n">
        <f aca="false">IF($E143="Per class",$D143*COUNTIFS('Session Tracker'!$D$5:$D$149,$A143,'Session Tracker'!$F$5:$F$149,"Next week",'Session Tracker'!$G$5:$G$149,"Wed"),$D143*SUMIFS('Session Tracker'!$J$5:$J$149,'Session Tracker'!$D$5:$D$149,$A143,'Session Tracker'!$F$5:$F$149,"Next week",'Session Tracker'!$G$5:$G$149,"Wed"))</f>
        <v>0</v>
      </c>
      <c r="K143" s="52" t="n">
        <f aca="false">IF($E143="Per class",$D143*COUNTIFS('Session Tracker'!$D$5:$D$149,$A143,'Session Tracker'!$F$5:$F$149,"Next week",'Session Tracker'!$G$5:$G$149,"Thu"),$D143*SUMIFS('Session Tracker'!$J$5:$J$149,'Session Tracker'!$D$5:$D$149,$A143,'Session Tracker'!$F$5:$F$149,"Next week",'Session Tracker'!$G$5:$G$149,"Thu"))</f>
        <v>0</v>
      </c>
      <c r="L143" s="52" t="n">
        <f aca="false">IF($E143="Per class",$D143*COUNTIFS('Session Tracker'!$D$5:$D$149,$A143,'Session Tracker'!$F$5:$F$149,"Next week",'Session Tracker'!$G$5:$G$149,"Fri"),$D143*SUMIFS('Session Tracker'!$J$5:$J$149,'Session Tracker'!$D$5:$D$149,$A143,'Session Tracker'!$F$5:$F$149,"Next week",'Session Tracker'!$G$5:$G$149,"Fri"))</f>
        <v>0</v>
      </c>
      <c r="M143" s="52" t="n">
        <f aca="false">IF($E143="Per class",$D143*COUNTIFS('Session Tracker'!$D$5:$D$149,$A143,'Session Tracker'!$F$5:$F$149,"Next week",'Session Tracker'!$G$5:$G$149,""),$D143*SUMIFS('Session Tracker'!$J$5:$J$149,'Session Tracker'!$D$5:$D$149,$A143,'Session Tracker'!$F$5:$F$149,"Next week",'Session Tracker'!$G$5:$G$149,""))</f>
        <v>0</v>
      </c>
    </row>
    <row r="144" customFormat="false" ht="15" hidden="false" customHeight="false" outlineLevel="0" collapsed="false">
      <c r="A144" s="51" t="s">
        <v>98</v>
      </c>
      <c r="B144" s="34" t="s">
        <v>382</v>
      </c>
      <c r="C144" s="34" t="s">
        <v>383</v>
      </c>
      <c r="D144" s="32" t="n">
        <v>1</v>
      </c>
      <c r="E144" s="32" t="s">
        <v>14</v>
      </c>
      <c r="F144" s="32" t="s">
        <v>368</v>
      </c>
      <c r="G144" s="34"/>
      <c r="H144" s="52" t="n">
        <f aca="false">IF($E144="Per class",$D144*COUNTIFS('Session Tracker'!$D$5:$D$149,$A144,'Session Tracker'!$F$5:$F$149,"Next week",'Session Tracker'!$G$5:$G$149,"Mon"),$D144*SUMIFS('Session Tracker'!$J$5:$J$149,'Session Tracker'!$D$5:$D$149,$A144,'Session Tracker'!$F$5:$F$149,"Next week",'Session Tracker'!$G$5:$G$149,"Mon"))</f>
        <v>0</v>
      </c>
      <c r="I144" s="52" t="n">
        <f aca="false">IF($E144="Per class",$D144*COUNTIFS('Session Tracker'!$D$5:$D$149,$A144,'Session Tracker'!$F$5:$F$149,"Next week",'Session Tracker'!$G$5:$G$149,"Tue"),$D144*SUMIFS('Session Tracker'!$J$5:$J$149,'Session Tracker'!$D$5:$D$149,$A144,'Session Tracker'!$F$5:$F$149,"Next week",'Session Tracker'!$G$5:$G$149,"Tue"))</f>
        <v>0</v>
      </c>
      <c r="J144" s="52" t="n">
        <f aca="false">IF($E144="Per class",$D144*COUNTIFS('Session Tracker'!$D$5:$D$149,$A144,'Session Tracker'!$F$5:$F$149,"Next week",'Session Tracker'!$G$5:$G$149,"Wed"),$D144*SUMIFS('Session Tracker'!$J$5:$J$149,'Session Tracker'!$D$5:$D$149,$A144,'Session Tracker'!$F$5:$F$149,"Next week",'Session Tracker'!$G$5:$G$149,"Wed"))</f>
        <v>0</v>
      </c>
      <c r="K144" s="52" t="n">
        <f aca="false">IF($E144="Per class",$D144*COUNTIFS('Session Tracker'!$D$5:$D$149,$A144,'Session Tracker'!$F$5:$F$149,"Next week",'Session Tracker'!$G$5:$G$149,"Thu"),$D144*SUMIFS('Session Tracker'!$J$5:$J$149,'Session Tracker'!$D$5:$D$149,$A144,'Session Tracker'!$F$5:$F$149,"Next week",'Session Tracker'!$G$5:$G$149,"Thu"))</f>
        <v>0</v>
      </c>
      <c r="L144" s="52" t="n">
        <f aca="false">IF($E144="Per class",$D144*COUNTIFS('Session Tracker'!$D$5:$D$149,$A144,'Session Tracker'!$F$5:$F$149,"Next week",'Session Tracker'!$G$5:$G$149,"Fri"),$D144*SUMIFS('Session Tracker'!$J$5:$J$149,'Session Tracker'!$D$5:$D$149,$A144,'Session Tracker'!$F$5:$F$149,"Next week",'Session Tracker'!$G$5:$G$149,"Fri"))</f>
        <v>0</v>
      </c>
      <c r="M144" s="52" t="n">
        <f aca="false">IF($E144="Per class",$D144*COUNTIFS('Session Tracker'!$D$5:$D$149,$A144,'Session Tracker'!$F$5:$F$149,"Next week",'Session Tracker'!$G$5:$G$149,""),$D144*SUMIFS('Session Tracker'!$J$5:$J$149,'Session Tracker'!$D$5:$D$149,$A144,'Session Tracker'!$F$5:$F$149,"Next week",'Session Tracker'!$G$5:$G$149,""))</f>
        <v>0</v>
      </c>
    </row>
    <row r="145" customFormat="false" ht="15" hidden="false" customHeight="false" outlineLevel="0" collapsed="false">
      <c r="A145" s="53" t="s">
        <v>98</v>
      </c>
      <c r="B145" s="54"/>
      <c r="C145" s="54"/>
      <c r="D145" s="54"/>
      <c r="E145" s="54"/>
      <c r="F145" s="54"/>
      <c r="G145" s="54"/>
      <c r="H145" s="52" t="n">
        <f aca="false">IF($E145="Per class",$D145*COUNTIFS('Session Tracker'!$D$5:$D$149,$A145,'Session Tracker'!$F$5:$F$149,"Next week",'Session Tracker'!$G$5:$G$149,"Mon"),$D145*SUMIFS('Session Tracker'!$J$5:$J$149,'Session Tracker'!$D$5:$D$149,$A145,'Session Tracker'!$F$5:$F$149,"Next week",'Session Tracker'!$G$5:$G$149,"Mon"))</f>
        <v>0</v>
      </c>
      <c r="I145" s="52" t="n">
        <f aca="false">IF($E145="Per class",$D145*COUNTIFS('Session Tracker'!$D$5:$D$149,$A145,'Session Tracker'!$F$5:$F$149,"Next week",'Session Tracker'!$G$5:$G$149,"Tue"),$D145*SUMIFS('Session Tracker'!$J$5:$J$149,'Session Tracker'!$D$5:$D$149,$A145,'Session Tracker'!$F$5:$F$149,"Next week",'Session Tracker'!$G$5:$G$149,"Tue"))</f>
        <v>0</v>
      </c>
      <c r="J145" s="52" t="n">
        <f aca="false">IF($E145="Per class",$D145*COUNTIFS('Session Tracker'!$D$5:$D$149,$A145,'Session Tracker'!$F$5:$F$149,"Next week",'Session Tracker'!$G$5:$G$149,"Wed"),$D145*SUMIFS('Session Tracker'!$J$5:$J$149,'Session Tracker'!$D$5:$D$149,$A145,'Session Tracker'!$F$5:$F$149,"Next week",'Session Tracker'!$G$5:$G$149,"Wed"))</f>
        <v>0</v>
      </c>
      <c r="K145" s="52" t="n">
        <f aca="false">IF($E145="Per class",$D145*COUNTIFS('Session Tracker'!$D$5:$D$149,$A145,'Session Tracker'!$F$5:$F$149,"Next week",'Session Tracker'!$G$5:$G$149,"Thu"),$D145*SUMIFS('Session Tracker'!$J$5:$J$149,'Session Tracker'!$D$5:$D$149,$A145,'Session Tracker'!$F$5:$F$149,"Next week",'Session Tracker'!$G$5:$G$149,"Thu"))</f>
        <v>0</v>
      </c>
      <c r="L145" s="52" t="n">
        <f aca="false">IF($E145="Per class",$D145*COUNTIFS('Session Tracker'!$D$5:$D$149,$A145,'Session Tracker'!$F$5:$F$149,"Next week",'Session Tracker'!$G$5:$G$149,"Fri"),$D145*SUMIFS('Session Tracker'!$J$5:$J$149,'Session Tracker'!$D$5:$D$149,$A145,'Session Tracker'!$F$5:$F$149,"Next week",'Session Tracker'!$G$5:$G$149,"Fri"))</f>
        <v>0</v>
      </c>
      <c r="M145" s="52" t="n">
        <f aca="false">IF($E145="Per class",$D145*COUNTIFS('Session Tracker'!$D$5:$D$149,$A145,'Session Tracker'!$F$5:$F$149,"Next week",'Session Tracker'!$G$5:$G$149,""),$D145*SUMIFS('Session Tracker'!$J$5:$J$149,'Session Tracker'!$D$5:$D$149,$A145,'Session Tracker'!$F$5:$F$149,"Next week",'Session Tracker'!$G$5:$G$149,""))</f>
        <v>0</v>
      </c>
    </row>
    <row r="146" customFormat="false" ht="15" hidden="false" customHeight="false" outlineLevel="0" collapsed="false">
      <c r="A146" s="53" t="s">
        <v>98</v>
      </c>
      <c r="B146" s="54"/>
      <c r="C146" s="54"/>
      <c r="D146" s="54"/>
      <c r="E146" s="54"/>
      <c r="F146" s="54"/>
      <c r="G146" s="54"/>
      <c r="H146" s="52" t="n">
        <f aca="false">IF($E146="Per class",$D146*COUNTIFS('Session Tracker'!$D$5:$D$149,$A146,'Session Tracker'!$F$5:$F$149,"Next week",'Session Tracker'!$G$5:$G$149,"Mon"),$D146*SUMIFS('Session Tracker'!$J$5:$J$149,'Session Tracker'!$D$5:$D$149,$A146,'Session Tracker'!$F$5:$F$149,"Next week",'Session Tracker'!$G$5:$G$149,"Mon"))</f>
        <v>0</v>
      </c>
      <c r="I146" s="52" t="n">
        <f aca="false">IF($E146="Per class",$D146*COUNTIFS('Session Tracker'!$D$5:$D$149,$A146,'Session Tracker'!$F$5:$F$149,"Next week",'Session Tracker'!$G$5:$G$149,"Tue"),$D146*SUMIFS('Session Tracker'!$J$5:$J$149,'Session Tracker'!$D$5:$D$149,$A146,'Session Tracker'!$F$5:$F$149,"Next week",'Session Tracker'!$G$5:$G$149,"Tue"))</f>
        <v>0</v>
      </c>
      <c r="J146" s="52" t="n">
        <f aca="false">IF($E146="Per class",$D146*COUNTIFS('Session Tracker'!$D$5:$D$149,$A146,'Session Tracker'!$F$5:$F$149,"Next week",'Session Tracker'!$G$5:$G$149,"Wed"),$D146*SUMIFS('Session Tracker'!$J$5:$J$149,'Session Tracker'!$D$5:$D$149,$A146,'Session Tracker'!$F$5:$F$149,"Next week",'Session Tracker'!$G$5:$G$149,"Wed"))</f>
        <v>0</v>
      </c>
      <c r="K146" s="52" t="n">
        <f aca="false">IF($E146="Per class",$D146*COUNTIFS('Session Tracker'!$D$5:$D$149,$A146,'Session Tracker'!$F$5:$F$149,"Next week",'Session Tracker'!$G$5:$G$149,"Thu"),$D146*SUMIFS('Session Tracker'!$J$5:$J$149,'Session Tracker'!$D$5:$D$149,$A146,'Session Tracker'!$F$5:$F$149,"Next week",'Session Tracker'!$G$5:$G$149,"Thu"))</f>
        <v>0</v>
      </c>
      <c r="L146" s="52" t="n">
        <f aca="false">IF($E146="Per class",$D146*COUNTIFS('Session Tracker'!$D$5:$D$149,$A146,'Session Tracker'!$F$5:$F$149,"Next week",'Session Tracker'!$G$5:$G$149,"Fri"),$D146*SUMIFS('Session Tracker'!$J$5:$J$149,'Session Tracker'!$D$5:$D$149,$A146,'Session Tracker'!$F$5:$F$149,"Next week",'Session Tracker'!$G$5:$G$149,"Fri"))</f>
        <v>0</v>
      </c>
      <c r="M146" s="52" t="n">
        <f aca="false">IF($E146="Per class",$D146*COUNTIFS('Session Tracker'!$D$5:$D$149,$A146,'Session Tracker'!$F$5:$F$149,"Next week",'Session Tracker'!$G$5:$G$149,""),$D146*SUMIFS('Session Tracker'!$J$5:$J$149,'Session Tracker'!$D$5:$D$149,$A146,'Session Tracker'!$F$5:$F$149,"Next week",'Session Tracker'!$G$5:$G$149,""))</f>
        <v>0</v>
      </c>
    </row>
    <row r="148" customFormat="false" ht="19.5" hidden="false" customHeight="true" outlineLevel="0" collapsed="false">
      <c r="A148" s="47" t="s">
        <v>100</v>
      </c>
      <c r="B148" s="48" t="s">
        <v>438</v>
      </c>
      <c r="C148" s="48"/>
      <c r="D148" s="48"/>
      <c r="E148" s="48"/>
      <c r="F148" s="49" t="str">
        <f aca="false">"Status: "&amp;'Session Tracker'!F17&amp;IF('Session Tracker'!G17&lt;&gt;""," ("&amp;'Session Tracker'!G17&amp;")","")</f>
        <v>Status: Not started</v>
      </c>
      <c r="G148" s="49"/>
      <c r="H148" s="50"/>
      <c r="I148" s="50"/>
      <c r="J148" s="50"/>
      <c r="K148" s="50"/>
      <c r="L148" s="50"/>
      <c r="M148" s="50"/>
    </row>
    <row r="149" customFormat="false" ht="23.85" hidden="false" customHeight="false" outlineLevel="0" collapsed="false">
      <c r="A149" s="51" t="s">
        <v>100</v>
      </c>
      <c r="B149" s="34" t="s">
        <v>366</v>
      </c>
      <c r="C149" s="34" t="s">
        <v>367</v>
      </c>
      <c r="D149" s="32" t="n">
        <v>1</v>
      </c>
      <c r="E149" s="32" t="s">
        <v>14</v>
      </c>
      <c r="F149" s="32" t="s">
        <v>368</v>
      </c>
      <c r="G149" s="34" t="s">
        <v>416</v>
      </c>
      <c r="H149" s="52" t="n">
        <f aca="false">IF($E149="Per class",$D149*COUNTIFS('Session Tracker'!$D$5:$D$149,$A149,'Session Tracker'!$F$5:$F$149,"Next week",'Session Tracker'!$G$5:$G$149,"Mon"),$D149*SUMIFS('Session Tracker'!$J$5:$J$149,'Session Tracker'!$D$5:$D$149,$A149,'Session Tracker'!$F$5:$F$149,"Next week",'Session Tracker'!$G$5:$G$149,"Mon"))</f>
        <v>0</v>
      </c>
      <c r="I149" s="52" t="n">
        <f aca="false">IF($E149="Per class",$D149*COUNTIFS('Session Tracker'!$D$5:$D$149,$A149,'Session Tracker'!$F$5:$F$149,"Next week",'Session Tracker'!$G$5:$G$149,"Tue"),$D149*SUMIFS('Session Tracker'!$J$5:$J$149,'Session Tracker'!$D$5:$D$149,$A149,'Session Tracker'!$F$5:$F$149,"Next week",'Session Tracker'!$G$5:$G$149,"Tue"))</f>
        <v>0</v>
      </c>
      <c r="J149" s="52" t="n">
        <f aca="false">IF($E149="Per class",$D149*COUNTIFS('Session Tracker'!$D$5:$D$149,$A149,'Session Tracker'!$F$5:$F$149,"Next week",'Session Tracker'!$G$5:$G$149,"Wed"),$D149*SUMIFS('Session Tracker'!$J$5:$J$149,'Session Tracker'!$D$5:$D$149,$A149,'Session Tracker'!$F$5:$F$149,"Next week",'Session Tracker'!$G$5:$G$149,"Wed"))</f>
        <v>0</v>
      </c>
      <c r="K149" s="52" t="n">
        <f aca="false">IF($E149="Per class",$D149*COUNTIFS('Session Tracker'!$D$5:$D$149,$A149,'Session Tracker'!$F$5:$F$149,"Next week",'Session Tracker'!$G$5:$G$149,"Thu"),$D149*SUMIFS('Session Tracker'!$J$5:$J$149,'Session Tracker'!$D$5:$D$149,$A149,'Session Tracker'!$F$5:$F$149,"Next week",'Session Tracker'!$G$5:$G$149,"Thu"))</f>
        <v>0</v>
      </c>
      <c r="L149" s="52" t="n">
        <f aca="false">IF($E149="Per class",$D149*COUNTIFS('Session Tracker'!$D$5:$D$149,$A149,'Session Tracker'!$F$5:$F$149,"Next week",'Session Tracker'!$G$5:$G$149,"Fri"),$D149*SUMIFS('Session Tracker'!$J$5:$J$149,'Session Tracker'!$D$5:$D$149,$A149,'Session Tracker'!$F$5:$F$149,"Next week",'Session Tracker'!$G$5:$G$149,"Fri"))</f>
        <v>0</v>
      </c>
      <c r="M149" s="52" t="n">
        <f aca="false">IF($E149="Per class",$D149*COUNTIFS('Session Tracker'!$D$5:$D$149,$A149,'Session Tracker'!$F$5:$F$149,"Next week",'Session Tracker'!$G$5:$G$149,""),$D149*SUMIFS('Session Tracker'!$J$5:$J$149,'Session Tracker'!$D$5:$D$149,$A149,'Session Tracker'!$F$5:$F$149,"Next week",'Session Tracker'!$G$5:$G$149,""))</f>
        <v>0</v>
      </c>
    </row>
    <row r="150" customFormat="false" ht="15" hidden="false" customHeight="false" outlineLevel="0" collapsed="false">
      <c r="A150" s="51" t="s">
        <v>100</v>
      </c>
      <c r="B150" s="34" t="s">
        <v>377</v>
      </c>
      <c r="C150" s="34" t="s">
        <v>439</v>
      </c>
      <c r="D150" s="32" t="n">
        <v>1</v>
      </c>
      <c r="E150" s="32" t="s">
        <v>14</v>
      </c>
      <c r="F150" s="32" t="s">
        <v>368</v>
      </c>
      <c r="G150" s="34"/>
      <c r="H150" s="52" t="n">
        <f aca="false">IF($E150="Per class",$D150*COUNTIFS('Session Tracker'!$D$5:$D$149,$A150,'Session Tracker'!$F$5:$F$149,"Next week",'Session Tracker'!$G$5:$G$149,"Mon"),$D150*SUMIFS('Session Tracker'!$J$5:$J$149,'Session Tracker'!$D$5:$D$149,$A150,'Session Tracker'!$F$5:$F$149,"Next week",'Session Tracker'!$G$5:$G$149,"Mon"))</f>
        <v>0</v>
      </c>
      <c r="I150" s="52" t="n">
        <f aca="false">IF($E150="Per class",$D150*COUNTIFS('Session Tracker'!$D$5:$D$149,$A150,'Session Tracker'!$F$5:$F$149,"Next week",'Session Tracker'!$G$5:$G$149,"Tue"),$D150*SUMIFS('Session Tracker'!$J$5:$J$149,'Session Tracker'!$D$5:$D$149,$A150,'Session Tracker'!$F$5:$F$149,"Next week",'Session Tracker'!$G$5:$G$149,"Tue"))</f>
        <v>0</v>
      </c>
      <c r="J150" s="52" t="n">
        <f aca="false">IF($E150="Per class",$D150*COUNTIFS('Session Tracker'!$D$5:$D$149,$A150,'Session Tracker'!$F$5:$F$149,"Next week",'Session Tracker'!$G$5:$G$149,"Wed"),$D150*SUMIFS('Session Tracker'!$J$5:$J$149,'Session Tracker'!$D$5:$D$149,$A150,'Session Tracker'!$F$5:$F$149,"Next week",'Session Tracker'!$G$5:$G$149,"Wed"))</f>
        <v>0</v>
      </c>
      <c r="K150" s="52" t="n">
        <f aca="false">IF($E150="Per class",$D150*COUNTIFS('Session Tracker'!$D$5:$D$149,$A150,'Session Tracker'!$F$5:$F$149,"Next week",'Session Tracker'!$G$5:$G$149,"Thu"),$D150*SUMIFS('Session Tracker'!$J$5:$J$149,'Session Tracker'!$D$5:$D$149,$A150,'Session Tracker'!$F$5:$F$149,"Next week",'Session Tracker'!$G$5:$G$149,"Thu"))</f>
        <v>0</v>
      </c>
      <c r="L150" s="52" t="n">
        <f aca="false">IF($E150="Per class",$D150*COUNTIFS('Session Tracker'!$D$5:$D$149,$A150,'Session Tracker'!$F$5:$F$149,"Next week",'Session Tracker'!$G$5:$G$149,"Fri"),$D150*SUMIFS('Session Tracker'!$J$5:$J$149,'Session Tracker'!$D$5:$D$149,$A150,'Session Tracker'!$F$5:$F$149,"Next week",'Session Tracker'!$G$5:$G$149,"Fri"))</f>
        <v>0</v>
      </c>
      <c r="M150" s="52" t="n">
        <f aca="false">IF($E150="Per class",$D150*COUNTIFS('Session Tracker'!$D$5:$D$149,$A150,'Session Tracker'!$F$5:$F$149,"Next week",'Session Tracker'!$G$5:$G$149,""),$D150*SUMIFS('Session Tracker'!$J$5:$J$149,'Session Tracker'!$D$5:$D$149,$A150,'Session Tracker'!$F$5:$F$149,"Next week",'Session Tracker'!$G$5:$G$149,""))</f>
        <v>0</v>
      </c>
    </row>
    <row r="151" customFormat="false" ht="15" hidden="false" customHeight="false" outlineLevel="0" collapsed="false">
      <c r="A151" s="51" t="s">
        <v>100</v>
      </c>
      <c r="B151" s="34" t="s">
        <v>375</v>
      </c>
      <c r="C151" s="34" t="s">
        <v>385</v>
      </c>
      <c r="D151" s="32" t="n">
        <v>1</v>
      </c>
      <c r="E151" s="32" t="s">
        <v>14</v>
      </c>
      <c r="F151" s="32" t="s">
        <v>368</v>
      </c>
      <c r="G151" s="34"/>
      <c r="H151" s="52" t="n">
        <f aca="false">IF($E151="Per class",$D151*COUNTIFS('Session Tracker'!$D$5:$D$149,$A151,'Session Tracker'!$F$5:$F$149,"Next week",'Session Tracker'!$G$5:$G$149,"Mon"),$D151*SUMIFS('Session Tracker'!$J$5:$J$149,'Session Tracker'!$D$5:$D$149,$A151,'Session Tracker'!$F$5:$F$149,"Next week",'Session Tracker'!$G$5:$G$149,"Mon"))</f>
        <v>0</v>
      </c>
      <c r="I151" s="52" t="n">
        <f aca="false">IF($E151="Per class",$D151*COUNTIFS('Session Tracker'!$D$5:$D$149,$A151,'Session Tracker'!$F$5:$F$149,"Next week",'Session Tracker'!$G$5:$G$149,"Tue"),$D151*SUMIFS('Session Tracker'!$J$5:$J$149,'Session Tracker'!$D$5:$D$149,$A151,'Session Tracker'!$F$5:$F$149,"Next week",'Session Tracker'!$G$5:$G$149,"Tue"))</f>
        <v>0</v>
      </c>
      <c r="J151" s="52" t="n">
        <f aca="false">IF($E151="Per class",$D151*COUNTIFS('Session Tracker'!$D$5:$D$149,$A151,'Session Tracker'!$F$5:$F$149,"Next week",'Session Tracker'!$G$5:$G$149,"Wed"),$D151*SUMIFS('Session Tracker'!$J$5:$J$149,'Session Tracker'!$D$5:$D$149,$A151,'Session Tracker'!$F$5:$F$149,"Next week",'Session Tracker'!$G$5:$G$149,"Wed"))</f>
        <v>0</v>
      </c>
      <c r="K151" s="52" t="n">
        <f aca="false">IF($E151="Per class",$D151*COUNTIFS('Session Tracker'!$D$5:$D$149,$A151,'Session Tracker'!$F$5:$F$149,"Next week",'Session Tracker'!$G$5:$G$149,"Thu"),$D151*SUMIFS('Session Tracker'!$J$5:$J$149,'Session Tracker'!$D$5:$D$149,$A151,'Session Tracker'!$F$5:$F$149,"Next week",'Session Tracker'!$G$5:$G$149,"Thu"))</f>
        <v>0</v>
      </c>
      <c r="L151" s="52" t="n">
        <f aca="false">IF($E151="Per class",$D151*COUNTIFS('Session Tracker'!$D$5:$D$149,$A151,'Session Tracker'!$F$5:$F$149,"Next week",'Session Tracker'!$G$5:$G$149,"Fri"),$D151*SUMIFS('Session Tracker'!$J$5:$J$149,'Session Tracker'!$D$5:$D$149,$A151,'Session Tracker'!$F$5:$F$149,"Next week",'Session Tracker'!$G$5:$G$149,"Fri"))</f>
        <v>0</v>
      </c>
      <c r="M151" s="52" t="n">
        <f aca="false">IF($E151="Per class",$D151*COUNTIFS('Session Tracker'!$D$5:$D$149,$A151,'Session Tracker'!$F$5:$F$149,"Next week",'Session Tracker'!$G$5:$G$149,""),$D151*SUMIFS('Session Tracker'!$J$5:$J$149,'Session Tracker'!$D$5:$D$149,$A151,'Session Tracker'!$F$5:$F$149,"Next week",'Session Tracker'!$G$5:$G$149,""))</f>
        <v>0</v>
      </c>
    </row>
    <row r="152" customFormat="false" ht="15" hidden="false" customHeight="false" outlineLevel="0" collapsed="false">
      <c r="A152" s="51" t="s">
        <v>100</v>
      </c>
      <c r="B152" s="34" t="s">
        <v>375</v>
      </c>
      <c r="C152" s="34" t="s">
        <v>417</v>
      </c>
      <c r="D152" s="32" t="n">
        <v>1</v>
      </c>
      <c r="E152" s="32" t="s">
        <v>14</v>
      </c>
      <c r="F152" s="32" t="s">
        <v>373</v>
      </c>
      <c r="G152" s="34"/>
      <c r="H152" s="52" t="n">
        <f aca="false">IF($E152="Per class",$D152*COUNTIFS('Session Tracker'!$D$5:$D$149,$A152,'Session Tracker'!$F$5:$F$149,"Next week",'Session Tracker'!$G$5:$G$149,"Mon"),$D152*SUMIFS('Session Tracker'!$J$5:$J$149,'Session Tracker'!$D$5:$D$149,$A152,'Session Tracker'!$F$5:$F$149,"Next week",'Session Tracker'!$G$5:$G$149,"Mon"))</f>
        <v>0</v>
      </c>
      <c r="I152" s="52" t="n">
        <f aca="false">IF($E152="Per class",$D152*COUNTIFS('Session Tracker'!$D$5:$D$149,$A152,'Session Tracker'!$F$5:$F$149,"Next week",'Session Tracker'!$G$5:$G$149,"Tue"),$D152*SUMIFS('Session Tracker'!$J$5:$J$149,'Session Tracker'!$D$5:$D$149,$A152,'Session Tracker'!$F$5:$F$149,"Next week",'Session Tracker'!$G$5:$G$149,"Tue"))</f>
        <v>0</v>
      </c>
      <c r="J152" s="52" t="n">
        <f aca="false">IF($E152="Per class",$D152*COUNTIFS('Session Tracker'!$D$5:$D$149,$A152,'Session Tracker'!$F$5:$F$149,"Next week",'Session Tracker'!$G$5:$G$149,"Wed"),$D152*SUMIFS('Session Tracker'!$J$5:$J$149,'Session Tracker'!$D$5:$D$149,$A152,'Session Tracker'!$F$5:$F$149,"Next week",'Session Tracker'!$G$5:$G$149,"Wed"))</f>
        <v>0</v>
      </c>
      <c r="K152" s="52" t="n">
        <f aca="false">IF($E152="Per class",$D152*COUNTIFS('Session Tracker'!$D$5:$D$149,$A152,'Session Tracker'!$F$5:$F$149,"Next week",'Session Tracker'!$G$5:$G$149,"Thu"),$D152*SUMIFS('Session Tracker'!$J$5:$J$149,'Session Tracker'!$D$5:$D$149,$A152,'Session Tracker'!$F$5:$F$149,"Next week",'Session Tracker'!$G$5:$G$149,"Thu"))</f>
        <v>0</v>
      </c>
      <c r="L152" s="52" t="n">
        <f aca="false">IF($E152="Per class",$D152*COUNTIFS('Session Tracker'!$D$5:$D$149,$A152,'Session Tracker'!$F$5:$F$149,"Next week",'Session Tracker'!$G$5:$G$149,"Fri"),$D152*SUMIFS('Session Tracker'!$J$5:$J$149,'Session Tracker'!$D$5:$D$149,$A152,'Session Tracker'!$F$5:$F$149,"Next week",'Session Tracker'!$G$5:$G$149,"Fri"))</f>
        <v>0</v>
      </c>
      <c r="M152" s="52" t="n">
        <f aca="false">IF($E152="Per class",$D152*COUNTIFS('Session Tracker'!$D$5:$D$149,$A152,'Session Tracker'!$F$5:$F$149,"Next week",'Session Tracker'!$G$5:$G$149,""),$D152*SUMIFS('Session Tracker'!$J$5:$J$149,'Session Tracker'!$D$5:$D$149,$A152,'Session Tracker'!$F$5:$F$149,"Next week",'Session Tracker'!$G$5:$G$149,""))</f>
        <v>0</v>
      </c>
    </row>
    <row r="153" customFormat="false" ht="15" hidden="false" customHeight="false" outlineLevel="0" collapsed="false">
      <c r="A153" s="51" t="s">
        <v>100</v>
      </c>
      <c r="B153" s="34" t="s">
        <v>411</v>
      </c>
      <c r="C153" s="34" t="s">
        <v>440</v>
      </c>
      <c r="D153" s="32" t="n">
        <v>1</v>
      </c>
      <c r="E153" s="32" t="s">
        <v>14</v>
      </c>
      <c r="F153" s="32" t="s">
        <v>373</v>
      </c>
      <c r="G153" s="34"/>
      <c r="H153" s="52" t="n">
        <f aca="false">IF($E153="Per class",$D153*COUNTIFS('Session Tracker'!$D$5:$D$149,$A153,'Session Tracker'!$F$5:$F$149,"Next week",'Session Tracker'!$G$5:$G$149,"Mon"),$D153*SUMIFS('Session Tracker'!$J$5:$J$149,'Session Tracker'!$D$5:$D$149,$A153,'Session Tracker'!$F$5:$F$149,"Next week",'Session Tracker'!$G$5:$G$149,"Mon"))</f>
        <v>0</v>
      </c>
      <c r="I153" s="52" t="n">
        <f aca="false">IF($E153="Per class",$D153*COUNTIFS('Session Tracker'!$D$5:$D$149,$A153,'Session Tracker'!$F$5:$F$149,"Next week",'Session Tracker'!$G$5:$G$149,"Tue"),$D153*SUMIFS('Session Tracker'!$J$5:$J$149,'Session Tracker'!$D$5:$D$149,$A153,'Session Tracker'!$F$5:$F$149,"Next week",'Session Tracker'!$G$5:$G$149,"Tue"))</f>
        <v>0</v>
      </c>
      <c r="J153" s="52" t="n">
        <f aca="false">IF($E153="Per class",$D153*COUNTIFS('Session Tracker'!$D$5:$D$149,$A153,'Session Tracker'!$F$5:$F$149,"Next week",'Session Tracker'!$G$5:$G$149,"Wed"),$D153*SUMIFS('Session Tracker'!$J$5:$J$149,'Session Tracker'!$D$5:$D$149,$A153,'Session Tracker'!$F$5:$F$149,"Next week",'Session Tracker'!$G$5:$G$149,"Wed"))</f>
        <v>0</v>
      </c>
      <c r="K153" s="52" t="n">
        <f aca="false">IF($E153="Per class",$D153*COUNTIFS('Session Tracker'!$D$5:$D$149,$A153,'Session Tracker'!$F$5:$F$149,"Next week",'Session Tracker'!$G$5:$G$149,"Thu"),$D153*SUMIFS('Session Tracker'!$J$5:$J$149,'Session Tracker'!$D$5:$D$149,$A153,'Session Tracker'!$F$5:$F$149,"Next week",'Session Tracker'!$G$5:$G$149,"Thu"))</f>
        <v>0</v>
      </c>
      <c r="L153" s="52" t="n">
        <f aca="false">IF($E153="Per class",$D153*COUNTIFS('Session Tracker'!$D$5:$D$149,$A153,'Session Tracker'!$F$5:$F$149,"Next week",'Session Tracker'!$G$5:$G$149,"Fri"),$D153*SUMIFS('Session Tracker'!$J$5:$J$149,'Session Tracker'!$D$5:$D$149,$A153,'Session Tracker'!$F$5:$F$149,"Next week",'Session Tracker'!$G$5:$G$149,"Fri"))</f>
        <v>0</v>
      </c>
      <c r="M153" s="52" t="n">
        <f aca="false">IF($E153="Per class",$D153*COUNTIFS('Session Tracker'!$D$5:$D$149,$A153,'Session Tracker'!$F$5:$F$149,"Next week",'Session Tracker'!$G$5:$G$149,""),$D153*SUMIFS('Session Tracker'!$J$5:$J$149,'Session Tracker'!$D$5:$D$149,$A153,'Session Tracker'!$F$5:$F$149,"Next week",'Session Tracker'!$G$5:$G$149,""))</f>
        <v>0</v>
      </c>
    </row>
    <row r="154" customFormat="false" ht="15" hidden="false" customHeight="false" outlineLevel="0" collapsed="false">
      <c r="A154" s="51" t="s">
        <v>100</v>
      </c>
      <c r="B154" s="34" t="s">
        <v>411</v>
      </c>
      <c r="C154" s="34" t="s">
        <v>413</v>
      </c>
      <c r="D154" s="32" t="n">
        <v>1</v>
      </c>
      <c r="E154" s="32" t="s">
        <v>14</v>
      </c>
      <c r="F154" s="32" t="s">
        <v>373</v>
      </c>
      <c r="G154" s="34"/>
      <c r="H154" s="52" t="n">
        <f aca="false">IF($E154="Per class",$D154*COUNTIFS('Session Tracker'!$D$5:$D$149,$A154,'Session Tracker'!$F$5:$F$149,"Next week",'Session Tracker'!$G$5:$G$149,"Mon"),$D154*SUMIFS('Session Tracker'!$J$5:$J$149,'Session Tracker'!$D$5:$D$149,$A154,'Session Tracker'!$F$5:$F$149,"Next week",'Session Tracker'!$G$5:$G$149,"Mon"))</f>
        <v>0</v>
      </c>
      <c r="I154" s="52" t="n">
        <f aca="false">IF($E154="Per class",$D154*COUNTIFS('Session Tracker'!$D$5:$D$149,$A154,'Session Tracker'!$F$5:$F$149,"Next week",'Session Tracker'!$G$5:$G$149,"Tue"),$D154*SUMIFS('Session Tracker'!$J$5:$J$149,'Session Tracker'!$D$5:$D$149,$A154,'Session Tracker'!$F$5:$F$149,"Next week",'Session Tracker'!$G$5:$G$149,"Tue"))</f>
        <v>0</v>
      </c>
      <c r="J154" s="52" t="n">
        <f aca="false">IF($E154="Per class",$D154*COUNTIFS('Session Tracker'!$D$5:$D$149,$A154,'Session Tracker'!$F$5:$F$149,"Next week",'Session Tracker'!$G$5:$G$149,"Wed"),$D154*SUMIFS('Session Tracker'!$J$5:$J$149,'Session Tracker'!$D$5:$D$149,$A154,'Session Tracker'!$F$5:$F$149,"Next week",'Session Tracker'!$G$5:$G$149,"Wed"))</f>
        <v>0</v>
      </c>
      <c r="K154" s="52" t="n">
        <f aca="false">IF($E154="Per class",$D154*COUNTIFS('Session Tracker'!$D$5:$D$149,$A154,'Session Tracker'!$F$5:$F$149,"Next week",'Session Tracker'!$G$5:$G$149,"Thu"),$D154*SUMIFS('Session Tracker'!$J$5:$J$149,'Session Tracker'!$D$5:$D$149,$A154,'Session Tracker'!$F$5:$F$149,"Next week",'Session Tracker'!$G$5:$G$149,"Thu"))</f>
        <v>0</v>
      </c>
      <c r="L154" s="52" t="n">
        <f aca="false">IF($E154="Per class",$D154*COUNTIFS('Session Tracker'!$D$5:$D$149,$A154,'Session Tracker'!$F$5:$F$149,"Next week",'Session Tracker'!$G$5:$G$149,"Fri"),$D154*SUMIFS('Session Tracker'!$J$5:$J$149,'Session Tracker'!$D$5:$D$149,$A154,'Session Tracker'!$F$5:$F$149,"Next week",'Session Tracker'!$G$5:$G$149,"Fri"))</f>
        <v>0</v>
      </c>
      <c r="M154" s="52" t="n">
        <f aca="false">IF($E154="Per class",$D154*COUNTIFS('Session Tracker'!$D$5:$D$149,$A154,'Session Tracker'!$F$5:$F$149,"Next week",'Session Tracker'!$G$5:$G$149,""),$D154*SUMIFS('Session Tracker'!$J$5:$J$149,'Session Tracker'!$D$5:$D$149,$A154,'Session Tracker'!$F$5:$F$149,"Next week",'Session Tracker'!$G$5:$G$149,""))</f>
        <v>0</v>
      </c>
    </row>
    <row r="155" customFormat="false" ht="15" hidden="false" customHeight="false" outlineLevel="0" collapsed="false">
      <c r="A155" s="51" t="s">
        <v>100</v>
      </c>
      <c r="B155" s="34" t="s">
        <v>411</v>
      </c>
      <c r="C155" s="34" t="s">
        <v>441</v>
      </c>
      <c r="D155" s="32" t="n">
        <v>2</v>
      </c>
      <c r="E155" s="32" t="s">
        <v>14</v>
      </c>
      <c r="F155" s="32" t="s">
        <v>373</v>
      </c>
      <c r="G155" s="34"/>
      <c r="H155" s="52" t="n">
        <f aca="false">IF($E155="Per class",$D155*COUNTIFS('Session Tracker'!$D$5:$D$149,$A155,'Session Tracker'!$F$5:$F$149,"Next week",'Session Tracker'!$G$5:$G$149,"Mon"),$D155*SUMIFS('Session Tracker'!$J$5:$J$149,'Session Tracker'!$D$5:$D$149,$A155,'Session Tracker'!$F$5:$F$149,"Next week",'Session Tracker'!$G$5:$G$149,"Mon"))</f>
        <v>0</v>
      </c>
      <c r="I155" s="52" t="n">
        <f aca="false">IF($E155="Per class",$D155*COUNTIFS('Session Tracker'!$D$5:$D$149,$A155,'Session Tracker'!$F$5:$F$149,"Next week",'Session Tracker'!$G$5:$G$149,"Tue"),$D155*SUMIFS('Session Tracker'!$J$5:$J$149,'Session Tracker'!$D$5:$D$149,$A155,'Session Tracker'!$F$5:$F$149,"Next week",'Session Tracker'!$G$5:$G$149,"Tue"))</f>
        <v>0</v>
      </c>
      <c r="J155" s="52" t="n">
        <f aca="false">IF($E155="Per class",$D155*COUNTIFS('Session Tracker'!$D$5:$D$149,$A155,'Session Tracker'!$F$5:$F$149,"Next week",'Session Tracker'!$G$5:$G$149,"Wed"),$D155*SUMIFS('Session Tracker'!$J$5:$J$149,'Session Tracker'!$D$5:$D$149,$A155,'Session Tracker'!$F$5:$F$149,"Next week",'Session Tracker'!$G$5:$G$149,"Wed"))</f>
        <v>0</v>
      </c>
      <c r="K155" s="52" t="n">
        <f aca="false">IF($E155="Per class",$D155*COUNTIFS('Session Tracker'!$D$5:$D$149,$A155,'Session Tracker'!$F$5:$F$149,"Next week",'Session Tracker'!$G$5:$G$149,"Thu"),$D155*SUMIFS('Session Tracker'!$J$5:$J$149,'Session Tracker'!$D$5:$D$149,$A155,'Session Tracker'!$F$5:$F$149,"Next week",'Session Tracker'!$G$5:$G$149,"Thu"))</f>
        <v>0</v>
      </c>
      <c r="L155" s="52" t="n">
        <f aca="false">IF($E155="Per class",$D155*COUNTIFS('Session Tracker'!$D$5:$D$149,$A155,'Session Tracker'!$F$5:$F$149,"Next week",'Session Tracker'!$G$5:$G$149,"Fri"),$D155*SUMIFS('Session Tracker'!$J$5:$J$149,'Session Tracker'!$D$5:$D$149,$A155,'Session Tracker'!$F$5:$F$149,"Next week",'Session Tracker'!$G$5:$G$149,"Fri"))</f>
        <v>0</v>
      </c>
      <c r="M155" s="52" t="n">
        <f aca="false">IF($E155="Per class",$D155*COUNTIFS('Session Tracker'!$D$5:$D$149,$A155,'Session Tracker'!$F$5:$F$149,"Next week",'Session Tracker'!$G$5:$G$149,""),$D155*SUMIFS('Session Tracker'!$J$5:$J$149,'Session Tracker'!$D$5:$D$149,$A155,'Session Tracker'!$F$5:$F$149,"Next week",'Session Tracker'!$G$5:$G$149,""))</f>
        <v>0</v>
      </c>
    </row>
    <row r="156" customFormat="false" ht="15" hidden="false" customHeight="false" outlineLevel="0" collapsed="false">
      <c r="A156" s="51" t="s">
        <v>100</v>
      </c>
      <c r="B156" s="34" t="s">
        <v>379</v>
      </c>
      <c r="C156" s="34" t="s">
        <v>380</v>
      </c>
      <c r="D156" s="32" t="n">
        <v>1</v>
      </c>
      <c r="E156" s="32" t="s">
        <v>14</v>
      </c>
      <c r="F156" s="32" t="s">
        <v>368</v>
      </c>
      <c r="G156" s="34"/>
      <c r="H156" s="52" t="n">
        <f aca="false">IF($E156="Per class",$D156*COUNTIFS('Session Tracker'!$D$5:$D$149,$A156,'Session Tracker'!$F$5:$F$149,"Next week",'Session Tracker'!$G$5:$G$149,"Mon"),$D156*SUMIFS('Session Tracker'!$J$5:$J$149,'Session Tracker'!$D$5:$D$149,$A156,'Session Tracker'!$F$5:$F$149,"Next week",'Session Tracker'!$G$5:$G$149,"Mon"))</f>
        <v>0</v>
      </c>
      <c r="I156" s="52" t="n">
        <f aca="false">IF($E156="Per class",$D156*COUNTIFS('Session Tracker'!$D$5:$D$149,$A156,'Session Tracker'!$F$5:$F$149,"Next week",'Session Tracker'!$G$5:$G$149,"Tue"),$D156*SUMIFS('Session Tracker'!$J$5:$J$149,'Session Tracker'!$D$5:$D$149,$A156,'Session Tracker'!$F$5:$F$149,"Next week",'Session Tracker'!$G$5:$G$149,"Tue"))</f>
        <v>0</v>
      </c>
      <c r="J156" s="52" t="n">
        <f aca="false">IF($E156="Per class",$D156*COUNTIFS('Session Tracker'!$D$5:$D$149,$A156,'Session Tracker'!$F$5:$F$149,"Next week",'Session Tracker'!$G$5:$G$149,"Wed"),$D156*SUMIFS('Session Tracker'!$J$5:$J$149,'Session Tracker'!$D$5:$D$149,$A156,'Session Tracker'!$F$5:$F$149,"Next week",'Session Tracker'!$G$5:$G$149,"Wed"))</f>
        <v>0</v>
      </c>
      <c r="K156" s="52" t="n">
        <f aca="false">IF($E156="Per class",$D156*COUNTIFS('Session Tracker'!$D$5:$D$149,$A156,'Session Tracker'!$F$5:$F$149,"Next week",'Session Tracker'!$G$5:$G$149,"Thu"),$D156*SUMIFS('Session Tracker'!$J$5:$J$149,'Session Tracker'!$D$5:$D$149,$A156,'Session Tracker'!$F$5:$F$149,"Next week",'Session Tracker'!$G$5:$G$149,"Thu"))</f>
        <v>0</v>
      </c>
      <c r="L156" s="52" t="n">
        <f aca="false">IF($E156="Per class",$D156*COUNTIFS('Session Tracker'!$D$5:$D$149,$A156,'Session Tracker'!$F$5:$F$149,"Next week",'Session Tracker'!$G$5:$G$149,"Fri"),$D156*SUMIFS('Session Tracker'!$J$5:$J$149,'Session Tracker'!$D$5:$D$149,$A156,'Session Tracker'!$F$5:$F$149,"Next week",'Session Tracker'!$G$5:$G$149,"Fri"))</f>
        <v>0</v>
      </c>
      <c r="M156" s="52" t="n">
        <f aca="false">IF($E156="Per class",$D156*COUNTIFS('Session Tracker'!$D$5:$D$149,$A156,'Session Tracker'!$F$5:$F$149,"Next week",'Session Tracker'!$G$5:$G$149,""),$D156*SUMIFS('Session Tracker'!$J$5:$J$149,'Session Tracker'!$D$5:$D$149,$A156,'Session Tracker'!$F$5:$F$149,"Next week",'Session Tracker'!$G$5:$G$149,""))</f>
        <v>0</v>
      </c>
    </row>
    <row r="157" customFormat="false" ht="15" hidden="false" customHeight="false" outlineLevel="0" collapsed="false">
      <c r="A157" s="51" t="s">
        <v>100</v>
      </c>
      <c r="B157" s="34" t="s">
        <v>379</v>
      </c>
      <c r="C157" s="34" t="s">
        <v>381</v>
      </c>
      <c r="D157" s="32" t="n">
        <v>6</v>
      </c>
      <c r="E157" s="32" t="s">
        <v>14</v>
      </c>
      <c r="F157" s="32" t="s">
        <v>368</v>
      </c>
      <c r="G157" s="34"/>
      <c r="H157" s="52" t="n">
        <f aca="false">IF($E157="Per class",$D157*COUNTIFS('Session Tracker'!$D$5:$D$149,$A157,'Session Tracker'!$F$5:$F$149,"Next week",'Session Tracker'!$G$5:$G$149,"Mon"),$D157*SUMIFS('Session Tracker'!$J$5:$J$149,'Session Tracker'!$D$5:$D$149,$A157,'Session Tracker'!$F$5:$F$149,"Next week",'Session Tracker'!$G$5:$G$149,"Mon"))</f>
        <v>0</v>
      </c>
      <c r="I157" s="52" t="n">
        <f aca="false">IF($E157="Per class",$D157*COUNTIFS('Session Tracker'!$D$5:$D$149,$A157,'Session Tracker'!$F$5:$F$149,"Next week",'Session Tracker'!$G$5:$G$149,"Tue"),$D157*SUMIFS('Session Tracker'!$J$5:$J$149,'Session Tracker'!$D$5:$D$149,$A157,'Session Tracker'!$F$5:$F$149,"Next week",'Session Tracker'!$G$5:$G$149,"Tue"))</f>
        <v>0</v>
      </c>
      <c r="J157" s="52" t="n">
        <f aca="false">IF($E157="Per class",$D157*COUNTIFS('Session Tracker'!$D$5:$D$149,$A157,'Session Tracker'!$F$5:$F$149,"Next week",'Session Tracker'!$G$5:$G$149,"Wed"),$D157*SUMIFS('Session Tracker'!$J$5:$J$149,'Session Tracker'!$D$5:$D$149,$A157,'Session Tracker'!$F$5:$F$149,"Next week",'Session Tracker'!$G$5:$G$149,"Wed"))</f>
        <v>0</v>
      </c>
      <c r="K157" s="52" t="n">
        <f aca="false">IF($E157="Per class",$D157*COUNTIFS('Session Tracker'!$D$5:$D$149,$A157,'Session Tracker'!$F$5:$F$149,"Next week",'Session Tracker'!$G$5:$G$149,"Thu"),$D157*SUMIFS('Session Tracker'!$J$5:$J$149,'Session Tracker'!$D$5:$D$149,$A157,'Session Tracker'!$F$5:$F$149,"Next week",'Session Tracker'!$G$5:$G$149,"Thu"))</f>
        <v>0</v>
      </c>
      <c r="L157" s="52" t="n">
        <f aca="false">IF($E157="Per class",$D157*COUNTIFS('Session Tracker'!$D$5:$D$149,$A157,'Session Tracker'!$F$5:$F$149,"Next week",'Session Tracker'!$G$5:$G$149,"Fri"),$D157*SUMIFS('Session Tracker'!$J$5:$J$149,'Session Tracker'!$D$5:$D$149,$A157,'Session Tracker'!$F$5:$F$149,"Next week",'Session Tracker'!$G$5:$G$149,"Fri"))</f>
        <v>0</v>
      </c>
      <c r="M157" s="52" t="n">
        <f aca="false">IF($E157="Per class",$D157*COUNTIFS('Session Tracker'!$D$5:$D$149,$A157,'Session Tracker'!$F$5:$F$149,"Next week",'Session Tracker'!$G$5:$G$149,""),$D157*SUMIFS('Session Tracker'!$J$5:$J$149,'Session Tracker'!$D$5:$D$149,$A157,'Session Tracker'!$F$5:$F$149,"Next week",'Session Tracker'!$G$5:$G$149,""))</f>
        <v>0</v>
      </c>
    </row>
    <row r="158" customFormat="false" ht="15" hidden="false" customHeight="false" outlineLevel="0" collapsed="false">
      <c r="A158" s="51" t="s">
        <v>100</v>
      </c>
      <c r="B158" s="34" t="s">
        <v>382</v>
      </c>
      <c r="C158" s="34" t="s">
        <v>383</v>
      </c>
      <c r="D158" s="32" t="n">
        <v>1</v>
      </c>
      <c r="E158" s="32" t="s">
        <v>14</v>
      </c>
      <c r="F158" s="32" t="s">
        <v>368</v>
      </c>
      <c r="G158" s="34"/>
      <c r="H158" s="52" t="n">
        <f aca="false">IF($E158="Per class",$D158*COUNTIFS('Session Tracker'!$D$5:$D$149,$A158,'Session Tracker'!$F$5:$F$149,"Next week",'Session Tracker'!$G$5:$G$149,"Mon"),$D158*SUMIFS('Session Tracker'!$J$5:$J$149,'Session Tracker'!$D$5:$D$149,$A158,'Session Tracker'!$F$5:$F$149,"Next week",'Session Tracker'!$G$5:$G$149,"Mon"))</f>
        <v>0</v>
      </c>
      <c r="I158" s="52" t="n">
        <f aca="false">IF($E158="Per class",$D158*COUNTIFS('Session Tracker'!$D$5:$D$149,$A158,'Session Tracker'!$F$5:$F$149,"Next week",'Session Tracker'!$G$5:$G$149,"Tue"),$D158*SUMIFS('Session Tracker'!$J$5:$J$149,'Session Tracker'!$D$5:$D$149,$A158,'Session Tracker'!$F$5:$F$149,"Next week",'Session Tracker'!$G$5:$G$149,"Tue"))</f>
        <v>0</v>
      </c>
      <c r="J158" s="52" t="n">
        <f aca="false">IF($E158="Per class",$D158*COUNTIFS('Session Tracker'!$D$5:$D$149,$A158,'Session Tracker'!$F$5:$F$149,"Next week",'Session Tracker'!$G$5:$G$149,"Wed"),$D158*SUMIFS('Session Tracker'!$J$5:$J$149,'Session Tracker'!$D$5:$D$149,$A158,'Session Tracker'!$F$5:$F$149,"Next week",'Session Tracker'!$G$5:$G$149,"Wed"))</f>
        <v>0</v>
      </c>
      <c r="K158" s="52" t="n">
        <f aca="false">IF($E158="Per class",$D158*COUNTIFS('Session Tracker'!$D$5:$D$149,$A158,'Session Tracker'!$F$5:$F$149,"Next week",'Session Tracker'!$G$5:$G$149,"Thu"),$D158*SUMIFS('Session Tracker'!$J$5:$J$149,'Session Tracker'!$D$5:$D$149,$A158,'Session Tracker'!$F$5:$F$149,"Next week",'Session Tracker'!$G$5:$G$149,"Thu"))</f>
        <v>0</v>
      </c>
      <c r="L158" s="52" t="n">
        <f aca="false">IF($E158="Per class",$D158*COUNTIFS('Session Tracker'!$D$5:$D$149,$A158,'Session Tracker'!$F$5:$F$149,"Next week",'Session Tracker'!$G$5:$G$149,"Fri"),$D158*SUMIFS('Session Tracker'!$J$5:$J$149,'Session Tracker'!$D$5:$D$149,$A158,'Session Tracker'!$F$5:$F$149,"Next week",'Session Tracker'!$G$5:$G$149,"Fri"))</f>
        <v>0</v>
      </c>
      <c r="M158" s="52" t="n">
        <f aca="false">IF($E158="Per class",$D158*COUNTIFS('Session Tracker'!$D$5:$D$149,$A158,'Session Tracker'!$F$5:$F$149,"Next week",'Session Tracker'!$G$5:$G$149,""),$D158*SUMIFS('Session Tracker'!$J$5:$J$149,'Session Tracker'!$D$5:$D$149,$A158,'Session Tracker'!$F$5:$F$149,"Next week",'Session Tracker'!$G$5:$G$149,""))</f>
        <v>0</v>
      </c>
    </row>
    <row r="159" customFormat="false" ht="15" hidden="false" customHeight="false" outlineLevel="0" collapsed="false">
      <c r="A159" s="51" t="s">
        <v>100</v>
      </c>
      <c r="B159" s="34" t="s">
        <v>371</v>
      </c>
      <c r="C159" s="34" t="s">
        <v>372</v>
      </c>
      <c r="D159" s="32" t="n">
        <v>1</v>
      </c>
      <c r="E159" s="32" t="s">
        <v>14</v>
      </c>
      <c r="F159" s="32" t="s">
        <v>373</v>
      </c>
      <c r="G159" s="34" t="s">
        <v>389</v>
      </c>
      <c r="H159" s="52" t="n">
        <f aca="false">IF($E159="Per class",$D159*COUNTIFS('Session Tracker'!$D$5:$D$149,$A159,'Session Tracker'!$F$5:$F$149,"Next week",'Session Tracker'!$G$5:$G$149,"Mon"),$D159*SUMIFS('Session Tracker'!$J$5:$J$149,'Session Tracker'!$D$5:$D$149,$A159,'Session Tracker'!$F$5:$F$149,"Next week",'Session Tracker'!$G$5:$G$149,"Mon"))</f>
        <v>0</v>
      </c>
      <c r="I159" s="52" t="n">
        <f aca="false">IF($E159="Per class",$D159*COUNTIFS('Session Tracker'!$D$5:$D$149,$A159,'Session Tracker'!$F$5:$F$149,"Next week",'Session Tracker'!$G$5:$G$149,"Tue"),$D159*SUMIFS('Session Tracker'!$J$5:$J$149,'Session Tracker'!$D$5:$D$149,$A159,'Session Tracker'!$F$5:$F$149,"Next week",'Session Tracker'!$G$5:$G$149,"Tue"))</f>
        <v>0</v>
      </c>
      <c r="J159" s="52" t="n">
        <f aca="false">IF($E159="Per class",$D159*COUNTIFS('Session Tracker'!$D$5:$D$149,$A159,'Session Tracker'!$F$5:$F$149,"Next week",'Session Tracker'!$G$5:$G$149,"Wed"),$D159*SUMIFS('Session Tracker'!$J$5:$J$149,'Session Tracker'!$D$5:$D$149,$A159,'Session Tracker'!$F$5:$F$149,"Next week",'Session Tracker'!$G$5:$G$149,"Wed"))</f>
        <v>0</v>
      </c>
      <c r="K159" s="52" t="n">
        <f aca="false">IF($E159="Per class",$D159*COUNTIFS('Session Tracker'!$D$5:$D$149,$A159,'Session Tracker'!$F$5:$F$149,"Next week",'Session Tracker'!$G$5:$G$149,"Thu"),$D159*SUMIFS('Session Tracker'!$J$5:$J$149,'Session Tracker'!$D$5:$D$149,$A159,'Session Tracker'!$F$5:$F$149,"Next week",'Session Tracker'!$G$5:$G$149,"Thu"))</f>
        <v>0</v>
      </c>
      <c r="L159" s="52" t="n">
        <f aca="false">IF($E159="Per class",$D159*COUNTIFS('Session Tracker'!$D$5:$D$149,$A159,'Session Tracker'!$F$5:$F$149,"Next week",'Session Tracker'!$G$5:$G$149,"Fri"),$D159*SUMIFS('Session Tracker'!$J$5:$J$149,'Session Tracker'!$D$5:$D$149,$A159,'Session Tracker'!$F$5:$F$149,"Next week",'Session Tracker'!$G$5:$G$149,"Fri"))</f>
        <v>0</v>
      </c>
      <c r="M159" s="52" t="n">
        <f aca="false">IF($E159="Per class",$D159*COUNTIFS('Session Tracker'!$D$5:$D$149,$A159,'Session Tracker'!$F$5:$F$149,"Next week",'Session Tracker'!$G$5:$G$149,""),$D159*SUMIFS('Session Tracker'!$J$5:$J$149,'Session Tracker'!$D$5:$D$149,$A159,'Session Tracker'!$F$5:$F$149,"Next week",'Session Tracker'!$G$5:$G$149,""))</f>
        <v>0</v>
      </c>
    </row>
    <row r="160" customFormat="false" ht="15" hidden="false" customHeight="false" outlineLevel="0" collapsed="false">
      <c r="A160" s="51" t="s">
        <v>100</v>
      </c>
      <c r="B160" s="34" t="s">
        <v>375</v>
      </c>
      <c r="C160" s="34" t="s">
        <v>376</v>
      </c>
      <c r="D160" s="32" t="n">
        <v>1</v>
      </c>
      <c r="E160" s="32" t="s">
        <v>14</v>
      </c>
      <c r="F160" s="32" t="s">
        <v>373</v>
      </c>
      <c r="G160" s="34" t="s">
        <v>442</v>
      </c>
      <c r="H160" s="52" t="n">
        <f aca="false">IF($E160="Per class",$D160*COUNTIFS('Session Tracker'!$D$5:$D$149,$A160,'Session Tracker'!$F$5:$F$149,"Next week",'Session Tracker'!$G$5:$G$149,"Mon"),$D160*SUMIFS('Session Tracker'!$J$5:$J$149,'Session Tracker'!$D$5:$D$149,$A160,'Session Tracker'!$F$5:$F$149,"Next week",'Session Tracker'!$G$5:$G$149,"Mon"))</f>
        <v>0</v>
      </c>
      <c r="I160" s="52" t="n">
        <f aca="false">IF($E160="Per class",$D160*COUNTIFS('Session Tracker'!$D$5:$D$149,$A160,'Session Tracker'!$F$5:$F$149,"Next week",'Session Tracker'!$G$5:$G$149,"Tue"),$D160*SUMIFS('Session Tracker'!$J$5:$J$149,'Session Tracker'!$D$5:$D$149,$A160,'Session Tracker'!$F$5:$F$149,"Next week",'Session Tracker'!$G$5:$G$149,"Tue"))</f>
        <v>0</v>
      </c>
      <c r="J160" s="52" t="n">
        <f aca="false">IF($E160="Per class",$D160*COUNTIFS('Session Tracker'!$D$5:$D$149,$A160,'Session Tracker'!$F$5:$F$149,"Next week",'Session Tracker'!$G$5:$G$149,"Wed"),$D160*SUMIFS('Session Tracker'!$J$5:$J$149,'Session Tracker'!$D$5:$D$149,$A160,'Session Tracker'!$F$5:$F$149,"Next week",'Session Tracker'!$G$5:$G$149,"Wed"))</f>
        <v>0</v>
      </c>
      <c r="K160" s="52" t="n">
        <f aca="false">IF($E160="Per class",$D160*COUNTIFS('Session Tracker'!$D$5:$D$149,$A160,'Session Tracker'!$F$5:$F$149,"Next week",'Session Tracker'!$G$5:$G$149,"Thu"),$D160*SUMIFS('Session Tracker'!$J$5:$J$149,'Session Tracker'!$D$5:$D$149,$A160,'Session Tracker'!$F$5:$F$149,"Next week",'Session Tracker'!$G$5:$G$149,"Thu"))</f>
        <v>0</v>
      </c>
      <c r="L160" s="52" t="n">
        <f aca="false">IF($E160="Per class",$D160*COUNTIFS('Session Tracker'!$D$5:$D$149,$A160,'Session Tracker'!$F$5:$F$149,"Next week",'Session Tracker'!$G$5:$G$149,"Fri"),$D160*SUMIFS('Session Tracker'!$J$5:$J$149,'Session Tracker'!$D$5:$D$149,$A160,'Session Tracker'!$F$5:$F$149,"Next week",'Session Tracker'!$G$5:$G$149,"Fri"))</f>
        <v>0</v>
      </c>
      <c r="M160" s="52" t="n">
        <f aca="false">IF($E160="Per class",$D160*COUNTIFS('Session Tracker'!$D$5:$D$149,$A160,'Session Tracker'!$F$5:$F$149,"Next week",'Session Tracker'!$G$5:$G$149,""),$D160*SUMIFS('Session Tracker'!$J$5:$J$149,'Session Tracker'!$D$5:$D$149,$A160,'Session Tracker'!$F$5:$F$149,"Next week",'Session Tracker'!$G$5:$G$149,""))</f>
        <v>0</v>
      </c>
    </row>
    <row r="161" customFormat="false" ht="15" hidden="false" customHeight="false" outlineLevel="0" collapsed="false">
      <c r="A161" s="51" t="s">
        <v>100</v>
      </c>
      <c r="B161" s="34" t="s">
        <v>377</v>
      </c>
      <c r="C161" s="34" t="s">
        <v>378</v>
      </c>
      <c r="D161" s="32" t="n">
        <v>1</v>
      </c>
      <c r="E161" s="32" t="s">
        <v>14</v>
      </c>
      <c r="F161" s="32" t="s">
        <v>368</v>
      </c>
      <c r="G161" s="34" t="s">
        <v>389</v>
      </c>
      <c r="H161" s="52" t="n">
        <f aca="false">IF($E161="Per class",$D161*COUNTIFS('Session Tracker'!$D$5:$D$149,$A161,'Session Tracker'!$F$5:$F$149,"Next week",'Session Tracker'!$G$5:$G$149,"Mon"),$D161*SUMIFS('Session Tracker'!$J$5:$J$149,'Session Tracker'!$D$5:$D$149,$A161,'Session Tracker'!$F$5:$F$149,"Next week",'Session Tracker'!$G$5:$G$149,"Mon"))</f>
        <v>0</v>
      </c>
      <c r="I161" s="52" t="n">
        <f aca="false">IF($E161="Per class",$D161*COUNTIFS('Session Tracker'!$D$5:$D$149,$A161,'Session Tracker'!$F$5:$F$149,"Next week",'Session Tracker'!$G$5:$G$149,"Tue"),$D161*SUMIFS('Session Tracker'!$J$5:$J$149,'Session Tracker'!$D$5:$D$149,$A161,'Session Tracker'!$F$5:$F$149,"Next week",'Session Tracker'!$G$5:$G$149,"Tue"))</f>
        <v>0</v>
      </c>
      <c r="J161" s="52" t="n">
        <f aca="false">IF($E161="Per class",$D161*COUNTIFS('Session Tracker'!$D$5:$D$149,$A161,'Session Tracker'!$F$5:$F$149,"Next week",'Session Tracker'!$G$5:$G$149,"Wed"),$D161*SUMIFS('Session Tracker'!$J$5:$J$149,'Session Tracker'!$D$5:$D$149,$A161,'Session Tracker'!$F$5:$F$149,"Next week",'Session Tracker'!$G$5:$G$149,"Wed"))</f>
        <v>0</v>
      </c>
      <c r="K161" s="52" t="n">
        <f aca="false">IF($E161="Per class",$D161*COUNTIFS('Session Tracker'!$D$5:$D$149,$A161,'Session Tracker'!$F$5:$F$149,"Next week",'Session Tracker'!$G$5:$G$149,"Thu"),$D161*SUMIFS('Session Tracker'!$J$5:$J$149,'Session Tracker'!$D$5:$D$149,$A161,'Session Tracker'!$F$5:$F$149,"Next week",'Session Tracker'!$G$5:$G$149,"Thu"))</f>
        <v>0</v>
      </c>
      <c r="L161" s="52" t="n">
        <f aca="false">IF($E161="Per class",$D161*COUNTIFS('Session Tracker'!$D$5:$D$149,$A161,'Session Tracker'!$F$5:$F$149,"Next week",'Session Tracker'!$G$5:$G$149,"Fri"),$D161*SUMIFS('Session Tracker'!$J$5:$J$149,'Session Tracker'!$D$5:$D$149,$A161,'Session Tracker'!$F$5:$F$149,"Next week",'Session Tracker'!$G$5:$G$149,"Fri"))</f>
        <v>0</v>
      </c>
      <c r="M161" s="52" t="n">
        <f aca="false">IF($E161="Per class",$D161*COUNTIFS('Session Tracker'!$D$5:$D$149,$A161,'Session Tracker'!$F$5:$F$149,"Next week",'Session Tracker'!$G$5:$G$149,""),$D161*SUMIFS('Session Tracker'!$J$5:$J$149,'Session Tracker'!$D$5:$D$149,$A161,'Session Tracker'!$F$5:$F$149,"Next week",'Session Tracker'!$G$5:$G$149,""))</f>
        <v>0</v>
      </c>
    </row>
    <row r="162" customFormat="false" ht="15" hidden="false" customHeight="false" outlineLevel="0" collapsed="false">
      <c r="A162" s="53" t="s">
        <v>100</v>
      </c>
      <c r="B162" s="54"/>
      <c r="C162" s="54"/>
      <c r="D162" s="54"/>
      <c r="E162" s="54"/>
      <c r="F162" s="54"/>
      <c r="G162" s="54"/>
      <c r="H162" s="52" t="n">
        <f aca="false">IF($E162="Per class",$D162*COUNTIFS('Session Tracker'!$D$5:$D$149,$A162,'Session Tracker'!$F$5:$F$149,"Next week",'Session Tracker'!$G$5:$G$149,"Mon"),$D162*SUMIFS('Session Tracker'!$J$5:$J$149,'Session Tracker'!$D$5:$D$149,$A162,'Session Tracker'!$F$5:$F$149,"Next week",'Session Tracker'!$G$5:$G$149,"Mon"))</f>
        <v>0</v>
      </c>
      <c r="I162" s="52" t="n">
        <f aca="false">IF($E162="Per class",$D162*COUNTIFS('Session Tracker'!$D$5:$D$149,$A162,'Session Tracker'!$F$5:$F$149,"Next week",'Session Tracker'!$G$5:$G$149,"Tue"),$D162*SUMIFS('Session Tracker'!$J$5:$J$149,'Session Tracker'!$D$5:$D$149,$A162,'Session Tracker'!$F$5:$F$149,"Next week",'Session Tracker'!$G$5:$G$149,"Tue"))</f>
        <v>0</v>
      </c>
      <c r="J162" s="52" t="n">
        <f aca="false">IF($E162="Per class",$D162*COUNTIFS('Session Tracker'!$D$5:$D$149,$A162,'Session Tracker'!$F$5:$F$149,"Next week",'Session Tracker'!$G$5:$G$149,"Wed"),$D162*SUMIFS('Session Tracker'!$J$5:$J$149,'Session Tracker'!$D$5:$D$149,$A162,'Session Tracker'!$F$5:$F$149,"Next week",'Session Tracker'!$G$5:$G$149,"Wed"))</f>
        <v>0</v>
      </c>
      <c r="K162" s="52" t="n">
        <f aca="false">IF($E162="Per class",$D162*COUNTIFS('Session Tracker'!$D$5:$D$149,$A162,'Session Tracker'!$F$5:$F$149,"Next week",'Session Tracker'!$G$5:$G$149,"Thu"),$D162*SUMIFS('Session Tracker'!$J$5:$J$149,'Session Tracker'!$D$5:$D$149,$A162,'Session Tracker'!$F$5:$F$149,"Next week",'Session Tracker'!$G$5:$G$149,"Thu"))</f>
        <v>0</v>
      </c>
      <c r="L162" s="52" t="n">
        <f aca="false">IF($E162="Per class",$D162*COUNTIFS('Session Tracker'!$D$5:$D$149,$A162,'Session Tracker'!$F$5:$F$149,"Next week",'Session Tracker'!$G$5:$G$149,"Fri"),$D162*SUMIFS('Session Tracker'!$J$5:$J$149,'Session Tracker'!$D$5:$D$149,$A162,'Session Tracker'!$F$5:$F$149,"Next week",'Session Tracker'!$G$5:$G$149,"Fri"))</f>
        <v>0</v>
      </c>
      <c r="M162" s="52" t="n">
        <f aca="false">IF($E162="Per class",$D162*COUNTIFS('Session Tracker'!$D$5:$D$149,$A162,'Session Tracker'!$F$5:$F$149,"Next week",'Session Tracker'!$G$5:$G$149,""),$D162*SUMIFS('Session Tracker'!$J$5:$J$149,'Session Tracker'!$D$5:$D$149,$A162,'Session Tracker'!$F$5:$F$149,"Next week",'Session Tracker'!$G$5:$G$149,""))</f>
        <v>0</v>
      </c>
    </row>
    <row r="163" customFormat="false" ht="15" hidden="false" customHeight="false" outlineLevel="0" collapsed="false">
      <c r="A163" s="53" t="s">
        <v>100</v>
      </c>
      <c r="B163" s="54"/>
      <c r="C163" s="54"/>
      <c r="D163" s="54"/>
      <c r="E163" s="54"/>
      <c r="F163" s="54"/>
      <c r="G163" s="54"/>
      <c r="H163" s="52" t="n">
        <f aca="false">IF($E163="Per class",$D163*COUNTIFS('Session Tracker'!$D$5:$D$149,$A163,'Session Tracker'!$F$5:$F$149,"Next week",'Session Tracker'!$G$5:$G$149,"Mon"),$D163*SUMIFS('Session Tracker'!$J$5:$J$149,'Session Tracker'!$D$5:$D$149,$A163,'Session Tracker'!$F$5:$F$149,"Next week",'Session Tracker'!$G$5:$G$149,"Mon"))</f>
        <v>0</v>
      </c>
      <c r="I163" s="52" t="n">
        <f aca="false">IF($E163="Per class",$D163*COUNTIFS('Session Tracker'!$D$5:$D$149,$A163,'Session Tracker'!$F$5:$F$149,"Next week",'Session Tracker'!$G$5:$G$149,"Tue"),$D163*SUMIFS('Session Tracker'!$J$5:$J$149,'Session Tracker'!$D$5:$D$149,$A163,'Session Tracker'!$F$5:$F$149,"Next week",'Session Tracker'!$G$5:$G$149,"Tue"))</f>
        <v>0</v>
      </c>
      <c r="J163" s="52" t="n">
        <f aca="false">IF($E163="Per class",$D163*COUNTIFS('Session Tracker'!$D$5:$D$149,$A163,'Session Tracker'!$F$5:$F$149,"Next week",'Session Tracker'!$G$5:$G$149,"Wed"),$D163*SUMIFS('Session Tracker'!$J$5:$J$149,'Session Tracker'!$D$5:$D$149,$A163,'Session Tracker'!$F$5:$F$149,"Next week",'Session Tracker'!$G$5:$G$149,"Wed"))</f>
        <v>0</v>
      </c>
      <c r="K163" s="52" t="n">
        <f aca="false">IF($E163="Per class",$D163*COUNTIFS('Session Tracker'!$D$5:$D$149,$A163,'Session Tracker'!$F$5:$F$149,"Next week",'Session Tracker'!$G$5:$G$149,"Thu"),$D163*SUMIFS('Session Tracker'!$J$5:$J$149,'Session Tracker'!$D$5:$D$149,$A163,'Session Tracker'!$F$5:$F$149,"Next week",'Session Tracker'!$G$5:$G$149,"Thu"))</f>
        <v>0</v>
      </c>
      <c r="L163" s="52" t="n">
        <f aca="false">IF($E163="Per class",$D163*COUNTIFS('Session Tracker'!$D$5:$D$149,$A163,'Session Tracker'!$F$5:$F$149,"Next week",'Session Tracker'!$G$5:$G$149,"Fri"),$D163*SUMIFS('Session Tracker'!$J$5:$J$149,'Session Tracker'!$D$5:$D$149,$A163,'Session Tracker'!$F$5:$F$149,"Next week",'Session Tracker'!$G$5:$G$149,"Fri"))</f>
        <v>0</v>
      </c>
      <c r="M163" s="52" t="n">
        <f aca="false">IF($E163="Per class",$D163*COUNTIFS('Session Tracker'!$D$5:$D$149,$A163,'Session Tracker'!$F$5:$F$149,"Next week",'Session Tracker'!$G$5:$G$149,""),$D163*SUMIFS('Session Tracker'!$J$5:$J$149,'Session Tracker'!$D$5:$D$149,$A163,'Session Tracker'!$F$5:$F$149,"Next week",'Session Tracker'!$G$5:$G$149,""))</f>
        <v>0</v>
      </c>
    </row>
    <row r="165" customFormat="false" ht="19.5" hidden="false" customHeight="true" outlineLevel="0" collapsed="false">
      <c r="A165" s="47" t="s">
        <v>102</v>
      </c>
      <c r="B165" s="48" t="s">
        <v>443</v>
      </c>
      <c r="C165" s="48"/>
      <c r="D165" s="48"/>
      <c r="E165" s="48"/>
      <c r="F165" s="49" t="str">
        <f aca="false">"Status: "&amp;'Session Tracker'!F18&amp;IF('Session Tracker'!G18&lt;&gt;""," ("&amp;'Session Tracker'!G18&amp;")","")</f>
        <v>Status: Not started</v>
      </c>
      <c r="G165" s="49"/>
      <c r="H165" s="50"/>
      <c r="I165" s="50"/>
      <c r="J165" s="50"/>
      <c r="K165" s="50"/>
      <c r="L165" s="50"/>
      <c r="M165" s="50"/>
    </row>
    <row r="166" customFormat="false" ht="23.85" hidden="false" customHeight="false" outlineLevel="0" collapsed="false">
      <c r="A166" s="51" t="s">
        <v>102</v>
      </c>
      <c r="B166" s="34" t="s">
        <v>366</v>
      </c>
      <c r="C166" s="34" t="s">
        <v>367</v>
      </c>
      <c r="D166" s="32" t="n">
        <v>1</v>
      </c>
      <c r="E166" s="32" t="s">
        <v>14</v>
      </c>
      <c r="F166" s="32" t="s">
        <v>368</v>
      </c>
      <c r="G166" s="34" t="s">
        <v>416</v>
      </c>
      <c r="H166" s="52" t="n">
        <f aca="false">IF($E166="Per class",$D166*COUNTIFS('Session Tracker'!$D$5:$D$149,$A166,'Session Tracker'!$F$5:$F$149,"Next week",'Session Tracker'!$G$5:$G$149,"Mon"),$D166*SUMIFS('Session Tracker'!$J$5:$J$149,'Session Tracker'!$D$5:$D$149,$A166,'Session Tracker'!$F$5:$F$149,"Next week",'Session Tracker'!$G$5:$G$149,"Mon"))</f>
        <v>0</v>
      </c>
      <c r="I166" s="52" t="n">
        <f aca="false">IF($E166="Per class",$D166*COUNTIFS('Session Tracker'!$D$5:$D$149,$A166,'Session Tracker'!$F$5:$F$149,"Next week",'Session Tracker'!$G$5:$G$149,"Tue"),$D166*SUMIFS('Session Tracker'!$J$5:$J$149,'Session Tracker'!$D$5:$D$149,$A166,'Session Tracker'!$F$5:$F$149,"Next week",'Session Tracker'!$G$5:$G$149,"Tue"))</f>
        <v>0</v>
      </c>
      <c r="J166" s="52" t="n">
        <f aca="false">IF($E166="Per class",$D166*COUNTIFS('Session Tracker'!$D$5:$D$149,$A166,'Session Tracker'!$F$5:$F$149,"Next week",'Session Tracker'!$G$5:$G$149,"Wed"),$D166*SUMIFS('Session Tracker'!$J$5:$J$149,'Session Tracker'!$D$5:$D$149,$A166,'Session Tracker'!$F$5:$F$149,"Next week",'Session Tracker'!$G$5:$G$149,"Wed"))</f>
        <v>0</v>
      </c>
      <c r="K166" s="52" t="n">
        <f aca="false">IF($E166="Per class",$D166*COUNTIFS('Session Tracker'!$D$5:$D$149,$A166,'Session Tracker'!$F$5:$F$149,"Next week",'Session Tracker'!$G$5:$G$149,"Thu"),$D166*SUMIFS('Session Tracker'!$J$5:$J$149,'Session Tracker'!$D$5:$D$149,$A166,'Session Tracker'!$F$5:$F$149,"Next week",'Session Tracker'!$G$5:$G$149,"Thu"))</f>
        <v>0</v>
      </c>
      <c r="L166" s="52" t="n">
        <f aca="false">IF($E166="Per class",$D166*COUNTIFS('Session Tracker'!$D$5:$D$149,$A166,'Session Tracker'!$F$5:$F$149,"Next week",'Session Tracker'!$G$5:$G$149,"Fri"),$D166*SUMIFS('Session Tracker'!$J$5:$J$149,'Session Tracker'!$D$5:$D$149,$A166,'Session Tracker'!$F$5:$F$149,"Next week",'Session Tracker'!$G$5:$G$149,"Fri"))</f>
        <v>0</v>
      </c>
      <c r="M166" s="52" t="n">
        <f aca="false">IF($E166="Per class",$D166*COUNTIFS('Session Tracker'!$D$5:$D$149,$A166,'Session Tracker'!$F$5:$F$149,"Next week",'Session Tracker'!$G$5:$G$149,""),$D166*SUMIFS('Session Tracker'!$J$5:$J$149,'Session Tracker'!$D$5:$D$149,$A166,'Session Tracker'!$F$5:$F$149,"Next week",'Session Tracker'!$G$5:$G$149,""))</f>
        <v>0</v>
      </c>
    </row>
    <row r="167" customFormat="false" ht="15" hidden="false" customHeight="false" outlineLevel="0" collapsed="false">
      <c r="A167" s="51" t="s">
        <v>102</v>
      </c>
      <c r="B167" s="34" t="s">
        <v>369</v>
      </c>
      <c r="C167" s="34" t="s">
        <v>370</v>
      </c>
      <c r="D167" s="32" t="n">
        <v>1</v>
      </c>
      <c r="E167" s="32" t="s">
        <v>14</v>
      </c>
      <c r="F167" s="32" t="s">
        <v>368</v>
      </c>
      <c r="G167" s="34"/>
      <c r="H167" s="52" t="n">
        <f aca="false">IF($E167="Per class",$D167*COUNTIFS('Session Tracker'!$D$5:$D$149,$A167,'Session Tracker'!$F$5:$F$149,"Next week",'Session Tracker'!$G$5:$G$149,"Mon"),$D167*SUMIFS('Session Tracker'!$J$5:$J$149,'Session Tracker'!$D$5:$D$149,$A167,'Session Tracker'!$F$5:$F$149,"Next week",'Session Tracker'!$G$5:$G$149,"Mon"))</f>
        <v>0</v>
      </c>
      <c r="I167" s="52" t="n">
        <f aca="false">IF($E167="Per class",$D167*COUNTIFS('Session Tracker'!$D$5:$D$149,$A167,'Session Tracker'!$F$5:$F$149,"Next week",'Session Tracker'!$G$5:$G$149,"Tue"),$D167*SUMIFS('Session Tracker'!$J$5:$J$149,'Session Tracker'!$D$5:$D$149,$A167,'Session Tracker'!$F$5:$F$149,"Next week",'Session Tracker'!$G$5:$G$149,"Tue"))</f>
        <v>0</v>
      </c>
      <c r="J167" s="52" t="n">
        <f aca="false">IF($E167="Per class",$D167*COUNTIFS('Session Tracker'!$D$5:$D$149,$A167,'Session Tracker'!$F$5:$F$149,"Next week",'Session Tracker'!$G$5:$G$149,"Wed"),$D167*SUMIFS('Session Tracker'!$J$5:$J$149,'Session Tracker'!$D$5:$D$149,$A167,'Session Tracker'!$F$5:$F$149,"Next week",'Session Tracker'!$G$5:$G$149,"Wed"))</f>
        <v>0</v>
      </c>
      <c r="K167" s="52" t="n">
        <f aca="false">IF($E167="Per class",$D167*COUNTIFS('Session Tracker'!$D$5:$D$149,$A167,'Session Tracker'!$F$5:$F$149,"Next week",'Session Tracker'!$G$5:$G$149,"Thu"),$D167*SUMIFS('Session Tracker'!$J$5:$J$149,'Session Tracker'!$D$5:$D$149,$A167,'Session Tracker'!$F$5:$F$149,"Next week",'Session Tracker'!$G$5:$G$149,"Thu"))</f>
        <v>0</v>
      </c>
      <c r="L167" s="52" t="n">
        <f aca="false">IF($E167="Per class",$D167*COUNTIFS('Session Tracker'!$D$5:$D$149,$A167,'Session Tracker'!$F$5:$F$149,"Next week",'Session Tracker'!$G$5:$G$149,"Fri"),$D167*SUMIFS('Session Tracker'!$J$5:$J$149,'Session Tracker'!$D$5:$D$149,$A167,'Session Tracker'!$F$5:$F$149,"Next week",'Session Tracker'!$G$5:$G$149,"Fri"))</f>
        <v>0</v>
      </c>
      <c r="M167" s="52" t="n">
        <f aca="false">IF($E167="Per class",$D167*COUNTIFS('Session Tracker'!$D$5:$D$149,$A167,'Session Tracker'!$F$5:$F$149,"Next week",'Session Tracker'!$G$5:$G$149,""),$D167*SUMIFS('Session Tracker'!$J$5:$J$149,'Session Tracker'!$D$5:$D$149,$A167,'Session Tracker'!$F$5:$F$149,"Next week",'Session Tracker'!$G$5:$G$149,""))</f>
        <v>0</v>
      </c>
    </row>
    <row r="168" customFormat="false" ht="15" hidden="false" customHeight="false" outlineLevel="0" collapsed="false">
      <c r="A168" s="51" t="s">
        <v>102</v>
      </c>
      <c r="B168" s="34" t="s">
        <v>377</v>
      </c>
      <c r="C168" s="34" t="s">
        <v>439</v>
      </c>
      <c r="D168" s="32" t="n">
        <v>1</v>
      </c>
      <c r="E168" s="32" t="s">
        <v>14</v>
      </c>
      <c r="F168" s="32" t="s">
        <v>368</v>
      </c>
      <c r="G168" s="34"/>
      <c r="H168" s="52" t="n">
        <f aca="false">IF($E168="Per class",$D168*COUNTIFS('Session Tracker'!$D$5:$D$149,$A168,'Session Tracker'!$F$5:$F$149,"Next week",'Session Tracker'!$G$5:$G$149,"Mon"),$D168*SUMIFS('Session Tracker'!$J$5:$J$149,'Session Tracker'!$D$5:$D$149,$A168,'Session Tracker'!$F$5:$F$149,"Next week",'Session Tracker'!$G$5:$G$149,"Mon"))</f>
        <v>0</v>
      </c>
      <c r="I168" s="52" t="n">
        <f aca="false">IF($E168="Per class",$D168*COUNTIFS('Session Tracker'!$D$5:$D$149,$A168,'Session Tracker'!$F$5:$F$149,"Next week",'Session Tracker'!$G$5:$G$149,"Tue"),$D168*SUMIFS('Session Tracker'!$J$5:$J$149,'Session Tracker'!$D$5:$D$149,$A168,'Session Tracker'!$F$5:$F$149,"Next week",'Session Tracker'!$G$5:$G$149,"Tue"))</f>
        <v>0</v>
      </c>
      <c r="J168" s="52" t="n">
        <f aca="false">IF($E168="Per class",$D168*COUNTIFS('Session Tracker'!$D$5:$D$149,$A168,'Session Tracker'!$F$5:$F$149,"Next week",'Session Tracker'!$G$5:$G$149,"Wed"),$D168*SUMIFS('Session Tracker'!$J$5:$J$149,'Session Tracker'!$D$5:$D$149,$A168,'Session Tracker'!$F$5:$F$149,"Next week",'Session Tracker'!$G$5:$G$149,"Wed"))</f>
        <v>0</v>
      </c>
      <c r="K168" s="52" t="n">
        <f aca="false">IF($E168="Per class",$D168*COUNTIFS('Session Tracker'!$D$5:$D$149,$A168,'Session Tracker'!$F$5:$F$149,"Next week",'Session Tracker'!$G$5:$G$149,"Thu"),$D168*SUMIFS('Session Tracker'!$J$5:$J$149,'Session Tracker'!$D$5:$D$149,$A168,'Session Tracker'!$F$5:$F$149,"Next week",'Session Tracker'!$G$5:$G$149,"Thu"))</f>
        <v>0</v>
      </c>
      <c r="L168" s="52" t="n">
        <f aca="false">IF($E168="Per class",$D168*COUNTIFS('Session Tracker'!$D$5:$D$149,$A168,'Session Tracker'!$F$5:$F$149,"Next week",'Session Tracker'!$G$5:$G$149,"Fri"),$D168*SUMIFS('Session Tracker'!$J$5:$J$149,'Session Tracker'!$D$5:$D$149,$A168,'Session Tracker'!$F$5:$F$149,"Next week",'Session Tracker'!$G$5:$G$149,"Fri"))</f>
        <v>0</v>
      </c>
      <c r="M168" s="52" t="n">
        <f aca="false">IF($E168="Per class",$D168*COUNTIFS('Session Tracker'!$D$5:$D$149,$A168,'Session Tracker'!$F$5:$F$149,"Next week",'Session Tracker'!$G$5:$G$149,""),$D168*SUMIFS('Session Tracker'!$J$5:$J$149,'Session Tracker'!$D$5:$D$149,$A168,'Session Tracker'!$F$5:$F$149,"Next week",'Session Tracker'!$G$5:$G$149,""))</f>
        <v>0</v>
      </c>
    </row>
    <row r="169" customFormat="false" ht="15" hidden="false" customHeight="false" outlineLevel="0" collapsed="false">
      <c r="A169" s="51" t="s">
        <v>102</v>
      </c>
      <c r="B169" s="34" t="s">
        <v>377</v>
      </c>
      <c r="C169" s="34" t="s">
        <v>378</v>
      </c>
      <c r="D169" s="32" t="n">
        <v>1</v>
      </c>
      <c r="E169" s="32" t="s">
        <v>14</v>
      </c>
      <c r="F169" s="32" t="s">
        <v>368</v>
      </c>
      <c r="G169" s="34"/>
      <c r="H169" s="52" t="n">
        <f aca="false">IF($E169="Per class",$D169*COUNTIFS('Session Tracker'!$D$5:$D$149,$A169,'Session Tracker'!$F$5:$F$149,"Next week",'Session Tracker'!$G$5:$G$149,"Mon"),$D169*SUMIFS('Session Tracker'!$J$5:$J$149,'Session Tracker'!$D$5:$D$149,$A169,'Session Tracker'!$F$5:$F$149,"Next week",'Session Tracker'!$G$5:$G$149,"Mon"))</f>
        <v>0</v>
      </c>
      <c r="I169" s="52" t="n">
        <f aca="false">IF($E169="Per class",$D169*COUNTIFS('Session Tracker'!$D$5:$D$149,$A169,'Session Tracker'!$F$5:$F$149,"Next week",'Session Tracker'!$G$5:$G$149,"Tue"),$D169*SUMIFS('Session Tracker'!$J$5:$J$149,'Session Tracker'!$D$5:$D$149,$A169,'Session Tracker'!$F$5:$F$149,"Next week",'Session Tracker'!$G$5:$G$149,"Tue"))</f>
        <v>0</v>
      </c>
      <c r="J169" s="52" t="n">
        <f aca="false">IF($E169="Per class",$D169*COUNTIFS('Session Tracker'!$D$5:$D$149,$A169,'Session Tracker'!$F$5:$F$149,"Next week",'Session Tracker'!$G$5:$G$149,"Wed"),$D169*SUMIFS('Session Tracker'!$J$5:$J$149,'Session Tracker'!$D$5:$D$149,$A169,'Session Tracker'!$F$5:$F$149,"Next week",'Session Tracker'!$G$5:$G$149,"Wed"))</f>
        <v>0</v>
      </c>
      <c r="K169" s="52" t="n">
        <f aca="false">IF($E169="Per class",$D169*COUNTIFS('Session Tracker'!$D$5:$D$149,$A169,'Session Tracker'!$F$5:$F$149,"Next week",'Session Tracker'!$G$5:$G$149,"Thu"),$D169*SUMIFS('Session Tracker'!$J$5:$J$149,'Session Tracker'!$D$5:$D$149,$A169,'Session Tracker'!$F$5:$F$149,"Next week",'Session Tracker'!$G$5:$G$149,"Thu"))</f>
        <v>0</v>
      </c>
      <c r="L169" s="52" t="n">
        <f aca="false">IF($E169="Per class",$D169*COUNTIFS('Session Tracker'!$D$5:$D$149,$A169,'Session Tracker'!$F$5:$F$149,"Next week",'Session Tracker'!$G$5:$G$149,"Fri"),$D169*SUMIFS('Session Tracker'!$J$5:$J$149,'Session Tracker'!$D$5:$D$149,$A169,'Session Tracker'!$F$5:$F$149,"Next week",'Session Tracker'!$G$5:$G$149,"Fri"))</f>
        <v>0</v>
      </c>
      <c r="M169" s="52" t="n">
        <f aca="false">IF($E169="Per class",$D169*COUNTIFS('Session Tracker'!$D$5:$D$149,$A169,'Session Tracker'!$F$5:$F$149,"Next week",'Session Tracker'!$G$5:$G$149,""),$D169*SUMIFS('Session Tracker'!$J$5:$J$149,'Session Tracker'!$D$5:$D$149,$A169,'Session Tracker'!$F$5:$F$149,"Next week",'Session Tracker'!$G$5:$G$149,""))</f>
        <v>0</v>
      </c>
    </row>
    <row r="170" customFormat="false" ht="15" hidden="false" customHeight="false" outlineLevel="0" collapsed="false">
      <c r="A170" s="51" t="s">
        <v>102</v>
      </c>
      <c r="B170" s="34" t="s">
        <v>371</v>
      </c>
      <c r="C170" s="34" t="s">
        <v>372</v>
      </c>
      <c r="D170" s="32" t="n">
        <v>2</v>
      </c>
      <c r="E170" s="32" t="s">
        <v>14</v>
      </c>
      <c r="F170" s="32" t="s">
        <v>373</v>
      </c>
      <c r="G170" s="34" t="s">
        <v>374</v>
      </c>
      <c r="H170" s="52" t="n">
        <f aca="false">IF($E170="Per class",$D170*COUNTIFS('Session Tracker'!$D$5:$D$149,$A170,'Session Tracker'!$F$5:$F$149,"Next week",'Session Tracker'!$G$5:$G$149,"Mon"),$D170*SUMIFS('Session Tracker'!$J$5:$J$149,'Session Tracker'!$D$5:$D$149,$A170,'Session Tracker'!$F$5:$F$149,"Next week",'Session Tracker'!$G$5:$G$149,"Mon"))</f>
        <v>0</v>
      </c>
      <c r="I170" s="52" t="n">
        <f aca="false">IF($E170="Per class",$D170*COUNTIFS('Session Tracker'!$D$5:$D$149,$A170,'Session Tracker'!$F$5:$F$149,"Next week",'Session Tracker'!$G$5:$G$149,"Tue"),$D170*SUMIFS('Session Tracker'!$J$5:$J$149,'Session Tracker'!$D$5:$D$149,$A170,'Session Tracker'!$F$5:$F$149,"Next week",'Session Tracker'!$G$5:$G$149,"Tue"))</f>
        <v>0</v>
      </c>
      <c r="J170" s="52" t="n">
        <f aca="false">IF($E170="Per class",$D170*COUNTIFS('Session Tracker'!$D$5:$D$149,$A170,'Session Tracker'!$F$5:$F$149,"Next week",'Session Tracker'!$G$5:$G$149,"Wed"),$D170*SUMIFS('Session Tracker'!$J$5:$J$149,'Session Tracker'!$D$5:$D$149,$A170,'Session Tracker'!$F$5:$F$149,"Next week",'Session Tracker'!$G$5:$G$149,"Wed"))</f>
        <v>0</v>
      </c>
      <c r="K170" s="52" t="n">
        <f aca="false">IF($E170="Per class",$D170*COUNTIFS('Session Tracker'!$D$5:$D$149,$A170,'Session Tracker'!$F$5:$F$149,"Next week",'Session Tracker'!$G$5:$G$149,"Thu"),$D170*SUMIFS('Session Tracker'!$J$5:$J$149,'Session Tracker'!$D$5:$D$149,$A170,'Session Tracker'!$F$5:$F$149,"Next week",'Session Tracker'!$G$5:$G$149,"Thu"))</f>
        <v>0</v>
      </c>
      <c r="L170" s="52" t="n">
        <f aca="false">IF($E170="Per class",$D170*COUNTIFS('Session Tracker'!$D$5:$D$149,$A170,'Session Tracker'!$F$5:$F$149,"Next week",'Session Tracker'!$G$5:$G$149,"Fri"),$D170*SUMIFS('Session Tracker'!$J$5:$J$149,'Session Tracker'!$D$5:$D$149,$A170,'Session Tracker'!$F$5:$F$149,"Next week",'Session Tracker'!$G$5:$G$149,"Fri"))</f>
        <v>0</v>
      </c>
      <c r="M170" s="52" t="n">
        <f aca="false">IF($E170="Per class",$D170*COUNTIFS('Session Tracker'!$D$5:$D$149,$A170,'Session Tracker'!$F$5:$F$149,"Next week",'Session Tracker'!$G$5:$G$149,""),$D170*SUMIFS('Session Tracker'!$J$5:$J$149,'Session Tracker'!$D$5:$D$149,$A170,'Session Tracker'!$F$5:$F$149,"Next week",'Session Tracker'!$G$5:$G$149,""))</f>
        <v>0</v>
      </c>
    </row>
    <row r="171" customFormat="false" ht="15" hidden="false" customHeight="false" outlineLevel="0" collapsed="false">
      <c r="A171" s="51" t="s">
        <v>102</v>
      </c>
      <c r="B171" s="34" t="s">
        <v>375</v>
      </c>
      <c r="C171" s="34" t="s">
        <v>376</v>
      </c>
      <c r="D171" s="32" t="n">
        <v>2</v>
      </c>
      <c r="E171" s="32" t="s">
        <v>14</v>
      </c>
      <c r="F171" s="32" t="s">
        <v>373</v>
      </c>
      <c r="G171" s="34"/>
      <c r="H171" s="52" t="n">
        <f aca="false">IF($E171="Per class",$D171*COUNTIFS('Session Tracker'!$D$5:$D$149,$A171,'Session Tracker'!$F$5:$F$149,"Next week",'Session Tracker'!$G$5:$G$149,"Mon"),$D171*SUMIFS('Session Tracker'!$J$5:$J$149,'Session Tracker'!$D$5:$D$149,$A171,'Session Tracker'!$F$5:$F$149,"Next week",'Session Tracker'!$G$5:$G$149,"Mon"))</f>
        <v>0</v>
      </c>
      <c r="I171" s="52" t="n">
        <f aca="false">IF($E171="Per class",$D171*COUNTIFS('Session Tracker'!$D$5:$D$149,$A171,'Session Tracker'!$F$5:$F$149,"Next week",'Session Tracker'!$G$5:$G$149,"Tue"),$D171*SUMIFS('Session Tracker'!$J$5:$J$149,'Session Tracker'!$D$5:$D$149,$A171,'Session Tracker'!$F$5:$F$149,"Next week",'Session Tracker'!$G$5:$G$149,"Tue"))</f>
        <v>0</v>
      </c>
      <c r="J171" s="52" t="n">
        <f aca="false">IF($E171="Per class",$D171*COUNTIFS('Session Tracker'!$D$5:$D$149,$A171,'Session Tracker'!$F$5:$F$149,"Next week",'Session Tracker'!$G$5:$G$149,"Wed"),$D171*SUMIFS('Session Tracker'!$J$5:$J$149,'Session Tracker'!$D$5:$D$149,$A171,'Session Tracker'!$F$5:$F$149,"Next week",'Session Tracker'!$G$5:$G$149,"Wed"))</f>
        <v>0</v>
      </c>
      <c r="K171" s="52" t="n">
        <f aca="false">IF($E171="Per class",$D171*COUNTIFS('Session Tracker'!$D$5:$D$149,$A171,'Session Tracker'!$F$5:$F$149,"Next week",'Session Tracker'!$G$5:$G$149,"Thu"),$D171*SUMIFS('Session Tracker'!$J$5:$J$149,'Session Tracker'!$D$5:$D$149,$A171,'Session Tracker'!$F$5:$F$149,"Next week",'Session Tracker'!$G$5:$G$149,"Thu"))</f>
        <v>0</v>
      </c>
      <c r="L171" s="52" t="n">
        <f aca="false">IF($E171="Per class",$D171*COUNTIFS('Session Tracker'!$D$5:$D$149,$A171,'Session Tracker'!$F$5:$F$149,"Next week",'Session Tracker'!$G$5:$G$149,"Fri"),$D171*SUMIFS('Session Tracker'!$J$5:$J$149,'Session Tracker'!$D$5:$D$149,$A171,'Session Tracker'!$F$5:$F$149,"Next week",'Session Tracker'!$G$5:$G$149,"Fri"))</f>
        <v>0</v>
      </c>
      <c r="M171" s="52" t="n">
        <f aca="false">IF($E171="Per class",$D171*COUNTIFS('Session Tracker'!$D$5:$D$149,$A171,'Session Tracker'!$F$5:$F$149,"Next week",'Session Tracker'!$G$5:$G$149,""),$D171*SUMIFS('Session Tracker'!$J$5:$J$149,'Session Tracker'!$D$5:$D$149,$A171,'Session Tracker'!$F$5:$F$149,"Next week",'Session Tracker'!$G$5:$G$149,""))</f>
        <v>0</v>
      </c>
    </row>
    <row r="172" customFormat="false" ht="15" hidden="false" customHeight="false" outlineLevel="0" collapsed="false">
      <c r="A172" s="51" t="s">
        <v>102</v>
      </c>
      <c r="B172" s="34" t="s">
        <v>411</v>
      </c>
      <c r="C172" s="34" t="s">
        <v>444</v>
      </c>
      <c r="D172" s="32" t="n">
        <v>2</v>
      </c>
      <c r="E172" s="32" t="s">
        <v>14</v>
      </c>
      <c r="F172" s="32" t="s">
        <v>373</v>
      </c>
      <c r="G172" s="34" t="s">
        <v>445</v>
      </c>
      <c r="H172" s="52" t="n">
        <f aca="false">IF($E172="Per class",$D172*COUNTIFS('Session Tracker'!$D$5:$D$149,$A172,'Session Tracker'!$F$5:$F$149,"Next week",'Session Tracker'!$G$5:$G$149,"Mon"),$D172*SUMIFS('Session Tracker'!$J$5:$J$149,'Session Tracker'!$D$5:$D$149,$A172,'Session Tracker'!$F$5:$F$149,"Next week",'Session Tracker'!$G$5:$G$149,"Mon"))</f>
        <v>0</v>
      </c>
      <c r="I172" s="52" t="n">
        <f aca="false">IF($E172="Per class",$D172*COUNTIFS('Session Tracker'!$D$5:$D$149,$A172,'Session Tracker'!$F$5:$F$149,"Next week",'Session Tracker'!$G$5:$G$149,"Tue"),$D172*SUMIFS('Session Tracker'!$J$5:$J$149,'Session Tracker'!$D$5:$D$149,$A172,'Session Tracker'!$F$5:$F$149,"Next week",'Session Tracker'!$G$5:$G$149,"Tue"))</f>
        <v>0</v>
      </c>
      <c r="J172" s="52" t="n">
        <f aca="false">IF($E172="Per class",$D172*COUNTIFS('Session Tracker'!$D$5:$D$149,$A172,'Session Tracker'!$F$5:$F$149,"Next week",'Session Tracker'!$G$5:$G$149,"Wed"),$D172*SUMIFS('Session Tracker'!$J$5:$J$149,'Session Tracker'!$D$5:$D$149,$A172,'Session Tracker'!$F$5:$F$149,"Next week",'Session Tracker'!$G$5:$G$149,"Wed"))</f>
        <v>0</v>
      </c>
      <c r="K172" s="52" t="n">
        <f aca="false">IF($E172="Per class",$D172*COUNTIFS('Session Tracker'!$D$5:$D$149,$A172,'Session Tracker'!$F$5:$F$149,"Next week",'Session Tracker'!$G$5:$G$149,"Thu"),$D172*SUMIFS('Session Tracker'!$J$5:$J$149,'Session Tracker'!$D$5:$D$149,$A172,'Session Tracker'!$F$5:$F$149,"Next week",'Session Tracker'!$G$5:$G$149,"Thu"))</f>
        <v>0</v>
      </c>
      <c r="L172" s="52" t="n">
        <f aca="false">IF($E172="Per class",$D172*COUNTIFS('Session Tracker'!$D$5:$D$149,$A172,'Session Tracker'!$F$5:$F$149,"Next week",'Session Tracker'!$G$5:$G$149,"Fri"),$D172*SUMIFS('Session Tracker'!$J$5:$J$149,'Session Tracker'!$D$5:$D$149,$A172,'Session Tracker'!$F$5:$F$149,"Next week",'Session Tracker'!$G$5:$G$149,"Fri"))</f>
        <v>0</v>
      </c>
      <c r="M172" s="52" t="n">
        <f aca="false">IF($E172="Per class",$D172*COUNTIFS('Session Tracker'!$D$5:$D$149,$A172,'Session Tracker'!$F$5:$F$149,"Next week",'Session Tracker'!$G$5:$G$149,""),$D172*SUMIFS('Session Tracker'!$J$5:$J$149,'Session Tracker'!$D$5:$D$149,$A172,'Session Tracker'!$F$5:$F$149,"Next week",'Session Tracker'!$G$5:$G$149,""))</f>
        <v>0</v>
      </c>
    </row>
    <row r="173" customFormat="false" ht="15" hidden="false" customHeight="false" outlineLevel="0" collapsed="false">
      <c r="A173" s="51" t="s">
        <v>102</v>
      </c>
      <c r="B173" s="34" t="s">
        <v>379</v>
      </c>
      <c r="C173" s="34" t="s">
        <v>380</v>
      </c>
      <c r="D173" s="32" t="n">
        <v>1</v>
      </c>
      <c r="E173" s="32" t="s">
        <v>14</v>
      </c>
      <c r="F173" s="32" t="s">
        <v>368</v>
      </c>
      <c r="G173" s="34"/>
      <c r="H173" s="52" t="n">
        <f aca="false">IF($E173="Per class",$D173*COUNTIFS('Session Tracker'!$D$5:$D$149,$A173,'Session Tracker'!$F$5:$F$149,"Next week",'Session Tracker'!$G$5:$G$149,"Mon"),$D173*SUMIFS('Session Tracker'!$J$5:$J$149,'Session Tracker'!$D$5:$D$149,$A173,'Session Tracker'!$F$5:$F$149,"Next week",'Session Tracker'!$G$5:$G$149,"Mon"))</f>
        <v>0</v>
      </c>
      <c r="I173" s="52" t="n">
        <f aca="false">IF($E173="Per class",$D173*COUNTIFS('Session Tracker'!$D$5:$D$149,$A173,'Session Tracker'!$F$5:$F$149,"Next week",'Session Tracker'!$G$5:$G$149,"Tue"),$D173*SUMIFS('Session Tracker'!$J$5:$J$149,'Session Tracker'!$D$5:$D$149,$A173,'Session Tracker'!$F$5:$F$149,"Next week",'Session Tracker'!$G$5:$G$149,"Tue"))</f>
        <v>0</v>
      </c>
      <c r="J173" s="52" t="n">
        <f aca="false">IF($E173="Per class",$D173*COUNTIFS('Session Tracker'!$D$5:$D$149,$A173,'Session Tracker'!$F$5:$F$149,"Next week",'Session Tracker'!$G$5:$G$149,"Wed"),$D173*SUMIFS('Session Tracker'!$J$5:$J$149,'Session Tracker'!$D$5:$D$149,$A173,'Session Tracker'!$F$5:$F$149,"Next week",'Session Tracker'!$G$5:$G$149,"Wed"))</f>
        <v>0</v>
      </c>
      <c r="K173" s="52" t="n">
        <f aca="false">IF($E173="Per class",$D173*COUNTIFS('Session Tracker'!$D$5:$D$149,$A173,'Session Tracker'!$F$5:$F$149,"Next week",'Session Tracker'!$G$5:$G$149,"Thu"),$D173*SUMIFS('Session Tracker'!$J$5:$J$149,'Session Tracker'!$D$5:$D$149,$A173,'Session Tracker'!$F$5:$F$149,"Next week",'Session Tracker'!$G$5:$G$149,"Thu"))</f>
        <v>0</v>
      </c>
      <c r="L173" s="52" t="n">
        <f aca="false">IF($E173="Per class",$D173*COUNTIFS('Session Tracker'!$D$5:$D$149,$A173,'Session Tracker'!$F$5:$F$149,"Next week",'Session Tracker'!$G$5:$G$149,"Fri"),$D173*SUMIFS('Session Tracker'!$J$5:$J$149,'Session Tracker'!$D$5:$D$149,$A173,'Session Tracker'!$F$5:$F$149,"Next week",'Session Tracker'!$G$5:$G$149,"Fri"))</f>
        <v>0</v>
      </c>
      <c r="M173" s="52" t="n">
        <f aca="false">IF($E173="Per class",$D173*COUNTIFS('Session Tracker'!$D$5:$D$149,$A173,'Session Tracker'!$F$5:$F$149,"Next week",'Session Tracker'!$G$5:$G$149,""),$D173*SUMIFS('Session Tracker'!$J$5:$J$149,'Session Tracker'!$D$5:$D$149,$A173,'Session Tracker'!$F$5:$F$149,"Next week",'Session Tracker'!$G$5:$G$149,""))</f>
        <v>0</v>
      </c>
    </row>
    <row r="174" customFormat="false" ht="15" hidden="false" customHeight="false" outlineLevel="0" collapsed="false">
      <c r="A174" s="51" t="s">
        <v>102</v>
      </c>
      <c r="B174" s="34" t="s">
        <v>379</v>
      </c>
      <c r="C174" s="34" t="s">
        <v>381</v>
      </c>
      <c r="D174" s="32" t="n">
        <v>8</v>
      </c>
      <c r="E174" s="32" t="s">
        <v>14</v>
      </c>
      <c r="F174" s="32" t="s">
        <v>368</v>
      </c>
      <c r="G174" s="34"/>
      <c r="H174" s="52" t="n">
        <f aca="false">IF($E174="Per class",$D174*COUNTIFS('Session Tracker'!$D$5:$D$149,$A174,'Session Tracker'!$F$5:$F$149,"Next week",'Session Tracker'!$G$5:$G$149,"Mon"),$D174*SUMIFS('Session Tracker'!$J$5:$J$149,'Session Tracker'!$D$5:$D$149,$A174,'Session Tracker'!$F$5:$F$149,"Next week",'Session Tracker'!$G$5:$G$149,"Mon"))</f>
        <v>0</v>
      </c>
      <c r="I174" s="52" t="n">
        <f aca="false">IF($E174="Per class",$D174*COUNTIFS('Session Tracker'!$D$5:$D$149,$A174,'Session Tracker'!$F$5:$F$149,"Next week",'Session Tracker'!$G$5:$G$149,"Tue"),$D174*SUMIFS('Session Tracker'!$J$5:$J$149,'Session Tracker'!$D$5:$D$149,$A174,'Session Tracker'!$F$5:$F$149,"Next week",'Session Tracker'!$G$5:$G$149,"Tue"))</f>
        <v>0</v>
      </c>
      <c r="J174" s="52" t="n">
        <f aca="false">IF($E174="Per class",$D174*COUNTIFS('Session Tracker'!$D$5:$D$149,$A174,'Session Tracker'!$F$5:$F$149,"Next week",'Session Tracker'!$G$5:$G$149,"Wed"),$D174*SUMIFS('Session Tracker'!$J$5:$J$149,'Session Tracker'!$D$5:$D$149,$A174,'Session Tracker'!$F$5:$F$149,"Next week",'Session Tracker'!$G$5:$G$149,"Wed"))</f>
        <v>0</v>
      </c>
      <c r="K174" s="52" t="n">
        <f aca="false">IF($E174="Per class",$D174*COUNTIFS('Session Tracker'!$D$5:$D$149,$A174,'Session Tracker'!$F$5:$F$149,"Next week",'Session Tracker'!$G$5:$G$149,"Thu"),$D174*SUMIFS('Session Tracker'!$J$5:$J$149,'Session Tracker'!$D$5:$D$149,$A174,'Session Tracker'!$F$5:$F$149,"Next week",'Session Tracker'!$G$5:$G$149,"Thu"))</f>
        <v>0</v>
      </c>
      <c r="L174" s="52" t="n">
        <f aca="false">IF($E174="Per class",$D174*COUNTIFS('Session Tracker'!$D$5:$D$149,$A174,'Session Tracker'!$F$5:$F$149,"Next week",'Session Tracker'!$G$5:$G$149,"Fri"),$D174*SUMIFS('Session Tracker'!$J$5:$J$149,'Session Tracker'!$D$5:$D$149,$A174,'Session Tracker'!$F$5:$F$149,"Next week",'Session Tracker'!$G$5:$G$149,"Fri"))</f>
        <v>0</v>
      </c>
      <c r="M174" s="52" t="n">
        <f aca="false">IF($E174="Per class",$D174*COUNTIFS('Session Tracker'!$D$5:$D$149,$A174,'Session Tracker'!$F$5:$F$149,"Next week",'Session Tracker'!$G$5:$G$149,""),$D174*SUMIFS('Session Tracker'!$J$5:$J$149,'Session Tracker'!$D$5:$D$149,$A174,'Session Tracker'!$F$5:$F$149,"Next week",'Session Tracker'!$G$5:$G$149,""))</f>
        <v>0</v>
      </c>
    </row>
    <row r="175" customFormat="false" ht="15" hidden="false" customHeight="false" outlineLevel="0" collapsed="false">
      <c r="A175" s="51" t="s">
        <v>102</v>
      </c>
      <c r="B175" s="34" t="s">
        <v>379</v>
      </c>
      <c r="C175" s="34" t="s">
        <v>395</v>
      </c>
      <c r="D175" s="32" t="n">
        <v>4</v>
      </c>
      <c r="E175" s="32" t="s">
        <v>14</v>
      </c>
      <c r="F175" s="32" t="s">
        <v>368</v>
      </c>
      <c r="G175" s="34"/>
      <c r="H175" s="52" t="n">
        <f aca="false">IF($E175="Per class",$D175*COUNTIFS('Session Tracker'!$D$5:$D$149,$A175,'Session Tracker'!$F$5:$F$149,"Next week",'Session Tracker'!$G$5:$G$149,"Mon"),$D175*SUMIFS('Session Tracker'!$J$5:$J$149,'Session Tracker'!$D$5:$D$149,$A175,'Session Tracker'!$F$5:$F$149,"Next week",'Session Tracker'!$G$5:$G$149,"Mon"))</f>
        <v>0</v>
      </c>
      <c r="I175" s="52" t="n">
        <f aca="false">IF($E175="Per class",$D175*COUNTIFS('Session Tracker'!$D$5:$D$149,$A175,'Session Tracker'!$F$5:$F$149,"Next week",'Session Tracker'!$G$5:$G$149,"Tue"),$D175*SUMIFS('Session Tracker'!$J$5:$J$149,'Session Tracker'!$D$5:$D$149,$A175,'Session Tracker'!$F$5:$F$149,"Next week",'Session Tracker'!$G$5:$G$149,"Tue"))</f>
        <v>0</v>
      </c>
      <c r="J175" s="52" t="n">
        <f aca="false">IF($E175="Per class",$D175*COUNTIFS('Session Tracker'!$D$5:$D$149,$A175,'Session Tracker'!$F$5:$F$149,"Next week",'Session Tracker'!$G$5:$G$149,"Wed"),$D175*SUMIFS('Session Tracker'!$J$5:$J$149,'Session Tracker'!$D$5:$D$149,$A175,'Session Tracker'!$F$5:$F$149,"Next week",'Session Tracker'!$G$5:$G$149,"Wed"))</f>
        <v>0</v>
      </c>
      <c r="K175" s="52" t="n">
        <f aca="false">IF($E175="Per class",$D175*COUNTIFS('Session Tracker'!$D$5:$D$149,$A175,'Session Tracker'!$F$5:$F$149,"Next week",'Session Tracker'!$G$5:$G$149,"Thu"),$D175*SUMIFS('Session Tracker'!$J$5:$J$149,'Session Tracker'!$D$5:$D$149,$A175,'Session Tracker'!$F$5:$F$149,"Next week",'Session Tracker'!$G$5:$G$149,"Thu"))</f>
        <v>0</v>
      </c>
      <c r="L175" s="52" t="n">
        <f aca="false">IF($E175="Per class",$D175*COUNTIFS('Session Tracker'!$D$5:$D$149,$A175,'Session Tracker'!$F$5:$F$149,"Next week",'Session Tracker'!$G$5:$G$149,"Fri"),$D175*SUMIFS('Session Tracker'!$J$5:$J$149,'Session Tracker'!$D$5:$D$149,$A175,'Session Tracker'!$F$5:$F$149,"Next week",'Session Tracker'!$G$5:$G$149,"Fri"))</f>
        <v>0</v>
      </c>
      <c r="M175" s="52" t="n">
        <f aca="false">IF($E175="Per class",$D175*COUNTIFS('Session Tracker'!$D$5:$D$149,$A175,'Session Tracker'!$F$5:$F$149,"Next week",'Session Tracker'!$G$5:$G$149,""),$D175*SUMIFS('Session Tracker'!$J$5:$J$149,'Session Tracker'!$D$5:$D$149,$A175,'Session Tracker'!$F$5:$F$149,"Next week",'Session Tracker'!$G$5:$G$149,""))</f>
        <v>0</v>
      </c>
    </row>
    <row r="176" customFormat="false" ht="15" hidden="false" customHeight="false" outlineLevel="0" collapsed="false">
      <c r="A176" s="51" t="s">
        <v>102</v>
      </c>
      <c r="B176" s="34" t="s">
        <v>382</v>
      </c>
      <c r="C176" s="34" t="s">
        <v>383</v>
      </c>
      <c r="D176" s="32" t="n">
        <v>1</v>
      </c>
      <c r="E176" s="32" t="s">
        <v>14</v>
      </c>
      <c r="F176" s="32" t="s">
        <v>368</v>
      </c>
      <c r="G176" s="34"/>
      <c r="H176" s="52" t="n">
        <f aca="false">IF($E176="Per class",$D176*COUNTIFS('Session Tracker'!$D$5:$D$149,$A176,'Session Tracker'!$F$5:$F$149,"Next week",'Session Tracker'!$G$5:$G$149,"Mon"),$D176*SUMIFS('Session Tracker'!$J$5:$J$149,'Session Tracker'!$D$5:$D$149,$A176,'Session Tracker'!$F$5:$F$149,"Next week",'Session Tracker'!$G$5:$G$149,"Mon"))</f>
        <v>0</v>
      </c>
      <c r="I176" s="52" t="n">
        <f aca="false">IF($E176="Per class",$D176*COUNTIFS('Session Tracker'!$D$5:$D$149,$A176,'Session Tracker'!$F$5:$F$149,"Next week",'Session Tracker'!$G$5:$G$149,"Tue"),$D176*SUMIFS('Session Tracker'!$J$5:$J$149,'Session Tracker'!$D$5:$D$149,$A176,'Session Tracker'!$F$5:$F$149,"Next week",'Session Tracker'!$G$5:$G$149,"Tue"))</f>
        <v>0</v>
      </c>
      <c r="J176" s="52" t="n">
        <f aca="false">IF($E176="Per class",$D176*COUNTIFS('Session Tracker'!$D$5:$D$149,$A176,'Session Tracker'!$F$5:$F$149,"Next week",'Session Tracker'!$G$5:$G$149,"Wed"),$D176*SUMIFS('Session Tracker'!$J$5:$J$149,'Session Tracker'!$D$5:$D$149,$A176,'Session Tracker'!$F$5:$F$149,"Next week",'Session Tracker'!$G$5:$G$149,"Wed"))</f>
        <v>0</v>
      </c>
      <c r="K176" s="52" t="n">
        <f aca="false">IF($E176="Per class",$D176*COUNTIFS('Session Tracker'!$D$5:$D$149,$A176,'Session Tracker'!$F$5:$F$149,"Next week",'Session Tracker'!$G$5:$G$149,"Thu"),$D176*SUMIFS('Session Tracker'!$J$5:$J$149,'Session Tracker'!$D$5:$D$149,$A176,'Session Tracker'!$F$5:$F$149,"Next week",'Session Tracker'!$G$5:$G$149,"Thu"))</f>
        <v>0</v>
      </c>
      <c r="L176" s="52" t="n">
        <f aca="false">IF($E176="Per class",$D176*COUNTIFS('Session Tracker'!$D$5:$D$149,$A176,'Session Tracker'!$F$5:$F$149,"Next week",'Session Tracker'!$G$5:$G$149,"Fri"),$D176*SUMIFS('Session Tracker'!$J$5:$J$149,'Session Tracker'!$D$5:$D$149,$A176,'Session Tracker'!$F$5:$F$149,"Next week",'Session Tracker'!$G$5:$G$149,"Fri"))</f>
        <v>0</v>
      </c>
      <c r="M176" s="52" t="n">
        <f aca="false">IF($E176="Per class",$D176*COUNTIFS('Session Tracker'!$D$5:$D$149,$A176,'Session Tracker'!$F$5:$F$149,"Next week",'Session Tracker'!$G$5:$G$149,""),$D176*SUMIFS('Session Tracker'!$J$5:$J$149,'Session Tracker'!$D$5:$D$149,$A176,'Session Tracker'!$F$5:$F$149,"Next week",'Session Tracker'!$G$5:$G$149,""))</f>
        <v>0</v>
      </c>
    </row>
    <row r="177" customFormat="false" ht="15" hidden="false" customHeight="false" outlineLevel="0" collapsed="false">
      <c r="A177" s="53" t="s">
        <v>102</v>
      </c>
      <c r="B177" s="54"/>
      <c r="C177" s="54"/>
      <c r="D177" s="54"/>
      <c r="E177" s="54"/>
      <c r="F177" s="54"/>
      <c r="G177" s="54"/>
      <c r="H177" s="52" t="n">
        <f aca="false">IF($E177="Per class",$D177*COUNTIFS('Session Tracker'!$D$5:$D$149,$A177,'Session Tracker'!$F$5:$F$149,"Next week",'Session Tracker'!$G$5:$G$149,"Mon"),$D177*SUMIFS('Session Tracker'!$J$5:$J$149,'Session Tracker'!$D$5:$D$149,$A177,'Session Tracker'!$F$5:$F$149,"Next week",'Session Tracker'!$G$5:$G$149,"Mon"))</f>
        <v>0</v>
      </c>
      <c r="I177" s="52" t="n">
        <f aca="false">IF($E177="Per class",$D177*COUNTIFS('Session Tracker'!$D$5:$D$149,$A177,'Session Tracker'!$F$5:$F$149,"Next week",'Session Tracker'!$G$5:$G$149,"Tue"),$D177*SUMIFS('Session Tracker'!$J$5:$J$149,'Session Tracker'!$D$5:$D$149,$A177,'Session Tracker'!$F$5:$F$149,"Next week",'Session Tracker'!$G$5:$G$149,"Tue"))</f>
        <v>0</v>
      </c>
      <c r="J177" s="52" t="n">
        <f aca="false">IF($E177="Per class",$D177*COUNTIFS('Session Tracker'!$D$5:$D$149,$A177,'Session Tracker'!$F$5:$F$149,"Next week",'Session Tracker'!$G$5:$G$149,"Wed"),$D177*SUMIFS('Session Tracker'!$J$5:$J$149,'Session Tracker'!$D$5:$D$149,$A177,'Session Tracker'!$F$5:$F$149,"Next week",'Session Tracker'!$G$5:$G$149,"Wed"))</f>
        <v>0</v>
      </c>
      <c r="K177" s="52" t="n">
        <f aca="false">IF($E177="Per class",$D177*COUNTIFS('Session Tracker'!$D$5:$D$149,$A177,'Session Tracker'!$F$5:$F$149,"Next week",'Session Tracker'!$G$5:$G$149,"Thu"),$D177*SUMIFS('Session Tracker'!$J$5:$J$149,'Session Tracker'!$D$5:$D$149,$A177,'Session Tracker'!$F$5:$F$149,"Next week",'Session Tracker'!$G$5:$G$149,"Thu"))</f>
        <v>0</v>
      </c>
      <c r="L177" s="52" t="n">
        <f aca="false">IF($E177="Per class",$D177*COUNTIFS('Session Tracker'!$D$5:$D$149,$A177,'Session Tracker'!$F$5:$F$149,"Next week",'Session Tracker'!$G$5:$G$149,"Fri"),$D177*SUMIFS('Session Tracker'!$J$5:$J$149,'Session Tracker'!$D$5:$D$149,$A177,'Session Tracker'!$F$5:$F$149,"Next week",'Session Tracker'!$G$5:$G$149,"Fri"))</f>
        <v>0</v>
      </c>
      <c r="M177" s="52" t="n">
        <f aca="false">IF($E177="Per class",$D177*COUNTIFS('Session Tracker'!$D$5:$D$149,$A177,'Session Tracker'!$F$5:$F$149,"Next week",'Session Tracker'!$G$5:$G$149,""),$D177*SUMIFS('Session Tracker'!$J$5:$J$149,'Session Tracker'!$D$5:$D$149,$A177,'Session Tracker'!$F$5:$F$149,"Next week",'Session Tracker'!$G$5:$G$149,""))</f>
        <v>0</v>
      </c>
    </row>
    <row r="178" customFormat="false" ht="15" hidden="false" customHeight="false" outlineLevel="0" collapsed="false">
      <c r="A178" s="53" t="s">
        <v>102</v>
      </c>
      <c r="B178" s="54"/>
      <c r="C178" s="54"/>
      <c r="D178" s="54"/>
      <c r="E178" s="54"/>
      <c r="F178" s="54"/>
      <c r="G178" s="54"/>
      <c r="H178" s="52" t="n">
        <f aca="false">IF($E178="Per class",$D178*COUNTIFS('Session Tracker'!$D$5:$D$149,$A178,'Session Tracker'!$F$5:$F$149,"Next week",'Session Tracker'!$G$5:$G$149,"Mon"),$D178*SUMIFS('Session Tracker'!$J$5:$J$149,'Session Tracker'!$D$5:$D$149,$A178,'Session Tracker'!$F$5:$F$149,"Next week",'Session Tracker'!$G$5:$G$149,"Mon"))</f>
        <v>0</v>
      </c>
      <c r="I178" s="52" t="n">
        <f aca="false">IF($E178="Per class",$D178*COUNTIFS('Session Tracker'!$D$5:$D$149,$A178,'Session Tracker'!$F$5:$F$149,"Next week",'Session Tracker'!$G$5:$G$149,"Tue"),$D178*SUMIFS('Session Tracker'!$J$5:$J$149,'Session Tracker'!$D$5:$D$149,$A178,'Session Tracker'!$F$5:$F$149,"Next week",'Session Tracker'!$G$5:$G$149,"Tue"))</f>
        <v>0</v>
      </c>
      <c r="J178" s="52" t="n">
        <f aca="false">IF($E178="Per class",$D178*COUNTIFS('Session Tracker'!$D$5:$D$149,$A178,'Session Tracker'!$F$5:$F$149,"Next week",'Session Tracker'!$G$5:$G$149,"Wed"),$D178*SUMIFS('Session Tracker'!$J$5:$J$149,'Session Tracker'!$D$5:$D$149,$A178,'Session Tracker'!$F$5:$F$149,"Next week",'Session Tracker'!$G$5:$G$149,"Wed"))</f>
        <v>0</v>
      </c>
      <c r="K178" s="52" t="n">
        <f aca="false">IF($E178="Per class",$D178*COUNTIFS('Session Tracker'!$D$5:$D$149,$A178,'Session Tracker'!$F$5:$F$149,"Next week",'Session Tracker'!$G$5:$G$149,"Thu"),$D178*SUMIFS('Session Tracker'!$J$5:$J$149,'Session Tracker'!$D$5:$D$149,$A178,'Session Tracker'!$F$5:$F$149,"Next week",'Session Tracker'!$G$5:$G$149,"Thu"))</f>
        <v>0</v>
      </c>
      <c r="L178" s="52" t="n">
        <f aca="false">IF($E178="Per class",$D178*COUNTIFS('Session Tracker'!$D$5:$D$149,$A178,'Session Tracker'!$F$5:$F$149,"Next week",'Session Tracker'!$G$5:$G$149,"Fri"),$D178*SUMIFS('Session Tracker'!$J$5:$J$149,'Session Tracker'!$D$5:$D$149,$A178,'Session Tracker'!$F$5:$F$149,"Next week",'Session Tracker'!$G$5:$G$149,"Fri"))</f>
        <v>0</v>
      </c>
      <c r="M178" s="52" t="n">
        <f aca="false">IF($E178="Per class",$D178*COUNTIFS('Session Tracker'!$D$5:$D$149,$A178,'Session Tracker'!$F$5:$F$149,"Next week",'Session Tracker'!$G$5:$G$149,""),$D178*SUMIFS('Session Tracker'!$J$5:$J$149,'Session Tracker'!$D$5:$D$149,$A178,'Session Tracker'!$F$5:$F$149,"Next week",'Session Tracker'!$G$5:$G$149,""))</f>
        <v>0</v>
      </c>
    </row>
    <row r="180" customFormat="false" ht="19.5" hidden="false" customHeight="true" outlineLevel="0" collapsed="false">
      <c r="A180" s="47" t="s">
        <v>104</v>
      </c>
      <c r="B180" s="48" t="s">
        <v>446</v>
      </c>
      <c r="C180" s="48"/>
      <c r="D180" s="48"/>
      <c r="E180" s="48"/>
      <c r="F180" s="49" t="str">
        <f aca="false">"Status: "&amp;'Session Tracker'!F19&amp;IF('Session Tracker'!G19&lt;&gt;""," ("&amp;'Session Tracker'!G19&amp;")","")</f>
        <v>Status: Not started</v>
      </c>
      <c r="G180" s="49"/>
      <c r="H180" s="50"/>
      <c r="I180" s="50"/>
      <c r="J180" s="50"/>
      <c r="K180" s="50"/>
      <c r="L180" s="50"/>
      <c r="M180" s="50"/>
    </row>
    <row r="181" customFormat="false" ht="15" hidden="false" customHeight="false" outlineLevel="0" collapsed="false">
      <c r="A181" s="51" t="s">
        <v>104</v>
      </c>
      <c r="B181" s="34" t="s">
        <v>447</v>
      </c>
      <c r="C181" s="34" t="s">
        <v>448</v>
      </c>
      <c r="D181" s="32" t="n">
        <v>1</v>
      </c>
      <c r="E181" s="32" t="s">
        <v>14</v>
      </c>
      <c r="F181" s="32" t="s">
        <v>373</v>
      </c>
      <c r="G181" s="34"/>
      <c r="H181" s="52" t="n">
        <f aca="false">IF($E181="Per class",$D181*COUNTIFS('Session Tracker'!$D$5:$D$149,$A181,'Session Tracker'!$F$5:$F$149,"Next week",'Session Tracker'!$G$5:$G$149,"Mon"),$D181*SUMIFS('Session Tracker'!$J$5:$J$149,'Session Tracker'!$D$5:$D$149,$A181,'Session Tracker'!$F$5:$F$149,"Next week",'Session Tracker'!$G$5:$G$149,"Mon"))</f>
        <v>0</v>
      </c>
      <c r="I181" s="52" t="n">
        <f aca="false">IF($E181="Per class",$D181*COUNTIFS('Session Tracker'!$D$5:$D$149,$A181,'Session Tracker'!$F$5:$F$149,"Next week",'Session Tracker'!$G$5:$G$149,"Tue"),$D181*SUMIFS('Session Tracker'!$J$5:$J$149,'Session Tracker'!$D$5:$D$149,$A181,'Session Tracker'!$F$5:$F$149,"Next week",'Session Tracker'!$G$5:$G$149,"Tue"))</f>
        <v>0</v>
      </c>
      <c r="J181" s="52" t="n">
        <f aca="false">IF($E181="Per class",$D181*COUNTIFS('Session Tracker'!$D$5:$D$149,$A181,'Session Tracker'!$F$5:$F$149,"Next week",'Session Tracker'!$G$5:$G$149,"Wed"),$D181*SUMIFS('Session Tracker'!$J$5:$J$149,'Session Tracker'!$D$5:$D$149,$A181,'Session Tracker'!$F$5:$F$149,"Next week",'Session Tracker'!$G$5:$G$149,"Wed"))</f>
        <v>0</v>
      </c>
      <c r="K181" s="52" t="n">
        <f aca="false">IF($E181="Per class",$D181*COUNTIFS('Session Tracker'!$D$5:$D$149,$A181,'Session Tracker'!$F$5:$F$149,"Next week",'Session Tracker'!$G$5:$G$149,"Thu"),$D181*SUMIFS('Session Tracker'!$J$5:$J$149,'Session Tracker'!$D$5:$D$149,$A181,'Session Tracker'!$F$5:$F$149,"Next week",'Session Tracker'!$G$5:$G$149,"Thu"))</f>
        <v>0</v>
      </c>
      <c r="L181" s="52" t="n">
        <f aca="false">IF($E181="Per class",$D181*COUNTIFS('Session Tracker'!$D$5:$D$149,$A181,'Session Tracker'!$F$5:$F$149,"Next week",'Session Tracker'!$G$5:$G$149,"Fri"),$D181*SUMIFS('Session Tracker'!$J$5:$J$149,'Session Tracker'!$D$5:$D$149,$A181,'Session Tracker'!$F$5:$F$149,"Next week",'Session Tracker'!$G$5:$G$149,"Fri"))</f>
        <v>0</v>
      </c>
      <c r="M181" s="52" t="n">
        <f aca="false">IF($E181="Per class",$D181*COUNTIFS('Session Tracker'!$D$5:$D$149,$A181,'Session Tracker'!$F$5:$F$149,"Next week",'Session Tracker'!$G$5:$G$149,""),$D181*SUMIFS('Session Tracker'!$J$5:$J$149,'Session Tracker'!$D$5:$D$149,$A181,'Session Tracker'!$F$5:$F$149,"Next week",'Session Tracker'!$G$5:$G$149,""))</f>
        <v>0</v>
      </c>
    </row>
    <row r="182" customFormat="false" ht="15" hidden="false" customHeight="false" outlineLevel="0" collapsed="false">
      <c r="A182" s="51" t="s">
        <v>104</v>
      </c>
      <c r="B182" s="34" t="s">
        <v>409</v>
      </c>
      <c r="C182" s="34" t="s">
        <v>410</v>
      </c>
      <c r="D182" s="32" t="n">
        <v>1</v>
      </c>
      <c r="E182" s="32" t="s">
        <v>14</v>
      </c>
      <c r="F182" s="32" t="s">
        <v>373</v>
      </c>
      <c r="G182" s="34"/>
      <c r="H182" s="52" t="n">
        <f aca="false">IF($E182="Per class",$D182*COUNTIFS('Session Tracker'!$D$5:$D$149,$A182,'Session Tracker'!$F$5:$F$149,"Next week",'Session Tracker'!$G$5:$G$149,"Mon"),$D182*SUMIFS('Session Tracker'!$J$5:$J$149,'Session Tracker'!$D$5:$D$149,$A182,'Session Tracker'!$F$5:$F$149,"Next week",'Session Tracker'!$G$5:$G$149,"Mon"))</f>
        <v>0</v>
      </c>
      <c r="I182" s="52" t="n">
        <f aca="false">IF($E182="Per class",$D182*COUNTIFS('Session Tracker'!$D$5:$D$149,$A182,'Session Tracker'!$F$5:$F$149,"Next week",'Session Tracker'!$G$5:$G$149,"Tue"),$D182*SUMIFS('Session Tracker'!$J$5:$J$149,'Session Tracker'!$D$5:$D$149,$A182,'Session Tracker'!$F$5:$F$149,"Next week",'Session Tracker'!$G$5:$G$149,"Tue"))</f>
        <v>0</v>
      </c>
      <c r="J182" s="52" t="n">
        <f aca="false">IF($E182="Per class",$D182*COUNTIFS('Session Tracker'!$D$5:$D$149,$A182,'Session Tracker'!$F$5:$F$149,"Next week",'Session Tracker'!$G$5:$G$149,"Wed"),$D182*SUMIFS('Session Tracker'!$J$5:$J$149,'Session Tracker'!$D$5:$D$149,$A182,'Session Tracker'!$F$5:$F$149,"Next week",'Session Tracker'!$G$5:$G$149,"Wed"))</f>
        <v>0</v>
      </c>
      <c r="K182" s="52" t="n">
        <f aca="false">IF($E182="Per class",$D182*COUNTIFS('Session Tracker'!$D$5:$D$149,$A182,'Session Tracker'!$F$5:$F$149,"Next week",'Session Tracker'!$G$5:$G$149,"Thu"),$D182*SUMIFS('Session Tracker'!$J$5:$J$149,'Session Tracker'!$D$5:$D$149,$A182,'Session Tracker'!$F$5:$F$149,"Next week",'Session Tracker'!$G$5:$G$149,"Thu"))</f>
        <v>0</v>
      </c>
      <c r="L182" s="52" t="n">
        <f aca="false">IF($E182="Per class",$D182*COUNTIFS('Session Tracker'!$D$5:$D$149,$A182,'Session Tracker'!$F$5:$F$149,"Next week",'Session Tracker'!$G$5:$G$149,"Fri"),$D182*SUMIFS('Session Tracker'!$J$5:$J$149,'Session Tracker'!$D$5:$D$149,$A182,'Session Tracker'!$F$5:$F$149,"Next week",'Session Tracker'!$G$5:$G$149,"Fri"))</f>
        <v>0</v>
      </c>
      <c r="M182" s="52" t="n">
        <f aca="false">IF($E182="Per class",$D182*COUNTIFS('Session Tracker'!$D$5:$D$149,$A182,'Session Tracker'!$F$5:$F$149,"Next week",'Session Tracker'!$G$5:$G$149,""),$D182*SUMIFS('Session Tracker'!$J$5:$J$149,'Session Tracker'!$D$5:$D$149,$A182,'Session Tracker'!$F$5:$F$149,"Next week",'Session Tracker'!$G$5:$G$149,""))</f>
        <v>0</v>
      </c>
    </row>
    <row r="183" customFormat="false" ht="15" hidden="false" customHeight="false" outlineLevel="0" collapsed="false">
      <c r="A183" s="51" t="s">
        <v>104</v>
      </c>
      <c r="B183" s="34" t="s">
        <v>411</v>
      </c>
      <c r="C183" s="34" t="s">
        <v>441</v>
      </c>
      <c r="D183" s="32" t="n">
        <v>2</v>
      </c>
      <c r="E183" s="32" t="s">
        <v>14</v>
      </c>
      <c r="F183" s="32" t="s">
        <v>373</v>
      </c>
      <c r="G183" s="34"/>
      <c r="H183" s="52" t="n">
        <f aca="false">IF($E183="Per class",$D183*COUNTIFS('Session Tracker'!$D$5:$D$149,$A183,'Session Tracker'!$F$5:$F$149,"Next week",'Session Tracker'!$G$5:$G$149,"Mon"),$D183*SUMIFS('Session Tracker'!$J$5:$J$149,'Session Tracker'!$D$5:$D$149,$A183,'Session Tracker'!$F$5:$F$149,"Next week",'Session Tracker'!$G$5:$G$149,"Mon"))</f>
        <v>0</v>
      </c>
      <c r="I183" s="52" t="n">
        <f aca="false">IF($E183="Per class",$D183*COUNTIFS('Session Tracker'!$D$5:$D$149,$A183,'Session Tracker'!$F$5:$F$149,"Next week",'Session Tracker'!$G$5:$G$149,"Tue"),$D183*SUMIFS('Session Tracker'!$J$5:$J$149,'Session Tracker'!$D$5:$D$149,$A183,'Session Tracker'!$F$5:$F$149,"Next week",'Session Tracker'!$G$5:$G$149,"Tue"))</f>
        <v>0</v>
      </c>
      <c r="J183" s="52" t="n">
        <f aca="false">IF($E183="Per class",$D183*COUNTIFS('Session Tracker'!$D$5:$D$149,$A183,'Session Tracker'!$F$5:$F$149,"Next week",'Session Tracker'!$G$5:$G$149,"Wed"),$D183*SUMIFS('Session Tracker'!$J$5:$J$149,'Session Tracker'!$D$5:$D$149,$A183,'Session Tracker'!$F$5:$F$149,"Next week",'Session Tracker'!$G$5:$G$149,"Wed"))</f>
        <v>0</v>
      </c>
      <c r="K183" s="52" t="n">
        <f aca="false">IF($E183="Per class",$D183*COUNTIFS('Session Tracker'!$D$5:$D$149,$A183,'Session Tracker'!$F$5:$F$149,"Next week",'Session Tracker'!$G$5:$G$149,"Thu"),$D183*SUMIFS('Session Tracker'!$J$5:$J$149,'Session Tracker'!$D$5:$D$149,$A183,'Session Tracker'!$F$5:$F$149,"Next week",'Session Tracker'!$G$5:$G$149,"Thu"))</f>
        <v>0</v>
      </c>
      <c r="L183" s="52" t="n">
        <f aca="false">IF($E183="Per class",$D183*COUNTIFS('Session Tracker'!$D$5:$D$149,$A183,'Session Tracker'!$F$5:$F$149,"Next week",'Session Tracker'!$G$5:$G$149,"Fri"),$D183*SUMIFS('Session Tracker'!$J$5:$J$149,'Session Tracker'!$D$5:$D$149,$A183,'Session Tracker'!$F$5:$F$149,"Next week",'Session Tracker'!$G$5:$G$149,"Fri"))</f>
        <v>0</v>
      </c>
      <c r="M183" s="52" t="n">
        <f aca="false">IF($E183="Per class",$D183*COUNTIFS('Session Tracker'!$D$5:$D$149,$A183,'Session Tracker'!$F$5:$F$149,"Next week",'Session Tracker'!$G$5:$G$149,""),$D183*SUMIFS('Session Tracker'!$J$5:$J$149,'Session Tracker'!$D$5:$D$149,$A183,'Session Tracker'!$F$5:$F$149,"Next week",'Session Tracker'!$G$5:$G$149,""))</f>
        <v>0</v>
      </c>
    </row>
    <row r="184" customFormat="false" ht="15" hidden="false" customHeight="false" outlineLevel="0" collapsed="false">
      <c r="A184" s="51" t="s">
        <v>104</v>
      </c>
      <c r="B184" s="34" t="s">
        <v>411</v>
      </c>
      <c r="C184" s="34" t="s">
        <v>414</v>
      </c>
      <c r="D184" s="32" t="n">
        <v>1</v>
      </c>
      <c r="E184" s="32" t="s">
        <v>16</v>
      </c>
      <c r="F184" s="32" t="s">
        <v>373</v>
      </c>
      <c r="G184" s="34"/>
      <c r="H184" s="52" t="n">
        <f aca="false">IF($E184="Per class",$D184*COUNTIFS('Session Tracker'!$D$5:$D$149,$A184,'Session Tracker'!$F$5:$F$149,"Next week",'Session Tracker'!$G$5:$G$149,"Mon"),$D184*SUMIFS('Session Tracker'!$J$5:$J$149,'Session Tracker'!$D$5:$D$149,$A184,'Session Tracker'!$F$5:$F$149,"Next week",'Session Tracker'!$G$5:$G$149,"Mon"))</f>
        <v>0</v>
      </c>
      <c r="I184" s="52" t="n">
        <f aca="false">IF($E184="Per class",$D184*COUNTIFS('Session Tracker'!$D$5:$D$149,$A184,'Session Tracker'!$F$5:$F$149,"Next week",'Session Tracker'!$G$5:$G$149,"Tue"),$D184*SUMIFS('Session Tracker'!$J$5:$J$149,'Session Tracker'!$D$5:$D$149,$A184,'Session Tracker'!$F$5:$F$149,"Next week",'Session Tracker'!$G$5:$G$149,"Tue"))</f>
        <v>0</v>
      </c>
      <c r="J184" s="52" t="n">
        <f aca="false">IF($E184="Per class",$D184*COUNTIFS('Session Tracker'!$D$5:$D$149,$A184,'Session Tracker'!$F$5:$F$149,"Next week",'Session Tracker'!$G$5:$G$149,"Wed"),$D184*SUMIFS('Session Tracker'!$J$5:$J$149,'Session Tracker'!$D$5:$D$149,$A184,'Session Tracker'!$F$5:$F$149,"Next week",'Session Tracker'!$G$5:$G$149,"Wed"))</f>
        <v>0</v>
      </c>
      <c r="K184" s="52" t="n">
        <f aca="false">IF($E184="Per class",$D184*COUNTIFS('Session Tracker'!$D$5:$D$149,$A184,'Session Tracker'!$F$5:$F$149,"Next week",'Session Tracker'!$G$5:$G$149,"Thu"),$D184*SUMIFS('Session Tracker'!$J$5:$J$149,'Session Tracker'!$D$5:$D$149,$A184,'Session Tracker'!$F$5:$F$149,"Next week",'Session Tracker'!$G$5:$G$149,"Thu"))</f>
        <v>0</v>
      </c>
      <c r="L184" s="52" t="n">
        <f aca="false">IF($E184="Per class",$D184*COUNTIFS('Session Tracker'!$D$5:$D$149,$A184,'Session Tracker'!$F$5:$F$149,"Next week",'Session Tracker'!$G$5:$G$149,"Fri"),$D184*SUMIFS('Session Tracker'!$J$5:$J$149,'Session Tracker'!$D$5:$D$149,$A184,'Session Tracker'!$F$5:$F$149,"Next week",'Session Tracker'!$G$5:$G$149,"Fri"))</f>
        <v>0</v>
      </c>
      <c r="M184" s="52" t="n">
        <f aca="false">IF($E184="Per class",$D184*COUNTIFS('Session Tracker'!$D$5:$D$149,$A184,'Session Tracker'!$F$5:$F$149,"Next week",'Session Tracker'!$G$5:$G$149,""),$D184*SUMIFS('Session Tracker'!$J$5:$J$149,'Session Tracker'!$D$5:$D$149,$A184,'Session Tracker'!$F$5:$F$149,"Next week",'Session Tracker'!$G$5:$G$149,""))</f>
        <v>0</v>
      </c>
    </row>
    <row r="185" customFormat="false" ht="15" hidden="false" customHeight="false" outlineLevel="0" collapsed="false">
      <c r="A185" s="53" t="s">
        <v>104</v>
      </c>
      <c r="B185" s="54"/>
      <c r="C185" s="54"/>
      <c r="D185" s="54"/>
      <c r="E185" s="54"/>
      <c r="F185" s="54"/>
      <c r="G185" s="54"/>
      <c r="H185" s="52" t="n">
        <f aca="false">IF($E185="Per class",$D185*COUNTIFS('Session Tracker'!$D$5:$D$149,$A185,'Session Tracker'!$F$5:$F$149,"Next week",'Session Tracker'!$G$5:$G$149,"Mon"),$D185*SUMIFS('Session Tracker'!$J$5:$J$149,'Session Tracker'!$D$5:$D$149,$A185,'Session Tracker'!$F$5:$F$149,"Next week",'Session Tracker'!$G$5:$G$149,"Mon"))</f>
        <v>0</v>
      </c>
      <c r="I185" s="52" t="n">
        <f aca="false">IF($E185="Per class",$D185*COUNTIFS('Session Tracker'!$D$5:$D$149,$A185,'Session Tracker'!$F$5:$F$149,"Next week",'Session Tracker'!$G$5:$G$149,"Tue"),$D185*SUMIFS('Session Tracker'!$J$5:$J$149,'Session Tracker'!$D$5:$D$149,$A185,'Session Tracker'!$F$5:$F$149,"Next week",'Session Tracker'!$G$5:$G$149,"Tue"))</f>
        <v>0</v>
      </c>
      <c r="J185" s="52" t="n">
        <f aca="false">IF($E185="Per class",$D185*COUNTIFS('Session Tracker'!$D$5:$D$149,$A185,'Session Tracker'!$F$5:$F$149,"Next week",'Session Tracker'!$G$5:$G$149,"Wed"),$D185*SUMIFS('Session Tracker'!$J$5:$J$149,'Session Tracker'!$D$5:$D$149,$A185,'Session Tracker'!$F$5:$F$149,"Next week",'Session Tracker'!$G$5:$G$149,"Wed"))</f>
        <v>0</v>
      </c>
      <c r="K185" s="52" t="n">
        <f aca="false">IF($E185="Per class",$D185*COUNTIFS('Session Tracker'!$D$5:$D$149,$A185,'Session Tracker'!$F$5:$F$149,"Next week",'Session Tracker'!$G$5:$G$149,"Thu"),$D185*SUMIFS('Session Tracker'!$J$5:$J$149,'Session Tracker'!$D$5:$D$149,$A185,'Session Tracker'!$F$5:$F$149,"Next week",'Session Tracker'!$G$5:$G$149,"Thu"))</f>
        <v>0</v>
      </c>
      <c r="L185" s="52" t="n">
        <f aca="false">IF($E185="Per class",$D185*COUNTIFS('Session Tracker'!$D$5:$D$149,$A185,'Session Tracker'!$F$5:$F$149,"Next week",'Session Tracker'!$G$5:$G$149,"Fri"),$D185*SUMIFS('Session Tracker'!$J$5:$J$149,'Session Tracker'!$D$5:$D$149,$A185,'Session Tracker'!$F$5:$F$149,"Next week",'Session Tracker'!$G$5:$G$149,"Fri"))</f>
        <v>0</v>
      </c>
      <c r="M185" s="52" t="n">
        <f aca="false">IF($E185="Per class",$D185*COUNTIFS('Session Tracker'!$D$5:$D$149,$A185,'Session Tracker'!$F$5:$F$149,"Next week",'Session Tracker'!$G$5:$G$149,""),$D185*SUMIFS('Session Tracker'!$J$5:$J$149,'Session Tracker'!$D$5:$D$149,$A185,'Session Tracker'!$F$5:$F$149,"Next week",'Session Tracker'!$G$5:$G$149,""))</f>
        <v>0</v>
      </c>
    </row>
    <row r="186" customFormat="false" ht="15" hidden="false" customHeight="false" outlineLevel="0" collapsed="false">
      <c r="A186" s="53" t="s">
        <v>104</v>
      </c>
      <c r="B186" s="54"/>
      <c r="C186" s="54"/>
      <c r="D186" s="54"/>
      <c r="E186" s="54"/>
      <c r="F186" s="54"/>
      <c r="G186" s="54"/>
      <c r="H186" s="52" t="n">
        <f aca="false">IF($E186="Per class",$D186*COUNTIFS('Session Tracker'!$D$5:$D$149,$A186,'Session Tracker'!$F$5:$F$149,"Next week",'Session Tracker'!$G$5:$G$149,"Mon"),$D186*SUMIFS('Session Tracker'!$J$5:$J$149,'Session Tracker'!$D$5:$D$149,$A186,'Session Tracker'!$F$5:$F$149,"Next week",'Session Tracker'!$G$5:$G$149,"Mon"))</f>
        <v>0</v>
      </c>
      <c r="I186" s="52" t="n">
        <f aca="false">IF($E186="Per class",$D186*COUNTIFS('Session Tracker'!$D$5:$D$149,$A186,'Session Tracker'!$F$5:$F$149,"Next week",'Session Tracker'!$G$5:$G$149,"Tue"),$D186*SUMIFS('Session Tracker'!$J$5:$J$149,'Session Tracker'!$D$5:$D$149,$A186,'Session Tracker'!$F$5:$F$149,"Next week",'Session Tracker'!$G$5:$G$149,"Tue"))</f>
        <v>0</v>
      </c>
      <c r="J186" s="52" t="n">
        <f aca="false">IF($E186="Per class",$D186*COUNTIFS('Session Tracker'!$D$5:$D$149,$A186,'Session Tracker'!$F$5:$F$149,"Next week",'Session Tracker'!$G$5:$G$149,"Wed"),$D186*SUMIFS('Session Tracker'!$J$5:$J$149,'Session Tracker'!$D$5:$D$149,$A186,'Session Tracker'!$F$5:$F$149,"Next week",'Session Tracker'!$G$5:$G$149,"Wed"))</f>
        <v>0</v>
      </c>
      <c r="K186" s="52" t="n">
        <f aca="false">IF($E186="Per class",$D186*COUNTIFS('Session Tracker'!$D$5:$D$149,$A186,'Session Tracker'!$F$5:$F$149,"Next week",'Session Tracker'!$G$5:$G$149,"Thu"),$D186*SUMIFS('Session Tracker'!$J$5:$J$149,'Session Tracker'!$D$5:$D$149,$A186,'Session Tracker'!$F$5:$F$149,"Next week",'Session Tracker'!$G$5:$G$149,"Thu"))</f>
        <v>0</v>
      </c>
      <c r="L186" s="52" t="n">
        <f aca="false">IF($E186="Per class",$D186*COUNTIFS('Session Tracker'!$D$5:$D$149,$A186,'Session Tracker'!$F$5:$F$149,"Next week",'Session Tracker'!$G$5:$G$149,"Fri"),$D186*SUMIFS('Session Tracker'!$J$5:$J$149,'Session Tracker'!$D$5:$D$149,$A186,'Session Tracker'!$F$5:$F$149,"Next week",'Session Tracker'!$G$5:$G$149,"Fri"))</f>
        <v>0</v>
      </c>
      <c r="M186" s="52" t="n">
        <f aca="false">IF($E186="Per class",$D186*COUNTIFS('Session Tracker'!$D$5:$D$149,$A186,'Session Tracker'!$F$5:$F$149,"Next week",'Session Tracker'!$G$5:$G$149,""),$D186*SUMIFS('Session Tracker'!$J$5:$J$149,'Session Tracker'!$D$5:$D$149,$A186,'Session Tracker'!$F$5:$F$149,"Next week",'Session Tracker'!$G$5:$G$149,""))</f>
        <v>0</v>
      </c>
    </row>
    <row r="188" customFormat="false" ht="19.5" hidden="false" customHeight="true" outlineLevel="0" collapsed="false">
      <c r="A188" s="47" t="s">
        <v>106</v>
      </c>
      <c r="B188" s="48" t="s">
        <v>449</v>
      </c>
      <c r="C188" s="48"/>
      <c r="D188" s="48"/>
      <c r="E188" s="48"/>
      <c r="F188" s="49" t="str">
        <f aca="false">"Status: "&amp;'Session Tracker'!F20&amp;IF('Session Tracker'!G20&lt;&gt;""," ("&amp;'Session Tracker'!G20&amp;")","")</f>
        <v>Status: Not started</v>
      </c>
      <c r="G188" s="49"/>
      <c r="H188" s="50"/>
      <c r="I188" s="50"/>
      <c r="J188" s="50"/>
      <c r="K188" s="50"/>
      <c r="L188" s="50"/>
      <c r="M188" s="50"/>
    </row>
    <row r="189" customFormat="false" ht="23.85" hidden="false" customHeight="false" outlineLevel="0" collapsed="false">
      <c r="A189" s="51" t="s">
        <v>106</v>
      </c>
      <c r="B189" s="34" t="s">
        <v>366</v>
      </c>
      <c r="C189" s="34" t="s">
        <v>367</v>
      </c>
      <c r="D189" s="32" t="n">
        <v>1</v>
      </c>
      <c r="E189" s="32" t="s">
        <v>14</v>
      </c>
      <c r="F189" s="32" t="s">
        <v>368</v>
      </c>
      <c r="G189" s="34" t="s">
        <v>416</v>
      </c>
      <c r="H189" s="52" t="n">
        <f aca="false">IF($E189="Per class",$D189*COUNTIFS('Session Tracker'!$D$5:$D$149,$A189,'Session Tracker'!$F$5:$F$149,"Next week",'Session Tracker'!$G$5:$G$149,"Mon"),$D189*SUMIFS('Session Tracker'!$J$5:$J$149,'Session Tracker'!$D$5:$D$149,$A189,'Session Tracker'!$F$5:$F$149,"Next week",'Session Tracker'!$G$5:$G$149,"Mon"))</f>
        <v>0</v>
      </c>
      <c r="I189" s="52" t="n">
        <f aca="false">IF($E189="Per class",$D189*COUNTIFS('Session Tracker'!$D$5:$D$149,$A189,'Session Tracker'!$F$5:$F$149,"Next week",'Session Tracker'!$G$5:$G$149,"Tue"),$D189*SUMIFS('Session Tracker'!$J$5:$J$149,'Session Tracker'!$D$5:$D$149,$A189,'Session Tracker'!$F$5:$F$149,"Next week",'Session Tracker'!$G$5:$G$149,"Tue"))</f>
        <v>0</v>
      </c>
      <c r="J189" s="52" t="n">
        <f aca="false">IF($E189="Per class",$D189*COUNTIFS('Session Tracker'!$D$5:$D$149,$A189,'Session Tracker'!$F$5:$F$149,"Next week",'Session Tracker'!$G$5:$G$149,"Wed"),$D189*SUMIFS('Session Tracker'!$J$5:$J$149,'Session Tracker'!$D$5:$D$149,$A189,'Session Tracker'!$F$5:$F$149,"Next week",'Session Tracker'!$G$5:$G$149,"Wed"))</f>
        <v>0</v>
      </c>
      <c r="K189" s="52" t="n">
        <f aca="false">IF($E189="Per class",$D189*COUNTIFS('Session Tracker'!$D$5:$D$149,$A189,'Session Tracker'!$F$5:$F$149,"Next week",'Session Tracker'!$G$5:$G$149,"Thu"),$D189*SUMIFS('Session Tracker'!$J$5:$J$149,'Session Tracker'!$D$5:$D$149,$A189,'Session Tracker'!$F$5:$F$149,"Next week",'Session Tracker'!$G$5:$G$149,"Thu"))</f>
        <v>0</v>
      </c>
      <c r="L189" s="52" t="n">
        <f aca="false">IF($E189="Per class",$D189*COUNTIFS('Session Tracker'!$D$5:$D$149,$A189,'Session Tracker'!$F$5:$F$149,"Next week",'Session Tracker'!$G$5:$G$149,"Fri"),$D189*SUMIFS('Session Tracker'!$J$5:$J$149,'Session Tracker'!$D$5:$D$149,$A189,'Session Tracker'!$F$5:$F$149,"Next week",'Session Tracker'!$G$5:$G$149,"Fri"))</f>
        <v>0</v>
      </c>
      <c r="M189" s="52" t="n">
        <f aca="false">IF($E189="Per class",$D189*COUNTIFS('Session Tracker'!$D$5:$D$149,$A189,'Session Tracker'!$F$5:$F$149,"Next week",'Session Tracker'!$G$5:$G$149,""),$D189*SUMIFS('Session Tracker'!$J$5:$J$149,'Session Tracker'!$D$5:$D$149,$A189,'Session Tracker'!$F$5:$F$149,"Next week",'Session Tracker'!$G$5:$G$149,""))</f>
        <v>0</v>
      </c>
    </row>
    <row r="190" customFormat="false" ht="15" hidden="false" customHeight="false" outlineLevel="0" collapsed="false">
      <c r="A190" s="51" t="s">
        <v>106</v>
      </c>
      <c r="B190" s="34" t="s">
        <v>375</v>
      </c>
      <c r="C190" s="34" t="s">
        <v>385</v>
      </c>
      <c r="D190" s="32" t="n">
        <v>1</v>
      </c>
      <c r="E190" s="32" t="s">
        <v>14</v>
      </c>
      <c r="F190" s="32" t="s">
        <v>368</v>
      </c>
      <c r="G190" s="34"/>
      <c r="H190" s="52" t="n">
        <f aca="false">IF($E190="Per class",$D190*COUNTIFS('Session Tracker'!$D$5:$D$149,$A190,'Session Tracker'!$F$5:$F$149,"Next week",'Session Tracker'!$G$5:$G$149,"Mon"),$D190*SUMIFS('Session Tracker'!$J$5:$J$149,'Session Tracker'!$D$5:$D$149,$A190,'Session Tracker'!$F$5:$F$149,"Next week",'Session Tracker'!$G$5:$G$149,"Mon"))</f>
        <v>0</v>
      </c>
      <c r="I190" s="52" t="n">
        <f aca="false">IF($E190="Per class",$D190*COUNTIFS('Session Tracker'!$D$5:$D$149,$A190,'Session Tracker'!$F$5:$F$149,"Next week",'Session Tracker'!$G$5:$G$149,"Tue"),$D190*SUMIFS('Session Tracker'!$J$5:$J$149,'Session Tracker'!$D$5:$D$149,$A190,'Session Tracker'!$F$5:$F$149,"Next week",'Session Tracker'!$G$5:$G$149,"Tue"))</f>
        <v>0</v>
      </c>
      <c r="J190" s="52" t="n">
        <f aca="false">IF($E190="Per class",$D190*COUNTIFS('Session Tracker'!$D$5:$D$149,$A190,'Session Tracker'!$F$5:$F$149,"Next week",'Session Tracker'!$G$5:$G$149,"Wed"),$D190*SUMIFS('Session Tracker'!$J$5:$J$149,'Session Tracker'!$D$5:$D$149,$A190,'Session Tracker'!$F$5:$F$149,"Next week",'Session Tracker'!$G$5:$G$149,"Wed"))</f>
        <v>0</v>
      </c>
      <c r="K190" s="52" t="n">
        <f aca="false">IF($E190="Per class",$D190*COUNTIFS('Session Tracker'!$D$5:$D$149,$A190,'Session Tracker'!$F$5:$F$149,"Next week",'Session Tracker'!$G$5:$G$149,"Thu"),$D190*SUMIFS('Session Tracker'!$J$5:$J$149,'Session Tracker'!$D$5:$D$149,$A190,'Session Tracker'!$F$5:$F$149,"Next week",'Session Tracker'!$G$5:$G$149,"Thu"))</f>
        <v>0</v>
      </c>
      <c r="L190" s="52" t="n">
        <f aca="false">IF($E190="Per class",$D190*COUNTIFS('Session Tracker'!$D$5:$D$149,$A190,'Session Tracker'!$F$5:$F$149,"Next week",'Session Tracker'!$G$5:$G$149,"Fri"),$D190*SUMIFS('Session Tracker'!$J$5:$J$149,'Session Tracker'!$D$5:$D$149,$A190,'Session Tracker'!$F$5:$F$149,"Next week",'Session Tracker'!$G$5:$G$149,"Fri"))</f>
        <v>0</v>
      </c>
      <c r="M190" s="52" t="n">
        <f aca="false">IF($E190="Per class",$D190*COUNTIFS('Session Tracker'!$D$5:$D$149,$A190,'Session Tracker'!$F$5:$F$149,"Next week",'Session Tracker'!$G$5:$G$149,""),$D190*SUMIFS('Session Tracker'!$J$5:$J$149,'Session Tracker'!$D$5:$D$149,$A190,'Session Tracker'!$F$5:$F$149,"Next week",'Session Tracker'!$G$5:$G$149,""))</f>
        <v>0</v>
      </c>
    </row>
    <row r="191" customFormat="false" ht="15" hidden="false" customHeight="false" outlineLevel="0" collapsed="false">
      <c r="A191" s="51" t="s">
        <v>106</v>
      </c>
      <c r="B191" s="34" t="s">
        <v>371</v>
      </c>
      <c r="C191" s="34" t="s">
        <v>372</v>
      </c>
      <c r="D191" s="32" t="n">
        <v>1</v>
      </c>
      <c r="E191" s="32" t="s">
        <v>14</v>
      </c>
      <c r="F191" s="32" t="s">
        <v>373</v>
      </c>
      <c r="G191" s="34"/>
      <c r="H191" s="52" t="n">
        <f aca="false">IF($E191="Per class",$D191*COUNTIFS('Session Tracker'!$D$5:$D$149,$A191,'Session Tracker'!$F$5:$F$149,"Next week",'Session Tracker'!$G$5:$G$149,"Mon"),$D191*SUMIFS('Session Tracker'!$J$5:$J$149,'Session Tracker'!$D$5:$D$149,$A191,'Session Tracker'!$F$5:$F$149,"Next week",'Session Tracker'!$G$5:$G$149,"Mon"))</f>
        <v>0</v>
      </c>
      <c r="I191" s="52" t="n">
        <f aca="false">IF($E191="Per class",$D191*COUNTIFS('Session Tracker'!$D$5:$D$149,$A191,'Session Tracker'!$F$5:$F$149,"Next week",'Session Tracker'!$G$5:$G$149,"Tue"),$D191*SUMIFS('Session Tracker'!$J$5:$J$149,'Session Tracker'!$D$5:$D$149,$A191,'Session Tracker'!$F$5:$F$149,"Next week",'Session Tracker'!$G$5:$G$149,"Tue"))</f>
        <v>0</v>
      </c>
      <c r="J191" s="52" t="n">
        <f aca="false">IF($E191="Per class",$D191*COUNTIFS('Session Tracker'!$D$5:$D$149,$A191,'Session Tracker'!$F$5:$F$149,"Next week",'Session Tracker'!$G$5:$G$149,"Wed"),$D191*SUMIFS('Session Tracker'!$J$5:$J$149,'Session Tracker'!$D$5:$D$149,$A191,'Session Tracker'!$F$5:$F$149,"Next week",'Session Tracker'!$G$5:$G$149,"Wed"))</f>
        <v>0</v>
      </c>
      <c r="K191" s="52" t="n">
        <f aca="false">IF($E191="Per class",$D191*COUNTIFS('Session Tracker'!$D$5:$D$149,$A191,'Session Tracker'!$F$5:$F$149,"Next week",'Session Tracker'!$G$5:$G$149,"Thu"),$D191*SUMIFS('Session Tracker'!$J$5:$J$149,'Session Tracker'!$D$5:$D$149,$A191,'Session Tracker'!$F$5:$F$149,"Next week",'Session Tracker'!$G$5:$G$149,"Thu"))</f>
        <v>0</v>
      </c>
      <c r="L191" s="52" t="n">
        <f aca="false">IF($E191="Per class",$D191*COUNTIFS('Session Tracker'!$D$5:$D$149,$A191,'Session Tracker'!$F$5:$F$149,"Next week",'Session Tracker'!$G$5:$G$149,"Fri"),$D191*SUMIFS('Session Tracker'!$J$5:$J$149,'Session Tracker'!$D$5:$D$149,$A191,'Session Tracker'!$F$5:$F$149,"Next week",'Session Tracker'!$G$5:$G$149,"Fri"))</f>
        <v>0</v>
      </c>
      <c r="M191" s="52" t="n">
        <f aca="false">IF($E191="Per class",$D191*COUNTIFS('Session Tracker'!$D$5:$D$149,$A191,'Session Tracker'!$F$5:$F$149,"Next week",'Session Tracker'!$G$5:$G$149,""),$D191*SUMIFS('Session Tracker'!$J$5:$J$149,'Session Tracker'!$D$5:$D$149,$A191,'Session Tracker'!$F$5:$F$149,"Next week",'Session Tracker'!$G$5:$G$149,""))</f>
        <v>0</v>
      </c>
    </row>
    <row r="192" customFormat="false" ht="15" hidden="false" customHeight="false" outlineLevel="0" collapsed="false">
      <c r="A192" s="51" t="s">
        <v>106</v>
      </c>
      <c r="B192" s="34" t="s">
        <v>377</v>
      </c>
      <c r="C192" s="34" t="s">
        <v>378</v>
      </c>
      <c r="D192" s="32" t="n">
        <v>1</v>
      </c>
      <c r="E192" s="32" t="s">
        <v>14</v>
      </c>
      <c r="F192" s="32" t="s">
        <v>368</v>
      </c>
      <c r="G192" s="34"/>
      <c r="H192" s="52" t="n">
        <f aca="false">IF($E192="Per class",$D192*COUNTIFS('Session Tracker'!$D$5:$D$149,$A192,'Session Tracker'!$F$5:$F$149,"Next week",'Session Tracker'!$G$5:$G$149,"Mon"),$D192*SUMIFS('Session Tracker'!$J$5:$J$149,'Session Tracker'!$D$5:$D$149,$A192,'Session Tracker'!$F$5:$F$149,"Next week",'Session Tracker'!$G$5:$G$149,"Mon"))</f>
        <v>0</v>
      </c>
      <c r="I192" s="52" t="n">
        <f aca="false">IF($E192="Per class",$D192*COUNTIFS('Session Tracker'!$D$5:$D$149,$A192,'Session Tracker'!$F$5:$F$149,"Next week",'Session Tracker'!$G$5:$G$149,"Tue"),$D192*SUMIFS('Session Tracker'!$J$5:$J$149,'Session Tracker'!$D$5:$D$149,$A192,'Session Tracker'!$F$5:$F$149,"Next week",'Session Tracker'!$G$5:$G$149,"Tue"))</f>
        <v>0</v>
      </c>
      <c r="J192" s="52" t="n">
        <f aca="false">IF($E192="Per class",$D192*COUNTIFS('Session Tracker'!$D$5:$D$149,$A192,'Session Tracker'!$F$5:$F$149,"Next week",'Session Tracker'!$G$5:$G$149,"Wed"),$D192*SUMIFS('Session Tracker'!$J$5:$J$149,'Session Tracker'!$D$5:$D$149,$A192,'Session Tracker'!$F$5:$F$149,"Next week",'Session Tracker'!$G$5:$G$149,"Wed"))</f>
        <v>0</v>
      </c>
      <c r="K192" s="52" t="n">
        <f aca="false">IF($E192="Per class",$D192*COUNTIFS('Session Tracker'!$D$5:$D$149,$A192,'Session Tracker'!$F$5:$F$149,"Next week",'Session Tracker'!$G$5:$G$149,"Thu"),$D192*SUMIFS('Session Tracker'!$J$5:$J$149,'Session Tracker'!$D$5:$D$149,$A192,'Session Tracker'!$F$5:$F$149,"Next week",'Session Tracker'!$G$5:$G$149,"Thu"))</f>
        <v>0</v>
      </c>
      <c r="L192" s="52" t="n">
        <f aca="false">IF($E192="Per class",$D192*COUNTIFS('Session Tracker'!$D$5:$D$149,$A192,'Session Tracker'!$F$5:$F$149,"Next week",'Session Tracker'!$G$5:$G$149,"Fri"),$D192*SUMIFS('Session Tracker'!$J$5:$J$149,'Session Tracker'!$D$5:$D$149,$A192,'Session Tracker'!$F$5:$F$149,"Next week",'Session Tracker'!$G$5:$G$149,"Fri"))</f>
        <v>0</v>
      </c>
      <c r="M192" s="52" t="n">
        <f aca="false">IF($E192="Per class",$D192*COUNTIFS('Session Tracker'!$D$5:$D$149,$A192,'Session Tracker'!$F$5:$F$149,"Next week",'Session Tracker'!$G$5:$G$149,""),$D192*SUMIFS('Session Tracker'!$J$5:$J$149,'Session Tracker'!$D$5:$D$149,$A192,'Session Tracker'!$F$5:$F$149,"Next week",'Session Tracker'!$G$5:$G$149,""))</f>
        <v>0</v>
      </c>
    </row>
    <row r="193" customFormat="false" ht="15" hidden="false" customHeight="false" outlineLevel="0" collapsed="false">
      <c r="A193" s="51" t="s">
        <v>106</v>
      </c>
      <c r="B193" s="34" t="s">
        <v>375</v>
      </c>
      <c r="C193" s="34" t="s">
        <v>376</v>
      </c>
      <c r="D193" s="32" t="n">
        <v>1</v>
      </c>
      <c r="E193" s="32" t="s">
        <v>14</v>
      </c>
      <c r="F193" s="32" t="s">
        <v>373</v>
      </c>
      <c r="G193" s="34"/>
      <c r="H193" s="52" t="n">
        <f aca="false">IF($E193="Per class",$D193*COUNTIFS('Session Tracker'!$D$5:$D$149,$A193,'Session Tracker'!$F$5:$F$149,"Next week",'Session Tracker'!$G$5:$G$149,"Mon"),$D193*SUMIFS('Session Tracker'!$J$5:$J$149,'Session Tracker'!$D$5:$D$149,$A193,'Session Tracker'!$F$5:$F$149,"Next week",'Session Tracker'!$G$5:$G$149,"Mon"))</f>
        <v>0</v>
      </c>
      <c r="I193" s="52" t="n">
        <f aca="false">IF($E193="Per class",$D193*COUNTIFS('Session Tracker'!$D$5:$D$149,$A193,'Session Tracker'!$F$5:$F$149,"Next week",'Session Tracker'!$G$5:$G$149,"Tue"),$D193*SUMIFS('Session Tracker'!$J$5:$J$149,'Session Tracker'!$D$5:$D$149,$A193,'Session Tracker'!$F$5:$F$149,"Next week",'Session Tracker'!$G$5:$G$149,"Tue"))</f>
        <v>0</v>
      </c>
      <c r="J193" s="52" t="n">
        <f aca="false">IF($E193="Per class",$D193*COUNTIFS('Session Tracker'!$D$5:$D$149,$A193,'Session Tracker'!$F$5:$F$149,"Next week",'Session Tracker'!$G$5:$G$149,"Wed"),$D193*SUMIFS('Session Tracker'!$J$5:$J$149,'Session Tracker'!$D$5:$D$149,$A193,'Session Tracker'!$F$5:$F$149,"Next week",'Session Tracker'!$G$5:$G$149,"Wed"))</f>
        <v>0</v>
      </c>
      <c r="K193" s="52" t="n">
        <f aca="false">IF($E193="Per class",$D193*COUNTIFS('Session Tracker'!$D$5:$D$149,$A193,'Session Tracker'!$F$5:$F$149,"Next week",'Session Tracker'!$G$5:$G$149,"Thu"),$D193*SUMIFS('Session Tracker'!$J$5:$J$149,'Session Tracker'!$D$5:$D$149,$A193,'Session Tracker'!$F$5:$F$149,"Next week",'Session Tracker'!$G$5:$G$149,"Thu"))</f>
        <v>0</v>
      </c>
      <c r="L193" s="52" t="n">
        <f aca="false">IF($E193="Per class",$D193*COUNTIFS('Session Tracker'!$D$5:$D$149,$A193,'Session Tracker'!$F$5:$F$149,"Next week",'Session Tracker'!$G$5:$G$149,"Fri"),$D193*SUMIFS('Session Tracker'!$J$5:$J$149,'Session Tracker'!$D$5:$D$149,$A193,'Session Tracker'!$F$5:$F$149,"Next week",'Session Tracker'!$G$5:$G$149,"Fri"))</f>
        <v>0</v>
      </c>
      <c r="M193" s="52" t="n">
        <f aca="false">IF($E193="Per class",$D193*COUNTIFS('Session Tracker'!$D$5:$D$149,$A193,'Session Tracker'!$F$5:$F$149,"Next week",'Session Tracker'!$G$5:$G$149,""),$D193*SUMIFS('Session Tracker'!$J$5:$J$149,'Session Tracker'!$D$5:$D$149,$A193,'Session Tracker'!$F$5:$F$149,"Next week",'Session Tracker'!$G$5:$G$149,""))</f>
        <v>0</v>
      </c>
    </row>
    <row r="194" customFormat="false" ht="15" hidden="false" customHeight="false" outlineLevel="0" collapsed="false">
      <c r="A194" s="51" t="s">
        <v>106</v>
      </c>
      <c r="B194" s="34" t="s">
        <v>375</v>
      </c>
      <c r="C194" s="34" t="s">
        <v>417</v>
      </c>
      <c r="D194" s="32" t="n">
        <v>1</v>
      </c>
      <c r="E194" s="32" t="s">
        <v>14</v>
      </c>
      <c r="F194" s="32" t="s">
        <v>373</v>
      </c>
      <c r="G194" s="34"/>
      <c r="H194" s="52" t="n">
        <f aca="false">IF($E194="Per class",$D194*COUNTIFS('Session Tracker'!$D$5:$D$149,$A194,'Session Tracker'!$F$5:$F$149,"Next week",'Session Tracker'!$G$5:$G$149,"Mon"),$D194*SUMIFS('Session Tracker'!$J$5:$J$149,'Session Tracker'!$D$5:$D$149,$A194,'Session Tracker'!$F$5:$F$149,"Next week",'Session Tracker'!$G$5:$G$149,"Mon"))</f>
        <v>0</v>
      </c>
      <c r="I194" s="52" t="n">
        <f aca="false">IF($E194="Per class",$D194*COUNTIFS('Session Tracker'!$D$5:$D$149,$A194,'Session Tracker'!$F$5:$F$149,"Next week",'Session Tracker'!$G$5:$G$149,"Tue"),$D194*SUMIFS('Session Tracker'!$J$5:$J$149,'Session Tracker'!$D$5:$D$149,$A194,'Session Tracker'!$F$5:$F$149,"Next week",'Session Tracker'!$G$5:$G$149,"Tue"))</f>
        <v>0</v>
      </c>
      <c r="J194" s="52" t="n">
        <f aca="false">IF($E194="Per class",$D194*COUNTIFS('Session Tracker'!$D$5:$D$149,$A194,'Session Tracker'!$F$5:$F$149,"Next week",'Session Tracker'!$G$5:$G$149,"Wed"),$D194*SUMIFS('Session Tracker'!$J$5:$J$149,'Session Tracker'!$D$5:$D$149,$A194,'Session Tracker'!$F$5:$F$149,"Next week",'Session Tracker'!$G$5:$G$149,"Wed"))</f>
        <v>0</v>
      </c>
      <c r="K194" s="52" t="n">
        <f aca="false">IF($E194="Per class",$D194*COUNTIFS('Session Tracker'!$D$5:$D$149,$A194,'Session Tracker'!$F$5:$F$149,"Next week",'Session Tracker'!$G$5:$G$149,"Thu"),$D194*SUMIFS('Session Tracker'!$J$5:$J$149,'Session Tracker'!$D$5:$D$149,$A194,'Session Tracker'!$F$5:$F$149,"Next week",'Session Tracker'!$G$5:$G$149,"Thu"))</f>
        <v>0</v>
      </c>
      <c r="L194" s="52" t="n">
        <f aca="false">IF($E194="Per class",$D194*COUNTIFS('Session Tracker'!$D$5:$D$149,$A194,'Session Tracker'!$F$5:$F$149,"Next week",'Session Tracker'!$G$5:$G$149,"Fri"),$D194*SUMIFS('Session Tracker'!$J$5:$J$149,'Session Tracker'!$D$5:$D$149,$A194,'Session Tracker'!$F$5:$F$149,"Next week",'Session Tracker'!$G$5:$G$149,"Fri"))</f>
        <v>0</v>
      </c>
      <c r="M194" s="52" t="n">
        <f aca="false">IF($E194="Per class",$D194*COUNTIFS('Session Tracker'!$D$5:$D$149,$A194,'Session Tracker'!$F$5:$F$149,"Next week",'Session Tracker'!$G$5:$G$149,""),$D194*SUMIFS('Session Tracker'!$J$5:$J$149,'Session Tracker'!$D$5:$D$149,$A194,'Session Tracker'!$F$5:$F$149,"Next week",'Session Tracker'!$G$5:$G$149,""))</f>
        <v>0</v>
      </c>
    </row>
    <row r="195" customFormat="false" ht="15" hidden="false" customHeight="false" outlineLevel="0" collapsed="false">
      <c r="A195" s="51" t="s">
        <v>106</v>
      </c>
      <c r="B195" s="34" t="s">
        <v>411</v>
      </c>
      <c r="C195" s="34" t="s">
        <v>450</v>
      </c>
      <c r="D195" s="32" t="n">
        <v>1</v>
      </c>
      <c r="E195" s="32" t="s">
        <v>14</v>
      </c>
      <c r="F195" s="32" t="s">
        <v>373</v>
      </c>
      <c r="G195" s="34" t="s">
        <v>451</v>
      </c>
      <c r="H195" s="52" t="n">
        <f aca="false">IF($E195="Per class",$D195*COUNTIFS('Session Tracker'!$D$5:$D$149,$A195,'Session Tracker'!$F$5:$F$149,"Next week",'Session Tracker'!$G$5:$G$149,"Mon"),$D195*SUMIFS('Session Tracker'!$J$5:$J$149,'Session Tracker'!$D$5:$D$149,$A195,'Session Tracker'!$F$5:$F$149,"Next week",'Session Tracker'!$G$5:$G$149,"Mon"))</f>
        <v>0</v>
      </c>
      <c r="I195" s="52" t="n">
        <f aca="false">IF($E195="Per class",$D195*COUNTIFS('Session Tracker'!$D$5:$D$149,$A195,'Session Tracker'!$F$5:$F$149,"Next week",'Session Tracker'!$G$5:$G$149,"Tue"),$D195*SUMIFS('Session Tracker'!$J$5:$J$149,'Session Tracker'!$D$5:$D$149,$A195,'Session Tracker'!$F$5:$F$149,"Next week",'Session Tracker'!$G$5:$G$149,"Tue"))</f>
        <v>0</v>
      </c>
      <c r="J195" s="52" t="n">
        <f aca="false">IF($E195="Per class",$D195*COUNTIFS('Session Tracker'!$D$5:$D$149,$A195,'Session Tracker'!$F$5:$F$149,"Next week",'Session Tracker'!$G$5:$G$149,"Wed"),$D195*SUMIFS('Session Tracker'!$J$5:$J$149,'Session Tracker'!$D$5:$D$149,$A195,'Session Tracker'!$F$5:$F$149,"Next week",'Session Tracker'!$G$5:$G$149,"Wed"))</f>
        <v>0</v>
      </c>
      <c r="K195" s="52" t="n">
        <f aca="false">IF($E195="Per class",$D195*COUNTIFS('Session Tracker'!$D$5:$D$149,$A195,'Session Tracker'!$F$5:$F$149,"Next week",'Session Tracker'!$G$5:$G$149,"Thu"),$D195*SUMIFS('Session Tracker'!$J$5:$J$149,'Session Tracker'!$D$5:$D$149,$A195,'Session Tracker'!$F$5:$F$149,"Next week",'Session Tracker'!$G$5:$G$149,"Thu"))</f>
        <v>0</v>
      </c>
      <c r="L195" s="52" t="n">
        <f aca="false">IF($E195="Per class",$D195*COUNTIFS('Session Tracker'!$D$5:$D$149,$A195,'Session Tracker'!$F$5:$F$149,"Next week",'Session Tracker'!$G$5:$G$149,"Fri"),$D195*SUMIFS('Session Tracker'!$J$5:$J$149,'Session Tracker'!$D$5:$D$149,$A195,'Session Tracker'!$F$5:$F$149,"Next week",'Session Tracker'!$G$5:$G$149,"Fri"))</f>
        <v>0</v>
      </c>
      <c r="M195" s="52" t="n">
        <f aca="false">IF($E195="Per class",$D195*COUNTIFS('Session Tracker'!$D$5:$D$149,$A195,'Session Tracker'!$F$5:$F$149,"Next week",'Session Tracker'!$G$5:$G$149,""),$D195*SUMIFS('Session Tracker'!$J$5:$J$149,'Session Tracker'!$D$5:$D$149,$A195,'Session Tracker'!$F$5:$F$149,"Next week",'Session Tracker'!$G$5:$G$149,""))</f>
        <v>0</v>
      </c>
    </row>
    <row r="196" customFormat="false" ht="15" hidden="false" customHeight="false" outlineLevel="0" collapsed="false">
      <c r="A196" s="51" t="s">
        <v>106</v>
      </c>
      <c r="B196" s="34" t="s">
        <v>379</v>
      </c>
      <c r="C196" s="34" t="s">
        <v>380</v>
      </c>
      <c r="D196" s="32" t="n">
        <v>1</v>
      </c>
      <c r="E196" s="32" t="s">
        <v>14</v>
      </c>
      <c r="F196" s="32" t="s">
        <v>368</v>
      </c>
      <c r="G196" s="34"/>
      <c r="H196" s="52" t="n">
        <f aca="false">IF($E196="Per class",$D196*COUNTIFS('Session Tracker'!$D$5:$D$149,$A196,'Session Tracker'!$F$5:$F$149,"Next week",'Session Tracker'!$G$5:$G$149,"Mon"),$D196*SUMIFS('Session Tracker'!$J$5:$J$149,'Session Tracker'!$D$5:$D$149,$A196,'Session Tracker'!$F$5:$F$149,"Next week",'Session Tracker'!$G$5:$G$149,"Mon"))</f>
        <v>0</v>
      </c>
      <c r="I196" s="52" t="n">
        <f aca="false">IF($E196="Per class",$D196*COUNTIFS('Session Tracker'!$D$5:$D$149,$A196,'Session Tracker'!$F$5:$F$149,"Next week",'Session Tracker'!$G$5:$G$149,"Tue"),$D196*SUMIFS('Session Tracker'!$J$5:$J$149,'Session Tracker'!$D$5:$D$149,$A196,'Session Tracker'!$F$5:$F$149,"Next week",'Session Tracker'!$G$5:$G$149,"Tue"))</f>
        <v>0</v>
      </c>
      <c r="J196" s="52" t="n">
        <f aca="false">IF($E196="Per class",$D196*COUNTIFS('Session Tracker'!$D$5:$D$149,$A196,'Session Tracker'!$F$5:$F$149,"Next week",'Session Tracker'!$G$5:$G$149,"Wed"),$D196*SUMIFS('Session Tracker'!$J$5:$J$149,'Session Tracker'!$D$5:$D$149,$A196,'Session Tracker'!$F$5:$F$149,"Next week",'Session Tracker'!$G$5:$G$149,"Wed"))</f>
        <v>0</v>
      </c>
      <c r="K196" s="52" t="n">
        <f aca="false">IF($E196="Per class",$D196*COUNTIFS('Session Tracker'!$D$5:$D$149,$A196,'Session Tracker'!$F$5:$F$149,"Next week",'Session Tracker'!$G$5:$G$149,"Thu"),$D196*SUMIFS('Session Tracker'!$J$5:$J$149,'Session Tracker'!$D$5:$D$149,$A196,'Session Tracker'!$F$5:$F$149,"Next week",'Session Tracker'!$G$5:$G$149,"Thu"))</f>
        <v>0</v>
      </c>
      <c r="L196" s="52" t="n">
        <f aca="false">IF($E196="Per class",$D196*COUNTIFS('Session Tracker'!$D$5:$D$149,$A196,'Session Tracker'!$F$5:$F$149,"Next week",'Session Tracker'!$G$5:$G$149,"Fri"),$D196*SUMIFS('Session Tracker'!$J$5:$J$149,'Session Tracker'!$D$5:$D$149,$A196,'Session Tracker'!$F$5:$F$149,"Next week",'Session Tracker'!$G$5:$G$149,"Fri"))</f>
        <v>0</v>
      </c>
      <c r="M196" s="52" t="n">
        <f aca="false">IF($E196="Per class",$D196*COUNTIFS('Session Tracker'!$D$5:$D$149,$A196,'Session Tracker'!$F$5:$F$149,"Next week",'Session Tracker'!$G$5:$G$149,""),$D196*SUMIFS('Session Tracker'!$J$5:$J$149,'Session Tracker'!$D$5:$D$149,$A196,'Session Tracker'!$F$5:$F$149,"Next week",'Session Tracker'!$G$5:$G$149,""))</f>
        <v>0</v>
      </c>
    </row>
    <row r="197" customFormat="false" ht="15" hidden="false" customHeight="false" outlineLevel="0" collapsed="false">
      <c r="A197" s="51" t="s">
        <v>106</v>
      </c>
      <c r="B197" s="34" t="s">
        <v>379</v>
      </c>
      <c r="C197" s="34" t="s">
        <v>381</v>
      </c>
      <c r="D197" s="32" t="n">
        <v>6</v>
      </c>
      <c r="E197" s="32" t="s">
        <v>14</v>
      </c>
      <c r="F197" s="32" t="s">
        <v>368</v>
      </c>
      <c r="G197" s="34"/>
      <c r="H197" s="52" t="n">
        <f aca="false">IF($E197="Per class",$D197*COUNTIFS('Session Tracker'!$D$5:$D$149,$A197,'Session Tracker'!$F$5:$F$149,"Next week",'Session Tracker'!$G$5:$G$149,"Mon"),$D197*SUMIFS('Session Tracker'!$J$5:$J$149,'Session Tracker'!$D$5:$D$149,$A197,'Session Tracker'!$F$5:$F$149,"Next week",'Session Tracker'!$G$5:$G$149,"Mon"))</f>
        <v>0</v>
      </c>
      <c r="I197" s="52" t="n">
        <f aca="false">IF($E197="Per class",$D197*COUNTIFS('Session Tracker'!$D$5:$D$149,$A197,'Session Tracker'!$F$5:$F$149,"Next week",'Session Tracker'!$G$5:$G$149,"Tue"),$D197*SUMIFS('Session Tracker'!$J$5:$J$149,'Session Tracker'!$D$5:$D$149,$A197,'Session Tracker'!$F$5:$F$149,"Next week",'Session Tracker'!$G$5:$G$149,"Tue"))</f>
        <v>0</v>
      </c>
      <c r="J197" s="52" t="n">
        <f aca="false">IF($E197="Per class",$D197*COUNTIFS('Session Tracker'!$D$5:$D$149,$A197,'Session Tracker'!$F$5:$F$149,"Next week",'Session Tracker'!$G$5:$G$149,"Wed"),$D197*SUMIFS('Session Tracker'!$J$5:$J$149,'Session Tracker'!$D$5:$D$149,$A197,'Session Tracker'!$F$5:$F$149,"Next week",'Session Tracker'!$G$5:$G$149,"Wed"))</f>
        <v>0</v>
      </c>
      <c r="K197" s="52" t="n">
        <f aca="false">IF($E197="Per class",$D197*COUNTIFS('Session Tracker'!$D$5:$D$149,$A197,'Session Tracker'!$F$5:$F$149,"Next week",'Session Tracker'!$G$5:$G$149,"Thu"),$D197*SUMIFS('Session Tracker'!$J$5:$J$149,'Session Tracker'!$D$5:$D$149,$A197,'Session Tracker'!$F$5:$F$149,"Next week",'Session Tracker'!$G$5:$G$149,"Thu"))</f>
        <v>0</v>
      </c>
      <c r="L197" s="52" t="n">
        <f aca="false">IF($E197="Per class",$D197*COUNTIFS('Session Tracker'!$D$5:$D$149,$A197,'Session Tracker'!$F$5:$F$149,"Next week",'Session Tracker'!$G$5:$G$149,"Fri"),$D197*SUMIFS('Session Tracker'!$J$5:$J$149,'Session Tracker'!$D$5:$D$149,$A197,'Session Tracker'!$F$5:$F$149,"Next week",'Session Tracker'!$G$5:$G$149,"Fri"))</f>
        <v>0</v>
      </c>
      <c r="M197" s="52" t="n">
        <f aca="false">IF($E197="Per class",$D197*COUNTIFS('Session Tracker'!$D$5:$D$149,$A197,'Session Tracker'!$F$5:$F$149,"Next week",'Session Tracker'!$G$5:$G$149,""),$D197*SUMIFS('Session Tracker'!$J$5:$J$149,'Session Tracker'!$D$5:$D$149,$A197,'Session Tracker'!$F$5:$F$149,"Next week",'Session Tracker'!$G$5:$G$149,""))</f>
        <v>0</v>
      </c>
    </row>
    <row r="198" customFormat="false" ht="15" hidden="false" customHeight="false" outlineLevel="0" collapsed="false">
      <c r="A198" s="51" t="s">
        <v>106</v>
      </c>
      <c r="B198" s="34" t="s">
        <v>382</v>
      </c>
      <c r="C198" s="34" t="s">
        <v>383</v>
      </c>
      <c r="D198" s="32" t="n">
        <v>1</v>
      </c>
      <c r="E198" s="32" t="s">
        <v>14</v>
      </c>
      <c r="F198" s="32" t="s">
        <v>368</v>
      </c>
      <c r="G198" s="34"/>
      <c r="H198" s="52" t="n">
        <f aca="false">IF($E198="Per class",$D198*COUNTIFS('Session Tracker'!$D$5:$D$149,$A198,'Session Tracker'!$F$5:$F$149,"Next week",'Session Tracker'!$G$5:$G$149,"Mon"),$D198*SUMIFS('Session Tracker'!$J$5:$J$149,'Session Tracker'!$D$5:$D$149,$A198,'Session Tracker'!$F$5:$F$149,"Next week",'Session Tracker'!$G$5:$G$149,"Mon"))</f>
        <v>0</v>
      </c>
      <c r="I198" s="52" t="n">
        <f aca="false">IF($E198="Per class",$D198*COUNTIFS('Session Tracker'!$D$5:$D$149,$A198,'Session Tracker'!$F$5:$F$149,"Next week",'Session Tracker'!$G$5:$G$149,"Tue"),$D198*SUMIFS('Session Tracker'!$J$5:$J$149,'Session Tracker'!$D$5:$D$149,$A198,'Session Tracker'!$F$5:$F$149,"Next week",'Session Tracker'!$G$5:$G$149,"Tue"))</f>
        <v>0</v>
      </c>
      <c r="J198" s="52" t="n">
        <f aca="false">IF($E198="Per class",$D198*COUNTIFS('Session Tracker'!$D$5:$D$149,$A198,'Session Tracker'!$F$5:$F$149,"Next week",'Session Tracker'!$G$5:$G$149,"Wed"),$D198*SUMIFS('Session Tracker'!$J$5:$J$149,'Session Tracker'!$D$5:$D$149,$A198,'Session Tracker'!$F$5:$F$149,"Next week",'Session Tracker'!$G$5:$G$149,"Wed"))</f>
        <v>0</v>
      </c>
      <c r="K198" s="52" t="n">
        <f aca="false">IF($E198="Per class",$D198*COUNTIFS('Session Tracker'!$D$5:$D$149,$A198,'Session Tracker'!$F$5:$F$149,"Next week",'Session Tracker'!$G$5:$G$149,"Thu"),$D198*SUMIFS('Session Tracker'!$J$5:$J$149,'Session Tracker'!$D$5:$D$149,$A198,'Session Tracker'!$F$5:$F$149,"Next week",'Session Tracker'!$G$5:$G$149,"Thu"))</f>
        <v>0</v>
      </c>
      <c r="L198" s="52" t="n">
        <f aca="false">IF($E198="Per class",$D198*COUNTIFS('Session Tracker'!$D$5:$D$149,$A198,'Session Tracker'!$F$5:$F$149,"Next week",'Session Tracker'!$G$5:$G$149,"Fri"),$D198*SUMIFS('Session Tracker'!$J$5:$J$149,'Session Tracker'!$D$5:$D$149,$A198,'Session Tracker'!$F$5:$F$149,"Next week",'Session Tracker'!$G$5:$G$149,"Fri"))</f>
        <v>0</v>
      </c>
      <c r="M198" s="52" t="n">
        <f aca="false">IF($E198="Per class",$D198*COUNTIFS('Session Tracker'!$D$5:$D$149,$A198,'Session Tracker'!$F$5:$F$149,"Next week",'Session Tracker'!$G$5:$G$149,""),$D198*SUMIFS('Session Tracker'!$J$5:$J$149,'Session Tracker'!$D$5:$D$149,$A198,'Session Tracker'!$F$5:$F$149,"Next week",'Session Tracker'!$G$5:$G$149,""))</f>
        <v>0</v>
      </c>
    </row>
    <row r="199" customFormat="false" ht="15" hidden="false" customHeight="false" outlineLevel="0" collapsed="false">
      <c r="A199" s="53" t="s">
        <v>106</v>
      </c>
      <c r="B199" s="54"/>
      <c r="C199" s="54"/>
      <c r="D199" s="54"/>
      <c r="E199" s="54"/>
      <c r="F199" s="54"/>
      <c r="G199" s="54"/>
      <c r="H199" s="52" t="n">
        <f aca="false">IF($E199="Per class",$D199*COUNTIFS('Session Tracker'!$D$5:$D$149,$A199,'Session Tracker'!$F$5:$F$149,"Next week",'Session Tracker'!$G$5:$G$149,"Mon"),$D199*SUMIFS('Session Tracker'!$J$5:$J$149,'Session Tracker'!$D$5:$D$149,$A199,'Session Tracker'!$F$5:$F$149,"Next week",'Session Tracker'!$G$5:$G$149,"Mon"))</f>
        <v>0</v>
      </c>
      <c r="I199" s="52" t="n">
        <f aca="false">IF($E199="Per class",$D199*COUNTIFS('Session Tracker'!$D$5:$D$149,$A199,'Session Tracker'!$F$5:$F$149,"Next week",'Session Tracker'!$G$5:$G$149,"Tue"),$D199*SUMIFS('Session Tracker'!$J$5:$J$149,'Session Tracker'!$D$5:$D$149,$A199,'Session Tracker'!$F$5:$F$149,"Next week",'Session Tracker'!$G$5:$G$149,"Tue"))</f>
        <v>0</v>
      </c>
      <c r="J199" s="52" t="n">
        <f aca="false">IF($E199="Per class",$D199*COUNTIFS('Session Tracker'!$D$5:$D$149,$A199,'Session Tracker'!$F$5:$F$149,"Next week",'Session Tracker'!$G$5:$G$149,"Wed"),$D199*SUMIFS('Session Tracker'!$J$5:$J$149,'Session Tracker'!$D$5:$D$149,$A199,'Session Tracker'!$F$5:$F$149,"Next week",'Session Tracker'!$G$5:$G$149,"Wed"))</f>
        <v>0</v>
      </c>
      <c r="K199" s="52" t="n">
        <f aca="false">IF($E199="Per class",$D199*COUNTIFS('Session Tracker'!$D$5:$D$149,$A199,'Session Tracker'!$F$5:$F$149,"Next week",'Session Tracker'!$G$5:$G$149,"Thu"),$D199*SUMIFS('Session Tracker'!$J$5:$J$149,'Session Tracker'!$D$5:$D$149,$A199,'Session Tracker'!$F$5:$F$149,"Next week",'Session Tracker'!$G$5:$G$149,"Thu"))</f>
        <v>0</v>
      </c>
      <c r="L199" s="52" t="n">
        <f aca="false">IF($E199="Per class",$D199*COUNTIFS('Session Tracker'!$D$5:$D$149,$A199,'Session Tracker'!$F$5:$F$149,"Next week",'Session Tracker'!$G$5:$G$149,"Fri"),$D199*SUMIFS('Session Tracker'!$J$5:$J$149,'Session Tracker'!$D$5:$D$149,$A199,'Session Tracker'!$F$5:$F$149,"Next week",'Session Tracker'!$G$5:$G$149,"Fri"))</f>
        <v>0</v>
      </c>
      <c r="M199" s="52" t="n">
        <f aca="false">IF($E199="Per class",$D199*COUNTIFS('Session Tracker'!$D$5:$D$149,$A199,'Session Tracker'!$F$5:$F$149,"Next week",'Session Tracker'!$G$5:$G$149,""),$D199*SUMIFS('Session Tracker'!$J$5:$J$149,'Session Tracker'!$D$5:$D$149,$A199,'Session Tracker'!$F$5:$F$149,"Next week",'Session Tracker'!$G$5:$G$149,""))</f>
        <v>0</v>
      </c>
    </row>
    <row r="200" customFormat="false" ht="15" hidden="false" customHeight="false" outlineLevel="0" collapsed="false">
      <c r="A200" s="53" t="s">
        <v>106</v>
      </c>
      <c r="B200" s="54"/>
      <c r="C200" s="54"/>
      <c r="D200" s="54"/>
      <c r="E200" s="54"/>
      <c r="F200" s="54"/>
      <c r="G200" s="54"/>
      <c r="H200" s="52" t="n">
        <f aca="false">IF($E200="Per class",$D200*COUNTIFS('Session Tracker'!$D$5:$D$149,$A200,'Session Tracker'!$F$5:$F$149,"Next week",'Session Tracker'!$G$5:$G$149,"Mon"),$D200*SUMIFS('Session Tracker'!$J$5:$J$149,'Session Tracker'!$D$5:$D$149,$A200,'Session Tracker'!$F$5:$F$149,"Next week",'Session Tracker'!$G$5:$G$149,"Mon"))</f>
        <v>0</v>
      </c>
      <c r="I200" s="52" t="n">
        <f aca="false">IF($E200="Per class",$D200*COUNTIFS('Session Tracker'!$D$5:$D$149,$A200,'Session Tracker'!$F$5:$F$149,"Next week",'Session Tracker'!$G$5:$G$149,"Tue"),$D200*SUMIFS('Session Tracker'!$J$5:$J$149,'Session Tracker'!$D$5:$D$149,$A200,'Session Tracker'!$F$5:$F$149,"Next week",'Session Tracker'!$G$5:$G$149,"Tue"))</f>
        <v>0</v>
      </c>
      <c r="J200" s="52" t="n">
        <f aca="false">IF($E200="Per class",$D200*COUNTIFS('Session Tracker'!$D$5:$D$149,$A200,'Session Tracker'!$F$5:$F$149,"Next week",'Session Tracker'!$G$5:$G$149,"Wed"),$D200*SUMIFS('Session Tracker'!$J$5:$J$149,'Session Tracker'!$D$5:$D$149,$A200,'Session Tracker'!$F$5:$F$149,"Next week",'Session Tracker'!$G$5:$G$149,"Wed"))</f>
        <v>0</v>
      </c>
      <c r="K200" s="52" t="n">
        <f aca="false">IF($E200="Per class",$D200*COUNTIFS('Session Tracker'!$D$5:$D$149,$A200,'Session Tracker'!$F$5:$F$149,"Next week",'Session Tracker'!$G$5:$G$149,"Thu"),$D200*SUMIFS('Session Tracker'!$J$5:$J$149,'Session Tracker'!$D$5:$D$149,$A200,'Session Tracker'!$F$5:$F$149,"Next week",'Session Tracker'!$G$5:$G$149,"Thu"))</f>
        <v>0</v>
      </c>
      <c r="L200" s="52" t="n">
        <f aca="false">IF($E200="Per class",$D200*COUNTIFS('Session Tracker'!$D$5:$D$149,$A200,'Session Tracker'!$F$5:$F$149,"Next week",'Session Tracker'!$G$5:$G$149,"Fri"),$D200*SUMIFS('Session Tracker'!$J$5:$J$149,'Session Tracker'!$D$5:$D$149,$A200,'Session Tracker'!$F$5:$F$149,"Next week",'Session Tracker'!$G$5:$G$149,"Fri"))</f>
        <v>0</v>
      </c>
      <c r="M200" s="52" t="n">
        <f aca="false">IF($E200="Per class",$D200*COUNTIFS('Session Tracker'!$D$5:$D$149,$A200,'Session Tracker'!$F$5:$F$149,"Next week",'Session Tracker'!$G$5:$G$149,""),$D200*SUMIFS('Session Tracker'!$J$5:$J$149,'Session Tracker'!$D$5:$D$149,$A200,'Session Tracker'!$F$5:$F$149,"Next week",'Session Tracker'!$G$5:$G$149,""))</f>
        <v>0</v>
      </c>
    </row>
    <row r="202" customFormat="false" ht="19.5" hidden="false" customHeight="true" outlineLevel="0" collapsed="false">
      <c r="A202" s="47" t="s">
        <v>108</v>
      </c>
      <c r="B202" s="48" t="s">
        <v>452</v>
      </c>
      <c r="C202" s="48"/>
      <c r="D202" s="48"/>
      <c r="E202" s="48"/>
      <c r="F202" s="49" t="str">
        <f aca="false">"Status: "&amp;'Session Tracker'!F21&amp;IF('Session Tracker'!G21&lt;&gt;""," ("&amp;'Session Tracker'!G21&amp;")","")</f>
        <v>Status: Not started</v>
      </c>
      <c r="G202" s="49"/>
      <c r="H202" s="50"/>
      <c r="I202" s="50"/>
      <c r="J202" s="50"/>
      <c r="K202" s="50"/>
      <c r="L202" s="50"/>
      <c r="M202" s="50"/>
    </row>
    <row r="203" customFormat="false" ht="23.85" hidden="false" customHeight="false" outlineLevel="0" collapsed="false">
      <c r="A203" s="51" t="s">
        <v>108</v>
      </c>
      <c r="B203" s="34" t="s">
        <v>366</v>
      </c>
      <c r="C203" s="34" t="s">
        <v>453</v>
      </c>
      <c r="D203" s="32" t="n">
        <v>1</v>
      </c>
      <c r="E203" s="32" t="s">
        <v>14</v>
      </c>
      <c r="F203" s="32" t="s">
        <v>368</v>
      </c>
      <c r="G203" s="34"/>
      <c r="H203" s="52" t="n">
        <f aca="false">IF($E203="Per class",$D203*COUNTIFS('Session Tracker'!$D$5:$D$149,$A203,'Session Tracker'!$F$5:$F$149,"Next week",'Session Tracker'!$G$5:$G$149,"Mon"),$D203*SUMIFS('Session Tracker'!$J$5:$J$149,'Session Tracker'!$D$5:$D$149,$A203,'Session Tracker'!$F$5:$F$149,"Next week",'Session Tracker'!$G$5:$G$149,"Mon"))</f>
        <v>0</v>
      </c>
      <c r="I203" s="52" t="n">
        <f aca="false">IF($E203="Per class",$D203*COUNTIFS('Session Tracker'!$D$5:$D$149,$A203,'Session Tracker'!$F$5:$F$149,"Next week",'Session Tracker'!$G$5:$G$149,"Tue"),$D203*SUMIFS('Session Tracker'!$J$5:$J$149,'Session Tracker'!$D$5:$D$149,$A203,'Session Tracker'!$F$5:$F$149,"Next week",'Session Tracker'!$G$5:$G$149,"Tue"))</f>
        <v>0</v>
      </c>
      <c r="J203" s="52" t="n">
        <f aca="false">IF($E203="Per class",$D203*COUNTIFS('Session Tracker'!$D$5:$D$149,$A203,'Session Tracker'!$F$5:$F$149,"Next week",'Session Tracker'!$G$5:$G$149,"Wed"),$D203*SUMIFS('Session Tracker'!$J$5:$J$149,'Session Tracker'!$D$5:$D$149,$A203,'Session Tracker'!$F$5:$F$149,"Next week",'Session Tracker'!$G$5:$G$149,"Wed"))</f>
        <v>0</v>
      </c>
      <c r="K203" s="52" t="n">
        <f aca="false">IF($E203="Per class",$D203*COUNTIFS('Session Tracker'!$D$5:$D$149,$A203,'Session Tracker'!$F$5:$F$149,"Next week",'Session Tracker'!$G$5:$G$149,"Thu"),$D203*SUMIFS('Session Tracker'!$J$5:$J$149,'Session Tracker'!$D$5:$D$149,$A203,'Session Tracker'!$F$5:$F$149,"Next week",'Session Tracker'!$G$5:$G$149,"Thu"))</f>
        <v>0</v>
      </c>
      <c r="L203" s="52" t="n">
        <f aca="false">IF($E203="Per class",$D203*COUNTIFS('Session Tracker'!$D$5:$D$149,$A203,'Session Tracker'!$F$5:$F$149,"Next week",'Session Tracker'!$G$5:$G$149,"Fri"),$D203*SUMIFS('Session Tracker'!$J$5:$J$149,'Session Tracker'!$D$5:$D$149,$A203,'Session Tracker'!$F$5:$F$149,"Next week",'Session Tracker'!$G$5:$G$149,"Fri"))</f>
        <v>0</v>
      </c>
      <c r="M203" s="52" t="n">
        <f aca="false">IF($E203="Per class",$D203*COUNTIFS('Session Tracker'!$D$5:$D$149,$A203,'Session Tracker'!$F$5:$F$149,"Next week",'Session Tracker'!$G$5:$G$149,""),$D203*SUMIFS('Session Tracker'!$J$5:$J$149,'Session Tracker'!$D$5:$D$149,$A203,'Session Tracker'!$F$5:$F$149,"Next week",'Session Tracker'!$G$5:$G$149,""))</f>
        <v>0</v>
      </c>
    </row>
    <row r="204" customFormat="false" ht="15" hidden="false" customHeight="false" outlineLevel="0" collapsed="false">
      <c r="A204" s="51" t="s">
        <v>108</v>
      </c>
      <c r="B204" s="34" t="s">
        <v>419</v>
      </c>
      <c r="C204" s="34" t="s">
        <v>454</v>
      </c>
      <c r="D204" s="32" t="n">
        <v>4</v>
      </c>
      <c r="E204" s="32" t="s">
        <v>14</v>
      </c>
      <c r="F204" s="32" t="s">
        <v>373</v>
      </c>
      <c r="G204" s="34"/>
      <c r="H204" s="52" t="n">
        <f aca="false">IF($E204="Per class",$D204*COUNTIFS('Session Tracker'!$D$5:$D$149,$A204,'Session Tracker'!$F$5:$F$149,"Next week",'Session Tracker'!$G$5:$G$149,"Mon"),$D204*SUMIFS('Session Tracker'!$J$5:$J$149,'Session Tracker'!$D$5:$D$149,$A204,'Session Tracker'!$F$5:$F$149,"Next week",'Session Tracker'!$G$5:$G$149,"Mon"))</f>
        <v>0</v>
      </c>
      <c r="I204" s="52" t="n">
        <f aca="false">IF($E204="Per class",$D204*COUNTIFS('Session Tracker'!$D$5:$D$149,$A204,'Session Tracker'!$F$5:$F$149,"Next week",'Session Tracker'!$G$5:$G$149,"Tue"),$D204*SUMIFS('Session Tracker'!$J$5:$J$149,'Session Tracker'!$D$5:$D$149,$A204,'Session Tracker'!$F$5:$F$149,"Next week",'Session Tracker'!$G$5:$G$149,"Tue"))</f>
        <v>0</v>
      </c>
      <c r="J204" s="52" t="n">
        <f aca="false">IF($E204="Per class",$D204*COUNTIFS('Session Tracker'!$D$5:$D$149,$A204,'Session Tracker'!$F$5:$F$149,"Next week",'Session Tracker'!$G$5:$G$149,"Wed"),$D204*SUMIFS('Session Tracker'!$J$5:$J$149,'Session Tracker'!$D$5:$D$149,$A204,'Session Tracker'!$F$5:$F$149,"Next week",'Session Tracker'!$G$5:$G$149,"Wed"))</f>
        <v>0</v>
      </c>
      <c r="K204" s="52" t="n">
        <f aca="false">IF($E204="Per class",$D204*COUNTIFS('Session Tracker'!$D$5:$D$149,$A204,'Session Tracker'!$F$5:$F$149,"Next week",'Session Tracker'!$G$5:$G$149,"Thu"),$D204*SUMIFS('Session Tracker'!$J$5:$J$149,'Session Tracker'!$D$5:$D$149,$A204,'Session Tracker'!$F$5:$F$149,"Next week",'Session Tracker'!$G$5:$G$149,"Thu"))</f>
        <v>0</v>
      </c>
      <c r="L204" s="52" t="n">
        <f aca="false">IF($E204="Per class",$D204*COUNTIFS('Session Tracker'!$D$5:$D$149,$A204,'Session Tracker'!$F$5:$F$149,"Next week",'Session Tracker'!$G$5:$G$149,"Fri"),$D204*SUMIFS('Session Tracker'!$J$5:$J$149,'Session Tracker'!$D$5:$D$149,$A204,'Session Tracker'!$F$5:$F$149,"Next week",'Session Tracker'!$G$5:$G$149,"Fri"))</f>
        <v>0</v>
      </c>
      <c r="M204" s="52" t="n">
        <f aca="false">IF($E204="Per class",$D204*COUNTIFS('Session Tracker'!$D$5:$D$149,$A204,'Session Tracker'!$F$5:$F$149,"Next week",'Session Tracker'!$G$5:$G$149,""),$D204*SUMIFS('Session Tracker'!$J$5:$J$149,'Session Tracker'!$D$5:$D$149,$A204,'Session Tracker'!$F$5:$F$149,"Next week",'Session Tracker'!$G$5:$G$149,""))</f>
        <v>0</v>
      </c>
    </row>
    <row r="205" customFormat="false" ht="15" hidden="false" customHeight="false" outlineLevel="0" collapsed="false">
      <c r="A205" s="51" t="s">
        <v>108</v>
      </c>
      <c r="B205" s="34" t="s">
        <v>379</v>
      </c>
      <c r="C205" s="34" t="s">
        <v>455</v>
      </c>
      <c r="D205" s="32" t="n">
        <v>1</v>
      </c>
      <c r="E205" s="32" t="s">
        <v>16</v>
      </c>
      <c r="F205" s="32" t="s">
        <v>373</v>
      </c>
      <c r="G205" s="34"/>
      <c r="H205" s="52" t="n">
        <f aca="false">IF($E205="Per class",$D205*COUNTIFS('Session Tracker'!$D$5:$D$149,$A205,'Session Tracker'!$F$5:$F$149,"Next week",'Session Tracker'!$G$5:$G$149,"Mon"),$D205*SUMIFS('Session Tracker'!$J$5:$J$149,'Session Tracker'!$D$5:$D$149,$A205,'Session Tracker'!$F$5:$F$149,"Next week",'Session Tracker'!$G$5:$G$149,"Mon"))</f>
        <v>0</v>
      </c>
      <c r="I205" s="52" t="n">
        <f aca="false">IF($E205="Per class",$D205*COUNTIFS('Session Tracker'!$D$5:$D$149,$A205,'Session Tracker'!$F$5:$F$149,"Next week",'Session Tracker'!$G$5:$G$149,"Tue"),$D205*SUMIFS('Session Tracker'!$J$5:$J$149,'Session Tracker'!$D$5:$D$149,$A205,'Session Tracker'!$F$5:$F$149,"Next week",'Session Tracker'!$G$5:$G$149,"Tue"))</f>
        <v>0</v>
      </c>
      <c r="J205" s="52" t="n">
        <f aca="false">IF($E205="Per class",$D205*COUNTIFS('Session Tracker'!$D$5:$D$149,$A205,'Session Tracker'!$F$5:$F$149,"Next week",'Session Tracker'!$G$5:$G$149,"Wed"),$D205*SUMIFS('Session Tracker'!$J$5:$J$149,'Session Tracker'!$D$5:$D$149,$A205,'Session Tracker'!$F$5:$F$149,"Next week",'Session Tracker'!$G$5:$G$149,"Wed"))</f>
        <v>0</v>
      </c>
      <c r="K205" s="52" t="n">
        <f aca="false">IF($E205="Per class",$D205*COUNTIFS('Session Tracker'!$D$5:$D$149,$A205,'Session Tracker'!$F$5:$F$149,"Next week",'Session Tracker'!$G$5:$G$149,"Thu"),$D205*SUMIFS('Session Tracker'!$J$5:$J$149,'Session Tracker'!$D$5:$D$149,$A205,'Session Tracker'!$F$5:$F$149,"Next week",'Session Tracker'!$G$5:$G$149,"Thu"))</f>
        <v>0</v>
      </c>
      <c r="L205" s="52" t="n">
        <f aca="false">IF($E205="Per class",$D205*COUNTIFS('Session Tracker'!$D$5:$D$149,$A205,'Session Tracker'!$F$5:$F$149,"Next week",'Session Tracker'!$G$5:$G$149,"Fri"),$D205*SUMIFS('Session Tracker'!$J$5:$J$149,'Session Tracker'!$D$5:$D$149,$A205,'Session Tracker'!$F$5:$F$149,"Next week",'Session Tracker'!$G$5:$G$149,"Fri"))</f>
        <v>0</v>
      </c>
      <c r="M205" s="52" t="n">
        <f aca="false">IF($E205="Per class",$D205*COUNTIFS('Session Tracker'!$D$5:$D$149,$A205,'Session Tracker'!$F$5:$F$149,"Next week",'Session Tracker'!$G$5:$G$149,""),$D205*SUMIFS('Session Tracker'!$J$5:$J$149,'Session Tracker'!$D$5:$D$149,$A205,'Session Tracker'!$F$5:$F$149,"Next week",'Session Tracker'!$G$5:$G$149,""))</f>
        <v>0</v>
      </c>
    </row>
    <row r="206" customFormat="false" ht="15" hidden="false" customHeight="false" outlineLevel="0" collapsed="false">
      <c r="A206" s="51" t="s">
        <v>108</v>
      </c>
      <c r="B206" s="34" t="s">
        <v>382</v>
      </c>
      <c r="C206" s="34" t="s">
        <v>383</v>
      </c>
      <c r="D206" s="32" t="n">
        <v>1</v>
      </c>
      <c r="E206" s="32" t="s">
        <v>14</v>
      </c>
      <c r="F206" s="32" t="s">
        <v>368</v>
      </c>
      <c r="G206" s="34"/>
      <c r="H206" s="52" t="n">
        <f aca="false">IF($E206="Per class",$D206*COUNTIFS('Session Tracker'!$D$5:$D$149,$A206,'Session Tracker'!$F$5:$F$149,"Next week",'Session Tracker'!$G$5:$G$149,"Mon"),$D206*SUMIFS('Session Tracker'!$J$5:$J$149,'Session Tracker'!$D$5:$D$149,$A206,'Session Tracker'!$F$5:$F$149,"Next week",'Session Tracker'!$G$5:$G$149,"Mon"))</f>
        <v>0</v>
      </c>
      <c r="I206" s="52" t="n">
        <f aca="false">IF($E206="Per class",$D206*COUNTIFS('Session Tracker'!$D$5:$D$149,$A206,'Session Tracker'!$F$5:$F$149,"Next week",'Session Tracker'!$G$5:$G$149,"Tue"),$D206*SUMIFS('Session Tracker'!$J$5:$J$149,'Session Tracker'!$D$5:$D$149,$A206,'Session Tracker'!$F$5:$F$149,"Next week",'Session Tracker'!$G$5:$G$149,"Tue"))</f>
        <v>0</v>
      </c>
      <c r="J206" s="52" t="n">
        <f aca="false">IF($E206="Per class",$D206*COUNTIFS('Session Tracker'!$D$5:$D$149,$A206,'Session Tracker'!$F$5:$F$149,"Next week",'Session Tracker'!$G$5:$G$149,"Wed"),$D206*SUMIFS('Session Tracker'!$J$5:$J$149,'Session Tracker'!$D$5:$D$149,$A206,'Session Tracker'!$F$5:$F$149,"Next week",'Session Tracker'!$G$5:$G$149,"Wed"))</f>
        <v>0</v>
      </c>
      <c r="K206" s="52" t="n">
        <f aca="false">IF($E206="Per class",$D206*COUNTIFS('Session Tracker'!$D$5:$D$149,$A206,'Session Tracker'!$F$5:$F$149,"Next week",'Session Tracker'!$G$5:$G$149,"Thu"),$D206*SUMIFS('Session Tracker'!$J$5:$J$149,'Session Tracker'!$D$5:$D$149,$A206,'Session Tracker'!$F$5:$F$149,"Next week",'Session Tracker'!$G$5:$G$149,"Thu"))</f>
        <v>0</v>
      </c>
      <c r="L206" s="52" t="n">
        <f aca="false">IF($E206="Per class",$D206*COUNTIFS('Session Tracker'!$D$5:$D$149,$A206,'Session Tracker'!$F$5:$F$149,"Next week",'Session Tracker'!$G$5:$G$149,"Fri"),$D206*SUMIFS('Session Tracker'!$J$5:$J$149,'Session Tracker'!$D$5:$D$149,$A206,'Session Tracker'!$F$5:$F$149,"Next week",'Session Tracker'!$G$5:$G$149,"Fri"))</f>
        <v>0</v>
      </c>
      <c r="M206" s="52" t="n">
        <f aca="false">IF($E206="Per class",$D206*COUNTIFS('Session Tracker'!$D$5:$D$149,$A206,'Session Tracker'!$F$5:$F$149,"Next week",'Session Tracker'!$G$5:$G$149,""),$D206*SUMIFS('Session Tracker'!$J$5:$J$149,'Session Tracker'!$D$5:$D$149,$A206,'Session Tracker'!$F$5:$F$149,"Next week",'Session Tracker'!$G$5:$G$149,""))</f>
        <v>0</v>
      </c>
    </row>
    <row r="207" customFormat="false" ht="15" hidden="false" customHeight="false" outlineLevel="0" collapsed="false">
      <c r="A207" s="53" t="s">
        <v>108</v>
      </c>
      <c r="B207" s="54"/>
      <c r="C207" s="54"/>
      <c r="D207" s="54"/>
      <c r="E207" s="54"/>
      <c r="F207" s="54"/>
      <c r="G207" s="54"/>
      <c r="H207" s="52" t="n">
        <f aca="false">IF($E207="Per class",$D207*COUNTIFS('Session Tracker'!$D$5:$D$149,$A207,'Session Tracker'!$F$5:$F$149,"Next week",'Session Tracker'!$G$5:$G$149,"Mon"),$D207*SUMIFS('Session Tracker'!$J$5:$J$149,'Session Tracker'!$D$5:$D$149,$A207,'Session Tracker'!$F$5:$F$149,"Next week",'Session Tracker'!$G$5:$G$149,"Mon"))</f>
        <v>0</v>
      </c>
      <c r="I207" s="52" t="n">
        <f aca="false">IF($E207="Per class",$D207*COUNTIFS('Session Tracker'!$D$5:$D$149,$A207,'Session Tracker'!$F$5:$F$149,"Next week",'Session Tracker'!$G$5:$G$149,"Tue"),$D207*SUMIFS('Session Tracker'!$J$5:$J$149,'Session Tracker'!$D$5:$D$149,$A207,'Session Tracker'!$F$5:$F$149,"Next week",'Session Tracker'!$G$5:$G$149,"Tue"))</f>
        <v>0</v>
      </c>
      <c r="J207" s="52" t="n">
        <f aca="false">IF($E207="Per class",$D207*COUNTIFS('Session Tracker'!$D$5:$D$149,$A207,'Session Tracker'!$F$5:$F$149,"Next week",'Session Tracker'!$G$5:$G$149,"Wed"),$D207*SUMIFS('Session Tracker'!$J$5:$J$149,'Session Tracker'!$D$5:$D$149,$A207,'Session Tracker'!$F$5:$F$149,"Next week",'Session Tracker'!$G$5:$G$149,"Wed"))</f>
        <v>0</v>
      </c>
      <c r="K207" s="52" t="n">
        <f aca="false">IF($E207="Per class",$D207*COUNTIFS('Session Tracker'!$D$5:$D$149,$A207,'Session Tracker'!$F$5:$F$149,"Next week",'Session Tracker'!$G$5:$G$149,"Thu"),$D207*SUMIFS('Session Tracker'!$J$5:$J$149,'Session Tracker'!$D$5:$D$149,$A207,'Session Tracker'!$F$5:$F$149,"Next week",'Session Tracker'!$G$5:$G$149,"Thu"))</f>
        <v>0</v>
      </c>
      <c r="L207" s="52" t="n">
        <f aca="false">IF($E207="Per class",$D207*COUNTIFS('Session Tracker'!$D$5:$D$149,$A207,'Session Tracker'!$F$5:$F$149,"Next week",'Session Tracker'!$G$5:$G$149,"Fri"),$D207*SUMIFS('Session Tracker'!$J$5:$J$149,'Session Tracker'!$D$5:$D$149,$A207,'Session Tracker'!$F$5:$F$149,"Next week",'Session Tracker'!$G$5:$G$149,"Fri"))</f>
        <v>0</v>
      </c>
      <c r="M207" s="52" t="n">
        <f aca="false">IF($E207="Per class",$D207*COUNTIFS('Session Tracker'!$D$5:$D$149,$A207,'Session Tracker'!$F$5:$F$149,"Next week",'Session Tracker'!$G$5:$G$149,""),$D207*SUMIFS('Session Tracker'!$J$5:$J$149,'Session Tracker'!$D$5:$D$149,$A207,'Session Tracker'!$F$5:$F$149,"Next week",'Session Tracker'!$G$5:$G$149,""))</f>
        <v>0</v>
      </c>
    </row>
    <row r="208" customFormat="false" ht="15" hidden="false" customHeight="false" outlineLevel="0" collapsed="false">
      <c r="A208" s="53" t="s">
        <v>108</v>
      </c>
      <c r="B208" s="54"/>
      <c r="C208" s="54"/>
      <c r="D208" s="54"/>
      <c r="E208" s="54"/>
      <c r="F208" s="54"/>
      <c r="G208" s="54"/>
      <c r="H208" s="52" t="n">
        <f aca="false">IF($E208="Per class",$D208*COUNTIFS('Session Tracker'!$D$5:$D$149,$A208,'Session Tracker'!$F$5:$F$149,"Next week",'Session Tracker'!$G$5:$G$149,"Mon"),$D208*SUMIFS('Session Tracker'!$J$5:$J$149,'Session Tracker'!$D$5:$D$149,$A208,'Session Tracker'!$F$5:$F$149,"Next week",'Session Tracker'!$G$5:$G$149,"Mon"))</f>
        <v>0</v>
      </c>
      <c r="I208" s="52" t="n">
        <f aca="false">IF($E208="Per class",$D208*COUNTIFS('Session Tracker'!$D$5:$D$149,$A208,'Session Tracker'!$F$5:$F$149,"Next week",'Session Tracker'!$G$5:$G$149,"Tue"),$D208*SUMIFS('Session Tracker'!$J$5:$J$149,'Session Tracker'!$D$5:$D$149,$A208,'Session Tracker'!$F$5:$F$149,"Next week",'Session Tracker'!$G$5:$G$149,"Tue"))</f>
        <v>0</v>
      </c>
      <c r="J208" s="52" t="n">
        <f aca="false">IF($E208="Per class",$D208*COUNTIFS('Session Tracker'!$D$5:$D$149,$A208,'Session Tracker'!$F$5:$F$149,"Next week",'Session Tracker'!$G$5:$G$149,"Wed"),$D208*SUMIFS('Session Tracker'!$J$5:$J$149,'Session Tracker'!$D$5:$D$149,$A208,'Session Tracker'!$F$5:$F$149,"Next week",'Session Tracker'!$G$5:$G$149,"Wed"))</f>
        <v>0</v>
      </c>
      <c r="K208" s="52" t="n">
        <f aca="false">IF($E208="Per class",$D208*COUNTIFS('Session Tracker'!$D$5:$D$149,$A208,'Session Tracker'!$F$5:$F$149,"Next week",'Session Tracker'!$G$5:$G$149,"Thu"),$D208*SUMIFS('Session Tracker'!$J$5:$J$149,'Session Tracker'!$D$5:$D$149,$A208,'Session Tracker'!$F$5:$F$149,"Next week",'Session Tracker'!$G$5:$G$149,"Thu"))</f>
        <v>0</v>
      </c>
      <c r="L208" s="52" t="n">
        <f aca="false">IF($E208="Per class",$D208*COUNTIFS('Session Tracker'!$D$5:$D$149,$A208,'Session Tracker'!$F$5:$F$149,"Next week",'Session Tracker'!$G$5:$G$149,"Fri"),$D208*SUMIFS('Session Tracker'!$J$5:$J$149,'Session Tracker'!$D$5:$D$149,$A208,'Session Tracker'!$F$5:$F$149,"Next week",'Session Tracker'!$G$5:$G$149,"Fri"))</f>
        <v>0</v>
      </c>
      <c r="M208" s="52" t="n">
        <f aca="false">IF($E208="Per class",$D208*COUNTIFS('Session Tracker'!$D$5:$D$149,$A208,'Session Tracker'!$F$5:$F$149,"Next week",'Session Tracker'!$G$5:$G$149,""),$D208*SUMIFS('Session Tracker'!$J$5:$J$149,'Session Tracker'!$D$5:$D$149,$A208,'Session Tracker'!$F$5:$F$149,"Next week",'Session Tracker'!$G$5:$G$149,""))</f>
        <v>0</v>
      </c>
    </row>
    <row r="210" customFormat="false" ht="19.5" hidden="false" customHeight="true" outlineLevel="0" collapsed="false">
      <c r="A210" s="47" t="s">
        <v>110</v>
      </c>
      <c r="B210" s="48" t="s">
        <v>456</v>
      </c>
      <c r="C210" s="48"/>
      <c r="D210" s="48"/>
      <c r="E210" s="48"/>
      <c r="F210" s="49" t="str">
        <f aca="false">"Status: "&amp;'Session Tracker'!F22&amp;IF('Session Tracker'!G22&lt;&gt;""," ("&amp;'Session Tracker'!G22&amp;")","")</f>
        <v>Status: Not started</v>
      </c>
      <c r="G210" s="49"/>
      <c r="H210" s="50"/>
      <c r="I210" s="50"/>
      <c r="J210" s="50"/>
      <c r="K210" s="50"/>
      <c r="L210" s="50"/>
      <c r="M210" s="50"/>
    </row>
    <row r="211" customFormat="false" ht="15" hidden="false" customHeight="false" outlineLevel="0" collapsed="false">
      <c r="A211" s="51" t="s">
        <v>110</v>
      </c>
      <c r="B211" s="34" t="s">
        <v>382</v>
      </c>
      <c r="C211" s="34" t="s">
        <v>457</v>
      </c>
      <c r="D211" s="32" t="n">
        <v>1</v>
      </c>
      <c r="E211" s="32" t="s">
        <v>14</v>
      </c>
      <c r="F211" s="32" t="s">
        <v>368</v>
      </c>
      <c r="G211" s="34" t="s">
        <v>458</v>
      </c>
      <c r="H211" s="52" t="n">
        <f aca="false">IF($E211="Per class",$D211*COUNTIFS('Session Tracker'!$D$5:$D$149,$A211,'Session Tracker'!$F$5:$F$149,"Next week",'Session Tracker'!$G$5:$G$149,"Mon"),$D211*SUMIFS('Session Tracker'!$J$5:$J$149,'Session Tracker'!$D$5:$D$149,$A211,'Session Tracker'!$F$5:$F$149,"Next week",'Session Tracker'!$G$5:$G$149,"Mon"))</f>
        <v>0</v>
      </c>
      <c r="I211" s="52" t="n">
        <f aca="false">IF($E211="Per class",$D211*COUNTIFS('Session Tracker'!$D$5:$D$149,$A211,'Session Tracker'!$F$5:$F$149,"Next week",'Session Tracker'!$G$5:$G$149,"Tue"),$D211*SUMIFS('Session Tracker'!$J$5:$J$149,'Session Tracker'!$D$5:$D$149,$A211,'Session Tracker'!$F$5:$F$149,"Next week",'Session Tracker'!$G$5:$G$149,"Tue"))</f>
        <v>0</v>
      </c>
      <c r="J211" s="52" t="n">
        <f aca="false">IF($E211="Per class",$D211*COUNTIFS('Session Tracker'!$D$5:$D$149,$A211,'Session Tracker'!$F$5:$F$149,"Next week",'Session Tracker'!$G$5:$G$149,"Wed"),$D211*SUMIFS('Session Tracker'!$J$5:$J$149,'Session Tracker'!$D$5:$D$149,$A211,'Session Tracker'!$F$5:$F$149,"Next week",'Session Tracker'!$G$5:$G$149,"Wed"))</f>
        <v>0</v>
      </c>
      <c r="K211" s="52" t="n">
        <f aca="false">IF($E211="Per class",$D211*COUNTIFS('Session Tracker'!$D$5:$D$149,$A211,'Session Tracker'!$F$5:$F$149,"Next week",'Session Tracker'!$G$5:$G$149,"Thu"),$D211*SUMIFS('Session Tracker'!$J$5:$J$149,'Session Tracker'!$D$5:$D$149,$A211,'Session Tracker'!$F$5:$F$149,"Next week",'Session Tracker'!$G$5:$G$149,"Thu"))</f>
        <v>0</v>
      </c>
      <c r="L211" s="52" t="n">
        <f aca="false">IF($E211="Per class",$D211*COUNTIFS('Session Tracker'!$D$5:$D$149,$A211,'Session Tracker'!$F$5:$F$149,"Next week",'Session Tracker'!$G$5:$G$149,"Fri"),$D211*SUMIFS('Session Tracker'!$J$5:$J$149,'Session Tracker'!$D$5:$D$149,$A211,'Session Tracker'!$F$5:$F$149,"Next week",'Session Tracker'!$G$5:$G$149,"Fri"))</f>
        <v>0</v>
      </c>
      <c r="M211" s="52" t="n">
        <f aca="false">IF($E211="Per class",$D211*COUNTIFS('Session Tracker'!$D$5:$D$149,$A211,'Session Tracker'!$F$5:$F$149,"Next week",'Session Tracker'!$G$5:$G$149,""),$D211*SUMIFS('Session Tracker'!$J$5:$J$149,'Session Tracker'!$D$5:$D$149,$A211,'Session Tracker'!$F$5:$F$149,"Next week",'Session Tracker'!$G$5:$G$149,""))</f>
        <v>0</v>
      </c>
    </row>
    <row r="212" customFormat="false" ht="15" hidden="false" customHeight="false" outlineLevel="0" collapsed="false">
      <c r="A212" s="51" t="s">
        <v>110</v>
      </c>
      <c r="B212" s="34" t="s">
        <v>411</v>
      </c>
      <c r="C212" s="34" t="s">
        <v>450</v>
      </c>
      <c r="D212" s="32" t="n">
        <v>2</v>
      </c>
      <c r="E212" s="32" t="s">
        <v>14</v>
      </c>
      <c r="F212" s="32" t="s">
        <v>373</v>
      </c>
      <c r="G212" s="34" t="s">
        <v>459</v>
      </c>
      <c r="H212" s="52" t="n">
        <f aca="false">IF($E212="Per class",$D212*COUNTIFS('Session Tracker'!$D$5:$D$149,$A212,'Session Tracker'!$F$5:$F$149,"Next week",'Session Tracker'!$G$5:$G$149,"Mon"),$D212*SUMIFS('Session Tracker'!$J$5:$J$149,'Session Tracker'!$D$5:$D$149,$A212,'Session Tracker'!$F$5:$F$149,"Next week",'Session Tracker'!$G$5:$G$149,"Mon"))</f>
        <v>0</v>
      </c>
      <c r="I212" s="52" t="n">
        <f aca="false">IF($E212="Per class",$D212*COUNTIFS('Session Tracker'!$D$5:$D$149,$A212,'Session Tracker'!$F$5:$F$149,"Next week",'Session Tracker'!$G$5:$G$149,"Tue"),$D212*SUMIFS('Session Tracker'!$J$5:$J$149,'Session Tracker'!$D$5:$D$149,$A212,'Session Tracker'!$F$5:$F$149,"Next week",'Session Tracker'!$G$5:$G$149,"Tue"))</f>
        <v>0</v>
      </c>
      <c r="J212" s="52" t="n">
        <f aca="false">IF($E212="Per class",$D212*COUNTIFS('Session Tracker'!$D$5:$D$149,$A212,'Session Tracker'!$F$5:$F$149,"Next week",'Session Tracker'!$G$5:$G$149,"Wed"),$D212*SUMIFS('Session Tracker'!$J$5:$J$149,'Session Tracker'!$D$5:$D$149,$A212,'Session Tracker'!$F$5:$F$149,"Next week",'Session Tracker'!$G$5:$G$149,"Wed"))</f>
        <v>0</v>
      </c>
      <c r="K212" s="52" t="n">
        <f aca="false">IF($E212="Per class",$D212*COUNTIFS('Session Tracker'!$D$5:$D$149,$A212,'Session Tracker'!$F$5:$F$149,"Next week",'Session Tracker'!$G$5:$G$149,"Thu"),$D212*SUMIFS('Session Tracker'!$J$5:$J$149,'Session Tracker'!$D$5:$D$149,$A212,'Session Tracker'!$F$5:$F$149,"Next week",'Session Tracker'!$G$5:$G$149,"Thu"))</f>
        <v>0</v>
      </c>
      <c r="L212" s="52" t="n">
        <f aca="false">IF($E212="Per class",$D212*COUNTIFS('Session Tracker'!$D$5:$D$149,$A212,'Session Tracker'!$F$5:$F$149,"Next week",'Session Tracker'!$G$5:$G$149,"Fri"),$D212*SUMIFS('Session Tracker'!$J$5:$J$149,'Session Tracker'!$D$5:$D$149,$A212,'Session Tracker'!$F$5:$F$149,"Next week",'Session Tracker'!$G$5:$G$149,"Fri"))</f>
        <v>0</v>
      </c>
      <c r="M212" s="52" t="n">
        <f aca="false">IF($E212="Per class",$D212*COUNTIFS('Session Tracker'!$D$5:$D$149,$A212,'Session Tracker'!$F$5:$F$149,"Next week",'Session Tracker'!$G$5:$G$149,""),$D212*SUMIFS('Session Tracker'!$J$5:$J$149,'Session Tracker'!$D$5:$D$149,$A212,'Session Tracker'!$F$5:$F$149,"Next week",'Session Tracker'!$G$5:$G$149,""))</f>
        <v>0</v>
      </c>
    </row>
    <row r="213" customFormat="false" ht="15" hidden="false" customHeight="false" outlineLevel="0" collapsed="false">
      <c r="A213" s="53" t="s">
        <v>110</v>
      </c>
      <c r="B213" s="54"/>
      <c r="C213" s="54"/>
      <c r="D213" s="54"/>
      <c r="E213" s="54"/>
      <c r="F213" s="54"/>
      <c r="G213" s="54"/>
      <c r="H213" s="52" t="n">
        <f aca="false">IF($E213="Per class",$D213*COUNTIFS('Session Tracker'!$D$5:$D$149,$A213,'Session Tracker'!$F$5:$F$149,"Next week",'Session Tracker'!$G$5:$G$149,"Mon"),$D213*SUMIFS('Session Tracker'!$J$5:$J$149,'Session Tracker'!$D$5:$D$149,$A213,'Session Tracker'!$F$5:$F$149,"Next week",'Session Tracker'!$G$5:$G$149,"Mon"))</f>
        <v>0</v>
      </c>
      <c r="I213" s="52" t="n">
        <f aca="false">IF($E213="Per class",$D213*COUNTIFS('Session Tracker'!$D$5:$D$149,$A213,'Session Tracker'!$F$5:$F$149,"Next week",'Session Tracker'!$G$5:$G$149,"Tue"),$D213*SUMIFS('Session Tracker'!$J$5:$J$149,'Session Tracker'!$D$5:$D$149,$A213,'Session Tracker'!$F$5:$F$149,"Next week",'Session Tracker'!$G$5:$G$149,"Tue"))</f>
        <v>0</v>
      </c>
      <c r="J213" s="52" t="n">
        <f aca="false">IF($E213="Per class",$D213*COUNTIFS('Session Tracker'!$D$5:$D$149,$A213,'Session Tracker'!$F$5:$F$149,"Next week",'Session Tracker'!$G$5:$G$149,"Wed"),$D213*SUMIFS('Session Tracker'!$J$5:$J$149,'Session Tracker'!$D$5:$D$149,$A213,'Session Tracker'!$F$5:$F$149,"Next week",'Session Tracker'!$G$5:$G$149,"Wed"))</f>
        <v>0</v>
      </c>
      <c r="K213" s="52" t="n">
        <f aca="false">IF($E213="Per class",$D213*COUNTIFS('Session Tracker'!$D$5:$D$149,$A213,'Session Tracker'!$F$5:$F$149,"Next week",'Session Tracker'!$G$5:$G$149,"Thu"),$D213*SUMIFS('Session Tracker'!$J$5:$J$149,'Session Tracker'!$D$5:$D$149,$A213,'Session Tracker'!$F$5:$F$149,"Next week",'Session Tracker'!$G$5:$G$149,"Thu"))</f>
        <v>0</v>
      </c>
      <c r="L213" s="52" t="n">
        <f aca="false">IF($E213="Per class",$D213*COUNTIFS('Session Tracker'!$D$5:$D$149,$A213,'Session Tracker'!$F$5:$F$149,"Next week",'Session Tracker'!$G$5:$G$149,"Fri"),$D213*SUMIFS('Session Tracker'!$J$5:$J$149,'Session Tracker'!$D$5:$D$149,$A213,'Session Tracker'!$F$5:$F$149,"Next week",'Session Tracker'!$G$5:$G$149,"Fri"))</f>
        <v>0</v>
      </c>
      <c r="M213" s="52" t="n">
        <f aca="false">IF($E213="Per class",$D213*COUNTIFS('Session Tracker'!$D$5:$D$149,$A213,'Session Tracker'!$F$5:$F$149,"Next week",'Session Tracker'!$G$5:$G$149,""),$D213*SUMIFS('Session Tracker'!$J$5:$J$149,'Session Tracker'!$D$5:$D$149,$A213,'Session Tracker'!$F$5:$F$149,"Next week",'Session Tracker'!$G$5:$G$149,""))</f>
        <v>0</v>
      </c>
    </row>
    <row r="214" customFormat="false" ht="15" hidden="false" customHeight="false" outlineLevel="0" collapsed="false">
      <c r="A214" s="53" t="s">
        <v>110</v>
      </c>
      <c r="B214" s="54"/>
      <c r="C214" s="54"/>
      <c r="D214" s="54"/>
      <c r="E214" s="54"/>
      <c r="F214" s="54"/>
      <c r="G214" s="54"/>
      <c r="H214" s="52" t="n">
        <f aca="false">IF($E214="Per class",$D214*COUNTIFS('Session Tracker'!$D$5:$D$149,$A214,'Session Tracker'!$F$5:$F$149,"Next week",'Session Tracker'!$G$5:$G$149,"Mon"),$D214*SUMIFS('Session Tracker'!$J$5:$J$149,'Session Tracker'!$D$5:$D$149,$A214,'Session Tracker'!$F$5:$F$149,"Next week",'Session Tracker'!$G$5:$G$149,"Mon"))</f>
        <v>0</v>
      </c>
      <c r="I214" s="52" t="n">
        <f aca="false">IF($E214="Per class",$D214*COUNTIFS('Session Tracker'!$D$5:$D$149,$A214,'Session Tracker'!$F$5:$F$149,"Next week",'Session Tracker'!$G$5:$G$149,"Tue"),$D214*SUMIFS('Session Tracker'!$J$5:$J$149,'Session Tracker'!$D$5:$D$149,$A214,'Session Tracker'!$F$5:$F$149,"Next week",'Session Tracker'!$G$5:$G$149,"Tue"))</f>
        <v>0</v>
      </c>
      <c r="J214" s="52" t="n">
        <f aca="false">IF($E214="Per class",$D214*COUNTIFS('Session Tracker'!$D$5:$D$149,$A214,'Session Tracker'!$F$5:$F$149,"Next week",'Session Tracker'!$G$5:$G$149,"Wed"),$D214*SUMIFS('Session Tracker'!$J$5:$J$149,'Session Tracker'!$D$5:$D$149,$A214,'Session Tracker'!$F$5:$F$149,"Next week",'Session Tracker'!$G$5:$G$149,"Wed"))</f>
        <v>0</v>
      </c>
      <c r="K214" s="52" t="n">
        <f aca="false">IF($E214="Per class",$D214*COUNTIFS('Session Tracker'!$D$5:$D$149,$A214,'Session Tracker'!$F$5:$F$149,"Next week",'Session Tracker'!$G$5:$G$149,"Thu"),$D214*SUMIFS('Session Tracker'!$J$5:$J$149,'Session Tracker'!$D$5:$D$149,$A214,'Session Tracker'!$F$5:$F$149,"Next week",'Session Tracker'!$G$5:$G$149,"Thu"))</f>
        <v>0</v>
      </c>
      <c r="L214" s="52" t="n">
        <f aca="false">IF($E214="Per class",$D214*COUNTIFS('Session Tracker'!$D$5:$D$149,$A214,'Session Tracker'!$F$5:$F$149,"Next week",'Session Tracker'!$G$5:$G$149,"Fri"),$D214*SUMIFS('Session Tracker'!$J$5:$J$149,'Session Tracker'!$D$5:$D$149,$A214,'Session Tracker'!$F$5:$F$149,"Next week",'Session Tracker'!$G$5:$G$149,"Fri"))</f>
        <v>0</v>
      </c>
      <c r="M214" s="52" t="n">
        <f aca="false">IF($E214="Per class",$D214*COUNTIFS('Session Tracker'!$D$5:$D$149,$A214,'Session Tracker'!$F$5:$F$149,"Next week",'Session Tracker'!$G$5:$G$149,""),$D214*SUMIFS('Session Tracker'!$J$5:$J$149,'Session Tracker'!$D$5:$D$149,$A214,'Session Tracker'!$F$5:$F$149,"Next week",'Session Tracker'!$G$5:$G$149,""))</f>
        <v>0</v>
      </c>
    </row>
    <row r="216" customFormat="false" ht="19.5" hidden="false" customHeight="true" outlineLevel="0" collapsed="false">
      <c r="A216" s="47" t="s">
        <v>112</v>
      </c>
      <c r="B216" s="48" t="s">
        <v>460</v>
      </c>
      <c r="C216" s="48"/>
      <c r="D216" s="48"/>
      <c r="E216" s="48"/>
      <c r="F216" s="49" t="str">
        <f aca="false">"Status: "&amp;'Session Tracker'!F23&amp;IF('Session Tracker'!G23&lt;&gt;""," ("&amp;'Session Tracker'!G23&amp;")","")</f>
        <v>Status: Not started</v>
      </c>
      <c r="G216" s="49"/>
      <c r="H216" s="50"/>
      <c r="I216" s="50"/>
      <c r="J216" s="50"/>
      <c r="K216" s="50"/>
      <c r="L216" s="50"/>
      <c r="M216" s="50"/>
    </row>
    <row r="217" customFormat="false" ht="23.85" hidden="false" customHeight="false" outlineLevel="0" collapsed="false">
      <c r="A217" s="51" t="s">
        <v>112</v>
      </c>
      <c r="B217" s="34" t="s">
        <v>366</v>
      </c>
      <c r="C217" s="34" t="s">
        <v>453</v>
      </c>
      <c r="D217" s="32" t="n">
        <v>1</v>
      </c>
      <c r="E217" s="32" t="s">
        <v>14</v>
      </c>
      <c r="F217" s="32" t="s">
        <v>368</v>
      </c>
      <c r="G217" s="34"/>
      <c r="H217" s="52" t="n">
        <f aca="false">IF($E217="Per class",$D217*COUNTIFS('Session Tracker'!$D$5:$D$149,$A217,'Session Tracker'!$F$5:$F$149,"Next week",'Session Tracker'!$G$5:$G$149,"Mon"),$D217*SUMIFS('Session Tracker'!$J$5:$J$149,'Session Tracker'!$D$5:$D$149,$A217,'Session Tracker'!$F$5:$F$149,"Next week",'Session Tracker'!$G$5:$G$149,"Mon"))</f>
        <v>0</v>
      </c>
      <c r="I217" s="52" t="n">
        <f aca="false">IF($E217="Per class",$D217*COUNTIFS('Session Tracker'!$D$5:$D$149,$A217,'Session Tracker'!$F$5:$F$149,"Next week",'Session Tracker'!$G$5:$G$149,"Tue"),$D217*SUMIFS('Session Tracker'!$J$5:$J$149,'Session Tracker'!$D$5:$D$149,$A217,'Session Tracker'!$F$5:$F$149,"Next week",'Session Tracker'!$G$5:$G$149,"Tue"))</f>
        <v>0</v>
      </c>
      <c r="J217" s="52" t="n">
        <f aca="false">IF($E217="Per class",$D217*COUNTIFS('Session Tracker'!$D$5:$D$149,$A217,'Session Tracker'!$F$5:$F$149,"Next week",'Session Tracker'!$G$5:$G$149,"Wed"),$D217*SUMIFS('Session Tracker'!$J$5:$J$149,'Session Tracker'!$D$5:$D$149,$A217,'Session Tracker'!$F$5:$F$149,"Next week",'Session Tracker'!$G$5:$G$149,"Wed"))</f>
        <v>0</v>
      </c>
      <c r="K217" s="52" t="n">
        <f aca="false">IF($E217="Per class",$D217*COUNTIFS('Session Tracker'!$D$5:$D$149,$A217,'Session Tracker'!$F$5:$F$149,"Next week",'Session Tracker'!$G$5:$G$149,"Thu"),$D217*SUMIFS('Session Tracker'!$J$5:$J$149,'Session Tracker'!$D$5:$D$149,$A217,'Session Tracker'!$F$5:$F$149,"Next week",'Session Tracker'!$G$5:$G$149,"Thu"))</f>
        <v>0</v>
      </c>
      <c r="L217" s="52" t="n">
        <f aca="false">IF($E217="Per class",$D217*COUNTIFS('Session Tracker'!$D$5:$D$149,$A217,'Session Tracker'!$F$5:$F$149,"Next week",'Session Tracker'!$G$5:$G$149,"Fri"),$D217*SUMIFS('Session Tracker'!$J$5:$J$149,'Session Tracker'!$D$5:$D$149,$A217,'Session Tracker'!$F$5:$F$149,"Next week",'Session Tracker'!$G$5:$G$149,"Fri"))</f>
        <v>0</v>
      </c>
      <c r="M217" s="52" t="n">
        <f aca="false">IF($E217="Per class",$D217*COUNTIFS('Session Tracker'!$D$5:$D$149,$A217,'Session Tracker'!$F$5:$F$149,"Next week",'Session Tracker'!$G$5:$G$149,""),$D217*SUMIFS('Session Tracker'!$J$5:$J$149,'Session Tracker'!$D$5:$D$149,$A217,'Session Tracker'!$F$5:$F$149,"Next week",'Session Tracker'!$G$5:$G$149,""))</f>
        <v>0</v>
      </c>
    </row>
    <row r="218" customFormat="false" ht="15" hidden="false" customHeight="false" outlineLevel="0" collapsed="false">
      <c r="A218" s="51" t="s">
        <v>112</v>
      </c>
      <c r="B218" s="34" t="s">
        <v>411</v>
      </c>
      <c r="C218" s="34" t="s">
        <v>461</v>
      </c>
      <c r="D218" s="32" t="n">
        <v>1</v>
      </c>
      <c r="E218" s="32" t="s">
        <v>14</v>
      </c>
      <c r="F218" s="32" t="s">
        <v>373</v>
      </c>
      <c r="G218" s="34"/>
      <c r="H218" s="52" t="n">
        <f aca="false">IF($E218="Per class",$D218*COUNTIFS('Session Tracker'!$D$5:$D$149,$A218,'Session Tracker'!$F$5:$F$149,"Next week",'Session Tracker'!$G$5:$G$149,"Mon"),$D218*SUMIFS('Session Tracker'!$J$5:$J$149,'Session Tracker'!$D$5:$D$149,$A218,'Session Tracker'!$F$5:$F$149,"Next week",'Session Tracker'!$G$5:$G$149,"Mon"))</f>
        <v>0</v>
      </c>
      <c r="I218" s="52" t="n">
        <f aca="false">IF($E218="Per class",$D218*COUNTIFS('Session Tracker'!$D$5:$D$149,$A218,'Session Tracker'!$F$5:$F$149,"Next week",'Session Tracker'!$G$5:$G$149,"Tue"),$D218*SUMIFS('Session Tracker'!$J$5:$J$149,'Session Tracker'!$D$5:$D$149,$A218,'Session Tracker'!$F$5:$F$149,"Next week",'Session Tracker'!$G$5:$G$149,"Tue"))</f>
        <v>0</v>
      </c>
      <c r="J218" s="52" t="n">
        <f aca="false">IF($E218="Per class",$D218*COUNTIFS('Session Tracker'!$D$5:$D$149,$A218,'Session Tracker'!$F$5:$F$149,"Next week",'Session Tracker'!$G$5:$G$149,"Wed"),$D218*SUMIFS('Session Tracker'!$J$5:$J$149,'Session Tracker'!$D$5:$D$149,$A218,'Session Tracker'!$F$5:$F$149,"Next week",'Session Tracker'!$G$5:$G$149,"Wed"))</f>
        <v>0</v>
      </c>
      <c r="K218" s="52" t="n">
        <f aca="false">IF($E218="Per class",$D218*COUNTIFS('Session Tracker'!$D$5:$D$149,$A218,'Session Tracker'!$F$5:$F$149,"Next week",'Session Tracker'!$G$5:$G$149,"Thu"),$D218*SUMIFS('Session Tracker'!$J$5:$J$149,'Session Tracker'!$D$5:$D$149,$A218,'Session Tracker'!$F$5:$F$149,"Next week",'Session Tracker'!$G$5:$G$149,"Thu"))</f>
        <v>0</v>
      </c>
      <c r="L218" s="52" t="n">
        <f aca="false">IF($E218="Per class",$D218*COUNTIFS('Session Tracker'!$D$5:$D$149,$A218,'Session Tracker'!$F$5:$F$149,"Next week",'Session Tracker'!$G$5:$G$149,"Fri"),$D218*SUMIFS('Session Tracker'!$J$5:$J$149,'Session Tracker'!$D$5:$D$149,$A218,'Session Tracker'!$F$5:$F$149,"Next week",'Session Tracker'!$G$5:$G$149,"Fri"))</f>
        <v>0</v>
      </c>
      <c r="M218" s="52" t="n">
        <f aca="false">IF($E218="Per class",$D218*COUNTIFS('Session Tracker'!$D$5:$D$149,$A218,'Session Tracker'!$F$5:$F$149,"Next week",'Session Tracker'!$G$5:$G$149,""),$D218*SUMIFS('Session Tracker'!$J$5:$J$149,'Session Tracker'!$D$5:$D$149,$A218,'Session Tracker'!$F$5:$F$149,"Next week",'Session Tracker'!$G$5:$G$149,""))</f>
        <v>0</v>
      </c>
    </row>
    <row r="219" customFormat="false" ht="15" hidden="false" customHeight="false" outlineLevel="0" collapsed="false">
      <c r="A219" s="51" t="s">
        <v>112</v>
      </c>
      <c r="B219" s="34" t="s">
        <v>382</v>
      </c>
      <c r="C219" s="34" t="s">
        <v>383</v>
      </c>
      <c r="D219" s="32" t="n">
        <v>1</v>
      </c>
      <c r="E219" s="32" t="s">
        <v>14</v>
      </c>
      <c r="F219" s="32" t="s">
        <v>368</v>
      </c>
      <c r="G219" s="34"/>
      <c r="H219" s="52" t="n">
        <f aca="false">IF($E219="Per class",$D219*COUNTIFS('Session Tracker'!$D$5:$D$149,$A219,'Session Tracker'!$F$5:$F$149,"Next week",'Session Tracker'!$G$5:$G$149,"Mon"),$D219*SUMIFS('Session Tracker'!$J$5:$J$149,'Session Tracker'!$D$5:$D$149,$A219,'Session Tracker'!$F$5:$F$149,"Next week",'Session Tracker'!$G$5:$G$149,"Mon"))</f>
        <v>0</v>
      </c>
      <c r="I219" s="52" t="n">
        <f aca="false">IF($E219="Per class",$D219*COUNTIFS('Session Tracker'!$D$5:$D$149,$A219,'Session Tracker'!$F$5:$F$149,"Next week",'Session Tracker'!$G$5:$G$149,"Tue"),$D219*SUMIFS('Session Tracker'!$J$5:$J$149,'Session Tracker'!$D$5:$D$149,$A219,'Session Tracker'!$F$5:$F$149,"Next week",'Session Tracker'!$G$5:$G$149,"Tue"))</f>
        <v>0</v>
      </c>
      <c r="J219" s="52" t="n">
        <f aca="false">IF($E219="Per class",$D219*COUNTIFS('Session Tracker'!$D$5:$D$149,$A219,'Session Tracker'!$F$5:$F$149,"Next week",'Session Tracker'!$G$5:$G$149,"Wed"),$D219*SUMIFS('Session Tracker'!$J$5:$J$149,'Session Tracker'!$D$5:$D$149,$A219,'Session Tracker'!$F$5:$F$149,"Next week",'Session Tracker'!$G$5:$G$149,"Wed"))</f>
        <v>0</v>
      </c>
      <c r="K219" s="52" t="n">
        <f aca="false">IF($E219="Per class",$D219*COUNTIFS('Session Tracker'!$D$5:$D$149,$A219,'Session Tracker'!$F$5:$F$149,"Next week",'Session Tracker'!$G$5:$G$149,"Thu"),$D219*SUMIFS('Session Tracker'!$J$5:$J$149,'Session Tracker'!$D$5:$D$149,$A219,'Session Tracker'!$F$5:$F$149,"Next week",'Session Tracker'!$G$5:$G$149,"Thu"))</f>
        <v>0</v>
      </c>
      <c r="L219" s="52" t="n">
        <f aca="false">IF($E219="Per class",$D219*COUNTIFS('Session Tracker'!$D$5:$D$149,$A219,'Session Tracker'!$F$5:$F$149,"Next week",'Session Tracker'!$G$5:$G$149,"Fri"),$D219*SUMIFS('Session Tracker'!$J$5:$J$149,'Session Tracker'!$D$5:$D$149,$A219,'Session Tracker'!$F$5:$F$149,"Next week",'Session Tracker'!$G$5:$G$149,"Fri"))</f>
        <v>0</v>
      </c>
      <c r="M219" s="52" t="n">
        <f aca="false">IF($E219="Per class",$D219*COUNTIFS('Session Tracker'!$D$5:$D$149,$A219,'Session Tracker'!$F$5:$F$149,"Next week",'Session Tracker'!$G$5:$G$149,""),$D219*SUMIFS('Session Tracker'!$J$5:$J$149,'Session Tracker'!$D$5:$D$149,$A219,'Session Tracker'!$F$5:$F$149,"Next week",'Session Tracker'!$G$5:$G$149,""))</f>
        <v>0</v>
      </c>
    </row>
    <row r="220" customFormat="false" ht="15" hidden="false" customHeight="false" outlineLevel="0" collapsed="false">
      <c r="A220" s="53" t="s">
        <v>112</v>
      </c>
      <c r="B220" s="54"/>
      <c r="C220" s="54"/>
      <c r="D220" s="54"/>
      <c r="E220" s="54"/>
      <c r="F220" s="54"/>
      <c r="G220" s="54"/>
      <c r="H220" s="52" t="n">
        <f aca="false">IF($E220="Per class",$D220*COUNTIFS('Session Tracker'!$D$5:$D$149,$A220,'Session Tracker'!$F$5:$F$149,"Next week",'Session Tracker'!$G$5:$G$149,"Mon"),$D220*SUMIFS('Session Tracker'!$J$5:$J$149,'Session Tracker'!$D$5:$D$149,$A220,'Session Tracker'!$F$5:$F$149,"Next week",'Session Tracker'!$G$5:$G$149,"Mon"))</f>
        <v>0</v>
      </c>
      <c r="I220" s="52" t="n">
        <f aca="false">IF($E220="Per class",$D220*COUNTIFS('Session Tracker'!$D$5:$D$149,$A220,'Session Tracker'!$F$5:$F$149,"Next week",'Session Tracker'!$G$5:$G$149,"Tue"),$D220*SUMIFS('Session Tracker'!$J$5:$J$149,'Session Tracker'!$D$5:$D$149,$A220,'Session Tracker'!$F$5:$F$149,"Next week",'Session Tracker'!$G$5:$G$149,"Tue"))</f>
        <v>0</v>
      </c>
      <c r="J220" s="52" t="n">
        <f aca="false">IF($E220="Per class",$D220*COUNTIFS('Session Tracker'!$D$5:$D$149,$A220,'Session Tracker'!$F$5:$F$149,"Next week",'Session Tracker'!$G$5:$G$149,"Wed"),$D220*SUMIFS('Session Tracker'!$J$5:$J$149,'Session Tracker'!$D$5:$D$149,$A220,'Session Tracker'!$F$5:$F$149,"Next week",'Session Tracker'!$G$5:$G$149,"Wed"))</f>
        <v>0</v>
      </c>
      <c r="K220" s="52" t="n">
        <f aca="false">IF($E220="Per class",$D220*COUNTIFS('Session Tracker'!$D$5:$D$149,$A220,'Session Tracker'!$F$5:$F$149,"Next week",'Session Tracker'!$G$5:$G$149,"Thu"),$D220*SUMIFS('Session Tracker'!$J$5:$J$149,'Session Tracker'!$D$5:$D$149,$A220,'Session Tracker'!$F$5:$F$149,"Next week",'Session Tracker'!$G$5:$G$149,"Thu"))</f>
        <v>0</v>
      </c>
      <c r="L220" s="52" t="n">
        <f aca="false">IF($E220="Per class",$D220*COUNTIFS('Session Tracker'!$D$5:$D$149,$A220,'Session Tracker'!$F$5:$F$149,"Next week",'Session Tracker'!$G$5:$G$149,"Fri"),$D220*SUMIFS('Session Tracker'!$J$5:$J$149,'Session Tracker'!$D$5:$D$149,$A220,'Session Tracker'!$F$5:$F$149,"Next week",'Session Tracker'!$G$5:$G$149,"Fri"))</f>
        <v>0</v>
      </c>
      <c r="M220" s="52" t="n">
        <f aca="false">IF($E220="Per class",$D220*COUNTIFS('Session Tracker'!$D$5:$D$149,$A220,'Session Tracker'!$F$5:$F$149,"Next week",'Session Tracker'!$G$5:$G$149,""),$D220*SUMIFS('Session Tracker'!$J$5:$J$149,'Session Tracker'!$D$5:$D$149,$A220,'Session Tracker'!$F$5:$F$149,"Next week",'Session Tracker'!$G$5:$G$149,""))</f>
        <v>0</v>
      </c>
    </row>
    <row r="221" customFormat="false" ht="15" hidden="false" customHeight="false" outlineLevel="0" collapsed="false">
      <c r="A221" s="53" t="s">
        <v>112</v>
      </c>
      <c r="B221" s="54"/>
      <c r="C221" s="54"/>
      <c r="D221" s="54"/>
      <c r="E221" s="54"/>
      <c r="F221" s="54"/>
      <c r="G221" s="54"/>
      <c r="H221" s="52" t="n">
        <f aca="false">IF($E221="Per class",$D221*COUNTIFS('Session Tracker'!$D$5:$D$149,$A221,'Session Tracker'!$F$5:$F$149,"Next week",'Session Tracker'!$G$5:$G$149,"Mon"),$D221*SUMIFS('Session Tracker'!$J$5:$J$149,'Session Tracker'!$D$5:$D$149,$A221,'Session Tracker'!$F$5:$F$149,"Next week",'Session Tracker'!$G$5:$G$149,"Mon"))</f>
        <v>0</v>
      </c>
      <c r="I221" s="52" t="n">
        <f aca="false">IF($E221="Per class",$D221*COUNTIFS('Session Tracker'!$D$5:$D$149,$A221,'Session Tracker'!$F$5:$F$149,"Next week",'Session Tracker'!$G$5:$G$149,"Tue"),$D221*SUMIFS('Session Tracker'!$J$5:$J$149,'Session Tracker'!$D$5:$D$149,$A221,'Session Tracker'!$F$5:$F$149,"Next week",'Session Tracker'!$G$5:$G$149,"Tue"))</f>
        <v>0</v>
      </c>
      <c r="J221" s="52" t="n">
        <f aca="false">IF($E221="Per class",$D221*COUNTIFS('Session Tracker'!$D$5:$D$149,$A221,'Session Tracker'!$F$5:$F$149,"Next week",'Session Tracker'!$G$5:$G$149,"Wed"),$D221*SUMIFS('Session Tracker'!$J$5:$J$149,'Session Tracker'!$D$5:$D$149,$A221,'Session Tracker'!$F$5:$F$149,"Next week",'Session Tracker'!$G$5:$G$149,"Wed"))</f>
        <v>0</v>
      </c>
      <c r="K221" s="52" t="n">
        <f aca="false">IF($E221="Per class",$D221*COUNTIFS('Session Tracker'!$D$5:$D$149,$A221,'Session Tracker'!$F$5:$F$149,"Next week",'Session Tracker'!$G$5:$G$149,"Thu"),$D221*SUMIFS('Session Tracker'!$J$5:$J$149,'Session Tracker'!$D$5:$D$149,$A221,'Session Tracker'!$F$5:$F$149,"Next week",'Session Tracker'!$G$5:$G$149,"Thu"))</f>
        <v>0</v>
      </c>
      <c r="L221" s="52" t="n">
        <f aca="false">IF($E221="Per class",$D221*COUNTIFS('Session Tracker'!$D$5:$D$149,$A221,'Session Tracker'!$F$5:$F$149,"Next week",'Session Tracker'!$G$5:$G$149,"Fri"),$D221*SUMIFS('Session Tracker'!$J$5:$J$149,'Session Tracker'!$D$5:$D$149,$A221,'Session Tracker'!$F$5:$F$149,"Next week",'Session Tracker'!$G$5:$G$149,"Fri"))</f>
        <v>0</v>
      </c>
      <c r="M221" s="52" t="n">
        <f aca="false">IF($E221="Per class",$D221*COUNTIFS('Session Tracker'!$D$5:$D$149,$A221,'Session Tracker'!$F$5:$F$149,"Next week",'Session Tracker'!$G$5:$G$149,""),$D221*SUMIFS('Session Tracker'!$J$5:$J$149,'Session Tracker'!$D$5:$D$149,$A221,'Session Tracker'!$F$5:$F$149,"Next week",'Session Tracker'!$G$5:$G$149,""))</f>
        <v>0</v>
      </c>
    </row>
    <row r="223" customFormat="false" ht="19.5" hidden="false" customHeight="true" outlineLevel="0" collapsed="false">
      <c r="A223" s="47" t="s">
        <v>114</v>
      </c>
      <c r="B223" s="48" t="s">
        <v>462</v>
      </c>
      <c r="C223" s="48"/>
      <c r="D223" s="48"/>
      <c r="E223" s="48"/>
      <c r="F223" s="49" t="str">
        <f aca="false">"Status: "&amp;'Session Tracker'!F24&amp;IF('Session Tracker'!G24&lt;&gt;""," ("&amp;'Session Tracker'!G24&amp;")","")</f>
        <v>Status: Not started</v>
      </c>
      <c r="G223" s="49"/>
      <c r="H223" s="50"/>
      <c r="I223" s="50"/>
      <c r="J223" s="50"/>
      <c r="K223" s="50"/>
      <c r="L223" s="50"/>
      <c r="M223" s="50"/>
    </row>
    <row r="224" customFormat="false" ht="15" hidden="false" customHeight="false" outlineLevel="0" collapsed="false">
      <c r="A224" s="51" t="s">
        <v>114</v>
      </c>
      <c r="B224" s="34" t="s">
        <v>411</v>
      </c>
      <c r="C224" s="34" t="s">
        <v>450</v>
      </c>
      <c r="D224" s="32" t="n">
        <v>20</v>
      </c>
      <c r="E224" s="32" t="s">
        <v>14</v>
      </c>
      <c r="F224" s="32" t="s">
        <v>373</v>
      </c>
      <c r="G224" s="34" t="s">
        <v>463</v>
      </c>
      <c r="H224" s="52" t="n">
        <f aca="false">IF($E224="Per class",$D224*COUNTIFS('Session Tracker'!$D$5:$D$149,$A224,'Session Tracker'!$F$5:$F$149,"Next week",'Session Tracker'!$G$5:$G$149,"Mon"),$D224*SUMIFS('Session Tracker'!$J$5:$J$149,'Session Tracker'!$D$5:$D$149,$A224,'Session Tracker'!$F$5:$F$149,"Next week",'Session Tracker'!$G$5:$G$149,"Mon"))</f>
        <v>0</v>
      </c>
      <c r="I224" s="52" t="n">
        <f aca="false">IF($E224="Per class",$D224*COUNTIFS('Session Tracker'!$D$5:$D$149,$A224,'Session Tracker'!$F$5:$F$149,"Next week",'Session Tracker'!$G$5:$G$149,"Tue"),$D224*SUMIFS('Session Tracker'!$J$5:$J$149,'Session Tracker'!$D$5:$D$149,$A224,'Session Tracker'!$F$5:$F$149,"Next week",'Session Tracker'!$G$5:$G$149,"Tue"))</f>
        <v>0</v>
      </c>
      <c r="J224" s="52" t="n">
        <f aca="false">IF($E224="Per class",$D224*COUNTIFS('Session Tracker'!$D$5:$D$149,$A224,'Session Tracker'!$F$5:$F$149,"Next week",'Session Tracker'!$G$5:$G$149,"Wed"),$D224*SUMIFS('Session Tracker'!$J$5:$J$149,'Session Tracker'!$D$5:$D$149,$A224,'Session Tracker'!$F$5:$F$149,"Next week",'Session Tracker'!$G$5:$G$149,"Wed"))</f>
        <v>0</v>
      </c>
      <c r="K224" s="52" t="n">
        <f aca="false">IF($E224="Per class",$D224*COUNTIFS('Session Tracker'!$D$5:$D$149,$A224,'Session Tracker'!$F$5:$F$149,"Next week",'Session Tracker'!$G$5:$G$149,"Thu"),$D224*SUMIFS('Session Tracker'!$J$5:$J$149,'Session Tracker'!$D$5:$D$149,$A224,'Session Tracker'!$F$5:$F$149,"Next week",'Session Tracker'!$G$5:$G$149,"Thu"))</f>
        <v>0</v>
      </c>
      <c r="L224" s="52" t="n">
        <f aca="false">IF($E224="Per class",$D224*COUNTIFS('Session Tracker'!$D$5:$D$149,$A224,'Session Tracker'!$F$5:$F$149,"Next week",'Session Tracker'!$G$5:$G$149,"Fri"),$D224*SUMIFS('Session Tracker'!$J$5:$J$149,'Session Tracker'!$D$5:$D$149,$A224,'Session Tracker'!$F$5:$F$149,"Next week",'Session Tracker'!$G$5:$G$149,"Fri"))</f>
        <v>0</v>
      </c>
      <c r="M224" s="52" t="n">
        <f aca="false">IF($E224="Per class",$D224*COUNTIFS('Session Tracker'!$D$5:$D$149,$A224,'Session Tracker'!$F$5:$F$149,"Next week",'Session Tracker'!$G$5:$G$149,""),$D224*SUMIFS('Session Tracker'!$J$5:$J$149,'Session Tracker'!$D$5:$D$149,$A224,'Session Tracker'!$F$5:$F$149,"Next week",'Session Tracker'!$G$5:$G$149,""))</f>
        <v>0</v>
      </c>
    </row>
    <row r="225" customFormat="false" ht="15" hidden="false" customHeight="false" outlineLevel="0" collapsed="false">
      <c r="A225" s="51" t="s">
        <v>114</v>
      </c>
      <c r="B225" s="34" t="s">
        <v>411</v>
      </c>
      <c r="C225" s="34" t="s">
        <v>412</v>
      </c>
      <c r="D225" s="32" t="n">
        <v>1</v>
      </c>
      <c r="E225" s="32" t="s">
        <v>14</v>
      </c>
      <c r="F225" s="32" t="s">
        <v>373</v>
      </c>
      <c r="G225" s="34" t="s">
        <v>464</v>
      </c>
      <c r="H225" s="52" t="n">
        <f aca="false">IF($E225="Per class",$D225*COUNTIFS('Session Tracker'!$D$5:$D$149,$A225,'Session Tracker'!$F$5:$F$149,"Next week",'Session Tracker'!$G$5:$G$149,"Mon"),$D225*SUMIFS('Session Tracker'!$J$5:$J$149,'Session Tracker'!$D$5:$D$149,$A225,'Session Tracker'!$F$5:$F$149,"Next week",'Session Tracker'!$G$5:$G$149,"Mon"))</f>
        <v>0</v>
      </c>
      <c r="I225" s="52" t="n">
        <f aca="false">IF($E225="Per class",$D225*COUNTIFS('Session Tracker'!$D$5:$D$149,$A225,'Session Tracker'!$F$5:$F$149,"Next week",'Session Tracker'!$G$5:$G$149,"Tue"),$D225*SUMIFS('Session Tracker'!$J$5:$J$149,'Session Tracker'!$D$5:$D$149,$A225,'Session Tracker'!$F$5:$F$149,"Next week",'Session Tracker'!$G$5:$G$149,"Tue"))</f>
        <v>0</v>
      </c>
      <c r="J225" s="52" t="n">
        <f aca="false">IF($E225="Per class",$D225*COUNTIFS('Session Tracker'!$D$5:$D$149,$A225,'Session Tracker'!$F$5:$F$149,"Next week",'Session Tracker'!$G$5:$G$149,"Wed"),$D225*SUMIFS('Session Tracker'!$J$5:$J$149,'Session Tracker'!$D$5:$D$149,$A225,'Session Tracker'!$F$5:$F$149,"Next week",'Session Tracker'!$G$5:$G$149,"Wed"))</f>
        <v>0</v>
      </c>
      <c r="K225" s="52" t="n">
        <f aca="false">IF($E225="Per class",$D225*COUNTIFS('Session Tracker'!$D$5:$D$149,$A225,'Session Tracker'!$F$5:$F$149,"Next week",'Session Tracker'!$G$5:$G$149,"Thu"),$D225*SUMIFS('Session Tracker'!$J$5:$J$149,'Session Tracker'!$D$5:$D$149,$A225,'Session Tracker'!$F$5:$F$149,"Next week",'Session Tracker'!$G$5:$G$149,"Thu"))</f>
        <v>0</v>
      </c>
      <c r="L225" s="52" t="n">
        <f aca="false">IF($E225="Per class",$D225*COUNTIFS('Session Tracker'!$D$5:$D$149,$A225,'Session Tracker'!$F$5:$F$149,"Next week",'Session Tracker'!$G$5:$G$149,"Fri"),$D225*SUMIFS('Session Tracker'!$J$5:$J$149,'Session Tracker'!$D$5:$D$149,$A225,'Session Tracker'!$F$5:$F$149,"Next week",'Session Tracker'!$G$5:$G$149,"Fri"))</f>
        <v>0</v>
      </c>
      <c r="M225" s="52" t="n">
        <f aca="false">IF($E225="Per class",$D225*COUNTIFS('Session Tracker'!$D$5:$D$149,$A225,'Session Tracker'!$F$5:$F$149,"Next week",'Session Tracker'!$G$5:$G$149,""),$D225*SUMIFS('Session Tracker'!$J$5:$J$149,'Session Tracker'!$D$5:$D$149,$A225,'Session Tracker'!$F$5:$F$149,"Next week",'Session Tracker'!$G$5:$G$149,""))</f>
        <v>0</v>
      </c>
    </row>
    <row r="226" customFormat="false" ht="15" hidden="false" customHeight="false" outlineLevel="0" collapsed="false">
      <c r="A226" s="51" t="s">
        <v>114</v>
      </c>
      <c r="B226" s="34" t="s">
        <v>411</v>
      </c>
      <c r="C226" s="34" t="s">
        <v>413</v>
      </c>
      <c r="D226" s="32" t="n">
        <v>1</v>
      </c>
      <c r="E226" s="32" t="s">
        <v>14</v>
      </c>
      <c r="F226" s="32" t="s">
        <v>373</v>
      </c>
      <c r="G226" s="34"/>
      <c r="H226" s="52" t="n">
        <f aca="false">IF($E226="Per class",$D226*COUNTIFS('Session Tracker'!$D$5:$D$149,$A226,'Session Tracker'!$F$5:$F$149,"Next week",'Session Tracker'!$G$5:$G$149,"Mon"),$D226*SUMIFS('Session Tracker'!$J$5:$J$149,'Session Tracker'!$D$5:$D$149,$A226,'Session Tracker'!$F$5:$F$149,"Next week",'Session Tracker'!$G$5:$G$149,"Mon"))</f>
        <v>0</v>
      </c>
      <c r="I226" s="52" t="n">
        <f aca="false">IF($E226="Per class",$D226*COUNTIFS('Session Tracker'!$D$5:$D$149,$A226,'Session Tracker'!$F$5:$F$149,"Next week",'Session Tracker'!$G$5:$G$149,"Tue"),$D226*SUMIFS('Session Tracker'!$J$5:$J$149,'Session Tracker'!$D$5:$D$149,$A226,'Session Tracker'!$F$5:$F$149,"Next week",'Session Tracker'!$G$5:$G$149,"Tue"))</f>
        <v>0</v>
      </c>
      <c r="J226" s="52" t="n">
        <f aca="false">IF($E226="Per class",$D226*COUNTIFS('Session Tracker'!$D$5:$D$149,$A226,'Session Tracker'!$F$5:$F$149,"Next week",'Session Tracker'!$G$5:$G$149,"Wed"),$D226*SUMIFS('Session Tracker'!$J$5:$J$149,'Session Tracker'!$D$5:$D$149,$A226,'Session Tracker'!$F$5:$F$149,"Next week",'Session Tracker'!$G$5:$G$149,"Wed"))</f>
        <v>0</v>
      </c>
      <c r="K226" s="52" t="n">
        <f aca="false">IF($E226="Per class",$D226*COUNTIFS('Session Tracker'!$D$5:$D$149,$A226,'Session Tracker'!$F$5:$F$149,"Next week",'Session Tracker'!$G$5:$G$149,"Thu"),$D226*SUMIFS('Session Tracker'!$J$5:$J$149,'Session Tracker'!$D$5:$D$149,$A226,'Session Tracker'!$F$5:$F$149,"Next week",'Session Tracker'!$G$5:$G$149,"Thu"))</f>
        <v>0</v>
      </c>
      <c r="L226" s="52" t="n">
        <f aca="false">IF($E226="Per class",$D226*COUNTIFS('Session Tracker'!$D$5:$D$149,$A226,'Session Tracker'!$F$5:$F$149,"Next week",'Session Tracker'!$G$5:$G$149,"Fri"),$D226*SUMIFS('Session Tracker'!$J$5:$J$149,'Session Tracker'!$D$5:$D$149,$A226,'Session Tracker'!$F$5:$F$149,"Next week",'Session Tracker'!$G$5:$G$149,"Fri"))</f>
        <v>0</v>
      </c>
      <c r="M226" s="52" t="n">
        <f aca="false">IF($E226="Per class",$D226*COUNTIFS('Session Tracker'!$D$5:$D$149,$A226,'Session Tracker'!$F$5:$F$149,"Next week",'Session Tracker'!$G$5:$G$149,""),$D226*SUMIFS('Session Tracker'!$J$5:$J$149,'Session Tracker'!$D$5:$D$149,$A226,'Session Tracker'!$F$5:$F$149,"Next week",'Session Tracker'!$G$5:$G$149,""))</f>
        <v>0</v>
      </c>
    </row>
    <row r="227" customFormat="false" ht="15" hidden="false" customHeight="false" outlineLevel="0" collapsed="false">
      <c r="A227" s="53" t="s">
        <v>114</v>
      </c>
      <c r="B227" s="54"/>
      <c r="C227" s="54"/>
      <c r="D227" s="54"/>
      <c r="E227" s="54"/>
      <c r="F227" s="54"/>
      <c r="G227" s="54"/>
      <c r="H227" s="52" t="n">
        <f aca="false">IF($E227="Per class",$D227*COUNTIFS('Session Tracker'!$D$5:$D$149,$A227,'Session Tracker'!$F$5:$F$149,"Next week",'Session Tracker'!$G$5:$G$149,"Mon"),$D227*SUMIFS('Session Tracker'!$J$5:$J$149,'Session Tracker'!$D$5:$D$149,$A227,'Session Tracker'!$F$5:$F$149,"Next week",'Session Tracker'!$G$5:$G$149,"Mon"))</f>
        <v>0</v>
      </c>
      <c r="I227" s="52" t="n">
        <f aca="false">IF($E227="Per class",$D227*COUNTIFS('Session Tracker'!$D$5:$D$149,$A227,'Session Tracker'!$F$5:$F$149,"Next week",'Session Tracker'!$G$5:$G$149,"Tue"),$D227*SUMIFS('Session Tracker'!$J$5:$J$149,'Session Tracker'!$D$5:$D$149,$A227,'Session Tracker'!$F$5:$F$149,"Next week",'Session Tracker'!$G$5:$G$149,"Tue"))</f>
        <v>0</v>
      </c>
      <c r="J227" s="52" t="n">
        <f aca="false">IF($E227="Per class",$D227*COUNTIFS('Session Tracker'!$D$5:$D$149,$A227,'Session Tracker'!$F$5:$F$149,"Next week",'Session Tracker'!$G$5:$G$149,"Wed"),$D227*SUMIFS('Session Tracker'!$J$5:$J$149,'Session Tracker'!$D$5:$D$149,$A227,'Session Tracker'!$F$5:$F$149,"Next week",'Session Tracker'!$G$5:$G$149,"Wed"))</f>
        <v>0</v>
      </c>
      <c r="K227" s="52" t="n">
        <f aca="false">IF($E227="Per class",$D227*COUNTIFS('Session Tracker'!$D$5:$D$149,$A227,'Session Tracker'!$F$5:$F$149,"Next week",'Session Tracker'!$G$5:$G$149,"Thu"),$D227*SUMIFS('Session Tracker'!$J$5:$J$149,'Session Tracker'!$D$5:$D$149,$A227,'Session Tracker'!$F$5:$F$149,"Next week",'Session Tracker'!$G$5:$G$149,"Thu"))</f>
        <v>0</v>
      </c>
      <c r="L227" s="52" t="n">
        <f aca="false">IF($E227="Per class",$D227*COUNTIFS('Session Tracker'!$D$5:$D$149,$A227,'Session Tracker'!$F$5:$F$149,"Next week",'Session Tracker'!$G$5:$G$149,"Fri"),$D227*SUMIFS('Session Tracker'!$J$5:$J$149,'Session Tracker'!$D$5:$D$149,$A227,'Session Tracker'!$F$5:$F$149,"Next week",'Session Tracker'!$G$5:$G$149,"Fri"))</f>
        <v>0</v>
      </c>
      <c r="M227" s="52" t="n">
        <f aca="false">IF($E227="Per class",$D227*COUNTIFS('Session Tracker'!$D$5:$D$149,$A227,'Session Tracker'!$F$5:$F$149,"Next week",'Session Tracker'!$G$5:$G$149,""),$D227*SUMIFS('Session Tracker'!$J$5:$J$149,'Session Tracker'!$D$5:$D$149,$A227,'Session Tracker'!$F$5:$F$149,"Next week",'Session Tracker'!$G$5:$G$149,""))</f>
        <v>0</v>
      </c>
    </row>
    <row r="228" customFormat="false" ht="15" hidden="false" customHeight="false" outlineLevel="0" collapsed="false">
      <c r="A228" s="53" t="s">
        <v>114</v>
      </c>
      <c r="B228" s="54"/>
      <c r="C228" s="54"/>
      <c r="D228" s="54"/>
      <c r="E228" s="54"/>
      <c r="F228" s="54"/>
      <c r="G228" s="54"/>
      <c r="H228" s="52" t="n">
        <f aca="false">IF($E228="Per class",$D228*COUNTIFS('Session Tracker'!$D$5:$D$149,$A228,'Session Tracker'!$F$5:$F$149,"Next week",'Session Tracker'!$G$5:$G$149,"Mon"),$D228*SUMIFS('Session Tracker'!$J$5:$J$149,'Session Tracker'!$D$5:$D$149,$A228,'Session Tracker'!$F$5:$F$149,"Next week",'Session Tracker'!$G$5:$G$149,"Mon"))</f>
        <v>0</v>
      </c>
      <c r="I228" s="52" t="n">
        <f aca="false">IF($E228="Per class",$D228*COUNTIFS('Session Tracker'!$D$5:$D$149,$A228,'Session Tracker'!$F$5:$F$149,"Next week",'Session Tracker'!$G$5:$G$149,"Tue"),$D228*SUMIFS('Session Tracker'!$J$5:$J$149,'Session Tracker'!$D$5:$D$149,$A228,'Session Tracker'!$F$5:$F$149,"Next week",'Session Tracker'!$G$5:$G$149,"Tue"))</f>
        <v>0</v>
      </c>
      <c r="J228" s="52" t="n">
        <f aca="false">IF($E228="Per class",$D228*COUNTIFS('Session Tracker'!$D$5:$D$149,$A228,'Session Tracker'!$F$5:$F$149,"Next week",'Session Tracker'!$G$5:$G$149,"Wed"),$D228*SUMIFS('Session Tracker'!$J$5:$J$149,'Session Tracker'!$D$5:$D$149,$A228,'Session Tracker'!$F$5:$F$149,"Next week",'Session Tracker'!$G$5:$G$149,"Wed"))</f>
        <v>0</v>
      </c>
      <c r="K228" s="52" t="n">
        <f aca="false">IF($E228="Per class",$D228*COUNTIFS('Session Tracker'!$D$5:$D$149,$A228,'Session Tracker'!$F$5:$F$149,"Next week",'Session Tracker'!$G$5:$G$149,"Thu"),$D228*SUMIFS('Session Tracker'!$J$5:$J$149,'Session Tracker'!$D$5:$D$149,$A228,'Session Tracker'!$F$5:$F$149,"Next week",'Session Tracker'!$G$5:$G$149,"Thu"))</f>
        <v>0</v>
      </c>
      <c r="L228" s="52" t="n">
        <f aca="false">IF($E228="Per class",$D228*COUNTIFS('Session Tracker'!$D$5:$D$149,$A228,'Session Tracker'!$F$5:$F$149,"Next week",'Session Tracker'!$G$5:$G$149,"Fri"),$D228*SUMIFS('Session Tracker'!$J$5:$J$149,'Session Tracker'!$D$5:$D$149,$A228,'Session Tracker'!$F$5:$F$149,"Next week",'Session Tracker'!$G$5:$G$149,"Fri"))</f>
        <v>0</v>
      </c>
      <c r="M228" s="52" t="n">
        <f aca="false">IF($E228="Per class",$D228*COUNTIFS('Session Tracker'!$D$5:$D$149,$A228,'Session Tracker'!$F$5:$F$149,"Next week",'Session Tracker'!$G$5:$G$149,""),$D228*SUMIFS('Session Tracker'!$J$5:$J$149,'Session Tracker'!$D$5:$D$149,$A228,'Session Tracker'!$F$5:$F$149,"Next week",'Session Tracker'!$G$5:$G$149,""))</f>
        <v>0</v>
      </c>
    </row>
    <row r="230" customFormat="false" ht="19.5" hidden="false" customHeight="true" outlineLevel="0" collapsed="false">
      <c r="A230" s="47" t="s">
        <v>116</v>
      </c>
      <c r="B230" s="48" t="s">
        <v>465</v>
      </c>
      <c r="C230" s="48"/>
      <c r="D230" s="48"/>
      <c r="E230" s="48"/>
      <c r="F230" s="49" t="str">
        <f aca="false">"Status: "&amp;'Session Tracker'!F25&amp;IF('Session Tracker'!G25&lt;&gt;""," ("&amp;'Session Tracker'!G25&amp;")","")</f>
        <v>Status: Not started</v>
      </c>
      <c r="G230" s="49"/>
      <c r="H230" s="50"/>
      <c r="I230" s="50"/>
      <c r="J230" s="50"/>
      <c r="K230" s="50"/>
      <c r="L230" s="50"/>
      <c r="M230" s="50"/>
    </row>
    <row r="231" customFormat="false" ht="15" hidden="false" customHeight="false" outlineLevel="0" collapsed="false">
      <c r="A231" s="51" t="s">
        <v>116</v>
      </c>
      <c r="B231" s="34" t="s">
        <v>411</v>
      </c>
      <c r="C231" s="34" t="s">
        <v>450</v>
      </c>
      <c r="D231" s="32" t="n">
        <v>1</v>
      </c>
      <c r="E231" s="32" t="s">
        <v>14</v>
      </c>
      <c r="F231" s="32" t="s">
        <v>373</v>
      </c>
      <c r="G231" s="34"/>
      <c r="H231" s="52" t="n">
        <f aca="false">IF($E231="Per class",$D231*COUNTIFS('Session Tracker'!$D$5:$D$149,$A231,'Session Tracker'!$F$5:$F$149,"Next week",'Session Tracker'!$G$5:$G$149,"Mon"),$D231*SUMIFS('Session Tracker'!$J$5:$J$149,'Session Tracker'!$D$5:$D$149,$A231,'Session Tracker'!$F$5:$F$149,"Next week",'Session Tracker'!$G$5:$G$149,"Mon"))</f>
        <v>0</v>
      </c>
      <c r="I231" s="52" t="n">
        <f aca="false">IF($E231="Per class",$D231*COUNTIFS('Session Tracker'!$D$5:$D$149,$A231,'Session Tracker'!$F$5:$F$149,"Next week",'Session Tracker'!$G$5:$G$149,"Tue"),$D231*SUMIFS('Session Tracker'!$J$5:$J$149,'Session Tracker'!$D$5:$D$149,$A231,'Session Tracker'!$F$5:$F$149,"Next week",'Session Tracker'!$G$5:$G$149,"Tue"))</f>
        <v>0</v>
      </c>
      <c r="J231" s="52" t="n">
        <f aca="false">IF($E231="Per class",$D231*COUNTIFS('Session Tracker'!$D$5:$D$149,$A231,'Session Tracker'!$F$5:$F$149,"Next week",'Session Tracker'!$G$5:$G$149,"Wed"),$D231*SUMIFS('Session Tracker'!$J$5:$J$149,'Session Tracker'!$D$5:$D$149,$A231,'Session Tracker'!$F$5:$F$149,"Next week",'Session Tracker'!$G$5:$G$149,"Wed"))</f>
        <v>0</v>
      </c>
      <c r="K231" s="52" t="n">
        <f aca="false">IF($E231="Per class",$D231*COUNTIFS('Session Tracker'!$D$5:$D$149,$A231,'Session Tracker'!$F$5:$F$149,"Next week",'Session Tracker'!$G$5:$G$149,"Thu"),$D231*SUMIFS('Session Tracker'!$J$5:$J$149,'Session Tracker'!$D$5:$D$149,$A231,'Session Tracker'!$F$5:$F$149,"Next week",'Session Tracker'!$G$5:$G$149,"Thu"))</f>
        <v>0</v>
      </c>
      <c r="L231" s="52" t="n">
        <f aca="false">IF($E231="Per class",$D231*COUNTIFS('Session Tracker'!$D$5:$D$149,$A231,'Session Tracker'!$F$5:$F$149,"Next week",'Session Tracker'!$G$5:$G$149,"Fri"),$D231*SUMIFS('Session Tracker'!$J$5:$J$149,'Session Tracker'!$D$5:$D$149,$A231,'Session Tracker'!$F$5:$F$149,"Next week",'Session Tracker'!$G$5:$G$149,"Fri"))</f>
        <v>0</v>
      </c>
      <c r="M231" s="52" t="n">
        <f aca="false">IF($E231="Per class",$D231*COUNTIFS('Session Tracker'!$D$5:$D$149,$A231,'Session Tracker'!$F$5:$F$149,"Next week",'Session Tracker'!$G$5:$G$149,""),$D231*SUMIFS('Session Tracker'!$J$5:$J$149,'Session Tracker'!$D$5:$D$149,$A231,'Session Tracker'!$F$5:$F$149,"Next week",'Session Tracker'!$G$5:$G$149,""))</f>
        <v>0</v>
      </c>
    </row>
    <row r="232" customFormat="false" ht="15" hidden="false" customHeight="false" outlineLevel="0" collapsed="false">
      <c r="A232" s="51" t="s">
        <v>116</v>
      </c>
      <c r="B232" s="34" t="s">
        <v>411</v>
      </c>
      <c r="C232" s="34" t="s">
        <v>413</v>
      </c>
      <c r="D232" s="32" t="n">
        <v>1</v>
      </c>
      <c r="E232" s="32" t="s">
        <v>14</v>
      </c>
      <c r="F232" s="32" t="s">
        <v>373</v>
      </c>
      <c r="G232" s="34"/>
      <c r="H232" s="52" t="n">
        <f aca="false">IF($E232="Per class",$D232*COUNTIFS('Session Tracker'!$D$5:$D$149,$A232,'Session Tracker'!$F$5:$F$149,"Next week",'Session Tracker'!$G$5:$G$149,"Mon"),$D232*SUMIFS('Session Tracker'!$J$5:$J$149,'Session Tracker'!$D$5:$D$149,$A232,'Session Tracker'!$F$5:$F$149,"Next week",'Session Tracker'!$G$5:$G$149,"Mon"))</f>
        <v>0</v>
      </c>
      <c r="I232" s="52" t="n">
        <f aca="false">IF($E232="Per class",$D232*COUNTIFS('Session Tracker'!$D$5:$D$149,$A232,'Session Tracker'!$F$5:$F$149,"Next week",'Session Tracker'!$G$5:$G$149,"Tue"),$D232*SUMIFS('Session Tracker'!$J$5:$J$149,'Session Tracker'!$D$5:$D$149,$A232,'Session Tracker'!$F$5:$F$149,"Next week",'Session Tracker'!$G$5:$G$149,"Tue"))</f>
        <v>0</v>
      </c>
      <c r="J232" s="52" t="n">
        <f aca="false">IF($E232="Per class",$D232*COUNTIFS('Session Tracker'!$D$5:$D$149,$A232,'Session Tracker'!$F$5:$F$149,"Next week",'Session Tracker'!$G$5:$G$149,"Wed"),$D232*SUMIFS('Session Tracker'!$J$5:$J$149,'Session Tracker'!$D$5:$D$149,$A232,'Session Tracker'!$F$5:$F$149,"Next week",'Session Tracker'!$G$5:$G$149,"Wed"))</f>
        <v>0</v>
      </c>
      <c r="K232" s="52" t="n">
        <f aca="false">IF($E232="Per class",$D232*COUNTIFS('Session Tracker'!$D$5:$D$149,$A232,'Session Tracker'!$F$5:$F$149,"Next week",'Session Tracker'!$G$5:$G$149,"Thu"),$D232*SUMIFS('Session Tracker'!$J$5:$J$149,'Session Tracker'!$D$5:$D$149,$A232,'Session Tracker'!$F$5:$F$149,"Next week",'Session Tracker'!$G$5:$G$149,"Thu"))</f>
        <v>0</v>
      </c>
      <c r="L232" s="52" t="n">
        <f aca="false">IF($E232="Per class",$D232*COUNTIFS('Session Tracker'!$D$5:$D$149,$A232,'Session Tracker'!$F$5:$F$149,"Next week",'Session Tracker'!$G$5:$G$149,"Fri"),$D232*SUMIFS('Session Tracker'!$J$5:$J$149,'Session Tracker'!$D$5:$D$149,$A232,'Session Tracker'!$F$5:$F$149,"Next week",'Session Tracker'!$G$5:$G$149,"Fri"))</f>
        <v>0</v>
      </c>
      <c r="M232" s="52" t="n">
        <f aca="false">IF($E232="Per class",$D232*COUNTIFS('Session Tracker'!$D$5:$D$149,$A232,'Session Tracker'!$F$5:$F$149,"Next week",'Session Tracker'!$G$5:$G$149,""),$D232*SUMIFS('Session Tracker'!$J$5:$J$149,'Session Tracker'!$D$5:$D$149,$A232,'Session Tracker'!$F$5:$F$149,"Next week",'Session Tracker'!$G$5:$G$149,""))</f>
        <v>0</v>
      </c>
    </row>
    <row r="233" customFormat="false" ht="15" hidden="false" customHeight="false" outlineLevel="0" collapsed="false">
      <c r="A233" s="51" t="s">
        <v>116</v>
      </c>
      <c r="B233" s="34" t="s">
        <v>411</v>
      </c>
      <c r="C233" s="34" t="s">
        <v>414</v>
      </c>
      <c r="D233" s="32" t="n">
        <v>1</v>
      </c>
      <c r="E233" s="32" t="s">
        <v>16</v>
      </c>
      <c r="F233" s="32" t="s">
        <v>373</v>
      </c>
      <c r="G233" s="34" t="s">
        <v>466</v>
      </c>
      <c r="H233" s="52" t="n">
        <f aca="false">IF($E233="Per class",$D233*COUNTIFS('Session Tracker'!$D$5:$D$149,$A233,'Session Tracker'!$F$5:$F$149,"Next week",'Session Tracker'!$G$5:$G$149,"Mon"),$D233*SUMIFS('Session Tracker'!$J$5:$J$149,'Session Tracker'!$D$5:$D$149,$A233,'Session Tracker'!$F$5:$F$149,"Next week",'Session Tracker'!$G$5:$G$149,"Mon"))</f>
        <v>0</v>
      </c>
      <c r="I233" s="52" t="n">
        <f aca="false">IF($E233="Per class",$D233*COUNTIFS('Session Tracker'!$D$5:$D$149,$A233,'Session Tracker'!$F$5:$F$149,"Next week",'Session Tracker'!$G$5:$G$149,"Tue"),$D233*SUMIFS('Session Tracker'!$J$5:$J$149,'Session Tracker'!$D$5:$D$149,$A233,'Session Tracker'!$F$5:$F$149,"Next week",'Session Tracker'!$G$5:$G$149,"Tue"))</f>
        <v>0</v>
      </c>
      <c r="J233" s="52" t="n">
        <f aca="false">IF($E233="Per class",$D233*COUNTIFS('Session Tracker'!$D$5:$D$149,$A233,'Session Tracker'!$F$5:$F$149,"Next week",'Session Tracker'!$G$5:$G$149,"Wed"),$D233*SUMIFS('Session Tracker'!$J$5:$J$149,'Session Tracker'!$D$5:$D$149,$A233,'Session Tracker'!$F$5:$F$149,"Next week",'Session Tracker'!$G$5:$G$149,"Wed"))</f>
        <v>0</v>
      </c>
      <c r="K233" s="52" t="n">
        <f aca="false">IF($E233="Per class",$D233*COUNTIFS('Session Tracker'!$D$5:$D$149,$A233,'Session Tracker'!$F$5:$F$149,"Next week",'Session Tracker'!$G$5:$G$149,"Thu"),$D233*SUMIFS('Session Tracker'!$J$5:$J$149,'Session Tracker'!$D$5:$D$149,$A233,'Session Tracker'!$F$5:$F$149,"Next week",'Session Tracker'!$G$5:$G$149,"Thu"))</f>
        <v>0</v>
      </c>
      <c r="L233" s="52" t="n">
        <f aca="false">IF($E233="Per class",$D233*COUNTIFS('Session Tracker'!$D$5:$D$149,$A233,'Session Tracker'!$F$5:$F$149,"Next week",'Session Tracker'!$G$5:$G$149,"Fri"),$D233*SUMIFS('Session Tracker'!$J$5:$J$149,'Session Tracker'!$D$5:$D$149,$A233,'Session Tracker'!$F$5:$F$149,"Next week",'Session Tracker'!$G$5:$G$149,"Fri"))</f>
        <v>0</v>
      </c>
      <c r="M233" s="52" t="n">
        <f aca="false">IF($E233="Per class",$D233*COUNTIFS('Session Tracker'!$D$5:$D$149,$A233,'Session Tracker'!$F$5:$F$149,"Next week",'Session Tracker'!$G$5:$G$149,""),$D233*SUMIFS('Session Tracker'!$J$5:$J$149,'Session Tracker'!$D$5:$D$149,$A233,'Session Tracker'!$F$5:$F$149,"Next week",'Session Tracker'!$G$5:$G$149,""))</f>
        <v>0</v>
      </c>
    </row>
    <row r="234" customFormat="false" ht="15" hidden="false" customHeight="false" outlineLevel="0" collapsed="false">
      <c r="A234" s="53" t="s">
        <v>116</v>
      </c>
      <c r="B234" s="54"/>
      <c r="C234" s="54"/>
      <c r="D234" s="54"/>
      <c r="E234" s="54"/>
      <c r="F234" s="54"/>
      <c r="G234" s="54"/>
      <c r="H234" s="52" t="n">
        <f aca="false">IF($E234="Per class",$D234*COUNTIFS('Session Tracker'!$D$5:$D$149,$A234,'Session Tracker'!$F$5:$F$149,"Next week",'Session Tracker'!$G$5:$G$149,"Mon"),$D234*SUMIFS('Session Tracker'!$J$5:$J$149,'Session Tracker'!$D$5:$D$149,$A234,'Session Tracker'!$F$5:$F$149,"Next week",'Session Tracker'!$G$5:$G$149,"Mon"))</f>
        <v>0</v>
      </c>
      <c r="I234" s="52" t="n">
        <f aca="false">IF($E234="Per class",$D234*COUNTIFS('Session Tracker'!$D$5:$D$149,$A234,'Session Tracker'!$F$5:$F$149,"Next week",'Session Tracker'!$G$5:$G$149,"Tue"),$D234*SUMIFS('Session Tracker'!$J$5:$J$149,'Session Tracker'!$D$5:$D$149,$A234,'Session Tracker'!$F$5:$F$149,"Next week",'Session Tracker'!$G$5:$G$149,"Tue"))</f>
        <v>0</v>
      </c>
      <c r="J234" s="52" t="n">
        <f aca="false">IF($E234="Per class",$D234*COUNTIFS('Session Tracker'!$D$5:$D$149,$A234,'Session Tracker'!$F$5:$F$149,"Next week",'Session Tracker'!$G$5:$G$149,"Wed"),$D234*SUMIFS('Session Tracker'!$J$5:$J$149,'Session Tracker'!$D$5:$D$149,$A234,'Session Tracker'!$F$5:$F$149,"Next week",'Session Tracker'!$G$5:$G$149,"Wed"))</f>
        <v>0</v>
      </c>
      <c r="K234" s="52" t="n">
        <f aca="false">IF($E234="Per class",$D234*COUNTIFS('Session Tracker'!$D$5:$D$149,$A234,'Session Tracker'!$F$5:$F$149,"Next week",'Session Tracker'!$G$5:$G$149,"Thu"),$D234*SUMIFS('Session Tracker'!$J$5:$J$149,'Session Tracker'!$D$5:$D$149,$A234,'Session Tracker'!$F$5:$F$149,"Next week",'Session Tracker'!$G$5:$G$149,"Thu"))</f>
        <v>0</v>
      </c>
      <c r="L234" s="52" t="n">
        <f aca="false">IF($E234="Per class",$D234*COUNTIFS('Session Tracker'!$D$5:$D$149,$A234,'Session Tracker'!$F$5:$F$149,"Next week",'Session Tracker'!$G$5:$G$149,"Fri"),$D234*SUMIFS('Session Tracker'!$J$5:$J$149,'Session Tracker'!$D$5:$D$149,$A234,'Session Tracker'!$F$5:$F$149,"Next week",'Session Tracker'!$G$5:$G$149,"Fri"))</f>
        <v>0</v>
      </c>
      <c r="M234" s="52" t="n">
        <f aca="false">IF($E234="Per class",$D234*COUNTIFS('Session Tracker'!$D$5:$D$149,$A234,'Session Tracker'!$F$5:$F$149,"Next week",'Session Tracker'!$G$5:$G$149,""),$D234*SUMIFS('Session Tracker'!$J$5:$J$149,'Session Tracker'!$D$5:$D$149,$A234,'Session Tracker'!$F$5:$F$149,"Next week",'Session Tracker'!$G$5:$G$149,""))</f>
        <v>0</v>
      </c>
    </row>
    <row r="235" customFormat="false" ht="15" hidden="false" customHeight="false" outlineLevel="0" collapsed="false">
      <c r="A235" s="53" t="s">
        <v>116</v>
      </c>
      <c r="B235" s="54"/>
      <c r="C235" s="54"/>
      <c r="D235" s="54"/>
      <c r="E235" s="54"/>
      <c r="F235" s="54"/>
      <c r="G235" s="54"/>
      <c r="H235" s="52" t="n">
        <f aca="false">IF($E235="Per class",$D235*COUNTIFS('Session Tracker'!$D$5:$D$149,$A235,'Session Tracker'!$F$5:$F$149,"Next week",'Session Tracker'!$G$5:$G$149,"Mon"),$D235*SUMIFS('Session Tracker'!$J$5:$J$149,'Session Tracker'!$D$5:$D$149,$A235,'Session Tracker'!$F$5:$F$149,"Next week",'Session Tracker'!$G$5:$G$149,"Mon"))</f>
        <v>0</v>
      </c>
      <c r="I235" s="52" t="n">
        <f aca="false">IF($E235="Per class",$D235*COUNTIFS('Session Tracker'!$D$5:$D$149,$A235,'Session Tracker'!$F$5:$F$149,"Next week",'Session Tracker'!$G$5:$G$149,"Tue"),$D235*SUMIFS('Session Tracker'!$J$5:$J$149,'Session Tracker'!$D$5:$D$149,$A235,'Session Tracker'!$F$5:$F$149,"Next week",'Session Tracker'!$G$5:$G$149,"Tue"))</f>
        <v>0</v>
      </c>
      <c r="J235" s="52" t="n">
        <f aca="false">IF($E235="Per class",$D235*COUNTIFS('Session Tracker'!$D$5:$D$149,$A235,'Session Tracker'!$F$5:$F$149,"Next week",'Session Tracker'!$G$5:$G$149,"Wed"),$D235*SUMIFS('Session Tracker'!$J$5:$J$149,'Session Tracker'!$D$5:$D$149,$A235,'Session Tracker'!$F$5:$F$149,"Next week",'Session Tracker'!$G$5:$G$149,"Wed"))</f>
        <v>0</v>
      </c>
      <c r="K235" s="52" t="n">
        <f aca="false">IF($E235="Per class",$D235*COUNTIFS('Session Tracker'!$D$5:$D$149,$A235,'Session Tracker'!$F$5:$F$149,"Next week",'Session Tracker'!$G$5:$G$149,"Thu"),$D235*SUMIFS('Session Tracker'!$J$5:$J$149,'Session Tracker'!$D$5:$D$149,$A235,'Session Tracker'!$F$5:$F$149,"Next week",'Session Tracker'!$G$5:$G$149,"Thu"))</f>
        <v>0</v>
      </c>
      <c r="L235" s="52" t="n">
        <f aca="false">IF($E235="Per class",$D235*COUNTIFS('Session Tracker'!$D$5:$D$149,$A235,'Session Tracker'!$F$5:$F$149,"Next week",'Session Tracker'!$G$5:$G$149,"Fri"),$D235*SUMIFS('Session Tracker'!$J$5:$J$149,'Session Tracker'!$D$5:$D$149,$A235,'Session Tracker'!$F$5:$F$149,"Next week",'Session Tracker'!$G$5:$G$149,"Fri"))</f>
        <v>0</v>
      </c>
      <c r="M235" s="52" t="n">
        <f aca="false">IF($E235="Per class",$D235*COUNTIFS('Session Tracker'!$D$5:$D$149,$A235,'Session Tracker'!$F$5:$F$149,"Next week",'Session Tracker'!$G$5:$G$149,""),$D235*SUMIFS('Session Tracker'!$J$5:$J$149,'Session Tracker'!$D$5:$D$149,$A235,'Session Tracker'!$F$5:$F$149,"Next week",'Session Tracker'!$G$5:$G$149,""))</f>
        <v>0</v>
      </c>
    </row>
    <row r="237" customFormat="false" ht="19.5" hidden="false" customHeight="true" outlineLevel="0" collapsed="false">
      <c r="A237" s="47" t="s">
        <v>118</v>
      </c>
      <c r="B237" s="48" t="s">
        <v>467</v>
      </c>
      <c r="C237" s="48"/>
      <c r="D237" s="48"/>
      <c r="E237" s="48"/>
      <c r="F237" s="49" t="str">
        <f aca="false">"Status: "&amp;'Session Tracker'!F26&amp;IF('Session Tracker'!G26&lt;&gt;""," ("&amp;'Session Tracker'!G26&amp;")","")</f>
        <v>Status: Not started</v>
      </c>
      <c r="G237" s="49"/>
      <c r="H237" s="50"/>
      <c r="I237" s="50"/>
      <c r="J237" s="50"/>
      <c r="K237" s="50"/>
      <c r="L237" s="50"/>
      <c r="M237" s="50"/>
    </row>
    <row r="238" customFormat="false" ht="15" hidden="false" customHeight="false" outlineLevel="0" collapsed="false">
      <c r="A238" s="51" t="s">
        <v>118</v>
      </c>
      <c r="B238" s="34" t="s">
        <v>382</v>
      </c>
      <c r="C238" s="34" t="s">
        <v>383</v>
      </c>
      <c r="D238" s="32" t="n">
        <v>1</v>
      </c>
      <c r="E238" s="32" t="s">
        <v>14</v>
      </c>
      <c r="F238" s="32" t="s">
        <v>368</v>
      </c>
      <c r="G238" s="34"/>
      <c r="H238" s="52" t="n">
        <f aca="false">IF($E238="Per class",$D238*COUNTIFS('Session Tracker'!$D$5:$D$149,$A238,'Session Tracker'!$F$5:$F$149,"Next week",'Session Tracker'!$G$5:$G$149,"Mon"),$D238*SUMIFS('Session Tracker'!$J$5:$J$149,'Session Tracker'!$D$5:$D$149,$A238,'Session Tracker'!$F$5:$F$149,"Next week",'Session Tracker'!$G$5:$G$149,"Mon"))</f>
        <v>0</v>
      </c>
      <c r="I238" s="52" t="n">
        <f aca="false">IF($E238="Per class",$D238*COUNTIFS('Session Tracker'!$D$5:$D$149,$A238,'Session Tracker'!$F$5:$F$149,"Next week",'Session Tracker'!$G$5:$G$149,"Tue"),$D238*SUMIFS('Session Tracker'!$J$5:$J$149,'Session Tracker'!$D$5:$D$149,$A238,'Session Tracker'!$F$5:$F$149,"Next week",'Session Tracker'!$G$5:$G$149,"Tue"))</f>
        <v>0</v>
      </c>
      <c r="J238" s="52" t="n">
        <f aca="false">IF($E238="Per class",$D238*COUNTIFS('Session Tracker'!$D$5:$D$149,$A238,'Session Tracker'!$F$5:$F$149,"Next week",'Session Tracker'!$G$5:$G$149,"Wed"),$D238*SUMIFS('Session Tracker'!$J$5:$J$149,'Session Tracker'!$D$5:$D$149,$A238,'Session Tracker'!$F$5:$F$149,"Next week",'Session Tracker'!$G$5:$G$149,"Wed"))</f>
        <v>0</v>
      </c>
      <c r="K238" s="52" t="n">
        <f aca="false">IF($E238="Per class",$D238*COUNTIFS('Session Tracker'!$D$5:$D$149,$A238,'Session Tracker'!$F$5:$F$149,"Next week",'Session Tracker'!$G$5:$G$149,"Thu"),$D238*SUMIFS('Session Tracker'!$J$5:$J$149,'Session Tracker'!$D$5:$D$149,$A238,'Session Tracker'!$F$5:$F$149,"Next week",'Session Tracker'!$G$5:$G$149,"Thu"))</f>
        <v>0</v>
      </c>
      <c r="L238" s="52" t="n">
        <f aca="false">IF($E238="Per class",$D238*COUNTIFS('Session Tracker'!$D$5:$D$149,$A238,'Session Tracker'!$F$5:$F$149,"Next week",'Session Tracker'!$G$5:$G$149,"Fri"),$D238*SUMIFS('Session Tracker'!$J$5:$J$149,'Session Tracker'!$D$5:$D$149,$A238,'Session Tracker'!$F$5:$F$149,"Next week",'Session Tracker'!$G$5:$G$149,"Fri"))</f>
        <v>0</v>
      </c>
      <c r="M238" s="52" t="n">
        <f aca="false">IF($E238="Per class",$D238*COUNTIFS('Session Tracker'!$D$5:$D$149,$A238,'Session Tracker'!$F$5:$F$149,"Next week",'Session Tracker'!$G$5:$G$149,""),$D238*SUMIFS('Session Tracker'!$J$5:$J$149,'Session Tracker'!$D$5:$D$149,$A238,'Session Tracker'!$F$5:$F$149,"Next week",'Session Tracker'!$G$5:$G$149,""))</f>
        <v>0</v>
      </c>
    </row>
    <row r="239" customFormat="false" ht="15" hidden="false" customHeight="false" outlineLevel="0" collapsed="false">
      <c r="A239" s="53" t="s">
        <v>118</v>
      </c>
      <c r="B239" s="54"/>
      <c r="C239" s="54"/>
      <c r="D239" s="54"/>
      <c r="E239" s="54"/>
      <c r="F239" s="54"/>
      <c r="G239" s="54"/>
      <c r="H239" s="52" t="n">
        <f aca="false">IF($E239="Per class",$D239*COUNTIFS('Session Tracker'!$D$5:$D$149,$A239,'Session Tracker'!$F$5:$F$149,"Next week",'Session Tracker'!$G$5:$G$149,"Mon"),$D239*SUMIFS('Session Tracker'!$J$5:$J$149,'Session Tracker'!$D$5:$D$149,$A239,'Session Tracker'!$F$5:$F$149,"Next week",'Session Tracker'!$G$5:$G$149,"Mon"))</f>
        <v>0</v>
      </c>
      <c r="I239" s="52" t="n">
        <f aca="false">IF($E239="Per class",$D239*COUNTIFS('Session Tracker'!$D$5:$D$149,$A239,'Session Tracker'!$F$5:$F$149,"Next week",'Session Tracker'!$G$5:$G$149,"Tue"),$D239*SUMIFS('Session Tracker'!$J$5:$J$149,'Session Tracker'!$D$5:$D$149,$A239,'Session Tracker'!$F$5:$F$149,"Next week",'Session Tracker'!$G$5:$G$149,"Tue"))</f>
        <v>0</v>
      </c>
      <c r="J239" s="52" t="n">
        <f aca="false">IF($E239="Per class",$D239*COUNTIFS('Session Tracker'!$D$5:$D$149,$A239,'Session Tracker'!$F$5:$F$149,"Next week",'Session Tracker'!$G$5:$G$149,"Wed"),$D239*SUMIFS('Session Tracker'!$J$5:$J$149,'Session Tracker'!$D$5:$D$149,$A239,'Session Tracker'!$F$5:$F$149,"Next week",'Session Tracker'!$G$5:$G$149,"Wed"))</f>
        <v>0</v>
      </c>
      <c r="K239" s="52" t="n">
        <f aca="false">IF($E239="Per class",$D239*COUNTIFS('Session Tracker'!$D$5:$D$149,$A239,'Session Tracker'!$F$5:$F$149,"Next week",'Session Tracker'!$G$5:$G$149,"Thu"),$D239*SUMIFS('Session Tracker'!$J$5:$J$149,'Session Tracker'!$D$5:$D$149,$A239,'Session Tracker'!$F$5:$F$149,"Next week",'Session Tracker'!$G$5:$G$149,"Thu"))</f>
        <v>0</v>
      </c>
      <c r="L239" s="52" t="n">
        <f aca="false">IF($E239="Per class",$D239*COUNTIFS('Session Tracker'!$D$5:$D$149,$A239,'Session Tracker'!$F$5:$F$149,"Next week",'Session Tracker'!$G$5:$G$149,"Fri"),$D239*SUMIFS('Session Tracker'!$J$5:$J$149,'Session Tracker'!$D$5:$D$149,$A239,'Session Tracker'!$F$5:$F$149,"Next week",'Session Tracker'!$G$5:$G$149,"Fri"))</f>
        <v>0</v>
      </c>
      <c r="M239" s="52" t="n">
        <f aca="false">IF($E239="Per class",$D239*COUNTIFS('Session Tracker'!$D$5:$D$149,$A239,'Session Tracker'!$F$5:$F$149,"Next week",'Session Tracker'!$G$5:$G$149,""),$D239*SUMIFS('Session Tracker'!$J$5:$J$149,'Session Tracker'!$D$5:$D$149,$A239,'Session Tracker'!$F$5:$F$149,"Next week",'Session Tracker'!$G$5:$G$149,""))</f>
        <v>0</v>
      </c>
    </row>
    <row r="240" customFormat="false" ht="15" hidden="false" customHeight="false" outlineLevel="0" collapsed="false">
      <c r="A240" s="53" t="s">
        <v>118</v>
      </c>
      <c r="B240" s="54"/>
      <c r="C240" s="54"/>
      <c r="D240" s="54"/>
      <c r="E240" s="54"/>
      <c r="F240" s="54"/>
      <c r="G240" s="54"/>
      <c r="H240" s="52" t="n">
        <f aca="false">IF($E240="Per class",$D240*COUNTIFS('Session Tracker'!$D$5:$D$149,$A240,'Session Tracker'!$F$5:$F$149,"Next week",'Session Tracker'!$G$5:$G$149,"Mon"),$D240*SUMIFS('Session Tracker'!$J$5:$J$149,'Session Tracker'!$D$5:$D$149,$A240,'Session Tracker'!$F$5:$F$149,"Next week",'Session Tracker'!$G$5:$G$149,"Mon"))</f>
        <v>0</v>
      </c>
      <c r="I240" s="52" t="n">
        <f aca="false">IF($E240="Per class",$D240*COUNTIFS('Session Tracker'!$D$5:$D$149,$A240,'Session Tracker'!$F$5:$F$149,"Next week",'Session Tracker'!$G$5:$G$149,"Tue"),$D240*SUMIFS('Session Tracker'!$J$5:$J$149,'Session Tracker'!$D$5:$D$149,$A240,'Session Tracker'!$F$5:$F$149,"Next week",'Session Tracker'!$G$5:$G$149,"Tue"))</f>
        <v>0</v>
      </c>
      <c r="J240" s="52" t="n">
        <f aca="false">IF($E240="Per class",$D240*COUNTIFS('Session Tracker'!$D$5:$D$149,$A240,'Session Tracker'!$F$5:$F$149,"Next week",'Session Tracker'!$G$5:$G$149,"Wed"),$D240*SUMIFS('Session Tracker'!$J$5:$J$149,'Session Tracker'!$D$5:$D$149,$A240,'Session Tracker'!$F$5:$F$149,"Next week",'Session Tracker'!$G$5:$G$149,"Wed"))</f>
        <v>0</v>
      </c>
      <c r="K240" s="52" t="n">
        <f aca="false">IF($E240="Per class",$D240*COUNTIFS('Session Tracker'!$D$5:$D$149,$A240,'Session Tracker'!$F$5:$F$149,"Next week",'Session Tracker'!$G$5:$G$149,"Thu"),$D240*SUMIFS('Session Tracker'!$J$5:$J$149,'Session Tracker'!$D$5:$D$149,$A240,'Session Tracker'!$F$5:$F$149,"Next week",'Session Tracker'!$G$5:$G$149,"Thu"))</f>
        <v>0</v>
      </c>
      <c r="L240" s="52" t="n">
        <f aca="false">IF($E240="Per class",$D240*COUNTIFS('Session Tracker'!$D$5:$D$149,$A240,'Session Tracker'!$F$5:$F$149,"Next week",'Session Tracker'!$G$5:$G$149,"Fri"),$D240*SUMIFS('Session Tracker'!$J$5:$J$149,'Session Tracker'!$D$5:$D$149,$A240,'Session Tracker'!$F$5:$F$149,"Next week",'Session Tracker'!$G$5:$G$149,"Fri"))</f>
        <v>0</v>
      </c>
      <c r="M240" s="52" t="n">
        <f aca="false">IF($E240="Per class",$D240*COUNTIFS('Session Tracker'!$D$5:$D$149,$A240,'Session Tracker'!$F$5:$F$149,"Next week",'Session Tracker'!$G$5:$G$149,""),$D240*SUMIFS('Session Tracker'!$J$5:$J$149,'Session Tracker'!$D$5:$D$149,$A240,'Session Tracker'!$F$5:$F$149,"Next week",'Session Tracker'!$G$5:$G$149,""))</f>
        <v>0</v>
      </c>
    </row>
    <row r="242" customFormat="false" ht="19.5" hidden="false" customHeight="true" outlineLevel="0" collapsed="false">
      <c r="A242" s="47" t="s">
        <v>120</v>
      </c>
      <c r="B242" s="48" t="s">
        <v>468</v>
      </c>
      <c r="C242" s="48"/>
      <c r="D242" s="48"/>
      <c r="E242" s="48"/>
      <c r="F242" s="49" t="str">
        <f aca="false">"Status: "&amp;'Session Tracker'!F27&amp;IF('Session Tracker'!G27&lt;&gt;""," ("&amp;'Session Tracker'!G27&amp;")","")</f>
        <v>Status: Not started</v>
      </c>
      <c r="G242" s="49"/>
      <c r="H242" s="50"/>
      <c r="I242" s="50"/>
      <c r="J242" s="50"/>
      <c r="K242" s="50"/>
      <c r="L242" s="50"/>
      <c r="M242" s="50"/>
    </row>
    <row r="243" customFormat="false" ht="15" hidden="false" customHeight="false" outlineLevel="0" collapsed="false">
      <c r="A243" s="51" t="s">
        <v>120</v>
      </c>
      <c r="B243" s="34" t="s">
        <v>447</v>
      </c>
      <c r="C243" s="34" t="s">
        <v>469</v>
      </c>
      <c r="D243" s="32" t="n">
        <v>1</v>
      </c>
      <c r="E243" s="32" t="s">
        <v>14</v>
      </c>
      <c r="F243" s="32" t="s">
        <v>368</v>
      </c>
      <c r="G243" s="34" t="s">
        <v>470</v>
      </c>
      <c r="H243" s="52" t="n">
        <f aca="false">IF($E243="Per class",$D243*COUNTIFS('Session Tracker'!$D$5:$D$149,$A243,'Session Tracker'!$F$5:$F$149,"Next week",'Session Tracker'!$G$5:$G$149,"Mon"),$D243*SUMIFS('Session Tracker'!$J$5:$J$149,'Session Tracker'!$D$5:$D$149,$A243,'Session Tracker'!$F$5:$F$149,"Next week",'Session Tracker'!$G$5:$G$149,"Mon"))</f>
        <v>0</v>
      </c>
      <c r="I243" s="52" t="n">
        <f aca="false">IF($E243="Per class",$D243*COUNTIFS('Session Tracker'!$D$5:$D$149,$A243,'Session Tracker'!$F$5:$F$149,"Next week",'Session Tracker'!$G$5:$G$149,"Tue"),$D243*SUMIFS('Session Tracker'!$J$5:$J$149,'Session Tracker'!$D$5:$D$149,$A243,'Session Tracker'!$F$5:$F$149,"Next week",'Session Tracker'!$G$5:$G$149,"Tue"))</f>
        <v>0</v>
      </c>
      <c r="J243" s="52" t="n">
        <f aca="false">IF($E243="Per class",$D243*COUNTIFS('Session Tracker'!$D$5:$D$149,$A243,'Session Tracker'!$F$5:$F$149,"Next week",'Session Tracker'!$G$5:$G$149,"Wed"),$D243*SUMIFS('Session Tracker'!$J$5:$J$149,'Session Tracker'!$D$5:$D$149,$A243,'Session Tracker'!$F$5:$F$149,"Next week",'Session Tracker'!$G$5:$G$149,"Wed"))</f>
        <v>0</v>
      </c>
      <c r="K243" s="52" t="n">
        <f aca="false">IF($E243="Per class",$D243*COUNTIFS('Session Tracker'!$D$5:$D$149,$A243,'Session Tracker'!$F$5:$F$149,"Next week",'Session Tracker'!$G$5:$G$149,"Thu"),$D243*SUMIFS('Session Tracker'!$J$5:$J$149,'Session Tracker'!$D$5:$D$149,$A243,'Session Tracker'!$F$5:$F$149,"Next week",'Session Tracker'!$G$5:$G$149,"Thu"))</f>
        <v>0</v>
      </c>
      <c r="L243" s="52" t="n">
        <f aca="false">IF($E243="Per class",$D243*COUNTIFS('Session Tracker'!$D$5:$D$149,$A243,'Session Tracker'!$F$5:$F$149,"Next week",'Session Tracker'!$G$5:$G$149,"Fri"),$D243*SUMIFS('Session Tracker'!$J$5:$J$149,'Session Tracker'!$D$5:$D$149,$A243,'Session Tracker'!$F$5:$F$149,"Next week",'Session Tracker'!$G$5:$G$149,"Fri"))</f>
        <v>0</v>
      </c>
      <c r="M243" s="52" t="n">
        <f aca="false">IF($E243="Per class",$D243*COUNTIFS('Session Tracker'!$D$5:$D$149,$A243,'Session Tracker'!$F$5:$F$149,"Next week",'Session Tracker'!$G$5:$G$149,""),$D243*SUMIFS('Session Tracker'!$J$5:$J$149,'Session Tracker'!$D$5:$D$149,$A243,'Session Tracker'!$F$5:$F$149,"Next week",'Session Tracker'!$G$5:$G$149,""))</f>
        <v>0</v>
      </c>
    </row>
    <row r="244" customFormat="false" ht="15" hidden="false" customHeight="false" outlineLevel="0" collapsed="false">
      <c r="A244" s="51" t="s">
        <v>120</v>
      </c>
      <c r="B244" s="34" t="s">
        <v>382</v>
      </c>
      <c r="C244" s="34" t="s">
        <v>383</v>
      </c>
      <c r="D244" s="32" t="n">
        <v>1</v>
      </c>
      <c r="E244" s="32" t="s">
        <v>14</v>
      </c>
      <c r="F244" s="32" t="s">
        <v>368</v>
      </c>
      <c r="G244" s="34"/>
      <c r="H244" s="52" t="n">
        <f aca="false">IF($E244="Per class",$D244*COUNTIFS('Session Tracker'!$D$5:$D$149,$A244,'Session Tracker'!$F$5:$F$149,"Next week",'Session Tracker'!$G$5:$G$149,"Mon"),$D244*SUMIFS('Session Tracker'!$J$5:$J$149,'Session Tracker'!$D$5:$D$149,$A244,'Session Tracker'!$F$5:$F$149,"Next week",'Session Tracker'!$G$5:$G$149,"Mon"))</f>
        <v>0</v>
      </c>
      <c r="I244" s="52" t="n">
        <f aca="false">IF($E244="Per class",$D244*COUNTIFS('Session Tracker'!$D$5:$D$149,$A244,'Session Tracker'!$F$5:$F$149,"Next week",'Session Tracker'!$G$5:$G$149,"Tue"),$D244*SUMIFS('Session Tracker'!$J$5:$J$149,'Session Tracker'!$D$5:$D$149,$A244,'Session Tracker'!$F$5:$F$149,"Next week",'Session Tracker'!$G$5:$G$149,"Tue"))</f>
        <v>0</v>
      </c>
      <c r="J244" s="52" t="n">
        <f aca="false">IF($E244="Per class",$D244*COUNTIFS('Session Tracker'!$D$5:$D$149,$A244,'Session Tracker'!$F$5:$F$149,"Next week",'Session Tracker'!$G$5:$G$149,"Wed"),$D244*SUMIFS('Session Tracker'!$J$5:$J$149,'Session Tracker'!$D$5:$D$149,$A244,'Session Tracker'!$F$5:$F$149,"Next week",'Session Tracker'!$G$5:$G$149,"Wed"))</f>
        <v>0</v>
      </c>
      <c r="K244" s="52" t="n">
        <f aca="false">IF($E244="Per class",$D244*COUNTIFS('Session Tracker'!$D$5:$D$149,$A244,'Session Tracker'!$F$5:$F$149,"Next week",'Session Tracker'!$G$5:$G$149,"Thu"),$D244*SUMIFS('Session Tracker'!$J$5:$J$149,'Session Tracker'!$D$5:$D$149,$A244,'Session Tracker'!$F$5:$F$149,"Next week",'Session Tracker'!$G$5:$G$149,"Thu"))</f>
        <v>0</v>
      </c>
      <c r="L244" s="52" t="n">
        <f aca="false">IF($E244="Per class",$D244*COUNTIFS('Session Tracker'!$D$5:$D$149,$A244,'Session Tracker'!$F$5:$F$149,"Next week",'Session Tracker'!$G$5:$G$149,"Fri"),$D244*SUMIFS('Session Tracker'!$J$5:$J$149,'Session Tracker'!$D$5:$D$149,$A244,'Session Tracker'!$F$5:$F$149,"Next week",'Session Tracker'!$G$5:$G$149,"Fri"))</f>
        <v>0</v>
      </c>
      <c r="M244" s="52" t="n">
        <f aca="false">IF($E244="Per class",$D244*COUNTIFS('Session Tracker'!$D$5:$D$149,$A244,'Session Tracker'!$F$5:$F$149,"Next week",'Session Tracker'!$G$5:$G$149,""),$D244*SUMIFS('Session Tracker'!$J$5:$J$149,'Session Tracker'!$D$5:$D$149,$A244,'Session Tracker'!$F$5:$F$149,"Next week",'Session Tracker'!$G$5:$G$149,""))</f>
        <v>0</v>
      </c>
    </row>
    <row r="245" customFormat="false" ht="15" hidden="false" customHeight="false" outlineLevel="0" collapsed="false">
      <c r="A245" s="51" t="s">
        <v>120</v>
      </c>
      <c r="B245" s="34" t="s">
        <v>411</v>
      </c>
      <c r="C245" s="34" t="s">
        <v>414</v>
      </c>
      <c r="D245" s="32" t="n">
        <v>1</v>
      </c>
      <c r="E245" s="32" t="s">
        <v>16</v>
      </c>
      <c r="F245" s="32" t="s">
        <v>373</v>
      </c>
      <c r="G245" s="34" t="s">
        <v>471</v>
      </c>
      <c r="H245" s="52" t="n">
        <f aca="false">IF($E245="Per class",$D245*COUNTIFS('Session Tracker'!$D$5:$D$149,$A245,'Session Tracker'!$F$5:$F$149,"Next week",'Session Tracker'!$G$5:$G$149,"Mon"),$D245*SUMIFS('Session Tracker'!$J$5:$J$149,'Session Tracker'!$D$5:$D$149,$A245,'Session Tracker'!$F$5:$F$149,"Next week",'Session Tracker'!$G$5:$G$149,"Mon"))</f>
        <v>0</v>
      </c>
      <c r="I245" s="52" t="n">
        <f aca="false">IF($E245="Per class",$D245*COUNTIFS('Session Tracker'!$D$5:$D$149,$A245,'Session Tracker'!$F$5:$F$149,"Next week",'Session Tracker'!$G$5:$G$149,"Tue"),$D245*SUMIFS('Session Tracker'!$J$5:$J$149,'Session Tracker'!$D$5:$D$149,$A245,'Session Tracker'!$F$5:$F$149,"Next week",'Session Tracker'!$G$5:$G$149,"Tue"))</f>
        <v>0</v>
      </c>
      <c r="J245" s="52" t="n">
        <f aca="false">IF($E245="Per class",$D245*COUNTIFS('Session Tracker'!$D$5:$D$149,$A245,'Session Tracker'!$F$5:$F$149,"Next week",'Session Tracker'!$G$5:$G$149,"Wed"),$D245*SUMIFS('Session Tracker'!$J$5:$J$149,'Session Tracker'!$D$5:$D$149,$A245,'Session Tracker'!$F$5:$F$149,"Next week",'Session Tracker'!$G$5:$G$149,"Wed"))</f>
        <v>0</v>
      </c>
      <c r="K245" s="52" t="n">
        <f aca="false">IF($E245="Per class",$D245*COUNTIFS('Session Tracker'!$D$5:$D$149,$A245,'Session Tracker'!$F$5:$F$149,"Next week",'Session Tracker'!$G$5:$G$149,"Thu"),$D245*SUMIFS('Session Tracker'!$J$5:$J$149,'Session Tracker'!$D$5:$D$149,$A245,'Session Tracker'!$F$5:$F$149,"Next week",'Session Tracker'!$G$5:$G$149,"Thu"))</f>
        <v>0</v>
      </c>
      <c r="L245" s="52" t="n">
        <f aca="false">IF($E245="Per class",$D245*COUNTIFS('Session Tracker'!$D$5:$D$149,$A245,'Session Tracker'!$F$5:$F$149,"Next week",'Session Tracker'!$G$5:$G$149,"Fri"),$D245*SUMIFS('Session Tracker'!$J$5:$J$149,'Session Tracker'!$D$5:$D$149,$A245,'Session Tracker'!$F$5:$F$149,"Next week",'Session Tracker'!$G$5:$G$149,"Fri"))</f>
        <v>0</v>
      </c>
      <c r="M245" s="52" t="n">
        <f aca="false">IF($E245="Per class",$D245*COUNTIFS('Session Tracker'!$D$5:$D$149,$A245,'Session Tracker'!$F$5:$F$149,"Next week",'Session Tracker'!$G$5:$G$149,""),$D245*SUMIFS('Session Tracker'!$J$5:$J$149,'Session Tracker'!$D$5:$D$149,$A245,'Session Tracker'!$F$5:$F$149,"Next week",'Session Tracker'!$G$5:$G$149,""))</f>
        <v>0</v>
      </c>
    </row>
    <row r="246" customFormat="false" ht="15" hidden="false" customHeight="false" outlineLevel="0" collapsed="false">
      <c r="A246" s="51" t="s">
        <v>120</v>
      </c>
      <c r="B246" s="34" t="s">
        <v>411</v>
      </c>
      <c r="C246" s="34" t="s">
        <v>450</v>
      </c>
      <c r="D246" s="32" t="n">
        <v>1</v>
      </c>
      <c r="E246" s="32" t="s">
        <v>14</v>
      </c>
      <c r="F246" s="32" t="s">
        <v>373</v>
      </c>
      <c r="G246" s="34"/>
      <c r="H246" s="52" t="n">
        <f aca="false">IF($E246="Per class",$D246*COUNTIFS('Session Tracker'!$D$5:$D$149,$A246,'Session Tracker'!$F$5:$F$149,"Next week",'Session Tracker'!$G$5:$G$149,"Mon"),$D246*SUMIFS('Session Tracker'!$J$5:$J$149,'Session Tracker'!$D$5:$D$149,$A246,'Session Tracker'!$F$5:$F$149,"Next week",'Session Tracker'!$G$5:$G$149,"Mon"))</f>
        <v>0</v>
      </c>
      <c r="I246" s="52" t="n">
        <f aca="false">IF($E246="Per class",$D246*COUNTIFS('Session Tracker'!$D$5:$D$149,$A246,'Session Tracker'!$F$5:$F$149,"Next week",'Session Tracker'!$G$5:$G$149,"Tue"),$D246*SUMIFS('Session Tracker'!$J$5:$J$149,'Session Tracker'!$D$5:$D$149,$A246,'Session Tracker'!$F$5:$F$149,"Next week",'Session Tracker'!$G$5:$G$149,"Tue"))</f>
        <v>0</v>
      </c>
      <c r="J246" s="52" t="n">
        <f aca="false">IF($E246="Per class",$D246*COUNTIFS('Session Tracker'!$D$5:$D$149,$A246,'Session Tracker'!$F$5:$F$149,"Next week",'Session Tracker'!$G$5:$G$149,"Wed"),$D246*SUMIFS('Session Tracker'!$J$5:$J$149,'Session Tracker'!$D$5:$D$149,$A246,'Session Tracker'!$F$5:$F$149,"Next week",'Session Tracker'!$G$5:$G$149,"Wed"))</f>
        <v>0</v>
      </c>
      <c r="K246" s="52" t="n">
        <f aca="false">IF($E246="Per class",$D246*COUNTIFS('Session Tracker'!$D$5:$D$149,$A246,'Session Tracker'!$F$5:$F$149,"Next week",'Session Tracker'!$G$5:$G$149,"Thu"),$D246*SUMIFS('Session Tracker'!$J$5:$J$149,'Session Tracker'!$D$5:$D$149,$A246,'Session Tracker'!$F$5:$F$149,"Next week",'Session Tracker'!$G$5:$G$149,"Thu"))</f>
        <v>0</v>
      </c>
      <c r="L246" s="52" t="n">
        <f aca="false">IF($E246="Per class",$D246*COUNTIFS('Session Tracker'!$D$5:$D$149,$A246,'Session Tracker'!$F$5:$F$149,"Next week",'Session Tracker'!$G$5:$G$149,"Fri"),$D246*SUMIFS('Session Tracker'!$J$5:$J$149,'Session Tracker'!$D$5:$D$149,$A246,'Session Tracker'!$F$5:$F$149,"Next week",'Session Tracker'!$G$5:$G$149,"Fri"))</f>
        <v>0</v>
      </c>
      <c r="M246" s="52" t="n">
        <f aca="false">IF($E246="Per class",$D246*COUNTIFS('Session Tracker'!$D$5:$D$149,$A246,'Session Tracker'!$F$5:$F$149,"Next week",'Session Tracker'!$G$5:$G$149,""),$D246*SUMIFS('Session Tracker'!$J$5:$J$149,'Session Tracker'!$D$5:$D$149,$A246,'Session Tracker'!$F$5:$F$149,"Next week",'Session Tracker'!$G$5:$G$149,""))</f>
        <v>0</v>
      </c>
    </row>
    <row r="247" customFormat="false" ht="15" hidden="false" customHeight="false" outlineLevel="0" collapsed="false">
      <c r="A247" s="53" t="s">
        <v>120</v>
      </c>
      <c r="B247" s="54"/>
      <c r="C247" s="54"/>
      <c r="D247" s="54"/>
      <c r="E247" s="54"/>
      <c r="F247" s="54"/>
      <c r="G247" s="54"/>
      <c r="H247" s="52" t="n">
        <f aca="false">IF($E247="Per class",$D247*COUNTIFS('Session Tracker'!$D$5:$D$149,$A247,'Session Tracker'!$F$5:$F$149,"Next week",'Session Tracker'!$G$5:$G$149,"Mon"),$D247*SUMIFS('Session Tracker'!$J$5:$J$149,'Session Tracker'!$D$5:$D$149,$A247,'Session Tracker'!$F$5:$F$149,"Next week",'Session Tracker'!$G$5:$G$149,"Mon"))</f>
        <v>0</v>
      </c>
      <c r="I247" s="52" t="n">
        <f aca="false">IF($E247="Per class",$D247*COUNTIFS('Session Tracker'!$D$5:$D$149,$A247,'Session Tracker'!$F$5:$F$149,"Next week",'Session Tracker'!$G$5:$G$149,"Tue"),$D247*SUMIFS('Session Tracker'!$J$5:$J$149,'Session Tracker'!$D$5:$D$149,$A247,'Session Tracker'!$F$5:$F$149,"Next week",'Session Tracker'!$G$5:$G$149,"Tue"))</f>
        <v>0</v>
      </c>
      <c r="J247" s="52" t="n">
        <f aca="false">IF($E247="Per class",$D247*COUNTIFS('Session Tracker'!$D$5:$D$149,$A247,'Session Tracker'!$F$5:$F$149,"Next week",'Session Tracker'!$G$5:$G$149,"Wed"),$D247*SUMIFS('Session Tracker'!$J$5:$J$149,'Session Tracker'!$D$5:$D$149,$A247,'Session Tracker'!$F$5:$F$149,"Next week",'Session Tracker'!$G$5:$G$149,"Wed"))</f>
        <v>0</v>
      </c>
      <c r="K247" s="52" t="n">
        <f aca="false">IF($E247="Per class",$D247*COUNTIFS('Session Tracker'!$D$5:$D$149,$A247,'Session Tracker'!$F$5:$F$149,"Next week",'Session Tracker'!$G$5:$G$149,"Thu"),$D247*SUMIFS('Session Tracker'!$J$5:$J$149,'Session Tracker'!$D$5:$D$149,$A247,'Session Tracker'!$F$5:$F$149,"Next week",'Session Tracker'!$G$5:$G$149,"Thu"))</f>
        <v>0</v>
      </c>
      <c r="L247" s="52" t="n">
        <f aca="false">IF($E247="Per class",$D247*COUNTIFS('Session Tracker'!$D$5:$D$149,$A247,'Session Tracker'!$F$5:$F$149,"Next week",'Session Tracker'!$G$5:$G$149,"Fri"),$D247*SUMIFS('Session Tracker'!$J$5:$J$149,'Session Tracker'!$D$5:$D$149,$A247,'Session Tracker'!$F$5:$F$149,"Next week",'Session Tracker'!$G$5:$G$149,"Fri"))</f>
        <v>0</v>
      </c>
      <c r="M247" s="52" t="n">
        <f aca="false">IF($E247="Per class",$D247*COUNTIFS('Session Tracker'!$D$5:$D$149,$A247,'Session Tracker'!$F$5:$F$149,"Next week",'Session Tracker'!$G$5:$G$149,""),$D247*SUMIFS('Session Tracker'!$J$5:$J$149,'Session Tracker'!$D$5:$D$149,$A247,'Session Tracker'!$F$5:$F$149,"Next week",'Session Tracker'!$G$5:$G$149,""))</f>
        <v>0</v>
      </c>
    </row>
    <row r="248" customFormat="false" ht="15" hidden="false" customHeight="false" outlineLevel="0" collapsed="false">
      <c r="A248" s="53" t="s">
        <v>120</v>
      </c>
      <c r="B248" s="54"/>
      <c r="C248" s="54"/>
      <c r="D248" s="54"/>
      <c r="E248" s="54"/>
      <c r="F248" s="54"/>
      <c r="G248" s="54"/>
      <c r="H248" s="52" t="n">
        <f aca="false">IF($E248="Per class",$D248*COUNTIFS('Session Tracker'!$D$5:$D$149,$A248,'Session Tracker'!$F$5:$F$149,"Next week",'Session Tracker'!$G$5:$G$149,"Mon"),$D248*SUMIFS('Session Tracker'!$J$5:$J$149,'Session Tracker'!$D$5:$D$149,$A248,'Session Tracker'!$F$5:$F$149,"Next week",'Session Tracker'!$G$5:$G$149,"Mon"))</f>
        <v>0</v>
      </c>
      <c r="I248" s="52" t="n">
        <f aca="false">IF($E248="Per class",$D248*COUNTIFS('Session Tracker'!$D$5:$D$149,$A248,'Session Tracker'!$F$5:$F$149,"Next week",'Session Tracker'!$G$5:$G$149,"Tue"),$D248*SUMIFS('Session Tracker'!$J$5:$J$149,'Session Tracker'!$D$5:$D$149,$A248,'Session Tracker'!$F$5:$F$149,"Next week",'Session Tracker'!$G$5:$G$149,"Tue"))</f>
        <v>0</v>
      </c>
      <c r="J248" s="52" t="n">
        <f aca="false">IF($E248="Per class",$D248*COUNTIFS('Session Tracker'!$D$5:$D$149,$A248,'Session Tracker'!$F$5:$F$149,"Next week",'Session Tracker'!$G$5:$G$149,"Wed"),$D248*SUMIFS('Session Tracker'!$J$5:$J$149,'Session Tracker'!$D$5:$D$149,$A248,'Session Tracker'!$F$5:$F$149,"Next week",'Session Tracker'!$G$5:$G$149,"Wed"))</f>
        <v>0</v>
      </c>
      <c r="K248" s="52" t="n">
        <f aca="false">IF($E248="Per class",$D248*COUNTIFS('Session Tracker'!$D$5:$D$149,$A248,'Session Tracker'!$F$5:$F$149,"Next week",'Session Tracker'!$G$5:$G$149,"Thu"),$D248*SUMIFS('Session Tracker'!$J$5:$J$149,'Session Tracker'!$D$5:$D$149,$A248,'Session Tracker'!$F$5:$F$149,"Next week",'Session Tracker'!$G$5:$G$149,"Thu"))</f>
        <v>0</v>
      </c>
      <c r="L248" s="52" t="n">
        <f aca="false">IF($E248="Per class",$D248*COUNTIFS('Session Tracker'!$D$5:$D$149,$A248,'Session Tracker'!$F$5:$F$149,"Next week",'Session Tracker'!$G$5:$G$149,"Fri"),$D248*SUMIFS('Session Tracker'!$J$5:$J$149,'Session Tracker'!$D$5:$D$149,$A248,'Session Tracker'!$F$5:$F$149,"Next week",'Session Tracker'!$G$5:$G$149,"Fri"))</f>
        <v>0</v>
      </c>
      <c r="M248" s="52" t="n">
        <f aca="false">IF($E248="Per class",$D248*COUNTIFS('Session Tracker'!$D$5:$D$149,$A248,'Session Tracker'!$F$5:$F$149,"Next week",'Session Tracker'!$G$5:$G$149,""),$D248*SUMIFS('Session Tracker'!$J$5:$J$149,'Session Tracker'!$D$5:$D$149,$A248,'Session Tracker'!$F$5:$F$149,"Next week",'Session Tracker'!$G$5:$G$149,""))</f>
        <v>0</v>
      </c>
    </row>
    <row r="250" customFormat="false" ht="19.5" hidden="false" customHeight="true" outlineLevel="0" collapsed="false">
      <c r="A250" s="47" t="s">
        <v>122</v>
      </c>
      <c r="B250" s="48" t="s">
        <v>472</v>
      </c>
      <c r="C250" s="48"/>
      <c r="D250" s="48"/>
      <c r="E250" s="48"/>
      <c r="F250" s="49" t="str">
        <f aca="false">"Status: "&amp;'Session Tracker'!F28&amp;IF('Session Tracker'!G28&lt;&gt;""," ("&amp;'Session Tracker'!G28&amp;")","")</f>
        <v>Status: Not started</v>
      </c>
      <c r="G250" s="49"/>
      <c r="H250" s="50"/>
      <c r="I250" s="50"/>
      <c r="J250" s="50"/>
      <c r="K250" s="50"/>
      <c r="L250" s="50"/>
      <c r="M250" s="50"/>
    </row>
    <row r="251" customFormat="false" ht="15" hidden="false" customHeight="false" outlineLevel="0" collapsed="false">
      <c r="A251" s="51" t="s">
        <v>122</v>
      </c>
      <c r="B251" s="34" t="s">
        <v>382</v>
      </c>
      <c r="C251" s="34" t="s">
        <v>457</v>
      </c>
      <c r="D251" s="32" t="n">
        <v>1</v>
      </c>
      <c r="E251" s="32" t="s">
        <v>14</v>
      </c>
      <c r="F251" s="32" t="s">
        <v>368</v>
      </c>
      <c r="G251" s="34"/>
      <c r="H251" s="52" t="n">
        <f aca="false">IF($E251="Per class",$D251*COUNTIFS('Session Tracker'!$D$5:$D$149,$A251,'Session Tracker'!$F$5:$F$149,"Next week",'Session Tracker'!$G$5:$G$149,"Mon"),$D251*SUMIFS('Session Tracker'!$J$5:$J$149,'Session Tracker'!$D$5:$D$149,$A251,'Session Tracker'!$F$5:$F$149,"Next week",'Session Tracker'!$G$5:$G$149,"Mon"))</f>
        <v>0</v>
      </c>
      <c r="I251" s="52" t="n">
        <f aca="false">IF($E251="Per class",$D251*COUNTIFS('Session Tracker'!$D$5:$D$149,$A251,'Session Tracker'!$F$5:$F$149,"Next week",'Session Tracker'!$G$5:$G$149,"Tue"),$D251*SUMIFS('Session Tracker'!$J$5:$J$149,'Session Tracker'!$D$5:$D$149,$A251,'Session Tracker'!$F$5:$F$149,"Next week",'Session Tracker'!$G$5:$G$149,"Tue"))</f>
        <v>0</v>
      </c>
      <c r="J251" s="52" t="n">
        <f aca="false">IF($E251="Per class",$D251*COUNTIFS('Session Tracker'!$D$5:$D$149,$A251,'Session Tracker'!$F$5:$F$149,"Next week",'Session Tracker'!$G$5:$G$149,"Wed"),$D251*SUMIFS('Session Tracker'!$J$5:$J$149,'Session Tracker'!$D$5:$D$149,$A251,'Session Tracker'!$F$5:$F$149,"Next week",'Session Tracker'!$G$5:$G$149,"Wed"))</f>
        <v>0</v>
      </c>
      <c r="K251" s="52" t="n">
        <f aca="false">IF($E251="Per class",$D251*COUNTIFS('Session Tracker'!$D$5:$D$149,$A251,'Session Tracker'!$F$5:$F$149,"Next week",'Session Tracker'!$G$5:$G$149,"Thu"),$D251*SUMIFS('Session Tracker'!$J$5:$J$149,'Session Tracker'!$D$5:$D$149,$A251,'Session Tracker'!$F$5:$F$149,"Next week",'Session Tracker'!$G$5:$G$149,"Thu"))</f>
        <v>0</v>
      </c>
      <c r="L251" s="52" t="n">
        <f aca="false">IF($E251="Per class",$D251*COUNTIFS('Session Tracker'!$D$5:$D$149,$A251,'Session Tracker'!$F$5:$F$149,"Next week",'Session Tracker'!$G$5:$G$149,"Fri"),$D251*SUMIFS('Session Tracker'!$J$5:$J$149,'Session Tracker'!$D$5:$D$149,$A251,'Session Tracker'!$F$5:$F$149,"Next week",'Session Tracker'!$G$5:$G$149,"Fri"))</f>
        <v>0</v>
      </c>
      <c r="M251" s="52" t="n">
        <f aca="false">IF($E251="Per class",$D251*COUNTIFS('Session Tracker'!$D$5:$D$149,$A251,'Session Tracker'!$F$5:$F$149,"Next week",'Session Tracker'!$G$5:$G$149,""),$D251*SUMIFS('Session Tracker'!$J$5:$J$149,'Session Tracker'!$D$5:$D$149,$A251,'Session Tracker'!$F$5:$F$149,"Next week",'Session Tracker'!$G$5:$G$149,""))</f>
        <v>0</v>
      </c>
    </row>
    <row r="252" customFormat="false" ht="15" hidden="false" customHeight="false" outlineLevel="0" collapsed="false">
      <c r="A252" s="53" t="s">
        <v>122</v>
      </c>
      <c r="B252" s="54"/>
      <c r="C252" s="54"/>
      <c r="D252" s="54"/>
      <c r="E252" s="54"/>
      <c r="F252" s="54"/>
      <c r="G252" s="54"/>
      <c r="H252" s="52" t="n">
        <f aca="false">IF($E252="Per class",$D252*COUNTIFS('Session Tracker'!$D$5:$D$149,$A252,'Session Tracker'!$F$5:$F$149,"Next week",'Session Tracker'!$G$5:$G$149,"Mon"),$D252*SUMIFS('Session Tracker'!$J$5:$J$149,'Session Tracker'!$D$5:$D$149,$A252,'Session Tracker'!$F$5:$F$149,"Next week",'Session Tracker'!$G$5:$G$149,"Mon"))</f>
        <v>0</v>
      </c>
      <c r="I252" s="52" t="n">
        <f aca="false">IF($E252="Per class",$D252*COUNTIFS('Session Tracker'!$D$5:$D$149,$A252,'Session Tracker'!$F$5:$F$149,"Next week",'Session Tracker'!$G$5:$G$149,"Tue"),$D252*SUMIFS('Session Tracker'!$J$5:$J$149,'Session Tracker'!$D$5:$D$149,$A252,'Session Tracker'!$F$5:$F$149,"Next week",'Session Tracker'!$G$5:$G$149,"Tue"))</f>
        <v>0</v>
      </c>
      <c r="J252" s="52" t="n">
        <f aca="false">IF($E252="Per class",$D252*COUNTIFS('Session Tracker'!$D$5:$D$149,$A252,'Session Tracker'!$F$5:$F$149,"Next week",'Session Tracker'!$G$5:$G$149,"Wed"),$D252*SUMIFS('Session Tracker'!$J$5:$J$149,'Session Tracker'!$D$5:$D$149,$A252,'Session Tracker'!$F$5:$F$149,"Next week",'Session Tracker'!$G$5:$G$149,"Wed"))</f>
        <v>0</v>
      </c>
      <c r="K252" s="52" t="n">
        <f aca="false">IF($E252="Per class",$D252*COUNTIFS('Session Tracker'!$D$5:$D$149,$A252,'Session Tracker'!$F$5:$F$149,"Next week",'Session Tracker'!$G$5:$G$149,"Thu"),$D252*SUMIFS('Session Tracker'!$J$5:$J$149,'Session Tracker'!$D$5:$D$149,$A252,'Session Tracker'!$F$5:$F$149,"Next week",'Session Tracker'!$G$5:$G$149,"Thu"))</f>
        <v>0</v>
      </c>
      <c r="L252" s="52" t="n">
        <f aca="false">IF($E252="Per class",$D252*COUNTIFS('Session Tracker'!$D$5:$D$149,$A252,'Session Tracker'!$F$5:$F$149,"Next week",'Session Tracker'!$G$5:$G$149,"Fri"),$D252*SUMIFS('Session Tracker'!$J$5:$J$149,'Session Tracker'!$D$5:$D$149,$A252,'Session Tracker'!$F$5:$F$149,"Next week",'Session Tracker'!$G$5:$G$149,"Fri"))</f>
        <v>0</v>
      </c>
      <c r="M252" s="52" t="n">
        <f aca="false">IF($E252="Per class",$D252*COUNTIFS('Session Tracker'!$D$5:$D$149,$A252,'Session Tracker'!$F$5:$F$149,"Next week",'Session Tracker'!$G$5:$G$149,""),$D252*SUMIFS('Session Tracker'!$J$5:$J$149,'Session Tracker'!$D$5:$D$149,$A252,'Session Tracker'!$F$5:$F$149,"Next week",'Session Tracker'!$G$5:$G$149,""))</f>
        <v>0</v>
      </c>
    </row>
    <row r="253" customFormat="false" ht="15" hidden="false" customHeight="false" outlineLevel="0" collapsed="false">
      <c r="A253" s="53" t="s">
        <v>122</v>
      </c>
      <c r="B253" s="54"/>
      <c r="C253" s="54"/>
      <c r="D253" s="54"/>
      <c r="E253" s="54"/>
      <c r="F253" s="54"/>
      <c r="G253" s="54"/>
      <c r="H253" s="52" t="n">
        <f aca="false">IF($E253="Per class",$D253*COUNTIFS('Session Tracker'!$D$5:$D$149,$A253,'Session Tracker'!$F$5:$F$149,"Next week",'Session Tracker'!$G$5:$G$149,"Mon"),$D253*SUMIFS('Session Tracker'!$J$5:$J$149,'Session Tracker'!$D$5:$D$149,$A253,'Session Tracker'!$F$5:$F$149,"Next week",'Session Tracker'!$G$5:$G$149,"Mon"))</f>
        <v>0</v>
      </c>
      <c r="I253" s="52" t="n">
        <f aca="false">IF($E253="Per class",$D253*COUNTIFS('Session Tracker'!$D$5:$D$149,$A253,'Session Tracker'!$F$5:$F$149,"Next week",'Session Tracker'!$G$5:$G$149,"Tue"),$D253*SUMIFS('Session Tracker'!$J$5:$J$149,'Session Tracker'!$D$5:$D$149,$A253,'Session Tracker'!$F$5:$F$149,"Next week",'Session Tracker'!$G$5:$G$149,"Tue"))</f>
        <v>0</v>
      </c>
      <c r="J253" s="52" t="n">
        <f aca="false">IF($E253="Per class",$D253*COUNTIFS('Session Tracker'!$D$5:$D$149,$A253,'Session Tracker'!$F$5:$F$149,"Next week",'Session Tracker'!$G$5:$G$149,"Wed"),$D253*SUMIFS('Session Tracker'!$J$5:$J$149,'Session Tracker'!$D$5:$D$149,$A253,'Session Tracker'!$F$5:$F$149,"Next week",'Session Tracker'!$G$5:$G$149,"Wed"))</f>
        <v>0</v>
      </c>
      <c r="K253" s="52" t="n">
        <f aca="false">IF($E253="Per class",$D253*COUNTIFS('Session Tracker'!$D$5:$D$149,$A253,'Session Tracker'!$F$5:$F$149,"Next week",'Session Tracker'!$G$5:$G$149,"Thu"),$D253*SUMIFS('Session Tracker'!$J$5:$J$149,'Session Tracker'!$D$5:$D$149,$A253,'Session Tracker'!$F$5:$F$149,"Next week",'Session Tracker'!$G$5:$G$149,"Thu"))</f>
        <v>0</v>
      </c>
      <c r="L253" s="52" t="n">
        <f aca="false">IF($E253="Per class",$D253*COUNTIFS('Session Tracker'!$D$5:$D$149,$A253,'Session Tracker'!$F$5:$F$149,"Next week",'Session Tracker'!$G$5:$G$149,"Fri"),$D253*SUMIFS('Session Tracker'!$J$5:$J$149,'Session Tracker'!$D$5:$D$149,$A253,'Session Tracker'!$F$5:$F$149,"Next week",'Session Tracker'!$G$5:$G$149,"Fri"))</f>
        <v>0</v>
      </c>
      <c r="M253" s="52" t="n">
        <f aca="false">IF($E253="Per class",$D253*COUNTIFS('Session Tracker'!$D$5:$D$149,$A253,'Session Tracker'!$F$5:$F$149,"Next week",'Session Tracker'!$G$5:$G$149,""),$D253*SUMIFS('Session Tracker'!$J$5:$J$149,'Session Tracker'!$D$5:$D$149,$A253,'Session Tracker'!$F$5:$F$149,"Next week",'Session Tracker'!$G$5:$G$149,""))</f>
        <v>0</v>
      </c>
    </row>
    <row r="255" customFormat="false" ht="19.5" hidden="false" customHeight="true" outlineLevel="0" collapsed="false">
      <c r="A255" s="47" t="s">
        <v>124</v>
      </c>
      <c r="B255" s="48" t="s">
        <v>473</v>
      </c>
      <c r="C255" s="48"/>
      <c r="D255" s="48"/>
      <c r="E255" s="48"/>
      <c r="F255" s="49" t="str">
        <f aca="false">"Status: "&amp;'Session Tracker'!F29&amp;IF('Session Tracker'!G29&lt;&gt;""," ("&amp;'Session Tracker'!G29&amp;")","")</f>
        <v>Status: Not started</v>
      </c>
      <c r="G255" s="49"/>
      <c r="H255" s="50"/>
      <c r="I255" s="50"/>
      <c r="J255" s="50"/>
      <c r="K255" s="50"/>
      <c r="L255" s="50"/>
      <c r="M255" s="50"/>
    </row>
    <row r="256" customFormat="false" ht="23.85" hidden="false" customHeight="false" outlineLevel="0" collapsed="false">
      <c r="A256" s="51" t="s">
        <v>124</v>
      </c>
      <c r="B256" s="34" t="s">
        <v>366</v>
      </c>
      <c r="C256" s="34" t="s">
        <v>367</v>
      </c>
      <c r="D256" s="32" t="n">
        <v>1</v>
      </c>
      <c r="E256" s="32" t="s">
        <v>14</v>
      </c>
      <c r="F256" s="32" t="s">
        <v>368</v>
      </c>
      <c r="G256" s="34" t="s">
        <v>416</v>
      </c>
      <c r="H256" s="52" t="n">
        <f aca="false">IF($E256="Per class",$D256*COUNTIFS('Session Tracker'!$D$5:$D$149,$A256,'Session Tracker'!$F$5:$F$149,"Next week",'Session Tracker'!$G$5:$G$149,"Mon"),$D256*SUMIFS('Session Tracker'!$J$5:$J$149,'Session Tracker'!$D$5:$D$149,$A256,'Session Tracker'!$F$5:$F$149,"Next week",'Session Tracker'!$G$5:$G$149,"Mon"))</f>
        <v>0</v>
      </c>
      <c r="I256" s="52" t="n">
        <f aca="false">IF($E256="Per class",$D256*COUNTIFS('Session Tracker'!$D$5:$D$149,$A256,'Session Tracker'!$F$5:$F$149,"Next week",'Session Tracker'!$G$5:$G$149,"Tue"),$D256*SUMIFS('Session Tracker'!$J$5:$J$149,'Session Tracker'!$D$5:$D$149,$A256,'Session Tracker'!$F$5:$F$149,"Next week",'Session Tracker'!$G$5:$G$149,"Tue"))</f>
        <v>0</v>
      </c>
      <c r="J256" s="52" t="n">
        <f aca="false">IF($E256="Per class",$D256*COUNTIFS('Session Tracker'!$D$5:$D$149,$A256,'Session Tracker'!$F$5:$F$149,"Next week",'Session Tracker'!$G$5:$G$149,"Wed"),$D256*SUMIFS('Session Tracker'!$J$5:$J$149,'Session Tracker'!$D$5:$D$149,$A256,'Session Tracker'!$F$5:$F$149,"Next week",'Session Tracker'!$G$5:$G$149,"Wed"))</f>
        <v>0</v>
      </c>
      <c r="K256" s="52" t="n">
        <f aca="false">IF($E256="Per class",$D256*COUNTIFS('Session Tracker'!$D$5:$D$149,$A256,'Session Tracker'!$F$5:$F$149,"Next week",'Session Tracker'!$G$5:$G$149,"Thu"),$D256*SUMIFS('Session Tracker'!$J$5:$J$149,'Session Tracker'!$D$5:$D$149,$A256,'Session Tracker'!$F$5:$F$149,"Next week",'Session Tracker'!$G$5:$G$149,"Thu"))</f>
        <v>0</v>
      </c>
      <c r="L256" s="52" t="n">
        <f aca="false">IF($E256="Per class",$D256*COUNTIFS('Session Tracker'!$D$5:$D$149,$A256,'Session Tracker'!$F$5:$F$149,"Next week",'Session Tracker'!$G$5:$G$149,"Fri"),$D256*SUMIFS('Session Tracker'!$J$5:$J$149,'Session Tracker'!$D$5:$D$149,$A256,'Session Tracker'!$F$5:$F$149,"Next week",'Session Tracker'!$G$5:$G$149,"Fri"))</f>
        <v>0</v>
      </c>
      <c r="M256" s="52" t="n">
        <f aca="false">IF($E256="Per class",$D256*COUNTIFS('Session Tracker'!$D$5:$D$149,$A256,'Session Tracker'!$F$5:$F$149,"Next week",'Session Tracker'!$G$5:$G$149,""),$D256*SUMIFS('Session Tracker'!$J$5:$J$149,'Session Tracker'!$D$5:$D$149,$A256,'Session Tracker'!$F$5:$F$149,"Next week",'Session Tracker'!$G$5:$G$149,""))</f>
        <v>0</v>
      </c>
    </row>
    <row r="257" customFormat="false" ht="15" hidden="false" customHeight="false" outlineLevel="0" collapsed="false">
      <c r="A257" s="51" t="s">
        <v>124</v>
      </c>
      <c r="B257" s="34" t="s">
        <v>371</v>
      </c>
      <c r="C257" s="34" t="s">
        <v>474</v>
      </c>
      <c r="D257" s="32" t="n">
        <v>1</v>
      </c>
      <c r="E257" s="32" t="s">
        <v>14</v>
      </c>
      <c r="F257" s="32" t="s">
        <v>368</v>
      </c>
      <c r="G257" s="34" t="s">
        <v>475</v>
      </c>
      <c r="H257" s="52" t="n">
        <f aca="false">IF($E257="Per class",$D257*COUNTIFS('Session Tracker'!$D$5:$D$149,$A257,'Session Tracker'!$F$5:$F$149,"Next week",'Session Tracker'!$G$5:$G$149,"Mon"),$D257*SUMIFS('Session Tracker'!$J$5:$J$149,'Session Tracker'!$D$5:$D$149,$A257,'Session Tracker'!$F$5:$F$149,"Next week",'Session Tracker'!$G$5:$G$149,"Mon"))</f>
        <v>0</v>
      </c>
      <c r="I257" s="52" t="n">
        <f aca="false">IF($E257="Per class",$D257*COUNTIFS('Session Tracker'!$D$5:$D$149,$A257,'Session Tracker'!$F$5:$F$149,"Next week",'Session Tracker'!$G$5:$G$149,"Tue"),$D257*SUMIFS('Session Tracker'!$J$5:$J$149,'Session Tracker'!$D$5:$D$149,$A257,'Session Tracker'!$F$5:$F$149,"Next week",'Session Tracker'!$G$5:$G$149,"Tue"))</f>
        <v>0</v>
      </c>
      <c r="J257" s="52" t="n">
        <f aca="false">IF($E257="Per class",$D257*COUNTIFS('Session Tracker'!$D$5:$D$149,$A257,'Session Tracker'!$F$5:$F$149,"Next week",'Session Tracker'!$G$5:$G$149,"Wed"),$D257*SUMIFS('Session Tracker'!$J$5:$J$149,'Session Tracker'!$D$5:$D$149,$A257,'Session Tracker'!$F$5:$F$149,"Next week",'Session Tracker'!$G$5:$G$149,"Wed"))</f>
        <v>0</v>
      </c>
      <c r="K257" s="52" t="n">
        <f aca="false">IF($E257="Per class",$D257*COUNTIFS('Session Tracker'!$D$5:$D$149,$A257,'Session Tracker'!$F$5:$F$149,"Next week",'Session Tracker'!$G$5:$G$149,"Thu"),$D257*SUMIFS('Session Tracker'!$J$5:$J$149,'Session Tracker'!$D$5:$D$149,$A257,'Session Tracker'!$F$5:$F$149,"Next week",'Session Tracker'!$G$5:$G$149,"Thu"))</f>
        <v>0</v>
      </c>
      <c r="L257" s="52" t="n">
        <f aca="false">IF($E257="Per class",$D257*COUNTIFS('Session Tracker'!$D$5:$D$149,$A257,'Session Tracker'!$F$5:$F$149,"Next week",'Session Tracker'!$G$5:$G$149,"Fri"),$D257*SUMIFS('Session Tracker'!$J$5:$J$149,'Session Tracker'!$D$5:$D$149,$A257,'Session Tracker'!$F$5:$F$149,"Next week",'Session Tracker'!$G$5:$G$149,"Fri"))</f>
        <v>0</v>
      </c>
      <c r="M257" s="52" t="n">
        <f aca="false">IF($E257="Per class",$D257*COUNTIFS('Session Tracker'!$D$5:$D$149,$A257,'Session Tracker'!$F$5:$F$149,"Next week",'Session Tracker'!$G$5:$G$149,""),$D257*SUMIFS('Session Tracker'!$J$5:$J$149,'Session Tracker'!$D$5:$D$149,$A257,'Session Tracker'!$F$5:$F$149,"Next week",'Session Tracker'!$G$5:$G$149,""))</f>
        <v>0</v>
      </c>
    </row>
    <row r="258" customFormat="false" ht="15" hidden="false" customHeight="false" outlineLevel="0" collapsed="false">
      <c r="A258" s="51" t="s">
        <v>124</v>
      </c>
      <c r="B258" s="34" t="s">
        <v>382</v>
      </c>
      <c r="C258" s="34" t="s">
        <v>383</v>
      </c>
      <c r="D258" s="32" t="n">
        <v>1</v>
      </c>
      <c r="E258" s="32" t="s">
        <v>14</v>
      </c>
      <c r="F258" s="32" t="s">
        <v>368</v>
      </c>
      <c r="G258" s="34"/>
      <c r="H258" s="52" t="n">
        <f aca="false">IF($E258="Per class",$D258*COUNTIFS('Session Tracker'!$D$5:$D$149,$A258,'Session Tracker'!$F$5:$F$149,"Next week",'Session Tracker'!$G$5:$G$149,"Mon"),$D258*SUMIFS('Session Tracker'!$J$5:$J$149,'Session Tracker'!$D$5:$D$149,$A258,'Session Tracker'!$F$5:$F$149,"Next week",'Session Tracker'!$G$5:$G$149,"Mon"))</f>
        <v>0</v>
      </c>
      <c r="I258" s="52" t="n">
        <f aca="false">IF($E258="Per class",$D258*COUNTIFS('Session Tracker'!$D$5:$D$149,$A258,'Session Tracker'!$F$5:$F$149,"Next week",'Session Tracker'!$G$5:$G$149,"Tue"),$D258*SUMIFS('Session Tracker'!$J$5:$J$149,'Session Tracker'!$D$5:$D$149,$A258,'Session Tracker'!$F$5:$F$149,"Next week",'Session Tracker'!$G$5:$G$149,"Tue"))</f>
        <v>0</v>
      </c>
      <c r="J258" s="52" t="n">
        <f aca="false">IF($E258="Per class",$D258*COUNTIFS('Session Tracker'!$D$5:$D$149,$A258,'Session Tracker'!$F$5:$F$149,"Next week",'Session Tracker'!$G$5:$G$149,"Wed"),$D258*SUMIFS('Session Tracker'!$J$5:$J$149,'Session Tracker'!$D$5:$D$149,$A258,'Session Tracker'!$F$5:$F$149,"Next week",'Session Tracker'!$G$5:$G$149,"Wed"))</f>
        <v>0</v>
      </c>
      <c r="K258" s="52" t="n">
        <f aca="false">IF($E258="Per class",$D258*COUNTIFS('Session Tracker'!$D$5:$D$149,$A258,'Session Tracker'!$F$5:$F$149,"Next week",'Session Tracker'!$G$5:$G$149,"Thu"),$D258*SUMIFS('Session Tracker'!$J$5:$J$149,'Session Tracker'!$D$5:$D$149,$A258,'Session Tracker'!$F$5:$F$149,"Next week",'Session Tracker'!$G$5:$G$149,"Thu"))</f>
        <v>0</v>
      </c>
      <c r="L258" s="52" t="n">
        <f aca="false">IF($E258="Per class",$D258*COUNTIFS('Session Tracker'!$D$5:$D$149,$A258,'Session Tracker'!$F$5:$F$149,"Next week",'Session Tracker'!$G$5:$G$149,"Fri"),$D258*SUMIFS('Session Tracker'!$J$5:$J$149,'Session Tracker'!$D$5:$D$149,$A258,'Session Tracker'!$F$5:$F$149,"Next week",'Session Tracker'!$G$5:$G$149,"Fri"))</f>
        <v>0</v>
      </c>
      <c r="M258" s="52" t="n">
        <f aca="false">IF($E258="Per class",$D258*COUNTIFS('Session Tracker'!$D$5:$D$149,$A258,'Session Tracker'!$F$5:$F$149,"Next week",'Session Tracker'!$G$5:$G$149,""),$D258*SUMIFS('Session Tracker'!$J$5:$J$149,'Session Tracker'!$D$5:$D$149,$A258,'Session Tracker'!$F$5:$F$149,"Next week",'Session Tracker'!$G$5:$G$149,""))</f>
        <v>0</v>
      </c>
    </row>
    <row r="259" customFormat="false" ht="15" hidden="false" customHeight="false" outlineLevel="0" collapsed="false">
      <c r="A259" s="51" t="s">
        <v>124</v>
      </c>
      <c r="B259" s="34" t="s">
        <v>371</v>
      </c>
      <c r="C259" s="34" t="s">
        <v>372</v>
      </c>
      <c r="D259" s="32" t="n">
        <v>1</v>
      </c>
      <c r="E259" s="32" t="s">
        <v>14</v>
      </c>
      <c r="F259" s="32" t="s">
        <v>373</v>
      </c>
      <c r="G259" s="34" t="s">
        <v>389</v>
      </c>
      <c r="H259" s="52" t="n">
        <f aca="false">IF($E259="Per class",$D259*COUNTIFS('Session Tracker'!$D$5:$D$149,$A259,'Session Tracker'!$F$5:$F$149,"Next week",'Session Tracker'!$G$5:$G$149,"Mon"),$D259*SUMIFS('Session Tracker'!$J$5:$J$149,'Session Tracker'!$D$5:$D$149,$A259,'Session Tracker'!$F$5:$F$149,"Next week",'Session Tracker'!$G$5:$G$149,"Mon"))</f>
        <v>0</v>
      </c>
      <c r="I259" s="52" t="n">
        <f aca="false">IF($E259="Per class",$D259*COUNTIFS('Session Tracker'!$D$5:$D$149,$A259,'Session Tracker'!$F$5:$F$149,"Next week",'Session Tracker'!$G$5:$G$149,"Tue"),$D259*SUMIFS('Session Tracker'!$J$5:$J$149,'Session Tracker'!$D$5:$D$149,$A259,'Session Tracker'!$F$5:$F$149,"Next week",'Session Tracker'!$G$5:$G$149,"Tue"))</f>
        <v>0</v>
      </c>
      <c r="J259" s="52" t="n">
        <f aca="false">IF($E259="Per class",$D259*COUNTIFS('Session Tracker'!$D$5:$D$149,$A259,'Session Tracker'!$F$5:$F$149,"Next week",'Session Tracker'!$G$5:$G$149,"Wed"),$D259*SUMIFS('Session Tracker'!$J$5:$J$149,'Session Tracker'!$D$5:$D$149,$A259,'Session Tracker'!$F$5:$F$149,"Next week",'Session Tracker'!$G$5:$G$149,"Wed"))</f>
        <v>0</v>
      </c>
      <c r="K259" s="52" t="n">
        <f aca="false">IF($E259="Per class",$D259*COUNTIFS('Session Tracker'!$D$5:$D$149,$A259,'Session Tracker'!$F$5:$F$149,"Next week",'Session Tracker'!$G$5:$G$149,"Thu"),$D259*SUMIFS('Session Tracker'!$J$5:$J$149,'Session Tracker'!$D$5:$D$149,$A259,'Session Tracker'!$F$5:$F$149,"Next week",'Session Tracker'!$G$5:$G$149,"Thu"))</f>
        <v>0</v>
      </c>
      <c r="L259" s="52" t="n">
        <f aca="false">IF($E259="Per class",$D259*COUNTIFS('Session Tracker'!$D$5:$D$149,$A259,'Session Tracker'!$F$5:$F$149,"Next week",'Session Tracker'!$G$5:$G$149,"Fri"),$D259*SUMIFS('Session Tracker'!$J$5:$J$149,'Session Tracker'!$D$5:$D$149,$A259,'Session Tracker'!$F$5:$F$149,"Next week",'Session Tracker'!$G$5:$G$149,"Fri"))</f>
        <v>0</v>
      </c>
      <c r="M259" s="52" t="n">
        <f aca="false">IF($E259="Per class",$D259*COUNTIFS('Session Tracker'!$D$5:$D$149,$A259,'Session Tracker'!$F$5:$F$149,"Next week",'Session Tracker'!$G$5:$G$149,""),$D259*SUMIFS('Session Tracker'!$J$5:$J$149,'Session Tracker'!$D$5:$D$149,$A259,'Session Tracker'!$F$5:$F$149,"Next week",'Session Tracker'!$G$5:$G$149,""))</f>
        <v>0</v>
      </c>
    </row>
    <row r="260" customFormat="false" ht="15" hidden="false" customHeight="false" outlineLevel="0" collapsed="false">
      <c r="A260" s="51" t="s">
        <v>124</v>
      </c>
      <c r="B260" s="34" t="s">
        <v>375</v>
      </c>
      <c r="C260" s="34" t="s">
        <v>376</v>
      </c>
      <c r="D260" s="32" t="n">
        <v>1</v>
      </c>
      <c r="E260" s="32" t="s">
        <v>14</v>
      </c>
      <c r="F260" s="32" t="s">
        <v>373</v>
      </c>
      <c r="G260" s="34" t="s">
        <v>442</v>
      </c>
      <c r="H260" s="52" t="n">
        <f aca="false">IF($E260="Per class",$D260*COUNTIFS('Session Tracker'!$D$5:$D$149,$A260,'Session Tracker'!$F$5:$F$149,"Next week",'Session Tracker'!$G$5:$G$149,"Mon"),$D260*SUMIFS('Session Tracker'!$J$5:$J$149,'Session Tracker'!$D$5:$D$149,$A260,'Session Tracker'!$F$5:$F$149,"Next week",'Session Tracker'!$G$5:$G$149,"Mon"))</f>
        <v>0</v>
      </c>
      <c r="I260" s="52" t="n">
        <f aca="false">IF($E260="Per class",$D260*COUNTIFS('Session Tracker'!$D$5:$D$149,$A260,'Session Tracker'!$F$5:$F$149,"Next week",'Session Tracker'!$G$5:$G$149,"Tue"),$D260*SUMIFS('Session Tracker'!$J$5:$J$149,'Session Tracker'!$D$5:$D$149,$A260,'Session Tracker'!$F$5:$F$149,"Next week",'Session Tracker'!$G$5:$G$149,"Tue"))</f>
        <v>0</v>
      </c>
      <c r="J260" s="52" t="n">
        <f aca="false">IF($E260="Per class",$D260*COUNTIFS('Session Tracker'!$D$5:$D$149,$A260,'Session Tracker'!$F$5:$F$149,"Next week",'Session Tracker'!$G$5:$G$149,"Wed"),$D260*SUMIFS('Session Tracker'!$J$5:$J$149,'Session Tracker'!$D$5:$D$149,$A260,'Session Tracker'!$F$5:$F$149,"Next week",'Session Tracker'!$G$5:$G$149,"Wed"))</f>
        <v>0</v>
      </c>
      <c r="K260" s="52" t="n">
        <f aca="false">IF($E260="Per class",$D260*COUNTIFS('Session Tracker'!$D$5:$D$149,$A260,'Session Tracker'!$F$5:$F$149,"Next week",'Session Tracker'!$G$5:$G$149,"Thu"),$D260*SUMIFS('Session Tracker'!$J$5:$J$149,'Session Tracker'!$D$5:$D$149,$A260,'Session Tracker'!$F$5:$F$149,"Next week",'Session Tracker'!$G$5:$G$149,"Thu"))</f>
        <v>0</v>
      </c>
      <c r="L260" s="52" t="n">
        <f aca="false">IF($E260="Per class",$D260*COUNTIFS('Session Tracker'!$D$5:$D$149,$A260,'Session Tracker'!$F$5:$F$149,"Next week",'Session Tracker'!$G$5:$G$149,"Fri"),$D260*SUMIFS('Session Tracker'!$J$5:$J$149,'Session Tracker'!$D$5:$D$149,$A260,'Session Tracker'!$F$5:$F$149,"Next week",'Session Tracker'!$G$5:$G$149,"Fri"))</f>
        <v>0</v>
      </c>
      <c r="M260" s="52" t="n">
        <f aca="false">IF($E260="Per class",$D260*COUNTIFS('Session Tracker'!$D$5:$D$149,$A260,'Session Tracker'!$F$5:$F$149,"Next week",'Session Tracker'!$G$5:$G$149,""),$D260*SUMIFS('Session Tracker'!$J$5:$J$149,'Session Tracker'!$D$5:$D$149,$A260,'Session Tracker'!$F$5:$F$149,"Next week",'Session Tracker'!$G$5:$G$149,""))</f>
        <v>0</v>
      </c>
    </row>
    <row r="261" customFormat="false" ht="15" hidden="false" customHeight="false" outlineLevel="0" collapsed="false">
      <c r="A261" s="51" t="s">
        <v>124</v>
      </c>
      <c r="B261" s="34" t="s">
        <v>377</v>
      </c>
      <c r="C261" s="34" t="s">
        <v>378</v>
      </c>
      <c r="D261" s="32" t="n">
        <v>1</v>
      </c>
      <c r="E261" s="32" t="s">
        <v>14</v>
      </c>
      <c r="F261" s="32" t="s">
        <v>368</v>
      </c>
      <c r="G261" s="34" t="s">
        <v>389</v>
      </c>
      <c r="H261" s="52" t="n">
        <f aca="false">IF($E261="Per class",$D261*COUNTIFS('Session Tracker'!$D$5:$D$149,$A261,'Session Tracker'!$F$5:$F$149,"Next week",'Session Tracker'!$G$5:$G$149,"Mon"),$D261*SUMIFS('Session Tracker'!$J$5:$J$149,'Session Tracker'!$D$5:$D$149,$A261,'Session Tracker'!$F$5:$F$149,"Next week",'Session Tracker'!$G$5:$G$149,"Mon"))</f>
        <v>0</v>
      </c>
      <c r="I261" s="52" t="n">
        <f aca="false">IF($E261="Per class",$D261*COUNTIFS('Session Tracker'!$D$5:$D$149,$A261,'Session Tracker'!$F$5:$F$149,"Next week",'Session Tracker'!$G$5:$G$149,"Tue"),$D261*SUMIFS('Session Tracker'!$J$5:$J$149,'Session Tracker'!$D$5:$D$149,$A261,'Session Tracker'!$F$5:$F$149,"Next week",'Session Tracker'!$G$5:$G$149,"Tue"))</f>
        <v>0</v>
      </c>
      <c r="J261" s="52" t="n">
        <f aca="false">IF($E261="Per class",$D261*COUNTIFS('Session Tracker'!$D$5:$D$149,$A261,'Session Tracker'!$F$5:$F$149,"Next week",'Session Tracker'!$G$5:$G$149,"Wed"),$D261*SUMIFS('Session Tracker'!$J$5:$J$149,'Session Tracker'!$D$5:$D$149,$A261,'Session Tracker'!$F$5:$F$149,"Next week",'Session Tracker'!$G$5:$G$149,"Wed"))</f>
        <v>0</v>
      </c>
      <c r="K261" s="52" t="n">
        <f aca="false">IF($E261="Per class",$D261*COUNTIFS('Session Tracker'!$D$5:$D$149,$A261,'Session Tracker'!$F$5:$F$149,"Next week",'Session Tracker'!$G$5:$G$149,"Thu"),$D261*SUMIFS('Session Tracker'!$J$5:$J$149,'Session Tracker'!$D$5:$D$149,$A261,'Session Tracker'!$F$5:$F$149,"Next week",'Session Tracker'!$G$5:$G$149,"Thu"))</f>
        <v>0</v>
      </c>
      <c r="L261" s="52" t="n">
        <f aca="false">IF($E261="Per class",$D261*COUNTIFS('Session Tracker'!$D$5:$D$149,$A261,'Session Tracker'!$F$5:$F$149,"Next week",'Session Tracker'!$G$5:$G$149,"Fri"),$D261*SUMIFS('Session Tracker'!$J$5:$J$149,'Session Tracker'!$D$5:$D$149,$A261,'Session Tracker'!$F$5:$F$149,"Next week",'Session Tracker'!$G$5:$G$149,"Fri"))</f>
        <v>0</v>
      </c>
      <c r="M261" s="52" t="n">
        <f aca="false">IF($E261="Per class",$D261*COUNTIFS('Session Tracker'!$D$5:$D$149,$A261,'Session Tracker'!$F$5:$F$149,"Next week",'Session Tracker'!$G$5:$G$149,""),$D261*SUMIFS('Session Tracker'!$J$5:$J$149,'Session Tracker'!$D$5:$D$149,$A261,'Session Tracker'!$F$5:$F$149,"Next week",'Session Tracker'!$G$5:$G$149,""))</f>
        <v>0</v>
      </c>
    </row>
    <row r="262" customFormat="false" ht="15" hidden="false" customHeight="false" outlineLevel="0" collapsed="false">
      <c r="A262" s="53" t="s">
        <v>124</v>
      </c>
      <c r="B262" s="54"/>
      <c r="C262" s="54"/>
      <c r="D262" s="54"/>
      <c r="E262" s="54"/>
      <c r="F262" s="54"/>
      <c r="G262" s="54"/>
      <c r="H262" s="52" t="n">
        <f aca="false">IF($E262="Per class",$D262*COUNTIFS('Session Tracker'!$D$5:$D$149,$A262,'Session Tracker'!$F$5:$F$149,"Next week",'Session Tracker'!$G$5:$G$149,"Mon"),$D262*SUMIFS('Session Tracker'!$J$5:$J$149,'Session Tracker'!$D$5:$D$149,$A262,'Session Tracker'!$F$5:$F$149,"Next week",'Session Tracker'!$G$5:$G$149,"Mon"))</f>
        <v>0</v>
      </c>
      <c r="I262" s="52" t="n">
        <f aca="false">IF($E262="Per class",$D262*COUNTIFS('Session Tracker'!$D$5:$D$149,$A262,'Session Tracker'!$F$5:$F$149,"Next week",'Session Tracker'!$G$5:$G$149,"Tue"),$D262*SUMIFS('Session Tracker'!$J$5:$J$149,'Session Tracker'!$D$5:$D$149,$A262,'Session Tracker'!$F$5:$F$149,"Next week",'Session Tracker'!$G$5:$G$149,"Tue"))</f>
        <v>0</v>
      </c>
      <c r="J262" s="52" t="n">
        <f aca="false">IF($E262="Per class",$D262*COUNTIFS('Session Tracker'!$D$5:$D$149,$A262,'Session Tracker'!$F$5:$F$149,"Next week",'Session Tracker'!$G$5:$G$149,"Wed"),$D262*SUMIFS('Session Tracker'!$J$5:$J$149,'Session Tracker'!$D$5:$D$149,$A262,'Session Tracker'!$F$5:$F$149,"Next week",'Session Tracker'!$G$5:$G$149,"Wed"))</f>
        <v>0</v>
      </c>
      <c r="K262" s="52" t="n">
        <f aca="false">IF($E262="Per class",$D262*COUNTIFS('Session Tracker'!$D$5:$D$149,$A262,'Session Tracker'!$F$5:$F$149,"Next week",'Session Tracker'!$G$5:$G$149,"Thu"),$D262*SUMIFS('Session Tracker'!$J$5:$J$149,'Session Tracker'!$D$5:$D$149,$A262,'Session Tracker'!$F$5:$F$149,"Next week",'Session Tracker'!$G$5:$G$149,"Thu"))</f>
        <v>0</v>
      </c>
      <c r="L262" s="52" t="n">
        <f aca="false">IF($E262="Per class",$D262*COUNTIFS('Session Tracker'!$D$5:$D$149,$A262,'Session Tracker'!$F$5:$F$149,"Next week",'Session Tracker'!$G$5:$G$149,"Fri"),$D262*SUMIFS('Session Tracker'!$J$5:$J$149,'Session Tracker'!$D$5:$D$149,$A262,'Session Tracker'!$F$5:$F$149,"Next week",'Session Tracker'!$G$5:$G$149,"Fri"))</f>
        <v>0</v>
      </c>
      <c r="M262" s="52" t="n">
        <f aca="false">IF($E262="Per class",$D262*COUNTIFS('Session Tracker'!$D$5:$D$149,$A262,'Session Tracker'!$F$5:$F$149,"Next week",'Session Tracker'!$G$5:$G$149,""),$D262*SUMIFS('Session Tracker'!$J$5:$J$149,'Session Tracker'!$D$5:$D$149,$A262,'Session Tracker'!$F$5:$F$149,"Next week",'Session Tracker'!$G$5:$G$149,""))</f>
        <v>0</v>
      </c>
    </row>
    <row r="263" customFormat="false" ht="15" hidden="false" customHeight="false" outlineLevel="0" collapsed="false">
      <c r="A263" s="53" t="s">
        <v>124</v>
      </c>
      <c r="B263" s="54"/>
      <c r="C263" s="54"/>
      <c r="D263" s="54"/>
      <c r="E263" s="54"/>
      <c r="F263" s="54"/>
      <c r="G263" s="54"/>
      <c r="H263" s="52" t="n">
        <f aca="false">IF($E263="Per class",$D263*COUNTIFS('Session Tracker'!$D$5:$D$149,$A263,'Session Tracker'!$F$5:$F$149,"Next week",'Session Tracker'!$G$5:$G$149,"Mon"),$D263*SUMIFS('Session Tracker'!$J$5:$J$149,'Session Tracker'!$D$5:$D$149,$A263,'Session Tracker'!$F$5:$F$149,"Next week",'Session Tracker'!$G$5:$G$149,"Mon"))</f>
        <v>0</v>
      </c>
      <c r="I263" s="52" t="n">
        <f aca="false">IF($E263="Per class",$D263*COUNTIFS('Session Tracker'!$D$5:$D$149,$A263,'Session Tracker'!$F$5:$F$149,"Next week",'Session Tracker'!$G$5:$G$149,"Tue"),$D263*SUMIFS('Session Tracker'!$J$5:$J$149,'Session Tracker'!$D$5:$D$149,$A263,'Session Tracker'!$F$5:$F$149,"Next week",'Session Tracker'!$G$5:$G$149,"Tue"))</f>
        <v>0</v>
      </c>
      <c r="J263" s="52" t="n">
        <f aca="false">IF($E263="Per class",$D263*COUNTIFS('Session Tracker'!$D$5:$D$149,$A263,'Session Tracker'!$F$5:$F$149,"Next week",'Session Tracker'!$G$5:$G$149,"Wed"),$D263*SUMIFS('Session Tracker'!$J$5:$J$149,'Session Tracker'!$D$5:$D$149,$A263,'Session Tracker'!$F$5:$F$149,"Next week",'Session Tracker'!$G$5:$G$149,"Wed"))</f>
        <v>0</v>
      </c>
      <c r="K263" s="52" t="n">
        <f aca="false">IF($E263="Per class",$D263*COUNTIFS('Session Tracker'!$D$5:$D$149,$A263,'Session Tracker'!$F$5:$F$149,"Next week",'Session Tracker'!$G$5:$G$149,"Thu"),$D263*SUMIFS('Session Tracker'!$J$5:$J$149,'Session Tracker'!$D$5:$D$149,$A263,'Session Tracker'!$F$5:$F$149,"Next week",'Session Tracker'!$G$5:$G$149,"Thu"))</f>
        <v>0</v>
      </c>
      <c r="L263" s="52" t="n">
        <f aca="false">IF($E263="Per class",$D263*COUNTIFS('Session Tracker'!$D$5:$D$149,$A263,'Session Tracker'!$F$5:$F$149,"Next week",'Session Tracker'!$G$5:$G$149,"Fri"),$D263*SUMIFS('Session Tracker'!$J$5:$J$149,'Session Tracker'!$D$5:$D$149,$A263,'Session Tracker'!$F$5:$F$149,"Next week",'Session Tracker'!$G$5:$G$149,"Fri"))</f>
        <v>0</v>
      </c>
      <c r="M263" s="52" t="n">
        <f aca="false">IF($E263="Per class",$D263*COUNTIFS('Session Tracker'!$D$5:$D$149,$A263,'Session Tracker'!$F$5:$F$149,"Next week",'Session Tracker'!$G$5:$G$149,""),$D263*SUMIFS('Session Tracker'!$J$5:$J$149,'Session Tracker'!$D$5:$D$149,$A263,'Session Tracker'!$F$5:$F$149,"Next week",'Session Tracker'!$G$5:$G$149,""))</f>
        <v>0</v>
      </c>
    </row>
    <row r="265" customFormat="false" ht="19.5" hidden="false" customHeight="true" outlineLevel="0" collapsed="false">
      <c r="A265" s="47" t="s">
        <v>126</v>
      </c>
      <c r="B265" s="48" t="s">
        <v>476</v>
      </c>
      <c r="C265" s="48"/>
      <c r="D265" s="48"/>
      <c r="E265" s="48"/>
      <c r="F265" s="49" t="str">
        <f aca="false">"Status: "&amp;'Session Tracker'!F30&amp;IF('Session Tracker'!G30&lt;&gt;""," ("&amp;'Session Tracker'!G30&amp;")","")</f>
        <v>Status: Not started</v>
      </c>
      <c r="G265" s="49"/>
      <c r="H265" s="50"/>
      <c r="I265" s="50"/>
      <c r="J265" s="50"/>
      <c r="K265" s="50"/>
      <c r="L265" s="50"/>
      <c r="M265" s="50"/>
    </row>
    <row r="266" customFormat="false" ht="23.85" hidden="false" customHeight="false" outlineLevel="0" collapsed="false">
      <c r="A266" s="51" t="s">
        <v>126</v>
      </c>
      <c r="B266" s="34" t="s">
        <v>366</v>
      </c>
      <c r="C266" s="34" t="s">
        <v>367</v>
      </c>
      <c r="D266" s="32" t="n">
        <v>1</v>
      </c>
      <c r="E266" s="32" t="s">
        <v>14</v>
      </c>
      <c r="F266" s="32" t="s">
        <v>368</v>
      </c>
      <c r="G266" s="34" t="s">
        <v>416</v>
      </c>
      <c r="H266" s="52" t="n">
        <f aca="false">IF($E266="Per class",$D266*COUNTIFS('Session Tracker'!$D$5:$D$149,$A266,'Session Tracker'!$F$5:$F$149,"Next week",'Session Tracker'!$G$5:$G$149,"Mon"),$D266*SUMIFS('Session Tracker'!$J$5:$J$149,'Session Tracker'!$D$5:$D$149,$A266,'Session Tracker'!$F$5:$F$149,"Next week",'Session Tracker'!$G$5:$G$149,"Mon"))</f>
        <v>0</v>
      </c>
      <c r="I266" s="52" t="n">
        <f aca="false">IF($E266="Per class",$D266*COUNTIFS('Session Tracker'!$D$5:$D$149,$A266,'Session Tracker'!$F$5:$F$149,"Next week",'Session Tracker'!$G$5:$G$149,"Tue"),$D266*SUMIFS('Session Tracker'!$J$5:$J$149,'Session Tracker'!$D$5:$D$149,$A266,'Session Tracker'!$F$5:$F$149,"Next week",'Session Tracker'!$G$5:$G$149,"Tue"))</f>
        <v>0</v>
      </c>
      <c r="J266" s="52" t="n">
        <f aca="false">IF($E266="Per class",$D266*COUNTIFS('Session Tracker'!$D$5:$D$149,$A266,'Session Tracker'!$F$5:$F$149,"Next week",'Session Tracker'!$G$5:$G$149,"Wed"),$D266*SUMIFS('Session Tracker'!$J$5:$J$149,'Session Tracker'!$D$5:$D$149,$A266,'Session Tracker'!$F$5:$F$149,"Next week",'Session Tracker'!$G$5:$G$149,"Wed"))</f>
        <v>0</v>
      </c>
      <c r="K266" s="52" t="n">
        <f aca="false">IF($E266="Per class",$D266*COUNTIFS('Session Tracker'!$D$5:$D$149,$A266,'Session Tracker'!$F$5:$F$149,"Next week",'Session Tracker'!$G$5:$G$149,"Thu"),$D266*SUMIFS('Session Tracker'!$J$5:$J$149,'Session Tracker'!$D$5:$D$149,$A266,'Session Tracker'!$F$5:$F$149,"Next week",'Session Tracker'!$G$5:$G$149,"Thu"))</f>
        <v>0</v>
      </c>
      <c r="L266" s="52" t="n">
        <f aca="false">IF($E266="Per class",$D266*COUNTIFS('Session Tracker'!$D$5:$D$149,$A266,'Session Tracker'!$F$5:$F$149,"Next week",'Session Tracker'!$G$5:$G$149,"Fri"),$D266*SUMIFS('Session Tracker'!$J$5:$J$149,'Session Tracker'!$D$5:$D$149,$A266,'Session Tracker'!$F$5:$F$149,"Next week",'Session Tracker'!$G$5:$G$149,"Fri"))</f>
        <v>0</v>
      </c>
      <c r="M266" s="52" t="n">
        <f aca="false">IF($E266="Per class",$D266*COUNTIFS('Session Tracker'!$D$5:$D$149,$A266,'Session Tracker'!$F$5:$F$149,"Next week",'Session Tracker'!$G$5:$G$149,""),$D266*SUMIFS('Session Tracker'!$J$5:$J$149,'Session Tracker'!$D$5:$D$149,$A266,'Session Tracker'!$F$5:$F$149,"Next week",'Session Tracker'!$G$5:$G$149,""))</f>
        <v>0</v>
      </c>
    </row>
    <row r="267" customFormat="false" ht="15" hidden="false" customHeight="false" outlineLevel="0" collapsed="false">
      <c r="A267" s="51" t="s">
        <v>126</v>
      </c>
      <c r="B267" s="34" t="s">
        <v>375</v>
      </c>
      <c r="C267" s="34" t="s">
        <v>385</v>
      </c>
      <c r="D267" s="32" t="n">
        <v>3</v>
      </c>
      <c r="E267" s="32" t="s">
        <v>14</v>
      </c>
      <c r="F267" s="32" t="s">
        <v>368</v>
      </c>
      <c r="G267" s="34"/>
      <c r="H267" s="52" t="n">
        <f aca="false">IF($E267="Per class",$D267*COUNTIFS('Session Tracker'!$D$5:$D$149,$A267,'Session Tracker'!$F$5:$F$149,"Next week",'Session Tracker'!$G$5:$G$149,"Mon"),$D267*SUMIFS('Session Tracker'!$J$5:$J$149,'Session Tracker'!$D$5:$D$149,$A267,'Session Tracker'!$F$5:$F$149,"Next week",'Session Tracker'!$G$5:$G$149,"Mon"))</f>
        <v>0</v>
      </c>
      <c r="I267" s="52" t="n">
        <f aca="false">IF($E267="Per class",$D267*COUNTIFS('Session Tracker'!$D$5:$D$149,$A267,'Session Tracker'!$F$5:$F$149,"Next week",'Session Tracker'!$G$5:$G$149,"Tue"),$D267*SUMIFS('Session Tracker'!$J$5:$J$149,'Session Tracker'!$D$5:$D$149,$A267,'Session Tracker'!$F$5:$F$149,"Next week",'Session Tracker'!$G$5:$G$149,"Tue"))</f>
        <v>0</v>
      </c>
      <c r="J267" s="52" t="n">
        <f aca="false">IF($E267="Per class",$D267*COUNTIFS('Session Tracker'!$D$5:$D$149,$A267,'Session Tracker'!$F$5:$F$149,"Next week",'Session Tracker'!$G$5:$G$149,"Wed"),$D267*SUMIFS('Session Tracker'!$J$5:$J$149,'Session Tracker'!$D$5:$D$149,$A267,'Session Tracker'!$F$5:$F$149,"Next week",'Session Tracker'!$G$5:$G$149,"Wed"))</f>
        <v>0</v>
      </c>
      <c r="K267" s="52" t="n">
        <f aca="false">IF($E267="Per class",$D267*COUNTIFS('Session Tracker'!$D$5:$D$149,$A267,'Session Tracker'!$F$5:$F$149,"Next week",'Session Tracker'!$G$5:$G$149,"Thu"),$D267*SUMIFS('Session Tracker'!$J$5:$J$149,'Session Tracker'!$D$5:$D$149,$A267,'Session Tracker'!$F$5:$F$149,"Next week",'Session Tracker'!$G$5:$G$149,"Thu"))</f>
        <v>0</v>
      </c>
      <c r="L267" s="52" t="n">
        <f aca="false">IF($E267="Per class",$D267*COUNTIFS('Session Tracker'!$D$5:$D$149,$A267,'Session Tracker'!$F$5:$F$149,"Next week",'Session Tracker'!$G$5:$G$149,"Fri"),$D267*SUMIFS('Session Tracker'!$J$5:$J$149,'Session Tracker'!$D$5:$D$149,$A267,'Session Tracker'!$F$5:$F$149,"Next week",'Session Tracker'!$G$5:$G$149,"Fri"))</f>
        <v>0</v>
      </c>
      <c r="M267" s="52" t="n">
        <f aca="false">IF($E267="Per class",$D267*COUNTIFS('Session Tracker'!$D$5:$D$149,$A267,'Session Tracker'!$F$5:$F$149,"Next week",'Session Tracker'!$G$5:$G$149,""),$D267*SUMIFS('Session Tracker'!$J$5:$J$149,'Session Tracker'!$D$5:$D$149,$A267,'Session Tracker'!$F$5:$F$149,"Next week",'Session Tracker'!$G$5:$G$149,""))</f>
        <v>0</v>
      </c>
    </row>
    <row r="268" customFormat="false" ht="15" hidden="false" customHeight="false" outlineLevel="0" collapsed="false">
      <c r="A268" s="51" t="s">
        <v>126</v>
      </c>
      <c r="B268" s="34" t="s">
        <v>377</v>
      </c>
      <c r="C268" s="34" t="s">
        <v>477</v>
      </c>
      <c r="D268" s="32" t="n">
        <v>1</v>
      </c>
      <c r="E268" s="32" t="s">
        <v>14</v>
      </c>
      <c r="F268" s="32" t="s">
        <v>368</v>
      </c>
      <c r="G268" s="34"/>
      <c r="H268" s="52" t="n">
        <f aca="false">IF($E268="Per class",$D268*COUNTIFS('Session Tracker'!$D$5:$D$149,$A268,'Session Tracker'!$F$5:$F$149,"Next week",'Session Tracker'!$G$5:$G$149,"Mon"),$D268*SUMIFS('Session Tracker'!$J$5:$J$149,'Session Tracker'!$D$5:$D$149,$A268,'Session Tracker'!$F$5:$F$149,"Next week",'Session Tracker'!$G$5:$G$149,"Mon"))</f>
        <v>0</v>
      </c>
      <c r="I268" s="52" t="n">
        <f aca="false">IF($E268="Per class",$D268*COUNTIFS('Session Tracker'!$D$5:$D$149,$A268,'Session Tracker'!$F$5:$F$149,"Next week",'Session Tracker'!$G$5:$G$149,"Tue"),$D268*SUMIFS('Session Tracker'!$J$5:$J$149,'Session Tracker'!$D$5:$D$149,$A268,'Session Tracker'!$F$5:$F$149,"Next week",'Session Tracker'!$G$5:$G$149,"Tue"))</f>
        <v>0</v>
      </c>
      <c r="J268" s="52" t="n">
        <f aca="false">IF($E268="Per class",$D268*COUNTIFS('Session Tracker'!$D$5:$D$149,$A268,'Session Tracker'!$F$5:$F$149,"Next week",'Session Tracker'!$G$5:$G$149,"Wed"),$D268*SUMIFS('Session Tracker'!$J$5:$J$149,'Session Tracker'!$D$5:$D$149,$A268,'Session Tracker'!$F$5:$F$149,"Next week",'Session Tracker'!$G$5:$G$149,"Wed"))</f>
        <v>0</v>
      </c>
      <c r="K268" s="52" t="n">
        <f aca="false">IF($E268="Per class",$D268*COUNTIFS('Session Tracker'!$D$5:$D$149,$A268,'Session Tracker'!$F$5:$F$149,"Next week",'Session Tracker'!$G$5:$G$149,"Thu"),$D268*SUMIFS('Session Tracker'!$J$5:$J$149,'Session Tracker'!$D$5:$D$149,$A268,'Session Tracker'!$F$5:$F$149,"Next week",'Session Tracker'!$G$5:$G$149,"Thu"))</f>
        <v>0</v>
      </c>
      <c r="L268" s="52" t="n">
        <f aca="false">IF($E268="Per class",$D268*COUNTIFS('Session Tracker'!$D$5:$D$149,$A268,'Session Tracker'!$F$5:$F$149,"Next week",'Session Tracker'!$G$5:$G$149,"Fri"),$D268*SUMIFS('Session Tracker'!$J$5:$J$149,'Session Tracker'!$D$5:$D$149,$A268,'Session Tracker'!$F$5:$F$149,"Next week",'Session Tracker'!$G$5:$G$149,"Fri"))</f>
        <v>0</v>
      </c>
      <c r="M268" s="52" t="n">
        <f aca="false">IF($E268="Per class",$D268*COUNTIFS('Session Tracker'!$D$5:$D$149,$A268,'Session Tracker'!$F$5:$F$149,"Next week",'Session Tracker'!$G$5:$G$149,""),$D268*SUMIFS('Session Tracker'!$J$5:$J$149,'Session Tracker'!$D$5:$D$149,$A268,'Session Tracker'!$F$5:$F$149,"Next week",'Session Tracker'!$G$5:$G$149,""))</f>
        <v>0</v>
      </c>
    </row>
    <row r="269" customFormat="false" ht="15" hidden="false" customHeight="false" outlineLevel="0" collapsed="false">
      <c r="A269" s="51" t="s">
        <v>126</v>
      </c>
      <c r="B269" s="34" t="s">
        <v>375</v>
      </c>
      <c r="C269" s="34" t="s">
        <v>417</v>
      </c>
      <c r="D269" s="32" t="n">
        <v>3</v>
      </c>
      <c r="E269" s="32" t="s">
        <v>14</v>
      </c>
      <c r="F269" s="32" t="s">
        <v>373</v>
      </c>
      <c r="G269" s="34"/>
      <c r="H269" s="52" t="n">
        <f aca="false">IF($E269="Per class",$D269*COUNTIFS('Session Tracker'!$D$5:$D$149,$A269,'Session Tracker'!$F$5:$F$149,"Next week",'Session Tracker'!$G$5:$G$149,"Mon"),$D269*SUMIFS('Session Tracker'!$J$5:$J$149,'Session Tracker'!$D$5:$D$149,$A269,'Session Tracker'!$F$5:$F$149,"Next week",'Session Tracker'!$G$5:$G$149,"Mon"))</f>
        <v>0</v>
      </c>
      <c r="I269" s="52" t="n">
        <f aca="false">IF($E269="Per class",$D269*COUNTIFS('Session Tracker'!$D$5:$D$149,$A269,'Session Tracker'!$F$5:$F$149,"Next week",'Session Tracker'!$G$5:$G$149,"Tue"),$D269*SUMIFS('Session Tracker'!$J$5:$J$149,'Session Tracker'!$D$5:$D$149,$A269,'Session Tracker'!$F$5:$F$149,"Next week",'Session Tracker'!$G$5:$G$149,"Tue"))</f>
        <v>0</v>
      </c>
      <c r="J269" s="52" t="n">
        <f aca="false">IF($E269="Per class",$D269*COUNTIFS('Session Tracker'!$D$5:$D$149,$A269,'Session Tracker'!$F$5:$F$149,"Next week",'Session Tracker'!$G$5:$G$149,"Wed"),$D269*SUMIFS('Session Tracker'!$J$5:$J$149,'Session Tracker'!$D$5:$D$149,$A269,'Session Tracker'!$F$5:$F$149,"Next week",'Session Tracker'!$G$5:$G$149,"Wed"))</f>
        <v>0</v>
      </c>
      <c r="K269" s="52" t="n">
        <f aca="false">IF($E269="Per class",$D269*COUNTIFS('Session Tracker'!$D$5:$D$149,$A269,'Session Tracker'!$F$5:$F$149,"Next week",'Session Tracker'!$G$5:$G$149,"Thu"),$D269*SUMIFS('Session Tracker'!$J$5:$J$149,'Session Tracker'!$D$5:$D$149,$A269,'Session Tracker'!$F$5:$F$149,"Next week",'Session Tracker'!$G$5:$G$149,"Thu"))</f>
        <v>0</v>
      </c>
      <c r="L269" s="52" t="n">
        <f aca="false">IF($E269="Per class",$D269*COUNTIFS('Session Tracker'!$D$5:$D$149,$A269,'Session Tracker'!$F$5:$F$149,"Next week",'Session Tracker'!$G$5:$G$149,"Fri"),$D269*SUMIFS('Session Tracker'!$J$5:$J$149,'Session Tracker'!$D$5:$D$149,$A269,'Session Tracker'!$F$5:$F$149,"Next week",'Session Tracker'!$G$5:$G$149,"Fri"))</f>
        <v>0</v>
      </c>
      <c r="M269" s="52" t="n">
        <f aca="false">IF($E269="Per class",$D269*COUNTIFS('Session Tracker'!$D$5:$D$149,$A269,'Session Tracker'!$F$5:$F$149,"Next week",'Session Tracker'!$G$5:$G$149,""),$D269*SUMIFS('Session Tracker'!$J$5:$J$149,'Session Tracker'!$D$5:$D$149,$A269,'Session Tracker'!$F$5:$F$149,"Next week",'Session Tracker'!$G$5:$G$149,""))</f>
        <v>0</v>
      </c>
    </row>
    <row r="270" customFormat="false" ht="15" hidden="false" customHeight="false" outlineLevel="0" collapsed="false">
      <c r="A270" s="51" t="s">
        <v>126</v>
      </c>
      <c r="B270" s="34" t="s">
        <v>379</v>
      </c>
      <c r="C270" s="34" t="s">
        <v>380</v>
      </c>
      <c r="D270" s="32" t="n">
        <v>1</v>
      </c>
      <c r="E270" s="32" t="s">
        <v>14</v>
      </c>
      <c r="F270" s="32" t="s">
        <v>368</v>
      </c>
      <c r="G270" s="34"/>
      <c r="H270" s="52" t="n">
        <f aca="false">IF($E270="Per class",$D270*COUNTIFS('Session Tracker'!$D$5:$D$149,$A270,'Session Tracker'!$F$5:$F$149,"Next week",'Session Tracker'!$G$5:$G$149,"Mon"),$D270*SUMIFS('Session Tracker'!$J$5:$J$149,'Session Tracker'!$D$5:$D$149,$A270,'Session Tracker'!$F$5:$F$149,"Next week",'Session Tracker'!$G$5:$G$149,"Mon"))</f>
        <v>0</v>
      </c>
      <c r="I270" s="52" t="n">
        <f aca="false">IF($E270="Per class",$D270*COUNTIFS('Session Tracker'!$D$5:$D$149,$A270,'Session Tracker'!$F$5:$F$149,"Next week",'Session Tracker'!$G$5:$G$149,"Tue"),$D270*SUMIFS('Session Tracker'!$J$5:$J$149,'Session Tracker'!$D$5:$D$149,$A270,'Session Tracker'!$F$5:$F$149,"Next week",'Session Tracker'!$G$5:$G$149,"Tue"))</f>
        <v>0</v>
      </c>
      <c r="J270" s="52" t="n">
        <f aca="false">IF($E270="Per class",$D270*COUNTIFS('Session Tracker'!$D$5:$D$149,$A270,'Session Tracker'!$F$5:$F$149,"Next week",'Session Tracker'!$G$5:$G$149,"Wed"),$D270*SUMIFS('Session Tracker'!$J$5:$J$149,'Session Tracker'!$D$5:$D$149,$A270,'Session Tracker'!$F$5:$F$149,"Next week",'Session Tracker'!$G$5:$G$149,"Wed"))</f>
        <v>0</v>
      </c>
      <c r="K270" s="52" t="n">
        <f aca="false">IF($E270="Per class",$D270*COUNTIFS('Session Tracker'!$D$5:$D$149,$A270,'Session Tracker'!$F$5:$F$149,"Next week",'Session Tracker'!$G$5:$G$149,"Thu"),$D270*SUMIFS('Session Tracker'!$J$5:$J$149,'Session Tracker'!$D$5:$D$149,$A270,'Session Tracker'!$F$5:$F$149,"Next week",'Session Tracker'!$G$5:$G$149,"Thu"))</f>
        <v>0</v>
      </c>
      <c r="L270" s="52" t="n">
        <f aca="false">IF($E270="Per class",$D270*COUNTIFS('Session Tracker'!$D$5:$D$149,$A270,'Session Tracker'!$F$5:$F$149,"Next week",'Session Tracker'!$G$5:$G$149,"Fri"),$D270*SUMIFS('Session Tracker'!$J$5:$J$149,'Session Tracker'!$D$5:$D$149,$A270,'Session Tracker'!$F$5:$F$149,"Next week",'Session Tracker'!$G$5:$G$149,"Fri"))</f>
        <v>0</v>
      </c>
      <c r="M270" s="52" t="n">
        <f aca="false">IF($E270="Per class",$D270*COUNTIFS('Session Tracker'!$D$5:$D$149,$A270,'Session Tracker'!$F$5:$F$149,"Next week",'Session Tracker'!$G$5:$G$149,""),$D270*SUMIFS('Session Tracker'!$J$5:$J$149,'Session Tracker'!$D$5:$D$149,$A270,'Session Tracker'!$F$5:$F$149,"Next week",'Session Tracker'!$G$5:$G$149,""))</f>
        <v>0</v>
      </c>
    </row>
    <row r="271" customFormat="false" ht="15" hidden="false" customHeight="false" outlineLevel="0" collapsed="false">
      <c r="A271" s="51" t="s">
        <v>126</v>
      </c>
      <c r="B271" s="34" t="s">
        <v>379</v>
      </c>
      <c r="C271" s="34" t="s">
        <v>381</v>
      </c>
      <c r="D271" s="32" t="n">
        <v>8</v>
      </c>
      <c r="E271" s="32" t="s">
        <v>14</v>
      </c>
      <c r="F271" s="32" t="s">
        <v>368</v>
      </c>
      <c r="G271" s="34"/>
      <c r="H271" s="52" t="n">
        <f aca="false">IF($E271="Per class",$D271*COUNTIFS('Session Tracker'!$D$5:$D$149,$A271,'Session Tracker'!$F$5:$F$149,"Next week",'Session Tracker'!$G$5:$G$149,"Mon"),$D271*SUMIFS('Session Tracker'!$J$5:$J$149,'Session Tracker'!$D$5:$D$149,$A271,'Session Tracker'!$F$5:$F$149,"Next week",'Session Tracker'!$G$5:$G$149,"Mon"))</f>
        <v>0</v>
      </c>
      <c r="I271" s="52" t="n">
        <f aca="false">IF($E271="Per class",$D271*COUNTIFS('Session Tracker'!$D$5:$D$149,$A271,'Session Tracker'!$F$5:$F$149,"Next week",'Session Tracker'!$G$5:$G$149,"Tue"),$D271*SUMIFS('Session Tracker'!$J$5:$J$149,'Session Tracker'!$D$5:$D$149,$A271,'Session Tracker'!$F$5:$F$149,"Next week",'Session Tracker'!$G$5:$G$149,"Tue"))</f>
        <v>0</v>
      </c>
      <c r="J271" s="52" t="n">
        <f aca="false">IF($E271="Per class",$D271*COUNTIFS('Session Tracker'!$D$5:$D$149,$A271,'Session Tracker'!$F$5:$F$149,"Next week",'Session Tracker'!$G$5:$G$149,"Wed"),$D271*SUMIFS('Session Tracker'!$J$5:$J$149,'Session Tracker'!$D$5:$D$149,$A271,'Session Tracker'!$F$5:$F$149,"Next week",'Session Tracker'!$G$5:$G$149,"Wed"))</f>
        <v>0</v>
      </c>
      <c r="K271" s="52" t="n">
        <f aca="false">IF($E271="Per class",$D271*COUNTIFS('Session Tracker'!$D$5:$D$149,$A271,'Session Tracker'!$F$5:$F$149,"Next week",'Session Tracker'!$G$5:$G$149,"Thu"),$D271*SUMIFS('Session Tracker'!$J$5:$J$149,'Session Tracker'!$D$5:$D$149,$A271,'Session Tracker'!$F$5:$F$149,"Next week",'Session Tracker'!$G$5:$G$149,"Thu"))</f>
        <v>0</v>
      </c>
      <c r="L271" s="52" t="n">
        <f aca="false">IF($E271="Per class",$D271*COUNTIFS('Session Tracker'!$D$5:$D$149,$A271,'Session Tracker'!$F$5:$F$149,"Next week",'Session Tracker'!$G$5:$G$149,"Fri"),$D271*SUMIFS('Session Tracker'!$J$5:$J$149,'Session Tracker'!$D$5:$D$149,$A271,'Session Tracker'!$F$5:$F$149,"Next week",'Session Tracker'!$G$5:$G$149,"Fri"))</f>
        <v>0</v>
      </c>
      <c r="M271" s="52" t="n">
        <f aca="false">IF($E271="Per class",$D271*COUNTIFS('Session Tracker'!$D$5:$D$149,$A271,'Session Tracker'!$F$5:$F$149,"Next week",'Session Tracker'!$G$5:$G$149,""),$D271*SUMIFS('Session Tracker'!$J$5:$J$149,'Session Tracker'!$D$5:$D$149,$A271,'Session Tracker'!$F$5:$F$149,"Next week",'Session Tracker'!$G$5:$G$149,""))</f>
        <v>0</v>
      </c>
    </row>
    <row r="272" customFormat="false" ht="15" hidden="false" customHeight="false" outlineLevel="0" collapsed="false">
      <c r="A272" s="51" t="s">
        <v>126</v>
      </c>
      <c r="B272" s="34" t="s">
        <v>382</v>
      </c>
      <c r="C272" s="34" t="s">
        <v>383</v>
      </c>
      <c r="D272" s="32" t="n">
        <v>1</v>
      </c>
      <c r="E272" s="32" t="s">
        <v>14</v>
      </c>
      <c r="F272" s="32" t="s">
        <v>368</v>
      </c>
      <c r="G272" s="34"/>
      <c r="H272" s="52" t="n">
        <f aca="false">IF($E272="Per class",$D272*COUNTIFS('Session Tracker'!$D$5:$D$149,$A272,'Session Tracker'!$F$5:$F$149,"Next week",'Session Tracker'!$G$5:$G$149,"Mon"),$D272*SUMIFS('Session Tracker'!$J$5:$J$149,'Session Tracker'!$D$5:$D$149,$A272,'Session Tracker'!$F$5:$F$149,"Next week",'Session Tracker'!$G$5:$G$149,"Mon"))</f>
        <v>0</v>
      </c>
      <c r="I272" s="52" t="n">
        <f aca="false">IF($E272="Per class",$D272*COUNTIFS('Session Tracker'!$D$5:$D$149,$A272,'Session Tracker'!$F$5:$F$149,"Next week",'Session Tracker'!$G$5:$G$149,"Tue"),$D272*SUMIFS('Session Tracker'!$J$5:$J$149,'Session Tracker'!$D$5:$D$149,$A272,'Session Tracker'!$F$5:$F$149,"Next week",'Session Tracker'!$G$5:$G$149,"Tue"))</f>
        <v>0</v>
      </c>
      <c r="J272" s="52" t="n">
        <f aca="false">IF($E272="Per class",$D272*COUNTIFS('Session Tracker'!$D$5:$D$149,$A272,'Session Tracker'!$F$5:$F$149,"Next week",'Session Tracker'!$G$5:$G$149,"Wed"),$D272*SUMIFS('Session Tracker'!$J$5:$J$149,'Session Tracker'!$D$5:$D$149,$A272,'Session Tracker'!$F$5:$F$149,"Next week",'Session Tracker'!$G$5:$G$149,"Wed"))</f>
        <v>0</v>
      </c>
      <c r="K272" s="52" t="n">
        <f aca="false">IF($E272="Per class",$D272*COUNTIFS('Session Tracker'!$D$5:$D$149,$A272,'Session Tracker'!$F$5:$F$149,"Next week",'Session Tracker'!$G$5:$G$149,"Thu"),$D272*SUMIFS('Session Tracker'!$J$5:$J$149,'Session Tracker'!$D$5:$D$149,$A272,'Session Tracker'!$F$5:$F$149,"Next week",'Session Tracker'!$G$5:$G$149,"Thu"))</f>
        <v>0</v>
      </c>
      <c r="L272" s="52" t="n">
        <f aca="false">IF($E272="Per class",$D272*COUNTIFS('Session Tracker'!$D$5:$D$149,$A272,'Session Tracker'!$F$5:$F$149,"Next week",'Session Tracker'!$G$5:$G$149,"Fri"),$D272*SUMIFS('Session Tracker'!$J$5:$J$149,'Session Tracker'!$D$5:$D$149,$A272,'Session Tracker'!$F$5:$F$149,"Next week",'Session Tracker'!$G$5:$G$149,"Fri"))</f>
        <v>0</v>
      </c>
      <c r="M272" s="52" t="n">
        <f aca="false">IF($E272="Per class",$D272*COUNTIFS('Session Tracker'!$D$5:$D$149,$A272,'Session Tracker'!$F$5:$F$149,"Next week",'Session Tracker'!$G$5:$G$149,""),$D272*SUMIFS('Session Tracker'!$J$5:$J$149,'Session Tracker'!$D$5:$D$149,$A272,'Session Tracker'!$F$5:$F$149,"Next week",'Session Tracker'!$G$5:$G$149,""))</f>
        <v>0</v>
      </c>
    </row>
    <row r="273" customFormat="false" ht="15" hidden="false" customHeight="false" outlineLevel="0" collapsed="false">
      <c r="A273" s="51" t="s">
        <v>126</v>
      </c>
      <c r="B273" s="34" t="s">
        <v>371</v>
      </c>
      <c r="C273" s="34" t="s">
        <v>372</v>
      </c>
      <c r="D273" s="32" t="n">
        <v>1</v>
      </c>
      <c r="E273" s="32" t="s">
        <v>14</v>
      </c>
      <c r="F273" s="32" t="s">
        <v>373</v>
      </c>
      <c r="G273" s="34" t="s">
        <v>389</v>
      </c>
      <c r="H273" s="52" t="n">
        <f aca="false">IF($E273="Per class",$D273*COUNTIFS('Session Tracker'!$D$5:$D$149,$A273,'Session Tracker'!$F$5:$F$149,"Next week",'Session Tracker'!$G$5:$G$149,"Mon"),$D273*SUMIFS('Session Tracker'!$J$5:$J$149,'Session Tracker'!$D$5:$D$149,$A273,'Session Tracker'!$F$5:$F$149,"Next week",'Session Tracker'!$G$5:$G$149,"Mon"))</f>
        <v>0</v>
      </c>
      <c r="I273" s="52" t="n">
        <f aca="false">IF($E273="Per class",$D273*COUNTIFS('Session Tracker'!$D$5:$D$149,$A273,'Session Tracker'!$F$5:$F$149,"Next week",'Session Tracker'!$G$5:$G$149,"Tue"),$D273*SUMIFS('Session Tracker'!$J$5:$J$149,'Session Tracker'!$D$5:$D$149,$A273,'Session Tracker'!$F$5:$F$149,"Next week",'Session Tracker'!$G$5:$G$149,"Tue"))</f>
        <v>0</v>
      </c>
      <c r="J273" s="52" t="n">
        <f aca="false">IF($E273="Per class",$D273*COUNTIFS('Session Tracker'!$D$5:$D$149,$A273,'Session Tracker'!$F$5:$F$149,"Next week",'Session Tracker'!$G$5:$G$149,"Wed"),$D273*SUMIFS('Session Tracker'!$J$5:$J$149,'Session Tracker'!$D$5:$D$149,$A273,'Session Tracker'!$F$5:$F$149,"Next week",'Session Tracker'!$G$5:$G$149,"Wed"))</f>
        <v>0</v>
      </c>
      <c r="K273" s="52" t="n">
        <f aca="false">IF($E273="Per class",$D273*COUNTIFS('Session Tracker'!$D$5:$D$149,$A273,'Session Tracker'!$F$5:$F$149,"Next week",'Session Tracker'!$G$5:$G$149,"Thu"),$D273*SUMIFS('Session Tracker'!$J$5:$J$149,'Session Tracker'!$D$5:$D$149,$A273,'Session Tracker'!$F$5:$F$149,"Next week",'Session Tracker'!$G$5:$G$149,"Thu"))</f>
        <v>0</v>
      </c>
      <c r="L273" s="52" t="n">
        <f aca="false">IF($E273="Per class",$D273*COUNTIFS('Session Tracker'!$D$5:$D$149,$A273,'Session Tracker'!$F$5:$F$149,"Next week",'Session Tracker'!$G$5:$G$149,"Fri"),$D273*SUMIFS('Session Tracker'!$J$5:$J$149,'Session Tracker'!$D$5:$D$149,$A273,'Session Tracker'!$F$5:$F$149,"Next week",'Session Tracker'!$G$5:$G$149,"Fri"))</f>
        <v>0</v>
      </c>
      <c r="M273" s="52" t="n">
        <f aca="false">IF($E273="Per class",$D273*COUNTIFS('Session Tracker'!$D$5:$D$149,$A273,'Session Tracker'!$F$5:$F$149,"Next week",'Session Tracker'!$G$5:$G$149,""),$D273*SUMIFS('Session Tracker'!$J$5:$J$149,'Session Tracker'!$D$5:$D$149,$A273,'Session Tracker'!$F$5:$F$149,"Next week",'Session Tracker'!$G$5:$G$149,""))</f>
        <v>0</v>
      </c>
    </row>
    <row r="274" customFormat="false" ht="15" hidden="false" customHeight="false" outlineLevel="0" collapsed="false">
      <c r="A274" s="51" t="s">
        <v>126</v>
      </c>
      <c r="B274" s="34" t="s">
        <v>375</v>
      </c>
      <c r="C274" s="34" t="s">
        <v>376</v>
      </c>
      <c r="D274" s="32" t="n">
        <v>1</v>
      </c>
      <c r="E274" s="32" t="s">
        <v>14</v>
      </c>
      <c r="F274" s="32" t="s">
        <v>373</v>
      </c>
      <c r="G274" s="34" t="s">
        <v>442</v>
      </c>
      <c r="H274" s="52" t="n">
        <f aca="false">IF($E274="Per class",$D274*COUNTIFS('Session Tracker'!$D$5:$D$149,$A274,'Session Tracker'!$F$5:$F$149,"Next week",'Session Tracker'!$G$5:$G$149,"Mon"),$D274*SUMIFS('Session Tracker'!$J$5:$J$149,'Session Tracker'!$D$5:$D$149,$A274,'Session Tracker'!$F$5:$F$149,"Next week",'Session Tracker'!$G$5:$G$149,"Mon"))</f>
        <v>0</v>
      </c>
      <c r="I274" s="52" t="n">
        <f aca="false">IF($E274="Per class",$D274*COUNTIFS('Session Tracker'!$D$5:$D$149,$A274,'Session Tracker'!$F$5:$F$149,"Next week",'Session Tracker'!$G$5:$G$149,"Tue"),$D274*SUMIFS('Session Tracker'!$J$5:$J$149,'Session Tracker'!$D$5:$D$149,$A274,'Session Tracker'!$F$5:$F$149,"Next week",'Session Tracker'!$G$5:$G$149,"Tue"))</f>
        <v>0</v>
      </c>
      <c r="J274" s="52" t="n">
        <f aca="false">IF($E274="Per class",$D274*COUNTIFS('Session Tracker'!$D$5:$D$149,$A274,'Session Tracker'!$F$5:$F$149,"Next week",'Session Tracker'!$G$5:$G$149,"Wed"),$D274*SUMIFS('Session Tracker'!$J$5:$J$149,'Session Tracker'!$D$5:$D$149,$A274,'Session Tracker'!$F$5:$F$149,"Next week",'Session Tracker'!$G$5:$G$149,"Wed"))</f>
        <v>0</v>
      </c>
      <c r="K274" s="52" t="n">
        <f aca="false">IF($E274="Per class",$D274*COUNTIFS('Session Tracker'!$D$5:$D$149,$A274,'Session Tracker'!$F$5:$F$149,"Next week",'Session Tracker'!$G$5:$G$149,"Thu"),$D274*SUMIFS('Session Tracker'!$J$5:$J$149,'Session Tracker'!$D$5:$D$149,$A274,'Session Tracker'!$F$5:$F$149,"Next week",'Session Tracker'!$G$5:$G$149,"Thu"))</f>
        <v>0</v>
      </c>
      <c r="L274" s="52" t="n">
        <f aca="false">IF($E274="Per class",$D274*COUNTIFS('Session Tracker'!$D$5:$D$149,$A274,'Session Tracker'!$F$5:$F$149,"Next week",'Session Tracker'!$G$5:$G$149,"Fri"),$D274*SUMIFS('Session Tracker'!$J$5:$J$149,'Session Tracker'!$D$5:$D$149,$A274,'Session Tracker'!$F$5:$F$149,"Next week",'Session Tracker'!$G$5:$G$149,"Fri"))</f>
        <v>0</v>
      </c>
      <c r="M274" s="52" t="n">
        <f aca="false">IF($E274="Per class",$D274*COUNTIFS('Session Tracker'!$D$5:$D$149,$A274,'Session Tracker'!$F$5:$F$149,"Next week",'Session Tracker'!$G$5:$G$149,""),$D274*SUMIFS('Session Tracker'!$J$5:$J$149,'Session Tracker'!$D$5:$D$149,$A274,'Session Tracker'!$F$5:$F$149,"Next week",'Session Tracker'!$G$5:$G$149,""))</f>
        <v>0</v>
      </c>
    </row>
    <row r="275" customFormat="false" ht="15" hidden="false" customHeight="false" outlineLevel="0" collapsed="false">
      <c r="A275" s="51" t="s">
        <v>126</v>
      </c>
      <c r="B275" s="34" t="s">
        <v>377</v>
      </c>
      <c r="C275" s="34" t="s">
        <v>378</v>
      </c>
      <c r="D275" s="32" t="n">
        <v>1</v>
      </c>
      <c r="E275" s="32" t="s">
        <v>14</v>
      </c>
      <c r="F275" s="32" t="s">
        <v>368</v>
      </c>
      <c r="G275" s="34" t="s">
        <v>389</v>
      </c>
      <c r="H275" s="52" t="n">
        <f aca="false">IF($E275="Per class",$D275*COUNTIFS('Session Tracker'!$D$5:$D$149,$A275,'Session Tracker'!$F$5:$F$149,"Next week",'Session Tracker'!$G$5:$G$149,"Mon"),$D275*SUMIFS('Session Tracker'!$J$5:$J$149,'Session Tracker'!$D$5:$D$149,$A275,'Session Tracker'!$F$5:$F$149,"Next week",'Session Tracker'!$G$5:$G$149,"Mon"))</f>
        <v>0</v>
      </c>
      <c r="I275" s="52" t="n">
        <f aca="false">IF($E275="Per class",$D275*COUNTIFS('Session Tracker'!$D$5:$D$149,$A275,'Session Tracker'!$F$5:$F$149,"Next week",'Session Tracker'!$G$5:$G$149,"Tue"),$D275*SUMIFS('Session Tracker'!$J$5:$J$149,'Session Tracker'!$D$5:$D$149,$A275,'Session Tracker'!$F$5:$F$149,"Next week",'Session Tracker'!$G$5:$G$149,"Tue"))</f>
        <v>0</v>
      </c>
      <c r="J275" s="52" t="n">
        <f aca="false">IF($E275="Per class",$D275*COUNTIFS('Session Tracker'!$D$5:$D$149,$A275,'Session Tracker'!$F$5:$F$149,"Next week",'Session Tracker'!$G$5:$G$149,"Wed"),$D275*SUMIFS('Session Tracker'!$J$5:$J$149,'Session Tracker'!$D$5:$D$149,$A275,'Session Tracker'!$F$5:$F$149,"Next week",'Session Tracker'!$G$5:$G$149,"Wed"))</f>
        <v>0</v>
      </c>
      <c r="K275" s="52" t="n">
        <f aca="false">IF($E275="Per class",$D275*COUNTIFS('Session Tracker'!$D$5:$D$149,$A275,'Session Tracker'!$F$5:$F$149,"Next week",'Session Tracker'!$G$5:$G$149,"Thu"),$D275*SUMIFS('Session Tracker'!$J$5:$J$149,'Session Tracker'!$D$5:$D$149,$A275,'Session Tracker'!$F$5:$F$149,"Next week",'Session Tracker'!$G$5:$G$149,"Thu"))</f>
        <v>0</v>
      </c>
      <c r="L275" s="52" t="n">
        <f aca="false">IF($E275="Per class",$D275*COUNTIFS('Session Tracker'!$D$5:$D$149,$A275,'Session Tracker'!$F$5:$F$149,"Next week",'Session Tracker'!$G$5:$G$149,"Fri"),$D275*SUMIFS('Session Tracker'!$J$5:$J$149,'Session Tracker'!$D$5:$D$149,$A275,'Session Tracker'!$F$5:$F$149,"Next week",'Session Tracker'!$G$5:$G$149,"Fri"))</f>
        <v>0</v>
      </c>
      <c r="M275" s="52" t="n">
        <f aca="false">IF($E275="Per class",$D275*COUNTIFS('Session Tracker'!$D$5:$D$149,$A275,'Session Tracker'!$F$5:$F$149,"Next week",'Session Tracker'!$G$5:$G$149,""),$D275*SUMIFS('Session Tracker'!$J$5:$J$149,'Session Tracker'!$D$5:$D$149,$A275,'Session Tracker'!$F$5:$F$149,"Next week",'Session Tracker'!$G$5:$G$149,""))</f>
        <v>0</v>
      </c>
    </row>
    <row r="276" customFormat="false" ht="15" hidden="false" customHeight="false" outlineLevel="0" collapsed="false">
      <c r="A276" s="53" t="s">
        <v>126</v>
      </c>
      <c r="B276" s="54"/>
      <c r="C276" s="54"/>
      <c r="D276" s="54"/>
      <c r="E276" s="54"/>
      <c r="F276" s="54"/>
      <c r="G276" s="54"/>
      <c r="H276" s="52" t="n">
        <f aca="false">IF($E276="Per class",$D276*COUNTIFS('Session Tracker'!$D$5:$D$149,$A276,'Session Tracker'!$F$5:$F$149,"Next week",'Session Tracker'!$G$5:$G$149,"Mon"),$D276*SUMIFS('Session Tracker'!$J$5:$J$149,'Session Tracker'!$D$5:$D$149,$A276,'Session Tracker'!$F$5:$F$149,"Next week",'Session Tracker'!$G$5:$G$149,"Mon"))</f>
        <v>0</v>
      </c>
      <c r="I276" s="52" t="n">
        <f aca="false">IF($E276="Per class",$D276*COUNTIFS('Session Tracker'!$D$5:$D$149,$A276,'Session Tracker'!$F$5:$F$149,"Next week",'Session Tracker'!$G$5:$G$149,"Tue"),$D276*SUMIFS('Session Tracker'!$J$5:$J$149,'Session Tracker'!$D$5:$D$149,$A276,'Session Tracker'!$F$5:$F$149,"Next week",'Session Tracker'!$G$5:$G$149,"Tue"))</f>
        <v>0</v>
      </c>
      <c r="J276" s="52" t="n">
        <f aca="false">IF($E276="Per class",$D276*COUNTIFS('Session Tracker'!$D$5:$D$149,$A276,'Session Tracker'!$F$5:$F$149,"Next week",'Session Tracker'!$G$5:$G$149,"Wed"),$D276*SUMIFS('Session Tracker'!$J$5:$J$149,'Session Tracker'!$D$5:$D$149,$A276,'Session Tracker'!$F$5:$F$149,"Next week",'Session Tracker'!$G$5:$G$149,"Wed"))</f>
        <v>0</v>
      </c>
      <c r="K276" s="52" t="n">
        <f aca="false">IF($E276="Per class",$D276*COUNTIFS('Session Tracker'!$D$5:$D$149,$A276,'Session Tracker'!$F$5:$F$149,"Next week",'Session Tracker'!$G$5:$G$149,"Thu"),$D276*SUMIFS('Session Tracker'!$J$5:$J$149,'Session Tracker'!$D$5:$D$149,$A276,'Session Tracker'!$F$5:$F$149,"Next week",'Session Tracker'!$G$5:$G$149,"Thu"))</f>
        <v>0</v>
      </c>
      <c r="L276" s="52" t="n">
        <f aca="false">IF($E276="Per class",$D276*COUNTIFS('Session Tracker'!$D$5:$D$149,$A276,'Session Tracker'!$F$5:$F$149,"Next week",'Session Tracker'!$G$5:$G$149,"Fri"),$D276*SUMIFS('Session Tracker'!$J$5:$J$149,'Session Tracker'!$D$5:$D$149,$A276,'Session Tracker'!$F$5:$F$149,"Next week",'Session Tracker'!$G$5:$G$149,"Fri"))</f>
        <v>0</v>
      </c>
      <c r="M276" s="52" t="n">
        <f aca="false">IF($E276="Per class",$D276*COUNTIFS('Session Tracker'!$D$5:$D$149,$A276,'Session Tracker'!$F$5:$F$149,"Next week",'Session Tracker'!$G$5:$G$149,""),$D276*SUMIFS('Session Tracker'!$J$5:$J$149,'Session Tracker'!$D$5:$D$149,$A276,'Session Tracker'!$F$5:$F$149,"Next week",'Session Tracker'!$G$5:$G$149,""))</f>
        <v>0</v>
      </c>
    </row>
    <row r="277" customFormat="false" ht="15" hidden="false" customHeight="false" outlineLevel="0" collapsed="false">
      <c r="A277" s="53" t="s">
        <v>126</v>
      </c>
      <c r="B277" s="54"/>
      <c r="C277" s="54"/>
      <c r="D277" s="54"/>
      <c r="E277" s="54"/>
      <c r="F277" s="54"/>
      <c r="G277" s="54"/>
      <c r="H277" s="52" t="n">
        <f aca="false">IF($E277="Per class",$D277*COUNTIFS('Session Tracker'!$D$5:$D$149,$A277,'Session Tracker'!$F$5:$F$149,"Next week",'Session Tracker'!$G$5:$G$149,"Mon"),$D277*SUMIFS('Session Tracker'!$J$5:$J$149,'Session Tracker'!$D$5:$D$149,$A277,'Session Tracker'!$F$5:$F$149,"Next week",'Session Tracker'!$G$5:$G$149,"Mon"))</f>
        <v>0</v>
      </c>
      <c r="I277" s="52" t="n">
        <f aca="false">IF($E277="Per class",$D277*COUNTIFS('Session Tracker'!$D$5:$D$149,$A277,'Session Tracker'!$F$5:$F$149,"Next week",'Session Tracker'!$G$5:$G$149,"Tue"),$D277*SUMIFS('Session Tracker'!$J$5:$J$149,'Session Tracker'!$D$5:$D$149,$A277,'Session Tracker'!$F$5:$F$149,"Next week",'Session Tracker'!$G$5:$G$149,"Tue"))</f>
        <v>0</v>
      </c>
      <c r="J277" s="52" t="n">
        <f aca="false">IF($E277="Per class",$D277*COUNTIFS('Session Tracker'!$D$5:$D$149,$A277,'Session Tracker'!$F$5:$F$149,"Next week",'Session Tracker'!$G$5:$G$149,"Wed"),$D277*SUMIFS('Session Tracker'!$J$5:$J$149,'Session Tracker'!$D$5:$D$149,$A277,'Session Tracker'!$F$5:$F$149,"Next week",'Session Tracker'!$G$5:$G$149,"Wed"))</f>
        <v>0</v>
      </c>
      <c r="K277" s="52" t="n">
        <f aca="false">IF($E277="Per class",$D277*COUNTIFS('Session Tracker'!$D$5:$D$149,$A277,'Session Tracker'!$F$5:$F$149,"Next week",'Session Tracker'!$G$5:$G$149,"Thu"),$D277*SUMIFS('Session Tracker'!$J$5:$J$149,'Session Tracker'!$D$5:$D$149,$A277,'Session Tracker'!$F$5:$F$149,"Next week",'Session Tracker'!$G$5:$G$149,"Thu"))</f>
        <v>0</v>
      </c>
      <c r="L277" s="52" t="n">
        <f aca="false">IF($E277="Per class",$D277*COUNTIFS('Session Tracker'!$D$5:$D$149,$A277,'Session Tracker'!$F$5:$F$149,"Next week",'Session Tracker'!$G$5:$G$149,"Fri"),$D277*SUMIFS('Session Tracker'!$J$5:$J$149,'Session Tracker'!$D$5:$D$149,$A277,'Session Tracker'!$F$5:$F$149,"Next week",'Session Tracker'!$G$5:$G$149,"Fri"))</f>
        <v>0</v>
      </c>
      <c r="M277" s="52" t="n">
        <f aca="false">IF($E277="Per class",$D277*COUNTIFS('Session Tracker'!$D$5:$D$149,$A277,'Session Tracker'!$F$5:$F$149,"Next week",'Session Tracker'!$G$5:$G$149,""),$D277*SUMIFS('Session Tracker'!$J$5:$J$149,'Session Tracker'!$D$5:$D$149,$A277,'Session Tracker'!$F$5:$F$149,"Next week",'Session Tracker'!$G$5:$G$149,""))</f>
        <v>0</v>
      </c>
    </row>
    <row r="279" customFormat="false" ht="19.5" hidden="false" customHeight="true" outlineLevel="0" collapsed="false">
      <c r="A279" s="47" t="s">
        <v>128</v>
      </c>
      <c r="B279" s="48" t="s">
        <v>478</v>
      </c>
      <c r="C279" s="48"/>
      <c r="D279" s="48"/>
      <c r="E279" s="48"/>
      <c r="F279" s="49" t="str">
        <f aca="false">"Status: "&amp;'Session Tracker'!F31&amp;IF('Session Tracker'!G31&lt;&gt;""," ("&amp;'Session Tracker'!G31&amp;")","")</f>
        <v>Status: Not started</v>
      </c>
      <c r="G279" s="49"/>
      <c r="H279" s="50"/>
      <c r="I279" s="50"/>
      <c r="J279" s="50"/>
      <c r="K279" s="50"/>
      <c r="L279" s="50"/>
      <c r="M279" s="50"/>
    </row>
    <row r="280" customFormat="false" ht="23.85" hidden="false" customHeight="false" outlineLevel="0" collapsed="false">
      <c r="A280" s="51" t="s">
        <v>128</v>
      </c>
      <c r="B280" s="34" t="s">
        <v>366</v>
      </c>
      <c r="C280" s="34" t="s">
        <v>367</v>
      </c>
      <c r="D280" s="32" t="n">
        <v>1</v>
      </c>
      <c r="E280" s="32" t="s">
        <v>14</v>
      </c>
      <c r="F280" s="32" t="s">
        <v>368</v>
      </c>
      <c r="G280" s="34" t="s">
        <v>416</v>
      </c>
      <c r="H280" s="52" t="n">
        <f aca="false">IF($E280="Per class",$D280*COUNTIFS('Session Tracker'!$D$5:$D$149,$A280,'Session Tracker'!$F$5:$F$149,"Next week",'Session Tracker'!$G$5:$G$149,"Mon"),$D280*SUMIFS('Session Tracker'!$J$5:$J$149,'Session Tracker'!$D$5:$D$149,$A280,'Session Tracker'!$F$5:$F$149,"Next week",'Session Tracker'!$G$5:$G$149,"Mon"))</f>
        <v>0</v>
      </c>
      <c r="I280" s="52" t="n">
        <f aca="false">IF($E280="Per class",$D280*COUNTIFS('Session Tracker'!$D$5:$D$149,$A280,'Session Tracker'!$F$5:$F$149,"Next week",'Session Tracker'!$G$5:$G$149,"Tue"),$D280*SUMIFS('Session Tracker'!$J$5:$J$149,'Session Tracker'!$D$5:$D$149,$A280,'Session Tracker'!$F$5:$F$149,"Next week",'Session Tracker'!$G$5:$G$149,"Tue"))</f>
        <v>0</v>
      </c>
      <c r="J280" s="52" t="n">
        <f aca="false">IF($E280="Per class",$D280*COUNTIFS('Session Tracker'!$D$5:$D$149,$A280,'Session Tracker'!$F$5:$F$149,"Next week",'Session Tracker'!$G$5:$G$149,"Wed"),$D280*SUMIFS('Session Tracker'!$J$5:$J$149,'Session Tracker'!$D$5:$D$149,$A280,'Session Tracker'!$F$5:$F$149,"Next week",'Session Tracker'!$G$5:$G$149,"Wed"))</f>
        <v>0</v>
      </c>
      <c r="K280" s="52" t="n">
        <f aca="false">IF($E280="Per class",$D280*COUNTIFS('Session Tracker'!$D$5:$D$149,$A280,'Session Tracker'!$F$5:$F$149,"Next week",'Session Tracker'!$G$5:$G$149,"Thu"),$D280*SUMIFS('Session Tracker'!$J$5:$J$149,'Session Tracker'!$D$5:$D$149,$A280,'Session Tracker'!$F$5:$F$149,"Next week",'Session Tracker'!$G$5:$G$149,"Thu"))</f>
        <v>0</v>
      </c>
      <c r="L280" s="52" t="n">
        <f aca="false">IF($E280="Per class",$D280*COUNTIFS('Session Tracker'!$D$5:$D$149,$A280,'Session Tracker'!$F$5:$F$149,"Next week",'Session Tracker'!$G$5:$G$149,"Fri"),$D280*SUMIFS('Session Tracker'!$J$5:$J$149,'Session Tracker'!$D$5:$D$149,$A280,'Session Tracker'!$F$5:$F$149,"Next week",'Session Tracker'!$G$5:$G$149,"Fri"))</f>
        <v>0</v>
      </c>
      <c r="M280" s="52" t="n">
        <f aca="false">IF($E280="Per class",$D280*COUNTIFS('Session Tracker'!$D$5:$D$149,$A280,'Session Tracker'!$F$5:$F$149,"Next week",'Session Tracker'!$G$5:$G$149,""),$D280*SUMIFS('Session Tracker'!$J$5:$J$149,'Session Tracker'!$D$5:$D$149,$A280,'Session Tracker'!$F$5:$F$149,"Next week",'Session Tracker'!$G$5:$G$149,""))</f>
        <v>0</v>
      </c>
    </row>
    <row r="281" customFormat="false" ht="15" hidden="false" customHeight="false" outlineLevel="0" collapsed="false">
      <c r="A281" s="51" t="s">
        <v>128</v>
      </c>
      <c r="B281" s="34" t="s">
        <v>369</v>
      </c>
      <c r="C281" s="34" t="s">
        <v>479</v>
      </c>
      <c r="D281" s="32" t="n">
        <v>1</v>
      </c>
      <c r="E281" s="32" t="s">
        <v>14</v>
      </c>
      <c r="F281" s="32" t="s">
        <v>368</v>
      </c>
      <c r="G281" s="34" t="s">
        <v>475</v>
      </c>
      <c r="H281" s="52" t="n">
        <f aca="false">IF($E281="Per class",$D281*COUNTIFS('Session Tracker'!$D$5:$D$149,$A281,'Session Tracker'!$F$5:$F$149,"Next week",'Session Tracker'!$G$5:$G$149,"Mon"),$D281*SUMIFS('Session Tracker'!$J$5:$J$149,'Session Tracker'!$D$5:$D$149,$A281,'Session Tracker'!$F$5:$F$149,"Next week",'Session Tracker'!$G$5:$G$149,"Mon"))</f>
        <v>0</v>
      </c>
      <c r="I281" s="52" t="n">
        <f aca="false">IF($E281="Per class",$D281*COUNTIFS('Session Tracker'!$D$5:$D$149,$A281,'Session Tracker'!$F$5:$F$149,"Next week",'Session Tracker'!$G$5:$G$149,"Tue"),$D281*SUMIFS('Session Tracker'!$J$5:$J$149,'Session Tracker'!$D$5:$D$149,$A281,'Session Tracker'!$F$5:$F$149,"Next week",'Session Tracker'!$G$5:$G$149,"Tue"))</f>
        <v>0</v>
      </c>
      <c r="J281" s="52" t="n">
        <f aca="false">IF($E281="Per class",$D281*COUNTIFS('Session Tracker'!$D$5:$D$149,$A281,'Session Tracker'!$F$5:$F$149,"Next week",'Session Tracker'!$G$5:$G$149,"Wed"),$D281*SUMIFS('Session Tracker'!$J$5:$J$149,'Session Tracker'!$D$5:$D$149,$A281,'Session Tracker'!$F$5:$F$149,"Next week",'Session Tracker'!$G$5:$G$149,"Wed"))</f>
        <v>0</v>
      </c>
      <c r="K281" s="52" t="n">
        <f aca="false">IF($E281="Per class",$D281*COUNTIFS('Session Tracker'!$D$5:$D$149,$A281,'Session Tracker'!$F$5:$F$149,"Next week",'Session Tracker'!$G$5:$G$149,"Thu"),$D281*SUMIFS('Session Tracker'!$J$5:$J$149,'Session Tracker'!$D$5:$D$149,$A281,'Session Tracker'!$F$5:$F$149,"Next week",'Session Tracker'!$G$5:$G$149,"Thu"))</f>
        <v>0</v>
      </c>
      <c r="L281" s="52" t="n">
        <f aca="false">IF($E281="Per class",$D281*COUNTIFS('Session Tracker'!$D$5:$D$149,$A281,'Session Tracker'!$F$5:$F$149,"Next week",'Session Tracker'!$G$5:$G$149,"Fri"),$D281*SUMIFS('Session Tracker'!$J$5:$J$149,'Session Tracker'!$D$5:$D$149,$A281,'Session Tracker'!$F$5:$F$149,"Next week",'Session Tracker'!$G$5:$G$149,"Fri"))</f>
        <v>0</v>
      </c>
      <c r="M281" s="52" t="n">
        <f aca="false">IF($E281="Per class",$D281*COUNTIFS('Session Tracker'!$D$5:$D$149,$A281,'Session Tracker'!$F$5:$F$149,"Next week",'Session Tracker'!$G$5:$G$149,""),$D281*SUMIFS('Session Tracker'!$J$5:$J$149,'Session Tracker'!$D$5:$D$149,$A281,'Session Tracker'!$F$5:$F$149,"Next week",'Session Tracker'!$G$5:$G$149,""))</f>
        <v>0</v>
      </c>
    </row>
    <row r="282" customFormat="false" ht="15" hidden="false" customHeight="false" outlineLevel="0" collapsed="false">
      <c r="A282" s="51" t="s">
        <v>128</v>
      </c>
      <c r="B282" s="34" t="s">
        <v>371</v>
      </c>
      <c r="C282" s="34" t="s">
        <v>480</v>
      </c>
      <c r="D282" s="32" t="n">
        <v>1</v>
      </c>
      <c r="E282" s="32" t="s">
        <v>14</v>
      </c>
      <c r="F282" s="32" t="s">
        <v>368</v>
      </c>
      <c r="G282" s="34"/>
      <c r="H282" s="52" t="n">
        <f aca="false">IF($E282="Per class",$D282*COUNTIFS('Session Tracker'!$D$5:$D$149,$A282,'Session Tracker'!$F$5:$F$149,"Next week",'Session Tracker'!$G$5:$G$149,"Mon"),$D282*SUMIFS('Session Tracker'!$J$5:$J$149,'Session Tracker'!$D$5:$D$149,$A282,'Session Tracker'!$F$5:$F$149,"Next week",'Session Tracker'!$G$5:$G$149,"Mon"))</f>
        <v>0</v>
      </c>
      <c r="I282" s="52" t="n">
        <f aca="false">IF($E282="Per class",$D282*COUNTIFS('Session Tracker'!$D$5:$D$149,$A282,'Session Tracker'!$F$5:$F$149,"Next week",'Session Tracker'!$G$5:$G$149,"Tue"),$D282*SUMIFS('Session Tracker'!$J$5:$J$149,'Session Tracker'!$D$5:$D$149,$A282,'Session Tracker'!$F$5:$F$149,"Next week",'Session Tracker'!$G$5:$G$149,"Tue"))</f>
        <v>0</v>
      </c>
      <c r="J282" s="52" t="n">
        <f aca="false">IF($E282="Per class",$D282*COUNTIFS('Session Tracker'!$D$5:$D$149,$A282,'Session Tracker'!$F$5:$F$149,"Next week",'Session Tracker'!$G$5:$G$149,"Wed"),$D282*SUMIFS('Session Tracker'!$J$5:$J$149,'Session Tracker'!$D$5:$D$149,$A282,'Session Tracker'!$F$5:$F$149,"Next week",'Session Tracker'!$G$5:$G$149,"Wed"))</f>
        <v>0</v>
      </c>
      <c r="K282" s="52" t="n">
        <f aca="false">IF($E282="Per class",$D282*COUNTIFS('Session Tracker'!$D$5:$D$149,$A282,'Session Tracker'!$F$5:$F$149,"Next week",'Session Tracker'!$G$5:$G$149,"Thu"),$D282*SUMIFS('Session Tracker'!$J$5:$J$149,'Session Tracker'!$D$5:$D$149,$A282,'Session Tracker'!$F$5:$F$149,"Next week",'Session Tracker'!$G$5:$G$149,"Thu"))</f>
        <v>0</v>
      </c>
      <c r="L282" s="52" t="n">
        <f aca="false">IF($E282="Per class",$D282*COUNTIFS('Session Tracker'!$D$5:$D$149,$A282,'Session Tracker'!$F$5:$F$149,"Next week",'Session Tracker'!$G$5:$G$149,"Fri"),$D282*SUMIFS('Session Tracker'!$J$5:$J$149,'Session Tracker'!$D$5:$D$149,$A282,'Session Tracker'!$F$5:$F$149,"Next week",'Session Tracker'!$G$5:$G$149,"Fri"))</f>
        <v>0</v>
      </c>
      <c r="M282" s="52" t="n">
        <f aca="false">IF($E282="Per class",$D282*COUNTIFS('Session Tracker'!$D$5:$D$149,$A282,'Session Tracker'!$F$5:$F$149,"Next week",'Session Tracker'!$G$5:$G$149,""),$D282*SUMIFS('Session Tracker'!$J$5:$J$149,'Session Tracker'!$D$5:$D$149,$A282,'Session Tracker'!$F$5:$F$149,"Next week",'Session Tracker'!$G$5:$G$149,""))</f>
        <v>0</v>
      </c>
    </row>
    <row r="283" customFormat="false" ht="15" hidden="false" customHeight="false" outlineLevel="0" collapsed="false">
      <c r="A283" s="51" t="s">
        <v>128</v>
      </c>
      <c r="B283" s="34" t="s">
        <v>375</v>
      </c>
      <c r="C283" s="34" t="s">
        <v>376</v>
      </c>
      <c r="D283" s="32" t="n">
        <v>3</v>
      </c>
      <c r="E283" s="32" t="s">
        <v>14</v>
      </c>
      <c r="F283" s="32" t="s">
        <v>373</v>
      </c>
      <c r="G283" s="34"/>
      <c r="H283" s="52" t="n">
        <f aca="false">IF($E283="Per class",$D283*COUNTIFS('Session Tracker'!$D$5:$D$149,$A283,'Session Tracker'!$F$5:$F$149,"Next week",'Session Tracker'!$G$5:$G$149,"Mon"),$D283*SUMIFS('Session Tracker'!$J$5:$J$149,'Session Tracker'!$D$5:$D$149,$A283,'Session Tracker'!$F$5:$F$149,"Next week",'Session Tracker'!$G$5:$G$149,"Mon"))</f>
        <v>0</v>
      </c>
      <c r="I283" s="52" t="n">
        <f aca="false">IF($E283="Per class",$D283*COUNTIFS('Session Tracker'!$D$5:$D$149,$A283,'Session Tracker'!$F$5:$F$149,"Next week",'Session Tracker'!$G$5:$G$149,"Tue"),$D283*SUMIFS('Session Tracker'!$J$5:$J$149,'Session Tracker'!$D$5:$D$149,$A283,'Session Tracker'!$F$5:$F$149,"Next week",'Session Tracker'!$G$5:$G$149,"Tue"))</f>
        <v>0</v>
      </c>
      <c r="J283" s="52" t="n">
        <f aca="false">IF($E283="Per class",$D283*COUNTIFS('Session Tracker'!$D$5:$D$149,$A283,'Session Tracker'!$F$5:$F$149,"Next week",'Session Tracker'!$G$5:$G$149,"Wed"),$D283*SUMIFS('Session Tracker'!$J$5:$J$149,'Session Tracker'!$D$5:$D$149,$A283,'Session Tracker'!$F$5:$F$149,"Next week",'Session Tracker'!$G$5:$G$149,"Wed"))</f>
        <v>0</v>
      </c>
      <c r="K283" s="52" t="n">
        <f aca="false">IF($E283="Per class",$D283*COUNTIFS('Session Tracker'!$D$5:$D$149,$A283,'Session Tracker'!$F$5:$F$149,"Next week",'Session Tracker'!$G$5:$G$149,"Thu"),$D283*SUMIFS('Session Tracker'!$J$5:$J$149,'Session Tracker'!$D$5:$D$149,$A283,'Session Tracker'!$F$5:$F$149,"Next week",'Session Tracker'!$G$5:$G$149,"Thu"))</f>
        <v>0</v>
      </c>
      <c r="L283" s="52" t="n">
        <f aca="false">IF($E283="Per class",$D283*COUNTIFS('Session Tracker'!$D$5:$D$149,$A283,'Session Tracker'!$F$5:$F$149,"Next week",'Session Tracker'!$G$5:$G$149,"Fri"),$D283*SUMIFS('Session Tracker'!$J$5:$J$149,'Session Tracker'!$D$5:$D$149,$A283,'Session Tracker'!$F$5:$F$149,"Next week",'Session Tracker'!$G$5:$G$149,"Fri"))</f>
        <v>0</v>
      </c>
      <c r="M283" s="52" t="n">
        <f aca="false">IF($E283="Per class",$D283*COUNTIFS('Session Tracker'!$D$5:$D$149,$A283,'Session Tracker'!$F$5:$F$149,"Next week",'Session Tracker'!$G$5:$G$149,""),$D283*SUMIFS('Session Tracker'!$J$5:$J$149,'Session Tracker'!$D$5:$D$149,$A283,'Session Tracker'!$F$5:$F$149,"Next week",'Session Tracker'!$G$5:$G$149,""))</f>
        <v>0</v>
      </c>
    </row>
    <row r="284" customFormat="false" ht="15" hidden="false" customHeight="false" outlineLevel="0" collapsed="false">
      <c r="A284" s="51" t="s">
        <v>128</v>
      </c>
      <c r="B284" s="34" t="s">
        <v>411</v>
      </c>
      <c r="C284" s="34" t="s">
        <v>412</v>
      </c>
      <c r="D284" s="32" t="n">
        <v>1</v>
      </c>
      <c r="E284" s="32" t="s">
        <v>14</v>
      </c>
      <c r="F284" s="32" t="s">
        <v>373</v>
      </c>
      <c r="G284" s="34" t="s">
        <v>481</v>
      </c>
      <c r="H284" s="52" t="n">
        <f aca="false">IF($E284="Per class",$D284*COUNTIFS('Session Tracker'!$D$5:$D$149,$A284,'Session Tracker'!$F$5:$F$149,"Next week",'Session Tracker'!$G$5:$G$149,"Mon"),$D284*SUMIFS('Session Tracker'!$J$5:$J$149,'Session Tracker'!$D$5:$D$149,$A284,'Session Tracker'!$F$5:$F$149,"Next week",'Session Tracker'!$G$5:$G$149,"Mon"))</f>
        <v>0</v>
      </c>
      <c r="I284" s="52" t="n">
        <f aca="false">IF($E284="Per class",$D284*COUNTIFS('Session Tracker'!$D$5:$D$149,$A284,'Session Tracker'!$F$5:$F$149,"Next week",'Session Tracker'!$G$5:$G$149,"Tue"),$D284*SUMIFS('Session Tracker'!$J$5:$J$149,'Session Tracker'!$D$5:$D$149,$A284,'Session Tracker'!$F$5:$F$149,"Next week",'Session Tracker'!$G$5:$G$149,"Tue"))</f>
        <v>0</v>
      </c>
      <c r="J284" s="52" t="n">
        <f aca="false">IF($E284="Per class",$D284*COUNTIFS('Session Tracker'!$D$5:$D$149,$A284,'Session Tracker'!$F$5:$F$149,"Next week",'Session Tracker'!$G$5:$G$149,"Wed"),$D284*SUMIFS('Session Tracker'!$J$5:$J$149,'Session Tracker'!$D$5:$D$149,$A284,'Session Tracker'!$F$5:$F$149,"Next week",'Session Tracker'!$G$5:$G$149,"Wed"))</f>
        <v>0</v>
      </c>
      <c r="K284" s="52" t="n">
        <f aca="false">IF($E284="Per class",$D284*COUNTIFS('Session Tracker'!$D$5:$D$149,$A284,'Session Tracker'!$F$5:$F$149,"Next week",'Session Tracker'!$G$5:$G$149,"Thu"),$D284*SUMIFS('Session Tracker'!$J$5:$J$149,'Session Tracker'!$D$5:$D$149,$A284,'Session Tracker'!$F$5:$F$149,"Next week",'Session Tracker'!$G$5:$G$149,"Thu"))</f>
        <v>0</v>
      </c>
      <c r="L284" s="52" t="n">
        <f aca="false">IF($E284="Per class",$D284*COUNTIFS('Session Tracker'!$D$5:$D$149,$A284,'Session Tracker'!$F$5:$F$149,"Next week",'Session Tracker'!$G$5:$G$149,"Fri"),$D284*SUMIFS('Session Tracker'!$J$5:$J$149,'Session Tracker'!$D$5:$D$149,$A284,'Session Tracker'!$F$5:$F$149,"Next week",'Session Tracker'!$G$5:$G$149,"Fri"))</f>
        <v>0</v>
      </c>
      <c r="M284" s="52" t="n">
        <f aca="false">IF($E284="Per class",$D284*COUNTIFS('Session Tracker'!$D$5:$D$149,$A284,'Session Tracker'!$F$5:$F$149,"Next week",'Session Tracker'!$G$5:$G$149,""),$D284*SUMIFS('Session Tracker'!$J$5:$J$149,'Session Tracker'!$D$5:$D$149,$A284,'Session Tracker'!$F$5:$F$149,"Next week",'Session Tracker'!$G$5:$G$149,""))</f>
        <v>0</v>
      </c>
    </row>
    <row r="285" customFormat="false" ht="15" hidden="false" customHeight="false" outlineLevel="0" collapsed="false">
      <c r="A285" s="51" t="s">
        <v>128</v>
      </c>
      <c r="B285" s="34" t="s">
        <v>371</v>
      </c>
      <c r="C285" s="34" t="s">
        <v>372</v>
      </c>
      <c r="D285" s="32" t="n">
        <v>1</v>
      </c>
      <c r="E285" s="32" t="s">
        <v>14</v>
      </c>
      <c r="F285" s="32" t="s">
        <v>373</v>
      </c>
      <c r="G285" s="34" t="s">
        <v>389</v>
      </c>
      <c r="H285" s="52" t="n">
        <f aca="false">IF($E285="Per class",$D285*COUNTIFS('Session Tracker'!$D$5:$D$149,$A285,'Session Tracker'!$F$5:$F$149,"Next week",'Session Tracker'!$G$5:$G$149,"Mon"),$D285*SUMIFS('Session Tracker'!$J$5:$J$149,'Session Tracker'!$D$5:$D$149,$A285,'Session Tracker'!$F$5:$F$149,"Next week",'Session Tracker'!$G$5:$G$149,"Mon"))</f>
        <v>0</v>
      </c>
      <c r="I285" s="52" t="n">
        <f aca="false">IF($E285="Per class",$D285*COUNTIFS('Session Tracker'!$D$5:$D$149,$A285,'Session Tracker'!$F$5:$F$149,"Next week",'Session Tracker'!$G$5:$G$149,"Tue"),$D285*SUMIFS('Session Tracker'!$J$5:$J$149,'Session Tracker'!$D$5:$D$149,$A285,'Session Tracker'!$F$5:$F$149,"Next week",'Session Tracker'!$G$5:$G$149,"Tue"))</f>
        <v>0</v>
      </c>
      <c r="J285" s="52" t="n">
        <f aca="false">IF($E285="Per class",$D285*COUNTIFS('Session Tracker'!$D$5:$D$149,$A285,'Session Tracker'!$F$5:$F$149,"Next week",'Session Tracker'!$G$5:$G$149,"Wed"),$D285*SUMIFS('Session Tracker'!$J$5:$J$149,'Session Tracker'!$D$5:$D$149,$A285,'Session Tracker'!$F$5:$F$149,"Next week",'Session Tracker'!$G$5:$G$149,"Wed"))</f>
        <v>0</v>
      </c>
      <c r="K285" s="52" t="n">
        <f aca="false">IF($E285="Per class",$D285*COUNTIFS('Session Tracker'!$D$5:$D$149,$A285,'Session Tracker'!$F$5:$F$149,"Next week",'Session Tracker'!$G$5:$G$149,"Thu"),$D285*SUMIFS('Session Tracker'!$J$5:$J$149,'Session Tracker'!$D$5:$D$149,$A285,'Session Tracker'!$F$5:$F$149,"Next week",'Session Tracker'!$G$5:$G$149,"Thu"))</f>
        <v>0</v>
      </c>
      <c r="L285" s="52" t="n">
        <f aca="false">IF($E285="Per class",$D285*COUNTIFS('Session Tracker'!$D$5:$D$149,$A285,'Session Tracker'!$F$5:$F$149,"Next week",'Session Tracker'!$G$5:$G$149,"Fri"),$D285*SUMIFS('Session Tracker'!$J$5:$J$149,'Session Tracker'!$D$5:$D$149,$A285,'Session Tracker'!$F$5:$F$149,"Next week",'Session Tracker'!$G$5:$G$149,"Fri"))</f>
        <v>0</v>
      </c>
      <c r="M285" s="52" t="n">
        <f aca="false">IF($E285="Per class",$D285*COUNTIFS('Session Tracker'!$D$5:$D$149,$A285,'Session Tracker'!$F$5:$F$149,"Next week",'Session Tracker'!$G$5:$G$149,""),$D285*SUMIFS('Session Tracker'!$J$5:$J$149,'Session Tracker'!$D$5:$D$149,$A285,'Session Tracker'!$F$5:$F$149,"Next week",'Session Tracker'!$G$5:$G$149,""))</f>
        <v>0</v>
      </c>
    </row>
    <row r="286" customFormat="false" ht="15" hidden="false" customHeight="false" outlineLevel="0" collapsed="false">
      <c r="A286" s="51" t="s">
        <v>128</v>
      </c>
      <c r="B286" s="34" t="s">
        <v>377</v>
      </c>
      <c r="C286" s="34" t="s">
        <v>378</v>
      </c>
      <c r="D286" s="32" t="n">
        <v>1</v>
      </c>
      <c r="E286" s="32" t="s">
        <v>14</v>
      </c>
      <c r="F286" s="32" t="s">
        <v>368</v>
      </c>
      <c r="G286" s="34" t="s">
        <v>389</v>
      </c>
      <c r="H286" s="52" t="n">
        <f aca="false">IF($E286="Per class",$D286*COUNTIFS('Session Tracker'!$D$5:$D$149,$A286,'Session Tracker'!$F$5:$F$149,"Next week",'Session Tracker'!$G$5:$G$149,"Mon"),$D286*SUMIFS('Session Tracker'!$J$5:$J$149,'Session Tracker'!$D$5:$D$149,$A286,'Session Tracker'!$F$5:$F$149,"Next week",'Session Tracker'!$G$5:$G$149,"Mon"))</f>
        <v>0</v>
      </c>
      <c r="I286" s="52" t="n">
        <f aca="false">IF($E286="Per class",$D286*COUNTIFS('Session Tracker'!$D$5:$D$149,$A286,'Session Tracker'!$F$5:$F$149,"Next week",'Session Tracker'!$G$5:$G$149,"Tue"),$D286*SUMIFS('Session Tracker'!$J$5:$J$149,'Session Tracker'!$D$5:$D$149,$A286,'Session Tracker'!$F$5:$F$149,"Next week",'Session Tracker'!$G$5:$G$149,"Tue"))</f>
        <v>0</v>
      </c>
      <c r="J286" s="52" t="n">
        <f aca="false">IF($E286="Per class",$D286*COUNTIFS('Session Tracker'!$D$5:$D$149,$A286,'Session Tracker'!$F$5:$F$149,"Next week",'Session Tracker'!$G$5:$G$149,"Wed"),$D286*SUMIFS('Session Tracker'!$J$5:$J$149,'Session Tracker'!$D$5:$D$149,$A286,'Session Tracker'!$F$5:$F$149,"Next week",'Session Tracker'!$G$5:$G$149,"Wed"))</f>
        <v>0</v>
      </c>
      <c r="K286" s="52" t="n">
        <f aca="false">IF($E286="Per class",$D286*COUNTIFS('Session Tracker'!$D$5:$D$149,$A286,'Session Tracker'!$F$5:$F$149,"Next week",'Session Tracker'!$G$5:$G$149,"Thu"),$D286*SUMIFS('Session Tracker'!$J$5:$J$149,'Session Tracker'!$D$5:$D$149,$A286,'Session Tracker'!$F$5:$F$149,"Next week",'Session Tracker'!$G$5:$G$149,"Thu"))</f>
        <v>0</v>
      </c>
      <c r="L286" s="52" t="n">
        <f aca="false">IF($E286="Per class",$D286*COUNTIFS('Session Tracker'!$D$5:$D$149,$A286,'Session Tracker'!$F$5:$F$149,"Next week",'Session Tracker'!$G$5:$G$149,"Fri"),$D286*SUMIFS('Session Tracker'!$J$5:$J$149,'Session Tracker'!$D$5:$D$149,$A286,'Session Tracker'!$F$5:$F$149,"Next week",'Session Tracker'!$G$5:$G$149,"Fri"))</f>
        <v>0</v>
      </c>
      <c r="M286" s="52" t="n">
        <f aca="false">IF($E286="Per class",$D286*COUNTIFS('Session Tracker'!$D$5:$D$149,$A286,'Session Tracker'!$F$5:$F$149,"Next week",'Session Tracker'!$G$5:$G$149,""),$D286*SUMIFS('Session Tracker'!$J$5:$J$149,'Session Tracker'!$D$5:$D$149,$A286,'Session Tracker'!$F$5:$F$149,"Next week",'Session Tracker'!$G$5:$G$149,""))</f>
        <v>0</v>
      </c>
    </row>
    <row r="287" customFormat="false" ht="15" hidden="false" customHeight="false" outlineLevel="0" collapsed="false">
      <c r="A287" s="53" t="s">
        <v>128</v>
      </c>
      <c r="B287" s="54"/>
      <c r="C287" s="54"/>
      <c r="D287" s="54"/>
      <c r="E287" s="54"/>
      <c r="F287" s="54"/>
      <c r="G287" s="54"/>
      <c r="H287" s="52" t="n">
        <f aca="false">IF($E287="Per class",$D287*COUNTIFS('Session Tracker'!$D$5:$D$149,$A287,'Session Tracker'!$F$5:$F$149,"Next week",'Session Tracker'!$G$5:$G$149,"Mon"),$D287*SUMIFS('Session Tracker'!$J$5:$J$149,'Session Tracker'!$D$5:$D$149,$A287,'Session Tracker'!$F$5:$F$149,"Next week",'Session Tracker'!$G$5:$G$149,"Mon"))</f>
        <v>0</v>
      </c>
      <c r="I287" s="52" t="n">
        <f aca="false">IF($E287="Per class",$D287*COUNTIFS('Session Tracker'!$D$5:$D$149,$A287,'Session Tracker'!$F$5:$F$149,"Next week",'Session Tracker'!$G$5:$G$149,"Tue"),$D287*SUMIFS('Session Tracker'!$J$5:$J$149,'Session Tracker'!$D$5:$D$149,$A287,'Session Tracker'!$F$5:$F$149,"Next week",'Session Tracker'!$G$5:$G$149,"Tue"))</f>
        <v>0</v>
      </c>
      <c r="J287" s="52" t="n">
        <f aca="false">IF($E287="Per class",$D287*COUNTIFS('Session Tracker'!$D$5:$D$149,$A287,'Session Tracker'!$F$5:$F$149,"Next week",'Session Tracker'!$G$5:$G$149,"Wed"),$D287*SUMIFS('Session Tracker'!$J$5:$J$149,'Session Tracker'!$D$5:$D$149,$A287,'Session Tracker'!$F$5:$F$149,"Next week",'Session Tracker'!$G$5:$G$149,"Wed"))</f>
        <v>0</v>
      </c>
      <c r="K287" s="52" t="n">
        <f aca="false">IF($E287="Per class",$D287*COUNTIFS('Session Tracker'!$D$5:$D$149,$A287,'Session Tracker'!$F$5:$F$149,"Next week",'Session Tracker'!$G$5:$G$149,"Thu"),$D287*SUMIFS('Session Tracker'!$J$5:$J$149,'Session Tracker'!$D$5:$D$149,$A287,'Session Tracker'!$F$5:$F$149,"Next week",'Session Tracker'!$G$5:$G$149,"Thu"))</f>
        <v>0</v>
      </c>
      <c r="L287" s="52" t="n">
        <f aca="false">IF($E287="Per class",$D287*COUNTIFS('Session Tracker'!$D$5:$D$149,$A287,'Session Tracker'!$F$5:$F$149,"Next week",'Session Tracker'!$G$5:$G$149,"Fri"),$D287*SUMIFS('Session Tracker'!$J$5:$J$149,'Session Tracker'!$D$5:$D$149,$A287,'Session Tracker'!$F$5:$F$149,"Next week",'Session Tracker'!$G$5:$G$149,"Fri"))</f>
        <v>0</v>
      </c>
      <c r="M287" s="52" t="n">
        <f aca="false">IF($E287="Per class",$D287*COUNTIFS('Session Tracker'!$D$5:$D$149,$A287,'Session Tracker'!$F$5:$F$149,"Next week",'Session Tracker'!$G$5:$G$149,""),$D287*SUMIFS('Session Tracker'!$J$5:$J$149,'Session Tracker'!$D$5:$D$149,$A287,'Session Tracker'!$F$5:$F$149,"Next week",'Session Tracker'!$G$5:$G$149,""))</f>
        <v>0</v>
      </c>
    </row>
    <row r="288" customFormat="false" ht="15" hidden="false" customHeight="false" outlineLevel="0" collapsed="false">
      <c r="A288" s="53" t="s">
        <v>128</v>
      </c>
      <c r="B288" s="54"/>
      <c r="C288" s="54"/>
      <c r="D288" s="54"/>
      <c r="E288" s="54"/>
      <c r="F288" s="54"/>
      <c r="G288" s="54"/>
      <c r="H288" s="52" t="n">
        <f aca="false">IF($E288="Per class",$D288*COUNTIFS('Session Tracker'!$D$5:$D$149,$A288,'Session Tracker'!$F$5:$F$149,"Next week",'Session Tracker'!$G$5:$G$149,"Mon"),$D288*SUMIFS('Session Tracker'!$J$5:$J$149,'Session Tracker'!$D$5:$D$149,$A288,'Session Tracker'!$F$5:$F$149,"Next week",'Session Tracker'!$G$5:$G$149,"Mon"))</f>
        <v>0</v>
      </c>
      <c r="I288" s="52" t="n">
        <f aca="false">IF($E288="Per class",$D288*COUNTIFS('Session Tracker'!$D$5:$D$149,$A288,'Session Tracker'!$F$5:$F$149,"Next week",'Session Tracker'!$G$5:$G$149,"Tue"),$D288*SUMIFS('Session Tracker'!$J$5:$J$149,'Session Tracker'!$D$5:$D$149,$A288,'Session Tracker'!$F$5:$F$149,"Next week",'Session Tracker'!$G$5:$G$149,"Tue"))</f>
        <v>0</v>
      </c>
      <c r="J288" s="52" t="n">
        <f aca="false">IF($E288="Per class",$D288*COUNTIFS('Session Tracker'!$D$5:$D$149,$A288,'Session Tracker'!$F$5:$F$149,"Next week",'Session Tracker'!$G$5:$G$149,"Wed"),$D288*SUMIFS('Session Tracker'!$J$5:$J$149,'Session Tracker'!$D$5:$D$149,$A288,'Session Tracker'!$F$5:$F$149,"Next week",'Session Tracker'!$G$5:$G$149,"Wed"))</f>
        <v>0</v>
      </c>
      <c r="K288" s="52" t="n">
        <f aca="false">IF($E288="Per class",$D288*COUNTIFS('Session Tracker'!$D$5:$D$149,$A288,'Session Tracker'!$F$5:$F$149,"Next week",'Session Tracker'!$G$5:$G$149,"Thu"),$D288*SUMIFS('Session Tracker'!$J$5:$J$149,'Session Tracker'!$D$5:$D$149,$A288,'Session Tracker'!$F$5:$F$149,"Next week",'Session Tracker'!$G$5:$G$149,"Thu"))</f>
        <v>0</v>
      </c>
      <c r="L288" s="52" t="n">
        <f aca="false">IF($E288="Per class",$D288*COUNTIFS('Session Tracker'!$D$5:$D$149,$A288,'Session Tracker'!$F$5:$F$149,"Next week",'Session Tracker'!$G$5:$G$149,"Fri"),$D288*SUMIFS('Session Tracker'!$J$5:$J$149,'Session Tracker'!$D$5:$D$149,$A288,'Session Tracker'!$F$5:$F$149,"Next week",'Session Tracker'!$G$5:$G$149,"Fri"))</f>
        <v>0</v>
      </c>
      <c r="M288" s="52" t="n">
        <f aca="false">IF($E288="Per class",$D288*COUNTIFS('Session Tracker'!$D$5:$D$149,$A288,'Session Tracker'!$F$5:$F$149,"Next week",'Session Tracker'!$G$5:$G$149,""),$D288*SUMIFS('Session Tracker'!$J$5:$J$149,'Session Tracker'!$D$5:$D$149,$A288,'Session Tracker'!$F$5:$F$149,"Next week",'Session Tracker'!$G$5:$G$149,""))</f>
        <v>0</v>
      </c>
    </row>
    <row r="290" customFormat="false" ht="19.5" hidden="false" customHeight="true" outlineLevel="0" collapsed="false">
      <c r="A290" s="47" t="s">
        <v>130</v>
      </c>
      <c r="B290" s="48" t="s">
        <v>482</v>
      </c>
      <c r="C290" s="48"/>
      <c r="D290" s="48"/>
      <c r="E290" s="48"/>
      <c r="F290" s="49" t="str">
        <f aca="false">"Status: "&amp;'Session Tracker'!F32&amp;IF('Session Tracker'!G32&lt;&gt;""," ("&amp;'Session Tracker'!G32&amp;")","")</f>
        <v>Status: Not started</v>
      </c>
      <c r="G290" s="49"/>
      <c r="H290" s="50"/>
      <c r="I290" s="50"/>
      <c r="J290" s="50"/>
      <c r="K290" s="50"/>
      <c r="L290" s="50"/>
      <c r="M290" s="50"/>
    </row>
    <row r="291" customFormat="false" ht="15" hidden="false" customHeight="false" outlineLevel="0" collapsed="false">
      <c r="A291" s="51" t="s">
        <v>130</v>
      </c>
      <c r="B291" s="34" t="s">
        <v>377</v>
      </c>
      <c r="C291" s="34" t="s">
        <v>483</v>
      </c>
      <c r="D291" s="32" t="n">
        <v>1</v>
      </c>
      <c r="E291" s="32" t="s">
        <v>14</v>
      </c>
      <c r="F291" s="32" t="s">
        <v>368</v>
      </c>
      <c r="G291" s="34"/>
      <c r="H291" s="52" t="n">
        <f aca="false">IF($E291="Per class",$D291*COUNTIFS('Session Tracker'!$D$5:$D$149,$A291,'Session Tracker'!$F$5:$F$149,"Next week",'Session Tracker'!$G$5:$G$149,"Mon"),$D291*SUMIFS('Session Tracker'!$J$5:$J$149,'Session Tracker'!$D$5:$D$149,$A291,'Session Tracker'!$F$5:$F$149,"Next week",'Session Tracker'!$G$5:$G$149,"Mon"))</f>
        <v>0</v>
      </c>
      <c r="I291" s="52" t="n">
        <f aca="false">IF($E291="Per class",$D291*COUNTIFS('Session Tracker'!$D$5:$D$149,$A291,'Session Tracker'!$F$5:$F$149,"Next week",'Session Tracker'!$G$5:$G$149,"Tue"),$D291*SUMIFS('Session Tracker'!$J$5:$J$149,'Session Tracker'!$D$5:$D$149,$A291,'Session Tracker'!$F$5:$F$149,"Next week",'Session Tracker'!$G$5:$G$149,"Tue"))</f>
        <v>0</v>
      </c>
      <c r="J291" s="52" t="n">
        <f aca="false">IF($E291="Per class",$D291*COUNTIFS('Session Tracker'!$D$5:$D$149,$A291,'Session Tracker'!$F$5:$F$149,"Next week",'Session Tracker'!$G$5:$G$149,"Wed"),$D291*SUMIFS('Session Tracker'!$J$5:$J$149,'Session Tracker'!$D$5:$D$149,$A291,'Session Tracker'!$F$5:$F$149,"Next week",'Session Tracker'!$G$5:$G$149,"Wed"))</f>
        <v>0</v>
      </c>
      <c r="K291" s="52" t="n">
        <f aca="false">IF($E291="Per class",$D291*COUNTIFS('Session Tracker'!$D$5:$D$149,$A291,'Session Tracker'!$F$5:$F$149,"Next week",'Session Tracker'!$G$5:$G$149,"Thu"),$D291*SUMIFS('Session Tracker'!$J$5:$J$149,'Session Tracker'!$D$5:$D$149,$A291,'Session Tracker'!$F$5:$F$149,"Next week",'Session Tracker'!$G$5:$G$149,"Thu"))</f>
        <v>0</v>
      </c>
      <c r="L291" s="52" t="n">
        <f aca="false">IF($E291="Per class",$D291*COUNTIFS('Session Tracker'!$D$5:$D$149,$A291,'Session Tracker'!$F$5:$F$149,"Next week",'Session Tracker'!$G$5:$G$149,"Fri"),$D291*SUMIFS('Session Tracker'!$J$5:$J$149,'Session Tracker'!$D$5:$D$149,$A291,'Session Tracker'!$F$5:$F$149,"Next week",'Session Tracker'!$G$5:$G$149,"Fri"))</f>
        <v>0</v>
      </c>
      <c r="M291" s="52" t="n">
        <f aca="false">IF($E291="Per class",$D291*COUNTIFS('Session Tracker'!$D$5:$D$149,$A291,'Session Tracker'!$F$5:$F$149,"Next week",'Session Tracker'!$G$5:$G$149,""),$D291*SUMIFS('Session Tracker'!$J$5:$J$149,'Session Tracker'!$D$5:$D$149,$A291,'Session Tracker'!$F$5:$F$149,"Next week",'Session Tracker'!$G$5:$G$149,""))</f>
        <v>0</v>
      </c>
    </row>
    <row r="292" customFormat="false" ht="15" hidden="false" customHeight="false" outlineLevel="0" collapsed="false">
      <c r="A292" s="51" t="s">
        <v>130</v>
      </c>
      <c r="B292" s="34" t="s">
        <v>371</v>
      </c>
      <c r="C292" s="34" t="s">
        <v>372</v>
      </c>
      <c r="D292" s="32" t="n">
        <v>2</v>
      </c>
      <c r="E292" s="32" t="s">
        <v>14</v>
      </c>
      <c r="F292" s="32" t="s">
        <v>373</v>
      </c>
      <c r="G292" s="34" t="s">
        <v>424</v>
      </c>
      <c r="H292" s="52" t="n">
        <f aca="false">IF($E292="Per class",$D292*COUNTIFS('Session Tracker'!$D$5:$D$149,$A292,'Session Tracker'!$F$5:$F$149,"Next week",'Session Tracker'!$G$5:$G$149,"Mon"),$D292*SUMIFS('Session Tracker'!$J$5:$J$149,'Session Tracker'!$D$5:$D$149,$A292,'Session Tracker'!$F$5:$F$149,"Next week",'Session Tracker'!$G$5:$G$149,"Mon"))</f>
        <v>0</v>
      </c>
      <c r="I292" s="52" t="n">
        <f aca="false">IF($E292="Per class",$D292*COUNTIFS('Session Tracker'!$D$5:$D$149,$A292,'Session Tracker'!$F$5:$F$149,"Next week",'Session Tracker'!$G$5:$G$149,"Tue"),$D292*SUMIFS('Session Tracker'!$J$5:$J$149,'Session Tracker'!$D$5:$D$149,$A292,'Session Tracker'!$F$5:$F$149,"Next week",'Session Tracker'!$G$5:$G$149,"Tue"))</f>
        <v>0</v>
      </c>
      <c r="J292" s="52" t="n">
        <f aca="false">IF($E292="Per class",$D292*COUNTIFS('Session Tracker'!$D$5:$D$149,$A292,'Session Tracker'!$F$5:$F$149,"Next week",'Session Tracker'!$G$5:$G$149,"Wed"),$D292*SUMIFS('Session Tracker'!$J$5:$J$149,'Session Tracker'!$D$5:$D$149,$A292,'Session Tracker'!$F$5:$F$149,"Next week",'Session Tracker'!$G$5:$G$149,"Wed"))</f>
        <v>0</v>
      </c>
      <c r="K292" s="52" t="n">
        <f aca="false">IF($E292="Per class",$D292*COUNTIFS('Session Tracker'!$D$5:$D$149,$A292,'Session Tracker'!$F$5:$F$149,"Next week",'Session Tracker'!$G$5:$G$149,"Thu"),$D292*SUMIFS('Session Tracker'!$J$5:$J$149,'Session Tracker'!$D$5:$D$149,$A292,'Session Tracker'!$F$5:$F$149,"Next week",'Session Tracker'!$G$5:$G$149,"Thu"))</f>
        <v>0</v>
      </c>
      <c r="L292" s="52" t="n">
        <f aca="false">IF($E292="Per class",$D292*COUNTIFS('Session Tracker'!$D$5:$D$149,$A292,'Session Tracker'!$F$5:$F$149,"Next week",'Session Tracker'!$G$5:$G$149,"Fri"),$D292*SUMIFS('Session Tracker'!$J$5:$J$149,'Session Tracker'!$D$5:$D$149,$A292,'Session Tracker'!$F$5:$F$149,"Next week",'Session Tracker'!$G$5:$G$149,"Fri"))</f>
        <v>0</v>
      </c>
      <c r="M292" s="52" t="n">
        <f aca="false">IF($E292="Per class",$D292*COUNTIFS('Session Tracker'!$D$5:$D$149,$A292,'Session Tracker'!$F$5:$F$149,"Next week",'Session Tracker'!$G$5:$G$149,""),$D292*SUMIFS('Session Tracker'!$J$5:$J$149,'Session Tracker'!$D$5:$D$149,$A292,'Session Tracker'!$F$5:$F$149,"Next week",'Session Tracker'!$G$5:$G$149,""))</f>
        <v>0</v>
      </c>
    </row>
    <row r="293" customFormat="false" ht="15" hidden="false" customHeight="false" outlineLevel="0" collapsed="false">
      <c r="A293" s="51" t="s">
        <v>130</v>
      </c>
      <c r="B293" s="34" t="s">
        <v>379</v>
      </c>
      <c r="C293" s="34" t="s">
        <v>423</v>
      </c>
      <c r="D293" s="32" t="n">
        <v>2</v>
      </c>
      <c r="E293" s="32" t="s">
        <v>14</v>
      </c>
      <c r="F293" s="32" t="s">
        <v>368</v>
      </c>
      <c r="G293" s="34"/>
      <c r="H293" s="52" t="n">
        <f aca="false">IF($E293="Per class",$D293*COUNTIFS('Session Tracker'!$D$5:$D$149,$A293,'Session Tracker'!$F$5:$F$149,"Next week",'Session Tracker'!$G$5:$G$149,"Mon"),$D293*SUMIFS('Session Tracker'!$J$5:$J$149,'Session Tracker'!$D$5:$D$149,$A293,'Session Tracker'!$F$5:$F$149,"Next week",'Session Tracker'!$G$5:$G$149,"Mon"))</f>
        <v>0</v>
      </c>
      <c r="I293" s="52" t="n">
        <f aca="false">IF($E293="Per class",$D293*COUNTIFS('Session Tracker'!$D$5:$D$149,$A293,'Session Tracker'!$F$5:$F$149,"Next week",'Session Tracker'!$G$5:$G$149,"Tue"),$D293*SUMIFS('Session Tracker'!$J$5:$J$149,'Session Tracker'!$D$5:$D$149,$A293,'Session Tracker'!$F$5:$F$149,"Next week",'Session Tracker'!$G$5:$G$149,"Tue"))</f>
        <v>0</v>
      </c>
      <c r="J293" s="52" t="n">
        <f aca="false">IF($E293="Per class",$D293*COUNTIFS('Session Tracker'!$D$5:$D$149,$A293,'Session Tracker'!$F$5:$F$149,"Next week",'Session Tracker'!$G$5:$G$149,"Wed"),$D293*SUMIFS('Session Tracker'!$J$5:$J$149,'Session Tracker'!$D$5:$D$149,$A293,'Session Tracker'!$F$5:$F$149,"Next week",'Session Tracker'!$G$5:$G$149,"Wed"))</f>
        <v>0</v>
      </c>
      <c r="K293" s="52" t="n">
        <f aca="false">IF($E293="Per class",$D293*COUNTIFS('Session Tracker'!$D$5:$D$149,$A293,'Session Tracker'!$F$5:$F$149,"Next week",'Session Tracker'!$G$5:$G$149,"Thu"),$D293*SUMIFS('Session Tracker'!$J$5:$J$149,'Session Tracker'!$D$5:$D$149,$A293,'Session Tracker'!$F$5:$F$149,"Next week",'Session Tracker'!$G$5:$G$149,"Thu"))</f>
        <v>0</v>
      </c>
      <c r="L293" s="52" t="n">
        <f aca="false">IF($E293="Per class",$D293*COUNTIFS('Session Tracker'!$D$5:$D$149,$A293,'Session Tracker'!$F$5:$F$149,"Next week",'Session Tracker'!$G$5:$G$149,"Fri"),$D293*SUMIFS('Session Tracker'!$J$5:$J$149,'Session Tracker'!$D$5:$D$149,$A293,'Session Tracker'!$F$5:$F$149,"Next week",'Session Tracker'!$G$5:$G$149,"Fri"))</f>
        <v>0</v>
      </c>
      <c r="M293" s="52" t="n">
        <f aca="false">IF($E293="Per class",$D293*COUNTIFS('Session Tracker'!$D$5:$D$149,$A293,'Session Tracker'!$F$5:$F$149,"Next week",'Session Tracker'!$G$5:$G$149,""),$D293*SUMIFS('Session Tracker'!$J$5:$J$149,'Session Tracker'!$D$5:$D$149,$A293,'Session Tracker'!$F$5:$F$149,"Next week",'Session Tracker'!$G$5:$G$149,""))</f>
        <v>0</v>
      </c>
    </row>
    <row r="294" customFormat="false" ht="15" hidden="false" customHeight="false" outlineLevel="0" collapsed="false">
      <c r="A294" s="51" t="s">
        <v>130</v>
      </c>
      <c r="B294" s="34" t="s">
        <v>382</v>
      </c>
      <c r="C294" s="34" t="s">
        <v>484</v>
      </c>
      <c r="D294" s="32" t="n">
        <v>1</v>
      </c>
      <c r="E294" s="32" t="s">
        <v>16</v>
      </c>
      <c r="F294" s="32" t="s">
        <v>368</v>
      </c>
      <c r="G294" s="34" t="s">
        <v>485</v>
      </c>
      <c r="H294" s="52" t="n">
        <f aca="false">IF($E294="Per class",$D294*COUNTIFS('Session Tracker'!$D$5:$D$149,$A294,'Session Tracker'!$F$5:$F$149,"Next week",'Session Tracker'!$G$5:$G$149,"Mon"),$D294*SUMIFS('Session Tracker'!$J$5:$J$149,'Session Tracker'!$D$5:$D$149,$A294,'Session Tracker'!$F$5:$F$149,"Next week",'Session Tracker'!$G$5:$G$149,"Mon"))</f>
        <v>0</v>
      </c>
      <c r="I294" s="52" t="n">
        <f aca="false">IF($E294="Per class",$D294*COUNTIFS('Session Tracker'!$D$5:$D$149,$A294,'Session Tracker'!$F$5:$F$149,"Next week",'Session Tracker'!$G$5:$G$149,"Tue"),$D294*SUMIFS('Session Tracker'!$J$5:$J$149,'Session Tracker'!$D$5:$D$149,$A294,'Session Tracker'!$F$5:$F$149,"Next week",'Session Tracker'!$G$5:$G$149,"Tue"))</f>
        <v>0</v>
      </c>
      <c r="J294" s="52" t="n">
        <f aca="false">IF($E294="Per class",$D294*COUNTIFS('Session Tracker'!$D$5:$D$149,$A294,'Session Tracker'!$F$5:$F$149,"Next week",'Session Tracker'!$G$5:$G$149,"Wed"),$D294*SUMIFS('Session Tracker'!$J$5:$J$149,'Session Tracker'!$D$5:$D$149,$A294,'Session Tracker'!$F$5:$F$149,"Next week",'Session Tracker'!$G$5:$G$149,"Wed"))</f>
        <v>0</v>
      </c>
      <c r="K294" s="52" t="n">
        <f aca="false">IF($E294="Per class",$D294*COUNTIFS('Session Tracker'!$D$5:$D$149,$A294,'Session Tracker'!$F$5:$F$149,"Next week",'Session Tracker'!$G$5:$G$149,"Thu"),$D294*SUMIFS('Session Tracker'!$J$5:$J$149,'Session Tracker'!$D$5:$D$149,$A294,'Session Tracker'!$F$5:$F$149,"Next week",'Session Tracker'!$G$5:$G$149,"Thu"))</f>
        <v>0</v>
      </c>
      <c r="L294" s="52" t="n">
        <f aca="false">IF($E294="Per class",$D294*COUNTIFS('Session Tracker'!$D$5:$D$149,$A294,'Session Tracker'!$F$5:$F$149,"Next week",'Session Tracker'!$G$5:$G$149,"Fri"),$D294*SUMIFS('Session Tracker'!$J$5:$J$149,'Session Tracker'!$D$5:$D$149,$A294,'Session Tracker'!$F$5:$F$149,"Next week",'Session Tracker'!$G$5:$G$149,"Fri"))</f>
        <v>0</v>
      </c>
      <c r="M294" s="52" t="n">
        <f aca="false">IF($E294="Per class",$D294*COUNTIFS('Session Tracker'!$D$5:$D$149,$A294,'Session Tracker'!$F$5:$F$149,"Next week",'Session Tracker'!$G$5:$G$149,""),$D294*SUMIFS('Session Tracker'!$J$5:$J$149,'Session Tracker'!$D$5:$D$149,$A294,'Session Tracker'!$F$5:$F$149,"Next week",'Session Tracker'!$G$5:$G$149,""))</f>
        <v>0</v>
      </c>
    </row>
    <row r="295" customFormat="false" ht="15" hidden="false" customHeight="false" outlineLevel="0" collapsed="false">
      <c r="A295" s="51" t="s">
        <v>130</v>
      </c>
      <c r="B295" s="34" t="s">
        <v>411</v>
      </c>
      <c r="C295" s="34" t="s">
        <v>440</v>
      </c>
      <c r="D295" s="32" t="n">
        <v>1</v>
      </c>
      <c r="E295" s="32" t="s">
        <v>14</v>
      </c>
      <c r="F295" s="32" t="s">
        <v>373</v>
      </c>
      <c r="G295" s="34" t="s">
        <v>486</v>
      </c>
      <c r="H295" s="52" t="n">
        <f aca="false">IF($E295="Per class",$D295*COUNTIFS('Session Tracker'!$D$5:$D$149,$A295,'Session Tracker'!$F$5:$F$149,"Next week",'Session Tracker'!$G$5:$G$149,"Mon"),$D295*SUMIFS('Session Tracker'!$J$5:$J$149,'Session Tracker'!$D$5:$D$149,$A295,'Session Tracker'!$F$5:$F$149,"Next week",'Session Tracker'!$G$5:$G$149,"Mon"))</f>
        <v>0</v>
      </c>
      <c r="I295" s="52" t="n">
        <f aca="false">IF($E295="Per class",$D295*COUNTIFS('Session Tracker'!$D$5:$D$149,$A295,'Session Tracker'!$F$5:$F$149,"Next week",'Session Tracker'!$G$5:$G$149,"Tue"),$D295*SUMIFS('Session Tracker'!$J$5:$J$149,'Session Tracker'!$D$5:$D$149,$A295,'Session Tracker'!$F$5:$F$149,"Next week",'Session Tracker'!$G$5:$G$149,"Tue"))</f>
        <v>0</v>
      </c>
      <c r="J295" s="52" t="n">
        <f aca="false">IF($E295="Per class",$D295*COUNTIFS('Session Tracker'!$D$5:$D$149,$A295,'Session Tracker'!$F$5:$F$149,"Next week",'Session Tracker'!$G$5:$G$149,"Wed"),$D295*SUMIFS('Session Tracker'!$J$5:$J$149,'Session Tracker'!$D$5:$D$149,$A295,'Session Tracker'!$F$5:$F$149,"Next week",'Session Tracker'!$G$5:$G$149,"Wed"))</f>
        <v>0</v>
      </c>
      <c r="K295" s="52" t="n">
        <f aca="false">IF($E295="Per class",$D295*COUNTIFS('Session Tracker'!$D$5:$D$149,$A295,'Session Tracker'!$F$5:$F$149,"Next week",'Session Tracker'!$G$5:$G$149,"Thu"),$D295*SUMIFS('Session Tracker'!$J$5:$J$149,'Session Tracker'!$D$5:$D$149,$A295,'Session Tracker'!$F$5:$F$149,"Next week",'Session Tracker'!$G$5:$G$149,"Thu"))</f>
        <v>0</v>
      </c>
      <c r="L295" s="52" t="n">
        <f aca="false">IF($E295="Per class",$D295*COUNTIFS('Session Tracker'!$D$5:$D$149,$A295,'Session Tracker'!$F$5:$F$149,"Next week",'Session Tracker'!$G$5:$G$149,"Fri"),$D295*SUMIFS('Session Tracker'!$J$5:$J$149,'Session Tracker'!$D$5:$D$149,$A295,'Session Tracker'!$F$5:$F$149,"Next week",'Session Tracker'!$G$5:$G$149,"Fri"))</f>
        <v>0</v>
      </c>
      <c r="M295" s="52" t="n">
        <f aca="false">IF($E295="Per class",$D295*COUNTIFS('Session Tracker'!$D$5:$D$149,$A295,'Session Tracker'!$F$5:$F$149,"Next week",'Session Tracker'!$G$5:$G$149,""),$D295*SUMIFS('Session Tracker'!$J$5:$J$149,'Session Tracker'!$D$5:$D$149,$A295,'Session Tracker'!$F$5:$F$149,"Next week",'Session Tracker'!$G$5:$G$149,""))</f>
        <v>0</v>
      </c>
    </row>
    <row r="296" customFormat="false" ht="15" hidden="false" customHeight="false" outlineLevel="0" collapsed="false">
      <c r="A296" s="53" t="s">
        <v>130</v>
      </c>
      <c r="B296" s="54"/>
      <c r="C296" s="54"/>
      <c r="D296" s="54"/>
      <c r="E296" s="54"/>
      <c r="F296" s="54"/>
      <c r="G296" s="54"/>
      <c r="H296" s="52" t="n">
        <f aca="false">IF($E296="Per class",$D296*COUNTIFS('Session Tracker'!$D$5:$D$149,$A296,'Session Tracker'!$F$5:$F$149,"Next week",'Session Tracker'!$G$5:$G$149,"Mon"),$D296*SUMIFS('Session Tracker'!$J$5:$J$149,'Session Tracker'!$D$5:$D$149,$A296,'Session Tracker'!$F$5:$F$149,"Next week",'Session Tracker'!$G$5:$G$149,"Mon"))</f>
        <v>0</v>
      </c>
      <c r="I296" s="52" t="n">
        <f aca="false">IF($E296="Per class",$D296*COUNTIFS('Session Tracker'!$D$5:$D$149,$A296,'Session Tracker'!$F$5:$F$149,"Next week",'Session Tracker'!$G$5:$G$149,"Tue"),$D296*SUMIFS('Session Tracker'!$J$5:$J$149,'Session Tracker'!$D$5:$D$149,$A296,'Session Tracker'!$F$5:$F$149,"Next week",'Session Tracker'!$G$5:$G$149,"Tue"))</f>
        <v>0</v>
      </c>
      <c r="J296" s="52" t="n">
        <f aca="false">IF($E296="Per class",$D296*COUNTIFS('Session Tracker'!$D$5:$D$149,$A296,'Session Tracker'!$F$5:$F$149,"Next week",'Session Tracker'!$G$5:$G$149,"Wed"),$D296*SUMIFS('Session Tracker'!$J$5:$J$149,'Session Tracker'!$D$5:$D$149,$A296,'Session Tracker'!$F$5:$F$149,"Next week",'Session Tracker'!$G$5:$G$149,"Wed"))</f>
        <v>0</v>
      </c>
      <c r="K296" s="52" t="n">
        <f aca="false">IF($E296="Per class",$D296*COUNTIFS('Session Tracker'!$D$5:$D$149,$A296,'Session Tracker'!$F$5:$F$149,"Next week",'Session Tracker'!$G$5:$G$149,"Thu"),$D296*SUMIFS('Session Tracker'!$J$5:$J$149,'Session Tracker'!$D$5:$D$149,$A296,'Session Tracker'!$F$5:$F$149,"Next week",'Session Tracker'!$G$5:$G$149,"Thu"))</f>
        <v>0</v>
      </c>
      <c r="L296" s="52" t="n">
        <f aca="false">IF($E296="Per class",$D296*COUNTIFS('Session Tracker'!$D$5:$D$149,$A296,'Session Tracker'!$F$5:$F$149,"Next week",'Session Tracker'!$G$5:$G$149,"Fri"),$D296*SUMIFS('Session Tracker'!$J$5:$J$149,'Session Tracker'!$D$5:$D$149,$A296,'Session Tracker'!$F$5:$F$149,"Next week",'Session Tracker'!$G$5:$G$149,"Fri"))</f>
        <v>0</v>
      </c>
      <c r="M296" s="52" t="n">
        <f aca="false">IF($E296="Per class",$D296*COUNTIFS('Session Tracker'!$D$5:$D$149,$A296,'Session Tracker'!$F$5:$F$149,"Next week",'Session Tracker'!$G$5:$G$149,""),$D296*SUMIFS('Session Tracker'!$J$5:$J$149,'Session Tracker'!$D$5:$D$149,$A296,'Session Tracker'!$F$5:$F$149,"Next week",'Session Tracker'!$G$5:$G$149,""))</f>
        <v>0</v>
      </c>
    </row>
    <row r="297" customFormat="false" ht="15" hidden="false" customHeight="false" outlineLevel="0" collapsed="false">
      <c r="A297" s="53" t="s">
        <v>130</v>
      </c>
      <c r="B297" s="54"/>
      <c r="C297" s="54"/>
      <c r="D297" s="54"/>
      <c r="E297" s="54"/>
      <c r="F297" s="54"/>
      <c r="G297" s="54"/>
      <c r="H297" s="52" t="n">
        <f aca="false">IF($E297="Per class",$D297*COUNTIFS('Session Tracker'!$D$5:$D$149,$A297,'Session Tracker'!$F$5:$F$149,"Next week",'Session Tracker'!$G$5:$G$149,"Mon"),$D297*SUMIFS('Session Tracker'!$J$5:$J$149,'Session Tracker'!$D$5:$D$149,$A297,'Session Tracker'!$F$5:$F$149,"Next week",'Session Tracker'!$G$5:$G$149,"Mon"))</f>
        <v>0</v>
      </c>
      <c r="I297" s="52" t="n">
        <f aca="false">IF($E297="Per class",$D297*COUNTIFS('Session Tracker'!$D$5:$D$149,$A297,'Session Tracker'!$F$5:$F$149,"Next week",'Session Tracker'!$G$5:$G$149,"Tue"),$D297*SUMIFS('Session Tracker'!$J$5:$J$149,'Session Tracker'!$D$5:$D$149,$A297,'Session Tracker'!$F$5:$F$149,"Next week",'Session Tracker'!$G$5:$G$149,"Tue"))</f>
        <v>0</v>
      </c>
      <c r="J297" s="52" t="n">
        <f aca="false">IF($E297="Per class",$D297*COUNTIFS('Session Tracker'!$D$5:$D$149,$A297,'Session Tracker'!$F$5:$F$149,"Next week",'Session Tracker'!$G$5:$G$149,"Wed"),$D297*SUMIFS('Session Tracker'!$J$5:$J$149,'Session Tracker'!$D$5:$D$149,$A297,'Session Tracker'!$F$5:$F$149,"Next week",'Session Tracker'!$G$5:$G$149,"Wed"))</f>
        <v>0</v>
      </c>
      <c r="K297" s="52" t="n">
        <f aca="false">IF($E297="Per class",$D297*COUNTIFS('Session Tracker'!$D$5:$D$149,$A297,'Session Tracker'!$F$5:$F$149,"Next week",'Session Tracker'!$G$5:$G$149,"Thu"),$D297*SUMIFS('Session Tracker'!$J$5:$J$149,'Session Tracker'!$D$5:$D$149,$A297,'Session Tracker'!$F$5:$F$149,"Next week",'Session Tracker'!$G$5:$G$149,"Thu"))</f>
        <v>0</v>
      </c>
      <c r="L297" s="52" t="n">
        <f aca="false">IF($E297="Per class",$D297*COUNTIFS('Session Tracker'!$D$5:$D$149,$A297,'Session Tracker'!$F$5:$F$149,"Next week",'Session Tracker'!$G$5:$G$149,"Fri"),$D297*SUMIFS('Session Tracker'!$J$5:$J$149,'Session Tracker'!$D$5:$D$149,$A297,'Session Tracker'!$F$5:$F$149,"Next week",'Session Tracker'!$G$5:$G$149,"Fri"))</f>
        <v>0</v>
      </c>
      <c r="M297" s="52" t="n">
        <f aca="false">IF($E297="Per class",$D297*COUNTIFS('Session Tracker'!$D$5:$D$149,$A297,'Session Tracker'!$F$5:$F$149,"Next week",'Session Tracker'!$G$5:$G$149,""),$D297*SUMIFS('Session Tracker'!$J$5:$J$149,'Session Tracker'!$D$5:$D$149,$A297,'Session Tracker'!$F$5:$F$149,"Next week",'Session Tracker'!$G$5:$G$149,""))</f>
        <v>0</v>
      </c>
    </row>
    <row r="299" customFormat="false" ht="19.5" hidden="false" customHeight="true" outlineLevel="0" collapsed="false">
      <c r="A299" s="47" t="s">
        <v>132</v>
      </c>
      <c r="B299" s="48" t="s">
        <v>487</v>
      </c>
      <c r="C299" s="48"/>
      <c r="D299" s="48"/>
      <c r="E299" s="48"/>
      <c r="F299" s="49" t="str">
        <f aca="false">"Status: "&amp;'Session Tracker'!F33&amp;IF('Session Tracker'!G33&lt;&gt;""," ("&amp;'Session Tracker'!G33&amp;")","")</f>
        <v>Status: Not started</v>
      </c>
      <c r="G299" s="49"/>
      <c r="H299" s="50"/>
      <c r="I299" s="50"/>
      <c r="J299" s="50"/>
      <c r="K299" s="50"/>
      <c r="L299" s="50"/>
      <c r="M299" s="50"/>
    </row>
    <row r="300" customFormat="false" ht="15" hidden="false" customHeight="false" outlineLevel="0" collapsed="false">
      <c r="A300" s="51" t="s">
        <v>132</v>
      </c>
      <c r="B300" s="34" t="s">
        <v>382</v>
      </c>
      <c r="C300" s="34" t="s">
        <v>383</v>
      </c>
      <c r="D300" s="32" t="n">
        <v>1</v>
      </c>
      <c r="E300" s="32" t="s">
        <v>14</v>
      </c>
      <c r="F300" s="32" t="s">
        <v>368</v>
      </c>
      <c r="G300" s="34"/>
      <c r="H300" s="52" t="n">
        <f aca="false">IF($E300="Per class",$D300*COUNTIFS('Session Tracker'!$D$5:$D$149,$A300,'Session Tracker'!$F$5:$F$149,"Next week",'Session Tracker'!$G$5:$G$149,"Mon"),$D300*SUMIFS('Session Tracker'!$J$5:$J$149,'Session Tracker'!$D$5:$D$149,$A300,'Session Tracker'!$F$5:$F$149,"Next week",'Session Tracker'!$G$5:$G$149,"Mon"))</f>
        <v>0</v>
      </c>
      <c r="I300" s="52" t="n">
        <f aca="false">IF($E300="Per class",$D300*COUNTIFS('Session Tracker'!$D$5:$D$149,$A300,'Session Tracker'!$F$5:$F$149,"Next week",'Session Tracker'!$G$5:$G$149,"Tue"),$D300*SUMIFS('Session Tracker'!$J$5:$J$149,'Session Tracker'!$D$5:$D$149,$A300,'Session Tracker'!$F$5:$F$149,"Next week",'Session Tracker'!$G$5:$G$149,"Tue"))</f>
        <v>0</v>
      </c>
      <c r="J300" s="52" t="n">
        <f aca="false">IF($E300="Per class",$D300*COUNTIFS('Session Tracker'!$D$5:$D$149,$A300,'Session Tracker'!$F$5:$F$149,"Next week",'Session Tracker'!$G$5:$G$149,"Wed"),$D300*SUMIFS('Session Tracker'!$J$5:$J$149,'Session Tracker'!$D$5:$D$149,$A300,'Session Tracker'!$F$5:$F$149,"Next week",'Session Tracker'!$G$5:$G$149,"Wed"))</f>
        <v>0</v>
      </c>
      <c r="K300" s="52" t="n">
        <f aca="false">IF($E300="Per class",$D300*COUNTIFS('Session Tracker'!$D$5:$D$149,$A300,'Session Tracker'!$F$5:$F$149,"Next week",'Session Tracker'!$G$5:$G$149,"Thu"),$D300*SUMIFS('Session Tracker'!$J$5:$J$149,'Session Tracker'!$D$5:$D$149,$A300,'Session Tracker'!$F$5:$F$149,"Next week",'Session Tracker'!$G$5:$G$149,"Thu"))</f>
        <v>0</v>
      </c>
      <c r="L300" s="52" t="n">
        <f aca="false">IF($E300="Per class",$D300*COUNTIFS('Session Tracker'!$D$5:$D$149,$A300,'Session Tracker'!$F$5:$F$149,"Next week",'Session Tracker'!$G$5:$G$149,"Fri"),$D300*SUMIFS('Session Tracker'!$J$5:$J$149,'Session Tracker'!$D$5:$D$149,$A300,'Session Tracker'!$F$5:$F$149,"Next week",'Session Tracker'!$G$5:$G$149,"Fri"))</f>
        <v>0</v>
      </c>
      <c r="M300" s="52" t="n">
        <f aca="false">IF($E300="Per class",$D300*COUNTIFS('Session Tracker'!$D$5:$D$149,$A300,'Session Tracker'!$F$5:$F$149,"Next week",'Session Tracker'!$G$5:$G$149,""),$D300*SUMIFS('Session Tracker'!$J$5:$J$149,'Session Tracker'!$D$5:$D$149,$A300,'Session Tracker'!$F$5:$F$149,"Next week",'Session Tracker'!$G$5:$G$149,""))</f>
        <v>0</v>
      </c>
    </row>
    <row r="301" customFormat="false" ht="15" hidden="false" customHeight="false" outlineLevel="0" collapsed="false">
      <c r="A301" s="53" t="s">
        <v>132</v>
      </c>
      <c r="B301" s="54"/>
      <c r="C301" s="54"/>
      <c r="D301" s="54"/>
      <c r="E301" s="54"/>
      <c r="F301" s="54"/>
      <c r="G301" s="54"/>
      <c r="H301" s="52" t="n">
        <f aca="false">IF($E301="Per class",$D301*COUNTIFS('Session Tracker'!$D$5:$D$149,$A301,'Session Tracker'!$F$5:$F$149,"Next week",'Session Tracker'!$G$5:$G$149,"Mon"),$D301*SUMIFS('Session Tracker'!$J$5:$J$149,'Session Tracker'!$D$5:$D$149,$A301,'Session Tracker'!$F$5:$F$149,"Next week",'Session Tracker'!$G$5:$G$149,"Mon"))</f>
        <v>0</v>
      </c>
      <c r="I301" s="52" t="n">
        <f aca="false">IF($E301="Per class",$D301*COUNTIFS('Session Tracker'!$D$5:$D$149,$A301,'Session Tracker'!$F$5:$F$149,"Next week",'Session Tracker'!$G$5:$G$149,"Tue"),$D301*SUMIFS('Session Tracker'!$J$5:$J$149,'Session Tracker'!$D$5:$D$149,$A301,'Session Tracker'!$F$5:$F$149,"Next week",'Session Tracker'!$G$5:$G$149,"Tue"))</f>
        <v>0</v>
      </c>
      <c r="J301" s="52" t="n">
        <f aca="false">IF($E301="Per class",$D301*COUNTIFS('Session Tracker'!$D$5:$D$149,$A301,'Session Tracker'!$F$5:$F$149,"Next week",'Session Tracker'!$G$5:$G$149,"Wed"),$D301*SUMIFS('Session Tracker'!$J$5:$J$149,'Session Tracker'!$D$5:$D$149,$A301,'Session Tracker'!$F$5:$F$149,"Next week",'Session Tracker'!$G$5:$G$149,"Wed"))</f>
        <v>0</v>
      </c>
      <c r="K301" s="52" t="n">
        <f aca="false">IF($E301="Per class",$D301*COUNTIFS('Session Tracker'!$D$5:$D$149,$A301,'Session Tracker'!$F$5:$F$149,"Next week",'Session Tracker'!$G$5:$G$149,"Thu"),$D301*SUMIFS('Session Tracker'!$J$5:$J$149,'Session Tracker'!$D$5:$D$149,$A301,'Session Tracker'!$F$5:$F$149,"Next week",'Session Tracker'!$G$5:$G$149,"Thu"))</f>
        <v>0</v>
      </c>
      <c r="L301" s="52" t="n">
        <f aca="false">IF($E301="Per class",$D301*COUNTIFS('Session Tracker'!$D$5:$D$149,$A301,'Session Tracker'!$F$5:$F$149,"Next week",'Session Tracker'!$G$5:$G$149,"Fri"),$D301*SUMIFS('Session Tracker'!$J$5:$J$149,'Session Tracker'!$D$5:$D$149,$A301,'Session Tracker'!$F$5:$F$149,"Next week",'Session Tracker'!$G$5:$G$149,"Fri"))</f>
        <v>0</v>
      </c>
      <c r="M301" s="52" t="n">
        <f aca="false">IF($E301="Per class",$D301*COUNTIFS('Session Tracker'!$D$5:$D$149,$A301,'Session Tracker'!$F$5:$F$149,"Next week",'Session Tracker'!$G$5:$G$149,""),$D301*SUMIFS('Session Tracker'!$J$5:$J$149,'Session Tracker'!$D$5:$D$149,$A301,'Session Tracker'!$F$5:$F$149,"Next week",'Session Tracker'!$G$5:$G$149,""))</f>
        <v>0</v>
      </c>
    </row>
    <row r="302" customFormat="false" ht="15" hidden="false" customHeight="false" outlineLevel="0" collapsed="false">
      <c r="A302" s="53" t="s">
        <v>132</v>
      </c>
      <c r="B302" s="54"/>
      <c r="C302" s="54"/>
      <c r="D302" s="54"/>
      <c r="E302" s="54"/>
      <c r="F302" s="54"/>
      <c r="G302" s="54"/>
      <c r="H302" s="52" t="n">
        <f aca="false">IF($E302="Per class",$D302*COUNTIFS('Session Tracker'!$D$5:$D$149,$A302,'Session Tracker'!$F$5:$F$149,"Next week",'Session Tracker'!$G$5:$G$149,"Mon"),$D302*SUMIFS('Session Tracker'!$J$5:$J$149,'Session Tracker'!$D$5:$D$149,$A302,'Session Tracker'!$F$5:$F$149,"Next week",'Session Tracker'!$G$5:$G$149,"Mon"))</f>
        <v>0</v>
      </c>
      <c r="I302" s="52" t="n">
        <f aca="false">IF($E302="Per class",$D302*COUNTIFS('Session Tracker'!$D$5:$D$149,$A302,'Session Tracker'!$F$5:$F$149,"Next week",'Session Tracker'!$G$5:$G$149,"Tue"),$D302*SUMIFS('Session Tracker'!$J$5:$J$149,'Session Tracker'!$D$5:$D$149,$A302,'Session Tracker'!$F$5:$F$149,"Next week",'Session Tracker'!$G$5:$G$149,"Tue"))</f>
        <v>0</v>
      </c>
      <c r="J302" s="52" t="n">
        <f aca="false">IF($E302="Per class",$D302*COUNTIFS('Session Tracker'!$D$5:$D$149,$A302,'Session Tracker'!$F$5:$F$149,"Next week",'Session Tracker'!$G$5:$G$149,"Wed"),$D302*SUMIFS('Session Tracker'!$J$5:$J$149,'Session Tracker'!$D$5:$D$149,$A302,'Session Tracker'!$F$5:$F$149,"Next week",'Session Tracker'!$G$5:$G$149,"Wed"))</f>
        <v>0</v>
      </c>
      <c r="K302" s="52" t="n">
        <f aca="false">IF($E302="Per class",$D302*COUNTIFS('Session Tracker'!$D$5:$D$149,$A302,'Session Tracker'!$F$5:$F$149,"Next week",'Session Tracker'!$G$5:$G$149,"Thu"),$D302*SUMIFS('Session Tracker'!$J$5:$J$149,'Session Tracker'!$D$5:$D$149,$A302,'Session Tracker'!$F$5:$F$149,"Next week",'Session Tracker'!$G$5:$G$149,"Thu"))</f>
        <v>0</v>
      </c>
      <c r="L302" s="52" t="n">
        <f aca="false">IF($E302="Per class",$D302*COUNTIFS('Session Tracker'!$D$5:$D$149,$A302,'Session Tracker'!$F$5:$F$149,"Next week",'Session Tracker'!$G$5:$G$149,"Fri"),$D302*SUMIFS('Session Tracker'!$J$5:$J$149,'Session Tracker'!$D$5:$D$149,$A302,'Session Tracker'!$F$5:$F$149,"Next week",'Session Tracker'!$G$5:$G$149,"Fri"))</f>
        <v>0</v>
      </c>
      <c r="M302" s="52" t="n">
        <f aca="false">IF($E302="Per class",$D302*COUNTIFS('Session Tracker'!$D$5:$D$149,$A302,'Session Tracker'!$F$5:$F$149,"Next week",'Session Tracker'!$G$5:$G$149,""),$D302*SUMIFS('Session Tracker'!$J$5:$J$149,'Session Tracker'!$D$5:$D$149,$A302,'Session Tracker'!$F$5:$F$149,"Next week",'Session Tracker'!$G$5:$G$149,""))</f>
        <v>0</v>
      </c>
    </row>
    <row r="304" customFormat="false" ht="19.5" hidden="false" customHeight="true" outlineLevel="0" collapsed="false">
      <c r="A304" s="47" t="s">
        <v>134</v>
      </c>
      <c r="B304" s="48" t="s">
        <v>488</v>
      </c>
      <c r="C304" s="48"/>
      <c r="D304" s="48"/>
      <c r="E304" s="48"/>
      <c r="F304" s="49" t="str">
        <f aca="false">"Status: "&amp;'Session Tracker'!F34&amp;IF('Session Tracker'!G34&lt;&gt;""," ("&amp;'Session Tracker'!G34&amp;")","")</f>
        <v>Status: Not started</v>
      </c>
      <c r="G304" s="49"/>
      <c r="H304" s="50"/>
      <c r="I304" s="50"/>
      <c r="J304" s="50"/>
      <c r="K304" s="50"/>
      <c r="L304" s="50"/>
      <c r="M304" s="50"/>
    </row>
    <row r="305" customFormat="false" ht="15" hidden="false" customHeight="false" outlineLevel="0" collapsed="false">
      <c r="A305" s="51" t="s">
        <v>134</v>
      </c>
      <c r="B305" s="34" t="s">
        <v>411</v>
      </c>
      <c r="C305" s="34" t="s">
        <v>450</v>
      </c>
      <c r="D305" s="32" t="n">
        <v>1</v>
      </c>
      <c r="E305" s="32" t="s">
        <v>14</v>
      </c>
      <c r="F305" s="32" t="s">
        <v>373</v>
      </c>
      <c r="G305" s="34"/>
      <c r="H305" s="52" t="n">
        <f aca="false">IF($E305="Per class",$D305*COUNTIFS('Session Tracker'!$D$5:$D$149,$A305,'Session Tracker'!$F$5:$F$149,"Next week",'Session Tracker'!$G$5:$G$149,"Mon"),$D305*SUMIFS('Session Tracker'!$J$5:$J$149,'Session Tracker'!$D$5:$D$149,$A305,'Session Tracker'!$F$5:$F$149,"Next week",'Session Tracker'!$G$5:$G$149,"Mon"))</f>
        <v>0</v>
      </c>
      <c r="I305" s="52" t="n">
        <f aca="false">IF($E305="Per class",$D305*COUNTIFS('Session Tracker'!$D$5:$D$149,$A305,'Session Tracker'!$F$5:$F$149,"Next week",'Session Tracker'!$G$5:$G$149,"Tue"),$D305*SUMIFS('Session Tracker'!$J$5:$J$149,'Session Tracker'!$D$5:$D$149,$A305,'Session Tracker'!$F$5:$F$149,"Next week",'Session Tracker'!$G$5:$G$149,"Tue"))</f>
        <v>0</v>
      </c>
      <c r="J305" s="52" t="n">
        <f aca="false">IF($E305="Per class",$D305*COUNTIFS('Session Tracker'!$D$5:$D$149,$A305,'Session Tracker'!$F$5:$F$149,"Next week",'Session Tracker'!$G$5:$G$149,"Wed"),$D305*SUMIFS('Session Tracker'!$J$5:$J$149,'Session Tracker'!$D$5:$D$149,$A305,'Session Tracker'!$F$5:$F$149,"Next week",'Session Tracker'!$G$5:$G$149,"Wed"))</f>
        <v>0</v>
      </c>
      <c r="K305" s="52" t="n">
        <f aca="false">IF($E305="Per class",$D305*COUNTIFS('Session Tracker'!$D$5:$D$149,$A305,'Session Tracker'!$F$5:$F$149,"Next week",'Session Tracker'!$G$5:$G$149,"Thu"),$D305*SUMIFS('Session Tracker'!$J$5:$J$149,'Session Tracker'!$D$5:$D$149,$A305,'Session Tracker'!$F$5:$F$149,"Next week",'Session Tracker'!$G$5:$G$149,"Thu"))</f>
        <v>0</v>
      </c>
      <c r="L305" s="52" t="n">
        <f aca="false">IF($E305="Per class",$D305*COUNTIFS('Session Tracker'!$D$5:$D$149,$A305,'Session Tracker'!$F$5:$F$149,"Next week",'Session Tracker'!$G$5:$G$149,"Fri"),$D305*SUMIFS('Session Tracker'!$J$5:$J$149,'Session Tracker'!$D$5:$D$149,$A305,'Session Tracker'!$F$5:$F$149,"Next week",'Session Tracker'!$G$5:$G$149,"Fri"))</f>
        <v>0</v>
      </c>
      <c r="M305" s="52" t="n">
        <f aca="false">IF($E305="Per class",$D305*COUNTIFS('Session Tracker'!$D$5:$D$149,$A305,'Session Tracker'!$F$5:$F$149,"Next week",'Session Tracker'!$G$5:$G$149,""),$D305*SUMIFS('Session Tracker'!$J$5:$J$149,'Session Tracker'!$D$5:$D$149,$A305,'Session Tracker'!$F$5:$F$149,"Next week",'Session Tracker'!$G$5:$G$149,""))</f>
        <v>0</v>
      </c>
    </row>
    <row r="306" customFormat="false" ht="15" hidden="false" customHeight="false" outlineLevel="0" collapsed="false">
      <c r="A306" s="51" t="s">
        <v>134</v>
      </c>
      <c r="B306" s="34" t="s">
        <v>411</v>
      </c>
      <c r="C306" s="34" t="s">
        <v>413</v>
      </c>
      <c r="D306" s="32" t="n">
        <v>1</v>
      </c>
      <c r="E306" s="32" t="s">
        <v>14</v>
      </c>
      <c r="F306" s="32" t="s">
        <v>373</v>
      </c>
      <c r="G306" s="34"/>
      <c r="H306" s="52" t="n">
        <f aca="false">IF($E306="Per class",$D306*COUNTIFS('Session Tracker'!$D$5:$D$149,$A306,'Session Tracker'!$F$5:$F$149,"Next week",'Session Tracker'!$G$5:$G$149,"Mon"),$D306*SUMIFS('Session Tracker'!$J$5:$J$149,'Session Tracker'!$D$5:$D$149,$A306,'Session Tracker'!$F$5:$F$149,"Next week",'Session Tracker'!$G$5:$G$149,"Mon"))</f>
        <v>0</v>
      </c>
      <c r="I306" s="52" t="n">
        <f aca="false">IF($E306="Per class",$D306*COUNTIFS('Session Tracker'!$D$5:$D$149,$A306,'Session Tracker'!$F$5:$F$149,"Next week",'Session Tracker'!$G$5:$G$149,"Tue"),$D306*SUMIFS('Session Tracker'!$J$5:$J$149,'Session Tracker'!$D$5:$D$149,$A306,'Session Tracker'!$F$5:$F$149,"Next week",'Session Tracker'!$G$5:$G$149,"Tue"))</f>
        <v>0</v>
      </c>
      <c r="J306" s="52" t="n">
        <f aca="false">IF($E306="Per class",$D306*COUNTIFS('Session Tracker'!$D$5:$D$149,$A306,'Session Tracker'!$F$5:$F$149,"Next week",'Session Tracker'!$G$5:$G$149,"Wed"),$D306*SUMIFS('Session Tracker'!$J$5:$J$149,'Session Tracker'!$D$5:$D$149,$A306,'Session Tracker'!$F$5:$F$149,"Next week",'Session Tracker'!$G$5:$G$149,"Wed"))</f>
        <v>0</v>
      </c>
      <c r="K306" s="52" t="n">
        <f aca="false">IF($E306="Per class",$D306*COUNTIFS('Session Tracker'!$D$5:$D$149,$A306,'Session Tracker'!$F$5:$F$149,"Next week",'Session Tracker'!$G$5:$G$149,"Thu"),$D306*SUMIFS('Session Tracker'!$J$5:$J$149,'Session Tracker'!$D$5:$D$149,$A306,'Session Tracker'!$F$5:$F$149,"Next week",'Session Tracker'!$G$5:$G$149,"Thu"))</f>
        <v>0</v>
      </c>
      <c r="L306" s="52" t="n">
        <f aca="false">IF($E306="Per class",$D306*COUNTIFS('Session Tracker'!$D$5:$D$149,$A306,'Session Tracker'!$F$5:$F$149,"Next week",'Session Tracker'!$G$5:$G$149,"Fri"),$D306*SUMIFS('Session Tracker'!$J$5:$J$149,'Session Tracker'!$D$5:$D$149,$A306,'Session Tracker'!$F$5:$F$149,"Next week",'Session Tracker'!$G$5:$G$149,"Fri"))</f>
        <v>0</v>
      </c>
      <c r="M306" s="52" t="n">
        <f aca="false">IF($E306="Per class",$D306*COUNTIFS('Session Tracker'!$D$5:$D$149,$A306,'Session Tracker'!$F$5:$F$149,"Next week",'Session Tracker'!$G$5:$G$149,""),$D306*SUMIFS('Session Tracker'!$J$5:$J$149,'Session Tracker'!$D$5:$D$149,$A306,'Session Tracker'!$F$5:$F$149,"Next week",'Session Tracker'!$G$5:$G$149,""))</f>
        <v>0</v>
      </c>
    </row>
    <row r="307" customFormat="false" ht="15" hidden="false" customHeight="false" outlineLevel="0" collapsed="false">
      <c r="A307" s="53" t="s">
        <v>134</v>
      </c>
      <c r="B307" s="54"/>
      <c r="C307" s="54"/>
      <c r="D307" s="54"/>
      <c r="E307" s="54"/>
      <c r="F307" s="54"/>
      <c r="G307" s="54"/>
      <c r="H307" s="52" t="n">
        <f aca="false">IF($E307="Per class",$D307*COUNTIFS('Session Tracker'!$D$5:$D$149,$A307,'Session Tracker'!$F$5:$F$149,"Next week",'Session Tracker'!$G$5:$G$149,"Mon"),$D307*SUMIFS('Session Tracker'!$J$5:$J$149,'Session Tracker'!$D$5:$D$149,$A307,'Session Tracker'!$F$5:$F$149,"Next week",'Session Tracker'!$G$5:$G$149,"Mon"))</f>
        <v>0</v>
      </c>
      <c r="I307" s="52" t="n">
        <f aca="false">IF($E307="Per class",$D307*COUNTIFS('Session Tracker'!$D$5:$D$149,$A307,'Session Tracker'!$F$5:$F$149,"Next week",'Session Tracker'!$G$5:$G$149,"Tue"),$D307*SUMIFS('Session Tracker'!$J$5:$J$149,'Session Tracker'!$D$5:$D$149,$A307,'Session Tracker'!$F$5:$F$149,"Next week",'Session Tracker'!$G$5:$G$149,"Tue"))</f>
        <v>0</v>
      </c>
      <c r="J307" s="52" t="n">
        <f aca="false">IF($E307="Per class",$D307*COUNTIFS('Session Tracker'!$D$5:$D$149,$A307,'Session Tracker'!$F$5:$F$149,"Next week",'Session Tracker'!$G$5:$G$149,"Wed"),$D307*SUMIFS('Session Tracker'!$J$5:$J$149,'Session Tracker'!$D$5:$D$149,$A307,'Session Tracker'!$F$5:$F$149,"Next week",'Session Tracker'!$G$5:$G$149,"Wed"))</f>
        <v>0</v>
      </c>
      <c r="K307" s="52" t="n">
        <f aca="false">IF($E307="Per class",$D307*COUNTIFS('Session Tracker'!$D$5:$D$149,$A307,'Session Tracker'!$F$5:$F$149,"Next week",'Session Tracker'!$G$5:$G$149,"Thu"),$D307*SUMIFS('Session Tracker'!$J$5:$J$149,'Session Tracker'!$D$5:$D$149,$A307,'Session Tracker'!$F$5:$F$149,"Next week",'Session Tracker'!$G$5:$G$149,"Thu"))</f>
        <v>0</v>
      </c>
      <c r="L307" s="52" t="n">
        <f aca="false">IF($E307="Per class",$D307*COUNTIFS('Session Tracker'!$D$5:$D$149,$A307,'Session Tracker'!$F$5:$F$149,"Next week",'Session Tracker'!$G$5:$G$149,"Fri"),$D307*SUMIFS('Session Tracker'!$J$5:$J$149,'Session Tracker'!$D$5:$D$149,$A307,'Session Tracker'!$F$5:$F$149,"Next week",'Session Tracker'!$G$5:$G$149,"Fri"))</f>
        <v>0</v>
      </c>
      <c r="M307" s="52" t="n">
        <f aca="false">IF($E307="Per class",$D307*COUNTIFS('Session Tracker'!$D$5:$D$149,$A307,'Session Tracker'!$F$5:$F$149,"Next week",'Session Tracker'!$G$5:$G$149,""),$D307*SUMIFS('Session Tracker'!$J$5:$J$149,'Session Tracker'!$D$5:$D$149,$A307,'Session Tracker'!$F$5:$F$149,"Next week",'Session Tracker'!$G$5:$G$149,""))</f>
        <v>0</v>
      </c>
    </row>
    <row r="308" customFormat="false" ht="15" hidden="false" customHeight="false" outlineLevel="0" collapsed="false">
      <c r="A308" s="53" t="s">
        <v>134</v>
      </c>
      <c r="B308" s="54"/>
      <c r="C308" s="54"/>
      <c r="D308" s="54"/>
      <c r="E308" s="54"/>
      <c r="F308" s="54"/>
      <c r="G308" s="54"/>
      <c r="H308" s="52" t="n">
        <f aca="false">IF($E308="Per class",$D308*COUNTIFS('Session Tracker'!$D$5:$D$149,$A308,'Session Tracker'!$F$5:$F$149,"Next week",'Session Tracker'!$G$5:$G$149,"Mon"),$D308*SUMIFS('Session Tracker'!$J$5:$J$149,'Session Tracker'!$D$5:$D$149,$A308,'Session Tracker'!$F$5:$F$149,"Next week",'Session Tracker'!$G$5:$G$149,"Mon"))</f>
        <v>0</v>
      </c>
      <c r="I308" s="52" t="n">
        <f aca="false">IF($E308="Per class",$D308*COUNTIFS('Session Tracker'!$D$5:$D$149,$A308,'Session Tracker'!$F$5:$F$149,"Next week",'Session Tracker'!$G$5:$G$149,"Tue"),$D308*SUMIFS('Session Tracker'!$J$5:$J$149,'Session Tracker'!$D$5:$D$149,$A308,'Session Tracker'!$F$5:$F$149,"Next week",'Session Tracker'!$G$5:$G$149,"Tue"))</f>
        <v>0</v>
      </c>
      <c r="J308" s="52" t="n">
        <f aca="false">IF($E308="Per class",$D308*COUNTIFS('Session Tracker'!$D$5:$D$149,$A308,'Session Tracker'!$F$5:$F$149,"Next week",'Session Tracker'!$G$5:$G$149,"Wed"),$D308*SUMIFS('Session Tracker'!$J$5:$J$149,'Session Tracker'!$D$5:$D$149,$A308,'Session Tracker'!$F$5:$F$149,"Next week",'Session Tracker'!$G$5:$G$149,"Wed"))</f>
        <v>0</v>
      </c>
      <c r="K308" s="52" t="n">
        <f aca="false">IF($E308="Per class",$D308*COUNTIFS('Session Tracker'!$D$5:$D$149,$A308,'Session Tracker'!$F$5:$F$149,"Next week",'Session Tracker'!$G$5:$G$149,"Thu"),$D308*SUMIFS('Session Tracker'!$J$5:$J$149,'Session Tracker'!$D$5:$D$149,$A308,'Session Tracker'!$F$5:$F$149,"Next week",'Session Tracker'!$G$5:$G$149,"Thu"))</f>
        <v>0</v>
      </c>
      <c r="L308" s="52" t="n">
        <f aca="false">IF($E308="Per class",$D308*COUNTIFS('Session Tracker'!$D$5:$D$149,$A308,'Session Tracker'!$F$5:$F$149,"Next week",'Session Tracker'!$G$5:$G$149,"Fri"),$D308*SUMIFS('Session Tracker'!$J$5:$J$149,'Session Tracker'!$D$5:$D$149,$A308,'Session Tracker'!$F$5:$F$149,"Next week",'Session Tracker'!$G$5:$G$149,"Fri"))</f>
        <v>0</v>
      </c>
      <c r="M308" s="52" t="n">
        <f aca="false">IF($E308="Per class",$D308*COUNTIFS('Session Tracker'!$D$5:$D$149,$A308,'Session Tracker'!$F$5:$F$149,"Next week",'Session Tracker'!$G$5:$G$149,""),$D308*SUMIFS('Session Tracker'!$J$5:$J$149,'Session Tracker'!$D$5:$D$149,$A308,'Session Tracker'!$F$5:$F$149,"Next week",'Session Tracker'!$G$5:$G$149,""))</f>
        <v>0</v>
      </c>
    </row>
    <row r="310" customFormat="false" ht="19.5" hidden="false" customHeight="true" outlineLevel="0" collapsed="false">
      <c r="A310" s="47" t="s">
        <v>136</v>
      </c>
      <c r="B310" s="48" t="s">
        <v>489</v>
      </c>
      <c r="C310" s="48"/>
      <c r="D310" s="48"/>
      <c r="E310" s="48"/>
      <c r="F310" s="49" t="str">
        <f aca="false">"Status: "&amp;'Session Tracker'!F35&amp;IF('Session Tracker'!G35&lt;&gt;""," ("&amp;'Session Tracker'!G35&amp;")","")</f>
        <v>Status: Not started</v>
      </c>
      <c r="G310" s="49"/>
      <c r="H310" s="50"/>
      <c r="I310" s="50"/>
      <c r="J310" s="50"/>
      <c r="K310" s="50"/>
      <c r="L310" s="50"/>
      <c r="M310" s="50"/>
    </row>
    <row r="311" customFormat="false" ht="15" hidden="false" customHeight="false" outlineLevel="0" collapsed="false">
      <c r="A311" s="51" t="s">
        <v>136</v>
      </c>
      <c r="B311" s="34" t="s">
        <v>382</v>
      </c>
      <c r="C311" s="34" t="s">
        <v>383</v>
      </c>
      <c r="D311" s="32" t="n">
        <v>1</v>
      </c>
      <c r="E311" s="32" t="s">
        <v>14</v>
      </c>
      <c r="F311" s="32" t="s">
        <v>368</v>
      </c>
      <c r="G311" s="34"/>
      <c r="H311" s="52" t="n">
        <f aca="false">IF($E311="Per class",$D311*COUNTIFS('Session Tracker'!$D$5:$D$149,$A311,'Session Tracker'!$F$5:$F$149,"Next week",'Session Tracker'!$G$5:$G$149,"Mon"),$D311*SUMIFS('Session Tracker'!$J$5:$J$149,'Session Tracker'!$D$5:$D$149,$A311,'Session Tracker'!$F$5:$F$149,"Next week",'Session Tracker'!$G$5:$G$149,"Mon"))</f>
        <v>0</v>
      </c>
      <c r="I311" s="52" t="n">
        <f aca="false">IF($E311="Per class",$D311*COUNTIFS('Session Tracker'!$D$5:$D$149,$A311,'Session Tracker'!$F$5:$F$149,"Next week",'Session Tracker'!$G$5:$G$149,"Tue"),$D311*SUMIFS('Session Tracker'!$J$5:$J$149,'Session Tracker'!$D$5:$D$149,$A311,'Session Tracker'!$F$5:$F$149,"Next week",'Session Tracker'!$G$5:$G$149,"Tue"))</f>
        <v>0</v>
      </c>
      <c r="J311" s="52" t="n">
        <f aca="false">IF($E311="Per class",$D311*COUNTIFS('Session Tracker'!$D$5:$D$149,$A311,'Session Tracker'!$F$5:$F$149,"Next week",'Session Tracker'!$G$5:$G$149,"Wed"),$D311*SUMIFS('Session Tracker'!$J$5:$J$149,'Session Tracker'!$D$5:$D$149,$A311,'Session Tracker'!$F$5:$F$149,"Next week",'Session Tracker'!$G$5:$G$149,"Wed"))</f>
        <v>0</v>
      </c>
      <c r="K311" s="52" t="n">
        <f aca="false">IF($E311="Per class",$D311*COUNTIFS('Session Tracker'!$D$5:$D$149,$A311,'Session Tracker'!$F$5:$F$149,"Next week",'Session Tracker'!$G$5:$G$149,"Thu"),$D311*SUMIFS('Session Tracker'!$J$5:$J$149,'Session Tracker'!$D$5:$D$149,$A311,'Session Tracker'!$F$5:$F$149,"Next week",'Session Tracker'!$G$5:$G$149,"Thu"))</f>
        <v>0</v>
      </c>
      <c r="L311" s="52" t="n">
        <f aca="false">IF($E311="Per class",$D311*COUNTIFS('Session Tracker'!$D$5:$D$149,$A311,'Session Tracker'!$F$5:$F$149,"Next week",'Session Tracker'!$G$5:$G$149,"Fri"),$D311*SUMIFS('Session Tracker'!$J$5:$J$149,'Session Tracker'!$D$5:$D$149,$A311,'Session Tracker'!$F$5:$F$149,"Next week",'Session Tracker'!$G$5:$G$149,"Fri"))</f>
        <v>0</v>
      </c>
      <c r="M311" s="52" t="n">
        <f aca="false">IF($E311="Per class",$D311*COUNTIFS('Session Tracker'!$D$5:$D$149,$A311,'Session Tracker'!$F$5:$F$149,"Next week",'Session Tracker'!$G$5:$G$149,""),$D311*SUMIFS('Session Tracker'!$J$5:$J$149,'Session Tracker'!$D$5:$D$149,$A311,'Session Tracker'!$F$5:$F$149,"Next week",'Session Tracker'!$G$5:$G$149,""))</f>
        <v>0</v>
      </c>
    </row>
    <row r="312" customFormat="false" ht="15" hidden="false" customHeight="false" outlineLevel="0" collapsed="false">
      <c r="A312" s="51" t="s">
        <v>136</v>
      </c>
      <c r="B312" s="34" t="s">
        <v>382</v>
      </c>
      <c r="C312" s="34" t="s">
        <v>490</v>
      </c>
      <c r="D312" s="32" t="n">
        <v>1</v>
      </c>
      <c r="E312" s="32" t="s">
        <v>14</v>
      </c>
      <c r="F312" s="32" t="s">
        <v>368</v>
      </c>
      <c r="G312" s="34" t="s">
        <v>491</v>
      </c>
      <c r="H312" s="52" t="n">
        <f aca="false">IF($E312="Per class",$D312*COUNTIFS('Session Tracker'!$D$5:$D$149,$A312,'Session Tracker'!$F$5:$F$149,"Next week",'Session Tracker'!$G$5:$G$149,"Mon"),$D312*SUMIFS('Session Tracker'!$J$5:$J$149,'Session Tracker'!$D$5:$D$149,$A312,'Session Tracker'!$F$5:$F$149,"Next week",'Session Tracker'!$G$5:$G$149,"Mon"))</f>
        <v>0</v>
      </c>
      <c r="I312" s="52" t="n">
        <f aca="false">IF($E312="Per class",$D312*COUNTIFS('Session Tracker'!$D$5:$D$149,$A312,'Session Tracker'!$F$5:$F$149,"Next week",'Session Tracker'!$G$5:$G$149,"Tue"),$D312*SUMIFS('Session Tracker'!$J$5:$J$149,'Session Tracker'!$D$5:$D$149,$A312,'Session Tracker'!$F$5:$F$149,"Next week",'Session Tracker'!$G$5:$G$149,"Tue"))</f>
        <v>0</v>
      </c>
      <c r="J312" s="52" t="n">
        <f aca="false">IF($E312="Per class",$D312*COUNTIFS('Session Tracker'!$D$5:$D$149,$A312,'Session Tracker'!$F$5:$F$149,"Next week",'Session Tracker'!$G$5:$G$149,"Wed"),$D312*SUMIFS('Session Tracker'!$J$5:$J$149,'Session Tracker'!$D$5:$D$149,$A312,'Session Tracker'!$F$5:$F$149,"Next week",'Session Tracker'!$G$5:$G$149,"Wed"))</f>
        <v>0</v>
      </c>
      <c r="K312" s="52" t="n">
        <f aca="false">IF($E312="Per class",$D312*COUNTIFS('Session Tracker'!$D$5:$D$149,$A312,'Session Tracker'!$F$5:$F$149,"Next week",'Session Tracker'!$G$5:$G$149,"Thu"),$D312*SUMIFS('Session Tracker'!$J$5:$J$149,'Session Tracker'!$D$5:$D$149,$A312,'Session Tracker'!$F$5:$F$149,"Next week",'Session Tracker'!$G$5:$G$149,"Thu"))</f>
        <v>0</v>
      </c>
      <c r="L312" s="52" t="n">
        <f aca="false">IF($E312="Per class",$D312*COUNTIFS('Session Tracker'!$D$5:$D$149,$A312,'Session Tracker'!$F$5:$F$149,"Next week",'Session Tracker'!$G$5:$G$149,"Fri"),$D312*SUMIFS('Session Tracker'!$J$5:$J$149,'Session Tracker'!$D$5:$D$149,$A312,'Session Tracker'!$F$5:$F$149,"Next week",'Session Tracker'!$G$5:$G$149,"Fri"))</f>
        <v>0</v>
      </c>
      <c r="M312" s="52" t="n">
        <f aca="false">IF($E312="Per class",$D312*COUNTIFS('Session Tracker'!$D$5:$D$149,$A312,'Session Tracker'!$F$5:$F$149,"Next week",'Session Tracker'!$G$5:$G$149,""),$D312*SUMIFS('Session Tracker'!$J$5:$J$149,'Session Tracker'!$D$5:$D$149,$A312,'Session Tracker'!$F$5:$F$149,"Next week",'Session Tracker'!$G$5:$G$149,""))</f>
        <v>0</v>
      </c>
    </row>
    <row r="313" customFormat="false" ht="15" hidden="false" customHeight="false" outlineLevel="0" collapsed="false">
      <c r="A313" s="53" t="s">
        <v>136</v>
      </c>
      <c r="B313" s="54"/>
      <c r="C313" s="54"/>
      <c r="D313" s="54"/>
      <c r="E313" s="54"/>
      <c r="F313" s="54"/>
      <c r="G313" s="54"/>
      <c r="H313" s="52" t="n">
        <f aca="false">IF($E313="Per class",$D313*COUNTIFS('Session Tracker'!$D$5:$D$149,$A313,'Session Tracker'!$F$5:$F$149,"Next week",'Session Tracker'!$G$5:$G$149,"Mon"),$D313*SUMIFS('Session Tracker'!$J$5:$J$149,'Session Tracker'!$D$5:$D$149,$A313,'Session Tracker'!$F$5:$F$149,"Next week",'Session Tracker'!$G$5:$G$149,"Mon"))</f>
        <v>0</v>
      </c>
      <c r="I313" s="52" t="n">
        <f aca="false">IF($E313="Per class",$D313*COUNTIFS('Session Tracker'!$D$5:$D$149,$A313,'Session Tracker'!$F$5:$F$149,"Next week",'Session Tracker'!$G$5:$G$149,"Tue"),$D313*SUMIFS('Session Tracker'!$J$5:$J$149,'Session Tracker'!$D$5:$D$149,$A313,'Session Tracker'!$F$5:$F$149,"Next week",'Session Tracker'!$G$5:$G$149,"Tue"))</f>
        <v>0</v>
      </c>
      <c r="J313" s="52" t="n">
        <f aca="false">IF($E313="Per class",$D313*COUNTIFS('Session Tracker'!$D$5:$D$149,$A313,'Session Tracker'!$F$5:$F$149,"Next week",'Session Tracker'!$G$5:$G$149,"Wed"),$D313*SUMIFS('Session Tracker'!$J$5:$J$149,'Session Tracker'!$D$5:$D$149,$A313,'Session Tracker'!$F$5:$F$149,"Next week",'Session Tracker'!$G$5:$G$149,"Wed"))</f>
        <v>0</v>
      </c>
      <c r="K313" s="52" t="n">
        <f aca="false">IF($E313="Per class",$D313*COUNTIFS('Session Tracker'!$D$5:$D$149,$A313,'Session Tracker'!$F$5:$F$149,"Next week",'Session Tracker'!$G$5:$G$149,"Thu"),$D313*SUMIFS('Session Tracker'!$J$5:$J$149,'Session Tracker'!$D$5:$D$149,$A313,'Session Tracker'!$F$5:$F$149,"Next week",'Session Tracker'!$G$5:$G$149,"Thu"))</f>
        <v>0</v>
      </c>
      <c r="L313" s="52" t="n">
        <f aca="false">IF($E313="Per class",$D313*COUNTIFS('Session Tracker'!$D$5:$D$149,$A313,'Session Tracker'!$F$5:$F$149,"Next week",'Session Tracker'!$G$5:$G$149,"Fri"),$D313*SUMIFS('Session Tracker'!$J$5:$J$149,'Session Tracker'!$D$5:$D$149,$A313,'Session Tracker'!$F$5:$F$149,"Next week",'Session Tracker'!$G$5:$G$149,"Fri"))</f>
        <v>0</v>
      </c>
      <c r="M313" s="52" t="n">
        <f aca="false">IF($E313="Per class",$D313*COUNTIFS('Session Tracker'!$D$5:$D$149,$A313,'Session Tracker'!$F$5:$F$149,"Next week",'Session Tracker'!$G$5:$G$149,""),$D313*SUMIFS('Session Tracker'!$J$5:$J$149,'Session Tracker'!$D$5:$D$149,$A313,'Session Tracker'!$F$5:$F$149,"Next week",'Session Tracker'!$G$5:$G$149,""))</f>
        <v>0</v>
      </c>
    </row>
    <row r="314" customFormat="false" ht="15" hidden="false" customHeight="false" outlineLevel="0" collapsed="false">
      <c r="A314" s="53" t="s">
        <v>136</v>
      </c>
      <c r="B314" s="54"/>
      <c r="C314" s="54"/>
      <c r="D314" s="54"/>
      <c r="E314" s="54"/>
      <c r="F314" s="54"/>
      <c r="G314" s="54"/>
      <c r="H314" s="52" t="n">
        <f aca="false">IF($E314="Per class",$D314*COUNTIFS('Session Tracker'!$D$5:$D$149,$A314,'Session Tracker'!$F$5:$F$149,"Next week",'Session Tracker'!$G$5:$G$149,"Mon"),$D314*SUMIFS('Session Tracker'!$J$5:$J$149,'Session Tracker'!$D$5:$D$149,$A314,'Session Tracker'!$F$5:$F$149,"Next week",'Session Tracker'!$G$5:$G$149,"Mon"))</f>
        <v>0</v>
      </c>
      <c r="I314" s="52" t="n">
        <f aca="false">IF($E314="Per class",$D314*COUNTIFS('Session Tracker'!$D$5:$D$149,$A314,'Session Tracker'!$F$5:$F$149,"Next week",'Session Tracker'!$G$5:$G$149,"Tue"),$D314*SUMIFS('Session Tracker'!$J$5:$J$149,'Session Tracker'!$D$5:$D$149,$A314,'Session Tracker'!$F$5:$F$149,"Next week",'Session Tracker'!$G$5:$G$149,"Tue"))</f>
        <v>0</v>
      </c>
      <c r="J314" s="52" t="n">
        <f aca="false">IF($E314="Per class",$D314*COUNTIFS('Session Tracker'!$D$5:$D$149,$A314,'Session Tracker'!$F$5:$F$149,"Next week",'Session Tracker'!$G$5:$G$149,"Wed"),$D314*SUMIFS('Session Tracker'!$J$5:$J$149,'Session Tracker'!$D$5:$D$149,$A314,'Session Tracker'!$F$5:$F$149,"Next week",'Session Tracker'!$G$5:$G$149,"Wed"))</f>
        <v>0</v>
      </c>
      <c r="K314" s="52" t="n">
        <f aca="false">IF($E314="Per class",$D314*COUNTIFS('Session Tracker'!$D$5:$D$149,$A314,'Session Tracker'!$F$5:$F$149,"Next week",'Session Tracker'!$G$5:$G$149,"Thu"),$D314*SUMIFS('Session Tracker'!$J$5:$J$149,'Session Tracker'!$D$5:$D$149,$A314,'Session Tracker'!$F$5:$F$149,"Next week",'Session Tracker'!$G$5:$G$149,"Thu"))</f>
        <v>0</v>
      </c>
      <c r="L314" s="52" t="n">
        <f aca="false">IF($E314="Per class",$D314*COUNTIFS('Session Tracker'!$D$5:$D$149,$A314,'Session Tracker'!$F$5:$F$149,"Next week",'Session Tracker'!$G$5:$G$149,"Fri"),$D314*SUMIFS('Session Tracker'!$J$5:$J$149,'Session Tracker'!$D$5:$D$149,$A314,'Session Tracker'!$F$5:$F$149,"Next week",'Session Tracker'!$G$5:$G$149,"Fri"))</f>
        <v>0</v>
      </c>
      <c r="M314" s="52" t="n">
        <f aca="false">IF($E314="Per class",$D314*COUNTIFS('Session Tracker'!$D$5:$D$149,$A314,'Session Tracker'!$F$5:$F$149,"Next week",'Session Tracker'!$G$5:$G$149,""),$D314*SUMIFS('Session Tracker'!$J$5:$J$149,'Session Tracker'!$D$5:$D$149,$A314,'Session Tracker'!$F$5:$F$149,"Next week",'Session Tracker'!$G$5:$G$149,""))</f>
        <v>0</v>
      </c>
    </row>
    <row r="316" customFormat="false" ht="19.5" hidden="false" customHeight="true" outlineLevel="0" collapsed="false">
      <c r="A316" s="47" t="s">
        <v>138</v>
      </c>
      <c r="B316" s="48" t="s">
        <v>492</v>
      </c>
      <c r="C316" s="48"/>
      <c r="D316" s="48"/>
      <c r="E316" s="48"/>
      <c r="F316" s="49" t="str">
        <f aca="false">"Status: "&amp;'Session Tracker'!F36&amp;IF('Session Tracker'!G36&lt;&gt;""," ("&amp;'Session Tracker'!G36&amp;")","")</f>
        <v>Status: Not started</v>
      </c>
      <c r="G316" s="49"/>
      <c r="H316" s="50"/>
      <c r="I316" s="50"/>
      <c r="J316" s="50"/>
      <c r="K316" s="50"/>
      <c r="L316" s="50"/>
      <c r="M316" s="50"/>
    </row>
    <row r="317" customFormat="false" ht="15" hidden="false" customHeight="false" outlineLevel="0" collapsed="false">
      <c r="A317" s="51" t="s">
        <v>138</v>
      </c>
      <c r="B317" s="34" t="s">
        <v>411</v>
      </c>
      <c r="C317" s="34" t="s">
        <v>440</v>
      </c>
      <c r="D317" s="32" t="n">
        <v>1</v>
      </c>
      <c r="E317" s="32" t="s">
        <v>14</v>
      </c>
      <c r="F317" s="32" t="s">
        <v>373</v>
      </c>
      <c r="G317" s="34"/>
      <c r="H317" s="52" t="n">
        <f aca="false">IF($E317="Per class",$D317*COUNTIFS('Session Tracker'!$D$5:$D$149,$A317,'Session Tracker'!$F$5:$F$149,"Next week",'Session Tracker'!$G$5:$G$149,"Mon"),$D317*SUMIFS('Session Tracker'!$J$5:$J$149,'Session Tracker'!$D$5:$D$149,$A317,'Session Tracker'!$F$5:$F$149,"Next week",'Session Tracker'!$G$5:$G$149,"Mon"))</f>
        <v>0</v>
      </c>
      <c r="I317" s="52" t="n">
        <f aca="false">IF($E317="Per class",$D317*COUNTIFS('Session Tracker'!$D$5:$D$149,$A317,'Session Tracker'!$F$5:$F$149,"Next week",'Session Tracker'!$G$5:$G$149,"Tue"),$D317*SUMIFS('Session Tracker'!$J$5:$J$149,'Session Tracker'!$D$5:$D$149,$A317,'Session Tracker'!$F$5:$F$149,"Next week",'Session Tracker'!$G$5:$G$149,"Tue"))</f>
        <v>0</v>
      </c>
      <c r="J317" s="52" t="n">
        <f aca="false">IF($E317="Per class",$D317*COUNTIFS('Session Tracker'!$D$5:$D$149,$A317,'Session Tracker'!$F$5:$F$149,"Next week",'Session Tracker'!$G$5:$G$149,"Wed"),$D317*SUMIFS('Session Tracker'!$J$5:$J$149,'Session Tracker'!$D$5:$D$149,$A317,'Session Tracker'!$F$5:$F$149,"Next week",'Session Tracker'!$G$5:$G$149,"Wed"))</f>
        <v>0</v>
      </c>
      <c r="K317" s="52" t="n">
        <f aca="false">IF($E317="Per class",$D317*COUNTIFS('Session Tracker'!$D$5:$D$149,$A317,'Session Tracker'!$F$5:$F$149,"Next week",'Session Tracker'!$G$5:$G$149,"Thu"),$D317*SUMIFS('Session Tracker'!$J$5:$J$149,'Session Tracker'!$D$5:$D$149,$A317,'Session Tracker'!$F$5:$F$149,"Next week",'Session Tracker'!$G$5:$G$149,"Thu"))</f>
        <v>0</v>
      </c>
      <c r="L317" s="52" t="n">
        <f aca="false">IF($E317="Per class",$D317*COUNTIFS('Session Tracker'!$D$5:$D$149,$A317,'Session Tracker'!$F$5:$F$149,"Next week",'Session Tracker'!$G$5:$G$149,"Fri"),$D317*SUMIFS('Session Tracker'!$J$5:$J$149,'Session Tracker'!$D$5:$D$149,$A317,'Session Tracker'!$F$5:$F$149,"Next week",'Session Tracker'!$G$5:$G$149,"Fri"))</f>
        <v>0</v>
      </c>
      <c r="M317" s="52" t="n">
        <f aca="false">IF($E317="Per class",$D317*COUNTIFS('Session Tracker'!$D$5:$D$149,$A317,'Session Tracker'!$F$5:$F$149,"Next week",'Session Tracker'!$G$5:$G$149,""),$D317*SUMIFS('Session Tracker'!$J$5:$J$149,'Session Tracker'!$D$5:$D$149,$A317,'Session Tracker'!$F$5:$F$149,"Next week",'Session Tracker'!$G$5:$G$149,""))</f>
        <v>0</v>
      </c>
    </row>
    <row r="318" customFormat="false" ht="15" hidden="false" customHeight="false" outlineLevel="0" collapsed="false">
      <c r="A318" s="51" t="s">
        <v>138</v>
      </c>
      <c r="B318" s="34" t="s">
        <v>411</v>
      </c>
      <c r="C318" s="34" t="s">
        <v>493</v>
      </c>
      <c r="D318" s="32" t="n">
        <v>3</v>
      </c>
      <c r="E318" s="32" t="s">
        <v>14</v>
      </c>
      <c r="F318" s="32" t="s">
        <v>373</v>
      </c>
      <c r="G318" s="34"/>
      <c r="H318" s="52" t="n">
        <f aca="false">IF($E318="Per class",$D318*COUNTIFS('Session Tracker'!$D$5:$D$149,$A318,'Session Tracker'!$F$5:$F$149,"Next week",'Session Tracker'!$G$5:$G$149,"Mon"),$D318*SUMIFS('Session Tracker'!$J$5:$J$149,'Session Tracker'!$D$5:$D$149,$A318,'Session Tracker'!$F$5:$F$149,"Next week",'Session Tracker'!$G$5:$G$149,"Mon"))</f>
        <v>0</v>
      </c>
      <c r="I318" s="52" t="n">
        <f aca="false">IF($E318="Per class",$D318*COUNTIFS('Session Tracker'!$D$5:$D$149,$A318,'Session Tracker'!$F$5:$F$149,"Next week",'Session Tracker'!$G$5:$G$149,"Tue"),$D318*SUMIFS('Session Tracker'!$J$5:$J$149,'Session Tracker'!$D$5:$D$149,$A318,'Session Tracker'!$F$5:$F$149,"Next week",'Session Tracker'!$G$5:$G$149,"Tue"))</f>
        <v>0</v>
      </c>
      <c r="J318" s="52" t="n">
        <f aca="false">IF($E318="Per class",$D318*COUNTIFS('Session Tracker'!$D$5:$D$149,$A318,'Session Tracker'!$F$5:$F$149,"Next week",'Session Tracker'!$G$5:$G$149,"Wed"),$D318*SUMIFS('Session Tracker'!$J$5:$J$149,'Session Tracker'!$D$5:$D$149,$A318,'Session Tracker'!$F$5:$F$149,"Next week",'Session Tracker'!$G$5:$G$149,"Wed"))</f>
        <v>0</v>
      </c>
      <c r="K318" s="52" t="n">
        <f aca="false">IF($E318="Per class",$D318*COUNTIFS('Session Tracker'!$D$5:$D$149,$A318,'Session Tracker'!$F$5:$F$149,"Next week",'Session Tracker'!$G$5:$G$149,"Thu"),$D318*SUMIFS('Session Tracker'!$J$5:$J$149,'Session Tracker'!$D$5:$D$149,$A318,'Session Tracker'!$F$5:$F$149,"Next week",'Session Tracker'!$G$5:$G$149,"Thu"))</f>
        <v>0</v>
      </c>
      <c r="L318" s="52" t="n">
        <f aca="false">IF($E318="Per class",$D318*COUNTIFS('Session Tracker'!$D$5:$D$149,$A318,'Session Tracker'!$F$5:$F$149,"Next week",'Session Tracker'!$G$5:$G$149,"Fri"),$D318*SUMIFS('Session Tracker'!$J$5:$J$149,'Session Tracker'!$D$5:$D$149,$A318,'Session Tracker'!$F$5:$F$149,"Next week",'Session Tracker'!$G$5:$G$149,"Fri"))</f>
        <v>0</v>
      </c>
      <c r="M318" s="52" t="n">
        <f aca="false">IF($E318="Per class",$D318*COUNTIFS('Session Tracker'!$D$5:$D$149,$A318,'Session Tracker'!$F$5:$F$149,"Next week",'Session Tracker'!$G$5:$G$149,""),$D318*SUMIFS('Session Tracker'!$J$5:$J$149,'Session Tracker'!$D$5:$D$149,$A318,'Session Tracker'!$F$5:$F$149,"Next week",'Session Tracker'!$G$5:$G$149,""))</f>
        <v>0</v>
      </c>
    </row>
    <row r="319" customFormat="false" ht="15" hidden="false" customHeight="false" outlineLevel="0" collapsed="false">
      <c r="A319" s="51" t="s">
        <v>138</v>
      </c>
      <c r="B319" s="34" t="s">
        <v>411</v>
      </c>
      <c r="C319" s="34" t="s">
        <v>494</v>
      </c>
      <c r="D319" s="32" t="n">
        <v>2</v>
      </c>
      <c r="E319" s="32" t="s">
        <v>14</v>
      </c>
      <c r="F319" s="32" t="s">
        <v>373</v>
      </c>
      <c r="G319" s="34"/>
      <c r="H319" s="52" t="n">
        <f aca="false">IF($E319="Per class",$D319*COUNTIFS('Session Tracker'!$D$5:$D$149,$A319,'Session Tracker'!$F$5:$F$149,"Next week",'Session Tracker'!$G$5:$G$149,"Mon"),$D319*SUMIFS('Session Tracker'!$J$5:$J$149,'Session Tracker'!$D$5:$D$149,$A319,'Session Tracker'!$F$5:$F$149,"Next week",'Session Tracker'!$G$5:$G$149,"Mon"))</f>
        <v>0</v>
      </c>
      <c r="I319" s="52" t="n">
        <f aca="false">IF($E319="Per class",$D319*COUNTIFS('Session Tracker'!$D$5:$D$149,$A319,'Session Tracker'!$F$5:$F$149,"Next week",'Session Tracker'!$G$5:$G$149,"Tue"),$D319*SUMIFS('Session Tracker'!$J$5:$J$149,'Session Tracker'!$D$5:$D$149,$A319,'Session Tracker'!$F$5:$F$149,"Next week",'Session Tracker'!$G$5:$G$149,"Tue"))</f>
        <v>0</v>
      </c>
      <c r="J319" s="52" t="n">
        <f aca="false">IF($E319="Per class",$D319*COUNTIFS('Session Tracker'!$D$5:$D$149,$A319,'Session Tracker'!$F$5:$F$149,"Next week",'Session Tracker'!$G$5:$G$149,"Wed"),$D319*SUMIFS('Session Tracker'!$J$5:$J$149,'Session Tracker'!$D$5:$D$149,$A319,'Session Tracker'!$F$5:$F$149,"Next week",'Session Tracker'!$G$5:$G$149,"Wed"))</f>
        <v>0</v>
      </c>
      <c r="K319" s="52" t="n">
        <f aca="false">IF($E319="Per class",$D319*COUNTIFS('Session Tracker'!$D$5:$D$149,$A319,'Session Tracker'!$F$5:$F$149,"Next week",'Session Tracker'!$G$5:$G$149,"Thu"),$D319*SUMIFS('Session Tracker'!$J$5:$J$149,'Session Tracker'!$D$5:$D$149,$A319,'Session Tracker'!$F$5:$F$149,"Next week",'Session Tracker'!$G$5:$G$149,"Thu"))</f>
        <v>0</v>
      </c>
      <c r="L319" s="52" t="n">
        <f aca="false">IF($E319="Per class",$D319*COUNTIFS('Session Tracker'!$D$5:$D$149,$A319,'Session Tracker'!$F$5:$F$149,"Next week",'Session Tracker'!$G$5:$G$149,"Fri"),$D319*SUMIFS('Session Tracker'!$J$5:$J$149,'Session Tracker'!$D$5:$D$149,$A319,'Session Tracker'!$F$5:$F$149,"Next week",'Session Tracker'!$G$5:$G$149,"Fri"))</f>
        <v>0</v>
      </c>
      <c r="M319" s="52" t="n">
        <f aca="false">IF($E319="Per class",$D319*COUNTIFS('Session Tracker'!$D$5:$D$149,$A319,'Session Tracker'!$F$5:$F$149,"Next week",'Session Tracker'!$G$5:$G$149,""),$D319*SUMIFS('Session Tracker'!$J$5:$J$149,'Session Tracker'!$D$5:$D$149,$A319,'Session Tracker'!$F$5:$F$149,"Next week",'Session Tracker'!$G$5:$G$149,""))</f>
        <v>0</v>
      </c>
    </row>
    <row r="320" customFormat="false" ht="15" hidden="false" customHeight="false" outlineLevel="0" collapsed="false">
      <c r="A320" s="51" t="s">
        <v>138</v>
      </c>
      <c r="B320" s="34" t="s">
        <v>382</v>
      </c>
      <c r="C320" s="34" t="s">
        <v>495</v>
      </c>
      <c r="D320" s="32" t="n">
        <v>1</v>
      </c>
      <c r="E320" s="32" t="s">
        <v>16</v>
      </c>
      <c r="F320" s="32" t="s">
        <v>368</v>
      </c>
      <c r="G320" s="34" t="s">
        <v>496</v>
      </c>
      <c r="H320" s="52" t="n">
        <f aca="false">IF($E320="Per class",$D320*COUNTIFS('Session Tracker'!$D$5:$D$149,$A320,'Session Tracker'!$F$5:$F$149,"Next week",'Session Tracker'!$G$5:$G$149,"Mon"),$D320*SUMIFS('Session Tracker'!$J$5:$J$149,'Session Tracker'!$D$5:$D$149,$A320,'Session Tracker'!$F$5:$F$149,"Next week",'Session Tracker'!$G$5:$G$149,"Mon"))</f>
        <v>0</v>
      </c>
      <c r="I320" s="52" t="n">
        <f aca="false">IF($E320="Per class",$D320*COUNTIFS('Session Tracker'!$D$5:$D$149,$A320,'Session Tracker'!$F$5:$F$149,"Next week",'Session Tracker'!$G$5:$G$149,"Tue"),$D320*SUMIFS('Session Tracker'!$J$5:$J$149,'Session Tracker'!$D$5:$D$149,$A320,'Session Tracker'!$F$5:$F$149,"Next week",'Session Tracker'!$G$5:$G$149,"Tue"))</f>
        <v>0</v>
      </c>
      <c r="J320" s="52" t="n">
        <f aca="false">IF($E320="Per class",$D320*COUNTIFS('Session Tracker'!$D$5:$D$149,$A320,'Session Tracker'!$F$5:$F$149,"Next week",'Session Tracker'!$G$5:$G$149,"Wed"),$D320*SUMIFS('Session Tracker'!$J$5:$J$149,'Session Tracker'!$D$5:$D$149,$A320,'Session Tracker'!$F$5:$F$149,"Next week",'Session Tracker'!$G$5:$G$149,"Wed"))</f>
        <v>0</v>
      </c>
      <c r="K320" s="52" t="n">
        <f aca="false">IF($E320="Per class",$D320*COUNTIFS('Session Tracker'!$D$5:$D$149,$A320,'Session Tracker'!$F$5:$F$149,"Next week",'Session Tracker'!$G$5:$G$149,"Thu"),$D320*SUMIFS('Session Tracker'!$J$5:$J$149,'Session Tracker'!$D$5:$D$149,$A320,'Session Tracker'!$F$5:$F$149,"Next week",'Session Tracker'!$G$5:$G$149,"Thu"))</f>
        <v>0</v>
      </c>
      <c r="L320" s="52" t="n">
        <f aca="false">IF($E320="Per class",$D320*COUNTIFS('Session Tracker'!$D$5:$D$149,$A320,'Session Tracker'!$F$5:$F$149,"Next week",'Session Tracker'!$G$5:$G$149,"Fri"),$D320*SUMIFS('Session Tracker'!$J$5:$J$149,'Session Tracker'!$D$5:$D$149,$A320,'Session Tracker'!$F$5:$F$149,"Next week",'Session Tracker'!$G$5:$G$149,"Fri"))</f>
        <v>0</v>
      </c>
      <c r="M320" s="52" t="n">
        <f aca="false">IF($E320="Per class",$D320*COUNTIFS('Session Tracker'!$D$5:$D$149,$A320,'Session Tracker'!$F$5:$F$149,"Next week",'Session Tracker'!$G$5:$G$149,""),$D320*SUMIFS('Session Tracker'!$J$5:$J$149,'Session Tracker'!$D$5:$D$149,$A320,'Session Tracker'!$F$5:$F$149,"Next week",'Session Tracker'!$G$5:$G$149,""))</f>
        <v>0</v>
      </c>
    </row>
    <row r="321" customFormat="false" ht="15" hidden="false" customHeight="false" outlineLevel="0" collapsed="false">
      <c r="A321" s="51" t="s">
        <v>138</v>
      </c>
      <c r="B321" s="34" t="s">
        <v>411</v>
      </c>
      <c r="C321" s="34" t="s">
        <v>413</v>
      </c>
      <c r="D321" s="32" t="n">
        <v>1</v>
      </c>
      <c r="E321" s="32" t="s">
        <v>14</v>
      </c>
      <c r="F321" s="32" t="s">
        <v>373</v>
      </c>
      <c r="G321" s="34"/>
      <c r="H321" s="52" t="n">
        <f aca="false">IF($E321="Per class",$D321*COUNTIFS('Session Tracker'!$D$5:$D$149,$A321,'Session Tracker'!$F$5:$F$149,"Next week",'Session Tracker'!$G$5:$G$149,"Mon"),$D321*SUMIFS('Session Tracker'!$J$5:$J$149,'Session Tracker'!$D$5:$D$149,$A321,'Session Tracker'!$F$5:$F$149,"Next week",'Session Tracker'!$G$5:$G$149,"Mon"))</f>
        <v>0</v>
      </c>
      <c r="I321" s="52" t="n">
        <f aca="false">IF($E321="Per class",$D321*COUNTIFS('Session Tracker'!$D$5:$D$149,$A321,'Session Tracker'!$F$5:$F$149,"Next week",'Session Tracker'!$G$5:$G$149,"Tue"),$D321*SUMIFS('Session Tracker'!$J$5:$J$149,'Session Tracker'!$D$5:$D$149,$A321,'Session Tracker'!$F$5:$F$149,"Next week",'Session Tracker'!$G$5:$G$149,"Tue"))</f>
        <v>0</v>
      </c>
      <c r="J321" s="52" t="n">
        <f aca="false">IF($E321="Per class",$D321*COUNTIFS('Session Tracker'!$D$5:$D$149,$A321,'Session Tracker'!$F$5:$F$149,"Next week",'Session Tracker'!$G$5:$G$149,"Wed"),$D321*SUMIFS('Session Tracker'!$J$5:$J$149,'Session Tracker'!$D$5:$D$149,$A321,'Session Tracker'!$F$5:$F$149,"Next week",'Session Tracker'!$G$5:$G$149,"Wed"))</f>
        <v>0</v>
      </c>
      <c r="K321" s="52" t="n">
        <f aca="false">IF($E321="Per class",$D321*COUNTIFS('Session Tracker'!$D$5:$D$149,$A321,'Session Tracker'!$F$5:$F$149,"Next week",'Session Tracker'!$G$5:$G$149,"Thu"),$D321*SUMIFS('Session Tracker'!$J$5:$J$149,'Session Tracker'!$D$5:$D$149,$A321,'Session Tracker'!$F$5:$F$149,"Next week",'Session Tracker'!$G$5:$G$149,"Thu"))</f>
        <v>0</v>
      </c>
      <c r="L321" s="52" t="n">
        <f aca="false">IF($E321="Per class",$D321*COUNTIFS('Session Tracker'!$D$5:$D$149,$A321,'Session Tracker'!$F$5:$F$149,"Next week",'Session Tracker'!$G$5:$G$149,"Fri"),$D321*SUMIFS('Session Tracker'!$J$5:$J$149,'Session Tracker'!$D$5:$D$149,$A321,'Session Tracker'!$F$5:$F$149,"Next week",'Session Tracker'!$G$5:$G$149,"Fri"))</f>
        <v>0</v>
      </c>
      <c r="M321" s="52" t="n">
        <f aca="false">IF($E321="Per class",$D321*COUNTIFS('Session Tracker'!$D$5:$D$149,$A321,'Session Tracker'!$F$5:$F$149,"Next week",'Session Tracker'!$G$5:$G$149,""),$D321*SUMIFS('Session Tracker'!$J$5:$J$149,'Session Tracker'!$D$5:$D$149,$A321,'Session Tracker'!$F$5:$F$149,"Next week",'Session Tracker'!$G$5:$G$149,""))</f>
        <v>0</v>
      </c>
    </row>
    <row r="322" customFormat="false" ht="15" hidden="false" customHeight="false" outlineLevel="0" collapsed="false">
      <c r="A322" s="53" t="s">
        <v>138</v>
      </c>
      <c r="B322" s="54"/>
      <c r="C322" s="54"/>
      <c r="D322" s="54"/>
      <c r="E322" s="54"/>
      <c r="F322" s="54"/>
      <c r="G322" s="54"/>
      <c r="H322" s="52" t="n">
        <f aca="false">IF($E322="Per class",$D322*COUNTIFS('Session Tracker'!$D$5:$D$149,$A322,'Session Tracker'!$F$5:$F$149,"Next week",'Session Tracker'!$G$5:$G$149,"Mon"),$D322*SUMIFS('Session Tracker'!$J$5:$J$149,'Session Tracker'!$D$5:$D$149,$A322,'Session Tracker'!$F$5:$F$149,"Next week",'Session Tracker'!$G$5:$G$149,"Mon"))</f>
        <v>0</v>
      </c>
      <c r="I322" s="52" t="n">
        <f aca="false">IF($E322="Per class",$D322*COUNTIFS('Session Tracker'!$D$5:$D$149,$A322,'Session Tracker'!$F$5:$F$149,"Next week",'Session Tracker'!$G$5:$G$149,"Tue"),$D322*SUMIFS('Session Tracker'!$J$5:$J$149,'Session Tracker'!$D$5:$D$149,$A322,'Session Tracker'!$F$5:$F$149,"Next week",'Session Tracker'!$G$5:$G$149,"Tue"))</f>
        <v>0</v>
      </c>
      <c r="J322" s="52" t="n">
        <f aca="false">IF($E322="Per class",$D322*COUNTIFS('Session Tracker'!$D$5:$D$149,$A322,'Session Tracker'!$F$5:$F$149,"Next week",'Session Tracker'!$G$5:$G$149,"Wed"),$D322*SUMIFS('Session Tracker'!$J$5:$J$149,'Session Tracker'!$D$5:$D$149,$A322,'Session Tracker'!$F$5:$F$149,"Next week",'Session Tracker'!$G$5:$G$149,"Wed"))</f>
        <v>0</v>
      </c>
      <c r="K322" s="52" t="n">
        <f aca="false">IF($E322="Per class",$D322*COUNTIFS('Session Tracker'!$D$5:$D$149,$A322,'Session Tracker'!$F$5:$F$149,"Next week",'Session Tracker'!$G$5:$G$149,"Thu"),$D322*SUMIFS('Session Tracker'!$J$5:$J$149,'Session Tracker'!$D$5:$D$149,$A322,'Session Tracker'!$F$5:$F$149,"Next week",'Session Tracker'!$G$5:$G$149,"Thu"))</f>
        <v>0</v>
      </c>
      <c r="L322" s="52" t="n">
        <f aca="false">IF($E322="Per class",$D322*COUNTIFS('Session Tracker'!$D$5:$D$149,$A322,'Session Tracker'!$F$5:$F$149,"Next week",'Session Tracker'!$G$5:$G$149,"Fri"),$D322*SUMIFS('Session Tracker'!$J$5:$J$149,'Session Tracker'!$D$5:$D$149,$A322,'Session Tracker'!$F$5:$F$149,"Next week",'Session Tracker'!$G$5:$G$149,"Fri"))</f>
        <v>0</v>
      </c>
      <c r="M322" s="52" t="n">
        <f aca="false">IF($E322="Per class",$D322*COUNTIFS('Session Tracker'!$D$5:$D$149,$A322,'Session Tracker'!$F$5:$F$149,"Next week",'Session Tracker'!$G$5:$G$149,""),$D322*SUMIFS('Session Tracker'!$J$5:$J$149,'Session Tracker'!$D$5:$D$149,$A322,'Session Tracker'!$F$5:$F$149,"Next week",'Session Tracker'!$G$5:$G$149,""))</f>
        <v>0</v>
      </c>
    </row>
    <row r="323" customFormat="false" ht="15" hidden="false" customHeight="false" outlineLevel="0" collapsed="false">
      <c r="A323" s="53" t="s">
        <v>138</v>
      </c>
      <c r="B323" s="54"/>
      <c r="C323" s="54"/>
      <c r="D323" s="54"/>
      <c r="E323" s="54"/>
      <c r="F323" s="54"/>
      <c r="G323" s="54"/>
      <c r="H323" s="52" t="n">
        <f aca="false">IF($E323="Per class",$D323*COUNTIFS('Session Tracker'!$D$5:$D$149,$A323,'Session Tracker'!$F$5:$F$149,"Next week",'Session Tracker'!$G$5:$G$149,"Mon"),$D323*SUMIFS('Session Tracker'!$J$5:$J$149,'Session Tracker'!$D$5:$D$149,$A323,'Session Tracker'!$F$5:$F$149,"Next week",'Session Tracker'!$G$5:$G$149,"Mon"))</f>
        <v>0</v>
      </c>
      <c r="I323" s="52" t="n">
        <f aca="false">IF($E323="Per class",$D323*COUNTIFS('Session Tracker'!$D$5:$D$149,$A323,'Session Tracker'!$F$5:$F$149,"Next week",'Session Tracker'!$G$5:$G$149,"Tue"),$D323*SUMIFS('Session Tracker'!$J$5:$J$149,'Session Tracker'!$D$5:$D$149,$A323,'Session Tracker'!$F$5:$F$149,"Next week",'Session Tracker'!$G$5:$G$149,"Tue"))</f>
        <v>0</v>
      </c>
      <c r="J323" s="52" t="n">
        <f aca="false">IF($E323="Per class",$D323*COUNTIFS('Session Tracker'!$D$5:$D$149,$A323,'Session Tracker'!$F$5:$F$149,"Next week",'Session Tracker'!$G$5:$G$149,"Wed"),$D323*SUMIFS('Session Tracker'!$J$5:$J$149,'Session Tracker'!$D$5:$D$149,$A323,'Session Tracker'!$F$5:$F$149,"Next week",'Session Tracker'!$G$5:$G$149,"Wed"))</f>
        <v>0</v>
      </c>
      <c r="K323" s="52" t="n">
        <f aca="false">IF($E323="Per class",$D323*COUNTIFS('Session Tracker'!$D$5:$D$149,$A323,'Session Tracker'!$F$5:$F$149,"Next week",'Session Tracker'!$G$5:$G$149,"Thu"),$D323*SUMIFS('Session Tracker'!$J$5:$J$149,'Session Tracker'!$D$5:$D$149,$A323,'Session Tracker'!$F$5:$F$149,"Next week",'Session Tracker'!$G$5:$G$149,"Thu"))</f>
        <v>0</v>
      </c>
      <c r="L323" s="52" t="n">
        <f aca="false">IF($E323="Per class",$D323*COUNTIFS('Session Tracker'!$D$5:$D$149,$A323,'Session Tracker'!$F$5:$F$149,"Next week",'Session Tracker'!$G$5:$G$149,"Fri"),$D323*SUMIFS('Session Tracker'!$J$5:$J$149,'Session Tracker'!$D$5:$D$149,$A323,'Session Tracker'!$F$5:$F$149,"Next week",'Session Tracker'!$G$5:$G$149,"Fri"))</f>
        <v>0</v>
      </c>
      <c r="M323" s="52" t="n">
        <f aca="false">IF($E323="Per class",$D323*COUNTIFS('Session Tracker'!$D$5:$D$149,$A323,'Session Tracker'!$F$5:$F$149,"Next week",'Session Tracker'!$G$5:$G$149,""),$D323*SUMIFS('Session Tracker'!$J$5:$J$149,'Session Tracker'!$D$5:$D$149,$A323,'Session Tracker'!$F$5:$F$149,"Next week",'Session Tracker'!$G$5:$G$149,""))</f>
        <v>0</v>
      </c>
    </row>
    <row r="325" customFormat="false" ht="19.5" hidden="false" customHeight="true" outlineLevel="0" collapsed="false">
      <c r="A325" s="47" t="s">
        <v>140</v>
      </c>
      <c r="B325" s="48" t="s">
        <v>497</v>
      </c>
      <c r="C325" s="48"/>
      <c r="D325" s="48"/>
      <c r="E325" s="48"/>
      <c r="F325" s="49" t="str">
        <f aca="false">"Status: "&amp;'Session Tracker'!F37&amp;IF('Session Tracker'!G37&lt;&gt;""," ("&amp;'Session Tracker'!G37&amp;")","")</f>
        <v>Status: Not started</v>
      </c>
      <c r="G325" s="49"/>
      <c r="H325" s="50"/>
      <c r="I325" s="50"/>
      <c r="J325" s="50"/>
      <c r="K325" s="50"/>
      <c r="L325" s="50"/>
      <c r="M325" s="50"/>
    </row>
    <row r="326" customFormat="false" ht="15" hidden="false" customHeight="false" outlineLevel="0" collapsed="false">
      <c r="A326" s="51" t="s">
        <v>140</v>
      </c>
      <c r="B326" s="34" t="s">
        <v>382</v>
      </c>
      <c r="C326" s="34" t="s">
        <v>383</v>
      </c>
      <c r="D326" s="32" t="n">
        <v>1</v>
      </c>
      <c r="E326" s="32" t="s">
        <v>14</v>
      </c>
      <c r="F326" s="32" t="s">
        <v>368</v>
      </c>
      <c r="G326" s="34"/>
      <c r="H326" s="52" t="n">
        <f aca="false">IF($E326="Per class",$D326*COUNTIFS('Session Tracker'!$D$5:$D$149,$A326,'Session Tracker'!$F$5:$F$149,"Next week",'Session Tracker'!$G$5:$G$149,"Mon"),$D326*SUMIFS('Session Tracker'!$J$5:$J$149,'Session Tracker'!$D$5:$D$149,$A326,'Session Tracker'!$F$5:$F$149,"Next week",'Session Tracker'!$G$5:$G$149,"Mon"))</f>
        <v>0</v>
      </c>
      <c r="I326" s="52" t="n">
        <f aca="false">IF($E326="Per class",$D326*COUNTIFS('Session Tracker'!$D$5:$D$149,$A326,'Session Tracker'!$F$5:$F$149,"Next week",'Session Tracker'!$G$5:$G$149,"Tue"),$D326*SUMIFS('Session Tracker'!$J$5:$J$149,'Session Tracker'!$D$5:$D$149,$A326,'Session Tracker'!$F$5:$F$149,"Next week",'Session Tracker'!$G$5:$G$149,"Tue"))</f>
        <v>0</v>
      </c>
      <c r="J326" s="52" t="n">
        <f aca="false">IF($E326="Per class",$D326*COUNTIFS('Session Tracker'!$D$5:$D$149,$A326,'Session Tracker'!$F$5:$F$149,"Next week",'Session Tracker'!$G$5:$G$149,"Wed"),$D326*SUMIFS('Session Tracker'!$J$5:$J$149,'Session Tracker'!$D$5:$D$149,$A326,'Session Tracker'!$F$5:$F$149,"Next week",'Session Tracker'!$G$5:$G$149,"Wed"))</f>
        <v>0</v>
      </c>
      <c r="K326" s="52" t="n">
        <f aca="false">IF($E326="Per class",$D326*COUNTIFS('Session Tracker'!$D$5:$D$149,$A326,'Session Tracker'!$F$5:$F$149,"Next week",'Session Tracker'!$G$5:$G$149,"Thu"),$D326*SUMIFS('Session Tracker'!$J$5:$J$149,'Session Tracker'!$D$5:$D$149,$A326,'Session Tracker'!$F$5:$F$149,"Next week",'Session Tracker'!$G$5:$G$149,"Thu"))</f>
        <v>0</v>
      </c>
      <c r="L326" s="52" t="n">
        <f aca="false">IF($E326="Per class",$D326*COUNTIFS('Session Tracker'!$D$5:$D$149,$A326,'Session Tracker'!$F$5:$F$149,"Next week",'Session Tracker'!$G$5:$G$149,"Fri"),$D326*SUMIFS('Session Tracker'!$J$5:$J$149,'Session Tracker'!$D$5:$D$149,$A326,'Session Tracker'!$F$5:$F$149,"Next week",'Session Tracker'!$G$5:$G$149,"Fri"))</f>
        <v>0</v>
      </c>
      <c r="M326" s="52" t="n">
        <f aca="false">IF($E326="Per class",$D326*COUNTIFS('Session Tracker'!$D$5:$D$149,$A326,'Session Tracker'!$F$5:$F$149,"Next week",'Session Tracker'!$G$5:$G$149,""),$D326*SUMIFS('Session Tracker'!$J$5:$J$149,'Session Tracker'!$D$5:$D$149,$A326,'Session Tracker'!$F$5:$F$149,"Next week",'Session Tracker'!$G$5:$G$149,""))</f>
        <v>0</v>
      </c>
    </row>
    <row r="327" customFormat="false" ht="15" hidden="false" customHeight="false" outlineLevel="0" collapsed="false">
      <c r="A327" s="53" t="s">
        <v>140</v>
      </c>
      <c r="B327" s="54"/>
      <c r="C327" s="54"/>
      <c r="D327" s="54"/>
      <c r="E327" s="54"/>
      <c r="F327" s="54"/>
      <c r="G327" s="54"/>
      <c r="H327" s="52" t="n">
        <f aca="false">IF($E327="Per class",$D327*COUNTIFS('Session Tracker'!$D$5:$D$149,$A327,'Session Tracker'!$F$5:$F$149,"Next week",'Session Tracker'!$G$5:$G$149,"Mon"),$D327*SUMIFS('Session Tracker'!$J$5:$J$149,'Session Tracker'!$D$5:$D$149,$A327,'Session Tracker'!$F$5:$F$149,"Next week",'Session Tracker'!$G$5:$G$149,"Mon"))</f>
        <v>0</v>
      </c>
      <c r="I327" s="52" t="n">
        <f aca="false">IF($E327="Per class",$D327*COUNTIFS('Session Tracker'!$D$5:$D$149,$A327,'Session Tracker'!$F$5:$F$149,"Next week",'Session Tracker'!$G$5:$G$149,"Tue"),$D327*SUMIFS('Session Tracker'!$J$5:$J$149,'Session Tracker'!$D$5:$D$149,$A327,'Session Tracker'!$F$5:$F$149,"Next week",'Session Tracker'!$G$5:$G$149,"Tue"))</f>
        <v>0</v>
      </c>
      <c r="J327" s="52" t="n">
        <f aca="false">IF($E327="Per class",$D327*COUNTIFS('Session Tracker'!$D$5:$D$149,$A327,'Session Tracker'!$F$5:$F$149,"Next week",'Session Tracker'!$G$5:$G$149,"Wed"),$D327*SUMIFS('Session Tracker'!$J$5:$J$149,'Session Tracker'!$D$5:$D$149,$A327,'Session Tracker'!$F$5:$F$149,"Next week",'Session Tracker'!$G$5:$G$149,"Wed"))</f>
        <v>0</v>
      </c>
      <c r="K327" s="52" t="n">
        <f aca="false">IF($E327="Per class",$D327*COUNTIFS('Session Tracker'!$D$5:$D$149,$A327,'Session Tracker'!$F$5:$F$149,"Next week",'Session Tracker'!$G$5:$G$149,"Thu"),$D327*SUMIFS('Session Tracker'!$J$5:$J$149,'Session Tracker'!$D$5:$D$149,$A327,'Session Tracker'!$F$5:$F$149,"Next week",'Session Tracker'!$G$5:$G$149,"Thu"))</f>
        <v>0</v>
      </c>
      <c r="L327" s="52" t="n">
        <f aca="false">IF($E327="Per class",$D327*COUNTIFS('Session Tracker'!$D$5:$D$149,$A327,'Session Tracker'!$F$5:$F$149,"Next week",'Session Tracker'!$G$5:$G$149,"Fri"),$D327*SUMIFS('Session Tracker'!$J$5:$J$149,'Session Tracker'!$D$5:$D$149,$A327,'Session Tracker'!$F$5:$F$149,"Next week",'Session Tracker'!$G$5:$G$149,"Fri"))</f>
        <v>0</v>
      </c>
      <c r="M327" s="52" t="n">
        <f aca="false">IF($E327="Per class",$D327*COUNTIFS('Session Tracker'!$D$5:$D$149,$A327,'Session Tracker'!$F$5:$F$149,"Next week",'Session Tracker'!$G$5:$G$149,""),$D327*SUMIFS('Session Tracker'!$J$5:$J$149,'Session Tracker'!$D$5:$D$149,$A327,'Session Tracker'!$F$5:$F$149,"Next week",'Session Tracker'!$G$5:$G$149,""))</f>
        <v>0</v>
      </c>
    </row>
    <row r="328" customFormat="false" ht="15" hidden="false" customHeight="false" outlineLevel="0" collapsed="false">
      <c r="A328" s="53" t="s">
        <v>140</v>
      </c>
      <c r="B328" s="54"/>
      <c r="C328" s="54"/>
      <c r="D328" s="54"/>
      <c r="E328" s="54"/>
      <c r="F328" s="54"/>
      <c r="G328" s="54"/>
      <c r="H328" s="52" t="n">
        <f aca="false">IF($E328="Per class",$D328*COUNTIFS('Session Tracker'!$D$5:$D$149,$A328,'Session Tracker'!$F$5:$F$149,"Next week",'Session Tracker'!$G$5:$G$149,"Mon"),$D328*SUMIFS('Session Tracker'!$J$5:$J$149,'Session Tracker'!$D$5:$D$149,$A328,'Session Tracker'!$F$5:$F$149,"Next week",'Session Tracker'!$G$5:$G$149,"Mon"))</f>
        <v>0</v>
      </c>
      <c r="I328" s="52" t="n">
        <f aca="false">IF($E328="Per class",$D328*COUNTIFS('Session Tracker'!$D$5:$D$149,$A328,'Session Tracker'!$F$5:$F$149,"Next week",'Session Tracker'!$G$5:$G$149,"Tue"),$D328*SUMIFS('Session Tracker'!$J$5:$J$149,'Session Tracker'!$D$5:$D$149,$A328,'Session Tracker'!$F$5:$F$149,"Next week",'Session Tracker'!$G$5:$G$149,"Tue"))</f>
        <v>0</v>
      </c>
      <c r="J328" s="52" t="n">
        <f aca="false">IF($E328="Per class",$D328*COUNTIFS('Session Tracker'!$D$5:$D$149,$A328,'Session Tracker'!$F$5:$F$149,"Next week",'Session Tracker'!$G$5:$G$149,"Wed"),$D328*SUMIFS('Session Tracker'!$J$5:$J$149,'Session Tracker'!$D$5:$D$149,$A328,'Session Tracker'!$F$5:$F$149,"Next week",'Session Tracker'!$G$5:$G$149,"Wed"))</f>
        <v>0</v>
      </c>
      <c r="K328" s="52" t="n">
        <f aca="false">IF($E328="Per class",$D328*COUNTIFS('Session Tracker'!$D$5:$D$149,$A328,'Session Tracker'!$F$5:$F$149,"Next week",'Session Tracker'!$G$5:$G$149,"Thu"),$D328*SUMIFS('Session Tracker'!$J$5:$J$149,'Session Tracker'!$D$5:$D$149,$A328,'Session Tracker'!$F$5:$F$149,"Next week",'Session Tracker'!$G$5:$G$149,"Thu"))</f>
        <v>0</v>
      </c>
      <c r="L328" s="52" t="n">
        <f aca="false">IF($E328="Per class",$D328*COUNTIFS('Session Tracker'!$D$5:$D$149,$A328,'Session Tracker'!$F$5:$F$149,"Next week",'Session Tracker'!$G$5:$G$149,"Fri"),$D328*SUMIFS('Session Tracker'!$J$5:$J$149,'Session Tracker'!$D$5:$D$149,$A328,'Session Tracker'!$F$5:$F$149,"Next week",'Session Tracker'!$G$5:$G$149,"Fri"))</f>
        <v>0</v>
      </c>
      <c r="M328" s="52" t="n">
        <f aca="false">IF($E328="Per class",$D328*COUNTIFS('Session Tracker'!$D$5:$D$149,$A328,'Session Tracker'!$F$5:$F$149,"Next week",'Session Tracker'!$G$5:$G$149,""),$D328*SUMIFS('Session Tracker'!$J$5:$J$149,'Session Tracker'!$D$5:$D$149,$A328,'Session Tracker'!$F$5:$F$149,"Next week",'Session Tracker'!$G$5:$G$149,""))</f>
        <v>0</v>
      </c>
    </row>
    <row r="330" customFormat="false" ht="19.5" hidden="false" customHeight="true" outlineLevel="0" collapsed="false">
      <c r="A330" s="47" t="s">
        <v>142</v>
      </c>
      <c r="B330" s="48" t="s">
        <v>498</v>
      </c>
      <c r="C330" s="48"/>
      <c r="D330" s="48"/>
      <c r="E330" s="48"/>
      <c r="F330" s="49" t="str">
        <f aca="false">"Status: "&amp;'Session Tracker'!F38&amp;IF('Session Tracker'!G38&lt;&gt;""," ("&amp;'Session Tracker'!G38&amp;")","")</f>
        <v>Status: Not started</v>
      </c>
      <c r="G330" s="49"/>
      <c r="H330" s="50"/>
      <c r="I330" s="50"/>
      <c r="J330" s="50"/>
      <c r="K330" s="50"/>
      <c r="L330" s="50"/>
      <c r="M330" s="50"/>
    </row>
    <row r="331" customFormat="false" ht="15" hidden="false" customHeight="false" outlineLevel="0" collapsed="false">
      <c r="A331" s="51" t="s">
        <v>142</v>
      </c>
      <c r="B331" s="34" t="s">
        <v>447</v>
      </c>
      <c r="C331" s="34" t="s">
        <v>469</v>
      </c>
      <c r="D331" s="32" t="n">
        <v>1</v>
      </c>
      <c r="E331" s="32" t="s">
        <v>14</v>
      </c>
      <c r="F331" s="32" t="s">
        <v>368</v>
      </c>
      <c r="G331" s="34" t="s">
        <v>470</v>
      </c>
      <c r="H331" s="52" t="n">
        <f aca="false">IF($E331="Per class",$D331*COUNTIFS('Session Tracker'!$D$5:$D$149,$A331,'Session Tracker'!$F$5:$F$149,"Next week",'Session Tracker'!$G$5:$G$149,"Mon"),$D331*SUMIFS('Session Tracker'!$J$5:$J$149,'Session Tracker'!$D$5:$D$149,$A331,'Session Tracker'!$F$5:$F$149,"Next week",'Session Tracker'!$G$5:$G$149,"Mon"))</f>
        <v>0</v>
      </c>
      <c r="I331" s="52" t="n">
        <f aca="false">IF($E331="Per class",$D331*COUNTIFS('Session Tracker'!$D$5:$D$149,$A331,'Session Tracker'!$F$5:$F$149,"Next week",'Session Tracker'!$G$5:$G$149,"Tue"),$D331*SUMIFS('Session Tracker'!$J$5:$J$149,'Session Tracker'!$D$5:$D$149,$A331,'Session Tracker'!$F$5:$F$149,"Next week",'Session Tracker'!$G$5:$G$149,"Tue"))</f>
        <v>0</v>
      </c>
      <c r="J331" s="52" t="n">
        <f aca="false">IF($E331="Per class",$D331*COUNTIFS('Session Tracker'!$D$5:$D$149,$A331,'Session Tracker'!$F$5:$F$149,"Next week",'Session Tracker'!$G$5:$G$149,"Wed"),$D331*SUMIFS('Session Tracker'!$J$5:$J$149,'Session Tracker'!$D$5:$D$149,$A331,'Session Tracker'!$F$5:$F$149,"Next week",'Session Tracker'!$G$5:$G$149,"Wed"))</f>
        <v>0</v>
      </c>
      <c r="K331" s="52" t="n">
        <f aca="false">IF($E331="Per class",$D331*COUNTIFS('Session Tracker'!$D$5:$D$149,$A331,'Session Tracker'!$F$5:$F$149,"Next week",'Session Tracker'!$G$5:$G$149,"Thu"),$D331*SUMIFS('Session Tracker'!$J$5:$J$149,'Session Tracker'!$D$5:$D$149,$A331,'Session Tracker'!$F$5:$F$149,"Next week",'Session Tracker'!$G$5:$G$149,"Thu"))</f>
        <v>0</v>
      </c>
      <c r="L331" s="52" t="n">
        <f aca="false">IF($E331="Per class",$D331*COUNTIFS('Session Tracker'!$D$5:$D$149,$A331,'Session Tracker'!$F$5:$F$149,"Next week",'Session Tracker'!$G$5:$G$149,"Fri"),$D331*SUMIFS('Session Tracker'!$J$5:$J$149,'Session Tracker'!$D$5:$D$149,$A331,'Session Tracker'!$F$5:$F$149,"Next week",'Session Tracker'!$G$5:$G$149,"Fri"))</f>
        <v>0</v>
      </c>
      <c r="M331" s="52" t="n">
        <f aca="false">IF($E331="Per class",$D331*COUNTIFS('Session Tracker'!$D$5:$D$149,$A331,'Session Tracker'!$F$5:$F$149,"Next week",'Session Tracker'!$G$5:$G$149,""),$D331*SUMIFS('Session Tracker'!$J$5:$J$149,'Session Tracker'!$D$5:$D$149,$A331,'Session Tracker'!$F$5:$F$149,"Next week",'Session Tracker'!$G$5:$G$149,""))</f>
        <v>0</v>
      </c>
    </row>
    <row r="332" customFormat="false" ht="15" hidden="false" customHeight="false" outlineLevel="0" collapsed="false">
      <c r="A332" s="51" t="s">
        <v>142</v>
      </c>
      <c r="B332" s="34" t="s">
        <v>369</v>
      </c>
      <c r="C332" s="34" t="s">
        <v>370</v>
      </c>
      <c r="D332" s="32" t="n">
        <v>1</v>
      </c>
      <c r="E332" s="32" t="s">
        <v>14</v>
      </c>
      <c r="F332" s="32" t="s">
        <v>368</v>
      </c>
      <c r="G332" s="34" t="s">
        <v>499</v>
      </c>
      <c r="H332" s="52" t="n">
        <f aca="false">IF($E332="Per class",$D332*COUNTIFS('Session Tracker'!$D$5:$D$149,$A332,'Session Tracker'!$F$5:$F$149,"Next week",'Session Tracker'!$G$5:$G$149,"Mon"),$D332*SUMIFS('Session Tracker'!$J$5:$J$149,'Session Tracker'!$D$5:$D$149,$A332,'Session Tracker'!$F$5:$F$149,"Next week",'Session Tracker'!$G$5:$G$149,"Mon"))</f>
        <v>0</v>
      </c>
      <c r="I332" s="52" t="n">
        <f aca="false">IF($E332="Per class",$D332*COUNTIFS('Session Tracker'!$D$5:$D$149,$A332,'Session Tracker'!$F$5:$F$149,"Next week",'Session Tracker'!$G$5:$G$149,"Tue"),$D332*SUMIFS('Session Tracker'!$J$5:$J$149,'Session Tracker'!$D$5:$D$149,$A332,'Session Tracker'!$F$5:$F$149,"Next week",'Session Tracker'!$G$5:$G$149,"Tue"))</f>
        <v>0</v>
      </c>
      <c r="J332" s="52" t="n">
        <f aca="false">IF($E332="Per class",$D332*COUNTIFS('Session Tracker'!$D$5:$D$149,$A332,'Session Tracker'!$F$5:$F$149,"Next week",'Session Tracker'!$G$5:$G$149,"Wed"),$D332*SUMIFS('Session Tracker'!$J$5:$J$149,'Session Tracker'!$D$5:$D$149,$A332,'Session Tracker'!$F$5:$F$149,"Next week",'Session Tracker'!$G$5:$G$149,"Wed"))</f>
        <v>0</v>
      </c>
      <c r="K332" s="52" t="n">
        <f aca="false">IF($E332="Per class",$D332*COUNTIFS('Session Tracker'!$D$5:$D$149,$A332,'Session Tracker'!$F$5:$F$149,"Next week",'Session Tracker'!$G$5:$G$149,"Thu"),$D332*SUMIFS('Session Tracker'!$J$5:$J$149,'Session Tracker'!$D$5:$D$149,$A332,'Session Tracker'!$F$5:$F$149,"Next week",'Session Tracker'!$G$5:$G$149,"Thu"))</f>
        <v>0</v>
      </c>
      <c r="L332" s="52" t="n">
        <f aca="false">IF($E332="Per class",$D332*COUNTIFS('Session Tracker'!$D$5:$D$149,$A332,'Session Tracker'!$F$5:$F$149,"Next week",'Session Tracker'!$G$5:$G$149,"Fri"),$D332*SUMIFS('Session Tracker'!$J$5:$J$149,'Session Tracker'!$D$5:$D$149,$A332,'Session Tracker'!$F$5:$F$149,"Next week",'Session Tracker'!$G$5:$G$149,"Fri"))</f>
        <v>0</v>
      </c>
      <c r="M332" s="52" t="n">
        <f aca="false">IF($E332="Per class",$D332*COUNTIFS('Session Tracker'!$D$5:$D$149,$A332,'Session Tracker'!$F$5:$F$149,"Next week",'Session Tracker'!$G$5:$G$149,""),$D332*SUMIFS('Session Tracker'!$J$5:$J$149,'Session Tracker'!$D$5:$D$149,$A332,'Session Tracker'!$F$5:$F$149,"Next week",'Session Tracker'!$G$5:$G$149,""))</f>
        <v>0</v>
      </c>
    </row>
    <row r="333" customFormat="false" ht="15" hidden="false" customHeight="false" outlineLevel="0" collapsed="false">
      <c r="A333" s="51" t="s">
        <v>142</v>
      </c>
      <c r="B333" s="34" t="s">
        <v>382</v>
      </c>
      <c r="C333" s="34" t="s">
        <v>383</v>
      </c>
      <c r="D333" s="32" t="n">
        <v>1</v>
      </c>
      <c r="E333" s="32" t="s">
        <v>14</v>
      </c>
      <c r="F333" s="32" t="s">
        <v>368</v>
      </c>
      <c r="G333" s="34"/>
      <c r="H333" s="52" t="n">
        <f aca="false">IF($E333="Per class",$D333*COUNTIFS('Session Tracker'!$D$5:$D$149,$A333,'Session Tracker'!$F$5:$F$149,"Next week",'Session Tracker'!$G$5:$G$149,"Mon"),$D333*SUMIFS('Session Tracker'!$J$5:$J$149,'Session Tracker'!$D$5:$D$149,$A333,'Session Tracker'!$F$5:$F$149,"Next week",'Session Tracker'!$G$5:$G$149,"Mon"))</f>
        <v>0</v>
      </c>
      <c r="I333" s="52" t="n">
        <f aca="false">IF($E333="Per class",$D333*COUNTIFS('Session Tracker'!$D$5:$D$149,$A333,'Session Tracker'!$F$5:$F$149,"Next week",'Session Tracker'!$G$5:$G$149,"Tue"),$D333*SUMIFS('Session Tracker'!$J$5:$J$149,'Session Tracker'!$D$5:$D$149,$A333,'Session Tracker'!$F$5:$F$149,"Next week",'Session Tracker'!$G$5:$G$149,"Tue"))</f>
        <v>0</v>
      </c>
      <c r="J333" s="52" t="n">
        <f aca="false">IF($E333="Per class",$D333*COUNTIFS('Session Tracker'!$D$5:$D$149,$A333,'Session Tracker'!$F$5:$F$149,"Next week",'Session Tracker'!$G$5:$G$149,"Wed"),$D333*SUMIFS('Session Tracker'!$J$5:$J$149,'Session Tracker'!$D$5:$D$149,$A333,'Session Tracker'!$F$5:$F$149,"Next week",'Session Tracker'!$G$5:$G$149,"Wed"))</f>
        <v>0</v>
      </c>
      <c r="K333" s="52" t="n">
        <f aca="false">IF($E333="Per class",$D333*COUNTIFS('Session Tracker'!$D$5:$D$149,$A333,'Session Tracker'!$F$5:$F$149,"Next week",'Session Tracker'!$G$5:$G$149,"Thu"),$D333*SUMIFS('Session Tracker'!$J$5:$J$149,'Session Tracker'!$D$5:$D$149,$A333,'Session Tracker'!$F$5:$F$149,"Next week",'Session Tracker'!$G$5:$G$149,"Thu"))</f>
        <v>0</v>
      </c>
      <c r="L333" s="52" t="n">
        <f aca="false">IF($E333="Per class",$D333*COUNTIFS('Session Tracker'!$D$5:$D$149,$A333,'Session Tracker'!$F$5:$F$149,"Next week",'Session Tracker'!$G$5:$G$149,"Fri"),$D333*SUMIFS('Session Tracker'!$J$5:$J$149,'Session Tracker'!$D$5:$D$149,$A333,'Session Tracker'!$F$5:$F$149,"Next week",'Session Tracker'!$G$5:$G$149,"Fri"))</f>
        <v>0</v>
      </c>
      <c r="M333" s="52" t="n">
        <f aca="false">IF($E333="Per class",$D333*COUNTIFS('Session Tracker'!$D$5:$D$149,$A333,'Session Tracker'!$F$5:$F$149,"Next week",'Session Tracker'!$G$5:$G$149,""),$D333*SUMIFS('Session Tracker'!$J$5:$J$149,'Session Tracker'!$D$5:$D$149,$A333,'Session Tracker'!$F$5:$F$149,"Next week",'Session Tracker'!$G$5:$G$149,""))</f>
        <v>0</v>
      </c>
    </row>
    <row r="334" customFormat="false" ht="15" hidden="false" customHeight="false" outlineLevel="0" collapsed="false">
      <c r="A334" s="51" t="s">
        <v>142</v>
      </c>
      <c r="B334" s="34" t="s">
        <v>411</v>
      </c>
      <c r="C334" s="34" t="s">
        <v>412</v>
      </c>
      <c r="D334" s="32" t="n">
        <v>1</v>
      </c>
      <c r="E334" s="32" t="s">
        <v>14</v>
      </c>
      <c r="F334" s="32" t="s">
        <v>373</v>
      </c>
      <c r="G334" s="34" t="s">
        <v>500</v>
      </c>
      <c r="H334" s="52" t="n">
        <f aca="false">IF($E334="Per class",$D334*COUNTIFS('Session Tracker'!$D$5:$D$149,$A334,'Session Tracker'!$F$5:$F$149,"Next week",'Session Tracker'!$G$5:$G$149,"Mon"),$D334*SUMIFS('Session Tracker'!$J$5:$J$149,'Session Tracker'!$D$5:$D$149,$A334,'Session Tracker'!$F$5:$F$149,"Next week",'Session Tracker'!$G$5:$G$149,"Mon"))</f>
        <v>0</v>
      </c>
      <c r="I334" s="52" t="n">
        <f aca="false">IF($E334="Per class",$D334*COUNTIFS('Session Tracker'!$D$5:$D$149,$A334,'Session Tracker'!$F$5:$F$149,"Next week",'Session Tracker'!$G$5:$G$149,"Tue"),$D334*SUMIFS('Session Tracker'!$J$5:$J$149,'Session Tracker'!$D$5:$D$149,$A334,'Session Tracker'!$F$5:$F$149,"Next week",'Session Tracker'!$G$5:$G$149,"Tue"))</f>
        <v>0</v>
      </c>
      <c r="J334" s="52" t="n">
        <f aca="false">IF($E334="Per class",$D334*COUNTIFS('Session Tracker'!$D$5:$D$149,$A334,'Session Tracker'!$F$5:$F$149,"Next week",'Session Tracker'!$G$5:$G$149,"Wed"),$D334*SUMIFS('Session Tracker'!$J$5:$J$149,'Session Tracker'!$D$5:$D$149,$A334,'Session Tracker'!$F$5:$F$149,"Next week",'Session Tracker'!$G$5:$G$149,"Wed"))</f>
        <v>0</v>
      </c>
      <c r="K334" s="52" t="n">
        <f aca="false">IF($E334="Per class",$D334*COUNTIFS('Session Tracker'!$D$5:$D$149,$A334,'Session Tracker'!$F$5:$F$149,"Next week",'Session Tracker'!$G$5:$G$149,"Thu"),$D334*SUMIFS('Session Tracker'!$J$5:$J$149,'Session Tracker'!$D$5:$D$149,$A334,'Session Tracker'!$F$5:$F$149,"Next week",'Session Tracker'!$G$5:$G$149,"Thu"))</f>
        <v>0</v>
      </c>
      <c r="L334" s="52" t="n">
        <f aca="false">IF($E334="Per class",$D334*COUNTIFS('Session Tracker'!$D$5:$D$149,$A334,'Session Tracker'!$F$5:$F$149,"Next week",'Session Tracker'!$G$5:$G$149,"Fri"),$D334*SUMIFS('Session Tracker'!$J$5:$J$149,'Session Tracker'!$D$5:$D$149,$A334,'Session Tracker'!$F$5:$F$149,"Next week",'Session Tracker'!$G$5:$G$149,"Fri"))</f>
        <v>0</v>
      </c>
      <c r="M334" s="52" t="n">
        <f aca="false">IF($E334="Per class",$D334*COUNTIFS('Session Tracker'!$D$5:$D$149,$A334,'Session Tracker'!$F$5:$F$149,"Next week",'Session Tracker'!$G$5:$G$149,""),$D334*SUMIFS('Session Tracker'!$J$5:$J$149,'Session Tracker'!$D$5:$D$149,$A334,'Session Tracker'!$F$5:$F$149,"Next week",'Session Tracker'!$G$5:$G$149,""))</f>
        <v>0</v>
      </c>
    </row>
    <row r="335" customFormat="false" ht="15" hidden="false" customHeight="false" outlineLevel="0" collapsed="false">
      <c r="A335" s="53" t="s">
        <v>142</v>
      </c>
      <c r="B335" s="54"/>
      <c r="C335" s="54"/>
      <c r="D335" s="54"/>
      <c r="E335" s="54"/>
      <c r="F335" s="54"/>
      <c r="G335" s="54"/>
      <c r="H335" s="52" t="n">
        <f aca="false">IF($E335="Per class",$D335*COUNTIFS('Session Tracker'!$D$5:$D$149,$A335,'Session Tracker'!$F$5:$F$149,"Next week",'Session Tracker'!$G$5:$G$149,"Mon"),$D335*SUMIFS('Session Tracker'!$J$5:$J$149,'Session Tracker'!$D$5:$D$149,$A335,'Session Tracker'!$F$5:$F$149,"Next week",'Session Tracker'!$G$5:$G$149,"Mon"))</f>
        <v>0</v>
      </c>
      <c r="I335" s="52" t="n">
        <f aca="false">IF($E335="Per class",$D335*COUNTIFS('Session Tracker'!$D$5:$D$149,$A335,'Session Tracker'!$F$5:$F$149,"Next week",'Session Tracker'!$G$5:$G$149,"Tue"),$D335*SUMIFS('Session Tracker'!$J$5:$J$149,'Session Tracker'!$D$5:$D$149,$A335,'Session Tracker'!$F$5:$F$149,"Next week",'Session Tracker'!$G$5:$G$149,"Tue"))</f>
        <v>0</v>
      </c>
      <c r="J335" s="52" t="n">
        <f aca="false">IF($E335="Per class",$D335*COUNTIFS('Session Tracker'!$D$5:$D$149,$A335,'Session Tracker'!$F$5:$F$149,"Next week",'Session Tracker'!$G$5:$G$149,"Wed"),$D335*SUMIFS('Session Tracker'!$J$5:$J$149,'Session Tracker'!$D$5:$D$149,$A335,'Session Tracker'!$F$5:$F$149,"Next week",'Session Tracker'!$G$5:$G$149,"Wed"))</f>
        <v>0</v>
      </c>
      <c r="K335" s="52" t="n">
        <f aca="false">IF($E335="Per class",$D335*COUNTIFS('Session Tracker'!$D$5:$D$149,$A335,'Session Tracker'!$F$5:$F$149,"Next week",'Session Tracker'!$G$5:$G$149,"Thu"),$D335*SUMIFS('Session Tracker'!$J$5:$J$149,'Session Tracker'!$D$5:$D$149,$A335,'Session Tracker'!$F$5:$F$149,"Next week",'Session Tracker'!$G$5:$G$149,"Thu"))</f>
        <v>0</v>
      </c>
      <c r="L335" s="52" t="n">
        <f aca="false">IF($E335="Per class",$D335*COUNTIFS('Session Tracker'!$D$5:$D$149,$A335,'Session Tracker'!$F$5:$F$149,"Next week",'Session Tracker'!$G$5:$G$149,"Fri"),$D335*SUMIFS('Session Tracker'!$J$5:$J$149,'Session Tracker'!$D$5:$D$149,$A335,'Session Tracker'!$F$5:$F$149,"Next week",'Session Tracker'!$G$5:$G$149,"Fri"))</f>
        <v>0</v>
      </c>
      <c r="M335" s="52" t="n">
        <f aca="false">IF($E335="Per class",$D335*COUNTIFS('Session Tracker'!$D$5:$D$149,$A335,'Session Tracker'!$F$5:$F$149,"Next week",'Session Tracker'!$G$5:$G$149,""),$D335*SUMIFS('Session Tracker'!$J$5:$J$149,'Session Tracker'!$D$5:$D$149,$A335,'Session Tracker'!$F$5:$F$149,"Next week",'Session Tracker'!$G$5:$G$149,""))</f>
        <v>0</v>
      </c>
    </row>
    <row r="336" customFormat="false" ht="15" hidden="false" customHeight="false" outlineLevel="0" collapsed="false">
      <c r="A336" s="53" t="s">
        <v>142</v>
      </c>
      <c r="B336" s="54"/>
      <c r="C336" s="54"/>
      <c r="D336" s="54"/>
      <c r="E336" s="54"/>
      <c r="F336" s="54"/>
      <c r="G336" s="54"/>
      <c r="H336" s="52" t="n">
        <f aca="false">IF($E336="Per class",$D336*COUNTIFS('Session Tracker'!$D$5:$D$149,$A336,'Session Tracker'!$F$5:$F$149,"Next week",'Session Tracker'!$G$5:$G$149,"Mon"),$D336*SUMIFS('Session Tracker'!$J$5:$J$149,'Session Tracker'!$D$5:$D$149,$A336,'Session Tracker'!$F$5:$F$149,"Next week",'Session Tracker'!$G$5:$G$149,"Mon"))</f>
        <v>0</v>
      </c>
      <c r="I336" s="52" t="n">
        <f aca="false">IF($E336="Per class",$D336*COUNTIFS('Session Tracker'!$D$5:$D$149,$A336,'Session Tracker'!$F$5:$F$149,"Next week",'Session Tracker'!$G$5:$G$149,"Tue"),$D336*SUMIFS('Session Tracker'!$J$5:$J$149,'Session Tracker'!$D$5:$D$149,$A336,'Session Tracker'!$F$5:$F$149,"Next week",'Session Tracker'!$G$5:$G$149,"Tue"))</f>
        <v>0</v>
      </c>
      <c r="J336" s="52" t="n">
        <f aca="false">IF($E336="Per class",$D336*COUNTIFS('Session Tracker'!$D$5:$D$149,$A336,'Session Tracker'!$F$5:$F$149,"Next week",'Session Tracker'!$G$5:$G$149,"Wed"),$D336*SUMIFS('Session Tracker'!$J$5:$J$149,'Session Tracker'!$D$5:$D$149,$A336,'Session Tracker'!$F$5:$F$149,"Next week",'Session Tracker'!$G$5:$G$149,"Wed"))</f>
        <v>0</v>
      </c>
      <c r="K336" s="52" t="n">
        <f aca="false">IF($E336="Per class",$D336*COUNTIFS('Session Tracker'!$D$5:$D$149,$A336,'Session Tracker'!$F$5:$F$149,"Next week",'Session Tracker'!$G$5:$G$149,"Thu"),$D336*SUMIFS('Session Tracker'!$J$5:$J$149,'Session Tracker'!$D$5:$D$149,$A336,'Session Tracker'!$F$5:$F$149,"Next week",'Session Tracker'!$G$5:$G$149,"Thu"))</f>
        <v>0</v>
      </c>
      <c r="L336" s="52" t="n">
        <f aca="false">IF($E336="Per class",$D336*COUNTIFS('Session Tracker'!$D$5:$D$149,$A336,'Session Tracker'!$F$5:$F$149,"Next week",'Session Tracker'!$G$5:$G$149,"Fri"),$D336*SUMIFS('Session Tracker'!$J$5:$J$149,'Session Tracker'!$D$5:$D$149,$A336,'Session Tracker'!$F$5:$F$149,"Next week",'Session Tracker'!$G$5:$G$149,"Fri"))</f>
        <v>0</v>
      </c>
      <c r="M336" s="52" t="n">
        <f aca="false">IF($E336="Per class",$D336*COUNTIFS('Session Tracker'!$D$5:$D$149,$A336,'Session Tracker'!$F$5:$F$149,"Next week",'Session Tracker'!$G$5:$G$149,""),$D336*SUMIFS('Session Tracker'!$J$5:$J$149,'Session Tracker'!$D$5:$D$149,$A336,'Session Tracker'!$F$5:$F$149,"Next week",'Session Tracker'!$G$5:$G$149,""))</f>
        <v>0</v>
      </c>
    </row>
    <row r="338" customFormat="false" ht="19.5" hidden="false" customHeight="true" outlineLevel="0" collapsed="false">
      <c r="A338" s="47" t="s">
        <v>144</v>
      </c>
      <c r="B338" s="48" t="s">
        <v>501</v>
      </c>
      <c r="C338" s="48"/>
      <c r="D338" s="48"/>
      <c r="E338" s="48"/>
      <c r="F338" s="49" t="str">
        <f aca="false">"Status: "&amp;'Session Tracker'!F39&amp;IF('Session Tracker'!G39&lt;&gt;""," ("&amp;'Session Tracker'!G39&amp;")","")</f>
        <v>Status: Not started</v>
      </c>
      <c r="G338" s="49"/>
      <c r="H338" s="50"/>
      <c r="I338" s="50"/>
      <c r="J338" s="50"/>
      <c r="K338" s="50"/>
      <c r="L338" s="50"/>
      <c r="M338" s="50"/>
    </row>
    <row r="339" customFormat="false" ht="15" hidden="false" customHeight="false" outlineLevel="0" collapsed="false">
      <c r="A339" s="51" t="s">
        <v>144</v>
      </c>
      <c r="B339" s="34" t="s">
        <v>411</v>
      </c>
      <c r="C339" s="34" t="s">
        <v>440</v>
      </c>
      <c r="D339" s="32" t="n">
        <v>1</v>
      </c>
      <c r="E339" s="32" t="s">
        <v>14</v>
      </c>
      <c r="F339" s="32" t="s">
        <v>373</v>
      </c>
      <c r="G339" s="34"/>
      <c r="H339" s="52" t="n">
        <f aca="false">IF($E339="Per class",$D339*COUNTIFS('Session Tracker'!$D$5:$D$149,$A339,'Session Tracker'!$F$5:$F$149,"Next week",'Session Tracker'!$G$5:$G$149,"Mon"),$D339*SUMIFS('Session Tracker'!$J$5:$J$149,'Session Tracker'!$D$5:$D$149,$A339,'Session Tracker'!$F$5:$F$149,"Next week",'Session Tracker'!$G$5:$G$149,"Mon"))</f>
        <v>0</v>
      </c>
      <c r="I339" s="52" t="n">
        <f aca="false">IF($E339="Per class",$D339*COUNTIFS('Session Tracker'!$D$5:$D$149,$A339,'Session Tracker'!$F$5:$F$149,"Next week",'Session Tracker'!$G$5:$G$149,"Tue"),$D339*SUMIFS('Session Tracker'!$J$5:$J$149,'Session Tracker'!$D$5:$D$149,$A339,'Session Tracker'!$F$5:$F$149,"Next week",'Session Tracker'!$G$5:$G$149,"Tue"))</f>
        <v>0</v>
      </c>
      <c r="J339" s="52" t="n">
        <f aca="false">IF($E339="Per class",$D339*COUNTIFS('Session Tracker'!$D$5:$D$149,$A339,'Session Tracker'!$F$5:$F$149,"Next week",'Session Tracker'!$G$5:$G$149,"Wed"),$D339*SUMIFS('Session Tracker'!$J$5:$J$149,'Session Tracker'!$D$5:$D$149,$A339,'Session Tracker'!$F$5:$F$149,"Next week",'Session Tracker'!$G$5:$G$149,"Wed"))</f>
        <v>0</v>
      </c>
      <c r="K339" s="52" t="n">
        <f aca="false">IF($E339="Per class",$D339*COUNTIFS('Session Tracker'!$D$5:$D$149,$A339,'Session Tracker'!$F$5:$F$149,"Next week",'Session Tracker'!$G$5:$G$149,"Thu"),$D339*SUMIFS('Session Tracker'!$J$5:$J$149,'Session Tracker'!$D$5:$D$149,$A339,'Session Tracker'!$F$5:$F$149,"Next week",'Session Tracker'!$G$5:$G$149,"Thu"))</f>
        <v>0</v>
      </c>
      <c r="L339" s="52" t="n">
        <f aca="false">IF($E339="Per class",$D339*COUNTIFS('Session Tracker'!$D$5:$D$149,$A339,'Session Tracker'!$F$5:$F$149,"Next week",'Session Tracker'!$G$5:$G$149,"Fri"),$D339*SUMIFS('Session Tracker'!$J$5:$J$149,'Session Tracker'!$D$5:$D$149,$A339,'Session Tracker'!$F$5:$F$149,"Next week",'Session Tracker'!$G$5:$G$149,"Fri"))</f>
        <v>0</v>
      </c>
      <c r="M339" s="52" t="n">
        <f aca="false">IF($E339="Per class",$D339*COUNTIFS('Session Tracker'!$D$5:$D$149,$A339,'Session Tracker'!$F$5:$F$149,"Next week",'Session Tracker'!$G$5:$G$149,""),$D339*SUMIFS('Session Tracker'!$J$5:$J$149,'Session Tracker'!$D$5:$D$149,$A339,'Session Tracker'!$F$5:$F$149,"Next week",'Session Tracker'!$G$5:$G$149,""))</f>
        <v>0</v>
      </c>
    </row>
    <row r="340" customFormat="false" ht="15" hidden="false" customHeight="false" outlineLevel="0" collapsed="false">
      <c r="A340" s="51" t="s">
        <v>144</v>
      </c>
      <c r="B340" s="34" t="s">
        <v>411</v>
      </c>
      <c r="C340" s="34" t="s">
        <v>413</v>
      </c>
      <c r="D340" s="32" t="n">
        <v>1</v>
      </c>
      <c r="E340" s="32" t="s">
        <v>14</v>
      </c>
      <c r="F340" s="32" t="s">
        <v>373</v>
      </c>
      <c r="G340" s="34"/>
      <c r="H340" s="52" t="n">
        <f aca="false">IF($E340="Per class",$D340*COUNTIFS('Session Tracker'!$D$5:$D$149,$A340,'Session Tracker'!$F$5:$F$149,"Next week",'Session Tracker'!$G$5:$G$149,"Mon"),$D340*SUMIFS('Session Tracker'!$J$5:$J$149,'Session Tracker'!$D$5:$D$149,$A340,'Session Tracker'!$F$5:$F$149,"Next week",'Session Tracker'!$G$5:$G$149,"Mon"))</f>
        <v>0</v>
      </c>
      <c r="I340" s="52" t="n">
        <f aca="false">IF($E340="Per class",$D340*COUNTIFS('Session Tracker'!$D$5:$D$149,$A340,'Session Tracker'!$F$5:$F$149,"Next week",'Session Tracker'!$G$5:$G$149,"Tue"),$D340*SUMIFS('Session Tracker'!$J$5:$J$149,'Session Tracker'!$D$5:$D$149,$A340,'Session Tracker'!$F$5:$F$149,"Next week",'Session Tracker'!$G$5:$G$149,"Tue"))</f>
        <v>0</v>
      </c>
      <c r="J340" s="52" t="n">
        <f aca="false">IF($E340="Per class",$D340*COUNTIFS('Session Tracker'!$D$5:$D$149,$A340,'Session Tracker'!$F$5:$F$149,"Next week",'Session Tracker'!$G$5:$G$149,"Wed"),$D340*SUMIFS('Session Tracker'!$J$5:$J$149,'Session Tracker'!$D$5:$D$149,$A340,'Session Tracker'!$F$5:$F$149,"Next week",'Session Tracker'!$G$5:$G$149,"Wed"))</f>
        <v>0</v>
      </c>
      <c r="K340" s="52" t="n">
        <f aca="false">IF($E340="Per class",$D340*COUNTIFS('Session Tracker'!$D$5:$D$149,$A340,'Session Tracker'!$F$5:$F$149,"Next week",'Session Tracker'!$G$5:$G$149,"Thu"),$D340*SUMIFS('Session Tracker'!$J$5:$J$149,'Session Tracker'!$D$5:$D$149,$A340,'Session Tracker'!$F$5:$F$149,"Next week",'Session Tracker'!$G$5:$G$149,"Thu"))</f>
        <v>0</v>
      </c>
      <c r="L340" s="52" t="n">
        <f aca="false">IF($E340="Per class",$D340*COUNTIFS('Session Tracker'!$D$5:$D$149,$A340,'Session Tracker'!$F$5:$F$149,"Next week",'Session Tracker'!$G$5:$G$149,"Fri"),$D340*SUMIFS('Session Tracker'!$J$5:$J$149,'Session Tracker'!$D$5:$D$149,$A340,'Session Tracker'!$F$5:$F$149,"Next week",'Session Tracker'!$G$5:$G$149,"Fri"))</f>
        <v>0</v>
      </c>
      <c r="M340" s="52" t="n">
        <f aca="false">IF($E340="Per class",$D340*COUNTIFS('Session Tracker'!$D$5:$D$149,$A340,'Session Tracker'!$F$5:$F$149,"Next week",'Session Tracker'!$G$5:$G$149,""),$D340*SUMIFS('Session Tracker'!$J$5:$J$149,'Session Tracker'!$D$5:$D$149,$A340,'Session Tracker'!$F$5:$F$149,"Next week",'Session Tracker'!$G$5:$G$149,""))</f>
        <v>0</v>
      </c>
    </row>
    <row r="341" customFormat="false" ht="15" hidden="false" customHeight="false" outlineLevel="0" collapsed="false">
      <c r="A341" s="51" t="s">
        <v>144</v>
      </c>
      <c r="B341" s="34" t="s">
        <v>411</v>
      </c>
      <c r="C341" s="34" t="s">
        <v>450</v>
      </c>
      <c r="D341" s="32" t="n">
        <v>1</v>
      </c>
      <c r="E341" s="32" t="s">
        <v>14</v>
      </c>
      <c r="F341" s="32" t="s">
        <v>373</v>
      </c>
      <c r="G341" s="34"/>
      <c r="H341" s="52" t="n">
        <f aca="false">IF($E341="Per class",$D341*COUNTIFS('Session Tracker'!$D$5:$D$149,$A341,'Session Tracker'!$F$5:$F$149,"Next week",'Session Tracker'!$G$5:$G$149,"Mon"),$D341*SUMIFS('Session Tracker'!$J$5:$J$149,'Session Tracker'!$D$5:$D$149,$A341,'Session Tracker'!$F$5:$F$149,"Next week",'Session Tracker'!$G$5:$G$149,"Mon"))</f>
        <v>0</v>
      </c>
      <c r="I341" s="52" t="n">
        <f aca="false">IF($E341="Per class",$D341*COUNTIFS('Session Tracker'!$D$5:$D$149,$A341,'Session Tracker'!$F$5:$F$149,"Next week",'Session Tracker'!$G$5:$G$149,"Tue"),$D341*SUMIFS('Session Tracker'!$J$5:$J$149,'Session Tracker'!$D$5:$D$149,$A341,'Session Tracker'!$F$5:$F$149,"Next week",'Session Tracker'!$G$5:$G$149,"Tue"))</f>
        <v>0</v>
      </c>
      <c r="J341" s="52" t="n">
        <f aca="false">IF($E341="Per class",$D341*COUNTIFS('Session Tracker'!$D$5:$D$149,$A341,'Session Tracker'!$F$5:$F$149,"Next week",'Session Tracker'!$G$5:$G$149,"Wed"),$D341*SUMIFS('Session Tracker'!$J$5:$J$149,'Session Tracker'!$D$5:$D$149,$A341,'Session Tracker'!$F$5:$F$149,"Next week",'Session Tracker'!$G$5:$G$149,"Wed"))</f>
        <v>0</v>
      </c>
      <c r="K341" s="52" t="n">
        <f aca="false">IF($E341="Per class",$D341*COUNTIFS('Session Tracker'!$D$5:$D$149,$A341,'Session Tracker'!$F$5:$F$149,"Next week",'Session Tracker'!$G$5:$G$149,"Thu"),$D341*SUMIFS('Session Tracker'!$J$5:$J$149,'Session Tracker'!$D$5:$D$149,$A341,'Session Tracker'!$F$5:$F$149,"Next week",'Session Tracker'!$G$5:$G$149,"Thu"))</f>
        <v>0</v>
      </c>
      <c r="L341" s="52" t="n">
        <f aca="false">IF($E341="Per class",$D341*COUNTIFS('Session Tracker'!$D$5:$D$149,$A341,'Session Tracker'!$F$5:$F$149,"Next week",'Session Tracker'!$G$5:$G$149,"Fri"),$D341*SUMIFS('Session Tracker'!$J$5:$J$149,'Session Tracker'!$D$5:$D$149,$A341,'Session Tracker'!$F$5:$F$149,"Next week",'Session Tracker'!$G$5:$G$149,"Fri"))</f>
        <v>0</v>
      </c>
      <c r="M341" s="52" t="n">
        <f aca="false">IF($E341="Per class",$D341*COUNTIFS('Session Tracker'!$D$5:$D$149,$A341,'Session Tracker'!$F$5:$F$149,"Next week",'Session Tracker'!$G$5:$G$149,""),$D341*SUMIFS('Session Tracker'!$J$5:$J$149,'Session Tracker'!$D$5:$D$149,$A341,'Session Tracker'!$F$5:$F$149,"Next week",'Session Tracker'!$G$5:$G$149,""))</f>
        <v>0</v>
      </c>
    </row>
    <row r="342" customFormat="false" ht="15" hidden="false" customHeight="false" outlineLevel="0" collapsed="false">
      <c r="A342" s="51" t="s">
        <v>144</v>
      </c>
      <c r="B342" s="34" t="s">
        <v>411</v>
      </c>
      <c r="C342" s="34" t="s">
        <v>414</v>
      </c>
      <c r="D342" s="32" t="n">
        <v>1</v>
      </c>
      <c r="E342" s="32" t="s">
        <v>16</v>
      </c>
      <c r="F342" s="32" t="s">
        <v>373</v>
      </c>
      <c r="G342" s="34"/>
      <c r="H342" s="52" t="n">
        <f aca="false">IF($E342="Per class",$D342*COUNTIFS('Session Tracker'!$D$5:$D$149,$A342,'Session Tracker'!$F$5:$F$149,"Next week",'Session Tracker'!$G$5:$G$149,"Mon"),$D342*SUMIFS('Session Tracker'!$J$5:$J$149,'Session Tracker'!$D$5:$D$149,$A342,'Session Tracker'!$F$5:$F$149,"Next week",'Session Tracker'!$G$5:$G$149,"Mon"))</f>
        <v>0</v>
      </c>
      <c r="I342" s="52" t="n">
        <f aca="false">IF($E342="Per class",$D342*COUNTIFS('Session Tracker'!$D$5:$D$149,$A342,'Session Tracker'!$F$5:$F$149,"Next week",'Session Tracker'!$G$5:$G$149,"Tue"),$D342*SUMIFS('Session Tracker'!$J$5:$J$149,'Session Tracker'!$D$5:$D$149,$A342,'Session Tracker'!$F$5:$F$149,"Next week",'Session Tracker'!$G$5:$G$149,"Tue"))</f>
        <v>0</v>
      </c>
      <c r="J342" s="52" t="n">
        <f aca="false">IF($E342="Per class",$D342*COUNTIFS('Session Tracker'!$D$5:$D$149,$A342,'Session Tracker'!$F$5:$F$149,"Next week",'Session Tracker'!$G$5:$G$149,"Wed"),$D342*SUMIFS('Session Tracker'!$J$5:$J$149,'Session Tracker'!$D$5:$D$149,$A342,'Session Tracker'!$F$5:$F$149,"Next week",'Session Tracker'!$G$5:$G$149,"Wed"))</f>
        <v>0</v>
      </c>
      <c r="K342" s="52" t="n">
        <f aca="false">IF($E342="Per class",$D342*COUNTIFS('Session Tracker'!$D$5:$D$149,$A342,'Session Tracker'!$F$5:$F$149,"Next week",'Session Tracker'!$G$5:$G$149,"Thu"),$D342*SUMIFS('Session Tracker'!$J$5:$J$149,'Session Tracker'!$D$5:$D$149,$A342,'Session Tracker'!$F$5:$F$149,"Next week",'Session Tracker'!$G$5:$G$149,"Thu"))</f>
        <v>0</v>
      </c>
      <c r="L342" s="52" t="n">
        <f aca="false">IF($E342="Per class",$D342*COUNTIFS('Session Tracker'!$D$5:$D$149,$A342,'Session Tracker'!$F$5:$F$149,"Next week",'Session Tracker'!$G$5:$G$149,"Fri"),$D342*SUMIFS('Session Tracker'!$J$5:$J$149,'Session Tracker'!$D$5:$D$149,$A342,'Session Tracker'!$F$5:$F$149,"Next week",'Session Tracker'!$G$5:$G$149,"Fri"))</f>
        <v>0</v>
      </c>
      <c r="M342" s="52" t="n">
        <f aca="false">IF($E342="Per class",$D342*COUNTIFS('Session Tracker'!$D$5:$D$149,$A342,'Session Tracker'!$F$5:$F$149,"Next week",'Session Tracker'!$G$5:$G$149,""),$D342*SUMIFS('Session Tracker'!$J$5:$J$149,'Session Tracker'!$D$5:$D$149,$A342,'Session Tracker'!$F$5:$F$149,"Next week",'Session Tracker'!$G$5:$G$149,""))</f>
        <v>0</v>
      </c>
    </row>
    <row r="343" customFormat="false" ht="15" hidden="false" customHeight="false" outlineLevel="0" collapsed="false">
      <c r="A343" s="51" t="s">
        <v>144</v>
      </c>
      <c r="B343" s="34" t="s">
        <v>411</v>
      </c>
      <c r="C343" s="34" t="s">
        <v>441</v>
      </c>
      <c r="D343" s="32" t="n">
        <v>2</v>
      </c>
      <c r="E343" s="32" t="s">
        <v>14</v>
      </c>
      <c r="F343" s="32" t="s">
        <v>373</v>
      </c>
      <c r="G343" s="34"/>
      <c r="H343" s="52" t="n">
        <f aca="false">IF($E343="Per class",$D343*COUNTIFS('Session Tracker'!$D$5:$D$149,$A343,'Session Tracker'!$F$5:$F$149,"Next week",'Session Tracker'!$G$5:$G$149,"Mon"),$D343*SUMIFS('Session Tracker'!$J$5:$J$149,'Session Tracker'!$D$5:$D$149,$A343,'Session Tracker'!$F$5:$F$149,"Next week",'Session Tracker'!$G$5:$G$149,"Mon"))</f>
        <v>0</v>
      </c>
      <c r="I343" s="52" t="n">
        <f aca="false">IF($E343="Per class",$D343*COUNTIFS('Session Tracker'!$D$5:$D$149,$A343,'Session Tracker'!$F$5:$F$149,"Next week",'Session Tracker'!$G$5:$G$149,"Tue"),$D343*SUMIFS('Session Tracker'!$J$5:$J$149,'Session Tracker'!$D$5:$D$149,$A343,'Session Tracker'!$F$5:$F$149,"Next week",'Session Tracker'!$G$5:$G$149,"Tue"))</f>
        <v>0</v>
      </c>
      <c r="J343" s="52" t="n">
        <f aca="false">IF($E343="Per class",$D343*COUNTIFS('Session Tracker'!$D$5:$D$149,$A343,'Session Tracker'!$F$5:$F$149,"Next week",'Session Tracker'!$G$5:$G$149,"Wed"),$D343*SUMIFS('Session Tracker'!$J$5:$J$149,'Session Tracker'!$D$5:$D$149,$A343,'Session Tracker'!$F$5:$F$149,"Next week",'Session Tracker'!$G$5:$G$149,"Wed"))</f>
        <v>0</v>
      </c>
      <c r="K343" s="52" t="n">
        <f aca="false">IF($E343="Per class",$D343*COUNTIFS('Session Tracker'!$D$5:$D$149,$A343,'Session Tracker'!$F$5:$F$149,"Next week",'Session Tracker'!$G$5:$G$149,"Thu"),$D343*SUMIFS('Session Tracker'!$J$5:$J$149,'Session Tracker'!$D$5:$D$149,$A343,'Session Tracker'!$F$5:$F$149,"Next week",'Session Tracker'!$G$5:$G$149,"Thu"))</f>
        <v>0</v>
      </c>
      <c r="L343" s="52" t="n">
        <f aca="false">IF($E343="Per class",$D343*COUNTIFS('Session Tracker'!$D$5:$D$149,$A343,'Session Tracker'!$F$5:$F$149,"Next week",'Session Tracker'!$G$5:$G$149,"Fri"),$D343*SUMIFS('Session Tracker'!$J$5:$J$149,'Session Tracker'!$D$5:$D$149,$A343,'Session Tracker'!$F$5:$F$149,"Next week",'Session Tracker'!$G$5:$G$149,"Fri"))</f>
        <v>0</v>
      </c>
      <c r="M343" s="52" t="n">
        <f aca="false">IF($E343="Per class",$D343*COUNTIFS('Session Tracker'!$D$5:$D$149,$A343,'Session Tracker'!$F$5:$F$149,"Next week",'Session Tracker'!$G$5:$G$149,""),$D343*SUMIFS('Session Tracker'!$J$5:$J$149,'Session Tracker'!$D$5:$D$149,$A343,'Session Tracker'!$F$5:$F$149,"Next week",'Session Tracker'!$G$5:$G$149,""))</f>
        <v>0</v>
      </c>
    </row>
    <row r="344" customFormat="false" ht="15" hidden="false" customHeight="false" outlineLevel="0" collapsed="false">
      <c r="A344" s="53" t="s">
        <v>144</v>
      </c>
      <c r="B344" s="54"/>
      <c r="C344" s="54"/>
      <c r="D344" s="54"/>
      <c r="E344" s="54"/>
      <c r="F344" s="54"/>
      <c r="G344" s="54"/>
      <c r="H344" s="52" t="n">
        <f aca="false">IF($E344="Per class",$D344*COUNTIFS('Session Tracker'!$D$5:$D$149,$A344,'Session Tracker'!$F$5:$F$149,"Next week",'Session Tracker'!$G$5:$G$149,"Mon"),$D344*SUMIFS('Session Tracker'!$J$5:$J$149,'Session Tracker'!$D$5:$D$149,$A344,'Session Tracker'!$F$5:$F$149,"Next week",'Session Tracker'!$G$5:$G$149,"Mon"))</f>
        <v>0</v>
      </c>
      <c r="I344" s="52" t="n">
        <f aca="false">IF($E344="Per class",$D344*COUNTIFS('Session Tracker'!$D$5:$D$149,$A344,'Session Tracker'!$F$5:$F$149,"Next week",'Session Tracker'!$G$5:$G$149,"Tue"),$D344*SUMIFS('Session Tracker'!$J$5:$J$149,'Session Tracker'!$D$5:$D$149,$A344,'Session Tracker'!$F$5:$F$149,"Next week",'Session Tracker'!$G$5:$G$149,"Tue"))</f>
        <v>0</v>
      </c>
      <c r="J344" s="52" t="n">
        <f aca="false">IF($E344="Per class",$D344*COUNTIFS('Session Tracker'!$D$5:$D$149,$A344,'Session Tracker'!$F$5:$F$149,"Next week",'Session Tracker'!$G$5:$G$149,"Wed"),$D344*SUMIFS('Session Tracker'!$J$5:$J$149,'Session Tracker'!$D$5:$D$149,$A344,'Session Tracker'!$F$5:$F$149,"Next week",'Session Tracker'!$G$5:$G$149,"Wed"))</f>
        <v>0</v>
      </c>
      <c r="K344" s="52" t="n">
        <f aca="false">IF($E344="Per class",$D344*COUNTIFS('Session Tracker'!$D$5:$D$149,$A344,'Session Tracker'!$F$5:$F$149,"Next week",'Session Tracker'!$G$5:$G$149,"Thu"),$D344*SUMIFS('Session Tracker'!$J$5:$J$149,'Session Tracker'!$D$5:$D$149,$A344,'Session Tracker'!$F$5:$F$149,"Next week",'Session Tracker'!$G$5:$G$149,"Thu"))</f>
        <v>0</v>
      </c>
      <c r="L344" s="52" t="n">
        <f aca="false">IF($E344="Per class",$D344*COUNTIFS('Session Tracker'!$D$5:$D$149,$A344,'Session Tracker'!$F$5:$F$149,"Next week",'Session Tracker'!$G$5:$G$149,"Fri"),$D344*SUMIFS('Session Tracker'!$J$5:$J$149,'Session Tracker'!$D$5:$D$149,$A344,'Session Tracker'!$F$5:$F$149,"Next week",'Session Tracker'!$G$5:$G$149,"Fri"))</f>
        <v>0</v>
      </c>
      <c r="M344" s="52" t="n">
        <f aca="false">IF($E344="Per class",$D344*COUNTIFS('Session Tracker'!$D$5:$D$149,$A344,'Session Tracker'!$F$5:$F$149,"Next week",'Session Tracker'!$G$5:$G$149,""),$D344*SUMIFS('Session Tracker'!$J$5:$J$149,'Session Tracker'!$D$5:$D$149,$A344,'Session Tracker'!$F$5:$F$149,"Next week",'Session Tracker'!$G$5:$G$149,""))</f>
        <v>0</v>
      </c>
    </row>
    <row r="345" customFormat="false" ht="15" hidden="false" customHeight="false" outlineLevel="0" collapsed="false">
      <c r="A345" s="53" t="s">
        <v>144</v>
      </c>
      <c r="B345" s="54"/>
      <c r="C345" s="54"/>
      <c r="D345" s="54"/>
      <c r="E345" s="54"/>
      <c r="F345" s="54"/>
      <c r="G345" s="54"/>
      <c r="H345" s="52" t="n">
        <f aca="false">IF($E345="Per class",$D345*COUNTIFS('Session Tracker'!$D$5:$D$149,$A345,'Session Tracker'!$F$5:$F$149,"Next week",'Session Tracker'!$G$5:$G$149,"Mon"),$D345*SUMIFS('Session Tracker'!$J$5:$J$149,'Session Tracker'!$D$5:$D$149,$A345,'Session Tracker'!$F$5:$F$149,"Next week",'Session Tracker'!$G$5:$G$149,"Mon"))</f>
        <v>0</v>
      </c>
      <c r="I345" s="52" t="n">
        <f aca="false">IF($E345="Per class",$D345*COUNTIFS('Session Tracker'!$D$5:$D$149,$A345,'Session Tracker'!$F$5:$F$149,"Next week",'Session Tracker'!$G$5:$G$149,"Tue"),$D345*SUMIFS('Session Tracker'!$J$5:$J$149,'Session Tracker'!$D$5:$D$149,$A345,'Session Tracker'!$F$5:$F$149,"Next week",'Session Tracker'!$G$5:$G$149,"Tue"))</f>
        <v>0</v>
      </c>
      <c r="J345" s="52" t="n">
        <f aca="false">IF($E345="Per class",$D345*COUNTIFS('Session Tracker'!$D$5:$D$149,$A345,'Session Tracker'!$F$5:$F$149,"Next week",'Session Tracker'!$G$5:$G$149,"Wed"),$D345*SUMIFS('Session Tracker'!$J$5:$J$149,'Session Tracker'!$D$5:$D$149,$A345,'Session Tracker'!$F$5:$F$149,"Next week",'Session Tracker'!$G$5:$G$149,"Wed"))</f>
        <v>0</v>
      </c>
      <c r="K345" s="52" t="n">
        <f aca="false">IF($E345="Per class",$D345*COUNTIFS('Session Tracker'!$D$5:$D$149,$A345,'Session Tracker'!$F$5:$F$149,"Next week",'Session Tracker'!$G$5:$G$149,"Thu"),$D345*SUMIFS('Session Tracker'!$J$5:$J$149,'Session Tracker'!$D$5:$D$149,$A345,'Session Tracker'!$F$5:$F$149,"Next week",'Session Tracker'!$G$5:$G$149,"Thu"))</f>
        <v>0</v>
      </c>
      <c r="L345" s="52" t="n">
        <f aca="false">IF($E345="Per class",$D345*COUNTIFS('Session Tracker'!$D$5:$D$149,$A345,'Session Tracker'!$F$5:$F$149,"Next week",'Session Tracker'!$G$5:$G$149,"Fri"),$D345*SUMIFS('Session Tracker'!$J$5:$J$149,'Session Tracker'!$D$5:$D$149,$A345,'Session Tracker'!$F$5:$F$149,"Next week",'Session Tracker'!$G$5:$G$149,"Fri"))</f>
        <v>0</v>
      </c>
      <c r="M345" s="52" t="n">
        <f aca="false">IF($E345="Per class",$D345*COUNTIFS('Session Tracker'!$D$5:$D$149,$A345,'Session Tracker'!$F$5:$F$149,"Next week",'Session Tracker'!$G$5:$G$149,""),$D345*SUMIFS('Session Tracker'!$J$5:$J$149,'Session Tracker'!$D$5:$D$149,$A345,'Session Tracker'!$F$5:$F$149,"Next week",'Session Tracker'!$G$5:$G$149,""))</f>
        <v>0</v>
      </c>
    </row>
    <row r="347" customFormat="false" ht="19.5" hidden="false" customHeight="true" outlineLevel="0" collapsed="false">
      <c r="A347" s="47" t="s">
        <v>146</v>
      </c>
      <c r="B347" s="48" t="s">
        <v>502</v>
      </c>
      <c r="C347" s="48"/>
      <c r="D347" s="48"/>
      <c r="E347" s="48"/>
      <c r="F347" s="49" t="str">
        <f aca="false">"Status: "&amp;'Session Tracker'!F40&amp;IF('Session Tracker'!G40&lt;&gt;""," ("&amp;'Session Tracker'!G40&amp;")","")</f>
        <v>Status: Not started</v>
      </c>
      <c r="G347" s="49"/>
      <c r="H347" s="50"/>
      <c r="I347" s="50"/>
      <c r="J347" s="50"/>
      <c r="K347" s="50"/>
      <c r="L347" s="50"/>
      <c r="M347" s="50"/>
    </row>
    <row r="348" customFormat="false" ht="23.85" hidden="false" customHeight="false" outlineLevel="0" collapsed="false">
      <c r="A348" s="51" t="s">
        <v>146</v>
      </c>
      <c r="B348" s="34" t="s">
        <v>366</v>
      </c>
      <c r="C348" s="34" t="s">
        <v>367</v>
      </c>
      <c r="D348" s="32" t="n">
        <v>1</v>
      </c>
      <c r="E348" s="32" t="s">
        <v>14</v>
      </c>
      <c r="F348" s="32" t="s">
        <v>368</v>
      </c>
      <c r="G348" s="34" t="s">
        <v>416</v>
      </c>
      <c r="H348" s="52" t="n">
        <f aca="false">IF($E348="Per class",$D348*COUNTIFS('Session Tracker'!$D$5:$D$149,$A348,'Session Tracker'!$F$5:$F$149,"Next week",'Session Tracker'!$G$5:$G$149,"Mon"),$D348*SUMIFS('Session Tracker'!$J$5:$J$149,'Session Tracker'!$D$5:$D$149,$A348,'Session Tracker'!$F$5:$F$149,"Next week",'Session Tracker'!$G$5:$G$149,"Mon"))</f>
        <v>0</v>
      </c>
      <c r="I348" s="52" t="n">
        <f aca="false">IF($E348="Per class",$D348*COUNTIFS('Session Tracker'!$D$5:$D$149,$A348,'Session Tracker'!$F$5:$F$149,"Next week",'Session Tracker'!$G$5:$G$149,"Tue"),$D348*SUMIFS('Session Tracker'!$J$5:$J$149,'Session Tracker'!$D$5:$D$149,$A348,'Session Tracker'!$F$5:$F$149,"Next week",'Session Tracker'!$G$5:$G$149,"Tue"))</f>
        <v>0</v>
      </c>
      <c r="J348" s="52" t="n">
        <f aca="false">IF($E348="Per class",$D348*COUNTIFS('Session Tracker'!$D$5:$D$149,$A348,'Session Tracker'!$F$5:$F$149,"Next week",'Session Tracker'!$G$5:$G$149,"Wed"),$D348*SUMIFS('Session Tracker'!$J$5:$J$149,'Session Tracker'!$D$5:$D$149,$A348,'Session Tracker'!$F$5:$F$149,"Next week",'Session Tracker'!$G$5:$G$149,"Wed"))</f>
        <v>0</v>
      </c>
      <c r="K348" s="52" t="n">
        <f aca="false">IF($E348="Per class",$D348*COUNTIFS('Session Tracker'!$D$5:$D$149,$A348,'Session Tracker'!$F$5:$F$149,"Next week",'Session Tracker'!$G$5:$G$149,"Thu"),$D348*SUMIFS('Session Tracker'!$J$5:$J$149,'Session Tracker'!$D$5:$D$149,$A348,'Session Tracker'!$F$5:$F$149,"Next week",'Session Tracker'!$G$5:$G$149,"Thu"))</f>
        <v>0</v>
      </c>
      <c r="L348" s="52" t="n">
        <f aca="false">IF($E348="Per class",$D348*COUNTIFS('Session Tracker'!$D$5:$D$149,$A348,'Session Tracker'!$F$5:$F$149,"Next week",'Session Tracker'!$G$5:$G$149,"Fri"),$D348*SUMIFS('Session Tracker'!$J$5:$J$149,'Session Tracker'!$D$5:$D$149,$A348,'Session Tracker'!$F$5:$F$149,"Next week",'Session Tracker'!$G$5:$G$149,"Fri"))</f>
        <v>0</v>
      </c>
      <c r="M348" s="52" t="n">
        <f aca="false">IF($E348="Per class",$D348*COUNTIFS('Session Tracker'!$D$5:$D$149,$A348,'Session Tracker'!$F$5:$F$149,"Next week",'Session Tracker'!$G$5:$G$149,""),$D348*SUMIFS('Session Tracker'!$J$5:$J$149,'Session Tracker'!$D$5:$D$149,$A348,'Session Tracker'!$F$5:$F$149,"Next week",'Session Tracker'!$G$5:$G$149,""))</f>
        <v>0</v>
      </c>
    </row>
    <row r="349" customFormat="false" ht="15" hidden="false" customHeight="false" outlineLevel="0" collapsed="false">
      <c r="A349" s="51" t="s">
        <v>146</v>
      </c>
      <c r="B349" s="34" t="s">
        <v>375</v>
      </c>
      <c r="C349" s="34" t="s">
        <v>385</v>
      </c>
      <c r="D349" s="32" t="n">
        <v>1</v>
      </c>
      <c r="E349" s="32" t="s">
        <v>14</v>
      </c>
      <c r="F349" s="32" t="s">
        <v>368</v>
      </c>
      <c r="G349" s="34" t="s">
        <v>475</v>
      </c>
      <c r="H349" s="52" t="n">
        <f aca="false">IF($E349="Per class",$D349*COUNTIFS('Session Tracker'!$D$5:$D$149,$A349,'Session Tracker'!$F$5:$F$149,"Next week",'Session Tracker'!$G$5:$G$149,"Mon"),$D349*SUMIFS('Session Tracker'!$J$5:$J$149,'Session Tracker'!$D$5:$D$149,$A349,'Session Tracker'!$F$5:$F$149,"Next week",'Session Tracker'!$G$5:$G$149,"Mon"))</f>
        <v>0</v>
      </c>
      <c r="I349" s="52" t="n">
        <f aca="false">IF($E349="Per class",$D349*COUNTIFS('Session Tracker'!$D$5:$D$149,$A349,'Session Tracker'!$F$5:$F$149,"Next week",'Session Tracker'!$G$5:$G$149,"Tue"),$D349*SUMIFS('Session Tracker'!$J$5:$J$149,'Session Tracker'!$D$5:$D$149,$A349,'Session Tracker'!$F$5:$F$149,"Next week",'Session Tracker'!$G$5:$G$149,"Tue"))</f>
        <v>0</v>
      </c>
      <c r="J349" s="52" t="n">
        <f aca="false">IF($E349="Per class",$D349*COUNTIFS('Session Tracker'!$D$5:$D$149,$A349,'Session Tracker'!$F$5:$F$149,"Next week",'Session Tracker'!$G$5:$G$149,"Wed"),$D349*SUMIFS('Session Tracker'!$J$5:$J$149,'Session Tracker'!$D$5:$D$149,$A349,'Session Tracker'!$F$5:$F$149,"Next week",'Session Tracker'!$G$5:$G$149,"Wed"))</f>
        <v>0</v>
      </c>
      <c r="K349" s="52" t="n">
        <f aca="false">IF($E349="Per class",$D349*COUNTIFS('Session Tracker'!$D$5:$D$149,$A349,'Session Tracker'!$F$5:$F$149,"Next week",'Session Tracker'!$G$5:$G$149,"Thu"),$D349*SUMIFS('Session Tracker'!$J$5:$J$149,'Session Tracker'!$D$5:$D$149,$A349,'Session Tracker'!$F$5:$F$149,"Next week",'Session Tracker'!$G$5:$G$149,"Thu"))</f>
        <v>0</v>
      </c>
      <c r="L349" s="52" t="n">
        <f aca="false">IF($E349="Per class",$D349*COUNTIFS('Session Tracker'!$D$5:$D$149,$A349,'Session Tracker'!$F$5:$F$149,"Next week",'Session Tracker'!$G$5:$G$149,"Fri"),$D349*SUMIFS('Session Tracker'!$J$5:$J$149,'Session Tracker'!$D$5:$D$149,$A349,'Session Tracker'!$F$5:$F$149,"Next week",'Session Tracker'!$G$5:$G$149,"Fri"))</f>
        <v>0</v>
      </c>
      <c r="M349" s="52" t="n">
        <f aca="false">IF($E349="Per class",$D349*COUNTIFS('Session Tracker'!$D$5:$D$149,$A349,'Session Tracker'!$F$5:$F$149,"Next week",'Session Tracker'!$G$5:$G$149,""),$D349*SUMIFS('Session Tracker'!$J$5:$J$149,'Session Tracker'!$D$5:$D$149,$A349,'Session Tracker'!$F$5:$F$149,"Next week",'Session Tracker'!$G$5:$G$149,""))</f>
        <v>0</v>
      </c>
    </row>
    <row r="350" customFormat="false" ht="15" hidden="false" customHeight="false" outlineLevel="0" collapsed="false">
      <c r="A350" s="51" t="s">
        <v>146</v>
      </c>
      <c r="B350" s="34" t="s">
        <v>371</v>
      </c>
      <c r="C350" s="34" t="s">
        <v>372</v>
      </c>
      <c r="D350" s="32" t="n">
        <v>2</v>
      </c>
      <c r="E350" s="32" t="s">
        <v>14</v>
      </c>
      <c r="F350" s="32" t="s">
        <v>373</v>
      </c>
      <c r="G350" s="34"/>
      <c r="H350" s="52" t="n">
        <f aca="false">IF($E350="Per class",$D350*COUNTIFS('Session Tracker'!$D$5:$D$149,$A350,'Session Tracker'!$F$5:$F$149,"Next week",'Session Tracker'!$G$5:$G$149,"Mon"),$D350*SUMIFS('Session Tracker'!$J$5:$J$149,'Session Tracker'!$D$5:$D$149,$A350,'Session Tracker'!$F$5:$F$149,"Next week",'Session Tracker'!$G$5:$G$149,"Mon"))</f>
        <v>0</v>
      </c>
      <c r="I350" s="52" t="n">
        <f aca="false">IF($E350="Per class",$D350*COUNTIFS('Session Tracker'!$D$5:$D$149,$A350,'Session Tracker'!$F$5:$F$149,"Next week",'Session Tracker'!$G$5:$G$149,"Tue"),$D350*SUMIFS('Session Tracker'!$J$5:$J$149,'Session Tracker'!$D$5:$D$149,$A350,'Session Tracker'!$F$5:$F$149,"Next week",'Session Tracker'!$G$5:$G$149,"Tue"))</f>
        <v>0</v>
      </c>
      <c r="J350" s="52" t="n">
        <f aca="false">IF($E350="Per class",$D350*COUNTIFS('Session Tracker'!$D$5:$D$149,$A350,'Session Tracker'!$F$5:$F$149,"Next week",'Session Tracker'!$G$5:$G$149,"Wed"),$D350*SUMIFS('Session Tracker'!$J$5:$J$149,'Session Tracker'!$D$5:$D$149,$A350,'Session Tracker'!$F$5:$F$149,"Next week",'Session Tracker'!$G$5:$G$149,"Wed"))</f>
        <v>0</v>
      </c>
      <c r="K350" s="52" t="n">
        <f aca="false">IF($E350="Per class",$D350*COUNTIFS('Session Tracker'!$D$5:$D$149,$A350,'Session Tracker'!$F$5:$F$149,"Next week",'Session Tracker'!$G$5:$G$149,"Thu"),$D350*SUMIFS('Session Tracker'!$J$5:$J$149,'Session Tracker'!$D$5:$D$149,$A350,'Session Tracker'!$F$5:$F$149,"Next week",'Session Tracker'!$G$5:$G$149,"Thu"))</f>
        <v>0</v>
      </c>
      <c r="L350" s="52" t="n">
        <f aca="false">IF($E350="Per class",$D350*COUNTIFS('Session Tracker'!$D$5:$D$149,$A350,'Session Tracker'!$F$5:$F$149,"Next week",'Session Tracker'!$G$5:$G$149,"Fri"),$D350*SUMIFS('Session Tracker'!$J$5:$J$149,'Session Tracker'!$D$5:$D$149,$A350,'Session Tracker'!$F$5:$F$149,"Next week",'Session Tracker'!$G$5:$G$149,"Fri"))</f>
        <v>0</v>
      </c>
      <c r="M350" s="52" t="n">
        <f aca="false">IF($E350="Per class",$D350*COUNTIFS('Session Tracker'!$D$5:$D$149,$A350,'Session Tracker'!$F$5:$F$149,"Next week",'Session Tracker'!$G$5:$G$149,""),$D350*SUMIFS('Session Tracker'!$J$5:$J$149,'Session Tracker'!$D$5:$D$149,$A350,'Session Tracker'!$F$5:$F$149,"Next week",'Session Tracker'!$G$5:$G$149,""))</f>
        <v>0</v>
      </c>
    </row>
    <row r="351" customFormat="false" ht="15" hidden="false" customHeight="false" outlineLevel="0" collapsed="false">
      <c r="A351" s="51" t="s">
        <v>146</v>
      </c>
      <c r="B351" s="34" t="s">
        <v>375</v>
      </c>
      <c r="C351" s="34" t="s">
        <v>376</v>
      </c>
      <c r="D351" s="32" t="n">
        <v>2</v>
      </c>
      <c r="E351" s="32" t="s">
        <v>14</v>
      </c>
      <c r="F351" s="32" t="s">
        <v>373</v>
      </c>
      <c r="G351" s="34"/>
      <c r="H351" s="52" t="n">
        <f aca="false">IF($E351="Per class",$D351*COUNTIFS('Session Tracker'!$D$5:$D$149,$A351,'Session Tracker'!$F$5:$F$149,"Next week",'Session Tracker'!$G$5:$G$149,"Mon"),$D351*SUMIFS('Session Tracker'!$J$5:$J$149,'Session Tracker'!$D$5:$D$149,$A351,'Session Tracker'!$F$5:$F$149,"Next week",'Session Tracker'!$G$5:$G$149,"Mon"))</f>
        <v>0</v>
      </c>
      <c r="I351" s="52" t="n">
        <f aca="false">IF($E351="Per class",$D351*COUNTIFS('Session Tracker'!$D$5:$D$149,$A351,'Session Tracker'!$F$5:$F$149,"Next week",'Session Tracker'!$G$5:$G$149,"Tue"),$D351*SUMIFS('Session Tracker'!$J$5:$J$149,'Session Tracker'!$D$5:$D$149,$A351,'Session Tracker'!$F$5:$F$149,"Next week",'Session Tracker'!$G$5:$G$149,"Tue"))</f>
        <v>0</v>
      </c>
      <c r="J351" s="52" t="n">
        <f aca="false">IF($E351="Per class",$D351*COUNTIFS('Session Tracker'!$D$5:$D$149,$A351,'Session Tracker'!$F$5:$F$149,"Next week",'Session Tracker'!$G$5:$G$149,"Wed"),$D351*SUMIFS('Session Tracker'!$J$5:$J$149,'Session Tracker'!$D$5:$D$149,$A351,'Session Tracker'!$F$5:$F$149,"Next week",'Session Tracker'!$G$5:$G$149,"Wed"))</f>
        <v>0</v>
      </c>
      <c r="K351" s="52" t="n">
        <f aca="false">IF($E351="Per class",$D351*COUNTIFS('Session Tracker'!$D$5:$D$149,$A351,'Session Tracker'!$F$5:$F$149,"Next week",'Session Tracker'!$G$5:$G$149,"Thu"),$D351*SUMIFS('Session Tracker'!$J$5:$J$149,'Session Tracker'!$D$5:$D$149,$A351,'Session Tracker'!$F$5:$F$149,"Next week",'Session Tracker'!$G$5:$G$149,"Thu"))</f>
        <v>0</v>
      </c>
      <c r="L351" s="52" t="n">
        <f aca="false">IF($E351="Per class",$D351*COUNTIFS('Session Tracker'!$D$5:$D$149,$A351,'Session Tracker'!$F$5:$F$149,"Next week",'Session Tracker'!$G$5:$G$149,"Fri"),$D351*SUMIFS('Session Tracker'!$J$5:$J$149,'Session Tracker'!$D$5:$D$149,$A351,'Session Tracker'!$F$5:$F$149,"Next week",'Session Tracker'!$G$5:$G$149,"Fri"))</f>
        <v>0</v>
      </c>
      <c r="M351" s="52" t="n">
        <f aca="false">IF($E351="Per class",$D351*COUNTIFS('Session Tracker'!$D$5:$D$149,$A351,'Session Tracker'!$F$5:$F$149,"Next week",'Session Tracker'!$G$5:$G$149,""),$D351*SUMIFS('Session Tracker'!$J$5:$J$149,'Session Tracker'!$D$5:$D$149,$A351,'Session Tracker'!$F$5:$F$149,"Next week",'Session Tracker'!$G$5:$G$149,""))</f>
        <v>0</v>
      </c>
    </row>
    <row r="352" customFormat="false" ht="15" hidden="false" customHeight="false" outlineLevel="0" collapsed="false">
      <c r="A352" s="51" t="s">
        <v>146</v>
      </c>
      <c r="B352" s="34" t="s">
        <v>375</v>
      </c>
      <c r="C352" s="34" t="s">
        <v>417</v>
      </c>
      <c r="D352" s="32" t="n">
        <v>1</v>
      </c>
      <c r="E352" s="32" t="s">
        <v>14</v>
      </c>
      <c r="F352" s="32" t="s">
        <v>373</v>
      </c>
      <c r="G352" s="34"/>
      <c r="H352" s="52" t="n">
        <f aca="false">IF($E352="Per class",$D352*COUNTIFS('Session Tracker'!$D$5:$D$149,$A352,'Session Tracker'!$F$5:$F$149,"Next week",'Session Tracker'!$G$5:$G$149,"Mon"),$D352*SUMIFS('Session Tracker'!$J$5:$J$149,'Session Tracker'!$D$5:$D$149,$A352,'Session Tracker'!$F$5:$F$149,"Next week",'Session Tracker'!$G$5:$G$149,"Mon"))</f>
        <v>0</v>
      </c>
      <c r="I352" s="52" t="n">
        <f aca="false">IF($E352="Per class",$D352*COUNTIFS('Session Tracker'!$D$5:$D$149,$A352,'Session Tracker'!$F$5:$F$149,"Next week",'Session Tracker'!$G$5:$G$149,"Tue"),$D352*SUMIFS('Session Tracker'!$J$5:$J$149,'Session Tracker'!$D$5:$D$149,$A352,'Session Tracker'!$F$5:$F$149,"Next week",'Session Tracker'!$G$5:$G$149,"Tue"))</f>
        <v>0</v>
      </c>
      <c r="J352" s="52" t="n">
        <f aca="false">IF($E352="Per class",$D352*COUNTIFS('Session Tracker'!$D$5:$D$149,$A352,'Session Tracker'!$F$5:$F$149,"Next week",'Session Tracker'!$G$5:$G$149,"Wed"),$D352*SUMIFS('Session Tracker'!$J$5:$J$149,'Session Tracker'!$D$5:$D$149,$A352,'Session Tracker'!$F$5:$F$149,"Next week",'Session Tracker'!$G$5:$G$149,"Wed"))</f>
        <v>0</v>
      </c>
      <c r="K352" s="52" t="n">
        <f aca="false">IF($E352="Per class",$D352*COUNTIFS('Session Tracker'!$D$5:$D$149,$A352,'Session Tracker'!$F$5:$F$149,"Next week",'Session Tracker'!$G$5:$G$149,"Thu"),$D352*SUMIFS('Session Tracker'!$J$5:$J$149,'Session Tracker'!$D$5:$D$149,$A352,'Session Tracker'!$F$5:$F$149,"Next week",'Session Tracker'!$G$5:$G$149,"Thu"))</f>
        <v>0</v>
      </c>
      <c r="L352" s="52" t="n">
        <f aca="false">IF($E352="Per class",$D352*COUNTIFS('Session Tracker'!$D$5:$D$149,$A352,'Session Tracker'!$F$5:$F$149,"Next week",'Session Tracker'!$G$5:$G$149,"Fri"),$D352*SUMIFS('Session Tracker'!$J$5:$J$149,'Session Tracker'!$D$5:$D$149,$A352,'Session Tracker'!$F$5:$F$149,"Next week",'Session Tracker'!$G$5:$G$149,"Fri"))</f>
        <v>0</v>
      </c>
      <c r="M352" s="52" t="n">
        <f aca="false">IF($E352="Per class",$D352*COUNTIFS('Session Tracker'!$D$5:$D$149,$A352,'Session Tracker'!$F$5:$F$149,"Next week",'Session Tracker'!$G$5:$G$149,""),$D352*SUMIFS('Session Tracker'!$J$5:$J$149,'Session Tracker'!$D$5:$D$149,$A352,'Session Tracker'!$F$5:$F$149,"Next week",'Session Tracker'!$G$5:$G$149,""))</f>
        <v>0</v>
      </c>
    </row>
    <row r="353" customFormat="false" ht="15" hidden="false" customHeight="false" outlineLevel="0" collapsed="false">
      <c r="A353" s="51" t="s">
        <v>146</v>
      </c>
      <c r="B353" s="34" t="s">
        <v>382</v>
      </c>
      <c r="C353" s="34" t="s">
        <v>383</v>
      </c>
      <c r="D353" s="32" t="n">
        <v>1</v>
      </c>
      <c r="E353" s="32" t="s">
        <v>14</v>
      </c>
      <c r="F353" s="32" t="s">
        <v>368</v>
      </c>
      <c r="G353" s="34"/>
      <c r="H353" s="52" t="n">
        <f aca="false">IF($E353="Per class",$D353*COUNTIFS('Session Tracker'!$D$5:$D$149,$A353,'Session Tracker'!$F$5:$F$149,"Next week",'Session Tracker'!$G$5:$G$149,"Mon"),$D353*SUMIFS('Session Tracker'!$J$5:$J$149,'Session Tracker'!$D$5:$D$149,$A353,'Session Tracker'!$F$5:$F$149,"Next week",'Session Tracker'!$G$5:$G$149,"Mon"))</f>
        <v>0</v>
      </c>
      <c r="I353" s="52" t="n">
        <f aca="false">IF($E353="Per class",$D353*COUNTIFS('Session Tracker'!$D$5:$D$149,$A353,'Session Tracker'!$F$5:$F$149,"Next week",'Session Tracker'!$G$5:$G$149,"Tue"),$D353*SUMIFS('Session Tracker'!$J$5:$J$149,'Session Tracker'!$D$5:$D$149,$A353,'Session Tracker'!$F$5:$F$149,"Next week",'Session Tracker'!$G$5:$G$149,"Tue"))</f>
        <v>0</v>
      </c>
      <c r="J353" s="52" t="n">
        <f aca="false">IF($E353="Per class",$D353*COUNTIFS('Session Tracker'!$D$5:$D$149,$A353,'Session Tracker'!$F$5:$F$149,"Next week",'Session Tracker'!$G$5:$G$149,"Wed"),$D353*SUMIFS('Session Tracker'!$J$5:$J$149,'Session Tracker'!$D$5:$D$149,$A353,'Session Tracker'!$F$5:$F$149,"Next week",'Session Tracker'!$G$5:$G$149,"Wed"))</f>
        <v>0</v>
      </c>
      <c r="K353" s="52" t="n">
        <f aca="false">IF($E353="Per class",$D353*COUNTIFS('Session Tracker'!$D$5:$D$149,$A353,'Session Tracker'!$F$5:$F$149,"Next week",'Session Tracker'!$G$5:$G$149,"Thu"),$D353*SUMIFS('Session Tracker'!$J$5:$J$149,'Session Tracker'!$D$5:$D$149,$A353,'Session Tracker'!$F$5:$F$149,"Next week",'Session Tracker'!$G$5:$G$149,"Thu"))</f>
        <v>0</v>
      </c>
      <c r="L353" s="52" t="n">
        <f aca="false">IF($E353="Per class",$D353*COUNTIFS('Session Tracker'!$D$5:$D$149,$A353,'Session Tracker'!$F$5:$F$149,"Next week",'Session Tracker'!$G$5:$G$149,"Fri"),$D353*SUMIFS('Session Tracker'!$J$5:$J$149,'Session Tracker'!$D$5:$D$149,$A353,'Session Tracker'!$F$5:$F$149,"Next week",'Session Tracker'!$G$5:$G$149,"Fri"))</f>
        <v>0</v>
      </c>
      <c r="M353" s="52" t="n">
        <f aca="false">IF($E353="Per class",$D353*COUNTIFS('Session Tracker'!$D$5:$D$149,$A353,'Session Tracker'!$F$5:$F$149,"Next week",'Session Tracker'!$G$5:$G$149,""),$D353*SUMIFS('Session Tracker'!$J$5:$J$149,'Session Tracker'!$D$5:$D$149,$A353,'Session Tracker'!$F$5:$F$149,"Next week",'Session Tracker'!$G$5:$G$149,""))</f>
        <v>0</v>
      </c>
    </row>
    <row r="354" customFormat="false" ht="15" hidden="false" customHeight="false" outlineLevel="0" collapsed="false">
      <c r="A354" s="51" t="s">
        <v>146</v>
      </c>
      <c r="B354" s="34" t="s">
        <v>377</v>
      </c>
      <c r="C354" s="34" t="s">
        <v>378</v>
      </c>
      <c r="D354" s="32" t="n">
        <v>1</v>
      </c>
      <c r="E354" s="32" t="s">
        <v>14</v>
      </c>
      <c r="F354" s="32" t="s">
        <v>368</v>
      </c>
      <c r="G354" s="34" t="s">
        <v>389</v>
      </c>
      <c r="H354" s="52" t="n">
        <f aca="false">IF($E354="Per class",$D354*COUNTIFS('Session Tracker'!$D$5:$D$149,$A354,'Session Tracker'!$F$5:$F$149,"Next week",'Session Tracker'!$G$5:$G$149,"Mon"),$D354*SUMIFS('Session Tracker'!$J$5:$J$149,'Session Tracker'!$D$5:$D$149,$A354,'Session Tracker'!$F$5:$F$149,"Next week",'Session Tracker'!$G$5:$G$149,"Mon"))</f>
        <v>0</v>
      </c>
      <c r="I354" s="52" t="n">
        <f aca="false">IF($E354="Per class",$D354*COUNTIFS('Session Tracker'!$D$5:$D$149,$A354,'Session Tracker'!$F$5:$F$149,"Next week",'Session Tracker'!$G$5:$G$149,"Tue"),$D354*SUMIFS('Session Tracker'!$J$5:$J$149,'Session Tracker'!$D$5:$D$149,$A354,'Session Tracker'!$F$5:$F$149,"Next week",'Session Tracker'!$G$5:$G$149,"Tue"))</f>
        <v>0</v>
      </c>
      <c r="J354" s="52" t="n">
        <f aca="false">IF($E354="Per class",$D354*COUNTIFS('Session Tracker'!$D$5:$D$149,$A354,'Session Tracker'!$F$5:$F$149,"Next week",'Session Tracker'!$G$5:$G$149,"Wed"),$D354*SUMIFS('Session Tracker'!$J$5:$J$149,'Session Tracker'!$D$5:$D$149,$A354,'Session Tracker'!$F$5:$F$149,"Next week",'Session Tracker'!$G$5:$G$149,"Wed"))</f>
        <v>0</v>
      </c>
      <c r="K354" s="52" t="n">
        <f aca="false">IF($E354="Per class",$D354*COUNTIFS('Session Tracker'!$D$5:$D$149,$A354,'Session Tracker'!$F$5:$F$149,"Next week",'Session Tracker'!$G$5:$G$149,"Thu"),$D354*SUMIFS('Session Tracker'!$J$5:$J$149,'Session Tracker'!$D$5:$D$149,$A354,'Session Tracker'!$F$5:$F$149,"Next week",'Session Tracker'!$G$5:$G$149,"Thu"))</f>
        <v>0</v>
      </c>
      <c r="L354" s="52" t="n">
        <f aca="false">IF($E354="Per class",$D354*COUNTIFS('Session Tracker'!$D$5:$D$149,$A354,'Session Tracker'!$F$5:$F$149,"Next week",'Session Tracker'!$G$5:$G$149,"Fri"),$D354*SUMIFS('Session Tracker'!$J$5:$J$149,'Session Tracker'!$D$5:$D$149,$A354,'Session Tracker'!$F$5:$F$149,"Next week",'Session Tracker'!$G$5:$G$149,"Fri"))</f>
        <v>0</v>
      </c>
      <c r="M354" s="52" t="n">
        <f aca="false">IF($E354="Per class",$D354*COUNTIFS('Session Tracker'!$D$5:$D$149,$A354,'Session Tracker'!$F$5:$F$149,"Next week",'Session Tracker'!$G$5:$G$149,""),$D354*SUMIFS('Session Tracker'!$J$5:$J$149,'Session Tracker'!$D$5:$D$149,$A354,'Session Tracker'!$F$5:$F$149,"Next week",'Session Tracker'!$G$5:$G$149,""))</f>
        <v>0</v>
      </c>
    </row>
    <row r="355" customFormat="false" ht="15" hidden="false" customHeight="false" outlineLevel="0" collapsed="false">
      <c r="A355" s="53" t="s">
        <v>146</v>
      </c>
      <c r="B355" s="54"/>
      <c r="C355" s="54"/>
      <c r="D355" s="54"/>
      <c r="E355" s="54"/>
      <c r="F355" s="54"/>
      <c r="G355" s="54"/>
      <c r="H355" s="52" t="n">
        <f aca="false">IF($E355="Per class",$D355*COUNTIFS('Session Tracker'!$D$5:$D$149,$A355,'Session Tracker'!$F$5:$F$149,"Next week",'Session Tracker'!$G$5:$G$149,"Mon"),$D355*SUMIFS('Session Tracker'!$J$5:$J$149,'Session Tracker'!$D$5:$D$149,$A355,'Session Tracker'!$F$5:$F$149,"Next week",'Session Tracker'!$G$5:$G$149,"Mon"))</f>
        <v>0</v>
      </c>
      <c r="I355" s="52" t="n">
        <f aca="false">IF($E355="Per class",$D355*COUNTIFS('Session Tracker'!$D$5:$D$149,$A355,'Session Tracker'!$F$5:$F$149,"Next week",'Session Tracker'!$G$5:$G$149,"Tue"),$D355*SUMIFS('Session Tracker'!$J$5:$J$149,'Session Tracker'!$D$5:$D$149,$A355,'Session Tracker'!$F$5:$F$149,"Next week",'Session Tracker'!$G$5:$G$149,"Tue"))</f>
        <v>0</v>
      </c>
      <c r="J355" s="52" t="n">
        <f aca="false">IF($E355="Per class",$D355*COUNTIFS('Session Tracker'!$D$5:$D$149,$A355,'Session Tracker'!$F$5:$F$149,"Next week",'Session Tracker'!$G$5:$G$149,"Wed"),$D355*SUMIFS('Session Tracker'!$J$5:$J$149,'Session Tracker'!$D$5:$D$149,$A355,'Session Tracker'!$F$5:$F$149,"Next week",'Session Tracker'!$G$5:$G$149,"Wed"))</f>
        <v>0</v>
      </c>
      <c r="K355" s="52" t="n">
        <f aca="false">IF($E355="Per class",$D355*COUNTIFS('Session Tracker'!$D$5:$D$149,$A355,'Session Tracker'!$F$5:$F$149,"Next week",'Session Tracker'!$G$5:$G$149,"Thu"),$D355*SUMIFS('Session Tracker'!$J$5:$J$149,'Session Tracker'!$D$5:$D$149,$A355,'Session Tracker'!$F$5:$F$149,"Next week",'Session Tracker'!$G$5:$G$149,"Thu"))</f>
        <v>0</v>
      </c>
      <c r="L355" s="52" t="n">
        <f aca="false">IF($E355="Per class",$D355*COUNTIFS('Session Tracker'!$D$5:$D$149,$A355,'Session Tracker'!$F$5:$F$149,"Next week",'Session Tracker'!$G$5:$G$149,"Fri"),$D355*SUMIFS('Session Tracker'!$J$5:$J$149,'Session Tracker'!$D$5:$D$149,$A355,'Session Tracker'!$F$5:$F$149,"Next week",'Session Tracker'!$G$5:$G$149,"Fri"))</f>
        <v>0</v>
      </c>
      <c r="M355" s="52" t="n">
        <f aca="false">IF($E355="Per class",$D355*COUNTIFS('Session Tracker'!$D$5:$D$149,$A355,'Session Tracker'!$F$5:$F$149,"Next week",'Session Tracker'!$G$5:$G$149,""),$D355*SUMIFS('Session Tracker'!$J$5:$J$149,'Session Tracker'!$D$5:$D$149,$A355,'Session Tracker'!$F$5:$F$149,"Next week",'Session Tracker'!$G$5:$G$149,""))</f>
        <v>0</v>
      </c>
    </row>
    <row r="356" customFormat="false" ht="15" hidden="false" customHeight="false" outlineLevel="0" collapsed="false">
      <c r="A356" s="53" t="s">
        <v>146</v>
      </c>
      <c r="B356" s="54"/>
      <c r="C356" s="54"/>
      <c r="D356" s="54"/>
      <c r="E356" s="54"/>
      <c r="F356" s="54"/>
      <c r="G356" s="54"/>
      <c r="H356" s="52" t="n">
        <f aca="false">IF($E356="Per class",$D356*COUNTIFS('Session Tracker'!$D$5:$D$149,$A356,'Session Tracker'!$F$5:$F$149,"Next week",'Session Tracker'!$G$5:$G$149,"Mon"),$D356*SUMIFS('Session Tracker'!$J$5:$J$149,'Session Tracker'!$D$5:$D$149,$A356,'Session Tracker'!$F$5:$F$149,"Next week",'Session Tracker'!$G$5:$G$149,"Mon"))</f>
        <v>0</v>
      </c>
      <c r="I356" s="52" t="n">
        <f aca="false">IF($E356="Per class",$D356*COUNTIFS('Session Tracker'!$D$5:$D$149,$A356,'Session Tracker'!$F$5:$F$149,"Next week",'Session Tracker'!$G$5:$G$149,"Tue"),$D356*SUMIFS('Session Tracker'!$J$5:$J$149,'Session Tracker'!$D$5:$D$149,$A356,'Session Tracker'!$F$5:$F$149,"Next week",'Session Tracker'!$G$5:$G$149,"Tue"))</f>
        <v>0</v>
      </c>
      <c r="J356" s="52" t="n">
        <f aca="false">IF($E356="Per class",$D356*COUNTIFS('Session Tracker'!$D$5:$D$149,$A356,'Session Tracker'!$F$5:$F$149,"Next week",'Session Tracker'!$G$5:$G$149,"Wed"),$D356*SUMIFS('Session Tracker'!$J$5:$J$149,'Session Tracker'!$D$5:$D$149,$A356,'Session Tracker'!$F$5:$F$149,"Next week",'Session Tracker'!$G$5:$G$149,"Wed"))</f>
        <v>0</v>
      </c>
      <c r="K356" s="52" t="n">
        <f aca="false">IF($E356="Per class",$D356*COUNTIFS('Session Tracker'!$D$5:$D$149,$A356,'Session Tracker'!$F$5:$F$149,"Next week",'Session Tracker'!$G$5:$G$149,"Thu"),$D356*SUMIFS('Session Tracker'!$J$5:$J$149,'Session Tracker'!$D$5:$D$149,$A356,'Session Tracker'!$F$5:$F$149,"Next week",'Session Tracker'!$G$5:$G$149,"Thu"))</f>
        <v>0</v>
      </c>
      <c r="L356" s="52" t="n">
        <f aca="false">IF($E356="Per class",$D356*COUNTIFS('Session Tracker'!$D$5:$D$149,$A356,'Session Tracker'!$F$5:$F$149,"Next week",'Session Tracker'!$G$5:$G$149,"Fri"),$D356*SUMIFS('Session Tracker'!$J$5:$J$149,'Session Tracker'!$D$5:$D$149,$A356,'Session Tracker'!$F$5:$F$149,"Next week",'Session Tracker'!$G$5:$G$149,"Fri"))</f>
        <v>0</v>
      </c>
      <c r="M356" s="52" t="n">
        <f aca="false">IF($E356="Per class",$D356*COUNTIFS('Session Tracker'!$D$5:$D$149,$A356,'Session Tracker'!$F$5:$F$149,"Next week",'Session Tracker'!$G$5:$G$149,""),$D356*SUMIFS('Session Tracker'!$J$5:$J$149,'Session Tracker'!$D$5:$D$149,$A356,'Session Tracker'!$F$5:$F$149,"Next week",'Session Tracker'!$G$5:$G$149,""))</f>
        <v>0</v>
      </c>
    </row>
  </sheetData>
  <mergeCells count="72">
    <mergeCell ref="B5:E5"/>
    <mergeCell ref="F5:G5"/>
    <mergeCell ref="B17:E17"/>
    <mergeCell ref="F17:G17"/>
    <mergeCell ref="B30:E30"/>
    <mergeCell ref="F30:G30"/>
    <mergeCell ref="B43:E43"/>
    <mergeCell ref="F43:G43"/>
    <mergeCell ref="B51:E51"/>
    <mergeCell ref="F51:G51"/>
    <mergeCell ref="B61:E61"/>
    <mergeCell ref="F61:G61"/>
    <mergeCell ref="B74:E74"/>
    <mergeCell ref="F74:G74"/>
    <mergeCell ref="B83:E83"/>
    <mergeCell ref="F83:G83"/>
    <mergeCell ref="B94:E94"/>
    <mergeCell ref="F94:G94"/>
    <mergeCell ref="B107:E107"/>
    <mergeCell ref="F107:G107"/>
    <mergeCell ref="B120:E120"/>
    <mergeCell ref="F120:G120"/>
    <mergeCell ref="B135:E135"/>
    <mergeCell ref="F135:G135"/>
    <mergeCell ref="B148:E148"/>
    <mergeCell ref="F148:G148"/>
    <mergeCell ref="B165:E165"/>
    <mergeCell ref="F165:G165"/>
    <mergeCell ref="B180:E180"/>
    <mergeCell ref="F180:G180"/>
    <mergeCell ref="B188:E188"/>
    <mergeCell ref="F188:G188"/>
    <mergeCell ref="B202:E202"/>
    <mergeCell ref="F202:G202"/>
    <mergeCell ref="B210:E210"/>
    <mergeCell ref="F210:G210"/>
    <mergeCell ref="B216:E216"/>
    <mergeCell ref="F216:G216"/>
    <mergeCell ref="B223:E223"/>
    <mergeCell ref="F223:G223"/>
    <mergeCell ref="B230:E230"/>
    <mergeCell ref="F230:G230"/>
    <mergeCell ref="B237:E237"/>
    <mergeCell ref="F237:G237"/>
    <mergeCell ref="B242:E242"/>
    <mergeCell ref="F242:G242"/>
    <mergeCell ref="B250:E250"/>
    <mergeCell ref="F250:G250"/>
    <mergeCell ref="B255:E255"/>
    <mergeCell ref="F255:G255"/>
    <mergeCell ref="B265:E265"/>
    <mergeCell ref="F265:G265"/>
    <mergeCell ref="B279:E279"/>
    <mergeCell ref="F279:G279"/>
    <mergeCell ref="B290:E290"/>
    <mergeCell ref="F290:G290"/>
    <mergeCell ref="B299:E299"/>
    <mergeCell ref="F299:G299"/>
    <mergeCell ref="B304:E304"/>
    <mergeCell ref="F304:G304"/>
    <mergeCell ref="B310:E310"/>
    <mergeCell ref="F310:G310"/>
    <mergeCell ref="B316:E316"/>
    <mergeCell ref="F316:G316"/>
    <mergeCell ref="B325:E325"/>
    <mergeCell ref="F325:G325"/>
    <mergeCell ref="B330:E330"/>
    <mergeCell ref="F330:G330"/>
    <mergeCell ref="B338:E338"/>
    <mergeCell ref="F338:G338"/>
    <mergeCell ref="B347:E347"/>
    <mergeCell ref="F347:G347"/>
  </mergeCells>
  <dataValidations count="1">
    <dataValidation allowBlank="true" errorStyle="stop" operator="between" showDropDown="false" showErrorMessage="false" showInputMessage="false" sqref="E5:E358" type="list">
      <formula1>"Per group,Per class"</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D1"/>
    <pageSetUpPr fitToPage="true"/>
  </sheetPr>
  <dimension ref="A1:M4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34"/>
    <col collapsed="false" customWidth="true" hidden="false" outlineLevel="0" max="4" min="4" style="0" width="6"/>
    <col collapsed="false" customWidth="true" hidden="false" outlineLevel="0" max="5" min="5" style="0" width="11"/>
    <col collapsed="false" customWidth="true" hidden="false" outlineLevel="0" max="6" min="6" style="0" width="12"/>
    <col collapsed="false" customWidth="true" hidden="false" outlineLevel="0" max="7" min="7" style="0" width="30"/>
    <col collapsed="false" customWidth="true" hidden="false" outlineLevel="0" max="12" min="8" style="0" width="7"/>
    <col collapsed="false" customWidth="true" hidden="false" outlineLevel="0" max="13" min="13" style="0" width="8"/>
  </cols>
  <sheetData>
    <row r="1" customFormat="false" ht="17.35" hidden="false" customHeight="false" outlineLevel="0" collapsed="false">
      <c r="A1" s="55" t="s">
        <v>503</v>
      </c>
    </row>
    <row r="2" customFormat="false" ht="15" hidden="false" customHeight="false" outlineLevel="0" collapsed="false">
      <c r="A2" s="2" t="s">
        <v>359</v>
      </c>
    </row>
    <row r="4" customFormat="false" ht="30" hidden="false" customHeight="true" outlineLevel="0" collapsed="false">
      <c r="A4" s="56" t="s">
        <v>45</v>
      </c>
      <c r="B4" s="56" t="s">
        <v>52</v>
      </c>
      <c r="C4" s="56" t="s">
        <v>53</v>
      </c>
      <c r="D4" s="56" t="s">
        <v>55</v>
      </c>
      <c r="E4" s="56" t="s">
        <v>61</v>
      </c>
      <c r="F4" s="56" t="s">
        <v>54</v>
      </c>
      <c r="G4" s="56" t="s">
        <v>58</v>
      </c>
      <c r="H4" s="30" t="s">
        <v>360</v>
      </c>
      <c r="I4" s="30" t="s">
        <v>361</v>
      </c>
      <c r="J4" s="30" t="s">
        <v>362</v>
      </c>
      <c r="K4" s="30" t="s">
        <v>363</v>
      </c>
      <c r="L4" s="30" t="s">
        <v>364</v>
      </c>
      <c r="M4" s="30" t="s">
        <v>22</v>
      </c>
    </row>
    <row r="5" customFormat="false" ht="19.5" hidden="false" customHeight="true" outlineLevel="0" collapsed="false">
      <c r="A5" s="57" t="s">
        <v>149</v>
      </c>
      <c r="B5" s="58" t="s">
        <v>365</v>
      </c>
      <c r="C5" s="58"/>
      <c r="D5" s="58"/>
      <c r="E5" s="58"/>
      <c r="F5" s="59" t="str">
        <f aca="false">"Status: "&amp;'Session Tracker'!F41&amp;IF('Session Tracker'!G41&lt;&gt;""," ("&amp;'Session Tracker'!G41&amp;")","")</f>
        <v>Status: Not started</v>
      </c>
      <c r="G5" s="59"/>
      <c r="H5" s="60"/>
      <c r="I5" s="60"/>
      <c r="J5" s="60"/>
      <c r="K5" s="60"/>
      <c r="L5" s="60"/>
      <c r="M5" s="60"/>
    </row>
    <row r="6" customFormat="false" ht="23.85" hidden="false" customHeight="false" outlineLevel="0" collapsed="false">
      <c r="A6" s="61" t="s">
        <v>149</v>
      </c>
      <c r="B6" s="34" t="s">
        <v>366</v>
      </c>
      <c r="C6" s="34" t="s">
        <v>367</v>
      </c>
      <c r="D6" s="32" t="n">
        <v>1</v>
      </c>
      <c r="E6" s="32" t="s">
        <v>14</v>
      </c>
      <c r="F6" s="32" t="s">
        <v>368</v>
      </c>
      <c r="G6" s="34"/>
      <c r="H6" s="52" t="n">
        <f aca="false">IF($E6="Per class",$D6*COUNTIFS('Session Tracker'!$D$5:$D$149,$A6,'Session Tracker'!$F$5:$F$149,"Next week",'Session Tracker'!$G$5:$G$149,"Mon"),$D6*SUMIFS('Session Tracker'!$J$5:$J$149,'Session Tracker'!$D$5:$D$149,$A6,'Session Tracker'!$F$5:$F$149,"Next week",'Session Tracker'!$G$5:$G$149,"Mon"))</f>
        <v>0</v>
      </c>
      <c r="I6" s="52" t="n">
        <f aca="false">IF($E6="Per class",$D6*COUNTIFS('Session Tracker'!$D$5:$D$149,$A6,'Session Tracker'!$F$5:$F$149,"Next week",'Session Tracker'!$G$5:$G$149,"Tue"),$D6*SUMIFS('Session Tracker'!$J$5:$J$149,'Session Tracker'!$D$5:$D$149,$A6,'Session Tracker'!$F$5:$F$149,"Next week",'Session Tracker'!$G$5:$G$149,"Tue"))</f>
        <v>0</v>
      </c>
      <c r="J6" s="52" t="n">
        <f aca="false">IF($E6="Per class",$D6*COUNTIFS('Session Tracker'!$D$5:$D$149,$A6,'Session Tracker'!$F$5:$F$149,"Next week",'Session Tracker'!$G$5:$G$149,"Wed"),$D6*SUMIFS('Session Tracker'!$J$5:$J$149,'Session Tracker'!$D$5:$D$149,$A6,'Session Tracker'!$F$5:$F$149,"Next week",'Session Tracker'!$G$5:$G$149,"Wed"))</f>
        <v>0</v>
      </c>
      <c r="K6" s="52" t="n">
        <f aca="false">IF($E6="Per class",$D6*COUNTIFS('Session Tracker'!$D$5:$D$149,$A6,'Session Tracker'!$F$5:$F$149,"Next week",'Session Tracker'!$G$5:$G$149,"Thu"),$D6*SUMIFS('Session Tracker'!$J$5:$J$149,'Session Tracker'!$D$5:$D$149,$A6,'Session Tracker'!$F$5:$F$149,"Next week",'Session Tracker'!$G$5:$G$149,"Thu"))</f>
        <v>0</v>
      </c>
      <c r="L6" s="52" t="n">
        <f aca="false">IF($E6="Per class",$D6*COUNTIFS('Session Tracker'!$D$5:$D$149,$A6,'Session Tracker'!$F$5:$F$149,"Next week",'Session Tracker'!$G$5:$G$149,"Fri"),$D6*SUMIFS('Session Tracker'!$J$5:$J$149,'Session Tracker'!$D$5:$D$149,$A6,'Session Tracker'!$F$5:$F$149,"Next week",'Session Tracker'!$G$5:$G$149,"Fri"))</f>
        <v>0</v>
      </c>
      <c r="M6" s="52" t="n">
        <f aca="false">IF($E6="Per class",$D6*COUNTIFS('Session Tracker'!$D$5:$D$149,$A6,'Session Tracker'!$F$5:$F$149,"Next week",'Session Tracker'!$G$5:$G$149,""),$D6*SUMIFS('Session Tracker'!$J$5:$J$149,'Session Tracker'!$D$5:$D$149,$A6,'Session Tracker'!$F$5:$F$149,"Next week",'Session Tracker'!$G$5:$G$149,""))</f>
        <v>0</v>
      </c>
    </row>
    <row r="7" customFormat="false" ht="15" hidden="false" customHeight="false" outlineLevel="0" collapsed="false">
      <c r="A7" s="61" t="s">
        <v>149</v>
      </c>
      <c r="B7" s="34" t="s">
        <v>369</v>
      </c>
      <c r="C7" s="34" t="s">
        <v>370</v>
      </c>
      <c r="D7" s="32" t="n">
        <v>1</v>
      </c>
      <c r="E7" s="32" t="s">
        <v>14</v>
      </c>
      <c r="F7" s="32" t="s">
        <v>368</v>
      </c>
      <c r="G7" s="34"/>
      <c r="H7" s="52" t="n">
        <f aca="false">IF($E7="Per class",$D7*COUNTIFS('Session Tracker'!$D$5:$D$149,$A7,'Session Tracker'!$F$5:$F$149,"Next week",'Session Tracker'!$G$5:$G$149,"Mon"),$D7*SUMIFS('Session Tracker'!$J$5:$J$149,'Session Tracker'!$D$5:$D$149,$A7,'Session Tracker'!$F$5:$F$149,"Next week",'Session Tracker'!$G$5:$G$149,"Mon"))</f>
        <v>0</v>
      </c>
      <c r="I7" s="52" t="n">
        <f aca="false">IF($E7="Per class",$D7*COUNTIFS('Session Tracker'!$D$5:$D$149,$A7,'Session Tracker'!$F$5:$F$149,"Next week",'Session Tracker'!$G$5:$G$149,"Tue"),$D7*SUMIFS('Session Tracker'!$J$5:$J$149,'Session Tracker'!$D$5:$D$149,$A7,'Session Tracker'!$F$5:$F$149,"Next week",'Session Tracker'!$G$5:$G$149,"Tue"))</f>
        <v>0</v>
      </c>
      <c r="J7" s="52" t="n">
        <f aca="false">IF($E7="Per class",$D7*COUNTIFS('Session Tracker'!$D$5:$D$149,$A7,'Session Tracker'!$F$5:$F$149,"Next week",'Session Tracker'!$G$5:$G$149,"Wed"),$D7*SUMIFS('Session Tracker'!$J$5:$J$149,'Session Tracker'!$D$5:$D$149,$A7,'Session Tracker'!$F$5:$F$149,"Next week",'Session Tracker'!$G$5:$G$149,"Wed"))</f>
        <v>0</v>
      </c>
      <c r="K7" s="52" t="n">
        <f aca="false">IF($E7="Per class",$D7*COUNTIFS('Session Tracker'!$D$5:$D$149,$A7,'Session Tracker'!$F$5:$F$149,"Next week",'Session Tracker'!$G$5:$G$149,"Thu"),$D7*SUMIFS('Session Tracker'!$J$5:$J$149,'Session Tracker'!$D$5:$D$149,$A7,'Session Tracker'!$F$5:$F$149,"Next week",'Session Tracker'!$G$5:$G$149,"Thu"))</f>
        <v>0</v>
      </c>
      <c r="L7" s="52" t="n">
        <f aca="false">IF($E7="Per class",$D7*COUNTIFS('Session Tracker'!$D$5:$D$149,$A7,'Session Tracker'!$F$5:$F$149,"Next week",'Session Tracker'!$G$5:$G$149,"Fri"),$D7*SUMIFS('Session Tracker'!$J$5:$J$149,'Session Tracker'!$D$5:$D$149,$A7,'Session Tracker'!$F$5:$F$149,"Next week",'Session Tracker'!$G$5:$G$149,"Fri"))</f>
        <v>0</v>
      </c>
      <c r="M7" s="52" t="n">
        <f aca="false">IF($E7="Per class",$D7*COUNTIFS('Session Tracker'!$D$5:$D$149,$A7,'Session Tracker'!$F$5:$F$149,"Next week",'Session Tracker'!$G$5:$G$149,""),$D7*SUMIFS('Session Tracker'!$J$5:$J$149,'Session Tracker'!$D$5:$D$149,$A7,'Session Tracker'!$F$5:$F$149,"Next week",'Session Tracker'!$G$5:$G$149,""))</f>
        <v>0</v>
      </c>
    </row>
    <row r="8" customFormat="false" ht="15" hidden="false" customHeight="false" outlineLevel="0" collapsed="false">
      <c r="A8" s="61" t="s">
        <v>149</v>
      </c>
      <c r="B8" s="34" t="s">
        <v>371</v>
      </c>
      <c r="C8" s="34" t="s">
        <v>372</v>
      </c>
      <c r="D8" s="32" t="n">
        <v>1</v>
      </c>
      <c r="E8" s="32" t="s">
        <v>14</v>
      </c>
      <c r="F8" s="32" t="s">
        <v>373</v>
      </c>
      <c r="G8" s="34" t="s">
        <v>374</v>
      </c>
      <c r="H8" s="52" t="n">
        <f aca="false">IF($E8="Per class",$D8*COUNTIFS('Session Tracker'!$D$5:$D$149,$A8,'Session Tracker'!$F$5:$F$149,"Next week",'Session Tracker'!$G$5:$G$149,"Mon"),$D8*SUMIFS('Session Tracker'!$J$5:$J$149,'Session Tracker'!$D$5:$D$149,$A8,'Session Tracker'!$F$5:$F$149,"Next week",'Session Tracker'!$G$5:$G$149,"Mon"))</f>
        <v>0</v>
      </c>
      <c r="I8" s="52" t="n">
        <f aca="false">IF($E8="Per class",$D8*COUNTIFS('Session Tracker'!$D$5:$D$149,$A8,'Session Tracker'!$F$5:$F$149,"Next week",'Session Tracker'!$G$5:$G$149,"Tue"),$D8*SUMIFS('Session Tracker'!$J$5:$J$149,'Session Tracker'!$D$5:$D$149,$A8,'Session Tracker'!$F$5:$F$149,"Next week",'Session Tracker'!$G$5:$G$149,"Tue"))</f>
        <v>0</v>
      </c>
      <c r="J8" s="52" t="n">
        <f aca="false">IF($E8="Per class",$D8*COUNTIFS('Session Tracker'!$D$5:$D$149,$A8,'Session Tracker'!$F$5:$F$149,"Next week",'Session Tracker'!$G$5:$G$149,"Wed"),$D8*SUMIFS('Session Tracker'!$J$5:$J$149,'Session Tracker'!$D$5:$D$149,$A8,'Session Tracker'!$F$5:$F$149,"Next week",'Session Tracker'!$G$5:$G$149,"Wed"))</f>
        <v>0</v>
      </c>
      <c r="K8" s="52" t="n">
        <f aca="false">IF($E8="Per class",$D8*COUNTIFS('Session Tracker'!$D$5:$D$149,$A8,'Session Tracker'!$F$5:$F$149,"Next week",'Session Tracker'!$G$5:$G$149,"Thu"),$D8*SUMIFS('Session Tracker'!$J$5:$J$149,'Session Tracker'!$D$5:$D$149,$A8,'Session Tracker'!$F$5:$F$149,"Next week",'Session Tracker'!$G$5:$G$149,"Thu"))</f>
        <v>0</v>
      </c>
      <c r="L8" s="52" t="n">
        <f aca="false">IF($E8="Per class",$D8*COUNTIFS('Session Tracker'!$D$5:$D$149,$A8,'Session Tracker'!$F$5:$F$149,"Next week",'Session Tracker'!$G$5:$G$149,"Fri"),$D8*SUMIFS('Session Tracker'!$J$5:$J$149,'Session Tracker'!$D$5:$D$149,$A8,'Session Tracker'!$F$5:$F$149,"Next week",'Session Tracker'!$G$5:$G$149,"Fri"))</f>
        <v>0</v>
      </c>
      <c r="M8" s="52" t="n">
        <f aca="false">IF($E8="Per class",$D8*COUNTIFS('Session Tracker'!$D$5:$D$149,$A8,'Session Tracker'!$F$5:$F$149,"Next week",'Session Tracker'!$G$5:$G$149,""),$D8*SUMIFS('Session Tracker'!$J$5:$J$149,'Session Tracker'!$D$5:$D$149,$A8,'Session Tracker'!$F$5:$F$149,"Next week",'Session Tracker'!$G$5:$G$149,""))</f>
        <v>0</v>
      </c>
    </row>
    <row r="9" customFormat="false" ht="15" hidden="false" customHeight="false" outlineLevel="0" collapsed="false">
      <c r="A9" s="61" t="s">
        <v>149</v>
      </c>
      <c r="B9" s="34" t="s">
        <v>375</v>
      </c>
      <c r="C9" s="34" t="s">
        <v>376</v>
      </c>
      <c r="D9" s="32" t="n">
        <v>1</v>
      </c>
      <c r="E9" s="32" t="s">
        <v>14</v>
      </c>
      <c r="F9" s="32" t="s">
        <v>373</v>
      </c>
      <c r="G9" s="34"/>
      <c r="H9" s="52" t="n">
        <f aca="false">IF($E9="Per class",$D9*COUNTIFS('Session Tracker'!$D$5:$D$149,$A9,'Session Tracker'!$F$5:$F$149,"Next week",'Session Tracker'!$G$5:$G$149,"Mon"),$D9*SUMIFS('Session Tracker'!$J$5:$J$149,'Session Tracker'!$D$5:$D$149,$A9,'Session Tracker'!$F$5:$F$149,"Next week",'Session Tracker'!$G$5:$G$149,"Mon"))</f>
        <v>0</v>
      </c>
      <c r="I9" s="52" t="n">
        <f aca="false">IF($E9="Per class",$D9*COUNTIFS('Session Tracker'!$D$5:$D$149,$A9,'Session Tracker'!$F$5:$F$149,"Next week",'Session Tracker'!$G$5:$G$149,"Tue"),$D9*SUMIFS('Session Tracker'!$J$5:$J$149,'Session Tracker'!$D$5:$D$149,$A9,'Session Tracker'!$F$5:$F$149,"Next week",'Session Tracker'!$G$5:$G$149,"Tue"))</f>
        <v>0</v>
      </c>
      <c r="J9" s="52" t="n">
        <f aca="false">IF($E9="Per class",$D9*COUNTIFS('Session Tracker'!$D$5:$D$149,$A9,'Session Tracker'!$F$5:$F$149,"Next week",'Session Tracker'!$G$5:$G$149,"Wed"),$D9*SUMIFS('Session Tracker'!$J$5:$J$149,'Session Tracker'!$D$5:$D$149,$A9,'Session Tracker'!$F$5:$F$149,"Next week",'Session Tracker'!$G$5:$G$149,"Wed"))</f>
        <v>0</v>
      </c>
      <c r="K9" s="52" t="n">
        <f aca="false">IF($E9="Per class",$D9*COUNTIFS('Session Tracker'!$D$5:$D$149,$A9,'Session Tracker'!$F$5:$F$149,"Next week",'Session Tracker'!$G$5:$G$149,"Thu"),$D9*SUMIFS('Session Tracker'!$J$5:$J$149,'Session Tracker'!$D$5:$D$149,$A9,'Session Tracker'!$F$5:$F$149,"Next week",'Session Tracker'!$G$5:$G$149,"Thu"))</f>
        <v>0</v>
      </c>
      <c r="L9" s="52" t="n">
        <f aca="false">IF($E9="Per class",$D9*COUNTIFS('Session Tracker'!$D$5:$D$149,$A9,'Session Tracker'!$F$5:$F$149,"Next week",'Session Tracker'!$G$5:$G$149,"Fri"),$D9*SUMIFS('Session Tracker'!$J$5:$J$149,'Session Tracker'!$D$5:$D$149,$A9,'Session Tracker'!$F$5:$F$149,"Next week",'Session Tracker'!$G$5:$G$149,"Fri"))</f>
        <v>0</v>
      </c>
      <c r="M9" s="52" t="n">
        <f aca="false">IF($E9="Per class",$D9*COUNTIFS('Session Tracker'!$D$5:$D$149,$A9,'Session Tracker'!$F$5:$F$149,"Next week",'Session Tracker'!$G$5:$G$149,""),$D9*SUMIFS('Session Tracker'!$J$5:$J$149,'Session Tracker'!$D$5:$D$149,$A9,'Session Tracker'!$F$5:$F$149,"Next week",'Session Tracker'!$G$5:$G$149,""))</f>
        <v>0</v>
      </c>
    </row>
    <row r="10" customFormat="false" ht="15" hidden="false" customHeight="false" outlineLevel="0" collapsed="false">
      <c r="A10" s="61" t="s">
        <v>149</v>
      </c>
      <c r="B10" s="34" t="s">
        <v>377</v>
      </c>
      <c r="C10" s="34" t="s">
        <v>378</v>
      </c>
      <c r="D10" s="32" t="n">
        <v>1</v>
      </c>
      <c r="E10" s="32" t="s">
        <v>14</v>
      </c>
      <c r="F10" s="32" t="s">
        <v>368</v>
      </c>
      <c r="G10" s="34"/>
      <c r="H10" s="52" t="n">
        <f aca="false">IF($E10="Per class",$D10*COUNTIFS('Session Tracker'!$D$5:$D$149,$A10,'Session Tracker'!$F$5:$F$149,"Next week",'Session Tracker'!$G$5:$G$149,"Mon"),$D10*SUMIFS('Session Tracker'!$J$5:$J$149,'Session Tracker'!$D$5:$D$149,$A10,'Session Tracker'!$F$5:$F$149,"Next week",'Session Tracker'!$G$5:$G$149,"Mon"))</f>
        <v>0</v>
      </c>
      <c r="I10" s="52" t="n">
        <f aca="false">IF($E10="Per class",$D10*COUNTIFS('Session Tracker'!$D$5:$D$149,$A10,'Session Tracker'!$F$5:$F$149,"Next week",'Session Tracker'!$G$5:$G$149,"Tue"),$D10*SUMIFS('Session Tracker'!$J$5:$J$149,'Session Tracker'!$D$5:$D$149,$A10,'Session Tracker'!$F$5:$F$149,"Next week",'Session Tracker'!$G$5:$G$149,"Tue"))</f>
        <v>0</v>
      </c>
      <c r="J10" s="52" t="n">
        <f aca="false">IF($E10="Per class",$D10*COUNTIFS('Session Tracker'!$D$5:$D$149,$A10,'Session Tracker'!$F$5:$F$149,"Next week",'Session Tracker'!$G$5:$G$149,"Wed"),$D10*SUMIFS('Session Tracker'!$J$5:$J$149,'Session Tracker'!$D$5:$D$149,$A10,'Session Tracker'!$F$5:$F$149,"Next week",'Session Tracker'!$G$5:$G$149,"Wed"))</f>
        <v>0</v>
      </c>
      <c r="K10" s="52" t="n">
        <f aca="false">IF($E10="Per class",$D10*COUNTIFS('Session Tracker'!$D$5:$D$149,$A10,'Session Tracker'!$F$5:$F$149,"Next week",'Session Tracker'!$G$5:$G$149,"Thu"),$D10*SUMIFS('Session Tracker'!$J$5:$J$149,'Session Tracker'!$D$5:$D$149,$A10,'Session Tracker'!$F$5:$F$149,"Next week",'Session Tracker'!$G$5:$G$149,"Thu"))</f>
        <v>0</v>
      </c>
      <c r="L10" s="52" t="n">
        <f aca="false">IF($E10="Per class",$D10*COUNTIFS('Session Tracker'!$D$5:$D$149,$A10,'Session Tracker'!$F$5:$F$149,"Next week",'Session Tracker'!$G$5:$G$149,"Fri"),$D10*SUMIFS('Session Tracker'!$J$5:$J$149,'Session Tracker'!$D$5:$D$149,$A10,'Session Tracker'!$F$5:$F$149,"Next week",'Session Tracker'!$G$5:$G$149,"Fri"))</f>
        <v>0</v>
      </c>
      <c r="M10" s="52" t="n">
        <f aca="false">IF($E10="Per class",$D10*COUNTIFS('Session Tracker'!$D$5:$D$149,$A10,'Session Tracker'!$F$5:$F$149,"Next week",'Session Tracker'!$G$5:$G$149,""),$D10*SUMIFS('Session Tracker'!$J$5:$J$149,'Session Tracker'!$D$5:$D$149,$A10,'Session Tracker'!$F$5:$F$149,"Next week",'Session Tracker'!$G$5:$G$149,""))</f>
        <v>0</v>
      </c>
    </row>
    <row r="11" customFormat="false" ht="15" hidden="false" customHeight="false" outlineLevel="0" collapsed="false">
      <c r="A11" s="61" t="s">
        <v>149</v>
      </c>
      <c r="B11" s="34" t="s">
        <v>379</v>
      </c>
      <c r="C11" s="34" t="s">
        <v>380</v>
      </c>
      <c r="D11" s="32" t="n">
        <v>1</v>
      </c>
      <c r="E11" s="32" t="s">
        <v>14</v>
      </c>
      <c r="F11" s="32" t="s">
        <v>368</v>
      </c>
      <c r="G11" s="34"/>
      <c r="H11" s="52" t="n">
        <f aca="false">IF($E11="Per class",$D11*COUNTIFS('Session Tracker'!$D$5:$D$149,$A11,'Session Tracker'!$F$5:$F$149,"Next week",'Session Tracker'!$G$5:$G$149,"Mon"),$D11*SUMIFS('Session Tracker'!$J$5:$J$149,'Session Tracker'!$D$5:$D$149,$A11,'Session Tracker'!$F$5:$F$149,"Next week",'Session Tracker'!$G$5:$G$149,"Mon"))</f>
        <v>0</v>
      </c>
      <c r="I11" s="52" t="n">
        <f aca="false">IF($E11="Per class",$D11*COUNTIFS('Session Tracker'!$D$5:$D$149,$A11,'Session Tracker'!$F$5:$F$149,"Next week",'Session Tracker'!$G$5:$G$149,"Tue"),$D11*SUMIFS('Session Tracker'!$J$5:$J$149,'Session Tracker'!$D$5:$D$149,$A11,'Session Tracker'!$F$5:$F$149,"Next week",'Session Tracker'!$G$5:$G$149,"Tue"))</f>
        <v>0</v>
      </c>
      <c r="J11" s="52" t="n">
        <f aca="false">IF($E11="Per class",$D11*COUNTIFS('Session Tracker'!$D$5:$D$149,$A11,'Session Tracker'!$F$5:$F$149,"Next week",'Session Tracker'!$G$5:$G$149,"Wed"),$D11*SUMIFS('Session Tracker'!$J$5:$J$149,'Session Tracker'!$D$5:$D$149,$A11,'Session Tracker'!$F$5:$F$149,"Next week",'Session Tracker'!$G$5:$G$149,"Wed"))</f>
        <v>0</v>
      </c>
      <c r="K11" s="52" t="n">
        <f aca="false">IF($E11="Per class",$D11*COUNTIFS('Session Tracker'!$D$5:$D$149,$A11,'Session Tracker'!$F$5:$F$149,"Next week",'Session Tracker'!$G$5:$G$149,"Thu"),$D11*SUMIFS('Session Tracker'!$J$5:$J$149,'Session Tracker'!$D$5:$D$149,$A11,'Session Tracker'!$F$5:$F$149,"Next week",'Session Tracker'!$G$5:$G$149,"Thu"))</f>
        <v>0</v>
      </c>
      <c r="L11" s="52" t="n">
        <f aca="false">IF($E11="Per class",$D11*COUNTIFS('Session Tracker'!$D$5:$D$149,$A11,'Session Tracker'!$F$5:$F$149,"Next week",'Session Tracker'!$G$5:$G$149,"Fri"),$D11*SUMIFS('Session Tracker'!$J$5:$J$149,'Session Tracker'!$D$5:$D$149,$A11,'Session Tracker'!$F$5:$F$149,"Next week",'Session Tracker'!$G$5:$G$149,"Fri"))</f>
        <v>0</v>
      </c>
      <c r="M11" s="52" t="n">
        <f aca="false">IF($E11="Per class",$D11*COUNTIFS('Session Tracker'!$D$5:$D$149,$A11,'Session Tracker'!$F$5:$F$149,"Next week",'Session Tracker'!$G$5:$G$149,""),$D11*SUMIFS('Session Tracker'!$J$5:$J$149,'Session Tracker'!$D$5:$D$149,$A11,'Session Tracker'!$F$5:$F$149,"Next week",'Session Tracker'!$G$5:$G$149,""))</f>
        <v>0</v>
      </c>
    </row>
    <row r="12" customFormat="false" ht="15" hidden="false" customHeight="false" outlineLevel="0" collapsed="false">
      <c r="A12" s="61" t="s">
        <v>149</v>
      </c>
      <c r="B12" s="34" t="s">
        <v>379</v>
      </c>
      <c r="C12" s="34" t="s">
        <v>381</v>
      </c>
      <c r="D12" s="32" t="n">
        <v>6</v>
      </c>
      <c r="E12" s="32" t="s">
        <v>14</v>
      </c>
      <c r="F12" s="32" t="s">
        <v>368</v>
      </c>
      <c r="G12" s="34"/>
      <c r="H12" s="52" t="n">
        <f aca="false">IF($E12="Per class",$D12*COUNTIFS('Session Tracker'!$D$5:$D$149,$A12,'Session Tracker'!$F$5:$F$149,"Next week",'Session Tracker'!$G$5:$G$149,"Mon"),$D12*SUMIFS('Session Tracker'!$J$5:$J$149,'Session Tracker'!$D$5:$D$149,$A12,'Session Tracker'!$F$5:$F$149,"Next week",'Session Tracker'!$G$5:$G$149,"Mon"))</f>
        <v>0</v>
      </c>
      <c r="I12" s="52" t="n">
        <f aca="false">IF($E12="Per class",$D12*COUNTIFS('Session Tracker'!$D$5:$D$149,$A12,'Session Tracker'!$F$5:$F$149,"Next week",'Session Tracker'!$G$5:$G$149,"Tue"),$D12*SUMIFS('Session Tracker'!$J$5:$J$149,'Session Tracker'!$D$5:$D$149,$A12,'Session Tracker'!$F$5:$F$149,"Next week",'Session Tracker'!$G$5:$G$149,"Tue"))</f>
        <v>0</v>
      </c>
      <c r="J12" s="52" t="n">
        <f aca="false">IF($E12="Per class",$D12*COUNTIFS('Session Tracker'!$D$5:$D$149,$A12,'Session Tracker'!$F$5:$F$149,"Next week",'Session Tracker'!$G$5:$G$149,"Wed"),$D12*SUMIFS('Session Tracker'!$J$5:$J$149,'Session Tracker'!$D$5:$D$149,$A12,'Session Tracker'!$F$5:$F$149,"Next week",'Session Tracker'!$G$5:$G$149,"Wed"))</f>
        <v>0</v>
      </c>
      <c r="K12" s="52" t="n">
        <f aca="false">IF($E12="Per class",$D12*COUNTIFS('Session Tracker'!$D$5:$D$149,$A12,'Session Tracker'!$F$5:$F$149,"Next week",'Session Tracker'!$G$5:$G$149,"Thu"),$D12*SUMIFS('Session Tracker'!$J$5:$J$149,'Session Tracker'!$D$5:$D$149,$A12,'Session Tracker'!$F$5:$F$149,"Next week",'Session Tracker'!$G$5:$G$149,"Thu"))</f>
        <v>0</v>
      </c>
      <c r="L12" s="52" t="n">
        <f aca="false">IF($E12="Per class",$D12*COUNTIFS('Session Tracker'!$D$5:$D$149,$A12,'Session Tracker'!$F$5:$F$149,"Next week",'Session Tracker'!$G$5:$G$149,"Fri"),$D12*SUMIFS('Session Tracker'!$J$5:$J$149,'Session Tracker'!$D$5:$D$149,$A12,'Session Tracker'!$F$5:$F$149,"Next week",'Session Tracker'!$G$5:$G$149,"Fri"))</f>
        <v>0</v>
      </c>
      <c r="M12" s="52" t="n">
        <f aca="false">IF($E12="Per class",$D12*COUNTIFS('Session Tracker'!$D$5:$D$149,$A12,'Session Tracker'!$F$5:$F$149,"Next week",'Session Tracker'!$G$5:$G$149,""),$D12*SUMIFS('Session Tracker'!$J$5:$J$149,'Session Tracker'!$D$5:$D$149,$A12,'Session Tracker'!$F$5:$F$149,"Next week",'Session Tracker'!$G$5:$G$149,""))</f>
        <v>0</v>
      </c>
    </row>
    <row r="13" customFormat="false" ht="15" hidden="false" customHeight="false" outlineLevel="0" collapsed="false">
      <c r="A13" s="61" t="s">
        <v>149</v>
      </c>
      <c r="B13" s="34" t="s">
        <v>382</v>
      </c>
      <c r="C13" s="34" t="s">
        <v>383</v>
      </c>
      <c r="D13" s="32" t="n">
        <v>1</v>
      </c>
      <c r="E13" s="32" t="s">
        <v>14</v>
      </c>
      <c r="F13" s="32" t="s">
        <v>368</v>
      </c>
      <c r="G13" s="34"/>
      <c r="H13" s="52" t="n">
        <f aca="false">IF($E13="Per class",$D13*COUNTIFS('Session Tracker'!$D$5:$D$149,$A13,'Session Tracker'!$F$5:$F$149,"Next week",'Session Tracker'!$G$5:$G$149,"Mon"),$D13*SUMIFS('Session Tracker'!$J$5:$J$149,'Session Tracker'!$D$5:$D$149,$A13,'Session Tracker'!$F$5:$F$149,"Next week",'Session Tracker'!$G$5:$G$149,"Mon"))</f>
        <v>0</v>
      </c>
      <c r="I13" s="52" t="n">
        <f aca="false">IF($E13="Per class",$D13*COUNTIFS('Session Tracker'!$D$5:$D$149,$A13,'Session Tracker'!$F$5:$F$149,"Next week",'Session Tracker'!$G$5:$G$149,"Tue"),$D13*SUMIFS('Session Tracker'!$J$5:$J$149,'Session Tracker'!$D$5:$D$149,$A13,'Session Tracker'!$F$5:$F$149,"Next week",'Session Tracker'!$G$5:$G$149,"Tue"))</f>
        <v>0</v>
      </c>
      <c r="J13" s="52" t="n">
        <f aca="false">IF($E13="Per class",$D13*COUNTIFS('Session Tracker'!$D$5:$D$149,$A13,'Session Tracker'!$F$5:$F$149,"Next week",'Session Tracker'!$G$5:$G$149,"Wed"),$D13*SUMIFS('Session Tracker'!$J$5:$J$149,'Session Tracker'!$D$5:$D$149,$A13,'Session Tracker'!$F$5:$F$149,"Next week",'Session Tracker'!$G$5:$G$149,"Wed"))</f>
        <v>0</v>
      </c>
      <c r="K13" s="52" t="n">
        <f aca="false">IF($E13="Per class",$D13*COUNTIFS('Session Tracker'!$D$5:$D$149,$A13,'Session Tracker'!$F$5:$F$149,"Next week",'Session Tracker'!$G$5:$G$149,"Thu"),$D13*SUMIFS('Session Tracker'!$J$5:$J$149,'Session Tracker'!$D$5:$D$149,$A13,'Session Tracker'!$F$5:$F$149,"Next week",'Session Tracker'!$G$5:$G$149,"Thu"))</f>
        <v>0</v>
      </c>
      <c r="L13" s="52" t="n">
        <f aca="false">IF($E13="Per class",$D13*COUNTIFS('Session Tracker'!$D$5:$D$149,$A13,'Session Tracker'!$F$5:$F$149,"Next week",'Session Tracker'!$G$5:$G$149,"Fri"),$D13*SUMIFS('Session Tracker'!$J$5:$J$149,'Session Tracker'!$D$5:$D$149,$A13,'Session Tracker'!$F$5:$F$149,"Next week",'Session Tracker'!$G$5:$G$149,"Fri"))</f>
        <v>0</v>
      </c>
      <c r="M13" s="52" t="n">
        <f aca="false">IF($E13="Per class",$D13*COUNTIFS('Session Tracker'!$D$5:$D$149,$A13,'Session Tracker'!$F$5:$F$149,"Next week",'Session Tracker'!$G$5:$G$149,""),$D13*SUMIFS('Session Tracker'!$J$5:$J$149,'Session Tracker'!$D$5:$D$149,$A13,'Session Tracker'!$F$5:$F$149,"Next week",'Session Tracker'!$G$5:$G$149,""))</f>
        <v>0</v>
      </c>
    </row>
    <row r="14" customFormat="false" ht="15" hidden="false" customHeight="false" outlineLevel="0" collapsed="false">
      <c r="A14" s="53" t="s">
        <v>149</v>
      </c>
      <c r="B14" s="54"/>
      <c r="C14" s="54"/>
      <c r="D14" s="54"/>
      <c r="E14" s="54"/>
      <c r="F14" s="54"/>
      <c r="G14" s="54"/>
      <c r="H14" s="52" t="n">
        <f aca="false">IF($E14="Per class",$D14*COUNTIFS('Session Tracker'!$D$5:$D$149,$A14,'Session Tracker'!$F$5:$F$149,"Next week",'Session Tracker'!$G$5:$G$149,"Mon"),$D14*SUMIFS('Session Tracker'!$J$5:$J$149,'Session Tracker'!$D$5:$D$149,$A14,'Session Tracker'!$F$5:$F$149,"Next week",'Session Tracker'!$G$5:$G$149,"Mon"))</f>
        <v>0</v>
      </c>
      <c r="I14" s="52" t="n">
        <f aca="false">IF($E14="Per class",$D14*COUNTIFS('Session Tracker'!$D$5:$D$149,$A14,'Session Tracker'!$F$5:$F$149,"Next week",'Session Tracker'!$G$5:$G$149,"Tue"),$D14*SUMIFS('Session Tracker'!$J$5:$J$149,'Session Tracker'!$D$5:$D$149,$A14,'Session Tracker'!$F$5:$F$149,"Next week",'Session Tracker'!$G$5:$G$149,"Tue"))</f>
        <v>0</v>
      </c>
      <c r="J14" s="52" t="n">
        <f aca="false">IF($E14="Per class",$D14*COUNTIFS('Session Tracker'!$D$5:$D$149,$A14,'Session Tracker'!$F$5:$F$149,"Next week",'Session Tracker'!$G$5:$G$149,"Wed"),$D14*SUMIFS('Session Tracker'!$J$5:$J$149,'Session Tracker'!$D$5:$D$149,$A14,'Session Tracker'!$F$5:$F$149,"Next week",'Session Tracker'!$G$5:$G$149,"Wed"))</f>
        <v>0</v>
      </c>
      <c r="K14" s="52" t="n">
        <f aca="false">IF($E14="Per class",$D14*COUNTIFS('Session Tracker'!$D$5:$D$149,$A14,'Session Tracker'!$F$5:$F$149,"Next week",'Session Tracker'!$G$5:$G$149,"Thu"),$D14*SUMIFS('Session Tracker'!$J$5:$J$149,'Session Tracker'!$D$5:$D$149,$A14,'Session Tracker'!$F$5:$F$149,"Next week",'Session Tracker'!$G$5:$G$149,"Thu"))</f>
        <v>0</v>
      </c>
      <c r="L14" s="52" t="n">
        <f aca="false">IF($E14="Per class",$D14*COUNTIFS('Session Tracker'!$D$5:$D$149,$A14,'Session Tracker'!$F$5:$F$149,"Next week",'Session Tracker'!$G$5:$G$149,"Fri"),$D14*SUMIFS('Session Tracker'!$J$5:$J$149,'Session Tracker'!$D$5:$D$149,$A14,'Session Tracker'!$F$5:$F$149,"Next week",'Session Tracker'!$G$5:$G$149,"Fri"))</f>
        <v>0</v>
      </c>
      <c r="M14" s="52" t="n">
        <f aca="false">IF($E14="Per class",$D14*COUNTIFS('Session Tracker'!$D$5:$D$149,$A14,'Session Tracker'!$F$5:$F$149,"Next week",'Session Tracker'!$G$5:$G$149,""),$D14*SUMIFS('Session Tracker'!$J$5:$J$149,'Session Tracker'!$D$5:$D$149,$A14,'Session Tracker'!$F$5:$F$149,"Next week",'Session Tracker'!$G$5:$G$149,""))</f>
        <v>0</v>
      </c>
    </row>
    <row r="15" customFormat="false" ht="15" hidden="false" customHeight="false" outlineLevel="0" collapsed="false">
      <c r="A15" s="53" t="s">
        <v>149</v>
      </c>
      <c r="B15" s="54"/>
      <c r="C15" s="54"/>
      <c r="D15" s="54"/>
      <c r="E15" s="54"/>
      <c r="F15" s="54"/>
      <c r="G15" s="54"/>
      <c r="H15" s="52" t="n">
        <f aca="false">IF($E15="Per class",$D15*COUNTIFS('Session Tracker'!$D$5:$D$149,$A15,'Session Tracker'!$F$5:$F$149,"Next week",'Session Tracker'!$G$5:$G$149,"Mon"),$D15*SUMIFS('Session Tracker'!$J$5:$J$149,'Session Tracker'!$D$5:$D$149,$A15,'Session Tracker'!$F$5:$F$149,"Next week",'Session Tracker'!$G$5:$G$149,"Mon"))</f>
        <v>0</v>
      </c>
      <c r="I15" s="52" t="n">
        <f aca="false">IF($E15="Per class",$D15*COUNTIFS('Session Tracker'!$D$5:$D$149,$A15,'Session Tracker'!$F$5:$F$149,"Next week",'Session Tracker'!$G$5:$G$149,"Tue"),$D15*SUMIFS('Session Tracker'!$J$5:$J$149,'Session Tracker'!$D$5:$D$149,$A15,'Session Tracker'!$F$5:$F$149,"Next week",'Session Tracker'!$G$5:$G$149,"Tue"))</f>
        <v>0</v>
      </c>
      <c r="J15" s="52" t="n">
        <f aca="false">IF($E15="Per class",$D15*COUNTIFS('Session Tracker'!$D$5:$D$149,$A15,'Session Tracker'!$F$5:$F$149,"Next week",'Session Tracker'!$G$5:$G$149,"Wed"),$D15*SUMIFS('Session Tracker'!$J$5:$J$149,'Session Tracker'!$D$5:$D$149,$A15,'Session Tracker'!$F$5:$F$149,"Next week",'Session Tracker'!$G$5:$G$149,"Wed"))</f>
        <v>0</v>
      </c>
      <c r="K15" s="52" t="n">
        <f aca="false">IF($E15="Per class",$D15*COUNTIFS('Session Tracker'!$D$5:$D$149,$A15,'Session Tracker'!$F$5:$F$149,"Next week",'Session Tracker'!$G$5:$G$149,"Thu"),$D15*SUMIFS('Session Tracker'!$J$5:$J$149,'Session Tracker'!$D$5:$D$149,$A15,'Session Tracker'!$F$5:$F$149,"Next week",'Session Tracker'!$G$5:$G$149,"Thu"))</f>
        <v>0</v>
      </c>
      <c r="L15" s="52" t="n">
        <f aca="false">IF($E15="Per class",$D15*COUNTIFS('Session Tracker'!$D$5:$D$149,$A15,'Session Tracker'!$F$5:$F$149,"Next week",'Session Tracker'!$G$5:$G$149,"Fri"),$D15*SUMIFS('Session Tracker'!$J$5:$J$149,'Session Tracker'!$D$5:$D$149,$A15,'Session Tracker'!$F$5:$F$149,"Next week",'Session Tracker'!$G$5:$G$149,"Fri"))</f>
        <v>0</v>
      </c>
      <c r="M15" s="52" t="n">
        <f aca="false">IF($E15="Per class",$D15*COUNTIFS('Session Tracker'!$D$5:$D$149,$A15,'Session Tracker'!$F$5:$F$149,"Next week",'Session Tracker'!$G$5:$G$149,""),$D15*SUMIFS('Session Tracker'!$J$5:$J$149,'Session Tracker'!$D$5:$D$149,$A15,'Session Tracker'!$F$5:$F$149,"Next week",'Session Tracker'!$G$5:$G$149,""))</f>
        <v>0</v>
      </c>
    </row>
    <row r="17" customFormat="false" ht="19.5" hidden="false" customHeight="true" outlineLevel="0" collapsed="false">
      <c r="A17" s="57" t="s">
        <v>150</v>
      </c>
      <c r="B17" s="58" t="s">
        <v>384</v>
      </c>
      <c r="C17" s="58"/>
      <c r="D17" s="58"/>
      <c r="E17" s="58"/>
      <c r="F17" s="59" t="str">
        <f aca="false">"Status: "&amp;'Session Tracker'!F42&amp;IF('Session Tracker'!G42&lt;&gt;""," ("&amp;'Session Tracker'!G42&amp;")","")</f>
        <v>Status: Not started</v>
      </c>
      <c r="G17" s="59"/>
      <c r="H17" s="60"/>
      <c r="I17" s="60"/>
      <c r="J17" s="60"/>
      <c r="K17" s="60"/>
      <c r="L17" s="60"/>
      <c r="M17" s="60"/>
    </row>
    <row r="18" customFormat="false" ht="23.85" hidden="false" customHeight="false" outlineLevel="0" collapsed="false">
      <c r="A18" s="61" t="s">
        <v>150</v>
      </c>
      <c r="B18" s="34" t="s">
        <v>366</v>
      </c>
      <c r="C18" s="34" t="s">
        <v>367</v>
      </c>
      <c r="D18" s="32" t="n">
        <v>1</v>
      </c>
      <c r="E18" s="32" t="s">
        <v>14</v>
      </c>
      <c r="F18" s="32" t="s">
        <v>368</v>
      </c>
      <c r="G18" s="34"/>
      <c r="H18" s="52" t="n">
        <f aca="false">IF($E18="Per class",$D18*COUNTIFS('Session Tracker'!$D$5:$D$149,$A18,'Session Tracker'!$F$5:$F$149,"Next week",'Session Tracker'!$G$5:$G$149,"Mon"),$D18*SUMIFS('Session Tracker'!$J$5:$J$149,'Session Tracker'!$D$5:$D$149,$A18,'Session Tracker'!$F$5:$F$149,"Next week",'Session Tracker'!$G$5:$G$149,"Mon"))</f>
        <v>0</v>
      </c>
      <c r="I18" s="52" t="n">
        <f aca="false">IF($E18="Per class",$D18*COUNTIFS('Session Tracker'!$D$5:$D$149,$A18,'Session Tracker'!$F$5:$F$149,"Next week",'Session Tracker'!$G$5:$G$149,"Tue"),$D18*SUMIFS('Session Tracker'!$J$5:$J$149,'Session Tracker'!$D$5:$D$149,$A18,'Session Tracker'!$F$5:$F$149,"Next week",'Session Tracker'!$G$5:$G$149,"Tue"))</f>
        <v>0</v>
      </c>
      <c r="J18" s="52" t="n">
        <f aca="false">IF($E18="Per class",$D18*COUNTIFS('Session Tracker'!$D$5:$D$149,$A18,'Session Tracker'!$F$5:$F$149,"Next week",'Session Tracker'!$G$5:$G$149,"Wed"),$D18*SUMIFS('Session Tracker'!$J$5:$J$149,'Session Tracker'!$D$5:$D$149,$A18,'Session Tracker'!$F$5:$F$149,"Next week",'Session Tracker'!$G$5:$G$149,"Wed"))</f>
        <v>0</v>
      </c>
      <c r="K18" s="52" t="n">
        <f aca="false">IF($E18="Per class",$D18*COUNTIFS('Session Tracker'!$D$5:$D$149,$A18,'Session Tracker'!$F$5:$F$149,"Next week",'Session Tracker'!$G$5:$G$149,"Thu"),$D18*SUMIFS('Session Tracker'!$J$5:$J$149,'Session Tracker'!$D$5:$D$149,$A18,'Session Tracker'!$F$5:$F$149,"Next week",'Session Tracker'!$G$5:$G$149,"Thu"))</f>
        <v>0</v>
      </c>
      <c r="L18" s="52" t="n">
        <f aca="false">IF($E18="Per class",$D18*COUNTIFS('Session Tracker'!$D$5:$D$149,$A18,'Session Tracker'!$F$5:$F$149,"Next week",'Session Tracker'!$G$5:$G$149,"Fri"),$D18*SUMIFS('Session Tracker'!$J$5:$J$149,'Session Tracker'!$D$5:$D$149,$A18,'Session Tracker'!$F$5:$F$149,"Next week",'Session Tracker'!$G$5:$G$149,"Fri"))</f>
        <v>0</v>
      </c>
      <c r="M18" s="52" t="n">
        <f aca="false">IF($E18="Per class",$D18*COUNTIFS('Session Tracker'!$D$5:$D$149,$A18,'Session Tracker'!$F$5:$F$149,"Next week",'Session Tracker'!$G$5:$G$149,""),$D18*SUMIFS('Session Tracker'!$J$5:$J$149,'Session Tracker'!$D$5:$D$149,$A18,'Session Tracker'!$F$5:$F$149,"Next week",'Session Tracker'!$G$5:$G$149,""))</f>
        <v>0</v>
      </c>
    </row>
    <row r="19" customFormat="false" ht="15" hidden="false" customHeight="false" outlineLevel="0" collapsed="false">
      <c r="A19" s="61" t="s">
        <v>150</v>
      </c>
      <c r="B19" s="34" t="s">
        <v>371</v>
      </c>
      <c r="C19" s="34" t="s">
        <v>372</v>
      </c>
      <c r="D19" s="32" t="n">
        <v>2</v>
      </c>
      <c r="E19" s="32" t="s">
        <v>14</v>
      </c>
      <c r="F19" s="32" t="s">
        <v>373</v>
      </c>
      <c r="G19" s="34"/>
      <c r="H19" s="52" t="n">
        <f aca="false">IF($E19="Per class",$D19*COUNTIFS('Session Tracker'!$D$5:$D$149,$A19,'Session Tracker'!$F$5:$F$149,"Next week",'Session Tracker'!$G$5:$G$149,"Mon"),$D19*SUMIFS('Session Tracker'!$J$5:$J$149,'Session Tracker'!$D$5:$D$149,$A19,'Session Tracker'!$F$5:$F$149,"Next week",'Session Tracker'!$G$5:$G$149,"Mon"))</f>
        <v>0</v>
      </c>
      <c r="I19" s="52" t="n">
        <f aca="false">IF($E19="Per class",$D19*COUNTIFS('Session Tracker'!$D$5:$D$149,$A19,'Session Tracker'!$F$5:$F$149,"Next week",'Session Tracker'!$G$5:$G$149,"Tue"),$D19*SUMIFS('Session Tracker'!$J$5:$J$149,'Session Tracker'!$D$5:$D$149,$A19,'Session Tracker'!$F$5:$F$149,"Next week",'Session Tracker'!$G$5:$G$149,"Tue"))</f>
        <v>0</v>
      </c>
      <c r="J19" s="52" t="n">
        <f aca="false">IF($E19="Per class",$D19*COUNTIFS('Session Tracker'!$D$5:$D$149,$A19,'Session Tracker'!$F$5:$F$149,"Next week",'Session Tracker'!$G$5:$G$149,"Wed"),$D19*SUMIFS('Session Tracker'!$J$5:$J$149,'Session Tracker'!$D$5:$D$149,$A19,'Session Tracker'!$F$5:$F$149,"Next week",'Session Tracker'!$G$5:$G$149,"Wed"))</f>
        <v>0</v>
      </c>
      <c r="K19" s="52" t="n">
        <f aca="false">IF($E19="Per class",$D19*COUNTIFS('Session Tracker'!$D$5:$D$149,$A19,'Session Tracker'!$F$5:$F$149,"Next week",'Session Tracker'!$G$5:$G$149,"Thu"),$D19*SUMIFS('Session Tracker'!$J$5:$J$149,'Session Tracker'!$D$5:$D$149,$A19,'Session Tracker'!$F$5:$F$149,"Next week",'Session Tracker'!$G$5:$G$149,"Thu"))</f>
        <v>0</v>
      </c>
      <c r="L19" s="52" t="n">
        <f aca="false">IF($E19="Per class",$D19*COUNTIFS('Session Tracker'!$D$5:$D$149,$A19,'Session Tracker'!$F$5:$F$149,"Next week",'Session Tracker'!$G$5:$G$149,"Fri"),$D19*SUMIFS('Session Tracker'!$J$5:$J$149,'Session Tracker'!$D$5:$D$149,$A19,'Session Tracker'!$F$5:$F$149,"Next week",'Session Tracker'!$G$5:$G$149,"Fri"))</f>
        <v>0</v>
      </c>
      <c r="M19" s="52" t="n">
        <f aca="false">IF($E19="Per class",$D19*COUNTIFS('Session Tracker'!$D$5:$D$149,$A19,'Session Tracker'!$F$5:$F$149,"Next week",'Session Tracker'!$G$5:$G$149,""),$D19*SUMIFS('Session Tracker'!$J$5:$J$149,'Session Tracker'!$D$5:$D$149,$A19,'Session Tracker'!$F$5:$F$149,"Next week",'Session Tracker'!$G$5:$G$149,""))</f>
        <v>0</v>
      </c>
    </row>
    <row r="20" customFormat="false" ht="15" hidden="false" customHeight="false" outlineLevel="0" collapsed="false">
      <c r="A20" s="61" t="s">
        <v>150</v>
      </c>
      <c r="B20" s="34" t="s">
        <v>375</v>
      </c>
      <c r="C20" s="34" t="s">
        <v>376</v>
      </c>
      <c r="D20" s="32" t="n">
        <v>2</v>
      </c>
      <c r="E20" s="32" t="s">
        <v>14</v>
      </c>
      <c r="F20" s="32" t="s">
        <v>373</v>
      </c>
      <c r="G20" s="34"/>
      <c r="H20" s="52" t="n">
        <f aca="false">IF($E20="Per class",$D20*COUNTIFS('Session Tracker'!$D$5:$D$149,$A20,'Session Tracker'!$F$5:$F$149,"Next week",'Session Tracker'!$G$5:$G$149,"Mon"),$D20*SUMIFS('Session Tracker'!$J$5:$J$149,'Session Tracker'!$D$5:$D$149,$A20,'Session Tracker'!$F$5:$F$149,"Next week",'Session Tracker'!$G$5:$G$149,"Mon"))</f>
        <v>0</v>
      </c>
      <c r="I20" s="52" t="n">
        <f aca="false">IF($E20="Per class",$D20*COUNTIFS('Session Tracker'!$D$5:$D$149,$A20,'Session Tracker'!$F$5:$F$149,"Next week",'Session Tracker'!$G$5:$G$149,"Tue"),$D20*SUMIFS('Session Tracker'!$J$5:$J$149,'Session Tracker'!$D$5:$D$149,$A20,'Session Tracker'!$F$5:$F$149,"Next week",'Session Tracker'!$G$5:$G$149,"Tue"))</f>
        <v>0</v>
      </c>
      <c r="J20" s="52" t="n">
        <f aca="false">IF($E20="Per class",$D20*COUNTIFS('Session Tracker'!$D$5:$D$149,$A20,'Session Tracker'!$F$5:$F$149,"Next week",'Session Tracker'!$G$5:$G$149,"Wed"),$D20*SUMIFS('Session Tracker'!$J$5:$J$149,'Session Tracker'!$D$5:$D$149,$A20,'Session Tracker'!$F$5:$F$149,"Next week",'Session Tracker'!$G$5:$G$149,"Wed"))</f>
        <v>0</v>
      </c>
      <c r="K20" s="52" t="n">
        <f aca="false">IF($E20="Per class",$D20*COUNTIFS('Session Tracker'!$D$5:$D$149,$A20,'Session Tracker'!$F$5:$F$149,"Next week",'Session Tracker'!$G$5:$G$149,"Thu"),$D20*SUMIFS('Session Tracker'!$J$5:$J$149,'Session Tracker'!$D$5:$D$149,$A20,'Session Tracker'!$F$5:$F$149,"Next week",'Session Tracker'!$G$5:$G$149,"Thu"))</f>
        <v>0</v>
      </c>
      <c r="L20" s="52" t="n">
        <f aca="false">IF($E20="Per class",$D20*COUNTIFS('Session Tracker'!$D$5:$D$149,$A20,'Session Tracker'!$F$5:$F$149,"Next week",'Session Tracker'!$G$5:$G$149,"Fri"),$D20*SUMIFS('Session Tracker'!$J$5:$J$149,'Session Tracker'!$D$5:$D$149,$A20,'Session Tracker'!$F$5:$F$149,"Next week",'Session Tracker'!$G$5:$G$149,"Fri"))</f>
        <v>0</v>
      </c>
      <c r="M20" s="52" t="n">
        <f aca="false">IF($E20="Per class",$D20*COUNTIFS('Session Tracker'!$D$5:$D$149,$A20,'Session Tracker'!$F$5:$F$149,"Next week",'Session Tracker'!$G$5:$G$149,""),$D20*SUMIFS('Session Tracker'!$J$5:$J$149,'Session Tracker'!$D$5:$D$149,$A20,'Session Tracker'!$F$5:$F$149,"Next week",'Session Tracker'!$G$5:$G$149,""))</f>
        <v>0</v>
      </c>
    </row>
    <row r="21" customFormat="false" ht="15" hidden="false" customHeight="false" outlineLevel="0" collapsed="false">
      <c r="A21" s="61" t="s">
        <v>150</v>
      </c>
      <c r="B21" s="34" t="s">
        <v>375</v>
      </c>
      <c r="C21" s="34" t="s">
        <v>385</v>
      </c>
      <c r="D21" s="32" t="n">
        <v>1</v>
      </c>
      <c r="E21" s="32" t="s">
        <v>14</v>
      </c>
      <c r="F21" s="32" t="s">
        <v>368</v>
      </c>
      <c r="G21" s="34" t="s">
        <v>386</v>
      </c>
      <c r="H21" s="52" t="n">
        <f aca="false">IF($E21="Per class",$D21*COUNTIFS('Session Tracker'!$D$5:$D$149,$A21,'Session Tracker'!$F$5:$F$149,"Next week",'Session Tracker'!$G$5:$G$149,"Mon"),$D21*SUMIFS('Session Tracker'!$J$5:$J$149,'Session Tracker'!$D$5:$D$149,$A21,'Session Tracker'!$F$5:$F$149,"Next week",'Session Tracker'!$G$5:$G$149,"Mon"))</f>
        <v>0</v>
      </c>
      <c r="I21" s="52" t="n">
        <f aca="false">IF($E21="Per class",$D21*COUNTIFS('Session Tracker'!$D$5:$D$149,$A21,'Session Tracker'!$F$5:$F$149,"Next week",'Session Tracker'!$G$5:$G$149,"Tue"),$D21*SUMIFS('Session Tracker'!$J$5:$J$149,'Session Tracker'!$D$5:$D$149,$A21,'Session Tracker'!$F$5:$F$149,"Next week",'Session Tracker'!$G$5:$G$149,"Tue"))</f>
        <v>0</v>
      </c>
      <c r="J21" s="52" t="n">
        <f aca="false">IF($E21="Per class",$D21*COUNTIFS('Session Tracker'!$D$5:$D$149,$A21,'Session Tracker'!$F$5:$F$149,"Next week",'Session Tracker'!$G$5:$G$149,"Wed"),$D21*SUMIFS('Session Tracker'!$J$5:$J$149,'Session Tracker'!$D$5:$D$149,$A21,'Session Tracker'!$F$5:$F$149,"Next week",'Session Tracker'!$G$5:$G$149,"Wed"))</f>
        <v>0</v>
      </c>
      <c r="K21" s="52" t="n">
        <f aca="false">IF($E21="Per class",$D21*COUNTIFS('Session Tracker'!$D$5:$D$149,$A21,'Session Tracker'!$F$5:$F$149,"Next week",'Session Tracker'!$G$5:$G$149,"Thu"),$D21*SUMIFS('Session Tracker'!$J$5:$J$149,'Session Tracker'!$D$5:$D$149,$A21,'Session Tracker'!$F$5:$F$149,"Next week",'Session Tracker'!$G$5:$G$149,"Thu"))</f>
        <v>0</v>
      </c>
      <c r="L21" s="52" t="n">
        <f aca="false">IF($E21="Per class",$D21*COUNTIFS('Session Tracker'!$D$5:$D$149,$A21,'Session Tracker'!$F$5:$F$149,"Next week",'Session Tracker'!$G$5:$G$149,"Fri"),$D21*SUMIFS('Session Tracker'!$J$5:$J$149,'Session Tracker'!$D$5:$D$149,$A21,'Session Tracker'!$F$5:$F$149,"Next week",'Session Tracker'!$G$5:$G$149,"Fri"))</f>
        <v>0</v>
      </c>
      <c r="M21" s="52" t="n">
        <f aca="false">IF($E21="Per class",$D21*COUNTIFS('Session Tracker'!$D$5:$D$149,$A21,'Session Tracker'!$F$5:$F$149,"Next week",'Session Tracker'!$G$5:$G$149,""),$D21*SUMIFS('Session Tracker'!$J$5:$J$149,'Session Tracker'!$D$5:$D$149,$A21,'Session Tracker'!$F$5:$F$149,"Next week",'Session Tracker'!$G$5:$G$149,""))</f>
        <v>0</v>
      </c>
    </row>
    <row r="22" customFormat="false" ht="15" hidden="false" customHeight="false" outlineLevel="0" collapsed="false">
      <c r="A22" s="61" t="s">
        <v>150</v>
      </c>
      <c r="B22" s="34" t="s">
        <v>375</v>
      </c>
      <c r="C22" s="34" t="s">
        <v>387</v>
      </c>
      <c r="D22" s="32" t="n">
        <v>1</v>
      </c>
      <c r="E22" s="32" t="s">
        <v>14</v>
      </c>
      <c r="F22" s="32" t="s">
        <v>368</v>
      </c>
      <c r="G22" s="34" t="s">
        <v>388</v>
      </c>
      <c r="H22" s="52" t="n">
        <f aca="false">IF($E22="Per class",$D22*COUNTIFS('Session Tracker'!$D$5:$D$149,$A22,'Session Tracker'!$F$5:$F$149,"Next week",'Session Tracker'!$G$5:$G$149,"Mon"),$D22*SUMIFS('Session Tracker'!$J$5:$J$149,'Session Tracker'!$D$5:$D$149,$A22,'Session Tracker'!$F$5:$F$149,"Next week",'Session Tracker'!$G$5:$G$149,"Mon"))</f>
        <v>0</v>
      </c>
      <c r="I22" s="52" t="n">
        <f aca="false">IF($E22="Per class",$D22*COUNTIFS('Session Tracker'!$D$5:$D$149,$A22,'Session Tracker'!$F$5:$F$149,"Next week",'Session Tracker'!$G$5:$G$149,"Tue"),$D22*SUMIFS('Session Tracker'!$J$5:$J$149,'Session Tracker'!$D$5:$D$149,$A22,'Session Tracker'!$F$5:$F$149,"Next week",'Session Tracker'!$G$5:$G$149,"Tue"))</f>
        <v>0</v>
      </c>
      <c r="J22" s="52" t="n">
        <f aca="false">IF($E22="Per class",$D22*COUNTIFS('Session Tracker'!$D$5:$D$149,$A22,'Session Tracker'!$F$5:$F$149,"Next week",'Session Tracker'!$G$5:$G$149,"Wed"),$D22*SUMIFS('Session Tracker'!$J$5:$J$149,'Session Tracker'!$D$5:$D$149,$A22,'Session Tracker'!$F$5:$F$149,"Next week",'Session Tracker'!$G$5:$G$149,"Wed"))</f>
        <v>0</v>
      </c>
      <c r="K22" s="52" t="n">
        <f aca="false">IF($E22="Per class",$D22*COUNTIFS('Session Tracker'!$D$5:$D$149,$A22,'Session Tracker'!$F$5:$F$149,"Next week",'Session Tracker'!$G$5:$G$149,"Thu"),$D22*SUMIFS('Session Tracker'!$J$5:$J$149,'Session Tracker'!$D$5:$D$149,$A22,'Session Tracker'!$F$5:$F$149,"Next week",'Session Tracker'!$G$5:$G$149,"Thu"))</f>
        <v>0</v>
      </c>
      <c r="L22" s="52" t="n">
        <f aca="false">IF($E22="Per class",$D22*COUNTIFS('Session Tracker'!$D$5:$D$149,$A22,'Session Tracker'!$F$5:$F$149,"Next week",'Session Tracker'!$G$5:$G$149,"Fri"),$D22*SUMIFS('Session Tracker'!$J$5:$J$149,'Session Tracker'!$D$5:$D$149,$A22,'Session Tracker'!$F$5:$F$149,"Next week",'Session Tracker'!$G$5:$G$149,"Fri"))</f>
        <v>0</v>
      </c>
      <c r="M22" s="52" t="n">
        <f aca="false">IF($E22="Per class",$D22*COUNTIFS('Session Tracker'!$D$5:$D$149,$A22,'Session Tracker'!$F$5:$F$149,"Next week",'Session Tracker'!$G$5:$G$149,""),$D22*SUMIFS('Session Tracker'!$J$5:$J$149,'Session Tracker'!$D$5:$D$149,$A22,'Session Tracker'!$F$5:$F$149,"Next week",'Session Tracker'!$G$5:$G$149,""))</f>
        <v>0</v>
      </c>
    </row>
    <row r="23" customFormat="false" ht="15" hidden="false" customHeight="false" outlineLevel="0" collapsed="false">
      <c r="A23" s="61" t="s">
        <v>150</v>
      </c>
      <c r="B23" s="34" t="s">
        <v>379</v>
      </c>
      <c r="C23" s="34" t="s">
        <v>380</v>
      </c>
      <c r="D23" s="32" t="n">
        <v>1</v>
      </c>
      <c r="E23" s="32" t="s">
        <v>14</v>
      </c>
      <c r="F23" s="32" t="s">
        <v>368</v>
      </c>
      <c r="G23" s="34"/>
      <c r="H23" s="52" t="n">
        <f aca="false">IF($E23="Per class",$D23*COUNTIFS('Session Tracker'!$D$5:$D$149,$A23,'Session Tracker'!$F$5:$F$149,"Next week",'Session Tracker'!$G$5:$G$149,"Mon"),$D23*SUMIFS('Session Tracker'!$J$5:$J$149,'Session Tracker'!$D$5:$D$149,$A23,'Session Tracker'!$F$5:$F$149,"Next week",'Session Tracker'!$G$5:$G$149,"Mon"))</f>
        <v>0</v>
      </c>
      <c r="I23" s="52" t="n">
        <f aca="false">IF($E23="Per class",$D23*COUNTIFS('Session Tracker'!$D$5:$D$149,$A23,'Session Tracker'!$F$5:$F$149,"Next week",'Session Tracker'!$G$5:$G$149,"Tue"),$D23*SUMIFS('Session Tracker'!$J$5:$J$149,'Session Tracker'!$D$5:$D$149,$A23,'Session Tracker'!$F$5:$F$149,"Next week",'Session Tracker'!$G$5:$G$149,"Tue"))</f>
        <v>0</v>
      </c>
      <c r="J23" s="52" t="n">
        <f aca="false">IF($E23="Per class",$D23*COUNTIFS('Session Tracker'!$D$5:$D$149,$A23,'Session Tracker'!$F$5:$F$149,"Next week",'Session Tracker'!$G$5:$G$149,"Wed"),$D23*SUMIFS('Session Tracker'!$J$5:$J$149,'Session Tracker'!$D$5:$D$149,$A23,'Session Tracker'!$F$5:$F$149,"Next week",'Session Tracker'!$G$5:$G$149,"Wed"))</f>
        <v>0</v>
      </c>
      <c r="K23" s="52" t="n">
        <f aca="false">IF($E23="Per class",$D23*COUNTIFS('Session Tracker'!$D$5:$D$149,$A23,'Session Tracker'!$F$5:$F$149,"Next week",'Session Tracker'!$G$5:$G$149,"Thu"),$D23*SUMIFS('Session Tracker'!$J$5:$J$149,'Session Tracker'!$D$5:$D$149,$A23,'Session Tracker'!$F$5:$F$149,"Next week",'Session Tracker'!$G$5:$G$149,"Thu"))</f>
        <v>0</v>
      </c>
      <c r="L23" s="52" t="n">
        <f aca="false">IF($E23="Per class",$D23*COUNTIFS('Session Tracker'!$D$5:$D$149,$A23,'Session Tracker'!$F$5:$F$149,"Next week",'Session Tracker'!$G$5:$G$149,"Fri"),$D23*SUMIFS('Session Tracker'!$J$5:$J$149,'Session Tracker'!$D$5:$D$149,$A23,'Session Tracker'!$F$5:$F$149,"Next week",'Session Tracker'!$G$5:$G$149,"Fri"))</f>
        <v>0</v>
      </c>
      <c r="M23" s="52" t="n">
        <f aca="false">IF($E23="Per class",$D23*COUNTIFS('Session Tracker'!$D$5:$D$149,$A23,'Session Tracker'!$F$5:$F$149,"Next week",'Session Tracker'!$G$5:$G$149,""),$D23*SUMIFS('Session Tracker'!$J$5:$J$149,'Session Tracker'!$D$5:$D$149,$A23,'Session Tracker'!$F$5:$F$149,"Next week",'Session Tracker'!$G$5:$G$149,""))</f>
        <v>0</v>
      </c>
    </row>
    <row r="24" customFormat="false" ht="15" hidden="false" customHeight="false" outlineLevel="0" collapsed="false">
      <c r="A24" s="61" t="s">
        <v>150</v>
      </c>
      <c r="B24" s="34" t="s">
        <v>379</v>
      </c>
      <c r="C24" s="34" t="s">
        <v>381</v>
      </c>
      <c r="D24" s="32" t="n">
        <v>8</v>
      </c>
      <c r="E24" s="32" t="s">
        <v>14</v>
      </c>
      <c r="F24" s="32" t="s">
        <v>368</v>
      </c>
      <c r="G24" s="34"/>
      <c r="H24" s="52" t="n">
        <f aca="false">IF($E24="Per class",$D24*COUNTIFS('Session Tracker'!$D$5:$D$149,$A24,'Session Tracker'!$F$5:$F$149,"Next week",'Session Tracker'!$G$5:$G$149,"Mon"),$D24*SUMIFS('Session Tracker'!$J$5:$J$149,'Session Tracker'!$D$5:$D$149,$A24,'Session Tracker'!$F$5:$F$149,"Next week",'Session Tracker'!$G$5:$G$149,"Mon"))</f>
        <v>0</v>
      </c>
      <c r="I24" s="52" t="n">
        <f aca="false">IF($E24="Per class",$D24*COUNTIFS('Session Tracker'!$D$5:$D$149,$A24,'Session Tracker'!$F$5:$F$149,"Next week",'Session Tracker'!$G$5:$G$149,"Tue"),$D24*SUMIFS('Session Tracker'!$J$5:$J$149,'Session Tracker'!$D$5:$D$149,$A24,'Session Tracker'!$F$5:$F$149,"Next week",'Session Tracker'!$G$5:$G$149,"Tue"))</f>
        <v>0</v>
      </c>
      <c r="J24" s="52" t="n">
        <f aca="false">IF($E24="Per class",$D24*COUNTIFS('Session Tracker'!$D$5:$D$149,$A24,'Session Tracker'!$F$5:$F$149,"Next week",'Session Tracker'!$G$5:$G$149,"Wed"),$D24*SUMIFS('Session Tracker'!$J$5:$J$149,'Session Tracker'!$D$5:$D$149,$A24,'Session Tracker'!$F$5:$F$149,"Next week",'Session Tracker'!$G$5:$G$149,"Wed"))</f>
        <v>0</v>
      </c>
      <c r="K24" s="52" t="n">
        <f aca="false">IF($E24="Per class",$D24*COUNTIFS('Session Tracker'!$D$5:$D$149,$A24,'Session Tracker'!$F$5:$F$149,"Next week",'Session Tracker'!$G$5:$G$149,"Thu"),$D24*SUMIFS('Session Tracker'!$J$5:$J$149,'Session Tracker'!$D$5:$D$149,$A24,'Session Tracker'!$F$5:$F$149,"Next week",'Session Tracker'!$G$5:$G$149,"Thu"))</f>
        <v>0</v>
      </c>
      <c r="L24" s="52" t="n">
        <f aca="false">IF($E24="Per class",$D24*COUNTIFS('Session Tracker'!$D$5:$D$149,$A24,'Session Tracker'!$F$5:$F$149,"Next week",'Session Tracker'!$G$5:$G$149,"Fri"),$D24*SUMIFS('Session Tracker'!$J$5:$J$149,'Session Tracker'!$D$5:$D$149,$A24,'Session Tracker'!$F$5:$F$149,"Next week",'Session Tracker'!$G$5:$G$149,"Fri"))</f>
        <v>0</v>
      </c>
      <c r="M24" s="52" t="n">
        <f aca="false">IF($E24="Per class",$D24*COUNTIFS('Session Tracker'!$D$5:$D$149,$A24,'Session Tracker'!$F$5:$F$149,"Next week",'Session Tracker'!$G$5:$G$149,""),$D24*SUMIFS('Session Tracker'!$J$5:$J$149,'Session Tracker'!$D$5:$D$149,$A24,'Session Tracker'!$F$5:$F$149,"Next week",'Session Tracker'!$G$5:$G$149,""))</f>
        <v>0</v>
      </c>
    </row>
    <row r="25" customFormat="false" ht="15" hidden="false" customHeight="false" outlineLevel="0" collapsed="false">
      <c r="A25" s="61" t="s">
        <v>150</v>
      </c>
      <c r="B25" s="34" t="s">
        <v>382</v>
      </c>
      <c r="C25" s="34" t="s">
        <v>383</v>
      </c>
      <c r="D25" s="32" t="n">
        <v>1</v>
      </c>
      <c r="E25" s="32" t="s">
        <v>14</v>
      </c>
      <c r="F25" s="32" t="s">
        <v>368</v>
      </c>
      <c r="G25" s="34"/>
      <c r="H25" s="52" t="n">
        <f aca="false">IF($E25="Per class",$D25*COUNTIFS('Session Tracker'!$D$5:$D$149,$A25,'Session Tracker'!$F$5:$F$149,"Next week",'Session Tracker'!$G$5:$G$149,"Mon"),$D25*SUMIFS('Session Tracker'!$J$5:$J$149,'Session Tracker'!$D$5:$D$149,$A25,'Session Tracker'!$F$5:$F$149,"Next week",'Session Tracker'!$G$5:$G$149,"Mon"))</f>
        <v>0</v>
      </c>
      <c r="I25" s="52" t="n">
        <f aca="false">IF($E25="Per class",$D25*COUNTIFS('Session Tracker'!$D$5:$D$149,$A25,'Session Tracker'!$F$5:$F$149,"Next week",'Session Tracker'!$G$5:$G$149,"Tue"),$D25*SUMIFS('Session Tracker'!$J$5:$J$149,'Session Tracker'!$D$5:$D$149,$A25,'Session Tracker'!$F$5:$F$149,"Next week",'Session Tracker'!$G$5:$G$149,"Tue"))</f>
        <v>0</v>
      </c>
      <c r="J25" s="52" t="n">
        <f aca="false">IF($E25="Per class",$D25*COUNTIFS('Session Tracker'!$D$5:$D$149,$A25,'Session Tracker'!$F$5:$F$149,"Next week",'Session Tracker'!$G$5:$G$149,"Wed"),$D25*SUMIFS('Session Tracker'!$J$5:$J$149,'Session Tracker'!$D$5:$D$149,$A25,'Session Tracker'!$F$5:$F$149,"Next week",'Session Tracker'!$G$5:$G$149,"Wed"))</f>
        <v>0</v>
      </c>
      <c r="K25" s="52" t="n">
        <f aca="false">IF($E25="Per class",$D25*COUNTIFS('Session Tracker'!$D$5:$D$149,$A25,'Session Tracker'!$F$5:$F$149,"Next week",'Session Tracker'!$G$5:$G$149,"Thu"),$D25*SUMIFS('Session Tracker'!$J$5:$J$149,'Session Tracker'!$D$5:$D$149,$A25,'Session Tracker'!$F$5:$F$149,"Next week",'Session Tracker'!$G$5:$G$149,"Thu"))</f>
        <v>0</v>
      </c>
      <c r="L25" s="52" t="n">
        <f aca="false">IF($E25="Per class",$D25*COUNTIFS('Session Tracker'!$D$5:$D$149,$A25,'Session Tracker'!$F$5:$F$149,"Next week",'Session Tracker'!$G$5:$G$149,"Fri"),$D25*SUMIFS('Session Tracker'!$J$5:$J$149,'Session Tracker'!$D$5:$D$149,$A25,'Session Tracker'!$F$5:$F$149,"Next week",'Session Tracker'!$G$5:$G$149,"Fri"))</f>
        <v>0</v>
      </c>
      <c r="M25" s="52" t="n">
        <f aca="false">IF($E25="Per class",$D25*COUNTIFS('Session Tracker'!$D$5:$D$149,$A25,'Session Tracker'!$F$5:$F$149,"Next week",'Session Tracker'!$G$5:$G$149,""),$D25*SUMIFS('Session Tracker'!$J$5:$J$149,'Session Tracker'!$D$5:$D$149,$A25,'Session Tracker'!$F$5:$F$149,"Next week",'Session Tracker'!$G$5:$G$149,""))</f>
        <v>0</v>
      </c>
    </row>
    <row r="26" customFormat="false" ht="15" hidden="false" customHeight="false" outlineLevel="0" collapsed="false">
      <c r="A26" s="61" t="s">
        <v>150</v>
      </c>
      <c r="B26" s="34" t="s">
        <v>377</v>
      </c>
      <c r="C26" s="34" t="s">
        <v>378</v>
      </c>
      <c r="D26" s="32" t="n">
        <v>1</v>
      </c>
      <c r="E26" s="32" t="s">
        <v>14</v>
      </c>
      <c r="F26" s="32" t="s">
        <v>368</v>
      </c>
      <c r="G26" s="34" t="s">
        <v>389</v>
      </c>
      <c r="H26" s="52" t="n">
        <f aca="false">IF($E26="Per class",$D26*COUNTIFS('Session Tracker'!$D$5:$D$149,$A26,'Session Tracker'!$F$5:$F$149,"Next week",'Session Tracker'!$G$5:$G$149,"Mon"),$D26*SUMIFS('Session Tracker'!$J$5:$J$149,'Session Tracker'!$D$5:$D$149,$A26,'Session Tracker'!$F$5:$F$149,"Next week",'Session Tracker'!$G$5:$G$149,"Mon"))</f>
        <v>0</v>
      </c>
      <c r="I26" s="52" t="n">
        <f aca="false">IF($E26="Per class",$D26*COUNTIFS('Session Tracker'!$D$5:$D$149,$A26,'Session Tracker'!$F$5:$F$149,"Next week",'Session Tracker'!$G$5:$G$149,"Tue"),$D26*SUMIFS('Session Tracker'!$J$5:$J$149,'Session Tracker'!$D$5:$D$149,$A26,'Session Tracker'!$F$5:$F$149,"Next week",'Session Tracker'!$G$5:$G$149,"Tue"))</f>
        <v>0</v>
      </c>
      <c r="J26" s="52" t="n">
        <f aca="false">IF($E26="Per class",$D26*COUNTIFS('Session Tracker'!$D$5:$D$149,$A26,'Session Tracker'!$F$5:$F$149,"Next week",'Session Tracker'!$G$5:$G$149,"Wed"),$D26*SUMIFS('Session Tracker'!$J$5:$J$149,'Session Tracker'!$D$5:$D$149,$A26,'Session Tracker'!$F$5:$F$149,"Next week",'Session Tracker'!$G$5:$G$149,"Wed"))</f>
        <v>0</v>
      </c>
      <c r="K26" s="52" t="n">
        <f aca="false">IF($E26="Per class",$D26*COUNTIFS('Session Tracker'!$D$5:$D$149,$A26,'Session Tracker'!$F$5:$F$149,"Next week",'Session Tracker'!$G$5:$G$149,"Thu"),$D26*SUMIFS('Session Tracker'!$J$5:$J$149,'Session Tracker'!$D$5:$D$149,$A26,'Session Tracker'!$F$5:$F$149,"Next week",'Session Tracker'!$G$5:$G$149,"Thu"))</f>
        <v>0</v>
      </c>
      <c r="L26" s="52" t="n">
        <f aca="false">IF($E26="Per class",$D26*COUNTIFS('Session Tracker'!$D$5:$D$149,$A26,'Session Tracker'!$F$5:$F$149,"Next week",'Session Tracker'!$G$5:$G$149,"Fri"),$D26*SUMIFS('Session Tracker'!$J$5:$J$149,'Session Tracker'!$D$5:$D$149,$A26,'Session Tracker'!$F$5:$F$149,"Next week",'Session Tracker'!$G$5:$G$149,"Fri"))</f>
        <v>0</v>
      </c>
      <c r="M26" s="52" t="n">
        <f aca="false">IF($E26="Per class",$D26*COUNTIFS('Session Tracker'!$D$5:$D$149,$A26,'Session Tracker'!$F$5:$F$149,"Next week",'Session Tracker'!$G$5:$G$149,""),$D26*SUMIFS('Session Tracker'!$J$5:$J$149,'Session Tracker'!$D$5:$D$149,$A26,'Session Tracker'!$F$5:$F$149,"Next week",'Session Tracker'!$G$5:$G$149,""))</f>
        <v>0</v>
      </c>
    </row>
    <row r="27" customFormat="false" ht="15" hidden="false" customHeight="false" outlineLevel="0" collapsed="false">
      <c r="A27" s="53" t="s">
        <v>150</v>
      </c>
      <c r="B27" s="54"/>
      <c r="C27" s="54"/>
      <c r="D27" s="54"/>
      <c r="E27" s="54"/>
      <c r="F27" s="54"/>
      <c r="G27" s="54"/>
      <c r="H27" s="52" t="n">
        <f aca="false">IF($E27="Per class",$D27*COUNTIFS('Session Tracker'!$D$5:$D$149,$A27,'Session Tracker'!$F$5:$F$149,"Next week",'Session Tracker'!$G$5:$G$149,"Mon"),$D27*SUMIFS('Session Tracker'!$J$5:$J$149,'Session Tracker'!$D$5:$D$149,$A27,'Session Tracker'!$F$5:$F$149,"Next week",'Session Tracker'!$G$5:$G$149,"Mon"))</f>
        <v>0</v>
      </c>
      <c r="I27" s="52" t="n">
        <f aca="false">IF($E27="Per class",$D27*COUNTIFS('Session Tracker'!$D$5:$D$149,$A27,'Session Tracker'!$F$5:$F$149,"Next week",'Session Tracker'!$G$5:$G$149,"Tue"),$D27*SUMIFS('Session Tracker'!$J$5:$J$149,'Session Tracker'!$D$5:$D$149,$A27,'Session Tracker'!$F$5:$F$149,"Next week",'Session Tracker'!$G$5:$G$149,"Tue"))</f>
        <v>0</v>
      </c>
      <c r="J27" s="52" t="n">
        <f aca="false">IF($E27="Per class",$D27*COUNTIFS('Session Tracker'!$D$5:$D$149,$A27,'Session Tracker'!$F$5:$F$149,"Next week",'Session Tracker'!$G$5:$G$149,"Wed"),$D27*SUMIFS('Session Tracker'!$J$5:$J$149,'Session Tracker'!$D$5:$D$149,$A27,'Session Tracker'!$F$5:$F$149,"Next week",'Session Tracker'!$G$5:$G$149,"Wed"))</f>
        <v>0</v>
      </c>
      <c r="K27" s="52" t="n">
        <f aca="false">IF($E27="Per class",$D27*COUNTIFS('Session Tracker'!$D$5:$D$149,$A27,'Session Tracker'!$F$5:$F$149,"Next week",'Session Tracker'!$G$5:$G$149,"Thu"),$D27*SUMIFS('Session Tracker'!$J$5:$J$149,'Session Tracker'!$D$5:$D$149,$A27,'Session Tracker'!$F$5:$F$149,"Next week",'Session Tracker'!$G$5:$G$149,"Thu"))</f>
        <v>0</v>
      </c>
      <c r="L27" s="52" t="n">
        <f aca="false">IF($E27="Per class",$D27*COUNTIFS('Session Tracker'!$D$5:$D$149,$A27,'Session Tracker'!$F$5:$F$149,"Next week",'Session Tracker'!$G$5:$G$149,"Fri"),$D27*SUMIFS('Session Tracker'!$J$5:$J$149,'Session Tracker'!$D$5:$D$149,$A27,'Session Tracker'!$F$5:$F$149,"Next week",'Session Tracker'!$G$5:$G$149,"Fri"))</f>
        <v>0</v>
      </c>
      <c r="M27" s="52" t="n">
        <f aca="false">IF($E27="Per class",$D27*COUNTIFS('Session Tracker'!$D$5:$D$149,$A27,'Session Tracker'!$F$5:$F$149,"Next week",'Session Tracker'!$G$5:$G$149,""),$D27*SUMIFS('Session Tracker'!$J$5:$J$149,'Session Tracker'!$D$5:$D$149,$A27,'Session Tracker'!$F$5:$F$149,"Next week",'Session Tracker'!$G$5:$G$149,""))</f>
        <v>0</v>
      </c>
    </row>
    <row r="28" customFormat="false" ht="15" hidden="false" customHeight="false" outlineLevel="0" collapsed="false">
      <c r="A28" s="53" t="s">
        <v>150</v>
      </c>
      <c r="B28" s="54"/>
      <c r="C28" s="54"/>
      <c r="D28" s="54"/>
      <c r="E28" s="54"/>
      <c r="F28" s="54"/>
      <c r="G28" s="54"/>
      <c r="H28" s="52" t="n">
        <f aca="false">IF($E28="Per class",$D28*COUNTIFS('Session Tracker'!$D$5:$D$149,$A28,'Session Tracker'!$F$5:$F$149,"Next week",'Session Tracker'!$G$5:$G$149,"Mon"),$D28*SUMIFS('Session Tracker'!$J$5:$J$149,'Session Tracker'!$D$5:$D$149,$A28,'Session Tracker'!$F$5:$F$149,"Next week",'Session Tracker'!$G$5:$G$149,"Mon"))</f>
        <v>0</v>
      </c>
      <c r="I28" s="52" t="n">
        <f aca="false">IF($E28="Per class",$D28*COUNTIFS('Session Tracker'!$D$5:$D$149,$A28,'Session Tracker'!$F$5:$F$149,"Next week",'Session Tracker'!$G$5:$G$149,"Tue"),$D28*SUMIFS('Session Tracker'!$J$5:$J$149,'Session Tracker'!$D$5:$D$149,$A28,'Session Tracker'!$F$5:$F$149,"Next week",'Session Tracker'!$G$5:$G$149,"Tue"))</f>
        <v>0</v>
      </c>
      <c r="J28" s="52" t="n">
        <f aca="false">IF($E28="Per class",$D28*COUNTIFS('Session Tracker'!$D$5:$D$149,$A28,'Session Tracker'!$F$5:$F$149,"Next week",'Session Tracker'!$G$5:$G$149,"Wed"),$D28*SUMIFS('Session Tracker'!$J$5:$J$149,'Session Tracker'!$D$5:$D$149,$A28,'Session Tracker'!$F$5:$F$149,"Next week",'Session Tracker'!$G$5:$G$149,"Wed"))</f>
        <v>0</v>
      </c>
      <c r="K28" s="52" t="n">
        <f aca="false">IF($E28="Per class",$D28*COUNTIFS('Session Tracker'!$D$5:$D$149,$A28,'Session Tracker'!$F$5:$F$149,"Next week",'Session Tracker'!$G$5:$G$149,"Thu"),$D28*SUMIFS('Session Tracker'!$J$5:$J$149,'Session Tracker'!$D$5:$D$149,$A28,'Session Tracker'!$F$5:$F$149,"Next week",'Session Tracker'!$G$5:$G$149,"Thu"))</f>
        <v>0</v>
      </c>
      <c r="L28" s="52" t="n">
        <f aca="false">IF($E28="Per class",$D28*COUNTIFS('Session Tracker'!$D$5:$D$149,$A28,'Session Tracker'!$F$5:$F$149,"Next week",'Session Tracker'!$G$5:$G$149,"Fri"),$D28*SUMIFS('Session Tracker'!$J$5:$J$149,'Session Tracker'!$D$5:$D$149,$A28,'Session Tracker'!$F$5:$F$149,"Next week",'Session Tracker'!$G$5:$G$149,"Fri"))</f>
        <v>0</v>
      </c>
      <c r="M28" s="52" t="n">
        <f aca="false">IF($E28="Per class",$D28*COUNTIFS('Session Tracker'!$D$5:$D$149,$A28,'Session Tracker'!$F$5:$F$149,"Next week",'Session Tracker'!$G$5:$G$149,""),$D28*SUMIFS('Session Tracker'!$J$5:$J$149,'Session Tracker'!$D$5:$D$149,$A28,'Session Tracker'!$F$5:$F$149,"Next week",'Session Tracker'!$G$5:$G$149,""))</f>
        <v>0</v>
      </c>
    </row>
    <row r="30" customFormat="false" ht="19.5" hidden="false" customHeight="true" outlineLevel="0" collapsed="false">
      <c r="A30" s="57" t="s">
        <v>151</v>
      </c>
      <c r="B30" s="58" t="s">
        <v>390</v>
      </c>
      <c r="C30" s="58"/>
      <c r="D30" s="58"/>
      <c r="E30" s="58"/>
      <c r="F30" s="59" t="str">
        <f aca="false">"Status: "&amp;'Session Tracker'!F43&amp;IF('Session Tracker'!G43&lt;&gt;""," ("&amp;'Session Tracker'!G43&amp;")","")</f>
        <v>Status: Not started</v>
      </c>
      <c r="G30" s="59"/>
      <c r="H30" s="60"/>
      <c r="I30" s="60"/>
      <c r="J30" s="60"/>
      <c r="K30" s="60"/>
      <c r="L30" s="60"/>
      <c r="M30" s="60"/>
    </row>
    <row r="31" customFormat="false" ht="23.85" hidden="false" customHeight="false" outlineLevel="0" collapsed="false">
      <c r="A31" s="61" t="s">
        <v>151</v>
      </c>
      <c r="B31" s="34" t="s">
        <v>366</v>
      </c>
      <c r="C31" s="34" t="s">
        <v>391</v>
      </c>
      <c r="D31" s="32" t="n">
        <v>1</v>
      </c>
      <c r="E31" s="32" t="s">
        <v>14</v>
      </c>
      <c r="F31" s="32" t="s">
        <v>368</v>
      </c>
      <c r="G31" s="34" t="s">
        <v>392</v>
      </c>
      <c r="H31" s="52" t="n">
        <f aca="false">IF($E31="Per class",$D31*COUNTIFS('Session Tracker'!$D$5:$D$149,$A31,'Session Tracker'!$F$5:$F$149,"Next week",'Session Tracker'!$G$5:$G$149,"Mon"),$D31*SUMIFS('Session Tracker'!$J$5:$J$149,'Session Tracker'!$D$5:$D$149,$A31,'Session Tracker'!$F$5:$F$149,"Next week",'Session Tracker'!$G$5:$G$149,"Mon"))</f>
        <v>0</v>
      </c>
      <c r="I31" s="52" t="n">
        <f aca="false">IF($E31="Per class",$D31*COUNTIFS('Session Tracker'!$D$5:$D$149,$A31,'Session Tracker'!$F$5:$F$149,"Next week",'Session Tracker'!$G$5:$G$149,"Tue"),$D31*SUMIFS('Session Tracker'!$J$5:$J$149,'Session Tracker'!$D$5:$D$149,$A31,'Session Tracker'!$F$5:$F$149,"Next week",'Session Tracker'!$G$5:$G$149,"Tue"))</f>
        <v>0</v>
      </c>
      <c r="J31" s="52" t="n">
        <f aca="false">IF($E31="Per class",$D31*COUNTIFS('Session Tracker'!$D$5:$D$149,$A31,'Session Tracker'!$F$5:$F$149,"Next week",'Session Tracker'!$G$5:$G$149,"Wed"),$D31*SUMIFS('Session Tracker'!$J$5:$J$149,'Session Tracker'!$D$5:$D$149,$A31,'Session Tracker'!$F$5:$F$149,"Next week",'Session Tracker'!$G$5:$G$149,"Wed"))</f>
        <v>0</v>
      </c>
      <c r="K31" s="52" t="n">
        <f aca="false">IF($E31="Per class",$D31*COUNTIFS('Session Tracker'!$D$5:$D$149,$A31,'Session Tracker'!$F$5:$F$149,"Next week",'Session Tracker'!$G$5:$G$149,"Thu"),$D31*SUMIFS('Session Tracker'!$J$5:$J$149,'Session Tracker'!$D$5:$D$149,$A31,'Session Tracker'!$F$5:$F$149,"Next week",'Session Tracker'!$G$5:$G$149,"Thu"))</f>
        <v>0</v>
      </c>
      <c r="L31" s="52" t="n">
        <f aca="false">IF($E31="Per class",$D31*COUNTIFS('Session Tracker'!$D$5:$D$149,$A31,'Session Tracker'!$F$5:$F$149,"Next week",'Session Tracker'!$G$5:$G$149,"Fri"),$D31*SUMIFS('Session Tracker'!$J$5:$J$149,'Session Tracker'!$D$5:$D$149,$A31,'Session Tracker'!$F$5:$F$149,"Next week",'Session Tracker'!$G$5:$G$149,"Fri"))</f>
        <v>0</v>
      </c>
      <c r="M31" s="52" t="n">
        <f aca="false">IF($E31="Per class",$D31*COUNTIFS('Session Tracker'!$D$5:$D$149,$A31,'Session Tracker'!$F$5:$F$149,"Next week",'Session Tracker'!$G$5:$G$149,""),$D31*SUMIFS('Session Tracker'!$J$5:$J$149,'Session Tracker'!$D$5:$D$149,$A31,'Session Tracker'!$F$5:$F$149,"Next week",'Session Tracker'!$G$5:$G$149,""))</f>
        <v>0</v>
      </c>
    </row>
    <row r="32" customFormat="false" ht="15" hidden="false" customHeight="false" outlineLevel="0" collapsed="false">
      <c r="A32" s="61" t="s">
        <v>151</v>
      </c>
      <c r="B32" s="34" t="s">
        <v>371</v>
      </c>
      <c r="C32" s="34" t="s">
        <v>372</v>
      </c>
      <c r="D32" s="32" t="n">
        <v>1</v>
      </c>
      <c r="E32" s="32" t="s">
        <v>14</v>
      </c>
      <c r="F32" s="32" t="s">
        <v>373</v>
      </c>
      <c r="G32" s="34"/>
      <c r="H32" s="52" t="n">
        <f aca="false">IF($E32="Per class",$D32*COUNTIFS('Session Tracker'!$D$5:$D$149,$A32,'Session Tracker'!$F$5:$F$149,"Next week",'Session Tracker'!$G$5:$G$149,"Mon"),$D32*SUMIFS('Session Tracker'!$J$5:$J$149,'Session Tracker'!$D$5:$D$149,$A32,'Session Tracker'!$F$5:$F$149,"Next week",'Session Tracker'!$G$5:$G$149,"Mon"))</f>
        <v>0</v>
      </c>
      <c r="I32" s="52" t="n">
        <f aca="false">IF($E32="Per class",$D32*COUNTIFS('Session Tracker'!$D$5:$D$149,$A32,'Session Tracker'!$F$5:$F$149,"Next week",'Session Tracker'!$G$5:$G$149,"Tue"),$D32*SUMIFS('Session Tracker'!$J$5:$J$149,'Session Tracker'!$D$5:$D$149,$A32,'Session Tracker'!$F$5:$F$149,"Next week",'Session Tracker'!$G$5:$G$149,"Tue"))</f>
        <v>0</v>
      </c>
      <c r="J32" s="52" t="n">
        <f aca="false">IF($E32="Per class",$D32*COUNTIFS('Session Tracker'!$D$5:$D$149,$A32,'Session Tracker'!$F$5:$F$149,"Next week",'Session Tracker'!$G$5:$G$149,"Wed"),$D32*SUMIFS('Session Tracker'!$J$5:$J$149,'Session Tracker'!$D$5:$D$149,$A32,'Session Tracker'!$F$5:$F$149,"Next week",'Session Tracker'!$G$5:$G$149,"Wed"))</f>
        <v>0</v>
      </c>
      <c r="K32" s="52" t="n">
        <f aca="false">IF($E32="Per class",$D32*COUNTIFS('Session Tracker'!$D$5:$D$149,$A32,'Session Tracker'!$F$5:$F$149,"Next week",'Session Tracker'!$G$5:$G$149,"Thu"),$D32*SUMIFS('Session Tracker'!$J$5:$J$149,'Session Tracker'!$D$5:$D$149,$A32,'Session Tracker'!$F$5:$F$149,"Next week",'Session Tracker'!$G$5:$G$149,"Thu"))</f>
        <v>0</v>
      </c>
      <c r="L32" s="52" t="n">
        <f aca="false">IF($E32="Per class",$D32*COUNTIFS('Session Tracker'!$D$5:$D$149,$A32,'Session Tracker'!$F$5:$F$149,"Next week",'Session Tracker'!$G$5:$G$149,"Fri"),$D32*SUMIFS('Session Tracker'!$J$5:$J$149,'Session Tracker'!$D$5:$D$149,$A32,'Session Tracker'!$F$5:$F$149,"Next week",'Session Tracker'!$G$5:$G$149,"Fri"))</f>
        <v>0</v>
      </c>
      <c r="M32" s="52" t="n">
        <f aca="false">IF($E32="Per class",$D32*COUNTIFS('Session Tracker'!$D$5:$D$149,$A32,'Session Tracker'!$F$5:$F$149,"Next week",'Session Tracker'!$G$5:$G$149,""),$D32*SUMIFS('Session Tracker'!$J$5:$J$149,'Session Tracker'!$D$5:$D$149,$A32,'Session Tracker'!$F$5:$F$149,"Next week",'Session Tracker'!$G$5:$G$149,""))</f>
        <v>0</v>
      </c>
    </row>
    <row r="33" customFormat="false" ht="15" hidden="false" customHeight="false" outlineLevel="0" collapsed="false">
      <c r="A33" s="61" t="s">
        <v>151</v>
      </c>
      <c r="B33" s="34" t="s">
        <v>375</v>
      </c>
      <c r="C33" s="34" t="s">
        <v>376</v>
      </c>
      <c r="D33" s="32" t="n">
        <v>1</v>
      </c>
      <c r="E33" s="32" t="s">
        <v>14</v>
      </c>
      <c r="F33" s="32" t="s">
        <v>373</v>
      </c>
      <c r="G33" s="34"/>
      <c r="H33" s="52" t="n">
        <f aca="false">IF($E33="Per class",$D33*COUNTIFS('Session Tracker'!$D$5:$D$149,$A33,'Session Tracker'!$F$5:$F$149,"Next week",'Session Tracker'!$G$5:$G$149,"Mon"),$D33*SUMIFS('Session Tracker'!$J$5:$J$149,'Session Tracker'!$D$5:$D$149,$A33,'Session Tracker'!$F$5:$F$149,"Next week",'Session Tracker'!$G$5:$G$149,"Mon"))</f>
        <v>0</v>
      </c>
      <c r="I33" s="52" t="n">
        <f aca="false">IF($E33="Per class",$D33*COUNTIFS('Session Tracker'!$D$5:$D$149,$A33,'Session Tracker'!$F$5:$F$149,"Next week",'Session Tracker'!$G$5:$G$149,"Tue"),$D33*SUMIFS('Session Tracker'!$J$5:$J$149,'Session Tracker'!$D$5:$D$149,$A33,'Session Tracker'!$F$5:$F$149,"Next week",'Session Tracker'!$G$5:$G$149,"Tue"))</f>
        <v>0</v>
      </c>
      <c r="J33" s="52" t="n">
        <f aca="false">IF($E33="Per class",$D33*COUNTIFS('Session Tracker'!$D$5:$D$149,$A33,'Session Tracker'!$F$5:$F$149,"Next week",'Session Tracker'!$G$5:$G$149,"Wed"),$D33*SUMIFS('Session Tracker'!$J$5:$J$149,'Session Tracker'!$D$5:$D$149,$A33,'Session Tracker'!$F$5:$F$149,"Next week",'Session Tracker'!$G$5:$G$149,"Wed"))</f>
        <v>0</v>
      </c>
      <c r="K33" s="52" t="n">
        <f aca="false">IF($E33="Per class",$D33*COUNTIFS('Session Tracker'!$D$5:$D$149,$A33,'Session Tracker'!$F$5:$F$149,"Next week",'Session Tracker'!$G$5:$G$149,"Thu"),$D33*SUMIFS('Session Tracker'!$J$5:$J$149,'Session Tracker'!$D$5:$D$149,$A33,'Session Tracker'!$F$5:$F$149,"Next week",'Session Tracker'!$G$5:$G$149,"Thu"))</f>
        <v>0</v>
      </c>
      <c r="L33" s="52" t="n">
        <f aca="false">IF($E33="Per class",$D33*COUNTIFS('Session Tracker'!$D$5:$D$149,$A33,'Session Tracker'!$F$5:$F$149,"Next week",'Session Tracker'!$G$5:$G$149,"Fri"),$D33*SUMIFS('Session Tracker'!$J$5:$J$149,'Session Tracker'!$D$5:$D$149,$A33,'Session Tracker'!$F$5:$F$149,"Next week",'Session Tracker'!$G$5:$G$149,"Fri"))</f>
        <v>0</v>
      </c>
      <c r="M33" s="52" t="n">
        <f aca="false">IF($E33="Per class",$D33*COUNTIFS('Session Tracker'!$D$5:$D$149,$A33,'Session Tracker'!$F$5:$F$149,"Next week",'Session Tracker'!$G$5:$G$149,""),$D33*SUMIFS('Session Tracker'!$J$5:$J$149,'Session Tracker'!$D$5:$D$149,$A33,'Session Tracker'!$F$5:$F$149,"Next week",'Session Tracker'!$G$5:$G$149,""))</f>
        <v>0</v>
      </c>
    </row>
    <row r="34" customFormat="false" ht="15" hidden="false" customHeight="false" outlineLevel="0" collapsed="false">
      <c r="A34" s="61" t="s">
        <v>151</v>
      </c>
      <c r="B34" s="34" t="s">
        <v>375</v>
      </c>
      <c r="C34" s="34" t="s">
        <v>387</v>
      </c>
      <c r="D34" s="32" t="n">
        <v>1</v>
      </c>
      <c r="E34" s="32" t="s">
        <v>14</v>
      </c>
      <c r="F34" s="32" t="s">
        <v>368</v>
      </c>
      <c r="G34" s="34" t="s">
        <v>393</v>
      </c>
      <c r="H34" s="52" t="n">
        <f aca="false">IF($E34="Per class",$D34*COUNTIFS('Session Tracker'!$D$5:$D$149,$A34,'Session Tracker'!$F$5:$F$149,"Next week",'Session Tracker'!$G$5:$G$149,"Mon"),$D34*SUMIFS('Session Tracker'!$J$5:$J$149,'Session Tracker'!$D$5:$D$149,$A34,'Session Tracker'!$F$5:$F$149,"Next week",'Session Tracker'!$G$5:$G$149,"Mon"))</f>
        <v>0</v>
      </c>
      <c r="I34" s="52" t="n">
        <f aca="false">IF($E34="Per class",$D34*COUNTIFS('Session Tracker'!$D$5:$D$149,$A34,'Session Tracker'!$F$5:$F$149,"Next week",'Session Tracker'!$G$5:$G$149,"Tue"),$D34*SUMIFS('Session Tracker'!$J$5:$J$149,'Session Tracker'!$D$5:$D$149,$A34,'Session Tracker'!$F$5:$F$149,"Next week",'Session Tracker'!$G$5:$G$149,"Tue"))</f>
        <v>0</v>
      </c>
      <c r="J34" s="52" t="n">
        <f aca="false">IF($E34="Per class",$D34*COUNTIFS('Session Tracker'!$D$5:$D$149,$A34,'Session Tracker'!$F$5:$F$149,"Next week",'Session Tracker'!$G$5:$G$149,"Wed"),$D34*SUMIFS('Session Tracker'!$J$5:$J$149,'Session Tracker'!$D$5:$D$149,$A34,'Session Tracker'!$F$5:$F$149,"Next week",'Session Tracker'!$G$5:$G$149,"Wed"))</f>
        <v>0</v>
      </c>
      <c r="K34" s="52" t="n">
        <f aca="false">IF($E34="Per class",$D34*COUNTIFS('Session Tracker'!$D$5:$D$149,$A34,'Session Tracker'!$F$5:$F$149,"Next week",'Session Tracker'!$G$5:$G$149,"Thu"),$D34*SUMIFS('Session Tracker'!$J$5:$J$149,'Session Tracker'!$D$5:$D$149,$A34,'Session Tracker'!$F$5:$F$149,"Next week",'Session Tracker'!$G$5:$G$149,"Thu"))</f>
        <v>0</v>
      </c>
      <c r="L34" s="52" t="n">
        <f aca="false">IF($E34="Per class",$D34*COUNTIFS('Session Tracker'!$D$5:$D$149,$A34,'Session Tracker'!$F$5:$F$149,"Next week",'Session Tracker'!$G$5:$G$149,"Fri"),$D34*SUMIFS('Session Tracker'!$J$5:$J$149,'Session Tracker'!$D$5:$D$149,$A34,'Session Tracker'!$F$5:$F$149,"Next week",'Session Tracker'!$G$5:$G$149,"Fri"))</f>
        <v>0</v>
      </c>
      <c r="M34" s="52" t="n">
        <f aca="false">IF($E34="Per class",$D34*COUNTIFS('Session Tracker'!$D$5:$D$149,$A34,'Session Tracker'!$F$5:$F$149,"Next week",'Session Tracker'!$G$5:$G$149,""),$D34*SUMIFS('Session Tracker'!$J$5:$J$149,'Session Tracker'!$D$5:$D$149,$A34,'Session Tracker'!$F$5:$F$149,"Next week",'Session Tracker'!$G$5:$G$149,""))</f>
        <v>0</v>
      </c>
    </row>
    <row r="35" customFormat="false" ht="15" hidden="false" customHeight="false" outlineLevel="0" collapsed="false">
      <c r="A35" s="61" t="s">
        <v>151</v>
      </c>
      <c r="B35" s="34" t="s">
        <v>379</v>
      </c>
      <c r="C35" s="34" t="s">
        <v>380</v>
      </c>
      <c r="D35" s="32" t="n">
        <v>2</v>
      </c>
      <c r="E35" s="32" t="s">
        <v>14</v>
      </c>
      <c r="F35" s="32" t="s">
        <v>368</v>
      </c>
      <c r="G35" s="34" t="s">
        <v>394</v>
      </c>
      <c r="H35" s="52" t="n">
        <f aca="false">IF($E35="Per class",$D35*COUNTIFS('Session Tracker'!$D$5:$D$149,$A35,'Session Tracker'!$F$5:$F$149,"Next week",'Session Tracker'!$G$5:$G$149,"Mon"),$D35*SUMIFS('Session Tracker'!$J$5:$J$149,'Session Tracker'!$D$5:$D$149,$A35,'Session Tracker'!$F$5:$F$149,"Next week",'Session Tracker'!$G$5:$G$149,"Mon"))</f>
        <v>0</v>
      </c>
      <c r="I35" s="52" t="n">
        <f aca="false">IF($E35="Per class",$D35*COUNTIFS('Session Tracker'!$D$5:$D$149,$A35,'Session Tracker'!$F$5:$F$149,"Next week",'Session Tracker'!$G$5:$G$149,"Tue"),$D35*SUMIFS('Session Tracker'!$J$5:$J$149,'Session Tracker'!$D$5:$D$149,$A35,'Session Tracker'!$F$5:$F$149,"Next week",'Session Tracker'!$G$5:$G$149,"Tue"))</f>
        <v>0</v>
      </c>
      <c r="J35" s="52" t="n">
        <f aca="false">IF($E35="Per class",$D35*COUNTIFS('Session Tracker'!$D$5:$D$149,$A35,'Session Tracker'!$F$5:$F$149,"Next week",'Session Tracker'!$G$5:$G$149,"Wed"),$D35*SUMIFS('Session Tracker'!$J$5:$J$149,'Session Tracker'!$D$5:$D$149,$A35,'Session Tracker'!$F$5:$F$149,"Next week",'Session Tracker'!$G$5:$G$149,"Wed"))</f>
        <v>0</v>
      </c>
      <c r="K35" s="52" t="n">
        <f aca="false">IF($E35="Per class",$D35*COUNTIFS('Session Tracker'!$D$5:$D$149,$A35,'Session Tracker'!$F$5:$F$149,"Next week",'Session Tracker'!$G$5:$G$149,"Thu"),$D35*SUMIFS('Session Tracker'!$J$5:$J$149,'Session Tracker'!$D$5:$D$149,$A35,'Session Tracker'!$F$5:$F$149,"Next week",'Session Tracker'!$G$5:$G$149,"Thu"))</f>
        <v>0</v>
      </c>
      <c r="L35" s="52" t="n">
        <f aca="false">IF($E35="Per class",$D35*COUNTIFS('Session Tracker'!$D$5:$D$149,$A35,'Session Tracker'!$F$5:$F$149,"Next week",'Session Tracker'!$G$5:$G$149,"Fri"),$D35*SUMIFS('Session Tracker'!$J$5:$J$149,'Session Tracker'!$D$5:$D$149,$A35,'Session Tracker'!$F$5:$F$149,"Next week",'Session Tracker'!$G$5:$G$149,"Fri"))</f>
        <v>0</v>
      </c>
      <c r="M35" s="52" t="n">
        <f aca="false">IF($E35="Per class",$D35*COUNTIFS('Session Tracker'!$D$5:$D$149,$A35,'Session Tracker'!$F$5:$F$149,"Next week",'Session Tracker'!$G$5:$G$149,""),$D35*SUMIFS('Session Tracker'!$J$5:$J$149,'Session Tracker'!$D$5:$D$149,$A35,'Session Tracker'!$F$5:$F$149,"Next week",'Session Tracker'!$G$5:$G$149,""))</f>
        <v>0</v>
      </c>
    </row>
    <row r="36" customFormat="false" ht="15" hidden="false" customHeight="false" outlineLevel="0" collapsed="false">
      <c r="A36" s="61" t="s">
        <v>151</v>
      </c>
      <c r="B36" s="34" t="s">
        <v>379</v>
      </c>
      <c r="C36" s="34" t="s">
        <v>381</v>
      </c>
      <c r="D36" s="32" t="n">
        <v>6</v>
      </c>
      <c r="E36" s="32" t="s">
        <v>14</v>
      </c>
      <c r="F36" s="32" t="s">
        <v>368</v>
      </c>
      <c r="G36" s="34"/>
      <c r="H36" s="52" t="n">
        <f aca="false">IF($E36="Per class",$D36*COUNTIFS('Session Tracker'!$D$5:$D$149,$A36,'Session Tracker'!$F$5:$F$149,"Next week",'Session Tracker'!$G$5:$G$149,"Mon"),$D36*SUMIFS('Session Tracker'!$J$5:$J$149,'Session Tracker'!$D$5:$D$149,$A36,'Session Tracker'!$F$5:$F$149,"Next week",'Session Tracker'!$G$5:$G$149,"Mon"))</f>
        <v>0</v>
      </c>
      <c r="I36" s="52" t="n">
        <f aca="false">IF($E36="Per class",$D36*COUNTIFS('Session Tracker'!$D$5:$D$149,$A36,'Session Tracker'!$F$5:$F$149,"Next week",'Session Tracker'!$G$5:$G$149,"Tue"),$D36*SUMIFS('Session Tracker'!$J$5:$J$149,'Session Tracker'!$D$5:$D$149,$A36,'Session Tracker'!$F$5:$F$149,"Next week",'Session Tracker'!$G$5:$G$149,"Tue"))</f>
        <v>0</v>
      </c>
      <c r="J36" s="52" t="n">
        <f aca="false">IF($E36="Per class",$D36*COUNTIFS('Session Tracker'!$D$5:$D$149,$A36,'Session Tracker'!$F$5:$F$149,"Next week",'Session Tracker'!$G$5:$G$149,"Wed"),$D36*SUMIFS('Session Tracker'!$J$5:$J$149,'Session Tracker'!$D$5:$D$149,$A36,'Session Tracker'!$F$5:$F$149,"Next week",'Session Tracker'!$G$5:$G$149,"Wed"))</f>
        <v>0</v>
      </c>
      <c r="K36" s="52" t="n">
        <f aca="false">IF($E36="Per class",$D36*COUNTIFS('Session Tracker'!$D$5:$D$149,$A36,'Session Tracker'!$F$5:$F$149,"Next week",'Session Tracker'!$G$5:$G$149,"Thu"),$D36*SUMIFS('Session Tracker'!$J$5:$J$149,'Session Tracker'!$D$5:$D$149,$A36,'Session Tracker'!$F$5:$F$149,"Next week",'Session Tracker'!$G$5:$G$149,"Thu"))</f>
        <v>0</v>
      </c>
      <c r="L36" s="52" t="n">
        <f aca="false">IF($E36="Per class",$D36*COUNTIFS('Session Tracker'!$D$5:$D$149,$A36,'Session Tracker'!$F$5:$F$149,"Next week",'Session Tracker'!$G$5:$G$149,"Fri"),$D36*SUMIFS('Session Tracker'!$J$5:$J$149,'Session Tracker'!$D$5:$D$149,$A36,'Session Tracker'!$F$5:$F$149,"Next week",'Session Tracker'!$G$5:$G$149,"Fri"))</f>
        <v>0</v>
      </c>
      <c r="M36" s="52" t="n">
        <f aca="false">IF($E36="Per class",$D36*COUNTIFS('Session Tracker'!$D$5:$D$149,$A36,'Session Tracker'!$F$5:$F$149,"Next week",'Session Tracker'!$G$5:$G$149,""),$D36*SUMIFS('Session Tracker'!$J$5:$J$149,'Session Tracker'!$D$5:$D$149,$A36,'Session Tracker'!$F$5:$F$149,"Next week",'Session Tracker'!$G$5:$G$149,""))</f>
        <v>0</v>
      </c>
    </row>
    <row r="37" customFormat="false" ht="15" hidden="false" customHeight="false" outlineLevel="0" collapsed="false">
      <c r="A37" s="61" t="s">
        <v>151</v>
      </c>
      <c r="B37" s="34" t="s">
        <v>379</v>
      </c>
      <c r="C37" s="34" t="s">
        <v>395</v>
      </c>
      <c r="D37" s="32" t="n">
        <v>4</v>
      </c>
      <c r="E37" s="32" t="s">
        <v>14</v>
      </c>
      <c r="F37" s="32" t="s">
        <v>368</v>
      </c>
      <c r="G37" s="34" t="s">
        <v>396</v>
      </c>
      <c r="H37" s="52" t="n">
        <f aca="false">IF($E37="Per class",$D37*COUNTIFS('Session Tracker'!$D$5:$D$149,$A37,'Session Tracker'!$F$5:$F$149,"Next week",'Session Tracker'!$G$5:$G$149,"Mon"),$D37*SUMIFS('Session Tracker'!$J$5:$J$149,'Session Tracker'!$D$5:$D$149,$A37,'Session Tracker'!$F$5:$F$149,"Next week",'Session Tracker'!$G$5:$G$149,"Mon"))</f>
        <v>0</v>
      </c>
      <c r="I37" s="52" t="n">
        <f aca="false">IF($E37="Per class",$D37*COUNTIFS('Session Tracker'!$D$5:$D$149,$A37,'Session Tracker'!$F$5:$F$149,"Next week",'Session Tracker'!$G$5:$G$149,"Tue"),$D37*SUMIFS('Session Tracker'!$J$5:$J$149,'Session Tracker'!$D$5:$D$149,$A37,'Session Tracker'!$F$5:$F$149,"Next week",'Session Tracker'!$G$5:$G$149,"Tue"))</f>
        <v>0</v>
      </c>
      <c r="J37" s="52" t="n">
        <f aca="false">IF($E37="Per class",$D37*COUNTIFS('Session Tracker'!$D$5:$D$149,$A37,'Session Tracker'!$F$5:$F$149,"Next week",'Session Tracker'!$G$5:$G$149,"Wed"),$D37*SUMIFS('Session Tracker'!$J$5:$J$149,'Session Tracker'!$D$5:$D$149,$A37,'Session Tracker'!$F$5:$F$149,"Next week",'Session Tracker'!$G$5:$G$149,"Wed"))</f>
        <v>0</v>
      </c>
      <c r="K37" s="52" t="n">
        <f aca="false">IF($E37="Per class",$D37*COUNTIFS('Session Tracker'!$D$5:$D$149,$A37,'Session Tracker'!$F$5:$F$149,"Next week",'Session Tracker'!$G$5:$G$149,"Thu"),$D37*SUMIFS('Session Tracker'!$J$5:$J$149,'Session Tracker'!$D$5:$D$149,$A37,'Session Tracker'!$F$5:$F$149,"Next week",'Session Tracker'!$G$5:$G$149,"Thu"))</f>
        <v>0</v>
      </c>
      <c r="L37" s="52" t="n">
        <f aca="false">IF($E37="Per class",$D37*COUNTIFS('Session Tracker'!$D$5:$D$149,$A37,'Session Tracker'!$F$5:$F$149,"Next week",'Session Tracker'!$G$5:$G$149,"Fri"),$D37*SUMIFS('Session Tracker'!$J$5:$J$149,'Session Tracker'!$D$5:$D$149,$A37,'Session Tracker'!$F$5:$F$149,"Next week",'Session Tracker'!$G$5:$G$149,"Fri"))</f>
        <v>0</v>
      </c>
      <c r="M37" s="52" t="n">
        <f aca="false">IF($E37="Per class",$D37*COUNTIFS('Session Tracker'!$D$5:$D$149,$A37,'Session Tracker'!$F$5:$F$149,"Next week",'Session Tracker'!$G$5:$G$149,""),$D37*SUMIFS('Session Tracker'!$J$5:$J$149,'Session Tracker'!$D$5:$D$149,$A37,'Session Tracker'!$F$5:$F$149,"Next week",'Session Tracker'!$G$5:$G$149,""))</f>
        <v>0</v>
      </c>
    </row>
    <row r="38" customFormat="false" ht="15" hidden="false" customHeight="false" outlineLevel="0" collapsed="false">
      <c r="A38" s="61" t="s">
        <v>151</v>
      </c>
      <c r="B38" s="34" t="s">
        <v>382</v>
      </c>
      <c r="C38" s="34" t="s">
        <v>383</v>
      </c>
      <c r="D38" s="32" t="n">
        <v>1</v>
      </c>
      <c r="E38" s="32" t="s">
        <v>14</v>
      </c>
      <c r="F38" s="32" t="s">
        <v>368</v>
      </c>
      <c r="G38" s="34"/>
      <c r="H38" s="52" t="n">
        <f aca="false">IF($E38="Per class",$D38*COUNTIFS('Session Tracker'!$D$5:$D$149,$A38,'Session Tracker'!$F$5:$F$149,"Next week",'Session Tracker'!$G$5:$G$149,"Mon"),$D38*SUMIFS('Session Tracker'!$J$5:$J$149,'Session Tracker'!$D$5:$D$149,$A38,'Session Tracker'!$F$5:$F$149,"Next week",'Session Tracker'!$G$5:$G$149,"Mon"))</f>
        <v>0</v>
      </c>
      <c r="I38" s="52" t="n">
        <f aca="false">IF($E38="Per class",$D38*COUNTIFS('Session Tracker'!$D$5:$D$149,$A38,'Session Tracker'!$F$5:$F$149,"Next week",'Session Tracker'!$G$5:$G$149,"Tue"),$D38*SUMIFS('Session Tracker'!$J$5:$J$149,'Session Tracker'!$D$5:$D$149,$A38,'Session Tracker'!$F$5:$F$149,"Next week",'Session Tracker'!$G$5:$G$149,"Tue"))</f>
        <v>0</v>
      </c>
      <c r="J38" s="52" t="n">
        <f aca="false">IF($E38="Per class",$D38*COUNTIFS('Session Tracker'!$D$5:$D$149,$A38,'Session Tracker'!$F$5:$F$149,"Next week",'Session Tracker'!$G$5:$G$149,"Wed"),$D38*SUMIFS('Session Tracker'!$J$5:$J$149,'Session Tracker'!$D$5:$D$149,$A38,'Session Tracker'!$F$5:$F$149,"Next week",'Session Tracker'!$G$5:$G$149,"Wed"))</f>
        <v>0</v>
      </c>
      <c r="K38" s="52" t="n">
        <f aca="false">IF($E38="Per class",$D38*COUNTIFS('Session Tracker'!$D$5:$D$149,$A38,'Session Tracker'!$F$5:$F$149,"Next week",'Session Tracker'!$G$5:$G$149,"Thu"),$D38*SUMIFS('Session Tracker'!$J$5:$J$149,'Session Tracker'!$D$5:$D$149,$A38,'Session Tracker'!$F$5:$F$149,"Next week",'Session Tracker'!$G$5:$G$149,"Thu"))</f>
        <v>0</v>
      </c>
      <c r="L38" s="52" t="n">
        <f aca="false">IF($E38="Per class",$D38*COUNTIFS('Session Tracker'!$D$5:$D$149,$A38,'Session Tracker'!$F$5:$F$149,"Next week",'Session Tracker'!$G$5:$G$149,"Fri"),$D38*SUMIFS('Session Tracker'!$J$5:$J$149,'Session Tracker'!$D$5:$D$149,$A38,'Session Tracker'!$F$5:$F$149,"Next week",'Session Tracker'!$G$5:$G$149,"Fri"))</f>
        <v>0</v>
      </c>
      <c r="M38" s="52" t="n">
        <f aca="false">IF($E38="Per class",$D38*COUNTIFS('Session Tracker'!$D$5:$D$149,$A38,'Session Tracker'!$F$5:$F$149,"Next week",'Session Tracker'!$G$5:$G$149,""),$D38*SUMIFS('Session Tracker'!$J$5:$J$149,'Session Tracker'!$D$5:$D$149,$A38,'Session Tracker'!$F$5:$F$149,"Next week",'Session Tracker'!$G$5:$G$149,""))</f>
        <v>0</v>
      </c>
    </row>
    <row r="39" customFormat="false" ht="15" hidden="false" customHeight="false" outlineLevel="0" collapsed="false">
      <c r="A39" s="61" t="s">
        <v>151</v>
      </c>
      <c r="B39" s="34" t="s">
        <v>382</v>
      </c>
      <c r="C39" s="34" t="s">
        <v>397</v>
      </c>
      <c r="D39" s="32" t="n">
        <v>1</v>
      </c>
      <c r="E39" s="32" t="s">
        <v>16</v>
      </c>
      <c r="F39" s="32" t="s">
        <v>368</v>
      </c>
      <c r="G39" s="34" t="s">
        <v>398</v>
      </c>
      <c r="H39" s="52" t="n">
        <f aca="false">IF($E39="Per class",$D39*COUNTIFS('Session Tracker'!$D$5:$D$149,$A39,'Session Tracker'!$F$5:$F$149,"Next week",'Session Tracker'!$G$5:$G$149,"Mon"),$D39*SUMIFS('Session Tracker'!$J$5:$J$149,'Session Tracker'!$D$5:$D$149,$A39,'Session Tracker'!$F$5:$F$149,"Next week",'Session Tracker'!$G$5:$G$149,"Mon"))</f>
        <v>0</v>
      </c>
      <c r="I39" s="52" t="n">
        <f aca="false">IF($E39="Per class",$D39*COUNTIFS('Session Tracker'!$D$5:$D$149,$A39,'Session Tracker'!$F$5:$F$149,"Next week",'Session Tracker'!$G$5:$G$149,"Tue"),$D39*SUMIFS('Session Tracker'!$J$5:$J$149,'Session Tracker'!$D$5:$D$149,$A39,'Session Tracker'!$F$5:$F$149,"Next week",'Session Tracker'!$G$5:$G$149,"Tue"))</f>
        <v>0</v>
      </c>
      <c r="J39" s="52" t="n">
        <f aca="false">IF($E39="Per class",$D39*COUNTIFS('Session Tracker'!$D$5:$D$149,$A39,'Session Tracker'!$F$5:$F$149,"Next week",'Session Tracker'!$G$5:$G$149,"Wed"),$D39*SUMIFS('Session Tracker'!$J$5:$J$149,'Session Tracker'!$D$5:$D$149,$A39,'Session Tracker'!$F$5:$F$149,"Next week",'Session Tracker'!$G$5:$G$149,"Wed"))</f>
        <v>0</v>
      </c>
      <c r="K39" s="52" t="n">
        <f aca="false">IF($E39="Per class",$D39*COUNTIFS('Session Tracker'!$D$5:$D$149,$A39,'Session Tracker'!$F$5:$F$149,"Next week",'Session Tracker'!$G$5:$G$149,"Thu"),$D39*SUMIFS('Session Tracker'!$J$5:$J$149,'Session Tracker'!$D$5:$D$149,$A39,'Session Tracker'!$F$5:$F$149,"Next week",'Session Tracker'!$G$5:$G$149,"Thu"))</f>
        <v>0</v>
      </c>
      <c r="L39" s="52" t="n">
        <f aca="false">IF($E39="Per class",$D39*COUNTIFS('Session Tracker'!$D$5:$D$149,$A39,'Session Tracker'!$F$5:$F$149,"Next week",'Session Tracker'!$G$5:$G$149,"Fri"),$D39*SUMIFS('Session Tracker'!$J$5:$J$149,'Session Tracker'!$D$5:$D$149,$A39,'Session Tracker'!$F$5:$F$149,"Next week",'Session Tracker'!$G$5:$G$149,"Fri"))</f>
        <v>0</v>
      </c>
      <c r="M39" s="52" t="n">
        <f aca="false">IF($E39="Per class",$D39*COUNTIFS('Session Tracker'!$D$5:$D$149,$A39,'Session Tracker'!$F$5:$F$149,"Next week",'Session Tracker'!$G$5:$G$149,""),$D39*SUMIFS('Session Tracker'!$J$5:$J$149,'Session Tracker'!$D$5:$D$149,$A39,'Session Tracker'!$F$5:$F$149,"Next week",'Session Tracker'!$G$5:$G$149,""))</f>
        <v>0</v>
      </c>
    </row>
    <row r="40" customFormat="false" ht="15" hidden="false" customHeight="false" outlineLevel="0" collapsed="false">
      <c r="A40" s="53" t="s">
        <v>151</v>
      </c>
      <c r="B40" s="54"/>
      <c r="C40" s="54"/>
      <c r="D40" s="54"/>
      <c r="E40" s="54"/>
      <c r="F40" s="54"/>
      <c r="G40" s="54"/>
      <c r="H40" s="52" t="n">
        <f aca="false">IF($E40="Per class",$D40*COUNTIFS('Session Tracker'!$D$5:$D$149,$A40,'Session Tracker'!$F$5:$F$149,"Next week",'Session Tracker'!$G$5:$G$149,"Mon"),$D40*SUMIFS('Session Tracker'!$J$5:$J$149,'Session Tracker'!$D$5:$D$149,$A40,'Session Tracker'!$F$5:$F$149,"Next week",'Session Tracker'!$G$5:$G$149,"Mon"))</f>
        <v>0</v>
      </c>
      <c r="I40" s="52" t="n">
        <f aca="false">IF($E40="Per class",$D40*COUNTIFS('Session Tracker'!$D$5:$D$149,$A40,'Session Tracker'!$F$5:$F$149,"Next week",'Session Tracker'!$G$5:$G$149,"Tue"),$D40*SUMIFS('Session Tracker'!$J$5:$J$149,'Session Tracker'!$D$5:$D$149,$A40,'Session Tracker'!$F$5:$F$149,"Next week",'Session Tracker'!$G$5:$G$149,"Tue"))</f>
        <v>0</v>
      </c>
      <c r="J40" s="52" t="n">
        <f aca="false">IF($E40="Per class",$D40*COUNTIFS('Session Tracker'!$D$5:$D$149,$A40,'Session Tracker'!$F$5:$F$149,"Next week",'Session Tracker'!$G$5:$G$149,"Wed"),$D40*SUMIFS('Session Tracker'!$J$5:$J$149,'Session Tracker'!$D$5:$D$149,$A40,'Session Tracker'!$F$5:$F$149,"Next week",'Session Tracker'!$G$5:$G$149,"Wed"))</f>
        <v>0</v>
      </c>
      <c r="K40" s="52" t="n">
        <f aca="false">IF($E40="Per class",$D40*COUNTIFS('Session Tracker'!$D$5:$D$149,$A40,'Session Tracker'!$F$5:$F$149,"Next week",'Session Tracker'!$G$5:$G$149,"Thu"),$D40*SUMIFS('Session Tracker'!$J$5:$J$149,'Session Tracker'!$D$5:$D$149,$A40,'Session Tracker'!$F$5:$F$149,"Next week",'Session Tracker'!$G$5:$G$149,"Thu"))</f>
        <v>0</v>
      </c>
      <c r="L40" s="52" t="n">
        <f aca="false">IF($E40="Per class",$D40*COUNTIFS('Session Tracker'!$D$5:$D$149,$A40,'Session Tracker'!$F$5:$F$149,"Next week",'Session Tracker'!$G$5:$G$149,"Fri"),$D40*SUMIFS('Session Tracker'!$J$5:$J$149,'Session Tracker'!$D$5:$D$149,$A40,'Session Tracker'!$F$5:$F$149,"Next week",'Session Tracker'!$G$5:$G$149,"Fri"))</f>
        <v>0</v>
      </c>
      <c r="M40" s="52" t="n">
        <f aca="false">IF($E40="Per class",$D40*COUNTIFS('Session Tracker'!$D$5:$D$149,$A40,'Session Tracker'!$F$5:$F$149,"Next week",'Session Tracker'!$G$5:$G$149,""),$D40*SUMIFS('Session Tracker'!$J$5:$J$149,'Session Tracker'!$D$5:$D$149,$A40,'Session Tracker'!$F$5:$F$149,"Next week",'Session Tracker'!$G$5:$G$149,""))</f>
        <v>0</v>
      </c>
    </row>
    <row r="41" customFormat="false" ht="15" hidden="false" customHeight="false" outlineLevel="0" collapsed="false">
      <c r="A41" s="53" t="s">
        <v>151</v>
      </c>
      <c r="B41" s="54"/>
      <c r="C41" s="54"/>
      <c r="D41" s="54"/>
      <c r="E41" s="54"/>
      <c r="F41" s="54"/>
      <c r="G41" s="54"/>
      <c r="H41" s="52" t="n">
        <f aca="false">IF($E41="Per class",$D41*COUNTIFS('Session Tracker'!$D$5:$D$149,$A41,'Session Tracker'!$F$5:$F$149,"Next week",'Session Tracker'!$G$5:$G$149,"Mon"),$D41*SUMIFS('Session Tracker'!$J$5:$J$149,'Session Tracker'!$D$5:$D$149,$A41,'Session Tracker'!$F$5:$F$149,"Next week",'Session Tracker'!$G$5:$G$149,"Mon"))</f>
        <v>0</v>
      </c>
      <c r="I41" s="52" t="n">
        <f aca="false">IF($E41="Per class",$D41*COUNTIFS('Session Tracker'!$D$5:$D$149,$A41,'Session Tracker'!$F$5:$F$149,"Next week",'Session Tracker'!$G$5:$G$149,"Tue"),$D41*SUMIFS('Session Tracker'!$J$5:$J$149,'Session Tracker'!$D$5:$D$149,$A41,'Session Tracker'!$F$5:$F$149,"Next week",'Session Tracker'!$G$5:$G$149,"Tue"))</f>
        <v>0</v>
      </c>
      <c r="J41" s="52" t="n">
        <f aca="false">IF($E41="Per class",$D41*COUNTIFS('Session Tracker'!$D$5:$D$149,$A41,'Session Tracker'!$F$5:$F$149,"Next week",'Session Tracker'!$G$5:$G$149,"Wed"),$D41*SUMIFS('Session Tracker'!$J$5:$J$149,'Session Tracker'!$D$5:$D$149,$A41,'Session Tracker'!$F$5:$F$149,"Next week",'Session Tracker'!$G$5:$G$149,"Wed"))</f>
        <v>0</v>
      </c>
      <c r="K41" s="52" t="n">
        <f aca="false">IF($E41="Per class",$D41*COUNTIFS('Session Tracker'!$D$5:$D$149,$A41,'Session Tracker'!$F$5:$F$149,"Next week",'Session Tracker'!$G$5:$G$149,"Thu"),$D41*SUMIFS('Session Tracker'!$J$5:$J$149,'Session Tracker'!$D$5:$D$149,$A41,'Session Tracker'!$F$5:$F$149,"Next week",'Session Tracker'!$G$5:$G$149,"Thu"))</f>
        <v>0</v>
      </c>
      <c r="L41" s="52" t="n">
        <f aca="false">IF($E41="Per class",$D41*COUNTIFS('Session Tracker'!$D$5:$D$149,$A41,'Session Tracker'!$F$5:$F$149,"Next week",'Session Tracker'!$G$5:$G$149,"Fri"),$D41*SUMIFS('Session Tracker'!$J$5:$J$149,'Session Tracker'!$D$5:$D$149,$A41,'Session Tracker'!$F$5:$F$149,"Next week",'Session Tracker'!$G$5:$G$149,"Fri"))</f>
        <v>0</v>
      </c>
      <c r="M41" s="52" t="n">
        <f aca="false">IF($E41="Per class",$D41*COUNTIFS('Session Tracker'!$D$5:$D$149,$A41,'Session Tracker'!$F$5:$F$149,"Next week",'Session Tracker'!$G$5:$G$149,""),$D41*SUMIFS('Session Tracker'!$J$5:$J$149,'Session Tracker'!$D$5:$D$149,$A41,'Session Tracker'!$F$5:$F$149,"Next week",'Session Tracker'!$G$5:$G$149,""))</f>
        <v>0</v>
      </c>
    </row>
    <row r="43" customFormat="false" ht="19.5" hidden="false" customHeight="true" outlineLevel="0" collapsed="false">
      <c r="A43" s="57" t="s">
        <v>152</v>
      </c>
      <c r="B43" s="58" t="s">
        <v>399</v>
      </c>
      <c r="C43" s="58"/>
      <c r="D43" s="58"/>
      <c r="E43" s="58"/>
      <c r="F43" s="59" t="str">
        <f aca="false">"Status: "&amp;'Session Tracker'!F44&amp;IF('Session Tracker'!G44&lt;&gt;""," ("&amp;'Session Tracker'!G44&amp;")","")</f>
        <v>Status: Not started</v>
      </c>
      <c r="G43" s="59"/>
      <c r="H43" s="60"/>
      <c r="I43" s="60"/>
      <c r="J43" s="60"/>
      <c r="K43" s="60"/>
      <c r="L43" s="60"/>
      <c r="M43" s="60"/>
    </row>
    <row r="44" customFormat="false" ht="15" hidden="false" customHeight="false" outlineLevel="0" collapsed="false">
      <c r="A44" s="61" t="s">
        <v>152</v>
      </c>
      <c r="B44" s="34" t="s">
        <v>382</v>
      </c>
      <c r="C44" s="34" t="s">
        <v>383</v>
      </c>
      <c r="D44" s="32" t="n">
        <v>1</v>
      </c>
      <c r="E44" s="32" t="s">
        <v>14</v>
      </c>
      <c r="F44" s="32" t="s">
        <v>368</v>
      </c>
      <c r="G44" s="34" t="s">
        <v>400</v>
      </c>
      <c r="H44" s="52" t="n">
        <f aca="false">IF($E44="Per class",$D44*COUNTIFS('Session Tracker'!$D$5:$D$149,$A44,'Session Tracker'!$F$5:$F$149,"Next week",'Session Tracker'!$G$5:$G$149,"Mon"),$D44*SUMIFS('Session Tracker'!$J$5:$J$149,'Session Tracker'!$D$5:$D$149,$A44,'Session Tracker'!$F$5:$F$149,"Next week",'Session Tracker'!$G$5:$G$149,"Mon"))</f>
        <v>0</v>
      </c>
      <c r="I44" s="52" t="n">
        <f aca="false">IF($E44="Per class",$D44*COUNTIFS('Session Tracker'!$D$5:$D$149,$A44,'Session Tracker'!$F$5:$F$149,"Next week",'Session Tracker'!$G$5:$G$149,"Tue"),$D44*SUMIFS('Session Tracker'!$J$5:$J$149,'Session Tracker'!$D$5:$D$149,$A44,'Session Tracker'!$F$5:$F$149,"Next week",'Session Tracker'!$G$5:$G$149,"Tue"))</f>
        <v>0</v>
      </c>
      <c r="J44" s="52" t="n">
        <f aca="false">IF($E44="Per class",$D44*COUNTIFS('Session Tracker'!$D$5:$D$149,$A44,'Session Tracker'!$F$5:$F$149,"Next week",'Session Tracker'!$G$5:$G$149,"Wed"),$D44*SUMIFS('Session Tracker'!$J$5:$J$149,'Session Tracker'!$D$5:$D$149,$A44,'Session Tracker'!$F$5:$F$149,"Next week",'Session Tracker'!$G$5:$G$149,"Wed"))</f>
        <v>0</v>
      </c>
      <c r="K44" s="52" t="n">
        <f aca="false">IF($E44="Per class",$D44*COUNTIFS('Session Tracker'!$D$5:$D$149,$A44,'Session Tracker'!$F$5:$F$149,"Next week",'Session Tracker'!$G$5:$G$149,"Thu"),$D44*SUMIFS('Session Tracker'!$J$5:$J$149,'Session Tracker'!$D$5:$D$149,$A44,'Session Tracker'!$F$5:$F$149,"Next week",'Session Tracker'!$G$5:$G$149,"Thu"))</f>
        <v>0</v>
      </c>
      <c r="L44" s="52" t="n">
        <f aca="false">IF($E44="Per class",$D44*COUNTIFS('Session Tracker'!$D$5:$D$149,$A44,'Session Tracker'!$F$5:$F$149,"Next week",'Session Tracker'!$G$5:$G$149,"Fri"),$D44*SUMIFS('Session Tracker'!$J$5:$J$149,'Session Tracker'!$D$5:$D$149,$A44,'Session Tracker'!$F$5:$F$149,"Next week",'Session Tracker'!$G$5:$G$149,"Fri"))</f>
        <v>0</v>
      </c>
      <c r="M44" s="52" t="n">
        <f aca="false">IF($E44="Per class",$D44*COUNTIFS('Session Tracker'!$D$5:$D$149,$A44,'Session Tracker'!$F$5:$F$149,"Next week",'Session Tracker'!$G$5:$G$149,""),$D44*SUMIFS('Session Tracker'!$J$5:$J$149,'Session Tracker'!$D$5:$D$149,$A44,'Session Tracker'!$F$5:$F$149,"Next week",'Session Tracker'!$G$5:$G$149,""))</f>
        <v>0</v>
      </c>
    </row>
    <row r="45" customFormat="false" ht="15" hidden="false" customHeight="false" outlineLevel="0" collapsed="false">
      <c r="A45" s="61" t="s">
        <v>152</v>
      </c>
      <c r="B45" s="34" t="s">
        <v>382</v>
      </c>
      <c r="C45" s="34" t="s">
        <v>401</v>
      </c>
      <c r="D45" s="32" t="n">
        <v>1</v>
      </c>
      <c r="E45" s="32" t="s">
        <v>16</v>
      </c>
      <c r="F45" s="32" t="s">
        <v>368</v>
      </c>
      <c r="G45" s="34"/>
      <c r="H45" s="52" t="n">
        <f aca="false">IF($E45="Per class",$D45*COUNTIFS('Session Tracker'!$D$5:$D$149,$A45,'Session Tracker'!$F$5:$F$149,"Next week",'Session Tracker'!$G$5:$G$149,"Mon"),$D45*SUMIFS('Session Tracker'!$J$5:$J$149,'Session Tracker'!$D$5:$D$149,$A45,'Session Tracker'!$F$5:$F$149,"Next week",'Session Tracker'!$G$5:$G$149,"Mon"))</f>
        <v>0</v>
      </c>
      <c r="I45" s="52" t="n">
        <f aca="false">IF($E45="Per class",$D45*COUNTIFS('Session Tracker'!$D$5:$D$149,$A45,'Session Tracker'!$F$5:$F$149,"Next week",'Session Tracker'!$G$5:$G$149,"Tue"),$D45*SUMIFS('Session Tracker'!$J$5:$J$149,'Session Tracker'!$D$5:$D$149,$A45,'Session Tracker'!$F$5:$F$149,"Next week",'Session Tracker'!$G$5:$G$149,"Tue"))</f>
        <v>0</v>
      </c>
      <c r="J45" s="52" t="n">
        <f aca="false">IF($E45="Per class",$D45*COUNTIFS('Session Tracker'!$D$5:$D$149,$A45,'Session Tracker'!$F$5:$F$149,"Next week",'Session Tracker'!$G$5:$G$149,"Wed"),$D45*SUMIFS('Session Tracker'!$J$5:$J$149,'Session Tracker'!$D$5:$D$149,$A45,'Session Tracker'!$F$5:$F$149,"Next week",'Session Tracker'!$G$5:$G$149,"Wed"))</f>
        <v>0</v>
      </c>
      <c r="K45" s="52" t="n">
        <f aca="false">IF($E45="Per class",$D45*COUNTIFS('Session Tracker'!$D$5:$D$149,$A45,'Session Tracker'!$F$5:$F$149,"Next week",'Session Tracker'!$G$5:$G$149,"Thu"),$D45*SUMIFS('Session Tracker'!$J$5:$J$149,'Session Tracker'!$D$5:$D$149,$A45,'Session Tracker'!$F$5:$F$149,"Next week",'Session Tracker'!$G$5:$G$149,"Thu"))</f>
        <v>0</v>
      </c>
      <c r="L45" s="52" t="n">
        <f aca="false">IF($E45="Per class",$D45*COUNTIFS('Session Tracker'!$D$5:$D$149,$A45,'Session Tracker'!$F$5:$F$149,"Next week",'Session Tracker'!$G$5:$G$149,"Fri"),$D45*SUMIFS('Session Tracker'!$J$5:$J$149,'Session Tracker'!$D$5:$D$149,$A45,'Session Tracker'!$F$5:$F$149,"Next week",'Session Tracker'!$G$5:$G$149,"Fri"))</f>
        <v>0</v>
      </c>
      <c r="M45" s="52" t="n">
        <f aca="false">IF($E45="Per class",$D45*COUNTIFS('Session Tracker'!$D$5:$D$149,$A45,'Session Tracker'!$F$5:$F$149,"Next week",'Session Tracker'!$G$5:$G$149,""),$D45*SUMIFS('Session Tracker'!$J$5:$J$149,'Session Tracker'!$D$5:$D$149,$A45,'Session Tracker'!$F$5:$F$149,"Next week",'Session Tracker'!$G$5:$G$149,""))</f>
        <v>0</v>
      </c>
    </row>
    <row r="46" customFormat="false" ht="15" hidden="false" customHeight="false" outlineLevel="0" collapsed="false">
      <c r="A46" s="61" t="s">
        <v>152</v>
      </c>
      <c r="B46" s="34" t="s">
        <v>382</v>
      </c>
      <c r="C46" s="34" t="s">
        <v>402</v>
      </c>
      <c r="D46" s="32" t="n">
        <v>1</v>
      </c>
      <c r="E46" s="32" t="s">
        <v>16</v>
      </c>
      <c r="F46" s="32" t="s">
        <v>373</v>
      </c>
      <c r="G46" s="34" t="s">
        <v>403</v>
      </c>
      <c r="H46" s="52" t="n">
        <f aca="false">IF($E46="Per class",$D46*COUNTIFS('Session Tracker'!$D$5:$D$149,$A46,'Session Tracker'!$F$5:$F$149,"Next week",'Session Tracker'!$G$5:$G$149,"Mon"),$D46*SUMIFS('Session Tracker'!$J$5:$J$149,'Session Tracker'!$D$5:$D$149,$A46,'Session Tracker'!$F$5:$F$149,"Next week",'Session Tracker'!$G$5:$G$149,"Mon"))</f>
        <v>0</v>
      </c>
      <c r="I46" s="52" t="n">
        <f aca="false">IF($E46="Per class",$D46*COUNTIFS('Session Tracker'!$D$5:$D$149,$A46,'Session Tracker'!$F$5:$F$149,"Next week",'Session Tracker'!$G$5:$G$149,"Tue"),$D46*SUMIFS('Session Tracker'!$J$5:$J$149,'Session Tracker'!$D$5:$D$149,$A46,'Session Tracker'!$F$5:$F$149,"Next week",'Session Tracker'!$G$5:$G$149,"Tue"))</f>
        <v>0</v>
      </c>
      <c r="J46" s="52" t="n">
        <f aca="false">IF($E46="Per class",$D46*COUNTIFS('Session Tracker'!$D$5:$D$149,$A46,'Session Tracker'!$F$5:$F$149,"Next week",'Session Tracker'!$G$5:$G$149,"Wed"),$D46*SUMIFS('Session Tracker'!$J$5:$J$149,'Session Tracker'!$D$5:$D$149,$A46,'Session Tracker'!$F$5:$F$149,"Next week",'Session Tracker'!$G$5:$G$149,"Wed"))</f>
        <v>0</v>
      </c>
      <c r="K46" s="52" t="n">
        <f aca="false">IF($E46="Per class",$D46*COUNTIFS('Session Tracker'!$D$5:$D$149,$A46,'Session Tracker'!$F$5:$F$149,"Next week",'Session Tracker'!$G$5:$G$149,"Thu"),$D46*SUMIFS('Session Tracker'!$J$5:$J$149,'Session Tracker'!$D$5:$D$149,$A46,'Session Tracker'!$F$5:$F$149,"Next week",'Session Tracker'!$G$5:$G$149,"Thu"))</f>
        <v>0</v>
      </c>
      <c r="L46" s="52" t="n">
        <f aca="false">IF($E46="Per class",$D46*COUNTIFS('Session Tracker'!$D$5:$D$149,$A46,'Session Tracker'!$F$5:$F$149,"Next week",'Session Tracker'!$G$5:$G$149,"Fri"),$D46*SUMIFS('Session Tracker'!$J$5:$J$149,'Session Tracker'!$D$5:$D$149,$A46,'Session Tracker'!$F$5:$F$149,"Next week",'Session Tracker'!$G$5:$G$149,"Fri"))</f>
        <v>0</v>
      </c>
      <c r="M46" s="52" t="n">
        <f aca="false">IF($E46="Per class",$D46*COUNTIFS('Session Tracker'!$D$5:$D$149,$A46,'Session Tracker'!$F$5:$F$149,"Next week",'Session Tracker'!$G$5:$G$149,""),$D46*SUMIFS('Session Tracker'!$J$5:$J$149,'Session Tracker'!$D$5:$D$149,$A46,'Session Tracker'!$F$5:$F$149,"Next week",'Session Tracker'!$G$5:$G$149,""))</f>
        <v>0</v>
      </c>
    </row>
    <row r="47" customFormat="false" ht="15" hidden="false" customHeight="false" outlineLevel="0" collapsed="false">
      <c r="A47" s="61" t="s">
        <v>152</v>
      </c>
      <c r="B47" s="34" t="s">
        <v>382</v>
      </c>
      <c r="C47" s="34" t="s">
        <v>404</v>
      </c>
      <c r="D47" s="32" t="n">
        <v>1</v>
      </c>
      <c r="E47" s="32" t="s">
        <v>16</v>
      </c>
      <c r="F47" s="32" t="s">
        <v>368</v>
      </c>
      <c r="G47" s="34" t="s">
        <v>405</v>
      </c>
      <c r="H47" s="52" t="n">
        <f aca="false">IF($E47="Per class",$D47*COUNTIFS('Session Tracker'!$D$5:$D$149,$A47,'Session Tracker'!$F$5:$F$149,"Next week",'Session Tracker'!$G$5:$G$149,"Mon"),$D47*SUMIFS('Session Tracker'!$J$5:$J$149,'Session Tracker'!$D$5:$D$149,$A47,'Session Tracker'!$F$5:$F$149,"Next week",'Session Tracker'!$G$5:$G$149,"Mon"))</f>
        <v>0</v>
      </c>
      <c r="I47" s="52" t="n">
        <f aca="false">IF($E47="Per class",$D47*COUNTIFS('Session Tracker'!$D$5:$D$149,$A47,'Session Tracker'!$F$5:$F$149,"Next week",'Session Tracker'!$G$5:$G$149,"Tue"),$D47*SUMIFS('Session Tracker'!$J$5:$J$149,'Session Tracker'!$D$5:$D$149,$A47,'Session Tracker'!$F$5:$F$149,"Next week",'Session Tracker'!$G$5:$G$149,"Tue"))</f>
        <v>0</v>
      </c>
      <c r="J47" s="52" t="n">
        <f aca="false">IF($E47="Per class",$D47*COUNTIFS('Session Tracker'!$D$5:$D$149,$A47,'Session Tracker'!$F$5:$F$149,"Next week",'Session Tracker'!$G$5:$G$149,"Wed"),$D47*SUMIFS('Session Tracker'!$J$5:$J$149,'Session Tracker'!$D$5:$D$149,$A47,'Session Tracker'!$F$5:$F$149,"Next week",'Session Tracker'!$G$5:$G$149,"Wed"))</f>
        <v>0</v>
      </c>
      <c r="K47" s="52" t="n">
        <f aca="false">IF($E47="Per class",$D47*COUNTIFS('Session Tracker'!$D$5:$D$149,$A47,'Session Tracker'!$F$5:$F$149,"Next week",'Session Tracker'!$G$5:$G$149,"Thu"),$D47*SUMIFS('Session Tracker'!$J$5:$J$149,'Session Tracker'!$D$5:$D$149,$A47,'Session Tracker'!$F$5:$F$149,"Next week",'Session Tracker'!$G$5:$G$149,"Thu"))</f>
        <v>0</v>
      </c>
      <c r="L47" s="52" t="n">
        <f aca="false">IF($E47="Per class",$D47*COUNTIFS('Session Tracker'!$D$5:$D$149,$A47,'Session Tracker'!$F$5:$F$149,"Next week",'Session Tracker'!$G$5:$G$149,"Fri"),$D47*SUMIFS('Session Tracker'!$J$5:$J$149,'Session Tracker'!$D$5:$D$149,$A47,'Session Tracker'!$F$5:$F$149,"Next week",'Session Tracker'!$G$5:$G$149,"Fri"))</f>
        <v>0</v>
      </c>
      <c r="M47" s="52" t="n">
        <f aca="false">IF($E47="Per class",$D47*COUNTIFS('Session Tracker'!$D$5:$D$149,$A47,'Session Tracker'!$F$5:$F$149,"Next week",'Session Tracker'!$G$5:$G$149,""),$D47*SUMIFS('Session Tracker'!$J$5:$J$149,'Session Tracker'!$D$5:$D$149,$A47,'Session Tracker'!$F$5:$F$149,"Next week",'Session Tracker'!$G$5:$G$149,""))</f>
        <v>0</v>
      </c>
    </row>
    <row r="48" customFormat="false" ht="15" hidden="false" customHeight="false" outlineLevel="0" collapsed="false">
      <c r="A48" s="53" t="s">
        <v>152</v>
      </c>
      <c r="B48" s="54"/>
      <c r="C48" s="54"/>
      <c r="D48" s="54"/>
      <c r="E48" s="54"/>
      <c r="F48" s="54"/>
      <c r="G48" s="54"/>
      <c r="H48" s="52" t="n">
        <f aca="false">IF($E48="Per class",$D48*COUNTIFS('Session Tracker'!$D$5:$D$149,$A48,'Session Tracker'!$F$5:$F$149,"Next week",'Session Tracker'!$G$5:$G$149,"Mon"),$D48*SUMIFS('Session Tracker'!$J$5:$J$149,'Session Tracker'!$D$5:$D$149,$A48,'Session Tracker'!$F$5:$F$149,"Next week",'Session Tracker'!$G$5:$G$149,"Mon"))</f>
        <v>0</v>
      </c>
      <c r="I48" s="52" t="n">
        <f aca="false">IF($E48="Per class",$D48*COUNTIFS('Session Tracker'!$D$5:$D$149,$A48,'Session Tracker'!$F$5:$F$149,"Next week",'Session Tracker'!$G$5:$G$149,"Tue"),$D48*SUMIFS('Session Tracker'!$J$5:$J$149,'Session Tracker'!$D$5:$D$149,$A48,'Session Tracker'!$F$5:$F$149,"Next week",'Session Tracker'!$G$5:$G$149,"Tue"))</f>
        <v>0</v>
      </c>
      <c r="J48" s="52" t="n">
        <f aca="false">IF($E48="Per class",$D48*COUNTIFS('Session Tracker'!$D$5:$D$149,$A48,'Session Tracker'!$F$5:$F$149,"Next week",'Session Tracker'!$G$5:$G$149,"Wed"),$D48*SUMIFS('Session Tracker'!$J$5:$J$149,'Session Tracker'!$D$5:$D$149,$A48,'Session Tracker'!$F$5:$F$149,"Next week",'Session Tracker'!$G$5:$G$149,"Wed"))</f>
        <v>0</v>
      </c>
      <c r="K48" s="52" t="n">
        <f aca="false">IF($E48="Per class",$D48*COUNTIFS('Session Tracker'!$D$5:$D$149,$A48,'Session Tracker'!$F$5:$F$149,"Next week",'Session Tracker'!$G$5:$G$149,"Thu"),$D48*SUMIFS('Session Tracker'!$J$5:$J$149,'Session Tracker'!$D$5:$D$149,$A48,'Session Tracker'!$F$5:$F$149,"Next week",'Session Tracker'!$G$5:$G$149,"Thu"))</f>
        <v>0</v>
      </c>
      <c r="L48" s="52" t="n">
        <f aca="false">IF($E48="Per class",$D48*COUNTIFS('Session Tracker'!$D$5:$D$149,$A48,'Session Tracker'!$F$5:$F$149,"Next week",'Session Tracker'!$G$5:$G$149,"Fri"),$D48*SUMIFS('Session Tracker'!$J$5:$J$149,'Session Tracker'!$D$5:$D$149,$A48,'Session Tracker'!$F$5:$F$149,"Next week",'Session Tracker'!$G$5:$G$149,"Fri"))</f>
        <v>0</v>
      </c>
      <c r="M48" s="52" t="n">
        <f aca="false">IF($E48="Per class",$D48*COUNTIFS('Session Tracker'!$D$5:$D$149,$A48,'Session Tracker'!$F$5:$F$149,"Next week",'Session Tracker'!$G$5:$G$149,""),$D48*SUMIFS('Session Tracker'!$J$5:$J$149,'Session Tracker'!$D$5:$D$149,$A48,'Session Tracker'!$F$5:$F$149,"Next week",'Session Tracker'!$G$5:$G$149,""))</f>
        <v>0</v>
      </c>
    </row>
    <row r="49" customFormat="false" ht="15" hidden="false" customHeight="false" outlineLevel="0" collapsed="false">
      <c r="A49" s="53" t="s">
        <v>152</v>
      </c>
      <c r="B49" s="54"/>
      <c r="C49" s="54"/>
      <c r="D49" s="54"/>
      <c r="E49" s="54"/>
      <c r="F49" s="54"/>
      <c r="G49" s="54"/>
      <c r="H49" s="52" t="n">
        <f aca="false">IF($E49="Per class",$D49*COUNTIFS('Session Tracker'!$D$5:$D$149,$A49,'Session Tracker'!$F$5:$F$149,"Next week",'Session Tracker'!$G$5:$G$149,"Mon"),$D49*SUMIFS('Session Tracker'!$J$5:$J$149,'Session Tracker'!$D$5:$D$149,$A49,'Session Tracker'!$F$5:$F$149,"Next week",'Session Tracker'!$G$5:$G$149,"Mon"))</f>
        <v>0</v>
      </c>
      <c r="I49" s="52" t="n">
        <f aca="false">IF($E49="Per class",$D49*COUNTIFS('Session Tracker'!$D$5:$D$149,$A49,'Session Tracker'!$F$5:$F$149,"Next week",'Session Tracker'!$G$5:$G$149,"Tue"),$D49*SUMIFS('Session Tracker'!$J$5:$J$149,'Session Tracker'!$D$5:$D$149,$A49,'Session Tracker'!$F$5:$F$149,"Next week",'Session Tracker'!$G$5:$G$149,"Tue"))</f>
        <v>0</v>
      </c>
      <c r="J49" s="52" t="n">
        <f aca="false">IF($E49="Per class",$D49*COUNTIFS('Session Tracker'!$D$5:$D$149,$A49,'Session Tracker'!$F$5:$F$149,"Next week",'Session Tracker'!$G$5:$G$149,"Wed"),$D49*SUMIFS('Session Tracker'!$J$5:$J$149,'Session Tracker'!$D$5:$D$149,$A49,'Session Tracker'!$F$5:$F$149,"Next week",'Session Tracker'!$G$5:$G$149,"Wed"))</f>
        <v>0</v>
      </c>
      <c r="K49" s="52" t="n">
        <f aca="false">IF($E49="Per class",$D49*COUNTIFS('Session Tracker'!$D$5:$D$149,$A49,'Session Tracker'!$F$5:$F$149,"Next week",'Session Tracker'!$G$5:$G$149,"Thu"),$D49*SUMIFS('Session Tracker'!$J$5:$J$149,'Session Tracker'!$D$5:$D$149,$A49,'Session Tracker'!$F$5:$F$149,"Next week",'Session Tracker'!$G$5:$G$149,"Thu"))</f>
        <v>0</v>
      </c>
      <c r="L49" s="52" t="n">
        <f aca="false">IF($E49="Per class",$D49*COUNTIFS('Session Tracker'!$D$5:$D$149,$A49,'Session Tracker'!$F$5:$F$149,"Next week",'Session Tracker'!$G$5:$G$149,"Fri"),$D49*SUMIFS('Session Tracker'!$J$5:$J$149,'Session Tracker'!$D$5:$D$149,$A49,'Session Tracker'!$F$5:$F$149,"Next week",'Session Tracker'!$G$5:$G$149,"Fri"))</f>
        <v>0</v>
      </c>
      <c r="M49" s="52" t="n">
        <f aca="false">IF($E49="Per class",$D49*COUNTIFS('Session Tracker'!$D$5:$D$149,$A49,'Session Tracker'!$F$5:$F$149,"Next week",'Session Tracker'!$G$5:$G$149,""),$D49*SUMIFS('Session Tracker'!$J$5:$J$149,'Session Tracker'!$D$5:$D$149,$A49,'Session Tracker'!$F$5:$F$149,"Next week",'Session Tracker'!$G$5:$G$149,""))</f>
        <v>0</v>
      </c>
    </row>
    <row r="51" customFormat="false" ht="19.5" hidden="false" customHeight="true" outlineLevel="0" collapsed="false">
      <c r="A51" s="57" t="s">
        <v>154</v>
      </c>
      <c r="B51" s="58" t="s">
        <v>504</v>
      </c>
      <c r="C51" s="58"/>
      <c r="D51" s="58"/>
      <c r="E51" s="58"/>
      <c r="F51" s="59" t="str">
        <f aca="false">"Status: "&amp;'Session Tracker'!F45&amp;IF('Session Tracker'!G45&lt;&gt;""," ("&amp;'Session Tracker'!G45&amp;")","")</f>
        <v>Status: Not started</v>
      </c>
      <c r="G51" s="59"/>
      <c r="H51" s="60"/>
      <c r="I51" s="60"/>
      <c r="J51" s="60"/>
      <c r="K51" s="60"/>
      <c r="L51" s="60"/>
      <c r="M51" s="60"/>
    </row>
    <row r="52" customFormat="false" ht="15" hidden="false" customHeight="false" outlineLevel="0" collapsed="false">
      <c r="A52" s="61" t="s">
        <v>154</v>
      </c>
      <c r="B52" s="34" t="s">
        <v>411</v>
      </c>
      <c r="C52" s="34" t="s">
        <v>505</v>
      </c>
      <c r="D52" s="32" t="n">
        <v>1</v>
      </c>
      <c r="E52" s="32" t="s">
        <v>14</v>
      </c>
      <c r="F52" s="32" t="s">
        <v>373</v>
      </c>
      <c r="G52" s="34" t="s">
        <v>506</v>
      </c>
      <c r="H52" s="52" t="n">
        <f aca="false">IF($E52="Per class",$D52*COUNTIFS('Session Tracker'!$D$5:$D$149,$A52,'Session Tracker'!$F$5:$F$149,"Next week",'Session Tracker'!$G$5:$G$149,"Mon"),$D52*SUMIFS('Session Tracker'!$J$5:$J$149,'Session Tracker'!$D$5:$D$149,$A52,'Session Tracker'!$F$5:$F$149,"Next week",'Session Tracker'!$G$5:$G$149,"Mon"))</f>
        <v>0</v>
      </c>
      <c r="I52" s="52" t="n">
        <f aca="false">IF($E52="Per class",$D52*COUNTIFS('Session Tracker'!$D$5:$D$149,$A52,'Session Tracker'!$F$5:$F$149,"Next week",'Session Tracker'!$G$5:$G$149,"Tue"),$D52*SUMIFS('Session Tracker'!$J$5:$J$149,'Session Tracker'!$D$5:$D$149,$A52,'Session Tracker'!$F$5:$F$149,"Next week",'Session Tracker'!$G$5:$G$149,"Tue"))</f>
        <v>0</v>
      </c>
      <c r="J52" s="52" t="n">
        <f aca="false">IF($E52="Per class",$D52*COUNTIFS('Session Tracker'!$D$5:$D$149,$A52,'Session Tracker'!$F$5:$F$149,"Next week",'Session Tracker'!$G$5:$G$149,"Wed"),$D52*SUMIFS('Session Tracker'!$J$5:$J$149,'Session Tracker'!$D$5:$D$149,$A52,'Session Tracker'!$F$5:$F$149,"Next week",'Session Tracker'!$G$5:$G$149,"Wed"))</f>
        <v>0</v>
      </c>
      <c r="K52" s="52" t="n">
        <f aca="false">IF($E52="Per class",$D52*COUNTIFS('Session Tracker'!$D$5:$D$149,$A52,'Session Tracker'!$F$5:$F$149,"Next week",'Session Tracker'!$G$5:$G$149,"Thu"),$D52*SUMIFS('Session Tracker'!$J$5:$J$149,'Session Tracker'!$D$5:$D$149,$A52,'Session Tracker'!$F$5:$F$149,"Next week",'Session Tracker'!$G$5:$G$149,"Thu"))</f>
        <v>0</v>
      </c>
      <c r="L52" s="52" t="n">
        <f aca="false">IF($E52="Per class",$D52*COUNTIFS('Session Tracker'!$D$5:$D$149,$A52,'Session Tracker'!$F$5:$F$149,"Next week",'Session Tracker'!$G$5:$G$149,"Fri"),$D52*SUMIFS('Session Tracker'!$J$5:$J$149,'Session Tracker'!$D$5:$D$149,$A52,'Session Tracker'!$F$5:$F$149,"Next week",'Session Tracker'!$G$5:$G$149,"Fri"))</f>
        <v>0</v>
      </c>
      <c r="M52" s="52" t="n">
        <f aca="false">IF($E52="Per class",$D52*COUNTIFS('Session Tracker'!$D$5:$D$149,$A52,'Session Tracker'!$F$5:$F$149,"Next week",'Session Tracker'!$G$5:$G$149,""),$D52*SUMIFS('Session Tracker'!$J$5:$J$149,'Session Tracker'!$D$5:$D$149,$A52,'Session Tracker'!$F$5:$F$149,"Next week",'Session Tracker'!$G$5:$G$149,""))</f>
        <v>0</v>
      </c>
    </row>
    <row r="53" customFormat="false" ht="15" hidden="false" customHeight="false" outlineLevel="0" collapsed="false">
      <c r="A53" s="61" t="s">
        <v>154</v>
      </c>
      <c r="B53" s="34" t="s">
        <v>411</v>
      </c>
      <c r="C53" s="34" t="s">
        <v>413</v>
      </c>
      <c r="D53" s="32" t="n">
        <v>1</v>
      </c>
      <c r="E53" s="32" t="s">
        <v>14</v>
      </c>
      <c r="F53" s="32" t="s">
        <v>373</v>
      </c>
      <c r="G53" s="34" t="s">
        <v>507</v>
      </c>
      <c r="H53" s="52" t="n">
        <f aca="false">IF($E53="Per class",$D53*COUNTIFS('Session Tracker'!$D$5:$D$149,$A53,'Session Tracker'!$F$5:$F$149,"Next week",'Session Tracker'!$G$5:$G$149,"Mon"),$D53*SUMIFS('Session Tracker'!$J$5:$J$149,'Session Tracker'!$D$5:$D$149,$A53,'Session Tracker'!$F$5:$F$149,"Next week",'Session Tracker'!$G$5:$G$149,"Mon"))</f>
        <v>0</v>
      </c>
      <c r="I53" s="52" t="n">
        <f aca="false">IF($E53="Per class",$D53*COUNTIFS('Session Tracker'!$D$5:$D$149,$A53,'Session Tracker'!$F$5:$F$149,"Next week",'Session Tracker'!$G$5:$G$149,"Tue"),$D53*SUMIFS('Session Tracker'!$J$5:$J$149,'Session Tracker'!$D$5:$D$149,$A53,'Session Tracker'!$F$5:$F$149,"Next week",'Session Tracker'!$G$5:$G$149,"Tue"))</f>
        <v>0</v>
      </c>
      <c r="J53" s="52" t="n">
        <f aca="false">IF($E53="Per class",$D53*COUNTIFS('Session Tracker'!$D$5:$D$149,$A53,'Session Tracker'!$F$5:$F$149,"Next week",'Session Tracker'!$G$5:$G$149,"Wed"),$D53*SUMIFS('Session Tracker'!$J$5:$J$149,'Session Tracker'!$D$5:$D$149,$A53,'Session Tracker'!$F$5:$F$149,"Next week",'Session Tracker'!$G$5:$G$149,"Wed"))</f>
        <v>0</v>
      </c>
      <c r="K53" s="52" t="n">
        <f aca="false">IF($E53="Per class",$D53*COUNTIFS('Session Tracker'!$D$5:$D$149,$A53,'Session Tracker'!$F$5:$F$149,"Next week",'Session Tracker'!$G$5:$G$149,"Thu"),$D53*SUMIFS('Session Tracker'!$J$5:$J$149,'Session Tracker'!$D$5:$D$149,$A53,'Session Tracker'!$F$5:$F$149,"Next week",'Session Tracker'!$G$5:$G$149,"Thu"))</f>
        <v>0</v>
      </c>
      <c r="L53" s="52" t="n">
        <f aca="false">IF($E53="Per class",$D53*COUNTIFS('Session Tracker'!$D$5:$D$149,$A53,'Session Tracker'!$F$5:$F$149,"Next week",'Session Tracker'!$G$5:$G$149,"Fri"),$D53*SUMIFS('Session Tracker'!$J$5:$J$149,'Session Tracker'!$D$5:$D$149,$A53,'Session Tracker'!$F$5:$F$149,"Next week",'Session Tracker'!$G$5:$G$149,"Fri"))</f>
        <v>0</v>
      </c>
      <c r="M53" s="52" t="n">
        <f aca="false">IF($E53="Per class",$D53*COUNTIFS('Session Tracker'!$D$5:$D$149,$A53,'Session Tracker'!$F$5:$F$149,"Next week",'Session Tracker'!$G$5:$G$149,""),$D53*SUMIFS('Session Tracker'!$J$5:$J$149,'Session Tracker'!$D$5:$D$149,$A53,'Session Tracker'!$F$5:$F$149,"Next week",'Session Tracker'!$G$5:$G$149,""))</f>
        <v>0</v>
      </c>
    </row>
    <row r="54" customFormat="false" ht="15" hidden="false" customHeight="false" outlineLevel="0" collapsed="false">
      <c r="A54" s="61" t="s">
        <v>154</v>
      </c>
      <c r="B54" s="34" t="s">
        <v>377</v>
      </c>
      <c r="C54" s="34" t="s">
        <v>483</v>
      </c>
      <c r="D54" s="32" t="n">
        <v>1</v>
      </c>
      <c r="E54" s="32" t="s">
        <v>14</v>
      </c>
      <c r="F54" s="32" t="s">
        <v>368</v>
      </c>
      <c r="G54" s="34"/>
      <c r="H54" s="52" t="n">
        <f aca="false">IF($E54="Per class",$D54*COUNTIFS('Session Tracker'!$D$5:$D$149,$A54,'Session Tracker'!$F$5:$F$149,"Next week",'Session Tracker'!$G$5:$G$149,"Mon"),$D54*SUMIFS('Session Tracker'!$J$5:$J$149,'Session Tracker'!$D$5:$D$149,$A54,'Session Tracker'!$F$5:$F$149,"Next week",'Session Tracker'!$G$5:$G$149,"Mon"))</f>
        <v>0</v>
      </c>
      <c r="I54" s="52" t="n">
        <f aca="false">IF($E54="Per class",$D54*COUNTIFS('Session Tracker'!$D$5:$D$149,$A54,'Session Tracker'!$F$5:$F$149,"Next week",'Session Tracker'!$G$5:$G$149,"Tue"),$D54*SUMIFS('Session Tracker'!$J$5:$J$149,'Session Tracker'!$D$5:$D$149,$A54,'Session Tracker'!$F$5:$F$149,"Next week",'Session Tracker'!$G$5:$G$149,"Tue"))</f>
        <v>0</v>
      </c>
      <c r="J54" s="52" t="n">
        <f aca="false">IF($E54="Per class",$D54*COUNTIFS('Session Tracker'!$D$5:$D$149,$A54,'Session Tracker'!$F$5:$F$149,"Next week",'Session Tracker'!$G$5:$G$149,"Wed"),$D54*SUMIFS('Session Tracker'!$J$5:$J$149,'Session Tracker'!$D$5:$D$149,$A54,'Session Tracker'!$F$5:$F$149,"Next week",'Session Tracker'!$G$5:$G$149,"Wed"))</f>
        <v>0</v>
      </c>
      <c r="K54" s="52" t="n">
        <f aca="false">IF($E54="Per class",$D54*COUNTIFS('Session Tracker'!$D$5:$D$149,$A54,'Session Tracker'!$F$5:$F$149,"Next week",'Session Tracker'!$G$5:$G$149,"Thu"),$D54*SUMIFS('Session Tracker'!$J$5:$J$149,'Session Tracker'!$D$5:$D$149,$A54,'Session Tracker'!$F$5:$F$149,"Next week",'Session Tracker'!$G$5:$G$149,"Thu"))</f>
        <v>0</v>
      </c>
      <c r="L54" s="52" t="n">
        <f aca="false">IF($E54="Per class",$D54*COUNTIFS('Session Tracker'!$D$5:$D$149,$A54,'Session Tracker'!$F$5:$F$149,"Next week",'Session Tracker'!$G$5:$G$149,"Fri"),$D54*SUMIFS('Session Tracker'!$J$5:$J$149,'Session Tracker'!$D$5:$D$149,$A54,'Session Tracker'!$F$5:$F$149,"Next week",'Session Tracker'!$G$5:$G$149,"Fri"))</f>
        <v>0</v>
      </c>
      <c r="M54" s="52" t="n">
        <f aca="false">IF($E54="Per class",$D54*COUNTIFS('Session Tracker'!$D$5:$D$149,$A54,'Session Tracker'!$F$5:$F$149,"Next week",'Session Tracker'!$G$5:$G$149,""),$D54*SUMIFS('Session Tracker'!$J$5:$J$149,'Session Tracker'!$D$5:$D$149,$A54,'Session Tracker'!$F$5:$F$149,"Next week",'Session Tracker'!$G$5:$G$149,""))</f>
        <v>0</v>
      </c>
    </row>
    <row r="55" customFormat="false" ht="15" hidden="false" customHeight="false" outlineLevel="0" collapsed="false">
      <c r="A55" s="61" t="s">
        <v>154</v>
      </c>
      <c r="B55" s="34" t="s">
        <v>411</v>
      </c>
      <c r="C55" s="34" t="s">
        <v>508</v>
      </c>
      <c r="D55" s="32" t="n">
        <v>1</v>
      </c>
      <c r="E55" s="32" t="s">
        <v>14</v>
      </c>
      <c r="F55" s="32" t="s">
        <v>373</v>
      </c>
      <c r="G55" s="34" t="s">
        <v>509</v>
      </c>
      <c r="H55" s="52" t="n">
        <f aca="false">IF($E55="Per class",$D55*COUNTIFS('Session Tracker'!$D$5:$D$149,$A55,'Session Tracker'!$F$5:$F$149,"Next week",'Session Tracker'!$G$5:$G$149,"Mon"),$D55*SUMIFS('Session Tracker'!$J$5:$J$149,'Session Tracker'!$D$5:$D$149,$A55,'Session Tracker'!$F$5:$F$149,"Next week",'Session Tracker'!$G$5:$G$149,"Mon"))</f>
        <v>0</v>
      </c>
      <c r="I55" s="52" t="n">
        <f aca="false">IF($E55="Per class",$D55*COUNTIFS('Session Tracker'!$D$5:$D$149,$A55,'Session Tracker'!$F$5:$F$149,"Next week",'Session Tracker'!$G$5:$G$149,"Tue"),$D55*SUMIFS('Session Tracker'!$J$5:$J$149,'Session Tracker'!$D$5:$D$149,$A55,'Session Tracker'!$F$5:$F$149,"Next week",'Session Tracker'!$G$5:$G$149,"Tue"))</f>
        <v>0</v>
      </c>
      <c r="J55" s="52" t="n">
        <f aca="false">IF($E55="Per class",$D55*COUNTIFS('Session Tracker'!$D$5:$D$149,$A55,'Session Tracker'!$F$5:$F$149,"Next week",'Session Tracker'!$G$5:$G$149,"Wed"),$D55*SUMIFS('Session Tracker'!$J$5:$J$149,'Session Tracker'!$D$5:$D$149,$A55,'Session Tracker'!$F$5:$F$149,"Next week",'Session Tracker'!$G$5:$G$149,"Wed"))</f>
        <v>0</v>
      </c>
      <c r="K55" s="52" t="n">
        <f aca="false">IF($E55="Per class",$D55*COUNTIFS('Session Tracker'!$D$5:$D$149,$A55,'Session Tracker'!$F$5:$F$149,"Next week",'Session Tracker'!$G$5:$G$149,"Thu"),$D55*SUMIFS('Session Tracker'!$J$5:$J$149,'Session Tracker'!$D$5:$D$149,$A55,'Session Tracker'!$F$5:$F$149,"Next week",'Session Tracker'!$G$5:$G$149,"Thu"))</f>
        <v>0</v>
      </c>
      <c r="L55" s="52" t="n">
        <f aca="false">IF($E55="Per class",$D55*COUNTIFS('Session Tracker'!$D$5:$D$149,$A55,'Session Tracker'!$F$5:$F$149,"Next week",'Session Tracker'!$G$5:$G$149,"Fri"),$D55*SUMIFS('Session Tracker'!$J$5:$J$149,'Session Tracker'!$D$5:$D$149,$A55,'Session Tracker'!$F$5:$F$149,"Next week",'Session Tracker'!$G$5:$G$149,"Fri"))</f>
        <v>0</v>
      </c>
      <c r="M55" s="52" t="n">
        <f aca="false">IF($E55="Per class",$D55*COUNTIFS('Session Tracker'!$D$5:$D$149,$A55,'Session Tracker'!$F$5:$F$149,"Next week",'Session Tracker'!$G$5:$G$149,""),$D55*SUMIFS('Session Tracker'!$J$5:$J$149,'Session Tracker'!$D$5:$D$149,$A55,'Session Tracker'!$F$5:$F$149,"Next week",'Session Tracker'!$G$5:$G$149,""))</f>
        <v>0</v>
      </c>
    </row>
    <row r="56" customFormat="false" ht="15" hidden="false" customHeight="false" outlineLevel="0" collapsed="false">
      <c r="A56" s="61" t="s">
        <v>154</v>
      </c>
      <c r="B56" s="34" t="s">
        <v>409</v>
      </c>
      <c r="C56" s="34" t="s">
        <v>510</v>
      </c>
      <c r="D56" s="32" t="n">
        <v>1</v>
      </c>
      <c r="E56" s="32" t="s">
        <v>14</v>
      </c>
      <c r="F56" s="32" t="s">
        <v>373</v>
      </c>
      <c r="G56" s="34"/>
      <c r="H56" s="52" t="n">
        <f aca="false">IF($E56="Per class",$D56*COUNTIFS('Session Tracker'!$D$5:$D$149,$A56,'Session Tracker'!$F$5:$F$149,"Next week",'Session Tracker'!$G$5:$G$149,"Mon"),$D56*SUMIFS('Session Tracker'!$J$5:$J$149,'Session Tracker'!$D$5:$D$149,$A56,'Session Tracker'!$F$5:$F$149,"Next week",'Session Tracker'!$G$5:$G$149,"Mon"))</f>
        <v>0</v>
      </c>
      <c r="I56" s="52" t="n">
        <f aca="false">IF($E56="Per class",$D56*COUNTIFS('Session Tracker'!$D$5:$D$149,$A56,'Session Tracker'!$F$5:$F$149,"Next week",'Session Tracker'!$G$5:$G$149,"Tue"),$D56*SUMIFS('Session Tracker'!$J$5:$J$149,'Session Tracker'!$D$5:$D$149,$A56,'Session Tracker'!$F$5:$F$149,"Next week",'Session Tracker'!$G$5:$G$149,"Tue"))</f>
        <v>0</v>
      </c>
      <c r="J56" s="52" t="n">
        <f aca="false">IF($E56="Per class",$D56*COUNTIFS('Session Tracker'!$D$5:$D$149,$A56,'Session Tracker'!$F$5:$F$149,"Next week",'Session Tracker'!$G$5:$G$149,"Wed"),$D56*SUMIFS('Session Tracker'!$J$5:$J$149,'Session Tracker'!$D$5:$D$149,$A56,'Session Tracker'!$F$5:$F$149,"Next week",'Session Tracker'!$G$5:$G$149,"Wed"))</f>
        <v>0</v>
      </c>
      <c r="K56" s="52" t="n">
        <f aca="false">IF($E56="Per class",$D56*COUNTIFS('Session Tracker'!$D$5:$D$149,$A56,'Session Tracker'!$F$5:$F$149,"Next week",'Session Tracker'!$G$5:$G$149,"Thu"),$D56*SUMIFS('Session Tracker'!$J$5:$J$149,'Session Tracker'!$D$5:$D$149,$A56,'Session Tracker'!$F$5:$F$149,"Next week",'Session Tracker'!$G$5:$G$149,"Thu"))</f>
        <v>0</v>
      </c>
      <c r="L56" s="52" t="n">
        <f aca="false">IF($E56="Per class",$D56*COUNTIFS('Session Tracker'!$D$5:$D$149,$A56,'Session Tracker'!$F$5:$F$149,"Next week",'Session Tracker'!$G$5:$G$149,"Fri"),$D56*SUMIFS('Session Tracker'!$J$5:$J$149,'Session Tracker'!$D$5:$D$149,$A56,'Session Tracker'!$F$5:$F$149,"Next week",'Session Tracker'!$G$5:$G$149,"Fri"))</f>
        <v>0</v>
      </c>
      <c r="M56" s="52" t="n">
        <f aca="false">IF($E56="Per class",$D56*COUNTIFS('Session Tracker'!$D$5:$D$149,$A56,'Session Tracker'!$F$5:$F$149,"Next week",'Session Tracker'!$G$5:$G$149,""),$D56*SUMIFS('Session Tracker'!$J$5:$J$149,'Session Tracker'!$D$5:$D$149,$A56,'Session Tracker'!$F$5:$F$149,"Next week",'Session Tracker'!$G$5:$G$149,""))</f>
        <v>0</v>
      </c>
    </row>
    <row r="57" customFormat="false" ht="15" hidden="false" customHeight="false" outlineLevel="0" collapsed="false">
      <c r="A57" s="61" t="s">
        <v>154</v>
      </c>
      <c r="B57" s="34" t="s">
        <v>375</v>
      </c>
      <c r="C57" s="34" t="s">
        <v>511</v>
      </c>
      <c r="D57" s="32" t="n">
        <v>1</v>
      </c>
      <c r="E57" s="32" t="s">
        <v>14</v>
      </c>
      <c r="F57" s="32" t="s">
        <v>368</v>
      </c>
      <c r="G57" s="34" t="s">
        <v>512</v>
      </c>
      <c r="H57" s="52" t="n">
        <f aca="false">IF($E57="Per class",$D57*COUNTIFS('Session Tracker'!$D$5:$D$149,$A57,'Session Tracker'!$F$5:$F$149,"Next week",'Session Tracker'!$G$5:$G$149,"Mon"),$D57*SUMIFS('Session Tracker'!$J$5:$J$149,'Session Tracker'!$D$5:$D$149,$A57,'Session Tracker'!$F$5:$F$149,"Next week",'Session Tracker'!$G$5:$G$149,"Mon"))</f>
        <v>0</v>
      </c>
      <c r="I57" s="52" t="n">
        <f aca="false">IF($E57="Per class",$D57*COUNTIFS('Session Tracker'!$D$5:$D$149,$A57,'Session Tracker'!$F$5:$F$149,"Next week",'Session Tracker'!$G$5:$G$149,"Tue"),$D57*SUMIFS('Session Tracker'!$J$5:$J$149,'Session Tracker'!$D$5:$D$149,$A57,'Session Tracker'!$F$5:$F$149,"Next week",'Session Tracker'!$G$5:$G$149,"Tue"))</f>
        <v>0</v>
      </c>
      <c r="J57" s="52" t="n">
        <f aca="false">IF($E57="Per class",$D57*COUNTIFS('Session Tracker'!$D$5:$D$149,$A57,'Session Tracker'!$F$5:$F$149,"Next week",'Session Tracker'!$G$5:$G$149,"Wed"),$D57*SUMIFS('Session Tracker'!$J$5:$J$149,'Session Tracker'!$D$5:$D$149,$A57,'Session Tracker'!$F$5:$F$149,"Next week",'Session Tracker'!$G$5:$G$149,"Wed"))</f>
        <v>0</v>
      </c>
      <c r="K57" s="52" t="n">
        <f aca="false">IF($E57="Per class",$D57*COUNTIFS('Session Tracker'!$D$5:$D$149,$A57,'Session Tracker'!$F$5:$F$149,"Next week",'Session Tracker'!$G$5:$G$149,"Thu"),$D57*SUMIFS('Session Tracker'!$J$5:$J$149,'Session Tracker'!$D$5:$D$149,$A57,'Session Tracker'!$F$5:$F$149,"Next week",'Session Tracker'!$G$5:$G$149,"Thu"))</f>
        <v>0</v>
      </c>
      <c r="L57" s="52" t="n">
        <f aca="false">IF($E57="Per class",$D57*COUNTIFS('Session Tracker'!$D$5:$D$149,$A57,'Session Tracker'!$F$5:$F$149,"Next week",'Session Tracker'!$G$5:$G$149,"Fri"),$D57*SUMIFS('Session Tracker'!$J$5:$J$149,'Session Tracker'!$D$5:$D$149,$A57,'Session Tracker'!$F$5:$F$149,"Next week",'Session Tracker'!$G$5:$G$149,"Fri"))</f>
        <v>0</v>
      </c>
      <c r="M57" s="52" t="n">
        <f aca="false">IF($E57="Per class",$D57*COUNTIFS('Session Tracker'!$D$5:$D$149,$A57,'Session Tracker'!$F$5:$F$149,"Next week",'Session Tracker'!$G$5:$G$149,""),$D57*SUMIFS('Session Tracker'!$J$5:$J$149,'Session Tracker'!$D$5:$D$149,$A57,'Session Tracker'!$F$5:$F$149,"Next week",'Session Tracker'!$G$5:$G$149,""))</f>
        <v>0</v>
      </c>
    </row>
    <row r="58" customFormat="false" ht="15" hidden="false" customHeight="false" outlineLevel="0" collapsed="false">
      <c r="A58" s="61" t="s">
        <v>154</v>
      </c>
      <c r="B58" s="34" t="s">
        <v>411</v>
      </c>
      <c r="C58" s="34" t="s">
        <v>414</v>
      </c>
      <c r="D58" s="32" t="n">
        <v>1</v>
      </c>
      <c r="E58" s="32" t="s">
        <v>14</v>
      </c>
      <c r="F58" s="32" t="s">
        <v>373</v>
      </c>
      <c r="G58" s="34"/>
      <c r="H58" s="52" t="n">
        <f aca="false">IF($E58="Per class",$D58*COUNTIFS('Session Tracker'!$D$5:$D$149,$A58,'Session Tracker'!$F$5:$F$149,"Next week",'Session Tracker'!$G$5:$G$149,"Mon"),$D58*SUMIFS('Session Tracker'!$J$5:$J$149,'Session Tracker'!$D$5:$D$149,$A58,'Session Tracker'!$F$5:$F$149,"Next week",'Session Tracker'!$G$5:$G$149,"Mon"))</f>
        <v>0</v>
      </c>
      <c r="I58" s="52" t="n">
        <f aca="false">IF($E58="Per class",$D58*COUNTIFS('Session Tracker'!$D$5:$D$149,$A58,'Session Tracker'!$F$5:$F$149,"Next week",'Session Tracker'!$G$5:$G$149,"Tue"),$D58*SUMIFS('Session Tracker'!$J$5:$J$149,'Session Tracker'!$D$5:$D$149,$A58,'Session Tracker'!$F$5:$F$149,"Next week",'Session Tracker'!$G$5:$G$149,"Tue"))</f>
        <v>0</v>
      </c>
      <c r="J58" s="52" t="n">
        <f aca="false">IF($E58="Per class",$D58*COUNTIFS('Session Tracker'!$D$5:$D$149,$A58,'Session Tracker'!$F$5:$F$149,"Next week",'Session Tracker'!$G$5:$G$149,"Wed"),$D58*SUMIFS('Session Tracker'!$J$5:$J$149,'Session Tracker'!$D$5:$D$149,$A58,'Session Tracker'!$F$5:$F$149,"Next week",'Session Tracker'!$G$5:$G$149,"Wed"))</f>
        <v>0</v>
      </c>
      <c r="K58" s="52" t="n">
        <f aca="false">IF($E58="Per class",$D58*COUNTIFS('Session Tracker'!$D$5:$D$149,$A58,'Session Tracker'!$F$5:$F$149,"Next week",'Session Tracker'!$G$5:$G$149,"Thu"),$D58*SUMIFS('Session Tracker'!$J$5:$J$149,'Session Tracker'!$D$5:$D$149,$A58,'Session Tracker'!$F$5:$F$149,"Next week",'Session Tracker'!$G$5:$G$149,"Thu"))</f>
        <v>0</v>
      </c>
      <c r="L58" s="52" t="n">
        <f aca="false">IF($E58="Per class",$D58*COUNTIFS('Session Tracker'!$D$5:$D$149,$A58,'Session Tracker'!$F$5:$F$149,"Next week",'Session Tracker'!$G$5:$G$149,"Fri"),$D58*SUMIFS('Session Tracker'!$J$5:$J$149,'Session Tracker'!$D$5:$D$149,$A58,'Session Tracker'!$F$5:$F$149,"Next week",'Session Tracker'!$G$5:$G$149,"Fri"))</f>
        <v>0</v>
      </c>
      <c r="M58" s="52" t="n">
        <f aca="false">IF($E58="Per class",$D58*COUNTIFS('Session Tracker'!$D$5:$D$149,$A58,'Session Tracker'!$F$5:$F$149,"Next week",'Session Tracker'!$G$5:$G$149,""),$D58*SUMIFS('Session Tracker'!$J$5:$J$149,'Session Tracker'!$D$5:$D$149,$A58,'Session Tracker'!$F$5:$F$149,"Next week",'Session Tracker'!$G$5:$G$149,""))</f>
        <v>0</v>
      </c>
    </row>
    <row r="59" customFormat="false" ht="15" hidden="false" customHeight="false" outlineLevel="0" collapsed="false">
      <c r="A59" s="61" t="s">
        <v>154</v>
      </c>
      <c r="B59" s="34" t="s">
        <v>411</v>
      </c>
      <c r="C59" s="34" t="s">
        <v>412</v>
      </c>
      <c r="D59" s="32" t="n">
        <v>2</v>
      </c>
      <c r="E59" s="32" t="s">
        <v>14</v>
      </c>
      <c r="F59" s="32" t="s">
        <v>373</v>
      </c>
      <c r="G59" s="34" t="s">
        <v>513</v>
      </c>
      <c r="H59" s="52" t="n">
        <f aca="false">IF($E59="Per class",$D59*COUNTIFS('Session Tracker'!$D$5:$D$149,$A59,'Session Tracker'!$F$5:$F$149,"Next week",'Session Tracker'!$G$5:$G$149,"Mon"),$D59*SUMIFS('Session Tracker'!$J$5:$J$149,'Session Tracker'!$D$5:$D$149,$A59,'Session Tracker'!$F$5:$F$149,"Next week",'Session Tracker'!$G$5:$G$149,"Mon"))</f>
        <v>0</v>
      </c>
      <c r="I59" s="52" t="n">
        <f aca="false">IF($E59="Per class",$D59*COUNTIFS('Session Tracker'!$D$5:$D$149,$A59,'Session Tracker'!$F$5:$F$149,"Next week",'Session Tracker'!$G$5:$G$149,"Tue"),$D59*SUMIFS('Session Tracker'!$J$5:$J$149,'Session Tracker'!$D$5:$D$149,$A59,'Session Tracker'!$F$5:$F$149,"Next week",'Session Tracker'!$G$5:$G$149,"Tue"))</f>
        <v>0</v>
      </c>
      <c r="J59" s="52" t="n">
        <f aca="false">IF($E59="Per class",$D59*COUNTIFS('Session Tracker'!$D$5:$D$149,$A59,'Session Tracker'!$F$5:$F$149,"Next week",'Session Tracker'!$G$5:$G$149,"Wed"),$D59*SUMIFS('Session Tracker'!$J$5:$J$149,'Session Tracker'!$D$5:$D$149,$A59,'Session Tracker'!$F$5:$F$149,"Next week",'Session Tracker'!$G$5:$G$149,"Wed"))</f>
        <v>0</v>
      </c>
      <c r="K59" s="52" t="n">
        <f aca="false">IF($E59="Per class",$D59*COUNTIFS('Session Tracker'!$D$5:$D$149,$A59,'Session Tracker'!$F$5:$F$149,"Next week",'Session Tracker'!$G$5:$G$149,"Thu"),$D59*SUMIFS('Session Tracker'!$J$5:$J$149,'Session Tracker'!$D$5:$D$149,$A59,'Session Tracker'!$F$5:$F$149,"Next week",'Session Tracker'!$G$5:$G$149,"Thu"))</f>
        <v>0</v>
      </c>
      <c r="L59" s="52" t="n">
        <f aca="false">IF($E59="Per class",$D59*COUNTIFS('Session Tracker'!$D$5:$D$149,$A59,'Session Tracker'!$F$5:$F$149,"Next week",'Session Tracker'!$G$5:$G$149,"Fri"),$D59*SUMIFS('Session Tracker'!$J$5:$J$149,'Session Tracker'!$D$5:$D$149,$A59,'Session Tracker'!$F$5:$F$149,"Next week",'Session Tracker'!$G$5:$G$149,"Fri"))</f>
        <v>0</v>
      </c>
      <c r="M59" s="52" t="n">
        <f aca="false">IF($E59="Per class",$D59*COUNTIFS('Session Tracker'!$D$5:$D$149,$A59,'Session Tracker'!$F$5:$F$149,"Next week",'Session Tracker'!$G$5:$G$149,""),$D59*SUMIFS('Session Tracker'!$J$5:$J$149,'Session Tracker'!$D$5:$D$149,$A59,'Session Tracker'!$F$5:$F$149,"Next week",'Session Tracker'!$G$5:$G$149,""))</f>
        <v>0</v>
      </c>
    </row>
    <row r="60" customFormat="false" ht="15" hidden="false" customHeight="false" outlineLevel="0" collapsed="false">
      <c r="A60" s="61" t="s">
        <v>154</v>
      </c>
      <c r="B60" s="34" t="s">
        <v>382</v>
      </c>
      <c r="C60" s="34" t="s">
        <v>495</v>
      </c>
      <c r="D60" s="32" t="n">
        <v>1</v>
      </c>
      <c r="E60" s="32" t="s">
        <v>16</v>
      </c>
      <c r="F60" s="32" t="s">
        <v>368</v>
      </c>
      <c r="G60" s="34" t="s">
        <v>496</v>
      </c>
      <c r="H60" s="52" t="n">
        <f aca="false">IF($E60="Per class",$D60*COUNTIFS('Session Tracker'!$D$5:$D$149,$A60,'Session Tracker'!$F$5:$F$149,"Next week",'Session Tracker'!$G$5:$G$149,"Mon"),$D60*SUMIFS('Session Tracker'!$J$5:$J$149,'Session Tracker'!$D$5:$D$149,$A60,'Session Tracker'!$F$5:$F$149,"Next week",'Session Tracker'!$G$5:$G$149,"Mon"))</f>
        <v>0</v>
      </c>
      <c r="I60" s="52" t="n">
        <f aca="false">IF($E60="Per class",$D60*COUNTIFS('Session Tracker'!$D$5:$D$149,$A60,'Session Tracker'!$F$5:$F$149,"Next week",'Session Tracker'!$G$5:$G$149,"Tue"),$D60*SUMIFS('Session Tracker'!$J$5:$J$149,'Session Tracker'!$D$5:$D$149,$A60,'Session Tracker'!$F$5:$F$149,"Next week",'Session Tracker'!$G$5:$G$149,"Tue"))</f>
        <v>0</v>
      </c>
      <c r="J60" s="52" t="n">
        <f aca="false">IF($E60="Per class",$D60*COUNTIFS('Session Tracker'!$D$5:$D$149,$A60,'Session Tracker'!$F$5:$F$149,"Next week",'Session Tracker'!$G$5:$G$149,"Wed"),$D60*SUMIFS('Session Tracker'!$J$5:$J$149,'Session Tracker'!$D$5:$D$149,$A60,'Session Tracker'!$F$5:$F$149,"Next week",'Session Tracker'!$G$5:$G$149,"Wed"))</f>
        <v>0</v>
      </c>
      <c r="K60" s="52" t="n">
        <f aca="false">IF($E60="Per class",$D60*COUNTIFS('Session Tracker'!$D$5:$D$149,$A60,'Session Tracker'!$F$5:$F$149,"Next week",'Session Tracker'!$G$5:$G$149,"Thu"),$D60*SUMIFS('Session Tracker'!$J$5:$J$149,'Session Tracker'!$D$5:$D$149,$A60,'Session Tracker'!$F$5:$F$149,"Next week",'Session Tracker'!$G$5:$G$149,"Thu"))</f>
        <v>0</v>
      </c>
      <c r="L60" s="52" t="n">
        <f aca="false">IF($E60="Per class",$D60*COUNTIFS('Session Tracker'!$D$5:$D$149,$A60,'Session Tracker'!$F$5:$F$149,"Next week",'Session Tracker'!$G$5:$G$149,"Fri"),$D60*SUMIFS('Session Tracker'!$J$5:$J$149,'Session Tracker'!$D$5:$D$149,$A60,'Session Tracker'!$F$5:$F$149,"Next week",'Session Tracker'!$G$5:$G$149,"Fri"))</f>
        <v>0</v>
      </c>
      <c r="M60" s="52" t="n">
        <f aca="false">IF($E60="Per class",$D60*COUNTIFS('Session Tracker'!$D$5:$D$149,$A60,'Session Tracker'!$F$5:$F$149,"Next week",'Session Tracker'!$G$5:$G$149,""),$D60*SUMIFS('Session Tracker'!$J$5:$J$149,'Session Tracker'!$D$5:$D$149,$A60,'Session Tracker'!$F$5:$F$149,"Next week",'Session Tracker'!$G$5:$G$149,""))</f>
        <v>0</v>
      </c>
    </row>
    <row r="61" customFormat="false" ht="15" hidden="false" customHeight="false" outlineLevel="0" collapsed="false">
      <c r="A61" s="53" t="s">
        <v>154</v>
      </c>
      <c r="B61" s="54"/>
      <c r="C61" s="54"/>
      <c r="D61" s="54"/>
      <c r="E61" s="54"/>
      <c r="F61" s="54"/>
      <c r="G61" s="54"/>
      <c r="H61" s="52" t="n">
        <f aca="false">IF($E61="Per class",$D61*COUNTIFS('Session Tracker'!$D$5:$D$149,$A61,'Session Tracker'!$F$5:$F$149,"Next week",'Session Tracker'!$G$5:$G$149,"Mon"),$D61*SUMIFS('Session Tracker'!$J$5:$J$149,'Session Tracker'!$D$5:$D$149,$A61,'Session Tracker'!$F$5:$F$149,"Next week",'Session Tracker'!$G$5:$G$149,"Mon"))</f>
        <v>0</v>
      </c>
      <c r="I61" s="52" t="n">
        <f aca="false">IF($E61="Per class",$D61*COUNTIFS('Session Tracker'!$D$5:$D$149,$A61,'Session Tracker'!$F$5:$F$149,"Next week",'Session Tracker'!$G$5:$G$149,"Tue"),$D61*SUMIFS('Session Tracker'!$J$5:$J$149,'Session Tracker'!$D$5:$D$149,$A61,'Session Tracker'!$F$5:$F$149,"Next week",'Session Tracker'!$G$5:$G$149,"Tue"))</f>
        <v>0</v>
      </c>
      <c r="J61" s="52" t="n">
        <f aca="false">IF($E61="Per class",$D61*COUNTIFS('Session Tracker'!$D$5:$D$149,$A61,'Session Tracker'!$F$5:$F$149,"Next week",'Session Tracker'!$G$5:$G$149,"Wed"),$D61*SUMIFS('Session Tracker'!$J$5:$J$149,'Session Tracker'!$D$5:$D$149,$A61,'Session Tracker'!$F$5:$F$149,"Next week",'Session Tracker'!$G$5:$G$149,"Wed"))</f>
        <v>0</v>
      </c>
      <c r="K61" s="52" t="n">
        <f aca="false">IF($E61="Per class",$D61*COUNTIFS('Session Tracker'!$D$5:$D$149,$A61,'Session Tracker'!$F$5:$F$149,"Next week",'Session Tracker'!$G$5:$G$149,"Thu"),$D61*SUMIFS('Session Tracker'!$J$5:$J$149,'Session Tracker'!$D$5:$D$149,$A61,'Session Tracker'!$F$5:$F$149,"Next week",'Session Tracker'!$G$5:$G$149,"Thu"))</f>
        <v>0</v>
      </c>
      <c r="L61" s="52" t="n">
        <f aca="false">IF($E61="Per class",$D61*COUNTIFS('Session Tracker'!$D$5:$D$149,$A61,'Session Tracker'!$F$5:$F$149,"Next week",'Session Tracker'!$G$5:$G$149,"Fri"),$D61*SUMIFS('Session Tracker'!$J$5:$J$149,'Session Tracker'!$D$5:$D$149,$A61,'Session Tracker'!$F$5:$F$149,"Next week",'Session Tracker'!$G$5:$G$149,"Fri"))</f>
        <v>0</v>
      </c>
      <c r="M61" s="52" t="n">
        <f aca="false">IF($E61="Per class",$D61*COUNTIFS('Session Tracker'!$D$5:$D$149,$A61,'Session Tracker'!$F$5:$F$149,"Next week",'Session Tracker'!$G$5:$G$149,""),$D61*SUMIFS('Session Tracker'!$J$5:$J$149,'Session Tracker'!$D$5:$D$149,$A61,'Session Tracker'!$F$5:$F$149,"Next week",'Session Tracker'!$G$5:$G$149,""))</f>
        <v>0</v>
      </c>
    </row>
    <row r="62" customFormat="false" ht="15" hidden="false" customHeight="false" outlineLevel="0" collapsed="false">
      <c r="A62" s="53" t="s">
        <v>154</v>
      </c>
      <c r="B62" s="54"/>
      <c r="C62" s="54"/>
      <c r="D62" s="54"/>
      <c r="E62" s="54"/>
      <c r="F62" s="54"/>
      <c r="G62" s="54"/>
      <c r="H62" s="52" t="n">
        <f aca="false">IF($E62="Per class",$D62*COUNTIFS('Session Tracker'!$D$5:$D$149,$A62,'Session Tracker'!$F$5:$F$149,"Next week",'Session Tracker'!$G$5:$G$149,"Mon"),$D62*SUMIFS('Session Tracker'!$J$5:$J$149,'Session Tracker'!$D$5:$D$149,$A62,'Session Tracker'!$F$5:$F$149,"Next week",'Session Tracker'!$G$5:$G$149,"Mon"))</f>
        <v>0</v>
      </c>
      <c r="I62" s="52" t="n">
        <f aca="false">IF($E62="Per class",$D62*COUNTIFS('Session Tracker'!$D$5:$D$149,$A62,'Session Tracker'!$F$5:$F$149,"Next week",'Session Tracker'!$G$5:$G$149,"Tue"),$D62*SUMIFS('Session Tracker'!$J$5:$J$149,'Session Tracker'!$D$5:$D$149,$A62,'Session Tracker'!$F$5:$F$149,"Next week",'Session Tracker'!$G$5:$G$149,"Tue"))</f>
        <v>0</v>
      </c>
      <c r="J62" s="52" t="n">
        <f aca="false">IF($E62="Per class",$D62*COUNTIFS('Session Tracker'!$D$5:$D$149,$A62,'Session Tracker'!$F$5:$F$149,"Next week",'Session Tracker'!$G$5:$G$149,"Wed"),$D62*SUMIFS('Session Tracker'!$J$5:$J$149,'Session Tracker'!$D$5:$D$149,$A62,'Session Tracker'!$F$5:$F$149,"Next week",'Session Tracker'!$G$5:$G$149,"Wed"))</f>
        <v>0</v>
      </c>
      <c r="K62" s="52" t="n">
        <f aca="false">IF($E62="Per class",$D62*COUNTIFS('Session Tracker'!$D$5:$D$149,$A62,'Session Tracker'!$F$5:$F$149,"Next week",'Session Tracker'!$G$5:$G$149,"Thu"),$D62*SUMIFS('Session Tracker'!$J$5:$J$149,'Session Tracker'!$D$5:$D$149,$A62,'Session Tracker'!$F$5:$F$149,"Next week",'Session Tracker'!$G$5:$G$149,"Thu"))</f>
        <v>0</v>
      </c>
      <c r="L62" s="52" t="n">
        <f aca="false">IF($E62="Per class",$D62*COUNTIFS('Session Tracker'!$D$5:$D$149,$A62,'Session Tracker'!$F$5:$F$149,"Next week",'Session Tracker'!$G$5:$G$149,"Fri"),$D62*SUMIFS('Session Tracker'!$J$5:$J$149,'Session Tracker'!$D$5:$D$149,$A62,'Session Tracker'!$F$5:$F$149,"Next week",'Session Tracker'!$G$5:$G$149,"Fri"))</f>
        <v>0</v>
      </c>
      <c r="M62" s="52" t="n">
        <f aca="false">IF($E62="Per class",$D62*COUNTIFS('Session Tracker'!$D$5:$D$149,$A62,'Session Tracker'!$F$5:$F$149,"Next week",'Session Tracker'!$G$5:$G$149,""),$D62*SUMIFS('Session Tracker'!$J$5:$J$149,'Session Tracker'!$D$5:$D$149,$A62,'Session Tracker'!$F$5:$F$149,"Next week",'Session Tracker'!$G$5:$G$149,""))</f>
        <v>0</v>
      </c>
    </row>
    <row r="64" customFormat="false" ht="19.5" hidden="false" customHeight="true" outlineLevel="0" collapsed="false">
      <c r="A64" s="57" t="s">
        <v>156</v>
      </c>
      <c r="B64" s="58" t="s">
        <v>514</v>
      </c>
      <c r="C64" s="58"/>
      <c r="D64" s="58"/>
      <c r="E64" s="58"/>
      <c r="F64" s="59" t="str">
        <f aca="false">"Status: "&amp;'Session Tracker'!F46&amp;IF('Session Tracker'!G46&lt;&gt;""," ("&amp;'Session Tracker'!G46&amp;")","")</f>
        <v>Status: Not started</v>
      </c>
      <c r="G64" s="59"/>
      <c r="H64" s="60"/>
      <c r="I64" s="60"/>
      <c r="J64" s="60"/>
      <c r="K64" s="60"/>
      <c r="L64" s="60"/>
      <c r="M64" s="60"/>
    </row>
    <row r="65" customFormat="false" ht="15" hidden="false" customHeight="false" outlineLevel="0" collapsed="false">
      <c r="A65" s="61" t="s">
        <v>156</v>
      </c>
      <c r="B65" s="34" t="s">
        <v>379</v>
      </c>
      <c r="C65" s="34" t="s">
        <v>380</v>
      </c>
      <c r="D65" s="32" t="n">
        <v>1</v>
      </c>
      <c r="E65" s="32" t="s">
        <v>14</v>
      </c>
      <c r="F65" s="32" t="s">
        <v>368</v>
      </c>
      <c r="G65" s="34"/>
      <c r="H65" s="52" t="n">
        <f aca="false">IF($E65="Per class",$D65*COUNTIFS('Session Tracker'!$D$5:$D$149,$A65,'Session Tracker'!$F$5:$F$149,"Next week",'Session Tracker'!$G$5:$G$149,"Mon"),$D65*SUMIFS('Session Tracker'!$J$5:$J$149,'Session Tracker'!$D$5:$D$149,$A65,'Session Tracker'!$F$5:$F$149,"Next week",'Session Tracker'!$G$5:$G$149,"Mon"))</f>
        <v>0</v>
      </c>
      <c r="I65" s="52" t="n">
        <f aca="false">IF($E65="Per class",$D65*COUNTIFS('Session Tracker'!$D$5:$D$149,$A65,'Session Tracker'!$F$5:$F$149,"Next week",'Session Tracker'!$G$5:$G$149,"Tue"),$D65*SUMIFS('Session Tracker'!$J$5:$J$149,'Session Tracker'!$D$5:$D$149,$A65,'Session Tracker'!$F$5:$F$149,"Next week",'Session Tracker'!$G$5:$G$149,"Tue"))</f>
        <v>0</v>
      </c>
      <c r="J65" s="52" t="n">
        <f aca="false">IF($E65="Per class",$D65*COUNTIFS('Session Tracker'!$D$5:$D$149,$A65,'Session Tracker'!$F$5:$F$149,"Next week",'Session Tracker'!$G$5:$G$149,"Wed"),$D65*SUMIFS('Session Tracker'!$J$5:$J$149,'Session Tracker'!$D$5:$D$149,$A65,'Session Tracker'!$F$5:$F$149,"Next week",'Session Tracker'!$G$5:$G$149,"Wed"))</f>
        <v>0</v>
      </c>
      <c r="K65" s="52" t="n">
        <f aca="false">IF($E65="Per class",$D65*COUNTIFS('Session Tracker'!$D$5:$D$149,$A65,'Session Tracker'!$F$5:$F$149,"Next week",'Session Tracker'!$G$5:$G$149,"Thu"),$D65*SUMIFS('Session Tracker'!$J$5:$J$149,'Session Tracker'!$D$5:$D$149,$A65,'Session Tracker'!$F$5:$F$149,"Next week",'Session Tracker'!$G$5:$G$149,"Thu"))</f>
        <v>0</v>
      </c>
      <c r="L65" s="52" t="n">
        <f aca="false">IF($E65="Per class",$D65*COUNTIFS('Session Tracker'!$D$5:$D$149,$A65,'Session Tracker'!$F$5:$F$149,"Next week",'Session Tracker'!$G$5:$G$149,"Fri"),$D65*SUMIFS('Session Tracker'!$J$5:$J$149,'Session Tracker'!$D$5:$D$149,$A65,'Session Tracker'!$F$5:$F$149,"Next week",'Session Tracker'!$G$5:$G$149,"Fri"))</f>
        <v>0</v>
      </c>
      <c r="M65" s="52" t="n">
        <f aca="false">IF($E65="Per class",$D65*COUNTIFS('Session Tracker'!$D$5:$D$149,$A65,'Session Tracker'!$F$5:$F$149,"Next week",'Session Tracker'!$G$5:$G$149,""),$D65*SUMIFS('Session Tracker'!$J$5:$J$149,'Session Tracker'!$D$5:$D$149,$A65,'Session Tracker'!$F$5:$F$149,"Next week",'Session Tracker'!$G$5:$G$149,""))</f>
        <v>0</v>
      </c>
    </row>
    <row r="66" customFormat="false" ht="15" hidden="false" customHeight="false" outlineLevel="0" collapsed="false">
      <c r="A66" s="61" t="s">
        <v>156</v>
      </c>
      <c r="B66" s="34" t="s">
        <v>371</v>
      </c>
      <c r="C66" s="34" t="s">
        <v>372</v>
      </c>
      <c r="D66" s="32" t="n">
        <v>4</v>
      </c>
      <c r="E66" s="32" t="s">
        <v>14</v>
      </c>
      <c r="F66" s="32" t="s">
        <v>373</v>
      </c>
      <c r="G66" s="34"/>
      <c r="H66" s="52" t="n">
        <f aca="false">IF($E66="Per class",$D66*COUNTIFS('Session Tracker'!$D$5:$D$149,$A66,'Session Tracker'!$F$5:$F$149,"Next week",'Session Tracker'!$G$5:$G$149,"Mon"),$D66*SUMIFS('Session Tracker'!$J$5:$J$149,'Session Tracker'!$D$5:$D$149,$A66,'Session Tracker'!$F$5:$F$149,"Next week",'Session Tracker'!$G$5:$G$149,"Mon"))</f>
        <v>0</v>
      </c>
      <c r="I66" s="52" t="n">
        <f aca="false">IF($E66="Per class",$D66*COUNTIFS('Session Tracker'!$D$5:$D$149,$A66,'Session Tracker'!$F$5:$F$149,"Next week",'Session Tracker'!$G$5:$G$149,"Tue"),$D66*SUMIFS('Session Tracker'!$J$5:$J$149,'Session Tracker'!$D$5:$D$149,$A66,'Session Tracker'!$F$5:$F$149,"Next week",'Session Tracker'!$G$5:$G$149,"Tue"))</f>
        <v>0</v>
      </c>
      <c r="J66" s="52" t="n">
        <f aca="false">IF($E66="Per class",$D66*COUNTIFS('Session Tracker'!$D$5:$D$149,$A66,'Session Tracker'!$F$5:$F$149,"Next week",'Session Tracker'!$G$5:$G$149,"Wed"),$D66*SUMIFS('Session Tracker'!$J$5:$J$149,'Session Tracker'!$D$5:$D$149,$A66,'Session Tracker'!$F$5:$F$149,"Next week",'Session Tracker'!$G$5:$G$149,"Wed"))</f>
        <v>0</v>
      </c>
      <c r="K66" s="52" t="n">
        <f aca="false">IF($E66="Per class",$D66*COUNTIFS('Session Tracker'!$D$5:$D$149,$A66,'Session Tracker'!$F$5:$F$149,"Next week",'Session Tracker'!$G$5:$G$149,"Thu"),$D66*SUMIFS('Session Tracker'!$J$5:$J$149,'Session Tracker'!$D$5:$D$149,$A66,'Session Tracker'!$F$5:$F$149,"Next week",'Session Tracker'!$G$5:$G$149,"Thu"))</f>
        <v>0</v>
      </c>
      <c r="L66" s="52" t="n">
        <f aca="false">IF($E66="Per class",$D66*COUNTIFS('Session Tracker'!$D$5:$D$149,$A66,'Session Tracker'!$F$5:$F$149,"Next week",'Session Tracker'!$G$5:$G$149,"Fri"),$D66*SUMIFS('Session Tracker'!$J$5:$J$149,'Session Tracker'!$D$5:$D$149,$A66,'Session Tracker'!$F$5:$F$149,"Next week",'Session Tracker'!$G$5:$G$149,"Fri"))</f>
        <v>0</v>
      </c>
      <c r="M66" s="52" t="n">
        <f aca="false">IF($E66="Per class",$D66*COUNTIFS('Session Tracker'!$D$5:$D$149,$A66,'Session Tracker'!$F$5:$F$149,"Next week",'Session Tracker'!$G$5:$G$149,""),$D66*SUMIFS('Session Tracker'!$J$5:$J$149,'Session Tracker'!$D$5:$D$149,$A66,'Session Tracker'!$F$5:$F$149,"Next week",'Session Tracker'!$G$5:$G$149,""))</f>
        <v>0</v>
      </c>
    </row>
    <row r="67" customFormat="false" ht="15" hidden="false" customHeight="false" outlineLevel="0" collapsed="false">
      <c r="A67" s="61" t="s">
        <v>156</v>
      </c>
      <c r="B67" s="34" t="s">
        <v>375</v>
      </c>
      <c r="C67" s="34" t="s">
        <v>376</v>
      </c>
      <c r="D67" s="32" t="n">
        <v>4</v>
      </c>
      <c r="E67" s="32" t="s">
        <v>14</v>
      </c>
      <c r="F67" s="32" t="s">
        <v>373</v>
      </c>
      <c r="G67" s="34"/>
      <c r="H67" s="52" t="n">
        <f aca="false">IF($E67="Per class",$D67*COUNTIFS('Session Tracker'!$D$5:$D$149,$A67,'Session Tracker'!$F$5:$F$149,"Next week",'Session Tracker'!$G$5:$G$149,"Mon"),$D67*SUMIFS('Session Tracker'!$J$5:$J$149,'Session Tracker'!$D$5:$D$149,$A67,'Session Tracker'!$F$5:$F$149,"Next week",'Session Tracker'!$G$5:$G$149,"Mon"))</f>
        <v>0</v>
      </c>
      <c r="I67" s="52" t="n">
        <f aca="false">IF($E67="Per class",$D67*COUNTIFS('Session Tracker'!$D$5:$D$149,$A67,'Session Tracker'!$F$5:$F$149,"Next week",'Session Tracker'!$G$5:$G$149,"Tue"),$D67*SUMIFS('Session Tracker'!$J$5:$J$149,'Session Tracker'!$D$5:$D$149,$A67,'Session Tracker'!$F$5:$F$149,"Next week",'Session Tracker'!$G$5:$G$149,"Tue"))</f>
        <v>0</v>
      </c>
      <c r="J67" s="52" t="n">
        <f aca="false">IF($E67="Per class",$D67*COUNTIFS('Session Tracker'!$D$5:$D$149,$A67,'Session Tracker'!$F$5:$F$149,"Next week",'Session Tracker'!$G$5:$G$149,"Wed"),$D67*SUMIFS('Session Tracker'!$J$5:$J$149,'Session Tracker'!$D$5:$D$149,$A67,'Session Tracker'!$F$5:$F$149,"Next week",'Session Tracker'!$G$5:$G$149,"Wed"))</f>
        <v>0</v>
      </c>
      <c r="K67" s="52" t="n">
        <f aca="false">IF($E67="Per class",$D67*COUNTIFS('Session Tracker'!$D$5:$D$149,$A67,'Session Tracker'!$F$5:$F$149,"Next week",'Session Tracker'!$G$5:$G$149,"Thu"),$D67*SUMIFS('Session Tracker'!$J$5:$J$149,'Session Tracker'!$D$5:$D$149,$A67,'Session Tracker'!$F$5:$F$149,"Next week",'Session Tracker'!$G$5:$G$149,"Thu"))</f>
        <v>0</v>
      </c>
      <c r="L67" s="52" t="n">
        <f aca="false">IF($E67="Per class",$D67*COUNTIFS('Session Tracker'!$D$5:$D$149,$A67,'Session Tracker'!$F$5:$F$149,"Next week",'Session Tracker'!$G$5:$G$149,"Fri"),$D67*SUMIFS('Session Tracker'!$J$5:$J$149,'Session Tracker'!$D$5:$D$149,$A67,'Session Tracker'!$F$5:$F$149,"Next week",'Session Tracker'!$G$5:$G$149,"Fri"))</f>
        <v>0</v>
      </c>
      <c r="M67" s="52" t="n">
        <f aca="false">IF($E67="Per class",$D67*COUNTIFS('Session Tracker'!$D$5:$D$149,$A67,'Session Tracker'!$F$5:$F$149,"Next week",'Session Tracker'!$G$5:$G$149,""),$D67*SUMIFS('Session Tracker'!$J$5:$J$149,'Session Tracker'!$D$5:$D$149,$A67,'Session Tracker'!$F$5:$F$149,"Next week",'Session Tracker'!$G$5:$G$149,""))</f>
        <v>0</v>
      </c>
    </row>
    <row r="68" customFormat="false" ht="15" hidden="false" customHeight="false" outlineLevel="0" collapsed="false">
      <c r="A68" s="61" t="s">
        <v>156</v>
      </c>
      <c r="B68" s="34" t="s">
        <v>375</v>
      </c>
      <c r="C68" s="34" t="s">
        <v>511</v>
      </c>
      <c r="D68" s="32" t="n">
        <v>2</v>
      </c>
      <c r="E68" s="32" t="s">
        <v>14</v>
      </c>
      <c r="F68" s="32" t="s">
        <v>368</v>
      </c>
      <c r="G68" s="34"/>
      <c r="H68" s="52" t="n">
        <f aca="false">IF($E68="Per class",$D68*COUNTIFS('Session Tracker'!$D$5:$D$149,$A68,'Session Tracker'!$F$5:$F$149,"Next week",'Session Tracker'!$G$5:$G$149,"Mon"),$D68*SUMIFS('Session Tracker'!$J$5:$J$149,'Session Tracker'!$D$5:$D$149,$A68,'Session Tracker'!$F$5:$F$149,"Next week",'Session Tracker'!$G$5:$G$149,"Mon"))</f>
        <v>0</v>
      </c>
      <c r="I68" s="52" t="n">
        <f aca="false">IF($E68="Per class",$D68*COUNTIFS('Session Tracker'!$D$5:$D$149,$A68,'Session Tracker'!$F$5:$F$149,"Next week",'Session Tracker'!$G$5:$G$149,"Tue"),$D68*SUMIFS('Session Tracker'!$J$5:$J$149,'Session Tracker'!$D$5:$D$149,$A68,'Session Tracker'!$F$5:$F$149,"Next week",'Session Tracker'!$G$5:$G$149,"Tue"))</f>
        <v>0</v>
      </c>
      <c r="J68" s="52" t="n">
        <f aca="false">IF($E68="Per class",$D68*COUNTIFS('Session Tracker'!$D$5:$D$149,$A68,'Session Tracker'!$F$5:$F$149,"Next week",'Session Tracker'!$G$5:$G$149,"Wed"),$D68*SUMIFS('Session Tracker'!$J$5:$J$149,'Session Tracker'!$D$5:$D$149,$A68,'Session Tracker'!$F$5:$F$149,"Next week",'Session Tracker'!$G$5:$G$149,"Wed"))</f>
        <v>0</v>
      </c>
      <c r="K68" s="52" t="n">
        <f aca="false">IF($E68="Per class",$D68*COUNTIFS('Session Tracker'!$D$5:$D$149,$A68,'Session Tracker'!$F$5:$F$149,"Next week",'Session Tracker'!$G$5:$G$149,"Thu"),$D68*SUMIFS('Session Tracker'!$J$5:$J$149,'Session Tracker'!$D$5:$D$149,$A68,'Session Tracker'!$F$5:$F$149,"Next week",'Session Tracker'!$G$5:$G$149,"Thu"))</f>
        <v>0</v>
      </c>
      <c r="L68" s="52" t="n">
        <f aca="false">IF($E68="Per class",$D68*COUNTIFS('Session Tracker'!$D$5:$D$149,$A68,'Session Tracker'!$F$5:$F$149,"Next week",'Session Tracker'!$G$5:$G$149,"Fri"),$D68*SUMIFS('Session Tracker'!$J$5:$J$149,'Session Tracker'!$D$5:$D$149,$A68,'Session Tracker'!$F$5:$F$149,"Next week",'Session Tracker'!$G$5:$G$149,"Fri"))</f>
        <v>0</v>
      </c>
      <c r="M68" s="52" t="n">
        <f aca="false">IF($E68="Per class",$D68*COUNTIFS('Session Tracker'!$D$5:$D$149,$A68,'Session Tracker'!$F$5:$F$149,"Next week",'Session Tracker'!$G$5:$G$149,""),$D68*SUMIFS('Session Tracker'!$J$5:$J$149,'Session Tracker'!$D$5:$D$149,$A68,'Session Tracker'!$F$5:$F$149,"Next week",'Session Tracker'!$G$5:$G$149,""))</f>
        <v>0</v>
      </c>
    </row>
    <row r="69" customFormat="false" ht="15" hidden="false" customHeight="false" outlineLevel="0" collapsed="false">
      <c r="A69" s="61" t="s">
        <v>156</v>
      </c>
      <c r="B69" s="34" t="s">
        <v>409</v>
      </c>
      <c r="C69" s="34" t="s">
        <v>515</v>
      </c>
      <c r="D69" s="32" t="n">
        <v>1</v>
      </c>
      <c r="E69" s="32" t="s">
        <v>14</v>
      </c>
      <c r="F69" s="32" t="s">
        <v>373</v>
      </c>
      <c r="G69" s="34"/>
      <c r="H69" s="52" t="n">
        <f aca="false">IF($E69="Per class",$D69*COUNTIFS('Session Tracker'!$D$5:$D$149,$A69,'Session Tracker'!$F$5:$F$149,"Next week",'Session Tracker'!$G$5:$G$149,"Mon"),$D69*SUMIFS('Session Tracker'!$J$5:$J$149,'Session Tracker'!$D$5:$D$149,$A69,'Session Tracker'!$F$5:$F$149,"Next week",'Session Tracker'!$G$5:$G$149,"Mon"))</f>
        <v>0</v>
      </c>
      <c r="I69" s="52" t="n">
        <f aca="false">IF($E69="Per class",$D69*COUNTIFS('Session Tracker'!$D$5:$D$149,$A69,'Session Tracker'!$F$5:$F$149,"Next week",'Session Tracker'!$G$5:$G$149,"Tue"),$D69*SUMIFS('Session Tracker'!$J$5:$J$149,'Session Tracker'!$D$5:$D$149,$A69,'Session Tracker'!$F$5:$F$149,"Next week",'Session Tracker'!$G$5:$G$149,"Tue"))</f>
        <v>0</v>
      </c>
      <c r="J69" s="52" t="n">
        <f aca="false">IF($E69="Per class",$D69*COUNTIFS('Session Tracker'!$D$5:$D$149,$A69,'Session Tracker'!$F$5:$F$149,"Next week",'Session Tracker'!$G$5:$G$149,"Wed"),$D69*SUMIFS('Session Tracker'!$J$5:$J$149,'Session Tracker'!$D$5:$D$149,$A69,'Session Tracker'!$F$5:$F$149,"Next week",'Session Tracker'!$G$5:$G$149,"Wed"))</f>
        <v>0</v>
      </c>
      <c r="K69" s="52" t="n">
        <f aca="false">IF($E69="Per class",$D69*COUNTIFS('Session Tracker'!$D$5:$D$149,$A69,'Session Tracker'!$F$5:$F$149,"Next week",'Session Tracker'!$G$5:$G$149,"Thu"),$D69*SUMIFS('Session Tracker'!$J$5:$J$149,'Session Tracker'!$D$5:$D$149,$A69,'Session Tracker'!$F$5:$F$149,"Next week",'Session Tracker'!$G$5:$G$149,"Thu"))</f>
        <v>0</v>
      </c>
      <c r="L69" s="52" t="n">
        <f aca="false">IF($E69="Per class",$D69*COUNTIFS('Session Tracker'!$D$5:$D$149,$A69,'Session Tracker'!$F$5:$F$149,"Next week",'Session Tracker'!$G$5:$G$149,"Fri"),$D69*SUMIFS('Session Tracker'!$J$5:$J$149,'Session Tracker'!$D$5:$D$149,$A69,'Session Tracker'!$F$5:$F$149,"Next week",'Session Tracker'!$G$5:$G$149,"Fri"))</f>
        <v>0</v>
      </c>
      <c r="M69" s="52" t="n">
        <f aca="false">IF($E69="Per class",$D69*COUNTIFS('Session Tracker'!$D$5:$D$149,$A69,'Session Tracker'!$F$5:$F$149,"Next week",'Session Tracker'!$G$5:$G$149,""),$D69*SUMIFS('Session Tracker'!$J$5:$J$149,'Session Tracker'!$D$5:$D$149,$A69,'Session Tracker'!$F$5:$F$149,"Next week",'Session Tracker'!$G$5:$G$149,""))</f>
        <v>0</v>
      </c>
    </row>
    <row r="70" customFormat="false" ht="15" hidden="false" customHeight="false" outlineLevel="0" collapsed="false">
      <c r="A70" s="61" t="s">
        <v>156</v>
      </c>
      <c r="B70" s="34" t="s">
        <v>382</v>
      </c>
      <c r="C70" s="34" t="s">
        <v>484</v>
      </c>
      <c r="D70" s="32" t="n">
        <v>1</v>
      </c>
      <c r="E70" s="32" t="s">
        <v>14</v>
      </c>
      <c r="F70" s="32" t="s">
        <v>368</v>
      </c>
      <c r="G70" s="34"/>
      <c r="H70" s="52" t="n">
        <f aca="false">IF($E70="Per class",$D70*COUNTIFS('Session Tracker'!$D$5:$D$149,$A70,'Session Tracker'!$F$5:$F$149,"Next week",'Session Tracker'!$G$5:$G$149,"Mon"),$D70*SUMIFS('Session Tracker'!$J$5:$J$149,'Session Tracker'!$D$5:$D$149,$A70,'Session Tracker'!$F$5:$F$149,"Next week",'Session Tracker'!$G$5:$G$149,"Mon"))</f>
        <v>0</v>
      </c>
      <c r="I70" s="52" t="n">
        <f aca="false">IF($E70="Per class",$D70*COUNTIFS('Session Tracker'!$D$5:$D$149,$A70,'Session Tracker'!$F$5:$F$149,"Next week",'Session Tracker'!$G$5:$G$149,"Tue"),$D70*SUMIFS('Session Tracker'!$J$5:$J$149,'Session Tracker'!$D$5:$D$149,$A70,'Session Tracker'!$F$5:$F$149,"Next week",'Session Tracker'!$G$5:$G$149,"Tue"))</f>
        <v>0</v>
      </c>
      <c r="J70" s="52" t="n">
        <f aca="false">IF($E70="Per class",$D70*COUNTIFS('Session Tracker'!$D$5:$D$149,$A70,'Session Tracker'!$F$5:$F$149,"Next week",'Session Tracker'!$G$5:$G$149,"Wed"),$D70*SUMIFS('Session Tracker'!$J$5:$J$149,'Session Tracker'!$D$5:$D$149,$A70,'Session Tracker'!$F$5:$F$149,"Next week",'Session Tracker'!$G$5:$G$149,"Wed"))</f>
        <v>0</v>
      </c>
      <c r="K70" s="52" t="n">
        <f aca="false">IF($E70="Per class",$D70*COUNTIFS('Session Tracker'!$D$5:$D$149,$A70,'Session Tracker'!$F$5:$F$149,"Next week",'Session Tracker'!$G$5:$G$149,"Thu"),$D70*SUMIFS('Session Tracker'!$J$5:$J$149,'Session Tracker'!$D$5:$D$149,$A70,'Session Tracker'!$F$5:$F$149,"Next week",'Session Tracker'!$G$5:$G$149,"Thu"))</f>
        <v>0</v>
      </c>
      <c r="L70" s="52" t="n">
        <f aca="false">IF($E70="Per class",$D70*COUNTIFS('Session Tracker'!$D$5:$D$149,$A70,'Session Tracker'!$F$5:$F$149,"Next week",'Session Tracker'!$G$5:$G$149,"Fri"),$D70*SUMIFS('Session Tracker'!$J$5:$J$149,'Session Tracker'!$D$5:$D$149,$A70,'Session Tracker'!$F$5:$F$149,"Next week",'Session Tracker'!$G$5:$G$149,"Fri"))</f>
        <v>0</v>
      </c>
      <c r="M70" s="52" t="n">
        <f aca="false">IF($E70="Per class",$D70*COUNTIFS('Session Tracker'!$D$5:$D$149,$A70,'Session Tracker'!$F$5:$F$149,"Next week",'Session Tracker'!$G$5:$G$149,""),$D70*SUMIFS('Session Tracker'!$J$5:$J$149,'Session Tracker'!$D$5:$D$149,$A70,'Session Tracker'!$F$5:$F$149,"Next week",'Session Tracker'!$G$5:$G$149,""))</f>
        <v>0</v>
      </c>
    </row>
    <row r="71" customFormat="false" ht="15" hidden="false" customHeight="false" outlineLevel="0" collapsed="false">
      <c r="A71" s="61" t="s">
        <v>156</v>
      </c>
      <c r="B71" s="34" t="s">
        <v>379</v>
      </c>
      <c r="C71" s="34" t="s">
        <v>381</v>
      </c>
      <c r="D71" s="32" t="n">
        <v>10</v>
      </c>
      <c r="E71" s="32" t="s">
        <v>14</v>
      </c>
      <c r="F71" s="32" t="s">
        <v>368</v>
      </c>
      <c r="G71" s="34"/>
      <c r="H71" s="52" t="n">
        <f aca="false">IF($E71="Per class",$D71*COUNTIFS('Session Tracker'!$D$5:$D$149,$A71,'Session Tracker'!$F$5:$F$149,"Next week",'Session Tracker'!$G$5:$G$149,"Mon"),$D71*SUMIFS('Session Tracker'!$J$5:$J$149,'Session Tracker'!$D$5:$D$149,$A71,'Session Tracker'!$F$5:$F$149,"Next week",'Session Tracker'!$G$5:$G$149,"Mon"))</f>
        <v>0</v>
      </c>
      <c r="I71" s="52" t="n">
        <f aca="false">IF($E71="Per class",$D71*COUNTIFS('Session Tracker'!$D$5:$D$149,$A71,'Session Tracker'!$F$5:$F$149,"Next week",'Session Tracker'!$G$5:$G$149,"Tue"),$D71*SUMIFS('Session Tracker'!$J$5:$J$149,'Session Tracker'!$D$5:$D$149,$A71,'Session Tracker'!$F$5:$F$149,"Next week",'Session Tracker'!$G$5:$G$149,"Tue"))</f>
        <v>0</v>
      </c>
      <c r="J71" s="52" t="n">
        <f aca="false">IF($E71="Per class",$D71*COUNTIFS('Session Tracker'!$D$5:$D$149,$A71,'Session Tracker'!$F$5:$F$149,"Next week",'Session Tracker'!$G$5:$G$149,"Wed"),$D71*SUMIFS('Session Tracker'!$J$5:$J$149,'Session Tracker'!$D$5:$D$149,$A71,'Session Tracker'!$F$5:$F$149,"Next week",'Session Tracker'!$G$5:$G$149,"Wed"))</f>
        <v>0</v>
      </c>
      <c r="K71" s="52" t="n">
        <f aca="false">IF($E71="Per class",$D71*COUNTIFS('Session Tracker'!$D$5:$D$149,$A71,'Session Tracker'!$F$5:$F$149,"Next week",'Session Tracker'!$G$5:$G$149,"Thu"),$D71*SUMIFS('Session Tracker'!$J$5:$J$149,'Session Tracker'!$D$5:$D$149,$A71,'Session Tracker'!$F$5:$F$149,"Next week",'Session Tracker'!$G$5:$G$149,"Thu"))</f>
        <v>0</v>
      </c>
      <c r="L71" s="52" t="n">
        <f aca="false">IF($E71="Per class",$D71*COUNTIFS('Session Tracker'!$D$5:$D$149,$A71,'Session Tracker'!$F$5:$F$149,"Next week",'Session Tracker'!$G$5:$G$149,"Fri"),$D71*SUMIFS('Session Tracker'!$J$5:$J$149,'Session Tracker'!$D$5:$D$149,$A71,'Session Tracker'!$F$5:$F$149,"Next week",'Session Tracker'!$G$5:$G$149,"Fri"))</f>
        <v>0</v>
      </c>
      <c r="M71" s="52" t="n">
        <f aca="false">IF($E71="Per class",$D71*COUNTIFS('Session Tracker'!$D$5:$D$149,$A71,'Session Tracker'!$F$5:$F$149,"Next week",'Session Tracker'!$G$5:$G$149,""),$D71*SUMIFS('Session Tracker'!$J$5:$J$149,'Session Tracker'!$D$5:$D$149,$A71,'Session Tracker'!$F$5:$F$149,"Next week",'Session Tracker'!$G$5:$G$149,""))</f>
        <v>0</v>
      </c>
    </row>
    <row r="72" customFormat="false" ht="15" hidden="false" customHeight="false" outlineLevel="0" collapsed="false">
      <c r="A72" s="61" t="s">
        <v>156</v>
      </c>
      <c r="B72" s="34" t="s">
        <v>382</v>
      </c>
      <c r="C72" s="34" t="s">
        <v>383</v>
      </c>
      <c r="D72" s="32" t="n">
        <v>1</v>
      </c>
      <c r="E72" s="32" t="s">
        <v>14</v>
      </c>
      <c r="F72" s="32" t="s">
        <v>368</v>
      </c>
      <c r="G72" s="34"/>
      <c r="H72" s="52" t="n">
        <f aca="false">IF($E72="Per class",$D72*COUNTIFS('Session Tracker'!$D$5:$D$149,$A72,'Session Tracker'!$F$5:$F$149,"Next week",'Session Tracker'!$G$5:$G$149,"Mon"),$D72*SUMIFS('Session Tracker'!$J$5:$J$149,'Session Tracker'!$D$5:$D$149,$A72,'Session Tracker'!$F$5:$F$149,"Next week",'Session Tracker'!$G$5:$G$149,"Mon"))</f>
        <v>0</v>
      </c>
      <c r="I72" s="52" t="n">
        <f aca="false">IF($E72="Per class",$D72*COUNTIFS('Session Tracker'!$D$5:$D$149,$A72,'Session Tracker'!$F$5:$F$149,"Next week",'Session Tracker'!$G$5:$G$149,"Tue"),$D72*SUMIFS('Session Tracker'!$J$5:$J$149,'Session Tracker'!$D$5:$D$149,$A72,'Session Tracker'!$F$5:$F$149,"Next week",'Session Tracker'!$G$5:$G$149,"Tue"))</f>
        <v>0</v>
      </c>
      <c r="J72" s="52" t="n">
        <f aca="false">IF($E72="Per class",$D72*COUNTIFS('Session Tracker'!$D$5:$D$149,$A72,'Session Tracker'!$F$5:$F$149,"Next week",'Session Tracker'!$G$5:$G$149,"Wed"),$D72*SUMIFS('Session Tracker'!$J$5:$J$149,'Session Tracker'!$D$5:$D$149,$A72,'Session Tracker'!$F$5:$F$149,"Next week",'Session Tracker'!$G$5:$G$149,"Wed"))</f>
        <v>0</v>
      </c>
      <c r="K72" s="52" t="n">
        <f aca="false">IF($E72="Per class",$D72*COUNTIFS('Session Tracker'!$D$5:$D$149,$A72,'Session Tracker'!$F$5:$F$149,"Next week",'Session Tracker'!$G$5:$G$149,"Thu"),$D72*SUMIFS('Session Tracker'!$J$5:$J$149,'Session Tracker'!$D$5:$D$149,$A72,'Session Tracker'!$F$5:$F$149,"Next week",'Session Tracker'!$G$5:$G$149,"Thu"))</f>
        <v>0</v>
      </c>
      <c r="L72" s="52" t="n">
        <f aca="false">IF($E72="Per class",$D72*COUNTIFS('Session Tracker'!$D$5:$D$149,$A72,'Session Tracker'!$F$5:$F$149,"Next week",'Session Tracker'!$G$5:$G$149,"Fri"),$D72*SUMIFS('Session Tracker'!$J$5:$J$149,'Session Tracker'!$D$5:$D$149,$A72,'Session Tracker'!$F$5:$F$149,"Next week",'Session Tracker'!$G$5:$G$149,"Fri"))</f>
        <v>0</v>
      </c>
      <c r="M72" s="52" t="n">
        <f aca="false">IF($E72="Per class",$D72*COUNTIFS('Session Tracker'!$D$5:$D$149,$A72,'Session Tracker'!$F$5:$F$149,"Next week",'Session Tracker'!$G$5:$G$149,""),$D72*SUMIFS('Session Tracker'!$J$5:$J$149,'Session Tracker'!$D$5:$D$149,$A72,'Session Tracker'!$F$5:$F$149,"Next week",'Session Tracker'!$G$5:$G$149,""))</f>
        <v>0</v>
      </c>
    </row>
    <row r="73" customFormat="false" ht="15" hidden="false" customHeight="false" outlineLevel="0" collapsed="false">
      <c r="A73" s="53" t="s">
        <v>156</v>
      </c>
      <c r="B73" s="54"/>
      <c r="C73" s="54"/>
      <c r="D73" s="54"/>
      <c r="E73" s="54"/>
      <c r="F73" s="54"/>
      <c r="G73" s="54"/>
      <c r="H73" s="52" t="n">
        <f aca="false">IF($E73="Per class",$D73*COUNTIFS('Session Tracker'!$D$5:$D$149,$A73,'Session Tracker'!$F$5:$F$149,"Next week",'Session Tracker'!$G$5:$G$149,"Mon"),$D73*SUMIFS('Session Tracker'!$J$5:$J$149,'Session Tracker'!$D$5:$D$149,$A73,'Session Tracker'!$F$5:$F$149,"Next week",'Session Tracker'!$G$5:$G$149,"Mon"))</f>
        <v>0</v>
      </c>
      <c r="I73" s="52" t="n">
        <f aca="false">IF($E73="Per class",$D73*COUNTIFS('Session Tracker'!$D$5:$D$149,$A73,'Session Tracker'!$F$5:$F$149,"Next week",'Session Tracker'!$G$5:$G$149,"Tue"),$D73*SUMIFS('Session Tracker'!$J$5:$J$149,'Session Tracker'!$D$5:$D$149,$A73,'Session Tracker'!$F$5:$F$149,"Next week",'Session Tracker'!$G$5:$G$149,"Tue"))</f>
        <v>0</v>
      </c>
      <c r="J73" s="52" t="n">
        <f aca="false">IF($E73="Per class",$D73*COUNTIFS('Session Tracker'!$D$5:$D$149,$A73,'Session Tracker'!$F$5:$F$149,"Next week",'Session Tracker'!$G$5:$G$149,"Wed"),$D73*SUMIFS('Session Tracker'!$J$5:$J$149,'Session Tracker'!$D$5:$D$149,$A73,'Session Tracker'!$F$5:$F$149,"Next week",'Session Tracker'!$G$5:$G$149,"Wed"))</f>
        <v>0</v>
      </c>
      <c r="K73" s="52" t="n">
        <f aca="false">IF($E73="Per class",$D73*COUNTIFS('Session Tracker'!$D$5:$D$149,$A73,'Session Tracker'!$F$5:$F$149,"Next week",'Session Tracker'!$G$5:$G$149,"Thu"),$D73*SUMIFS('Session Tracker'!$J$5:$J$149,'Session Tracker'!$D$5:$D$149,$A73,'Session Tracker'!$F$5:$F$149,"Next week",'Session Tracker'!$G$5:$G$149,"Thu"))</f>
        <v>0</v>
      </c>
      <c r="L73" s="52" t="n">
        <f aca="false">IF($E73="Per class",$D73*COUNTIFS('Session Tracker'!$D$5:$D$149,$A73,'Session Tracker'!$F$5:$F$149,"Next week",'Session Tracker'!$G$5:$G$149,"Fri"),$D73*SUMIFS('Session Tracker'!$J$5:$J$149,'Session Tracker'!$D$5:$D$149,$A73,'Session Tracker'!$F$5:$F$149,"Next week",'Session Tracker'!$G$5:$G$149,"Fri"))</f>
        <v>0</v>
      </c>
      <c r="M73" s="52" t="n">
        <f aca="false">IF($E73="Per class",$D73*COUNTIFS('Session Tracker'!$D$5:$D$149,$A73,'Session Tracker'!$F$5:$F$149,"Next week",'Session Tracker'!$G$5:$G$149,""),$D73*SUMIFS('Session Tracker'!$J$5:$J$149,'Session Tracker'!$D$5:$D$149,$A73,'Session Tracker'!$F$5:$F$149,"Next week",'Session Tracker'!$G$5:$G$149,""))</f>
        <v>0</v>
      </c>
    </row>
    <row r="74" customFormat="false" ht="15" hidden="false" customHeight="false" outlineLevel="0" collapsed="false">
      <c r="A74" s="53" t="s">
        <v>156</v>
      </c>
      <c r="B74" s="54"/>
      <c r="C74" s="54"/>
      <c r="D74" s="54"/>
      <c r="E74" s="54"/>
      <c r="F74" s="54"/>
      <c r="G74" s="54"/>
      <c r="H74" s="52" t="n">
        <f aca="false">IF($E74="Per class",$D74*COUNTIFS('Session Tracker'!$D$5:$D$149,$A74,'Session Tracker'!$F$5:$F$149,"Next week",'Session Tracker'!$G$5:$G$149,"Mon"),$D74*SUMIFS('Session Tracker'!$J$5:$J$149,'Session Tracker'!$D$5:$D$149,$A74,'Session Tracker'!$F$5:$F$149,"Next week",'Session Tracker'!$G$5:$G$149,"Mon"))</f>
        <v>0</v>
      </c>
      <c r="I74" s="52" t="n">
        <f aca="false">IF($E74="Per class",$D74*COUNTIFS('Session Tracker'!$D$5:$D$149,$A74,'Session Tracker'!$F$5:$F$149,"Next week",'Session Tracker'!$G$5:$G$149,"Tue"),$D74*SUMIFS('Session Tracker'!$J$5:$J$149,'Session Tracker'!$D$5:$D$149,$A74,'Session Tracker'!$F$5:$F$149,"Next week",'Session Tracker'!$G$5:$G$149,"Tue"))</f>
        <v>0</v>
      </c>
      <c r="J74" s="52" t="n">
        <f aca="false">IF($E74="Per class",$D74*COUNTIFS('Session Tracker'!$D$5:$D$149,$A74,'Session Tracker'!$F$5:$F$149,"Next week",'Session Tracker'!$G$5:$G$149,"Wed"),$D74*SUMIFS('Session Tracker'!$J$5:$J$149,'Session Tracker'!$D$5:$D$149,$A74,'Session Tracker'!$F$5:$F$149,"Next week",'Session Tracker'!$G$5:$G$149,"Wed"))</f>
        <v>0</v>
      </c>
      <c r="K74" s="52" t="n">
        <f aca="false">IF($E74="Per class",$D74*COUNTIFS('Session Tracker'!$D$5:$D$149,$A74,'Session Tracker'!$F$5:$F$149,"Next week",'Session Tracker'!$G$5:$G$149,"Thu"),$D74*SUMIFS('Session Tracker'!$J$5:$J$149,'Session Tracker'!$D$5:$D$149,$A74,'Session Tracker'!$F$5:$F$149,"Next week",'Session Tracker'!$G$5:$G$149,"Thu"))</f>
        <v>0</v>
      </c>
      <c r="L74" s="52" t="n">
        <f aca="false">IF($E74="Per class",$D74*COUNTIFS('Session Tracker'!$D$5:$D$149,$A74,'Session Tracker'!$F$5:$F$149,"Next week",'Session Tracker'!$G$5:$G$149,"Fri"),$D74*SUMIFS('Session Tracker'!$J$5:$J$149,'Session Tracker'!$D$5:$D$149,$A74,'Session Tracker'!$F$5:$F$149,"Next week",'Session Tracker'!$G$5:$G$149,"Fri"))</f>
        <v>0</v>
      </c>
      <c r="M74" s="52" t="n">
        <f aca="false">IF($E74="Per class",$D74*COUNTIFS('Session Tracker'!$D$5:$D$149,$A74,'Session Tracker'!$F$5:$F$149,"Next week",'Session Tracker'!$G$5:$G$149,""),$D74*SUMIFS('Session Tracker'!$J$5:$J$149,'Session Tracker'!$D$5:$D$149,$A74,'Session Tracker'!$F$5:$F$149,"Next week",'Session Tracker'!$G$5:$G$149,""))</f>
        <v>0</v>
      </c>
    </row>
    <row r="76" customFormat="false" ht="19.5" hidden="false" customHeight="true" outlineLevel="0" collapsed="false">
      <c r="A76" s="57" t="s">
        <v>158</v>
      </c>
      <c r="B76" s="58" t="s">
        <v>516</v>
      </c>
      <c r="C76" s="58"/>
      <c r="D76" s="58"/>
      <c r="E76" s="58"/>
      <c r="F76" s="59" t="str">
        <f aca="false">"Status: "&amp;'Session Tracker'!F47&amp;IF('Session Tracker'!G47&lt;&gt;""," ("&amp;'Session Tracker'!G47&amp;")","")</f>
        <v>Status: Not started</v>
      </c>
      <c r="G76" s="59"/>
      <c r="H76" s="60"/>
      <c r="I76" s="60"/>
      <c r="J76" s="60"/>
      <c r="K76" s="60"/>
      <c r="L76" s="60"/>
      <c r="M76" s="60"/>
    </row>
    <row r="77" customFormat="false" ht="23.85" hidden="false" customHeight="false" outlineLevel="0" collapsed="false">
      <c r="A77" s="61" t="s">
        <v>158</v>
      </c>
      <c r="B77" s="34" t="s">
        <v>366</v>
      </c>
      <c r="C77" s="34" t="s">
        <v>367</v>
      </c>
      <c r="D77" s="32" t="n">
        <v>1</v>
      </c>
      <c r="E77" s="32" t="s">
        <v>14</v>
      </c>
      <c r="F77" s="32" t="s">
        <v>368</v>
      </c>
      <c r="G77" s="34"/>
      <c r="H77" s="52" t="n">
        <f aca="false">IF($E77="Per class",$D77*COUNTIFS('Session Tracker'!$D$5:$D$149,$A77,'Session Tracker'!$F$5:$F$149,"Next week",'Session Tracker'!$G$5:$G$149,"Mon"),$D77*SUMIFS('Session Tracker'!$J$5:$J$149,'Session Tracker'!$D$5:$D$149,$A77,'Session Tracker'!$F$5:$F$149,"Next week",'Session Tracker'!$G$5:$G$149,"Mon"))</f>
        <v>0</v>
      </c>
      <c r="I77" s="52" t="n">
        <f aca="false">IF($E77="Per class",$D77*COUNTIFS('Session Tracker'!$D$5:$D$149,$A77,'Session Tracker'!$F$5:$F$149,"Next week",'Session Tracker'!$G$5:$G$149,"Tue"),$D77*SUMIFS('Session Tracker'!$J$5:$J$149,'Session Tracker'!$D$5:$D$149,$A77,'Session Tracker'!$F$5:$F$149,"Next week",'Session Tracker'!$G$5:$G$149,"Tue"))</f>
        <v>0</v>
      </c>
      <c r="J77" s="52" t="n">
        <f aca="false">IF($E77="Per class",$D77*COUNTIFS('Session Tracker'!$D$5:$D$149,$A77,'Session Tracker'!$F$5:$F$149,"Next week",'Session Tracker'!$G$5:$G$149,"Wed"),$D77*SUMIFS('Session Tracker'!$J$5:$J$149,'Session Tracker'!$D$5:$D$149,$A77,'Session Tracker'!$F$5:$F$149,"Next week",'Session Tracker'!$G$5:$G$149,"Wed"))</f>
        <v>0</v>
      </c>
      <c r="K77" s="52" t="n">
        <f aca="false">IF($E77="Per class",$D77*COUNTIFS('Session Tracker'!$D$5:$D$149,$A77,'Session Tracker'!$F$5:$F$149,"Next week",'Session Tracker'!$G$5:$G$149,"Thu"),$D77*SUMIFS('Session Tracker'!$J$5:$J$149,'Session Tracker'!$D$5:$D$149,$A77,'Session Tracker'!$F$5:$F$149,"Next week",'Session Tracker'!$G$5:$G$149,"Thu"))</f>
        <v>0</v>
      </c>
      <c r="L77" s="52" t="n">
        <f aca="false">IF($E77="Per class",$D77*COUNTIFS('Session Tracker'!$D$5:$D$149,$A77,'Session Tracker'!$F$5:$F$149,"Next week",'Session Tracker'!$G$5:$G$149,"Fri"),$D77*SUMIFS('Session Tracker'!$J$5:$J$149,'Session Tracker'!$D$5:$D$149,$A77,'Session Tracker'!$F$5:$F$149,"Next week",'Session Tracker'!$G$5:$G$149,"Fri"))</f>
        <v>0</v>
      </c>
      <c r="M77" s="52" t="n">
        <f aca="false">IF($E77="Per class",$D77*COUNTIFS('Session Tracker'!$D$5:$D$149,$A77,'Session Tracker'!$F$5:$F$149,"Next week",'Session Tracker'!$G$5:$G$149,""),$D77*SUMIFS('Session Tracker'!$J$5:$J$149,'Session Tracker'!$D$5:$D$149,$A77,'Session Tracker'!$F$5:$F$149,"Next week",'Session Tracker'!$G$5:$G$149,""))</f>
        <v>0</v>
      </c>
    </row>
    <row r="78" customFormat="false" ht="15" hidden="false" customHeight="false" outlineLevel="0" collapsed="false">
      <c r="A78" s="61" t="s">
        <v>158</v>
      </c>
      <c r="B78" s="34" t="s">
        <v>375</v>
      </c>
      <c r="C78" s="34" t="s">
        <v>385</v>
      </c>
      <c r="D78" s="32" t="n">
        <v>2</v>
      </c>
      <c r="E78" s="32" t="s">
        <v>14</v>
      </c>
      <c r="F78" s="32" t="s">
        <v>368</v>
      </c>
      <c r="G78" s="34"/>
      <c r="H78" s="52" t="n">
        <f aca="false">IF($E78="Per class",$D78*COUNTIFS('Session Tracker'!$D$5:$D$149,$A78,'Session Tracker'!$F$5:$F$149,"Next week",'Session Tracker'!$G$5:$G$149,"Mon"),$D78*SUMIFS('Session Tracker'!$J$5:$J$149,'Session Tracker'!$D$5:$D$149,$A78,'Session Tracker'!$F$5:$F$149,"Next week",'Session Tracker'!$G$5:$G$149,"Mon"))</f>
        <v>0</v>
      </c>
      <c r="I78" s="52" t="n">
        <f aca="false">IF($E78="Per class",$D78*COUNTIFS('Session Tracker'!$D$5:$D$149,$A78,'Session Tracker'!$F$5:$F$149,"Next week",'Session Tracker'!$G$5:$G$149,"Tue"),$D78*SUMIFS('Session Tracker'!$J$5:$J$149,'Session Tracker'!$D$5:$D$149,$A78,'Session Tracker'!$F$5:$F$149,"Next week",'Session Tracker'!$G$5:$G$149,"Tue"))</f>
        <v>0</v>
      </c>
      <c r="J78" s="52" t="n">
        <f aca="false">IF($E78="Per class",$D78*COUNTIFS('Session Tracker'!$D$5:$D$149,$A78,'Session Tracker'!$F$5:$F$149,"Next week",'Session Tracker'!$G$5:$G$149,"Wed"),$D78*SUMIFS('Session Tracker'!$J$5:$J$149,'Session Tracker'!$D$5:$D$149,$A78,'Session Tracker'!$F$5:$F$149,"Next week",'Session Tracker'!$G$5:$G$149,"Wed"))</f>
        <v>0</v>
      </c>
      <c r="K78" s="52" t="n">
        <f aca="false">IF($E78="Per class",$D78*COUNTIFS('Session Tracker'!$D$5:$D$149,$A78,'Session Tracker'!$F$5:$F$149,"Next week",'Session Tracker'!$G$5:$G$149,"Thu"),$D78*SUMIFS('Session Tracker'!$J$5:$J$149,'Session Tracker'!$D$5:$D$149,$A78,'Session Tracker'!$F$5:$F$149,"Next week",'Session Tracker'!$G$5:$G$149,"Thu"))</f>
        <v>0</v>
      </c>
      <c r="L78" s="52" t="n">
        <f aca="false">IF($E78="Per class",$D78*COUNTIFS('Session Tracker'!$D$5:$D$149,$A78,'Session Tracker'!$F$5:$F$149,"Next week",'Session Tracker'!$G$5:$G$149,"Fri"),$D78*SUMIFS('Session Tracker'!$J$5:$J$149,'Session Tracker'!$D$5:$D$149,$A78,'Session Tracker'!$F$5:$F$149,"Next week",'Session Tracker'!$G$5:$G$149,"Fri"))</f>
        <v>0</v>
      </c>
      <c r="M78" s="52" t="n">
        <f aca="false">IF($E78="Per class",$D78*COUNTIFS('Session Tracker'!$D$5:$D$149,$A78,'Session Tracker'!$F$5:$F$149,"Next week",'Session Tracker'!$G$5:$G$149,""),$D78*SUMIFS('Session Tracker'!$J$5:$J$149,'Session Tracker'!$D$5:$D$149,$A78,'Session Tracker'!$F$5:$F$149,"Next week",'Session Tracker'!$G$5:$G$149,""))</f>
        <v>0</v>
      </c>
    </row>
    <row r="79" customFormat="false" ht="15" hidden="false" customHeight="false" outlineLevel="0" collapsed="false">
      <c r="A79" s="61" t="s">
        <v>158</v>
      </c>
      <c r="B79" s="34" t="s">
        <v>371</v>
      </c>
      <c r="C79" s="34" t="s">
        <v>372</v>
      </c>
      <c r="D79" s="32" t="n">
        <v>2</v>
      </c>
      <c r="E79" s="32" t="s">
        <v>14</v>
      </c>
      <c r="F79" s="32" t="s">
        <v>373</v>
      </c>
      <c r="G79" s="34"/>
      <c r="H79" s="52" t="n">
        <f aca="false">IF($E79="Per class",$D79*COUNTIFS('Session Tracker'!$D$5:$D$149,$A79,'Session Tracker'!$F$5:$F$149,"Next week",'Session Tracker'!$G$5:$G$149,"Mon"),$D79*SUMIFS('Session Tracker'!$J$5:$J$149,'Session Tracker'!$D$5:$D$149,$A79,'Session Tracker'!$F$5:$F$149,"Next week",'Session Tracker'!$G$5:$G$149,"Mon"))</f>
        <v>0</v>
      </c>
      <c r="I79" s="52" t="n">
        <f aca="false">IF($E79="Per class",$D79*COUNTIFS('Session Tracker'!$D$5:$D$149,$A79,'Session Tracker'!$F$5:$F$149,"Next week",'Session Tracker'!$G$5:$G$149,"Tue"),$D79*SUMIFS('Session Tracker'!$J$5:$J$149,'Session Tracker'!$D$5:$D$149,$A79,'Session Tracker'!$F$5:$F$149,"Next week",'Session Tracker'!$G$5:$G$149,"Tue"))</f>
        <v>0</v>
      </c>
      <c r="J79" s="52" t="n">
        <f aca="false">IF($E79="Per class",$D79*COUNTIFS('Session Tracker'!$D$5:$D$149,$A79,'Session Tracker'!$F$5:$F$149,"Next week",'Session Tracker'!$G$5:$G$149,"Wed"),$D79*SUMIFS('Session Tracker'!$J$5:$J$149,'Session Tracker'!$D$5:$D$149,$A79,'Session Tracker'!$F$5:$F$149,"Next week",'Session Tracker'!$G$5:$G$149,"Wed"))</f>
        <v>0</v>
      </c>
      <c r="K79" s="52" t="n">
        <f aca="false">IF($E79="Per class",$D79*COUNTIFS('Session Tracker'!$D$5:$D$149,$A79,'Session Tracker'!$F$5:$F$149,"Next week",'Session Tracker'!$G$5:$G$149,"Thu"),$D79*SUMIFS('Session Tracker'!$J$5:$J$149,'Session Tracker'!$D$5:$D$149,$A79,'Session Tracker'!$F$5:$F$149,"Next week",'Session Tracker'!$G$5:$G$149,"Thu"))</f>
        <v>0</v>
      </c>
      <c r="L79" s="52" t="n">
        <f aca="false">IF($E79="Per class",$D79*COUNTIFS('Session Tracker'!$D$5:$D$149,$A79,'Session Tracker'!$F$5:$F$149,"Next week",'Session Tracker'!$G$5:$G$149,"Fri"),$D79*SUMIFS('Session Tracker'!$J$5:$J$149,'Session Tracker'!$D$5:$D$149,$A79,'Session Tracker'!$F$5:$F$149,"Next week",'Session Tracker'!$G$5:$G$149,"Fri"))</f>
        <v>0</v>
      </c>
      <c r="M79" s="52" t="n">
        <f aca="false">IF($E79="Per class",$D79*COUNTIFS('Session Tracker'!$D$5:$D$149,$A79,'Session Tracker'!$F$5:$F$149,"Next week",'Session Tracker'!$G$5:$G$149,""),$D79*SUMIFS('Session Tracker'!$J$5:$J$149,'Session Tracker'!$D$5:$D$149,$A79,'Session Tracker'!$F$5:$F$149,"Next week",'Session Tracker'!$G$5:$G$149,""))</f>
        <v>0</v>
      </c>
    </row>
    <row r="80" customFormat="false" ht="15" hidden="false" customHeight="false" outlineLevel="0" collapsed="false">
      <c r="A80" s="61" t="s">
        <v>158</v>
      </c>
      <c r="B80" s="34" t="s">
        <v>375</v>
      </c>
      <c r="C80" s="34" t="s">
        <v>376</v>
      </c>
      <c r="D80" s="32" t="n">
        <v>2</v>
      </c>
      <c r="E80" s="32" t="s">
        <v>14</v>
      </c>
      <c r="F80" s="32" t="s">
        <v>373</v>
      </c>
      <c r="G80" s="34"/>
      <c r="H80" s="52" t="n">
        <f aca="false">IF($E80="Per class",$D80*COUNTIFS('Session Tracker'!$D$5:$D$149,$A80,'Session Tracker'!$F$5:$F$149,"Next week",'Session Tracker'!$G$5:$G$149,"Mon"),$D80*SUMIFS('Session Tracker'!$J$5:$J$149,'Session Tracker'!$D$5:$D$149,$A80,'Session Tracker'!$F$5:$F$149,"Next week",'Session Tracker'!$G$5:$G$149,"Mon"))</f>
        <v>0</v>
      </c>
      <c r="I80" s="52" t="n">
        <f aca="false">IF($E80="Per class",$D80*COUNTIFS('Session Tracker'!$D$5:$D$149,$A80,'Session Tracker'!$F$5:$F$149,"Next week",'Session Tracker'!$G$5:$G$149,"Tue"),$D80*SUMIFS('Session Tracker'!$J$5:$J$149,'Session Tracker'!$D$5:$D$149,$A80,'Session Tracker'!$F$5:$F$149,"Next week",'Session Tracker'!$G$5:$G$149,"Tue"))</f>
        <v>0</v>
      </c>
      <c r="J80" s="52" t="n">
        <f aca="false">IF($E80="Per class",$D80*COUNTIFS('Session Tracker'!$D$5:$D$149,$A80,'Session Tracker'!$F$5:$F$149,"Next week",'Session Tracker'!$G$5:$G$149,"Wed"),$D80*SUMIFS('Session Tracker'!$J$5:$J$149,'Session Tracker'!$D$5:$D$149,$A80,'Session Tracker'!$F$5:$F$149,"Next week",'Session Tracker'!$G$5:$G$149,"Wed"))</f>
        <v>0</v>
      </c>
      <c r="K80" s="52" t="n">
        <f aca="false">IF($E80="Per class",$D80*COUNTIFS('Session Tracker'!$D$5:$D$149,$A80,'Session Tracker'!$F$5:$F$149,"Next week",'Session Tracker'!$G$5:$G$149,"Thu"),$D80*SUMIFS('Session Tracker'!$J$5:$J$149,'Session Tracker'!$D$5:$D$149,$A80,'Session Tracker'!$F$5:$F$149,"Next week",'Session Tracker'!$G$5:$G$149,"Thu"))</f>
        <v>0</v>
      </c>
      <c r="L80" s="52" t="n">
        <f aca="false">IF($E80="Per class",$D80*COUNTIFS('Session Tracker'!$D$5:$D$149,$A80,'Session Tracker'!$F$5:$F$149,"Next week",'Session Tracker'!$G$5:$G$149,"Fri"),$D80*SUMIFS('Session Tracker'!$J$5:$J$149,'Session Tracker'!$D$5:$D$149,$A80,'Session Tracker'!$F$5:$F$149,"Next week",'Session Tracker'!$G$5:$G$149,"Fri"))</f>
        <v>0</v>
      </c>
      <c r="M80" s="52" t="n">
        <f aca="false">IF($E80="Per class",$D80*COUNTIFS('Session Tracker'!$D$5:$D$149,$A80,'Session Tracker'!$F$5:$F$149,"Next week",'Session Tracker'!$G$5:$G$149,""),$D80*SUMIFS('Session Tracker'!$J$5:$J$149,'Session Tracker'!$D$5:$D$149,$A80,'Session Tracker'!$F$5:$F$149,"Next week",'Session Tracker'!$G$5:$G$149,""))</f>
        <v>0</v>
      </c>
    </row>
    <row r="81" customFormat="false" ht="15" hidden="false" customHeight="false" outlineLevel="0" collapsed="false">
      <c r="A81" s="61" t="s">
        <v>158</v>
      </c>
      <c r="B81" s="34" t="s">
        <v>375</v>
      </c>
      <c r="C81" s="34" t="s">
        <v>417</v>
      </c>
      <c r="D81" s="32" t="n">
        <v>2</v>
      </c>
      <c r="E81" s="32" t="s">
        <v>14</v>
      </c>
      <c r="F81" s="32" t="s">
        <v>373</v>
      </c>
      <c r="G81" s="34"/>
      <c r="H81" s="52" t="n">
        <f aca="false">IF($E81="Per class",$D81*COUNTIFS('Session Tracker'!$D$5:$D$149,$A81,'Session Tracker'!$F$5:$F$149,"Next week",'Session Tracker'!$G$5:$G$149,"Mon"),$D81*SUMIFS('Session Tracker'!$J$5:$J$149,'Session Tracker'!$D$5:$D$149,$A81,'Session Tracker'!$F$5:$F$149,"Next week",'Session Tracker'!$G$5:$G$149,"Mon"))</f>
        <v>0</v>
      </c>
      <c r="I81" s="52" t="n">
        <f aca="false">IF($E81="Per class",$D81*COUNTIFS('Session Tracker'!$D$5:$D$149,$A81,'Session Tracker'!$F$5:$F$149,"Next week",'Session Tracker'!$G$5:$G$149,"Tue"),$D81*SUMIFS('Session Tracker'!$J$5:$J$149,'Session Tracker'!$D$5:$D$149,$A81,'Session Tracker'!$F$5:$F$149,"Next week",'Session Tracker'!$G$5:$G$149,"Tue"))</f>
        <v>0</v>
      </c>
      <c r="J81" s="52" t="n">
        <f aca="false">IF($E81="Per class",$D81*COUNTIFS('Session Tracker'!$D$5:$D$149,$A81,'Session Tracker'!$F$5:$F$149,"Next week",'Session Tracker'!$G$5:$G$149,"Wed"),$D81*SUMIFS('Session Tracker'!$J$5:$J$149,'Session Tracker'!$D$5:$D$149,$A81,'Session Tracker'!$F$5:$F$149,"Next week",'Session Tracker'!$G$5:$G$149,"Wed"))</f>
        <v>0</v>
      </c>
      <c r="K81" s="52" t="n">
        <f aca="false">IF($E81="Per class",$D81*COUNTIFS('Session Tracker'!$D$5:$D$149,$A81,'Session Tracker'!$F$5:$F$149,"Next week",'Session Tracker'!$G$5:$G$149,"Thu"),$D81*SUMIFS('Session Tracker'!$J$5:$J$149,'Session Tracker'!$D$5:$D$149,$A81,'Session Tracker'!$F$5:$F$149,"Next week",'Session Tracker'!$G$5:$G$149,"Thu"))</f>
        <v>0</v>
      </c>
      <c r="L81" s="52" t="n">
        <f aca="false">IF($E81="Per class",$D81*COUNTIFS('Session Tracker'!$D$5:$D$149,$A81,'Session Tracker'!$F$5:$F$149,"Next week",'Session Tracker'!$G$5:$G$149,"Fri"),$D81*SUMIFS('Session Tracker'!$J$5:$J$149,'Session Tracker'!$D$5:$D$149,$A81,'Session Tracker'!$F$5:$F$149,"Next week",'Session Tracker'!$G$5:$G$149,"Fri"))</f>
        <v>0</v>
      </c>
      <c r="M81" s="52" t="n">
        <f aca="false">IF($E81="Per class",$D81*COUNTIFS('Session Tracker'!$D$5:$D$149,$A81,'Session Tracker'!$F$5:$F$149,"Next week",'Session Tracker'!$G$5:$G$149,""),$D81*SUMIFS('Session Tracker'!$J$5:$J$149,'Session Tracker'!$D$5:$D$149,$A81,'Session Tracker'!$F$5:$F$149,"Next week",'Session Tracker'!$G$5:$G$149,""))</f>
        <v>0</v>
      </c>
    </row>
    <row r="82" customFormat="false" ht="15" hidden="false" customHeight="false" outlineLevel="0" collapsed="false">
      <c r="A82" s="61" t="s">
        <v>158</v>
      </c>
      <c r="B82" s="34" t="s">
        <v>377</v>
      </c>
      <c r="C82" s="34" t="s">
        <v>378</v>
      </c>
      <c r="D82" s="32" t="n">
        <v>1</v>
      </c>
      <c r="E82" s="32" t="s">
        <v>14</v>
      </c>
      <c r="F82" s="32" t="s">
        <v>368</v>
      </c>
      <c r="G82" s="34"/>
      <c r="H82" s="52" t="n">
        <f aca="false">IF($E82="Per class",$D82*COUNTIFS('Session Tracker'!$D$5:$D$149,$A82,'Session Tracker'!$F$5:$F$149,"Next week",'Session Tracker'!$G$5:$G$149,"Mon"),$D82*SUMIFS('Session Tracker'!$J$5:$J$149,'Session Tracker'!$D$5:$D$149,$A82,'Session Tracker'!$F$5:$F$149,"Next week",'Session Tracker'!$G$5:$G$149,"Mon"))</f>
        <v>0</v>
      </c>
      <c r="I82" s="52" t="n">
        <f aca="false">IF($E82="Per class",$D82*COUNTIFS('Session Tracker'!$D$5:$D$149,$A82,'Session Tracker'!$F$5:$F$149,"Next week",'Session Tracker'!$G$5:$G$149,"Tue"),$D82*SUMIFS('Session Tracker'!$J$5:$J$149,'Session Tracker'!$D$5:$D$149,$A82,'Session Tracker'!$F$5:$F$149,"Next week",'Session Tracker'!$G$5:$G$149,"Tue"))</f>
        <v>0</v>
      </c>
      <c r="J82" s="52" t="n">
        <f aca="false">IF($E82="Per class",$D82*COUNTIFS('Session Tracker'!$D$5:$D$149,$A82,'Session Tracker'!$F$5:$F$149,"Next week",'Session Tracker'!$G$5:$G$149,"Wed"),$D82*SUMIFS('Session Tracker'!$J$5:$J$149,'Session Tracker'!$D$5:$D$149,$A82,'Session Tracker'!$F$5:$F$149,"Next week",'Session Tracker'!$G$5:$G$149,"Wed"))</f>
        <v>0</v>
      </c>
      <c r="K82" s="52" t="n">
        <f aca="false">IF($E82="Per class",$D82*COUNTIFS('Session Tracker'!$D$5:$D$149,$A82,'Session Tracker'!$F$5:$F$149,"Next week",'Session Tracker'!$G$5:$G$149,"Thu"),$D82*SUMIFS('Session Tracker'!$J$5:$J$149,'Session Tracker'!$D$5:$D$149,$A82,'Session Tracker'!$F$5:$F$149,"Next week",'Session Tracker'!$G$5:$G$149,"Thu"))</f>
        <v>0</v>
      </c>
      <c r="L82" s="52" t="n">
        <f aca="false">IF($E82="Per class",$D82*COUNTIFS('Session Tracker'!$D$5:$D$149,$A82,'Session Tracker'!$F$5:$F$149,"Next week",'Session Tracker'!$G$5:$G$149,"Fri"),$D82*SUMIFS('Session Tracker'!$J$5:$J$149,'Session Tracker'!$D$5:$D$149,$A82,'Session Tracker'!$F$5:$F$149,"Next week",'Session Tracker'!$G$5:$G$149,"Fri"))</f>
        <v>0</v>
      </c>
      <c r="M82" s="52" t="n">
        <f aca="false">IF($E82="Per class",$D82*COUNTIFS('Session Tracker'!$D$5:$D$149,$A82,'Session Tracker'!$F$5:$F$149,"Next week",'Session Tracker'!$G$5:$G$149,""),$D82*SUMIFS('Session Tracker'!$J$5:$J$149,'Session Tracker'!$D$5:$D$149,$A82,'Session Tracker'!$F$5:$F$149,"Next week",'Session Tracker'!$G$5:$G$149,""))</f>
        <v>0</v>
      </c>
    </row>
    <row r="83" customFormat="false" ht="15" hidden="false" customHeight="false" outlineLevel="0" collapsed="false">
      <c r="A83" s="61" t="s">
        <v>158</v>
      </c>
      <c r="B83" s="34" t="s">
        <v>371</v>
      </c>
      <c r="C83" s="34" t="s">
        <v>517</v>
      </c>
      <c r="D83" s="32" t="n">
        <v>1</v>
      </c>
      <c r="E83" s="32" t="s">
        <v>14</v>
      </c>
      <c r="F83" s="32" t="s">
        <v>368</v>
      </c>
      <c r="G83" s="34"/>
      <c r="H83" s="52" t="n">
        <f aca="false">IF($E83="Per class",$D83*COUNTIFS('Session Tracker'!$D$5:$D$149,$A83,'Session Tracker'!$F$5:$F$149,"Next week",'Session Tracker'!$G$5:$G$149,"Mon"),$D83*SUMIFS('Session Tracker'!$J$5:$J$149,'Session Tracker'!$D$5:$D$149,$A83,'Session Tracker'!$F$5:$F$149,"Next week",'Session Tracker'!$G$5:$G$149,"Mon"))</f>
        <v>0</v>
      </c>
      <c r="I83" s="52" t="n">
        <f aca="false">IF($E83="Per class",$D83*COUNTIFS('Session Tracker'!$D$5:$D$149,$A83,'Session Tracker'!$F$5:$F$149,"Next week",'Session Tracker'!$G$5:$G$149,"Tue"),$D83*SUMIFS('Session Tracker'!$J$5:$J$149,'Session Tracker'!$D$5:$D$149,$A83,'Session Tracker'!$F$5:$F$149,"Next week",'Session Tracker'!$G$5:$G$149,"Tue"))</f>
        <v>0</v>
      </c>
      <c r="J83" s="52" t="n">
        <f aca="false">IF($E83="Per class",$D83*COUNTIFS('Session Tracker'!$D$5:$D$149,$A83,'Session Tracker'!$F$5:$F$149,"Next week",'Session Tracker'!$G$5:$G$149,"Wed"),$D83*SUMIFS('Session Tracker'!$J$5:$J$149,'Session Tracker'!$D$5:$D$149,$A83,'Session Tracker'!$F$5:$F$149,"Next week",'Session Tracker'!$G$5:$G$149,"Wed"))</f>
        <v>0</v>
      </c>
      <c r="K83" s="52" t="n">
        <f aca="false">IF($E83="Per class",$D83*COUNTIFS('Session Tracker'!$D$5:$D$149,$A83,'Session Tracker'!$F$5:$F$149,"Next week",'Session Tracker'!$G$5:$G$149,"Thu"),$D83*SUMIFS('Session Tracker'!$J$5:$J$149,'Session Tracker'!$D$5:$D$149,$A83,'Session Tracker'!$F$5:$F$149,"Next week",'Session Tracker'!$G$5:$G$149,"Thu"))</f>
        <v>0</v>
      </c>
      <c r="L83" s="52" t="n">
        <f aca="false">IF($E83="Per class",$D83*COUNTIFS('Session Tracker'!$D$5:$D$149,$A83,'Session Tracker'!$F$5:$F$149,"Next week",'Session Tracker'!$G$5:$G$149,"Fri"),$D83*SUMIFS('Session Tracker'!$J$5:$J$149,'Session Tracker'!$D$5:$D$149,$A83,'Session Tracker'!$F$5:$F$149,"Next week",'Session Tracker'!$G$5:$G$149,"Fri"))</f>
        <v>0</v>
      </c>
      <c r="M83" s="52" t="n">
        <f aca="false">IF($E83="Per class",$D83*COUNTIFS('Session Tracker'!$D$5:$D$149,$A83,'Session Tracker'!$F$5:$F$149,"Next week",'Session Tracker'!$G$5:$G$149,""),$D83*SUMIFS('Session Tracker'!$J$5:$J$149,'Session Tracker'!$D$5:$D$149,$A83,'Session Tracker'!$F$5:$F$149,"Next week",'Session Tracker'!$G$5:$G$149,""))</f>
        <v>0</v>
      </c>
    </row>
    <row r="84" customFormat="false" ht="15" hidden="false" customHeight="false" outlineLevel="0" collapsed="false">
      <c r="A84" s="61" t="s">
        <v>158</v>
      </c>
      <c r="B84" s="34" t="s">
        <v>379</v>
      </c>
      <c r="C84" s="34" t="s">
        <v>380</v>
      </c>
      <c r="D84" s="32" t="n">
        <v>1</v>
      </c>
      <c r="E84" s="32" t="s">
        <v>14</v>
      </c>
      <c r="F84" s="32" t="s">
        <v>368</v>
      </c>
      <c r="G84" s="34"/>
      <c r="H84" s="52" t="n">
        <f aca="false">IF($E84="Per class",$D84*COUNTIFS('Session Tracker'!$D$5:$D$149,$A84,'Session Tracker'!$F$5:$F$149,"Next week",'Session Tracker'!$G$5:$G$149,"Mon"),$D84*SUMIFS('Session Tracker'!$J$5:$J$149,'Session Tracker'!$D$5:$D$149,$A84,'Session Tracker'!$F$5:$F$149,"Next week",'Session Tracker'!$G$5:$G$149,"Mon"))</f>
        <v>0</v>
      </c>
      <c r="I84" s="52" t="n">
        <f aca="false">IF($E84="Per class",$D84*COUNTIFS('Session Tracker'!$D$5:$D$149,$A84,'Session Tracker'!$F$5:$F$149,"Next week",'Session Tracker'!$G$5:$G$149,"Tue"),$D84*SUMIFS('Session Tracker'!$J$5:$J$149,'Session Tracker'!$D$5:$D$149,$A84,'Session Tracker'!$F$5:$F$149,"Next week",'Session Tracker'!$G$5:$G$149,"Tue"))</f>
        <v>0</v>
      </c>
      <c r="J84" s="52" t="n">
        <f aca="false">IF($E84="Per class",$D84*COUNTIFS('Session Tracker'!$D$5:$D$149,$A84,'Session Tracker'!$F$5:$F$149,"Next week",'Session Tracker'!$G$5:$G$149,"Wed"),$D84*SUMIFS('Session Tracker'!$J$5:$J$149,'Session Tracker'!$D$5:$D$149,$A84,'Session Tracker'!$F$5:$F$149,"Next week",'Session Tracker'!$G$5:$G$149,"Wed"))</f>
        <v>0</v>
      </c>
      <c r="K84" s="52" t="n">
        <f aca="false">IF($E84="Per class",$D84*COUNTIFS('Session Tracker'!$D$5:$D$149,$A84,'Session Tracker'!$F$5:$F$149,"Next week",'Session Tracker'!$G$5:$G$149,"Thu"),$D84*SUMIFS('Session Tracker'!$J$5:$J$149,'Session Tracker'!$D$5:$D$149,$A84,'Session Tracker'!$F$5:$F$149,"Next week",'Session Tracker'!$G$5:$G$149,"Thu"))</f>
        <v>0</v>
      </c>
      <c r="L84" s="52" t="n">
        <f aca="false">IF($E84="Per class",$D84*COUNTIFS('Session Tracker'!$D$5:$D$149,$A84,'Session Tracker'!$F$5:$F$149,"Next week",'Session Tracker'!$G$5:$G$149,"Fri"),$D84*SUMIFS('Session Tracker'!$J$5:$J$149,'Session Tracker'!$D$5:$D$149,$A84,'Session Tracker'!$F$5:$F$149,"Next week",'Session Tracker'!$G$5:$G$149,"Fri"))</f>
        <v>0</v>
      </c>
      <c r="M84" s="52" t="n">
        <f aca="false">IF($E84="Per class",$D84*COUNTIFS('Session Tracker'!$D$5:$D$149,$A84,'Session Tracker'!$F$5:$F$149,"Next week",'Session Tracker'!$G$5:$G$149,""),$D84*SUMIFS('Session Tracker'!$J$5:$J$149,'Session Tracker'!$D$5:$D$149,$A84,'Session Tracker'!$F$5:$F$149,"Next week",'Session Tracker'!$G$5:$G$149,""))</f>
        <v>0</v>
      </c>
    </row>
    <row r="85" customFormat="false" ht="15" hidden="false" customHeight="false" outlineLevel="0" collapsed="false">
      <c r="A85" s="61" t="s">
        <v>158</v>
      </c>
      <c r="B85" s="34" t="s">
        <v>379</v>
      </c>
      <c r="C85" s="34" t="s">
        <v>381</v>
      </c>
      <c r="D85" s="32" t="n">
        <v>14</v>
      </c>
      <c r="E85" s="32" t="s">
        <v>14</v>
      </c>
      <c r="F85" s="32" t="s">
        <v>368</v>
      </c>
      <c r="G85" s="34"/>
      <c r="H85" s="52" t="n">
        <f aca="false">IF($E85="Per class",$D85*COUNTIFS('Session Tracker'!$D$5:$D$149,$A85,'Session Tracker'!$F$5:$F$149,"Next week",'Session Tracker'!$G$5:$G$149,"Mon"),$D85*SUMIFS('Session Tracker'!$J$5:$J$149,'Session Tracker'!$D$5:$D$149,$A85,'Session Tracker'!$F$5:$F$149,"Next week",'Session Tracker'!$G$5:$G$149,"Mon"))</f>
        <v>0</v>
      </c>
      <c r="I85" s="52" t="n">
        <f aca="false">IF($E85="Per class",$D85*COUNTIFS('Session Tracker'!$D$5:$D$149,$A85,'Session Tracker'!$F$5:$F$149,"Next week",'Session Tracker'!$G$5:$G$149,"Tue"),$D85*SUMIFS('Session Tracker'!$J$5:$J$149,'Session Tracker'!$D$5:$D$149,$A85,'Session Tracker'!$F$5:$F$149,"Next week",'Session Tracker'!$G$5:$G$149,"Tue"))</f>
        <v>0</v>
      </c>
      <c r="J85" s="52" t="n">
        <f aca="false">IF($E85="Per class",$D85*COUNTIFS('Session Tracker'!$D$5:$D$149,$A85,'Session Tracker'!$F$5:$F$149,"Next week",'Session Tracker'!$G$5:$G$149,"Wed"),$D85*SUMIFS('Session Tracker'!$J$5:$J$149,'Session Tracker'!$D$5:$D$149,$A85,'Session Tracker'!$F$5:$F$149,"Next week",'Session Tracker'!$G$5:$G$149,"Wed"))</f>
        <v>0</v>
      </c>
      <c r="K85" s="52" t="n">
        <f aca="false">IF($E85="Per class",$D85*COUNTIFS('Session Tracker'!$D$5:$D$149,$A85,'Session Tracker'!$F$5:$F$149,"Next week",'Session Tracker'!$G$5:$G$149,"Thu"),$D85*SUMIFS('Session Tracker'!$J$5:$J$149,'Session Tracker'!$D$5:$D$149,$A85,'Session Tracker'!$F$5:$F$149,"Next week",'Session Tracker'!$G$5:$G$149,"Thu"))</f>
        <v>0</v>
      </c>
      <c r="L85" s="52" t="n">
        <f aca="false">IF($E85="Per class",$D85*COUNTIFS('Session Tracker'!$D$5:$D$149,$A85,'Session Tracker'!$F$5:$F$149,"Next week",'Session Tracker'!$G$5:$G$149,"Fri"),$D85*SUMIFS('Session Tracker'!$J$5:$J$149,'Session Tracker'!$D$5:$D$149,$A85,'Session Tracker'!$F$5:$F$149,"Next week",'Session Tracker'!$G$5:$G$149,"Fri"))</f>
        <v>0</v>
      </c>
      <c r="M85" s="52" t="n">
        <f aca="false">IF($E85="Per class",$D85*COUNTIFS('Session Tracker'!$D$5:$D$149,$A85,'Session Tracker'!$F$5:$F$149,"Next week",'Session Tracker'!$G$5:$G$149,""),$D85*SUMIFS('Session Tracker'!$J$5:$J$149,'Session Tracker'!$D$5:$D$149,$A85,'Session Tracker'!$F$5:$F$149,"Next week",'Session Tracker'!$G$5:$G$149,""))</f>
        <v>0</v>
      </c>
    </row>
    <row r="86" customFormat="false" ht="15" hidden="false" customHeight="false" outlineLevel="0" collapsed="false">
      <c r="A86" s="61" t="s">
        <v>158</v>
      </c>
      <c r="B86" s="34" t="s">
        <v>379</v>
      </c>
      <c r="C86" s="34" t="s">
        <v>395</v>
      </c>
      <c r="D86" s="32" t="n">
        <v>4</v>
      </c>
      <c r="E86" s="32" t="s">
        <v>14</v>
      </c>
      <c r="F86" s="32" t="s">
        <v>368</v>
      </c>
      <c r="G86" s="34"/>
      <c r="H86" s="52" t="n">
        <f aca="false">IF($E86="Per class",$D86*COUNTIFS('Session Tracker'!$D$5:$D$149,$A86,'Session Tracker'!$F$5:$F$149,"Next week",'Session Tracker'!$G$5:$G$149,"Mon"),$D86*SUMIFS('Session Tracker'!$J$5:$J$149,'Session Tracker'!$D$5:$D$149,$A86,'Session Tracker'!$F$5:$F$149,"Next week",'Session Tracker'!$G$5:$G$149,"Mon"))</f>
        <v>0</v>
      </c>
      <c r="I86" s="52" t="n">
        <f aca="false">IF($E86="Per class",$D86*COUNTIFS('Session Tracker'!$D$5:$D$149,$A86,'Session Tracker'!$F$5:$F$149,"Next week",'Session Tracker'!$G$5:$G$149,"Tue"),$D86*SUMIFS('Session Tracker'!$J$5:$J$149,'Session Tracker'!$D$5:$D$149,$A86,'Session Tracker'!$F$5:$F$149,"Next week",'Session Tracker'!$G$5:$G$149,"Tue"))</f>
        <v>0</v>
      </c>
      <c r="J86" s="52" t="n">
        <f aca="false">IF($E86="Per class",$D86*COUNTIFS('Session Tracker'!$D$5:$D$149,$A86,'Session Tracker'!$F$5:$F$149,"Next week",'Session Tracker'!$G$5:$G$149,"Wed"),$D86*SUMIFS('Session Tracker'!$J$5:$J$149,'Session Tracker'!$D$5:$D$149,$A86,'Session Tracker'!$F$5:$F$149,"Next week",'Session Tracker'!$G$5:$G$149,"Wed"))</f>
        <v>0</v>
      </c>
      <c r="K86" s="52" t="n">
        <f aca="false">IF($E86="Per class",$D86*COUNTIFS('Session Tracker'!$D$5:$D$149,$A86,'Session Tracker'!$F$5:$F$149,"Next week",'Session Tracker'!$G$5:$G$149,"Thu"),$D86*SUMIFS('Session Tracker'!$J$5:$J$149,'Session Tracker'!$D$5:$D$149,$A86,'Session Tracker'!$F$5:$F$149,"Next week",'Session Tracker'!$G$5:$G$149,"Thu"))</f>
        <v>0</v>
      </c>
      <c r="L86" s="52" t="n">
        <f aca="false">IF($E86="Per class",$D86*COUNTIFS('Session Tracker'!$D$5:$D$149,$A86,'Session Tracker'!$F$5:$F$149,"Next week",'Session Tracker'!$G$5:$G$149,"Fri"),$D86*SUMIFS('Session Tracker'!$J$5:$J$149,'Session Tracker'!$D$5:$D$149,$A86,'Session Tracker'!$F$5:$F$149,"Next week",'Session Tracker'!$G$5:$G$149,"Fri"))</f>
        <v>0</v>
      </c>
      <c r="M86" s="52" t="n">
        <f aca="false">IF($E86="Per class",$D86*COUNTIFS('Session Tracker'!$D$5:$D$149,$A86,'Session Tracker'!$F$5:$F$149,"Next week",'Session Tracker'!$G$5:$G$149,""),$D86*SUMIFS('Session Tracker'!$J$5:$J$149,'Session Tracker'!$D$5:$D$149,$A86,'Session Tracker'!$F$5:$F$149,"Next week",'Session Tracker'!$G$5:$G$149,""))</f>
        <v>0</v>
      </c>
    </row>
    <row r="87" customFormat="false" ht="15" hidden="false" customHeight="false" outlineLevel="0" collapsed="false">
      <c r="A87" s="61" t="s">
        <v>158</v>
      </c>
      <c r="B87" s="34" t="s">
        <v>382</v>
      </c>
      <c r="C87" s="34" t="s">
        <v>383</v>
      </c>
      <c r="D87" s="32" t="n">
        <v>1</v>
      </c>
      <c r="E87" s="32" t="s">
        <v>14</v>
      </c>
      <c r="F87" s="32" t="s">
        <v>368</v>
      </c>
      <c r="G87" s="34"/>
      <c r="H87" s="52" t="n">
        <f aca="false">IF($E87="Per class",$D87*COUNTIFS('Session Tracker'!$D$5:$D$149,$A87,'Session Tracker'!$F$5:$F$149,"Next week",'Session Tracker'!$G$5:$G$149,"Mon"),$D87*SUMIFS('Session Tracker'!$J$5:$J$149,'Session Tracker'!$D$5:$D$149,$A87,'Session Tracker'!$F$5:$F$149,"Next week",'Session Tracker'!$G$5:$G$149,"Mon"))</f>
        <v>0</v>
      </c>
      <c r="I87" s="52" t="n">
        <f aca="false">IF($E87="Per class",$D87*COUNTIFS('Session Tracker'!$D$5:$D$149,$A87,'Session Tracker'!$F$5:$F$149,"Next week",'Session Tracker'!$G$5:$G$149,"Tue"),$D87*SUMIFS('Session Tracker'!$J$5:$J$149,'Session Tracker'!$D$5:$D$149,$A87,'Session Tracker'!$F$5:$F$149,"Next week",'Session Tracker'!$G$5:$G$149,"Tue"))</f>
        <v>0</v>
      </c>
      <c r="J87" s="52" t="n">
        <f aca="false">IF($E87="Per class",$D87*COUNTIFS('Session Tracker'!$D$5:$D$149,$A87,'Session Tracker'!$F$5:$F$149,"Next week",'Session Tracker'!$G$5:$G$149,"Wed"),$D87*SUMIFS('Session Tracker'!$J$5:$J$149,'Session Tracker'!$D$5:$D$149,$A87,'Session Tracker'!$F$5:$F$149,"Next week",'Session Tracker'!$G$5:$G$149,"Wed"))</f>
        <v>0</v>
      </c>
      <c r="K87" s="52" t="n">
        <f aca="false">IF($E87="Per class",$D87*COUNTIFS('Session Tracker'!$D$5:$D$149,$A87,'Session Tracker'!$F$5:$F$149,"Next week",'Session Tracker'!$G$5:$G$149,"Thu"),$D87*SUMIFS('Session Tracker'!$J$5:$J$149,'Session Tracker'!$D$5:$D$149,$A87,'Session Tracker'!$F$5:$F$149,"Next week",'Session Tracker'!$G$5:$G$149,"Thu"))</f>
        <v>0</v>
      </c>
      <c r="L87" s="52" t="n">
        <f aca="false">IF($E87="Per class",$D87*COUNTIFS('Session Tracker'!$D$5:$D$149,$A87,'Session Tracker'!$F$5:$F$149,"Next week",'Session Tracker'!$G$5:$G$149,"Fri"),$D87*SUMIFS('Session Tracker'!$J$5:$J$149,'Session Tracker'!$D$5:$D$149,$A87,'Session Tracker'!$F$5:$F$149,"Next week",'Session Tracker'!$G$5:$G$149,"Fri"))</f>
        <v>0</v>
      </c>
      <c r="M87" s="52" t="n">
        <f aca="false">IF($E87="Per class",$D87*COUNTIFS('Session Tracker'!$D$5:$D$149,$A87,'Session Tracker'!$F$5:$F$149,"Next week",'Session Tracker'!$G$5:$G$149,""),$D87*SUMIFS('Session Tracker'!$J$5:$J$149,'Session Tracker'!$D$5:$D$149,$A87,'Session Tracker'!$F$5:$F$149,"Next week",'Session Tracker'!$G$5:$G$149,""))</f>
        <v>0</v>
      </c>
    </row>
    <row r="88" customFormat="false" ht="15" hidden="false" customHeight="false" outlineLevel="0" collapsed="false">
      <c r="A88" s="53" t="s">
        <v>158</v>
      </c>
      <c r="B88" s="54"/>
      <c r="C88" s="54"/>
      <c r="D88" s="54"/>
      <c r="E88" s="54"/>
      <c r="F88" s="54"/>
      <c r="G88" s="54"/>
      <c r="H88" s="52" t="n">
        <f aca="false">IF($E88="Per class",$D88*COUNTIFS('Session Tracker'!$D$5:$D$149,$A88,'Session Tracker'!$F$5:$F$149,"Next week",'Session Tracker'!$G$5:$G$149,"Mon"),$D88*SUMIFS('Session Tracker'!$J$5:$J$149,'Session Tracker'!$D$5:$D$149,$A88,'Session Tracker'!$F$5:$F$149,"Next week",'Session Tracker'!$G$5:$G$149,"Mon"))</f>
        <v>0</v>
      </c>
      <c r="I88" s="52" t="n">
        <f aca="false">IF($E88="Per class",$D88*COUNTIFS('Session Tracker'!$D$5:$D$149,$A88,'Session Tracker'!$F$5:$F$149,"Next week",'Session Tracker'!$G$5:$G$149,"Tue"),$D88*SUMIFS('Session Tracker'!$J$5:$J$149,'Session Tracker'!$D$5:$D$149,$A88,'Session Tracker'!$F$5:$F$149,"Next week",'Session Tracker'!$G$5:$G$149,"Tue"))</f>
        <v>0</v>
      </c>
      <c r="J88" s="52" t="n">
        <f aca="false">IF($E88="Per class",$D88*COUNTIFS('Session Tracker'!$D$5:$D$149,$A88,'Session Tracker'!$F$5:$F$149,"Next week",'Session Tracker'!$G$5:$G$149,"Wed"),$D88*SUMIFS('Session Tracker'!$J$5:$J$149,'Session Tracker'!$D$5:$D$149,$A88,'Session Tracker'!$F$5:$F$149,"Next week",'Session Tracker'!$G$5:$G$149,"Wed"))</f>
        <v>0</v>
      </c>
      <c r="K88" s="52" t="n">
        <f aca="false">IF($E88="Per class",$D88*COUNTIFS('Session Tracker'!$D$5:$D$149,$A88,'Session Tracker'!$F$5:$F$149,"Next week",'Session Tracker'!$G$5:$G$149,"Thu"),$D88*SUMIFS('Session Tracker'!$J$5:$J$149,'Session Tracker'!$D$5:$D$149,$A88,'Session Tracker'!$F$5:$F$149,"Next week",'Session Tracker'!$G$5:$G$149,"Thu"))</f>
        <v>0</v>
      </c>
      <c r="L88" s="52" t="n">
        <f aca="false">IF($E88="Per class",$D88*COUNTIFS('Session Tracker'!$D$5:$D$149,$A88,'Session Tracker'!$F$5:$F$149,"Next week",'Session Tracker'!$G$5:$G$149,"Fri"),$D88*SUMIFS('Session Tracker'!$J$5:$J$149,'Session Tracker'!$D$5:$D$149,$A88,'Session Tracker'!$F$5:$F$149,"Next week",'Session Tracker'!$G$5:$G$149,"Fri"))</f>
        <v>0</v>
      </c>
      <c r="M88" s="52" t="n">
        <f aca="false">IF($E88="Per class",$D88*COUNTIFS('Session Tracker'!$D$5:$D$149,$A88,'Session Tracker'!$F$5:$F$149,"Next week",'Session Tracker'!$G$5:$G$149,""),$D88*SUMIFS('Session Tracker'!$J$5:$J$149,'Session Tracker'!$D$5:$D$149,$A88,'Session Tracker'!$F$5:$F$149,"Next week",'Session Tracker'!$G$5:$G$149,""))</f>
        <v>0</v>
      </c>
    </row>
    <row r="89" customFormat="false" ht="15" hidden="false" customHeight="false" outlineLevel="0" collapsed="false">
      <c r="A89" s="53" t="s">
        <v>158</v>
      </c>
      <c r="B89" s="54"/>
      <c r="C89" s="54"/>
      <c r="D89" s="54"/>
      <c r="E89" s="54"/>
      <c r="F89" s="54"/>
      <c r="G89" s="54"/>
      <c r="H89" s="52" t="n">
        <f aca="false">IF($E89="Per class",$D89*COUNTIFS('Session Tracker'!$D$5:$D$149,$A89,'Session Tracker'!$F$5:$F$149,"Next week",'Session Tracker'!$G$5:$G$149,"Mon"),$D89*SUMIFS('Session Tracker'!$J$5:$J$149,'Session Tracker'!$D$5:$D$149,$A89,'Session Tracker'!$F$5:$F$149,"Next week",'Session Tracker'!$G$5:$G$149,"Mon"))</f>
        <v>0</v>
      </c>
      <c r="I89" s="52" t="n">
        <f aca="false">IF($E89="Per class",$D89*COUNTIFS('Session Tracker'!$D$5:$D$149,$A89,'Session Tracker'!$F$5:$F$149,"Next week",'Session Tracker'!$G$5:$G$149,"Tue"),$D89*SUMIFS('Session Tracker'!$J$5:$J$149,'Session Tracker'!$D$5:$D$149,$A89,'Session Tracker'!$F$5:$F$149,"Next week",'Session Tracker'!$G$5:$G$149,"Tue"))</f>
        <v>0</v>
      </c>
      <c r="J89" s="52" t="n">
        <f aca="false">IF($E89="Per class",$D89*COUNTIFS('Session Tracker'!$D$5:$D$149,$A89,'Session Tracker'!$F$5:$F$149,"Next week",'Session Tracker'!$G$5:$G$149,"Wed"),$D89*SUMIFS('Session Tracker'!$J$5:$J$149,'Session Tracker'!$D$5:$D$149,$A89,'Session Tracker'!$F$5:$F$149,"Next week",'Session Tracker'!$G$5:$G$149,"Wed"))</f>
        <v>0</v>
      </c>
      <c r="K89" s="52" t="n">
        <f aca="false">IF($E89="Per class",$D89*COUNTIFS('Session Tracker'!$D$5:$D$149,$A89,'Session Tracker'!$F$5:$F$149,"Next week",'Session Tracker'!$G$5:$G$149,"Thu"),$D89*SUMIFS('Session Tracker'!$J$5:$J$149,'Session Tracker'!$D$5:$D$149,$A89,'Session Tracker'!$F$5:$F$149,"Next week",'Session Tracker'!$G$5:$G$149,"Thu"))</f>
        <v>0</v>
      </c>
      <c r="L89" s="52" t="n">
        <f aca="false">IF($E89="Per class",$D89*COUNTIFS('Session Tracker'!$D$5:$D$149,$A89,'Session Tracker'!$F$5:$F$149,"Next week",'Session Tracker'!$G$5:$G$149,"Fri"),$D89*SUMIFS('Session Tracker'!$J$5:$J$149,'Session Tracker'!$D$5:$D$149,$A89,'Session Tracker'!$F$5:$F$149,"Next week",'Session Tracker'!$G$5:$G$149,"Fri"))</f>
        <v>0</v>
      </c>
      <c r="M89" s="52" t="n">
        <f aca="false">IF($E89="Per class",$D89*COUNTIFS('Session Tracker'!$D$5:$D$149,$A89,'Session Tracker'!$F$5:$F$149,"Next week",'Session Tracker'!$G$5:$G$149,""),$D89*SUMIFS('Session Tracker'!$J$5:$J$149,'Session Tracker'!$D$5:$D$149,$A89,'Session Tracker'!$F$5:$F$149,"Next week",'Session Tracker'!$G$5:$G$149,""))</f>
        <v>0</v>
      </c>
    </row>
    <row r="91" customFormat="false" ht="19.5" hidden="false" customHeight="true" outlineLevel="0" collapsed="false">
      <c r="A91" s="57" t="s">
        <v>160</v>
      </c>
      <c r="B91" s="58" t="s">
        <v>518</v>
      </c>
      <c r="C91" s="58"/>
      <c r="D91" s="58"/>
      <c r="E91" s="58"/>
      <c r="F91" s="59" t="str">
        <f aca="false">"Status: "&amp;'Session Tracker'!F48&amp;IF('Session Tracker'!G48&lt;&gt;""," ("&amp;'Session Tracker'!G48&amp;")","")</f>
        <v>Status: Not started</v>
      </c>
      <c r="G91" s="59"/>
      <c r="H91" s="60"/>
      <c r="I91" s="60"/>
      <c r="J91" s="60"/>
      <c r="K91" s="60"/>
      <c r="L91" s="60"/>
      <c r="M91" s="60"/>
    </row>
    <row r="92" customFormat="false" ht="23.85" hidden="false" customHeight="false" outlineLevel="0" collapsed="false">
      <c r="A92" s="61" t="s">
        <v>160</v>
      </c>
      <c r="B92" s="34" t="s">
        <v>366</v>
      </c>
      <c r="C92" s="34" t="s">
        <v>367</v>
      </c>
      <c r="D92" s="32" t="n">
        <v>1</v>
      </c>
      <c r="E92" s="32" t="s">
        <v>14</v>
      </c>
      <c r="F92" s="32" t="s">
        <v>368</v>
      </c>
      <c r="G92" s="34"/>
      <c r="H92" s="52" t="n">
        <f aca="false">IF($E92="Per class",$D92*COUNTIFS('Session Tracker'!$D$5:$D$149,$A92,'Session Tracker'!$F$5:$F$149,"Next week",'Session Tracker'!$G$5:$G$149,"Mon"),$D92*SUMIFS('Session Tracker'!$J$5:$J$149,'Session Tracker'!$D$5:$D$149,$A92,'Session Tracker'!$F$5:$F$149,"Next week",'Session Tracker'!$G$5:$G$149,"Mon"))</f>
        <v>0</v>
      </c>
      <c r="I92" s="52" t="n">
        <f aca="false">IF($E92="Per class",$D92*COUNTIFS('Session Tracker'!$D$5:$D$149,$A92,'Session Tracker'!$F$5:$F$149,"Next week",'Session Tracker'!$G$5:$G$149,"Tue"),$D92*SUMIFS('Session Tracker'!$J$5:$J$149,'Session Tracker'!$D$5:$D$149,$A92,'Session Tracker'!$F$5:$F$149,"Next week",'Session Tracker'!$G$5:$G$149,"Tue"))</f>
        <v>0</v>
      </c>
      <c r="J92" s="52" t="n">
        <f aca="false">IF($E92="Per class",$D92*COUNTIFS('Session Tracker'!$D$5:$D$149,$A92,'Session Tracker'!$F$5:$F$149,"Next week",'Session Tracker'!$G$5:$G$149,"Wed"),$D92*SUMIFS('Session Tracker'!$J$5:$J$149,'Session Tracker'!$D$5:$D$149,$A92,'Session Tracker'!$F$5:$F$149,"Next week",'Session Tracker'!$G$5:$G$149,"Wed"))</f>
        <v>0</v>
      </c>
      <c r="K92" s="52" t="n">
        <f aca="false">IF($E92="Per class",$D92*COUNTIFS('Session Tracker'!$D$5:$D$149,$A92,'Session Tracker'!$F$5:$F$149,"Next week",'Session Tracker'!$G$5:$G$149,"Thu"),$D92*SUMIFS('Session Tracker'!$J$5:$J$149,'Session Tracker'!$D$5:$D$149,$A92,'Session Tracker'!$F$5:$F$149,"Next week",'Session Tracker'!$G$5:$G$149,"Thu"))</f>
        <v>0</v>
      </c>
      <c r="L92" s="52" t="n">
        <f aca="false">IF($E92="Per class",$D92*COUNTIFS('Session Tracker'!$D$5:$D$149,$A92,'Session Tracker'!$F$5:$F$149,"Next week",'Session Tracker'!$G$5:$G$149,"Fri"),$D92*SUMIFS('Session Tracker'!$J$5:$J$149,'Session Tracker'!$D$5:$D$149,$A92,'Session Tracker'!$F$5:$F$149,"Next week",'Session Tracker'!$G$5:$G$149,"Fri"))</f>
        <v>0</v>
      </c>
      <c r="M92" s="52" t="n">
        <f aca="false">IF($E92="Per class",$D92*COUNTIFS('Session Tracker'!$D$5:$D$149,$A92,'Session Tracker'!$F$5:$F$149,"Next week",'Session Tracker'!$G$5:$G$149,""),$D92*SUMIFS('Session Tracker'!$J$5:$J$149,'Session Tracker'!$D$5:$D$149,$A92,'Session Tracker'!$F$5:$F$149,"Next week",'Session Tracker'!$G$5:$G$149,""))</f>
        <v>0</v>
      </c>
    </row>
    <row r="93" customFormat="false" ht="15" hidden="false" customHeight="false" outlineLevel="0" collapsed="false">
      <c r="A93" s="61" t="s">
        <v>160</v>
      </c>
      <c r="B93" s="34" t="s">
        <v>369</v>
      </c>
      <c r="C93" s="34" t="s">
        <v>430</v>
      </c>
      <c r="D93" s="32" t="n">
        <v>1</v>
      </c>
      <c r="E93" s="32" t="s">
        <v>14</v>
      </c>
      <c r="F93" s="32" t="s">
        <v>368</v>
      </c>
      <c r="G93" s="34"/>
      <c r="H93" s="52" t="n">
        <f aca="false">IF($E93="Per class",$D93*COUNTIFS('Session Tracker'!$D$5:$D$149,$A93,'Session Tracker'!$F$5:$F$149,"Next week",'Session Tracker'!$G$5:$G$149,"Mon"),$D93*SUMIFS('Session Tracker'!$J$5:$J$149,'Session Tracker'!$D$5:$D$149,$A93,'Session Tracker'!$F$5:$F$149,"Next week",'Session Tracker'!$G$5:$G$149,"Mon"))</f>
        <v>0</v>
      </c>
      <c r="I93" s="52" t="n">
        <f aca="false">IF($E93="Per class",$D93*COUNTIFS('Session Tracker'!$D$5:$D$149,$A93,'Session Tracker'!$F$5:$F$149,"Next week",'Session Tracker'!$G$5:$G$149,"Tue"),$D93*SUMIFS('Session Tracker'!$J$5:$J$149,'Session Tracker'!$D$5:$D$149,$A93,'Session Tracker'!$F$5:$F$149,"Next week",'Session Tracker'!$G$5:$G$149,"Tue"))</f>
        <v>0</v>
      </c>
      <c r="J93" s="52" t="n">
        <f aca="false">IF($E93="Per class",$D93*COUNTIFS('Session Tracker'!$D$5:$D$149,$A93,'Session Tracker'!$F$5:$F$149,"Next week",'Session Tracker'!$G$5:$G$149,"Wed"),$D93*SUMIFS('Session Tracker'!$J$5:$J$149,'Session Tracker'!$D$5:$D$149,$A93,'Session Tracker'!$F$5:$F$149,"Next week",'Session Tracker'!$G$5:$G$149,"Wed"))</f>
        <v>0</v>
      </c>
      <c r="K93" s="52" t="n">
        <f aca="false">IF($E93="Per class",$D93*COUNTIFS('Session Tracker'!$D$5:$D$149,$A93,'Session Tracker'!$F$5:$F$149,"Next week",'Session Tracker'!$G$5:$G$149,"Thu"),$D93*SUMIFS('Session Tracker'!$J$5:$J$149,'Session Tracker'!$D$5:$D$149,$A93,'Session Tracker'!$F$5:$F$149,"Next week",'Session Tracker'!$G$5:$G$149,"Thu"))</f>
        <v>0</v>
      </c>
      <c r="L93" s="52" t="n">
        <f aca="false">IF($E93="Per class",$D93*COUNTIFS('Session Tracker'!$D$5:$D$149,$A93,'Session Tracker'!$F$5:$F$149,"Next week",'Session Tracker'!$G$5:$G$149,"Fri"),$D93*SUMIFS('Session Tracker'!$J$5:$J$149,'Session Tracker'!$D$5:$D$149,$A93,'Session Tracker'!$F$5:$F$149,"Next week",'Session Tracker'!$G$5:$G$149,"Fri"))</f>
        <v>0</v>
      </c>
      <c r="M93" s="52" t="n">
        <f aca="false">IF($E93="Per class",$D93*COUNTIFS('Session Tracker'!$D$5:$D$149,$A93,'Session Tracker'!$F$5:$F$149,"Next week",'Session Tracker'!$G$5:$G$149,""),$D93*SUMIFS('Session Tracker'!$J$5:$J$149,'Session Tracker'!$D$5:$D$149,$A93,'Session Tracker'!$F$5:$F$149,"Next week",'Session Tracker'!$G$5:$G$149,""))</f>
        <v>0</v>
      </c>
    </row>
    <row r="94" customFormat="false" ht="15" hidden="false" customHeight="false" outlineLevel="0" collapsed="false">
      <c r="A94" s="61" t="s">
        <v>160</v>
      </c>
      <c r="B94" s="34" t="s">
        <v>369</v>
      </c>
      <c r="C94" s="34" t="s">
        <v>428</v>
      </c>
      <c r="D94" s="32" t="n">
        <v>1</v>
      </c>
      <c r="E94" s="32" t="s">
        <v>14</v>
      </c>
      <c r="F94" s="32" t="s">
        <v>368</v>
      </c>
      <c r="G94" s="34"/>
      <c r="H94" s="52" t="n">
        <f aca="false">IF($E94="Per class",$D94*COUNTIFS('Session Tracker'!$D$5:$D$149,$A94,'Session Tracker'!$F$5:$F$149,"Next week",'Session Tracker'!$G$5:$G$149,"Mon"),$D94*SUMIFS('Session Tracker'!$J$5:$J$149,'Session Tracker'!$D$5:$D$149,$A94,'Session Tracker'!$F$5:$F$149,"Next week",'Session Tracker'!$G$5:$G$149,"Mon"))</f>
        <v>0</v>
      </c>
      <c r="I94" s="52" t="n">
        <f aca="false">IF($E94="Per class",$D94*COUNTIFS('Session Tracker'!$D$5:$D$149,$A94,'Session Tracker'!$F$5:$F$149,"Next week",'Session Tracker'!$G$5:$G$149,"Tue"),$D94*SUMIFS('Session Tracker'!$J$5:$J$149,'Session Tracker'!$D$5:$D$149,$A94,'Session Tracker'!$F$5:$F$149,"Next week",'Session Tracker'!$G$5:$G$149,"Tue"))</f>
        <v>0</v>
      </c>
      <c r="J94" s="52" t="n">
        <f aca="false">IF($E94="Per class",$D94*COUNTIFS('Session Tracker'!$D$5:$D$149,$A94,'Session Tracker'!$F$5:$F$149,"Next week",'Session Tracker'!$G$5:$G$149,"Wed"),$D94*SUMIFS('Session Tracker'!$J$5:$J$149,'Session Tracker'!$D$5:$D$149,$A94,'Session Tracker'!$F$5:$F$149,"Next week",'Session Tracker'!$G$5:$G$149,"Wed"))</f>
        <v>0</v>
      </c>
      <c r="K94" s="52" t="n">
        <f aca="false">IF($E94="Per class",$D94*COUNTIFS('Session Tracker'!$D$5:$D$149,$A94,'Session Tracker'!$F$5:$F$149,"Next week",'Session Tracker'!$G$5:$G$149,"Thu"),$D94*SUMIFS('Session Tracker'!$J$5:$J$149,'Session Tracker'!$D$5:$D$149,$A94,'Session Tracker'!$F$5:$F$149,"Next week",'Session Tracker'!$G$5:$G$149,"Thu"))</f>
        <v>0</v>
      </c>
      <c r="L94" s="52" t="n">
        <f aca="false">IF($E94="Per class",$D94*COUNTIFS('Session Tracker'!$D$5:$D$149,$A94,'Session Tracker'!$F$5:$F$149,"Next week",'Session Tracker'!$G$5:$G$149,"Fri"),$D94*SUMIFS('Session Tracker'!$J$5:$J$149,'Session Tracker'!$D$5:$D$149,$A94,'Session Tracker'!$F$5:$F$149,"Next week",'Session Tracker'!$G$5:$G$149,"Fri"))</f>
        <v>0</v>
      </c>
      <c r="M94" s="52" t="n">
        <f aca="false">IF($E94="Per class",$D94*COUNTIFS('Session Tracker'!$D$5:$D$149,$A94,'Session Tracker'!$F$5:$F$149,"Next week",'Session Tracker'!$G$5:$G$149,""),$D94*SUMIFS('Session Tracker'!$J$5:$J$149,'Session Tracker'!$D$5:$D$149,$A94,'Session Tracker'!$F$5:$F$149,"Next week",'Session Tracker'!$G$5:$G$149,""))</f>
        <v>0</v>
      </c>
    </row>
    <row r="95" customFormat="false" ht="15" hidden="false" customHeight="false" outlineLevel="0" collapsed="false">
      <c r="A95" s="61" t="s">
        <v>160</v>
      </c>
      <c r="B95" s="34" t="s">
        <v>371</v>
      </c>
      <c r="C95" s="34" t="s">
        <v>517</v>
      </c>
      <c r="D95" s="32" t="n">
        <v>1</v>
      </c>
      <c r="E95" s="32" t="s">
        <v>14</v>
      </c>
      <c r="F95" s="32" t="s">
        <v>368</v>
      </c>
      <c r="G95" s="34"/>
      <c r="H95" s="52" t="n">
        <f aca="false">IF($E95="Per class",$D95*COUNTIFS('Session Tracker'!$D$5:$D$149,$A95,'Session Tracker'!$F$5:$F$149,"Next week",'Session Tracker'!$G$5:$G$149,"Mon"),$D95*SUMIFS('Session Tracker'!$J$5:$J$149,'Session Tracker'!$D$5:$D$149,$A95,'Session Tracker'!$F$5:$F$149,"Next week",'Session Tracker'!$G$5:$G$149,"Mon"))</f>
        <v>0</v>
      </c>
      <c r="I95" s="52" t="n">
        <f aca="false">IF($E95="Per class",$D95*COUNTIFS('Session Tracker'!$D$5:$D$149,$A95,'Session Tracker'!$F$5:$F$149,"Next week",'Session Tracker'!$G$5:$G$149,"Tue"),$D95*SUMIFS('Session Tracker'!$J$5:$J$149,'Session Tracker'!$D$5:$D$149,$A95,'Session Tracker'!$F$5:$F$149,"Next week",'Session Tracker'!$G$5:$G$149,"Tue"))</f>
        <v>0</v>
      </c>
      <c r="J95" s="52" t="n">
        <f aca="false">IF($E95="Per class",$D95*COUNTIFS('Session Tracker'!$D$5:$D$149,$A95,'Session Tracker'!$F$5:$F$149,"Next week",'Session Tracker'!$G$5:$G$149,"Wed"),$D95*SUMIFS('Session Tracker'!$J$5:$J$149,'Session Tracker'!$D$5:$D$149,$A95,'Session Tracker'!$F$5:$F$149,"Next week",'Session Tracker'!$G$5:$G$149,"Wed"))</f>
        <v>0</v>
      </c>
      <c r="K95" s="52" t="n">
        <f aca="false">IF($E95="Per class",$D95*COUNTIFS('Session Tracker'!$D$5:$D$149,$A95,'Session Tracker'!$F$5:$F$149,"Next week",'Session Tracker'!$G$5:$G$149,"Thu"),$D95*SUMIFS('Session Tracker'!$J$5:$J$149,'Session Tracker'!$D$5:$D$149,$A95,'Session Tracker'!$F$5:$F$149,"Next week",'Session Tracker'!$G$5:$G$149,"Thu"))</f>
        <v>0</v>
      </c>
      <c r="L95" s="52" t="n">
        <f aca="false">IF($E95="Per class",$D95*COUNTIFS('Session Tracker'!$D$5:$D$149,$A95,'Session Tracker'!$F$5:$F$149,"Next week",'Session Tracker'!$G$5:$G$149,"Fri"),$D95*SUMIFS('Session Tracker'!$J$5:$J$149,'Session Tracker'!$D$5:$D$149,$A95,'Session Tracker'!$F$5:$F$149,"Next week",'Session Tracker'!$G$5:$G$149,"Fri"))</f>
        <v>0</v>
      </c>
      <c r="M95" s="52" t="n">
        <f aca="false">IF($E95="Per class",$D95*COUNTIFS('Session Tracker'!$D$5:$D$149,$A95,'Session Tracker'!$F$5:$F$149,"Next week",'Session Tracker'!$G$5:$G$149,""),$D95*SUMIFS('Session Tracker'!$J$5:$J$149,'Session Tracker'!$D$5:$D$149,$A95,'Session Tracker'!$F$5:$F$149,"Next week",'Session Tracker'!$G$5:$G$149,""))</f>
        <v>0</v>
      </c>
    </row>
    <row r="96" customFormat="false" ht="15" hidden="false" customHeight="false" outlineLevel="0" collapsed="false">
      <c r="A96" s="61" t="s">
        <v>160</v>
      </c>
      <c r="B96" s="34" t="s">
        <v>375</v>
      </c>
      <c r="C96" s="34" t="s">
        <v>417</v>
      </c>
      <c r="D96" s="32" t="n">
        <v>1</v>
      </c>
      <c r="E96" s="32" t="s">
        <v>14</v>
      </c>
      <c r="F96" s="32" t="s">
        <v>373</v>
      </c>
      <c r="G96" s="34"/>
      <c r="H96" s="52" t="n">
        <f aca="false">IF($E96="Per class",$D96*COUNTIFS('Session Tracker'!$D$5:$D$149,$A96,'Session Tracker'!$F$5:$F$149,"Next week",'Session Tracker'!$G$5:$G$149,"Mon"),$D96*SUMIFS('Session Tracker'!$J$5:$J$149,'Session Tracker'!$D$5:$D$149,$A96,'Session Tracker'!$F$5:$F$149,"Next week",'Session Tracker'!$G$5:$G$149,"Mon"))</f>
        <v>0</v>
      </c>
      <c r="I96" s="52" t="n">
        <f aca="false">IF($E96="Per class",$D96*COUNTIFS('Session Tracker'!$D$5:$D$149,$A96,'Session Tracker'!$F$5:$F$149,"Next week",'Session Tracker'!$G$5:$G$149,"Tue"),$D96*SUMIFS('Session Tracker'!$J$5:$J$149,'Session Tracker'!$D$5:$D$149,$A96,'Session Tracker'!$F$5:$F$149,"Next week",'Session Tracker'!$G$5:$G$149,"Tue"))</f>
        <v>0</v>
      </c>
      <c r="J96" s="52" t="n">
        <f aca="false">IF($E96="Per class",$D96*COUNTIFS('Session Tracker'!$D$5:$D$149,$A96,'Session Tracker'!$F$5:$F$149,"Next week",'Session Tracker'!$G$5:$G$149,"Wed"),$D96*SUMIFS('Session Tracker'!$J$5:$J$149,'Session Tracker'!$D$5:$D$149,$A96,'Session Tracker'!$F$5:$F$149,"Next week",'Session Tracker'!$G$5:$G$149,"Wed"))</f>
        <v>0</v>
      </c>
      <c r="K96" s="52" t="n">
        <f aca="false">IF($E96="Per class",$D96*COUNTIFS('Session Tracker'!$D$5:$D$149,$A96,'Session Tracker'!$F$5:$F$149,"Next week",'Session Tracker'!$G$5:$G$149,"Thu"),$D96*SUMIFS('Session Tracker'!$J$5:$J$149,'Session Tracker'!$D$5:$D$149,$A96,'Session Tracker'!$F$5:$F$149,"Next week",'Session Tracker'!$G$5:$G$149,"Thu"))</f>
        <v>0</v>
      </c>
      <c r="L96" s="52" t="n">
        <f aca="false">IF($E96="Per class",$D96*COUNTIFS('Session Tracker'!$D$5:$D$149,$A96,'Session Tracker'!$F$5:$F$149,"Next week",'Session Tracker'!$G$5:$G$149,"Fri"),$D96*SUMIFS('Session Tracker'!$J$5:$J$149,'Session Tracker'!$D$5:$D$149,$A96,'Session Tracker'!$F$5:$F$149,"Next week",'Session Tracker'!$G$5:$G$149,"Fri"))</f>
        <v>0</v>
      </c>
      <c r="M96" s="52" t="n">
        <f aca="false">IF($E96="Per class",$D96*COUNTIFS('Session Tracker'!$D$5:$D$149,$A96,'Session Tracker'!$F$5:$F$149,"Next week",'Session Tracker'!$G$5:$G$149,""),$D96*SUMIFS('Session Tracker'!$J$5:$J$149,'Session Tracker'!$D$5:$D$149,$A96,'Session Tracker'!$F$5:$F$149,"Next week",'Session Tracker'!$G$5:$G$149,""))</f>
        <v>0</v>
      </c>
    </row>
    <row r="97" customFormat="false" ht="15" hidden="false" customHeight="false" outlineLevel="0" collapsed="false">
      <c r="A97" s="61" t="s">
        <v>160</v>
      </c>
      <c r="B97" s="34" t="s">
        <v>379</v>
      </c>
      <c r="C97" s="34" t="s">
        <v>380</v>
      </c>
      <c r="D97" s="32" t="n">
        <v>1</v>
      </c>
      <c r="E97" s="32" t="s">
        <v>14</v>
      </c>
      <c r="F97" s="32" t="s">
        <v>368</v>
      </c>
      <c r="G97" s="34"/>
      <c r="H97" s="52" t="n">
        <f aca="false">IF($E97="Per class",$D97*COUNTIFS('Session Tracker'!$D$5:$D$149,$A97,'Session Tracker'!$F$5:$F$149,"Next week",'Session Tracker'!$G$5:$G$149,"Mon"),$D97*SUMIFS('Session Tracker'!$J$5:$J$149,'Session Tracker'!$D$5:$D$149,$A97,'Session Tracker'!$F$5:$F$149,"Next week",'Session Tracker'!$G$5:$G$149,"Mon"))</f>
        <v>0</v>
      </c>
      <c r="I97" s="52" t="n">
        <f aca="false">IF($E97="Per class",$D97*COUNTIFS('Session Tracker'!$D$5:$D$149,$A97,'Session Tracker'!$F$5:$F$149,"Next week",'Session Tracker'!$G$5:$G$149,"Tue"),$D97*SUMIFS('Session Tracker'!$J$5:$J$149,'Session Tracker'!$D$5:$D$149,$A97,'Session Tracker'!$F$5:$F$149,"Next week",'Session Tracker'!$G$5:$G$149,"Tue"))</f>
        <v>0</v>
      </c>
      <c r="J97" s="52" t="n">
        <f aca="false">IF($E97="Per class",$D97*COUNTIFS('Session Tracker'!$D$5:$D$149,$A97,'Session Tracker'!$F$5:$F$149,"Next week",'Session Tracker'!$G$5:$G$149,"Wed"),$D97*SUMIFS('Session Tracker'!$J$5:$J$149,'Session Tracker'!$D$5:$D$149,$A97,'Session Tracker'!$F$5:$F$149,"Next week",'Session Tracker'!$G$5:$G$149,"Wed"))</f>
        <v>0</v>
      </c>
      <c r="K97" s="52" t="n">
        <f aca="false">IF($E97="Per class",$D97*COUNTIFS('Session Tracker'!$D$5:$D$149,$A97,'Session Tracker'!$F$5:$F$149,"Next week",'Session Tracker'!$G$5:$G$149,"Thu"),$D97*SUMIFS('Session Tracker'!$J$5:$J$149,'Session Tracker'!$D$5:$D$149,$A97,'Session Tracker'!$F$5:$F$149,"Next week",'Session Tracker'!$G$5:$G$149,"Thu"))</f>
        <v>0</v>
      </c>
      <c r="L97" s="52" t="n">
        <f aca="false">IF($E97="Per class",$D97*COUNTIFS('Session Tracker'!$D$5:$D$149,$A97,'Session Tracker'!$F$5:$F$149,"Next week",'Session Tracker'!$G$5:$G$149,"Fri"),$D97*SUMIFS('Session Tracker'!$J$5:$J$149,'Session Tracker'!$D$5:$D$149,$A97,'Session Tracker'!$F$5:$F$149,"Next week",'Session Tracker'!$G$5:$G$149,"Fri"))</f>
        <v>0</v>
      </c>
      <c r="M97" s="52" t="n">
        <f aca="false">IF($E97="Per class",$D97*COUNTIFS('Session Tracker'!$D$5:$D$149,$A97,'Session Tracker'!$F$5:$F$149,"Next week",'Session Tracker'!$G$5:$G$149,""),$D97*SUMIFS('Session Tracker'!$J$5:$J$149,'Session Tracker'!$D$5:$D$149,$A97,'Session Tracker'!$F$5:$F$149,"Next week",'Session Tracker'!$G$5:$G$149,""))</f>
        <v>0</v>
      </c>
    </row>
    <row r="98" customFormat="false" ht="15" hidden="false" customHeight="false" outlineLevel="0" collapsed="false">
      <c r="A98" s="61" t="s">
        <v>160</v>
      </c>
      <c r="B98" s="34" t="s">
        <v>379</v>
      </c>
      <c r="C98" s="34" t="s">
        <v>381</v>
      </c>
      <c r="D98" s="32" t="n">
        <v>10</v>
      </c>
      <c r="E98" s="32" t="s">
        <v>14</v>
      </c>
      <c r="F98" s="32" t="s">
        <v>368</v>
      </c>
      <c r="G98" s="34"/>
      <c r="H98" s="52" t="n">
        <f aca="false">IF($E98="Per class",$D98*COUNTIFS('Session Tracker'!$D$5:$D$149,$A98,'Session Tracker'!$F$5:$F$149,"Next week",'Session Tracker'!$G$5:$G$149,"Mon"),$D98*SUMIFS('Session Tracker'!$J$5:$J$149,'Session Tracker'!$D$5:$D$149,$A98,'Session Tracker'!$F$5:$F$149,"Next week",'Session Tracker'!$G$5:$G$149,"Mon"))</f>
        <v>0</v>
      </c>
      <c r="I98" s="52" t="n">
        <f aca="false">IF($E98="Per class",$D98*COUNTIFS('Session Tracker'!$D$5:$D$149,$A98,'Session Tracker'!$F$5:$F$149,"Next week",'Session Tracker'!$G$5:$G$149,"Tue"),$D98*SUMIFS('Session Tracker'!$J$5:$J$149,'Session Tracker'!$D$5:$D$149,$A98,'Session Tracker'!$F$5:$F$149,"Next week",'Session Tracker'!$G$5:$G$149,"Tue"))</f>
        <v>0</v>
      </c>
      <c r="J98" s="52" t="n">
        <f aca="false">IF($E98="Per class",$D98*COUNTIFS('Session Tracker'!$D$5:$D$149,$A98,'Session Tracker'!$F$5:$F$149,"Next week",'Session Tracker'!$G$5:$G$149,"Wed"),$D98*SUMIFS('Session Tracker'!$J$5:$J$149,'Session Tracker'!$D$5:$D$149,$A98,'Session Tracker'!$F$5:$F$149,"Next week",'Session Tracker'!$G$5:$G$149,"Wed"))</f>
        <v>0</v>
      </c>
      <c r="K98" s="52" t="n">
        <f aca="false">IF($E98="Per class",$D98*COUNTIFS('Session Tracker'!$D$5:$D$149,$A98,'Session Tracker'!$F$5:$F$149,"Next week",'Session Tracker'!$G$5:$G$149,"Thu"),$D98*SUMIFS('Session Tracker'!$J$5:$J$149,'Session Tracker'!$D$5:$D$149,$A98,'Session Tracker'!$F$5:$F$149,"Next week",'Session Tracker'!$G$5:$G$149,"Thu"))</f>
        <v>0</v>
      </c>
      <c r="L98" s="52" t="n">
        <f aca="false">IF($E98="Per class",$D98*COUNTIFS('Session Tracker'!$D$5:$D$149,$A98,'Session Tracker'!$F$5:$F$149,"Next week",'Session Tracker'!$G$5:$G$149,"Fri"),$D98*SUMIFS('Session Tracker'!$J$5:$J$149,'Session Tracker'!$D$5:$D$149,$A98,'Session Tracker'!$F$5:$F$149,"Next week",'Session Tracker'!$G$5:$G$149,"Fri"))</f>
        <v>0</v>
      </c>
      <c r="M98" s="52" t="n">
        <f aca="false">IF($E98="Per class",$D98*COUNTIFS('Session Tracker'!$D$5:$D$149,$A98,'Session Tracker'!$F$5:$F$149,"Next week",'Session Tracker'!$G$5:$G$149,""),$D98*SUMIFS('Session Tracker'!$J$5:$J$149,'Session Tracker'!$D$5:$D$149,$A98,'Session Tracker'!$F$5:$F$149,"Next week",'Session Tracker'!$G$5:$G$149,""))</f>
        <v>0</v>
      </c>
    </row>
    <row r="99" customFormat="false" ht="15" hidden="false" customHeight="false" outlineLevel="0" collapsed="false">
      <c r="A99" s="61" t="s">
        <v>160</v>
      </c>
      <c r="B99" s="34" t="s">
        <v>379</v>
      </c>
      <c r="C99" s="34" t="s">
        <v>395</v>
      </c>
      <c r="D99" s="32" t="n">
        <v>6</v>
      </c>
      <c r="E99" s="32" t="s">
        <v>14</v>
      </c>
      <c r="F99" s="32" t="s">
        <v>368</v>
      </c>
      <c r="G99" s="34"/>
      <c r="H99" s="52" t="n">
        <f aca="false">IF($E99="Per class",$D99*COUNTIFS('Session Tracker'!$D$5:$D$149,$A99,'Session Tracker'!$F$5:$F$149,"Next week",'Session Tracker'!$G$5:$G$149,"Mon"),$D99*SUMIFS('Session Tracker'!$J$5:$J$149,'Session Tracker'!$D$5:$D$149,$A99,'Session Tracker'!$F$5:$F$149,"Next week",'Session Tracker'!$G$5:$G$149,"Mon"))</f>
        <v>0</v>
      </c>
      <c r="I99" s="52" t="n">
        <f aca="false">IF($E99="Per class",$D99*COUNTIFS('Session Tracker'!$D$5:$D$149,$A99,'Session Tracker'!$F$5:$F$149,"Next week",'Session Tracker'!$G$5:$G$149,"Tue"),$D99*SUMIFS('Session Tracker'!$J$5:$J$149,'Session Tracker'!$D$5:$D$149,$A99,'Session Tracker'!$F$5:$F$149,"Next week",'Session Tracker'!$G$5:$G$149,"Tue"))</f>
        <v>0</v>
      </c>
      <c r="J99" s="52" t="n">
        <f aca="false">IF($E99="Per class",$D99*COUNTIFS('Session Tracker'!$D$5:$D$149,$A99,'Session Tracker'!$F$5:$F$149,"Next week",'Session Tracker'!$G$5:$G$149,"Wed"),$D99*SUMIFS('Session Tracker'!$J$5:$J$149,'Session Tracker'!$D$5:$D$149,$A99,'Session Tracker'!$F$5:$F$149,"Next week",'Session Tracker'!$G$5:$G$149,"Wed"))</f>
        <v>0</v>
      </c>
      <c r="K99" s="52" t="n">
        <f aca="false">IF($E99="Per class",$D99*COUNTIFS('Session Tracker'!$D$5:$D$149,$A99,'Session Tracker'!$F$5:$F$149,"Next week",'Session Tracker'!$G$5:$G$149,"Thu"),$D99*SUMIFS('Session Tracker'!$J$5:$J$149,'Session Tracker'!$D$5:$D$149,$A99,'Session Tracker'!$F$5:$F$149,"Next week",'Session Tracker'!$G$5:$G$149,"Thu"))</f>
        <v>0</v>
      </c>
      <c r="L99" s="52" t="n">
        <f aca="false">IF($E99="Per class",$D99*COUNTIFS('Session Tracker'!$D$5:$D$149,$A99,'Session Tracker'!$F$5:$F$149,"Next week",'Session Tracker'!$G$5:$G$149,"Fri"),$D99*SUMIFS('Session Tracker'!$J$5:$J$149,'Session Tracker'!$D$5:$D$149,$A99,'Session Tracker'!$F$5:$F$149,"Next week",'Session Tracker'!$G$5:$G$149,"Fri"))</f>
        <v>0</v>
      </c>
      <c r="M99" s="52" t="n">
        <f aca="false">IF($E99="Per class",$D99*COUNTIFS('Session Tracker'!$D$5:$D$149,$A99,'Session Tracker'!$F$5:$F$149,"Next week",'Session Tracker'!$G$5:$G$149,""),$D99*SUMIFS('Session Tracker'!$J$5:$J$149,'Session Tracker'!$D$5:$D$149,$A99,'Session Tracker'!$F$5:$F$149,"Next week",'Session Tracker'!$G$5:$G$149,""))</f>
        <v>0</v>
      </c>
    </row>
    <row r="100" customFormat="false" ht="15" hidden="false" customHeight="false" outlineLevel="0" collapsed="false">
      <c r="A100" s="61" t="s">
        <v>160</v>
      </c>
      <c r="B100" s="34" t="s">
        <v>382</v>
      </c>
      <c r="C100" s="34" t="s">
        <v>383</v>
      </c>
      <c r="D100" s="32" t="n">
        <v>1</v>
      </c>
      <c r="E100" s="32" t="s">
        <v>14</v>
      </c>
      <c r="F100" s="32" t="s">
        <v>368</v>
      </c>
      <c r="G100" s="34"/>
      <c r="H100" s="52" t="n">
        <f aca="false">IF($E100="Per class",$D100*COUNTIFS('Session Tracker'!$D$5:$D$149,$A100,'Session Tracker'!$F$5:$F$149,"Next week",'Session Tracker'!$G$5:$G$149,"Mon"),$D100*SUMIFS('Session Tracker'!$J$5:$J$149,'Session Tracker'!$D$5:$D$149,$A100,'Session Tracker'!$F$5:$F$149,"Next week",'Session Tracker'!$G$5:$G$149,"Mon"))</f>
        <v>0</v>
      </c>
      <c r="I100" s="52" t="n">
        <f aca="false">IF($E100="Per class",$D100*COUNTIFS('Session Tracker'!$D$5:$D$149,$A100,'Session Tracker'!$F$5:$F$149,"Next week",'Session Tracker'!$G$5:$G$149,"Tue"),$D100*SUMIFS('Session Tracker'!$J$5:$J$149,'Session Tracker'!$D$5:$D$149,$A100,'Session Tracker'!$F$5:$F$149,"Next week",'Session Tracker'!$G$5:$G$149,"Tue"))</f>
        <v>0</v>
      </c>
      <c r="J100" s="52" t="n">
        <f aca="false">IF($E100="Per class",$D100*COUNTIFS('Session Tracker'!$D$5:$D$149,$A100,'Session Tracker'!$F$5:$F$149,"Next week",'Session Tracker'!$G$5:$G$149,"Wed"),$D100*SUMIFS('Session Tracker'!$J$5:$J$149,'Session Tracker'!$D$5:$D$149,$A100,'Session Tracker'!$F$5:$F$149,"Next week",'Session Tracker'!$G$5:$G$149,"Wed"))</f>
        <v>0</v>
      </c>
      <c r="K100" s="52" t="n">
        <f aca="false">IF($E100="Per class",$D100*COUNTIFS('Session Tracker'!$D$5:$D$149,$A100,'Session Tracker'!$F$5:$F$149,"Next week",'Session Tracker'!$G$5:$G$149,"Thu"),$D100*SUMIFS('Session Tracker'!$J$5:$J$149,'Session Tracker'!$D$5:$D$149,$A100,'Session Tracker'!$F$5:$F$149,"Next week",'Session Tracker'!$G$5:$G$149,"Thu"))</f>
        <v>0</v>
      </c>
      <c r="L100" s="52" t="n">
        <f aca="false">IF($E100="Per class",$D100*COUNTIFS('Session Tracker'!$D$5:$D$149,$A100,'Session Tracker'!$F$5:$F$149,"Next week",'Session Tracker'!$G$5:$G$149,"Fri"),$D100*SUMIFS('Session Tracker'!$J$5:$J$149,'Session Tracker'!$D$5:$D$149,$A100,'Session Tracker'!$F$5:$F$149,"Next week",'Session Tracker'!$G$5:$G$149,"Fri"))</f>
        <v>0</v>
      </c>
      <c r="M100" s="52" t="n">
        <f aca="false">IF($E100="Per class",$D100*COUNTIFS('Session Tracker'!$D$5:$D$149,$A100,'Session Tracker'!$F$5:$F$149,"Next week",'Session Tracker'!$G$5:$G$149,""),$D100*SUMIFS('Session Tracker'!$J$5:$J$149,'Session Tracker'!$D$5:$D$149,$A100,'Session Tracker'!$F$5:$F$149,"Next week",'Session Tracker'!$G$5:$G$149,""))</f>
        <v>0</v>
      </c>
    </row>
    <row r="101" customFormat="false" ht="15" hidden="false" customHeight="false" outlineLevel="0" collapsed="false">
      <c r="A101" s="61" t="s">
        <v>160</v>
      </c>
      <c r="B101" s="34" t="s">
        <v>371</v>
      </c>
      <c r="C101" s="34" t="s">
        <v>372</v>
      </c>
      <c r="D101" s="32" t="n">
        <v>1</v>
      </c>
      <c r="E101" s="32" t="s">
        <v>14</v>
      </c>
      <c r="F101" s="32" t="s">
        <v>373</v>
      </c>
      <c r="G101" s="34" t="s">
        <v>389</v>
      </c>
      <c r="H101" s="52" t="n">
        <f aca="false">IF($E101="Per class",$D101*COUNTIFS('Session Tracker'!$D$5:$D$149,$A101,'Session Tracker'!$F$5:$F$149,"Next week",'Session Tracker'!$G$5:$G$149,"Mon"),$D101*SUMIFS('Session Tracker'!$J$5:$J$149,'Session Tracker'!$D$5:$D$149,$A101,'Session Tracker'!$F$5:$F$149,"Next week",'Session Tracker'!$G$5:$G$149,"Mon"))</f>
        <v>0</v>
      </c>
      <c r="I101" s="52" t="n">
        <f aca="false">IF($E101="Per class",$D101*COUNTIFS('Session Tracker'!$D$5:$D$149,$A101,'Session Tracker'!$F$5:$F$149,"Next week",'Session Tracker'!$G$5:$G$149,"Tue"),$D101*SUMIFS('Session Tracker'!$J$5:$J$149,'Session Tracker'!$D$5:$D$149,$A101,'Session Tracker'!$F$5:$F$149,"Next week",'Session Tracker'!$G$5:$G$149,"Tue"))</f>
        <v>0</v>
      </c>
      <c r="J101" s="52" t="n">
        <f aca="false">IF($E101="Per class",$D101*COUNTIFS('Session Tracker'!$D$5:$D$149,$A101,'Session Tracker'!$F$5:$F$149,"Next week",'Session Tracker'!$G$5:$G$149,"Wed"),$D101*SUMIFS('Session Tracker'!$J$5:$J$149,'Session Tracker'!$D$5:$D$149,$A101,'Session Tracker'!$F$5:$F$149,"Next week",'Session Tracker'!$G$5:$G$149,"Wed"))</f>
        <v>0</v>
      </c>
      <c r="K101" s="52" t="n">
        <f aca="false">IF($E101="Per class",$D101*COUNTIFS('Session Tracker'!$D$5:$D$149,$A101,'Session Tracker'!$F$5:$F$149,"Next week",'Session Tracker'!$G$5:$G$149,"Thu"),$D101*SUMIFS('Session Tracker'!$J$5:$J$149,'Session Tracker'!$D$5:$D$149,$A101,'Session Tracker'!$F$5:$F$149,"Next week",'Session Tracker'!$G$5:$G$149,"Thu"))</f>
        <v>0</v>
      </c>
      <c r="L101" s="52" t="n">
        <f aca="false">IF($E101="Per class",$D101*COUNTIFS('Session Tracker'!$D$5:$D$149,$A101,'Session Tracker'!$F$5:$F$149,"Next week",'Session Tracker'!$G$5:$G$149,"Fri"),$D101*SUMIFS('Session Tracker'!$J$5:$J$149,'Session Tracker'!$D$5:$D$149,$A101,'Session Tracker'!$F$5:$F$149,"Next week",'Session Tracker'!$G$5:$G$149,"Fri"))</f>
        <v>0</v>
      </c>
      <c r="M101" s="52" t="n">
        <f aca="false">IF($E101="Per class",$D101*COUNTIFS('Session Tracker'!$D$5:$D$149,$A101,'Session Tracker'!$F$5:$F$149,"Next week",'Session Tracker'!$G$5:$G$149,""),$D101*SUMIFS('Session Tracker'!$J$5:$J$149,'Session Tracker'!$D$5:$D$149,$A101,'Session Tracker'!$F$5:$F$149,"Next week",'Session Tracker'!$G$5:$G$149,""))</f>
        <v>0</v>
      </c>
    </row>
    <row r="102" customFormat="false" ht="15" hidden="false" customHeight="false" outlineLevel="0" collapsed="false">
      <c r="A102" s="61" t="s">
        <v>160</v>
      </c>
      <c r="B102" s="34" t="s">
        <v>375</v>
      </c>
      <c r="C102" s="34" t="s">
        <v>376</v>
      </c>
      <c r="D102" s="32" t="n">
        <v>1</v>
      </c>
      <c r="E102" s="32" t="s">
        <v>14</v>
      </c>
      <c r="F102" s="32" t="s">
        <v>373</v>
      </c>
      <c r="G102" s="34" t="s">
        <v>442</v>
      </c>
      <c r="H102" s="52" t="n">
        <f aca="false">IF($E102="Per class",$D102*COUNTIFS('Session Tracker'!$D$5:$D$149,$A102,'Session Tracker'!$F$5:$F$149,"Next week",'Session Tracker'!$G$5:$G$149,"Mon"),$D102*SUMIFS('Session Tracker'!$J$5:$J$149,'Session Tracker'!$D$5:$D$149,$A102,'Session Tracker'!$F$5:$F$149,"Next week",'Session Tracker'!$G$5:$G$149,"Mon"))</f>
        <v>0</v>
      </c>
      <c r="I102" s="52" t="n">
        <f aca="false">IF($E102="Per class",$D102*COUNTIFS('Session Tracker'!$D$5:$D$149,$A102,'Session Tracker'!$F$5:$F$149,"Next week",'Session Tracker'!$G$5:$G$149,"Tue"),$D102*SUMIFS('Session Tracker'!$J$5:$J$149,'Session Tracker'!$D$5:$D$149,$A102,'Session Tracker'!$F$5:$F$149,"Next week",'Session Tracker'!$G$5:$G$149,"Tue"))</f>
        <v>0</v>
      </c>
      <c r="J102" s="52" t="n">
        <f aca="false">IF($E102="Per class",$D102*COUNTIFS('Session Tracker'!$D$5:$D$149,$A102,'Session Tracker'!$F$5:$F$149,"Next week",'Session Tracker'!$G$5:$G$149,"Wed"),$D102*SUMIFS('Session Tracker'!$J$5:$J$149,'Session Tracker'!$D$5:$D$149,$A102,'Session Tracker'!$F$5:$F$149,"Next week",'Session Tracker'!$G$5:$G$149,"Wed"))</f>
        <v>0</v>
      </c>
      <c r="K102" s="52" t="n">
        <f aca="false">IF($E102="Per class",$D102*COUNTIFS('Session Tracker'!$D$5:$D$149,$A102,'Session Tracker'!$F$5:$F$149,"Next week",'Session Tracker'!$G$5:$G$149,"Thu"),$D102*SUMIFS('Session Tracker'!$J$5:$J$149,'Session Tracker'!$D$5:$D$149,$A102,'Session Tracker'!$F$5:$F$149,"Next week",'Session Tracker'!$G$5:$G$149,"Thu"))</f>
        <v>0</v>
      </c>
      <c r="L102" s="52" t="n">
        <f aca="false">IF($E102="Per class",$D102*COUNTIFS('Session Tracker'!$D$5:$D$149,$A102,'Session Tracker'!$F$5:$F$149,"Next week",'Session Tracker'!$G$5:$G$149,"Fri"),$D102*SUMIFS('Session Tracker'!$J$5:$J$149,'Session Tracker'!$D$5:$D$149,$A102,'Session Tracker'!$F$5:$F$149,"Next week",'Session Tracker'!$G$5:$G$149,"Fri"))</f>
        <v>0</v>
      </c>
      <c r="M102" s="52" t="n">
        <f aca="false">IF($E102="Per class",$D102*COUNTIFS('Session Tracker'!$D$5:$D$149,$A102,'Session Tracker'!$F$5:$F$149,"Next week",'Session Tracker'!$G$5:$G$149,""),$D102*SUMIFS('Session Tracker'!$J$5:$J$149,'Session Tracker'!$D$5:$D$149,$A102,'Session Tracker'!$F$5:$F$149,"Next week",'Session Tracker'!$G$5:$G$149,""))</f>
        <v>0</v>
      </c>
    </row>
    <row r="103" customFormat="false" ht="15" hidden="false" customHeight="false" outlineLevel="0" collapsed="false">
      <c r="A103" s="61" t="s">
        <v>160</v>
      </c>
      <c r="B103" s="34" t="s">
        <v>377</v>
      </c>
      <c r="C103" s="34" t="s">
        <v>378</v>
      </c>
      <c r="D103" s="32" t="n">
        <v>1</v>
      </c>
      <c r="E103" s="32" t="s">
        <v>14</v>
      </c>
      <c r="F103" s="32" t="s">
        <v>368</v>
      </c>
      <c r="G103" s="34" t="s">
        <v>389</v>
      </c>
      <c r="H103" s="52" t="n">
        <f aca="false">IF($E103="Per class",$D103*COUNTIFS('Session Tracker'!$D$5:$D$149,$A103,'Session Tracker'!$F$5:$F$149,"Next week",'Session Tracker'!$G$5:$G$149,"Mon"),$D103*SUMIFS('Session Tracker'!$J$5:$J$149,'Session Tracker'!$D$5:$D$149,$A103,'Session Tracker'!$F$5:$F$149,"Next week",'Session Tracker'!$G$5:$G$149,"Mon"))</f>
        <v>0</v>
      </c>
      <c r="I103" s="52" t="n">
        <f aca="false">IF($E103="Per class",$D103*COUNTIFS('Session Tracker'!$D$5:$D$149,$A103,'Session Tracker'!$F$5:$F$149,"Next week",'Session Tracker'!$G$5:$G$149,"Tue"),$D103*SUMIFS('Session Tracker'!$J$5:$J$149,'Session Tracker'!$D$5:$D$149,$A103,'Session Tracker'!$F$5:$F$149,"Next week",'Session Tracker'!$G$5:$G$149,"Tue"))</f>
        <v>0</v>
      </c>
      <c r="J103" s="52" t="n">
        <f aca="false">IF($E103="Per class",$D103*COUNTIFS('Session Tracker'!$D$5:$D$149,$A103,'Session Tracker'!$F$5:$F$149,"Next week",'Session Tracker'!$G$5:$G$149,"Wed"),$D103*SUMIFS('Session Tracker'!$J$5:$J$149,'Session Tracker'!$D$5:$D$149,$A103,'Session Tracker'!$F$5:$F$149,"Next week",'Session Tracker'!$G$5:$G$149,"Wed"))</f>
        <v>0</v>
      </c>
      <c r="K103" s="52" t="n">
        <f aca="false">IF($E103="Per class",$D103*COUNTIFS('Session Tracker'!$D$5:$D$149,$A103,'Session Tracker'!$F$5:$F$149,"Next week",'Session Tracker'!$G$5:$G$149,"Thu"),$D103*SUMIFS('Session Tracker'!$J$5:$J$149,'Session Tracker'!$D$5:$D$149,$A103,'Session Tracker'!$F$5:$F$149,"Next week",'Session Tracker'!$G$5:$G$149,"Thu"))</f>
        <v>0</v>
      </c>
      <c r="L103" s="52" t="n">
        <f aca="false">IF($E103="Per class",$D103*COUNTIFS('Session Tracker'!$D$5:$D$149,$A103,'Session Tracker'!$F$5:$F$149,"Next week",'Session Tracker'!$G$5:$G$149,"Fri"),$D103*SUMIFS('Session Tracker'!$J$5:$J$149,'Session Tracker'!$D$5:$D$149,$A103,'Session Tracker'!$F$5:$F$149,"Next week",'Session Tracker'!$G$5:$G$149,"Fri"))</f>
        <v>0</v>
      </c>
      <c r="M103" s="52" t="n">
        <f aca="false">IF($E103="Per class",$D103*COUNTIFS('Session Tracker'!$D$5:$D$149,$A103,'Session Tracker'!$F$5:$F$149,"Next week",'Session Tracker'!$G$5:$G$149,""),$D103*SUMIFS('Session Tracker'!$J$5:$J$149,'Session Tracker'!$D$5:$D$149,$A103,'Session Tracker'!$F$5:$F$149,"Next week",'Session Tracker'!$G$5:$G$149,""))</f>
        <v>0</v>
      </c>
    </row>
    <row r="104" customFormat="false" ht="15" hidden="false" customHeight="false" outlineLevel="0" collapsed="false">
      <c r="A104" s="53" t="s">
        <v>160</v>
      </c>
      <c r="B104" s="54"/>
      <c r="C104" s="54"/>
      <c r="D104" s="54"/>
      <c r="E104" s="54"/>
      <c r="F104" s="54"/>
      <c r="G104" s="54"/>
      <c r="H104" s="52" t="n">
        <f aca="false">IF($E104="Per class",$D104*COUNTIFS('Session Tracker'!$D$5:$D$149,$A104,'Session Tracker'!$F$5:$F$149,"Next week",'Session Tracker'!$G$5:$G$149,"Mon"),$D104*SUMIFS('Session Tracker'!$J$5:$J$149,'Session Tracker'!$D$5:$D$149,$A104,'Session Tracker'!$F$5:$F$149,"Next week",'Session Tracker'!$G$5:$G$149,"Mon"))</f>
        <v>0</v>
      </c>
      <c r="I104" s="52" t="n">
        <f aca="false">IF($E104="Per class",$D104*COUNTIFS('Session Tracker'!$D$5:$D$149,$A104,'Session Tracker'!$F$5:$F$149,"Next week",'Session Tracker'!$G$5:$G$149,"Tue"),$D104*SUMIFS('Session Tracker'!$J$5:$J$149,'Session Tracker'!$D$5:$D$149,$A104,'Session Tracker'!$F$5:$F$149,"Next week",'Session Tracker'!$G$5:$G$149,"Tue"))</f>
        <v>0</v>
      </c>
      <c r="J104" s="52" t="n">
        <f aca="false">IF($E104="Per class",$D104*COUNTIFS('Session Tracker'!$D$5:$D$149,$A104,'Session Tracker'!$F$5:$F$149,"Next week",'Session Tracker'!$G$5:$G$149,"Wed"),$D104*SUMIFS('Session Tracker'!$J$5:$J$149,'Session Tracker'!$D$5:$D$149,$A104,'Session Tracker'!$F$5:$F$149,"Next week",'Session Tracker'!$G$5:$G$149,"Wed"))</f>
        <v>0</v>
      </c>
      <c r="K104" s="52" t="n">
        <f aca="false">IF($E104="Per class",$D104*COUNTIFS('Session Tracker'!$D$5:$D$149,$A104,'Session Tracker'!$F$5:$F$149,"Next week",'Session Tracker'!$G$5:$G$149,"Thu"),$D104*SUMIFS('Session Tracker'!$J$5:$J$149,'Session Tracker'!$D$5:$D$149,$A104,'Session Tracker'!$F$5:$F$149,"Next week",'Session Tracker'!$G$5:$G$149,"Thu"))</f>
        <v>0</v>
      </c>
      <c r="L104" s="52" t="n">
        <f aca="false">IF($E104="Per class",$D104*COUNTIFS('Session Tracker'!$D$5:$D$149,$A104,'Session Tracker'!$F$5:$F$149,"Next week",'Session Tracker'!$G$5:$G$149,"Fri"),$D104*SUMIFS('Session Tracker'!$J$5:$J$149,'Session Tracker'!$D$5:$D$149,$A104,'Session Tracker'!$F$5:$F$149,"Next week",'Session Tracker'!$G$5:$G$149,"Fri"))</f>
        <v>0</v>
      </c>
      <c r="M104" s="52" t="n">
        <f aca="false">IF($E104="Per class",$D104*COUNTIFS('Session Tracker'!$D$5:$D$149,$A104,'Session Tracker'!$F$5:$F$149,"Next week",'Session Tracker'!$G$5:$G$149,""),$D104*SUMIFS('Session Tracker'!$J$5:$J$149,'Session Tracker'!$D$5:$D$149,$A104,'Session Tracker'!$F$5:$F$149,"Next week",'Session Tracker'!$G$5:$G$149,""))</f>
        <v>0</v>
      </c>
    </row>
    <row r="105" customFormat="false" ht="15" hidden="false" customHeight="false" outlineLevel="0" collapsed="false">
      <c r="A105" s="53" t="s">
        <v>160</v>
      </c>
      <c r="B105" s="54"/>
      <c r="C105" s="54"/>
      <c r="D105" s="54"/>
      <c r="E105" s="54"/>
      <c r="F105" s="54"/>
      <c r="G105" s="54"/>
      <c r="H105" s="52" t="n">
        <f aca="false">IF($E105="Per class",$D105*COUNTIFS('Session Tracker'!$D$5:$D$149,$A105,'Session Tracker'!$F$5:$F$149,"Next week",'Session Tracker'!$G$5:$G$149,"Mon"),$D105*SUMIFS('Session Tracker'!$J$5:$J$149,'Session Tracker'!$D$5:$D$149,$A105,'Session Tracker'!$F$5:$F$149,"Next week",'Session Tracker'!$G$5:$G$149,"Mon"))</f>
        <v>0</v>
      </c>
      <c r="I105" s="52" t="n">
        <f aca="false">IF($E105="Per class",$D105*COUNTIFS('Session Tracker'!$D$5:$D$149,$A105,'Session Tracker'!$F$5:$F$149,"Next week",'Session Tracker'!$G$5:$G$149,"Tue"),$D105*SUMIFS('Session Tracker'!$J$5:$J$149,'Session Tracker'!$D$5:$D$149,$A105,'Session Tracker'!$F$5:$F$149,"Next week",'Session Tracker'!$G$5:$G$149,"Tue"))</f>
        <v>0</v>
      </c>
      <c r="J105" s="52" t="n">
        <f aca="false">IF($E105="Per class",$D105*COUNTIFS('Session Tracker'!$D$5:$D$149,$A105,'Session Tracker'!$F$5:$F$149,"Next week",'Session Tracker'!$G$5:$G$149,"Wed"),$D105*SUMIFS('Session Tracker'!$J$5:$J$149,'Session Tracker'!$D$5:$D$149,$A105,'Session Tracker'!$F$5:$F$149,"Next week",'Session Tracker'!$G$5:$G$149,"Wed"))</f>
        <v>0</v>
      </c>
      <c r="K105" s="52" t="n">
        <f aca="false">IF($E105="Per class",$D105*COUNTIFS('Session Tracker'!$D$5:$D$149,$A105,'Session Tracker'!$F$5:$F$149,"Next week",'Session Tracker'!$G$5:$G$149,"Thu"),$D105*SUMIFS('Session Tracker'!$J$5:$J$149,'Session Tracker'!$D$5:$D$149,$A105,'Session Tracker'!$F$5:$F$149,"Next week",'Session Tracker'!$G$5:$G$149,"Thu"))</f>
        <v>0</v>
      </c>
      <c r="L105" s="52" t="n">
        <f aca="false">IF($E105="Per class",$D105*COUNTIFS('Session Tracker'!$D$5:$D$149,$A105,'Session Tracker'!$F$5:$F$149,"Next week",'Session Tracker'!$G$5:$G$149,"Fri"),$D105*SUMIFS('Session Tracker'!$J$5:$J$149,'Session Tracker'!$D$5:$D$149,$A105,'Session Tracker'!$F$5:$F$149,"Next week",'Session Tracker'!$G$5:$G$149,"Fri"))</f>
        <v>0</v>
      </c>
      <c r="M105" s="52" t="n">
        <f aca="false">IF($E105="Per class",$D105*COUNTIFS('Session Tracker'!$D$5:$D$149,$A105,'Session Tracker'!$F$5:$F$149,"Next week",'Session Tracker'!$G$5:$G$149,""),$D105*SUMIFS('Session Tracker'!$J$5:$J$149,'Session Tracker'!$D$5:$D$149,$A105,'Session Tracker'!$F$5:$F$149,"Next week",'Session Tracker'!$G$5:$G$149,""))</f>
        <v>0</v>
      </c>
    </row>
    <row r="107" customFormat="false" ht="19.5" hidden="false" customHeight="true" outlineLevel="0" collapsed="false">
      <c r="A107" s="57" t="s">
        <v>162</v>
      </c>
      <c r="B107" s="58" t="s">
        <v>519</v>
      </c>
      <c r="C107" s="58"/>
      <c r="D107" s="58"/>
      <c r="E107" s="58"/>
      <c r="F107" s="59" t="str">
        <f aca="false">"Status: "&amp;'Session Tracker'!F49&amp;IF('Session Tracker'!G49&lt;&gt;""," ("&amp;'Session Tracker'!G49&amp;")","")</f>
        <v>Status: Not started</v>
      </c>
      <c r="G107" s="59"/>
      <c r="H107" s="60"/>
      <c r="I107" s="60"/>
      <c r="J107" s="60"/>
      <c r="K107" s="60"/>
      <c r="L107" s="60"/>
      <c r="M107" s="60"/>
    </row>
    <row r="108" customFormat="false" ht="23.85" hidden="false" customHeight="false" outlineLevel="0" collapsed="false">
      <c r="A108" s="61" t="s">
        <v>162</v>
      </c>
      <c r="B108" s="34" t="s">
        <v>366</v>
      </c>
      <c r="C108" s="34" t="s">
        <v>367</v>
      </c>
      <c r="D108" s="32" t="n">
        <v>1</v>
      </c>
      <c r="E108" s="32" t="s">
        <v>14</v>
      </c>
      <c r="F108" s="32" t="s">
        <v>368</v>
      </c>
      <c r="G108" s="34"/>
      <c r="H108" s="52" t="n">
        <f aca="false">IF($E108="Per class",$D108*COUNTIFS('Session Tracker'!$D$5:$D$149,$A108,'Session Tracker'!$F$5:$F$149,"Next week",'Session Tracker'!$G$5:$G$149,"Mon"),$D108*SUMIFS('Session Tracker'!$J$5:$J$149,'Session Tracker'!$D$5:$D$149,$A108,'Session Tracker'!$F$5:$F$149,"Next week",'Session Tracker'!$G$5:$G$149,"Mon"))</f>
        <v>0</v>
      </c>
      <c r="I108" s="52" t="n">
        <f aca="false">IF($E108="Per class",$D108*COUNTIFS('Session Tracker'!$D$5:$D$149,$A108,'Session Tracker'!$F$5:$F$149,"Next week",'Session Tracker'!$G$5:$G$149,"Tue"),$D108*SUMIFS('Session Tracker'!$J$5:$J$149,'Session Tracker'!$D$5:$D$149,$A108,'Session Tracker'!$F$5:$F$149,"Next week",'Session Tracker'!$G$5:$G$149,"Tue"))</f>
        <v>0</v>
      </c>
      <c r="J108" s="52" t="n">
        <f aca="false">IF($E108="Per class",$D108*COUNTIFS('Session Tracker'!$D$5:$D$149,$A108,'Session Tracker'!$F$5:$F$149,"Next week",'Session Tracker'!$G$5:$G$149,"Wed"),$D108*SUMIFS('Session Tracker'!$J$5:$J$149,'Session Tracker'!$D$5:$D$149,$A108,'Session Tracker'!$F$5:$F$149,"Next week",'Session Tracker'!$G$5:$G$149,"Wed"))</f>
        <v>0</v>
      </c>
      <c r="K108" s="52" t="n">
        <f aca="false">IF($E108="Per class",$D108*COUNTIFS('Session Tracker'!$D$5:$D$149,$A108,'Session Tracker'!$F$5:$F$149,"Next week",'Session Tracker'!$G$5:$G$149,"Thu"),$D108*SUMIFS('Session Tracker'!$J$5:$J$149,'Session Tracker'!$D$5:$D$149,$A108,'Session Tracker'!$F$5:$F$149,"Next week",'Session Tracker'!$G$5:$G$149,"Thu"))</f>
        <v>0</v>
      </c>
      <c r="L108" s="52" t="n">
        <f aca="false">IF($E108="Per class",$D108*COUNTIFS('Session Tracker'!$D$5:$D$149,$A108,'Session Tracker'!$F$5:$F$149,"Next week",'Session Tracker'!$G$5:$G$149,"Fri"),$D108*SUMIFS('Session Tracker'!$J$5:$J$149,'Session Tracker'!$D$5:$D$149,$A108,'Session Tracker'!$F$5:$F$149,"Next week",'Session Tracker'!$G$5:$G$149,"Fri"))</f>
        <v>0</v>
      </c>
      <c r="M108" s="52" t="n">
        <f aca="false">IF($E108="Per class",$D108*COUNTIFS('Session Tracker'!$D$5:$D$149,$A108,'Session Tracker'!$F$5:$F$149,"Next week",'Session Tracker'!$G$5:$G$149,""),$D108*SUMIFS('Session Tracker'!$J$5:$J$149,'Session Tracker'!$D$5:$D$149,$A108,'Session Tracker'!$F$5:$F$149,"Next week",'Session Tracker'!$G$5:$G$149,""))</f>
        <v>0</v>
      </c>
    </row>
    <row r="109" customFormat="false" ht="15" hidden="false" customHeight="false" outlineLevel="0" collapsed="false">
      <c r="A109" s="61" t="s">
        <v>162</v>
      </c>
      <c r="B109" s="34" t="s">
        <v>369</v>
      </c>
      <c r="C109" s="34" t="s">
        <v>370</v>
      </c>
      <c r="D109" s="32" t="n">
        <v>2</v>
      </c>
      <c r="E109" s="32" t="s">
        <v>14</v>
      </c>
      <c r="F109" s="32" t="s">
        <v>368</v>
      </c>
      <c r="G109" s="34"/>
      <c r="H109" s="52" t="n">
        <f aca="false">IF($E109="Per class",$D109*COUNTIFS('Session Tracker'!$D$5:$D$149,$A109,'Session Tracker'!$F$5:$F$149,"Next week",'Session Tracker'!$G$5:$G$149,"Mon"),$D109*SUMIFS('Session Tracker'!$J$5:$J$149,'Session Tracker'!$D$5:$D$149,$A109,'Session Tracker'!$F$5:$F$149,"Next week",'Session Tracker'!$G$5:$G$149,"Mon"))</f>
        <v>0</v>
      </c>
      <c r="I109" s="52" t="n">
        <f aca="false">IF($E109="Per class",$D109*COUNTIFS('Session Tracker'!$D$5:$D$149,$A109,'Session Tracker'!$F$5:$F$149,"Next week",'Session Tracker'!$G$5:$G$149,"Tue"),$D109*SUMIFS('Session Tracker'!$J$5:$J$149,'Session Tracker'!$D$5:$D$149,$A109,'Session Tracker'!$F$5:$F$149,"Next week",'Session Tracker'!$G$5:$G$149,"Tue"))</f>
        <v>0</v>
      </c>
      <c r="J109" s="52" t="n">
        <f aca="false">IF($E109="Per class",$D109*COUNTIFS('Session Tracker'!$D$5:$D$149,$A109,'Session Tracker'!$F$5:$F$149,"Next week",'Session Tracker'!$G$5:$G$149,"Wed"),$D109*SUMIFS('Session Tracker'!$J$5:$J$149,'Session Tracker'!$D$5:$D$149,$A109,'Session Tracker'!$F$5:$F$149,"Next week",'Session Tracker'!$G$5:$G$149,"Wed"))</f>
        <v>0</v>
      </c>
      <c r="K109" s="52" t="n">
        <f aca="false">IF($E109="Per class",$D109*COUNTIFS('Session Tracker'!$D$5:$D$149,$A109,'Session Tracker'!$F$5:$F$149,"Next week",'Session Tracker'!$G$5:$G$149,"Thu"),$D109*SUMIFS('Session Tracker'!$J$5:$J$149,'Session Tracker'!$D$5:$D$149,$A109,'Session Tracker'!$F$5:$F$149,"Next week",'Session Tracker'!$G$5:$G$149,"Thu"))</f>
        <v>0</v>
      </c>
      <c r="L109" s="52" t="n">
        <f aca="false">IF($E109="Per class",$D109*COUNTIFS('Session Tracker'!$D$5:$D$149,$A109,'Session Tracker'!$F$5:$F$149,"Next week",'Session Tracker'!$G$5:$G$149,"Fri"),$D109*SUMIFS('Session Tracker'!$J$5:$J$149,'Session Tracker'!$D$5:$D$149,$A109,'Session Tracker'!$F$5:$F$149,"Next week",'Session Tracker'!$G$5:$G$149,"Fri"))</f>
        <v>0</v>
      </c>
      <c r="M109" s="52" t="n">
        <f aca="false">IF($E109="Per class",$D109*COUNTIFS('Session Tracker'!$D$5:$D$149,$A109,'Session Tracker'!$F$5:$F$149,"Next week",'Session Tracker'!$G$5:$G$149,""),$D109*SUMIFS('Session Tracker'!$J$5:$J$149,'Session Tracker'!$D$5:$D$149,$A109,'Session Tracker'!$F$5:$F$149,"Next week",'Session Tracker'!$G$5:$G$149,""))</f>
        <v>0</v>
      </c>
    </row>
    <row r="110" customFormat="false" ht="15" hidden="false" customHeight="false" outlineLevel="0" collapsed="false">
      <c r="A110" s="61" t="s">
        <v>162</v>
      </c>
      <c r="B110" s="34" t="s">
        <v>377</v>
      </c>
      <c r="C110" s="34" t="s">
        <v>439</v>
      </c>
      <c r="D110" s="32" t="n">
        <v>1</v>
      </c>
      <c r="E110" s="32" t="s">
        <v>14</v>
      </c>
      <c r="F110" s="32" t="s">
        <v>368</v>
      </c>
      <c r="G110" s="34"/>
      <c r="H110" s="52" t="n">
        <f aca="false">IF($E110="Per class",$D110*COUNTIFS('Session Tracker'!$D$5:$D$149,$A110,'Session Tracker'!$F$5:$F$149,"Next week",'Session Tracker'!$G$5:$G$149,"Mon"),$D110*SUMIFS('Session Tracker'!$J$5:$J$149,'Session Tracker'!$D$5:$D$149,$A110,'Session Tracker'!$F$5:$F$149,"Next week",'Session Tracker'!$G$5:$G$149,"Mon"))</f>
        <v>0</v>
      </c>
      <c r="I110" s="52" t="n">
        <f aca="false">IF($E110="Per class",$D110*COUNTIFS('Session Tracker'!$D$5:$D$149,$A110,'Session Tracker'!$F$5:$F$149,"Next week",'Session Tracker'!$G$5:$G$149,"Tue"),$D110*SUMIFS('Session Tracker'!$J$5:$J$149,'Session Tracker'!$D$5:$D$149,$A110,'Session Tracker'!$F$5:$F$149,"Next week",'Session Tracker'!$G$5:$G$149,"Tue"))</f>
        <v>0</v>
      </c>
      <c r="J110" s="52" t="n">
        <f aca="false">IF($E110="Per class",$D110*COUNTIFS('Session Tracker'!$D$5:$D$149,$A110,'Session Tracker'!$F$5:$F$149,"Next week",'Session Tracker'!$G$5:$G$149,"Wed"),$D110*SUMIFS('Session Tracker'!$J$5:$J$149,'Session Tracker'!$D$5:$D$149,$A110,'Session Tracker'!$F$5:$F$149,"Next week",'Session Tracker'!$G$5:$G$149,"Wed"))</f>
        <v>0</v>
      </c>
      <c r="K110" s="52" t="n">
        <f aca="false">IF($E110="Per class",$D110*COUNTIFS('Session Tracker'!$D$5:$D$149,$A110,'Session Tracker'!$F$5:$F$149,"Next week",'Session Tracker'!$G$5:$G$149,"Thu"),$D110*SUMIFS('Session Tracker'!$J$5:$J$149,'Session Tracker'!$D$5:$D$149,$A110,'Session Tracker'!$F$5:$F$149,"Next week",'Session Tracker'!$G$5:$G$149,"Thu"))</f>
        <v>0</v>
      </c>
      <c r="L110" s="52" t="n">
        <f aca="false">IF($E110="Per class",$D110*COUNTIFS('Session Tracker'!$D$5:$D$149,$A110,'Session Tracker'!$F$5:$F$149,"Next week",'Session Tracker'!$G$5:$G$149,"Fri"),$D110*SUMIFS('Session Tracker'!$J$5:$J$149,'Session Tracker'!$D$5:$D$149,$A110,'Session Tracker'!$F$5:$F$149,"Next week",'Session Tracker'!$G$5:$G$149,"Fri"))</f>
        <v>0</v>
      </c>
      <c r="M110" s="52" t="n">
        <f aca="false">IF($E110="Per class",$D110*COUNTIFS('Session Tracker'!$D$5:$D$149,$A110,'Session Tracker'!$F$5:$F$149,"Next week",'Session Tracker'!$G$5:$G$149,""),$D110*SUMIFS('Session Tracker'!$J$5:$J$149,'Session Tracker'!$D$5:$D$149,$A110,'Session Tracker'!$F$5:$F$149,"Next week",'Session Tracker'!$G$5:$G$149,""))</f>
        <v>0</v>
      </c>
    </row>
    <row r="111" customFormat="false" ht="15" hidden="false" customHeight="false" outlineLevel="0" collapsed="false">
      <c r="A111" s="61" t="s">
        <v>162</v>
      </c>
      <c r="B111" s="34" t="s">
        <v>371</v>
      </c>
      <c r="C111" s="34" t="s">
        <v>372</v>
      </c>
      <c r="D111" s="32" t="n">
        <v>3</v>
      </c>
      <c r="E111" s="32" t="s">
        <v>14</v>
      </c>
      <c r="F111" s="32" t="s">
        <v>373</v>
      </c>
      <c r="G111" s="34" t="s">
        <v>520</v>
      </c>
      <c r="H111" s="52" t="n">
        <f aca="false">IF($E111="Per class",$D111*COUNTIFS('Session Tracker'!$D$5:$D$149,$A111,'Session Tracker'!$F$5:$F$149,"Next week",'Session Tracker'!$G$5:$G$149,"Mon"),$D111*SUMIFS('Session Tracker'!$J$5:$J$149,'Session Tracker'!$D$5:$D$149,$A111,'Session Tracker'!$F$5:$F$149,"Next week",'Session Tracker'!$G$5:$G$149,"Mon"))</f>
        <v>0</v>
      </c>
      <c r="I111" s="52" t="n">
        <f aca="false">IF($E111="Per class",$D111*COUNTIFS('Session Tracker'!$D$5:$D$149,$A111,'Session Tracker'!$F$5:$F$149,"Next week",'Session Tracker'!$G$5:$G$149,"Tue"),$D111*SUMIFS('Session Tracker'!$J$5:$J$149,'Session Tracker'!$D$5:$D$149,$A111,'Session Tracker'!$F$5:$F$149,"Next week",'Session Tracker'!$G$5:$G$149,"Tue"))</f>
        <v>0</v>
      </c>
      <c r="J111" s="52" t="n">
        <f aca="false">IF($E111="Per class",$D111*COUNTIFS('Session Tracker'!$D$5:$D$149,$A111,'Session Tracker'!$F$5:$F$149,"Next week",'Session Tracker'!$G$5:$G$149,"Wed"),$D111*SUMIFS('Session Tracker'!$J$5:$J$149,'Session Tracker'!$D$5:$D$149,$A111,'Session Tracker'!$F$5:$F$149,"Next week",'Session Tracker'!$G$5:$G$149,"Wed"))</f>
        <v>0</v>
      </c>
      <c r="K111" s="52" t="n">
        <f aca="false">IF($E111="Per class",$D111*COUNTIFS('Session Tracker'!$D$5:$D$149,$A111,'Session Tracker'!$F$5:$F$149,"Next week",'Session Tracker'!$G$5:$G$149,"Thu"),$D111*SUMIFS('Session Tracker'!$J$5:$J$149,'Session Tracker'!$D$5:$D$149,$A111,'Session Tracker'!$F$5:$F$149,"Next week",'Session Tracker'!$G$5:$G$149,"Thu"))</f>
        <v>0</v>
      </c>
      <c r="L111" s="52" t="n">
        <f aca="false">IF($E111="Per class",$D111*COUNTIFS('Session Tracker'!$D$5:$D$149,$A111,'Session Tracker'!$F$5:$F$149,"Next week",'Session Tracker'!$G$5:$G$149,"Fri"),$D111*SUMIFS('Session Tracker'!$J$5:$J$149,'Session Tracker'!$D$5:$D$149,$A111,'Session Tracker'!$F$5:$F$149,"Next week",'Session Tracker'!$G$5:$G$149,"Fri"))</f>
        <v>0</v>
      </c>
      <c r="M111" s="52" t="n">
        <f aca="false">IF($E111="Per class",$D111*COUNTIFS('Session Tracker'!$D$5:$D$149,$A111,'Session Tracker'!$F$5:$F$149,"Next week",'Session Tracker'!$G$5:$G$149,""),$D111*SUMIFS('Session Tracker'!$J$5:$J$149,'Session Tracker'!$D$5:$D$149,$A111,'Session Tracker'!$F$5:$F$149,"Next week",'Session Tracker'!$G$5:$G$149,""))</f>
        <v>0</v>
      </c>
    </row>
    <row r="112" customFormat="false" ht="15" hidden="false" customHeight="false" outlineLevel="0" collapsed="false">
      <c r="A112" s="61" t="s">
        <v>162</v>
      </c>
      <c r="B112" s="34" t="s">
        <v>375</v>
      </c>
      <c r="C112" s="34" t="s">
        <v>376</v>
      </c>
      <c r="D112" s="32" t="n">
        <v>3</v>
      </c>
      <c r="E112" s="32" t="s">
        <v>14</v>
      </c>
      <c r="F112" s="32" t="s">
        <v>373</v>
      </c>
      <c r="G112" s="34"/>
      <c r="H112" s="52" t="n">
        <f aca="false">IF($E112="Per class",$D112*COUNTIFS('Session Tracker'!$D$5:$D$149,$A112,'Session Tracker'!$F$5:$F$149,"Next week",'Session Tracker'!$G$5:$G$149,"Mon"),$D112*SUMIFS('Session Tracker'!$J$5:$J$149,'Session Tracker'!$D$5:$D$149,$A112,'Session Tracker'!$F$5:$F$149,"Next week",'Session Tracker'!$G$5:$G$149,"Mon"))</f>
        <v>0</v>
      </c>
      <c r="I112" s="52" t="n">
        <f aca="false">IF($E112="Per class",$D112*COUNTIFS('Session Tracker'!$D$5:$D$149,$A112,'Session Tracker'!$F$5:$F$149,"Next week",'Session Tracker'!$G$5:$G$149,"Tue"),$D112*SUMIFS('Session Tracker'!$J$5:$J$149,'Session Tracker'!$D$5:$D$149,$A112,'Session Tracker'!$F$5:$F$149,"Next week",'Session Tracker'!$G$5:$G$149,"Tue"))</f>
        <v>0</v>
      </c>
      <c r="J112" s="52" t="n">
        <f aca="false">IF($E112="Per class",$D112*COUNTIFS('Session Tracker'!$D$5:$D$149,$A112,'Session Tracker'!$F$5:$F$149,"Next week",'Session Tracker'!$G$5:$G$149,"Wed"),$D112*SUMIFS('Session Tracker'!$J$5:$J$149,'Session Tracker'!$D$5:$D$149,$A112,'Session Tracker'!$F$5:$F$149,"Next week",'Session Tracker'!$G$5:$G$149,"Wed"))</f>
        <v>0</v>
      </c>
      <c r="K112" s="52" t="n">
        <f aca="false">IF($E112="Per class",$D112*COUNTIFS('Session Tracker'!$D$5:$D$149,$A112,'Session Tracker'!$F$5:$F$149,"Next week",'Session Tracker'!$G$5:$G$149,"Thu"),$D112*SUMIFS('Session Tracker'!$J$5:$J$149,'Session Tracker'!$D$5:$D$149,$A112,'Session Tracker'!$F$5:$F$149,"Next week",'Session Tracker'!$G$5:$G$149,"Thu"))</f>
        <v>0</v>
      </c>
      <c r="L112" s="52" t="n">
        <f aca="false">IF($E112="Per class",$D112*COUNTIFS('Session Tracker'!$D$5:$D$149,$A112,'Session Tracker'!$F$5:$F$149,"Next week",'Session Tracker'!$G$5:$G$149,"Fri"),$D112*SUMIFS('Session Tracker'!$J$5:$J$149,'Session Tracker'!$D$5:$D$149,$A112,'Session Tracker'!$F$5:$F$149,"Next week",'Session Tracker'!$G$5:$G$149,"Fri"))</f>
        <v>0</v>
      </c>
      <c r="M112" s="52" t="n">
        <f aca="false">IF($E112="Per class",$D112*COUNTIFS('Session Tracker'!$D$5:$D$149,$A112,'Session Tracker'!$F$5:$F$149,"Next week",'Session Tracker'!$G$5:$G$149,""),$D112*SUMIFS('Session Tracker'!$J$5:$J$149,'Session Tracker'!$D$5:$D$149,$A112,'Session Tracker'!$F$5:$F$149,"Next week",'Session Tracker'!$G$5:$G$149,""))</f>
        <v>0</v>
      </c>
    </row>
    <row r="113" customFormat="false" ht="15" hidden="false" customHeight="false" outlineLevel="0" collapsed="false">
      <c r="A113" s="61" t="s">
        <v>162</v>
      </c>
      <c r="B113" s="34" t="s">
        <v>411</v>
      </c>
      <c r="C113" s="34" t="s">
        <v>440</v>
      </c>
      <c r="D113" s="32" t="n">
        <v>1</v>
      </c>
      <c r="E113" s="32" t="s">
        <v>14</v>
      </c>
      <c r="F113" s="32" t="s">
        <v>373</v>
      </c>
      <c r="G113" s="34" t="s">
        <v>521</v>
      </c>
      <c r="H113" s="52" t="n">
        <f aca="false">IF($E113="Per class",$D113*COUNTIFS('Session Tracker'!$D$5:$D$149,$A113,'Session Tracker'!$F$5:$F$149,"Next week",'Session Tracker'!$G$5:$G$149,"Mon"),$D113*SUMIFS('Session Tracker'!$J$5:$J$149,'Session Tracker'!$D$5:$D$149,$A113,'Session Tracker'!$F$5:$F$149,"Next week",'Session Tracker'!$G$5:$G$149,"Mon"))</f>
        <v>0</v>
      </c>
      <c r="I113" s="52" t="n">
        <f aca="false">IF($E113="Per class",$D113*COUNTIFS('Session Tracker'!$D$5:$D$149,$A113,'Session Tracker'!$F$5:$F$149,"Next week",'Session Tracker'!$G$5:$G$149,"Tue"),$D113*SUMIFS('Session Tracker'!$J$5:$J$149,'Session Tracker'!$D$5:$D$149,$A113,'Session Tracker'!$F$5:$F$149,"Next week",'Session Tracker'!$G$5:$G$149,"Tue"))</f>
        <v>0</v>
      </c>
      <c r="J113" s="52" t="n">
        <f aca="false">IF($E113="Per class",$D113*COUNTIFS('Session Tracker'!$D$5:$D$149,$A113,'Session Tracker'!$F$5:$F$149,"Next week",'Session Tracker'!$G$5:$G$149,"Wed"),$D113*SUMIFS('Session Tracker'!$J$5:$J$149,'Session Tracker'!$D$5:$D$149,$A113,'Session Tracker'!$F$5:$F$149,"Next week",'Session Tracker'!$G$5:$G$149,"Wed"))</f>
        <v>0</v>
      </c>
      <c r="K113" s="52" t="n">
        <f aca="false">IF($E113="Per class",$D113*COUNTIFS('Session Tracker'!$D$5:$D$149,$A113,'Session Tracker'!$F$5:$F$149,"Next week",'Session Tracker'!$G$5:$G$149,"Thu"),$D113*SUMIFS('Session Tracker'!$J$5:$J$149,'Session Tracker'!$D$5:$D$149,$A113,'Session Tracker'!$F$5:$F$149,"Next week",'Session Tracker'!$G$5:$G$149,"Thu"))</f>
        <v>0</v>
      </c>
      <c r="L113" s="52" t="n">
        <f aca="false">IF($E113="Per class",$D113*COUNTIFS('Session Tracker'!$D$5:$D$149,$A113,'Session Tracker'!$F$5:$F$149,"Next week",'Session Tracker'!$G$5:$G$149,"Fri"),$D113*SUMIFS('Session Tracker'!$J$5:$J$149,'Session Tracker'!$D$5:$D$149,$A113,'Session Tracker'!$F$5:$F$149,"Next week",'Session Tracker'!$G$5:$G$149,"Fri"))</f>
        <v>0</v>
      </c>
      <c r="M113" s="52" t="n">
        <f aca="false">IF($E113="Per class",$D113*COUNTIFS('Session Tracker'!$D$5:$D$149,$A113,'Session Tracker'!$F$5:$F$149,"Next week",'Session Tracker'!$G$5:$G$149,""),$D113*SUMIFS('Session Tracker'!$J$5:$J$149,'Session Tracker'!$D$5:$D$149,$A113,'Session Tracker'!$F$5:$F$149,"Next week",'Session Tracker'!$G$5:$G$149,""))</f>
        <v>0</v>
      </c>
    </row>
    <row r="114" customFormat="false" ht="15" hidden="false" customHeight="false" outlineLevel="0" collapsed="false">
      <c r="A114" s="61" t="s">
        <v>162</v>
      </c>
      <c r="B114" s="34" t="s">
        <v>379</v>
      </c>
      <c r="C114" s="34" t="s">
        <v>380</v>
      </c>
      <c r="D114" s="32" t="n">
        <v>1</v>
      </c>
      <c r="E114" s="32" t="s">
        <v>14</v>
      </c>
      <c r="F114" s="32" t="s">
        <v>368</v>
      </c>
      <c r="G114" s="34"/>
      <c r="H114" s="52" t="n">
        <f aca="false">IF($E114="Per class",$D114*COUNTIFS('Session Tracker'!$D$5:$D$149,$A114,'Session Tracker'!$F$5:$F$149,"Next week",'Session Tracker'!$G$5:$G$149,"Mon"),$D114*SUMIFS('Session Tracker'!$J$5:$J$149,'Session Tracker'!$D$5:$D$149,$A114,'Session Tracker'!$F$5:$F$149,"Next week",'Session Tracker'!$G$5:$G$149,"Mon"))</f>
        <v>0</v>
      </c>
      <c r="I114" s="52" t="n">
        <f aca="false">IF($E114="Per class",$D114*COUNTIFS('Session Tracker'!$D$5:$D$149,$A114,'Session Tracker'!$F$5:$F$149,"Next week",'Session Tracker'!$G$5:$G$149,"Tue"),$D114*SUMIFS('Session Tracker'!$J$5:$J$149,'Session Tracker'!$D$5:$D$149,$A114,'Session Tracker'!$F$5:$F$149,"Next week",'Session Tracker'!$G$5:$G$149,"Tue"))</f>
        <v>0</v>
      </c>
      <c r="J114" s="52" t="n">
        <f aca="false">IF($E114="Per class",$D114*COUNTIFS('Session Tracker'!$D$5:$D$149,$A114,'Session Tracker'!$F$5:$F$149,"Next week",'Session Tracker'!$G$5:$G$149,"Wed"),$D114*SUMIFS('Session Tracker'!$J$5:$J$149,'Session Tracker'!$D$5:$D$149,$A114,'Session Tracker'!$F$5:$F$149,"Next week",'Session Tracker'!$G$5:$G$149,"Wed"))</f>
        <v>0</v>
      </c>
      <c r="K114" s="52" t="n">
        <f aca="false">IF($E114="Per class",$D114*COUNTIFS('Session Tracker'!$D$5:$D$149,$A114,'Session Tracker'!$F$5:$F$149,"Next week",'Session Tracker'!$G$5:$G$149,"Thu"),$D114*SUMIFS('Session Tracker'!$J$5:$J$149,'Session Tracker'!$D$5:$D$149,$A114,'Session Tracker'!$F$5:$F$149,"Next week",'Session Tracker'!$G$5:$G$149,"Thu"))</f>
        <v>0</v>
      </c>
      <c r="L114" s="52" t="n">
        <f aca="false">IF($E114="Per class",$D114*COUNTIFS('Session Tracker'!$D$5:$D$149,$A114,'Session Tracker'!$F$5:$F$149,"Next week",'Session Tracker'!$G$5:$G$149,"Fri"),$D114*SUMIFS('Session Tracker'!$J$5:$J$149,'Session Tracker'!$D$5:$D$149,$A114,'Session Tracker'!$F$5:$F$149,"Next week",'Session Tracker'!$G$5:$G$149,"Fri"))</f>
        <v>0</v>
      </c>
      <c r="M114" s="52" t="n">
        <f aca="false">IF($E114="Per class",$D114*COUNTIFS('Session Tracker'!$D$5:$D$149,$A114,'Session Tracker'!$F$5:$F$149,"Next week",'Session Tracker'!$G$5:$G$149,""),$D114*SUMIFS('Session Tracker'!$J$5:$J$149,'Session Tracker'!$D$5:$D$149,$A114,'Session Tracker'!$F$5:$F$149,"Next week",'Session Tracker'!$G$5:$G$149,""))</f>
        <v>0</v>
      </c>
    </row>
    <row r="115" customFormat="false" ht="15" hidden="false" customHeight="false" outlineLevel="0" collapsed="false">
      <c r="A115" s="61" t="s">
        <v>162</v>
      </c>
      <c r="B115" s="34" t="s">
        <v>379</v>
      </c>
      <c r="C115" s="34" t="s">
        <v>381</v>
      </c>
      <c r="D115" s="32" t="n">
        <v>14</v>
      </c>
      <c r="E115" s="32" t="s">
        <v>14</v>
      </c>
      <c r="F115" s="32" t="s">
        <v>368</v>
      </c>
      <c r="G115" s="34"/>
      <c r="H115" s="52" t="n">
        <f aca="false">IF($E115="Per class",$D115*COUNTIFS('Session Tracker'!$D$5:$D$149,$A115,'Session Tracker'!$F$5:$F$149,"Next week",'Session Tracker'!$G$5:$G$149,"Mon"),$D115*SUMIFS('Session Tracker'!$J$5:$J$149,'Session Tracker'!$D$5:$D$149,$A115,'Session Tracker'!$F$5:$F$149,"Next week",'Session Tracker'!$G$5:$G$149,"Mon"))</f>
        <v>0</v>
      </c>
      <c r="I115" s="52" t="n">
        <f aca="false">IF($E115="Per class",$D115*COUNTIFS('Session Tracker'!$D$5:$D$149,$A115,'Session Tracker'!$F$5:$F$149,"Next week",'Session Tracker'!$G$5:$G$149,"Tue"),$D115*SUMIFS('Session Tracker'!$J$5:$J$149,'Session Tracker'!$D$5:$D$149,$A115,'Session Tracker'!$F$5:$F$149,"Next week",'Session Tracker'!$G$5:$G$149,"Tue"))</f>
        <v>0</v>
      </c>
      <c r="J115" s="52" t="n">
        <f aca="false">IF($E115="Per class",$D115*COUNTIFS('Session Tracker'!$D$5:$D$149,$A115,'Session Tracker'!$F$5:$F$149,"Next week",'Session Tracker'!$G$5:$G$149,"Wed"),$D115*SUMIFS('Session Tracker'!$J$5:$J$149,'Session Tracker'!$D$5:$D$149,$A115,'Session Tracker'!$F$5:$F$149,"Next week",'Session Tracker'!$G$5:$G$149,"Wed"))</f>
        <v>0</v>
      </c>
      <c r="K115" s="52" t="n">
        <f aca="false">IF($E115="Per class",$D115*COUNTIFS('Session Tracker'!$D$5:$D$149,$A115,'Session Tracker'!$F$5:$F$149,"Next week",'Session Tracker'!$G$5:$G$149,"Thu"),$D115*SUMIFS('Session Tracker'!$J$5:$J$149,'Session Tracker'!$D$5:$D$149,$A115,'Session Tracker'!$F$5:$F$149,"Next week",'Session Tracker'!$G$5:$G$149,"Thu"))</f>
        <v>0</v>
      </c>
      <c r="L115" s="52" t="n">
        <f aca="false">IF($E115="Per class",$D115*COUNTIFS('Session Tracker'!$D$5:$D$149,$A115,'Session Tracker'!$F$5:$F$149,"Next week",'Session Tracker'!$G$5:$G$149,"Fri"),$D115*SUMIFS('Session Tracker'!$J$5:$J$149,'Session Tracker'!$D$5:$D$149,$A115,'Session Tracker'!$F$5:$F$149,"Next week",'Session Tracker'!$G$5:$G$149,"Fri"))</f>
        <v>0</v>
      </c>
      <c r="M115" s="52" t="n">
        <f aca="false">IF($E115="Per class",$D115*COUNTIFS('Session Tracker'!$D$5:$D$149,$A115,'Session Tracker'!$F$5:$F$149,"Next week",'Session Tracker'!$G$5:$G$149,""),$D115*SUMIFS('Session Tracker'!$J$5:$J$149,'Session Tracker'!$D$5:$D$149,$A115,'Session Tracker'!$F$5:$F$149,"Next week",'Session Tracker'!$G$5:$G$149,""))</f>
        <v>0</v>
      </c>
    </row>
    <row r="116" customFormat="false" ht="15" hidden="false" customHeight="false" outlineLevel="0" collapsed="false">
      <c r="A116" s="61" t="s">
        <v>162</v>
      </c>
      <c r="B116" s="34" t="s">
        <v>379</v>
      </c>
      <c r="C116" s="34" t="s">
        <v>395</v>
      </c>
      <c r="D116" s="32" t="n">
        <v>8</v>
      </c>
      <c r="E116" s="32" t="s">
        <v>14</v>
      </c>
      <c r="F116" s="32" t="s">
        <v>368</v>
      </c>
      <c r="G116" s="34"/>
      <c r="H116" s="52" t="n">
        <f aca="false">IF($E116="Per class",$D116*COUNTIFS('Session Tracker'!$D$5:$D$149,$A116,'Session Tracker'!$F$5:$F$149,"Next week",'Session Tracker'!$G$5:$G$149,"Mon"),$D116*SUMIFS('Session Tracker'!$J$5:$J$149,'Session Tracker'!$D$5:$D$149,$A116,'Session Tracker'!$F$5:$F$149,"Next week",'Session Tracker'!$G$5:$G$149,"Mon"))</f>
        <v>0</v>
      </c>
      <c r="I116" s="52" t="n">
        <f aca="false">IF($E116="Per class",$D116*COUNTIFS('Session Tracker'!$D$5:$D$149,$A116,'Session Tracker'!$F$5:$F$149,"Next week",'Session Tracker'!$G$5:$G$149,"Tue"),$D116*SUMIFS('Session Tracker'!$J$5:$J$149,'Session Tracker'!$D$5:$D$149,$A116,'Session Tracker'!$F$5:$F$149,"Next week",'Session Tracker'!$G$5:$G$149,"Tue"))</f>
        <v>0</v>
      </c>
      <c r="J116" s="52" t="n">
        <f aca="false">IF($E116="Per class",$D116*COUNTIFS('Session Tracker'!$D$5:$D$149,$A116,'Session Tracker'!$F$5:$F$149,"Next week",'Session Tracker'!$G$5:$G$149,"Wed"),$D116*SUMIFS('Session Tracker'!$J$5:$J$149,'Session Tracker'!$D$5:$D$149,$A116,'Session Tracker'!$F$5:$F$149,"Next week",'Session Tracker'!$G$5:$G$149,"Wed"))</f>
        <v>0</v>
      </c>
      <c r="K116" s="52" t="n">
        <f aca="false">IF($E116="Per class",$D116*COUNTIFS('Session Tracker'!$D$5:$D$149,$A116,'Session Tracker'!$F$5:$F$149,"Next week",'Session Tracker'!$G$5:$G$149,"Thu"),$D116*SUMIFS('Session Tracker'!$J$5:$J$149,'Session Tracker'!$D$5:$D$149,$A116,'Session Tracker'!$F$5:$F$149,"Next week",'Session Tracker'!$G$5:$G$149,"Thu"))</f>
        <v>0</v>
      </c>
      <c r="L116" s="52" t="n">
        <f aca="false">IF($E116="Per class",$D116*COUNTIFS('Session Tracker'!$D$5:$D$149,$A116,'Session Tracker'!$F$5:$F$149,"Next week",'Session Tracker'!$G$5:$G$149,"Fri"),$D116*SUMIFS('Session Tracker'!$J$5:$J$149,'Session Tracker'!$D$5:$D$149,$A116,'Session Tracker'!$F$5:$F$149,"Next week",'Session Tracker'!$G$5:$G$149,"Fri"))</f>
        <v>0</v>
      </c>
      <c r="M116" s="52" t="n">
        <f aca="false">IF($E116="Per class",$D116*COUNTIFS('Session Tracker'!$D$5:$D$149,$A116,'Session Tracker'!$F$5:$F$149,"Next week",'Session Tracker'!$G$5:$G$149,""),$D116*SUMIFS('Session Tracker'!$J$5:$J$149,'Session Tracker'!$D$5:$D$149,$A116,'Session Tracker'!$F$5:$F$149,"Next week",'Session Tracker'!$G$5:$G$149,""))</f>
        <v>0</v>
      </c>
    </row>
    <row r="117" customFormat="false" ht="15" hidden="false" customHeight="false" outlineLevel="0" collapsed="false">
      <c r="A117" s="61" t="s">
        <v>162</v>
      </c>
      <c r="B117" s="34" t="s">
        <v>382</v>
      </c>
      <c r="C117" s="34" t="s">
        <v>383</v>
      </c>
      <c r="D117" s="32" t="n">
        <v>1</v>
      </c>
      <c r="E117" s="32" t="s">
        <v>14</v>
      </c>
      <c r="F117" s="32" t="s">
        <v>368</v>
      </c>
      <c r="G117" s="34"/>
      <c r="H117" s="52" t="n">
        <f aca="false">IF($E117="Per class",$D117*COUNTIFS('Session Tracker'!$D$5:$D$149,$A117,'Session Tracker'!$F$5:$F$149,"Next week",'Session Tracker'!$G$5:$G$149,"Mon"),$D117*SUMIFS('Session Tracker'!$J$5:$J$149,'Session Tracker'!$D$5:$D$149,$A117,'Session Tracker'!$F$5:$F$149,"Next week",'Session Tracker'!$G$5:$G$149,"Mon"))</f>
        <v>0</v>
      </c>
      <c r="I117" s="52" t="n">
        <f aca="false">IF($E117="Per class",$D117*COUNTIFS('Session Tracker'!$D$5:$D$149,$A117,'Session Tracker'!$F$5:$F$149,"Next week",'Session Tracker'!$G$5:$G$149,"Tue"),$D117*SUMIFS('Session Tracker'!$J$5:$J$149,'Session Tracker'!$D$5:$D$149,$A117,'Session Tracker'!$F$5:$F$149,"Next week",'Session Tracker'!$G$5:$G$149,"Tue"))</f>
        <v>0</v>
      </c>
      <c r="J117" s="52" t="n">
        <f aca="false">IF($E117="Per class",$D117*COUNTIFS('Session Tracker'!$D$5:$D$149,$A117,'Session Tracker'!$F$5:$F$149,"Next week",'Session Tracker'!$G$5:$G$149,"Wed"),$D117*SUMIFS('Session Tracker'!$J$5:$J$149,'Session Tracker'!$D$5:$D$149,$A117,'Session Tracker'!$F$5:$F$149,"Next week",'Session Tracker'!$G$5:$G$149,"Wed"))</f>
        <v>0</v>
      </c>
      <c r="K117" s="52" t="n">
        <f aca="false">IF($E117="Per class",$D117*COUNTIFS('Session Tracker'!$D$5:$D$149,$A117,'Session Tracker'!$F$5:$F$149,"Next week",'Session Tracker'!$G$5:$G$149,"Thu"),$D117*SUMIFS('Session Tracker'!$J$5:$J$149,'Session Tracker'!$D$5:$D$149,$A117,'Session Tracker'!$F$5:$F$149,"Next week",'Session Tracker'!$G$5:$G$149,"Thu"))</f>
        <v>0</v>
      </c>
      <c r="L117" s="52" t="n">
        <f aca="false">IF($E117="Per class",$D117*COUNTIFS('Session Tracker'!$D$5:$D$149,$A117,'Session Tracker'!$F$5:$F$149,"Next week",'Session Tracker'!$G$5:$G$149,"Fri"),$D117*SUMIFS('Session Tracker'!$J$5:$J$149,'Session Tracker'!$D$5:$D$149,$A117,'Session Tracker'!$F$5:$F$149,"Next week",'Session Tracker'!$G$5:$G$149,"Fri"))</f>
        <v>0</v>
      </c>
      <c r="M117" s="52" t="n">
        <f aca="false">IF($E117="Per class",$D117*COUNTIFS('Session Tracker'!$D$5:$D$149,$A117,'Session Tracker'!$F$5:$F$149,"Next week",'Session Tracker'!$G$5:$G$149,""),$D117*SUMIFS('Session Tracker'!$J$5:$J$149,'Session Tracker'!$D$5:$D$149,$A117,'Session Tracker'!$F$5:$F$149,"Next week",'Session Tracker'!$G$5:$G$149,""))</f>
        <v>0</v>
      </c>
    </row>
    <row r="118" customFormat="false" ht="15" hidden="false" customHeight="false" outlineLevel="0" collapsed="false">
      <c r="A118" s="61" t="s">
        <v>162</v>
      </c>
      <c r="B118" s="34" t="s">
        <v>377</v>
      </c>
      <c r="C118" s="34" t="s">
        <v>378</v>
      </c>
      <c r="D118" s="32" t="n">
        <v>1</v>
      </c>
      <c r="E118" s="32" t="s">
        <v>14</v>
      </c>
      <c r="F118" s="32" t="s">
        <v>368</v>
      </c>
      <c r="G118" s="34" t="s">
        <v>389</v>
      </c>
      <c r="H118" s="52" t="n">
        <f aca="false">IF($E118="Per class",$D118*COUNTIFS('Session Tracker'!$D$5:$D$149,$A118,'Session Tracker'!$F$5:$F$149,"Next week",'Session Tracker'!$G$5:$G$149,"Mon"),$D118*SUMIFS('Session Tracker'!$J$5:$J$149,'Session Tracker'!$D$5:$D$149,$A118,'Session Tracker'!$F$5:$F$149,"Next week",'Session Tracker'!$G$5:$G$149,"Mon"))</f>
        <v>0</v>
      </c>
      <c r="I118" s="52" t="n">
        <f aca="false">IF($E118="Per class",$D118*COUNTIFS('Session Tracker'!$D$5:$D$149,$A118,'Session Tracker'!$F$5:$F$149,"Next week",'Session Tracker'!$G$5:$G$149,"Tue"),$D118*SUMIFS('Session Tracker'!$J$5:$J$149,'Session Tracker'!$D$5:$D$149,$A118,'Session Tracker'!$F$5:$F$149,"Next week",'Session Tracker'!$G$5:$G$149,"Tue"))</f>
        <v>0</v>
      </c>
      <c r="J118" s="52" t="n">
        <f aca="false">IF($E118="Per class",$D118*COUNTIFS('Session Tracker'!$D$5:$D$149,$A118,'Session Tracker'!$F$5:$F$149,"Next week",'Session Tracker'!$G$5:$G$149,"Wed"),$D118*SUMIFS('Session Tracker'!$J$5:$J$149,'Session Tracker'!$D$5:$D$149,$A118,'Session Tracker'!$F$5:$F$149,"Next week",'Session Tracker'!$G$5:$G$149,"Wed"))</f>
        <v>0</v>
      </c>
      <c r="K118" s="52" t="n">
        <f aca="false">IF($E118="Per class",$D118*COUNTIFS('Session Tracker'!$D$5:$D$149,$A118,'Session Tracker'!$F$5:$F$149,"Next week",'Session Tracker'!$G$5:$G$149,"Thu"),$D118*SUMIFS('Session Tracker'!$J$5:$J$149,'Session Tracker'!$D$5:$D$149,$A118,'Session Tracker'!$F$5:$F$149,"Next week",'Session Tracker'!$G$5:$G$149,"Thu"))</f>
        <v>0</v>
      </c>
      <c r="L118" s="52" t="n">
        <f aca="false">IF($E118="Per class",$D118*COUNTIFS('Session Tracker'!$D$5:$D$149,$A118,'Session Tracker'!$F$5:$F$149,"Next week",'Session Tracker'!$G$5:$G$149,"Fri"),$D118*SUMIFS('Session Tracker'!$J$5:$J$149,'Session Tracker'!$D$5:$D$149,$A118,'Session Tracker'!$F$5:$F$149,"Next week",'Session Tracker'!$G$5:$G$149,"Fri"))</f>
        <v>0</v>
      </c>
      <c r="M118" s="52" t="n">
        <f aca="false">IF($E118="Per class",$D118*COUNTIFS('Session Tracker'!$D$5:$D$149,$A118,'Session Tracker'!$F$5:$F$149,"Next week",'Session Tracker'!$G$5:$G$149,""),$D118*SUMIFS('Session Tracker'!$J$5:$J$149,'Session Tracker'!$D$5:$D$149,$A118,'Session Tracker'!$F$5:$F$149,"Next week",'Session Tracker'!$G$5:$G$149,""))</f>
        <v>0</v>
      </c>
    </row>
    <row r="119" customFormat="false" ht="15" hidden="false" customHeight="false" outlineLevel="0" collapsed="false">
      <c r="A119" s="53" t="s">
        <v>162</v>
      </c>
      <c r="B119" s="54"/>
      <c r="C119" s="54"/>
      <c r="D119" s="54"/>
      <c r="E119" s="54"/>
      <c r="F119" s="54"/>
      <c r="G119" s="54"/>
      <c r="H119" s="52" t="n">
        <f aca="false">IF($E119="Per class",$D119*COUNTIFS('Session Tracker'!$D$5:$D$149,$A119,'Session Tracker'!$F$5:$F$149,"Next week",'Session Tracker'!$G$5:$G$149,"Mon"),$D119*SUMIFS('Session Tracker'!$J$5:$J$149,'Session Tracker'!$D$5:$D$149,$A119,'Session Tracker'!$F$5:$F$149,"Next week",'Session Tracker'!$G$5:$G$149,"Mon"))</f>
        <v>0</v>
      </c>
      <c r="I119" s="52" t="n">
        <f aca="false">IF($E119="Per class",$D119*COUNTIFS('Session Tracker'!$D$5:$D$149,$A119,'Session Tracker'!$F$5:$F$149,"Next week",'Session Tracker'!$G$5:$G$149,"Tue"),$D119*SUMIFS('Session Tracker'!$J$5:$J$149,'Session Tracker'!$D$5:$D$149,$A119,'Session Tracker'!$F$5:$F$149,"Next week",'Session Tracker'!$G$5:$G$149,"Tue"))</f>
        <v>0</v>
      </c>
      <c r="J119" s="52" t="n">
        <f aca="false">IF($E119="Per class",$D119*COUNTIFS('Session Tracker'!$D$5:$D$149,$A119,'Session Tracker'!$F$5:$F$149,"Next week",'Session Tracker'!$G$5:$G$149,"Wed"),$D119*SUMIFS('Session Tracker'!$J$5:$J$149,'Session Tracker'!$D$5:$D$149,$A119,'Session Tracker'!$F$5:$F$149,"Next week",'Session Tracker'!$G$5:$G$149,"Wed"))</f>
        <v>0</v>
      </c>
      <c r="K119" s="52" t="n">
        <f aca="false">IF($E119="Per class",$D119*COUNTIFS('Session Tracker'!$D$5:$D$149,$A119,'Session Tracker'!$F$5:$F$149,"Next week",'Session Tracker'!$G$5:$G$149,"Thu"),$D119*SUMIFS('Session Tracker'!$J$5:$J$149,'Session Tracker'!$D$5:$D$149,$A119,'Session Tracker'!$F$5:$F$149,"Next week",'Session Tracker'!$G$5:$G$149,"Thu"))</f>
        <v>0</v>
      </c>
      <c r="L119" s="52" t="n">
        <f aca="false">IF($E119="Per class",$D119*COUNTIFS('Session Tracker'!$D$5:$D$149,$A119,'Session Tracker'!$F$5:$F$149,"Next week",'Session Tracker'!$G$5:$G$149,"Fri"),$D119*SUMIFS('Session Tracker'!$J$5:$J$149,'Session Tracker'!$D$5:$D$149,$A119,'Session Tracker'!$F$5:$F$149,"Next week",'Session Tracker'!$G$5:$G$149,"Fri"))</f>
        <v>0</v>
      </c>
      <c r="M119" s="52" t="n">
        <f aca="false">IF($E119="Per class",$D119*COUNTIFS('Session Tracker'!$D$5:$D$149,$A119,'Session Tracker'!$F$5:$F$149,"Next week",'Session Tracker'!$G$5:$G$149,""),$D119*SUMIFS('Session Tracker'!$J$5:$J$149,'Session Tracker'!$D$5:$D$149,$A119,'Session Tracker'!$F$5:$F$149,"Next week",'Session Tracker'!$G$5:$G$149,""))</f>
        <v>0</v>
      </c>
    </row>
    <row r="120" customFormat="false" ht="15" hidden="false" customHeight="false" outlineLevel="0" collapsed="false">
      <c r="A120" s="53" t="s">
        <v>162</v>
      </c>
      <c r="B120" s="54"/>
      <c r="C120" s="54"/>
      <c r="D120" s="54"/>
      <c r="E120" s="54"/>
      <c r="F120" s="54"/>
      <c r="G120" s="54"/>
      <c r="H120" s="52" t="n">
        <f aca="false">IF($E120="Per class",$D120*COUNTIFS('Session Tracker'!$D$5:$D$149,$A120,'Session Tracker'!$F$5:$F$149,"Next week",'Session Tracker'!$G$5:$G$149,"Mon"),$D120*SUMIFS('Session Tracker'!$J$5:$J$149,'Session Tracker'!$D$5:$D$149,$A120,'Session Tracker'!$F$5:$F$149,"Next week",'Session Tracker'!$G$5:$G$149,"Mon"))</f>
        <v>0</v>
      </c>
      <c r="I120" s="52" t="n">
        <f aca="false">IF($E120="Per class",$D120*COUNTIFS('Session Tracker'!$D$5:$D$149,$A120,'Session Tracker'!$F$5:$F$149,"Next week",'Session Tracker'!$G$5:$G$149,"Tue"),$D120*SUMIFS('Session Tracker'!$J$5:$J$149,'Session Tracker'!$D$5:$D$149,$A120,'Session Tracker'!$F$5:$F$149,"Next week",'Session Tracker'!$G$5:$G$149,"Tue"))</f>
        <v>0</v>
      </c>
      <c r="J120" s="52" t="n">
        <f aca="false">IF($E120="Per class",$D120*COUNTIFS('Session Tracker'!$D$5:$D$149,$A120,'Session Tracker'!$F$5:$F$149,"Next week",'Session Tracker'!$G$5:$G$149,"Wed"),$D120*SUMIFS('Session Tracker'!$J$5:$J$149,'Session Tracker'!$D$5:$D$149,$A120,'Session Tracker'!$F$5:$F$149,"Next week",'Session Tracker'!$G$5:$G$149,"Wed"))</f>
        <v>0</v>
      </c>
      <c r="K120" s="52" t="n">
        <f aca="false">IF($E120="Per class",$D120*COUNTIFS('Session Tracker'!$D$5:$D$149,$A120,'Session Tracker'!$F$5:$F$149,"Next week",'Session Tracker'!$G$5:$G$149,"Thu"),$D120*SUMIFS('Session Tracker'!$J$5:$J$149,'Session Tracker'!$D$5:$D$149,$A120,'Session Tracker'!$F$5:$F$149,"Next week",'Session Tracker'!$G$5:$G$149,"Thu"))</f>
        <v>0</v>
      </c>
      <c r="L120" s="52" t="n">
        <f aca="false">IF($E120="Per class",$D120*COUNTIFS('Session Tracker'!$D$5:$D$149,$A120,'Session Tracker'!$F$5:$F$149,"Next week",'Session Tracker'!$G$5:$G$149,"Fri"),$D120*SUMIFS('Session Tracker'!$J$5:$J$149,'Session Tracker'!$D$5:$D$149,$A120,'Session Tracker'!$F$5:$F$149,"Next week",'Session Tracker'!$G$5:$G$149,"Fri"))</f>
        <v>0</v>
      </c>
      <c r="M120" s="52" t="n">
        <f aca="false">IF($E120="Per class",$D120*COUNTIFS('Session Tracker'!$D$5:$D$149,$A120,'Session Tracker'!$F$5:$F$149,"Next week",'Session Tracker'!$G$5:$G$149,""),$D120*SUMIFS('Session Tracker'!$J$5:$J$149,'Session Tracker'!$D$5:$D$149,$A120,'Session Tracker'!$F$5:$F$149,"Next week",'Session Tracker'!$G$5:$G$149,""))</f>
        <v>0</v>
      </c>
    </row>
    <row r="122" customFormat="false" ht="19.5" hidden="false" customHeight="true" outlineLevel="0" collapsed="false">
      <c r="A122" s="57" t="s">
        <v>164</v>
      </c>
      <c r="B122" s="58" t="s">
        <v>522</v>
      </c>
      <c r="C122" s="58"/>
      <c r="D122" s="58"/>
      <c r="E122" s="58"/>
      <c r="F122" s="59" t="str">
        <f aca="false">"Status: "&amp;'Session Tracker'!F50&amp;IF('Session Tracker'!G50&lt;&gt;""," ("&amp;'Session Tracker'!G50&amp;")","")</f>
        <v>Status: Not started</v>
      </c>
      <c r="G122" s="59"/>
      <c r="H122" s="60"/>
      <c r="I122" s="60"/>
      <c r="J122" s="60"/>
      <c r="K122" s="60"/>
      <c r="L122" s="60"/>
      <c r="M122" s="60"/>
    </row>
    <row r="123" customFormat="false" ht="23.85" hidden="false" customHeight="false" outlineLevel="0" collapsed="false">
      <c r="A123" s="61" t="s">
        <v>164</v>
      </c>
      <c r="B123" s="34" t="s">
        <v>366</v>
      </c>
      <c r="C123" s="34" t="s">
        <v>367</v>
      </c>
      <c r="D123" s="32" t="n">
        <v>1</v>
      </c>
      <c r="E123" s="32" t="s">
        <v>14</v>
      </c>
      <c r="F123" s="32" t="s">
        <v>368</v>
      </c>
      <c r="G123" s="34"/>
      <c r="H123" s="52" t="n">
        <f aca="false">IF($E123="Per class",$D123*COUNTIFS('Session Tracker'!$D$5:$D$149,$A123,'Session Tracker'!$F$5:$F$149,"Next week",'Session Tracker'!$G$5:$G$149,"Mon"),$D123*SUMIFS('Session Tracker'!$J$5:$J$149,'Session Tracker'!$D$5:$D$149,$A123,'Session Tracker'!$F$5:$F$149,"Next week",'Session Tracker'!$G$5:$G$149,"Mon"))</f>
        <v>0</v>
      </c>
      <c r="I123" s="52" t="n">
        <f aca="false">IF($E123="Per class",$D123*COUNTIFS('Session Tracker'!$D$5:$D$149,$A123,'Session Tracker'!$F$5:$F$149,"Next week",'Session Tracker'!$G$5:$G$149,"Tue"),$D123*SUMIFS('Session Tracker'!$J$5:$J$149,'Session Tracker'!$D$5:$D$149,$A123,'Session Tracker'!$F$5:$F$149,"Next week",'Session Tracker'!$G$5:$G$149,"Tue"))</f>
        <v>0</v>
      </c>
      <c r="J123" s="52" t="n">
        <f aca="false">IF($E123="Per class",$D123*COUNTIFS('Session Tracker'!$D$5:$D$149,$A123,'Session Tracker'!$F$5:$F$149,"Next week",'Session Tracker'!$G$5:$G$149,"Wed"),$D123*SUMIFS('Session Tracker'!$J$5:$J$149,'Session Tracker'!$D$5:$D$149,$A123,'Session Tracker'!$F$5:$F$149,"Next week",'Session Tracker'!$G$5:$G$149,"Wed"))</f>
        <v>0</v>
      </c>
      <c r="K123" s="52" t="n">
        <f aca="false">IF($E123="Per class",$D123*COUNTIFS('Session Tracker'!$D$5:$D$149,$A123,'Session Tracker'!$F$5:$F$149,"Next week",'Session Tracker'!$G$5:$G$149,"Thu"),$D123*SUMIFS('Session Tracker'!$J$5:$J$149,'Session Tracker'!$D$5:$D$149,$A123,'Session Tracker'!$F$5:$F$149,"Next week",'Session Tracker'!$G$5:$G$149,"Thu"))</f>
        <v>0</v>
      </c>
      <c r="L123" s="52" t="n">
        <f aca="false">IF($E123="Per class",$D123*COUNTIFS('Session Tracker'!$D$5:$D$149,$A123,'Session Tracker'!$F$5:$F$149,"Next week",'Session Tracker'!$G$5:$G$149,"Fri"),$D123*SUMIFS('Session Tracker'!$J$5:$J$149,'Session Tracker'!$D$5:$D$149,$A123,'Session Tracker'!$F$5:$F$149,"Next week",'Session Tracker'!$G$5:$G$149,"Fri"))</f>
        <v>0</v>
      </c>
      <c r="M123" s="52" t="n">
        <f aca="false">IF($E123="Per class",$D123*COUNTIFS('Session Tracker'!$D$5:$D$149,$A123,'Session Tracker'!$F$5:$F$149,"Next week",'Session Tracker'!$G$5:$G$149,""),$D123*SUMIFS('Session Tracker'!$J$5:$J$149,'Session Tracker'!$D$5:$D$149,$A123,'Session Tracker'!$F$5:$F$149,"Next week",'Session Tracker'!$G$5:$G$149,""))</f>
        <v>0</v>
      </c>
    </row>
    <row r="124" customFormat="false" ht="15" hidden="false" customHeight="false" outlineLevel="0" collapsed="false">
      <c r="A124" s="61" t="s">
        <v>164</v>
      </c>
      <c r="B124" s="34" t="s">
        <v>369</v>
      </c>
      <c r="C124" s="34" t="s">
        <v>523</v>
      </c>
      <c r="D124" s="32" t="n">
        <v>1</v>
      </c>
      <c r="E124" s="32" t="s">
        <v>14</v>
      </c>
      <c r="F124" s="32" t="s">
        <v>368</v>
      </c>
      <c r="G124" s="34"/>
      <c r="H124" s="52" t="n">
        <f aca="false">IF($E124="Per class",$D124*COUNTIFS('Session Tracker'!$D$5:$D$149,$A124,'Session Tracker'!$F$5:$F$149,"Next week",'Session Tracker'!$G$5:$G$149,"Mon"),$D124*SUMIFS('Session Tracker'!$J$5:$J$149,'Session Tracker'!$D$5:$D$149,$A124,'Session Tracker'!$F$5:$F$149,"Next week",'Session Tracker'!$G$5:$G$149,"Mon"))</f>
        <v>0</v>
      </c>
      <c r="I124" s="52" t="n">
        <f aca="false">IF($E124="Per class",$D124*COUNTIFS('Session Tracker'!$D$5:$D$149,$A124,'Session Tracker'!$F$5:$F$149,"Next week",'Session Tracker'!$G$5:$G$149,"Tue"),$D124*SUMIFS('Session Tracker'!$J$5:$J$149,'Session Tracker'!$D$5:$D$149,$A124,'Session Tracker'!$F$5:$F$149,"Next week",'Session Tracker'!$G$5:$G$149,"Tue"))</f>
        <v>0</v>
      </c>
      <c r="J124" s="52" t="n">
        <f aca="false">IF($E124="Per class",$D124*COUNTIFS('Session Tracker'!$D$5:$D$149,$A124,'Session Tracker'!$F$5:$F$149,"Next week",'Session Tracker'!$G$5:$G$149,"Wed"),$D124*SUMIFS('Session Tracker'!$J$5:$J$149,'Session Tracker'!$D$5:$D$149,$A124,'Session Tracker'!$F$5:$F$149,"Next week",'Session Tracker'!$G$5:$G$149,"Wed"))</f>
        <v>0</v>
      </c>
      <c r="K124" s="52" t="n">
        <f aca="false">IF($E124="Per class",$D124*COUNTIFS('Session Tracker'!$D$5:$D$149,$A124,'Session Tracker'!$F$5:$F$149,"Next week",'Session Tracker'!$G$5:$G$149,"Thu"),$D124*SUMIFS('Session Tracker'!$J$5:$J$149,'Session Tracker'!$D$5:$D$149,$A124,'Session Tracker'!$F$5:$F$149,"Next week",'Session Tracker'!$G$5:$G$149,"Thu"))</f>
        <v>0</v>
      </c>
      <c r="L124" s="52" t="n">
        <f aca="false">IF($E124="Per class",$D124*COUNTIFS('Session Tracker'!$D$5:$D$149,$A124,'Session Tracker'!$F$5:$F$149,"Next week",'Session Tracker'!$G$5:$G$149,"Fri"),$D124*SUMIFS('Session Tracker'!$J$5:$J$149,'Session Tracker'!$D$5:$D$149,$A124,'Session Tracker'!$F$5:$F$149,"Next week",'Session Tracker'!$G$5:$G$149,"Fri"))</f>
        <v>0</v>
      </c>
      <c r="M124" s="52" t="n">
        <f aca="false">IF($E124="Per class",$D124*COUNTIFS('Session Tracker'!$D$5:$D$149,$A124,'Session Tracker'!$F$5:$F$149,"Next week",'Session Tracker'!$G$5:$G$149,""),$D124*SUMIFS('Session Tracker'!$J$5:$J$149,'Session Tracker'!$D$5:$D$149,$A124,'Session Tracker'!$F$5:$F$149,"Next week",'Session Tracker'!$G$5:$G$149,""))</f>
        <v>0</v>
      </c>
    </row>
    <row r="125" customFormat="false" ht="15" hidden="false" customHeight="false" outlineLevel="0" collapsed="false">
      <c r="A125" s="61" t="s">
        <v>164</v>
      </c>
      <c r="B125" s="34" t="s">
        <v>377</v>
      </c>
      <c r="C125" s="34" t="s">
        <v>439</v>
      </c>
      <c r="D125" s="32" t="n">
        <v>1</v>
      </c>
      <c r="E125" s="32" t="s">
        <v>14</v>
      </c>
      <c r="F125" s="32" t="s">
        <v>368</v>
      </c>
      <c r="G125" s="34"/>
      <c r="H125" s="52" t="n">
        <f aca="false">IF($E125="Per class",$D125*COUNTIFS('Session Tracker'!$D$5:$D$149,$A125,'Session Tracker'!$F$5:$F$149,"Next week",'Session Tracker'!$G$5:$G$149,"Mon"),$D125*SUMIFS('Session Tracker'!$J$5:$J$149,'Session Tracker'!$D$5:$D$149,$A125,'Session Tracker'!$F$5:$F$149,"Next week",'Session Tracker'!$G$5:$G$149,"Mon"))</f>
        <v>0</v>
      </c>
      <c r="I125" s="52" t="n">
        <f aca="false">IF($E125="Per class",$D125*COUNTIFS('Session Tracker'!$D$5:$D$149,$A125,'Session Tracker'!$F$5:$F$149,"Next week",'Session Tracker'!$G$5:$G$149,"Tue"),$D125*SUMIFS('Session Tracker'!$J$5:$J$149,'Session Tracker'!$D$5:$D$149,$A125,'Session Tracker'!$F$5:$F$149,"Next week",'Session Tracker'!$G$5:$G$149,"Tue"))</f>
        <v>0</v>
      </c>
      <c r="J125" s="52" t="n">
        <f aca="false">IF($E125="Per class",$D125*COUNTIFS('Session Tracker'!$D$5:$D$149,$A125,'Session Tracker'!$F$5:$F$149,"Next week",'Session Tracker'!$G$5:$G$149,"Wed"),$D125*SUMIFS('Session Tracker'!$J$5:$J$149,'Session Tracker'!$D$5:$D$149,$A125,'Session Tracker'!$F$5:$F$149,"Next week",'Session Tracker'!$G$5:$G$149,"Wed"))</f>
        <v>0</v>
      </c>
      <c r="K125" s="52" t="n">
        <f aca="false">IF($E125="Per class",$D125*COUNTIFS('Session Tracker'!$D$5:$D$149,$A125,'Session Tracker'!$F$5:$F$149,"Next week",'Session Tracker'!$G$5:$G$149,"Thu"),$D125*SUMIFS('Session Tracker'!$J$5:$J$149,'Session Tracker'!$D$5:$D$149,$A125,'Session Tracker'!$F$5:$F$149,"Next week",'Session Tracker'!$G$5:$G$149,"Thu"))</f>
        <v>0</v>
      </c>
      <c r="L125" s="52" t="n">
        <f aca="false">IF($E125="Per class",$D125*COUNTIFS('Session Tracker'!$D$5:$D$149,$A125,'Session Tracker'!$F$5:$F$149,"Next week",'Session Tracker'!$G$5:$G$149,"Fri"),$D125*SUMIFS('Session Tracker'!$J$5:$J$149,'Session Tracker'!$D$5:$D$149,$A125,'Session Tracker'!$F$5:$F$149,"Next week",'Session Tracker'!$G$5:$G$149,"Fri"))</f>
        <v>0</v>
      </c>
      <c r="M125" s="52" t="n">
        <f aca="false">IF($E125="Per class",$D125*COUNTIFS('Session Tracker'!$D$5:$D$149,$A125,'Session Tracker'!$F$5:$F$149,"Next week",'Session Tracker'!$G$5:$G$149,""),$D125*SUMIFS('Session Tracker'!$J$5:$J$149,'Session Tracker'!$D$5:$D$149,$A125,'Session Tracker'!$F$5:$F$149,"Next week",'Session Tracker'!$G$5:$G$149,""))</f>
        <v>0</v>
      </c>
    </row>
    <row r="126" customFormat="false" ht="15" hidden="false" customHeight="false" outlineLevel="0" collapsed="false">
      <c r="A126" s="61" t="s">
        <v>164</v>
      </c>
      <c r="B126" s="34" t="s">
        <v>377</v>
      </c>
      <c r="C126" s="34" t="s">
        <v>378</v>
      </c>
      <c r="D126" s="32" t="n">
        <v>1</v>
      </c>
      <c r="E126" s="32" t="s">
        <v>14</v>
      </c>
      <c r="F126" s="32" t="s">
        <v>368</v>
      </c>
      <c r="G126" s="34"/>
      <c r="H126" s="52" t="n">
        <f aca="false">IF($E126="Per class",$D126*COUNTIFS('Session Tracker'!$D$5:$D$149,$A126,'Session Tracker'!$F$5:$F$149,"Next week",'Session Tracker'!$G$5:$G$149,"Mon"),$D126*SUMIFS('Session Tracker'!$J$5:$J$149,'Session Tracker'!$D$5:$D$149,$A126,'Session Tracker'!$F$5:$F$149,"Next week",'Session Tracker'!$G$5:$G$149,"Mon"))</f>
        <v>0</v>
      </c>
      <c r="I126" s="52" t="n">
        <f aca="false">IF($E126="Per class",$D126*COUNTIFS('Session Tracker'!$D$5:$D$149,$A126,'Session Tracker'!$F$5:$F$149,"Next week",'Session Tracker'!$G$5:$G$149,"Tue"),$D126*SUMIFS('Session Tracker'!$J$5:$J$149,'Session Tracker'!$D$5:$D$149,$A126,'Session Tracker'!$F$5:$F$149,"Next week",'Session Tracker'!$G$5:$G$149,"Tue"))</f>
        <v>0</v>
      </c>
      <c r="J126" s="52" t="n">
        <f aca="false">IF($E126="Per class",$D126*COUNTIFS('Session Tracker'!$D$5:$D$149,$A126,'Session Tracker'!$F$5:$F$149,"Next week",'Session Tracker'!$G$5:$G$149,"Wed"),$D126*SUMIFS('Session Tracker'!$J$5:$J$149,'Session Tracker'!$D$5:$D$149,$A126,'Session Tracker'!$F$5:$F$149,"Next week",'Session Tracker'!$G$5:$G$149,"Wed"))</f>
        <v>0</v>
      </c>
      <c r="K126" s="52" t="n">
        <f aca="false">IF($E126="Per class",$D126*COUNTIFS('Session Tracker'!$D$5:$D$149,$A126,'Session Tracker'!$F$5:$F$149,"Next week",'Session Tracker'!$G$5:$G$149,"Thu"),$D126*SUMIFS('Session Tracker'!$J$5:$J$149,'Session Tracker'!$D$5:$D$149,$A126,'Session Tracker'!$F$5:$F$149,"Next week",'Session Tracker'!$G$5:$G$149,"Thu"))</f>
        <v>0</v>
      </c>
      <c r="L126" s="52" t="n">
        <f aca="false">IF($E126="Per class",$D126*COUNTIFS('Session Tracker'!$D$5:$D$149,$A126,'Session Tracker'!$F$5:$F$149,"Next week",'Session Tracker'!$G$5:$G$149,"Fri"),$D126*SUMIFS('Session Tracker'!$J$5:$J$149,'Session Tracker'!$D$5:$D$149,$A126,'Session Tracker'!$F$5:$F$149,"Next week",'Session Tracker'!$G$5:$G$149,"Fri"))</f>
        <v>0</v>
      </c>
      <c r="M126" s="52" t="n">
        <f aca="false">IF($E126="Per class",$D126*COUNTIFS('Session Tracker'!$D$5:$D$149,$A126,'Session Tracker'!$F$5:$F$149,"Next week",'Session Tracker'!$G$5:$G$149,""),$D126*SUMIFS('Session Tracker'!$J$5:$J$149,'Session Tracker'!$D$5:$D$149,$A126,'Session Tracker'!$F$5:$F$149,"Next week",'Session Tracker'!$G$5:$G$149,""))</f>
        <v>0</v>
      </c>
    </row>
    <row r="127" customFormat="false" ht="15" hidden="false" customHeight="false" outlineLevel="0" collapsed="false">
      <c r="A127" s="61" t="s">
        <v>164</v>
      </c>
      <c r="B127" s="34" t="s">
        <v>371</v>
      </c>
      <c r="C127" s="34" t="s">
        <v>372</v>
      </c>
      <c r="D127" s="32" t="n">
        <v>1</v>
      </c>
      <c r="E127" s="32" t="s">
        <v>14</v>
      </c>
      <c r="F127" s="32" t="s">
        <v>373</v>
      </c>
      <c r="G127" s="34"/>
      <c r="H127" s="52" t="n">
        <f aca="false">IF($E127="Per class",$D127*COUNTIFS('Session Tracker'!$D$5:$D$149,$A127,'Session Tracker'!$F$5:$F$149,"Next week",'Session Tracker'!$G$5:$G$149,"Mon"),$D127*SUMIFS('Session Tracker'!$J$5:$J$149,'Session Tracker'!$D$5:$D$149,$A127,'Session Tracker'!$F$5:$F$149,"Next week",'Session Tracker'!$G$5:$G$149,"Mon"))</f>
        <v>0</v>
      </c>
      <c r="I127" s="52" t="n">
        <f aca="false">IF($E127="Per class",$D127*COUNTIFS('Session Tracker'!$D$5:$D$149,$A127,'Session Tracker'!$F$5:$F$149,"Next week",'Session Tracker'!$G$5:$G$149,"Tue"),$D127*SUMIFS('Session Tracker'!$J$5:$J$149,'Session Tracker'!$D$5:$D$149,$A127,'Session Tracker'!$F$5:$F$149,"Next week",'Session Tracker'!$G$5:$G$149,"Tue"))</f>
        <v>0</v>
      </c>
      <c r="J127" s="52" t="n">
        <f aca="false">IF($E127="Per class",$D127*COUNTIFS('Session Tracker'!$D$5:$D$149,$A127,'Session Tracker'!$F$5:$F$149,"Next week",'Session Tracker'!$G$5:$G$149,"Wed"),$D127*SUMIFS('Session Tracker'!$J$5:$J$149,'Session Tracker'!$D$5:$D$149,$A127,'Session Tracker'!$F$5:$F$149,"Next week",'Session Tracker'!$G$5:$G$149,"Wed"))</f>
        <v>0</v>
      </c>
      <c r="K127" s="52" t="n">
        <f aca="false">IF($E127="Per class",$D127*COUNTIFS('Session Tracker'!$D$5:$D$149,$A127,'Session Tracker'!$F$5:$F$149,"Next week",'Session Tracker'!$G$5:$G$149,"Thu"),$D127*SUMIFS('Session Tracker'!$J$5:$J$149,'Session Tracker'!$D$5:$D$149,$A127,'Session Tracker'!$F$5:$F$149,"Next week",'Session Tracker'!$G$5:$G$149,"Thu"))</f>
        <v>0</v>
      </c>
      <c r="L127" s="52" t="n">
        <f aca="false">IF($E127="Per class",$D127*COUNTIFS('Session Tracker'!$D$5:$D$149,$A127,'Session Tracker'!$F$5:$F$149,"Next week",'Session Tracker'!$G$5:$G$149,"Fri"),$D127*SUMIFS('Session Tracker'!$J$5:$J$149,'Session Tracker'!$D$5:$D$149,$A127,'Session Tracker'!$F$5:$F$149,"Next week",'Session Tracker'!$G$5:$G$149,"Fri"))</f>
        <v>0</v>
      </c>
      <c r="M127" s="52" t="n">
        <f aca="false">IF($E127="Per class",$D127*COUNTIFS('Session Tracker'!$D$5:$D$149,$A127,'Session Tracker'!$F$5:$F$149,"Next week",'Session Tracker'!$G$5:$G$149,""),$D127*SUMIFS('Session Tracker'!$J$5:$J$149,'Session Tracker'!$D$5:$D$149,$A127,'Session Tracker'!$F$5:$F$149,"Next week",'Session Tracker'!$G$5:$G$149,""))</f>
        <v>0</v>
      </c>
    </row>
    <row r="128" customFormat="false" ht="15" hidden="false" customHeight="false" outlineLevel="0" collapsed="false">
      <c r="A128" s="61" t="s">
        <v>164</v>
      </c>
      <c r="B128" s="34" t="s">
        <v>375</v>
      </c>
      <c r="C128" s="34" t="s">
        <v>376</v>
      </c>
      <c r="D128" s="32" t="n">
        <v>1</v>
      </c>
      <c r="E128" s="32" t="s">
        <v>14</v>
      </c>
      <c r="F128" s="32" t="s">
        <v>373</v>
      </c>
      <c r="G128" s="34"/>
      <c r="H128" s="52" t="n">
        <f aca="false">IF($E128="Per class",$D128*COUNTIFS('Session Tracker'!$D$5:$D$149,$A128,'Session Tracker'!$F$5:$F$149,"Next week",'Session Tracker'!$G$5:$G$149,"Mon"),$D128*SUMIFS('Session Tracker'!$J$5:$J$149,'Session Tracker'!$D$5:$D$149,$A128,'Session Tracker'!$F$5:$F$149,"Next week",'Session Tracker'!$G$5:$G$149,"Mon"))</f>
        <v>0</v>
      </c>
      <c r="I128" s="52" t="n">
        <f aca="false">IF($E128="Per class",$D128*COUNTIFS('Session Tracker'!$D$5:$D$149,$A128,'Session Tracker'!$F$5:$F$149,"Next week",'Session Tracker'!$G$5:$G$149,"Tue"),$D128*SUMIFS('Session Tracker'!$J$5:$J$149,'Session Tracker'!$D$5:$D$149,$A128,'Session Tracker'!$F$5:$F$149,"Next week",'Session Tracker'!$G$5:$G$149,"Tue"))</f>
        <v>0</v>
      </c>
      <c r="J128" s="52" t="n">
        <f aca="false">IF($E128="Per class",$D128*COUNTIFS('Session Tracker'!$D$5:$D$149,$A128,'Session Tracker'!$F$5:$F$149,"Next week",'Session Tracker'!$G$5:$G$149,"Wed"),$D128*SUMIFS('Session Tracker'!$J$5:$J$149,'Session Tracker'!$D$5:$D$149,$A128,'Session Tracker'!$F$5:$F$149,"Next week",'Session Tracker'!$G$5:$G$149,"Wed"))</f>
        <v>0</v>
      </c>
      <c r="K128" s="52" t="n">
        <f aca="false">IF($E128="Per class",$D128*COUNTIFS('Session Tracker'!$D$5:$D$149,$A128,'Session Tracker'!$F$5:$F$149,"Next week",'Session Tracker'!$G$5:$G$149,"Thu"),$D128*SUMIFS('Session Tracker'!$J$5:$J$149,'Session Tracker'!$D$5:$D$149,$A128,'Session Tracker'!$F$5:$F$149,"Next week",'Session Tracker'!$G$5:$G$149,"Thu"))</f>
        <v>0</v>
      </c>
      <c r="L128" s="52" t="n">
        <f aca="false">IF($E128="Per class",$D128*COUNTIFS('Session Tracker'!$D$5:$D$149,$A128,'Session Tracker'!$F$5:$F$149,"Next week",'Session Tracker'!$G$5:$G$149,"Fri"),$D128*SUMIFS('Session Tracker'!$J$5:$J$149,'Session Tracker'!$D$5:$D$149,$A128,'Session Tracker'!$F$5:$F$149,"Next week",'Session Tracker'!$G$5:$G$149,"Fri"))</f>
        <v>0</v>
      </c>
      <c r="M128" s="52" t="n">
        <f aca="false">IF($E128="Per class",$D128*COUNTIFS('Session Tracker'!$D$5:$D$149,$A128,'Session Tracker'!$F$5:$F$149,"Next week",'Session Tracker'!$G$5:$G$149,""),$D128*SUMIFS('Session Tracker'!$J$5:$J$149,'Session Tracker'!$D$5:$D$149,$A128,'Session Tracker'!$F$5:$F$149,"Next week",'Session Tracker'!$G$5:$G$149,""))</f>
        <v>0</v>
      </c>
    </row>
    <row r="129" customFormat="false" ht="15" hidden="false" customHeight="false" outlineLevel="0" collapsed="false">
      <c r="A129" s="61" t="s">
        <v>164</v>
      </c>
      <c r="B129" s="34" t="s">
        <v>411</v>
      </c>
      <c r="C129" s="34" t="s">
        <v>440</v>
      </c>
      <c r="D129" s="32" t="n">
        <v>1</v>
      </c>
      <c r="E129" s="32" t="s">
        <v>14</v>
      </c>
      <c r="F129" s="32" t="s">
        <v>373</v>
      </c>
      <c r="G129" s="34" t="s">
        <v>524</v>
      </c>
      <c r="H129" s="52" t="n">
        <f aca="false">IF($E129="Per class",$D129*COUNTIFS('Session Tracker'!$D$5:$D$149,$A129,'Session Tracker'!$F$5:$F$149,"Next week",'Session Tracker'!$G$5:$G$149,"Mon"),$D129*SUMIFS('Session Tracker'!$J$5:$J$149,'Session Tracker'!$D$5:$D$149,$A129,'Session Tracker'!$F$5:$F$149,"Next week",'Session Tracker'!$G$5:$G$149,"Mon"))</f>
        <v>0</v>
      </c>
      <c r="I129" s="52" t="n">
        <f aca="false">IF($E129="Per class",$D129*COUNTIFS('Session Tracker'!$D$5:$D$149,$A129,'Session Tracker'!$F$5:$F$149,"Next week",'Session Tracker'!$G$5:$G$149,"Tue"),$D129*SUMIFS('Session Tracker'!$J$5:$J$149,'Session Tracker'!$D$5:$D$149,$A129,'Session Tracker'!$F$5:$F$149,"Next week",'Session Tracker'!$G$5:$G$149,"Tue"))</f>
        <v>0</v>
      </c>
      <c r="J129" s="52" t="n">
        <f aca="false">IF($E129="Per class",$D129*COUNTIFS('Session Tracker'!$D$5:$D$149,$A129,'Session Tracker'!$F$5:$F$149,"Next week",'Session Tracker'!$G$5:$G$149,"Wed"),$D129*SUMIFS('Session Tracker'!$J$5:$J$149,'Session Tracker'!$D$5:$D$149,$A129,'Session Tracker'!$F$5:$F$149,"Next week",'Session Tracker'!$G$5:$G$149,"Wed"))</f>
        <v>0</v>
      </c>
      <c r="K129" s="52" t="n">
        <f aca="false">IF($E129="Per class",$D129*COUNTIFS('Session Tracker'!$D$5:$D$149,$A129,'Session Tracker'!$F$5:$F$149,"Next week",'Session Tracker'!$G$5:$G$149,"Thu"),$D129*SUMIFS('Session Tracker'!$J$5:$J$149,'Session Tracker'!$D$5:$D$149,$A129,'Session Tracker'!$F$5:$F$149,"Next week",'Session Tracker'!$G$5:$G$149,"Thu"))</f>
        <v>0</v>
      </c>
      <c r="L129" s="52" t="n">
        <f aca="false">IF($E129="Per class",$D129*COUNTIFS('Session Tracker'!$D$5:$D$149,$A129,'Session Tracker'!$F$5:$F$149,"Next week",'Session Tracker'!$G$5:$G$149,"Fri"),$D129*SUMIFS('Session Tracker'!$J$5:$J$149,'Session Tracker'!$D$5:$D$149,$A129,'Session Tracker'!$F$5:$F$149,"Next week",'Session Tracker'!$G$5:$G$149,"Fri"))</f>
        <v>0</v>
      </c>
      <c r="M129" s="52" t="n">
        <f aca="false">IF($E129="Per class",$D129*COUNTIFS('Session Tracker'!$D$5:$D$149,$A129,'Session Tracker'!$F$5:$F$149,"Next week",'Session Tracker'!$G$5:$G$149,""),$D129*SUMIFS('Session Tracker'!$J$5:$J$149,'Session Tracker'!$D$5:$D$149,$A129,'Session Tracker'!$F$5:$F$149,"Next week",'Session Tracker'!$G$5:$G$149,""))</f>
        <v>0</v>
      </c>
    </row>
    <row r="130" customFormat="false" ht="15" hidden="false" customHeight="false" outlineLevel="0" collapsed="false">
      <c r="A130" s="61" t="s">
        <v>164</v>
      </c>
      <c r="B130" s="34" t="s">
        <v>379</v>
      </c>
      <c r="C130" s="34" t="s">
        <v>380</v>
      </c>
      <c r="D130" s="32" t="n">
        <v>1</v>
      </c>
      <c r="E130" s="32" t="s">
        <v>14</v>
      </c>
      <c r="F130" s="32" t="s">
        <v>368</v>
      </c>
      <c r="G130" s="34"/>
      <c r="H130" s="52" t="n">
        <f aca="false">IF($E130="Per class",$D130*COUNTIFS('Session Tracker'!$D$5:$D$149,$A130,'Session Tracker'!$F$5:$F$149,"Next week",'Session Tracker'!$G$5:$G$149,"Mon"),$D130*SUMIFS('Session Tracker'!$J$5:$J$149,'Session Tracker'!$D$5:$D$149,$A130,'Session Tracker'!$F$5:$F$149,"Next week",'Session Tracker'!$G$5:$G$149,"Mon"))</f>
        <v>0</v>
      </c>
      <c r="I130" s="52" t="n">
        <f aca="false">IF($E130="Per class",$D130*COUNTIFS('Session Tracker'!$D$5:$D$149,$A130,'Session Tracker'!$F$5:$F$149,"Next week",'Session Tracker'!$G$5:$G$149,"Tue"),$D130*SUMIFS('Session Tracker'!$J$5:$J$149,'Session Tracker'!$D$5:$D$149,$A130,'Session Tracker'!$F$5:$F$149,"Next week",'Session Tracker'!$G$5:$G$149,"Tue"))</f>
        <v>0</v>
      </c>
      <c r="J130" s="52" t="n">
        <f aca="false">IF($E130="Per class",$D130*COUNTIFS('Session Tracker'!$D$5:$D$149,$A130,'Session Tracker'!$F$5:$F$149,"Next week",'Session Tracker'!$G$5:$G$149,"Wed"),$D130*SUMIFS('Session Tracker'!$J$5:$J$149,'Session Tracker'!$D$5:$D$149,$A130,'Session Tracker'!$F$5:$F$149,"Next week",'Session Tracker'!$G$5:$G$149,"Wed"))</f>
        <v>0</v>
      </c>
      <c r="K130" s="52" t="n">
        <f aca="false">IF($E130="Per class",$D130*COUNTIFS('Session Tracker'!$D$5:$D$149,$A130,'Session Tracker'!$F$5:$F$149,"Next week",'Session Tracker'!$G$5:$G$149,"Thu"),$D130*SUMIFS('Session Tracker'!$J$5:$J$149,'Session Tracker'!$D$5:$D$149,$A130,'Session Tracker'!$F$5:$F$149,"Next week",'Session Tracker'!$G$5:$G$149,"Thu"))</f>
        <v>0</v>
      </c>
      <c r="L130" s="52" t="n">
        <f aca="false">IF($E130="Per class",$D130*COUNTIFS('Session Tracker'!$D$5:$D$149,$A130,'Session Tracker'!$F$5:$F$149,"Next week",'Session Tracker'!$G$5:$G$149,"Fri"),$D130*SUMIFS('Session Tracker'!$J$5:$J$149,'Session Tracker'!$D$5:$D$149,$A130,'Session Tracker'!$F$5:$F$149,"Next week",'Session Tracker'!$G$5:$G$149,"Fri"))</f>
        <v>0</v>
      </c>
      <c r="M130" s="52" t="n">
        <f aca="false">IF($E130="Per class",$D130*COUNTIFS('Session Tracker'!$D$5:$D$149,$A130,'Session Tracker'!$F$5:$F$149,"Next week",'Session Tracker'!$G$5:$G$149,""),$D130*SUMIFS('Session Tracker'!$J$5:$J$149,'Session Tracker'!$D$5:$D$149,$A130,'Session Tracker'!$F$5:$F$149,"Next week",'Session Tracker'!$G$5:$G$149,""))</f>
        <v>0</v>
      </c>
    </row>
    <row r="131" customFormat="false" ht="15" hidden="false" customHeight="false" outlineLevel="0" collapsed="false">
      <c r="A131" s="61" t="s">
        <v>164</v>
      </c>
      <c r="B131" s="34" t="s">
        <v>379</v>
      </c>
      <c r="C131" s="34" t="s">
        <v>381</v>
      </c>
      <c r="D131" s="32" t="n">
        <v>10</v>
      </c>
      <c r="E131" s="32" t="s">
        <v>14</v>
      </c>
      <c r="F131" s="32" t="s">
        <v>368</v>
      </c>
      <c r="G131" s="34"/>
      <c r="H131" s="52" t="n">
        <f aca="false">IF($E131="Per class",$D131*COUNTIFS('Session Tracker'!$D$5:$D$149,$A131,'Session Tracker'!$F$5:$F$149,"Next week",'Session Tracker'!$G$5:$G$149,"Mon"),$D131*SUMIFS('Session Tracker'!$J$5:$J$149,'Session Tracker'!$D$5:$D$149,$A131,'Session Tracker'!$F$5:$F$149,"Next week",'Session Tracker'!$G$5:$G$149,"Mon"))</f>
        <v>0</v>
      </c>
      <c r="I131" s="52" t="n">
        <f aca="false">IF($E131="Per class",$D131*COUNTIFS('Session Tracker'!$D$5:$D$149,$A131,'Session Tracker'!$F$5:$F$149,"Next week",'Session Tracker'!$G$5:$G$149,"Tue"),$D131*SUMIFS('Session Tracker'!$J$5:$J$149,'Session Tracker'!$D$5:$D$149,$A131,'Session Tracker'!$F$5:$F$149,"Next week",'Session Tracker'!$G$5:$G$149,"Tue"))</f>
        <v>0</v>
      </c>
      <c r="J131" s="52" t="n">
        <f aca="false">IF($E131="Per class",$D131*COUNTIFS('Session Tracker'!$D$5:$D$149,$A131,'Session Tracker'!$F$5:$F$149,"Next week",'Session Tracker'!$G$5:$G$149,"Wed"),$D131*SUMIFS('Session Tracker'!$J$5:$J$149,'Session Tracker'!$D$5:$D$149,$A131,'Session Tracker'!$F$5:$F$149,"Next week",'Session Tracker'!$G$5:$G$149,"Wed"))</f>
        <v>0</v>
      </c>
      <c r="K131" s="52" t="n">
        <f aca="false">IF($E131="Per class",$D131*COUNTIFS('Session Tracker'!$D$5:$D$149,$A131,'Session Tracker'!$F$5:$F$149,"Next week",'Session Tracker'!$G$5:$G$149,"Thu"),$D131*SUMIFS('Session Tracker'!$J$5:$J$149,'Session Tracker'!$D$5:$D$149,$A131,'Session Tracker'!$F$5:$F$149,"Next week",'Session Tracker'!$G$5:$G$149,"Thu"))</f>
        <v>0</v>
      </c>
      <c r="L131" s="52" t="n">
        <f aca="false">IF($E131="Per class",$D131*COUNTIFS('Session Tracker'!$D$5:$D$149,$A131,'Session Tracker'!$F$5:$F$149,"Next week",'Session Tracker'!$G$5:$G$149,"Fri"),$D131*SUMIFS('Session Tracker'!$J$5:$J$149,'Session Tracker'!$D$5:$D$149,$A131,'Session Tracker'!$F$5:$F$149,"Next week",'Session Tracker'!$G$5:$G$149,"Fri"))</f>
        <v>0</v>
      </c>
      <c r="M131" s="52" t="n">
        <f aca="false">IF($E131="Per class",$D131*COUNTIFS('Session Tracker'!$D$5:$D$149,$A131,'Session Tracker'!$F$5:$F$149,"Next week",'Session Tracker'!$G$5:$G$149,""),$D131*SUMIFS('Session Tracker'!$J$5:$J$149,'Session Tracker'!$D$5:$D$149,$A131,'Session Tracker'!$F$5:$F$149,"Next week",'Session Tracker'!$G$5:$G$149,""))</f>
        <v>0</v>
      </c>
    </row>
    <row r="132" customFormat="false" ht="15" hidden="false" customHeight="false" outlineLevel="0" collapsed="false">
      <c r="A132" s="61" t="s">
        <v>164</v>
      </c>
      <c r="B132" s="34" t="s">
        <v>379</v>
      </c>
      <c r="C132" s="34" t="s">
        <v>395</v>
      </c>
      <c r="D132" s="32" t="n">
        <v>4</v>
      </c>
      <c r="E132" s="32" t="s">
        <v>14</v>
      </c>
      <c r="F132" s="32" t="s">
        <v>368</v>
      </c>
      <c r="G132" s="34"/>
      <c r="H132" s="52" t="n">
        <f aca="false">IF($E132="Per class",$D132*COUNTIFS('Session Tracker'!$D$5:$D$149,$A132,'Session Tracker'!$F$5:$F$149,"Next week",'Session Tracker'!$G$5:$G$149,"Mon"),$D132*SUMIFS('Session Tracker'!$J$5:$J$149,'Session Tracker'!$D$5:$D$149,$A132,'Session Tracker'!$F$5:$F$149,"Next week",'Session Tracker'!$G$5:$G$149,"Mon"))</f>
        <v>0</v>
      </c>
      <c r="I132" s="52" t="n">
        <f aca="false">IF($E132="Per class",$D132*COUNTIFS('Session Tracker'!$D$5:$D$149,$A132,'Session Tracker'!$F$5:$F$149,"Next week",'Session Tracker'!$G$5:$G$149,"Tue"),$D132*SUMIFS('Session Tracker'!$J$5:$J$149,'Session Tracker'!$D$5:$D$149,$A132,'Session Tracker'!$F$5:$F$149,"Next week",'Session Tracker'!$G$5:$G$149,"Tue"))</f>
        <v>0</v>
      </c>
      <c r="J132" s="52" t="n">
        <f aca="false">IF($E132="Per class",$D132*COUNTIFS('Session Tracker'!$D$5:$D$149,$A132,'Session Tracker'!$F$5:$F$149,"Next week",'Session Tracker'!$G$5:$G$149,"Wed"),$D132*SUMIFS('Session Tracker'!$J$5:$J$149,'Session Tracker'!$D$5:$D$149,$A132,'Session Tracker'!$F$5:$F$149,"Next week",'Session Tracker'!$G$5:$G$149,"Wed"))</f>
        <v>0</v>
      </c>
      <c r="K132" s="52" t="n">
        <f aca="false">IF($E132="Per class",$D132*COUNTIFS('Session Tracker'!$D$5:$D$149,$A132,'Session Tracker'!$F$5:$F$149,"Next week",'Session Tracker'!$G$5:$G$149,"Thu"),$D132*SUMIFS('Session Tracker'!$J$5:$J$149,'Session Tracker'!$D$5:$D$149,$A132,'Session Tracker'!$F$5:$F$149,"Next week",'Session Tracker'!$G$5:$G$149,"Thu"))</f>
        <v>0</v>
      </c>
      <c r="L132" s="52" t="n">
        <f aca="false">IF($E132="Per class",$D132*COUNTIFS('Session Tracker'!$D$5:$D$149,$A132,'Session Tracker'!$F$5:$F$149,"Next week",'Session Tracker'!$G$5:$G$149,"Fri"),$D132*SUMIFS('Session Tracker'!$J$5:$J$149,'Session Tracker'!$D$5:$D$149,$A132,'Session Tracker'!$F$5:$F$149,"Next week",'Session Tracker'!$G$5:$G$149,"Fri"))</f>
        <v>0</v>
      </c>
      <c r="M132" s="52" t="n">
        <f aca="false">IF($E132="Per class",$D132*COUNTIFS('Session Tracker'!$D$5:$D$149,$A132,'Session Tracker'!$F$5:$F$149,"Next week",'Session Tracker'!$G$5:$G$149,""),$D132*SUMIFS('Session Tracker'!$J$5:$J$149,'Session Tracker'!$D$5:$D$149,$A132,'Session Tracker'!$F$5:$F$149,"Next week",'Session Tracker'!$G$5:$G$149,""))</f>
        <v>0</v>
      </c>
    </row>
    <row r="133" customFormat="false" ht="15" hidden="false" customHeight="false" outlineLevel="0" collapsed="false">
      <c r="A133" s="61" t="s">
        <v>164</v>
      </c>
      <c r="B133" s="34" t="s">
        <v>382</v>
      </c>
      <c r="C133" s="34" t="s">
        <v>383</v>
      </c>
      <c r="D133" s="32" t="n">
        <v>1</v>
      </c>
      <c r="E133" s="32" t="s">
        <v>14</v>
      </c>
      <c r="F133" s="32" t="s">
        <v>368</v>
      </c>
      <c r="G133" s="34"/>
      <c r="H133" s="52" t="n">
        <f aca="false">IF($E133="Per class",$D133*COUNTIFS('Session Tracker'!$D$5:$D$149,$A133,'Session Tracker'!$F$5:$F$149,"Next week",'Session Tracker'!$G$5:$G$149,"Mon"),$D133*SUMIFS('Session Tracker'!$J$5:$J$149,'Session Tracker'!$D$5:$D$149,$A133,'Session Tracker'!$F$5:$F$149,"Next week",'Session Tracker'!$G$5:$G$149,"Mon"))</f>
        <v>0</v>
      </c>
      <c r="I133" s="52" t="n">
        <f aca="false">IF($E133="Per class",$D133*COUNTIFS('Session Tracker'!$D$5:$D$149,$A133,'Session Tracker'!$F$5:$F$149,"Next week",'Session Tracker'!$G$5:$G$149,"Tue"),$D133*SUMIFS('Session Tracker'!$J$5:$J$149,'Session Tracker'!$D$5:$D$149,$A133,'Session Tracker'!$F$5:$F$149,"Next week",'Session Tracker'!$G$5:$G$149,"Tue"))</f>
        <v>0</v>
      </c>
      <c r="J133" s="52" t="n">
        <f aca="false">IF($E133="Per class",$D133*COUNTIFS('Session Tracker'!$D$5:$D$149,$A133,'Session Tracker'!$F$5:$F$149,"Next week",'Session Tracker'!$G$5:$G$149,"Wed"),$D133*SUMIFS('Session Tracker'!$J$5:$J$149,'Session Tracker'!$D$5:$D$149,$A133,'Session Tracker'!$F$5:$F$149,"Next week",'Session Tracker'!$G$5:$G$149,"Wed"))</f>
        <v>0</v>
      </c>
      <c r="K133" s="52" t="n">
        <f aca="false">IF($E133="Per class",$D133*COUNTIFS('Session Tracker'!$D$5:$D$149,$A133,'Session Tracker'!$F$5:$F$149,"Next week",'Session Tracker'!$G$5:$G$149,"Thu"),$D133*SUMIFS('Session Tracker'!$J$5:$J$149,'Session Tracker'!$D$5:$D$149,$A133,'Session Tracker'!$F$5:$F$149,"Next week",'Session Tracker'!$G$5:$G$149,"Thu"))</f>
        <v>0</v>
      </c>
      <c r="L133" s="52" t="n">
        <f aca="false">IF($E133="Per class",$D133*COUNTIFS('Session Tracker'!$D$5:$D$149,$A133,'Session Tracker'!$F$5:$F$149,"Next week",'Session Tracker'!$G$5:$G$149,"Fri"),$D133*SUMIFS('Session Tracker'!$J$5:$J$149,'Session Tracker'!$D$5:$D$149,$A133,'Session Tracker'!$F$5:$F$149,"Next week",'Session Tracker'!$G$5:$G$149,"Fri"))</f>
        <v>0</v>
      </c>
      <c r="M133" s="52" t="n">
        <f aca="false">IF($E133="Per class",$D133*COUNTIFS('Session Tracker'!$D$5:$D$149,$A133,'Session Tracker'!$F$5:$F$149,"Next week",'Session Tracker'!$G$5:$G$149,""),$D133*SUMIFS('Session Tracker'!$J$5:$J$149,'Session Tracker'!$D$5:$D$149,$A133,'Session Tracker'!$F$5:$F$149,"Next week",'Session Tracker'!$G$5:$G$149,""))</f>
        <v>0</v>
      </c>
    </row>
    <row r="134" customFormat="false" ht="15" hidden="false" customHeight="false" outlineLevel="0" collapsed="false">
      <c r="A134" s="53" t="s">
        <v>164</v>
      </c>
      <c r="B134" s="54"/>
      <c r="C134" s="54"/>
      <c r="D134" s="54"/>
      <c r="E134" s="54"/>
      <c r="F134" s="54"/>
      <c r="G134" s="54"/>
      <c r="H134" s="52" t="n">
        <f aca="false">IF($E134="Per class",$D134*COUNTIFS('Session Tracker'!$D$5:$D$149,$A134,'Session Tracker'!$F$5:$F$149,"Next week",'Session Tracker'!$G$5:$G$149,"Mon"),$D134*SUMIFS('Session Tracker'!$J$5:$J$149,'Session Tracker'!$D$5:$D$149,$A134,'Session Tracker'!$F$5:$F$149,"Next week",'Session Tracker'!$G$5:$G$149,"Mon"))</f>
        <v>0</v>
      </c>
      <c r="I134" s="52" t="n">
        <f aca="false">IF($E134="Per class",$D134*COUNTIFS('Session Tracker'!$D$5:$D$149,$A134,'Session Tracker'!$F$5:$F$149,"Next week",'Session Tracker'!$G$5:$G$149,"Tue"),$D134*SUMIFS('Session Tracker'!$J$5:$J$149,'Session Tracker'!$D$5:$D$149,$A134,'Session Tracker'!$F$5:$F$149,"Next week",'Session Tracker'!$G$5:$G$149,"Tue"))</f>
        <v>0</v>
      </c>
      <c r="J134" s="52" t="n">
        <f aca="false">IF($E134="Per class",$D134*COUNTIFS('Session Tracker'!$D$5:$D$149,$A134,'Session Tracker'!$F$5:$F$149,"Next week",'Session Tracker'!$G$5:$G$149,"Wed"),$D134*SUMIFS('Session Tracker'!$J$5:$J$149,'Session Tracker'!$D$5:$D$149,$A134,'Session Tracker'!$F$5:$F$149,"Next week",'Session Tracker'!$G$5:$G$149,"Wed"))</f>
        <v>0</v>
      </c>
      <c r="K134" s="52" t="n">
        <f aca="false">IF($E134="Per class",$D134*COUNTIFS('Session Tracker'!$D$5:$D$149,$A134,'Session Tracker'!$F$5:$F$149,"Next week",'Session Tracker'!$G$5:$G$149,"Thu"),$D134*SUMIFS('Session Tracker'!$J$5:$J$149,'Session Tracker'!$D$5:$D$149,$A134,'Session Tracker'!$F$5:$F$149,"Next week",'Session Tracker'!$G$5:$G$149,"Thu"))</f>
        <v>0</v>
      </c>
      <c r="L134" s="52" t="n">
        <f aca="false">IF($E134="Per class",$D134*COUNTIFS('Session Tracker'!$D$5:$D$149,$A134,'Session Tracker'!$F$5:$F$149,"Next week",'Session Tracker'!$G$5:$G$149,"Fri"),$D134*SUMIFS('Session Tracker'!$J$5:$J$149,'Session Tracker'!$D$5:$D$149,$A134,'Session Tracker'!$F$5:$F$149,"Next week",'Session Tracker'!$G$5:$G$149,"Fri"))</f>
        <v>0</v>
      </c>
      <c r="M134" s="52" t="n">
        <f aca="false">IF($E134="Per class",$D134*COUNTIFS('Session Tracker'!$D$5:$D$149,$A134,'Session Tracker'!$F$5:$F$149,"Next week",'Session Tracker'!$G$5:$G$149,""),$D134*SUMIFS('Session Tracker'!$J$5:$J$149,'Session Tracker'!$D$5:$D$149,$A134,'Session Tracker'!$F$5:$F$149,"Next week",'Session Tracker'!$G$5:$G$149,""))</f>
        <v>0</v>
      </c>
    </row>
    <row r="135" customFormat="false" ht="15" hidden="false" customHeight="false" outlineLevel="0" collapsed="false">
      <c r="A135" s="53" t="s">
        <v>164</v>
      </c>
      <c r="B135" s="54"/>
      <c r="C135" s="54"/>
      <c r="D135" s="54"/>
      <c r="E135" s="54"/>
      <c r="F135" s="54"/>
      <c r="G135" s="54"/>
      <c r="H135" s="52" t="n">
        <f aca="false">IF($E135="Per class",$D135*COUNTIFS('Session Tracker'!$D$5:$D$149,$A135,'Session Tracker'!$F$5:$F$149,"Next week",'Session Tracker'!$G$5:$G$149,"Mon"),$D135*SUMIFS('Session Tracker'!$J$5:$J$149,'Session Tracker'!$D$5:$D$149,$A135,'Session Tracker'!$F$5:$F$149,"Next week",'Session Tracker'!$G$5:$G$149,"Mon"))</f>
        <v>0</v>
      </c>
      <c r="I135" s="52" t="n">
        <f aca="false">IF($E135="Per class",$D135*COUNTIFS('Session Tracker'!$D$5:$D$149,$A135,'Session Tracker'!$F$5:$F$149,"Next week",'Session Tracker'!$G$5:$G$149,"Tue"),$D135*SUMIFS('Session Tracker'!$J$5:$J$149,'Session Tracker'!$D$5:$D$149,$A135,'Session Tracker'!$F$5:$F$149,"Next week",'Session Tracker'!$G$5:$G$149,"Tue"))</f>
        <v>0</v>
      </c>
      <c r="J135" s="52" t="n">
        <f aca="false">IF($E135="Per class",$D135*COUNTIFS('Session Tracker'!$D$5:$D$149,$A135,'Session Tracker'!$F$5:$F$149,"Next week",'Session Tracker'!$G$5:$G$149,"Wed"),$D135*SUMIFS('Session Tracker'!$J$5:$J$149,'Session Tracker'!$D$5:$D$149,$A135,'Session Tracker'!$F$5:$F$149,"Next week",'Session Tracker'!$G$5:$G$149,"Wed"))</f>
        <v>0</v>
      </c>
      <c r="K135" s="52" t="n">
        <f aca="false">IF($E135="Per class",$D135*COUNTIFS('Session Tracker'!$D$5:$D$149,$A135,'Session Tracker'!$F$5:$F$149,"Next week",'Session Tracker'!$G$5:$G$149,"Thu"),$D135*SUMIFS('Session Tracker'!$J$5:$J$149,'Session Tracker'!$D$5:$D$149,$A135,'Session Tracker'!$F$5:$F$149,"Next week",'Session Tracker'!$G$5:$G$149,"Thu"))</f>
        <v>0</v>
      </c>
      <c r="L135" s="52" t="n">
        <f aca="false">IF($E135="Per class",$D135*COUNTIFS('Session Tracker'!$D$5:$D$149,$A135,'Session Tracker'!$F$5:$F$149,"Next week",'Session Tracker'!$G$5:$G$149,"Fri"),$D135*SUMIFS('Session Tracker'!$J$5:$J$149,'Session Tracker'!$D$5:$D$149,$A135,'Session Tracker'!$F$5:$F$149,"Next week",'Session Tracker'!$G$5:$G$149,"Fri"))</f>
        <v>0</v>
      </c>
      <c r="M135" s="52" t="n">
        <f aca="false">IF($E135="Per class",$D135*COUNTIFS('Session Tracker'!$D$5:$D$149,$A135,'Session Tracker'!$F$5:$F$149,"Next week",'Session Tracker'!$G$5:$G$149,""),$D135*SUMIFS('Session Tracker'!$J$5:$J$149,'Session Tracker'!$D$5:$D$149,$A135,'Session Tracker'!$F$5:$F$149,"Next week",'Session Tracker'!$G$5:$G$149,""))</f>
        <v>0</v>
      </c>
    </row>
    <row r="137" customFormat="false" ht="19.5" hidden="false" customHeight="true" outlineLevel="0" collapsed="false">
      <c r="A137" s="57" t="s">
        <v>166</v>
      </c>
      <c r="B137" s="58" t="s">
        <v>525</v>
      </c>
      <c r="C137" s="58"/>
      <c r="D137" s="58"/>
      <c r="E137" s="58"/>
      <c r="F137" s="59" t="str">
        <f aca="false">"Status: "&amp;'Session Tracker'!F51&amp;IF('Session Tracker'!G51&lt;&gt;""," ("&amp;'Session Tracker'!G51&amp;")","")</f>
        <v>Status: Not started</v>
      </c>
      <c r="G137" s="59"/>
      <c r="H137" s="60"/>
      <c r="I137" s="60"/>
      <c r="J137" s="60"/>
      <c r="K137" s="60"/>
      <c r="L137" s="60"/>
      <c r="M137" s="60"/>
    </row>
    <row r="138" customFormat="false" ht="23.85" hidden="false" customHeight="false" outlineLevel="0" collapsed="false">
      <c r="A138" s="61" t="s">
        <v>166</v>
      </c>
      <c r="B138" s="34" t="s">
        <v>366</v>
      </c>
      <c r="C138" s="34" t="s">
        <v>367</v>
      </c>
      <c r="D138" s="32" t="n">
        <v>1</v>
      </c>
      <c r="E138" s="32" t="s">
        <v>14</v>
      </c>
      <c r="F138" s="32" t="s">
        <v>368</v>
      </c>
      <c r="G138" s="34"/>
      <c r="H138" s="52" t="n">
        <f aca="false">IF($E138="Per class",$D138*COUNTIFS('Session Tracker'!$D$5:$D$149,$A138,'Session Tracker'!$F$5:$F$149,"Next week",'Session Tracker'!$G$5:$G$149,"Mon"),$D138*SUMIFS('Session Tracker'!$J$5:$J$149,'Session Tracker'!$D$5:$D$149,$A138,'Session Tracker'!$F$5:$F$149,"Next week",'Session Tracker'!$G$5:$G$149,"Mon"))</f>
        <v>0</v>
      </c>
      <c r="I138" s="52" t="n">
        <f aca="false">IF($E138="Per class",$D138*COUNTIFS('Session Tracker'!$D$5:$D$149,$A138,'Session Tracker'!$F$5:$F$149,"Next week",'Session Tracker'!$G$5:$G$149,"Tue"),$D138*SUMIFS('Session Tracker'!$J$5:$J$149,'Session Tracker'!$D$5:$D$149,$A138,'Session Tracker'!$F$5:$F$149,"Next week",'Session Tracker'!$G$5:$G$149,"Tue"))</f>
        <v>0</v>
      </c>
      <c r="J138" s="52" t="n">
        <f aca="false">IF($E138="Per class",$D138*COUNTIFS('Session Tracker'!$D$5:$D$149,$A138,'Session Tracker'!$F$5:$F$149,"Next week",'Session Tracker'!$G$5:$G$149,"Wed"),$D138*SUMIFS('Session Tracker'!$J$5:$J$149,'Session Tracker'!$D$5:$D$149,$A138,'Session Tracker'!$F$5:$F$149,"Next week",'Session Tracker'!$G$5:$G$149,"Wed"))</f>
        <v>0</v>
      </c>
      <c r="K138" s="52" t="n">
        <f aca="false">IF($E138="Per class",$D138*COUNTIFS('Session Tracker'!$D$5:$D$149,$A138,'Session Tracker'!$F$5:$F$149,"Next week",'Session Tracker'!$G$5:$G$149,"Thu"),$D138*SUMIFS('Session Tracker'!$J$5:$J$149,'Session Tracker'!$D$5:$D$149,$A138,'Session Tracker'!$F$5:$F$149,"Next week",'Session Tracker'!$G$5:$G$149,"Thu"))</f>
        <v>0</v>
      </c>
      <c r="L138" s="52" t="n">
        <f aca="false">IF($E138="Per class",$D138*COUNTIFS('Session Tracker'!$D$5:$D$149,$A138,'Session Tracker'!$F$5:$F$149,"Next week",'Session Tracker'!$G$5:$G$149,"Fri"),$D138*SUMIFS('Session Tracker'!$J$5:$J$149,'Session Tracker'!$D$5:$D$149,$A138,'Session Tracker'!$F$5:$F$149,"Next week",'Session Tracker'!$G$5:$G$149,"Fri"))</f>
        <v>0</v>
      </c>
      <c r="M138" s="52" t="n">
        <f aca="false">IF($E138="Per class",$D138*COUNTIFS('Session Tracker'!$D$5:$D$149,$A138,'Session Tracker'!$F$5:$F$149,"Next week",'Session Tracker'!$G$5:$G$149,""),$D138*SUMIFS('Session Tracker'!$J$5:$J$149,'Session Tracker'!$D$5:$D$149,$A138,'Session Tracker'!$F$5:$F$149,"Next week",'Session Tracker'!$G$5:$G$149,""))</f>
        <v>0</v>
      </c>
    </row>
    <row r="139" customFormat="false" ht="15" hidden="false" customHeight="false" outlineLevel="0" collapsed="false">
      <c r="A139" s="61" t="s">
        <v>166</v>
      </c>
      <c r="B139" s="34" t="s">
        <v>369</v>
      </c>
      <c r="C139" s="34" t="s">
        <v>526</v>
      </c>
      <c r="D139" s="32" t="n">
        <v>1</v>
      </c>
      <c r="E139" s="32" t="s">
        <v>14</v>
      </c>
      <c r="F139" s="32" t="s">
        <v>368</v>
      </c>
      <c r="G139" s="34"/>
      <c r="H139" s="52" t="n">
        <f aca="false">IF($E139="Per class",$D139*COUNTIFS('Session Tracker'!$D$5:$D$149,$A139,'Session Tracker'!$F$5:$F$149,"Next week",'Session Tracker'!$G$5:$G$149,"Mon"),$D139*SUMIFS('Session Tracker'!$J$5:$J$149,'Session Tracker'!$D$5:$D$149,$A139,'Session Tracker'!$F$5:$F$149,"Next week",'Session Tracker'!$G$5:$G$149,"Mon"))</f>
        <v>0</v>
      </c>
      <c r="I139" s="52" t="n">
        <f aca="false">IF($E139="Per class",$D139*COUNTIFS('Session Tracker'!$D$5:$D$149,$A139,'Session Tracker'!$F$5:$F$149,"Next week",'Session Tracker'!$G$5:$G$149,"Tue"),$D139*SUMIFS('Session Tracker'!$J$5:$J$149,'Session Tracker'!$D$5:$D$149,$A139,'Session Tracker'!$F$5:$F$149,"Next week",'Session Tracker'!$G$5:$G$149,"Tue"))</f>
        <v>0</v>
      </c>
      <c r="J139" s="52" t="n">
        <f aca="false">IF($E139="Per class",$D139*COUNTIFS('Session Tracker'!$D$5:$D$149,$A139,'Session Tracker'!$F$5:$F$149,"Next week",'Session Tracker'!$G$5:$G$149,"Wed"),$D139*SUMIFS('Session Tracker'!$J$5:$J$149,'Session Tracker'!$D$5:$D$149,$A139,'Session Tracker'!$F$5:$F$149,"Next week",'Session Tracker'!$G$5:$G$149,"Wed"))</f>
        <v>0</v>
      </c>
      <c r="K139" s="52" t="n">
        <f aca="false">IF($E139="Per class",$D139*COUNTIFS('Session Tracker'!$D$5:$D$149,$A139,'Session Tracker'!$F$5:$F$149,"Next week",'Session Tracker'!$G$5:$G$149,"Thu"),$D139*SUMIFS('Session Tracker'!$J$5:$J$149,'Session Tracker'!$D$5:$D$149,$A139,'Session Tracker'!$F$5:$F$149,"Next week",'Session Tracker'!$G$5:$G$149,"Thu"))</f>
        <v>0</v>
      </c>
      <c r="L139" s="52" t="n">
        <f aca="false">IF($E139="Per class",$D139*COUNTIFS('Session Tracker'!$D$5:$D$149,$A139,'Session Tracker'!$F$5:$F$149,"Next week",'Session Tracker'!$G$5:$G$149,"Fri"),$D139*SUMIFS('Session Tracker'!$J$5:$J$149,'Session Tracker'!$D$5:$D$149,$A139,'Session Tracker'!$F$5:$F$149,"Next week",'Session Tracker'!$G$5:$G$149,"Fri"))</f>
        <v>0</v>
      </c>
      <c r="M139" s="52" t="n">
        <f aca="false">IF($E139="Per class",$D139*COUNTIFS('Session Tracker'!$D$5:$D$149,$A139,'Session Tracker'!$F$5:$F$149,"Next week",'Session Tracker'!$G$5:$G$149,""),$D139*SUMIFS('Session Tracker'!$J$5:$J$149,'Session Tracker'!$D$5:$D$149,$A139,'Session Tracker'!$F$5:$F$149,"Next week",'Session Tracker'!$G$5:$G$149,""))</f>
        <v>0</v>
      </c>
    </row>
    <row r="140" customFormat="false" ht="15" hidden="false" customHeight="false" outlineLevel="0" collapsed="false">
      <c r="A140" s="61" t="s">
        <v>166</v>
      </c>
      <c r="B140" s="34" t="s">
        <v>369</v>
      </c>
      <c r="C140" s="34" t="s">
        <v>527</v>
      </c>
      <c r="D140" s="32" t="n">
        <v>1</v>
      </c>
      <c r="E140" s="32" t="s">
        <v>14</v>
      </c>
      <c r="F140" s="32" t="s">
        <v>368</v>
      </c>
      <c r="G140" s="34"/>
      <c r="H140" s="52" t="n">
        <f aca="false">IF($E140="Per class",$D140*COUNTIFS('Session Tracker'!$D$5:$D$149,$A140,'Session Tracker'!$F$5:$F$149,"Next week",'Session Tracker'!$G$5:$G$149,"Mon"),$D140*SUMIFS('Session Tracker'!$J$5:$J$149,'Session Tracker'!$D$5:$D$149,$A140,'Session Tracker'!$F$5:$F$149,"Next week",'Session Tracker'!$G$5:$G$149,"Mon"))</f>
        <v>0</v>
      </c>
      <c r="I140" s="52" t="n">
        <f aca="false">IF($E140="Per class",$D140*COUNTIFS('Session Tracker'!$D$5:$D$149,$A140,'Session Tracker'!$F$5:$F$149,"Next week",'Session Tracker'!$G$5:$G$149,"Tue"),$D140*SUMIFS('Session Tracker'!$J$5:$J$149,'Session Tracker'!$D$5:$D$149,$A140,'Session Tracker'!$F$5:$F$149,"Next week",'Session Tracker'!$G$5:$G$149,"Tue"))</f>
        <v>0</v>
      </c>
      <c r="J140" s="52" t="n">
        <f aca="false">IF($E140="Per class",$D140*COUNTIFS('Session Tracker'!$D$5:$D$149,$A140,'Session Tracker'!$F$5:$F$149,"Next week",'Session Tracker'!$G$5:$G$149,"Wed"),$D140*SUMIFS('Session Tracker'!$J$5:$J$149,'Session Tracker'!$D$5:$D$149,$A140,'Session Tracker'!$F$5:$F$149,"Next week",'Session Tracker'!$G$5:$G$149,"Wed"))</f>
        <v>0</v>
      </c>
      <c r="K140" s="52" t="n">
        <f aca="false">IF($E140="Per class",$D140*COUNTIFS('Session Tracker'!$D$5:$D$149,$A140,'Session Tracker'!$F$5:$F$149,"Next week",'Session Tracker'!$G$5:$G$149,"Thu"),$D140*SUMIFS('Session Tracker'!$J$5:$J$149,'Session Tracker'!$D$5:$D$149,$A140,'Session Tracker'!$F$5:$F$149,"Next week",'Session Tracker'!$G$5:$G$149,"Thu"))</f>
        <v>0</v>
      </c>
      <c r="L140" s="52" t="n">
        <f aca="false">IF($E140="Per class",$D140*COUNTIFS('Session Tracker'!$D$5:$D$149,$A140,'Session Tracker'!$F$5:$F$149,"Next week",'Session Tracker'!$G$5:$G$149,"Fri"),$D140*SUMIFS('Session Tracker'!$J$5:$J$149,'Session Tracker'!$D$5:$D$149,$A140,'Session Tracker'!$F$5:$F$149,"Next week",'Session Tracker'!$G$5:$G$149,"Fri"))</f>
        <v>0</v>
      </c>
      <c r="M140" s="52" t="n">
        <f aca="false">IF($E140="Per class",$D140*COUNTIFS('Session Tracker'!$D$5:$D$149,$A140,'Session Tracker'!$F$5:$F$149,"Next week",'Session Tracker'!$G$5:$G$149,""),$D140*SUMIFS('Session Tracker'!$J$5:$J$149,'Session Tracker'!$D$5:$D$149,$A140,'Session Tracker'!$F$5:$F$149,"Next week",'Session Tracker'!$G$5:$G$149,""))</f>
        <v>0</v>
      </c>
    </row>
    <row r="141" customFormat="false" ht="15" hidden="false" customHeight="false" outlineLevel="0" collapsed="false">
      <c r="A141" s="61" t="s">
        <v>166</v>
      </c>
      <c r="B141" s="34" t="s">
        <v>377</v>
      </c>
      <c r="C141" s="34" t="s">
        <v>378</v>
      </c>
      <c r="D141" s="32" t="n">
        <v>1</v>
      </c>
      <c r="E141" s="32" t="s">
        <v>14</v>
      </c>
      <c r="F141" s="32" t="s">
        <v>368</v>
      </c>
      <c r="G141" s="34"/>
      <c r="H141" s="52" t="n">
        <f aca="false">IF($E141="Per class",$D141*COUNTIFS('Session Tracker'!$D$5:$D$149,$A141,'Session Tracker'!$F$5:$F$149,"Next week",'Session Tracker'!$G$5:$G$149,"Mon"),$D141*SUMIFS('Session Tracker'!$J$5:$J$149,'Session Tracker'!$D$5:$D$149,$A141,'Session Tracker'!$F$5:$F$149,"Next week",'Session Tracker'!$G$5:$G$149,"Mon"))</f>
        <v>0</v>
      </c>
      <c r="I141" s="52" t="n">
        <f aca="false">IF($E141="Per class",$D141*COUNTIFS('Session Tracker'!$D$5:$D$149,$A141,'Session Tracker'!$F$5:$F$149,"Next week",'Session Tracker'!$G$5:$G$149,"Tue"),$D141*SUMIFS('Session Tracker'!$J$5:$J$149,'Session Tracker'!$D$5:$D$149,$A141,'Session Tracker'!$F$5:$F$149,"Next week",'Session Tracker'!$G$5:$G$149,"Tue"))</f>
        <v>0</v>
      </c>
      <c r="J141" s="52" t="n">
        <f aca="false">IF($E141="Per class",$D141*COUNTIFS('Session Tracker'!$D$5:$D$149,$A141,'Session Tracker'!$F$5:$F$149,"Next week",'Session Tracker'!$G$5:$G$149,"Wed"),$D141*SUMIFS('Session Tracker'!$J$5:$J$149,'Session Tracker'!$D$5:$D$149,$A141,'Session Tracker'!$F$5:$F$149,"Next week",'Session Tracker'!$G$5:$G$149,"Wed"))</f>
        <v>0</v>
      </c>
      <c r="K141" s="52" t="n">
        <f aca="false">IF($E141="Per class",$D141*COUNTIFS('Session Tracker'!$D$5:$D$149,$A141,'Session Tracker'!$F$5:$F$149,"Next week",'Session Tracker'!$G$5:$G$149,"Thu"),$D141*SUMIFS('Session Tracker'!$J$5:$J$149,'Session Tracker'!$D$5:$D$149,$A141,'Session Tracker'!$F$5:$F$149,"Next week",'Session Tracker'!$G$5:$G$149,"Thu"))</f>
        <v>0</v>
      </c>
      <c r="L141" s="52" t="n">
        <f aca="false">IF($E141="Per class",$D141*COUNTIFS('Session Tracker'!$D$5:$D$149,$A141,'Session Tracker'!$F$5:$F$149,"Next week",'Session Tracker'!$G$5:$G$149,"Fri"),$D141*SUMIFS('Session Tracker'!$J$5:$J$149,'Session Tracker'!$D$5:$D$149,$A141,'Session Tracker'!$F$5:$F$149,"Next week",'Session Tracker'!$G$5:$G$149,"Fri"))</f>
        <v>0</v>
      </c>
      <c r="M141" s="52" t="n">
        <f aca="false">IF($E141="Per class",$D141*COUNTIFS('Session Tracker'!$D$5:$D$149,$A141,'Session Tracker'!$F$5:$F$149,"Next week",'Session Tracker'!$G$5:$G$149,""),$D141*SUMIFS('Session Tracker'!$J$5:$J$149,'Session Tracker'!$D$5:$D$149,$A141,'Session Tracker'!$F$5:$F$149,"Next week",'Session Tracker'!$G$5:$G$149,""))</f>
        <v>0</v>
      </c>
    </row>
    <row r="142" customFormat="false" ht="15" hidden="false" customHeight="false" outlineLevel="0" collapsed="false">
      <c r="A142" s="61" t="s">
        <v>166</v>
      </c>
      <c r="B142" s="34" t="s">
        <v>371</v>
      </c>
      <c r="C142" s="34" t="s">
        <v>372</v>
      </c>
      <c r="D142" s="32" t="n">
        <v>2</v>
      </c>
      <c r="E142" s="32" t="s">
        <v>14</v>
      </c>
      <c r="F142" s="32" t="s">
        <v>373</v>
      </c>
      <c r="G142" s="34" t="s">
        <v>528</v>
      </c>
      <c r="H142" s="52" t="n">
        <f aca="false">IF($E142="Per class",$D142*COUNTIFS('Session Tracker'!$D$5:$D$149,$A142,'Session Tracker'!$F$5:$F$149,"Next week",'Session Tracker'!$G$5:$G$149,"Mon"),$D142*SUMIFS('Session Tracker'!$J$5:$J$149,'Session Tracker'!$D$5:$D$149,$A142,'Session Tracker'!$F$5:$F$149,"Next week",'Session Tracker'!$G$5:$G$149,"Mon"))</f>
        <v>0</v>
      </c>
      <c r="I142" s="52" t="n">
        <f aca="false">IF($E142="Per class",$D142*COUNTIFS('Session Tracker'!$D$5:$D$149,$A142,'Session Tracker'!$F$5:$F$149,"Next week",'Session Tracker'!$G$5:$G$149,"Tue"),$D142*SUMIFS('Session Tracker'!$J$5:$J$149,'Session Tracker'!$D$5:$D$149,$A142,'Session Tracker'!$F$5:$F$149,"Next week",'Session Tracker'!$G$5:$G$149,"Tue"))</f>
        <v>0</v>
      </c>
      <c r="J142" s="52" t="n">
        <f aca="false">IF($E142="Per class",$D142*COUNTIFS('Session Tracker'!$D$5:$D$149,$A142,'Session Tracker'!$F$5:$F$149,"Next week",'Session Tracker'!$G$5:$G$149,"Wed"),$D142*SUMIFS('Session Tracker'!$J$5:$J$149,'Session Tracker'!$D$5:$D$149,$A142,'Session Tracker'!$F$5:$F$149,"Next week",'Session Tracker'!$G$5:$G$149,"Wed"))</f>
        <v>0</v>
      </c>
      <c r="K142" s="52" t="n">
        <f aca="false">IF($E142="Per class",$D142*COUNTIFS('Session Tracker'!$D$5:$D$149,$A142,'Session Tracker'!$F$5:$F$149,"Next week",'Session Tracker'!$G$5:$G$149,"Thu"),$D142*SUMIFS('Session Tracker'!$J$5:$J$149,'Session Tracker'!$D$5:$D$149,$A142,'Session Tracker'!$F$5:$F$149,"Next week",'Session Tracker'!$G$5:$G$149,"Thu"))</f>
        <v>0</v>
      </c>
      <c r="L142" s="52" t="n">
        <f aca="false">IF($E142="Per class",$D142*COUNTIFS('Session Tracker'!$D$5:$D$149,$A142,'Session Tracker'!$F$5:$F$149,"Next week",'Session Tracker'!$G$5:$G$149,"Fri"),$D142*SUMIFS('Session Tracker'!$J$5:$J$149,'Session Tracker'!$D$5:$D$149,$A142,'Session Tracker'!$F$5:$F$149,"Next week",'Session Tracker'!$G$5:$G$149,"Fri"))</f>
        <v>0</v>
      </c>
      <c r="M142" s="52" t="n">
        <f aca="false">IF($E142="Per class",$D142*COUNTIFS('Session Tracker'!$D$5:$D$149,$A142,'Session Tracker'!$F$5:$F$149,"Next week",'Session Tracker'!$G$5:$G$149,""),$D142*SUMIFS('Session Tracker'!$J$5:$J$149,'Session Tracker'!$D$5:$D$149,$A142,'Session Tracker'!$F$5:$F$149,"Next week",'Session Tracker'!$G$5:$G$149,""))</f>
        <v>0</v>
      </c>
    </row>
    <row r="143" customFormat="false" ht="15" hidden="false" customHeight="false" outlineLevel="0" collapsed="false">
      <c r="A143" s="61" t="s">
        <v>166</v>
      </c>
      <c r="B143" s="34" t="s">
        <v>375</v>
      </c>
      <c r="C143" s="34" t="s">
        <v>376</v>
      </c>
      <c r="D143" s="32" t="n">
        <v>2</v>
      </c>
      <c r="E143" s="32" t="s">
        <v>14</v>
      </c>
      <c r="F143" s="32" t="s">
        <v>373</v>
      </c>
      <c r="G143" s="34"/>
      <c r="H143" s="52" t="n">
        <f aca="false">IF($E143="Per class",$D143*COUNTIFS('Session Tracker'!$D$5:$D$149,$A143,'Session Tracker'!$F$5:$F$149,"Next week",'Session Tracker'!$G$5:$G$149,"Mon"),$D143*SUMIFS('Session Tracker'!$J$5:$J$149,'Session Tracker'!$D$5:$D$149,$A143,'Session Tracker'!$F$5:$F$149,"Next week",'Session Tracker'!$G$5:$G$149,"Mon"))</f>
        <v>0</v>
      </c>
      <c r="I143" s="52" t="n">
        <f aca="false">IF($E143="Per class",$D143*COUNTIFS('Session Tracker'!$D$5:$D$149,$A143,'Session Tracker'!$F$5:$F$149,"Next week",'Session Tracker'!$G$5:$G$149,"Tue"),$D143*SUMIFS('Session Tracker'!$J$5:$J$149,'Session Tracker'!$D$5:$D$149,$A143,'Session Tracker'!$F$5:$F$149,"Next week",'Session Tracker'!$G$5:$G$149,"Tue"))</f>
        <v>0</v>
      </c>
      <c r="J143" s="52" t="n">
        <f aca="false">IF($E143="Per class",$D143*COUNTIFS('Session Tracker'!$D$5:$D$149,$A143,'Session Tracker'!$F$5:$F$149,"Next week",'Session Tracker'!$G$5:$G$149,"Wed"),$D143*SUMIFS('Session Tracker'!$J$5:$J$149,'Session Tracker'!$D$5:$D$149,$A143,'Session Tracker'!$F$5:$F$149,"Next week",'Session Tracker'!$G$5:$G$149,"Wed"))</f>
        <v>0</v>
      </c>
      <c r="K143" s="52" t="n">
        <f aca="false">IF($E143="Per class",$D143*COUNTIFS('Session Tracker'!$D$5:$D$149,$A143,'Session Tracker'!$F$5:$F$149,"Next week",'Session Tracker'!$G$5:$G$149,"Thu"),$D143*SUMIFS('Session Tracker'!$J$5:$J$149,'Session Tracker'!$D$5:$D$149,$A143,'Session Tracker'!$F$5:$F$149,"Next week",'Session Tracker'!$G$5:$G$149,"Thu"))</f>
        <v>0</v>
      </c>
      <c r="L143" s="52" t="n">
        <f aca="false">IF($E143="Per class",$D143*COUNTIFS('Session Tracker'!$D$5:$D$149,$A143,'Session Tracker'!$F$5:$F$149,"Next week",'Session Tracker'!$G$5:$G$149,"Fri"),$D143*SUMIFS('Session Tracker'!$J$5:$J$149,'Session Tracker'!$D$5:$D$149,$A143,'Session Tracker'!$F$5:$F$149,"Next week",'Session Tracker'!$G$5:$G$149,"Fri"))</f>
        <v>0</v>
      </c>
      <c r="M143" s="52" t="n">
        <f aca="false">IF($E143="Per class",$D143*COUNTIFS('Session Tracker'!$D$5:$D$149,$A143,'Session Tracker'!$F$5:$F$149,"Next week",'Session Tracker'!$G$5:$G$149,""),$D143*SUMIFS('Session Tracker'!$J$5:$J$149,'Session Tracker'!$D$5:$D$149,$A143,'Session Tracker'!$F$5:$F$149,"Next week",'Session Tracker'!$G$5:$G$149,""))</f>
        <v>0</v>
      </c>
    </row>
    <row r="144" customFormat="false" ht="15" hidden="false" customHeight="false" outlineLevel="0" collapsed="false">
      <c r="A144" s="61" t="s">
        <v>166</v>
      </c>
      <c r="B144" s="34" t="s">
        <v>371</v>
      </c>
      <c r="C144" s="34" t="s">
        <v>517</v>
      </c>
      <c r="D144" s="32" t="n">
        <v>1</v>
      </c>
      <c r="E144" s="32" t="s">
        <v>14</v>
      </c>
      <c r="F144" s="32" t="s">
        <v>368</v>
      </c>
      <c r="G144" s="34"/>
      <c r="H144" s="52" t="n">
        <f aca="false">IF($E144="Per class",$D144*COUNTIFS('Session Tracker'!$D$5:$D$149,$A144,'Session Tracker'!$F$5:$F$149,"Next week",'Session Tracker'!$G$5:$G$149,"Mon"),$D144*SUMIFS('Session Tracker'!$J$5:$J$149,'Session Tracker'!$D$5:$D$149,$A144,'Session Tracker'!$F$5:$F$149,"Next week",'Session Tracker'!$G$5:$G$149,"Mon"))</f>
        <v>0</v>
      </c>
      <c r="I144" s="52" t="n">
        <f aca="false">IF($E144="Per class",$D144*COUNTIFS('Session Tracker'!$D$5:$D$149,$A144,'Session Tracker'!$F$5:$F$149,"Next week",'Session Tracker'!$G$5:$G$149,"Tue"),$D144*SUMIFS('Session Tracker'!$J$5:$J$149,'Session Tracker'!$D$5:$D$149,$A144,'Session Tracker'!$F$5:$F$149,"Next week",'Session Tracker'!$G$5:$G$149,"Tue"))</f>
        <v>0</v>
      </c>
      <c r="J144" s="52" t="n">
        <f aca="false">IF($E144="Per class",$D144*COUNTIFS('Session Tracker'!$D$5:$D$149,$A144,'Session Tracker'!$F$5:$F$149,"Next week",'Session Tracker'!$G$5:$G$149,"Wed"),$D144*SUMIFS('Session Tracker'!$J$5:$J$149,'Session Tracker'!$D$5:$D$149,$A144,'Session Tracker'!$F$5:$F$149,"Next week",'Session Tracker'!$G$5:$G$149,"Wed"))</f>
        <v>0</v>
      </c>
      <c r="K144" s="52" t="n">
        <f aca="false">IF($E144="Per class",$D144*COUNTIFS('Session Tracker'!$D$5:$D$149,$A144,'Session Tracker'!$F$5:$F$149,"Next week",'Session Tracker'!$G$5:$G$149,"Thu"),$D144*SUMIFS('Session Tracker'!$J$5:$J$149,'Session Tracker'!$D$5:$D$149,$A144,'Session Tracker'!$F$5:$F$149,"Next week",'Session Tracker'!$G$5:$G$149,"Thu"))</f>
        <v>0</v>
      </c>
      <c r="L144" s="52" t="n">
        <f aca="false">IF($E144="Per class",$D144*COUNTIFS('Session Tracker'!$D$5:$D$149,$A144,'Session Tracker'!$F$5:$F$149,"Next week",'Session Tracker'!$G$5:$G$149,"Fri"),$D144*SUMIFS('Session Tracker'!$J$5:$J$149,'Session Tracker'!$D$5:$D$149,$A144,'Session Tracker'!$F$5:$F$149,"Next week",'Session Tracker'!$G$5:$G$149,"Fri"))</f>
        <v>0</v>
      </c>
      <c r="M144" s="52" t="n">
        <f aca="false">IF($E144="Per class",$D144*COUNTIFS('Session Tracker'!$D$5:$D$149,$A144,'Session Tracker'!$F$5:$F$149,"Next week",'Session Tracker'!$G$5:$G$149,""),$D144*SUMIFS('Session Tracker'!$J$5:$J$149,'Session Tracker'!$D$5:$D$149,$A144,'Session Tracker'!$F$5:$F$149,"Next week",'Session Tracker'!$G$5:$G$149,""))</f>
        <v>0</v>
      </c>
    </row>
    <row r="145" customFormat="false" ht="15" hidden="false" customHeight="false" outlineLevel="0" collapsed="false">
      <c r="A145" s="61" t="s">
        <v>166</v>
      </c>
      <c r="B145" s="34" t="s">
        <v>419</v>
      </c>
      <c r="C145" s="34" t="s">
        <v>529</v>
      </c>
      <c r="D145" s="32" t="n">
        <v>1</v>
      </c>
      <c r="E145" s="32" t="s">
        <v>16</v>
      </c>
      <c r="F145" s="32" t="s">
        <v>373</v>
      </c>
      <c r="G145" s="34" t="s">
        <v>496</v>
      </c>
      <c r="H145" s="52" t="n">
        <f aca="false">IF($E145="Per class",$D145*COUNTIFS('Session Tracker'!$D$5:$D$149,$A145,'Session Tracker'!$F$5:$F$149,"Next week",'Session Tracker'!$G$5:$G$149,"Mon"),$D145*SUMIFS('Session Tracker'!$J$5:$J$149,'Session Tracker'!$D$5:$D$149,$A145,'Session Tracker'!$F$5:$F$149,"Next week",'Session Tracker'!$G$5:$G$149,"Mon"))</f>
        <v>0</v>
      </c>
      <c r="I145" s="52" t="n">
        <f aca="false">IF($E145="Per class",$D145*COUNTIFS('Session Tracker'!$D$5:$D$149,$A145,'Session Tracker'!$F$5:$F$149,"Next week",'Session Tracker'!$G$5:$G$149,"Tue"),$D145*SUMIFS('Session Tracker'!$J$5:$J$149,'Session Tracker'!$D$5:$D$149,$A145,'Session Tracker'!$F$5:$F$149,"Next week",'Session Tracker'!$G$5:$G$149,"Tue"))</f>
        <v>0</v>
      </c>
      <c r="J145" s="52" t="n">
        <f aca="false">IF($E145="Per class",$D145*COUNTIFS('Session Tracker'!$D$5:$D$149,$A145,'Session Tracker'!$F$5:$F$149,"Next week",'Session Tracker'!$G$5:$G$149,"Wed"),$D145*SUMIFS('Session Tracker'!$J$5:$J$149,'Session Tracker'!$D$5:$D$149,$A145,'Session Tracker'!$F$5:$F$149,"Next week",'Session Tracker'!$G$5:$G$149,"Wed"))</f>
        <v>0</v>
      </c>
      <c r="K145" s="52" t="n">
        <f aca="false">IF($E145="Per class",$D145*COUNTIFS('Session Tracker'!$D$5:$D$149,$A145,'Session Tracker'!$F$5:$F$149,"Next week",'Session Tracker'!$G$5:$G$149,"Thu"),$D145*SUMIFS('Session Tracker'!$J$5:$J$149,'Session Tracker'!$D$5:$D$149,$A145,'Session Tracker'!$F$5:$F$149,"Next week",'Session Tracker'!$G$5:$G$149,"Thu"))</f>
        <v>0</v>
      </c>
      <c r="L145" s="52" t="n">
        <f aca="false">IF($E145="Per class",$D145*COUNTIFS('Session Tracker'!$D$5:$D$149,$A145,'Session Tracker'!$F$5:$F$149,"Next week",'Session Tracker'!$G$5:$G$149,"Fri"),$D145*SUMIFS('Session Tracker'!$J$5:$J$149,'Session Tracker'!$D$5:$D$149,$A145,'Session Tracker'!$F$5:$F$149,"Next week",'Session Tracker'!$G$5:$G$149,"Fri"))</f>
        <v>0</v>
      </c>
      <c r="M145" s="52" t="n">
        <f aca="false">IF($E145="Per class",$D145*COUNTIFS('Session Tracker'!$D$5:$D$149,$A145,'Session Tracker'!$F$5:$F$149,"Next week",'Session Tracker'!$G$5:$G$149,""),$D145*SUMIFS('Session Tracker'!$J$5:$J$149,'Session Tracker'!$D$5:$D$149,$A145,'Session Tracker'!$F$5:$F$149,"Next week",'Session Tracker'!$G$5:$G$149,""))</f>
        <v>0</v>
      </c>
    </row>
    <row r="146" customFormat="false" ht="15" hidden="false" customHeight="false" outlineLevel="0" collapsed="false">
      <c r="A146" s="61" t="s">
        <v>166</v>
      </c>
      <c r="B146" s="34" t="s">
        <v>379</v>
      </c>
      <c r="C146" s="34" t="s">
        <v>380</v>
      </c>
      <c r="D146" s="32" t="n">
        <v>1</v>
      </c>
      <c r="E146" s="32" t="s">
        <v>14</v>
      </c>
      <c r="F146" s="32" t="s">
        <v>368</v>
      </c>
      <c r="G146" s="34"/>
      <c r="H146" s="52" t="n">
        <f aca="false">IF($E146="Per class",$D146*COUNTIFS('Session Tracker'!$D$5:$D$149,$A146,'Session Tracker'!$F$5:$F$149,"Next week",'Session Tracker'!$G$5:$G$149,"Mon"),$D146*SUMIFS('Session Tracker'!$J$5:$J$149,'Session Tracker'!$D$5:$D$149,$A146,'Session Tracker'!$F$5:$F$149,"Next week",'Session Tracker'!$G$5:$G$149,"Mon"))</f>
        <v>0</v>
      </c>
      <c r="I146" s="52" t="n">
        <f aca="false">IF($E146="Per class",$D146*COUNTIFS('Session Tracker'!$D$5:$D$149,$A146,'Session Tracker'!$F$5:$F$149,"Next week",'Session Tracker'!$G$5:$G$149,"Tue"),$D146*SUMIFS('Session Tracker'!$J$5:$J$149,'Session Tracker'!$D$5:$D$149,$A146,'Session Tracker'!$F$5:$F$149,"Next week",'Session Tracker'!$G$5:$G$149,"Tue"))</f>
        <v>0</v>
      </c>
      <c r="J146" s="52" t="n">
        <f aca="false">IF($E146="Per class",$D146*COUNTIFS('Session Tracker'!$D$5:$D$149,$A146,'Session Tracker'!$F$5:$F$149,"Next week",'Session Tracker'!$G$5:$G$149,"Wed"),$D146*SUMIFS('Session Tracker'!$J$5:$J$149,'Session Tracker'!$D$5:$D$149,$A146,'Session Tracker'!$F$5:$F$149,"Next week",'Session Tracker'!$G$5:$G$149,"Wed"))</f>
        <v>0</v>
      </c>
      <c r="K146" s="52" t="n">
        <f aca="false">IF($E146="Per class",$D146*COUNTIFS('Session Tracker'!$D$5:$D$149,$A146,'Session Tracker'!$F$5:$F$149,"Next week",'Session Tracker'!$G$5:$G$149,"Thu"),$D146*SUMIFS('Session Tracker'!$J$5:$J$149,'Session Tracker'!$D$5:$D$149,$A146,'Session Tracker'!$F$5:$F$149,"Next week",'Session Tracker'!$G$5:$G$149,"Thu"))</f>
        <v>0</v>
      </c>
      <c r="L146" s="52" t="n">
        <f aca="false">IF($E146="Per class",$D146*COUNTIFS('Session Tracker'!$D$5:$D$149,$A146,'Session Tracker'!$F$5:$F$149,"Next week",'Session Tracker'!$G$5:$G$149,"Fri"),$D146*SUMIFS('Session Tracker'!$J$5:$J$149,'Session Tracker'!$D$5:$D$149,$A146,'Session Tracker'!$F$5:$F$149,"Next week",'Session Tracker'!$G$5:$G$149,"Fri"))</f>
        <v>0</v>
      </c>
      <c r="M146" s="52" t="n">
        <f aca="false">IF($E146="Per class",$D146*COUNTIFS('Session Tracker'!$D$5:$D$149,$A146,'Session Tracker'!$F$5:$F$149,"Next week",'Session Tracker'!$G$5:$G$149,""),$D146*SUMIFS('Session Tracker'!$J$5:$J$149,'Session Tracker'!$D$5:$D$149,$A146,'Session Tracker'!$F$5:$F$149,"Next week",'Session Tracker'!$G$5:$G$149,""))</f>
        <v>0</v>
      </c>
    </row>
    <row r="147" customFormat="false" ht="15" hidden="false" customHeight="false" outlineLevel="0" collapsed="false">
      <c r="A147" s="61" t="s">
        <v>166</v>
      </c>
      <c r="B147" s="34" t="s">
        <v>379</v>
      </c>
      <c r="C147" s="34" t="s">
        <v>381</v>
      </c>
      <c r="D147" s="32" t="n">
        <v>12</v>
      </c>
      <c r="E147" s="32" t="s">
        <v>14</v>
      </c>
      <c r="F147" s="32" t="s">
        <v>368</v>
      </c>
      <c r="G147" s="34"/>
      <c r="H147" s="52" t="n">
        <f aca="false">IF($E147="Per class",$D147*COUNTIFS('Session Tracker'!$D$5:$D$149,$A147,'Session Tracker'!$F$5:$F$149,"Next week",'Session Tracker'!$G$5:$G$149,"Mon"),$D147*SUMIFS('Session Tracker'!$J$5:$J$149,'Session Tracker'!$D$5:$D$149,$A147,'Session Tracker'!$F$5:$F$149,"Next week",'Session Tracker'!$G$5:$G$149,"Mon"))</f>
        <v>0</v>
      </c>
      <c r="I147" s="52" t="n">
        <f aca="false">IF($E147="Per class",$D147*COUNTIFS('Session Tracker'!$D$5:$D$149,$A147,'Session Tracker'!$F$5:$F$149,"Next week",'Session Tracker'!$G$5:$G$149,"Tue"),$D147*SUMIFS('Session Tracker'!$J$5:$J$149,'Session Tracker'!$D$5:$D$149,$A147,'Session Tracker'!$F$5:$F$149,"Next week",'Session Tracker'!$G$5:$G$149,"Tue"))</f>
        <v>0</v>
      </c>
      <c r="J147" s="52" t="n">
        <f aca="false">IF($E147="Per class",$D147*COUNTIFS('Session Tracker'!$D$5:$D$149,$A147,'Session Tracker'!$F$5:$F$149,"Next week",'Session Tracker'!$G$5:$G$149,"Wed"),$D147*SUMIFS('Session Tracker'!$J$5:$J$149,'Session Tracker'!$D$5:$D$149,$A147,'Session Tracker'!$F$5:$F$149,"Next week",'Session Tracker'!$G$5:$G$149,"Wed"))</f>
        <v>0</v>
      </c>
      <c r="K147" s="52" t="n">
        <f aca="false">IF($E147="Per class",$D147*COUNTIFS('Session Tracker'!$D$5:$D$149,$A147,'Session Tracker'!$F$5:$F$149,"Next week",'Session Tracker'!$G$5:$G$149,"Thu"),$D147*SUMIFS('Session Tracker'!$J$5:$J$149,'Session Tracker'!$D$5:$D$149,$A147,'Session Tracker'!$F$5:$F$149,"Next week",'Session Tracker'!$G$5:$G$149,"Thu"))</f>
        <v>0</v>
      </c>
      <c r="L147" s="52" t="n">
        <f aca="false">IF($E147="Per class",$D147*COUNTIFS('Session Tracker'!$D$5:$D$149,$A147,'Session Tracker'!$F$5:$F$149,"Next week",'Session Tracker'!$G$5:$G$149,"Fri"),$D147*SUMIFS('Session Tracker'!$J$5:$J$149,'Session Tracker'!$D$5:$D$149,$A147,'Session Tracker'!$F$5:$F$149,"Next week",'Session Tracker'!$G$5:$G$149,"Fri"))</f>
        <v>0</v>
      </c>
      <c r="M147" s="52" t="n">
        <f aca="false">IF($E147="Per class",$D147*COUNTIFS('Session Tracker'!$D$5:$D$149,$A147,'Session Tracker'!$F$5:$F$149,"Next week",'Session Tracker'!$G$5:$G$149,""),$D147*SUMIFS('Session Tracker'!$J$5:$J$149,'Session Tracker'!$D$5:$D$149,$A147,'Session Tracker'!$F$5:$F$149,"Next week",'Session Tracker'!$G$5:$G$149,""))</f>
        <v>0</v>
      </c>
    </row>
    <row r="148" customFormat="false" ht="15" hidden="false" customHeight="false" outlineLevel="0" collapsed="false">
      <c r="A148" s="61" t="s">
        <v>166</v>
      </c>
      <c r="B148" s="34" t="s">
        <v>379</v>
      </c>
      <c r="C148" s="34" t="s">
        <v>395</v>
      </c>
      <c r="D148" s="32" t="n">
        <v>8</v>
      </c>
      <c r="E148" s="32" t="s">
        <v>14</v>
      </c>
      <c r="F148" s="32" t="s">
        <v>368</v>
      </c>
      <c r="G148" s="34"/>
      <c r="H148" s="52" t="n">
        <f aca="false">IF($E148="Per class",$D148*COUNTIFS('Session Tracker'!$D$5:$D$149,$A148,'Session Tracker'!$F$5:$F$149,"Next week",'Session Tracker'!$G$5:$G$149,"Mon"),$D148*SUMIFS('Session Tracker'!$J$5:$J$149,'Session Tracker'!$D$5:$D$149,$A148,'Session Tracker'!$F$5:$F$149,"Next week",'Session Tracker'!$G$5:$G$149,"Mon"))</f>
        <v>0</v>
      </c>
      <c r="I148" s="52" t="n">
        <f aca="false">IF($E148="Per class",$D148*COUNTIFS('Session Tracker'!$D$5:$D$149,$A148,'Session Tracker'!$F$5:$F$149,"Next week",'Session Tracker'!$G$5:$G$149,"Tue"),$D148*SUMIFS('Session Tracker'!$J$5:$J$149,'Session Tracker'!$D$5:$D$149,$A148,'Session Tracker'!$F$5:$F$149,"Next week",'Session Tracker'!$G$5:$G$149,"Tue"))</f>
        <v>0</v>
      </c>
      <c r="J148" s="52" t="n">
        <f aca="false">IF($E148="Per class",$D148*COUNTIFS('Session Tracker'!$D$5:$D$149,$A148,'Session Tracker'!$F$5:$F$149,"Next week",'Session Tracker'!$G$5:$G$149,"Wed"),$D148*SUMIFS('Session Tracker'!$J$5:$J$149,'Session Tracker'!$D$5:$D$149,$A148,'Session Tracker'!$F$5:$F$149,"Next week",'Session Tracker'!$G$5:$G$149,"Wed"))</f>
        <v>0</v>
      </c>
      <c r="K148" s="52" t="n">
        <f aca="false">IF($E148="Per class",$D148*COUNTIFS('Session Tracker'!$D$5:$D$149,$A148,'Session Tracker'!$F$5:$F$149,"Next week",'Session Tracker'!$G$5:$G$149,"Thu"),$D148*SUMIFS('Session Tracker'!$J$5:$J$149,'Session Tracker'!$D$5:$D$149,$A148,'Session Tracker'!$F$5:$F$149,"Next week",'Session Tracker'!$G$5:$G$149,"Thu"))</f>
        <v>0</v>
      </c>
      <c r="L148" s="52" t="n">
        <f aca="false">IF($E148="Per class",$D148*COUNTIFS('Session Tracker'!$D$5:$D$149,$A148,'Session Tracker'!$F$5:$F$149,"Next week",'Session Tracker'!$G$5:$G$149,"Fri"),$D148*SUMIFS('Session Tracker'!$J$5:$J$149,'Session Tracker'!$D$5:$D$149,$A148,'Session Tracker'!$F$5:$F$149,"Next week",'Session Tracker'!$G$5:$G$149,"Fri"))</f>
        <v>0</v>
      </c>
      <c r="M148" s="52" t="n">
        <f aca="false">IF($E148="Per class",$D148*COUNTIFS('Session Tracker'!$D$5:$D$149,$A148,'Session Tracker'!$F$5:$F$149,"Next week",'Session Tracker'!$G$5:$G$149,""),$D148*SUMIFS('Session Tracker'!$J$5:$J$149,'Session Tracker'!$D$5:$D$149,$A148,'Session Tracker'!$F$5:$F$149,"Next week",'Session Tracker'!$G$5:$G$149,""))</f>
        <v>0</v>
      </c>
    </row>
    <row r="149" customFormat="false" ht="15" hidden="false" customHeight="false" outlineLevel="0" collapsed="false">
      <c r="A149" s="61" t="s">
        <v>166</v>
      </c>
      <c r="B149" s="34" t="s">
        <v>382</v>
      </c>
      <c r="C149" s="34" t="s">
        <v>383</v>
      </c>
      <c r="D149" s="32" t="n">
        <v>1</v>
      </c>
      <c r="E149" s="32" t="s">
        <v>14</v>
      </c>
      <c r="F149" s="32" t="s">
        <v>368</v>
      </c>
      <c r="G149" s="34"/>
      <c r="H149" s="52" t="n">
        <f aca="false">IF($E149="Per class",$D149*COUNTIFS('Session Tracker'!$D$5:$D$149,$A149,'Session Tracker'!$F$5:$F$149,"Next week",'Session Tracker'!$G$5:$G$149,"Mon"),$D149*SUMIFS('Session Tracker'!$J$5:$J$149,'Session Tracker'!$D$5:$D$149,$A149,'Session Tracker'!$F$5:$F$149,"Next week",'Session Tracker'!$G$5:$G$149,"Mon"))</f>
        <v>0</v>
      </c>
      <c r="I149" s="52" t="n">
        <f aca="false">IF($E149="Per class",$D149*COUNTIFS('Session Tracker'!$D$5:$D$149,$A149,'Session Tracker'!$F$5:$F$149,"Next week",'Session Tracker'!$G$5:$G$149,"Tue"),$D149*SUMIFS('Session Tracker'!$J$5:$J$149,'Session Tracker'!$D$5:$D$149,$A149,'Session Tracker'!$F$5:$F$149,"Next week",'Session Tracker'!$G$5:$G$149,"Tue"))</f>
        <v>0</v>
      </c>
      <c r="J149" s="52" t="n">
        <f aca="false">IF($E149="Per class",$D149*COUNTIFS('Session Tracker'!$D$5:$D$149,$A149,'Session Tracker'!$F$5:$F$149,"Next week",'Session Tracker'!$G$5:$G$149,"Wed"),$D149*SUMIFS('Session Tracker'!$J$5:$J$149,'Session Tracker'!$D$5:$D$149,$A149,'Session Tracker'!$F$5:$F$149,"Next week",'Session Tracker'!$G$5:$G$149,"Wed"))</f>
        <v>0</v>
      </c>
      <c r="K149" s="52" t="n">
        <f aca="false">IF($E149="Per class",$D149*COUNTIFS('Session Tracker'!$D$5:$D$149,$A149,'Session Tracker'!$F$5:$F$149,"Next week",'Session Tracker'!$G$5:$G$149,"Thu"),$D149*SUMIFS('Session Tracker'!$J$5:$J$149,'Session Tracker'!$D$5:$D$149,$A149,'Session Tracker'!$F$5:$F$149,"Next week",'Session Tracker'!$G$5:$G$149,"Thu"))</f>
        <v>0</v>
      </c>
      <c r="L149" s="52" t="n">
        <f aca="false">IF($E149="Per class",$D149*COUNTIFS('Session Tracker'!$D$5:$D$149,$A149,'Session Tracker'!$F$5:$F$149,"Next week",'Session Tracker'!$G$5:$G$149,"Fri"),$D149*SUMIFS('Session Tracker'!$J$5:$J$149,'Session Tracker'!$D$5:$D$149,$A149,'Session Tracker'!$F$5:$F$149,"Next week",'Session Tracker'!$G$5:$G$149,"Fri"))</f>
        <v>0</v>
      </c>
      <c r="M149" s="52" t="n">
        <f aca="false">IF($E149="Per class",$D149*COUNTIFS('Session Tracker'!$D$5:$D$149,$A149,'Session Tracker'!$F$5:$F$149,"Next week",'Session Tracker'!$G$5:$G$149,""),$D149*SUMIFS('Session Tracker'!$J$5:$J$149,'Session Tracker'!$D$5:$D$149,$A149,'Session Tracker'!$F$5:$F$149,"Next week",'Session Tracker'!$G$5:$G$149,""))</f>
        <v>0</v>
      </c>
    </row>
    <row r="150" customFormat="false" ht="15" hidden="false" customHeight="false" outlineLevel="0" collapsed="false">
      <c r="A150" s="53" t="s">
        <v>166</v>
      </c>
      <c r="B150" s="54"/>
      <c r="C150" s="54"/>
      <c r="D150" s="54"/>
      <c r="E150" s="54"/>
      <c r="F150" s="54"/>
      <c r="G150" s="54"/>
      <c r="H150" s="52" t="n">
        <f aca="false">IF($E150="Per class",$D150*COUNTIFS('Session Tracker'!$D$5:$D$149,$A150,'Session Tracker'!$F$5:$F$149,"Next week",'Session Tracker'!$G$5:$G$149,"Mon"),$D150*SUMIFS('Session Tracker'!$J$5:$J$149,'Session Tracker'!$D$5:$D$149,$A150,'Session Tracker'!$F$5:$F$149,"Next week",'Session Tracker'!$G$5:$G$149,"Mon"))</f>
        <v>0</v>
      </c>
      <c r="I150" s="52" t="n">
        <f aca="false">IF($E150="Per class",$D150*COUNTIFS('Session Tracker'!$D$5:$D$149,$A150,'Session Tracker'!$F$5:$F$149,"Next week",'Session Tracker'!$G$5:$G$149,"Tue"),$D150*SUMIFS('Session Tracker'!$J$5:$J$149,'Session Tracker'!$D$5:$D$149,$A150,'Session Tracker'!$F$5:$F$149,"Next week",'Session Tracker'!$G$5:$G$149,"Tue"))</f>
        <v>0</v>
      </c>
      <c r="J150" s="52" t="n">
        <f aca="false">IF($E150="Per class",$D150*COUNTIFS('Session Tracker'!$D$5:$D$149,$A150,'Session Tracker'!$F$5:$F$149,"Next week",'Session Tracker'!$G$5:$G$149,"Wed"),$D150*SUMIFS('Session Tracker'!$J$5:$J$149,'Session Tracker'!$D$5:$D$149,$A150,'Session Tracker'!$F$5:$F$149,"Next week",'Session Tracker'!$G$5:$G$149,"Wed"))</f>
        <v>0</v>
      </c>
      <c r="K150" s="52" t="n">
        <f aca="false">IF($E150="Per class",$D150*COUNTIFS('Session Tracker'!$D$5:$D$149,$A150,'Session Tracker'!$F$5:$F$149,"Next week",'Session Tracker'!$G$5:$G$149,"Thu"),$D150*SUMIFS('Session Tracker'!$J$5:$J$149,'Session Tracker'!$D$5:$D$149,$A150,'Session Tracker'!$F$5:$F$149,"Next week",'Session Tracker'!$G$5:$G$149,"Thu"))</f>
        <v>0</v>
      </c>
      <c r="L150" s="52" t="n">
        <f aca="false">IF($E150="Per class",$D150*COUNTIFS('Session Tracker'!$D$5:$D$149,$A150,'Session Tracker'!$F$5:$F$149,"Next week",'Session Tracker'!$G$5:$G$149,"Fri"),$D150*SUMIFS('Session Tracker'!$J$5:$J$149,'Session Tracker'!$D$5:$D$149,$A150,'Session Tracker'!$F$5:$F$149,"Next week",'Session Tracker'!$G$5:$G$149,"Fri"))</f>
        <v>0</v>
      </c>
      <c r="M150" s="52" t="n">
        <f aca="false">IF($E150="Per class",$D150*COUNTIFS('Session Tracker'!$D$5:$D$149,$A150,'Session Tracker'!$F$5:$F$149,"Next week",'Session Tracker'!$G$5:$G$149,""),$D150*SUMIFS('Session Tracker'!$J$5:$J$149,'Session Tracker'!$D$5:$D$149,$A150,'Session Tracker'!$F$5:$F$149,"Next week",'Session Tracker'!$G$5:$G$149,""))</f>
        <v>0</v>
      </c>
    </row>
    <row r="151" customFormat="false" ht="15" hidden="false" customHeight="false" outlineLevel="0" collapsed="false">
      <c r="A151" s="53" t="s">
        <v>166</v>
      </c>
      <c r="B151" s="54"/>
      <c r="C151" s="54"/>
      <c r="D151" s="54"/>
      <c r="E151" s="54"/>
      <c r="F151" s="54"/>
      <c r="G151" s="54"/>
      <c r="H151" s="52" t="n">
        <f aca="false">IF($E151="Per class",$D151*COUNTIFS('Session Tracker'!$D$5:$D$149,$A151,'Session Tracker'!$F$5:$F$149,"Next week",'Session Tracker'!$G$5:$G$149,"Mon"),$D151*SUMIFS('Session Tracker'!$J$5:$J$149,'Session Tracker'!$D$5:$D$149,$A151,'Session Tracker'!$F$5:$F$149,"Next week",'Session Tracker'!$G$5:$G$149,"Mon"))</f>
        <v>0</v>
      </c>
      <c r="I151" s="52" t="n">
        <f aca="false">IF($E151="Per class",$D151*COUNTIFS('Session Tracker'!$D$5:$D$149,$A151,'Session Tracker'!$F$5:$F$149,"Next week",'Session Tracker'!$G$5:$G$149,"Tue"),$D151*SUMIFS('Session Tracker'!$J$5:$J$149,'Session Tracker'!$D$5:$D$149,$A151,'Session Tracker'!$F$5:$F$149,"Next week",'Session Tracker'!$G$5:$G$149,"Tue"))</f>
        <v>0</v>
      </c>
      <c r="J151" s="52" t="n">
        <f aca="false">IF($E151="Per class",$D151*COUNTIFS('Session Tracker'!$D$5:$D$149,$A151,'Session Tracker'!$F$5:$F$149,"Next week",'Session Tracker'!$G$5:$G$149,"Wed"),$D151*SUMIFS('Session Tracker'!$J$5:$J$149,'Session Tracker'!$D$5:$D$149,$A151,'Session Tracker'!$F$5:$F$149,"Next week",'Session Tracker'!$G$5:$G$149,"Wed"))</f>
        <v>0</v>
      </c>
      <c r="K151" s="52" t="n">
        <f aca="false">IF($E151="Per class",$D151*COUNTIFS('Session Tracker'!$D$5:$D$149,$A151,'Session Tracker'!$F$5:$F$149,"Next week",'Session Tracker'!$G$5:$G$149,"Thu"),$D151*SUMIFS('Session Tracker'!$J$5:$J$149,'Session Tracker'!$D$5:$D$149,$A151,'Session Tracker'!$F$5:$F$149,"Next week",'Session Tracker'!$G$5:$G$149,"Thu"))</f>
        <v>0</v>
      </c>
      <c r="L151" s="52" t="n">
        <f aca="false">IF($E151="Per class",$D151*COUNTIFS('Session Tracker'!$D$5:$D$149,$A151,'Session Tracker'!$F$5:$F$149,"Next week",'Session Tracker'!$G$5:$G$149,"Fri"),$D151*SUMIFS('Session Tracker'!$J$5:$J$149,'Session Tracker'!$D$5:$D$149,$A151,'Session Tracker'!$F$5:$F$149,"Next week",'Session Tracker'!$G$5:$G$149,"Fri"))</f>
        <v>0</v>
      </c>
      <c r="M151" s="52" t="n">
        <f aca="false">IF($E151="Per class",$D151*COUNTIFS('Session Tracker'!$D$5:$D$149,$A151,'Session Tracker'!$F$5:$F$149,"Next week",'Session Tracker'!$G$5:$G$149,""),$D151*SUMIFS('Session Tracker'!$J$5:$J$149,'Session Tracker'!$D$5:$D$149,$A151,'Session Tracker'!$F$5:$F$149,"Next week",'Session Tracker'!$G$5:$G$149,""))</f>
        <v>0</v>
      </c>
    </row>
    <row r="153" customFormat="false" ht="19.5" hidden="false" customHeight="true" outlineLevel="0" collapsed="false">
      <c r="A153" s="57" t="s">
        <v>168</v>
      </c>
      <c r="B153" s="58" t="s">
        <v>530</v>
      </c>
      <c r="C153" s="58"/>
      <c r="D153" s="58"/>
      <c r="E153" s="58"/>
      <c r="F153" s="59" t="str">
        <f aca="false">"Status: "&amp;'Session Tracker'!F52&amp;IF('Session Tracker'!G52&lt;&gt;""," ("&amp;'Session Tracker'!G52&amp;")","")</f>
        <v>Status: Not started</v>
      </c>
      <c r="G153" s="59"/>
      <c r="H153" s="60"/>
      <c r="I153" s="60"/>
      <c r="J153" s="60"/>
      <c r="K153" s="60"/>
      <c r="L153" s="60"/>
      <c r="M153" s="60"/>
    </row>
    <row r="154" customFormat="false" ht="23.85" hidden="false" customHeight="false" outlineLevel="0" collapsed="false">
      <c r="A154" s="61" t="s">
        <v>168</v>
      </c>
      <c r="B154" s="34" t="s">
        <v>366</v>
      </c>
      <c r="C154" s="34" t="s">
        <v>367</v>
      </c>
      <c r="D154" s="32" t="n">
        <v>1</v>
      </c>
      <c r="E154" s="32" t="s">
        <v>14</v>
      </c>
      <c r="F154" s="32" t="s">
        <v>368</v>
      </c>
      <c r="G154" s="34"/>
      <c r="H154" s="52" t="n">
        <f aca="false">IF($E154="Per class",$D154*COUNTIFS('Session Tracker'!$D$5:$D$149,$A154,'Session Tracker'!$F$5:$F$149,"Next week",'Session Tracker'!$G$5:$G$149,"Mon"),$D154*SUMIFS('Session Tracker'!$J$5:$J$149,'Session Tracker'!$D$5:$D$149,$A154,'Session Tracker'!$F$5:$F$149,"Next week",'Session Tracker'!$G$5:$G$149,"Mon"))</f>
        <v>0</v>
      </c>
      <c r="I154" s="52" t="n">
        <f aca="false">IF($E154="Per class",$D154*COUNTIFS('Session Tracker'!$D$5:$D$149,$A154,'Session Tracker'!$F$5:$F$149,"Next week",'Session Tracker'!$G$5:$G$149,"Tue"),$D154*SUMIFS('Session Tracker'!$J$5:$J$149,'Session Tracker'!$D$5:$D$149,$A154,'Session Tracker'!$F$5:$F$149,"Next week",'Session Tracker'!$G$5:$G$149,"Tue"))</f>
        <v>0</v>
      </c>
      <c r="J154" s="52" t="n">
        <f aca="false">IF($E154="Per class",$D154*COUNTIFS('Session Tracker'!$D$5:$D$149,$A154,'Session Tracker'!$F$5:$F$149,"Next week",'Session Tracker'!$G$5:$G$149,"Wed"),$D154*SUMIFS('Session Tracker'!$J$5:$J$149,'Session Tracker'!$D$5:$D$149,$A154,'Session Tracker'!$F$5:$F$149,"Next week",'Session Tracker'!$G$5:$G$149,"Wed"))</f>
        <v>0</v>
      </c>
      <c r="K154" s="52" t="n">
        <f aca="false">IF($E154="Per class",$D154*COUNTIFS('Session Tracker'!$D$5:$D$149,$A154,'Session Tracker'!$F$5:$F$149,"Next week",'Session Tracker'!$G$5:$G$149,"Thu"),$D154*SUMIFS('Session Tracker'!$J$5:$J$149,'Session Tracker'!$D$5:$D$149,$A154,'Session Tracker'!$F$5:$F$149,"Next week",'Session Tracker'!$G$5:$G$149,"Thu"))</f>
        <v>0</v>
      </c>
      <c r="L154" s="52" t="n">
        <f aca="false">IF($E154="Per class",$D154*COUNTIFS('Session Tracker'!$D$5:$D$149,$A154,'Session Tracker'!$F$5:$F$149,"Next week",'Session Tracker'!$G$5:$G$149,"Fri"),$D154*SUMIFS('Session Tracker'!$J$5:$J$149,'Session Tracker'!$D$5:$D$149,$A154,'Session Tracker'!$F$5:$F$149,"Next week",'Session Tracker'!$G$5:$G$149,"Fri"))</f>
        <v>0</v>
      </c>
      <c r="M154" s="52" t="n">
        <f aca="false">IF($E154="Per class",$D154*COUNTIFS('Session Tracker'!$D$5:$D$149,$A154,'Session Tracker'!$F$5:$F$149,"Next week",'Session Tracker'!$G$5:$G$149,""),$D154*SUMIFS('Session Tracker'!$J$5:$J$149,'Session Tracker'!$D$5:$D$149,$A154,'Session Tracker'!$F$5:$F$149,"Next week",'Session Tracker'!$G$5:$G$149,""))</f>
        <v>0</v>
      </c>
    </row>
    <row r="155" customFormat="false" ht="15" hidden="false" customHeight="false" outlineLevel="0" collapsed="false">
      <c r="A155" s="61" t="s">
        <v>168</v>
      </c>
      <c r="B155" s="34" t="s">
        <v>369</v>
      </c>
      <c r="C155" s="34" t="s">
        <v>430</v>
      </c>
      <c r="D155" s="32" t="n">
        <v>1</v>
      </c>
      <c r="E155" s="32" t="s">
        <v>14</v>
      </c>
      <c r="F155" s="32" t="s">
        <v>368</v>
      </c>
      <c r="G155" s="34"/>
      <c r="H155" s="52" t="n">
        <f aca="false">IF($E155="Per class",$D155*COUNTIFS('Session Tracker'!$D$5:$D$149,$A155,'Session Tracker'!$F$5:$F$149,"Next week",'Session Tracker'!$G$5:$G$149,"Mon"),$D155*SUMIFS('Session Tracker'!$J$5:$J$149,'Session Tracker'!$D$5:$D$149,$A155,'Session Tracker'!$F$5:$F$149,"Next week",'Session Tracker'!$G$5:$G$149,"Mon"))</f>
        <v>0</v>
      </c>
      <c r="I155" s="52" t="n">
        <f aca="false">IF($E155="Per class",$D155*COUNTIFS('Session Tracker'!$D$5:$D$149,$A155,'Session Tracker'!$F$5:$F$149,"Next week",'Session Tracker'!$G$5:$G$149,"Tue"),$D155*SUMIFS('Session Tracker'!$J$5:$J$149,'Session Tracker'!$D$5:$D$149,$A155,'Session Tracker'!$F$5:$F$149,"Next week",'Session Tracker'!$G$5:$G$149,"Tue"))</f>
        <v>0</v>
      </c>
      <c r="J155" s="52" t="n">
        <f aca="false">IF($E155="Per class",$D155*COUNTIFS('Session Tracker'!$D$5:$D$149,$A155,'Session Tracker'!$F$5:$F$149,"Next week",'Session Tracker'!$G$5:$G$149,"Wed"),$D155*SUMIFS('Session Tracker'!$J$5:$J$149,'Session Tracker'!$D$5:$D$149,$A155,'Session Tracker'!$F$5:$F$149,"Next week",'Session Tracker'!$G$5:$G$149,"Wed"))</f>
        <v>0</v>
      </c>
      <c r="K155" s="52" t="n">
        <f aca="false">IF($E155="Per class",$D155*COUNTIFS('Session Tracker'!$D$5:$D$149,$A155,'Session Tracker'!$F$5:$F$149,"Next week",'Session Tracker'!$G$5:$G$149,"Thu"),$D155*SUMIFS('Session Tracker'!$J$5:$J$149,'Session Tracker'!$D$5:$D$149,$A155,'Session Tracker'!$F$5:$F$149,"Next week",'Session Tracker'!$G$5:$G$149,"Thu"))</f>
        <v>0</v>
      </c>
      <c r="L155" s="52" t="n">
        <f aca="false">IF($E155="Per class",$D155*COUNTIFS('Session Tracker'!$D$5:$D$149,$A155,'Session Tracker'!$F$5:$F$149,"Next week",'Session Tracker'!$G$5:$G$149,"Fri"),$D155*SUMIFS('Session Tracker'!$J$5:$J$149,'Session Tracker'!$D$5:$D$149,$A155,'Session Tracker'!$F$5:$F$149,"Next week",'Session Tracker'!$G$5:$G$149,"Fri"))</f>
        <v>0</v>
      </c>
      <c r="M155" s="52" t="n">
        <f aca="false">IF($E155="Per class",$D155*COUNTIFS('Session Tracker'!$D$5:$D$149,$A155,'Session Tracker'!$F$5:$F$149,"Next week",'Session Tracker'!$G$5:$G$149,""),$D155*SUMIFS('Session Tracker'!$J$5:$J$149,'Session Tracker'!$D$5:$D$149,$A155,'Session Tracker'!$F$5:$F$149,"Next week",'Session Tracker'!$G$5:$G$149,""))</f>
        <v>0</v>
      </c>
    </row>
    <row r="156" customFormat="false" ht="15" hidden="false" customHeight="false" outlineLevel="0" collapsed="false">
      <c r="A156" s="61" t="s">
        <v>168</v>
      </c>
      <c r="B156" s="34" t="s">
        <v>377</v>
      </c>
      <c r="C156" s="34" t="s">
        <v>483</v>
      </c>
      <c r="D156" s="32" t="n">
        <v>1</v>
      </c>
      <c r="E156" s="32" t="s">
        <v>14</v>
      </c>
      <c r="F156" s="32" t="s">
        <v>368</v>
      </c>
      <c r="G156" s="34" t="s">
        <v>531</v>
      </c>
      <c r="H156" s="52" t="n">
        <f aca="false">IF($E156="Per class",$D156*COUNTIFS('Session Tracker'!$D$5:$D$149,$A156,'Session Tracker'!$F$5:$F$149,"Next week",'Session Tracker'!$G$5:$G$149,"Mon"),$D156*SUMIFS('Session Tracker'!$J$5:$J$149,'Session Tracker'!$D$5:$D$149,$A156,'Session Tracker'!$F$5:$F$149,"Next week",'Session Tracker'!$G$5:$G$149,"Mon"))</f>
        <v>0</v>
      </c>
      <c r="I156" s="52" t="n">
        <f aca="false">IF($E156="Per class",$D156*COUNTIFS('Session Tracker'!$D$5:$D$149,$A156,'Session Tracker'!$F$5:$F$149,"Next week",'Session Tracker'!$G$5:$G$149,"Tue"),$D156*SUMIFS('Session Tracker'!$J$5:$J$149,'Session Tracker'!$D$5:$D$149,$A156,'Session Tracker'!$F$5:$F$149,"Next week",'Session Tracker'!$G$5:$G$149,"Tue"))</f>
        <v>0</v>
      </c>
      <c r="J156" s="52" t="n">
        <f aca="false">IF($E156="Per class",$D156*COUNTIFS('Session Tracker'!$D$5:$D$149,$A156,'Session Tracker'!$F$5:$F$149,"Next week",'Session Tracker'!$G$5:$G$149,"Wed"),$D156*SUMIFS('Session Tracker'!$J$5:$J$149,'Session Tracker'!$D$5:$D$149,$A156,'Session Tracker'!$F$5:$F$149,"Next week",'Session Tracker'!$G$5:$G$149,"Wed"))</f>
        <v>0</v>
      </c>
      <c r="K156" s="52" t="n">
        <f aca="false">IF($E156="Per class",$D156*COUNTIFS('Session Tracker'!$D$5:$D$149,$A156,'Session Tracker'!$F$5:$F$149,"Next week",'Session Tracker'!$G$5:$G$149,"Thu"),$D156*SUMIFS('Session Tracker'!$J$5:$J$149,'Session Tracker'!$D$5:$D$149,$A156,'Session Tracker'!$F$5:$F$149,"Next week",'Session Tracker'!$G$5:$G$149,"Thu"))</f>
        <v>0</v>
      </c>
      <c r="L156" s="52" t="n">
        <f aca="false">IF($E156="Per class",$D156*COUNTIFS('Session Tracker'!$D$5:$D$149,$A156,'Session Tracker'!$F$5:$F$149,"Next week",'Session Tracker'!$G$5:$G$149,"Fri"),$D156*SUMIFS('Session Tracker'!$J$5:$J$149,'Session Tracker'!$D$5:$D$149,$A156,'Session Tracker'!$F$5:$F$149,"Next week",'Session Tracker'!$G$5:$G$149,"Fri"))</f>
        <v>0</v>
      </c>
      <c r="M156" s="52" t="n">
        <f aca="false">IF($E156="Per class",$D156*COUNTIFS('Session Tracker'!$D$5:$D$149,$A156,'Session Tracker'!$F$5:$F$149,"Next week",'Session Tracker'!$G$5:$G$149,""),$D156*SUMIFS('Session Tracker'!$J$5:$J$149,'Session Tracker'!$D$5:$D$149,$A156,'Session Tracker'!$F$5:$F$149,"Next week",'Session Tracker'!$G$5:$G$149,""))</f>
        <v>0</v>
      </c>
    </row>
    <row r="157" customFormat="false" ht="15" hidden="false" customHeight="false" outlineLevel="0" collapsed="false">
      <c r="A157" s="61" t="s">
        <v>168</v>
      </c>
      <c r="B157" s="34" t="s">
        <v>377</v>
      </c>
      <c r="C157" s="34" t="s">
        <v>532</v>
      </c>
      <c r="D157" s="32" t="n">
        <v>1</v>
      </c>
      <c r="E157" s="32" t="s">
        <v>14</v>
      </c>
      <c r="F157" s="32" t="s">
        <v>368</v>
      </c>
      <c r="G157" s="34"/>
      <c r="H157" s="52" t="n">
        <f aca="false">IF($E157="Per class",$D157*COUNTIFS('Session Tracker'!$D$5:$D$149,$A157,'Session Tracker'!$F$5:$F$149,"Next week",'Session Tracker'!$G$5:$G$149,"Mon"),$D157*SUMIFS('Session Tracker'!$J$5:$J$149,'Session Tracker'!$D$5:$D$149,$A157,'Session Tracker'!$F$5:$F$149,"Next week",'Session Tracker'!$G$5:$G$149,"Mon"))</f>
        <v>0</v>
      </c>
      <c r="I157" s="52" t="n">
        <f aca="false">IF($E157="Per class",$D157*COUNTIFS('Session Tracker'!$D$5:$D$149,$A157,'Session Tracker'!$F$5:$F$149,"Next week",'Session Tracker'!$G$5:$G$149,"Tue"),$D157*SUMIFS('Session Tracker'!$J$5:$J$149,'Session Tracker'!$D$5:$D$149,$A157,'Session Tracker'!$F$5:$F$149,"Next week",'Session Tracker'!$G$5:$G$149,"Tue"))</f>
        <v>0</v>
      </c>
      <c r="J157" s="52" t="n">
        <f aca="false">IF($E157="Per class",$D157*COUNTIFS('Session Tracker'!$D$5:$D$149,$A157,'Session Tracker'!$F$5:$F$149,"Next week",'Session Tracker'!$G$5:$G$149,"Wed"),$D157*SUMIFS('Session Tracker'!$J$5:$J$149,'Session Tracker'!$D$5:$D$149,$A157,'Session Tracker'!$F$5:$F$149,"Next week",'Session Tracker'!$G$5:$G$149,"Wed"))</f>
        <v>0</v>
      </c>
      <c r="K157" s="52" t="n">
        <f aca="false">IF($E157="Per class",$D157*COUNTIFS('Session Tracker'!$D$5:$D$149,$A157,'Session Tracker'!$F$5:$F$149,"Next week",'Session Tracker'!$G$5:$G$149,"Thu"),$D157*SUMIFS('Session Tracker'!$J$5:$J$149,'Session Tracker'!$D$5:$D$149,$A157,'Session Tracker'!$F$5:$F$149,"Next week",'Session Tracker'!$G$5:$G$149,"Thu"))</f>
        <v>0</v>
      </c>
      <c r="L157" s="52" t="n">
        <f aca="false">IF($E157="Per class",$D157*COUNTIFS('Session Tracker'!$D$5:$D$149,$A157,'Session Tracker'!$F$5:$F$149,"Next week",'Session Tracker'!$G$5:$G$149,"Fri"),$D157*SUMIFS('Session Tracker'!$J$5:$J$149,'Session Tracker'!$D$5:$D$149,$A157,'Session Tracker'!$F$5:$F$149,"Next week",'Session Tracker'!$G$5:$G$149,"Fri"))</f>
        <v>0</v>
      </c>
      <c r="M157" s="52" t="n">
        <f aca="false">IF($E157="Per class",$D157*COUNTIFS('Session Tracker'!$D$5:$D$149,$A157,'Session Tracker'!$F$5:$F$149,"Next week",'Session Tracker'!$G$5:$G$149,""),$D157*SUMIFS('Session Tracker'!$J$5:$J$149,'Session Tracker'!$D$5:$D$149,$A157,'Session Tracker'!$F$5:$F$149,"Next week",'Session Tracker'!$G$5:$G$149,""))</f>
        <v>0</v>
      </c>
    </row>
    <row r="158" customFormat="false" ht="15" hidden="false" customHeight="false" outlineLevel="0" collapsed="false">
      <c r="A158" s="61" t="s">
        <v>168</v>
      </c>
      <c r="B158" s="34" t="s">
        <v>375</v>
      </c>
      <c r="C158" s="34" t="s">
        <v>387</v>
      </c>
      <c r="D158" s="32" t="n">
        <v>1</v>
      </c>
      <c r="E158" s="32" t="s">
        <v>14</v>
      </c>
      <c r="F158" s="32" t="s">
        <v>368</v>
      </c>
      <c r="G158" s="34"/>
      <c r="H158" s="52" t="n">
        <f aca="false">IF($E158="Per class",$D158*COUNTIFS('Session Tracker'!$D$5:$D$149,$A158,'Session Tracker'!$F$5:$F$149,"Next week",'Session Tracker'!$G$5:$G$149,"Mon"),$D158*SUMIFS('Session Tracker'!$J$5:$J$149,'Session Tracker'!$D$5:$D$149,$A158,'Session Tracker'!$F$5:$F$149,"Next week",'Session Tracker'!$G$5:$G$149,"Mon"))</f>
        <v>0</v>
      </c>
      <c r="I158" s="52" t="n">
        <f aca="false">IF($E158="Per class",$D158*COUNTIFS('Session Tracker'!$D$5:$D$149,$A158,'Session Tracker'!$F$5:$F$149,"Next week",'Session Tracker'!$G$5:$G$149,"Tue"),$D158*SUMIFS('Session Tracker'!$J$5:$J$149,'Session Tracker'!$D$5:$D$149,$A158,'Session Tracker'!$F$5:$F$149,"Next week",'Session Tracker'!$G$5:$G$149,"Tue"))</f>
        <v>0</v>
      </c>
      <c r="J158" s="52" t="n">
        <f aca="false">IF($E158="Per class",$D158*COUNTIFS('Session Tracker'!$D$5:$D$149,$A158,'Session Tracker'!$F$5:$F$149,"Next week",'Session Tracker'!$G$5:$G$149,"Wed"),$D158*SUMIFS('Session Tracker'!$J$5:$J$149,'Session Tracker'!$D$5:$D$149,$A158,'Session Tracker'!$F$5:$F$149,"Next week",'Session Tracker'!$G$5:$G$149,"Wed"))</f>
        <v>0</v>
      </c>
      <c r="K158" s="52" t="n">
        <f aca="false">IF($E158="Per class",$D158*COUNTIFS('Session Tracker'!$D$5:$D$149,$A158,'Session Tracker'!$F$5:$F$149,"Next week",'Session Tracker'!$G$5:$G$149,"Thu"),$D158*SUMIFS('Session Tracker'!$J$5:$J$149,'Session Tracker'!$D$5:$D$149,$A158,'Session Tracker'!$F$5:$F$149,"Next week",'Session Tracker'!$G$5:$G$149,"Thu"))</f>
        <v>0</v>
      </c>
      <c r="L158" s="52" t="n">
        <f aca="false">IF($E158="Per class",$D158*COUNTIFS('Session Tracker'!$D$5:$D$149,$A158,'Session Tracker'!$F$5:$F$149,"Next week",'Session Tracker'!$G$5:$G$149,"Fri"),$D158*SUMIFS('Session Tracker'!$J$5:$J$149,'Session Tracker'!$D$5:$D$149,$A158,'Session Tracker'!$F$5:$F$149,"Next week",'Session Tracker'!$G$5:$G$149,"Fri"))</f>
        <v>0</v>
      </c>
      <c r="M158" s="52" t="n">
        <f aca="false">IF($E158="Per class",$D158*COUNTIFS('Session Tracker'!$D$5:$D$149,$A158,'Session Tracker'!$F$5:$F$149,"Next week",'Session Tracker'!$G$5:$G$149,""),$D158*SUMIFS('Session Tracker'!$J$5:$J$149,'Session Tracker'!$D$5:$D$149,$A158,'Session Tracker'!$F$5:$F$149,"Next week",'Session Tracker'!$G$5:$G$149,""))</f>
        <v>0</v>
      </c>
    </row>
    <row r="159" customFormat="false" ht="15" hidden="false" customHeight="false" outlineLevel="0" collapsed="false">
      <c r="A159" s="61" t="s">
        <v>168</v>
      </c>
      <c r="B159" s="34" t="s">
        <v>371</v>
      </c>
      <c r="C159" s="34" t="s">
        <v>517</v>
      </c>
      <c r="D159" s="32" t="n">
        <v>1</v>
      </c>
      <c r="E159" s="32" t="s">
        <v>14</v>
      </c>
      <c r="F159" s="32" t="s">
        <v>368</v>
      </c>
      <c r="G159" s="34"/>
      <c r="H159" s="52" t="n">
        <f aca="false">IF($E159="Per class",$D159*COUNTIFS('Session Tracker'!$D$5:$D$149,$A159,'Session Tracker'!$F$5:$F$149,"Next week",'Session Tracker'!$G$5:$G$149,"Mon"),$D159*SUMIFS('Session Tracker'!$J$5:$J$149,'Session Tracker'!$D$5:$D$149,$A159,'Session Tracker'!$F$5:$F$149,"Next week",'Session Tracker'!$G$5:$G$149,"Mon"))</f>
        <v>0</v>
      </c>
      <c r="I159" s="52" t="n">
        <f aca="false">IF($E159="Per class",$D159*COUNTIFS('Session Tracker'!$D$5:$D$149,$A159,'Session Tracker'!$F$5:$F$149,"Next week",'Session Tracker'!$G$5:$G$149,"Tue"),$D159*SUMIFS('Session Tracker'!$J$5:$J$149,'Session Tracker'!$D$5:$D$149,$A159,'Session Tracker'!$F$5:$F$149,"Next week",'Session Tracker'!$G$5:$G$149,"Tue"))</f>
        <v>0</v>
      </c>
      <c r="J159" s="52" t="n">
        <f aca="false">IF($E159="Per class",$D159*COUNTIFS('Session Tracker'!$D$5:$D$149,$A159,'Session Tracker'!$F$5:$F$149,"Next week",'Session Tracker'!$G$5:$G$149,"Wed"),$D159*SUMIFS('Session Tracker'!$J$5:$J$149,'Session Tracker'!$D$5:$D$149,$A159,'Session Tracker'!$F$5:$F$149,"Next week",'Session Tracker'!$G$5:$G$149,"Wed"))</f>
        <v>0</v>
      </c>
      <c r="K159" s="52" t="n">
        <f aca="false">IF($E159="Per class",$D159*COUNTIFS('Session Tracker'!$D$5:$D$149,$A159,'Session Tracker'!$F$5:$F$149,"Next week",'Session Tracker'!$G$5:$G$149,"Thu"),$D159*SUMIFS('Session Tracker'!$J$5:$J$149,'Session Tracker'!$D$5:$D$149,$A159,'Session Tracker'!$F$5:$F$149,"Next week",'Session Tracker'!$G$5:$G$149,"Thu"))</f>
        <v>0</v>
      </c>
      <c r="L159" s="52" t="n">
        <f aca="false">IF($E159="Per class",$D159*COUNTIFS('Session Tracker'!$D$5:$D$149,$A159,'Session Tracker'!$F$5:$F$149,"Next week",'Session Tracker'!$G$5:$G$149,"Fri"),$D159*SUMIFS('Session Tracker'!$J$5:$J$149,'Session Tracker'!$D$5:$D$149,$A159,'Session Tracker'!$F$5:$F$149,"Next week",'Session Tracker'!$G$5:$G$149,"Fri"))</f>
        <v>0</v>
      </c>
      <c r="M159" s="52" t="n">
        <f aca="false">IF($E159="Per class",$D159*COUNTIFS('Session Tracker'!$D$5:$D$149,$A159,'Session Tracker'!$F$5:$F$149,"Next week",'Session Tracker'!$G$5:$G$149,""),$D159*SUMIFS('Session Tracker'!$J$5:$J$149,'Session Tracker'!$D$5:$D$149,$A159,'Session Tracker'!$F$5:$F$149,"Next week",'Session Tracker'!$G$5:$G$149,""))</f>
        <v>0</v>
      </c>
    </row>
    <row r="160" customFormat="false" ht="15" hidden="false" customHeight="false" outlineLevel="0" collapsed="false">
      <c r="A160" s="61" t="s">
        <v>168</v>
      </c>
      <c r="B160" s="34" t="s">
        <v>409</v>
      </c>
      <c r="C160" s="34" t="s">
        <v>533</v>
      </c>
      <c r="D160" s="32" t="n">
        <v>1</v>
      </c>
      <c r="E160" s="32" t="s">
        <v>14</v>
      </c>
      <c r="F160" s="32" t="s">
        <v>373</v>
      </c>
      <c r="G160" s="34" t="s">
        <v>534</v>
      </c>
      <c r="H160" s="52" t="n">
        <f aca="false">IF($E160="Per class",$D160*COUNTIFS('Session Tracker'!$D$5:$D$149,$A160,'Session Tracker'!$F$5:$F$149,"Next week",'Session Tracker'!$G$5:$G$149,"Mon"),$D160*SUMIFS('Session Tracker'!$J$5:$J$149,'Session Tracker'!$D$5:$D$149,$A160,'Session Tracker'!$F$5:$F$149,"Next week",'Session Tracker'!$G$5:$G$149,"Mon"))</f>
        <v>0</v>
      </c>
      <c r="I160" s="52" t="n">
        <f aca="false">IF($E160="Per class",$D160*COUNTIFS('Session Tracker'!$D$5:$D$149,$A160,'Session Tracker'!$F$5:$F$149,"Next week",'Session Tracker'!$G$5:$G$149,"Tue"),$D160*SUMIFS('Session Tracker'!$J$5:$J$149,'Session Tracker'!$D$5:$D$149,$A160,'Session Tracker'!$F$5:$F$149,"Next week",'Session Tracker'!$G$5:$G$149,"Tue"))</f>
        <v>0</v>
      </c>
      <c r="J160" s="52" t="n">
        <f aca="false">IF($E160="Per class",$D160*COUNTIFS('Session Tracker'!$D$5:$D$149,$A160,'Session Tracker'!$F$5:$F$149,"Next week",'Session Tracker'!$G$5:$G$149,"Wed"),$D160*SUMIFS('Session Tracker'!$J$5:$J$149,'Session Tracker'!$D$5:$D$149,$A160,'Session Tracker'!$F$5:$F$149,"Next week",'Session Tracker'!$G$5:$G$149,"Wed"))</f>
        <v>0</v>
      </c>
      <c r="K160" s="52" t="n">
        <f aca="false">IF($E160="Per class",$D160*COUNTIFS('Session Tracker'!$D$5:$D$149,$A160,'Session Tracker'!$F$5:$F$149,"Next week",'Session Tracker'!$G$5:$G$149,"Thu"),$D160*SUMIFS('Session Tracker'!$J$5:$J$149,'Session Tracker'!$D$5:$D$149,$A160,'Session Tracker'!$F$5:$F$149,"Next week",'Session Tracker'!$G$5:$G$149,"Thu"))</f>
        <v>0</v>
      </c>
      <c r="L160" s="52" t="n">
        <f aca="false">IF($E160="Per class",$D160*COUNTIFS('Session Tracker'!$D$5:$D$149,$A160,'Session Tracker'!$F$5:$F$149,"Next week",'Session Tracker'!$G$5:$G$149,"Fri"),$D160*SUMIFS('Session Tracker'!$J$5:$J$149,'Session Tracker'!$D$5:$D$149,$A160,'Session Tracker'!$F$5:$F$149,"Next week",'Session Tracker'!$G$5:$G$149,"Fri"))</f>
        <v>0</v>
      </c>
      <c r="M160" s="52" t="n">
        <f aca="false">IF($E160="Per class",$D160*COUNTIFS('Session Tracker'!$D$5:$D$149,$A160,'Session Tracker'!$F$5:$F$149,"Next week",'Session Tracker'!$G$5:$G$149,""),$D160*SUMIFS('Session Tracker'!$J$5:$J$149,'Session Tracker'!$D$5:$D$149,$A160,'Session Tracker'!$F$5:$F$149,"Next week",'Session Tracker'!$G$5:$G$149,""))</f>
        <v>0</v>
      </c>
    </row>
    <row r="161" customFormat="false" ht="15" hidden="false" customHeight="false" outlineLevel="0" collapsed="false">
      <c r="A161" s="61" t="s">
        <v>168</v>
      </c>
      <c r="B161" s="34" t="s">
        <v>379</v>
      </c>
      <c r="C161" s="34" t="s">
        <v>380</v>
      </c>
      <c r="D161" s="32" t="n">
        <v>1</v>
      </c>
      <c r="E161" s="32" t="s">
        <v>14</v>
      </c>
      <c r="F161" s="32" t="s">
        <v>368</v>
      </c>
      <c r="G161" s="34"/>
      <c r="H161" s="52" t="n">
        <f aca="false">IF($E161="Per class",$D161*COUNTIFS('Session Tracker'!$D$5:$D$149,$A161,'Session Tracker'!$F$5:$F$149,"Next week",'Session Tracker'!$G$5:$G$149,"Mon"),$D161*SUMIFS('Session Tracker'!$J$5:$J$149,'Session Tracker'!$D$5:$D$149,$A161,'Session Tracker'!$F$5:$F$149,"Next week",'Session Tracker'!$G$5:$G$149,"Mon"))</f>
        <v>0</v>
      </c>
      <c r="I161" s="52" t="n">
        <f aca="false">IF($E161="Per class",$D161*COUNTIFS('Session Tracker'!$D$5:$D$149,$A161,'Session Tracker'!$F$5:$F$149,"Next week",'Session Tracker'!$G$5:$G$149,"Tue"),$D161*SUMIFS('Session Tracker'!$J$5:$J$149,'Session Tracker'!$D$5:$D$149,$A161,'Session Tracker'!$F$5:$F$149,"Next week",'Session Tracker'!$G$5:$G$149,"Tue"))</f>
        <v>0</v>
      </c>
      <c r="J161" s="52" t="n">
        <f aca="false">IF($E161="Per class",$D161*COUNTIFS('Session Tracker'!$D$5:$D$149,$A161,'Session Tracker'!$F$5:$F$149,"Next week",'Session Tracker'!$G$5:$G$149,"Wed"),$D161*SUMIFS('Session Tracker'!$J$5:$J$149,'Session Tracker'!$D$5:$D$149,$A161,'Session Tracker'!$F$5:$F$149,"Next week",'Session Tracker'!$G$5:$G$149,"Wed"))</f>
        <v>0</v>
      </c>
      <c r="K161" s="52" t="n">
        <f aca="false">IF($E161="Per class",$D161*COUNTIFS('Session Tracker'!$D$5:$D$149,$A161,'Session Tracker'!$F$5:$F$149,"Next week",'Session Tracker'!$G$5:$G$149,"Thu"),$D161*SUMIFS('Session Tracker'!$J$5:$J$149,'Session Tracker'!$D$5:$D$149,$A161,'Session Tracker'!$F$5:$F$149,"Next week",'Session Tracker'!$G$5:$G$149,"Thu"))</f>
        <v>0</v>
      </c>
      <c r="L161" s="52" t="n">
        <f aca="false">IF($E161="Per class",$D161*COUNTIFS('Session Tracker'!$D$5:$D$149,$A161,'Session Tracker'!$F$5:$F$149,"Next week",'Session Tracker'!$G$5:$G$149,"Fri"),$D161*SUMIFS('Session Tracker'!$J$5:$J$149,'Session Tracker'!$D$5:$D$149,$A161,'Session Tracker'!$F$5:$F$149,"Next week",'Session Tracker'!$G$5:$G$149,"Fri"))</f>
        <v>0</v>
      </c>
      <c r="M161" s="52" t="n">
        <f aca="false">IF($E161="Per class",$D161*COUNTIFS('Session Tracker'!$D$5:$D$149,$A161,'Session Tracker'!$F$5:$F$149,"Next week",'Session Tracker'!$G$5:$G$149,""),$D161*SUMIFS('Session Tracker'!$J$5:$J$149,'Session Tracker'!$D$5:$D$149,$A161,'Session Tracker'!$F$5:$F$149,"Next week",'Session Tracker'!$G$5:$G$149,""))</f>
        <v>0</v>
      </c>
    </row>
    <row r="162" customFormat="false" ht="15" hidden="false" customHeight="false" outlineLevel="0" collapsed="false">
      <c r="A162" s="61" t="s">
        <v>168</v>
      </c>
      <c r="B162" s="34" t="s">
        <v>379</v>
      </c>
      <c r="C162" s="34" t="s">
        <v>381</v>
      </c>
      <c r="D162" s="32" t="n">
        <v>12</v>
      </c>
      <c r="E162" s="32" t="s">
        <v>14</v>
      </c>
      <c r="F162" s="32" t="s">
        <v>368</v>
      </c>
      <c r="G162" s="34"/>
      <c r="H162" s="52" t="n">
        <f aca="false">IF($E162="Per class",$D162*COUNTIFS('Session Tracker'!$D$5:$D$149,$A162,'Session Tracker'!$F$5:$F$149,"Next week",'Session Tracker'!$G$5:$G$149,"Mon"),$D162*SUMIFS('Session Tracker'!$J$5:$J$149,'Session Tracker'!$D$5:$D$149,$A162,'Session Tracker'!$F$5:$F$149,"Next week",'Session Tracker'!$G$5:$G$149,"Mon"))</f>
        <v>0</v>
      </c>
      <c r="I162" s="52" t="n">
        <f aca="false">IF($E162="Per class",$D162*COUNTIFS('Session Tracker'!$D$5:$D$149,$A162,'Session Tracker'!$F$5:$F$149,"Next week",'Session Tracker'!$G$5:$G$149,"Tue"),$D162*SUMIFS('Session Tracker'!$J$5:$J$149,'Session Tracker'!$D$5:$D$149,$A162,'Session Tracker'!$F$5:$F$149,"Next week",'Session Tracker'!$G$5:$G$149,"Tue"))</f>
        <v>0</v>
      </c>
      <c r="J162" s="52" t="n">
        <f aca="false">IF($E162="Per class",$D162*COUNTIFS('Session Tracker'!$D$5:$D$149,$A162,'Session Tracker'!$F$5:$F$149,"Next week",'Session Tracker'!$G$5:$G$149,"Wed"),$D162*SUMIFS('Session Tracker'!$J$5:$J$149,'Session Tracker'!$D$5:$D$149,$A162,'Session Tracker'!$F$5:$F$149,"Next week",'Session Tracker'!$G$5:$G$149,"Wed"))</f>
        <v>0</v>
      </c>
      <c r="K162" s="52" t="n">
        <f aca="false">IF($E162="Per class",$D162*COUNTIFS('Session Tracker'!$D$5:$D$149,$A162,'Session Tracker'!$F$5:$F$149,"Next week",'Session Tracker'!$G$5:$G$149,"Thu"),$D162*SUMIFS('Session Tracker'!$J$5:$J$149,'Session Tracker'!$D$5:$D$149,$A162,'Session Tracker'!$F$5:$F$149,"Next week",'Session Tracker'!$G$5:$G$149,"Thu"))</f>
        <v>0</v>
      </c>
      <c r="L162" s="52" t="n">
        <f aca="false">IF($E162="Per class",$D162*COUNTIFS('Session Tracker'!$D$5:$D$149,$A162,'Session Tracker'!$F$5:$F$149,"Next week",'Session Tracker'!$G$5:$G$149,"Fri"),$D162*SUMIFS('Session Tracker'!$J$5:$J$149,'Session Tracker'!$D$5:$D$149,$A162,'Session Tracker'!$F$5:$F$149,"Next week",'Session Tracker'!$G$5:$G$149,"Fri"))</f>
        <v>0</v>
      </c>
      <c r="M162" s="52" t="n">
        <f aca="false">IF($E162="Per class",$D162*COUNTIFS('Session Tracker'!$D$5:$D$149,$A162,'Session Tracker'!$F$5:$F$149,"Next week",'Session Tracker'!$G$5:$G$149,""),$D162*SUMIFS('Session Tracker'!$J$5:$J$149,'Session Tracker'!$D$5:$D$149,$A162,'Session Tracker'!$F$5:$F$149,"Next week",'Session Tracker'!$G$5:$G$149,""))</f>
        <v>0</v>
      </c>
    </row>
    <row r="163" customFormat="false" ht="15" hidden="false" customHeight="false" outlineLevel="0" collapsed="false">
      <c r="A163" s="61" t="s">
        <v>168</v>
      </c>
      <c r="B163" s="34" t="s">
        <v>379</v>
      </c>
      <c r="C163" s="34" t="s">
        <v>395</v>
      </c>
      <c r="D163" s="32" t="n">
        <v>8</v>
      </c>
      <c r="E163" s="32" t="s">
        <v>14</v>
      </c>
      <c r="F163" s="32" t="s">
        <v>368</v>
      </c>
      <c r="G163" s="34"/>
      <c r="H163" s="52" t="n">
        <f aca="false">IF($E163="Per class",$D163*COUNTIFS('Session Tracker'!$D$5:$D$149,$A163,'Session Tracker'!$F$5:$F$149,"Next week",'Session Tracker'!$G$5:$G$149,"Mon"),$D163*SUMIFS('Session Tracker'!$J$5:$J$149,'Session Tracker'!$D$5:$D$149,$A163,'Session Tracker'!$F$5:$F$149,"Next week",'Session Tracker'!$G$5:$G$149,"Mon"))</f>
        <v>0</v>
      </c>
      <c r="I163" s="52" t="n">
        <f aca="false">IF($E163="Per class",$D163*COUNTIFS('Session Tracker'!$D$5:$D$149,$A163,'Session Tracker'!$F$5:$F$149,"Next week",'Session Tracker'!$G$5:$G$149,"Tue"),$D163*SUMIFS('Session Tracker'!$J$5:$J$149,'Session Tracker'!$D$5:$D$149,$A163,'Session Tracker'!$F$5:$F$149,"Next week",'Session Tracker'!$G$5:$G$149,"Tue"))</f>
        <v>0</v>
      </c>
      <c r="J163" s="52" t="n">
        <f aca="false">IF($E163="Per class",$D163*COUNTIFS('Session Tracker'!$D$5:$D$149,$A163,'Session Tracker'!$F$5:$F$149,"Next week",'Session Tracker'!$G$5:$G$149,"Wed"),$D163*SUMIFS('Session Tracker'!$J$5:$J$149,'Session Tracker'!$D$5:$D$149,$A163,'Session Tracker'!$F$5:$F$149,"Next week",'Session Tracker'!$G$5:$G$149,"Wed"))</f>
        <v>0</v>
      </c>
      <c r="K163" s="52" t="n">
        <f aca="false">IF($E163="Per class",$D163*COUNTIFS('Session Tracker'!$D$5:$D$149,$A163,'Session Tracker'!$F$5:$F$149,"Next week",'Session Tracker'!$G$5:$G$149,"Thu"),$D163*SUMIFS('Session Tracker'!$J$5:$J$149,'Session Tracker'!$D$5:$D$149,$A163,'Session Tracker'!$F$5:$F$149,"Next week",'Session Tracker'!$G$5:$G$149,"Thu"))</f>
        <v>0</v>
      </c>
      <c r="L163" s="52" t="n">
        <f aca="false">IF($E163="Per class",$D163*COUNTIFS('Session Tracker'!$D$5:$D$149,$A163,'Session Tracker'!$F$5:$F$149,"Next week",'Session Tracker'!$G$5:$G$149,"Fri"),$D163*SUMIFS('Session Tracker'!$J$5:$J$149,'Session Tracker'!$D$5:$D$149,$A163,'Session Tracker'!$F$5:$F$149,"Next week",'Session Tracker'!$G$5:$G$149,"Fri"))</f>
        <v>0</v>
      </c>
      <c r="M163" s="52" t="n">
        <f aca="false">IF($E163="Per class",$D163*COUNTIFS('Session Tracker'!$D$5:$D$149,$A163,'Session Tracker'!$F$5:$F$149,"Next week",'Session Tracker'!$G$5:$G$149,""),$D163*SUMIFS('Session Tracker'!$J$5:$J$149,'Session Tracker'!$D$5:$D$149,$A163,'Session Tracker'!$F$5:$F$149,"Next week",'Session Tracker'!$G$5:$G$149,""))</f>
        <v>0</v>
      </c>
    </row>
    <row r="164" customFormat="false" ht="15" hidden="false" customHeight="false" outlineLevel="0" collapsed="false">
      <c r="A164" s="61" t="s">
        <v>168</v>
      </c>
      <c r="B164" s="34" t="s">
        <v>382</v>
      </c>
      <c r="C164" s="34" t="s">
        <v>383</v>
      </c>
      <c r="D164" s="32" t="n">
        <v>1</v>
      </c>
      <c r="E164" s="32" t="s">
        <v>14</v>
      </c>
      <c r="F164" s="32" t="s">
        <v>368</v>
      </c>
      <c r="G164" s="34"/>
      <c r="H164" s="52" t="n">
        <f aca="false">IF($E164="Per class",$D164*COUNTIFS('Session Tracker'!$D$5:$D$149,$A164,'Session Tracker'!$F$5:$F$149,"Next week",'Session Tracker'!$G$5:$G$149,"Mon"),$D164*SUMIFS('Session Tracker'!$J$5:$J$149,'Session Tracker'!$D$5:$D$149,$A164,'Session Tracker'!$F$5:$F$149,"Next week",'Session Tracker'!$G$5:$G$149,"Mon"))</f>
        <v>0</v>
      </c>
      <c r="I164" s="52" t="n">
        <f aca="false">IF($E164="Per class",$D164*COUNTIFS('Session Tracker'!$D$5:$D$149,$A164,'Session Tracker'!$F$5:$F$149,"Next week",'Session Tracker'!$G$5:$G$149,"Tue"),$D164*SUMIFS('Session Tracker'!$J$5:$J$149,'Session Tracker'!$D$5:$D$149,$A164,'Session Tracker'!$F$5:$F$149,"Next week",'Session Tracker'!$G$5:$G$149,"Tue"))</f>
        <v>0</v>
      </c>
      <c r="J164" s="52" t="n">
        <f aca="false">IF($E164="Per class",$D164*COUNTIFS('Session Tracker'!$D$5:$D$149,$A164,'Session Tracker'!$F$5:$F$149,"Next week",'Session Tracker'!$G$5:$G$149,"Wed"),$D164*SUMIFS('Session Tracker'!$J$5:$J$149,'Session Tracker'!$D$5:$D$149,$A164,'Session Tracker'!$F$5:$F$149,"Next week",'Session Tracker'!$G$5:$G$149,"Wed"))</f>
        <v>0</v>
      </c>
      <c r="K164" s="52" t="n">
        <f aca="false">IF($E164="Per class",$D164*COUNTIFS('Session Tracker'!$D$5:$D$149,$A164,'Session Tracker'!$F$5:$F$149,"Next week",'Session Tracker'!$G$5:$G$149,"Thu"),$D164*SUMIFS('Session Tracker'!$J$5:$J$149,'Session Tracker'!$D$5:$D$149,$A164,'Session Tracker'!$F$5:$F$149,"Next week",'Session Tracker'!$G$5:$G$149,"Thu"))</f>
        <v>0</v>
      </c>
      <c r="L164" s="52" t="n">
        <f aca="false">IF($E164="Per class",$D164*COUNTIFS('Session Tracker'!$D$5:$D$149,$A164,'Session Tracker'!$F$5:$F$149,"Next week",'Session Tracker'!$G$5:$G$149,"Fri"),$D164*SUMIFS('Session Tracker'!$J$5:$J$149,'Session Tracker'!$D$5:$D$149,$A164,'Session Tracker'!$F$5:$F$149,"Next week",'Session Tracker'!$G$5:$G$149,"Fri"))</f>
        <v>0</v>
      </c>
      <c r="M164" s="52" t="n">
        <f aca="false">IF($E164="Per class",$D164*COUNTIFS('Session Tracker'!$D$5:$D$149,$A164,'Session Tracker'!$F$5:$F$149,"Next week",'Session Tracker'!$G$5:$G$149,""),$D164*SUMIFS('Session Tracker'!$J$5:$J$149,'Session Tracker'!$D$5:$D$149,$A164,'Session Tracker'!$F$5:$F$149,"Next week",'Session Tracker'!$G$5:$G$149,""))</f>
        <v>0</v>
      </c>
    </row>
    <row r="165" customFormat="false" ht="15" hidden="false" customHeight="false" outlineLevel="0" collapsed="false">
      <c r="A165" s="61" t="s">
        <v>168</v>
      </c>
      <c r="B165" s="34" t="s">
        <v>371</v>
      </c>
      <c r="C165" s="34" t="s">
        <v>372</v>
      </c>
      <c r="D165" s="32" t="n">
        <v>1</v>
      </c>
      <c r="E165" s="32" t="s">
        <v>14</v>
      </c>
      <c r="F165" s="32" t="s">
        <v>373</v>
      </c>
      <c r="G165" s="34" t="s">
        <v>389</v>
      </c>
      <c r="H165" s="52" t="n">
        <f aca="false">IF($E165="Per class",$D165*COUNTIFS('Session Tracker'!$D$5:$D$149,$A165,'Session Tracker'!$F$5:$F$149,"Next week",'Session Tracker'!$G$5:$G$149,"Mon"),$D165*SUMIFS('Session Tracker'!$J$5:$J$149,'Session Tracker'!$D$5:$D$149,$A165,'Session Tracker'!$F$5:$F$149,"Next week",'Session Tracker'!$G$5:$G$149,"Mon"))</f>
        <v>0</v>
      </c>
      <c r="I165" s="52" t="n">
        <f aca="false">IF($E165="Per class",$D165*COUNTIFS('Session Tracker'!$D$5:$D$149,$A165,'Session Tracker'!$F$5:$F$149,"Next week",'Session Tracker'!$G$5:$G$149,"Tue"),$D165*SUMIFS('Session Tracker'!$J$5:$J$149,'Session Tracker'!$D$5:$D$149,$A165,'Session Tracker'!$F$5:$F$149,"Next week",'Session Tracker'!$G$5:$G$149,"Tue"))</f>
        <v>0</v>
      </c>
      <c r="J165" s="52" t="n">
        <f aca="false">IF($E165="Per class",$D165*COUNTIFS('Session Tracker'!$D$5:$D$149,$A165,'Session Tracker'!$F$5:$F$149,"Next week",'Session Tracker'!$G$5:$G$149,"Wed"),$D165*SUMIFS('Session Tracker'!$J$5:$J$149,'Session Tracker'!$D$5:$D$149,$A165,'Session Tracker'!$F$5:$F$149,"Next week",'Session Tracker'!$G$5:$G$149,"Wed"))</f>
        <v>0</v>
      </c>
      <c r="K165" s="52" t="n">
        <f aca="false">IF($E165="Per class",$D165*COUNTIFS('Session Tracker'!$D$5:$D$149,$A165,'Session Tracker'!$F$5:$F$149,"Next week",'Session Tracker'!$G$5:$G$149,"Thu"),$D165*SUMIFS('Session Tracker'!$J$5:$J$149,'Session Tracker'!$D$5:$D$149,$A165,'Session Tracker'!$F$5:$F$149,"Next week",'Session Tracker'!$G$5:$G$149,"Thu"))</f>
        <v>0</v>
      </c>
      <c r="L165" s="52" t="n">
        <f aca="false">IF($E165="Per class",$D165*COUNTIFS('Session Tracker'!$D$5:$D$149,$A165,'Session Tracker'!$F$5:$F$149,"Next week",'Session Tracker'!$G$5:$G$149,"Fri"),$D165*SUMIFS('Session Tracker'!$J$5:$J$149,'Session Tracker'!$D$5:$D$149,$A165,'Session Tracker'!$F$5:$F$149,"Next week",'Session Tracker'!$G$5:$G$149,"Fri"))</f>
        <v>0</v>
      </c>
      <c r="M165" s="52" t="n">
        <f aca="false">IF($E165="Per class",$D165*COUNTIFS('Session Tracker'!$D$5:$D$149,$A165,'Session Tracker'!$F$5:$F$149,"Next week",'Session Tracker'!$G$5:$G$149,""),$D165*SUMIFS('Session Tracker'!$J$5:$J$149,'Session Tracker'!$D$5:$D$149,$A165,'Session Tracker'!$F$5:$F$149,"Next week",'Session Tracker'!$G$5:$G$149,""))</f>
        <v>0</v>
      </c>
    </row>
    <row r="166" customFormat="false" ht="15" hidden="false" customHeight="false" outlineLevel="0" collapsed="false">
      <c r="A166" s="61" t="s">
        <v>168</v>
      </c>
      <c r="B166" s="34" t="s">
        <v>375</v>
      </c>
      <c r="C166" s="34" t="s">
        <v>376</v>
      </c>
      <c r="D166" s="32" t="n">
        <v>1</v>
      </c>
      <c r="E166" s="32" t="s">
        <v>14</v>
      </c>
      <c r="F166" s="32" t="s">
        <v>373</v>
      </c>
      <c r="G166" s="34" t="s">
        <v>442</v>
      </c>
      <c r="H166" s="52" t="n">
        <f aca="false">IF($E166="Per class",$D166*COUNTIFS('Session Tracker'!$D$5:$D$149,$A166,'Session Tracker'!$F$5:$F$149,"Next week",'Session Tracker'!$G$5:$G$149,"Mon"),$D166*SUMIFS('Session Tracker'!$J$5:$J$149,'Session Tracker'!$D$5:$D$149,$A166,'Session Tracker'!$F$5:$F$149,"Next week",'Session Tracker'!$G$5:$G$149,"Mon"))</f>
        <v>0</v>
      </c>
      <c r="I166" s="52" t="n">
        <f aca="false">IF($E166="Per class",$D166*COUNTIFS('Session Tracker'!$D$5:$D$149,$A166,'Session Tracker'!$F$5:$F$149,"Next week",'Session Tracker'!$G$5:$G$149,"Tue"),$D166*SUMIFS('Session Tracker'!$J$5:$J$149,'Session Tracker'!$D$5:$D$149,$A166,'Session Tracker'!$F$5:$F$149,"Next week",'Session Tracker'!$G$5:$G$149,"Tue"))</f>
        <v>0</v>
      </c>
      <c r="J166" s="52" t="n">
        <f aca="false">IF($E166="Per class",$D166*COUNTIFS('Session Tracker'!$D$5:$D$149,$A166,'Session Tracker'!$F$5:$F$149,"Next week",'Session Tracker'!$G$5:$G$149,"Wed"),$D166*SUMIFS('Session Tracker'!$J$5:$J$149,'Session Tracker'!$D$5:$D$149,$A166,'Session Tracker'!$F$5:$F$149,"Next week",'Session Tracker'!$G$5:$G$149,"Wed"))</f>
        <v>0</v>
      </c>
      <c r="K166" s="52" t="n">
        <f aca="false">IF($E166="Per class",$D166*COUNTIFS('Session Tracker'!$D$5:$D$149,$A166,'Session Tracker'!$F$5:$F$149,"Next week",'Session Tracker'!$G$5:$G$149,"Thu"),$D166*SUMIFS('Session Tracker'!$J$5:$J$149,'Session Tracker'!$D$5:$D$149,$A166,'Session Tracker'!$F$5:$F$149,"Next week",'Session Tracker'!$G$5:$G$149,"Thu"))</f>
        <v>0</v>
      </c>
      <c r="L166" s="52" t="n">
        <f aca="false">IF($E166="Per class",$D166*COUNTIFS('Session Tracker'!$D$5:$D$149,$A166,'Session Tracker'!$F$5:$F$149,"Next week",'Session Tracker'!$G$5:$G$149,"Fri"),$D166*SUMIFS('Session Tracker'!$J$5:$J$149,'Session Tracker'!$D$5:$D$149,$A166,'Session Tracker'!$F$5:$F$149,"Next week",'Session Tracker'!$G$5:$G$149,"Fri"))</f>
        <v>0</v>
      </c>
      <c r="M166" s="52" t="n">
        <f aca="false">IF($E166="Per class",$D166*COUNTIFS('Session Tracker'!$D$5:$D$149,$A166,'Session Tracker'!$F$5:$F$149,"Next week",'Session Tracker'!$G$5:$G$149,""),$D166*SUMIFS('Session Tracker'!$J$5:$J$149,'Session Tracker'!$D$5:$D$149,$A166,'Session Tracker'!$F$5:$F$149,"Next week",'Session Tracker'!$G$5:$G$149,""))</f>
        <v>0</v>
      </c>
    </row>
    <row r="167" customFormat="false" ht="15" hidden="false" customHeight="false" outlineLevel="0" collapsed="false">
      <c r="A167" s="61" t="s">
        <v>168</v>
      </c>
      <c r="B167" s="34" t="s">
        <v>377</v>
      </c>
      <c r="C167" s="34" t="s">
        <v>378</v>
      </c>
      <c r="D167" s="32" t="n">
        <v>1</v>
      </c>
      <c r="E167" s="32" t="s">
        <v>14</v>
      </c>
      <c r="F167" s="32" t="s">
        <v>368</v>
      </c>
      <c r="G167" s="34" t="s">
        <v>389</v>
      </c>
      <c r="H167" s="52" t="n">
        <f aca="false">IF($E167="Per class",$D167*COUNTIFS('Session Tracker'!$D$5:$D$149,$A167,'Session Tracker'!$F$5:$F$149,"Next week",'Session Tracker'!$G$5:$G$149,"Mon"),$D167*SUMIFS('Session Tracker'!$J$5:$J$149,'Session Tracker'!$D$5:$D$149,$A167,'Session Tracker'!$F$5:$F$149,"Next week",'Session Tracker'!$G$5:$G$149,"Mon"))</f>
        <v>0</v>
      </c>
      <c r="I167" s="52" t="n">
        <f aca="false">IF($E167="Per class",$D167*COUNTIFS('Session Tracker'!$D$5:$D$149,$A167,'Session Tracker'!$F$5:$F$149,"Next week",'Session Tracker'!$G$5:$G$149,"Tue"),$D167*SUMIFS('Session Tracker'!$J$5:$J$149,'Session Tracker'!$D$5:$D$149,$A167,'Session Tracker'!$F$5:$F$149,"Next week",'Session Tracker'!$G$5:$G$149,"Tue"))</f>
        <v>0</v>
      </c>
      <c r="J167" s="52" t="n">
        <f aca="false">IF($E167="Per class",$D167*COUNTIFS('Session Tracker'!$D$5:$D$149,$A167,'Session Tracker'!$F$5:$F$149,"Next week",'Session Tracker'!$G$5:$G$149,"Wed"),$D167*SUMIFS('Session Tracker'!$J$5:$J$149,'Session Tracker'!$D$5:$D$149,$A167,'Session Tracker'!$F$5:$F$149,"Next week",'Session Tracker'!$G$5:$G$149,"Wed"))</f>
        <v>0</v>
      </c>
      <c r="K167" s="52" t="n">
        <f aca="false">IF($E167="Per class",$D167*COUNTIFS('Session Tracker'!$D$5:$D$149,$A167,'Session Tracker'!$F$5:$F$149,"Next week",'Session Tracker'!$G$5:$G$149,"Thu"),$D167*SUMIFS('Session Tracker'!$J$5:$J$149,'Session Tracker'!$D$5:$D$149,$A167,'Session Tracker'!$F$5:$F$149,"Next week",'Session Tracker'!$G$5:$G$149,"Thu"))</f>
        <v>0</v>
      </c>
      <c r="L167" s="52" t="n">
        <f aca="false">IF($E167="Per class",$D167*COUNTIFS('Session Tracker'!$D$5:$D$149,$A167,'Session Tracker'!$F$5:$F$149,"Next week",'Session Tracker'!$G$5:$G$149,"Fri"),$D167*SUMIFS('Session Tracker'!$J$5:$J$149,'Session Tracker'!$D$5:$D$149,$A167,'Session Tracker'!$F$5:$F$149,"Next week",'Session Tracker'!$G$5:$G$149,"Fri"))</f>
        <v>0</v>
      </c>
      <c r="M167" s="52" t="n">
        <f aca="false">IF($E167="Per class",$D167*COUNTIFS('Session Tracker'!$D$5:$D$149,$A167,'Session Tracker'!$F$5:$F$149,"Next week",'Session Tracker'!$G$5:$G$149,""),$D167*SUMIFS('Session Tracker'!$J$5:$J$149,'Session Tracker'!$D$5:$D$149,$A167,'Session Tracker'!$F$5:$F$149,"Next week",'Session Tracker'!$G$5:$G$149,""))</f>
        <v>0</v>
      </c>
    </row>
    <row r="168" customFormat="false" ht="15" hidden="false" customHeight="false" outlineLevel="0" collapsed="false">
      <c r="A168" s="53" t="s">
        <v>168</v>
      </c>
      <c r="B168" s="54"/>
      <c r="C168" s="54"/>
      <c r="D168" s="54"/>
      <c r="E168" s="54"/>
      <c r="F168" s="54"/>
      <c r="G168" s="54"/>
      <c r="H168" s="52" t="n">
        <f aca="false">IF($E168="Per class",$D168*COUNTIFS('Session Tracker'!$D$5:$D$149,$A168,'Session Tracker'!$F$5:$F$149,"Next week",'Session Tracker'!$G$5:$G$149,"Mon"),$D168*SUMIFS('Session Tracker'!$J$5:$J$149,'Session Tracker'!$D$5:$D$149,$A168,'Session Tracker'!$F$5:$F$149,"Next week",'Session Tracker'!$G$5:$G$149,"Mon"))</f>
        <v>0</v>
      </c>
      <c r="I168" s="52" t="n">
        <f aca="false">IF($E168="Per class",$D168*COUNTIFS('Session Tracker'!$D$5:$D$149,$A168,'Session Tracker'!$F$5:$F$149,"Next week",'Session Tracker'!$G$5:$G$149,"Tue"),$D168*SUMIFS('Session Tracker'!$J$5:$J$149,'Session Tracker'!$D$5:$D$149,$A168,'Session Tracker'!$F$5:$F$149,"Next week",'Session Tracker'!$G$5:$G$149,"Tue"))</f>
        <v>0</v>
      </c>
      <c r="J168" s="52" t="n">
        <f aca="false">IF($E168="Per class",$D168*COUNTIFS('Session Tracker'!$D$5:$D$149,$A168,'Session Tracker'!$F$5:$F$149,"Next week",'Session Tracker'!$G$5:$G$149,"Wed"),$D168*SUMIFS('Session Tracker'!$J$5:$J$149,'Session Tracker'!$D$5:$D$149,$A168,'Session Tracker'!$F$5:$F$149,"Next week",'Session Tracker'!$G$5:$G$149,"Wed"))</f>
        <v>0</v>
      </c>
      <c r="K168" s="52" t="n">
        <f aca="false">IF($E168="Per class",$D168*COUNTIFS('Session Tracker'!$D$5:$D$149,$A168,'Session Tracker'!$F$5:$F$149,"Next week",'Session Tracker'!$G$5:$G$149,"Thu"),$D168*SUMIFS('Session Tracker'!$J$5:$J$149,'Session Tracker'!$D$5:$D$149,$A168,'Session Tracker'!$F$5:$F$149,"Next week",'Session Tracker'!$G$5:$G$149,"Thu"))</f>
        <v>0</v>
      </c>
      <c r="L168" s="52" t="n">
        <f aca="false">IF($E168="Per class",$D168*COUNTIFS('Session Tracker'!$D$5:$D$149,$A168,'Session Tracker'!$F$5:$F$149,"Next week",'Session Tracker'!$G$5:$G$149,"Fri"),$D168*SUMIFS('Session Tracker'!$J$5:$J$149,'Session Tracker'!$D$5:$D$149,$A168,'Session Tracker'!$F$5:$F$149,"Next week",'Session Tracker'!$G$5:$G$149,"Fri"))</f>
        <v>0</v>
      </c>
      <c r="M168" s="52" t="n">
        <f aca="false">IF($E168="Per class",$D168*COUNTIFS('Session Tracker'!$D$5:$D$149,$A168,'Session Tracker'!$F$5:$F$149,"Next week",'Session Tracker'!$G$5:$G$149,""),$D168*SUMIFS('Session Tracker'!$J$5:$J$149,'Session Tracker'!$D$5:$D$149,$A168,'Session Tracker'!$F$5:$F$149,"Next week",'Session Tracker'!$G$5:$G$149,""))</f>
        <v>0</v>
      </c>
    </row>
    <row r="169" customFormat="false" ht="15" hidden="false" customHeight="false" outlineLevel="0" collapsed="false">
      <c r="A169" s="53" t="s">
        <v>168</v>
      </c>
      <c r="B169" s="54"/>
      <c r="C169" s="54"/>
      <c r="D169" s="54"/>
      <c r="E169" s="54"/>
      <c r="F169" s="54"/>
      <c r="G169" s="54"/>
      <c r="H169" s="52" t="n">
        <f aca="false">IF($E169="Per class",$D169*COUNTIFS('Session Tracker'!$D$5:$D$149,$A169,'Session Tracker'!$F$5:$F$149,"Next week",'Session Tracker'!$G$5:$G$149,"Mon"),$D169*SUMIFS('Session Tracker'!$J$5:$J$149,'Session Tracker'!$D$5:$D$149,$A169,'Session Tracker'!$F$5:$F$149,"Next week",'Session Tracker'!$G$5:$G$149,"Mon"))</f>
        <v>0</v>
      </c>
      <c r="I169" s="52" t="n">
        <f aca="false">IF($E169="Per class",$D169*COUNTIFS('Session Tracker'!$D$5:$D$149,$A169,'Session Tracker'!$F$5:$F$149,"Next week",'Session Tracker'!$G$5:$G$149,"Tue"),$D169*SUMIFS('Session Tracker'!$J$5:$J$149,'Session Tracker'!$D$5:$D$149,$A169,'Session Tracker'!$F$5:$F$149,"Next week",'Session Tracker'!$G$5:$G$149,"Tue"))</f>
        <v>0</v>
      </c>
      <c r="J169" s="52" t="n">
        <f aca="false">IF($E169="Per class",$D169*COUNTIFS('Session Tracker'!$D$5:$D$149,$A169,'Session Tracker'!$F$5:$F$149,"Next week",'Session Tracker'!$G$5:$G$149,"Wed"),$D169*SUMIFS('Session Tracker'!$J$5:$J$149,'Session Tracker'!$D$5:$D$149,$A169,'Session Tracker'!$F$5:$F$149,"Next week",'Session Tracker'!$G$5:$G$149,"Wed"))</f>
        <v>0</v>
      </c>
      <c r="K169" s="52" t="n">
        <f aca="false">IF($E169="Per class",$D169*COUNTIFS('Session Tracker'!$D$5:$D$149,$A169,'Session Tracker'!$F$5:$F$149,"Next week",'Session Tracker'!$G$5:$G$149,"Thu"),$D169*SUMIFS('Session Tracker'!$J$5:$J$149,'Session Tracker'!$D$5:$D$149,$A169,'Session Tracker'!$F$5:$F$149,"Next week",'Session Tracker'!$G$5:$G$149,"Thu"))</f>
        <v>0</v>
      </c>
      <c r="L169" s="52" t="n">
        <f aca="false">IF($E169="Per class",$D169*COUNTIFS('Session Tracker'!$D$5:$D$149,$A169,'Session Tracker'!$F$5:$F$149,"Next week",'Session Tracker'!$G$5:$G$149,"Fri"),$D169*SUMIFS('Session Tracker'!$J$5:$J$149,'Session Tracker'!$D$5:$D$149,$A169,'Session Tracker'!$F$5:$F$149,"Next week",'Session Tracker'!$G$5:$G$149,"Fri"))</f>
        <v>0</v>
      </c>
      <c r="M169" s="52" t="n">
        <f aca="false">IF($E169="Per class",$D169*COUNTIFS('Session Tracker'!$D$5:$D$149,$A169,'Session Tracker'!$F$5:$F$149,"Next week",'Session Tracker'!$G$5:$G$149,""),$D169*SUMIFS('Session Tracker'!$J$5:$J$149,'Session Tracker'!$D$5:$D$149,$A169,'Session Tracker'!$F$5:$F$149,"Next week",'Session Tracker'!$G$5:$G$149,""))</f>
        <v>0</v>
      </c>
    </row>
    <row r="171" customFormat="false" ht="19.5" hidden="false" customHeight="true" outlineLevel="0" collapsed="false">
      <c r="A171" s="57" t="s">
        <v>170</v>
      </c>
      <c r="B171" s="58" t="s">
        <v>535</v>
      </c>
      <c r="C171" s="58"/>
      <c r="D171" s="58"/>
      <c r="E171" s="58"/>
      <c r="F171" s="59" t="str">
        <f aca="false">"Status: "&amp;'Session Tracker'!F53&amp;IF('Session Tracker'!G53&lt;&gt;""," ("&amp;'Session Tracker'!G53&amp;")","")</f>
        <v>Status: Not started</v>
      </c>
      <c r="G171" s="59"/>
      <c r="H171" s="60"/>
      <c r="I171" s="60"/>
      <c r="J171" s="60"/>
      <c r="K171" s="60"/>
      <c r="L171" s="60"/>
      <c r="M171" s="60"/>
    </row>
    <row r="172" customFormat="false" ht="23.85" hidden="false" customHeight="false" outlineLevel="0" collapsed="false">
      <c r="A172" s="61" t="s">
        <v>170</v>
      </c>
      <c r="B172" s="34" t="s">
        <v>366</v>
      </c>
      <c r="C172" s="34" t="s">
        <v>367</v>
      </c>
      <c r="D172" s="32" t="n">
        <v>1</v>
      </c>
      <c r="E172" s="32" t="s">
        <v>14</v>
      </c>
      <c r="F172" s="32" t="s">
        <v>368</v>
      </c>
      <c r="G172" s="34"/>
      <c r="H172" s="52" t="n">
        <f aca="false">IF($E172="Per class",$D172*COUNTIFS('Session Tracker'!$D$5:$D$149,$A172,'Session Tracker'!$F$5:$F$149,"Next week",'Session Tracker'!$G$5:$G$149,"Mon"),$D172*SUMIFS('Session Tracker'!$J$5:$J$149,'Session Tracker'!$D$5:$D$149,$A172,'Session Tracker'!$F$5:$F$149,"Next week",'Session Tracker'!$G$5:$G$149,"Mon"))</f>
        <v>0</v>
      </c>
      <c r="I172" s="52" t="n">
        <f aca="false">IF($E172="Per class",$D172*COUNTIFS('Session Tracker'!$D$5:$D$149,$A172,'Session Tracker'!$F$5:$F$149,"Next week",'Session Tracker'!$G$5:$G$149,"Tue"),$D172*SUMIFS('Session Tracker'!$J$5:$J$149,'Session Tracker'!$D$5:$D$149,$A172,'Session Tracker'!$F$5:$F$149,"Next week",'Session Tracker'!$G$5:$G$149,"Tue"))</f>
        <v>0</v>
      </c>
      <c r="J172" s="52" t="n">
        <f aca="false">IF($E172="Per class",$D172*COUNTIFS('Session Tracker'!$D$5:$D$149,$A172,'Session Tracker'!$F$5:$F$149,"Next week",'Session Tracker'!$G$5:$G$149,"Wed"),$D172*SUMIFS('Session Tracker'!$J$5:$J$149,'Session Tracker'!$D$5:$D$149,$A172,'Session Tracker'!$F$5:$F$149,"Next week",'Session Tracker'!$G$5:$G$149,"Wed"))</f>
        <v>0</v>
      </c>
      <c r="K172" s="52" t="n">
        <f aca="false">IF($E172="Per class",$D172*COUNTIFS('Session Tracker'!$D$5:$D$149,$A172,'Session Tracker'!$F$5:$F$149,"Next week",'Session Tracker'!$G$5:$G$149,"Thu"),$D172*SUMIFS('Session Tracker'!$J$5:$J$149,'Session Tracker'!$D$5:$D$149,$A172,'Session Tracker'!$F$5:$F$149,"Next week",'Session Tracker'!$G$5:$G$149,"Thu"))</f>
        <v>0</v>
      </c>
      <c r="L172" s="52" t="n">
        <f aca="false">IF($E172="Per class",$D172*COUNTIFS('Session Tracker'!$D$5:$D$149,$A172,'Session Tracker'!$F$5:$F$149,"Next week",'Session Tracker'!$G$5:$G$149,"Fri"),$D172*SUMIFS('Session Tracker'!$J$5:$J$149,'Session Tracker'!$D$5:$D$149,$A172,'Session Tracker'!$F$5:$F$149,"Next week",'Session Tracker'!$G$5:$G$149,"Fri"))</f>
        <v>0</v>
      </c>
      <c r="M172" s="52" t="n">
        <f aca="false">IF($E172="Per class",$D172*COUNTIFS('Session Tracker'!$D$5:$D$149,$A172,'Session Tracker'!$F$5:$F$149,"Next week",'Session Tracker'!$G$5:$G$149,""),$D172*SUMIFS('Session Tracker'!$J$5:$J$149,'Session Tracker'!$D$5:$D$149,$A172,'Session Tracker'!$F$5:$F$149,"Next week",'Session Tracker'!$G$5:$G$149,""))</f>
        <v>0</v>
      </c>
    </row>
    <row r="173" customFormat="false" ht="15" hidden="false" customHeight="false" outlineLevel="0" collapsed="false">
      <c r="A173" s="61" t="s">
        <v>170</v>
      </c>
      <c r="B173" s="34" t="s">
        <v>369</v>
      </c>
      <c r="C173" s="34" t="s">
        <v>428</v>
      </c>
      <c r="D173" s="32" t="n">
        <v>2</v>
      </c>
      <c r="E173" s="32" t="s">
        <v>14</v>
      </c>
      <c r="F173" s="32" t="s">
        <v>368</v>
      </c>
      <c r="G173" s="34"/>
      <c r="H173" s="52" t="n">
        <f aca="false">IF($E173="Per class",$D173*COUNTIFS('Session Tracker'!$D$5:$D$149,$A173,'Session Tracker'!$F$5:$F$149,"Next week",'Session Tracker'!$G$5:$G$149,"Mon"),$D173*SUMIFS('Session Tracker'!$J$5:$J$149,'Session Tracker'!$D$5:$D$149,$A173,'Session Tracker'!$F$5:$F$149,"Next week",'Session Tracker'!$G$5:$G$149,"Mon"))</f>
        <v>0</v>
      </c>
      <c r="I173" s="52" t="n">
        <f aca="false">IF($E173="Per class",$D173*COUNTIFS('Session Tracker'!$D$5:$D$149,$A173,'Session Tracker'!$F$5:$F$149,"Next week",'Session Tracker'!$G$5:$G$149,"Tue"),$D173*SUMIFS('Session Tracker'!$J$5:$J$149,'Session Tracker'!$D$5:$D$149,$A173,'Session Tracker'!$F$5:$F$149,"Next week",'Session Tracker'!$G$5:$G$149,"Tue"))</f>
        <v>0</v>
      </c>
      <c r="J173" s="52" t="n">
        <f aca="false">IF($E173="Per class",$D173*COUNTIFS('Session Tracker'!$D$5:$D$149,$A173,'Session Tracker'!$F$5:$F$149,"Next week",'Session Tracker'!$G$5:$G$149,"Wed"),$D173*SUMIFS('Session Tracker'!$J$5:$J$149,'Session Tracker'!$D$5:$D$149,$A173,'Session Tracker'!$F$5:$F$149,"Next week",'Session Tracker'!$G$5:$G$149,"Wed"))</f>
        <v>0</v>
      </c>
      <c r="K173" s="52" t="n">
        <f aca="false">IF($E173="Per class",$D173*COUNTIFS('Session Tracker'!$D$5:$D$149,$A173,'Session Tracker'!$F$5:$F$149,"Next week",'Session Tracker'!$G$5:$G$149,"Thu"),$D173*SUMIFS('Session Tracker'!$J$5:$J$149,'Session Tracker'!$D$5:$D$149,$A173,'Session Tracker'!$F$5:$F$149,"Next week",'Session Tracker'!$G$5:$G$149,"Thu"))</f>
        <v>0</v>
      </c>
      <c r="L173" s="52" t="n">
        <f aca="false">IF($E173="Per class",$D173*COUNTIFS('Session Tracker'!$D$5:$D$149,$A173,'Session Tracker'!$F$5:$F$149,"Next week",'Session Tracker'!$G$5:$G$149,"Fri"),$D173*SUMIFS('Session Tracker'!$J$5:$J$149,'Session Tracker'!$D$5:$D$149,$A173,'Session Tracker'!$F$5:$F$149,"Next week",'Session Tracker'!$G$5:$G$149,"Fri"))</f>
        <v>0</v>
      </c>
      <c r="M173" s="52" t="n">
        <f aca="false">IF($E173="Per class",$D173*COUNTIFS('Session Tracker'!$D$5:$D$149,$A173,'Session Tracker'!$F$5:$F$149,"Next week",'Session Tracker'!$G$5:$G$149,""),$D173*SUMIFS('Session Tracker'!$J$5:$J$149,'Session Tracker'!$D$5:$D$149,$A173,'Session Tracker'!$F$5:$F$149,"Next week",'Session Tracker'!$G$5:$G$149,""))</f>
        <v>0</v>
      </c>
    </row>
    <row r="174" customFormat="false" ht="15" hidden="false" customHeight="false" outlineLevel="0" collapsed="false">
      <c r="A174" s="61" t="s">
        <v>170</v>
      </c>
      <c r="B174" s="34" t="s">
        <v>377</v>
      </c>
      <c r="C174" s="34" t="s">
        <v>439</v>
      </c>
      <c r="D174" s="32" t="n">
        <v>1</v>
      </c>
      <c r="E174" s="32" t="s">
        <v>14</v>
      </c>
      <c r="F174" s="32" t="s">
        <v>368</v>
      </c>
      <c r="G174" s="34"/>
      <c r="H174" s="52" t="n">
        <f aca="false">IF($E174="Per class",$D174*COUNTIFS('Session Tracker'!$D$5:$D$149,$A174,'Session Tracker'!$F$5:$F$149,"Next week",'Session Tracker'!$G$5:$G$149,"Mon"),$D174*SUMIFS('Session Tracker'!$J$5:$J$149,'Session Tracker'!$D$5:$D$149,$A174,'Session Tracker'!$F$5:$F$149,"Next week",'Session Tracker'!$G$5:$G$149,"Mon"))</f>
        <v>0</v>
      </c>
      <c r="I174" s="52" t="n">
        <f aca="false">IF($E174="Per class",$D174*COUNTIFS('Session Tracker'!$D$5:$D$149,$A174,'Session Tracker'!$F$5:$F$149,"Next week",'Session Tracker'!$G$5:$G$149,"Tue"),$D174*SUMIFS('Session Tracker'!$J$5:$J$149,'Session Tracker'!$D$5:$D$149,$A174,'Session Tracker'!$F$5:$F$149,"Next week",'Session Tracker'!$G$5:$G$149,"Tue"))</f>
        <v>0</v>
      </c>
      <c r="J174" s="52" t="n">
        <f aca="false">IF($E174="Per class",$D174*COUNTIFS('Session Tracker'!$D$5:$D$149,$A174,'Session Tracker'!$F$5:$F$149,"Next week",'Session Tracker'!$G$5:$G$149,"Wed"),$D174*SUMIFS('Session Tracker'!$J$5:$J$149,'Session Tracker'!$D$5:$D$149,$A174,'Session Tracker'!$F$5:$F$149,"Next week",'Session Tracker'!$G$5:$G$149,"Wed"))</f>
        <v>0</v>
      </c>
      <c r="K174" s="52" t="n">
        <f aca="false">IF($E174="Per class",$D174*COUNTIFS('Session Tracker'!$D$5:$D$149,$A174,'Session Tracker'!$F$5:$F$149,"Next week",'Session Tracker'!$G$5:$G$149,"Thu"),$D174*SUMIFS('Session Tracker'!$J$5:$J$149,'Session Tracker'!$D$5:$D$149,$A174,'Session Tracker'!$F$5:$F$149,"Next week",'Session Tracker'!$G$5:$G$149,"Thu"))</f>
        <v>0</v>
      </c>
      <c r="L174" s="52" t="n">
        <f aca="false">IF($E174="Per class",$D174*COUNTIFS('Session Tracker'!$D$5:$D$149,$A174,'Session Tracker'!$F$5:$F$149,"Next week",'Session Tracker'!$G$5:$G$149,"Fri"),$D174*SUMIFS('Session Tracker'!$J$5:$J$149,'Session Tracker'!$D$5:$D$149,$A174,'Session Tracker'!$F$5:$F$149,"Next week",'Session Tracker'!$G$5:$G$149,"Fri"))</f>
        <v>0</v>
      </c>
      <c r="M174" s="52" t="n">
        <f aca="false">IF($E174="Per class",$D174*COUNTIFS('Session Tracker'!$D$5:$D$149,$A174,'Session Tracker'!$F$5:$F$149,"Next week",'Session Tracker'!$G$5:$G$149,""),$D174*SUMIFS('Session Tracker'!$J$5:$J$149,'Session Tracker'!$D$5:$D$149,$A174,'Session Tracker'!$F$5:$F$149,"Next week",'Session Tracker'!$G$5:$G$149,""))</f>
        <v>0</v>
      </c>
    </row>
    <row r="175" customFormat="false" ht="15" hidden="false" customHeight="false" outlineLevel="0" collapsed="false">
      <c r="A175" s="61" t="s">
        <v>170</v>
      </c>
      <c r="B175" s="34" t="s">
        <v>409</v>
      </c>
      <c r="C175" s="34" t="s">
        <v>536</v>
      </c>
      <c r="D175" s="32" t="n">
        <v>1</v>
      </c>
      <c r="E175" s="32" t="s">
        <v>14</v>
      </c>
      <c r="F175" s="32" t="s">
        <v>368</v>
      </c>
      <c r="G175" s="34"/>
      <c r="H175" s="52" t="n">
        <f aca="false">IF($E175="Per class",$D175*COUNTIFS('Session Tracker'!$D$5:$D$149,$A175,'Session Tracker'!$F$5:$F$149,"Next week",'Session Tracker'!$G$5:$G$149,"Mon"),$D175*SUMIFS('Session Tracker'!$J$5:$J$149,'Session Tracker'!$D$5:$D$149,$A175,'Session Tracker'!$F$5:$F$149,"Next week",'Session Tracker'!$G$5:$G$149,"Mon"))</f>
        <v>0</v>
      </c>
      <c r="I175" s="52" t="n">
        <f aca="false">IF($E175="Per class",$D175*COUNTIFS('Session Tracker'!$D$5:$D$149,$A175,'Session Tracker'!$F$5:$F$149,"Next week",'Session Tracker'!$G$5:$G$149,"Tue"),$D175*SUMIFS('Session Tracker'!$J$5:$J$149,'Session Tracker'!$D$5:$D$149,$A175,'Session Tracker'!$F$5:$F$149,"Next week",'Session Tracker'!$G$5:$G$149,"Tue"))</f>
        <v>0</v>
      </c>
      <c r="J175" s="52" t="n">
        <f aca="false">IF($E175="Per class",$D175*COUNTIFS('Session Tracker'!$D$5:$D$149,$A175,'Session Tracker'!$F$5:$F$149,"Next week",'Session Tracker'!$G$5:$G$149,"Wed"),$D175*SUMIFS('Session Tracker'!$J$5:$J$149,'Session Tracker'!$D$5:$D$149,$A175,'Session Tracker'!$F$5:$F$149,"Next week",'Session Tracker'!$G$5:$G$149,"Wed"))</f>
        <v>0</v>
      </c>
      <c r="K175" s="52" t="n">
        <f aca="false">IF($E175="Per class",$D175*COUNTIFS('Session Tracker'!$D$5:$D$149,$A175,'Session Tracker'!$F$5:$F$149,"Next week",'Session Tracker'!$G$5:$G$149,"Thu"),$D175*SUMIFS('Session Tracker'!$J$5:$J$149,'Session Tracker'!$D$5:$D$149,$A175,'Session Tracker'!$F$5:$F$149,"Next week",'Session Tracker'!$G$5:$G$149,"Thu"))</f>
        <v>0</v>
      </c>
      <c r="L175" s="52" t="n">
        <f aca="false">IF($E175="Per class",$D175*COUNTIFS('Session Tracker'!$D$5:$D$149,$A175,'Session Tracker'!$F$5:$F$149,"Next week",'Session Tracker'!$G$5:$G$149,"Fri"),$D175*SUMIFS('Session Tracker'!$J$5:$J$149,'Session Tracker'!$D$5:$D$149,$A175,'Session Tracker'!$F$5:$F$149,"Next week",'Session Tracker'!$G$5:$G$149,"Fri"))</f>
        <v>0</v>
      </c>
      <c r="M175" s="52" t="n">
        <f aca="false">IF($E175="Per class",$D175*COUNTIFS('Session Tracker'!$D$5:$D$149,$A175,'Session Tracker'!$F$5:$F$149,"Next week",'Session Tracker'!$G$5:$G$149,""),$D175*SUMIFS('Session Tracker'!$J$5:$J$149,'Session Tracker'!$D$5:$D$149,$A175,'Session Tracker'!$F$5:$F$149,"Next week",'Session Tracker'!$G$5:$G$149,""))</f>
        <v>0</v>
      </c>
    </row>
    <row r="176" customFormat="false" ht="15" hidden="false" customHeight="false" outlineLevel="0" collapsed="false">
      <c r="A176" s="61" t="s">
        <v>170</v>
      </c>
      <c r="B176" s="34" t="s">
        <v>371</v>
      </c>
      <c r="C176" s="34" t="s">
        <v>372</v>
      </c>
      <c r="D176" s="32" t="n">
        <v>1</v>
      </c>
      <c r="E176" s="32" t="s">
        <v>14</v>
      </c>
      <c r="F176" s="32" t="s">
        <v>373</v>
      </c>
      <c r="G176" s="34"/>
      <c r="H176" s="52" t="n">
        <f aca="false">IF($E176="Per class",$D176*COUNTIFS('Session Tracker'!$D$5:$D$149,$A176,'Session Tracker'!$F$5:$F$149,"Next week",'Session Tracker'!$G$5:$G$149,"Mon"),$D176*SUMIFS('Session Tracker'!$J$5:$J$149,'Session Tracker'!$D$5:$D$149,$A176,'Session Tracker'!$F$5:$F$149,"Next week",'Session Tracker'!$G$5:$G$149,"Mon"))</f>
        <v>0</v>
      </c>
      <c r="I176" s="52" t="n">
        <f aca="false">IF($E176="Per class",$D176*COUNTIFS('Session Tracker'!$D$5:$D$149,$A176,'Session Tracker'!$F$5:$F$149,"Next week",'Session Tracker'!$G$5:$G$149,"Tue"),$D176*SUMIFS('Session Tracker'!$J$5:$J$149,'Session Tracker'!$D$5:$D$149,$A176,'Session Tracker'!$F$5:$F$149,"Next week",'Session Tracker'!$G$5:$G$149,"Tue"))</f>
        <v>0</v>
      </c>
      <c r="J176" s="52" t="n">
        <f aca="false">IF($E176="Per class",$D176*COUNTIFS('Session Tracker'!$D$5:$D$149,$A176,'Session Tracker'!$F$5:$F$149,"Next week",'Session Tracker'!$G$5:$G$149,"Wed"),$D176*SUMIFS('Session Tracker'!$J$5:$J$149,'Session Tracker'!$D$5:$D$149,$A176,'Session Tracker'!$F$5:$F$149,"Next week",'Session Tracker'!$G$5:$G$149,"Wed"))</f>
        <v>0</v>
      </c>
      <c r="K176" s="52" t="n">
        <f aca="false">IF($E176="Per class",$D176*COUNTIFS('Session Tracker'!$D$5:$D$149,$A176,'Session Tracker'!$F$5:$F$149,"Next week",'Session Tracker'!$G$5:$G$149,"Thu"),$D176*SUMIFS('Session Tracker'!$J$5:$J$149,'Session Tracker'!$D$5:$D$149,$A176,'Session Tracker'!$F$5:$F$149,"Next week",'Session Tracker'!$G$5:$G$149,"Thu"))</f>
        <v>0</v>
      </c>
      <c r="L176" s="52" t="n">
        <f aca="false">IF($E176="Per class",$D176*COUNTIFS('Session Tracker'!$D$5:$D$149,$A176,'Session Tracker'!$F$5:$F$149,"Next week",'Session Tracker'!$G$5:$G$149,"Fri"),$D176*SUMIFS('Session Tracker'!$J$5:$J$149,'Session Tracker'!$D$5:$D$149,$A176,'Session Tracker'!$F$5:$F$149,"Next week",'Session Tracker'!$G$5:$G$149,"Fri"))</f>
        <v>0</v>
      </c>
      <c r="M176" s="52" t="n">
        <f aca="false">IF($E176="Per class",$D176*COUNTIFS('Session Tracker'!$D$5:$D$149,$A176,'Session Tracker'!$F$5:$F$149,"Next week",'Session Tracker'!$G$5:$G$149,""),$D176*SUMIFS('Session Tracker'!$J$5:$J$149,'Session Tracker'!$D$5:$D$149,$A176,'Session Tracker'!$F$5:$F$149,"Next week",'Session Tracker'!$G$5:$G$149,""))</f>
        <v>0</v>
      </c>
    </row>
    <row r="177" customFormat="false" ht="15" hidden="false" customHeight="false" outlineLevel="0" collapsed="false">
      <c r="A177" s="61" t="s">
        <v>170</v>
      </c>
      <c r="B177" s="34" t="s">
        <v>382</v>
      </c>
      <c r="C177" s="34" t="s">
        <v>484</v>
      </c>
      <c r="D177" s="32" t="n">
        <v>1</v>
      </c>
      <c r="E177" s="32" t="s">
        <v>14</v>
      </c>
      <c r="F177" s="32" t="s">
        <v>368</v>
      </c>
      <c r="G177" s="34"/>
      <c r="H177" s="52" t="n">
        <f aca="false">IF($E177="Per class",$D177*COUNTIFS('Session Tracker'!$D$5:$D$149,$A177,'Session Tracker'!$F$5:$F$149,"Next week",'Session Tracker'!$G$5:$G$149,"Mon"),$D177*SUMIFS('Session Tracker'!$J$5:$J$149,'Session Tracker'!$D$5:$D$149,$A177,'Session Tracker'!$F$5:$F$149,"Next week",'Session Tracker'!$G$5:$G$149,"Mon"))</f>
        <v>0</v>
      </c>
      <c r="I177" s="52" t="n">
        <f aca="false">IF($E177="Per class",$D177*COUNTIFS('Session Tracker'!$D$5:$D$149,$A177,'Session Tracker'!$F$5:$F$149,"Next week",'Session Tracker'!$G$5:$G$149,"Tue"),$D177*SUMIFS('Session Tracker'!$J$5:$J$149,'Session Tracker'!$D$5:$D$149,$A177,'Session Tracker'!$F$5:$F$149,"Next week",'Session Tracker'!$G$5:$G$149,"Tue"))</f>
        <v>0</v>
      </c>
      <c r="J177" s="52" t="n">
        <f aca="false">IF($E177="Per class",$D177*COUNTIFS('Session Tracker'!$D$5:$D$149,$A177,'Session Tracker'!$F$5:$F$149,"Next week",'Session Tracker'!$G$5:$G$149,"Wed"),$D177*SUMIFS('Session Tracker'!$J$5:$J$149,'Session Tracker'!$D$5:$D$149,$A177,'Session Tracker'!$F$5:$F$149,"Next week",'Session Tracker'!$G$5:$G$149,"Wed"))</f>
        <v>0</v>
      </c>
      <c r="K177" s="52" t="n">
        <f aca="false">IF($E177="Per class",$D177*COUNTIFS('Session Tracker'!$D$5:$D$149,$A177,'Session Tracker'!$F$5:$F$149,"Next week",'Session Tracker'!$G$5:$G$149,"Thu"),$D177*SUMIFS('Session Tracker'!$J$5:$J$149,'Session Tracker'!$D$5:$D$149,$A177,'Session Tracker'!$F$5:$F$149,"Next week",'Session Tracker'!$G$5:$G$149,"Thu"))</f>
        <v>0</v>
      </c>
      <c r="L177" s="52" t="n">
        <f aca="false">IF($E177="Per class",$D177*COUNTIFS('Session Tracker'!$D$5:$D$149,$A177,'Session Tracker'!$F$5:$F$149,"Next week",'Session Tracker'!$G$5:$G$149,"Fri"),$D177*SUMIFS('Session Tracker'!$J$5:$J$149,'Session Tracker'!$D$5:$D$149,$A177,'Session Tracker'!$F$5:$F$149,"Next week",'Session Tracker'!$G$5:$G$149,"Fri"))</f>
        <v>0</v>
      </c>
      <c r="M177" s="52" t="n">
        <f aca="false">IF($E177="Per class",$D177*COUNTIFS('Session Tracker'!$D$5:$D$149,$A177,'Session Tracker'!$F$5:$F$149,"Next week",'Session Tracker'!$G$5:$G$149,""),$D177*SUMIFS('Session Tracker'!$J$5:$J$149,'Session Tracker'!$D$5:$D$149,$A177,'Session Tracker'!$F$5:$F$149,"Next week",'Session Tracker'!$G$5:$G$149,""))</f>
        <v>0</v>
      </c>
    </row>
    <row r="178" customFormat="false" ht="15" hidden="false" customHeight="false" outlineLevel="0" collapsed="false">
      <c r="A178" s="61" t="s">
        <v>170</v>
      </c>
      <c r="B178" s="34" t="s">
        <v>411</v>
      </c>
      <c r="C178" s="34" t="s">
        <v>440</v>
      </c>
      <c r="D178" s="32" t="n">
        <v>1</v>
      </c>
      <c r="E178" s="32" t="s">
        <v>14</v>
      </c>
      <c r="F178" s="32" t="s">
        <v>373</v>
      </c>
      <c r="G178" s="34" t="s">
        <v>537</v>
      </c>
      <c r="H178" s="52" t="n">
        <f aca="false">IF($E178="Per class",$D178*COUNTIFS('Session Tracker'!$D$5:$D$149,$A178,'Session Tracker'!$F$5:$F$149,"Next week",'Session Tracker'!$G$5:$G$149,"Mon"),$D178*SUMIFS('Session Tracker'!$J$5:$J$149,'Session Tracker'!$D$5:$D$149,$A178,'Session Tracker'!$F$5:$F$149,"Next week",'Session Tracker'!$G$5:$G$149,"Mon"))</f>
        <v>0</v>
      </c>
      <c r="I178" s="52" t="n">
        <f aca="false">IF($E178="Per class",$D178*COUNTIFS('Session Tracker'!$D$5:$D$149,$A178,'Session Tracker'!$F$5:$F$149,"Next week",'Session Tracker'!$G$5:$G$149,"Tue"),$D178*SUMIFS('Session Tracker'!$J$5:$J$149,'Session Tracker'!$D$5:$D$149,$A178,'Session Tracker'!$F$5:$F$149,"Next week",'Session Tracker'!$G$5:$G$149,"Tue"))</f>
        <v>0</v>
      </c>
      <c r="J178" s="52" t="n">
        <f aca="false">IF($E178="Per class",$D178*COUNTIFS('Session Tracker'!$D$5:$D$149,$A178,'Session Tracker'!$F$5:$F$149,"Next week",'Session Tracker'!$G$5:$G$149,"Wed"),$D178*SUMIFS('Session Tracker'!$J$5:$J$149,'Session Tracker'!$D$5:$D$149,$A178,'Session Tracker'!$F$5:$F$149,"Next week",'Session Tracker'!$G$5:$G$149,"Wed"))</f>
        <v>0</v>
      </c>
      <c r="K178" s="52" t="n">
        <f aca="false">IF($E178="Per class",$D178*COUNTIFS('Session Tracker'!$D$5:$D$149,$A178,'Session Tracker'!$F$5:$F$149,"Next week",'Session Tracker'!$G$5:$G$149,"Thu"),$D178*SUMIFS('Session Tracker'!$J$5:$J$149,'Session Tracker'!$D$5:$D$149,$A178,'Session Tracker'!$F$5:$F$149,"Next week",'Session Tracker'!$G$5:$G$149,"Thu"))</f>
        <v>0</v>
      </c>
      <c r="L178" s="52" t="n">
        <f aca="false">IF($E178="Per class",$D178*COUNTIFS('Session Tracker'!$D$5:$D$149,$A178,'Session Tracker'!$F$5:$F$149,"Next week",'Session Tracker'!$G$5:$G$149,"Fri"),$D178*SUMIFS('Session Tracker'!$J$5:$J$149,'Session Tracker'!$D$5:$D$149,$A178,'Session Tracker'!$F$5:$F$149,"Next week",'Session Tracker'!$G$5:$G$149,"Fri"))</f>
        <v>0</v>
      </c>
      <c r="M178" s="52" t="n">
        <f aca="false">IF($E178="Per class",$D178*COUNTIFS('Session Tracker'!$D$5:$D$149,$A178,'Session Tracker'!$F$5:$F$149,"Next week",'Session Tracker'!$G$5:$G$149,""),$D178*SUMIFS('Session Tracker'!$J$5:$J$149,'Session Tracker'!$D$5:$D$149,$A178,'Session Tracker'!$F$5:$F$149,"Next week",'Session Tracker'!$G$5:$G$149,""))</f>
        <v>0</v>
      </c>
    </row>
    <row r="179" customFormat="false" ht="15" hidden="false" customHeight="false" outlineLevel="0" collapsed="false">
      <c r="A179" s="61" t="s">
        <v>170</v>
      </c>
      <c r="B179" s="34" t="s">
        <v>379</v>
      </c>
      <c r="C179" s="34" t="s">
        <v>380</v>
      </c>
      <c r="D179" s="32" t="n">
        <v>1</v>
      </c>
      <c r="E179" s="32" t="s">
        <v>14</v>
      </c>
      <c r="F179" s="32" t="s">
        <v>368</v>
      </c>
      <c r="G179" s="34"/>
      <c r="H179" s="52" t="n">
        <f aca="false">IF($E179="Per class",$D179*COUNTIFS('Session Tracker'!$D$5:$D$149,$A179,'Session Tracker'!$F$5:$F$149,"Next week",'Session Tracker'!$G$5:$G$149,"Mon"),$D179*SUMIFS('Session Tracker'!$J$5:$J$149,'Session Tracker'!$D$5:$D$149,$A179,'Session Tracker'!$F$5:$F$149,"Next week",'Session Tracker'!$G$5:$G$149,"Mon"))</f>
        <v>0</v>
      </c>
      <c r="I179" s="52" t="n">
        <f aca="false">IF($E179="Per class",$D179*COUNTIFS('Session Tracker'!$D$5:$D$149,$A179,'Session Tracker'!$F$5:$F$149,"Next week",'Session Tracker'!$G$5:$G$149,"Tue"),$D179*SUMIFS('Session Tracker'!$J$5:$J$149,'Session Tracker'!$D$5:$D$149,$A179,'Session Tracker'!$F$5:$F$149,"Next week",'Session Tracker'!$G$5:$G$149,"Tue"))</f>
        <v>0</v>
      </c>
      <c r="J179" s="52" t="n">
        <f aca="false">IF($E179="Per class",$D179*COUNTIFS('Session Tracker'!$D$5:$D$149,$A179,'Session Tracker'!$F$5:$F$149,"Next week",'Session Tracker'!$G$5:$G$149,"Wed"),$D179*SUMIFS('Session Tracker'!$J$5:$J$149,'Session Tracker'!$D$5:$D$149,$A179,'Session Tracker'!$F$5:$F$149,"Next week",'Session Tracker'!$G$5:$G$149,"Wed"))</f>
        <v>0</v>
      </c>
      <c r="K179" s="52" t="n">
        <f aca="false">IF($E179="Per class",$D179*COUNTIFS('Session Tracker'!$D$5:$D$149,$A179,'Session Tracker'!$F$5:$F$149,"Next week",'Session Tracker'!$G$5:$G$149,"Thu"),$D179*SUMIFS('Session Tracker'!$J$5:$J$149,'Session Tracker'!$D$5:$D$149,$A179,'Session Tracker'!$F$5:$F$149,"Next week",'Session Tracker'!$G$5:$G$149,"Thu"))</f>
        <v>0</v>
      </c>
      <c r="L179" s="52" t="n">
        <f aca="false">IF($E179="Per class",$D179*COUNTIFS('Session Tracker'!$D$5:$D$149,$A179,'Session Tracker'!$F$5:$F$149,"Next week",'Session Tracker'!$G$5:$G$149,"Fri"),$D179*SUMIFS('Session Tracker'!$J$5:$J$149,'Session Tracker'!$D$5:$D$149,$A179,'Session Tracker'!$F$5:$F$149,"Next week",'Session Tracker'!$G$5:$G$149,"Fri"))</f>
        <v>0</v>
      </c>
      <c r="M179" s="52" t="n">
        <f aca="false">IF($E179="Per class",$D179*COUNTIFS('Session Tracker'!$D$5:$D$149,$A179,'Session Tracker'!$F$5:$F$149,"Next week",'Session Tracker'!$G$5:$G$149,""),$D179*SUMIFS('Session Tracker'!$J$5:$J$149,'Session Tracker'!$D$5:$D$149,$A179,'Session Tracker'!$F$5:$F$149,"Next week",'Session Tracker'!$G$5:$G$149,""))</f>
        <v>0</v>
      </c>
    </row>
    <row r="180" customFormat="false" ht="15" hidden="false" customHeight="false" outlineLevel="0" collapsed="false">
      <c r="A180" s="61" t="s">
        <v>170</v>
      </c>
      <c r="B180" s="34" t="s">
        <v>379</v>
      </c>
      <c r="C180" s="34" t="s">
        <v>381</v>
      </c>
      <c r="D180" s="32" t="n">
        <v>10</v>
      </c>
      <c r="E180" s="32" t="s">
        <v>14</v>
      </c>
      <c r="F180" s="32" t="s">
        <v>368</v>
      </c>
      <c r="G180" s="34"/>
      <c r="H180" s="52" t="n">
        <f aca="false">IF($E180="Per class",$D180*COUNTIFS('Session Tracker'!$D$5:$D$149,$A180,'Session Tracker'!$F$5:$F$149,"Next week",'Session Tracker'!$G$5:$G$149,"Mon"),$D180*SUMIFS('Session Tracker'!$J$5:$J$149,'Session Tracker'!$D$5:$D$149,$A180,'Session Tracker'!$F$5:$F$149,"Next week",'Session Tracker'!$G$5:$G$149,"Mon"))</f>
        <v>0</v>
      </c>
      <c r="I180" s="52" t="n">
        <f aca="false">IF($E180="Per class",$D180*COUNTIFS('Session Tracker'!$D$5:$D$149,$A180,'Session Tracker'!$F$5:$F$149,"Next week",'Session Tracker'!$G$5:$G$149,"Tue"),$D180*SUMIFS('Session Tracker'!$J$5:$J$149,'Session Tracker'!$D$5:$D$149,$A180,'Session Tracker'!$F$5:$F$149,"Next week",'Session Tracker'!$G$5:$G$149,"Tue"))</f>
        <v>0</v>
      </c>
      <c r="J180" s="52" t="n">
        <f aca="false">IF($E180="Per class",$D180*COUNTIFS('Session Tracker'!$D$5:$D$149,$A180,'Session Tracker'!$F$5:$F$149,"Next week",'Session Tracker'!$G$5:$G$149,"Wed"),$D180*SUMIFS('Session Tracker'!$J$5:$J$149,'Session Tracker'!$D$5:$D$149,$A180,'Session Tracker'!$F$5:$F$149,"Next week",'Session Tracker'!$G$5:$G$149,"Wed"))</f>
        <v>0</v>
      </c>
      <c r="K180" s="52" t="n">
        <f aca="false">IF($E180="Per class",$D180*COUNTIFS('Session Tracker'!$D$5:$D$149,$A180,'Session Tracker'!$F$5:$F$149,"Next week",'Session Tracker'!$G$5:$G$149,"Thu"),$D180*SUMIFS('Session Tracker'!$J$5:$J$149,'Session Tracker'!$D$5:$D$149,$A180,'Session Tracker'!$F$5:$F$149,"Next week",'Session Tracker'!$G$5:$G$149,"Thu"))</f>
        <v>0</v>
      </c>
      <c r="L180" s="52" t="n">
        <f aca="false">IF($E180="Per class",$D180*COUNTIFS('Session Tracker'!$D$5:$D$149,$A180,'Session Tracker'!$F$5:$F$149,"Next week",'Session Tracker'!$G$5:$G$149,"Fri"),$D180*SUMIFS('Session Tracker'!$J$5:$J$149,'Session Tracker'!$D$5:$D$149,$A180,'Session Tracker'!$F$5:$F$149,"Next week",'Session Tracker'!$G$5:$G$149,"Fri"))</f>
        <v>0</v>
      </c>
      <c r="M180" s="52" t="n">
        <f aca="false">IF($E180="Per class",$D180*COUNTIFS('Session Tracker'!$D$5:$D$149,$A180,'Session Tracker'!$F$5:$F$149,"Next week",'Session Tracker'!$G$5:$G$149,""),$D180*SUMIFS('Session Tracker'!$J$5:$J$149,'Session Tracker'!$D$5:$D$149,$A180,'Session Tracker'!$F$5:$F$149,"Next week",'Session Tracker'!$G$5:$G$149,""))</f>
        <v>0</v>
      </c>
    </row>
    <row r="181" customFormat="false" ht="15" hidden="false" customHeight="false" outlineLevel="0" collapsed="false">
      <c r="A181" s="61" t="s">
        <v>170</v>
      </c>
      <c r="B181" s="34" t="s">
        <v>379</v>
      </c>
      <c r="C181" s="34" t="s">
        <v>395</v>
      </c>
      <c r="D181" s="32" t="n">
        <v>6</v>
      </c>
      <c r="E181" s="32" t="s">
        <v>14</v>
      </c>
      <c r="F181" s="32" t="s">
        <v>368</v>
      </c>
      <c r="G181" s="34"/>
      <c r="H181" s="52" t="n">
        <f aca="false">IF($E181="Per class",$D181*COUNTIFS('Session Tracker'!$D$5:$D$149,$A181,'Session Tracker'!$F$5:$F$149,"Next week",'Session Tracker'!$G$5:$G$149,"Mon"),$D181*SUMIFS('Session Tracker'!$J$5:$J$149,'Session Tracker'!$D$5:$D$149,$A181,'Session Tracker'!$F$5:$F$149,"Next week",'Session Tracker'!$G$5:$G$149,"Mon"))</f>
        <v>0</v>
      </c>
      <c r="I181" s="52" t="n">
        <f aca="false">IF($E181="Per class",$D181*COUNTIFS('Session Tracker'!$D$5:$D$149,$A181,'Session Tracker'!$F$5:$F$149,"Next week",'Session Tracker'!$G$5:$G$149,"Tue"),$D181*SUMIFS('Session Tracker'!$J$5:$J$149,'Session Tracker'!$D$5:$D$149,$A181,'Session Tracker'!$F$5:$F$149,"Next week",'Session Tracker'!$G$5:$G$149,"Tue"))</f>
        <v>0</v>
      </c>
      <c r="J181" s="52" t="n">
        <f aca="false">IF($E181="Per class",$D181*COUNTIFS('Session Tracker'!$D$5:$D$149,$A181,'Session Tracker'!$F$5:$F$149,"Next week",'Session Tracker'!$G$5:$G$149,"Wed"),$D181*SUMIFS('Session Tracker'!$J$5:$J$149,'Session Tracker'!$D$5:$D$149,$A181,'Session Tracker'!$F$5:$F$149,"Next week",'Session Tracker'!$G$5:$G$149,"Wed"))</f>
        <v>0</v>
      </c>
      <c r="K181" s="52" t="n">
        <f aca="false">IF($E181="Per class",$D181*COUNTIFS('Session Tracker'!$D$5:$D$149,$A181,'Session Tracker'!$F$5:$F$149,"Next week",'Session Tracker'!$G$5:$G$149,"Thu"),$D181*SUMIFS('Session Tracker'!$J$5:$J$149,'Session Tracker'!$D$5:$D$149,$A181,'Session Tracker'!$F$5:$F$149,"Next week",'Session Tracker'!$G$5:$G$149,"Thu"))</f>
        <v>0</v>
      </c>
      <c r="L181" s="52" t="n">
        <f aca="false">IF($E181="Per class",$D181*COUNTIFS('Session Tracker'!$D$5:$D$149,$A181,'Session Tracker'!$F$5:$F$149,"Next week",'Session Tracker'!$G$5:$G$149,"Fri"),$D181*SUMIFS('Session Tracker'!$J$5:$J$149,'Session Tracker'!$D$5:$D$149,$A181,'Session Tracker'!$F$5:$F$149,"Next week",'Session Tracker'!$G$5:$G$149,"Fri"))</f>
        <v>0</v>
      </c>
      <c r="M181" s="52" t="n">
        <f aca="false">IF($E181="Per class",$D181*COUNTIFS('Session Tracker'!$D$5:$D$149,$A181,'Session Tracker'!$F$5:$F$149,"Next week",'Session Tracker'!$G$5:$G$149,""),$D181*SUMIFS('Session Tracker'!$J$5:$J$149,'Session Tracker'!$D$5:$D$149,$A181,'Session Tracker'!$F$5:$F$149,"Next week",'Session Tracker'!$G$5:$G$149,""))</f>
        <v>0</v>
      </c>
    </row>
    <row r="182" customFormat="false" ht="15" hidden="false" customHeight="false" outlineLevel="0" collapsed="false">
      <c r="A182" s="61" t="s">
        <v>170</v>
      </c>
      <c r="B182" s="34" t="s">
        <v>382</v>
      </c>
      <c r="C182" s="34" t="s">
        <v>383</v>
      </c>
      <c r="D182" s="32" t="n">
        <v>1</v>
      </c>
      <c r="E182" s="32" t="s">
        <v>14</v>
      </c>
      <c r="F182" s="32" t="s">
        <v>368</v>
      </c>
      <c r="G182" s="34"/>
      <c r="H182" s="52" t="n">
        <f aca="false">IF($E182="Per class",$D182*COUNTIFS('Session Tracker'!$D$5:$D$149,$A182,'Session Tracker'!$F$5:$F$149,"Next week",'Session Tracker'!$G$5:$G$149,"Mon"),$D182*SUMIFS('Session Tracker'!$J$5:$J$149,'Session Tracker'!$D$5:$D$149,$A182,'Session Tracker'!$F$5:$F$149,"Next week",'Session Tracker'!$G$5:$G$149,"Mon"))</f>
        <v>0</v>
      </c>
      <c r="I182" s="52" t="n">
        <f aca="false">IF($E182="Per class",$D182*COUNTIFS('Session Tracker'!$D$5:$D$149,$A182,'Session Tracker'!$F$5:$F$149,"Next week",'Session Tracker'!$G$5:$G$149,"Tue"),$D182*SUMIFS('Session Tracker'!$J$5:$J$149,'Session Tracker'!$D$5:$D$149,$A182,'Session Tracker'!$F$5:$F$149,"Next week",'Session Tracker'!$G$5:$G$149,"Tue"))</f>
        <v>0</v>
      </c>
      <c r="J182" s="52" t="n">
        <f aca="false">IF($E182="Per class",$D182*COUNTIFS('Session Tracker'!$D$5:$D$149,$A182,'Session Tracker'!$F$5:$F$149,"Next week",'Session Tracker'!$G$5:$G$149,"Wed"),$D182*SUMIFS('Session Tracker'!$J$5:$J$149,'Session Tracker'!$D$5:$D$149,$A182,'Session Tracker'!$F$5:$F$149,"Next week",'Session Tracker'!$G$5:$G$149,"Wed"))</f>
        <v>0</v>
      </c>
      <c r="K182" s="52" t="n">
        <f aca="false">IF($E182="Per class",$D182*COUNTIFS('Session Tracker'!$D$5:$D$149,$A182,'Session Tracker'!$F$5:$F$149,"Next week",'Session Tracker'!$G$5:$G$149,"Thu"),$D182*SUMIFS('Session Tracker'!$J$5:$J$149,'Session Tracker'!$D$5:$D$149,$A182,'Session Tracker'!$F$5:$F$149,"Next week",'Session Tracker'!$G$5:$G$149,"Thu"))</f>
        <v>0</v>
      </c>
      <c r="L182" s="52" t="n">
        <f aca="false">IF($E182="Per class",$D182*COUNTIFS('Session Tracker'!$D$5:$D$149,$A182,'Session Tracker'!$F$5:$F$149,"Next week",'Session Tracker'!$G$5:$G$149,"Fri"),$D182*SUMIFS('Session Tracker'!$J$5:$J$149,'Session Tracker'!$D$5:$D$149,$A182,'Session Tracker'!$F$5:$F$149,"Next week",'Session Tracker'!$G$5:$G$149,"Fri"))</f>
        <v>0</v>
      </c>
      <c r="M182" s="52" t="n">
        <f aca="false">IF($E182="Per class",$D182*COUNTIFS('Session Tracker'!$D$5:$D$149,$A182,'Session Tracker'!$F$5:$F$149,"Next week",'Session Tracker'!$G$5:$G$149,""),$D182*SUMIFS('Session Tracker'!$J$5:$J$149,'Session Tracker'!$D$5:$D$149,$A182,'Session Tracker'!$F$5:$F$149,"Next week",'Session Tracker'!$G$5:$G$149,""))</f>
        <v>0</v>
      </c>
    </row>
    <row r="183" customFormat="false" ht="15" hidden="false" customHeight="false" outlineLevel="0" collapsed="false">
      <c r="A183" s="61" t="s">
        <v>170</v>
      </c>
      <c r="B183" s="34" t="s">
        <v>375</v>
      </c>
      <c r="C183" s="34" t="s">
        <v>376</v>
      </c>
      <c r="D183" s="32" t="n">
        <v>1</v>
      </c>
      <c r="E183" s="32" t="s">
        <v>14</v>
      </c>
      <c r="F183" s="32" t="s">
        <v>373</v>
      </c>
      <c r="G183" s="34" t="s">
        <v>442</v>
      </c>
      <c r="H183" s="52" t="n">
        <f aca="false">IF($E183="Per class",$D183*COUNTIFS('Session Tracker'!$D$5:$D$149,$A183,'Session Tracker'!$F$5:$F$149,"Next week",'Session Tracker'!$G$5:$G$149,"Mon"),$D183*SUMIFS('Session Tracker'!$J$5:$J$149,'Session Tracker'!$D$5:$D$149,$A183,'Session Tracker'!$F$5:$F$149,"Next week",'Session Tracker'!$G$5:$G$149,"Mon"))</f>
        <v>0</v>
      </c>
      <c r="I183" s="52" t="n">
        <f aca="false">IF($E183="Per class",$D183*COUNTIFS('Session Tracker'!$D$5:$D$149,$A183,'Session Tracker'!$F$5:$F$149,"Next week",'Session Tracker'!$G$5:$G$149,"Tue"),$D183*SUMIFS('Session Tracker'!$J$5:$J$149,'Session Tracker'!$D$5:$D$149,$A183,'Session Tracker'!$F$5:$F$149,"Next week",'Session Tracker'!$G$5:$G$149,"Tue"))</f>
        <v>0</v>
      </c>
      <c r="J183" s="52" t="n">
        <f aca="false">IF($E183="Per class",$D183*COUNTIFS('Session Tracker'!$D$5:$D$149,$A183,'Session Tracker'!$F$5:$F$149,"Next week",'Session Tracker'!$G$5:$G$149,"Wed"),$D183*SUMIFS('Session Tracker'!$J$5:$J$149,'Session Tracker'!$D$5:$D$149,$A183,'Session Tracker'!$F$5:$F$149,"Next week",'Session Tracker'!$G$5:$G$149,"Wed"))</f>
        <v>0</v>
      </c>
      <c r="K183" s="52" t="n">
        <f aca="false">IF($E183="Per class",$D183*COUNTIFS('Session Tracker'!$D$5:$D$149,$A183,'Session Tracker'!$F$5:$F$149,"Next week",'Session Tracker'!$G$5:$G$149,"Thu"),$D183*SUMIFS('Session Tracker'!$J$5:$J$149,'Session Tracker'!$D$5:$D$149,$A183,'Session Tracker'!$F$5:$F$149,"Next week",'Session Tracker'!$G$5:$G$149,"Thu"))</f>
        <v>0</v>
      </c>
      <c r="L183" s="52" t="n">
        <f aca="false">IF($E183="Per class",$D183*COUNTIFS('Session Tracker'!$D$5:$D$149,$A183,'Session Tracker'!$F$5:$F$149,"Next week",'Session Tracker'!$G$5:$G$149,"Fri"),$D183*SUMIFS('Session Tracker'!$J$5:$J$149,'Session Tracker'!$D$5:$D$149,$A183,'Session Tracker'!$F$5:$F$149,"Next week",'Session Tracker'!$G$5:$G$149,"Fri"))</f>
        <v>0</v>
      </c>
      <c r="M183" s="52" t="n">
        <f aca="false">IF($E183="Per class",$D183*COUNTIFS('Session Tracker'!$D$5:$D$149,$A183,'Session Tracker'!$F$5:$F$149,"Next week",'Session Tracker'!$G$5:$G$149,""),$D183*SUMIFS('Session Tracker'!$J$5:$J$149,'Session Tracker'!$D$5:$D$149,$A183,'Session Tracker'!$F$5:$F$149,"Next week",'Session Tracker'!$G$5:$G$149,""))</f>
        <v>0</v>
      </c>
    </row>
    <row r="184" customFormat="false" ht="15" hidden="false" customHeight="false" outlineLevel="0" collapsed="false">
      <c r="A184" s="61" t="s">
        <v>170</v>
      </c>
      <c r="B184" s="34" t="s">
        <v>377</v>
      </c>
      <c r="C184" s="34" t="s">
        <v>378</v>
      </c>
      <c r="D184" s="32" t="n">
        <v>1</v>
      </c>
      <c r="E184" s="32" t="s">
        <v>14</v>
      </c>
      <c r="F184" s="32" t="s">
        <v>368</v>
      </c>
      <c r="G184" s="34" t="s">
        <v>389</v>
      </c>
      <c r="H184" s="52" t="n">
        <f aca="false">IF($E184="Per class",$D184*COUNTIFS('Session Tracker'!$D$5:$D$149,$A184,'Session Tracker'!$F$5:$F$149,"Next week",'Session Tracker'!$G$5:$G$149,"Mon"),$D184*SUMIFS('Session Tracker'!$J$5:$J$149,'Session Tracker'!$D$5:$D$149,$A184,'Session Tracker'!$F$5:$F$149,"Next week",'Session Tracker'!$G$5:$G$149,"Mon"))</f>
        <v>0</v>
      </c>
      <c r="I184" s="52" t="n">
        <f aca="false">IF($E184="Per class",$D184*COUNTIFS('Session Tracker'!$D$5:$D$149,$A184,'Session Tracker'!$F$5:$F$149,"Next week",'Session Tracker'!$G$5:$G$149,"Tue"),$D184*SUMIFS('Session Tracker'!$J$5:$J$149,'Session Tracker'!$D$5:$D$149,$A184,'Session Tracker'!$F$5:$F$149,"Next week",'Session Tracker'!$G$5:$G$149,"Tue"))</f>
        <v>0</v>
      </c>
      <c r="J184" s="52" t="n">
        <f aca="false">IF($E184="Per class",$D184*COUNTIFS('Session Tracker'!$D$5:$D$149,$A184,'Session Tracker'!$F$5:$F$149,"Next week",'Session Tracker'!$G$5:$G$149,"Wed"),$D184*SUMIFS('Session Tracker'!$J$5:$J$149,'Session Tracker'!$D$5:$D$149,$A184,'Session Tracker'!$F$5:$F$149,"Next week",'Session Tracker'!$G$5:$G$149,"Wed"))</f>
        <v>0</v>
      </c>
      <c r="K184" s="52" t="n">
        <f aca="false">IF($E184="Per class",$D184*COUNTIFS('Session Tracker'!$D$5:$D$149,$A184,'Session Tracker'!$F$5:$F$149,"Next week",'Session Tracker'!$G$5:$G$149,"Thu"),$D184*SUMIFS('Session Tracker'!$J$5:$J$149,'Session Tracker'!$D$5:$D$149,$A184,'Session Tracker'!$F$5:$F$149,"Next week",'Session Tracker'!$G$5:$G$149,"Thu"))</f>
        <v>0</v>
      </c>
      <c r="L184" s="52" t="n">
        <f aca="false">IF($E184="Per class",$D184*COUNTIFS('Session Tracker'!$D$5:$D$149,$A184,'Session Tracker'!$F$5:$F$149,"Next week",'Session Tracker'!$G$5:$G$149,"Fri"),$D184*SUMIFS('Session Tracker'!$J$5:$J$149,'Session Tracker'!$D$5:$D$149,$A184,'Session Tracker'!$F$5:$F$149,"Next week",'Session Tracker'!$G$5:$G$149,"Fri"))</f>
        <v>0</v>
      </c>
      <c r="M184" s="52" t="n">
        <f aca="false">IF($E184="Per class",$D184*COUNTIFS('Session Tracker'!$D$5:$D$149,$A184,'Session Tracker'!$F$5:$F$149,"Next week",'Session Tracker'!$G$5:$G$149,""),$D184*SUMIFS('Session Tracker'!$J$5:$J$149,'Session Tracker'!$D$5:$D$149,$A184,'Session Tracker'!$F$5:$F$149,"Next week",'Session Tracker'!$G$5:$G$149,""))</f>
        <v>0</v>
      </c>
    </row>
    <row r="185" customFormat="false" ht="15" hidden="false" customHeight="false" outlineLevel="0" collapsed="false">
      <c r="A185" s="53" t="s">
        <v>170</v>
      </c>
      <c r="B185" s="54"/>
      <c r="C185" s="54"/>
      <c r="D185" s="54"/>
      <c r="E185" s="54"/>
      <c r="F185" s="54"/>
      <c r="G185" s="54"/>
      <c r="H185" s="52" t="n">
        <f aca="false">IF($E185="Per class",$D185*COUNTIFS('Session Tracker'!$D$5:$D$149,$A185,'Session Tracker'!$F$5:$F$149,"Next week",'Session Tracker'!$G$5:$G$149,"Mon"),$D185*SUMIFS('Session Tracker'!$J$5:$J$149,'Session Tracker'!$D$5:$D$149,$A185,'Session Tracker'!$F$5:$F$149,"Next week",'Session Tracker'!$G$5:$G$149,"Mon"))</f>
        <v>0</v>
      </c>
      <c r="I185" s="52" t="n">
        <f aca="false">IF($E185="Per class",$D185*COUNTIFS('Session Tracker'!$D$5:$D$149,$A185,'Session Tracker'!$F$5:$F$149,"Next week",'Session Tracker'!$G$5:$G$149,"Tue"),$D185*SUMIFS('Session Tracker'!$J$5:$J$149,'Session Tracker'!$D$5:$D$149,$A185,'Session Tracker'!$F$5:$F$149,"Next week",'Session Tracker'!$G$5:$G$149,"Tue"))</f>
        <v>0</v>
      </c>
      <c r="J185" s="52" t="n">
        <f aca="false">IF($E185="Per class",$D185*COUNTIFS('Session Tracker'!$D$5:$D$149,$A185,'Session Tracker'!$F$5:$F$149,"Next week",'Session Tracker'!$G$5:$G$149,"Wed"),$D185*SUMIFS('Session Tracker'!$J$5:$J$149,'Session Tracker'!$D$5:$D$149,$A185,'Session Tracker'!$F$5:$F$149,"Next week",'Session Tracker'!$G$5:$G$149,"Wed"))</f>
        <v>0</v>
      </c>
      <c r="K185" s="52" t="n">
        <f aca="false">IF($E185="Per class",$D185*COUNTIFS('Session Tracker'!$D$5:$D$149,$A185,'Session Tracker'!$F$5:$F$149,"Next week",'Session Tracker'!$G$5:$G$149,"Thu"),$D185*SUMIFS('Session Tracker'!$J$5:$J$149,'Session Tracker'!$D$5:$D$149,$A185,'Session Tracker'!$F$5:$F$149,"Next week",'Session Tracker'!$G$5:$G$149,"Thu"))</f>
        <v>0</v>
      </c>
      <c r="L185" s="52" t="n">
        <f aca="false">IF($E185="Per class",$D185*COUNTIFS('Session Tracker'!$D$5:$D$149,$A185,'Session Tracker'!$F$5:$F$149,"Next week",'Session Tracker'!$G$5:$G$149,"Fri"),$D185*SUMIFS('Session Tracker'!$J$5:$J$149,'Session Tracker'!$D$5:$D$149,$A185,'Session Tracker'!$F$5:$F$149,"Next week",'Session Tracker'!$G$5:$G$149,"Fri"))</f>
        <v>0</v>
      </c>
      <c r="M185" s="52" t="n">
        <f aca="false">IF($E185="Per class",$D185*COUNTIFS('Session Tracker'!$D$5:$D$149,$A185,'Session Tracker'!$F$5:$F$149,"Next week",'Session Tracker'!$G$5:$G$149,""),$D185*SUMIFS('Session Tracker'!$J$5:$J$149,'Session Tracker'!$D$5:$D$149,$A185,'Session Tracker'!$F$5:$F$149,"Next week",'Session Tracker'!$G$5:$G$149,""))</f>
        <v>0</v>
      </c>
    </row>
    <row r="186" customFormat="false" ht="15" hidden="false" customHeight="false" outlineLevel="0" collapsed="false">
      <c r="A186" s="53" t="s">
        <v>170</v>
      </c>
      <c r="B186" s="54"/>
      <c r="C186" s="54"/>
      <c r="D186" s="54"/>
      <c r="E186" s="54"/>
      <c r="F186" s="54"/>
      <c r="G186" s="54"/>
      <c r="H186" s="52" t="n">
        <f aca="false">IF($E186="Per class",$D186*COUNTIFS('Session Tracker'!$D$5:$D$149,$A186,'Session Tracker'!$F$5:$F$149,"Next week",'Session Tracker'!$G$5:$G$149,"Mon"),$D186*SUMIFS('Session Tracker'!$J$5:$J$149,'Session Tracker'!$D$5:$D$149,$A186,'Session Tracker'!$F$5:$F$149,"Next week",'Session Tracker'!$G$5:$G$149,"Mon"))</f>
        <v>0</v>
      </c>
      <c r="I186" s="52" t="n">
        <f aca="false">IF($E186="Per class",$D186*COUNTIFS('Session Tracker'!$D$5:$D$149,$A186,'Session Tracker'!$F$5:$F$149,"Next week",'Session Tracker'!$G$5:$G$149,"Tue"),$D186*SUMIFS('Session Tracker'!$J$5:$J$149,'Session Tracker'!$D$5:$D$149,$A186,'Session Tracker'!$F$5:$F$149,"Next week",'Session Tracker'!$G$5:$G$149,"Tue"))</f>
        <v>0</v>
      </c>
      <c r="J186" s="52" t="n">
        <f aca="false">IF($E186="Per class",$D186*COUNTIFS('Session Tracker'!$D$5:$D$149,$A186,'Session Tracker'!$F$5:$F$149,"Next week",'Session Tracker'!$G$5:$G$149,"Wed"),$D186*SUMIFS('Session Tracker'!$J$5:$J$149,'Session Tracker'!$D$5:$D$149,$A186,'Session Tracker'!$F$5:$F$149,"Next week",'Session Tracker'!$G$5:$G$149,"Wed"))</f>
        <v>0</v>
      </c>
      <c r="K186" s="52" t="n">
        <f aca="false">IF($E186="Per class",$D186*COUNTIFS('Session Tracker'!$D$5:$D$149,$A186,'Session Tracker'!$F$5:$F$149,"Next week",'Session Tracker'!$G$5:$G$149,"Thu"),$D186*SUMIFS('Session Tracker'!$J$5:$J$149,'Session Tracker'!$D$5:$D$149,$A186,'Session Tracker'!$F$5:$F$149,"Next week",'Session Tracker'!$G$5:$G$149,"Thu"))</f>
        <v>0</v>
      </c>
      <c r="L186" s="52" t="n">
        <f aca="false">IF($E186="Per class",$D186*COUNTIFS('Session Tracker'!$D$5:$D$149,$A186,'Session Tracker'!$F$5:$F$149,"Next week",'Session Tracker'!$G$5:$G$149,"Fri"),$D186*SUMIFS('Session Tracker'!$J$5:$J$149,'Session Tracker'!$D$5:$D$149,$A186,'Session Tracker'!$F$5:$F$149,"Next week",'Session Tracker'!$G$5:$G$149,"Fri"))</f>
        <v>0</v>
      </c>
      <c r="M186" s="52" t="n">
        <f aca="false">IF($E186="Per class",$D186*COUNTIFS('Session Tracker'!$D$5:$D$149,$A186,'Session Tracker'!$F$5:$F$149,"Next week",'Session Tracker'!$G$5:$G$149,""),$D186*SUMIFS('Session Tracker'!$J$5:$J$149,'Session Tracker'!$D$5:$D$149,$A186,'Session Tracker'!$F$5:$F$149,"Next week",'Session Tracker'!$G$5:$G$149,""))</f>
        <v>0</v>
      </c>
    </row>
    <row r="188" customFormat="false" ht="19.5" hidden="false" customHeight="true" outlineLevel="0" collapsed="false">
      <c r="A188" s="57" t="s">
        <v>172</v>
      </c>
      <c r="B188" s="58" t="s">
        <v>538</v>
      </c>
      <c r="C188" s="58"/>
      <c r="D188" s="58"/>
      <c r="E188" s="58"/>
      <c r="F188" s="59" t="str">
        <f aca="false">"Status: "&amp;'Session Tracker'!F54&amp;IF('Session Tracker'!G54&lt;&gt;""," ("&amp;'Session Tracker'!G54&amp;")","")</f>
        <v>Status: Not started</v>
      </c>
      <c r="G188" s="59"/>
      <c r="H188" s="60"/>
      <c r="I188" s="60"/>
      <c r="J188" s="60"/>
      <c r="K188" s="60"/>
      <c r="L188" s="60"/>
      <c r="M188" s="60"/>
    </row>
    <row r="189" customFormat="false" ht="23.85" hidden="false" customHeight="false" outlineLevel="0" collapsed="false">
      <c r="A189" s="61" t="s">
        <v>172</v>
      </c>
      <c r="B189" s="34" t="s">
        <v>366</v>
      </c>
      <c r="C189" s="34" t="s">
        <v>367</v>
      </c>
      <c r="D189" s="32" t="n">
        <v>1</v>
      </c>
      <c r="E189" s="32" t="s">
        <v>14</v>
      </c>
      <c r="F189" s="32" t="s">
        <v>368</v>
      </c>
      <c r="G189" s="34"/>
      <c r="H189" s="52" t="n">
        <f aca="false">IF($E189="Per class",$D189*COUNTIFS('Session Tracker'!$D$5:$D$149,$A189,'Session Tracker'!$F$5:$F$149,"Next week",'Session Tracker'!$G$5:$G$149,"Mon"),$D189*SUMIFS('Session Tracker'!$J$5:$J$149,'Session Tracker'!$D$5:$D$149,$A189,'Session Tracker'!$F$5:$F$149,"Next week",'Session Tracker'!$G$5:$G$149,"Mon"))</f>
        <v>0</v>
      </c>
      <c r="I189" s="52" t="n">
        <f aca="false">IF($E189="Per class",$D189*COUNTIFS('Session Tracker'!$D$5:$D$149,$A189,'Session Tracker'!$F$5:$F$149,"Next week",'Session Tracker'!$G$5:$G$149,"Tue"),$D189*SUMIFS('Session Tracker'!$J$5:$J$149,'Session Tracker'!$D$5:$D$149,$A189,'Session Tracker'!$F$5:$F$149,"Next week",'Session Tracker'!$G$5:$G$149,"Tue"))</f>
        <v>0</v>
      </c>
      <c r="J189" s="52" t="n">
        <f aca="false">IF($E189="Per class",$D189*COUNTIFS('Session Tracker'!$D$5:$D$149,$A189,'Session Tracker'!$F$5:$F$149,"Next week",'Session Tracker'!$G$5:$G$149,"Wed"),$D189*SUMIFS('Session Tracker'!$J$5:$J$149,'Session Tracker'!$D$5:$D$149,$A189,'Session Tracker'!$F$5:$F$149,"Next week",'Session Tracker'!$G$5:$G$149,"Wed"))</f>
        <v>0</v>
      </c>
      <c r="K189" s="52" t="n">
        <f aca="false">IF($E189="Per class",$D189*COUNTIFS('Session Tracker'!$D$5:$D$149,$A189,'Session Tracker'!$F$5:$F$149,"Next week",'Session Tracker'!$G$5:$G$149,"Thu"),$D189*SUMIFS('Session Tracker'!$J$5:$J$149,'Session Tracker'!$D$5:$D$149,$A189,'Session Tracker'!$F$5:$F$149,"Next week",'Session Tracker'!$G$5:$G$149,"Thu"))</f>
        <v>0</v>
      </c>
      <c r="L189" s="52" t="n">
        <f aca="false">IF($E189="Per class",$D189*COUNTIFS('Session Tracker'!$D$5:$D$149,$A189,'Session Tracker'!$F$5:$F$149,"Next week",'Session Tracker'!$G$5:$G$149,"Fri"),$D189*SUMIFS('Session Tracker'!$J$5:$J$149,'Session Tracker'!$D$5:$D$149,$A189,'Session Tracker'!$F$5:$F$149,"Next week",'Session Tracker'!$G$5:$G$149,"Fri"))</f>
        <v>0</v>
      </c>
      <c r="M189" s="52" t="n">
        <f aca="false">IF($E189="Per class",$D189*COUNTIFS('Session Tracker'!$D$5:$D$149,$A189,'Session Tracker'!$F$5:$F$149,"Next week",'Session Tracker'!$G$5:$G$149,""),$D189*SUMIFS('Session Tracker'!$J$5:$J$149,'Session Tracker'!$D$5:$D$149,$A189,'Session Tracker'!$F$5:$F$149,"Next week",'Session Tracker'!$G$5:$G$149,""))</f>
        <v>0</v>
      </c>
    </row>
    <row r="190" customFormat="false" ht="15" hidden="false" customHeight="false" outlineLevel="0" collapsed="false">
      <c r="A190" s="61" t="s">
        <v>172</v>
      </c>
      <c r="B190" s="34" t="s">
        <v>369</v>
      </c>
      <c r="C190" s="34" t="s">
        <v>437</v>
      </c>
      <c r="D190" s="32" t="n">
        <v>1</v>
      </c>
      <c r="E190" s="32" t="s">
        <v>14</v>
      </c>
      <c r="F190" s="32" t="s">
        <v>368</v>
      </c>
      <c r="G190" s="34"/>
      <c r="H190" s="52" t="n">
        <f aca="false">IF($E190="Per class",$D190*COUNTIFS('Session Tracker'!$D$5:$D$149,$A190,'Session Tracker'!$F$5:$F$149,"Next week",'Session Tracker'!$G$5:$G$149,"Mon"),$D190*SUMIFS('Session Tracker'!$J$5:$J$149,'Session Tracker'!$D$5:$D$149,$A190,'Session Tracker'!$F$5:$F$149,"Next week",'Session Tracker'!$G$5:$G$149,"Mon"))</f>
        <v>0</v>
      </c>
      <c r="I190" s="52" t="n">
        <f aca="false">IF($E190="Per class",$D190*COUNTIFS('Session Tracker'!$D$5:$D$149,$A190,'Session Tracker'!$F$5:$F$149,"Next week",'Session Tracker'!$G$5:$G$149,"Tue"),$D190*SUMIFS('Session Tracker'!$J$5:$J$149,'Session Tracker'!$D$5:$D$149,$A190,'Session Tracker'!$F$5:$F$149,"Next week",'Session Tracker'!$G$5:$G$149,"Tue"))</f>
        <v>0</v>
      </c>
      <c r="J190" s="52" t="n">
        <f aca="false">IF($E190="Per class",$D190*COUNTIFS('Session Tracker'!$D$5:$D$149,$A190,'Session Tracker'!$F$5:$F$149,"Next week",'Session Tracker'!$G$5:$G$149,"Wed"),$D190*SUMIFS('Session Tracker'!$J$5:$J$149,'Session Tracker'!$D$5:$D$149,$A190,'Session Tracker'!$F$5:$F$149,"Next week",'Session Tracker'!$G$5:$G$149,"Wed"))</f>
        <v>0</v>
      </c>
      <c r="K190" s="52" t="n">
        <f aca="false">IF($E190="Per class",$D190*COUNTIFS('Session Tracker'!$D$5:$D$149,$A190,'Session Tracker'!$F$5:$F$149,"Next week",'Session Tracker'!$G$5:$G$149,"Thu"),$D190*SUMIFS('Session Tracker'!$J$5:$J$149,'Session Tracker'!$D$5:$D$149,$A190,'Session Tracker'!$F$5:$F$149,"Next week",'Session Tracker'!$G$5:$G$149,"Thu"))</f>
        <v>0</v>
      </c>
      <c r="L190" s="52" t="n">
        <f aca="false">IF($E190="Per class",$D190*COUNTIFS('Session Tracker'!$D$5:$D$149,$A190,'Session Tracker'!$F$5:$F$149,"Next week",'Session Tracker'!$G$5:$G$149,"Fri"),$D190*SUMIFS('Session Tracker'!$J$5:$J$149,'Session Tracker'!$D$5:$D$149,$A190,'Session Tracker'!$F$5:$F$149,"Next week",'Session Tracker'!$G$5:$G$149,"Fri"))</f>
        <v>0</v>
      </c>
      <c r="M190" s="52" t="n">
        <f aca="false">IF($E190="Per class",$D190*COUNTIFS('Session Tracker'!$D$5:$D$149,$A190,'Session Tracker'!$F$5:$F$149,"Next week",'Session Tracker'!$G$5:$G$149,""),$D190*SUMIFS('Session Tracker'!$J$5:$J$149,'Session Tracker'!$D$5:$D$149,$A190,'Session Tracker'!$F$5:$F$149,"Next week",'Session Tracker'!$G$5:$G$149,""))</f>
        <v>0</v>
      </c>
    </row>
    <row r="191" customFormat="false" ht="15" hidden="false" customHeight="false" outlineLevel="0" collapsed="false">
      <c r="A191" s="61" t="s">
        <v>172</v>
      </c>
      <c r="B191" s="34" t="s">
        <v>375</v>
      </c>
      <c r="C191" s="34" t="s">
        <v>385</v>
      </c>
      <c r="D191" s="32" t="n">
        <v>3</v>
      </c>
      <c r="E191" s="32" t="s">
        <v>14</v>
      </c>
      <c r="F191" s="32" t="s">
        <v>368</v>
      </c>
      <c r="G191" s="34"/>
      <c r="H191" s="52" t="n">
        <f aca="false">IF($E191="Per class",$D191*COUNTIFS('Session Tracker'!$D$5:$D$149,$A191,'Session Tracker'!$F$5:$F$149,"Next week",'Session Tracker'!$G$5:$G$149,"Mon"),$D191*SUMIFS('Session Tracker'!$J$5:$J$149,'Session Tracker'!$D$5:$D$149,$A191,'Session Tracker'!$F$5:$F$149,"Next week",'Session Tracker'!$G$5:$G$149,"Mon"))</f>
        <v>0</v>
      </c>
      <c r="I191" s="52" t="n">
        <f aca="false">IF($E191="Per class",$D191*COUNTIFS('Session Tracker'!$D$5:$D$149,$A191,'Session Tracker'!$F$5:$F$149,"Next week",'Session Tracker'!$G$5:$G$149,"Tue"),$D191*SUMIFS('Session Tracker'!$J$5:$J$149,'Session Tracker'!$D$5:$D$149,$A191,'Session Tracker'!$F$5:$F$149,"Next week",'Session Tracker'!$G$5:$G$149,"Tue"))</f>
        <v>0</v>
      </c>
      <c r="J191" s="52" t="n">
        <f aca="false">IF($E191="Per class",$D191*COUNTIFS('Session Tracker'!$D$5:$D$149,$A191,'Session Tracker'!$F$5:$F$149,"Next week",'Session Tracker'!$G$5:$G$149,"Wed"),$D191*SUMIFS('Session Tracker'!$J$5:$J$149,'Session Tracker'!$D$5:$D$149,$A191,'Session Tracker'!$F$5:$F$149,"Next week",'Session Tracker'!$G$5:$G$149,"Wed"))</f>
        <v>0</v>
      </c>
      <c r="K191" s="52" t="n">
        <f aca="false">IF($E191="Per class",$D191*COUNTIFS('Session Tracker'!$D$5:$D$149,$A191,'Session Tracker'!$F$5:$F$149,"Next week",'Session Tracker'!$G$5:$G$149,"Thu"),$D191*SUMIFS('Session Tracker'!$J$5:$J$149,'Session Tracker'!$D$5:$D$149,$A191,'Session Tracker'!$F$5:$F$149,"Next week",'Session Tracker'!$G$5:$G$149,"Thu"))</f>
        <v>0</v>
      </c>
      <c r="L191" s="52" t="n">
        <f aca="false">IF($E191="Per class",$D191*COUNTIFS('Session Tracker'!$D$5:$D$149,$A191,'Session Tracker'!$F$5:$F$149,"Next week",'Session Tracker'!$G$5:$G$149,"Fri"),$D191*SUMIFS('Session Tracker'!$J$5:$J$149,'Session Tracker'!$D$5:$D$149,$A191,'Session Tracker'!$F$5:$F$149,"Next week",'Session Tracker'!$G$5:$G$149,"Fri"))</f>
        <v>0</v>
      </c>
      <c r="M191" s="52" t="n">
        <f aca="false">IF($E191="Per class",$D191*COUNTIFS('Session Tracker'!$D$5:$D$149,$A191,'Session Tracker'!$F$5:$F$149,"Next week",'Session Tracker'!$G$5:$G$149,""),$D191*SUMIFS('Session Tracker'!$J$5:$J$149,'Session Tracker'!$D$5:$D$149,$A191,'Session Tracker'!$F$5:$F$149,"Next week",'Session Tracker'!$G$5:$G$149,""))</f>
        <v>0</v>
      </c>
    </row>
    <row r="192" customFormat="false" ht="15" hidden="false" customHeight="false" outlineLevel="0" collapsed="false">
      <c r="A192" s="61" t="s">
        <v>172</v>
      </c>
      <c r="B192" s="34" t="s">
        <v>375</v>
      </c>
      <c r="C192" s="34" t="s">
        <v>417</v>
      </c>
      <c r="D192" s="32" t="n">
        <v>3</v>
      </c>
      <c r="E192" s="32" t="s">
        <v>14</v>
      </c>
      <c r="F192" s="32" t="s">
        <v>373</v>
      </c>
      <c r="G192" s="34"/>
      <c r="H192" s="52" t="n">
        <f aca="false">IF($E192="Per class",$D192*COUNTIFS('Session Tracker'!$D$5:$D$149,$A192,'Session Tracker'!$F$5:$F$149,"Next week",'Session Tracker'!$G$5:$G$149,"Mon"),$D192*SUMIFS('Session Tracker'!$J$5:$J$149,'Session Tracker'!$D$5:$D$149,$A192,'Session Tracker'!$F$5:$F$149,"Next week",'Session Tracker'!$G$5:$G$149,"Mon"))</f>
        <v>0</v>
      </c>
      <c r="I192" s="52" t="n">
        <f aca="false">IF($E192="Per class",$D192*COUNTIFS('Session Tracker'!$D$5:$D$149,$A192,'Session Tracker'!$F$5:$F$149,"Next week",'Session Tracker'!$G$5:$G$149,"Tue"),$D192*SUMIFS('Session Tracker'!$J$5:$J$149,'Session Tracker'!$D$5:$D$149,$A192,'Session Tracker'!$F$5:$F$149,"Next week",'Session Tracker'!$G$5:$G$149,"Tue"))</f>
        <v>0</v>
      </c>
      <c r="J192" s="52" t="n">
        <f aca="false">IF($E192="Per class",$D192*COUNTIFS('Session Tracker'!$D$5:$D$149,$A192,'Session Tracker'!$F$5:$F$149,"Next week",'Session Tracker'!$G$5:$G$149,"Wed"),$D192*SUMIFS('Session Tracker'!$J$5:$J$149,'Session Tracker'!$D$5:$D$149,$A192,'Session Tracker'!$F$5:$F$149,"Next week",'Session Tracker'!$G$5:$G$149,"Wed"))</f>
        <v>0</v>
      </c>
      <c r="K192" s="52" t="n">
        <f aca="false">IF($E192="Per class",$D192*COUNTIFS('Session Tracker'!$D$5:$D$149,$A192,'Session Tracker'!$F$5:$F$149,"Next week",'Session Tracker'!$G$5:$G$149,"Thu"),$D192*SUMIFS('Session Tracker'!$J$5:$J$149,'Session Tracker'!$D$5:$D$149,$A192,'Session Tracker'!$F$5:$F$149,"Next week",'Session Tracker'!$G$5:$G$149,"Thu"))</f>
        <v>0</v>
      </c>
      <c r="L192" s="52" t="n">
        <f aca="false">IF($E192="Per class",$D192*COUNTIFS('Session Tracker'!$D$5:$D$149,$A192,'Session Tracker'!$F$5:$F$149,"Next week",'Session Tracker'!$G$5:$G$149,"Fri"),$D192*SUMIFS('Session Tracker'!$J$5:$J$149,'Session Tracker'!$D$5:$D$149,$A192,'Session Tracker'!$F$5:$F$149,"Next week",'Session Tracker'!$G$5:$G$149,"Fri"))</f>
        <v>0</v>
      </c>
      <c r="M192" s="52" t="n">
        <f aca="false">IF($E192="Per class",$D192*COUNTIFS('Session Tracker'!$D$5:$D$149,$A192,'Session Tracker'!$F$5:$F$149,"Next week",'Session Tracker'!$G$5:$G$149,""),$D192*SUMIFS('Session Tracker'!$J$5:$J$149,'Session Tracker'!$D$5:$D$149,$A192,'Session Tracker'!$F$5:$F$149,"Next week",'Session Tracker'!$G$5:$G$149,""))</f>
        <v>0</v>
      </c>
    </row>
    <row r="193" customFormat="false" ht="15" hidden="false" customHeight="false" outlineLevel="0" collapsed="false">
      <c r="A193" s="61" t="s">
        <v>172</v>
      </c>
      <c r="B193" s="34" t="s">
        <v>377</v>
      </c>
      <c r="C193" s="34" t="s">
        <v>378</v>
      </c>
      <c r="D193" s="32" t="n">
        <v>1</v>
      </c>
      <c r="E193" s="32" t="s">
        <v>14</v>
      </c>
      <c r="F193" s="32" t="s">
        <v>368</v>
      </c>
      <c r="G193" s="34"/>
      <c r="H193" s="52" t="n">
        <f aca="false">IF($E193="Per class",$D193*COUNTIFS('Session Tracker'!$D$5:$D$149,$A193,'Session Tracker'!$F$5:$F$149,"Next week",'Session Tracker'!$G$5:$G$149,"Mon"),$D193*SUMIFS('Session Tracker'!$J$5:$J$149,'Session Tracker'!$D$5:$D$149,$A193,'Session Tracker'!$F$5:$F$149,"Next week",'Session Tracker'!$G$5:$G$149,"Mon"))</f>
        <v>0</v>
      </c>
      <c r="I193" s="52" t="n">
        <f aca="false">IF($E193="Per class",$D193*COUNTIFS('Session Tracker'!$D$5:$D$149,$A193,'Session Tracker'!$F$5:$F$149,"Next week",'Session Tracker'!$G$5:$G$149,"Tue"),$D193*SUMIFS('Session Tracker'!$J$5:$J$149,'Session Tracker'!$D$5:$D$149,$A193,'Session Tracker'!$F$5:$F$149,"Next week",'Session Tracker'!$G$5:$G$149,"Tue"))</f>
        <v>0</v>
      </c>
      <c r="J193" s="52" t="n">
        <f aca="false">IF($E193="Per class",$D193*COUNTIFS('Session Tracker'!$D$5:$D$149,$A193,'Session Tracker'!$F$5:$F$149,"Next week",'Session Tracker'!$G$5:$G$149,"Wed"),$D193*SUMIFS('Session Tracker'!$J$5:$J$149,'Session Tracker'!$D$5:$D$149,$A193,'Session Tracker'!$F$5:$F$149,"Next week",'Session Tracker'!$G$5:$G$149,"Wed"))</f>
        <v>0</v>
      </c>
      <c r="K193" s="52" t="n">
        <f aca="false">IF($E193="Per class",$D193*COUNTIFS('Session Tracker'!$D$5:$D$149,$A193,'Session Tracker'!$F$5:$F$149,"Next week",'Session Tracker'!$G$5:$G$149,"Thu"),$D193*SUMIFS('Session Tracker'!$J$5:$J$149,'Session Tracker'!$D$5:$D$149,$A193,'Session Tracker'!$F$5:$F$149,"Next week",'Session Tracker'!$G$5:$G$149,"Thu"))</f>
        <v>0</v>
      </c>
      <c r="L193" s="52" t="n">
        <f aca="false">IF($E193="Per class",$D193*COUNTIFS('Session Tracker'!$D$5:$D$149,$A193,'Session Tracker'!$F$5:$F$149,"Next week",'Session Tracker'!$G$5:$G$149,"Fri"),$D193*SUMIFS('Session Tracker'!$J$5:$J$149,'Session Tracker'!$D$5:$D$149,$A193,'Session Tracker'!$F$5:$F$149,"Next week",'Session Tracker'!$G$5:$G$149,"Fri"))</f>
        <v>0</v>
      </c>
      <c r="M193" s="52" t="n">
        <f aca="false">IF($E193="Per class",$D193*COUNTIFS('Session Tracker'!$D$5:$D$149,$A193,'Session Tracker'!$F$5:$F$149,"Next week",'Session Tracker'!$G$5:$G$149,""),$D193*SUMIFS('Session Tracker'!$J$5:$J$149,'Session Tracker'!$D$5:$D$149,$A193,'Session Tracker'!$F$5:$F$149,"Next week",'Session Tracker'!$G$5:$G$149,""))</f>
        <v>0</v>
      </c>
    </row>
    <row r="194" customFormat="false" ht="15" hidden="false" customHeight="false" outlineLevel="0" collapsed="false">
      <c r="A194" s="61" t="s">
        <v>172</v>
      </c>
      <c r="B194" s="34" t="s">
        <v>371</v>
      </c>
      <c r="C194" s="34" t="s">
        <v>372</v>
      </c>
      <c r="D194" s="32" t="n">
        <v>2</v>
      </c>
      <c r="E194" s="32" t="s">
        <v>14</v>
      </c>
      <c r="F194" s="32" t="s">
        <v>373</v>
      </c>
      <c r="G194" s="34" t="s">
        <v>528</v>
      </c>
      <c r="H194" s="52" t="n">
        <f aca="false">IF($E194="Per class",$D194*COUNTIFS('Session Tracker'!$D$5:$D$149,$A194,'Session Tracker'!$F$5:$F$149,"Next week",'Session Tracker'!$G$5:$G$149,"Mon"),$D194*SUMIFS('Session Tracker'!$J$5:$J$149,'Session Tracker'!$D$5:$D$149,$A194,'Session Tracker'!$F$5:$F$149,"Next week",'Session Tracker'!$G$5:$G$149,"Mon"))</f>
        <v>0</v>
      </c>
      <c r="I194" s="52" t="n">
        <f aca="false">IF($E194="Per class",$D194*COUNTIFS('Session Tracker'!$D$5:$D$149,$A194,'Session Tracker'!$F$5:$F$149,"Next week",'Session Tracker'!$G$5:$G$149,"Tue"),$D194*SUMIFS('Session Tracker'!$J$5:$J$149,'Session Tracker'!$D$5:$D$149,$A194,'Session Tracker'!$F$5:$F$149,"Next week",'Session Tracker'!$G$5:$G$149,"Tue"))</f>
        <v>0</v>
      </c>
      <c r="J194" s="52" t="n">
        <f aca="false">IF($E194="Per class",$D194*COUNTIFS('Session Tracker'!$D$5:$D$149,$A194,'Session Tracker'!$F$5:$F$149,"Next week",'Session Tracker'!$G$5:$G$149,"Wed"),$D194*SUMIFS('Session Tracker'!$J$5:$J$149,'Session Tracker'!$D$5:$D$149,$A194,'Session Tracker'!$F$5:$F$149,"Next week",'Session Tracker'!$G$5:$G$149,"Wed"))</f>
        <v>0</v>
      </c>
      <c r="K194" s="52" t="n">
        <f aca="false">IF($E194="Per class",$D194*COUNTIFS('Session Tracker'!$D$5:$D$149,$A194,'Session Tracker'!$F$5:$F$149,"Next week",'Session Tracker'!$G$5:$G$149,"Thu"),$D194*SUMIFS('Session Tracker'!$J$5:$J$149,'Session Tracker'!$D$5:$D$149,$A194,'Session Tracker'!$F$5:$F$149,"Next week",'Session Tracker'!$G$5:$G$149,"Thu"))</f>
        <v>0</v>
      </c>
      <c r="L194" s="52" t="n">
        <f aca="false">IF($E194="Per class",$D194*COUNTIFS('Session Tracker'!$D$5:$D$149,$A194,'Session Tracker'!$F$5:$F$149,"Next week",'Session Tracker'!$G$5:$G$149,"Fri"),$D194*SUMIFS('Session Tracker'!$J$5:$J$149,'Session Tracker'!$D$5:$D$149,$A194,'Session Tracker'!$F$5:$F$149,"Next week",'Session Tracker'!$G$5:$G$149,"Fri"))</f>
        <v>0</v>
      </c>
      <c r="M194" s="52" t="n">
        <f aca="false">IF($E194="Per class",$D194*COUNTIFS('Session Tracker'!$D$5:$D$149,$A194,'Session Tracker'!$F$5:$F$149,"Next week",'Session Tracker'!$G$5:$G$149,""),$D194*SUMIFS('Session Tracker'!$J$5:$J$149,'Session Tracker'!$D$5:$D$149,$A194,'Session Tracker'!$F$5:$F$149,"Next week",'Session Tracker'!$G$5:$G$149,""))</f>
        <v>0</v>
      </c>
    </row>
    <row r="195" customFormat="false" ht="15" hidden="false" customHeight="false" outlineLevel="0" collapsed="false">
      <c r="A195" s="61" t="s">
        <v>172</v>
      </c>
      <c r="B195" s="34" t="s">
        <v>375</v>
      </c>
      <c r="C195" s="34" t="s">
        <v>376</v>
      </c>
      <c r="D195" s="32" t="n">
        <v>2</v>
      </c>
      <c r="E195" s="32" t="s">
        <v>14</v>
      </c>
      <c r="F195" s="32" t="s">
        <v>373</v>
      </c>
      <c r="G195" s="34"/>
      <c r="H195" s="52" t="n">
        <f aca="false">IF($E195="Per class",$D195*COUNTIFS('Session Tracker'!$D$5:$D$149,$A195,'Session Tracker'!$F$5:$F$149,"Next week",'Session Tracker'!$G$5:$G$149,"Mon"),$D195*SUMIFS('Session Tracker'!$J$5:$J$149,'Session Tracker'!$D$5:$D$149,$A195,'Session Tracker'!$F$5:$F$149,"Next week",'Session Tracker'!$G$5:$G$149,"Mon"))</f>
        <v>0</v>
      </c>
      <c r="I195" s="52" t="n">
        <f aca="false">IF($E195="Per class",$D195*COUNTIFS('Session Tracker'!$D$5:$D$149,$A195,'Session Tracker'!$F$5:$F$149,"Next week",'Session Tracker'!$G$5:$G$149,"Tue"),$D195*SUMIFS('Session Tracker'!$J$5:$J$149,'Session Tracker'!$D$5:$D$149,$A195,'Session Tracker'!$F$5:$F$149,"Next week",'Session Tracker'!$G$5:$G$149,"Tue"))</f>
        <v>0</v>
      </c>
      <c r="J195" s="52" t="n">
        <f aca="false">IF($E195="Per class",$D195*COUNTIFS('Session Tracker'!$D$5:$D$149,$A195,'Session Tracker'!$F$5:$F$149,"Next week",'Session Tracker'!$G$5:$G$149,"Wed"),$D195*SUMIFS('Session Tracker'!$J$5:$J$149,'Session Tracker'!$D$5:$D$149,$A195,'Session Tracker'!$F$5:$F$149,"Next week",'Session Tracker'!$G$5:$G$149,"Wed"))</f>
        <v>0</v>
      </c>
      <c r="K195" s="52" t="n">
        <f aca="false">IF($E195="Per class",$D195*COUNTIFS('Session Tracker'!$D$5:$D$149,$A195,'Session Tracker'!$F$5:$F$149,"Next week",'Session Tracker'!$G$5:$G$149,"Thu"),$D195*SUMIFS('Session Tracker'!$J$5:$J$149,'Session Tracker'!$D$5:$D$149,$A195,'Session Tracker'!$F$5:$F$149,"Next week",'Session Tracker'!$G$5:$G$149,"Thu"))</f>
        <v>0</v>
      </c>
      <c r="L195" s="52" t="n">
        <f aca="false">IF($E195="Per class",$D195*COUNTIFS('Session Tracker'!$D$5:$D$149,$A195,'Session Tracker'!$F$5:$F$149,"Next week",'Session Tracker'!$G$5:$G$149,"Fri"),$D195*SUMIFS('Session Tracker'!$J$5:$J$149,'Session Tracker'!$D$5:$D$149,$A195,'Session Tracker'!$F$5:$F$149,"Next week",'Session Tracker'!$G$5:$G$149,"Fri"))</f>
        <v>0</v>
      </c>
      <c r="M195" s="52" t="n">
        <f aca="false">IF($E195="Per class",$D195*COUNTIFS('Session Tracker'!$D$5:$D$149,$A195,'Session Tracker'!$F$5:$F$149,"Next week",'Session Tracker'!$G$5:$G$149,""),$D195*SUMIFS('Session Tracker'!$J$5:$J$149,'Session Tracker'!$D$5:$D$149,$A195,'Session Tracker'!$F$5:$F$149,"Next week",'Session Tracker'!$G$5:$G$149,""))</f>
        <v>0</v>
      </c>
    </row>
    <row r="196" customFormat="false" ht="15" hidden="false" customHeight="false" outlineLevel="0" collapsed="false">
      <c r="A196" s="61" t="s">
        <v>172</v>
      </c>
      <c r="B196" s="34" t="s">
        <v>379</v>
      </c>
      <c r="C196" s="34" t="s">
        <v>380</v>
      </c>
      <c r="D196" s="32" t="n">
        <v>1</v>
      </c>
      <c r="E196" s="32" t="s">
        <v>14</v>
      </c>
      <c r="F196" s="32" t="s">
        <v>368</v>
      </c>
      <c r="G196" s="34"/>
      <c r="H196" s="52" t="n">
        <f aca="false">IF($E196="Per class",$D196*COUNTIFS('Session Tracker'!$D$5:$D$149,$A196,'Session Tracker'!$F$5:$F$149,"Next week",'Session Tracker'!$G$5:$G$149,"Mon"),$D196*SUMIFS('Session Tracker'!$J$5:$J$149,'Session Tracker'!$D$5:$D$149,$A196,'Session Tracker'!$F$5:$F$149,"Next week",'Session Tracker'!$G$5:$G$149,"Mon"))</f>
        <v>0</v>
      </c>
      <c r="I196" s="52" t="n">
        <f aca="false">IF($E196="Per class",$D196*COUNTIFS('Session Tracker'!$D$5:$D$149,$A196,'Session Tracker'!$F$5:$F$149,"Next week",'Session Tracker'!$G$5:$G$149,"Tue"),$D196*SUMIFS('Session Tracker'!$J$5:$J$149,'Session Tracker'!$D$5:$D$149,$A196,'Session Tracker'!$F$5:$F$149,"Next week",'Session Tracker'!$G$5:$G$149,"Tue"))</f>
        <v>0</v>
      </c>
      <c r="J196" s="52" t="n">
        <f aca="false">IF($E196="Per class",$D196*COUNTIFS('Session Tracker'!$D$5:$D$149,$A196,'Session Tracker'!$F$5:$F$149,"Next week",'Session Tracker'!$G$5:$G$149,"Wed"),$D196*SUMIFS('Session Tracker'!$J$5:$J$149,'Session Tracker'!$D$5:$D$149,$A196,'Session Tracker'!$F$5:$F$149,"Next week",'Session Tracker'!$G$5:$G$149,"Wed"))</f>
        <v>0</v>
      </c>
      <c r="K196" s="52" t="n">
        <f aca="false">IF($E196="Per class",$D196*COUNTIFS('Session Tracker'!$D$5:$D$149,$A196,'Session Tracker'!$F$5:$F$149,"Next week",'Session Tracker'!$G$5:$G$149,"Thu"),$D196*SUMIFS('Session Tracker'!$J$5:$J$149,'Session Tracker'!$D$5:$D$149,$A196,'Session Tracker'!$F$5:$F$149,"Next week",'Session Tracker'!$G$5:$G$149,"Thu"))</f>
        <v>0</v>
      </c>
      <c r="L196" s="52" t="n">
        <f aca="false">IF($E196="Per class",$D196*COUNTIFS('Session Tracker'!$D$5:$D$149,$A196,'Session Tracker'!$F$5:$F$149,"Next week",'Session Tracker'!$G$5:$G$149,"Fri"),$D196*SUMIFS('Session Tracker'!$J$5:$J$149,'Session Tracker'!$D$5:$D$149,$A196,'Session Tracker'!$F$5:$F$149,"Next week",'Session Tracker'!$G$5:$G$149,"Fri"))</f>
        <v>0</v>
      </c>
      <c r="M196" s="52" t="n">
        <f aca="false">IF($E196="Per class",$D196*COUNTIFS('Session Tracker'!$D$5:$D$149,$A196,'Session Tracker'!$F$5:$F$149,"Next week",'Session Tracker'!$G$5:$G$149,""),$D196*SUMIFS('Session Tracker'!$J$5:$J$149,'Session Tracker'!$D$5:$D$149,$A196,'Session Tracker'!$F$5:$F$149,"Next week",'Session Tracker'!$G$5:$G$149,""))</f>
        <v>0</v>
      </c>
    </row>
    <row r="197" customFormat="false" ht="15" hidden="false" customHeight="false" outlineLevel="0" collapsed="false">
      <c r="A197" s="61" t="s">
        <v>172</v>
      </c>
      <c r="B197" s="34" t="s">
        <v>379</v>
      </c>
      <c r="C197" s="34" t="s">
        <v>381</v>
      </c>
      <c r="D197" s="32" t="n">
        <v>14</v>
      </c>
      <c r="E197" s="32" t="s">
        <v>14</v>
      </c>
      <c r="F197" s="32" t="s">
        <v>368</v>
      </c>
      <c r="G197" s="34"/>
      <c r="H197" s="52" t="n">
        <f aca="false">IF($E197="Per class",$D197*COUNTIFS('Session Tracker'!$D$5:$D$149,$A197,'Session Tracker'!$F$5:$F$149,"Next week",'Session Tracker'!$G$5:$G$149,"Mon"),$D197*SUMIFS('Session Tracker'!$J$5:$J$149,'Session Tracker'!$D$5:$D$149,$A197,'Session Tracker'!$F$5:$F$149,"Next week",'Session Tracker'!$G$5:$G$149,"Mon"))</f>
        <v>0</v>
      </c>
      <c r="I197" s="52" t="n">
        <f aca="false">IF($E197="Per class",$D197*COUNTIFS('Session Tracker'!$D$5:$D$149,$A197,'Session Tracker'!$F$5:$F$149,"Next week",'Session Tracker'!$G$5:$G$149,"Tue"),$D197*SUMIFS('Session Tracker'!$J$5:$J$149,'Session Tracker'!$D$5:$D$149,$A197,'Session Tracker'!$F$5:$F$149,"Next week",'Session Tracker'!$G$5:$G$149,"Tue"))</f>
        <v>0</v>
      </c>
      <c r="J197" s="52" t="n">
        <f aca="false">IF($E197="Per class",$D197*COUNTIFS('Session Tracker'!$D$5:$D$149,$A197,'Session Tracker'!$F$5:$F$149,"Next week",'Session Tracker'!$G$5:$G$149,"Wed"),$D197*SUMIFS('Session Tracker'!$J$5:$J$149,'Session Tracker'!$D$5:$D$149,$A197,'Session Tracker'!$F$5:$F$149,"Next week",'Session Tracker'!$G$5:$G$149,"Wed"))</f>
        <v>0</v>
      </c>
      <c r="K197" s="52" t="n">
        <f aca="false">IF($E197="Per class",$D197*COUNTIFS('Session Tracker'!$D$5:$D$149,$A197,'Session Tracker'!$F$5:$F$149,"Next week",'Session Tracker'!$G$5:$G$149,"Thu"),$D197*SUMIFS('Session Tracker'!$J$5:$J$149,'Session Tracker'!$D$5:$D$149,$A197,'Session Tracker'!$F$5:$F$149,"Next week",'Session Tracker'!$G$5:$G$149,"Thu"))</f>
        <v>0</v>
      </c>
      <c r="L197" s="52" t="n">
        <f aca="false">IF($E197="Per class",$D197*COUNTIFS('Session Tracker'!$D$5:$D$149,$A197,'Session Tracker'!$F$5:$F$149,"Next week",'Session Tracker'!$G$5:$G$149,"Fri"),$D197*SUMIFS('Session Tracker'!$J$5:$J$149,'Session Tracker'!$D$5:$D$149,$A197,'Session Tracker'!$F$5:$F$149,"Next week",'Session Tracker'!$G$5:$G$149,"Fri"))</f>
        <v>0</v>
      </c>
      <c r="M197" s="52" t="n">
        <f aca="false">IF($E197="Per class",$D197*COUNTIFS('Session Tracker'!$D$5:$D$149,$A197,'Session Tracker'!$F$5:$F$149,"Next week",'Session Tracker'!$G$5:$G$149,""),$D197*SUMIFS('Session Tracker'!$J$5:$J$149,'Session Tracker'!$D$5:$D$149,$A197,'Session Tracker'!$F$5:$F$149,"Next week",'Session Tracker'!$G$5:$G$149,""))</f>
        <v>0</v>
      </c>
    </row>
    <row r="198" customFormat="false" ht="15" hidden="false" customHeight="false" outlineLevel="0" collapsed="false">
      <c r="A198" s="61" t="s">
        <v>172</v>
      </c>
      <c r="B198" s="34" t="s">
        <v>379</v>
      </c>
      <c r="C198" s="34" t="s">
        <v>395</v>
      </c>
      <c r="D198" s="32" t="n">
        <v>3</v>
      </c>
      <c r="E198" s="32" t="s">
        <v>14</v>
      </c>
      <c r="F198" s="32" t="s">
        <v>368</v>
      </c>
      <c r="G198" s="34"/>
      <c r="H198" s="52" t="n">
        <f aca="false">IF($E198="Per class",$D198*COUNTIFS('Session Tracker'!$D$5:$D$149,$A198,'Session Tracker'!$F$5:$F$149,"Next week",'Session Tracker'!$G$5:$G$149,"Mon"),$D198*SUMIFS('Session Tracker'!$J$5:$J$149,'Session Tracker'!$D$5:$D$149,$A198,'Session Tracker'!$F$5:$F$149,"Next week",'Session Tracker'!$G$5:$G$149,"Mon"))</f>
        <v>0</v>
      </c>
      <c r="I198" s="52" t="n">
        <f aca="false">IF($E198="Per class",$D198*COUNTIFS('Session Tracker'!$D$5:$D$149,$A198,'Session Tracker'!$F$5:$F$149,"Next week",'Session Tracker'!$G$5:$G$149,"Tue"),$D198*SUMIFS('Session Tracker'!$J$5:$J$149,'Session Tracker'!$D$5:$D$149,$A198,'Session Tracker'!$F$5:$F$149,"Next week",'Session Tracker'!$G$5:$G$149,"Tue"))</f>
        <v>0</v>
      </c>
      <c r="J198" s="52" t="n">
        <f aca="false">IF($E198="Per class",$D198*COUNTIFS('Session Tracker'!$D$5:$D$149,$A198,'Session Tracker'!$F$5:$F$149,"Next week",'Session Tracker'!$G$5:$G$149,"Wed"),$D198*SUMIFS('Session Tracker'!$J$5:$J$149,'Session Tracker'!$D$5:$D$149,$A198,'Session Tracker'!$F$5:$F$149,"Next week",'Session Tracker'!$G$5:$G$149,"Wed"))</f>
        <v>0</v>
      </c>
      <c r="K198" s="52" t="n">
        <f aca="false">IF($E198="Per class",$D198*COUNTIFS('Session Tracker'!$D$5:$D$149,$A198,'Session Tracker'!$F$5:$F$149,"Next week",'Session Tracker'!$G$5:$G$149,"Thu"),$D198*SUMIFS('Session Tracker'!$J$5:$J$149,'Session Tracker'!$D$5:$D$149,$A198,'Session Tracker'!$F$5:$F$149,"Next week",'Session Tracker'!$G$5:$G$149,"Thu"))</f>
        <v>0</v>
      </c>
      <c r="L198" s="52" t="n">
        <f aca="false">IF($E198="Per class",$D198*COUNTIFS('Session Tracker'!$D$5:$D$149,$A198,'Session Tracker'!$F$5:$F$149,"Next week",'Session Tracker'!$G$5:$G$149,"Fri"),$D198*SUMIFS('Session Tracker'!$J$5:$J$149,'Session Tracker'!$D$5:$D$149,$A198,'Session Tracker'!$F$5:$F$149,"Next week",'Session Tracker'!$G$5:$G$149,"Fri"))</f>
        <v>0</v>
      </c>
      <c r="M198" s="52" t="n">
        <f aca="false">IF($E198="Per class",$D198*COUNTIFS('Session Tracker'!$D$5:$D$149,$A198,'Session Tracker'!$F$5:$F$149,"Next week",'Session Tracker'!$G$5:$G$149,""),$D198*SUMIFS('Session Tracker'!$J$5:$J$149,'Session Tracker'!$D$5:$D$149,$A198,'Session Tracker'!$F$5:$F$149,"Next week",'Session Tracker'!$G$5:$G$149,""))</f>
        <v>0</v>
      </c>
    </row>
    <row r="199" customFormat="false" ht="15" hidden="false" customHeight="false" outlineLevel="0" collapsed="false">
      <c r="A199" s="61" t="s">
        <v>172</v>
      </c>
      <c r="B199" s="34" t="s">
        <v>382</v>
      </c>
      <c r="C199" s="34" t="s">
        <v>383</v>
      </c>
      <c r="D199" s="32" t="n">
        <v>1</v>
      </c>
      <c r="E199" s="32" t="s">
        <v>14</v>
      </c>
      <c r="F199" s="32" t="s">
        <v>368</v>
      </c>
      <c r="G199" s="34"/>
      <c r="H199" s="52" t="n">
        <f aca="false">IF($E199="Per class",$D199*COUNTIFS('Session Tracker'!$D$5:$D$149,$A199,'Session Tracker'!$F$5:$F$149,"Next week",'Session Tracker'!$G$5:$G$149,"Mon"),$D199*SUMIFS('Session Tracker'!$J$5:$J$149,'Session Tracker'!$D$5:$D$149,$A199,'Session Tracker'!$F$5:$F$149,"Next week",'Session Tracker'!$G$5:$G$149,"Mon"))</f>
        <v>0</v>
      </c>
      <c r="I199" s="52" t="n">
        <f aca="false">IF($E199="Per class",$D199*COUNTIFS('Session Tracker'!$D$5:$D$149,$A199,'Session Tracker'!$F$5:$F$149,"Next week",'Session Tracker'!$G$5:$G$149,"Tue"),$D199*SUMIFS('Session Tracker'!$J$5:$J$149,'Session Tracker'!$D$5:$D$149,$A199,'Session Tracker'!$F$5:$F$149,"Next week",'Session Tracker'!$G$5:$G$149,"Tue"))</f>
        <v>0</v>
      </c>
      <c r="J199" s="52" t="n">
        <f aca="false">IF($E199="Per class",$D199*COUNTIFS('Session Tracker'!$D$5:$D$149,$A199,'Session Tracker'!$F$5:$F$149,"Next week",'Session Tracker'!$G$5:$G$149,"Wed"),$D199*SUMIFS('Session Tracker'!$J$5:$J$149,'Session Tracker'!$D$5:$D$149,$A199,'Session Tracker'!$F$5:$F$149,"Next week",'Session Tracker'!$G$5:$G$149,"Wed"))</f>
        <v>0</v>
      </c>
      <c r="K199" s="52" t="n">
        <f aca="false">IF($E199="Per class",$D199*COUNTIFS('Session Tracker'!$D$5:$D$149,$A199,'Session Tracker'!$F$5:$F$149,"Next week",'Session Tracker'!$G$5:$G$149,"Thu"),$D199*SUMIFS('Session Tracker'!$J$5:$J$149,'Session Tracker'!$D$5:$D$149,$A199,'Session Tracker'!$F$5:$F$149,"Next week",'Session Tracker'!$G$5:$G$149,"Thu"))</f>
        <v>0</v>
      </c>
      <c r="L199" s="52" t="n">
        <f aca="false">IF($E199="Per class",$D199*COUNTIFS('Session Tracker'!$D$5:$D$149,$A199,'Session Tracker'!$F$5:$F$149,"Next week",'Session Tracker'!$G$5:$G$149,"Fri"),$D199*SUMIFS('Session Tracker'!$J$5:$J$149,'Session Tracker'!$D$5:$D$149,$A199,'Session Tracker'!$F$5:$F$149,"Next week",'Session Tracker'!$G$5:$G$149,"Fri"))</f>
        <v>0</v>
      </c>
      <c r="M199" s="52" t="n">
        <f aca="false">IF($E199="Per class",$D199*COUNTIFS('Session Tracker'!$D$5:$D$149,$A199,'Session Tracker'!$F$5:$F$149,"Next week",'Session Tracker'!$G$5:$G$149,""),$D199*SUMIFS('Session Tracker'!$J$5:$J$149,'Session Tracker'!$D$5:$D$149,$A199,'Session Tracker'!$F$5:$F$149,"Next week",'Session Tracker'!$G$5:$G$149,""))</f>
        <v>0</v>
      </c>
    </row>
    <row r="200" customFormat="false" ht="15" hidden="false" customHeight="false" outlineLevel="0" collapsed="false">
      <c r="A200" s="53" t="s">
        <v>172</v>
      </c>
      <c r="B200" s="54"/>
      <c r="C200" s="54"/>
      <c r="D200" s="54"/>
      <c r="E200" s="54"/>
      <c r="F200" s="54"/>
      <c r="G200" s="54"/>
      <c r="H200" s="52" t="n">
        <f aca="false">IF($E200="Per class",$D200*COUNTIFS('Session Tracker'!$D$5:$D$149,$A200,'Session Tracker'!$F$5:$F$149,"Next week",'Session Tracker'!$G$5:$G$149,"Mon"),$D200*SUMIFS('Session Tracker'!$J$5:$J$149,'Session Tracker'!$D$5:$D$149,$A200,'Session Tracker'!$F$5:$F$149,"Next week",'Session Tracker'!$G$5:$G$149,"Mon"))</f>
        <v>0</v>
      </c>
      <c r="I200" s="52" t="n">
        <f aca="false">IF($E200="Per class",$D200*COUNTIFS('Session Tracker'!$D$5:$D$149,$A200,'Session Tracker'!$F$5:$F$149,"Next week",'Session Tracker'!$G$5:$G$149,"Tue"),$D200*SUMIFS('Session Tracker'!$J$5:$J$149,'Session Tracker'!$D$5:$D$149,$A200,'Session Tracker'!$F$5:$F$149,"Next week",'Session Tracker'!$G$5:$G$149,"Tue"))</f>
        <v>0</v>
      </c>
      <c r="J200" s="52" t="n">
        <f aca="false">IF($E200="Per class",$D200*COUNTIFS('Session Tracker'!$D$5:$D$149,$A200,'Session Tracker'!$F$5:$F$149,"Next week",'Session Tracker'!$G$5:$G$149,"Wed"),$D200*SUMIFS('Session Tracker'!$J$5:$J$149,'Session Tracker'!$D$5:$D$149,$A200,'Session Tracker'!$F$5:$F$149,"Next week",'Session Tracker'!$G$5:$G$149,"Wed"))</f>
        <v>0</v>
      </c>
      <c r="K200" s="52" t="n">
        <f aca="false">IF($E200="Per class",$D200*COUNTIFS('Session Tracker'!$D$5:$D$149,$A200,'Session Tracker'!$F$5:$F$149,"Next week",'Session Tracker'!$G$5:$G$149,"Thu"),$D200*SUMIFS('Session Tracker'!$J$5:$J$149,'Session Tracker'!$D$5:$D$149,$A200,'Session Tracker'!$F$5:$F$149,"Next week",'Session Tracker'!$G$5:$G$149,"Thu"))</f>
        <v>0</v>
      </c>
      <c r="L200" s="52" t="n">
        <f aca="false">IF($E200="Per class",$D200*COUNTIFS('Session Tracker'!$D$5:$D$149,$A200,'Session Tracker'!$F$5:$F$149,"Next week",'Session Tracker'!$G$5:$G$149,"Fri"),$D200*SUMIFS('Session Tracker'!$J$5:$J$149,'Session Tracker'!$D$5:$D$149,$A200,'Session Tracker'!$F$5:$F$149,"Next week",'Session Tracker'!$G$5:$G$149,"Fri"))</f>
        <v>0</v>
      </c>
      <c r="M200" s="52" t="n">
        <f aca="false">IF($E200="Per class",$D200*COUNTIFS('Session Tracker'!$D$5:$D$149,$A200,'Session Tracker'!$F$5:$F$149,"Next week",'Session Tracker'!$G$5:$G$149,""),$D200*SUMIFS('Session Tracker'!$J$5:$J$149,'Session Tracker'!$D$5:$D$149,$A200,'Session Tracker'!$F$5:$F$149,"Next week",'Session Tracker'!$G$5:$G$149,""))</f>
        <v>0</v>
      </c>
    </row>
    <row r="201" customFormat="false" ht="15" hidden="false" customHeight="false" outlineLevel="0" collapsed="false">
      <c r="A201" s="53" t="s">
        <v>172</v>
      </c>
      <c r="B201" s="54"/>
      <c r="C201" s="54"/>
      <c r="D201" s="54"/>
      <c r="E201" s="54"/>
      <c r="F201" s="54"/>
      <c r="G201" s="54"/>
      <c r="H201" s="52" t="n">
        <f aca="false">IF($E201="Per class",$D201*COUNTIFS('Session Tracker'!$D$5:$D$149,$A201,'Session Tracker'!$F$5:$F$149,"Next week",'Session Tracker'!$G$5:$G$149,"Mon"),$D201*SUMIFS('Session Tracker'!$J$5:$J$149,'Session Tracker'!$D$5:$D$149,$A201,'Session Tracker'!$F$5:$F$149,"Next week",'Session Tracker'!$G$5:$G$149,"Mon"))</f>
        <v>0</v>
      </c>
      <c r="I201" s="52" t="n">
        <f aca="false">IF($E201="Per class",$D201*COUNTIFS('Session Tracker'!$D$5:$D$149,$A201,'Session Tracker'!$F$5:$F$149,"Next week",'Session Tracker'!$G$5:$G$149,"Tue"),$D201*SUMIFS('Session Tracker'!$J$5:$J$149,'Session Tracker'!$D$5:$D$149,$A201,'Session Tracker'!$F$5:$F$149,"Next week",'Session Tracker'!$G$5:$G$149,"Tue"))</f>
        <v>0</v>
      </c>
      <c r="J201" s="52" t="n">
        <f aca="false">IF($E201="Per class",$D201*COUNTIFS('Session Tracker'!$D$5:$D$149,$A201,'Session Tracker'!$F$5:$F$149,"Next week",'Session Tracker'!$G$5:$G$149,"Wed"),$D201*SUMIFS('Session Tracker'!$J$5:$J$149,'Session Tracker'!$D$5:$D$149,$A201,'Session Tracker'!$F$5:$F$149,"Next week",'Session Tracker'!$G$5:$G$149,"Wed"))</f>
        <v>0</v>
      </c>
      <c r="K201" s="52" t="n">
        <f aca="false">IF($E201="Per class",$D201*COUNTIFS('Session Tracker'!$D$5:$D$149,$A201,'Session Tracker'!$F$5:$F$149,"Next week",'Session Tracker'!$G$5:$G$149,"Thu"),$D201*SUMIFS('Session Tracker'!$J$5:$J$149,'Session Tracker'!$D$5:$D$149,$A201,'Session Tracker'!$F$5:$F$149,"Next week",'Session Tracker'!$G$5:$G$149,"Thu"))</f>
        <v>0</v>
      </c>
      <c r="L201" s="52" t="n">
        <f aca="false">IF($E201="Per class",$D201*COUNTIFS('Session Tracker'!$D$5:$D$149,$A201,'Session Tracker'!$F$5:$F$149,"Next week",'Session Tracker'!$G$5:$G$149,"Fri"),$D201*SUMIFS('Session Tracker'!$J$5:$J$149,'Session Tracker'!$D$5:$D$149,$A201,'Session Tracker'!$F$5:$F$149,"Next week",'Session Tracker'!$G$5:$G$149,"Fri"))</f>
        <v>0</v>
      </c>
      <c r="M201" s="52" t="n">
        <f aca="false">IF($E201="Per class",$D201*COUNTIFS('Session Tracker'!$D$5:$D$149,$A201,'Session Tracker'!$F$5:$F$149,"Next week",'Session Tracker'!$G$5:$G$149,""),$D201*SUMIFS('Session Tracker'!$J$5:$J$149,'Session Tracker'!$D$5:$D$149,$A201,'Session Tracker'!$F$5:$F$149,"Next week",'Session Tracker'!$G$5:$G$149,""))</f>
        <v>0</v>
      </c>
    </row>
    <row r="203" customFormat="false" ht="19.5" hidden="false" customHeight="true" outlineLevel="0" collapsed="false">
      <c r="A203" s="57" t="s">
        <v>174</v>
      </c>
      <c r="B203" s="58" t="s">
        <v>539</v>
      </c>
      <c r="C203" s="58"/>
      <c r="D203" s="58"/>
      <c r="E203" s="58"/>
      <c r="F203" s="59" t="str">
        <f aca="false">"Status: "&amp;'Session Tracker'!F55&amp;IF('Session Tracker'!G55&lt;&gt;""," ("&amp;'Session Tracker'!G55&amp;")","")</f>
        <v>Status: Not started</v>
      </c>
      <c r="G203" s="59"/>
      <c r="H203" s="60"/>
      <c r="I203" s="60"/>
      <c r="J203" s="60"/>
      <c r="K203" s="60"/>
      <c r="L203" s="60"/>
      <c r="M203" s="60"/>
    </row>
    <row r="204" customFormat="false" ht="15" hidden="false" customHeight="false" outlineLevel="0" collapsed="false">
      <c r="A204" s="61" t="s">
        <v>174</v>
      </c>
      <c r="B204" s="34" t="s">
        <v>382</v>
      </c>
      <c r="C204" s="34" t="s">
        <v>383</v>
      </c>
      <c r="D204" s="32" t="n">
        <v>1</v>
      </c>
      <c r="E204" s="32" t="s">
        <v>14</v>
      </c>
      <c r="F204" s="32" t="s">
        <v>368</v>
      </c>
      <c r="G204" s="34"/>
      <c r="H204" s="52" t="n">
        <f aca="false">IF($E204="Per class",$D204*COUNTIFS('Session Tracker'!$D$5:$D$149,$A204,'Session Tracker'!$F$5:$F$149,"Next week",'Session Tracker'!$G$5:$G$149,"Mon"),$D204*SUMIFS('Session Tracker'!$J$5:$J$149,'Session Tracker'!$D$5:$D$149,$A204,'Session Tracker'!$F$5:$F$149,"Next week",'Session Tracker'!$G$5:$G$149,"Mon"))</f>
        <v>0</v>
      </c>
      <c r="I204" s="52" t="n">
        <f aca="false">IF($E204="Per class",$D204*COUNTIFS('Session Tracker'!$D$5:$D$149,$A204,'Session Tracker'!$F$5:$F$149,"Next week",'Session Tracker'!$G$5:$G$149,"Tue"),$D204*SUMIFS('Session Tracker'!$J$5:$J$149,'Session Tracker'!$D$5:$D$149,$A204,'Session Tracker'!$F$5:$F$149,"Next week",'Session Tracker'!$G$5:$G$149,"Tue"))</f>
        <v>0</v>
      </c>
      <c r="J204" s="52" t="n">
        <f aca="false">IF($E204="Per class",$D204*COUNTIFS('Session Tracker'!$D$5:$D$149,$A204,'Session Tracker'!$F$5:$F$149,"Next week",'Session Tracker'!$G$5:$G$149,"Wed"),$D204*SUMIFS('Session Tracker'!$J$5:$J$149,'Session Tracker'!$D$5:$D$149,$A204,'Session Tracker'!$F$5:$F$149,"Next week",'Session Tracker'!$G$5:$G$149,"Wed"))</f>
        <v>0</v>
      </c>
      <c r="K204" s="52" t="n">
        <f aca="false">IF($E204="Per class",$D204*COUNTIFS('Session Tracker'!$D$5:$D$149,$A204,'Session Tracker'!$F$5:$F$149,"Next week",'Session Tracker'!$G$5:$G$149,"Thu"),$D204*SUMIFS('Session Tracker'!$J$5:$J$149,'Session Tracker'!$D$5:$D$149,$A204,'Session Tracker'!$F$5:$F$149,"Next week",'Session Tracker'!$G$5:$G$149,"Thu"))</f>
        <v>0</v>
      </c>
      <c r="L204" s="52" t="n">
        <f aca="false">IF($E204="Per class",$D204*COUNTIFS('Session Tracker'!$D$5:$D$149,$A204,'Session Tracker'!$F$5:$F$149,"Next week",'Session Tracker'!$G$5:$G$149,"Fri"),$D204*SUMIFS('Session Tracker'!$J$5:$J$149,'Session Tracker'!$D$5:$D$149,$A204,'Session Tracker'!$F$5:$F$149,"Next week",'Session Tracker'!$G$5:$G$149,"Fri"))</f>
        <v>0</v>
      </c>
      <c r="M204" s="52" t="n">
        <f aca="false">IF($E204="Per class",$D204*COUNTIFS('Session Tracker'!$D$5:$D$149,$A204,'Session Tracker'!$F$5:$F$149,"Next week",'Session Tracker'!$G$5:$G$149,""),$D204*SUMIFS('Session Tracker'!$J$5:$J$149,'Session Tracker'!$D$5:$D$149,$A204,'Session Tracker'!$F$5:$F$149,"Next week",'Session Tracker'!$G$5:$G$149,""))</f>
        <v>0</v>
      </c>
    </row>
    <row r="205" customFormat="false" ht="15" hidden="false" customHeight="false" outlineLevel="0" collapsed="false">
      <c r="A205" s="61" t="s">
        <v>174</v>
      </c>
      <c r="B205" s="34" t="s">
        <v>382</v>
      </c>
      <c r="C205" s="34" t="s">
        <v>401</v>
      </c>
      <c r="D205" s="32" t="n">
        <v>1</v>
      </c>
      <c r="E205" s="32" t="s">
        <v>16</v>
      </c>
      <c r="F205" s="32" t="s">
        <v>368</v>
      </c>
      <c r="G205" s="34"/>
      <c r="H205" s="52" t="n">
        <f aca="false">IF($E205="Per class",$D205*COUNTIFS('Session Tracker'!$D$5:$D$149,$A205,'Session Tracker'!$F$5:$F$149,"Next week",'Session Tracker'!$G$5:$G$149,"Mon"),$D205*SUMIFS('Session Tracker'!$J$5:$J$149,'Session Tracker'!$D$5:$D$149,$A205,'Session Tracker'!$F$5:$F$149,"Next week",'Session Tracker'!$G$5:$G$149,"Mon"))</f>
        <v>0</v>
      </c>
      <c r="I205" s="52" t="n">
        <f aca="false">IF($E205="Per class",$D205*COUNTIFS('Session Tracker'!$D$5:$D$149,$A205,'Session Tracker'!$F$5:$F$149,"Next week",'Session Tracker'!$G$5:$G$149,"Tue"),$D205*SUMIFS('Session Tracker'!$J$5:$J$149,'Session Tracker'!$D$5:$D$149,$A205,'Session Tracker'!$F$5:$F$149,"Next week",'Session Tracker'!$G$5:$G$149,"Tue"))</f>
        <v>0</v>
      </c>
      <c r="J205" s="52" t="n">
        <f aca="false">IF($E205="Per class",$D205*COUNTIFS('Session Tracker'!$D$5:$D$149,$A205,'Session Tracker'!$F$5:$F$149,"Next week",'Session Tracker'!$G$5:$G$149,"Wed"),$D205*SUMIFS('Session Tracker'!$J$5:$J$149,'Session Tracker'!$D$5:$D$149,$A205,'Session Tracker'!$F$5:$F$149,"Next week",'Session Tracker'!$G$5:$G$149,"Wed"))</f>
        <v>0</v>
      </c>
      <c r="K205" s="52" t="n">
        <f aca="false">IF($E205="Per class",$D205*COUNTIFS('Session Tracker'!$D$5:$D$149,$A205,'Session Tracker'!$F$5:$F$149,"Next week",'Session Tracker'!$G$5:$G$149,"Thu"),$D205*SUMIFS('Session Tracker'!$J$5:$J$149,'Session Tracker'!$D$5:$D$149,$A205,'Session Tracker'!$F$5:$F$149,"Next week",'Session Tracker'!$G$5:$G$149,"Thu"))</f>
        <v>0</v>
      </c>
      <c r="L205" s="52" t="n">
        <f aca="false">IF($E205="Per class",$D205*COUNTIFS('Session Tracker'!$D$5:$D$149,$A205,'Session Tracker'!$F$5:$F$149,"Next week",'Session Tracker'!$G$5:$G$149,"Fri"),$D205*SUMIFS('Session Tracker'!$J$5:$J$149,'Session Tracker'!$D$5:$D$149,$A205,'Session Tracker'!$F$5:$F$149,"Next week",'Session Tracker'!$G$5:$G$149,"Fri"))</f>
        <v>0</v>
      </c>
      <c r="M205" s="52" t="n">
        <f aca="false">IF($E205="Per class",$D205*COUNTIFS('Session Tracker'!$D$5:$D$149,$A205,'Session Tracker'!$F$5:$F$149,"Next week",'Session Tracker'!$G$5:$G$149,""),$D205*SUMIFS('Session Tracker'!$J$5:$J$149,'Session Tracker'!$D$5:$D$149,$A205,'Session Tracker'!$F$5:$F$149,"Next week",'Session Tracker'!$G$5:$G$149,""))</f>
        <v>0</v>
      </c>
    </row>
    <row r="206" customFormat="false" ht="15" hidden="false" customHeight="false" outlineLevel="0" collapsed="false">
      <c r="A206" s="61" t="s">
        <v>174</v>
      </c>
      <c r="B206" s="34" t="s">
        <v>382</v>
      </c>
      <c r="C206" s="34" t="s">
        <v>402</v>
      </c>
      <c r="D206" s="32" t="n">
        <v>1</v>
      </c>
      <c r="E206" s="32" t="s">
        <v>16</v>
      </c>
      <c r="F206" s="32" t="s">
        <v>373</v>
      </c>
      <c r="G206" s="34" t="s">
        <v>540</v>
      </c>
      <c r="H206" s="52" t="n">
        <f aca="false">IF($E206="Per class",$D206*COUNTIFS('Session Tracker'!$D$5:$D$149,$A206,'Session Tracker'!$F$5:$F$149,"Next week",'Session Tracker'!$G$5:$G$149,"Mon"),$D206*SUMIFS('Session Tracker'!$J$5:$J$149,'Session Tracker'!$D$5:$D$149,$A206,'Session Tracker'!$F$5:$F$149,"Next week",'Session Tracker'!$G$5:$G$149,"Mon"))</f>
        <v>0</v>
      </c>
      <c r="I206" s="52" t="n">
        <f aca="false">IF($E206="Per class",$D206*COUNTIFS('Session Tracker'!$D$5:$D$149,$A206,'Session Tracker'!$F$5:$F$149,"Next week",'Session Tracker'!$G$5:$G$149,"Tue"),$D206*SUMIFS('Session Tracker'!$J$5:$J$149,'Session Tracker'!$D$5:$D$149,$A206,'Session Tracker'!$F$5:$F$149,"Next week",'Session Tracker'!$G$5:$G$149,"Tue"))</f>
        <v>0</v>
      </c>
      <c r="J206" s="52" t="n">
        <f aca="false">IF($E206="Per class",$D206*COUNTIFS('Session Tracker'!$D$5:$D$149,$A206,'Session Tracker'!$F$5:$F$149,"Next week",'Session Tracker'!$G$5:$G$149,"Wed"),$D206*SUMIFS('Session Tracker'!$J$5:$J$149,'Session Tracker'!$D$5:$D$149,$A206,'Session Tracker'!$F$5:$F$149,"Next week",'Session Tracker'!$G$5:$G$149,"Wed"))</f>
        <v>0</v>
      </c>
      <c r="K206" s="52" t="n">
        <f aca="false">IF($E206="Per class",$D206*COUNTIFS('Session Tracker'!$D$5:$D$149,$A206,'Session Tracker'!$F$5:$F$149,"Next week",'Session Tracker'!$G$5:$G$149,"Thu"),$D206*SUMIFS('Session Tracker'!$J$5:$J$149,'Session Tracker'!$D$5:$D$149,$A206,'Session Tracker'!$F$5:$F$149,"Next week",'Session Tracker'!$G$5:$G$149,"Thu"))</f>
        <v>0</v>
      </c>
      <c r="L206" s="52" t="n">
        <f aca="false">IF($E206="Per class",$D206*COUNTIFS('Session Tracker'!$D$5:$D$149,$A206,'Session Tracker'!$F$5:$F$149,"Next week",'Session Tracker'!$G$5:$G$149,"Fri"),$D206*SUMIFS('Session Tracker'!$J$5:$J$149,'Session Tracker'!$D$5:$D$149,$A206,'Session Tracker'!$F$5:$F$149,"Next week",'Session Tracker'!$G$5:$G$149,"Fri"))</f>
        <v>0</v>
      </c>
      <c r="M206" s="52" t="n">
        <f aca="false">IF($E206="Per class",$D206*COUNTIFS('Session Tracker'!$D$5:$D$149,$A206,'Session Tracker'!$F$5:$F$149,"Next week",'Session Tracker'!$G$5:$G$149,""),$D206*SUMIFS('Session Tracker'!$J$5:$J$149,'Session Tracker'!$D$5:$D$149,$A206,'Session Tracker'!$F$5:$F$149,"Next week",'Session Tracker'!$G$5:$G$149,""))</f>
        <v>0</v>
      </c>
    </row>
    <row r="207" customFormat="false" ht="15" hidden="false" customHeight="false" outlineLevel="0" collapsed="false">
      <c r="A207" s="53" t="s">
        <v>174</v>
      </c>
      <c r="B207" s="54"/>
      <c r="C207" s="54"/>
      <c r="D207" s="54"/>
      <c r="E207" s="54"/>
      <c r="F207" s="54"/>
      <c r="G207" s="54"/>
      <c r="H207" s="52" t="n">
        <f aca="false">IF($E207="Per class",$D207*COUNTIFS('Session Tracker'!$D$5:$D$149,$A207,'Session Tracker'!$F$5:$F$149,"Next week",'Session Tracker'!$G$5:$G$149,"Mon"),$D207*SUMIFS('Session Tracker'!$J$5:$J$149,'Session Tracker'!$D$5:$D$149,$A207,'Session Tracker'!$F$5:$F$149,"Next week",'Session Tracker'!$G$5:$G$149,"Mon"))</f>
        <v>0</v>
      </c>
      <c r="I207" s="52" t="n">
        <f aca="false">IF($E207="Per class",$D207*COUNTIFS('Session Tracker'!$D$5:$D$149,$A207,'Session Tracker'!$F$5:$F$149,"Next week",'Session Tracker'!$G$5:$G$149,"Tue"),$D207*SUMIFS('Session Tracker'!$J$5:$J$149,'Session Tracker'!$D$5:$D$149,$A207,'Session Tracker'!$F$5:$F$149,"Next week",'Session Tracker'!$G$5:$G$149,"Tue"))</f>
        <v>0</v>
      </c>
      <c r="J207" s="52" t="n">
        <f aca="false">IF($E207="Per class",$D207*COUNTIFS('Session Tracker'!$D$5:$D$149,$A207,'Session Tracker'!$F$5:$F$149,"Next week",'Session Tracker'!$G$5:$G$149,"Wed"),$D207*SUMIFS('Session Tracker'!$J$5:$J$149,'Session Tracker'!$D$5:$D$149,$A207,'Session Tracker'!$F$5:$F$149,"Next week",'Session Tracker'!$G$5:$G$149,"Wed"))</f>
        <v>0</v>
      </c>
      <c r="K207" s="52" t="n">
        <f aca="false">IF($E207="Per class",$D207*COUNTIFS('Session Tracker'!$D$5:$D$149,$A207,'Session Tracker'!$F$5:$F$149,"Next week",'Session Tracker'!$G$5:$G$149,"Thu"),$D207*SUMIFS('Session Tracker'!$J$5:$J$149,'Session Tracker'!$D$5:$D$149,$A207,'Session Tracker'!$F$5:$F$149,"Next week",'Session Tracker'!$G$5:$G$149,"Thu"))</f>
        <v>0</v>
      </c>
      <c r="L207" s="52" t="n">
        <f aca="false">IF($E207="Per class",$D207*COUNTIFS('Session Tracker'!$D$5:$D$149,$A207,'Session Tracker'!$F$5:$F$149,"Next week",'Session Tracker'!$G$5:$G$149,"Fri"),$D207*SUMIFS('Session Tracker'!$J$5:$J$149,'Session Tracker'!$D$5:$D$149,$A207,'Session Tracker'!$F$5:$F$149,"Next week",'Session Tracker'!$G$5:$G$149,"Fri"))</f>
        <v>0</v>
      </c>
      <c r="M207" s="52" t="n">
        <f aca="false">IF($E207="Per class",$D207*COUNTIFS('Session Tracker'!$D$5:$D$149,$A207,'Session Tracker'!$F$5:$F$149,"Next week",'Session Tracker'!$G$5:$G$149,""),$D207*SUMIFS('Session Tracker'!$J$5:$J$149,'Session Tracker'!$D$5:$D$149,$A207,'Session Tracker'!$F$5:$F$149,"Next week",'Session Tracker'!$G$5:$G$149,""))</f>
        <v>0</v>
      </c>
    </row>
    <row r="208" customFormat="false" ht="15" hidden="false" customHeight="false" outlineLevel="0" collapsed="false">
      <c r="A208" s="53" t="s">
        <v>174</v>
      </c>
      <c r="B208" s="54"/>
      <c r="C208" s="54"/>
      <c r="D208" s="54"/>
      <c r="E208" s="54"/>
      <c r="F208" s="54"/>
      <c r="G208" s="54"/>
      <c r="H208" s="52" t="n">
        <f aca="false">IF($E208="Per class",$D208*COUNTIFS('Session Tracker'!$D$5:$D$149,$A208,'Session Tracker'!$F$5:$F$149,"Next week",'Session Tracker'!$G$5:$G$149,"Mon"),$D208*SUMIFS('Session Tracker'!$J$5:$J$149,'Session Tracker'!$D$5:$D$149,$A208,'Session Tracker'!$F$5:$F$149,"Next week",'Session Tracker'!$G$5:$G$149,"Mon"))</f>
        <v>0</v>
      </c>
      <c r="I208" s="52" t="n">
        <f aca="false">IF($E208="Per class",$D208*COUNTIFS('Session Tracker'!$D$5:$D$149,$A208,'Session Tracker'!$F$5:$F$149,"Next week",'Session Tracker'!$G$5:$G$149,"Tue"),$D208*SUMIFS('Session Tracker'!$J$5:$J$149,'Session Tracker'!$D$5:$D$149,$A208,'Session Tracker'!$F$5:$F$149,"Next week",'Session Tracker'!$G$5:$G$149,"Tue"))</f>
        <v>0</v>
      </c>
      <c r="J208" s="52" t="n">
        <f aca="false">IF($E208="Per class",$D208*COUNTIFS('Session Tracker'!$D$5:$D$149,$A208,'Session Tracker'!$F$5:$F$149,"Next week",'Session Tracker'!$G$5:$G$149,"Wed"),$D208*SUMIFS('Session Tracker'!$J$5:$J$149,'Session Tracker'!$D$5:$D$149,$A208,'Session Tracker'!$F$5:$F$149,"Next week",'Session Tracker'!$G$5:$G$149,"Wed"))</f>
        <v>0</v>
      </c>
      <c r="K208" s="52" t="n">
        <f aca="false">IF($E208="Per class",$D208*COUNTIFS('Session Tracker'!$D$5:$D$149,$A208,'Session Tracker'!$F$5:$F$149,"Next week",'Session Tracker'!$G$5:$G$149,"Thu"),$D208*SUMIFS('Session Tracker'!$J$5:$J$149,'Session Tracker'!$D$5:$D$149,$A208,'Session Tracker'!$F$5:$F$149,"Next week",'Session Tracker'!$G$5:$G$149,"Thu"))</f>
        <v>0</v>
      </c>
      <c r="L208" s="52" t="n">
        <f aca="false">IF($E208="Per class",$D208*COUNTIFS('Session Tracker'!$D$5:$D$149,$A208,'Session Tracker'!$F$5:$F$149,"Next week",'Session Tracker'!$G$5:$G$149,"Fri"),$D208*SUMIFS('Session Tracker'!$J$5:$J$149,'Session Tracker'!$D$5:$D$149,$A208,'Session Tracker'!$F$5:$F$149,"Next week",'Session Tracker'!$G$5:$G$149,"Fri"))</f>
        <v>0</v>
      </c>
      <c r="M208" s="52" t="n">
        <f aca="false">IF($E208="Per class",$D208*COUNTIFS('Session Tracker'!$D$5:$D$149,$A208,'Session Tracker'!$F$5:$F$149,"Next week",'Session Tracker'!$G$5:$G$149,""),$D208*SUMIFS('Session Tracker'!$J$5:$J$149,'Session Tracker'!$D$5:$D$149,$A208,'Session Tracker'!$F$5:$F$149,"Next week",'Session Tracker'!$G$5:$G$149,""))</f>
        <v>0</v>
      </c>
    </row>
    <row r="210" customFormat="false" ht="19.5" hidden="false" customHeight="true" outlineLevel="0" collapsed="false">
      <c r="A210" s="57" t="s">
        <v>176</v>
      </c>
      <c r="B210" s="58" t="s">
        <v>541</v>
      </c>
      <c r="C210" s="58"/>
      <c r="D210" s="58"/>
      <c r="E210" s="58"/>
      <c r="F210" s="59" t="str">
        <f aca="false">"Status: "&amp;'Session Tracker'!F56&amp;IF('Session Tracker'!G56&lt;&gt;""," ("&amp;'Session Tracker'!G56&amp;")","")</f>
        <v>Status: Not started</v>
      </c>
      <c r="G210" s="59"/>
      <c r="H210" s="60"/>
      <c r="I210" s="60"/>
      <c r="J210" s="60"/>
      <c r="K210" s="60"/>
      <c r="L210" s="60"/>
      <c r="M210" s="60"/>
    </row>
    <row r="211" customFormat="false" ht="23.85" hidden="false" customHeight="false" outlineLevel="0" collapsed="false">
      <c r="A211" s="61" t="s">
        <v>176</v>
      </c>
      <c r="B211" s="34" t="s">
        <v>366</v>
      </c>
      <c r="C211" s="34" t="s">
        <v>367</v>
      </c>
      <c r="D211" s="32" t="n">
        <v>1</v>
      </c>
      <c r="E211" s="32" t="s">
        <v>14</v>
      </c>
      <c r="F211" s="32" t="s">
        <v>368</v>
      </c>
      <c r="G211" s="34"/>
      <c r="H211" s="52" t="n">
        <f aca="false">IF($E211="Per class",$D211*COUNTIFS('Session Tracker'!$D$5:$D$149,$A211,'Session Tracker'!$F$5:$F$149,"Next week",'Session Tracker'!$G$5:$G$149,"Mon"),$D211*SUMIFS('Session Tracker'!$J$5:$J$149,'Session Tracker'!$D$5:$D$149,$A211,'Session Tracker'!$F$5:$F$149,"Next week",'Session Tracker'!$G$5:$G$149,"Mon"))</f>
        <v>0</v>
      </c>
      <c r="I211" s="52" t="n">
        <f aca="false">IF($E211="Per class",$D211*COUNTIFS('Session Tracker'!$D$5:$D$149,$A211,'Session Tracker'!$F$5:$F$149,"Next week",'Session Tracker'!$G$5:$G$149,"Tue"),$D211*SUMIFS('Session Tracker'!$J$5:$J$149,'Session Tracker'!$D$5:$D$149,$A211,'Session Tracker'!$F$5:$F$149,"Next week",'Session Tracker'!$G$5:$G$149,"Tue"))</f>
        <v>0</v>
      </c>
      <c r="J211" s="52" t="n">
        <f aca="false">IF($E211="Per class",$D211*COUNTIFS('Session Tracker'!$D$5:$D$149,$A211,'Session Tracker'!$F$5:$F$149,"Next week",'Session Tracker'!$G$5:$G$149,"Wed"),$D211*SUMIFS('Session Tracker'!$J$5:$J$149,'Session Tracker'!$D$5:$D$149,$A211,'Session Tracker'!$F$5:$F$149,"Next week",'Session Tracker'!$G$5:$G$149,"Wed"))</f>
        <v>0</v>
      </c>
      <c r="K211" s="52" t="n">
        <f aca="false">IF($E211="Per class",$D211*COUNTIFS('Session Tracker'!$D$5:$D$149,$A211,'Session Tracker'!$F$5:$F$149,"Next week",'Session Tracker'!$G$5:$G$149,"Thu"),$D211*SUMIFS('Session Tracker'!$J$5:$J$149,'Session Tracker'!$D$5:$D$149,$A211,'Session Tracker'!$F$5:$F$149,"Next week",'Session Tracker'!$G$5:$G$149,"Thu"))</f>
        <v>0</v>
      </c>
      <c r="L211" s="52" t="n">
        <f aca="false">IF($E211="Per class",$D211*COUNTIFS('Session Tracker'!$D$5:$D$149,$A211,'Session Tracker'!$F$5:$F$149,"Next week",'Session Tracker'!$G$5:$G$149,"Fri"),$D211*SUMIFS('Session Tracker'!$J$5:$J$149,'Session Tracker'!$D$5:$D$149,$A211,'Session Tracker'!$F$5:$F$149,"Next week",'Session Tracker'!$G$5:$G$149,"Fri"))</f>
        <v>0</v>
      </c>
      <c r="M211" s="52" t="n">
        <f aca="false">IF($E211="Per class",$D211*COUNTIFS('Session Tracker'!$D$5:$D$149,$A211,'Session Tracker'!$F$5:$F$149,"Next week",'Session Tracker'!$G$5:$G$149,""),$D211*SUMIFS('Session Tracker'!$J$5:$J$149,'Session Tracker'!$D$5:$D$149,$A211,'Session Tracker'!$F$5:$F$149,"Next week",'Session Tracker'!$G$5:$G$149,""))</f>
        <v>0</v>
      </c>
    </row>
    <row r="212" customFormat="false" ht="15" hidden="false" customHeight="false" outlineLevel="0" collapsed="false">
      <c r="A212" s="61" t="s">
        <v>176</v>
      </c>
      <c r="B212" s="34" t="s">
        <v>447</v>
      </c>
      <c r="C212" s="34" t="s">
        <v>542</v>
      </c>
      <c r="D212" s="32" t="n">
        <v>1</v>
      </c>
      <c r="E212" s="32" t="s">
        <v>14</v>
      </c>
      <c r="F212" s="32" t="s">
        <v>368</v>
      </c>
      <c r="G212" s="34"/>
      <c r="H212" s="52" t="n">
        <f aca="false">IF($E212="Per class",$D212*COUNTIFS('Session Tracker'!$D$5:$D$149,$A212,'Session Tracker'!$F$5:$F$149,"Next week",'Session Tracker'!$G$5:$G$149,"Mon"),$D212*SUMIFS('Session Tracker'!$J$5:$J$149,'Session Tracker'!$D$5:$D$149,$A212,'Session Tracker'!$F$5:$F$149,"Next week",'Session Tracker'!$G$5:$G$149,"Mon"))</f>
        <v>0</v>
      </c>
      <c r="I212" s="52" t="n">
        <f aca="false">IF($E212="Per class",$D212*COUNTIFS('Session Tracker'!$D$5:$D$149,$A212,'Session Tracker'!$F$5:$F$149,"Next week",'Session Tracker'!$G$5:$G$149,"Tue"),$D212*SUMIFS('Session Tracker'!$J$5:$J$149,'Session Tracker'!$D$5:$D$149,$A212,'Session Tracker'!$F$5:$F$149,"Next week",'Session Tracker'!$G$5:$G$149,"Tue"))</f>
        <v>0</v>
      </c>
      <c r="J212" s="52" t="n">
        <f aca="false">IF($E212="Per class",$D212*COUNTIFS('Session Tracker'!$D$5:$D$149,$A212,'Session Tracker'!$F$5:$F$149,"Next week",'Session Tracker'!$G$5:$G$149,"Wed"),$D212*SUMIFS('Session Tracker'!$J$5:$J$149,'Session Tracker'!$D$5:$D$149,$A212,'Session Tracker'!$F$5:$F$149,"Next week",'Session Tracker'!$G$5:$G$149,"Wed"))</f>
        <v>0</v>
      </c>
      <c r="K212" s="52" t="n">
        <f aca="false">IF($E212="Per class",$D212*COUNTIFS('Session Tracker'!$D$5:$D$149,$A212,'Session Tracker'!$F$5:$F$149,"Next week",'Session Tracker'!$G$5:$G$149,"Thu"),$D212*SUMIFS('Session Tracker'!$J$5:$J$149,'Session Tracker'!$D$5:$D$149,$A212,'Session Tracker'!$F$5:$F$149,"Next week",'Session Tracker'!$G$5:$G$149,"Thu"))</f>
        <v>0</v>
      </c>
      <c r="L212" s="52" t="n">
        <f aca="false">IF($E212="Per class",$D212*COUNTIFS('Session Tracker'!$D$5:$D$149,$A212,'Session Tracker'!$F$5:$F$149,"Next week",'Session Tracker'!$G$5:$G$149,"Fri"),$D212*SUMIFS('Session Tracker'!$J$5:$J$149,'Session Tracker'!$D$5:$D$149,$A212,'Session Tracker'!$F$5:$F$149,"Next week",'Session Tracker'!$G$5:$G$149,"Fri"))</f>
        <v>0</v>
      </c>
      <c r="M212" s="52" t="n">
        <f aca="false">IF($E212="Per class",$D212*COUNTIFS('Session Tracker'!$D$5:$D$149,$A212,'Session Tracker'!$F$5:$F$149,"Next week",'Session Tracker'!$G$5:$G$149,""),$D212*SUMIFS('Session Tracker'!$J$5:$J$149,'Session Tracker'!$D$5:$D$149,$A212,'Session Tracker'!$F$5:$F$149,"Next week",'Session Tracker'!$G$5:$G$149,""))</f>
        <v>0</v>
      </c>
    </row>
    <row r="213" customFormat="false" ht="15" hidden="false" customHeight="false" outlineLevel="0" collapsed="false">
      <c r="A213" s="61" t="s">
        <v>176</v>
      </c>
      <c r="B213" s="34" t="s">
        <v>369</v>
      </c>
      <c r="C213" s="34" t="s">
        <v>543</v>
      </c>
      <c r="D213" s="32" t="n">
        <v>2</v>
      </c>
      <c r="E213" s="32" t="s">
        <v>14</v>
      </c>
      <c r="F213" s="32" t="s">
        <v>368</v>
      </c>
      <c r="G213" s="34"/>
      <c r="H213" s="52" t="n">
        <f aca="false">IF($E213="Per class",$D213*COUNTIFS('Session Tracker'!$D$5:$D$149,$A213,'Session Tracker'!$F$5:$F$149,"Next week",'Session Tracker'!$G$5:$G$149,"Mon"),$D213*SUMIFS('Session Tracker'!$J$5:$J$149,'Session Tracker'!$D$5:$D$149,$A213,'Session Tracker'!$F$5:$F$149,"Next week",'Session Tracker'!$G$5:$G$149,"Mon"))</f>
        <v>0</v>
      </c>
      <c r="I213" s="52" t="n">
        <f aca="false">IF($E213="Per class",$D213*COUNTIFS('Session Tracker'!$D$5:$D$149,$A213,'Session Tracker'!$F$5:$F$149,"Next week",'Session Tracker'!$G$5:$G$149,"Tue"),$D213*SUMIFS('Session Tracker'!$J$5:$J$149,'Session Tracker'!$D$5:$D$149,$A213,'Session Tracker'!$F$5:$F$149,"Next week",'Session Tracker'!$G$5:$G$149,"Tue"))</f>
        <v>0</v>
      </c>
      <c r="J213" s="52" t="n">
        <f aca="false">IF($E213="Per class",$D213*COUNTIFS('Session Tracker'!$D$5:$D$149,$A213,'Session Tracker'!$F$5:$F$149,"Next week",'Session Tracker'!$G$5:$G$149,"Wed"),$D213*SUMIFS('Session Tracker'!$J$5:$J$149,'Session Tracker'!$D$5:$D$149,$A213,'Session Tracker'!$F$5:$F$149,"Next week",'Session Tracker'!$G$5:$G$149,"Wed"))</f>
        <v>0</v>
      </c>
      <c r="K213" s="52" t="n">
        <f aca="false">IF($E213="Per class",$D213*COUNTIFS('Session Tracker'!$D$5:$D$149,$A213,'Session Tracker'!$F$5:$F$149,"Next week",'Session Tracker'!$G$5:$G$149,"Thu"),$D213*SUMIFS('Session Tracker'!$J$5:$J$149,'Session Tracker'!$D$5:$D$149,$A213,'Session Tracker'!$F$5:$F$149,"Next week",'Session Tracker'!$G$5:$G$149,"Thu"))</f>
        <v>0</v>
      </c>
      <c r="L213" s="52" t="n">
        <f aca="false">IF($E213="Per class",$D213*COUNTIFS('Session Tracker'!$D$5:$D$149,$A213,'Session Tracker'!$F$5:$F$149,"Next week",'Session Tracker'!$G$5:$G$149,"Fri"),$D213*SUMIFS('Session Tracker'!$J$5:$J$149,'Session Tracker'!$D$5:$D$149,$A213,'Session Tracker'!$F$5:$F$149,"Next week",'Session Tracker'!$G$5:$G$149,"Fri"))</f>
        <v>0</v>
      </c>
      <c r="M213" s="52" t="n">
        <f aca="false">IF($E213="Per class",$D213*COUNTIFS('Session Tracker'!$D$5:$D$149,$A213,'Session Tracker'!$F$5:$F$149,"Next week",'Session Tracker'!$G$5:$G$149,""),$D213*SUMIFS('Session Tracker'!$J$5:$J$149,'Session Tracker'!$D$5:$D$149,$A213,'Session Tracker'!$F$5:$F$149,"Next week",'Session Tracker'!$G$5:$G$149,""))</f>
        <v>0</v>
      </c>
    </row>
    <row r="214" customFormat="false" ht="15" hidden="false" customHeight="false" outlineLevel="0" collapsed="false">
      <c r="A214" s="61" t="s">
        <v>176</v>
      </c>
      <c r="B214" s="34" t="s">
        <v>377</v>
      </c>
      <c r="C214" s="34" t="s">
        <v>532</v>
      </c>
      <c r="D214" s="32" t="n">
        <v>1</v>
      </c>
      <c r="E214" s="32" t="s">
        <v>14</v>
      </c>
      <c r="F214" s="32" t="s">
        <v>368</v>
      </c>
      <c r="G214" s="34"/>
      <c r="H214" s="52" t="n">
        <f aca="false">IF($E214="Per class",$D214*COUNTIFS('Session Tracker'!$D$5:$D$149,$A214,'Session Tracker'!$F$5:$F$149,"Next week",'Session Tracker'!$G$5:$G$149,"Mon"),$D214*SUMIFS('Session Tracker'!$J$5:$J$149,'Session Tracker'!$D$5:$D$149,$A214,'Session Tracker'!$F$5:$F$149,"Next week",'Session Tracker'!$G$5:$G$149,"Mon"))</f>
        <v>0</v>
      </c>
      <c r="I214" s="52" t="n">
        <f aca="false">IF($E214="Per class",$D214*COUNTIFS('Session Tracker'!$D$5:$D$149,$A214,'Session Tracker'!$F$5:$F$149,"Next week",'Session Tracker'!$G$5:$G$149,"Tue"),$D214*SUMIFS('Session Tracker'!$J$5:$J$149,'Session Tracker'!$D$5:$D$149,$A214,'Session Tracker'!$F$5:$F$149,"Next week",'Session Tracker'!$G$5:$G$149,"Tue"))</f>
        <v>0</v>
      </c>
      <c r="J214" s="52" t="n">
        <f aca="false">IF($E214="Per class",$D214*COUNTIFS('Session Tracker'!$D$5:$D$149,$A214,'Session Tracker'!$F$5:$F$149,"Next week",'Session Tracker'!$G$5:$G$149,"Wed"),$D214*SUMIFS('Session Tracker'!$J$5:$J$149,'Session Tracker'!$D$5:$D$149,$A214,'Session Tracker'!$F$5:$F$149,"Next week",'Session Tracker'!$G$5:$G$149,"Wed"))</f>
        <v>0</v>
      </c>
      <c r="K214" s="52" t="n">
        <f aca="false">IF($E214="Per class",$D214*COUNTIFS('Session Tracker'!$D$5:$D$149,$A214,'Session Tracker'!$F$5:$F$149,"Next week",'Session Tracker'!$G$5:$G$149,"Thu"),$D214*SUMIFS('Session Tracker'!$J$5:$J$149,'Session Tracker'!$D$5:$D$149,$A214,'Session Tracker'!$F$5:$F$149,"Next week",'Session Tracker'!$G$5:$G$149,"Thu"))</f>
        <v>0</v>
      </c>
      <c r="L214" s="52" t="n">
        <f aca="false">IF($E214="Per class",$D214*COUNTIFS('Session Tracker'!$D$5:$D$149,$A214,'Session Tracker'!$F$5:$F$149,"Next week",'Session Tracker'!$G$5:$G$149,"Fri"),$D214*SUMIFS('Session Tracker'!$J$5:$J$149,'Session Tracker'!$D$5:$D$149,$A214,'Session Tracker'!$F$5:$F$149,"Next week",'Session Tracker'!$G$5:$G$149,"Fri"))</f>
        <v>0</v>
      </c>
      <c r="M214" s="52" t="n">
        <f aca="false">IF($E214="Per class",$D214*COUNTIFS('Session Tracker'!$D$5:$D$149,$A214,'Session Tracker'!$F$5:$F$149,"Next week",'Session Tracker'!$G$5:$G$149,""),$D214*SUMIFS('Session Tracker'!$J$5:$J$149,'Session Tracker'!$D$5:$D$149,$A214,'Session Tracker'!$F$5:$F$149,"Next week",'Session Tracker'!$G$5:$G$149,""))</f>
        <v>0</v>
      </c>
    </row>
    <row r="215" customFormat="false" ht="15" hidden="false" customHeight="false" outlineLevel="0" collapsed="false">
      <c r="A215" s="61" t="s">
        <v>176</v>
      </c>
      <c r="B215" s="34" t="s">
        <v>409</v>
      </c>
      <c r="C215" s="34" t="s">
        <v>533</v>
      </c>
      <c r="D215" s="32" t="n">
        <v>1</v>
      </c>
      <c r="E215" s="32" t="s">
        <v>14</v>
      </c>
      <c r="F215" s="32" t="s">
        <v>373</v>
      </c>
      <c r="G215" s="34"/>
      <c r="H215" s="52" t="n">
        <f aca="false">IF($E215="Per class",$D215*COUNTIFS('Session Tracker'!$D$5:$D$149,$A215,'Session Tracker'!$F$5:$F$149,"Next week",'Session Tracker'!$G$5:$G$149,"Mon"),$D215*SUMIFS('Session Tracker'!$J$5:$J$149,'Session Tracker'!$D$5:$D$149,$A215,'Session Tracker'!$F$5:$F$149,"Next week",'Session Tracker'!$G$5:$G$149,"Mon"))</f>
        <v>0</v>
      </c>
      <c r="I215" s="52" t="n">
        <f aca="false">IF($E215="Per class",$D215*COUNTIFS('Session Tracker'!$D$5:$D$149,$A215,'Session Tracker'!$F$5:$F$149,"Next week",'Session Tracker'!$G$5:$G$149,"Tue"),$D215*SUMIFS('Session Tracker'!$J$5:$J$149,'Session Tracker'!$D$5:$D$149,$A215,'Session Tracker'!$F$5:$F$149,"Next week",'Session Tracker'!$G$5:$G$149,"Tue"))</f>
        <v>0</v>
      </c>
      <c r="J215" s="52" t="n">
        <f aca="false">IF($E215="Per class",$D215*COUNTIFS('Session Tracker'!$D$5:$D$149,$A215,'Session Tracker'!$F$5:$F$149,"Next week",'Session Tracker'!$G$5:$G$149,"Wed"),$D215*SUMIFS('Session Tracker'!$J$5:$J$149,'Session Tracker'!$D$5:$D$149,$A215,'Session Tracker'!$F$5:$F$149,"Next week",'Session Tracker'!$G$5:$G$149,"Wed"))</f>
        <v>0</v>
      </c>
      <c r="K215" s="52" t="n">
        <f aca="false">IF($E215="Per class",$D215*COUNTIFS('Session Tracker'!$D$5:$D$149,$A215,'Session Tracker'!$F$5:$F$149,"Next week",'Session Tracker'!$G$5:$G$149,"Thu"),$D215*SUMIFS('Session Tracker'!$J$5:$J$149,'Session Tracker'!$D$5:$D$149,$A215,'Session Tracker'!$F$5:$F$149,"Next week",'Session Tracker'!$G$5:$G$149,"Thu"))</f>
        <v>0</v>
      </c>
      <c r="L215" s="52" t="n">
        <f aca="false">IF($E215="Per class",$D215*COUNTIFS('Session Tracker'!$D$5:$D$149,$A215,'Session Tracker'!$F$5:$F$149,"Next week",'Session Tracker'!$G$5:$G$149,"Fri"),$D215*SUMIFS('Session Tracker'!$J$5:$J$149,'Session Tracker'!$D$5:$D$149,$A215,'Session Tracker'!$F$5:$F$149,"Next week",'Session Tracker'!$G$5:$G$149,"Fri"))</f>
        <v>0</v>
      </c>
      <c r="M215" s="52" t="n">
        <f aca="false">IF($E215="Per class",$D215*COUNTIFS('Session Tracker'!$D$5:$D$149,$A215,'Session Tracker'!$F$5:$F$149,"Next week",'Session Tracker'!$G$5:$G$149,""),$D215*SUMIFS('Session Tracker'!$J$5:$J$149,'Session Tracker'!$D$5:$D$149,$A215,'Session Tracker'!$F$5:$F$149,"Next week",'Session Tracker'!$G$5:$G$149,""))</f>
        <v>0</v>
      </c>
    </row>
    <row r="216" customFormat="false" ht="15" hidden="false" customHeight="false" outlineLevel="0" collapsed="false">
      <c r="A216" s="61" t="s">
        <v>176</v>
      </c>
      <c r="B216" s="34" t="s">
        <v>382</v>
      </c>
      <c r="C216" s="34" t="s">
        <v>404</v>
      </c>
      <c r="D216" s="32" t="n">
        <v>1</v>
      </c>
      <c r="E216" s="32" t="s">
        <v>14</v>
      </c>
      <c r="F216" s="32" t="s">
        <v>368</v>
      </c>
      <c r="G216" s="34"/>
      <c r="H216" s="52" t="n">
        <f aca="false">IF($E216="Per class",$D216*COUNTIFS('Session Tracker'!$D$5:$D$149,$A216,'Session Tracker'!$F$5:$F$149,"Next week",'Session Tracker'!$G$5:$G$149,"Mon"),$D216*SUMIFS('Session Tracker'!$J$5:$J$149,'Session Tracker'!$D$5:$D$149,$A216,'Session Tracker'!$F$5:$F$149,"Next week",'Session Tracker'!$G$5:$G$149,"Mon"))</f>
        <v>0</v>
      </c>
      <c r="I216" s="52" t="n">
        <f aca="false">IF($E216="Per class",$D216*COUNTIFS('Session Tracker'!$D$5:$D$149,$A216,'Session Tracker'!$F$5:$F$149,"Next week",'Session Tracker'!$G$5:$G$149,"Tue"),$D216*SUMIFS('Session Tracker'!$J$5:$J$149,'Session Tracker'!$D$5:$D$149,$A216,'Session Tracker'!$F$5:$F$149,"Next week",'Session Tracker'!$G$5:$G$149,"Tue"))</f>
        <v>0</v>
      </c>
      <c r="J216" s="52" t="n">
        <f aca="false">IF($E216="Per class",$D216*COUNTIFS('Session Tracker'!$D$5:$D$149,$A216,'Session Tracker'!$F$5:$F$149,"Next week",'Session Tracker'!$G$5:$G$149,"Wed"),$D216*SUMIFS('Session Tracker'!$J$5:$J$149,'Session Tracker'!$D$5:$D$149,$A216,'Session Tracker'!$F$5:$F$149,"Next week",'Session Tracker'!$G$5:$G$149,"Wed"))</f>
        <v>0</v>
      </c>
      <c r="K216" s="52" t="n">
        <f aca="false">IF($E216="Per class",$D216*COUNTIFS('Session Tracker'!$D$5:$D$149,$A216,'Session Tracker'!$F$5:$F$149,"Next week",'Session Tracker'!$G$5:$G$149,"Thu"),$D216*SUMIFS('Session Tracker'!$J$5:$J$149,'Session Tracker'!$D$5:$D$149,$A216,'Session Tracker'!$F$5:$F$149,"Next week",'Session Tracker'!$G$5:$G$149,"Thu"))</f>
        <v>0</v>
      </c>
      <c r="L216" s="52" t="n">
        <f aca="false">IF($E216="Per class",$D216*COUNTIFS('Session Tracker'!$D$5:$D$149,$A216,'Session Tracker'!$F$5:$F$149,"Next week",'Session Tracker'!$G$5:$G$149,"Fri"),$D216*SUMIFS('Session Tracker'!$J$5:$J$149,'Session Tracker'!$D$5:$D$149,$A216,'Session Tracker'!$F$5:$F$149,"Next week",'Session Tracker'!$G$5:$G$149,"Fri"))</f>
        <v>0</v>
      </c>
      <c r="M216" s="52" t="n">
        <f aca="false">IF($E216="Per class",$D216*COUNTIFS('Session Tracker'!$D$5:$D$149,$A216,'Session Tracker'!$F$5:$F$149,"Next week",'Session Tracker'!$G$5:$G$149,""),$D216*SUMIFS('Session Tracker'!$J$5:$J$149,'Session Tracker'!$D$5:$D$149,$A216,'Session Tracker'!$F$5:$F$149,"Next week",'Session Tracker'!$G$5:$G$149,""))</f>
        <v>0</v>
      </c>
    </row>
    <row r="217" customFormat="false" ht="15" hidden="false" customHeight="false" outlineLevel="0" collapsed="false">
      <c r="A217" s="61" t="s">
        <v>176</v>
      </c>
      <c r="B217" s="34" t="s">
        <v>379</v>
      </c>
      <c r="C217" s="34" t="s">
        <v>395</v>
      </c>
      <c r="D217" s="32" t="n">
        <v>10</v>
      </c>
      <c r="E217" s="32" t="s">
        <v>14</v>
      </c>
      <c r="F217" s="32" t="s">
        <v>368</v>
      </c>
      <c r="G217" s="34"/>
      <c r="H217" s="52" t="n">
        <f aca="false">IF($E217="Per class",$D217*COUNTIFS('Session Tracker'!$D$5:$D$149,$A217,'Session Tracker'!$F$5:$F$149,"Next week",'Session Tracker'!$G$5:$G$149,"Mon"),$D217*SUMIFS('Session Tracker'!$J$5:$J$149,'Session Tracker'!$D$5:$D$149,$A217,'Session Tracker'!$F$5:$F$149,"Next week",'Session Tracker'!$G$5:$G$149,"Mon"))</f>
        <v>0</v>
      </c>
      <c r="I217" s="52" t="n">
        <f aca="false">IF($E217="Per class",$D217*COUNTIFS('Session Tracker'!$D$5:$D$149,$A217,'Session Tracker'!$F$5:$F$149,"Next week",'Session Tracker'!$G$5:$G$149,"Tue"),$D217*SUMIFS('Session Tracker'!$J$5:$J$149,'Session Tracker'!$D$5:$D$149,$A217,'Session Tracker'!$F$5:$F$149,"Next week",'Session Tracker'!$G$5:$G$149,"Tue"))</f>
        <v>0</v>
      </c>
      <c r="J217" s="52" t="n">
        <f aca="false">IF($E217="Per class",$D217*COUNTIFS('Session Tracker'!$D$5:$D$149,$A217,'Session Tracker'!$F$5:$F$149,"Next week",'Session Tracker'!$G$5:$G$149,"Wed"),$D217*SUMIFS('Session Tracker'!$J$5:$J$149,'Session Tracker'!$D$5:$D$149,$A217,'Session Tracker'!$F$5:$F$149,"Next week",'Session Tracker'!$G$5:$G$149,"Wed"))</f>
        <v>0</v>
      </c>
      <c r="K217" s="52" t="n">
        <f aca="false">IF($E217="Per class",$D217*COUNTIFS('Session Tracker'!$D$5:$D$149,$A217,'Session Tracker'!$F$5:$F$149,"Next week",'Session Tracker'!$G$5:$G$149,"Thu"),$D217*SUMIFS('Session Tracker'!$J$5:$J$149,'Session Tracker'!$D$5:$D$149,$A217,'Session Tracker'!$F$5:$F$149,"Next week",'Session Tracker'!$G$5:$G$149,"Thu"))</f>
        <v>0</v>
      </c>
      <c r="L217" s="52" t="n">
        <f aca="false">IF($E217="Per class",$D217*COUNTIFS('Session Tracker'!$D$5:$D$149,$A217,'Session Tracker'!$F$5:$F$149,"Next week",'Session Tracker'!$G$5:$G$149,"Fri"),$D217*SUMIFS('Session Tracker'!$J$5:$J$149,'Session Tracker'!$D$5:$D$149,$A217,'Session Tracker'!$F$5:$F$149,"Next week",'Session Tracker'!$G$5:$G$149,"Fri"))</f>
        <v>0</v>
      </c>
      <c r="M217" s="52" t="n">
        <f aca="false">IF($E217="Per class",$D217*COUNTIFS('Session Tracker'!$D$5:$D$149,$A217,'Session Tracker'!$F$5:$F$149,"Next week",'Session Tracker'!$G$5:$G$149,""),$D217*SUMIFS('Session Tracker'!$J$5:$J$149,'Session Tracker'!$D$5:$D$149,$A217,'Session Tracker'!$F$5:$F$149,"Next week",'Session Tracker'!$G$5:$G$149,""))</f>
        <v>0</v>
      </c>
    </row>
    <row r="218" customFormat="false" ht="15" hidden="false" customHeight="false" outlineLevel="0" collapsed="false">
      <c r="A218" s="61" t="s">
        <v>176</v>
      </c>
      <c r="B218" s="34" t="s">
        <v>379</v>
      </c>
      <c r="C218" s="34" t="s">
        <v>381</v>
      </c>
      <c r="D218" s="32" t="n">
        <v>6</v>
      </c>
      <c r="E218" s="32" t="s">
        <v>14</v>
      </c>
      <c r="F218" s="32" t="s">
        <v>368</v>
      </c>
      <c r="G218" s="34"/>
      <c r="H218" s="52" t="n">
        <f aca="false">IF($E218="Per class",$D218*COUNTIFS('Session Tracker'!$D$5:$D$149,$A218,'Session Tracker'!$F$5:$F$149,"Next week",'Session Tracker'!$G$5:$G$149,"Mon"),$D218*SUMIFS('Session Tracker'!$J$5:$J$149,'Session Tracker'!$D$5:$D$149,$A218,'Session Tracker'!$F$5:$F$149,"Next week",'Session Tracker'!$G$5:$G$149,"Mon"))</f>
        <v>0</v>
      </c>
      <c r="I218" s="52" t="n">
        <f aca="false">IF($E218="Per class",$D218*COUNTIFS('Session Tracker'!$D$5:$D$149,$A218,'Session Tracker'!$F$5:$F$149,"Next week",'Session Tracker'!$G$5:$G$149,"Tue"),$D218*SUMIFS('Session Tracker'!$J$5:$J$149,'Session Tracker'!$D$5:$D$149,$A218,'Session Tracker'!$F$5:$F$149,"Next week",'Session Tracker'!$G$5:$G$149,"Tue"))</f>
        <v>0</v>
      </c>
      <c r="J218" s="52" t="n">
        <f aca="false">IF($E218="Per class",$D218*COUNTIFS('Session Tracker'!$D$5:$D$149,$A218,'Session Tracker'!$F$5:$F$149,"Next week",'Session Tracker'!$G$5:$G$149,"Wed"),$D218*SUMIFS('Session Tracker'!$J$5:$J$149,'Session Tracker'!$D$5:$D$149,$A218,'Session Tracker'!$F$5:$F$149,"Next week",'Session Tracker'!$G$5:$G$149,"Wed"))</f>
        <v>0</v>
      </c>
      <c r="K218" s="52" t="n">
        <f aca="false">IF($E218="Per class",$D218*COUNTIFS('Session Tracker'!$D$5:$D$149,$A218,'Session Tracker'!$F$5:$F$149,"Next week",'Session Tracker'!$G$5:$G$149,"Thu"),$D218*SUMIFS('Session Tracker'!$J$5:$J$149,'Session Tracker'!$D$5:$D$149,$A218,'Session Tracker'!$F$5:$F$149,"Next week",'Session Tracker'!$G$5:$G$149,"Thu"))</f>
        <v>0</v>
      </c>
      <c r="L218" s="52" t="n">
        <f aca="false">IF($E218="Per class",$D218*COUNTIFS('Session Tracker'!$D$5:$D$149,$A218,'Session Tracker'!$F$5:$F$149,"Next week",'Session Tracker'!$G$5:$G$149,"Fri"),$D218*SUMIFS('Session Tracker'!$J$5:$J$149,'Session Tracker'!$D$5:$D$149,$A218,'Session Tracker'!$F$5:$F$149,"Next week",'Session Tracker'!$G$5:$G$149,"Fri"))</f>
        <v>0</v>
      </c>
      <c r="M218" s="52" t="n">
        <f aca="false">IF($E218="Per class",$D218*COUNTIFS('Session Tracker'!$D$5:$D$149,$A218,'Session Tracker'!$F$5:$F$149,"Next week",'Session Tracker'!$G$5:$G$149,""),$D218*SUMIFS('Session Tracker'!$J$5:$J$149,'Session Tracker'!$D$5:$D$149,$A218,'Session Tracker'!$F$5:$F$149,"Next week",'Session Tracker'!$G$5:$G$149,""))</f>
        <v>0</v>
      </c>
    </row>
    <row r="219" customFormat="false" ht="15" hidden="false" customHeight="false" outlineLevel="0" collapsed="false">
      <c r="A219" s="61" t="s">
        <v>176</v>
      </c>
      <c r="B219" s="34" t="s">
        <v>382</v>
      </c>
      <c r="C219" s="34" t="s">
        <v>383</v>
      </c>
      <c r="D219" s="32" t="n">
        <v>1</v>
      </c>
      <c r="E219" s="32" t="s">
        <v>14</v>
      </c>
      <c r="F219" s="32" t="s">
        <v>368</v>
      </c>
      <c r="G219" s="34"/>
      <c r="H219" s="52" t="n">
        <f aca="false">IF($E219="Per class",$D219*COUNTIFS('Session Tracker'!$D$5:$D$149,$A219,'Session Tracker'!$F$5:$F$149,"Next week",'Session Tracker'!$G$5:$G$149,"Mon"),$D219*SUMIFS('Session Tracker'!$J$5:$J$149,'Session Tracker'!$D$5:$D$149,$A219,'Session Tracker'!$F$5:$F$149,"Next week",'Session Tracker'!$G$5:$G$149,"Mon"))</f>
        <v>0</v>
      </c>
      <c r="I219" s="52" t="n">
        <f aca="false">IF($E219="Per class",$D219*COUNTIFS('Session Tracker'!$D$5:$D$149,$A219,'Session Tracker'!$F$5:$F$149,"Next week",'Session Tracker'!$G$5:$G$149,"Tue"),$D219*SUMIFS('Session Tracker'!$J$5:$J$149,'Session Tracker'!$D$5:$D$149,$A219,'Session Tracker'!$F$5:$F$149,"Next week",'Session Tracker'!$G$5:$G$149,"Tue"))</f>
        <v>0</v>
      </c>
      <c r="J219" s="52" t="n">
        <f aca="false">IF($E219="Per class",$D219*COUNTIFS('Session Tracker'!$D$5:$D$149,$A219,'Session Tracker'!$F$5:$F$149,"Next week",'Session Tracker'!$G$5:$G$149,"Wed"),$D219*SUMIFS('Session Tracker'!$J$5:$J$149,'Session Tracker'!$D$5:$D$149,$A219,'Session Tracker'!$F$5:$F$149,"Next week",'Session Tracker'!$G$5:$G$149,"Wed"))</f>
        <v>0</v>
      </c>
      <c r="K219" s="52" t="n">
        <f aca="false">IF($E219="Per class",$D219*COUNTIFS('Session Tracker'!$D$5:$D$149,$A219,'Session Tracker'!$F$5:$F$149,"Next week",'Session Tracker'!$G$5:$G$149,"Thu"),$D219*SUMIFS('Session Tracker'!$J$5:$J$149,'Session Tracker'!$D$5:$D$149,$A219,'Session Tracker'!$F$5:$F$149,"Next week",'Session Tracker'!$G$5:$G$149,"Thu"))</f>
        <v>0</v>
      </c>
      <c r="L219" s="52" t="n">
        <f aca="false">IF($E219="Per class",$D219*COUNTIFS('Session Tracker'!$D$5:$D$149,$A219,'Session Tracker'!$F$5:$F$149,"Next week",'Session Tracker'!$G$5:$G$149,"Fri"),$D219*SUMIFS('Session Tracker'!$J$5:$J$149,'Session Tracker'!$D$5:$D$149,$A219,'Session Tracker'!$F$5:$F$149,"Next week",'Session Tracker'!$G$5:$G$149,"Fri"))</f>
        <v>0</v>
      </c>
      <c r="M219" s="52" t="n">
        <f aca="false">IF($E219="Per class",$D219*COUNTIFS('Session Tracker'!$D$5:$D$149,$A219,'Session Tracker'!$F$5:$F$149,"Next week",'Session Tracker'!$G$5:$G$149,""),$D219*SUMIFS('Session Tracker'!$J$5:$J$149,'Session Tracker'!$D$5:$D$149,$A219,'Session Tracker'!$F$5:$F$149,"Next week",'Session Tracker'!$G$5:$G$149,""))</f>
        <v>0</v>
      </c>
    </row>
    <row r="220" customFormat="false" ht="15" hidden="false" customHeight="false" outlineLevel="0" collapsed="false">
      <c r="A220" s="61" t="s">
        <v>176</v>
      </c>
      <c r="B220" s="34" t="s">
        <v>371</v>
      </c>
      <c r="C220" s="34" t="s">
        <v>372</v>
      </c>
      <c r="D220" s="32" t="n">
        <v>1</v>
      </c>
      <c r="E220" s="32" t="s">
        <v>14</v>
      </c>
      <c r="F220" s="32" t="s">
        <v>373</v>
      </c>
      <c r="G220" s="34" t="s">
        <v>389</v>
      </c>
      <c r="H220" s="52" t="n">
        <f aca="false">IF($E220="Per class",$D220*COUNTIFS('Session Tracker'!$D$5:$D$149,$A220,'Session Tracker'!$F$5:$F$149,"Next week",'Session Tracker'!$G$5:$G$149,"Mon"),$D220*SUMIFS('Session Tracker'!$J$5:$J$149,'Session Tracker'!$D$5:$D$149,$A220,'Session Tracker'!$F$5:$F$149,"Next week",'Session Tracker'!$G$5:$G$149,"Mon"))</f>
        <v>0</v>
      </c>
      <c r="I220" s="52" t="n">
        <f aca="false">IF($E220="Per class",$D220*COUNTIFS('Session Tracker'!$D$5:$D$149,$A220,'Session Tracker'!$F$5:$F$149,"Next week",'Session Tracker'!$G$5:$G$149,"Tue"),$D220*SUMIFS('Session Tracker'!$J$5:$J$149,'Session Tracker'!$D$5:$D$149,$A220,'Session Tracker'!$F$5:$F$149,"Next week",'Session Tracker'!$G$5:$G$149,"Tue"))</f>
        <v>0</v>
      </c>
      <c r="J220" s="52" t="n">
        <f aca="false">IF($E220="Per class",$D220*COUNTIFS('Session Tracker'!$D$5:$D$149,$A220,'Session Tracker'!$F$5:$F$149,"Next week",'Session Tracker'!$G$5:$G$149,"Wed"),$D220*SUMIFS('Session Tracker'!$J$5:$J$149,'Session Tracker'!$D$5:$D$149,$A220,'Session Tracker'!$F$5:$F$149,"Next week",'Session Tracker'!$G$5:$G$149,"Wed"))</f>
        <v>0</v>
      </c>
      <c r="K220" s="52" t="n">
        <f aca="false">IF($E220="Per class",$D220*COUNTIFS('Session Tracker'!$D$5:$D$149,$A220,'Session Tracker'!$F$5:$F$149,"Next week",'Session Tracker'!$G$5:$G$149,"Thu"),$D220*SUMIFS('Session Tracker'!$J$5:$J$149,'Session Tracker'!$D$5:$D$149,$A220,'Session Tracker'!$F$5:$F$149,"Next week",'Session Tracker'!$G$5:$G$149,"Thu"))</f>
        <v>0</v>
      </c>
      <c r="L220" s="52" t="n">
        <f aca="false">IF($E220="Per class",$D220*COUNTIFS('Session Tracker'!$D$5:$D$149,$A220,'Session Tracker'!$F$5:$F$149,"Next week",'Session Tracker'!$G$5:$G$149,"Fri"),$D220*SUMIFS('Session Tracker'!$J$5:$J$149,'Session Tracker'!$D$5:$D$149,$A220,'Session Tracker'!$F$5:$F$149,"Next week",'Session Tracker'!$G$5:$G$149,"Fri"))</f>
        <v>0</v>
      </c>
      <c r="M220" s="52" t="n">
        <f aca="false">IF($E220="Per class",$D220*COUNTIFS('Session Tracker'!$D$5:$D$149,$A220,'Session Tracker'!$F$5:$F$149,"Next week",'Session Tracker'!$G$5:$G$149,""),$D220*SUMIFS('Session Tracker'!$J$5:$J$149,'Session Tracker'!$D$5:$D$149,$A220,'Session Tracker'!$F$5:$F$149,"Next week",'Session Tracker'!$G$5:$G$149,""))</f>
        <v>0</v>
      </c>
    </row>
    <row r="221" customFormat="false" ht="15" hidden="false" customHeight="false" outlineLevel="0" collapsed="false">
      <c r="A221" s="61" t="s">
        <v>176</v>
      </c>
      <c r="B221" s="34" t="s">
        <v>375</v>
      </c>
      <c r="C221" s="34" t="s">
        <v>376</v>
      </c>
      <c r="D221" s="32" t="n">
        <v>1</v>
      </c>
      <c r="E221" s="32" t="s">
        <v>14</v>
      </c>
      <c r="F221" s="32" t="s">
        <v>373</v>
      </c>
      <c r="G221" s="34" t="s">
        <v>442</v>
      </c>
      <c r="H221" s="52" t="n">
        <f aca="false">IF($E221="Per class",$D221*COUNTIFS('Session Tracker'!$D$5:$D$149,$A221,'Session Tracker'!$F$5:$F$149,"Next week",'Session Tracker'!$G$5:$G$149,"Mon"),$D221*SUMIFS('Session Tracker'!$J$5:$J$149,'Session Tracker'!$D$5:$D$149,$A221,'Session Tracker'!$F$5:$F$149,"Next week",'Session Tracker'!$G$5:$G$149,"Mon"))</f>
        <v>0</v>
      </c>
      <c r="I221" s="52" t="n">
        <f aca="false">IF($E221="Per class",$D221*COUNTIFS('Session Tracker'!$D$5:$D$149,$A221,'Session Tracker'!$F$5:$F$149,"Next week",'Session Tracker'!$G$5:$G$149,"Tue"),$D221*SUMIFS('Session Tracker'!$J$5:$J$149,'Session Tracker'!$D$5:$D$149,$A221,'Session Tracker'!$F$5:$F$149,"Next week",'Session Tracker'!$G$5:$G$149,"Tue"))</f>
        <v>0</v>
      </c>
      <c r="J221" s="52" t="n">
        <f aca="false">IF($E221="Per class",$D221*COUNTIFS('Session Tracker'!$D$5:$D$149,$A221,'Session Tracker'!$F$5:$F$149,"Next week",'Session Tracker'!$G$5:$G$149,"Wed"),$D221*SUMIFS('Session Tracker'!$J$5:$J$149,'Session Tracker'!$D$5:$D$149,$A221,'Session Tracker'!$F$5:$F$149,"Next week",'Session Tracker'!$G$5:$G$149,"Wed"))</f>
        <v>0</v>
      </c>
      <c r="K221" s="52" t="n">
        <f aca="false">IF($E221="Per class",$D221*COUNTIFS('Session Tracker'!$D$5:$D$149,$A221,'Session Tracker'!$F$5:$F$149,"Next week",'Session Tracker'!$G$5:$G$149,"Thu"),$D221*SUMIFS('Session Tracker'!$J$5:$J$149,'Session Tracker'!$D$5:$D$149,$A221,'Session Tracker'!$F$5:$F$149,"Next week",'Session Tracker'!$G$5:$G$149,"Thu"))</f>
        <v>0</v>
      </c>
      <c r="L221" s="52" t="n">
        <f aca="false">IF($E221="Per class",$D221*COUNTIFS('Session Tracker'!$D$5:$D$149,$A221,'Session Tracker'!$F$5:$F$149,"Next week",'Session Tracker'!$G$5:$G$149,"Fri"),$D221*SUMIFS('Session Tracker'!$J$5:$J$149,'Session Tracker'!$D$5:$D$149,$A221,'Session Tracker'!$F$5:$F$149,"Next week",'Session Tracker'!$G$5:$G$149,"Fri"))</f>
        <v>0</v>
      </c>
      <c r="M221" s="52" t="n">
        <f aca="false">IF($E221="Per class",$D221*COUNTIFS('Session Tracker'!$D$5:$D$149,$A221,'Session Tracker'!$F$5:$F$149,"Next week",'Session Tracker'!$G$5:$G$149,""),$D221*SUMIFS('Session Tracker'!$J$5:$J$149,'Session Tracker'!$D$5:$D$149,$A221,'Session Tracker'!$F$5:$F$149,"Next week",'Session Tracker'!$G$5:$G$149,""))</f>
        <v>0</v>
      </c>
    </row>
    <row r="222" customFormat="false" ht="15" hidden="false" customHeight="false" outlineLevel="0" collapsed="false">
      <c r="A222" s="61" t="s">
        <v>176</v>
      </c>
      <c r="B222" s="34" t="s">
        <v>377</v>
      </c>
      <c r="C222" s="34" t="s">
        <v>378</v>
      </c>
      <c r="D222" s="32" t="n">
        <v>1</v>
      </c>
      <c r="E222" s="32" t="s">
        <v>14</v>
      </c>
      <c r="F222" s="32" t="s">
        <v>368</v>
      </c>
      <c r="G222" s="34" t="s">
        <v>389</v>
      </c>
      <c r="H222" s="52" t="n">
        <f aca="false">IF($E222="Per class",$D222*COUNTIFS('Session Tracker'!$D$5:$D$149,$A222,'Session Tracker'!$F$5:$F$149,"Next week",'Session Tracker'!$G$5:$G$149,"Mon"),$D222*SUMIFS('Session Tracker'!$J$5:$J$149,'Session Tracker'!$D$5:$D$149,$A222,'Session Tracker'!$F$5:$F$149,"Next week",'Session Tracker'!$G$5:$G$149,"Mon"))</f>
        <v>0</v>
      </c>
      <c r="I222" s="52" t="n">
        <f aca="false">IF($E222="Per class",$D222*COUNTIFS('Session Tracker'!$D$5:$D$149,$A222,'Session Tracker'!$F$5:$F$149,"Next week",'Session Tracker'!$G$5:$G$149,"Tue"),$D222*SUMIFS('Session Tracker'!$J$5:$J$149,'Session Tracker'!$D$5:$D$149,$A222,'Session Tracker'!$F$5:$F$149,"Next week",'Session Tracker'!$G$5:$G$149,"Tue"))</f>
        <v>0</v>
      </c>
      <c r="J222" s="52" t="n">
        <f aca="false">IF($E222="Per class",$D222*COUNTIFS('Session Tracker'!$D$5:$D$149,$A222,'Session Tracker'!$F$5:$F$149,"Next week",'Session Tracker'!$G$5:$G$149,"Wed"),$D222*SUMIFS('Session Tracker'!$J$5:$J$149,'Session Tracker'!$D$5:$D$149,$A222,'Session Tracker'!$F$5:$F$149,"Next week",'Session Tracker'!$G$5:$G$149,"Wed"))</f>
        <v>0</v>
      </c>
      <c r="K222" s="52" t="n">
        <f aca="false">IF($E222="Per class",$D222*COUNTIFS('Session Tracker'!$D$5:$D$149,$A222,'Session Tracker'!$F$5:$F$149,"Next week",'Session Tracker'!$G$5:$G$149,"Thu"),$D222*SUMIFS('Session Tracker'!$J$5:$J$149,'Session Tracker'!$D$5:$D$149,$A222,'Session Tracker'!$F$5:$F$149,"Next week",'Session Tracker'!$G$5:$G$149,"Thu"))</f>
        <v>0</v>
      </c>
      <c r="L222" s="52" t="n">
        <f aca="false">IF($E222="Per class",$D222*COUNTIFS('Session Tracker'!$D$5:$D$149,$A222,'Session Tracker'!$F$5:$F$149,"Next week",'Session Tracker'!$G$5:$G$149,"Fri"),$D222*SUMIFS('Session Tracker'!$J$5:$J$149,'Session Tracker'!$D$5:$D$149,$A222,'Session Tracker'!$F$5:$F$149,"Next week",'Session Tracker'!$G$5:$G$149,"Fri"))</f>
        <v>0</v>
      </c>
      <c r="M222" s="52" t="n">
        <f aca="false">IF($E222="Per class",$D222*COUNTIFS('Session Tracker'!$D$5:$D$149,$A222,'Session Tracker'!$F$5:$F$149,"Next week",'Session Tracker'!$G$5:$G$149,""),$D222*SUMIFS('Session Tracker'!$J$5:$J$149,'Session Tracker'!$D$5:$D$149,$A222,'Session Tracker'!$F$5:$F$149,"Next week",'Session Tracker'!$G$5:$G$149,""))</f>
        <v>0</v>
      </c>
    </row>
    <row r="223" customFormat="false" ht="15" hidden="false" customHeight="false" outlineLevel="0" collapsed="false">
      <c r="A223" s="53" t="s">
        <v>176</v>
      </c>
      <c r="B223" s="54"/>
      <c r="C223" s="54"/>
      <c r="D223" s="54"/>
      <c r="E223" s="54"/>
      <c r="F223" s="54"/>
      <c r="G223" s="54"/>
      <c r="H223" s="52" t="n">
        <f aca="false">IF($E223="Per class",$D223*COUNTIFS('Session Tracker'!$D$5:$D$149,$A223,'Session Tracker'!$F$5:$F$149,"Next week",'Session Tracker'!$G$5:$G$149,"Mon"),$D223*SUMIFS('Session Tracker'!$J$5:$J$149,'Session Tracker'!$D$5:$D$149,$A223,'Session Tracker'!$F$5:$F$149,"Next week",'Session Tracker'!$G$5:$G$149,"Mon"))</f>
        <v>0</v>
      </c>
      <c r="I223" s="52" t="n">
        <f aca="false">IF($E223="Per class",$D223*COUNTIFS('Session Tracker'!$D$5:$D$149,$A223,'Session Tracker'!$F$5:$F$149,"Next week",'Session Tracker'!$G$5:$G$149,"Tue"),$D223*SUMIFS('Session Tracker'!$J$5:$J$149,'Session Tracker'!$D$5:$D$149,$A223,'Session Tracker'!$F$5:$F$149,"Next week",'Session Tracker'!$G$5:$G$149,"Tue"))</f>
        <v>0</v>
      </c>
      <c r="J223" s="52" t="n">
        <f aca="false">IF($E223="Per class",$D223*COUNTIFS('Session Tracker'!$D$5:$D$149,$A223,'Session Tracker'!$F$5:$F$149,"Next week",'Session Tracker'!$G$5:$G$149,"Wed"),$D223*SUMIFS('Session Tracker'!$J$5:$J$149,'Session Tracker'!$D$5:$D$149,$A223,'Session Tracker'!$F$5:$F$149,"Next week",'Session Tracker'!$G$5:$G$149,"Wed"))</f>
        <v>0</v>
      </c>
      <c r="K223" s="52" t="n">
        <f aca="false">IF($E223="Per class",$D223*COUNTIFS('Session Tracker'!$D$5:$D$149,$A223,'Session Tracker'!$F$5:$F$149,"Next week",'Session Tracker'!$G$5:$G$149,"Thu"),$D223*SUMIFS('Session Tracker'!$J$5:$J$149,'Session Tracker'!$D$5:$D$149,$A223,'Session Tracker'!$F$5:$F$149,"Next week",'Session Tracker'!$G$5:$G$149,"Thu"))</f>
        <v>0</v>
      </c>
      <c r="L223" s="52" t="n">
        <f aca="false">IF($E223="Per class",$D223*COUNTIFS('Session Tracker'!$D$5:$D$149,$A223,'Session Tracker'!$F$5:$F$149,"Next week",'Session Tracker'!$G$5:$G$149,"Fri"),$D223*SUMIFS('Session Tracker'!$J$5:$J$149,'Session Tracker'!$D$5:$D$149,$A223,'Session Tracker'!$F$5:$F$149,"Next week",'Session Tracker'!$G$5:$G$149,"Fri"))</f>
        <v>0</v>
      </c>
      <c r="M223" s="52" t="n">
        <f aca="false">IF($E223="Per class",$D223*COUNTIFS('Session Tracker'!$D$5:$D$149,$A223,'Session Tracker'!$F$5:$F$149,"Next week",'Session Tracker'!$G$5:$G$149,""),$D223*SUMIFS('Session Tracker'!$J$5:$J$149,'Session Tracker'!$D$5:$D$149,$A223,'Session Tracker'!$F$5:$F$149,"Next week",'Session Tracker'!$G$5:$G$149,""))</f>
        <v>0</v>
      </c>
    </row>
    <row r="224" customFormat="false" ht="15" hidden="false" customHeight="false" outlineLevel="0" collapsed="false">
      <c r="A224" s="53" t="s">
        <v>176</v>
      </c>
      <c r="B224" s="54"/>
      <c r="C224" s="54"/>
      <c r="D224" s="54"/>
      <c r="E224" s="54"/>
      <c r="F224" s="54"/>
      <c r="G224" s="54"/>
      <c r="H224" s="52" t="n">
        <f aca="false">IF($E224="Per class",$D224*COUNTIFS('Session Tracker'!$D$5:$D$149,$A224,'Session Tracker'!$F$5:$F$149,"Next week",'Session Tracker'!$G$5:$G$149,"Mon"),$D224*SUMIFS('Session Tracker'!$J$5:$J$149,'Session Tracker'!$D$5:$D$149,$A224,'Session Tracker'!$F$5:$F$149,"Next week",'Session Tracker'!$G$5:$G$149,"Mon"))</f>
        <v>0</v>
      </c>
      <c r="I224" s="52" t="n">
        <f aca="false">IF($E224="Per class",$D224*COUNTIFS('Session Tracker'!$D$5:$D$149,$A224,'Session Tracker'!$F$5:$F$149,"Next week",'Session Tracker'!$G$5:$G$149,"Tue"),$D224*SUMIFS('Session Tracker'!$J$5:$J$149,'Session Tracker'!$D$5:$D$149,$A224,'Session Tracker'!$F$5:$F$149,"Next week",'Session Tracker'!$G$5:$G$149,"Tue"))</f>
        <v>0</v>
      </c>
      <c r="J224" s="52" t="n">
        <f aca="false">IF($E224="Per class",$D224*COUNTIFS('Session Tracker'!$D$5:$D$149,$A224,'Session Tracker'!$F$5:$F$149,"Next week",'Session Tracker'!$G$5:$G$149,"Wed"),$D224*SUMIFS('Session Tracker'!$J$5:$J$149,'Session Tracker'!$D$5:$D$149,$A224,'Session Tracker'!$F$5:$F$149,"Next week",'Session Tracker'!$G$5:$G$149,"Wed"))</f>
        <v>0</v>
      </c>
      <c r="K224" s="52" t="n">
        <f aca="false">IF($E224="Per class",$D224*COUNTIFS('Session Tracker'!$D$5:$D$149,$A224,'Session Tracker'!$F$5:$F$149,"Next week",'Session Tracker'!$G$5:$G$149,"Thu"),$D224*SUMIFS('Session Tracker'!$J$5:$J$149,'Session Tracker'!$D$5:$D$149,$A224,'Session Tracker'!$F$5:$F$149,"Next week",'Session Tracker'!$G$5:$G$149,"Thu"))</f>
        <v>0</v>
      </c>
      <c r="L224" s="52" t="n">
        <f aca="false">IF($E224="Per class",$D224*COUNTIFS('Session Tracker'!$D$5:$D$149,$A224,'Session Tracker'!$F$5:$F$149,"Next week",'Session Tracker'!$G$5:$G$149,"Fri"),$D224*SUMIFS('Session Tracker'!$J$5:$J$149,'Session Tracker'!$D$5:$D$149,$A224,'Session Tracker'!$F$5:$F$149,"Next week",'Session Tracker'!$G$5:$G$149,"Fri"))</f>
        <v>0</v>
      </c>
      <c r="M224" s="52" t="n">
        <f aca="false">IF($E224="Per class",$D224*COUNTIFS('Session Tracker'!$D$5:$D$149,$A224,'Session Tracker'!$F$5:$F$149,"Next week",'Session Tracker'!$G$5:$G$149,""),$D224*SUMIFS('Session Tracker'!$J$5:$J$149,'Session Tracker'!$D$5:$D$149,$A224,'Session Tracker'!$F$5:$F$149,"Next week",'Session Tracker'!$G$5:$G$149,""))</f>
        <v>0</v>
      </c>
    </row>
    <row r="226" customFormat="false" ht="19.5" hidden="false" customHeight="true" outlineLevel="0" collapsed="false">
      <c r="A226" s="57" t="s">
        <v>178</v>
      </c>
      <c r="B226" s="58" t="s">
        <v>544</v>
      </c>
      <c r="C226" s="58"/>
      <c r="D226" s="58"/>
      <c r="E226" s="58"/>
      <c r="F226" s="59" t="str">
        <f aca="false">"Status: "&amp;'Session Tracker'!F57&amp;IF('Session Tracker'!G57&lt;&gt;""," ("&amp;'Session Tracker'!G57&amp;")","")</f>
        <v>Status: Not started</v>
      </c>
      <c r="G226" s="59"/>
      <c r="H226" s="60"/>
      <c r="I226" s="60"/>
      <c r="J226" s="60"/>
      <c r="K226" s="60"/>
      <c r="L226" s="60"/>
      <c r="M226" s="60"/>
    </row>
    <row r="227" customFormat="false" ht="23.85" hidden="false" customHeight="false" outlineLevel="0" collapsed="false">
      <c r="A227" s="61" t="s">
        <v>178</v>
      </c>
      <c r="B227" s="34" t="s">
        <v>366</v>
      </c>
      <c r="C227" s="34" t="s">
        <v>367</v>
      </c>
      <c r="D227" s="32" t="n">
        <v>1</v>
      </c>
      <c r="E227" s="32" t="s">
        <v>14</v>
      </c>
      <c r="F227" s="32" t="s">
        <v>368</v>
      </c>
      <c r="G227" s="34"/>
      <c r="H227" s="52" t="n">
        <f aca="false">IF($E227="Per class",$D227*COUNTIFS('Session Tracker'!$D$5:$D$149,$A227,'Session Tracker'!$F$5:$F$149,"Next week",'Session Tracker'!$G$5:$G$149,"Mon"),$D227*SUMIFS('Session Tracker'!$J$5:$J$149,'Session Tracker'!$D$5:$D$149,$A227,'Session Tracker'!$F$5:$F$149,"Next week",'Session Tracker'!$G$5:$G$149,"Mon"))</f>
        <v>0</v>
      </c>
      <c r="I227" s="52" t="n">
        <f aca="false">IF($E227="Per class",$D227*COUNTIFS('Session Tracker'!$D$5:$D$149,$A227,'Session Tracker'!$F$5:$F$149,"Next week",'Session Tracker'!$G$5:$G$149,"Tue"),$D227*SUMIFS('Session Tracker'!$J$5:$J$149,'Session Tracker'!$D$5:$D$149,$A227,'Session Tracker'!$F$5:$F$149,"Next week",'Session Tracker'!$G$5:$G$149,"Tue"))</f>
        <v>0</v>
      </c>
      <c r="J227" s="52" t="n">
        <f aca="false">IF($E227="Per class",$D227*COUNTIFS('Session Tracker'!$D$5:$D$149,$A227,'Session Tracker'!$F$5:$F$149,"Next week",'Session Tracker'!$G$5:$G$149,"Wed"),$D227*SUMIFS('Session Tracker'!$J$5:$J$149,'Session Tracker'!$D$5:$D$149,$A227,'Session Tracker'!$F$5:$F$149,"Next week",'Session Tracker'!$G$5:$G$149,"Wed"))</f>
        <v>0</v>
      </c>
      <c r="K227" s="52" t="n">
        <f aca="false">IF($E227="Per class",$D227*COUNTIFS('Session Tracker'!$D$5:$D$149,$A227,'Session Tracker'!$F$5:$F$149,"Next week",'Session Tracker'!$G$5:$G$149,"Thu"),$D227*SUMIFS('Session Tracker'!$J$5:$J$149,'Session Tracker'!$D$5:$D$149,$A227,'Session Tracker'!$F$5:$F$149,"Next week",'Session Tracker'!$G$5:$G$149,"Thu"))</f>
        <v>0</v>
      </c>
      <c r="L227" s="52" t="n">
        <f aca="false">IF($E227="Per class",$D227*COUNTIFS('Session Tracker'!$D$5:$D$149,$A227,'Session Tracker'!$F$5:$F$149,"Next week",'Session Tracker'!$G$5:$G$149,"Fri"),$D227*SUMIFS('Session Tracker'!$J$5:$J$149,'Session Tracker'!$D$5:$D$149,$A227,'Session Tracker'!$F$5:$F$149,"Next week",'Session Tracker'!$G$5:$G$149,"Fri"))</f>
        <v>0</v>
      </c>
      <c r="M227" s="52" t="n">
        <f aca="false">IF($E227="Per class",$D227*COUNTIFS('Session Tracker'!$D$5:$D$149,$A227,'Session Tracker'!$F$5:$F$149,"Next week",'Session Tracker'!$G$5:$G$149,""),$D227*SUMIFS('Session Tracker'!$J$5:$J$149,'Session Tracker'!$D$5:$D$149,$A227,'Session Tracker'!$F$5:$F$149,"Next week",'Session Tracker'!$G$5:$G$149,""))</f>
        <v>0</v>
      </c>
    </row>
    <row r="228" customFormat="false" ht="15" hidden="false" customHeight="false" outlineLevel="0" collapsed="false">
      <c r="A228" s="61" t="s">
        <v>178</v>
      </c>
      <c r="B228" s="34" t="s">
        <v>545</v>
      </c>
      <c r="C228" s="34" t="s">
        <v>546</v>
      </c>
      <c r="D228" s="32" t="n">
        <v>1</v>
      </c>
      <c r="E228" s="32" t="s">
        <v>14</v>
      </c>
      <c r="F228" s="32" t="s">
        <v>368</v>
      </c>
      <c r="G228" s="34"/>
      <c r="H228" s="52" t="n">
        <f aca="false">IF($E228="Per class",$D228*COUNTIFS('Session Tracker'!$D$5:$D$149,$A228,'Session Tracker'!$F$5:$F$149,"Next week",'Session Tracker'!$G$5:$G$149,"Mon"),$D228*SUMIFS('Session Tracker'!$J$5:$J$149,'Session Tracker'!$D$5:$D$149,$A228,'Session Tracker'!$F$5:$F$149,"Next week",'Session Tracker'!$G$5:$G$149,"Mon"))</f>
        <v>0</v>
      </c>
      <c r="I228" s="52" t="n">
        <f aca="false">IF($E228="Per class",$D228*COUNTIFS('Session Tracker'!$D$5:$D$149,$A228,'Session Tracker'!$F$5:$F$149,"Next week",'Session Tracker'!$G$5:$G$149,"Tue"),$D228*SUMIFS('Session Tracker'!$J$5:$J$149,'Session Tracker'!$D$5:$D$149,$A228,'Session Tracker'!$F$5:$F$149,"Next week",'Session Tracker'!$G$5:$G$149,"Tue"))</f>
        <v>0</v>
      </c>
      <c r="J228" s="52" t="n">
        <f aca="false">IF($E228="Per class",$D228*COUNTIFS('Session Tracker'!$D$5:$D$149,$A228,'Session Tracker'!$F$5:$F$149,"Next week",'Session Tracker'!$G$5:$G$149,"Wed"),$D228*SUMIFS('Session Tracker'!$J$5:$J$149,'Session Tracker'!$D$5:$D$149,$A228,'Session Tracker'!$F$5:$F$149,"Next week",'Session Tracker'!$G$5:$G$149,"Wed"))</f>
        <v>0</v>
      </c>
      <c r="K228" s="52" t="n">
        <f aca="false">IF($E228="Per class",$D228*COUNTIFS('Session Tracker'!$D$5:$D$149,$A228,'Session Tracker'!$F$5:$F$149,"Next week",'Session Tracker'!$G$5:$G$149,"Thu"),$D228*SUMIFS('Session Tracker'!$J$5:$J$149,'Session Tracker'!$D$5:$D$149,$A228,'Session Tracker'!$F$5:$F$149,"Next week",'Session Tracker'!$G$5:$G$149,"Thu"))</f>
        <v>0</v>
      </c>
      <c r="L228" s="52" t="n">
        <f aca="false">IF($E228="Per class",$D228*COUNTIFS('Session Tracker'!$D$5:$D$149,$A228,'Session Tracker'!$F$5:$F$149,"Next week",'Session Tracker'!$G$5:$G$149,"Fri"),$D228*SUMIFS('Session Tracker'!$J$5:$J$149,'Session Tracker'!$D$5:$D$149,$A228,'Session Tracker'!$F$5:$F$149,"Next week",'Session Tracker'!$G$5:$G$149,"Fri"))</f>
        <v>0</v>
      </c>
      <c r="M228" s="52" t="n">
        <f aca="false">IF($E228="Per class",$D228*COUNTIFS('Session Tracker'!$D$5:$D$149,$A228,'Session Tracker'!$F$5:$F$149,"Next week",'Session Tracker'!$G$5:$G$149,""),$D228*SUMIFS('Session Tracker'!$J$5:$J$149,'Session Tracker'!$D$5:$D$149,$A228,'Session Tracker'!$F$5:$F$149,"Next week",'Session Tracker'!$G$5:$G$149,""))</f>
        <v>0</v>
      </c>
    </row>
    <row r="229" customFormat="false" ht="15" hidden="false" customHeight="false" outlineLevel="0" collapsed="false">
      <c r="A229" s="61" t="s">
        <v>178</v>
      </c>
      <c r="B229" s="34" t="s">
        <v>371</v>
      </c>
      <c r="C229" s="34" t="s">
        <v>480</v>
      </c>
      <c r="D229" s="32" t="n">
        <v>1</v>
      </c>
      <c r="E229" s="32" t="s">
        <v>14</v>
      </c>
      <c r="F229" s="32" t="s">
        <v>368</v>
      </c>
      <c r="G229" s="34"/>
      <c r="H229" s="52" t="n">
        <f aca="false">IF($E229="Per class",$D229*COUNTIFS('Session Tracker'!$D$5:$D$149,$A229,'Session Tracker'!$F$5:$F$149,"Next week",'Session Tracker'!$G$5:$G$149,"Mon"),$D229*SUMIFS('Session Tracker'!$J$5:$J$149,'Session Tracker'!$D$5:$D$149,$A229,'Session Tracker'!$F$5:$F$149,"Next week",'Session Tracker'!$G$5:$G$149,"Mon"))</f>
        <v>0</v>
      </c>
      <c r="I229" s="52" t="n">
        <f aca="false">IF($E229="Per class",$D229*COUNTIFS('Session Tracker'!$D$5:$D$149,$A229,'Session Tracker'!$F$5:$F$149,"Next week",'Session Tracker'!$G$5:$G$149,"Tue"),$D229*SUMIFS('Session Tracker'!$J$5:$J$149,'Session Tracker'!$D$5:$D$149,$A229,'Session Tracker'!$F$5:$F$149,"Next week",'Session Tracker'!$G$5:$G$149,"Tue"))</f>
        <v>0</v>
      </c>
      <c r="J229" s="52" t="n">
        <f aca="false">IF($E229="Per class",$D229*COUNTIFS('Session Tracker'!$D$5:$D$149,$A229,'Session Tracker'!$F$5:$F$149,"Next week",'Session Tracker'!$G$5:$G$149,"Wed"),$D229*SUMIFS('Session Tracker'!$J$5:$J$149,'Session Tracker'!$D$5:$D$149,$A229,'Session Tracker'!$F$5:$F$149,"Next week",'Session Tracker'!$G$5:$G$149,"Wed"))</f>
        <v>0</v>
      </c>
      <c r="K229" s="52" t="n">
        <f aca="false">IF($E229="Per class",$D229*COUNTIFS('Session Tracker'!$D$5:$D$149,$A229,'Session Tracker'!$F$5:$F$149,"Next week",'Session Tracker'!$G$5:$G$149,"Thu"),$D229*SUMIFS('Session Tracker'!$J$5:$J$149,'Session Tracker'!$D$5:$D$149,$A229,'Session Tracker'!$F$5:$F$149,"Next week",'Session Tracker'!$G$5:$G$149,"Thu"))</f>
        <v>0</v>
      </c>
      <c r="L229" s="52" t="n">
        <f aca="false">IF($E229="Per class",$D229*COUNTIFS('Session Tracker'!$D$5:$D$149,$A229,'Session Tracker'!$F$5:$F$149,"Next week",'Session Tracker'!$G$5:$G$149,"Fri"),$D229*SUMIFS('Session Tracker'!$J$5:$J$149,'Session Tracker'!$D$5:$D$149,$A229,'Session Tracker'!$F$5:$F$149,"Next week",'Session Tracker'!$G$5:$G$149,"Fri"))</f>
        <v>0</v>
      </c>
      <c r="M229" s="52" t="n">
        <f aca="false">IF($E229="Per class",$D229*COUNTIFS('Session Tracker'!$D$5:$D$149,$A229,'Session Tracker'!$F$5:$F$149,"Next week",'Session Tracker'!$G$5:$G$149,""),$D229*SUMIFS('Session Tracker'!$J$5:$J$149,'Session Tracker'!$D$5:$D$149,$A229,'Session Tracker'!$F$5:$F$149,"Next week",'Session Tracker'!$G$5:$G$149,""))</f>
        <v>0</v>
      </c>
    </row>
    <row r="230" customFormat="false" ht="15" hidden="false" customHeight="false" outlineLevel="0" collapsed="false">
      <c r="A230" s="61" t="s">
        <v>178</v>
      </c>
      <c r="B230" s="34" t="s">
        <v>375</v>
      </c>
      <c r="C230" s="34" t="s">
        <v>376</v>
      </c>
      <c r="D230" s="32" t="n">
        <v>3</v>
      </c>
      <c r="E230" s="32" t="s">
        <v>14</v>
      </c>
      <c r="F230" s="32" t="s">
        <v>373</v>
      </c>
      <c r="G230" s="34"/>
      <c r="H230" s="52" t="n">
        <f aca="false">IF($E230="Per class",$D230*COUNTIFS('Session Tracker'!$D$5:$D$149,$A230,'Session Tracker'!$F$5:$F$149,"Next week",'Session Tracker'!$G$5:$G$149,"Mon"),$D230*SUMIFS('Session Tracker'!$J$5:$J$149,'Session Tracker'!$D$5:$D$149,$A230,'Session Tracker'!$F$5:$F$149,"Next week",'Session Tracker'!$G$5:$G$149,"Mon"))</f>
        <v>0</v>
      </c>
      <c r="I230" s="52" t="n">
        <f aca="false">IF($E230="Per class",$D230*COUNTIFS('Session Tracker'!$D$5:$D$149,$A230,'Session Tracker'!$F$5:$F$149,"Next week",'Session Tracker'!$G$5:$G$149,"Tue"),$D230*SUMIFS('Session Tracker'!$J$5:$J$149,'Session Tracker'!$D$5:$D$149,$A230,'Session Tracker'!$F$5:$F$149,"Next week",'Session Tracker'!$G$5:$G$149,"Tue"))</f>
        <v>0</v>
      </c>
      <c r="J230" s="52" t="n">
        <f aca="false">IF($E230="Per class",$D230*COUNTIFS('Session Tracker'!$D$5:$D$149,$A230,'Session Tracker'!$F$5:$F$149,"Next week",'Session Tracker'!$G$5:$G$149,"Wed"),$D230*SUMIFS('Session Tracker'!$J$5:$J$149,'Session Tracker'!$D$5:$D$149,$A230,'Session Tracker'!$F$5:$F$149,"Next week",'Session Tracker'!$G$5:$G$149,"Wed"))</f>
        <v>0</v>
      </c>
      <c r="K230" s="52" t="n">
        <f aca="false">IF($E230="Per class",$D230*COUNTIFS('Session Tracker'!$D$5:$D$149,$A230,'Session Tracker'!$F$5:$F$149,"Next week",'Session Tracker'!$G$5:$G$149,"Thu"),$D230*SUMIFS('Session Tracker'!$J$5:$J$149,'Session Tracker'!$D$5:$D$149,$A230,'Session Tracker'!$F$5:$F$149,"Next week",'Session Tracker'!$G$5:$G$149,"Thu"))</f>
        <v>0</v>
      </c>
      <c r="L230" s="52" t="n">
        <f aca="false">IF($E230="Per class",$D230*COUNTIFS('Session Tracker'!$D$5:$D$149,$A230,'Session Tracker'!$F$5:$F$149,"Next week",'Session Tracker'!$G$5:$G$149,"Fri"),$D230*SUMIFS('Session Tracker'!$J$5:$J$149,'Session Tracker'!$D$5:$D$149,$A230,'Session Tracker'!$F$5:$F$149,"Next week",'Session Tracker'!$G$5:$G$149,"Fri"))</f>
        <v>0</v>
      </c>
      <c r="M230" s="52" t="n">
        <f aca="false">IF($E230="Per class",$D230*COUNTIFS('Session Tracker'!$D$5:$D$149,$A230,'Session Tracker'!$F$5:$F$149,"Next week",'Session Tracker'!$G$5:$G$149,""),$D230*SUMIFS('Session Tracker'!$J$5:$J$149,'Session Tracker'!$D$5:$D$149,$A230,'Session Tracker'!$F$5:$F$149,"Next week",'Session Tracker'!$G$5:$G$149,""))</f>
        <v>0</v>
      </c>
    </row>
    <row r="231" customFormat="false" ht="15" hidden="false" customHeight="false" outlineLevel="0" collapsed="false">
      <c r="A231" s="61" t="s">
        <v>178</v>
      </c>
      <c r="B231" s="34" t="s">
        <v>375</v>
      </c>
      <c r="C231" s="34" t="s">
        <v>547</v>
      </c>
      <c r="D231" s="32" t="n">
        <v>1</v>
      </c>
      <c r="E231" s="32" t="s">
        <v>14</v>
      </c>
      <c r="F231" s="32" t="s">
        <v>373</v>
      </c>
      <c r="G231" s="34" t="s">
        <v>548</v>
      </c>
      <c r="H231" s="52" t="n">
        <f aca="false">IF($E231="Per class",$D231*COUNTIFS('Session Tracker'!$D$5:$D$149,$A231,'Session Tracker'!$F$5:$F$149,"Next week",'Session Tracker'!$G$5:$G$149,"Mon"),$D231*SUMIFS('Session Tracker'!$J$5:$J$149,'Session Tracker'!$D$5:$D$149,$A231,'Session Tracker'!$F$5:$F$149,"Next week",'Session Tracker'!$G$5:$G$149,"Mon"))</f>
        <v>0</v>
      </c>
      <c r="I231" s="52" t="n">
        <f aca="false">IF($E231="Per class",$D231*COUNTIFS('Session Tracker'!$D$5:$D$149,$A231,'Session Tracker'!$F$5:$F$149,"Next week",'Session Tracker'!$G$5:$G$149,"Tue"),$D231*SUMIFS('Session Tracker'!$J$5:$J$149,'Session Tracker'!$D$5:$D$149,$A231,'Session Tracker'!$F$5:$F$149,"Next week",'Session Tracker'!$G$5:$G$149,"Tue"))</f>
        <v>0</v>
      </c>
      <c r="J231" s="52" t="n">
        <f aca="false">IF($E231="Per class",$D231*COUNTIFS('Session Tracker'!$D$5:$D$149,$A231,'Session Tracker'!$F$5:$F$149,"Next week",'Session Tracker'!$G$5:$G$149,"Wed"),$D231*SUMIFS('Session Tracker'!$J$5:$J$149,'Session Tracker'!$D$5:$D$149,$A231,'Session Tracker'!$F$5:$F$149,"Next week",'Session Tracker'!$G$5:$G$149,"Wed"))</f>
        <v>0</v>
      </c>
      <c r="K231" s="52" t="n">
        <f aca="false">IF($E231="Per class",$D231*COUNTIFS('Session Tracker'!$D$5:$D$149,$A231,'Session Tracker'!$F$5:$F$149,"Next week",'Session Tracker'!$G$5:$G$149,"Thu"),$D231*SUMIFS('Session Tracker'!$J$5:$J$149,'Session Tracker'!$D$5:$D$149,$A231,'Session Tracker'!$F$5:$F$149,"Next week",'Session Tracker'!$G$5:$G$149,"Thu"))</f>
        <v>0</v>
      </c>
      <c r="L231" s="52" t="n">
        <f aca="false">IF($E231="Per class",$D231*COUNTIFS('Session Tracker'!$D$5:$D$149,$A231,'Session Tracker'!$F$5:$F$149,"Next week",'Session Tracker'!$G$5:$G$149,"Fri"),$D231*SUMIFS('Session Tracker'!$J$5:$J$149,'Session Tracker'!$D$5:$D$149,$A231,'Session Tracker'!$F$5:$F$149,"Next week",'Session Tracker'!$G$5:$G$149,"Fri"))</f>
        <v>0</v>
      </c>
      <c r="M231" s="52" t="n">
        <f aca="false">IF($E231="Per class",$D231*COUNTIFS('Session Tracker'!$D$5:$D$149,$A231,'Session Tracker'!$F$5:$F$149,"Next week",'Session Tracker'!$G$5:$G$149,""),$D231*SUMIFS('Session Tracker'!$J$5:$J$149,'Session Tracker'!$D$5:$D$149,$A231,'Session Tracker'!$F$5:$F$149,"Next week",'Session Tracker'!$G$5:$G$149,""))</f>
        <v>0</v>
      </c>
    </row>
    <row r="232" customFormat="false" ht="15" hidden="false" customHeight="false" outlineLevel="0" collapsed="false">
      <c r="A232" s="61" t="s">
        <v>178</v>
      </c>
      <c r="B232" s="34" t="s">
        <v>375</v>
      </c>
      <c r="C232" s="34" t="s">
        <v>417</v>
      </c>
      <c r="D232" s="32" t="n">
        <v>1</v>
      </c>
      <c r="E232" s="32" t="s">
        <v>14</v>
      </c>
      <c r="F232" s="32" t="s">
        <v>373</v>
      </c>
      <c r="G232" s="34" t="s">
        <v>548</v>
      </c>
      <c r="H232" s="52" t="n">
        <f aca="false">IF($E232="Per class",$D232*COUNTIFS('Session Tracker'!$D$5:$D$149,$A232,'Session Tracker'!$F$5:$F$149,"Next week",'Session Tracker'!$G$5:$G$149,"Mon"),$D232*SUMIFS('Session Tracker'!$J$5:$J$149,'Session Tracker'!$D$5:$D$149,$A232,'Session Tracker'!$F$5:$F$149,"Next week",'Session Tracker'!$G$5:$G$149,"Mon"))</f>
        <v>0</v>
      </c>
      <c r="I232" s="52" t="n">
        <f aca="false">IF($E232="Per class",$D232*COUNTIFS('Session Tracker'!$D$5:$D$149,$A232,'Session Tracker'!$F$5:$F$149,"Next week",'Session Tracker'!$G$5:$G$149,"Tue"),$D232*SUMIFS('Session Tracker'!$J$5:$J$149,'Session Tracker'!$D$5:$D$149,$A232,'Session Tracker'!$F$5:$F$149,"Next week",'Session Tracker'!$G$5:$G$149,"Tue"))</f>
        <v>0</v>
      </c>
      <c r="J232" s="52" t="n">
        <f aca="false">IF($E232="Per class",$D232*COUNTIFS('Session Tracker'!$D$5:$D$149,$A232,'Session Tracker'!$F$5:$F$149,"Next week",'Session Tracker'!$G$5:$G$149,"Wed"),$D232*SUMIFS('Session Tracker'!$J$5:$J$149,'Session Tracker'!$D$5:$D$149,$A232,'Session Tracker'!$F$5:$F$149,"Next week",'Session Tracker'!$G$5:$G$149,"Wed"))</f>
        <v>0</v>
      </c>
      <c r="K232" s="52" t="n">
        <f aca="false">IF($E232="Per class",$D232*COUNTIFS('Session Tracker'!$D$5:$D$149,$A232,'Session Tracker'!$F$5:$F$149,"Next week",'Session Tracker'!$G$5:$G$149,"Thu"),$D232*SUMIFS('Session Tracker'!$J$5:$J$149,'Session Tracker'!$D$5:$D$149,$A232,'Session Tracker'!$F$5:$F$149,"Next week",'Session Tracker'!$G$5:$G$149,"Thu"))</f>
        <v>0</v>
      </c>
      <c r="L232" s="52" t="n">
        <f aca="false">IF($E232="Per class",$D232*COUNTIFS('Session Tracker'!$D$5:$D$149,$A232,'Session Tracker'!$F$5:$F$149,"Next week",'Session Tracker'!$G$5:$G$149,"Fri"),$D232*SUMIFS('Session Tracker'!$J$5:$J$149,'Session Tracker'!$D$5:$D$149,$A232,'Session Tracker'!$F$5:$F$149,"Next week",'Session Tracker'!$G$5:$G$149,"Fri"))</f>
        <v>0</v>
      </c>
      <c r="M232" s="52" t="n">
        <f aca="false">IF($E232="Per class",$D232*COUNTIFS('Session Tracker'!$D$5:$D$149,$A232,'Session Tracker'!$F$5:$F$149,"Next week",'Session Tracker'!$G$5:$G$149,""),$D232*SUMIFS('Session Tracker'!$J$5:$J$149,'Session Tracker'!$D$5:$D$149,$A232,'Session Tracker'!$F$5:$F$149,"Next week",'Session Tracker'!$G$5:$G$149,""))</f>
        <v>0</v>
      </c>
    </row>
    <row r="233" customFormat="false" ht="15" hidden="false" customHeight="false" outlineLevel="0" collapsed="false">
      <c r="A233" s="61" t="s">
        <v>178</v>
      </c>
      <c r="B233" s="34" t="s">
        <v>377</v>
      </c>
      <c r="C233" s="34" t="s">
        <v>378</v>
      </c>
      <c r="D233" s="32" t="n">
        <v>1</v>
      </c>
      <c r="E233" s="32" t="s">
        <v>14</v>
      </c>
      <c r="F233" s="32" t="s">
        <v>368</v>
      </c>
      <c r="G233" s="34"/>
      <c r="H233" s="52" t="n">
        <f aca="false">IF($E233="Per class",$D233*COUNTIFS('Session Tracker'!$D$5:$D$149,$A233,'Session Tracker'!$F$5:$F$149,"Next week",'Session Tracker'!$G$5:$G$149,"Mon"),$D233*SUMIFS('Session Tracker'!$J$5:$J$149,'Session Tracker'!$D$5:$D$149,$A233,'Session Tracker'!$F$5:$F$149,"Next week",'Session Tracker'!$G$5:$G$149,"Mon"))</f>
        <v>0</v>
      </c>
      <c r="I233" s="52" t="n">
        <f aca="false">IF($E233="Per class",$D233*COUNTIFS('Session Tracker'!$D$5:$D$149,$A233,'Session Tracker'!$F$5:$F$149,"Next week",'Session Tracker'!$G$5:$G$149,"Tue"),$D233*SUMIFS('Session Tracker'!$J$5:$J$149,'Session Tracker'!$D$5:$D$149,$A233,'Session Tracker'!$F$5:$F$149,"Next week",'Session Tracker'!$G$5:$G$149,"Tue"))</f>
        <v>0</v>
      </c>
      <c r="J233" s="52" t="n">
        <f aca="false">IF($E233="Per class",$D233*COUNTIFS('Session Tracker'!$D$5:$D$149,$A233,'Session Tracker'!$F$5:$F$149,"Next week",'Session Tracker'!$G$5:$G$149,"Wed"),$D233*SUMIFS('Session Tracker'!$J$5:$J$149,'Session Tracker'!$D$5:$D$149,$A233,'Session Tracker'!$F$5:$F$149,"Next week",'Session Tracker'!$G$5:$G$149,"Wed"))</f>
        <v>0</v>
      </c>
      <c r="K233" s="52" t="n">
        <f aca="false">IF($E233="Per class",$D233*COUNTIFS('Session Tracker'!$D$5:$D$149,$A233,'Session Tracker'!$F$5:$F$149,"Next week",'Session Tracker'!$G$5:$G$149,"Thu"),$D233*SUMIFS('Session Tracker'!$J$5:$J$149,'Session Tracker'!$D$5:$D$149,$A233,'Session Tracker'!$F$5:$F$149,"Next week",'Session Tracker'!$G$5:$G$149,"Thu"))</f>
        <v>0</v>
      </c>
      <c r="L233" s="52" t="n">
        <f aca="false">IF($E233="Per class",$D233*COUNTIFS('Session Tracker'!$D$5:$D$149,$A233,'Session Tracker'!$F$5:$F$149,"Next week",'Session Tracker'!$G$5:$G$149,"Fri"),$D233*SUMIFS('Session Tracker'!$J$5:$J$149,'Session Tracker'!$D$5:$D$149,$A233,'Session Tracker'!$F$5:$F$149,"Next week",'Session Tracker'!$G$5:$G$149,"Fri"))</f>
        <v>0</v>
      </c>
      <c r="M233" s="52" t="n">
        <f aca="false">IF($E233="Per class",$D233*COUNTIFS('Session Tracker'!$D$5:$D$149,$A233,'Session Tracker'!$F$5:$F$149,"Next week",'Session Tracker'!$G$5:$G$149,""),$D233*SUMIFS('Session Tracker'!$J$5:$J$149,'Session Tracker'!$D$5:$D$149,$A233,'Session Tracker'!$F$5:$F$149,"Next week",'Session Tracker'!$G$5:$G$149,""))</f>
        <v>0</v>
      </c>
    </row>
    <row r="234" customFormat="false" ht="15" hidden="false" customHeight="false" outlineLevel="0" collapsed="false">
      <c r="A234" s="61" t="s">
        <v>178</v>
      </c>
      <c r="B234" s="34" t="s">
        <v>382</v>
      </c>
      <c r="C234" s="34" t="s">
        <v>397</v>
      </c>
      <c r="D234" s="32" t="n">
        <v>1</v>
      </c>
      <c r="E234" s="32" t="s">
        <v>14</v>
      </c>
      <c r="F234" s="32" t="s">
        <v>368</v>
      </c>
      <c r="G234" s="34"/>
      <c r="H234" s="52" t="n">
        <f aca="false">IF($E234="Per class",$D234*COUNTIFS('Session Tracker'!$D$5:$D$149,$A234,'Session Tracker'!$F$5:$F$149,"Next week",'Session Tracker'!$G$5:$G$149,"Mon"),$D234*SUMIFS('Session Tracker'!$J$5:$J$149,'Session Tracker'!$D$5:$D$149,$A234,'Session Tracker'!$F$5:$F$149,"Next week",'Session Tracker'!$G$5:$G$149,"Mon"))</f>
        <v>0</v>
      </c>
      <c r="I234" s="52" t="n">
        <f aca="false">IF($E234="Per class",$D234*COUNTIFS('Session Tracker'!$D$5:$D$149,$A234,'Session Tracker'!$F$5:$F$149,"Next week",'Session Tracker'!$G$5:$G$149,"Tue"),$D234*SUMIFS('Session Tracker'!$J$5:$J$149,'Session Tracker'!$D$5:$D$149,$A234,'Session Tracker'!$F$5:$F$149,"Next week",'Session Tracker'!$G$5:$G$149,"Tue"))</f>
        <v>0</v>
      </c>
      <c r="J234" s="52" t="n">
        <f aca="false">IF($E234="Per class",$D234*COUNTIFS('Session Tracker'!$D$5:$D$149,$A234,'Session Tracker'!$F$5:$F$149,"Next week",'Session Tracker'!$G$5:$G$149,"Wed"),$D234*SUMIFS('Session Tracker'!$J$5:$J$149,'Session Tracker'!$D$5:$D$149,$A234,'Session Tracker'!$F$5:$F$149,"Next week",'Session Tracker'!$G$5:$G$149,"Wed"))</f>
        <v>0</v>
      </c>
      <c r="K234" s="52" t="n">
        <f aca="false">IF($E234="Per class",$D234*COUNTIFS('Session Tracker'!$D$5:$D$149,$A234,'Session Tracker'!$F$5:$F$149,"Next week",'Session Tracker'!$G$5:$G$149,"Thu"),$D234*SUMIFS('Session Tracker'!$J$5:$J$149,'Session Tracker'!$D$5:$D$149,$A234,'Session Tracker'!$F$5:$F$149,"Next week",'Session Tracker'!$G$5:$G$149,"Thu"))</f>
        <v>0</v>
      </c>
      <c r="L234" s="52" t="n">
        <f aca="false">IF($E234="Per class",$D234*COUNTIFS('Session Tracker'!$D$5:$D$149,$A234,'Session Tracker'!$F$5:$F$149,"Next week",'Session Tracker'!$G$5:$G$149,"Fri"),$D234*SUMIFS('Session Tracker'!$J$5:$J$149,'Session Tracker'!$D$5:$D$149,$A234,'Session Tracker'!$F$5:$F$149,"Next week",'Session Tracker'!$G$5:$G$149,"Fri"))</f>
        <v>0</v>
      </c>
      <c r="M234" s="52" t="n">
        <f aca="false">IF($E234="Per class",$D234*COUNTIFS('Session Tracker'!$D$5:$D$149,$A234,'Session Tracker'!$F$5:$F$149,"Next week",'Session Tracker'!$G$5:$G$149,""),$D234*SUMIFS('Session Tracker'!$J$5:$J$149,'Session Tracker'!$D$5:$D$149,$A234,'Session Tracker'!$F$5:$F$149,"Next week",'Session Tracker'!$G$5:$G$149,""))</f>
        <v>0</v>
      </c>
    </row>
    <row r="235" customFormat="false" ht="15" hidden="false" customHeight="false" outlineLevel="0" collapsed="false">
      <c r="A235" s="61" t="s">
        <v>178</v>
      </c>
      <c r="B235" s="34" t="s">
        <v>379</v>
      </c>
      <c r="C235" s="34" t="s">
        <v>380</v>
      </c>
      <c r="D235" s="32" t="n">
        <v>1</v>
      </c>
      <c r="E235" s="32" t="s">
        <v>14</v>
      </c>
      <c r="F235" s="32" t="s">
        <v>368</v>
      </c>
      <c r="G235" s="34"/>
      <c r="H235" s="52" t="n">
        <f aca="false">IF($E235="Per class",$D235*COUNTIFS('Session Tracker'!$D$5:$D$149,$A235,'Session Tracker'!$F$5:$F$149,"Next week",'Session Tracker'!$G$5:$G$149,"Mon"),$D235*SUMIFS('Session Tracker'!$J$5:$J$149,'Session Tracker'!$D$5:$D$149,$A235,'Session Tracker'!$F$5:$F$149,"Next week",'Session Tracker'!$G$5:$G$149,"Mon"))</f>
        <v>0</v>
      </c>
      <c r="I235" s="52" t="n">
        <f aca="false">IF($E235="Per class",$D235*COUNTIFS('Session Tracker'!$D$5:$D$149,$A235,'Session Tracker'!$F$5:$F$149,"Next week",'Session Tracker'!$G$5:$G$149,"Tue"),$D235*SUMIFS('Session Tracker'!$J$5:$J$149,'Session Tracker'!$D$5:$D$149,$A235,'Session Tracker'!$F$5:$F$149,"Next week",'Session Tracker'!$G$5:$G$149,"Tue"))</f>
        <v>0</v>
      </c>
      <c r="J235" s="52" t="n">
        <f aca="false">IF($E235="Per class",$D235*COUNTIFS('Session Tracker'!$D$5:$D$149,$A235,'Session Tracker'!$F$5:$F$149,"Next week",'Session Tracker'!$G$5:$G$149,"Wed"),$D235*SUMIFS('Session Tracker'!$J$5:$J$149,'Session Tracker'!$D$5:$D$149,$A235,'Session Tracker'!$F$5:$F$149,"Next week",'Session Tracker'!$G$5:$G$149,"Wed"))</f>
        <v>0</v>
      </c>
      <c r="K235" s="52" t="n">
        <f aca="false">IF($E235="Per class",$D235*COUNTIFS('Session Tracker'!$D$5:$D$149,$A235,'Session Tracker'!$F$5:$F$149,"Next week",'Session Tracker'!$G$5:$G$149,"Thu"),$D235*SUMIFS('Session Tracker'!$J$5:$J$149,'Session Tracker'!$D$5:$D$149,$A235,'Session Tracker'!$F$5:$F$149,"Next week",'Session Tracker'!$G$5:$G$149,"Thu"))</f>
        <v>0</v>
      </c>
      <c r="L235" s="52" t="n">
        <f aca="false">IF($E235="Per class",$D235*COUNTIFS('Session Tracker'!$D$5:$D$149,$A235,'Session Tracker'!$F$5:$F$149,"Next week",'Session Tracker'!$G$5:$G$149,"Fri"),$D235*SUMIFS('Session Tracker'!$J$5:$J$149,'Session Tracker'!$D$5:$D$149,$A235,'Session Tracker'!$F$5:$F$149,"Next week",'Session Tracker'!$G$5:$G$149,"Fri"))</f>
        <v>0</v>
      </c>
      <c r="M235" s="52" t="n">
        <f aca="false">IF($E235="Per class",$D235*COUNTIFS('Session Tracker'!$D$5:$D$149,$A235,'Session Tracker'!$F$5:$F$149,"Next week",'Session Tracker'!$G$5:$G$149,""),$D235*SUMIFS('Session Tracker'!$J$5:$J$149,'Session Tracker'!$D$5:$D$149,$A235,'Session Tracker'!$F$5:$F$149,"Next week",'Session Tracker'!$G$5:$G$149,""))</f>
        <v>0</v>
      </c>
    </row>
    <row r="236" customFormat="false" ht="15" hidden="false" customHeight="false" outlineLevel="0" collapsed="false">
      <c r="A236" s="61" t="s">
        <v>178</v>
      </c>
      <c r="B236" s="34" t="s">
        <v>379</v>
      </c>
      <c r="C236" s="34" t="s">
        <v>381</v>
      </c>
      <c r="D236" s="32" t="n">
        <v>10</v>
      </c>
      <c r="E236" s="32" t="s">
        <v>14</v>
      </c>
      <c r="F236" s="32" t="s">
        <v>368</v>
      </c>
      <c r="G236" s="34"/>
      <c r="H236" s="52" t="n">
        <f aca="false">IF($E236="Per class",$D236*COUNTIFS('Session Tracker'!$D$5:$D$149,$A236,'Session Tracker'!$F$5:$F$149,"Next week",'Session Tracker'!$G$5:$G$149,"Mon"),$D236*SUMIFS('Session Tracker'!$J$5:$J$149,'Session Tracker'!$D$5:$D$149,$A236,'Session Tracker'!$F$5:$F$149,"Next week",'Session Tracker'!$G$5:$G$149,"Mon"))</f>
        <v>0</v>
      </c>
      <c r="I236" s="52" t="n">
        <f aca="false">IF($E236="Per class",$D236*COUNTIFS('Session Tracker'!$D$5:$D$149,$A236,'Session Tracker'!$F$5:$F$149,"Next week",'Session Tracker'!$G$5:$G$149,"Tue"),$D236*SUMIFS('Session Tracker'!$J$5:$J$149,'Session Tracker'!$D$5:$D$149,$A236,'Session Tracker'!$F$5:$F$149,"Next week",'Session Tracker'!$G$5:$G$149,"Tue"))</f>
        <v>0</v>
      </c>
      <c r="J236" s="52" t="n">
        <f aca="false">IF($E236="Per class",$D236*COUNTIFS('Session Tracker'!$D$5:$D$149,$A236,'Session Tracker'!$F$5:$F$149,"Next week",'Session Tracker'!$G$5:$G$149,"Wed"),$D236*SUMIFS('Session Tracker'!$J$5:$J$149,'Session Tracker'!$D$5:$D$149,$A236,'Session Tracker'!$F$5:$F$149,"Next week",'Session Tracker'!$G$5:$G$149,"Wed"))</f>
        <v>0</v>
      </c>
      <c r="K236" s="52" t="n">
        <f aca="false">IF($E236="Per class",$D236*COUNTIFS('Session Tracker'!$D$5:$D$149,$A236,'Session Tracker'!$F$5:$F$149,"Next week",'Session Tracker'!$G$5:$G$149,"Thu"),$D236*SUMIFS('Session Tracker'!$J$5:$J$149,'Session Tracker'!$D$5:$D$149,$A236,'Session Tracker'!$F$5:$F$149,"Next week",'Session Tracker'!$G$5:$G$149,"Thu"))</f>
        <v>0</v>
      </c>
      <c r="L236" s="52" t="n">
        <f aca="false">IF($E236="Per class",$D236*COUNTIFS('Session Tracker'!$D$5:$D$149,$A236,'Session Tracker'!$F$5:$F$149,"Next week",'Session Tracker'!$G$5:$G$149,"Fri"),$D236*SUMIFS('Session Tracker'!$J$5:$J$149,'Session Tracker'!$D$5:$D$149,$A236,'Session Tracker'!$F$5:$F$149,"Next week",'Session Tracker'!$G$5:$G$149,"Fri"))</f>
        <v>0</v>
      </c>
      <c r="M236" s="52" t="n">
        <f aca="false">IF($E236="Per class",$D236*COUNTIFS('Session Tracker'!$D$5:$D$149,$A236,'Session Tracker'!$F$5:$F$149,"Next week",'Session Tracker'!$G$5:$G$149,""),$D236*SUMIFS('Session Tracker'!$J$5:$J$149,'Session Tracker'!$D$5:$D$149,$A236,'Session Tracker'!$F$5:$F$149,"Next week",'Session Tracker'!$G$5:$G$149,""))</f>
        <v>0</v>
      </c>
    </row>
    <row r="237" customFormat="false" ht="15" hidden="false" customHeight="false" outlineLevel="0" collapsed="false">
      <c r="A237" s="61" t="s">
        <v>178</v>
      </c>
      <c r="B237" s="34" t="s">
        <v>379</v>
      </c>
      <c r="C237" s="34" t="s">
        <v>395</v>
      </c>
      <c r="D237" s="32" t="n">
        <v>4</v>
      </c>
      <c r="E237" s="32" t="s">
        <v>14</v>
      </c>
      <c r="F237" s="32" t="s">
        <v>368</v>
      </c>
      <c r="G237" s="34"/>
      <c r="H237" s="52" t="n">
        <f aca="false">IF($E237="Per class",$D237*COUNTIFS('Session Tracker'!$D$5:$D$149,$A237,'Session Tracker'!$F$5:$F$149,"Next week",'Session Tracker'!$G$5:$G$149,"Mon"),$D237*SUMIFS('Session Tracker'!$J$5:$J$149,'Session Tracker'!$D$5:$D$149,$A237,'Session Tracker'!$F$5:$F$149,"Next week",'Session Tracker'!$G$5:$G$149,"Mon"))</f>
        <v>0</v>
      </c>
      <c r="I237" s="52" t="n">
        <f aca="false">IF($E237="Per class",$D237*COUNTIFS('Session Tracker'!$D$5:$D$149,$A237,'Session Tracker'!$F$5:$F$149,"Next week",'Session Tracker'!$G$5:$G$149,"Tue"),$D237*SUMIFS('Session Tracker'!$J$5:$J$149,'Session Tracker'!$D$5:$D$149,$A237,'Session Tracker'!$F$5:$F$149,"Next week",'Session Tracker'!$G$5:$G$149,"Tue"))</f>
        <v>0</v>
      </c>
      <c r="J237" s="52" t="n">
        <f aca="false">IF($E237="Per class",$D237*COUNTIFS('Session Tracker'!$D$5:$D$149,$A237,'Session Tracker'!$F$5:$F$149,"Next week",'Session Tracker'!$G$5:$G$149,"Wed"),$D237*SUMIFS('Session Tracker'!$J$5:$J$149,'Session Tracker'!$D$5:$D$149,$A237,'Session Tracker'!$F$5:$F$149,"Next week",'Session Tracker'!$G$5:$G$149,"Wed"))</f>
        <v>0</v>
      </c>
      <c r="K237" s="52" t="n">
        <f aca="false">IF($E237="Per class",$D237*COUNTIFS('Session Tracker'!$D$5:$D$149,$A237,'Session Tracker'!$F$5:$F$149,"Next week",'Session Tracker'!$G$5:$G$149,"Thu"),$D237*SUMIFS('Session Tracker'!$J$5:$J$149,'Session Tracker'!$D$5:$D$149,$A237,'Session Tracker'!$F$5:$F$149,"Next week",'Session Tracker'!$G$5:$G$149,"Thu"))</f>
        <v>0</v>
      </c>
      <c r="L237" s="52" t="n">
        <f aca="false">IF($E237="Per class",$D237*COUNTIFS('Session Tracker'!$D$5:$D$149,$A237,'Session Tracker'!$F$5:$F$149,"Next week",'Session Tracker'!$G$5:$G$149,"Fri"),$D237*SUMIFS('Session Tracker'!$J$5:$J$149,'Session Tracker'!$D$5:$D$149,$A237,'Session Tracker'!$F$5:$F$149,"Next week",'Session Tracker'!$G$5:$G$149,"Fri"))</f>
        <v>0</v>
      </c>
      <c r="M237" s="52" t="n">
        <f aca="false">IF($E237="Per class",$D237*COUNTIFS('Session Tracker'!$D$5:$D$149,$A237,'Session Tracker'!$F$5:$F$149,"Next week",'Session Tracker'!$G$5:$G$149,""),$D237*SUMIFS('Session Tracker'!$J$5:$J$149,'Session Tracker'!$D$5:$D$149,$A237,'Session Tracker'!$F$5:$F$149,"Next week",'Session Tracker'!$G$5:$G$149,""))</f>
        <v>0</v>
      </c>
    </row>
    <row r="238" customFormat="false" ht="15" hidden="false" customHeight="false" outlineLevel="0" collapsed="false">
      <c r="A238" s="61" t="s">
        <v>178</v>
      </c>
      <c r="B238" s="34" t="s">
        <v>382</v>
      </c>
      <c r="C238" s="34" t="s">
        <v>383</v>
      </c>
      <c r="D238" s="32" t="n">
        <v>1</v>
      </c>
      <c r="E238" s="32" t="s">
        <v>14</v>
      </c>
      <c r="F238" s="32" t="s">
        <v>368</v>
      </c>
      <c r="G238" s="34"/>
      <c r="H238" s="52" t="n">
        <f aca="false">IF($E238="Per class",$D238*COUNTIFS('Session Tracker'!$D$5:$D$149,$A238,'Session Tracker'!$F$5:$F$149,"Next week",'Session Tracker'!$G$5:$G$149,"Mon"),$D238*SUMIFS('Session Tracker'!$J$5:$J$149,'Session Tracker'!$D$5:$D$149,$A238,'Session Tracker'!$F$5:$F$149,"Next week",'Session Tracker'!$G$5:$G$149,"Mon"))</f>
        <v>0</v>
      </c>
      <c r="I238" s="52" t="n">
        <f aca="false">IF($E238="Per class",$D238*COUNTIFS('Session Tracker'!$D$5:$D$149,$A238,'Session Tracker'!$F$5:$F$149,"Next week",'Session Tracker'!$G$5:$G$149,"Tue"),$D238*SUMIFS('Session Tracker'!$J$5:$J$149,'Session Tracker'!$D$5:$D$149,$A238,'Session Tracker'!$F$5:$F$149,"Next week",'Session Tracker'!$G$5:$G$149,"Tue"))</f>
        <v>0</v>
      </c>
      <c r="J238" s="52" t="n">
        <f aca="false">IF($E238="Per class",$D238*COUNTIFS('Session Tracker'!$D$5:$D$149,$A238,'Session Tracker'!$F$5:$F$149,"Next week",'Session Tracker'!$G$5:$G$149,"Wed"),$D238*SUMIFS('Session Tracker'!$J$5:$J$149,'Session Tracker'!$D$5:$D$149,$A238,'Session Tracker'!$F$5:$F$149,"Next week",'Session Tracker'!$G$5:$G$149,"Wed"))</f>
        <v>0</v>
      </c>
      <c r="K238" s="52" t="n">
        <f aca="false">IF($E238="Per class",$D238*COUNTIFS('Session Tracker'!$D$5:$D$149,$A238,'Session Tracker'!$F$5:$F$149,"Next week",'Session Tracker'!$G$5:$G$149,"Thu"),$D238*SUMIFS('Session Tracker'!$J$5:$J$149,'Session Tracker'!$D$5:$D$149,$A238,'Session Tracker'!$F$5:$F$149,"Next week",'Session Tracker'!$G$5:$G$149,"Thu"))</f>
        <v>0</v>
      </c>
      <c r="L238" s="52" t="n">
        <f aca="false">IF($E238="Per class",$D238*COUNTIFS('Session Tracker'!$D$5:$D$149,$A238,'Session Tracker'!$F$5:$F$149,"Next week",'Session Tracker'!$G$5:$G$149,"Fri"),$D238*SUMIFS('Session Tracker'!$J$5:$J$149,'Session Tracker'!$D$5:$D$149,$A238,'Session Tracker'!$F$5:$F$149,"Next week",'Session Tracker'!$G$5:$G$149,"Fri"))</f>
        <v>0</v>
      </c>
      <c r="M238" s="52" t="n">
        <f aca="false">IF($E238="Per class",$D238*COUNTIFS('Session Tracker'!$D$5:$D$149,$A238,'Session Tracker'!$F$5:$F$149,"Next week",'Session Tracker'!$G$5:$G$149,""),$D238*SUMIFS('Session Tracker'!$J$5:$J$149,'Session Tracker'!$D$5:$D$149,$A238,'Session Tracker'!$F$5:$F$149,"Next week",'Session Tracker'!$G$5:$G$149,""))</f>
        <v>0</v>
      </c>
    </row>
    <row r="239" customFormat="false" ht="15" hidden="false" customHeight="false" outlineLevel="0" collapsed="false">
      <c r="A239" s="61" t="s">
        <v>178</v>
      </c>
      <c r="B239" s="34" t="s">
        <v>371</v>
      </c>
      <c r="C239" s="34" t="s">
        <v>372</v>
      </c>
      <c r="D239" s="32" t="n">
        <v>1</v>
      </c>
      <c r="E239" s="32" t="s">
        <v>14</v>
      </c>
      <c r="F239" s="32" t="s">
        <v>373</v>
      </c>
      <c r="G239" s="34" t="s">
        <v>389</v>
      </c>
      <c r="H239" s="52" t="n">
        <f aca="false">IF($E239="Per class",$D239*COUNTIFS('Session Tracker'!$D$5:$D$149,$A239,'Session Tracker'!$F$5:$F$149,"Next week",'Session Tracker'!$G$5:$G$149,"Mon"),$D239*SUMIFS('Session Tracker'!$J$5:$J$149,'Session Tracker'!$D$5:$D$149,$A239,'Session Tracker'!$F$5:$F$149,"Next week",'Session Tracker'!$G$5:$G$149,"Mon"))</f>
        <v>0</v>
      </c>
      <c r="I239" s="52" t="n">
        <f aca="false">IF($E239="Per class",$D239*COUNTIFS('Session Tracker'!$D$5:$D$149,$A239,'Session Tracker'!$F$5:$F$149,"Next week",'Session Tracker'!$G$5:$G$149,"Tue"),$D239*SUMIFS('Session Tracker'!$J$5:$J$149,'Session Tracker'!$D$5:$D$149,$A239,'Session Tracker'!$F$5:$F$149,"Next week",'Session Tracker'!$G$5:$G$149,"Tue"))</f>
        <v>0</v>
      </c>
      <c r="J239" s="52" t="n">
        <f aca="false">IF($E239="Per class",$D239*COUNTIFS('Session Tracker'!$D$5:$D$149,$A239,'Session Tracker'!$F$5:$F$149,"Next week",'Session Tracker'!$G$5:$G$149,"Wed"),$D239*SUMIFS('Session Tracker'!$J$5:$J$149,'Session Tracker'!$D$5:$D$149,$A239,'Session Tracker'!$F$5:$F$149,"Next week",'Session Tracker'!$G$5:$G$149,"Wed"))</f>
        <v>0</v>
      </c>
      <c r="K239" s="52" t="n">
        <f aca="false">IF($E239="Per class",$D239*COUNTIFS('Session Tracker'!$D$5:$D$149,$A239,'Session Tracker'!$F$5:$F$149,"Next week",'Session Tracker'!$G$5:$G$149,"Thu"),$D239*SUMIFS('Session Tracker'!$J$5:$J$149,'Session Tracker'!$D$5:$D$149,$A239,'Session Tracker'!$F$5:$F$149,"Next week",'Session Tracker'!$G$5:$G$149,"Thu"))</f>
        <v>0</v>
      </c>
      <c r="L239" s="52" t="n">
        <f aca="false">IF($E239="Per class",$D239*COUNTIFS('Session Tracker'!$D$5:$D$149,$A239,'Session Tracker'!$F$5:$F$149,"Next week",'Session Tracker'!$G$5:$G$149,"Fri"),$D239*SUMIFS('Session Tracker'!$J$5:$J$149,'Session Tracker'!$D$5:$D$149,$A239,'Session Tracker'!$F$5:$F$149,"Next week",'Session Tracker'!$G$5:$G$149,"Fri"))</f>
        <v>0</v>
      </c>
      <c r="M239" s="52" t="n">
        <f aca="false">IF($E239="Per class",$D239*COUNTIFS('Session Tracker'!$D$5:$D$149,$A239,'Session Tracker'!$F$5:$F$149,"Next week",'Session Tracker'!$G$5:$G$149,""),$D239*SUMIFS('Session Tracker'!$J$5:$J$149,'Session Tracker'!$D$5:$D$149,$A239,'Session Tracker'!$F$5:$F$149,"Next week",'Session Tracker'!$G$5:$G$149,""))</f>
        <v>0</v>
      </c>
    </row>
    <row r="240" customFormat="false" ht="15" hidden="false" customHeight="false" outlineLevel="0" collapsed="false">
      <c r="A240" s="53" t="s">
        <v>178</v>
      </c>
      <c r="B240" s="54"/>
      <c r="C240" s="54"/>
      <c r="D240" s="54"/>
      <c r="E240" s="54"/>
      <c r="F240" s="54"/>
      <c r="G240" s="54"/>
      <c r="H240" s="52" t="n">
        <f aca="false">IF($E240="Per class",$D240*COUNTIFS('Session Tracker'!$D$5:$D$149,$A240,'Session Tracker'!$F$5:$F$149,"Next week",'Session Tracker'!$G$5:$G$149,"Mon"),$D240*SUMIFS('Session Tracker'!$J$5:$J$149,'Session Tracker'!$D$5:$D$149,$A240,'Session Tracker'!$F$5:$F$149,"Next week",'Session Tracker'!$G$5:$G$149,"Mon"))</f>
        <v>0</v>
      </c>
      <c r="I240" s="52" t="n">
        <f aca="false">IF($E240="Per class",$D240*COUNTIFS('Session Tracker'!$D$5:$D$149,$A240,'Session Tracker'!$F$5:$F$149,"Next week",'Session Tracker'!$G$5:$G$149,"Tue"),$D240*SUMIFS('Session Tracker'!$J$5:$J$149,'Session Tracker'!$D$5:$D$149,$A240,'Session Tracker'!$F$5:$F$149,"Next week",'Session Tracker'!$G$5:$G$149,"Tue"))</f>
        <v>0</v>
      </c>
      <c r="J240" s="52" t="n">
        <f aca="false">IF($E240="Per class",$D240*COUNTIFS('Session Tracker'!$D$5:$D$149,$A240,'Session Tracker'!$F$5:$F$149,"Next week",'Session Tracker'!$G$5:$G$149,"Wed"),$D240*SUMIFS('Session Tracker'!$J$5:$J$149,'Session Tracker'!$D$5:$D$149,$A240,'Session Tracker'!$F$5:$F$149,"Next week",'Session Tracker'!$G$5:$G$149,"Wed"))</f>
        <v>0</v>
      </c>
      <c r="K240" s="52" t="n">
        <f aca="false">IF($E240="Per class",$D240*COUNTIFS('Session Tracker'!$D$5:$D$149,$A240,'Session Tracker'!$F$5:$F$149,"Next week",'Session Tracker'!$G$5:$G$149,"Thu"),$D240*SUMIFS('Session Tracker'!$J$5:$J$149,'Session Tracker'!$D$5:$D$149,$A240,'Session Tracker'!$F$5:$F$149,"Next week",'Session Tracker'!$G$5:$G$149,"Thu"))</f>
        <v>0</v>
      </c>
      <c r="L240" s="52" t="n">
        <f aca="false">IF($E240="Per class",$D240*COUNTIFS('Session Tracker'!$D$5:$D$149,$A240,'Session Tracker'!$F$5:$F$149,"Next week",'Session Tracker'!$G$5:$G$149,"Fri"),$D240*SUMIFS('Session Tracker'!$J$5:$J$149,'Session Tracker'!$D$5:$D$149,$A240,'Session Tracker'!$F$5:$F$149,"Next week",'Session Tracker'!$G$5:$G$149,"Fri"))</f>
        <v>0</v>
      </c>
      <c r="M240" s="52" t="n">
        <f aca="false">IF($E240="Per class",$D240*COUNTIFS('Session Tracker'!$D$5:$D$149,$A240,'Session Tracker'!$F$5:$F$149,"Next week",'Session Tracker'!$G$5:$G$149,""),$D240*SUMIFS('Session Tracker'!$J$5:$J$149,'Session Tracker'!$D$5:$D$149,$A240,'Session Tracker'!$F$5:$F$149,"Next week",'Session Tracker'!$G$5:$G$149,""))</f>
        <v>0</v>
      </c>
    </row>
    <row r="241" customFormat="false" ht="15" hidden="false" customHeight="false" outlineLevel="0" collapsed="false">
      <c r="A241" s="53" t="s">
        <v>178</v>
      </c>
      <c r="B241" s="54"/>
      <c r="C241" s="54"/>
      <c r="D241" s="54"/>
      <c r="E241" s="54"/>
      <c r="F241" s="54"/>
      <c r="G241" s="54"/>
      <c r="H241" s="52" t="n">
        <f aca="false">IF($E241="Per class",$D241*COUNTIFS('Session Tracker'!$D$5:$D$149,$A241,'Session Tracker'!$F$5:$F$149,"Next week",'Session Tracker'!$G$5:$G$149,"Mon"),$D241*SUMIFS('Session Tracker'!$J$5:$J$149,'Session Tracker'!$D$5:$D$149,$A241,'Session Tracker'!$F$5:$F$149,"Next week",'Session Tracker'!$G$5:$G$149,"Mon"))</f>
        <v>0</v>
      </c>
      <c r="I241" s="52" t="n">
        <f aca="false">IF($E241="Per class",$D241*COUNTIFS('Session Tracker'!$D$5:$D$149,$A241,'Session Tracker'!$F$5:$F$149,"Next week",'Session Tracker'!$G$5:$G$149,"Tue"),$D241*SUMIFS('Session Tracker'!$J$5:$J$149,'Session Tracker'!$D$5:$D$149,$A241,'Session Tracker'!$F$5:$F$149,"Next week",'Session Tracker'!$G$5:$G$149,"Tue"))</f>
        <v>0</v>
      </c>
      <c r="J241" s="52" t="n">
        <f aca="false">IF($E241="Per class",$D241*COUNTIFS('Session Tracker'!$D$5:$D$149,$A241,'Session Tracker'!$F$5:$F$149,"Next week",'Session Tracker'!$G$5:$G$149,"Wed"),$D241*SUMIFS('Session Tracker'!$J$5:$J$149,'Session Tracker'!$D$5:$D$149,$A241,'Session Tracker'!$F$5:$F$149,"Next week",'Session Tracker'!$G$5:$G$149,"Wed"))</f>
        <v>0</v>
      </c>
      <c r="K241" s="52" t="n">
        <f aca="false">IF($E241="Per class",$D241*COUNTIFS('Session Tracker'!$D$5:$D$149,$A241,'Session Tracker'!$F$5:$F$149,"Next week",'Session Tracker'!$G$5:$G$149,"Thu"),$D241*SUMIFS('Session Tracker'!$J$5:$J$149,'Session Tracker'!$D$5:$D$149,$A241,'Session Tracker'!$F$5:$F$149,"Next week",'Session Tracker'!$G$5:$G$149,"Thu"))</f>
        <v>0</v>
      </c>
      <c r="L241" s="52" t="n">
        <f aca="false">IF($E241="Per class",$D241*COUNTIFS('Session Tracker'!$D$5:$D$149,$A241,'Session Tracker'!$F$5:$F$149,"Next week",'Session Tracker'!$G$5:$G$149,"Fri"),$D241*SUMIFS('Session Tracker'!$J$5:$J$149,'Session Tracker'!$D$5:$D$149,$A241,'Session Tracker'!$F$5:$F$149,"Next week",'Session Tracker'!$G$5:$G$149,"Fri"))</f>
        <v>0</v>
      </c>
      <c r="M241" s="52" t="n">
        <f aca="false">IF($E241="Per class",$D241*COUNTIFS('Session Tracker'!$D$5:$D$149,$A241,'Session Tracker'!$F$5:$F$149,"Next week",'Session Tracker'!$G$5:$G$149,""),$D241*SUMIFS('Session Tracker'!$J$5:$J$149,'Session Tracker'!$D$5:$D$149,$A241,'Session Tracker'!$F$5:$F$149,"Next week",'Session Tracker'!$G$5:$G$149,""))</f>
        <v>0</v>
      </c>
    </row>
    <row r="243" customFormat="false" ht="19.5" hidden="false" customHeight="true" outlineLevel="0" collapsed="false">
      <c r="A243" s="57" t="s">
        <v>180</v>
      </c>
      <c r="B243" s="58" t="s">
        <v>549</v>
      </c>
      <c r="C243" s="58"/>
      <c r="D243" s="58"/>
      <c r="E243" s="58"/>
      <c r="F243" s="59" t="str">
        <f aca="false">"Status: "&amp;'Session Tracker'!F58&amp;IF('Session Tracker'!G58&lt;&gt;""," ("&amp;'Session Tracker'!G58&amp;")","")</f>
        <v>Status: Not started</v>
      </c>
      <c r="G243" s="59"/>
      <c r="H243" s="60"/>
      <c r="I243" s="60"/>
      <c r="J243" s="60"/>
      <c r="K243" s="60"/>
      <c r="L243" s="60"/>
      <c r="M243" s="60"/>
    </row>
    <row r="244" customFormat="false" ht="23.85" hidden="false" customHeight="false" outlineLevel="0" collapsed="false">
      <c r="A244" s="61" t="s">
        <v>180</v>
      </c>
      <c r="B244" s="34" t="s">
        <v>366</v>
      </c>
      <c r="C244" s="34" t="s">
        <v>367</v>
      </c>
      <c r="D244" s="32" t="n">
        <v>1</v>
      </c>
      <c r="E244" s="32" t="s">
        <v>14</v>
      </c>
      <c r="F244" s="32" t="s">
        <v>368</v>
      </c>
      <c r="G244" s="34"/>
      <c r="H244" s="52" t="n">
        <f aca="false">IF($E244="Per class",$D244*COUNTIFS('Session Tracker'!$D$5:$D$149,$A244,'Session Tracker'!$F$5:$F$149,"Next week",'Session Tracker'!$G$5:$G$149,"Mon"),$D244*SUMIFS('Session Tracker'!$J$5:$J$149,'Session Tracker'!$D$5:$D$149,$A244,'Session Tracker'!$F$5:$F$149,"Next week",'Session Tracker'!$G$5:$G$149,"Mon"))</f>
        <v>0</v>
      </c>
      <c r="I244" s="52" t="n">
        <f aca="false">IF($E244="Per class",$D244*COUNTIFS('Session Tracker'!$D$5:$D$149,$A244,'Session Tracker'!$F$5:$F$149,"Next week",'Session Tracker'!$G$5:$G$149,"Tue"),$D244*SUMIFS('Session Tracker'!$J$5:$J$149,'Session Tracker'!$D$5:$D$149,$A244,'Session Tracker'!$F$5:$F$149,"Next week",'Session Tracker'!$G$5:$G$149,"Tue"))</f>
        <v>0</v>
      </c>
      <c r="J244" s="52" t="n">
        <f aca="false">IF($E244="Per class",$D244*COUNTIFS('Session Tracker'!$D$5:$D$149,$A244,'Session Tracker'!$F$5:$F$149,"Next week",'Session Tracker'!$G$5:$G$149,"Wed"),$D244*SUMIFS('Session Tracker'!$J$5:$J$149,'Session Tracker'!$D$5:$D$149,$A244,'Session Tracker'!$F$5:$F$149,"Next week",'Session Tracker'!$G$5:$G$149,"Wed"))</f>
        <v>0</v>
      </c>
      <c r="K244" s="52" t="n">
        <f aca="false">IF($E244="Per class",$D244*COUNTIFS('Session Tracker'!$D$5:$D$149,$A244,'Session Tracker'!$F$5:$F$149,"Next week",'Session Tracker'!$G$5:$G$149,"Thu"),$D244*SUMIFS('Session Tracker'!$J$5:$J$149,'Session Tracker'!$D$5:$D$149,$A244,'Session Tracker'!$F$5:$F$149,"Next week",'Session Tracker'!$G$5:$G$149,"Thu"))</f>
        <v>0</v>
      </c>
      <c r="L244" s="52" t="n">
        <f aca="false">IF($E244="Per class",$D244*COUNTIFS('Session Tracker'!$D$5:$D$149,$A244,'Session Tracker'!$F$5:$F$149,"Next week",'Session Tracker'!$G$5:$G$149,"Fri"),$D244*SUMIFS('Session Tracker'!$J$5:$J$149,'Session Tracker'!$D$5:$D$149,$A244,'Session Tracker'!$F$5:$F$149,"Next week",'Session Tracker'!$G$5:$G$149,"Fri"))</f>
        <v>0</v>
      </c>
      <c r="M244" s="52" t="n">
        <f aca="false">IF($E244="Per class",$D244*COUNTIFS('Session Tracker'!$D$5:$D$149,$A244,'Session Tracker'!$F$5:$F$149,"Next week",'Session Tracker'!$G$5:$G$149,""),$D244*SUMIFS('Session Tracker'!$J$5:$J$149,'Session Tracker'!$D$5:$D$149,$A244,'Session Tracker'!$F$5:$F$149,"Next week",'Session Tracker'!$G$5:$G$149,""))</f>
        <v>0</v>
      </c>
    </row>
    <row r="245" customFormat="false" ht="15" hidden="false" customHeight="false" outlineLevel="0" collapsed="false">
      <c r="A245" s="61" t="s">
        <v>180</v>
      </c>
      <c r="B245" s="34" t="s">
        <v>369</v>
      </c>
      <c r="C245" s="34" t="s">
        <v>550</v>
      </c>
      <c r="D245" s="32" t="n">
        <v>1</v>
      </c>
      <c r="E245" s="32" t="s">
        <v>14</v>
      </c>
      <c r="F245" s="32" t="s">
        <v>368</v>
      </c>
      <c r="G245" s="34"/>
      <c r="H245" s="52" t="n">
        <f aca="false">IF($E245="Per class",$D245*COUNTIFS('Session Tracker'!$D$5:$D$149,$A245,'Session Tracker'!$F$5:$F$149,"Next week",'Session Tracker'!$G$5:$G$149,"Mon"),$D245*SUMIFS('Session Tracker'!$J$5:$J$149,'Session Tracker'!$D$5:$D$149,$A245,'Session Tracker'!$F$5:$F$149,"Next week",'Session Tracker'!$G$5:$G$149,"Mon"))</f>
        <v>0</v>
      </c>
      <c r="I245" s="52" t="n">
        <f aca="false">IF($E245="Per class",$D245*COUNTIFS('Session Tracker'!$D$5:$D$149,$A245,'Session Tracker'!$F$5:$F$149,"Next week",'Session Tracker'!$G$5:$G$149,"Tue"),$D245*SUMIFS('Session Tracker'!$J$5:$J$149,'Session Tracker'!$D$5:$D$149,$A245,'Session Tracker'!$F$5:$F$149,"Next week",'Session Tracker'!$G$5:$G$149,"Tue"))</f>
        <v>0</v>
      </c>
      <c r="J245" s="52" t="n">
        <f aca="false">IF($E245="Per class",$D245*COUNTIFS('Session Tracker'!$D$5:$D$149,$A245,'Session Tracker'!$F$5:$F$149,"Next week",'Session Tracker'!$G$5:$G$149,"Wed"),$D245*SUMIFS('Session Tracker'!$J$5:$J$149,'Session Tracker'!$D$5:$D$149,$A245,'Session Tracker'!$F$5:$F$149,"Next week",'Session Tracker'!$G$5:$G$149,"Wed"))</f>
        <v>0</v>
      </c>
      <c r="K245" s="52" t="n">
        <f aca="false">IF($E245="Per class",$D245*COUNTIFS('Session Tracker'!$D$5:$D$149,$A245,'Session Tracker'!$F$5:$F$149,"Next week",'Session Tracker'!$G$5:$G$149,"Thu"),$D245*SUMIFS('Session Tracker'!$J$5:$J$149,'Session Tracker'!$D$5:$D$149,$A245,'Session Tracker'!$F$5:$F$149,"Next week",'Session Tracker'!$G$5:$G$149,"Thu"))</f>
        <v>0</v>
      </c>
      <c r="L245" s="52" t="n">
        <f aca="false">IF($E245="Per class",$D245*COUNTIFS('Session Tracker'!$D$5:$D$149,$A245,'Session Tracker'!$F$5:$F$149,"Next week",'Session Tracker'!$G$5:$G$149,"Fri"),$D245*SUMIFS('Session Tracker'!$J$5:$J$149,'Session Tracker'!$D$5:$D$149,$A245,'Session Tracker'!$F$5:$F$149,"Next week",'Session Tracker'!$G$5:$G$149,"Fri"))</f>
        <v>0</v>
      </c>
      <c r="M245" s="52" t="n">
        <f aca="false">IF($E245="Per class",$D245*COUNTIFS('Session Tracker'!$D$5:$D$149,$A245,'Session Tracker'!$F$5:$F$149,"Next week",'Session Tracker'!$G$5:$G$149,""),$D245*SUMIFS('Session Tracker'!$J$5:$J$149,'Session Tracker'!$D$5:$D$149,$A245,'Session Tracker'!$F$5:$F$149,"Next week",'Session Tracker'!$G$5:$G$149,""))</f>
        <v>0</v>
      </c>
    </row>
    <row r="246" customFormat="false" ht="15" hidden="false" customHeight="false" outlineLevel="0" collapsed="false">
      <c r="A246" s="61" t="s">
        <v>180</v>
      </c>
      <c r="B246" s="34" t="s">
        <v>371</v>
      </c>
      <c r="C246" s="34" t="s">
        <v>517</v>
      </c>
      <c r="D246" s="32" t="n">
        <v>1</v>
      </c>
      <c r="E246" s="32" t="s">
        <v>14</v>
      </c>
      <c r="F246" s="32" t="s">
        <v>368</v>
      </c>
      <c r="G246" s="34"/>
      <c r="H246" s="52" t="n">
        <f aca="false">IF($E246="Per class",$D246*COUNTIFS('Session Tracker'!$D$5:$D$149,$A246,'Session Tracker'!$F$5:$F$149,"Next week",'Session Tracker'!$G$5:$G$149,"Mon"),$D246*SUMIFS('Session Tracker'!$J$5:$J$149,'Session Tracker'!$D$5:$D$149,$A246,'Session Tracker'!$F$5:$F$149,"Next week",'Session Tracker'!$G$5:$G$149,"Mon"))</f>
        <v>0</v>
      </c>
      <c r="I246" s="52" t="n">
        <f aca="false">IF($E246="Per class",$D246*COUNTIFS('Session Tracker'!$D$5:$D$149,$A246,'Session Tracker'!$F$5:$F$149,"Next week",'Session Tracker'!$G$5:$G$149,"Tue"),$D246*SUMIFS('Session Tracker'!$J$5:$J$149,'Session Tracker'!$D$5:$D$149,$A246,'Session Tracker'!$F$5:$F$149,"Next week",'Session Tracker'!$G$5:$G$149,"Tue"))</f>
        <v>0</v>
      </c>
      <c r="J246" s="52" t="n">
        <f aca="false">IF($E246="Per class",$D246*COUNTIFS('Session Tracker'!$D$5:$D$149,$A246,'Session Tracker'!$F$5:$F$149,"Next week",'Session Tracker'!$G$5:$G$149,"Wed"),$D246*SUMIFS('Session Tracker'!$J$5:$J$149,'Session Tracker'!$D$5:$D$149,$A246,'Session Tracker'!$F$5:$F$149,"Next week",'Session Tracker'!$G$5:$G$149,"Wed"))</f>
        <v>0</v>
      </c>
      <c r="K246" s="52" t="n">
        <f aca="false">IF($E246="Per class",$D246*COUNTIFS('Session Tracker'!$D$5:$D$149,$A246,'Session Tracker'!$F$5:$F$149,"Next week",'Session Tracker'!$G$5:$G$149,"Thu"),$D246*SUMIFS('Session Tracker'!$J$5:$J$149,'Session Tracker'!$D$5:$D$149,$A246,'Session Tracker'!$F$5:$F$149,"Next week",'Session Tracker'!$G$5:$G$149,"Thu"))</f>
        <v>0</v>
      </c>
      <c r="L246" s="52" t="n">
        <f aca="false">IF($E246="Per class",$D246*COUNTIFS('Session Tracker'!$D$5:$D$149,$A246,'Session Tracker'!$F$5:$F$149,"Next week",'Session Tracker'!$G$5:$G$149,"Fri"),$D246*SUMIFS('Session Tracker'!$J$5:$J$149,'Session Tracker'!$D$5:$D$149,$A246,'Session Tracker'!$F$5:$F$149,"Next week",'Session Tracker'!$G$5:$G$149,"Fri"))</f>
        <v>0</v>
      </c>
      <c r="M246" s="52" t="n">
        <f aca="false">IF($E246="Per class",$D246*COUNTIFS('Session Tracker'!$D$5:$D$149,$A246,'Session Tracker'!$F$5:$F$149,"Next week",'Session Tracker'!$G$5:$G$149,""),$D246*SUMIFS('Session Tracker'!$J$5:$J$149,'Session Tracker'!$D$5:$D$149,$A246,'Session Tracker'!$F$5:$F$149,"Next week",'Session Tracker'!$G$5:$G$149,""))</f>
        <v>0</v>
      </c>
    </row>
    <row r="247" customFormat="false" ht="15" hidden="false" customHeight="false" outlineLevel="0" collapsed="false">
      <c r="A247" s="61" t="s">
        <v>180</v>
      </c>
      <c r="B247" s="34" t="s">
        <v>375</v>
      </c>
      <c r="C247" s="34" t="s">
        <v>385</v>
      </c>
      <c r="D247" s="32" t="n">
        <v>1</v>
      </c>
      <c r="E247" s="32" t="s">
        <v>14</v>
      </c>
      <c r="F247" s="32" t="s">
        <v>368</v>
      </c>
      <c r="G247" s="34"/>
      <c r="H247" s="52" t="n">
        <f aca="false">IF($E247="Per class",$D247*COUNTIFS('Session Tracker'!$D$5:$D$149,$A247,'Session Tracker'!$F$5:$F$149,"Next week",'Session Tracker'!$G$5:$G$149,"Mon"),$D247*SUMIFS('Session Tracker'!$J$5:$J$149,'Session Tracker'!$D$5:$D$149,$A247,'Session Tracker'!$F$5:$F$149,"Next week",'Session Tracker'!$G$5:$G$149,"Mon"))</f>
        <v>0</v>
      </c>
      <c r="I247" s="52" t="n">
        <f aca="false">IF($E247="Per class",$D247*COUNTIFS('Session Tracker'!$D$5:$D$149,$A247,'Session Tracker'!$F$5:$F$149,"Next week",'Session Tracker'!$G$5:$G$149,"Tue"),$D247*SUMIFS('Session Tracker'!$J$5:$J$149,'Session Tracker'!$D$5:$D$149,$A247,'Session Tracker'!$F$5:$F$149,"Next week",'Session Tracker'!$G$5:$G$149,"Tue"))</f>
        <v>0</v>
      </c>
      <c r="J247" s="52" t="n">
        <f aca="false">IF($E247="Per class",$D247*COUNTIFS('Session Tracker'!$D$5:$D$149,$A247,'Session Tracker'!$F$5:$F$149,"Next week",'Session Tracker'!$G$5:$G$149,"Wed"),$D247*SUMIFS('Session Tracker'!$J$5:$J$149,'Session Tracker'!$D$5:$D$149,$A247,'Session Tracker'!$F$5:$F$149,"Next week",'Session Tracker'!$G$5:$G$149,"Wed"))</f>
        <v>0</v>
      </c>
      <c r="K247" s="52" t="n">
        <f aca="false">IF($E247="Per class",$D247*COUNTIFS('Session Tracker'!$D$5:$D$149,$A247,'Session Tracker'!$F$5:$F$149,"Next week",'Session Tracker'!$G$5:$G$149,"Thu"),$D247*SUMIFS('Session Tracker'!$J$5:$J$149,'Session Tracker'!$D$5:$D$149,$A247,'Session Tracker'!$F$5:$F$149,"Next week",'Session Tracker'!$G$5:$G$149,"Thu"))</f>
        <v>0</v>
      </c>
      <c r="L247" s="52" t="n">
        <f aca="false">IF($E247="Per class",$D247*COUNTIFS('Session Tracker'!$D$5:$D$149,$A247,'Session Tracker'!$F$5:$F$149,"Next week",'Session Tracker'!$G$5:$G$149,"Fri"),$D247*SUMIFS('Session Tracker'!$J$5:$J$149,'Session Tracker'!$D$5:$D$149,$A247,'Session Tracker'!$F$5:$F$149,"Next week",'Session Tracker'!$G$5:$G$149,"Fri"))</f>
        <v>0</v>
      </c>
      <c r="M247" s="52" t="n">
        <f aca="false">IF($E247="Per class",$D247*COUNTIFS('Session Tracker'!$D$5:$D$149,$A247,'Session Tracker'!$F$5:$F$149,"Next week",'Session Tracker'!$G$5:$G$149,""),$D247*SUMIFS('Session Tracker'!$J$5:$J$149,'Session Tracker'!$D$5:$D$149,$A247,'Session Tracker'!$F$5:$F$149,"Next week",'Session Tracker'!$G$5:$G$149,""))</f>
        <v>0</v>
      </c>
    </row>
    <row r="248" customFormat="false" ht="15" hidden="false" customHeight="false" outlineLevel="0" collapsed="false">
      <c r="A248" s="61" t="s">
        <v>180</v>
      </c>
      <c r="B248" s="34" t="s">
        <v>375</v>
      </c>
      <c r="C248" s="34" t="s">
        <v>417</v>
      </c>
      <c r="D248" s="32" t="n">
        <v>1</v>
      </c>
      <c r="E248" s="32" t="s">
        <v>14</v>
      </c>
      <c r="F248" s="32" t="s">
        <v>373</v>
      </c>
      <c r="G248" s="34"/>
      <c r="H248" s="52" t="n">
        <f aca="false">IF($E248="Per class",$D248*COUNTIFS('Session Tracker'!$D$5:$D$149,$A248,'Session Tracker'!$F$5:$F$149,"Next week",'Session Tracker'!$G$5:$G$149,"Mon"),$D248*SUMIFS('Session Tracker'!$J$5:$J$149,'Session Tracker'!$D$5:$D$149,$A248,'Session Tracker'!$F$5:$F$149,"Next week",'Session Tracker'!$G$5:$G$149,"Mon"))</f>
        <v>0</v>
      </c>
      <c r="I248" s="52" t="n">
        <f aca="false">IF($E248="Per class",$D248*COUNTIFS('Session Tracker'!$D$5:$D$149,$A248,'Session Tracker'!$F$5:$F$149,"Next week",'Session Tracker'!$G$5:$G$149,"Tue"),$D248*SUMIFS('Session Tracker'!$J$5:$J$149,'Session Tracker'!$D$5:$D$149,$A248,'Session Tracker'!$F$5:$F$149,"Next week",'Session Tracker'!$G$5:$G$149,"Tue"))</f>
        <v>0</v>
      </c>
      <c r="J248" s="52" t="n">
        <f aca="false">IF($E248="Per class",$D248*COUNTIFS('Session Tracker'!$D$5:$D$149,$A248,'Session Tracker'!$F$5:$F$149,"Next week",'Session Tracker'!$G$5:$G$149,"Wed"),$D248*SUMIFS('Session Tracker'!$J$5:$J$149,'Session Tracker'!$D$5:$D$149,$A248,'Session Tracker'!$F$5:$F$149,"Next week",'Session Tracker'!$G$5:$G$149,"Wed"))</f>
        <v>0</v>
      </c>
      <c r="K248" s="52" t="n">
        <f aca="false">IF($E248="Per class",$D248*COUNTIFS('Session Tracker'!$D$5:$D$149,$A248,'Session Tracker'!$F$5:$F$149,"Next week",'Session Tracker'!$G$5:$G$149,"Thu"),$D248*SUMIFS('Session Tracker'!$J$5:$J$149,'Session Tracker'!$D$5:$D$149,$A248,'Session Tracker'!$F$5:$F$149,"Next week",'Session Tracker'!$G$5:$G$149,"Thu"))</f>
        <v>0</v>
      </c>
      <c r="L248" s="52" t="n">
        <f aca="false">IF($E248="Per class",$D248*COUNTIFS('Session Tracker'!$D$5:$D$149,$A248,'Session Tracker'!$F$5:$F$149,"Next week",'Session Tracker'!$G$5:$G$149,"Fri"),$D248*SUMIFS('Session Tracker'!$J$5:$J$149,'Session Tracker'!$D$5:$D$149,$A248,'Session Tracker'!$F$5:$F$149,"Next week",'Session Tracker'!$G$5:$G$149,"Fri"))</f>
        <v>0</v>
      </c>
      <c r="M248" s="52" t="n">
        <f aca="false">IF($E248="Per class",$D248*COUNTIFS('Session Tracker'!$D$5:$D$149,$A248,'Session Tracker'!$F$5:$F$149,"Next week",'Session Tracker'!$G$5:$G$149,""),$D248*SUMIFS('Session Tracker'!$J$5:$J$149,'Session Tracker'!$D$5:$D$149,$A248,'Session Tracker'!$F$5:$F$149,"Next week",'Session Tracker'!$G$5:$G$149,""))</f>
        <v>0</v>
      </c>
    </row>
    <row r="249" customFormat="false" ht="15" hidden="false" customHeight="false" outlineLevel="0" collapsed="false">
      <c r="A249" s="61" t="s">
        <v>180</v>
      </c>
      <c r="B249" s="34" t="s">
        <v>379</v>
      </c>
      <c r="C249" s="34" t="s">
        <v>380</v>
      </c>
      <c r="D249" s="32" t="n">
        <v>1</v>
      </c>
      <c r="E249" s="32" t="s">
        <v>14</v>
      </c>
      <c r="F249" s="32" t="s">
        <v>368</v>
      </c>
      <c r="G249" s="34"/>
      <c r="H249" s="52" t="n">
        <f aca="false">IF($E249="Per class",$D249*COUNTIFS('Session Tracker'!$D$5:$D$149,$A249,'Session Tracker'!$F$5:$F$149,"Next week",'Session Tracker'!$G$5:$G$149,"Mon"),$D249*SUMIFS('Session Tracker'!$J$5:$J$149,'Session Tracker'!$D$5:$D$149,$A249,'Session Tracker'!$F$5:$F$149,"Next week",'Session Tracker'!$G$5:$G$149,"Mon"))</f>
        <v>0</v>
      </c>
      <c r="I249" s="52" t="n">
        <f aca="false">IF($E249="Per class",$D249*COUNTIFS('Session Tracker'!$D$5:$D$149,$A249,'Session Tracker'!$F$5:$F$149,"Next week",'Session Tracker'!$G$5:$G$149,"Tue"),$D249*SUMIFS('Session Tracker'!$J$5:$J$149,'Session Tracker'!$D$5:$D$149,$A249,'Session Tracker'!$F$5:$F$149,"Next week",'Session Tracker'!$G$5:$G$149,"Tue"))</f>
        <v>0</v>
      </c>
      <c r="J249" s="52" t="n">
        <f aca="false">IF($E249="Per class",$D249*COUNTIFS('Session Tracker'!$D$5:$D$149,$A249,'Session Tracker'!$F$5:$F$149,"Next week",'Session Tracker'!$G$5:$G$149,"Wed"),$D249*SUMIFS('Session Tracker'!$J$5:$J$149,'Session Tracker'!$D$5:$D$149,$A249,'Session Tracker'!$F$5:$F$149,"Next week",'Session Tracker'!$G$5:$G$149,"Wed"))</f>
        <v>0</v>
      </c>
      <c r="K249" s="52" t="n">
        <f aca="false">IF($E249="Per class",$D249*COUNTIFS('Session Tracker'!$D$5:$D$149,$A249,'Session Tracker'!$F$5:$F$149,"Next week",'Session Tracker'!$G$5:$G$149,"Thu"),$D249*SUMIFS('Session Tracker'!$J$5:$J$149,'Session Tracker'!$D$5:$D$149,$A249,'Session Tracker'!$F$5:$F$149,"Next week",'Session Tracker'!$G$5:$G$149,"Thu"))</f>
        <v>0</v>
      </c>
      <c r="L249" s="52" t="n">
        <f aca="false">IF($E249="Per class",$D249*COUNTIFS('Session Tracker'!$D$5:$D$149,$A249,'Session Tracker'!$F$5:$F$149,"Next week",'Session Tracker'!$G$5:$G$149,"Fri"),$D249*SUMIFS('Session Tracker'!$J$5:$J$149,'Session Tracker'!$D$5:$D$149,$A249,'Session Tracker'!$F$5:$F$149,"Next week",'Session Tracker'!$G$5:$G$149,"Fri"))</f>
        <v>0</v>
      </c>
      <c r="M249" s="52" t="n">
        <f aca="false">IF($E249="Per class",$D249*COUNTIFS('Session Tracker'!$D$5:$D$149,$A249,'Session Tracker'!$F$5:$F$149,"Next week",'Session Tracker'!$G$5:$G$149,""),$D249*SUMIFS('Session Tracker'!$J$5:$J$149,'Session Tracker'!$D$5:$D$149,$A249,'Session Tracker'!$F$5:$F$149,"Next week",'Session Tracker'!$G$5:$G$149,""))</f>
        <v>0</v>
      </c>
    </row>
    <row r="250" customFormat="false" ht="15" hidden="false" customHeight="false" outlineLevel="0" collapsed="false">
      <c r="A250" s="61" t="s">
        <v>180</v>
      </c>
      <c r="B250" s="34" t="s">
        <v>379</v>
      </c>
      <c r="C250" s="34" t="s">
        <v>381</v>
      </c>
      <c r="D250" s="32" t="n">
        <v>10</v>
      </c>
      <c r="E250" s="32" t="s">
        <v>14</v>
      </c>
      <c r="F250" s="32" t="s">
        <v>368</v>
      </c>
      <c r="G250" s="34"/>
      <c r="H250" s="52" t="n">
        <f aca="false">IF($E250="Per class",$D250*COUNTIFS('Session Tracker'!$D$5:$D$149,$A250,'Session Tracker'!$F$5:$F$149,"Next week",'Session Tracker'!$G$5:$G$149,"Mon"),$D250*SUMIFS('Session Tracker'!$J$5:$J$149,'Session Tracker'!$D$5:$D$149,$A250,'Session Tracker'!$F$5:$F$149,"Next week",'Session Tracker'!$G$5:$G$149,"Mon"))</f>
        <v>0</v>
      </c>
      <c r="I250" s="52" t="n">
        <f aca="false">IF($E250="Per class",$D250*COUNTIFS('Session Tracker'!$D$5:$D$149,$A250,'Session Tracker'!$F$5:$F$149,"Next week",'Session Tracker'!$G$5:$G$149,"Tue"),$D250*SUMIFS('Session Tracker'!$J$5:$J$149,'Session Tracker'!$D$5:$D$149,$A250,'Session Tracker'!$F$5:$F$149,"Next week",'Session Tracker'!$G$5:$G$149,"Tue"))</f>
        <v>0</v>
      </c>
      <c r="J250" s="52" t="n">
        <f aca="false">IF($E250="Per class",$D250*COUNTIFS('Session Tracker'!$D$5:$D$149,$A250,'Session Tracker'!$F$5:$F$149,"Next week",'Session Tracker'!$G$5:$G$149,"Wed"),$D250*SUMIFS('Session Tracker'!$J$5:$J$149,'Session Tracker'!$D$5:$D$149,$A250,'Session Tracker'!$F$5:$F$149,"Next week",'Session Tracker'!$G$5:$G$149,"Wed"))</f>
        <v>0</v>
      </c>
      <c r="K250" s="52" t="n">
        <f aca="false">IF($E250="Per class",$D250*COUNTIFS('Session Tracker'!$D$5:$D$149,$A250,'Session Tracker'!$F$5:$F$149,"Next week",'Session Tracker'!$G$5:$G$149,"Thu"),$D250*SUMIFS('Session Tracker'!$J$5:$J$149,'Session Tracker'!$D$5:$D$149,$A250,'Session Tracker'!$F$5:$F$149,"Next week",'Session Tracker'!$G$5:$G$149,"Thu"))</f>
        <v>0</v>
      </c>
      <c r="L250" s="52" t="n">
        <f aca="false">IF($E250="Per class",$D250*COUNTIFS('Session Tracker'!$D$5:$D$149,$A250,'Session Tracker'!$F$5:$F$149,"Next week",'Session Tracker'!$G$5:$G$149,"Fri"),$D250*SUMIFS('Session Tracker'!$J$5:$J$149,'Session Tracker'!$D$5:$D$149,$A250,'Session Tracker'!$F$5:$F$149,"Next week",'Session Tracker'!$G$5:$G$149,"Fri"))</f>
        <v>0</v>
      </c>
      <c r="M250" s="52" t="n">
        <f aca="false">IF($E250="Per class",$D250*COUNTIFS('Session Tracker'!$D$5:$D$149,$A250,'Session Tracker'!$F$5:$F$149,"Next week",'Session Tracker'!$G$5:$G$149,""),$D250*SUMIFS('Session Tracker'!$J$5:$J$149,'Session Tracker'!$D$5:$D$149,$A250,'Session Tracker'!$F$5:$F$149,"Next week",'Session Tracker'!$G$5:$G$149,""))</f>
        <v>0</v>
      </c>
    </row>
    <row r="251" customFormat="false" ht="15" hidden="false" customHeight="false" outlineLevel="0" collapsed="false">
      <c r="A251" s="61" t="s">
        <v>180</v>
      </c>
      <c r="B251" s="34" t="s">
        <v>379</v>
      </c>
      <c r="C251" s="34" t="s">
        <v>395</v>
      </c>
      <c r="D251" s="32" t="n">
        <v>6</v>
      </c>
      <c r="E251" s="32" t="s">
        <v>14</v>
      </c>
      <c r="F251" s="32" t="s">
        <v>368</v>
      </c>
      <c r="G251" s="34"/>
      <c r="H251" s="52" t="n">
        <f aca="false">IF($E251="Per class",$D251*COUNTIFS('Session Tracker'!$D$5:$D$149,$A251,'Session Tracker'!$F$5:$F$149,"Next week",'Session Tracker'!$G$5:$G$149,"Mon"),$D251*SUMIFS('Session Tracker'!$J$5:$J$149,'Session Tracker'!$D$5:$D$149,$A251,'Session Tracker'!$F$5:$F$149,"Next week",'Session Tracker'!$G$5:$G$149,"Mon"))</f>
        <v>0</v>
      </c>
      <c r="I251" s="52" t="n">
        <f aca="false">IF($E251="Per class",$D251*COUNTIFS('Session Tracker'!$D$5:$D$149,$A251,'Session Tracker'!$F$5:$F$149,"Next week",'Session Tracker'!$G$5:$G$149,"Tue"),$D251*SUMIFS('Session Tracker'!$J$5:$J$149,'Session Tracker'!$D$5:$D$149,$A251,'Session Tracker'!$F$5:$F$149,"Next week",'Session Tracker'!$G$5:$G$149,"Tue"))</f>
        <v>0</v>
      </c>
      <c r="J251" s="52" t="n">
        <f aca="false">IF($E251="Per class",$D251*COUNTIFS('Session Tracker'!$D$5:$D$149,$A251,'Session Tracker'!$F$5:$F$149,"Next week",'Session Tracker'!$G$5:$G$149,"Wed"),$D251*SUMIFS('Session Tracker'!$J$5:$J$149,'Session Tracker'!$D$5:$D$149,$A251,'Session Tracker'!$F$5:$F$149,"Next week",'Session Tracker'!$G$5:$G$149,"Wed"))</f>
        <v>0</v>
      </c>
      <c r="K251" s="52" t="n">
        <f aca="false">IF($E251="Per class",$D251*COUNTIFS('Session Tracker'!$D$5:$D$149,$A251,'Session Tracker'!$F$5:$F$149,"Next week",'Session Tracker'!$G$5:$G$149,"Thu"),$D251*SUMIFS('Session Tracker'!$J$5:$J$149,'Session Tracker'!$D$5:$D$149,$A251,'Session Tracker'!$F$5:$F$149,"Next week",'Session Tracker'!$G$5:$G$149,"Thu"))</f>
        <v>0</v>
      </c>
      <c r="L251" s="52" t="n">
        <f aca="false">IF($E251="Per class",$D251*COUNTIFS('Session Tracker'!$D$5:$D$149,$A251,'Session Tracker'!$F$5:$F$149,"Next week",'Session Tracker'!$G$5:$G$149,"Fri"),$D251*SUMIFS('Session Tracker'!$J$5:$J$149,'Session Tracker'!$D$5:$D$149,$A251,'Session Tracker'!$F$5:$F$149,"Next week",'Session Tracker'!$G$5:$G$149,"Fri"))</f>
        <v>0</v>
      </c>
      <c r="M251" s="52" t="n">
        <f aca="false">IF($E251="Per class",$D251*COUNTIFS('Session Tracker'!$D$5:$D$149,$A251,'Session Tracker'!$F$5:$F$149,"Next week",'Session Tracker'!$G$5:$G$149,""),$D251*SUMIFS('Session Tracker'!$J$5:$J$149,'Session Tracker'!$D$5:$D$149,$A251,'Session Tracker'!$F$5:$F$149,"Next week",'Session Tracker'!$G$5:$G$149,""))</f>
        <v>0</v>
      </c>
    </row>
    <row r="252" customFormat="false" ht="15" hidden="false" customHeight="false" outlineLevel="0" collapsed="false">
      <c r="A252" s="61" t="s">
        <v>180</v>
      </c>
      <c r="B252" s="34" t="s">
        <v>382</v>
      </c>
      <c r="C252" s="34" t="s">
        <v>383</v>
      </c>
      <c r="D252" s="32" t="n">
        <v>1</v>
      </c>
      <c r="E252" s="32" t="s">
        <v>14</v>
      </c>
      <c r="F252" s="32" t="s">
        <v>368</v>
      </c>
      <c r="G252" s="34"/>
      <c r="H252" s="52" t="n">
        <f aca="false">IF($E252="Per class",$D252*COUNTIFS('Session Tracker'!$D$5:$D$149,$A252,'Session Tracker'!$F$5:$F$149,"Next week",'Session Tracker'!$G$5:$G$149,"Mon"),$D252*SUMIFS('Session Tracker'!$J$5:$J$149,'Session Tracker'!$D$5:$D$149,$A252,'Session Tracker'!$F$5:$F$149,"Next week",'Session Tracker'!$G$5:$G$149,"Mon"))</f>
        <v>0</v>
      </c>
      <c r="I252" s="52" t="n">
        <f aca="false">IF($E252="Per class",$D252*COUNTIFS('Session Tracker'!$D$5:$D$149,$A252,'Session Tracker'!$F$5:$F$149,"Next week",'Session Tracker'!$G$5:$G$149,"Tue"),$D252*SUMIFS('Session Tracker'!$J$5:$J$149,'Session Tracker'!$D$5:$D$149,$A252,'Session Tracker'!$F$5:$F$149,"Next week",'Session Tracker'!$G$5:$G$149,"Tue"))</f>
        <v>0</v>
      </c>
      <c r="J252" s="52" t="n">
        <f aca="false">IF($E252="Per class",$D252*COUNTIFS('Session Tracker'!$D$5:$D$149,$A252,'Session Tracker'!$F$5:$F$149,"Next week",'Session Tracker'!$G$5:$G$149,"Wed"),$D252*SUMIFS('Session Tracker'!$J$5:$J$149,'Session Tracker'!$D$5:$D$149,$A252,'Session Tracker'!$F$5:$F$149,"Next week",'Session Tracker'!$G$5:$G$149,"Wed"))</f>
        <v>0</v>
      </c>
      <c r="K252" s="52" t="n">
        <f aca="false">IF($E252="Per class",$D252*COUNTIFS('Session Tracker'!$D$5:$D$149,$A252,'Session Tracker'!$F$5:$F$149,"Next week",'Session Tracker'!$G$5:$G$149,"Thu"),$D252*SUMIFS('Session Tracker'!$J$5:$J$149,'Session Tracker'!$D$5:$D$149,$A252,'Session Tracker'!$F$5:$F$149,"Next week",'Session Tracker'!$G$5:$G$149,"Thu"))</f>
        <v>0</v>
      </c>
      <c r="L252" s="52" t="n">
        <f aca="false">IF($E252="Per class",$D252*COUNTIFS('Session Tracker'!$D$5:$D$149,$A252,'Session Tracker'!$F$5:$F$149,"Next week",'Session Tracker'!$G$5:$G$149,"Fri"),$D252*SUMIFS('Session Tracker'!$J$5:$J$149,'Session Tracker'!$D$5:$D$149,$A252,'Session Tracker'!$F$5:$F$149,"Next week",'Session Tracker'!$G$5:$G$149,"Fri"))</f>
        <v>0</v>
      </c>
      <c r="M252" s="52" t="n">
        <f aca="false">IF($E252="Per class",$D252*COUNTIFS('Session Tracker'!$D$5:$D$149,$A252,'Session Tracker'!$F$5:$F$149,"Next week",'Session Tracker'!$G$5:$G$149,""),$D252*SUMIFS('Session Tracker'!$J$5:$J$149,'Session Tracker'!$D$5:$D$149,$A252,'Session Tracker'!$F$5:$F$149,"Next week",'Session Tracker'!$G$5:$G$149,""))</f>
        <v>0</v>
      </c>
    </row>
    <row r="253" customFormat="false" ht="15" hidden="false" customHeight="false" outlineLevel="0" collapsed="false">
      <c r="A253" s="61" t="s">
        <v>180</v>
      </c>
      <c r="B253" s="34" t="s">
        <v>371</v>
      </c>
      <c r="C253" s="34" t="s">
        <v>372</v>
      </c>
      <c r="D253" s="32" t="n">
        <v>1</v>
      </c>
      <c r="E253" s="32" t="s">
        <v>14</v>
      </c>
      <c r="F253" s="32" t="s">
        <v>373</v>
      </c>
      <c r="G253" s="34" t="s">
        <v>389</v>
      </c>
      <c r="H253" s="52" t="n">
        <f aca="false">IF($E253="Per class",$D253*COUNTIFS('Session Tracker'!$D$5:$D$149,$A253,'Session Tracker'!$F$5:$F$149,"Next week",'Session Tracker'!$G$5:$G$149,"Mon"),$D253*SUMIFS('Session Tracker'!$J$5:$J$149,'Session Tracker'!$D$5:$D$149,$A253,'Session Tracker'!$F$5:$F$149,"Next week",'Session Tracker'!$G$5:$G$149,"Mon"))</f>
        <v>0</v>
      </c>
      <c r="I253" s="52" t="n">
        <f aca="false">IF($E253="Per class",$D253*COUNTIFS('Session Tracker'!$D$5:$D$149,$A253,'Session Tracker'!$F$5:$F$149,"Next week",'Session Tracker'!$G$5:$G$149,"Tue"),$D253*SUMIFS('Session Tracker'!$J$5:$J$149,'Session Tracker'!$D$5:$D$149,$A253,'Session Tracker'!$F$5:$F$149,"Next week",'Session Tracker'!$G$5:$G$149,"Tue"))</f>
        <v>0</v>
      </c>
      <c r="J253" s="52" t="n">
        <f aca="false">IF($E253="Per class",$D253*COUNTIFS('Session Tracker'!$D$5:$D$149,$A253,'Session Tracker'!$F$5:$F$149,"Next week",'Session Tracker'!$G$5:$G$149,"Wed"),$D253*SUMIFS('Session Tracker'!$J$5:$J$149,'Session Tracker'!$D$5:$D$149,$A253,'Session Tracker'!$F$5:$F$149,"Next week",'Session Tracker'!$G$5:$G$149,"Wed"))</f>
        <v>0</v>
      </c>
      <c r="K253" s="52" t="n">
        <f aca="false">IF($E253="Per class",$D253*COUNTIFS('Session Tracker'!$D$5:$D$149,$A253,'Session Tracker'!$F$5:$F$149,"Next week",'Session Tracker'!$G$5:$G$149,"Thu"),$D253*SUMIFS('Session Tracker'!$J$5:$J$149,'Session Tracker'!$D$5:$D$149,$A253,'Session Tracker'!$F$5:$F$149,"Next week",'Session Tracker'!$G$5:$G$149,"Thu"))</f>
        <v>0</v>
      </c>
      <c r="L253" s="52" t="n">
        <f aca="false">IF($E253="Per class",$D253*COUNTIFS('Session Tracker'!$D$5:$D$149,$A253,'Session Tracker'!$F$5:$F$149,"Next week",'Session Tracker'!$G$5:$G$149,"Fri"),$D253*SUMIFS('Session Tracker'!$J$5:$J$149,'Session Tracker'!$D$5:$D$149,$A253,'Session Tracker'!$F$5:$F$149,"Next week",'Session Tracker'!$G$5:$G$149,"Fri"))</f>
        <v>0</v>
      </c>
      <c r="M253" s="52" t="n">
        <f aca="false">IF($E253="Per class",$D253*COUNTIFS('Session Tracker'!$D$5:$D$149,$A253,'Session Tracker'!$F$5:$F$149,"Next week",'Session Tracker'!$G$5:$G$149,""),$D253*SUMIFS('Session Tracker'!$J$5:$J$149,'Session Tracker'!$D$5:$D$149,$A253,'Session Tracker'!$F$5:$F$149,"Next week",'Session Tracker'!$G$5:$G$149,""))</f>
        <v>0</v>
      </c>
    </row>
    <row r="254" customFormat="false" ht="15" hidden="false" customHeight="false" outlineLevel="0" collapsed="false">
      <c r="A254" s="61" t="s">
        <v>180</v>
      </c>
      <c r="B254" s="34" t="s">
        <v>375</v>
      </c>
      <c r="C254" s="34" t="s">
        <v>376</v>
      </c>
      <c r="D254" s="32" t="n">
        <v>1</v>
      </c>
      <c r="E254" s="32" t="s">
        <v>14</v>
      </c>
      <c r="F254" s="32" t="s">
        <v>373</v>
      </c>
      <c r="G254" s="34" t="s">
        <v>442</v>
      </c>
      <c r="H254" s="52" t="n">
        <f aca="false">IF($E254="Per class",$D254*COUNTIFS('Session Tracker'!$D$5:$D$149,$A254,'Session Tracker'!$F$5:$F$149,"Next week",'Session Tracker'!$G$5:$G$149,"Mon"),$D254*SUMIFS('Session Tracker'!$J$5:$J$149,'Session Tracker'!$D$5:$D$149,$A254,'Session Tracker'!$F$5:$F$149,"Next week",'Session Tracker'!$G$5:$G$149,"Mon"))</f>
        <v>0</v>
      </c>
      <c r="I254" s="52" t="n">
        <f aca="false">IF($E254="Per class",$D254*COUNTIFS('Session Tracker'!$D$5:$D$149,$A254,'Session Tracker'!$F$5:$F$149,"Next week",'Session Tracker'!$G$5:$G$149,"Tue"),$D254*SUMIFS('Session Tracker'!$J$5:$J$149,'Session Tracker'!$D$5:$D$149,$A254,'Session Tracker'!$F$5:$F$149,"Next week",'Session Tracker'!$G$5:$G$149,"Tue"))</f>
        <v>0</v>
      </c>
      <c r="J254" s="52" t="n">
        <f aca="false">IF($E254="Per class",$D254*COUNTIFS('Session Tracker'!$D$5:$D$149,$A254,'Session Tracker'!$F$5:$F$149,"Next week",'Session Tracker'!$G$5:$G$149,"Wed"),$D254*SUMIFS('Session Tracker'!$J$5:$J$149,'Session Tracker'!$D$5:$D$149,$A254,'Session Tracker'!$F$5:$F$149,"Next week",'Session Tracker'!$G$5:$G$149,"Wed"))</f>
        <v>0</v>
      </c>
      <c r="K254" s="52" t="n">
        <f aca="false">IF($E254="Per class",$D254*COUNTIFS('Session Tracker'!$D$5:$D$149,$A254,'Session Tracker'!$F$5:$F$149,"Next week",'Session Tracker'!$G$5:$G$149,"Thu"),$D254*SUMIFS('Session Tracker'!$J$5:$J$149,'Session Tracker'!$D$5:$D$149,$A254,'Session Tracker'!$F$5:$F$149,"Next week",'Session Tracker'!$G$5:$G$149,"Thu"))</f>
        <v>0</v>
      </c>
      <c r="L254" s="52" t="n">
        <f aca="false">IF($E254="Per class",$D254*COUNTIFS('Session Tracker'!$D$5:$D$149,$A254,'Session Tracker'!$F$5:$F$149,"Next week",'Session Tracker'!$G$5:$G$149,"Fri"),$D254*SUMIFS('Session Tracker'!$J$5:$J$149,'Session Tracker'!$D$5:$D$149,$A254,'Session Tracker'!$F$5:$F$149,"Next week",'Session Tracker'!$G$5:$G$149,"Fri"))</f>
        <v>0</v>
      </c>
      <c r="M254" s="52" t="n">
        <f aca="false">IF($E254="Per class",$D254*COUNTIFS('Session Tracker'!$D$5:$D$149,$A254,'Session Tracker'!$F$5:$F$149,"Next week",'Session Tracker'!$G$5:$G$149,""),$D254*SUMIFS('Session Tracker'!$J$5:$J$149,'Session Tracker'!$D$5:$D$149,$A254,'Session Tracker'!$F$5:$F$149,"Next week",'Session Tracker'!$G$5:$G$149,""))</f>
        <v>0</v>
      </c>
    </row>
    <row r="255" customFormat="false" ht="15" hidden="false" customHeight="false" outlineLevel="0" collapsed="false">
      <c r="A255" s="61" t="s">
        <v>180</v>
      </c>
      <c r="B255" s="34" t="s">
        <v>377</v>
      </c>
      <c r="C255" s="34" t="s">
        <v>378</v>
      </c>
      <c r="D255" s="32" t="n">
        <v>1</v>
      </c>
      <c r="E255" s="32" t="s">
        <v>14</v>
      </c>
      <c r="F255" s="32" t="s">
        <v>368</v>
      </c>
      <c r="G255" s="34" t="s">
        <v>389</v>
      </c>
      <c r="H255" s="52" t="n">
        <f aca="false">IF($E255="Per class",$D255*COUNTIFS('Session Tracker'!$D$5:$D$149,$A255,'Session Tracker'!$F$5:$F$149,"Next week",'Session Tracker'!$G$5:$G$149,"Mon"),$D255*SUMIFS('Session Tracker'!$J$5:$J$149,'Session Tracker'!$D$5:$D$149,$A255,'Session Tracker'!$F$5:$F$149,"Next week",'Session Tracker'!$G$5:$G$149,"Mon"))</f>
        <v>0</v>
      </c>
      <c r="I255" s="52" t="n">
        <f aca="false">IF($E255="Per class",$D255*COUNTIFS('Session Tracker'!$D$5:$D$149,$A255,'Session Tracker'!$F$5:$F$149,"Next week",'Session Tracker'!$G$5:$G$149,"Tue"),$D255*SUMIFS('Session Tracker'!$J$5:$J$149,'Session Tracker'!$D$5:$D$149,$A255,'Session Tracker'!$F$5:$F$149,"Next week",'Session Tracker'!$G$5:$G$149,"Tue"))</f>
        <v>0</v>
      </c>
      <c r="J255" s="52" t="n">
        <f aca="false">IF($E255="Per class",$D255*COUNTIFS('Session Tracker'!$D$5:$D$149,$A255,'Session Tracker'!$F$5:$F$149,"Next week",'Session Tracker'!$G$5:$G$149,"Wed"),$D255*SUMIFS('Session Tracker'!$J$5:$J$149,'Session Tracker'!$D$5:$D$149,$A255,'Session Tracker'!$F$5:$F$149,"Next week",'Session Tracker'!$G$5:$G$149,"Wed"))</f>
        <v>0</v>
      </c>
      <c r="K255" s="52" t="n">
        <f aca="false">IF($E255="Per class",$D255*COUNTIFS('Session Tracker'!$D$5:$D$149,$A255,'Session Tracker'!$F$5:$F$149,"Next week",'Session Tracker'!$G$5:$G$149,"Thu"),$D255*SUMIFS('Session Tracker'!$J$5:$J$149,'Session Tracker'!$D$5:$D$149,$A255,'Session Tracker'!$F$5:$F$149,"Next week",'Session Tracker'!$G$5:$G$149,"Thu"))</f>
        <v>0</v>
      </c>
      <c r="L255" s="52" t="n">
        <f aca="false">IF($E255="Per class",$D255*COUNTIFS('Session Tracker'!$D$5:$D$149,$A255,'Session Tracker'!$F$5:$F$149,"Next week",'Session Tracker'!$G$5:$G$149,"Fri"),$D255*SUMIFS('Session Tracker'!$J$5:$J$149,'Session Tracker'!$D$5:$D$149,$A255,'Session Tracker'!$F$5:$F$149,"Next week",'Session Tracker'!$G$5:$G$149,"Fri"))</f>
        <v>0</v>
      </c>
      <c r="M255" s="52" t="n">
        <f aca="false">IF($E255="Per class",$D255*COUNTIFS('Session Tracker'!$D$5:$D$149,$A255,'Session Tracker'!$F$5:$F$149,"Next week",'Session Tracker'!$G$5:$G$149,""),$D255*SUMIFS('Session Tracker'!$J$5:$J$149,'Session Tracker'!$D$5:$D$149,$A255,'Session Tracker'!$F$5:$F$149,"Next week",'Session Tracker'!$G$5:$G$149,""))</f>
        <v>0</v>
      </c>
    </row>
    <row r="256" customFormat="false" ht="15" hidden="false" customHeight="false" outlineLevel="0" collapsed="false">
      <c r="A256" s="53" t="s">
        <v>180</v>
      </c>
      <c r="B256" s="54"/>
      <c r="C256" s="54"/>
      <c r="D256" s="54"/>
      <c r="E256" s="54"/>
      <c r="F256" s="54"/>
      <c r="G256" s="54"/>
      <c r="H256" s="52" t="n">
        <f aca="false">IF($E256="Per class",$D256*COUNTIFS('Session Tracker'!$D$5:$D$149,$A256,'Session Tracker'!$F$5:$F$149,"Next week",'Session Tracker'!$G$5:$G$149,"Mon"),$D256*SUMIFS('Session Tracker'!$J$5:$J$149,'Session Tracker'!$D$5:$D$149,$A256,'Session Tracker'!$F$5:$F$149,"Next week",'Session Tracker'!$G$5:$G$149,"Mon"))</f>
        <v>0</v>
      </c>
      <c r="I256" s="52" t="n">
        <f aca="false">IF($E256="Per class",$D256*COUNTIFS('Session Tracker'!$D$5:$D$149,$A256,'Session Tracker'!$F$5:$F$149,"Next week",'Session Tracker'!$G$5:$G$149,"Tue"),$D256*SUMIFS('Session Tracker'!$J$5:$J$149,'Session Tracker'!$D$5:$D$149,$A256,'Session Tracker'!$F$5:$F$149,"Next week",'Session Tracker'!$G$5:$G$149,"Tue"))</f>
        <v>0</v>
      </c>
      <c r="J256" s="52" t="n">
        <f aca="false">IF($E256="Per class",$D256*COUNTIFS('Session Tracker'!$D$5:$D$149,$A256,'Session Tracker'!$F$5:$F$149,"Next week",'Session Tracker'!$G$5:$G$149,"Wed"),$D256*SUMIFS('Session Tracker'!$J$5:$J$149,'Session Tracker'!$D$5:$D$149,$A256,'Session Tracker'!$F$5:$F$149,"Next week",'Session Tracker'!$G$5:$G$149,"Wed"))</f>
        <v>0</v>
      </c>
      <c r="K256" s="52" t="n">
        <f aca="false">IF($E256="Per class",$D256*COUNTIFS('Session Tracker'!$D$5:$D$149,$A256,'Session Tracker'!$F$5:$F$149,"Next week",'Session Tracker'!$G$5:$G$149,"Thu"),$D256*SUMIFS('Session Tracker'!$J$5:$J$149,'Session Tracker'!$D$5:$D$149,$A256,'Session Tracker'!$F$5:$F$149,"Next week",'Session Tracker'!$G$5:$G$149,"Thu"))</f>
        <v>0</v>
      </c>
      <c r="L256" s="52" t="n">
        <f aca="false">IF($E256="Per class",$D256*COUNTIFS('Session Tracker'!$D$5:$D$149,$A256,'Session Tracker'!$F$5:$F$149,"Next week",'Session Tracker'!$G$5:$G$149,"Fri"),$D256*SUMIFS('Session Tracker'!$J$5:$J$149,'Session Tracker'!$D$5:$D$149,$A256,'Session Tracker'!$F$5:$F$149,"Next week",'Session Tracker'!$G$5:$G$149,"Fri"))</f>
        <v>0</v>
      </c>
      <c r="M256" s="52" t="n">
        <f aca="false">IF($E256="Per class",$D256*COUNTIFS('Session Tracker'!$D$5:$D$149,$A256,'Session Tracker'!$F$5:$F$149,"Next week",'Session Tracker'!$G$5:$G$149,""),$D256*SUMIFS('Session Tracker'!$J$5:$J$149,'Session Tracker'!$D$5:$D$149,$A256,'Session Tracker'!$F$5:$F$149,"Next week",'Session Tracker'!$G$5:$G$149,""))</f>
        <v>0</v>
      </c>
    </row>
    <row r="257" customFormat="false" ht="15" hidden="false" customHeight="false" outlineLevel="0" collapsed="false">
      <c r="A257" s="53" t="s">
        <v>180</v>
      </c>
      <c r="B257" s="54"/>
      <c r="C257" s="54"/>
      <c r="D257" s="54"/>
      <c r="E257" s="54"/>
      <c r="F257" s="54"/>
      <c r="G257" s="54"/>
      <c r="H257" s="52" t="n">
        <f aca="false">IF($E257="Per class",$D257*COUNTIFS('Session Tracker'!$D$5:$D$149,$A257,'Session Tracker'!$F$5:$F$149,"Next week",'Session Tracker'!$G$5:$G$149,"Mon"),$D257*SUMIFS('Session Tracker'!$J$5:$J$149,'Session Tracker'!$D$5:$D$149,$A257,'Session Tracker'!$F$5:$F$149,"Next week",'Session Tracker'!$G$5:$G$149,"Mon"))</f>
        <v>0</v>
      </c>
      <c r="I257" s="52" t="n">
        <f aca="false">IF($E257="Per class",$D257*COUNTIFS('Session Tracker'!$D$5:$D$149,$A257,'Session Tracker'!$F$5:$F$149,"Next week",'Session Tracker'!$G$5:$G$149,"Tue"),$D257*SUMIFS('Session Tracker'!$J$5:$J$149,'Session Tracker'!$D$5:$D$149,$A257,'Session Tracker'!$F$5:$F$149,"Next week",'Session Tracker'!$G$5:$G$149,"Tue"))</f>
        <v>0</v>
      </c>
      <c r="J257" s="52" t="n">
        <f aca="false">IF($E257="Per class",$D257*COUNTIFS('Session Tracker'!$D$5:$D$149,$A257,'Session Tracker'!$F$5:$F$149,"Next week",'Session Tracker'!$G$5:$G$149,"Wed"),$D257*SUMIFS('Session Tracker'!$J$5:$J$149,'Session Tracker'!$D$5:$D$149,$A257,'Session Tracker'!$F$5:$F$149,"Next week",'Session Tracker'!$G$5:$G$149,"Wed"))</f>
        <v>0</v>
      </c>
      <c r="K257" s="52" t="n">
        <f aca="false">IF($E257="Per class",$D257*COUNTIFS('Session Tracker'!$D$5:$D$149,$A257,'Session Tracker'!$F$5:$F$149,"Next week",'Session Tracker'!$G$5:$G$149,"Thu"),$D257*SUMIFS('Session Tracker'!$J$5:$J$149,'Session Tracker'!$D$5:$D$149,$A257,'Session Tracker'!$F$5:$F$149,"Next week",'Session Tracker'!$G$5:$G$149,"Thu"))</f>
        <v>0</v>
      </c>
      <c r="L257" s="52" t="n">
        <f aca="false">IF($E257="Per class",$D257*COUNTIFS('Session Tracker'!$D$5:$D$149,$A257,'Session Tracker'!$F$5:$F$149,"Next week",'Session Tracker'!$G$5:$G$149,"Fri"),$D257*SUMIFS('Session Tracker'!$J$5:$J$149,'Session Tracker'!$D$5:$D$149,$A257,'Session Tracker'!$F$5:$F$149,"Next week",'Session Tracker'!$G$5:$G$149,"Fri"))</f>
        <v>0</v>
      </c>
      <c r="M257" s="52" t="n">
        <f aca="false">IF($E257="Per class",$D257*COUNTIFS('Session Tracker'!$D$5:$D$149,$A257,'Session Tracker'!$F$5:$F$149,"Next week",'Session Tracker'!$G$5:$G$149,""),$D257*SUMIFS('Session Tracker'!$J$5:$J$149,'Session Tracker'!$D$5:$D$149,$A257,'Session Tracker'!$F$5:$F$149,"Next week",'Session Tracker'!$G$5:$G$149,""))</f>
        <v>0</v>
      </c>
    </row>
    <row r="259" customFormat="false" ht="19.5" hidden="false" customHeight="true" outlineLevel="0" collapsed="false">
      <c r="A259" s="57" t="s">
        <v>182</v>
      </c>
      <c r="B259" s="58" t="s">
        <v>551</v>
      </c>
      <c r="C259" s="58"/>
      <c r="D259" s="58"/>
      <c r="E259" s="58"/>
      <c r="F259" s="59" t="str">
        <f aca="false">"Status: "&amp;'Session Tracker'!F59&amp;IF('Session Tracker'!G59&lt;&gt;""," ("&amp;'Session Tracker'!G59&amp;")","")</f>
        <v>Status: Not started</v>
      </c>
      <c r="G259" s="59"/>
      <c r="H259" s="60"/>
      <c r="I259" s="60"/>
      <c r="J259" s="60"/>
      <c r="K259" s="60"/>
      <c r="L259" s="60"/>
      <c r="M259" s="60"/>
    </row>
    <row r="260" customFormat="false" ht="15" hidden="false" customHeight="false" outlineLevel="0" collapsed="false">
      <c r="A260" s="61" t="s">
        <v>182</v>
      </c>
      <c r="B260" s="34" t="s">
        <v>382</v>
      </c>
      <c r="C260" s="34" t="s">
        <v>383</v>
      </c>
      <c r="D260" s="32" t="n">
        <v>1</v>
      </c>
      <c r="E260" s="32" t="s">
        <v>14</v>
      </c>
      <c r="F260" s="32" t="s">
        <v>368</v>
      </c>
      <c r="G260" s="34"/>
      <c r="H260" s="52" t="n">
        <f aca="false">IF($E260="Per class",$D260*COUNTIFS('Session Tracker'!$D$5:$D$149,$A260,'Session Tracker'!$F$5:$F$149,"Next week",'Session Tracker'!$G$5:$G$149,"Mon"),$D260*SUMIFS('Session Tracker'!$J$5:$J$149,'Session Tracker'!$D$5:$D$149,$A260,'Session Tracker'!$F$5:$F$149,"Next week",'Session Tracker'!$G$5:$G$149,"Mon"))</f>
        <v>0</v>
      </c>
      <c r="I260" s="52" t="n">
        <f aca="false">IF($E260="Per class",$D260*COUNTIFS('Session Tracker'!$D$5:$D$149,$A260,'Session Tracker'!$F$5:$F$149,"Next week",'Session Tracker'!$G$5:$G$149,"Tue"),$D260*SUMIFS('Session Tracker'!$J$5:$J$149,'Session Tracker'!$D$5:$D$149,$A260,'Session Tracker'!$F$5:$F$149,"Next week",'Session Tracker'!$G$5:$G$149,"Tue"))</f>
        <v>0</v>
      </c>
      <c r="J260" s="52" t="n">
        <f aca="false">IF($E260="Per class",$D260*COUNTIFS('Session Tracker'!$D$5:$D$149,$A260,'Session Tracker'!$F$5:$F$149,"Next week",'Session Tracker'!$G$5:$G$149,"Wed"),$D260*SUMIFS('Session Tracker'!$J$5:$J$149,'Session Tracker'!$D$5:$D$149,$A260,'Session Tracker'!$F$5:$F$149,"Next week",'Session Tracker'!$G$5:$G$149,"Wed"))</f>
        <v>0</v>
      </c>
      <c r="K260" s="52" t="n">
        <f aca="false">IF($E260="Per class",$D260*COUNTIFS('Session Tracker'!$D$5:$D$149,$A260,'Session Tracker'!$F$5:$F$149,"Next week",'Session Tracker'!$G$5:$G$149,"Thu"),$D260*SUMIFS('Session Tracker'!$J$5:$J$149,'Session Tracker'!$D$5:$D$149,$A260,'Session Tracker'!$F$5:$F$149,"Next week",'Session Tracker'!$G$5:$G$149,"Thu"))</f>
        <v>0</v>
      </c>
      <c r="L260" s="52" t="n">
        <f aca="false">IF($E260="Per class",$D260*COUNTIFS('Session Tracker'!$D$5:$D$149,$A260,'Session Tracker'!$F$5:$F$149,"Next week",'Session Tracker'!$G$5:$G$149,"Fri"),$D260*SUMIFS('Session Tracker'!$J$5:$J$149,'Session Tracker'!$D$5:$D$149,$A260,'Session Tracker'!$F$5:$F$149,"Next week",'Session Tracker'!$G$5:$G$149,"Fri"))</f>
        <v>0</v>
      </c>
      <c r="M260" s="52" t="n">
        <f aca="false">IF($E260="Per class",$D260*COUNTIFS('Session Tracker'!$D$5:$D$149,$A260,'Session Tracker'!$F$5:$F$149,"Next week",'Session Tracker'!$G$5:$G$149,""),$D260*SUMIFS('Session Tracker'!$J$5:$J$149,'Session Tracker'!$D$5:$D$149,$A260,'Session Tracker'!$F$5:$F$149,"Next week",'Session Tracker'!$G$5:$G$149,""))</f>
        <v>0</v>
      </c>
    </row>
    <row r="261" customFormat="false" ht="15" hidden="false" customHeight="false" outlineLevel="0" collapsed="false">
      <c r="A261" s="53" t="s">
        <v>182</v>
      </c>
      <c r="B261" s="54"/>
      <c r="C261" s="54"/>
      <c r="D261" s="54"/>
      <c r="E261" s="54"/>
      <c r="F261" s="54"/>
      <c r="G261" s="54"/>
      <c r="H261" s="52" t="n">
        <f aca="false">IF($E261="Per class",$D261*COUNTIFS('Session Tracker'!$D$5:$D$149,$A261,'Session Tracker'!$F$5:$F$149,"Next week",'Session Tracker'!$G$5:$G$149,"Mon"),$D261*SUMIFS('Session Tracker'!$J$5:$J$149,'Session Tracker'!$D$5:$D$149,$A261,'Session Tracker'!$F$5:$F$149,"Next week",'Session Tracker'!$G$5:$G$149,"Mon"))</f>
        <v>0</v>
      </c>
      <c r="I261" s="52" t="n">
        <f aca="false">IF($E261="Per class",$D261*COUNTIFS('Session Tracker'!$D$5:$D$149,$A261,'Session Tracker'!$F$5:$F$149,"Next week",'Session Tracker'!$G$5:$G$149,"Tue"),$D261*SUMIFS('Session Tracker'!$J$5:$J$149,'Session Tracker'!$D$5:$D$149,$A261,'Session Tracker'!$F$5:$F$149,"Next week",'Session Tracker'!$G$5:$G$149,"Tue"))</f>
        <v>0</v>
      </c>
      <c r="J261" s="52" t="n">
        <f aca="false">IF($E261="Per class",$D261*COUNTIFS('Session Tracker'!$D$5:$D$149,$A261,'Session Tracker'!$F$5:$F$149,"Next week",'Session Tracker'!$G$5:$G$149,"Wed"),$D261*SUMIFS('Session Tracker'!$J$5:$J$149,'Session Tracker'!$D$5:$D$149,$A261,'Session Tracker'!$F$5:$F$149,"Next week",'Session Tracker'!$G$5:$G$149,"Wed"))</f>
        <v>0</v>
      </c>
      <c r="K261" s="52" t="n">
        <f aca="false">IF($E261="Per class",$D261*COUNTIFS('Session Tracker'!$D$5:$D$149,$A261,'Session Tracker'!$F$5:$F$149,"Next week",'Session Tracker'!$G$5:$G$149,"Thu"),$D261*SUMIFS('Session Tracker'!$J$5:$J$149,'Session Tracker'!$D$5:$D$149,$A261,'Session Tracker'!$F$5:$F$149,"Next week",'Session Tracker'!$G$5:$G$149,"Thu"))</f>
        <v>0</v>
      </c>
      <c r="L261" s="52" t="n">
        <f aca="false">IF($E261="Per class",$D261*COUNTIFS('Session Tracker'!$D$5:$D$149,$A261,'Session Tracker'!$F$5:$F$149,"Next week",'Session Tracker'!$G$5:$G$149,"Fri"),$D261*SUMIFS('Session Tracker'!$J$5:$J$149,'Session Tracker'!$D$5:$D$149,$A261,'Session Tracker'!$F$5:$F$149,"Next week",'Session Tracker'!$G$5:$G$149,"Fri"))</f>
        <v>0</v>
      </c>
      <c r="M261" s="52" t="n">
        <f aca="false">IF($E261="Per class",$D261*COUNTIFS('Session Tracker'!$D$5:$D$149,$A261,'Session Tracker'!$F$5:$F$149,"Next week",'Session Tracker'!$G$5:$G$149,""),$D261*SUMIFS('Session Tracker'!$J$5:$J$149,'Session Tracker'!$D$5:$D$149,$A261,'Session Tracker'!$F$5:$F$149,"Next week",'Session Tracker'!$G$5:$G$149,""))</f>
        <v>0</v>
      </c>
    </row>
    <row r="262" customFormat="false" ht="15" hidden="false" customHeight="false" outlineLevel="0" collapsed="false">
      <c r="A262" s="53" t="s">
        <v>182</v>
      </c>
      <c r="B262" s="54"/>
      <c r="C262" s="54"/>
      <c r="D262" s="54"/>
      <c r="E262" s="54"/>
      <c r="F262" s="54"/>
      <c r="G262" s="54"/>
      <c r="H262" s="52" t="n">
        <f aca="false">IF($E262="Per class",$D262*COUNTIFS('Session Tracker'!$D$5:$D$149,$A262,'Session Tracker'!$F$5:$F$149,"Next week",'Session Tracker'!$G$5:$G$149,"Mon"),$D262*SUMIFS('Session Tracker'!$J$5:$J$149,'Session Tracker'!$D$5:$D$149,$A262,'Session Tracker'!$F$5:$F$149,"Next week",'Session Tracker'!$G$5:$G$149,"Mon"))</f>
        <v>0</v>
      </c>
      <c r="I262" s="52" t="n">
        <f aca="false">IF($E262="Per class",$D262*COUNTIFS('Session Tracker'!$D$5:$D$149,$A262,'Session Tracker'!$F$5:$F$149,"Next week",'Session Tracker'!$G$5:$G$149,"Tue"),$D262*SUMIFS('Session Tracker'!$J$5:$J$149,'Session Tracker'!$D$5:$D$149,$A262,'Session Tracker'!$F$5:$F$149,"Next week",'Session Tracker'!$G$5:$G$149,"Tue"))</f>
        <v>0</v>
      </c>
      <c r="J262" s="52" t="n">
        <f aca="false">IF($E262="Per class",$D262*COUNTIFS('Session Tracker'!$D$5:$D$149,$A262,'Session Tracker'!$F$5:$F$149,"Next week",'Session Tracker'!$G$5:$G$149,"Wed"),$D262*SUMIFS('Session Tracker'!$J$5:$J$149,'Session Tracker'!$D$5:$D$149,$A262,'Session Tracker'!$F$5:$F$149,"Next week",'Session Tracker'!$G$5:$G$149,"Wed"))</f>
        <v>0</v>
      </c>
      <c r="K262" s="52" t="n">
        <f aca="false">IF($E262="Per class",$D262*COUNTIFS('Session Tracker'!$D$5:$D$149,$A262,'Session Tracker'!$F$5:$F$149,"Next week",'Session Tracker'!$G$5:$G$149,"Thu"),$D262*SUMIFS('Session Tracker'!$J$5:$J$149,'Session Tracker'!$D$5:$D$149,$A262,'Session Tracker'!$F$5:$F$149,"Next week",'Session Tracker'!$G$5:$G$149,"Thu"))</f>
        <v>0</v>
      </c>
      <c r="L262" s="52" t="n">
        <f aca="false">IF($E262="Per class",$D262*COUNTIFS('Session Tracker'!$D$5:$D$149,$A262,'Session Tracker'!$F$5:$F$149,"Next week",'Session Tracker'!$G$5:$G$149,"Fri"),$D262*SUMIFS('Session Tracker'!$J$5:$J$149,'Session Tracker'!$D$5:$D$149,$A262,'Session Tracker'!$F$5:$F$149,"Next week",'Session Tracker'!$G$5:$G$149,"Fri"))</f>
        <v>0</v>
      </c>
      <c r="M262" s="52" t="n">
        <f aca="false">IF($E262="Per class",$D262*COUNTIFS('Session Tracker'!$D$5:$D$149,$A262,'Session Tracker'!$F$5:$F$149,"Next week",'Session Tracker'!$G$5:$G$149,""),$D262*SUMIFS('Session Tracker'!$J$5:$J$149,'Session Tracker'!$D$5:$D$149,$A262,'Session Tracker'!$F$5:$F$149,"Next week",'Session Tracker'!$G$5:$G$149,""))</f>
        <v>0</v>
      </c>
    </row>
    <row r="264" customFormat="false" ht="19.5" hidden="false" customHeight="true" outlineLevel="0" collapsed="false">
      <c r="A264" s="57" t="s">
        <v>184</v>
      </c>
      <c r="B264" s="58" t="s">
        <v>552</v>
      </c>
      <c r="C264" s="58"/>
      <c r="D264" s="58"/>
      <c r="E264" s="58"/>
      <c r="F264" s="59" t="str">
        <f aca="false">"Status: "&amp;'Session Tracker'!F60&amp;IF('Session Tracker'!G60&lt;&gt;""," ("&amp;'Session Tracker'!G60&amp;")","")</f>
        <v>Status: Not started</v>
      </c>
      <c r="G264" s="59"/>
      <c r="H264" s="60"/>
      <c r="I264" s="60"/>
      <c r="J264" s="60"/>
      <c r="K264" s="60"/>
      <c r="L264" s="60"/>
      <c r="M264" s="60"/>
    </row>
    <row r="265" customFormat="false" ht="23.85" hidden="false" customHeight="false" outlineLevel="0" collapsed="false">
      <c r="A265" s="61" t="s">
        <v>184</v>
      </c>
      <c r="B265" s="34" t="s">
        <v>366</v>
      </c>
      <c r="C265" s="34" t="s">
        <v>367</v>
      </c>
      <c r="D265" s="32" t="n">
        <v>1</v>
      </c>
      <c r="E265" s="32" t="s">
        <v>14</v>
      </c>
      <c r="F265" s="32" t="s">
        <v>368</v>
      </c>
      <c r="G265" s="34"/>
      <c r="H265" s="52" t="n">
        <f aca="false">IF($E265="Per class",$D265*COUNTIFS('Session Tracker'!$D$5:$D$149,$A265,'Session Tracker'!$F$5:$F$149,"Next week",'Session Tracker'!$G$5:$G$149,"Mon"),$D265*SUMIFS('Session Tracker'!$J$5:$J$149,'Session Tracker'!$D$5:$D$149,$A265,'Session Tracker'!$F$5:$F$149,"Next week",'Session Tracker'!$G$5:$G$149,"Mon"))</f>
        <v>0</v>
      </c>
      <c r="I265" s="52" t="n">
        <f aca="false">IF($E265="Per class",$D265*COUNTIFS('Session Tracker'!$D$5:$D$149,$A265,'Session Tracker'!$F$5:$F$149,"Next week",'Session Tracker'!$G$5:$G$149,"Tue"),$D265*SUMIFS('Session Tracker'!$J$5:$J$149,'Session Tracker'!$D$5:$D$149,$A265,'Session Tracker'!$F$5:$F$149,"Next week",'Session Tracker'!$G$5:$G$149,"Tue"))</f>
        <v>0</v>
      </c>
      <c r="J265" s="52" t="n">
        <f aca="false">IF($E265="Per class",$D265*COUNTIFS('Session Tracker'!$D$5:$D$149,$A265,'Session Tracker'!$F$5:$F$149,"Next week",'Session Tracker'!$G$5:$G$149,"Wed"),$D265*SUMIFS('Session Tracker'!$J$5:$J$149,'Session Tracker'!$D$5:$D$149,$A265,'Session Tracker'!$F$5:$F$149,"Next week",'Session Tracker'!$G$5:$G$149,"Wed"))</f>
        <v>0</v>
      </c>
      <c r="K265" s="52" t="n">
        <f aca="false">IF($E265="Per class",$D265*COUNTIFS('Session Tracker'!$D$5:$D$149,$A265,'Session Tracker'!$F$5:$F$149,"Next week",'Session Tracker'!$G$5:$G$149,"Thu"),$D265*SUMIFS('Session Tracker'!$J$5:$J$149,'Session Tracker'!$D$5:$D$149,$A265,'Session Tracker'!$F$5:$F$149,"Next week",'Session Tracker'!$G$5:$G$149,"Thu"))</f>
        <v>0</v>
      </c>
      <c r="L265" s="52" t="n">
        <f aca="false">IF($E265="Per class",$D265*COUNTIFS('Session Tracker'!$D$5:$D$149,$A265,'Session Tracker'!$F$5:$F$149,"Next week",'Session Tracker'!$G$5:$G$149,"Fri"),$D265*SUMIFS('Session Tracker'!$J$5:$J$149,'Session Tracker'!$D$5:$D$149,$A265,'Session Tracker'!$F$5:$F$149,"Next week",'Session Tracker'!$G$5:$G$149,"Fri"))</f>
        <v>0</v>
      </c>
      <c r="M265" s="52" t="n">
        <f aca="false">IF($E265="Per class",$D265*COUNTIFS('Session Tracker'!$D$5:$D$149,$A265,'Session Tracker'!$F$5:$F$149,"Next week",'Session Tracker'!$G$5:$G$149,""),$D265*SUMIFS('Session Tracker'!$J$5:$J$149,'Session Tracker'!$D$5:$D$149,$A265,'Session Tracker'!$F$5:$F$149,"Next week",'Session Tracker'!$G$5:$G$149,""))</f>
        <v>0</v>
      </c>
    </row>
    <row r="266" customFormat="false" ht="15" hidden="false" customHeight="false" outlineLevel="0" collapsed="false">
      <c r="A266" s="61" t="s">
        <v>184</v>
      </c>
      <c r="B266" s="34" t="s">
        <v>375</v>
      </c>
      <c r="C266" s="34" t="s">
        <v>387</v>
      </c>
      <c r="D266" s="32" t="n">
        <v>1</v>
      </c>
      <c r="E266" s="32" t="s">
        <v>14</v>
      </c>
      <c r="F266" s="32" t="s">
        <v>368</v>
      </c>
      <c r="G266" s="34"/>
      <c r="H266" s="52" t="n">
        <f aca="false">IF($E266="Per class",$D266*COUNTIFS('Session Tracker'!$D$5:$D$149,$A266,'Session Tracker'!$F$5:$F$149,"Next week",'Session Tracker'!$G$5:$G$149,"Mon"),$D266*SUMIFS('Session Tracker'!$J$5:$J$149,'Session Tracker'!$D$5:$D$149,$A266,'Session Tracker'!$F$5:$F$149,"Next week",'Session Tracker'!$G$5:$G$149,"Mon"))</f>
        <v>0</v>
      </c>
      <c r="I266" s="52" t="n">
        <f aca="false">IF($E266="Per class",$D266*COUNTIFS('Session Tracker'!$D$5:$D$149,$A266,'Session Tracker'!$F$5:$F$149,"Next week",'Session Tracker'!$G$5:$G$149,"Tue"),$D266*SUMIFS('Session Tracker'!$J$5:$J$149,'Session Tracker'!$D$5:$D$149,$A266,'Session Tracker'!$F$5:$F$149,"Next week",'Session Tracker'!$G$5:$G$149,"Tue"))</f>
        <v>0</v>
      </c>
      <c r="J266" s="52" t="n">
        <f aca="false">IF($E266="Per class",$D266*COUNTIFS('Session Tracker'!$D$5:$D$149,$A266,'Session Tracker'!$F$5:$F$149,"Next week",'Session Tracker'!$G$5:$G$149,"Wed"),$D266*SUMIFS('Session Tracker'!$J$5:$J$149,'Session Tracker'!$D$5:$D$149,$A266,'Session Tracker'!$F$5:$F$149,"Next week",'Session Tracker'!$G$5:$G$149,"Wed"))</f>
        <v>0</v>
      </c>
      <c r="K266" s="52" t="n">
        <f aca="false">IF($E266="Per class",$D266*COUNTIFS('Session Tracker'!$D$5:$D$149,$A266,'Session Tracker'!$F$5:$F$149,"Next week",'Session Tracker'!$G$5:$G$149,"Thu"),$D266*SUMIFS('Session Tracker'!$J$5:$J$149,'Session Tracker'!$D$5:$D$149,$A266,'Session Tracker'!$F$5:$F$149,"Next week",'Session Tracker'!$G$5:$G$149,"Thu"))</f>
        <v>0</v>
      </c>
      <c r="L266" s="52" t="n">
        <f aca="false">IF($E266="Per class",$D266*COUNTIFS('Session Tracker'!$D$5:$D$149,$A266,'Session Tracker'!$F$5:$F$149,"Next week",'Session Tracker'!$G$5:$G$149,"Fri"),$D266*SUMIFS('Session Tracker'!$J$5:$J$149,'Session Tracker'!$D$5:$D$149,$A266,'Session Tracker'!$F$5:$F$149,"Next week",'Session Tracker'!$G$5:$G$149,"Fri"))</f>
        <v>0</v>
      </c>
      <c r="M266" s="52" t="n">
        <f aca="false">IF($E266="Per class",$D266*COUNTIFS('Session Tracker'!$D$5:$D$149,$A266,'Session Tracker'!$F$5:$F$149,"Next week",'Session Tracker'!$G$5:$G$149,""),$D266*SUMIFS('Session Tracker'!$J$5:$J$149,'Session Tracker'!$D$5:$D$149,$A266,'Session Tracker'!$F$5:$F$149,"Next week",'Session Tracker'!$G$5:$G$149,""))</f>
        <v>0</v>
      </c>
    </row>
    <row r="267" customFormat="false" ht="15" hidden="false" customHeight="false" outlineLevel="0" collapsed="false">
      <c r="A267" s="61" t="s">
        <v>184</v>
      </c>
      <c r="B267" s="34" t="s">
        <v>375</v>
      </c>
      <c r="C267" s="34" t="s">
        <v>385</v>
      </c>
      <c r="D267" s="32" t="n">
        <v>1</v>
      </c>
      <c r="E267" s="32" t="s">
        <v>14</v>
      </c>
      <c r="F267" s="32" t="s">
        <v>368</v>
      </c>
      <c r="G267" s="34"/>
      <c r="H267" s="52" t="n">
        <f aca="false">IF($E267="Per class",$D267*COUNTIFS('Session Tracker'!$D$5:$D$149,$A267,'Session Tracker'!$F$5:$F$149,"Next week",'Session Tracker'!$G$5:$G$149,"Mon"),$D267*SUMIFS('Session Tracker'!$J$5:$J$149,'Session Tracker'!$D$5:$D$149,$A267,'Session Tracker'!$F$5:$F$149,"Next week",'Session Tracker'!$G$5:$G$149,"Mon"))</f>
        <v>0</v>
      </c>
      <c r="I267" s="52" t="n">
        <f aca="false">IF($E267="Per class",$D267*COUNTIFS('Session Tracker'!$D$5:$D$149,$A267,'Session Tracker'!$F$5:$F$149,"Next week",'Session Tracker'!$G$5:$G$149,"Tue"),$D267*SUMIFS('Session Tracker'!$J$5:$J$149,'Session Tracker'!$D$5:$D$149,$A267,'Session Tracker'!$F$5:$F$149,"Next week",'Session Tracker'!$G$5:$G$149,"Tue"))</f>
        <v>0</v>
      </c>
      <c r="J267" s="52" t="n">
        <f aca="false">IF($E267="Per class",$D267*COUNTIFS('Session Tracker'!$D$5:$D$149,$A267,'Session Tracker'!$F$5:$F$149,"Next week",'Session Tracker'!$G$5:$G$149,"Wed"),$D267*SUMIFS('Session Tracker'!$J$5:$J$149,'Session Tracker'!$D$5:$D$149,$A267,'Session Tracker'!$F$5:$F$149,"Next week",'Session Tracker'!$G$5:$G$149,"Wed"))</f>
        <v>0</v>
      </c>
      <c r="K267" s="52" t="n">
        <f aca="false">IF($E267="Per class",$D267*COUNTIFS('Session Tracker'!$D$5:$D$149,$A267,'Session Tracker'!$F$5:$F$149,"Next week",'Session Tracker'!$G$5:$G$149,"Thu"),$D267*SUMIFS('Session Tracker'!$J$5:$J$149,'Session Tracker'!$D$5:$D$149,$A267,'Session Tracker'!$F$5:$F$149,"Next week",'Session Tracker'!$G$5:$G$149,"Thu"))</f>
        <v>0</v>
      </c>
      <c r="L267" s="52" t="n">
        <f aca="false">IF($E267="Per class",$D267*COUNTIFS('Session Tracker'!$D$5:$D$149,$A267,'Session Tracker'!$F$5:$F$149,"Next week",'Session Tracker'!$G$5:$G$149,"Fri"),$D267*SUMIFS('Session Tracker'!$J$5:$J$149,'Session Tracker'!$D$5:$D$149,$A267,'Session Tracker'!$F$5:$F$149,"Next week",'Session Tracker'!$G$5:$G$149,"Fri"))</f>
        <v>0</v>
      </c>
      <c r="M267" s="52" t="n">
        <f aca="false">IF($E267="Per class",$D267*COUNTIFS('Session Tracker'!$D$5:$D$149,$A267,'Session Tracker'!$F$5:$F$149,"Next week",'Session Tracker'!$G$5:$G$149,""),$D267*SUMIFS('Session Tracker'!$J$5:$J$149,'Session Tracker'!$D$5:$D$149,$A267,'Session Tracker'!$F$5:$F$149,"Next week",'Session Tracker'!$G$5:$G$149,""))</f>
        <v>0</v>
      </c>
    </row>
    <row r="268" customFormat="false" ht="15" hidden="false" customHeight="false" outlineLevel="0" collapsed="false">
      <c r="A268" s="61" t="s">
        <v>184</v>
      </c>
      <c r="B268" s="34" t="s">
        <v>375</v>
      </c>
      <c r="C268" s="34" t="s">
        <v>417</v>
      </c>
      <c r="D268" s="32" t="n">
        <v>1</v>
      </c>
      <c r="E268" s="32" t="s">
        <v>14</v>
      </c>
      <c r="F268" s="32" t="s">
        <v>373</v>
      </c>
      <c r="G268" s="34"/>
      <c r="H268" s="52" t="n">
        <f aca="false">IF($E268="Per class",$D268*COUNTIFS('Session Tracker'!$D$5:$D$149,$A268,'Session Tracker'!$F$5:$F$149,"Next week",'Session Tracker'!$G$5:$G$149,"Mon"),$D268*SUMIFS('Session Tracker'!$J$5:$J$149,'Session Tracker'!$D$5:$D$149,$A268,'Session Tracker'!$F$5:$F$149,"Next week",'Session Tracker'!$G$5:$G$149,"Mon"))</f>
        <v>0</v>
      </c>
      <c r="I268" s="52" t="n">
        <f aca="false">IF($E268="Per class",$D268*COUNTIFS('Session Tracker'!$D$5:$D$149,$A268,'Session Tracker'!$F$5:$F$149,"Next week",'Session Tracker'!$G$5:$G$149,"Tue"),$D268*SUMIFS('Session Tracker'!$J$5:$J$149,'Session Tracker'!$D$5:$D$149,$A268,'Session Tracker'!$F$5:$F$149,"Next week",'Session Tracker'!$G$5:$G$149,"Tue"))</f>
        <v>0</v>
      </c>
      <c r="J268" s="52" t="n">
        <f aca="false">IF($E268="Per class",$D268*COUNTIFS('Session Tracker'!$D$5:$D$149,$A268,'Session Tracker'!$F$5:$F$149,"Next week",'Session Tracker'!$G$5:$G$149,"Wed"),$D268*SUMIFS('Session Tracker'!$J$5:$J$149,'Session Tracker'!$D$5:$D$149,$A268,'Session Tracker'!$F$5:$F$149,"Next week",'Session Tracker'!$G$5:$G$149,"Wed"))</f>
        <v>0</v>
      </c>
      <c r="K268" s="52" t="n">
        <f aca="false">IF($E268="Per class",$D268*COUNTIFS('Session Tracker'!$D$5:$D$149,$A268,'Session Tracker'!$F$5:$F$149,"Next week",'Session Tracker'!$G$5:$G$149,"Thu"),$D268*SUMIFS('Session Tracker'!$J$5:$J$149,'Session Tracker'!$D$5:$D$149,$A268,'Session Tracker'!$F$5:$F$149,"Next week",'Session Tracker'!$G$5:$G$149,"Thu"))</f>
        <v>0</v>
      </c>
      <c r="L268" s="52" t="n">
        <f aca="false">IF($E268="Per class",$D268*COUNTIFS('Session Tracker'!$D$5:$D$149,$A268,'Session Tracker'!$F$5:$F$149,"Next week",'Session Tracker'!$G$5:$G$149,"Fri"),$D268*SUMIFS('Session Tracker'!$J$5:$J$149,'Session Tracker'!$D$5:$D$149,$A268,'Session Tracker'!$F$5:$F$149,"Next week",'Session Tracker'!$G$5:$G$149,"Fri"))</f>
        <v>0</v>
      </c>
      <c r="M268" s="52" t="n">
        <f aca="false">IF($E268="Per class",$D268*COUNTIFS('Session Tracker'!$D$5:$D$149,$A268,'Session Tracker'!$F$5:$F$149,"Next week",'Session Tracker'!$G$5:$G$149,""),$D268*SUMIFS('Session Tracker'!$J$5:$J$149,'Session Tracker'!$D$5:$D$149,$A268,'Session Tracker'!$F$5:$F$149,"Next week",'Session Tracker'!$G$5:$G$149,""))</f>
        <v>0</v>
      </c>
    </row>
    <row r="269" customFormat="false" ht="15" hidden="false" customHeight="false" outlineLevel="0" collapsed="false">
      <c r="A269" s="61" t="s">
        <v>184</v>
      </c>
      <c r="B269" s="34" t="s">
        <v>379</v>
      </c>
      <c r="C269" s="34" t="s">
        <v>380</v>
      </c>
      <c r="D269" s="32" t="n">
        <v>1</v>
      </c>
      <c r="E269" s="32" t="s">
        <v>14</v>
      </c>
      <c r="F269" s="32" t="s">
        <v>368</v>
      </c>
      <c r="G269" s="34"/>
      <c r="H269" s="52" t="n">
        <f aca="false">IF($E269="Per class",$D269*COUNTIFS('Session Tracker'!$D$5:$D$149,$A269,'Session Tracker'!$F$5:$F$149,"Next week",'Session Tracker'!$G$5:$G$149,"Mon"),$D269*SUMIFS('Session Tracker'!$J$5:$J$149,'Session Tracker'!$D$5:$D$149,$A269,'Session Tracker'!$F$5:$F$149,"Next week",'Session Tracker'!$G$5:$G$149,"Mon"))</f>
        <v>0</v>
      </c>
      <c r="I269" s="52" t="n">
        <f aca="false">IF($E269="Per class",$D269*COUNTIFS('Session Tracker'!$D$5:$D$149,$A269,'Session Tracker'!$F$5:$F$149,"Next week",'Session Tracker'!$G$5:$G$149,"Tue"),$D269*SUMIFS('Session Tracker'!$J$5:$J$149,'Session Tracker'!$D$5:$D$149,$A269,'Session Tracker'!$F$5:$F$149,"Next week",'Session Tracker'!$G$5:$G$149,"Tue"))</f>
        <v>0</v>
      </c>
      <c r="J269" s="52" t="n">
        <f aca="false">IF($E269="Per class",$D269*COUNTIFS('Session Tracker'!$D$5:$D$149,$A269,'Session Tracker'!$F$5:$F$149,"Next week",'Session Tracker'!$G$5:$G$149,"Wed"),$D269*SUMIFS('Session Tracker'!$J$5:$J$149,'Session Tracker'!$D$5:$D$149,$A269,'Session Tracker'!$F$5:$F$149,"Next week",'Session Tracker'!$G$5:$G$149,"Wed"))</f>
        <v>0</v>
      </c>
      <c r="K269" s="52" t="n">
        <f aca="false">IF($E269="Per class",$D269*COUNTIFS('Session Tracker'!$D$5:$D$149,$A269,'Session Tracker'!$F$5:$F$149,"Next week",'Session Tracker'!$G$5:$G$149,"Thu"),$D269*SUMIFS('Session Tracker'!$J$5:$J$149,'Session Tracker'!$D$5:$D$149,$A269,'Session Tracker'!$F$5:$F$149,"Next week",'Session Tracker'!$G$5:$G$149,"Thu"))</f>
        <v>0</v>
      </c>
      <c r="L269" s="52" t="n">
        <f aca="false">IF($E269="Per class",$D269*COUNTIFS('Session Tracker'!$D$5:$D$149,$A269,'Session Tracker'!$F$5:$F$149,"Next week",'Session Tracker'!$G$5:$G$149,"Fri"),$D269*SUMIFS('Session Tracker'!$J$5:$J$149,'Session Tracker'!$D$5:$D$149,$A269,'Session Tracker'!$F$5:$F$149,"Next week",'Session Tracker'!$G$5:$G$149,"Fri"))</f>
        <v>0</v>
      </c>
      <c r="M269" s="52" t="n">
        <f aca="false">IF($E269="Per class",$D269*COUNTIFS('Session Tracker'!$D$5:$D$149,$A269,'Session Tracker'!$F$5:$F$149,"Next week",'Session Tracker'!$G$5:$G$149,""),$D269*SUMIFS('Session Tracker'!$J$5:$J$149,'Session Tracker'!$D$5:$D$149,$A269,'Session Tracker'!$F$5:$F$149,"Next week",'Session Tracker'!$G$5:$G$149,""))</f>
        <v>0</v>
      </c>
    </row>
    <row r="270" customFormat="false" ht="15" hidden="false" customHeight="false" outlineLevel="0" collapsed="false">
      <c r="A270" s="61" t="s">
        <v>184</v>
      </c>
      <c r="B270" s="34" t="s">
        <v>379</v>
      </c>
      <c r="C270" s="34" t="s">
        <v>381</v>
      </c>
      <c r="D270" s="32" t="n">
        <v>6</v>
      </c>
      <c r="E270" s="32" t="s">
        <v>14</v>
      </c>
      <c r="F270" s="32" t="s">
        <v>368</v>
      </c>
      <c r="G270" s="34"/>
      <c r="H270" s="52" t="n">
        <f aca="false">IF($E270="Per class",$D270*COUNTIFS('Session Tracker'!$D$5:$D$149,$A270,'Session Tracker'!$F$5:$F$149,"Next week",'Session Tracker'!$G$5:$G$149,"Mon"),$D270*SUMIFS('Session Tracker'!$J$5:$J$149,'Session Tracker'!$D$5:$D$149,$A270,'Session Tracker'!$F$5:$F$149,"Next week",'Session Tracker'!$G$5:$G$149,"Mon"))</f>
        <v>0</v>
      </c>
      <c r="I270" s="52" t="n">
        <f aca="false">IF($E270="Per class",$D270*COUNTIFS('Session Tracker'!$D$5:$D$149,$A270,'Session Tracker'!$F$5:$F$149,"Next week",'Session Tracker'!$G$5:$G$149,"Tue"),$D270*SUMIFS('Session Tracker'!$J$5:$J$149,'Session Tracker'!$D$5:$D$149,$A270,'Session Tracker'!$F$5:$F$149,"Next week",'Session Tracker'!$G$5:$G$149,"Tue"))</f>
        <v>0</v>
      </c>
      <c r="J270" s="52" t="n">
        <f aca="false">IF($E270="Per class",$D270*COUNTIFS('Session Tracker'!$D$5:$D$149,$A270,'Session Tracker'!$F$5:$F$149,"Next week",'Session Tracker'!$G$5:$G$149,"Wed"),$D270*SUMIFS('Session Tracker'!$J$5:$J$149,'Session Tracker'!$D$5:$D$149,$A270,'Session Tracker'!$F$5:$F$149,"Next week",'Session Tracker'!$G$5:$G$149,"Wed"))</f>
        <v>0</v>
      </c>
      <c r="K270" s="52" t="n">
        <f aca="false">IF($E270="Per class",$D270*COUNTIFS('Session Tracker'!$D$5:$D$149,$A270,'Session Tracker'!$F$5:$F$149,"Next week",'Session Tracker'!$G$5:$G$149,"Thu"),$D270*SUMIFS('Session Tracker'!$J$5:$J$149,'Session Tracker'!$D$5:$D$149,$A270,'Session Tracker'!$F$5:$F$149,"Next week",'Session Tracker'!$G$5:$G$149,"Thu"))</f>
        <v>0</v>
      </c>
      <c r="L270" s="52" t="n">
        <f aca="false">IF($E270="Per class",$D270*COUNTIFS('Session Tracker'!$D$5:$D$149,$A270,'Session Tracker'!$F$5:$F$149,"Next week",'Session Tracker'!$G$5:$G$149,"Fri"),$D270*SUMIFS('Session Tracker'!$J$5:$J$149,'Session Tracker'!$D$5:$D$149,$A270,'Session Tracker'!$F$5:$F$149,"Next week",'Session Tracker'!$G$5:$G$149,"Fri"))</f>
        <v>0</v>
      </c>
      <c r="M270" s="52" t="n">
        <f aca="false">IF($E270="Per class",$D270*COUNTIFS('Session Tracker'!$D$5:$D$149,$A270,'Session Tracker'!$F$5:$F$149,"Next week",'Session Tracker'!$G$5:$G$149,""),$D270*SUMIFS('Session Tracker'!$J$5:$J$149,'Session Tracker'!$D$5:$D$149,$A270,'Session Tracker'!$F$5:$F$149,"Next week",'Session Tracker'!$G$5:$G$149,""))</f>
        <v>0</v>
      </c>
    </row>
    <row r="271" customFormat="false" ht="15" hidden="false" customHeight="false" outlineLevel="0" collapsed="false">
      <c r="A271" s="61" t="s">
        <v>184</v>
      </c>
      <c r="B271" s="34" t="s">
        <v>382</v>
      </c>
      <c r="C271" s="34" t="s">
        <v>383</v>
      </c>
      <c r="D271" s="32" t="n">
        <v>1</v>
      </c>
      <c r="E271" s="32" t="s">
        <v>14</v>
      </c>
      <c r="F271" s="32" t="s">
        <v>368</v>
      </c>
      <c r="G271" s="34"/>
      <c r="H271" s="52" t="n">
        <f aca="false">IF($E271="Per class",$D271*COUNTIFS('Session Tracker'!$D$5:$D$149,$A271,'Session Tracker'!$F$5:$F$149,"Next week",'Session Tracker'!$G$5:$G$149,"Mon"),$D271*SUMIFS('Session Tracker'!$J$5:$J$149,'Session Tracker'!$D$5:$D$149,$A271,'Session Tracker'!$F$5:$F$149,"Next week",'Session Tracker'!$G$5:$G$149,"Mon"))</f>
        <v>0</v>
      </c>
      <c r="I271" s="52" t="n">
        <f aca="false">IF($E271="Per class",$D271*COUNTIFS('Session Tracker'!$D$5:$D$149,$A271,'Session Tracker'!$F$5:$F$149,"Next week",'Session Tracker'!$G$5:$G$149,"Tue"),$D271*SUMIFS('Session Tracker'!$J$5:$J$149,'Session Tracker'!$D$5:$D$149,$A271,'Session Tracker'!$F$5:$F$149,"Next week",'Session Tracker'!$G$5:$G$149,"Tue"))</f>
        <v>0</v>
      </c>
      <c r="J271" s="52" t="n">
        <f aca="false">IF($E271="Per class",$D271*COUNTIFS('Session Tracker'!$D$5:$D$149,$A271,'Session Tracker'!$F$5:$F$149,"Next week",'Session Tracker'!$G$5:$G$149,"Wed"),$D271*SUMIFS('Session Tracker'!$J$5:$J$149,'Session Tracker'!$D$5:$D$149,$A271,'Session Tracker'!$F$5:$F$149,"Next week",'Session Tracker'!$G$5:$G$149,"Wed"))</f>
        <v>0</v>
      </c>
      <c r="K271" s="52" t="n">
        <f aca="false">IF($E271="Per class",$D271*COUNTIFS('Session Tracker'!$D$5:$D$149,$A271,'Session Tracker'!$F$5:$F$149,"Next week",'Session Tracker'!$G$5:$G$149,"Thu"),$D271*SUMIFS('Session Tracker'!$J$5:$J$149,'Session Tracker'!$D$5:$D$149,$A271,'Session Tracker'!$F$5:$F$149,"Next week",'Session Tracker'!$G$5:$G$149,"Thu"))</f>
        <v>0</v>
      </c>
      <c r="L271" s="52" t="n">
        <f aca="false">IF($E271="Per class",$D271*COUNTIFS('Session Tracker'!$D$5:$D$149,$A271,'Session Tracker'!$F$5:$F$149,"Next week",'Session Tracker'!$G$5:$G$149,"Fri"),$D271*SUMIFS('Session Tracker'!$J$5:$J$149,'Session Tracker'!$D$5:$D$149,$A271,'Session Tracker'!$F$5:$F$149,"Next week",'Session Tracker'!$G$5:$G$149,"Fri"))</f>
        <v>0</v>
      </c>
      <c r="M271" s="52" t="n">
        <f aca="false">IF($E271="Per class",$D271*COUNTIFS('Session Tracker'!$D$5:$D$149,$A271,'Session Tracker'!$F$5:$F$149,"Next week",'Session Tracker'!$G$5:$G$149,""),$D271*SUMIFS('Session Tracker'!$J$5:$J$149,'Session Tracker'!$D$5:$D$149,$A271,'Session Tracker'!$F$5:$F$149,"Next week",'Session Tracker'!$G$5:$G$149,""))</f>
        <v>0</v>
      </c>
    </row>
    <row r="272" customFormat="false" ht="15" hidden="false" customHeight="false" outlineLevel="0" collapsed="false">
      <c r="A272" s="61" t="s">
        <v>184</v>
      </c>
      <c r="B272" s="34" t="s">
        <v>371</v>
      </c>
      <c r="C272" s="34" t="s">
        <v>372</v>
      </c>
      <c r="D272" s="32" t="n">
        <v>1</v>
      </c>
      <c r="E272" s="32" t="s">
        <v>14</v>
      </c>
      <c r="F272" s="32" t="s">
        <v>373</v>
      </c>
      <c r="G272" s="34" t="s">
        <v>389</v>
      </c>
      <c r="H272" s="52" t="n">
        <f aca="false">IF($E272="Per class",$D272*COUNTIFS('Session Tracker'!$D$5:$D$149,$A272,'Session Tracker'!$F$5:$F$149,"Next week",'Session Tracker'!$G$5:$G$149,"Mon"),$D272*SUMIFS('Session Tracker'!$J$5:$J$149,'Session Tracker'!$D$5:$D$149,$A272,'Session Tracker'!$F$5:$F$149,"Next week",'Session Tracker'!$G$5:$G$149,"Mon"))</f>
        <v>0</v>
      </c>
      <c r="I272" s="52" t="n">
        <f aca="false">IF($E272="Per class",$D272*COUNTIFS('Session Tracker'!$D$5:$D$149,$A272,'Session Tracker'!$F$5:$F$149,"Next week",'Session Tracker'!$G$5:$G$149,"Tue"),$D272*SUMIFS('Session Tracker'!$J$5:$J$149,'Session Tracker'!$D$5:$D$149,$A272,'Session Tracker'!$F$5:$F$149,"Next week",'Session Tracker'!$G$5:$G$149,"Tue"))</f>
        <v>0</v>
      </c>
      <c r="J272" s="52" t="n">
        <f aca="false">IF($E272="Per class",$D272*COUNTIFS('Session Tracker'!$D$5:$D$149,$A272,'Session Tracker'!$F$5:$F$149,"Next week",'Session Tracker'!$G$5:$G$149,"Wed"),$D272*SUMIFS('Session Tracker'!$J$5:$J$149,'Session Tracker'!$D$5:$D$149,$A272,'Session Tracker'!$F$5:$F$149,"Next week",'Session Tracker'!$G$5:$G$149,"Wed"))</f>
        <v>0</v>
      </c>
      <c r="K272" s="52" t="n">
        <f aca="false">IF($E272="Per class",$D272*COUNTIFS('Session Tracker'!$D$5:$D$149,$A272,'Session Tracker'!$F$5:$F$149,"Next week",'Session Tracker'!$G$5:$G$149,"Thu"),$D272*SUMIFS('Session Tracker'!$J$5:$J$149,'Session Tracker'!$D$5:$D$149,$A272,'Session Tracker'!$F$5:$F$149,"Next week",'Session Tracker'!$G$5:$G$149,"Thu"))</f>
        <v>0</v>
      </c>
      <c r="L272" s="52" t="n">
        <f aca="false">IF($E272="Per class",$D272*COUNTIFS('Session Tracker'!$D$5:$D$149,$A272,'Session Tracker'!$F$5:$F$149,"Next week",'Session Tracker'!$G$5:$G$149,"Fri"),$D272*SUMIFS('Session Tracker'!$J$5:$J$149,'Session Tracker'!$D$5:$D$149,$A272,'Session Tracker'!$F$5:$F$149,"Next week",'Session Tracker'!$G$5:$G$149,"Fri"))</f>
        <v>0</v>
      </c>
      <c r="M272" s="52" t="n">
        <f aca="false">IF($E272="Per class",$D272*COUNTIFS('Session Tracker'!$D$5:$D$149,$A272,'Session Tracker'!$F$5:$F$149,"Next week",'Session Tracker'!$G$5:$G$149,""),$D272*SUMIFS('Session Tracker'!$J$5:$J$149,'Session Tracker'!$D$5:$D$149,$A272,'Session Tracker'!$F$5:$F$149,"Next week",'Session Tracker'!$G$5:$G$149,""))</f>
        <v>0</v>
      </c>
    </row>
    <row r="273" customFormat="false" ht="15" hidden="false" customHeight="false" outlineLevel="0" collapsed="false">
      <c r="A273" s="61" t="s">
        <v>184</v>
      </c>
      <c r="B273" s="34" t="s">
        <v>375</v>
      </c>
      <c r="C273" s="34" t="s">
        <v>376</v>
      </c>
      <c r="D273" s="32" t="n">
        <v>1</v>
      </c>
      <c r="E273" s="32" t="s">
        <v>14</v>
      </c>
      <c r="F273" s="32" t="s">
        <v>373</v>
      </c>
      <c r="G273" s="34" t="s">
        <v>442</v>
      </c>
      <c r="H273" s="52" t="n">
        <f aca="false">IF($E273="Per class",$D273*COUNTIFS('Session Tracker'!$D$5:$D$149,$A273,'Session Tracker'!$F$5:$F$149,"Next week",'Session Tracker'!$G$5:$G$149,"Mon"),$D273*SUMIFS('Session Tracker'!$J$5:$J$149,'Session Tracker'!$D$5:$D$149,$A273,'Session Tracker'!$F$5:$F$149,"Next week",'Session Tracker'!$G$5:$G$149,"Mon"))</f>
        <v>0</v>
      </c>
      <c r="I273" s="52" t="n">
        <f aca="false">IF($E273="Per class",$D273*COUNTIFS('Session Tracker'!$D$5:$D$149,$A273,'Session Tracker'!$F$5:$F$149,"Next week",'Session Tracker'!$G$5:$G$149,"Tue"),$D273*SUMIFS('Session Tracker'!$J$5:$J$149,'Session Tracker'!$D$5:$D$149,$A273,'Session Tracker'!$F$5:$F$149,"Next week",'Session Tracker'!$G$5:$G$149,"Tue"))</f>
        <v>0</v>
      </c>
      <c r="J273" s="52" t="n">
        <f aca="false">IF($E273="Per class",$D273*COUNTIFS('Session Tracker'!$D$5:$D$149,$A273,'Session Tracker'!$F$5:$F$149,"Next week",'Session Tracker'!$G$5:$G$149,"Wed"),$D273*SUMIFS('Session Tracker'!$J$5:$J$149,'Session Tracker'!$D$5:$D$149,$A273,'Session Tracker'!$F$5:$F$149,"Next week",'Session Tracker'!$G$5:$G$149,"Wed"))</f>
        <v>0</v>
      </c>
      <c r="K273" s="52" t="n">
        <f aca="false">IF($E273="Per class",$D273*COUNTIFS('Session Tracker'!$D$5:$D$149,$A273,'Session Tracker'!$F$5:$F$149,"Next week",'Session Tracker'!$G$5:$G$149,"Thu"),$D273*SUMIFS('Session Tracker'!$J$5:$J$149,'Session Tracker'!$D$5:$D$149,$A273,'Session Tracker'!$F$5:$F$149,"Next week",'Session Tracker'!$G$5:$G$149,"Thu"))</f>
        <v>0</v>
      </c>
      <c r="L273" s="52" t="n">
        <f aca="false">IF($E273="Per class",$D273*COUNTIFS('Session Tracker'!$D$5:$D$149,$A273,'Session Tracker'!$F$5:$F$149,"Next week",'Session Tracker'!$G$5:$G$149,"Fri"),$D273*SUMIFS('Session Tracker'!$J$5:$J$149,'Session Tracker'!$D$5:$D$149,$A273,'Session Tracker'!$F$5:$F$149,"Next week",'Session Tracker'!$G$5:$G$149,"Fri"))</f>
        <v>0</v>
      </c>
      <c r="M273" s="52" t="n">
        <f aca="false">IF($E273="Per class",$D273*COUNTIFS('Session Tracker'!$D$5:$D$149,$A273,'Session Tracker'!$F$5:$F$149,"Next week",'Session Tracker'!$G$5:$G$149,""),$D273*SUMIFS('Session Tracker'!$J$5:$J$149,'Session Tracker'!$D$5:$D$149,$A273,'Session Tracker'!$F$5:$F$149,"Next week",'Session Tracker'!$G$5:$G$149,""))</f>
        <v>0</v>
      </c>
    </row>
    <row r="274" customFormat="false" ht="15" hidden="false" customHeight="false" outlineLevel="0" collapsed="false">
      <c r="A274" s="61" t="s">
        <v>184</v>
      </c>
      <c r="B274" s="34" t="s">
        <v>377</v>
      </c>
      <c r="C274" s="34" t="s">
        <v>378</v>
      </c>
      <c r="D274" s="32" t="n">
        <v>1</v>
      </c>
      <c r="E274" s="32" t="s">
        <v>14</v>
      </c>
      <c r="F274" s="32" t="s">
        <v>368</v>
      </c>
      <c r="G274" s="34" t="s">
        <v>389</v>
      </c>
      <c r="H274" s="52" t="n">
        <f aca="false">IF($E274="Per class",$D274*COUNTIFS('Session Tracker'!$D$5:$D$149,$A274,'Session Tracker'!$F$5:$F$149,"Next week",'Session Tracker'!$G$5:$G$149,"Mon"),$D274*SUMIFS('Session Tracker'!$J$5:$J$149,'Session Tracker'!$D$5:$D$149,$A274,'Session Tracker'!$F$5:$F$149,"Next week",'Session Tracker'!$G$5:$G$149,"Mon"))</f>
        <v>0</v>
      </c>
      <c r="I274" s="52" t="n">
        <f aca="false">IF($E274="Per class",$D274*COUNTIFS('Session Tracker'!$D$5:$D$149,$A274,'Session Tracker'!$F$5:$F$149,"Next week",'Session Tracker'!$G$5:$G$149,"Tue"),$D274*SUMIFS('Session Tracker'!$J$5:$J$149,'Session Tracker'!$D$5:$D$149,$A274,'Session Tracker'!$F$5:$F$149,"Next week",'Session Tracker'!$G$5:$G$149,"Tue"))</f>
        <v>0</v>
      </c>
      <c r="J274" s="52" t="n">
        <f aca="false">IF($E274="Per class",$D274*COUNTIFS('Session Tracker'!$D$5:$D$149,$A274,'Session Tracker'!$F$5:$F$149,"Next week",'Session Tracker'!$G$5:$G$149,"Wed"),$D274*SUMIFS('Session Tracker'!$J$5:$J$149,'Session Tracker'!$D$5:$D$149,$A274,'Session Tracker'!$F$5:$F$149,"Next week",'Session Tracker'!$G$5:$G$149,"Wed"))</f>
        <v>0</v>
      </c>
      <c r="K274" s="52" t="n">
        <f aca="false">IF($E274="Per class",$D274*COUNTIFS('Session Tracker'!$D$5:$D$149,$A274,'Session Tracker'!$F$5:$F$149,"Next week",'Session Tracker'!$G$5:$G$149,"Thu"),$D274*SUMIFS('Session Tracker'!$J$5:$J$149,'Session Tracker'!$D$5:$D$149,$A274,'Session Tracker'!$F$5:$F$149,"Next week",'Session Tracker'!$G$5:$G$149,"Thu"))</f>
        <v>0</v>
      </c>
      <c r="L274" s="52" t="n">
        <f aca="false">IF($E274="Per class",$D274*COUNTIFS('Session Tracker'!$D$5:$D$149,$A274,'Session Tracker'!$F$5:$F$149,"Next week",'Session Tracker'!$G$5:$G$149,"Fri"),$D274*SUMIFS('Session Tracker'!$J$5:$J$149,'Session Tracker'!$D$5:$D$149,$A274,'Session Tracker'!$F$5:$F$149,"Next week",'Session Tracker'!$G$5:$G$149,"Fri"))</f>
        <v>0</v>
      </c>
      <c r="M274" s="52" t="n">
        <f aca="false">IF($E274="Per class",$D274*COUNTIFS('Session Tracker'!$D$5:$D$149,$A274,'Session Tracker'!$F$5:$F$149,"Next week",'Session Tracker'!$G$5:$G$149,""),$D274*SUMIFS('Session Tracker'!$J$5:$J$149,'Session Tracker'!$D$5:$D$149,$A274,'Session Tracker'!$F$5:$F$149,"Next week",'Session Tracker'!$G$5:$G$149,""))</f>
        <v>0</v>
      </c>
    </row>
    <row r="275" customFormat="false" ht="15" hidden="false" customHeight="false" outlineLevel="0" collapsed="false">
      <c r="A275" s="53" t="s">
        <v>184</v>
      </c>
      <c r="B275" s="54"/>
      <c r="C275" s="54"/>
      <c r="D275" s="54"/>
      <c r="E275" s="54"/>
      <c r="F275" s="54"/>
      <c r="G275" s="54"/>
      <c r="H275" s="52" t="n">
        <f aca="false">IF($E275="Per class",$D275*COUNTIFS('Session Tracker'!$D$5:$D$149,$A275,'Session Tracker'!$F$5:$F$149,"Next week",'Session Tracker'!$G$5:$G$149,"Mon"),$D275*SUMIFS('Session Tracker'!$J$5:$J$149,'Session Tracker'!$D$5:$D$149,$A275,'Session Tracker'!$F$5:$F$149,"Next week",'Session Tracker'!$G$5:$G$149,"Mon"))</f>
        <v>0</v>
      </c>
      <c r="I275" s="52" t="n">
        <f aca="false">IF($E275="Per class",$D275*COUNTIFS('Session Tracker'!$D$5:$D$149,$A275,'Session Tracker'!$F$5:$F$149,"Next week",'Session Tracker'!$G$5:$G$149,"Tue"),$D275*SUMIFS('Session Tracker'!$J$5:$J$149,'Session Tracker'!$D$5:$D$149,$A275,'Session Tracker'!$F$5:$F$149,"Next week",'Session Tracker'!$G$5:$G$149,"Tue"))</f>
        <v>0</v>
      </c>
      <c r="J275" s="52" t="n">
        <f aca="false">IF($E275="Per class",$D275*COUNTIFS('Session Tracker'!$D$5:$D$149,$A275,'Session Tracker'!$F$5:$F$149,"Next week",'Session Tracker'!$G$5:$G$149,"Wed"),$D275*SUMIFS('Session Tracker'!$J$5:$J$149,'Session Tracker'!$D$5:$D$149,$A275,'Session Tracker'!$F$5:$F$149,"Next week",'Session Tracker'!$G$5:$G$149,"Wed"))</f>
        <v>0</v>
      </c>
      <c r="K275" s="52" t="n">
        <f aca="false">IF($E275="Per class",$D275*COUNTIFS('Session Tracker'!$D$5:$D$149,$A275,'Session Tracker'!$F$5:$F$149,"Next week",'Session Tracker'!$G$5:$G$149,"Thu"),$D275*SUMIFS('Session Tracker'!$J$5:$J$149,'Session Tracker'!$D$5:$D$149,$A275,'Session Tracker'!$F$5:$F$149,"Next week",'Session Tracker'!$G$5:$G$149,"Thu"))</f>
        <v>0</v>
      </c>
      <c r="L275" s="52" t="n">
        <f aca="false">IF($E275="Per class",$D275*COUNTIFS('Session Tracker'!$D$5:$D$149,$A275,'Session Tracker'!$F$5:$F$149,"Next week",'Session Tracker'!$G$5:$G$149,"Fri"),$D275*SUMIFS('Session Tracker'!$J$5:$J$149,'Session Tracker'!$D$5:$D$149,$A275,'Session Tracker'!$F$5:$F$149,"Next week",'Session Tracker'!$G$5:$G$149,"Fri"))</f>
        <v>0</v>
      </c>
      <c r="M275" s="52" t="n">
        <f aca="false">IF($E275="Per class",$D275*COUNTIFS('Session Tracker'!$D$5:$D$149,$A275,'Session Tracker'!$F$5:$F$149,"Next week",'Session Tracker'!$G$5:$G$149,""),$D275*SUMIFS('Session Tracker'!$J$5:$J$149,'Session Tracker'!$D$5:$D$149,$A275,'Session Tracker'!$F$5:$F$149,"Next week",'Session Tracker'!$G$5:$G$149,""))</f>
        <v>0</v>
      </c>
    </row>
    <row r="276" customFormat="false" ht="15" hidden="false" customHeight="false" outlineLevel="0" collapsed="false">
      <c r="A276" s="53" t="s">
        <v>184</v>
      </c>
      <c r="B276" s="54"/>
      <c r="C276" s="54"/>
      <c r="D276" s="54"/>
      <c r="E276" s="54"/>
      <c r="F276" s="54"/>
      <c r="G276" s="54"/>
      <c r="H276" s="52" t="n">
        <f aca="false">IF($E276="Per class",$D276*COUNTIFS('Session Tracker'!$D$5:$D$149,$A276,'Session Tracker'!$F$5:$F$149,"Next week",'Session Tracker'!$G$5:$G$149,"Mon"),$D276*SUMIFS('Session Tracker'!$J$5:$J$149,'Session Tracker'!$D$5:$D$149,$A276,'Session Tracker'!$F$5:$F$149,"Next week",'Session Tracker'!$G$5:$G$149,"Mon"))</f>
        <v>0</v>
      </c>
      <c r="I276" s="52" t="n">
        <f aca="false">IF($E276="Per class",$D276*COUNTIFS('Session Tracker'!$D$5:$D$149,$A276,'Session Tracker'!$F$5:$F$149,"Next week",'Session Tracker'!$G$5:$G$149,"Tue"),$D276*SUMIFS('Session Tracker'!$J$5:$J$149,'Session Tracker'!$D$5:$D$149,$A276,'Session Tracker'!$F$5:$F$149,"Next week",'Session Tracker'!$G$5:$G$149,"Tue"))</f>
        <v>0</v>
      </c>
      <c r="J276" s="52" t="n">
        <f aca="false">IF($E276="Per class",$D276*COUNTIFS('Session Tracker'!$D$5:$D$149,$A276,'Session Tracker'!$F$5:$F$149,"Next week",'Session Tracker'!$G$5:$G$149,"Wed"),$D276*SUMIFS('Session Tracker'!$J$5:$J$149,'Session Tracker'!$D$5:$D$149,$A276,'Session Tracker'!$F$5:$F$149,"Next week",'Session Tracker'!$G$5:$G$149,"Wed"))</f>
        <v>0</v>
      </c>
      <c r="K276" s="52" t="n">
        <f aca="false">IF($E276="Per class",$D276*COUNTIFS('Session Tracker'!$D$5:$D$149,$A276,'Session Tracker'!$F$5:$F$149,"Next week",'Session Tracker'!$G$5:$G$149,"Thu"),$D276*SUMIFS('Session Tracker'!$J$5:$J$149,'Session Tracker'!$D$5:$D$149,$A276,'Session Tracker'!$F$5:$F$149,"Next week",'Session Tracker'!$G$5:$G$149,"Thu"))</f>
        <v>0</v>
      </c>
      <c r="L276" s="52" t="n">
        <f aca="false">IF($E276="Per class",$D276*COUNTIFS('Session Tracker'!$D$5:$D$149,$A276,'Session Tracker'!$F$5:$F$149,"Next week",'Session Tracker'!$G$5:$G$149,"Fri"),$D276*SUMIFS('Session Tracker'!$J$5:$J$149,'Session Tracker'!$D$5:$D$149,$A276,'Session Tracker'!$F$5:$F$149,"Next week",'Session Tracker'!$G$5:$G$149,"Fri"))</f>
        <v>0</v>
      </c>
      <c r="M276" s="52" t="n">
        <f aca="false">IF($E276="Per class",$D276*COUNTIFS('Session Tracker'!$D$5:$D$149,$A276,'Session Tracker'!$F$5:$F$149,"Next week",'Session Tracker'!$G$5:$G$149,""),$D276*SUMIFS('Session Tracker'!$J$5:$J$149,'Session Tracker'!$D$5:$D$149,$A276,'Session Tracker'!$F$5:$F$149,"Next week",'Session Tracker'!$G$5:$G$149,""))</f>
        <v>0</v>
      </c>
    </row>
    <row r="278" customFormat="false" ht="19.5" hidden="false" customHeight="true" outlineLevel="0" collapsed="false">
      <c r="A278" s="57" t="s">
        <v>186</v>
      </c>
      <c r="B278" s="58" t="s">
        <v>553</v>
      </c>
      <c r="C278" s="58"/>
      <c r="D278" s="58"/>
      <c r="E278" s="58"/>
      <c r="F278" s="59" t="str">
        <f aca="false">"Status: "&amp;'Session Tracker'!F61&amp;IF('Session Tracker'!G61&lt;&gt;""," ("&amp;'Session Tracker'!G61&amp;")","")</f>
        <v>Status: Not started</v>
      </c>
      <c r="G278" s="59"/>
      <c r="H278" s="60"/>
      <c r="I278" s="60"/>
      <c r="J278" s="60"/>
      <c r="K278" s="60"/>
      <c r="L278" s="60"/>
      <c r="M278" s="60"/>
    </row>
    <row r="279" customFormat="false" ht="15" hidden="false" customHeight="false" outlineLevel="0" collapsed="false">
      <c r="A279" s="61" t="s">
        <v>186</v>
      </c>
      <c r="B279" s="34" t="s">
        <v>382</v>
      </c>
      <c r="C279" s="34" t="s">
        <v>383</v>
      </c>
      <c r="D279" s="32" t="n">
        <v>1</v>
      </c>
      <c r="E279" s="32" t="s">
        <v>14</v>
      </c>
      <c r="F279" s="32" t="s">
        <v>368</v>
      </c>
      <c r="G279" s="34"/>
      <c r="H279" s="52" t="n">
        <f aca="false">IF($E279="Per class",$D279*COUNTIFS('Session Tracker'!$D$5:$D$149,$A279,'Session Tracker'!$F$5:$F$149,"Next week",'Session Tracker'!$G$5:$G$149,"Mon"),$D279*SUMIFS('Session Tracker'!$J$5:$J$149,'Session Tracker'!$D$5:$D$149,$A279,'Session Tracker'!$F$5:$F$149,"Next week",'Session Tracker'!$G$5:$G$149,"Mon"))</f>
        <v>0</v>
      </c>
      <c r="I279" s="52" t="n">
        <f aca="false">IF($E279="Per class",$D279*COUNTIFS('Session Tracker'!$D$5:$D$149,$A279,'Session Tracker'!$F$5:$F$149,"Next week",'Session Tracker'!$G$5:$G$149,"Tue"),$D279*SUMIFS('Session Tracker'!$J$5:$J$149,'Session Tracker'!$D$5:$D$149,$A279,'Session Tracker'!$F$5:$F$149,"Next week",'Session Tracker'!$G$5:$G$149,"Tue"))</f>
        <v>0</v>
      </c>
      <c r="J279" s="52" t="n">
        <f aca="false">IF($E279="Per class",$D279*COUNTIFS('Session Tracker'!$D$5:$D$149,$A279,'Session Tracker'!$F$5:$F$149,"Next week",'Session Tracker'!$G$5:$G$149,"Wed"),$D279*SUMIFS('Session Tracker'!$J$5:$J$149,'Session Tracker'!$D$5:$D$149,$A279,'Session Tracker'!$F$5:$F$149,"Next week",'Session Tracker'!$G$5:$G$149,"Wed"))</f>
        <v>0</v>
      </c>
      <c r="K279" s="52" t="n">
        <f aca="false">IF($E279="Per class",$D279*COUNTIFS('Session Tracker'!$D$5:$D$149,$A279,'Session Tracker'!$F$5:$F$149,"Next week",'Session Tracker'!$G$5:$G$149,"Thu"),$D279*SUMIFS('Session Tracker'!$J$5:$J$149,'Session Tracker'!$D$5:$D$149,$A279,'Session Tracker'!$F$5:$F$149,"Next week",'Session Tracker'!$G$5:$G$149,"Thu"))</f>
        <v>0</v>
      </c>
      <c r="L279" s="52" t="n">
        <f aca="false">IF($E279="Per class",$D279*COUNTIFS('Session Tracker'!$D$5:$D$149,$A279,'Session Tracker'!$F$5:$F$149,"Next week",'Session Tracker'!$G$5:$G$149,"Fri"),$D279*SUMIFS('Session Tracker'!$J$5:$J$149,'Session Tracker'!$D$5:$D$149,$A279,'Session Tracker'!$F$5:$F$149,"Next week",'Session Tracker'!$G$5:$G$149,"Fri"))</f>
        <v>0</v>
      </c>
      <c r="M279" s="52" t="n">
        <f aca="false">IF($E279="Per class",$D279*COUNTIFS('Session Tracker'!$D$5:$D$149,$A279,'Session Tracker'!$F$5:$F$149,"Next week",'Session Tracker'!$G$5:$G$149,""),$D279*SUMIFS('Session Tracker'!$J$5:$J$149,'Session Tracker'!$D$5:$D$149,$A279,'Session Tracker'!$F$5:$F$149,"Next week",'Session Tracker'!$G$5:$G$149,""))</f>
        <v>0</v>
      </c>
    </row>
    <row r="280" customFormat="false" ht="15" hidden="false" customHeight="false" outlineLevel="0" collapsed="false">
      <c r="A280" s="61" t="s">
        <v>186</v>
      </c>
      <c r="B280" s="34" t="s">
        <v>382</v>
      </c>
      <c r="C280" s="34" t="s">
        <v>490</v>
      </c>
      <c r="D280" s="32" t="n">
        <v>1</v>
      </c>
      <c r="E280" s="32" t="s">
        <v>14</v>
      </c>
      <c r="F280" s="32" t="s">
        <v>368</v>
      </c>
      <c r="G280" s="34" t="s">
        <v>491</v>
      </c>
      <c r="H280" s="52" t="n">
        <f aca="false">IF($E280="Per class",$D280*COUNTIFS('Session Tracker'!$D$5:$D$149,$A280,'Session Tracker'!$F$5:$F$149,"Next week",'Session Tracker'!$G$5:$G$149,"Mon"),$D280*SUMIFS('Session Tracker'!$J$5:$J$149,'Session Tracker'!$D$5:$D$149,$A280,'Session Tracker'!$F$5:$F$149,"Next week",'Session Tracker'!$G$5:$G$149,"Mon"))</f>
        <v>0</v>
      </c>
      <c r="I280" s="52" t="n">
        <f aca="false">IF($E280="Per class",$D280*COUNTIFS('Session Tracker'!$D$5:$D$149,$A280,'Session Tracker'!$F$5:$F$149,"Next week",'Session Tracker'!$G$5:$G$149,"Tue"),$D280*SUMIFS('Session Tracker'!$J$5:$J$149,'Session Tracker'!$D$5:$D$149,$A280,'Session Tracker'!$F$5:$F$149,"Next week",'Session Tracker'!$G$5:$G$149,"Tue"))</f>
        <v>0</v>
      </c>
      <c r="J280" s="52" t="n">
        <f aca="false">IF($E280="Per class",$D280*COUNTIFS('Session Tracker'!$D$5:$D$149,$A280,'Session Tracker'!$F$5:$F$149,"Next week",'Session Tracker'!$G$5:$G$149,"Wed"),$D280*SUMIFS('Session Tracker'!$J$5:$J$149,'Session Tracker'!$D$5:$D$149,$A280,'Session Tracker'!$F$5:$F$149,"Next week",'Session Tracker'!$G$5:$G$149,"Wed"))</f>
        <v>0</v>
      </c>
      <c r="K280" s="52" t="n">
        <f aca="false">IF($E280="Per class",$D280*COUNTIFS('Session Tracker'!$D$5:$D$149,$A280,'Session Tracker'!$F$5:$F$149,"Next week",'Session Tracker'!$G$5:$G$149,"Thu"),$D280*SUMIFS('Session Tracker'!$J$5:$J$149,'Session Tracker'!$D$5:$D$149,$A280,'Session Tracker'!$F$5:$F$149,"Next week",'Session Tracker'!$G$5:$G$149,"Thu"))</f>
        <v>0</v>
      </c>
      <c r="L280" s="52" t="n">
        <f aca="false">IF($E280="Per class",$D280*COUNTIFS('Session Tracker'!$D$5:$D$149,$A280,'Session Tracker'!$F$5:$F$149,"Next week",'Session Tracker'!$G$5:$G$149,"Fri"),$D280*SUMIFS('Session Tracker'!$J$5:$J$149,'Session Tracker'!$D$5:$D$149,$A280,'Session Tracker'!$F$5:$F$149,"Next week",'Session Tracker'!$G$5:$G$149,"Fri"))</f>
        <v>0</v>
      </c>
      <c r="M280" s="52" t="n">
        <f aca="false">IF($E280="Per class",$D280*COUNTIFS('Session Tracker'!$D$5:$D$149,$A280,'Session Tracker'!$F$5:$F$149,"Next week",'Session Tracker'!$G$5:$G$149,""),$D280*SUMIFS('Session Tracker'!$J$5:$J$149,'Session Tracker'!$D$5:$D$149,$A280,'Session Tracker'!$F$5:$F$149,"Next week",'Session Tracker'!$G$5:$G$149,""))</f>
        <v>0</v>
      </c>
    </row>
    <row r="281" customFormat="false" ht="15" hidden="false" customHeight="false" outlineLevel="0" collapsed="false">
      <c r="A281" s="61" t="s">
        <v>186</v>
      </c>
      <c r="B281" s="34" t="s">
        <v>411</v>
      </c>
      <c r="C281" s="34" t="s">
        <v>450</v>
      </c>
      <c r="D281" s="32" t="n">
        <v>1</v>
      </c>
      <c r="E281" s="32" t="s">
        <v>14</v>
      </c>
      <c r="F281" s="32" t="s">
        <v>373</v>
      </c>
      <c r="G281" s="34" t="s">
        <v>554</v>
      </c>
      <c r="H281" s="52" t="n">
        <f aca="false">IF($E281="Per class",$D281*COUNTIFS('Session Tracker'!$D$5:$D$149,$A281,'Session Tracker'!$F$5:$F$149,"Next week",'Session Tracker'!$G$5:$G$149,"Mon"),$D281*SUMIFS('Session Tracker'!$J$5:$J$149,'Session Tracker'!$D$5:$D$149,$A281,'Session Tracker'!$F$5:$F$149,"Next week",'Session Tracker'!$G$5:$G$149,"Mon"))</f>
        <v>0</v>
      </c>
      <c r="I281" s="52" t="n">
        <f aca="false">IF($E281="Per class",$D281*COUNTIFS('Session Tracker'!$D$5:$D$149,$A281,'Session Tracker'!$F$5:$F$149,"Next week",'Session Tracker'!$G$5:$G$149,"Tue"),$D281*SUMIFS('Session Tracker'!$J$5:$J$149,'Session Tracker'!$D$5:$D$149,$A281,'Session Tracker'!$F$5:$F$149,"Next week",'Session Tracker'!$G$5:$G$149,"Tue"))</f>
        <v>0</v>
      </c>
      <c r="J281" s="52" t="n">
        <f aca="false">IF($E281="Per class",$D281*COUNTIFS('Session Tracker'!$D$5:$D$149,$A281,'Session Tracker'!$F$5:$F$149,"Next week",'Session Tracker'!$G$5:$G$149,"Wed"),$D281*SUMIFS('Session Tracker'!$J$5:$J$149,'Session Tracker'!$D$5:$D$149,$A281,'Session Tracker'!$F$5:$F$149,"Next week",'Session Tracker'!$G$5:$G$149,"Wed"))</f>
        <v>0</v>
      </c>
      <c r="K281" s="52" t="n">
        <f aca="false">IF($E281="Per class",$D281*COUNTIFS('Session Tracker'!$D$5:$D$149,$A281,'Session Tracker'!$F$5:$F$149,"Next week",'Session Tracker'!$G$5:$G$149,"Thu"),$D281*SUMIFS('Session Tracker'!$J$5:$J$149,'Session Tracker'!$D$5:$D$149,$A281,'Session Tracker'!$F$5:$F$149,"Next week",'Session Tracker'!$G$5:$G$149,"Thu"))</f>
        <v>0</v>
      </c>
      <c r="L281" s="52" t="n">
        <f aca="false">IF($E281="Per class",$D281*COUNTIFS('Session Tracker'!$D$5:$D$149,$A281,'Session Tracker'!$F$5:$F$149,"Next week",'Session Tracker'!$G$5:$G$149,"Fri"),$D281*SUMIFS('Session Tracker'!$J$5:$J$149,'Session Tracker'!$D$5:$D$149,$A281,'Session Tracker'!$F$5:$F$149,"Next week",'Session Tracker'!$G$5:$G$149,"Fri"))</f>
        <v>0</v>
      </c>
      <c r="M281" s="52" t="n">
        <f aca="false">IF($E281="Per class",$D281*COUNTIFS('Session Tracker'!$D$5:$D$149,$A281,'Session Tracker'!$F$5:$F$149,"Next week",'Session Tracker'!$G$5:$G$149,""),$D281*SUMIFS('Session Tracker'!$J$5:$J$149,'Session Tracker'!$D$5:$D$149,$A281,'Session Tracker'!$F$5:$F$149,"Next week",'Session Tracker'!$G$5:$G$149,""))</f>
        <v>0</v>
      </c>
    </row>
    <row r="282" customFormat="false" ht="15" hidden="false" customHeight="false" outlineLevel="0" collapsed="false">
      <c r="A282" s="53" t="s">
        <v>186</v>
      </c>
      <c r="B282" s="54"/>
      <c r="C282" s="54"/>
      <c r="D282" s="54"/>
      <c r="E282" s="54"/>
      <c r="F282" s="54"/>
      <c r="G282" s="54"/>
      <c r="H282" s="52" t="n">
        <f aca="false">IF($E282="Per class",$D282*COUNTIFS('Session Tracker'!$D$5:$D$149,$A282,'Session Tracker'!$F$5:$F$149,"Next week",'Session Tracker'!$G$5:$G$149,"Mon"),$D282*SUMIFS('Session Tracker'!$J$5:$J$149,'Session Tracker'!$D$5:$D$149,$A282,'Session Tracker'!$F$5:$F$149,"Next week",'Session Tracker'!$G$5:$G$149,"Mon"))</f>
        <v>0</v>
      </c>
      <c r="I282" s="52" t="n">
        <f aca="false">IF($E282="Per class",$D282*COUNTIFS('Session Tracker'!$D$5:$D$149,$A282,'Session Tracker'!$F$5:$F$149,"Next week",'Session Tracker'!$G$5:$G$149,"Tue"),$D282*SUMIFS('Session Tracker'!$J$5:$J$149,'Session Tracker'!$D$5:$D$149,$A282,'Session Tracker'!$F$5:$F$149,"Next week",'Session Tracker'!$G$5:$G$149,"Tue"))</f>
        <v>0</v>
      </c>
      <c r="J282" s="52" t="n">
        <f aca="false">IF($E282="Per class",$D282*COUNTIFS('Session Tracker'!$D$5:$D$149,$A282,'Session Tracker'!$F$5:$F$149,"Next week",'Session Tracker'!$G$5:$G$149,"Wed"),$D282*SUMIFS('Session Tracker'!$J$5:$J$149,'Session Tracker'!$D$5:$D$149,$A282,'Session Tracker'!$F$5:$F$149,"Next week",'Session Tracker'!$G$5:$G$149,"Wed"))</f>
        <v>0</v>
      </c>
      <c r="K282" s="52" t="n">
        <f aca="false">IF($E282="Per class",$D282*COUNTIFS('Session Tracker'!$D$5:$D$149,$A282,'Session Tracker'!$F$5:$F$149,"Next week",'Session Tracker'!$G$5:$G$149,"Thu"),$D282*SUMIFS('Session Tracker'!$J$5:$J$149,'Session Tracker'!$D$5:$D$149,$A282,'Session Tracker'!$F$5:$F$149,"Next week",'Session Tracker'!$G$5:$G$149,"Thu"))</f>
        <v>0</v>
      </c>
      <c r="L282" s="52" t="n">
        <f aca="false">IF($E282="Per class",$D282*COUNTIFS('Session Tracker'!$D$5:$D$149,$A282,'Session Tracker'!$F$5:$F$149,"Next week",'Session Tracker'!$G$5:$G$149,"Fri"),$D282*SUMIFS('Session Tracker'!$J$5:$J$149,'Session Tracker'!$D$5:$D$149,$A282,'Session Tracker'!$F$5:$F$149,"Next week",'Session Tracker'!$G$5:$G$149,"Fri"))</f>
        <v>0</v>
      </c>
      <c r="M282" s="52" t="n">
        <f aca="false">IF($E282="Per class",$D282*COUNTIFS('Session Tracker'!$D$5:$D$149,$A282,'Session Tracker'!$F$5:$F$149,"Next week",'Session Tracker'!$G$5:$G$149,""),$D282*SUMIFS('Session Tracker'!$J$5:$J$149,'Session Tracker'!$D$5:$D$149,$A282,'Session Tracker'!$F$5:$F$149,"Next week",'Session Tracker'!$G$5:$G$149,""))</f>
        <v>0</v>
      </c>
    </row>
    <row r="283" customFormat="false" ht="15" hidden="false" customHeight="false" outlineLevel="0" collapsed="false">
      <c r="A283" s="53" t="s">
        <v>186</v>
      </c>
      <c r="B283" s="54"/>
      <c r="C283" s="54"/>
      <c r="D283" s="54"/>
      <c r="E283" s="54"/>
      <c r="F283" s="54"/>
      <c r="G283" s="54"/>
      <c r="H283" s="52" t="n">
        <f aca="false">IF($E283="Per class",$D283*COUNTIFS('Session Tracker'!$D$5:$D$149,$A283,'Session Tracker'!$F$5:$F$149,"Next week",'Session Tracker'!$G$5:$G$149,"Mon"),$D283*SUMIFS('Session Tracker'!$J$5:$J$149,'Session Tracker'!$D$5:$D$149,$A283,'Session Tracker'!$F$5:$F$149,"Next week",'Session Tracker'!$G$5:$G$149,"Mon"))</f>
        <v>0</v>
      </c>
      <c r="I283" s="52" t="n">
        <f aca="false">IF($E283="Per class",$D283*COUNTIFS('Session Tracker'!$D$5:$D$149,$A283,'Session Tracker'!$F$5:$F$149,"Next week",'Session Tracker'!$G$5:$G$149,"Tue"),$D283*SUMIFS('Session Tracker'!$J$5:$J$149,'Session Tracker'!$D$5:$D$149,$A283,'Session Tracker'!$F$5:$F$149,"Next week",'Session Tracker'!$G$5:$G$149,"Tue"))</f>
        <v>0</v>
      </c>
      <c r="J283" s="52" t="n">
        <f aca="false">IF($E283="Per class",$D283*COUNTIFS('Session Tracker'!$D$5:$D$149,$A283,'Session Tracker'!$F$5:$F$149,"Next week",'Session Tracker'!$G$5:$G$149,"Wed"),$D283*SUMIFS('Session Tracker'!$J$5:$J$149,'Session Tracker'!$D$5:$D$149,$A283,'Session Tracker'!$F$5:$F$149,"Next week",'Session Tracker'!$G$5:$G$149,"Wed"))</f>
        <v>0</v>
      </c>
      <c r="K283" s="52" t="n">
        <f aca="false">IF($E283="Per class",$D283*COUNTIFS('Session Tracker'!$D$5:$D$149,$A283,'Session Tracker'!$F$5:$F$149,"Next week",'Session Tracker'!$G$5:$G$149,"Thu"),$D283*SUMIFS('Session Tracker'!$J$5:$J$149,'Session Tracker'!$D$5:$D$149,$A283,'Session Tracker'!$F$5:$F$149,"Next week",'Session Tracker'!$G$5:$G$149,"Thu"))</f>
        <v>0</v>
      </c>
      <c r="L283" s="52" t="n">
        <f aca="false">IF($E283="Per class",$D283*COUNTIFS('Session Tracker'!$D$5:$D$149,$A283,'Session Tracker'!$F$5:$F$149,"Next week",'Session Tracker'!$G$5:$G$149,"Fri"),$D283*SUMIFS('Session Tracker'!$J$5:$J$149,'Session Tracker'!$D$5:$D$149,$A283,'Session Tracker'!$F$5:$F$149,"Next week",'Session Tracker'!$G$5:$G$149,"Fri"))</f>
        <v>0</v>
      </c>
      <c r="M283" s="52" t="n">
        <f aca="false">IF($E283="Per class",$D283*COUNTIFS('Session Tracker'!$D$5:$D$149,$A283,'Session Tracker'!$F$5:$F$149,"Next week",'Session Tracker'!$G$5:$G$149,""),$D283*SUMIFS('Session Tracker'!$J$5:$J$149,'Session Tracker'!$D$5:$D$149,$A283,'Session Tracker'!$F$5:$F$149,"Next week",'Session Tracker'!$G$5:$G$149,""))</f>
        <v>0</v>
      </c>
    </row>
    <row r="285" customFormat="false" ht="19.5" hidden="false" customHeight="true" outlineLevel="0" collapsed="false">
      <c r="A285" s="57" t="s">
        <v>188</v>
      </c>
      <c r="B285" s="58" t="s">
        <v>555</v>
      </c>
      <c r="C285" s="58"/>
      <c r="D285" s="58"/>
      <c r="E285" s="58"/>
      <c r="F285" s="59" t="str">
        <f aca="false">"Status: "&amp;'Session Tracker'!F62&amp;IF('Session Tracker'!G62&lt;&gt;""," ("&amp;'Session Tracker'!G62&amp;")","")</f>
        <v>Status: Not started</v>
      </c>
      <c r="G285" s="59"/>
      <c r="H285" s="60"/>
      <c r="I285" s="60"/>
      <c r="J285" s="60"/>
      <c r="K285" s="60"/>
      <c r="L285" s="60"/>
      <c r="M285" s="60"/>
    </row>
    <row r="286" customFormat="false" ht="15" hidden="false" customHeight="false" outlineLevel="0" collapsed="false">
      <c r="A286" s="61" t="s">
        <v>188</v>
      </c>
      <c r="B286" s="34" t="s">
        <v>382</v>
      </c>
      <c r="C286" s="34" t="s">
        <v>383</v>
      </c>
      <c r="D286" s="32" t="n">
        <v>1</v>
      </c>
      <c r="E286" s="32" t="s">
        <v>14</v>
      </c>
      <c r="F286" s="32" t="s">
        <v>368</v>
      </c>
      <c r="G286" s="34"/>
      <c r="H286" s="52" t="n">
        <f aca="false">IF($E286="Per class",$D286*COUNTIFS('Session Tracker'!$D$5:$D$149,$A286,'Session Tracker'!$F$5:$F$149,"Next week",'Session Tracker'!$G$5:$G$149,"Mon"),$D286*SUMIFS('Session Tracker'!$J$5:$J$149,'Session Tracker'!$D$5:$D$149,$A286,'Session Tracker'!$F$5:$F$149,"Next week",'Session Tracker'!$G$5:$G$149,"Mon"))</f>
        <v>0</v>
      </c>
      <c r="I286" s="52" t="n">
        <f aca="false">IF($E286="Per class",$D286*COUNTIFS('Session Tracker'!$D$5:$D$149,$A286,'Session Tracker'!$F$5:$F$149,"Next week",'Session Tracker'!$G$5:$G$149,"Tue"),$D286*SUMIFS('Session Tracker'!$J$5:$J$149,'Session Tracker'!$D$5:$D$149,$A286,'Session Tracker'!$F$5:$F$149,"Next week",'Session Tracker'!$G$5:$G$149,"Tue"))</f>
        <v>0</v>
      </c>
      <c r="J286" s="52" t="n">
        <f aca="false">IF($E286="Per class",$D286*COUNTIFS('Session Tracker'!$D$5:$D$149,$A286,'Session Tracker'!$F$5:$F$149,"Next week",'Session Tracker'!$G$5:$G$149,"Wed"),$D286*SUMIFS('Session Tracker'!$J$5:$J$149,'Session Tracker'!$D$5:$D$149,$A286,'Session Tracker'!$F$5:$F$149,"Next week",'Session Tracker'!$G$5:$G$149,"Wed"))</f>
        <v>0</v>
      </c>
      <c r="K286" s="52" t="n">
        <f aca="false">IF($E286="Per class",$D286*COUNTIFS('Session Tracker'!$D$5:$D$149,$A286,'Session Tracker'!$F$5:$F$149,"Next week",'Session Tracker'!$G$5:$G$149,"Thu"),$D286*SUMIFS('Session Tracker'!$J$5:$J$149,'Session Tracker'!$D$5:$D$149,$A286,'Session Tracker'!$F$5:$F$149,"Next week",'Session Tracker'!$G$5:$G$149,"Thu"))</f>
        <v>0</v>
      </c>
      <c r="L286" s="52" t="n">
        <f aca="false">IF($E286="Per class",$D286*COUNTIFS('Session Tracker'!$D$5:$D$149,$A286,'Session Tracker'!$F$5:$F$149,"Next week",'Session Tracker'!$G$5:$G$149,"Fri"),$D286*SUMIFS('Session Tracker'!$J$5:$J$149,'Session Tracker'!$D$5:$D$149,$A286,'Session Tracker'!$F$5:$F$149,"Next week",'Session Tracker'!$G$5:$G$149,"Fri"))</f>
        <v>0</v>
      </c>
      <c r="M286" s="52" t="n">
        <f aca="false">IF($E286="Per class",$D286*COUNTIFS('Session Tracker'!$D$5:$D$149,$A286,'Session Tracker'!$F$5:$F$149,"Next week",'Session Tracker'!$G$5:$G$149,""),$D286*SUMIFS('Session Tracker'!$J$5:$J$149,'Session Tracker'!$D$5:$D$149,$A286,'Session Tracker'!$F$5:$F$149,"Next week",'Session Tracker'!$G$5:$G$149,""))</f>
        <v>0</v>
      </c>
    </row>
    <row r="287" customFormat="false" ht="15" hidden="false" customHeight="false" outlineLevel="0" collapsed="false">
      <c r="A287" s="53" t="s">
        <v>188</v>
      </c>
      <c r="B287" s="54"/>
      <c r="C287" s="54"/>
      <c r="D287" s="54"/>
      <c r="E287" s="54"/>
      <c r="F287" s="54"/>
      <c r="G287" s="54"/>
      <c r="H287" s="52" t="n">
        <f aca="false">IF($E287="Per class",$D287*COUNTIFS('Session Tracker'!$D$5:$D$149,$A287,'Session Tracker'!$F$5:$F$149,"Next week",'Session Tracker'!$G$5:$G$149,"Mon"),$D287*SUMIFS('Session Tracker'!$J$5:$J$149,'Session Tracker'!$D$5:$D$149,$A287,'Session Tracker'!$F$5:$F$149,"Next week",'Session Tracker'!$G$5:$G$149,"Mon"))</f>
        <v>0</v>
      </c>
      <c r="I287" s="52" t="n">
        <f aca="false">IF($E287="Per class",$D287*COUNTIFS('Session Tracker'!$D$5:$D$149,$A287,'Session Tracker'!$F$5:$F$149,"Next week",'Session Tracker'!$G$5:$G$149,"Tue"),$D287*SUMIFS('Session Tracker'!$J$5:$J$149,'Session Tracker'!$D$5:$D$149,$A287,'Session Tracker'!$F$5:$F$149,"Next week",'Session Tracker'!$G$5:$G$149,"Tue"))</f>
        <v>0</v>
      </c>
      <c r="J287" s="52" t="n">
        <f aca="false">IF($E287="Per class",$D287*COUNTIFS('Session Tracker'!$D$5:$D$149,$A287,'Session Tracker'!$F$5:$F$149,"Next week",'Session Tracker'!$G$5:$G$149,"Wed"),$D287*SUMIFS('Session Tracker'!$J$5:$J$149,'Session Tracker'!$D$5:$D$149,$A287,'Session Tracker'!$F$5:$F$149,"Next week",'Session Tracker'!$G$5:$G$149,"Wed"))</f>
        <v>0</v>
      </c>
      <c r="K287" s="52" t="n">
        <f aca="false">IF($E287="Per class",$D287*COUNTIFS('Session Tracker'!$D$5:$D$149,$A287,'Session Tracker'!$F$5:$F$149,"Next week",'Session Tracker'!$G$5:$G$149,"Thu"),$D287*SUMIFS('Session Tracker'!$J$5:$J$149,'Session Tracker'!$D$5:$D$149,$A287,'Session Tracker'!$F$5:$F$149,"Next week",'Session Tracker'!$G$5:$G$149,"Thu"))</f>
        <v>0</v>
      </c>
      <c r="L287" s="52" t="n">
        <f aca="false">IF($E287="Per class",$D287*COUNTIFS('Session Tracker'!$D$5:$D$149,$A287,'Session Tracker'!$F$5:$F$149,"Next week",'Session Tracker'!$G$5:$G$149,"Fri"),$D287*SUMIFS('Session Tracker'!$J$5:$J$149,'Session Tracker'!$D$5:$D$149,$A287,'Session Tracker'!$F$5:$F$149,"Next week",'Session Tracker'!$G$5:$G$149,"Fri"))</f>
        <v>0</v>
      </c>
      <c r="M287" s="52" t="n">
        <f aca="false">IF($E287="Per class",$D287*COUNTIFS('Session Tracker'!$D$5:$D$149,$A287,'Session Tracker'!$F$5:$F$149,"Next week",'Session Tracker'!$G$5:$G$149,""),$D287*SUMIFS('Session Tracker'!$J$5:$J$149,'Session Tracker'!$D$5:$D$149,$A287,'Session Tracker'!$F$5:$F$149,"Next week",'Session Tracker'!$G$5:$G$149,""))</f>
        <v>0</v>
      </c>
    </row>
    <row r="288" customFormat="false" ht="15" hidden="false" customHeight="false" outlineLevel="0" collapsed="false">
      <c r="A288" s="53" t="s">
        <v>188</v>
      </c>
      <c r="B288" s="54"/>
      <c r="C288" s="54"/>
      <c r="D288" s="54"/>
      <c r="E288" s="54"/>
      <c r="F288" s="54"/>
      <c r="G288" s="54"/>
      <c r="H288" s="52" t="n">
        <f aca="false">IF($E288="Per class",$D288*COUNTIFS('Session Tracker'!$D$5:$D$149,$A288,'Session Tracker'!$F$5:$F$149,"Next week",'Session Tracker'!$G$5:$G$149,"Mon"),$D288*SUMIFS('Session Tracker'!$J$5:$J$149,'Session Tracker'!$D$5:$D$149,$A288,'Session Tracker'!$F$5:$F$149,"Next week",'Session Tracker'!$G$5:$G$149,"Mon"))</f>
        <v>0</v>
      </c>
      <c r="I288" s="52" t="n">
        <f aca="false">IF($E288="Per class",$D288*COUNTIFS('Session Tracker'!$D$5:$D$149,$A288,'Session Tracker'!$F$5:$F$149,"Next week",'Session Tracker'!$G$5:$G$149,"Tue"),$D288*SUMIFS('Session Tracker'!$J$5:$J$149,'Session Tracker'!$D$5:$D$149,$A288,'Session Tracker'!$F$5:$F$149,"Next week",'Session Tracker'!$G$5:$G$149,"Tue"))</f>
        <v>0</v>
      </c>
      <c r="J288" s="52" t="n">
        <f aca="false">IF($E288="Per class",$D288*COUNTIFS('Session Tracker'!$D$5:$D$149,$A288,'Session Tracker'!$F$5:$F$149,"Next week",'Session Tracker'!$G$5:$G$149,"Wed"),$D288*SUMIFS('Session Tracker'!$J$5:$J$149,'Session Tracker'!$D$5:$D$149,$A288,'Session Tracker'!$F$5:$F$149,"Next week",'Session Tracker'!$G$5:$G$149,"Wed"))</f>
        <v>0</v>
      </c>
      <c r="K288" s="52" t="n">
        <f aca="false">IF($E288="Per class",$D288*COUNTIFS('Session Tracker'!$D$5:$D$149,$A288,'Session Tracker'!$F$5:$F$149,"Next week",'Session Tracker'!$G$5:$G$149,"Thu"),$D288*SUMIFS('Session Tracker'!$J$5:$J$149,'Session Tracker'!$D$5:$D$149,$A288,'Session Tracker'!$F$5:$F$149,"Next week",'Session Tracker'!$G$5:$G$149,"Thu"))</f>
        <v>0</v>
      </c>
      <c r="L288" s="52" t="n">
        <f aca="false">IF($E288="Per class",$D288*COUNTIFS('Session Tracker'!$D$5:$D$149,$A288,'Session Tracker'!$F$5:$F$149,"Next week",'Session Tracker'!$G$5:$G$149,"Fri"),$D288*SUMIFS('Session Tracker'!$J$5:$J$149,'Session Tracker'!$D$5:$D$149,$A288,'Session Tracker'!$F$5:$F$149,"Next week",'Session Tracker'!$G$5:$G$149,"Fri"))</f>
        <v>0</v>
      </c>
      <c r="M288" s="52" t="n">
        <f aca="false">IF($E288="Per class",$D288*COUNTIFS('Session Tracker'!$D$5:$D$149,$A288,'Session Tracker'!$F$5:$F$149,"Next week",'Session Tracker'!$G$5:$G$149,""),$D288*SUMIFS('Session Tracker'!$J$5:$J$149,'Session Tracker'!$D$5:$D$149,$A288,'Session Tracker'!$F$5:$F$149,"Next week",'Session Tracker'!$G$5:$G$149,""))</f>
        <v>0</v>
      </c>
    </row>
    <row r="290" customFormat="false" ht="19.5" hidden="false" customHeight="true" outlineLevel="0" collapsed="false">
      <c r="A290" s="57" t="s">
        <v>190</v>
      </c>
      <c r="B290" s="58" t="s">
        <v>556</v>
      </c>
      <c r="C290" s="58"/>
      <c r="D290" s="58"/>
      <c r="E290" s="58"/>
      <c r="F290" s="59" t="str">
        <f aca="false">"Status: "&amp;'Session Tracker'!F63&amp;IF('Session Tracker'!G63&lt;&gt;""," ("&amp;'Session Tracker'!G63&amp;")","")</f>
        <v>Status: Not started</v>
      </c>
      <c r="G290" s="59"/>
      <c r="H290" s="60"/>
      <c r="I290" s="60"/>
      <c r="J290" s="60"/>
      <c r="K290" s="60"/>
      <c r="L290" s="60"/>
      <c r="M290" s="60"/>
    </row>
    <row r="291" customFormat="false" ht="15" hidden="false" customHeight="false" outlineLevel="0" collapsed="false">
      <c r="A291" s="61" t="s">
        <v>190</v>
      </c>
      <c r="B291" s="34" t="s">
        <v>382</v>
      </c>
      <c r="C291" s="34" t="s">
        <v>383</v>
      </c>
      <c r="D291" s="32" t="n">
        <v>1</v>
      </c>
      <c r="E291" s="32" t="s">
        <v>14</v>
      </c>
      <c r="F291" s="32" t="s">
        <v>368</v>
      </c>
      <c r="G291" s="34"/>
      <c r="H291" s="52" t="n">
        <f aca="false">IF($E291="Per class",$D291*COUNTIFS('Session Tracker'!$D$5:$D$149,$A291,'Session Tracker'!$F$5:$F$149,"Next week",'Session Tracker'!$G$5:$G$149,"Mon"),$D291*SUMIFS('Session Tracker'!$J$5:$J$149,'Session Tracker'!$D$5:$D$149,$A291,'Session Tracker'!$F$5:$F$149,"Next week",'Session Tracker'!$G$5:$G$149,"Mon"))</f>
        <v>0</v>
      </c>
      <c r="I291" s="52" t="n">
        <f aca="false">IF($E291="Per class",$D291*COUNTIFS('Session Tracker'!$D$5:$D$149,$A291,'Session Tracker'!$F$5:$F$149,"Next week",'Session Tracker'!$G$5:$G$149,"Tue"),$D291*SUMIFS('Session Tracker'!$J$5:$J$149,'Session Tracker'!$D$5:$D$149,$A291,'Session Tracker'!$F$5:$F$149,"Next week",'Session Tracker'!$G$5:$G$149,"Tue"))</f>
        <v>0</v>
      </c>
      <c r="J291" s="52" t="n">
        <f aca="false">IF($E291="Per class",$D291*COUNTIFS('Session Tracker'!$D$5:$D$149,$A291,'Session Tracker'!$F$5:$F$149,"Next week",'Session Tracker'!$G$5:$G$149,"Wed"),$D291*SUMIFS('Session Tracker'!$J$5:$J$149,'Session Tracker'!$D$5:$D$149,$A291,'Session Tracker'!$F$5:$F$149,"Next week",'Session Tracker'!$G$5:$G$149,"Wed"))</f>
        <v>0</v>
      </c>
      <c r="K291" s="52" t="n">
        <f aca="false">IF($E291="Per class",$D291*COUNTIFS('Session Tracker'!$D$5:$D$149,$A291,'Session Tracker'!$F$5:$F$149,"Next week",'Session Tracker'!$G$5:$G$149,"Thu"),$D291*SUMIFS('Session Tracker'!$J$5:$J$149,'Session Tracker'!$D$5:$D$149,$A291,'Session Tracker'!$F$5:$F$149,"Next week",'Session Tracker'!$G$5:$G$149,"Thu"))</f>
        <v>0</v>
      </c>
      <c r="L291" s="52" t="n">
        <f aca="false">IF($E291="Per class",$D291*COUNTIFS('Session Tracker'!$D$5:$D$149,$A291,'Session Tracker'!$F$5:$F$149,"Next week",'Session Tracker'!$G$5:$G$149,"Fri"),$D291*SUMIFS('Session Tracker'!$J$5:$J$149,'Session Tracker'!$D$5:$D$149,$A291,'Session Tracker'!$F$5:$F$149,"Next week",'Session Tracker'!$G$5:$G$149,"Fri"))</f>
        <v>0</v>
      </c>
      <c r="M291" s="52" t="n">
        <f aca="false">IF($E291="Per class",$D291*COUNTIFS('Session Tracker'!$D$5:$D$149,$A291,'Session Tracker'!$F$5:$F$149,"Next week",'Session Tracker'!$G$5:$G$149,""),$D291*SUMIFS('Session Tracker'!$J$5:$J$149,'Session Tracker'!$D$5:$D$149,$A291,'Session Tracker'!$F$5:$F$149,"Next week",'Session Tracker'!$G$5:$G$149,""))</f>
        <v>0</v>
      </c>
    </row>
    <row r="292" customFormat="false" ht="15" hidden="false" customHeight="false" outlineLevel="0" collapsed="false">
      <c r="A292" s="53" t="s">
        <v>190</v>
      </c>
      <c r="B292" s="54"/>
      <c r="C292" s="54"/>
      <c r="D292" s="54"/>
      <c r="E292" s="54"/>
      <c r="F292" s="54"/>
      <c r="G292" s="54"/>
      <c r="H292" s="52" t="n">
        <f aca="false">IF($E292="Per class",$D292*COUNTIFS('Session Tracker'!$D$5:$D$149,$A292,'Session Tracker'!$F$5:$F$149,"Next week",'Session Tracker'!$G$5:$G$149,"Mon"),$D292*SUMIFS('Session Tracker'!$J$5:$J$149,'Session Tracker'!$D$5:$D$149,$A292,'Session Tracker'!$F$5:$F$149,"Next week",'Session Tracker'!$G$5:$G$149,"Mon"))</f>
        <v>0</v>
      </c>
      <c r="I292" s="52" t="n">
        <f aca="false">IF($E292="Per class",$D292*COUNTIFS('Session Tracker'!$D$5:$D$149,$A292,'Session Tracker'!$F$5:$F$149,"Next week",'Session Tracker'!$G$5:$G$149,"Tue"),$D292*SUMIFS('Session Tracker'!$J$5:$J$149,'Session Tracker'!$D$5:$D$149,$A292,'Session Tracker'!$F$5:$F$149,"Next week",'Session Tracker'!$G$5:$G$149,"Tue"))</f>
        <v>0</v>
      </c>
      <c r="J292" s="52" t="n">
        <f aca="false">IF($E292="Per class",$D292*COUNTIFS('Session Tracker'!$D$5:$D$149,$A292,'Session Tracker'!$F$5:$F$149,"Next week",'Session Tracker'!$G$5:$G$149,"Wed"),$D292*SUMIFS('Session Tracker'!$J$5:$J$149,'Session Tracker'!$D$5:$D$149,$A292,'Session Tracker'!$F$5:$F$149,"Next week",'Session Tracker'!$G$5:$G$149,"Wed"))</f>
        <v>0</v>
      </c>
      <c r="K292" s="52" t="n">
        <f aca="false">IF($E292="Per class",$D292*COUNTIFS('Session Tracker'!$D$5:$D$149,$A292,'Session Tracker'!$F$5:$F$149,"Next week",'Session Tracker'!$G$5:$G$149,"Thu"),$D292*SUMIFS('Session Tracker'!$J$5:$J$149,'Session Tracker'!$D$5:$D$149,$A292,'Session Tracker'!$F$5:$F$149,"Next week",'Session Tracker'!$G$5:$G$149,"Thu"))</f>
        <v>0</v>
      </c>
      <c r="L292" s="52" t="n">
        <f aca="false">IF($E292="Per class",$D292*COUNTIFS('Session Tracker'!$D$5:$D$149,$A292,'Session Tracker'!$F$5:$F$149,"Next week",'Session Tracker'!$G$5:$G$149,"Fri"),$D292*SUMIFS('Session Tracker'!$J$5:$J$149,'Session Tracker'!$D$5:$D$149,$A292,'Session Tracker'!$F$5:$F$149,"Next week",'Session Tracker'!$G$5:$G$149,"Fri"))</f>
        <v>0</v>
      </c>
      <c r="M292" s="52" t="n">
        <f aca="false">IF($E292="Per class",$D292*COUNTIFS('Session Tracker'!$D$5:$D$149,$A292,'Session Tracker'!$F$5:$F$149,"Next week",'Session Tracker'!$G$5:$G$149,""),$D292*SUMIFS('Session Tracker'!$J$5:$J$149,'Session Tracker'!$D$5:$D$149,$A292,'Session Tracker'!$F$5:$F$149,"Next week",'Session Tracker'!$G$5:$G$149,""))</f>
        <v>0</v>
      </c>
    </row>
    <row r="293" customFormat="false" ht="15" hidden="false" customHeight="false" outlineLevel="0" collapsed="false">
      <c r="A293" s="53" t="s">
        <v>190</v>
      </c>
      <c r="B293" s="54"/>
      <c r="C293" s="54"/>
      <c r="D293" s="54"/>
      <c r="E293" s="54"/>
      <c r="F293" s="54"/>
      <c r="G293" s="54"/>
      <c r="H293" s="52" t="n">
        <f aca="false">IF($E293="Per class",$D293*COUNTIFS('Session Tracker'!$D$5:$D$149,$A293,'Session Tracker'!$F$5:$F$149,"Next week",'Session Tracker'!$G$5:$G$149,"Mon"),$D293*SUMIFS('Session Tracker'!$J$5:$J$149,'Session Tracker'!$D$5:$D$149,$A293,'Session Tracker'!$F$5:$F$149,"Next week",'Session Tracker'!$G$5:$G$149,"Mon"))</f>
        <v>0</v>
      </c>
      <c r="I293" s="52" t="n">
        <f aca="false">IF($E293="Per class",$D293*COUNTIFS('Session Tracker'!$D$5:$D$149,$A293,'Session Tracker'!$F$5:$F$149,"Next week",'Session Tracker'!$G$5:$G$149,"Tue"),$D293*SUMIFS('Session Tracker'!$J$5:$J$149,'Session Tracker'!$D$5:$D$149,$A293,'Session Tracker'!$F$5:$F$149,"Next week",'Session Tracker'!$G$5:$G$149,"Tue"))</f>
        <v>0</v>
      </c>
      <c r="J293" s="52" t="n">
        <f aca="false">IF($E293="Per class",$D293*COUNTIFS('Session Tracker'!$D$5:$D$149,$A293,'Session Tracker'!$F$5:$F$149,"Next week",'Session Tracker'!$G$5:$G$149,"Wed"),$D293*SUMIFS('Session Tracker'!$J$5:$J$149,'Session Tracker'!$D$5:$D$149,$A293,'Session Tracker'!$F$5:$F$149,"Next week",'Session Tracker'!$G$5:$G$149,"Wed"))</f>
        <v>0</v>
      </c>
      <c r="K293" s="52" t="n">
        <f aca="false">IF($E293="Per class",$D293*COUNTIFS('Session Tracker'!$D$5:$D$149,$A293,'Session Tracker'!$F$5:$F$149,"Next week",'Session Tracker'!$G$5:$G$149,"Thu"),$D293*SUMIFS('Session Tracker'!$J$5:$J$149,'Session Tracker'!$D$5:$D$149,$A293,'Session Tracker'!$F$5:$F$149,"Next week",'Session Tracker'!$G$5:$G$149,"Thu"))</f>
        <v>0</v>
      </c>
      <c r="L293" s="52" t="n">
        <f aca="false">IF($E293="Per class",$D293*COUNTIFS('Session Tracker'!$D$5:$D$149,$A293,'Session Tracker'!$F$5:$F$149,"Next week",'Session Tracker'!$G$5:$G$149,"Fri"),$D293*SUMIFS('Session Tracker'!$J$5:$J$149,'Session Tracker'!$D$5:$D$149,$A293,'Session Tracker'!$F$5:$F$149,"Next week",'Session Tracker'!$G$5:$G$149,"Fri"))</f>
        <v>0</v>
      </c>
      <c r="M293" s="52" t="n">
        <f aca="false">IF($E293="Per class",$D293*COUNTIFS('Session Tracker'!$D$5:$D$149,$A293,'Session Tracker'!$F$5:$F$149,"Next week",'Session Tracker'!$G$5:$G$149,""),$D293*SUMIFS('Session Tracker'!$J$5:$J$149,'Session Tracker'!$D$5:$D$149,$A293,'Session Tracker'!$F$5:$F$149,"Next week",'Session Tracker'!$G$5:$G$149,""))</f>
        <v>0</v>
      </c>
    </row>
    <row r="295" customFormat="false" ht="19.5" hidden="false" customHeight="true" outlineLevel="0" collapsed="false">
      <c r="A295" s="57" t="s">
        <v>192</v>
      </c>
      <c r="B295" s="58" t="s">
        <v>557</v>
      </c>
      <c r="C295" s="58"/>
      <c r="D295" s="58"/>
      <c r="E295" s="58"/>
      <c r="F295" s="59" t="str">
        <f aca="false">"Status: "&amp;'Session Tracker'!F64&amp;IF('Session Tracker'!G64&lt;&gt;""," ("&amp;'Session Tracker'!G64&amp;")","")</f>
        <v>Status: Not started</v>
      </c>
      <c r="G295" s="59"/>
      <c r="H295" s="60"/>
      <c r="I295" s="60"/>
      <c r="J295" s="60"/>
      <c r="K295" s="60"/>
      <c r="L295" s="60"/>
      <c r="M295" s="60"/>
    </row>
    <row r="296" customFormat="false" ht="15" hidden="false" customHeight="false" outlineLevel="0" collapsed="false">
      <c r="A296" s="61" t="s">
        <v>192</v>
      </c>
      <c r="B296" s="34" t="s">
        <v>411</v>
      </c>
      <c r="C296" s="34" t="s">
        <v>450</v>
      </c>
      <c r="D296" s="32" t="n">
        <v>1</v>
      </c>
      <c r="E296" s="32" t="s">
        <v>14</v>
      </c>
      <c r="F296" s="32" t="s">
        <v>373</v>
      </c>
      <c r="G296" s="34"/>
      <c r="H296" s="52" t="n">
        <f aca="false">IF($E296="Per class",$D296*COUNTIFS('Session Tracker'!$D$5:$D$149,$A296,'Session Tracker'!$F$5:$F$149,"Next week",'Session Tracker'!$G$5:$G$149,"Mon"),$D296*SUMIFS('Session Tracker'!$J$5:$J$149,'Session Tracker'!$D$5:$D$149,$A296,'Session Tracker'!$F$5:$F$149,"Next week",'Session Tracker'!$G$5:$G$149,"Mon"))</f>
        <v>0</v>
      </c>
      <c r="I296" s="52" t="n">
        <f aca="false">IF($E296="Per class",$D296*COUNTIFS('Session Tracker'!$D$5:$D$149,$A296,'Session Tracker'!$F$5:$F$149,"Next week",'Session Tracker'!$G$5:$G$149,"Tue"),$D296*SUMIFS('Session Tracker'!$J$5:$J$149,'Session Tracker'!$D$5:$D$149,$A296,'Session Tracker'!$F$5:$F$149,"Next week",'Session Tracker'!$G$5:$G$149,"Tue"))</f>
        <v>0</v>
      </c>
      <c r="J296" s="52" t="n">
        <f aca="false">IF($E296="Per class",$D296*COUNTIFS('Session Tracker'!$D$5:$D$149,$A296,'Session Tracker'!$F$5:$F$149,"Next week",'Session Tracker'!$G$5:$G$149,"Wed"),$D296*SUMIFS('Session Tracker'!$J$5:$J$149,'Session Tracker'!$D$5:$D$149,$A296,'Session Tracker'!$F$5:$F$149,"Next week",'Session Tracker'!$G$5:$G$149,"Wed"))</f>
        <v>0</v>
      </c>
      <c r="K296" s="52" t="n">
        <f aca="false">IF($E296="Per class",$D296*COUNTIFS('Session Tracker'!$D$5:$D$149,$A296,'Session Tracker'!$F$5:$F$149,"Next week",'Session Tracker'!$G$5:$G$149,"Thu"),$D296*SUMIFS('Session Tracker'!$J$5:$J$149,'Session Tracker'!$D$5:$D$149,$A296,'Session Tracker'!$F$5:$F$149,"Next week",'Session Tracker'!$G$5:$G$149,"Thu"))</f>
        <v>0</v>
      </c>
      <c r="L296" s="52" t="n">
        <f aca="false">IF($E296="Per class",$D296*COUNTIFS('Session Tracker'!$D$5:$D$149,$A296,'Session Tracker'!$F$5:$F$149,"Next week",'Session Tracker'!$G$5:$G$149,"Fri"),$D296*SUMIFS('Session Tracker'!$J$5:$J$149,'Session Tracker'!$D$5:$D$149,$A296,'Session Tracker'!$F$5:$F$149,"Next week",'Session Tracker'!$G$5:$G$149,"Fri"))</f>
        <v>0</v>
      </c>
      <c r="M296" s="52" t="n">
        <f aca="false">IF($E296="Per class",$D296*COUNTIFS('Session Tracker'!$D$5:$D$149,$A296,'Session Tracker'!$F$5:$F$149,"Next week",'Session Tracker'!$G$5:$G$149,""),$D296*SUMIFS('Session Tracker'!$J$5:$J$149,'Session Tracker'!$D$5:$D$149,$A296,'Session Tracker'!$F$5:$F$149,"Next week",'Session Tracker'!$G$5:$G$149,""))</f>
        <v>0</v>
      </c>
    </row>
    <row r="297" customFormat="false" ht="15" hidden="false" customHeight="false" outlineLevel="0" collapsed="false">
      <c r="A297" s="61" t="s">
        <v>192</v>
      </c>
      <c r="B297" s="34" t="s">
        <v>411</v>
      </c>
      <c r="C297" s="34" t="s">
        <v>413</v>
      </c>
      <c r="D297" s="32" t="n">
        <v>1</v>
      </c>
      <c r="E297" s="32" t="s">
        <v>14</v>
      </c>
      <c r="F297" s="32" t="s">
        <v>373</v>
      </c>
      <c r="G297" s="34" t="s">
        <v>558</v>
      </c>
      <c r="H297" s="52" t="n">
        <f aca="false">IF($E297="Per class",$D297*COUNTIFS('Session Tracker'!$D$5:$D$149,$A297,'Session Tracker'!$F$5:$F$149,"Next week",'Session Tracker'!$G$5:$G$149,"Mon"),$D297*SUMIFS('Session Tracker'!$J$5:$J$149,'Session Tracker'!$D$5:$D$149,$A297,'Session Tracker'!$F$5:$F$149,"Next week",'Session Tracker'!$G$5:$G$149,"Mon"))</f>
        <v>0</v>
      </c>
      <c r="I297" s="52" t="n">
        <f aca="false">IF($E297="Per class",$D297*COUNTIFS('Session Tracker'!$D$5:$D$149,$A297,'Session Tracker'!$F$5:$F$149,"Next week",'Session Tracker'!$G$5:$G$149,"Tue"),$D297*SUMIFS('Session Tracker'!$J$5:$J$149,'Session Tracker'!$D$5:$D$149,$A297,'Session Tracker'!$F$5:$F$149,"Next week",'Session Tracker'!$G$5:$G$149,"Tue"))</f>
        <v>0</v>
      </c>
      <c r="J297" s="52" t="n">
        <f aca="false">IF($E297="Per class",$D297*COUNTIFS('Session Tracker'!$D$5:$D$149,$A297,'Session Tracker'!$F$5:$F$149,"Next week",'Session Tracker'!$G$5:$G$149,"Wed"),$D297*SUMIFS('Session Tracker'!$J$5:$J$149,'Session Tracker'!$D$5:$D$149,$A297,'Session Tracker'!$F$5:$F$149,"Next week",'Session Tracker'!$G$5:$G$149,"Wed"))</f>
        <v>0</v>
      </c>
      <c r="K297" s="52" t="n">
        <f aca="false">IF($E297="Per class",$D297*COUNTIFS('Session Tracker'!$D$5:$D$149,$A297,'Session Tracker'!$F$5:$F$149,"Next week",'Session Tracker'!$G$5:$G$149,"Thu"),$D297*SUMIFS('Session Tracker'!$J$5:$J$149,'Session Tracker'!$D$5:$D$149,$A297,'Session Tracker'!$F$5:$F$149,"Next week",'Session Tracker'!$G$5:$G$149,"Thu"))</f>
        <v>0</v>
      </c>
      <c r="L297" s="52" t="n">
        <f aca="false">IF($E297="Per class",$D297*COUNTIFS('Session Tracker'!$D$5:$D$149,$A297,'Session Tracker'!$F$5:$F$149,"Next week",'Session Tracker'!$G$5:$G$149,"Fri"),$D297*SUMIFS('Session Tracker'!$J$5:$J$149,'Session Tracker'!$D$5:$D$149,$A297,'Session Tracker'!$F$5:$F$149,"Next week",'Session Tracker'!$G$5:$G$149,"Fri"))</f>
        <v>0</v>
      </c>
      <c r="M297" s="52" t="n">
        <f aca="false">IF($E297="Per class",$D297*COUNTIFS('Session Tracker'!$D$5:$D$149,$A297,'Session Tracker'!$F$5:$F$149,"Next week",'Session Tracker'!$G$5:$G$149,""),$D297*SUMIFS('Session Tracker'!$J$5:$J$149,'Session Tracker'!$D$5:$D$149,$A297,'Session Tracker'!$F$5:$F$149,"Next week",'Session Tracker'!$G$5:$G$149,""))</f>
        <v>0</v>
      </c>
    </row>
    <row r="298" customFormat="false" ht="15" hidden="false" customHeight="false" outlineLevel="0" collapsed="false">
      <c r="A298" s="53" t="s">
        <v>192</v>
      </c>
      <c r="B298" s="54"/>
      <c r="C298" s="54"/>
      <c r="D298" s="54"/>
      <c r="E298" s="54"/>
      <c r="F298" s="54"/>
      <c r="G298" s="54"/>
      <c r="H298" s="52" t="n">
        <f aca="false">IF($E298="Per class",$D298*COUNTIFS('Session Tracker'!$D$5:$D$149,$A298,'Session Tracker'!$F$5:$F$149,"Next week",'Session Tracker'!$G$5:$G$149,"Mon"),$D298*SUMIFS('Session Tracker'!$J$5:$J$149,'Session Tracker'!$D$5:$D$149,$A298,'Session Tracker'!$F$5:$F$149,"Next week",'Session Tracker'!$G$5:$G$149,"Mon"))</f>
        <v>0</v>
      </c>
      <c r="I298" s="52" t="n">
        <f aca="false">IF($E298="Per class",$D298*COUNTIFS('Session Tracker'!$D$5:$D$149,$A298,'Session Tracker'!$F$5:$F$149,"Next week",'Session Tracker'!$G$5:$G$149,"Tue"),$D298*SUMIFS('Session Tracker'!$J$5:$J$149,'Session Tracker'!$D$5:$D$149,$A298,'Session Tracker'!$F$5:$F$149,"Next week",'Session Tracker'!$G$5:$G$149,"Tue"))</f>
        <v>0</v>
      </c>
      <c r="J298" s="52" t="n">
        <f aca="false">IF($E298="Per class",$D298*COUNTIFS('Session Tracker'!$D$5:$D$149,$A298,'Session Tracker'!$F$5:$F$149,"Next week",'Session Tracker'!$G$5:$G$149,"Wed"),$D298*SUMIFS('Session Tracker'!$J$5:$J$149,'Session Tracker'!$D$5:$D$149,$A298,'Session Tracker'!$F$5:$F$149,"Next week",'Session Tracker'!$G$5:$G$149,"Wed"))</f>
        <v>0</v>
      </c>
      <c r="K298" s="52" t="n">
        <f aca="false">IF($E298="Per class",$D298*COUNTIFS('Session Tracker'!$D$5:$D$149,$A298,'Session Tracker'!$F$5:$F$149,"Next week",'Session Tracker'!$G$5:$G$149,"Thu"),$D298*SUMIFS('Session Tracker'!$J$5:$J$149,'Session Tracker'!$D$5:$D$149,$A298,'Session Tracker'!$F$5:$F$149,"Next week",'Session Tracker'!$G$5:$G$149,"Thu"))</f>
        <v>0</v>
      </c>
      <c r="L298" s="52" t="n">
        <f aca="false">IF($E298="Per class",$D298*COUNTIFS('Session Tracker'!$D$5:$D$149,$A298,'Session Tracker'!$F$5:$F$149,"Next week",'Session Tracker'!$G$5:$G$149,"Fri"),$D298*SUMIFS('Session Tracker'!$J$5:$J$149,'Session Tracker'!$D$5:$D$149,$A298,'Session Tracker'!$F$5:$F$149,"Next week",'Session Tracker'!$G$5:$G$149,"Fri"))</f>
        <v>0</v>
      </c>
      <c r="M298" s="52" t="n">
        <f aca="false">IF($E298="Per class",$D298*COUNTIFS('Session Tracker'!$D$5:$D$149,$A298,'Session Tracker'!$F$5:$F$149,"Next week",'Session Tracker'!$G$5:$G$149,""),$D298*SUMIFS('Session Tracker'!$J$5:$J$149,'Session Tracker'!$D$5:$D$149,$A298,'Session Tracker'!$F$5:$F$149,"Next week",'Session Tracker'!$G$5:$G$149,""))</f>
        <v>0</v>
      </c>
    </row>
    <row r="299" customFormat="false" ht="15" hidden="false" customHeight="false" outlineLevel="0" collapsed="false">
      <c r="A299" s="53" t="s">
        <v>192</v>
      </c>
      <c r="B299" s="54"/>
      <c r="C299" s="54"/>
      <c r="D299" s="54"/>
      <c r="E299" s="54"/>
      <c r="F299" s="54"/>
      <c r="G299" s="54"/>
      <c r="H299" s="52" t="n">
        <f aca="false">IF($E299="Per class",$D299*COUNTIFS('Session Tracker'!$D$5:$D$149,$A299,'Session Tracker'!$F$5:$F$149,"Next week",'Session Tracker'!$G$5:$G$149,"Mon"),$D299*SUMIFS('Session Tracker'!$J$5:$J$149,'Session Tracker'!$D$5:$D$149,$A299,'Session Tracker'!$F$5:$F$149,"Next week",'Session Tracker'!$G$5:$G$149,"Mon"))</f>
        <v>0</v>
      </c>
      <c r="I299" s="52" t="n">
        <f aca="false">IF($E299="Per class",$D299*COUNTIFS('Session Tracker'!$D$5:$D$149,$A299,'Session Tracker'!$F$5:$F$149,"Next week",'Session Tracker'!$G$5:$G$149,"Tue"),$D299*SUMIFS('Session Tracker'!$J$5:$J$149,'Session Tracker'!$D$5:$D$149,$A299,'Session Tracker'!$F$5:$F$149,"Next week",'Session Tracker'!$G$5:$G$149,"Tue"))</f>
        <v>0</v>
      </c>
      <c r="J299" s="52" t="n">
        <f aca="false">IF($E299="Per class",$D299*COUNTIFS('Session Tracker'!$D$5:$D$149,$A299,'Session Tracker'!$F$5:$F$149,"Next week",'Session Tracker'!$G$5:$G$149,"Wed"),$D299*SUMIFS('Session Tracker'!$J$5:$J$149,'Session Tracker'!$D$5:$D$149,$A299,'Session Tracker'!$F$5:$F$149,"Next week",'Session Tracker'!$G$5:$G$149,"Wed"))</f>
        <v>0</v>
      </c>
      <c r="K299" s="52" t="n">
        <f aca="false">IF($E299="Per class",$D299*COUNTIFS('Session Tracker'!$D$5:$D$149,$A299,'Session Tracker'!$F$5:$F$149,"Next week",'Session Tracker'!$G$5:$G$149,"Thu"),$D299*SUMIFS('Session Tracker'!$J$5:$J$149,'Session Tracker'!$D$5:$D$149,$A299,'Session Tracker'!$F$5:$F$149,"Next week",'Session Tracker'!$G$5:$G$149,"Thu"))</f>
        <v>0</v>
      </c>
      <c r="L299" s="52" t="n">
        <f aca="false">IF($E299="Per class",$D299*COUNTIFS('Session Tracker'!$D$5:$D$149,$A299,'Session Tracker'!$F$5:$F$149,"Next week",'Session Tracker'!$G$5:$G$149,"Fri"),$D299*SUMIFS('Session Tracker'!$J$5:$J$149,'Session Tracker'!$D$5:$D$149,$A299,'Session Tracker'!$F$5:$F$149,"Next week",'Session Tracker'!$G$5:$G$149,"Fri"))</f>
        <v>0</v>
      </c>
      <c r="M299" s="52" t="n">
        <f aca="false">IF($E299="Per class",$D299*COUNTIFS('Session Tracker'!$D$5:$D$149,$A299,'Session Tracker'!$F$5:$F$149,"Next week",'Session Tracker'!$G$5:$G$149,""),$D299*SUMIFS('Session Tracker'!$J$5:$J$149,'Session Tracker'!$D$5:$D$149,$A299,'Session Tracker'!$F$5:$F$149,"Next week",'Session Tracker'!$G$5:$G$149,""))</f>
        <v>0</v>
      </c>
    </row>
    <row r="301" customFormat="false" ht="19.5" hidden="false" customHeight="true" outlineLevel="0" collapsed="false">
      <c r="A301" s="57" t="s">
        <v>194</v>
      </c>
      <c r="B301" s="58" t="s">
        <v>559</v>
      </c>
      <c r="C301" s="58"/>
      <c r="D301" s="58"/>
      <c r="E301" s="58"/>
      <c r="F301" s="59" t="str">
        <f aca="false">"Status: "&amp;'Session Tracker'!F65&amp;IF('Session Tracker'!G65&lt;&gt;""," ("&amp;'Session Tracker'!G65&amp;")","")</f>
        <v>Status: Not started</v>
      </c>
      <c r="G301" s="59"/>
      <c r="H301" s="60"/>
      <c r="I301" s="60"/>
      <c r="J301" s="60"/>
      <c r="K301" s="60"/>
      <c r="L301" s="60"/>
      <c r="M301" s="60"/>
    </row>
    <row r="302" customFormat="false" ht="23.85" hidden="false" customHeight="false" outlineLevel="0" collapsed="false">
      <c r="A302" s="61" t="s">
        <v>194</v>
      </c>
      <c r="B302" s="34" t="s">
        <v>366</v>
      </c>
      <c r="C302" s="34" t="s">
        <v>367</v>
      </c>
      <c r="D302" s="32" t="n">
        <v>1</v>
      </c>
      <c r="E302" s="32" t="s">
        <v>14</v>
      </c>
      <c r="F302" s="32" t="s">
        <v>368</v>
      </c>
      <c r="G302" s="34"/>
      <c r="H302" s="52" t="n">
        <f aca="false">IF($E302="Per class",$D302*COUNTIFS('Session Tracker'!$D$5:$D$149,$A302,'Session Tracker'!$F$5:$F$149,"Next week",'Session Tracker'!$G$5:$G$149,"Mon"),$D302*SUMIFS('Session Tracker'!$J$5:$J$149,'Session Tracker'!$D$5:$D$149,$A302,'Session Tracker'!$F$5:$F$149,"Next week",'Session Tracker'!$G$5:$G$149,"Mon"))</f>
        <v>0</v>
      </c>
      <c r="I302" s="52" t="n">
        <f aca="false">IF($E302="Per class",$D302*COUNTIFS('Session Tracker'!$D$5:$D$149,$A302,'Session Tracker'!$F$5:$F$149,"Next week",'Session Tracker'!$G$5:$G$149,"Tue"),$D302*SUMIFS('Session Tracker'!$J$5:$J$149,'Session Tracker'!$D$5:$D$149,$A302,'Session Tracker'!$F$5:$F$149,"Next week",'Session Tracker'!$G$5:$G$149,"Tue"))</f>
        <v>0</v>
      </c>
      <c r="J302" s="52" t="n">
        <f aca="false">IF($E302="Per class",$D302*COUNTIFS('Session Tracker'!$D$5:$D$149,$A302,'Session Tracker'!$F$5:$F$149,"Next week",'Session Tracker'!$G$5:$G$149,"Wed"),$D302*SUMIFS('Session Tracker'!$J$5:$J$149,'Session Tracker'!$D$5:$D$149,$A302,'Session Tracker'!$F$5:$F$149,"Next week",'Session Tracker'!$G$5:$G$149,"Wed"))</f>
        <v>0</v>
      </c>
      <c r="K302" s="52" t="n">
        <f aca="false">IF($E302="Per class",$D302*COUNTIFS('Session Tracker'!$D$5:$D$149,$A302,'Session Tracker'!$F$5:$F$149,"Next week",'Session Tracker'!$G$5:$G$149,"Thu"),$D302*SUMIFS('Session Tracker'!$J$5:$J$149,'Session Tracker'!$D$5:$D$149,$A302,'Session Tracker'!$F$5:$F$149,"Next week",'Session Tracker'!$G$5:$G$149,"Thu"))</f>
        <v>0</v>
      </c>
      <c r="L302" s="52" t="n">
        <f aca="false">IF($E302="Per class",$D302*COUNTIFS('Session Tracker'!$D$5:$D$149,$A302,'Session Tracker'!$F$5:$F$149,"Next week",'Session Tracker'!$G$5:$G$149,"Fri"),$D302*SUMIFS('Session Tracker'!$J$5:$J$149,'Session Tracker'!$D$5:$D$149,$A302,'Session Tracker'!$F$5:$F$149,"Next week",'Session Tracker'!$G$5:$G$149,"Fri"))</f>
        <v>0</v>
      </c>
      <c r="M302" s="52" t="n">
        <f aca="false">IF($E302="Per class",$D302*COUNTIFS('Session Tracker'!$D$5:$D$149,$A302,'Session Tracker'!$F$5:$F$149,"Next week",'Session Tracker'!$G$5:$G$149,""),$D302*SUMIFS('Session Tracker'!$J$5:$J$149,'Session Tracker'!$D$5:$D$149,$A302,'Session Tracker'!$F$5:$F$149,"Next week",'Session Tracker'!$G$5:$G$149,""))</f>
        <v>0</v>
      </c>
    </row>
    <row r="303" customFormat="false" ht="15" hidden="false" customHeight="false" outlineLevel="0" collapsed="false">
      <c r="A303" s="61" t="s">
        <v>194</v>
      </c>
      <c r="B303" s="34" t="s">
        <v>369</v>
      </c>
      <c r="C303" s="34" t="s">
        <v>560</v>
      </c>
      <c r="D303" s="32" t="n">
        <v>1</v>
      </c>
      <c r="E303" s="32" t="s">
        <v>14</v>
      </c>
      <c r="F303" s="32" t="s">
        <v>368</v>
      </c>
      <c r="G303" s="34"/>
      <c r="H303" s="52" t="n">
        <f aca="false">IF($E303="Per class",$D303*COUNTIFS('Session Tracker'!$D$5:$D$149,$A303,'Session Tracker'!$F$5:$F$149,"Next week",'Session Tracker'!$G$5:$G$149,"Mon"),$D303*SUMIFS('Session Tracker'!$J$5:$J$149,'Session Tracker'!$D$5:$D$149,$A303,'Session Tracker'!$F$5:$F$149,"Next week",'Session Tracker'!$G$5:$G$149,"Mon"))</f>
        <v>0</v>
      </c>
      <c r="I303" s="52" t="n">
        <f aca="false">IF($E303="Per class",$D303*COUNTIFS('Session Tracker'!$D$5:$D$149,$A303,'Session Tracker'!$F$5:$F$149,"Next week",'Session Tracker'!$G$5:$G$149,"Tue"),$D303*SUMIFS('Session Tracker'!$J$5:$J$149,'Session Tracker'!$D$5:$D$149,$A303,'Session Tracker'!$F$5:$F$149,"Next week",'Session Tracker'!$G$5:$G$149,"Tue"))</f>
        <v>0</v>
      </c>
      <c r="J303" s="52" t="n">
        <f aca="false">IF($E303="Per class",$D303*COUNTIFS('Session Tracker'!$D$5:$D$149,$A303,'Session Tracker'!$F$5:$F$149,"Next week",'Session Tracker'!$G$5:$G$149,"Wed"),$D303*SUMIFS('Session Tracker'!$J$5:$J$149,'Session Tracker'!$D$5:$D$149,$A303,'Session Tracker'!$F$5:$F$149,"Next week",'Session Tracker'!$G$5:$G$149,"Wed"))</f>
        <v>0</v>
      </c>
      <c r="K303" s="52" t="n">
        <f aca="false">IF($E303="Per class",$D303*COUNTIFS('Session Tracker'!$D$5:$D$149,$A303,'Session Tracker'!$F$5:$F$149,"Next week",'Session Tracker'!$G$5:$G$149,"Thu"),$D303*SUMIFS('Session Tracker'!$J$5:$J$149,'Session Tracker'!$D$5:$D$149,$A303,'Session Tracker'!$F$5:$F$149,"Next week",'Session Tracker'!$G$5:$G$149,"Thu"))</f>
        <v>0</v>
      </c>
      <c r="L303" s="52" t="n">
        <f aca="false">IF($E303="Per class",$D303*COUNTIFS('Session Tracker'!$D$5:$D$149,$A303,'Session Tracker'!$F$5:$F$149,"Next week",'Session Tracker'!$G$5:$G$149,"Fri"),$D303*SUMIFS('Session Tracker'!$J$5:$J$149,'Session Tracker'!$D$5:$D$149,$A303,'Session Tracker'!$F$5:$F$149,"Next week",'Session Tracker'!$G$5:$G$149,"Fri"))</f>
        <v>0</v>
      </c>
      <c r="M303" s="52" t="n">
        <f aca="false">IF($E303="Per class",$D303*COUNTIFS('Session Tracker'!$D$5:$D$149,$A303,'Session Tracker'!$F$5:$F$149,"Next week",'Session Tracker'!$G$5:$G$149,""),$D303*SUMIFS('Session Tracker'!$J$5:$J$149,'Session Tracker'!$D$5:$D$149,$A303,'Session Tracker'!$F$5:$F$149,"Next week",'Session Tracker'!$G$5:$G$149,""))</f>
        <v>0</v>
      </c>
    </row>
    <row r="304" customFormat="false" ht="15" hidden="false" customHeight="false" outlineLevel="0" collapsed="false">
      <c r="A304" s="61" t="s">
        <v>194</v>
      </c>
      <c r="B304" s="34" t="s">
        <v>379</v>
      </c>
      <c r="C304" s="34" t="s">
        <v>395</v>
      </c>
      <c r="D304" s="32" t="n">
        <v>5</v>
      </c>
      <c r="E304" s="32" t="s">
        <v>14</v>
      </c>
      <c r="F304" s="32" t="s">
        <v>368</v>
      </c>
      <c r="G304" s="34"/>
      <c r="H304" s="52" t="n">
        <f aca="false">IF($E304="Per class",$D304*COUNTIFS('Session Tracker'!$D$5:$D$149,$A304,'Session Tracker'!$F$5:$F$149,"Next week",'Session Tracker'!$G$5:$G$149,"Mon"),$D304*SUMIFS('Session Tracker'!$J$5:$J$149,'Session Tracker'!$D$5:$D$149,$A304,'Session Tracker'!$F$5:$F$149,"Next week",'Session Tracker'!$G$5:$G$149,"Mon"))</f>
        <v>0</v>
      </c>
      <c r="I304" s="52" t="n">
        <f aca="false">IF($E304="Per class",$D304*COUNTIFS('Session Tracker'!$D$5:$D$149,$A304,'Session Tracker'!$F$5:$F$149,"Next week",'Session Tracker'!$G$5:$G$149,"Tue"),$D304*SUMIFS('Session Tracker'!$J$5:$J$149,'Session Tracker'!$D$5:$D$149,$A304,'Session Tracker'!$F$5:$F$149,"Next week",'Session Tracker'!$G$5:$G$149,"Tue"))</f>
        <v>0</v>
      </c>
      <c r="J304" s="52" t="n">
        <f aca="false">IF($E304="Per class",$D304*COUNTIFS('Session Tracker'!$D$5:$D$149,$A304,'Session Tracker'!$F$5:$F$149,"Next week",'Session Tracker'!$G$5:$G$149,"Wed"),$D304*SUMIFS('Session Tracker'!$J$5:$J$149,'Session Tracker'!$D$5:$D$149,$A304,'Session Tracker'!$F$5:$F$149,"Next week",'Session Tracker'!$G$5:$G$149,"Wed"))</f>
        <v>0</v>
      </c>
      <c r="K304" s="52" t="n">
        <f aca="false">IF($E304="Per class",$D304*COUNTIFS('Session Tracker'!$D$5:$D$149,$A304,'Session Tracker'!$F$5:$F$149,"Next week",'Session Tracker'!$G$5:$G$149,"Thu"),$D304*SUMIFS('Session Tracker'!$J$5:$J$149,'Session Tracker'!$D$5:$D$149,$A304,'Session Tracker'!$F$5:$F$149,"Next week",'Session Tracker'!$G$5:$G$149,"Thu"))</f>
        <v>0</v>
      </c>
      <c r="L304" s="52" t="n">
        <f aca="false">IF($E304="Per class",$D304*COUNTIFS('Session Tracker'!$D$5:$D$149,$A304,'Session Tracker'!$F$5:$F$149,"Next week",'Session Tracker'!$G$5:$G$149,"Fri"),$D304*SUMIFS('Session Tracker'!$J$5:$J$149,'Session Tracker'!$D$5:$D$149,$A304,'Session Tracker'!$F$5:$F$149,"Next week",'Session Tracker'!$G$5:$G$149,"Fri"))</f>
        <v>0</v>
      </c>
      <c r="M304" s="52" t="n">
        <f aca="false">IF($E304="Per class",$D304*COUNTIFS('Session Tracker'!$D$5:$D$149,$A304,'Session Tracker'!$F$5:$F$149,"Next week",'Session Tracker'!$G$5:$G$149,""),$D304*SUMIFS('Session Tracker'!$J$5:$J$149,'Session Tracker'!$D$5:$D$149,$A304,'Session Tracker'!$F$5:$F$149,"Next week",'Session Tracker'!$G$5:$G$149,""))</f>
        <v>0</v>
      </c>
    </row>
    <row r="305" customFormat="false" ht="15" hidden="false" customHeight="false" outlineLevel="0" collapsed="false">
      <c r="A305" s="61" t="s">
        <v>194</v>
      </c>
      <c r="B305" s="34" t="s">
        <v>382</v>
      </c>
      <c r="C305" s="34" t="s">
        <v>383</v>
      </c>
      <c r="D305" s="32" t="n">
        <v>1</v>
      </c>
      <c r="E305" s="32" t="s">
        <v>14</v>
      </c>
      <c r="F305" s="32" t="s">
        <v>368</v>
      </c>
      <c r="G305" s="34"/>
      <c r="H305" s="52" t="n">
        <f aca="false">IF($E305="Per class",$D305*COUNTIFS('Session Tracker'!$D$5:$D$149,$A305,'Session Tracker'!$F$5:$F$149,"Next week",'Session Tracker'!$G$5:$G$149,"Mon"),$D305*SUMIFS('Session Tracker'!$J$5:$J$149,'Session Tracker'!$D$5:$D$149,$A305,'Session Tracker'!$F$5:$F$149,"Next week",'Session Tracker'!$G$5:$G$149,"Mon"))</f>
        <v>0</v>
      </c>
      <c r="I305" s="52" t="n">
        <f aca="false">IF($E305="Per class",$D305*COUNTIFS('Session Tracker'!$D$5:$D$149,$A305,'Session Tracker'!$F$5:$F$149,"Next week",'Session Tracker'!$G$5:$G$149,"Tue"),$D305*SUMIFS('Session Tracker'!$J$5:$J$149,'Session Tracker'!$D$5:$D$149,$A305,'Session Tracker'!$F$5:$F$149,"Next week",'Session Tracker'!$G$5:$G$149,"Tue"))</f>
        <v>0</v>
      </c>
      <c r="J305" s="52" t="n">
        <f aca="false">IF($E305="Per class",$D305*COUNTIFS('Session Tracker'!$D$5:$D$149,$A305,'Session Tracker'!$F$5:$F$149,"Next week",'Session Tracker'!$G$5:$G$149,"Wed"),$D305*SUMIFS('Session Tracker'!$J$5:$J$149,'Session Tracker'!$D$5:$D$149,$A305,'Session Tracker'!$F$5:$F$149,"Next week",'Session Tracker'!$G$5:$G$149,"Wed"))</f>
        <v>0</v>
      </c>
      <c r="K305" s="52" t="n">
        <f aca="false">IF($E305="Per class",$D305*COUNTIFS('Session Tracker'!$D$5:$D$149,$A305,'Session Tracker'!$F$5:$F$149,"Next week",'Session Tracker'!$G$5:$G$149,"Thu"),$D305*SUMIFS('Session Tracker'!$J$5:$J$149,'Session Tracker'!$D$5:$D$149,$A305,'Session Tracker'!$F$5:$F$149,"Next week",'Session Tracker'!$G$5:$G$149,"Thu"))</f>
        <v>0</v>
      </c>
      <c r="L305" s="52" t="n">
        <f aca="false">IF($E305="Per class",$D305*COUNTIFS('Session Tracker'!$D$5:$D$149,$A305,'Session Tracker'!$F$5:$F$149,"Next week",'Session Tracker'!$G$5:$G$149,"Fri"),$D305*SUMIFS('Session Tracker'!$J$5:$J$149,'Session Tracker'!$D$5:$D$149,$A305,'Session Tracker'!$F$5:$F$149,"Next week",'Session Tracker'!$G$5:$G$149,"Fri"))</f>
        <v>0</v>
      </c>
      <c r="M305" s="52" t="n">
        <f aca="false">IF($E305="Per class",$D305*COUNTIFS('Session Tracker'!$D$5:$D$149,$A305,'Session Tracker'!$F$5:$F$149,"Next week",'Session Tracker'!$G$5:$G$149,""),$D305*SUMIFS('Session Tracker'!$J$5:$J$149,'Session Tracker'!$D$5:$D$149,$A305,'Session Tracker'!$F$5:$F$149,"Next week",'Session Tracker'!$G$5:$G$149,""))</f>
        <v>0</v>
      </c>
    </row>
    <row r="306" customFormat="false" ht="15" hidden="false" customHeight="false" outlineLevel="0" collapsed="false">
      <c r="A306" s="61" t="s">
        <v>194</v>
      </c>
      <c r="B306" s="34" t="s">
        <v>371</v>
      </c>
      <c r="C306" s="34" t="s">
        <v>372</v>
      </c>
      <c r="D306" s="32" t="n">
        <v>1</v>
      </c>
      <c r="E306" s="32" t="s">
        <v>14</v>
      </c>
      <c r="F306" s="32" t="s">
        <v>373</v>
      </c>
      <c r="G306" s="34" t="s">
        <v>389</v>
      </c>
      <c r="H306" s="52" t="n">
        <f aca="false">IF($E306="Per class",$D306*COUNTIFS('Session Tracker'!$D$5:$D$149,$A306,'Session Tracker'!$F$5:$F$149,"Next week",'Session Tracker'!$G$5:$G$149,"Mon"),$D306*SUMIFS('Session Tracker'!$J$5:$J$149,'Session Tracker'!$D$5:$D$149,$A306,'Session Tracker'!$F$5:$F$149,"Next week",'Session Tracker'!$G$5:$G$149,"Mon"))</f>
        <v>0</v>
      </c>
      <c r="I306" s="52" t="n">
        <f aca="false">IF($E306="Per class",$D306*COUNTIFS('Session Tracker'!$D$5:$D$149,$A306,'Session Tracker'!$F$5:$F$149,"Next week",'Session Tracker'!$G$5:$G$149,"Tue"),$D306*SUMIFS('Session Tracker'!$J$5:$J$149,'Session Tracker'!$D$5:$D$149,$A306,'Session Tracker'!$F$5:$F$149,"Next week",'Session Tracker'!$G$5:$G$149,"Tue"))</f>
        <v>0</v>
      </c>
      <c r="J306" s="52" t="n">
        <f aca="false">IF($E306="Per class",$D306*COUNTIFS('Session Tracker'!$D$5:$D$149,$A306,'Session Tracker'!$F$5:$F$149,"Next week",'Session Tracker'!$G$5:$G$149,"Wed"),$D306*SUMIFS('Session Tracker'!$J$5:$J$149,'Session Tracker'!$D$5:$D$149,$A306,'Session Tracker'!$F$5:$F$149,"Next week",'Session Tracker'!$G$5:$G$149,"Wed"))</f>
        <v>0</v>
      </c>
      <c r="K306" s="52" t="n">
        <f aca="false">IF($E306="Per class",$D306*COUNTIFS('Session Tracker'!$D$5:$D$149,$A306,'Session Tracker'!$F$5:$F$149,"Next week",'Session Tracker'!$G$5:$G$149,"Thu"),$D306*SUMIFS('Session Tracker'!$J$5:$J$149,'Session Tracker'!$D$5:$D$149,$A306,'Session Tracker'!$F$5:$F$149,"Next week",'Session Tracker'!$G$5:$G$149,"Thu"))</f>
        <v>0</v>
      </c>
      <c r="L306" s="52" t="n">
        <f aca="false">IF($E306="Per class",$D306*COUNTIFS('Session Tracker'!$D$5:$D$149,$A306,'Session Tracker'!$F$5:$F$149,"Next week",'Session Tracker'!$G$5:$G$149,"Fri"),$D306*SUMIFS('Session Tracker'!$J$5:$J$149,'Session Tracker'!$D$5:$D$149,$A306,'Session Tracker'!$F$5:$F$149,"Next week",'Session Tracker'!$G$5:$G$149,"Fri"))</f>
        <v>0</v>
      </c>
      <c r="M306" s="52" t="n">
        <f aca="false">IF($E306="Per class",$D306*COUNTIFS('Session Tracker'!$D$5:$D$149,$A306,'Session Tracker'!$F$5:$F$149,"Next week",'Session Tracker'!$G$5:$G$149,""),$D306*SUMIFS('Session Tracker'!$J$5:$J$149,'Session Tracker'!$D$5:$D$149,$A306,'Session Tracker'!$F$5:$F$149,"Next week",'Session Tracker'!$G$5:$G$149,""))</f>
        <v>0</v>
      </c>
    </row>
    <row r="307" customFormat="false" ht="15" hidden="false" customHeight="false" outlineLevel="0" collapsed="false">
      <c r="A307" s="61" t="s">
        <v>194</v>
      </c>
      <c r="B307" s="34" t="s">
        <v>375</v>
      </c>
      <c r="C307" s="34" t="s">
        <v>376</v>
      </c>
      <c r="D307" s="32" t="n">
        <v>1</v>
      </c>
      <c r="E307" s="32" t="s">
        <v>14</v>
      </c>
      <c r="F307" s="32" t="s">
        <v>373</v>
      </c>
      <c r="G307" s="34" t="s">
        <v>442</v>
      </c>
      <c r="H307" s="52" t="n">
        <f aca="false">IF($E307="Per class",$D307*COUNTIFS('Session Tracker'!$D$5:$D$149,$A307,'Session Tracker'!$F$5:$F$149,"Next week",'Session Tracker'!$G$5:$G$149,"Mon"),$D307*SUMIFS('Session Tracker'!$J$5:$J$149,'Session Tracker'!$D$5:$D$149,$A307,'Session Tracker'!$F$5:$F$149,"Next week",'Session Tracker'!$G$5:$G$149,"Mon"))</f>
        <v>0</v>
      </c>
      <c r="I307" s="52" t="n">
        <f aca="false">IF($E307="Per class",$D307*COUNTIFS('Session Tracker'!$D$5:$D$149,$A307,'Session Tracker'!$F$5:$F$149,"Next week",'Session Tracker'!$G$5:$G$149,"Tue"),$D307*SUMIFS('Session Tracker'!$J$5:$J$149,'Session Tracker'!$D$5:$D$149,$A307,'Session Tracker'!$F$5:$F$149,"Next week",'Session Tracker'!$G$5:$G$149,"Tue"))</f>
        <v>0</v>
      </c>
      <c r="J307" s="52" t="n">
        <f aca="false">IF($E307="Per class",$D307*COUNTIFS('Session Tracker'!$D$5:$D$149,$A307,'Session Tracker'!$F$5:$F$149,"Next week",'Session Tracker'!$G$5:$G$149,"Wed"),$D307*SUMIFS('Session Tracker'!$J$5:$J$149,'Session Tracker'!$D$5:$D$149,$A307,'Session Tracker'!$F$5:$F$149,"Next week",'Session Tracker'!$G$5:$G$149,"Wed"))</f>
        <v>0</v>
      </c>
      <c r="K307" s="52" t="n">
        <f aca="false">IF($E307="Per class",$D307*COUNTIFS('Session Tracker'!$D$5:$D$149,$A307,'Session Tracker'!$F$5:$F$149,"Next week",'Session Tracker'!$G$5:$G$149,"Thu"),$D307*SUMIFS('Session Tracker'!$J$5:$J$149,'Session Tracker'!$D$5:$D$149,$A307,'Session Tracker'!$F$5:$F$149,"Next week",'Session Tracker'!$G$5:$G$149,"Thu"))</f>
        <v>0</v>
      </c>
      <c r="L307" s="52" t="n">
        <f aca="false">IF($E307="Per class",$D307*COUNTIFS('Session Tracker'!$D$5:$D$149,$A307,'Session Tracker'!$F$5:$F$149,"Next week",'Session Tracker'!$G$5:$G$149,"Fri"),$D307*SUMIFS('Session Tracker'!$J$5:$J$149,'Session Tracker'!$D$5:$D$149,$A307,'Session Tracker'!$F$5:$F$149,"Next week",'Session Tracker'!$G$5:$G$149,"Fri"))</f>
        <v>0</v>
      </c>
      <c r="M307" s="52" t="n">
        <f aca="false">IF($E307="Per class",$D307*COUNTIFS('Session Tracker'!$D$5:$D$149,$A307,'Session Tracker'!$F$5:$F$149,"Next week",'Session Tracker'!$G$5:$G$149,""),$D307*SUMIFS('Session Tracker'!$J$5:$J$149,'Session Tracker'!$D$5:$D$149,$A307,'Session Tracker'!$F$5:$F$149,"Next week",'Session Tracker'!$G$5:$G$149,""))</f>
        <v>0</v>
      </c>
    </row>
    <row r="308" customFormat="false" ht="15" hidden="false" customHeight="false" outlineLevel="0" collapsed="false">
      <c r="A308" s="61" t="s">
        <v>194</v>
      </c>
      <c r="B308" s="34" t="s">
        <v>377</v>
      </c>
      <c r="C308" s="34" t="s">
        <v>378</v>
      </c>
      <c r="D308" s="32" t="n">
        <v>1</v>
      </c>
      <c r="E308" s="32" t="s">
        <v>14</v>
      </c>
      <c r="F308" s="32" t="s">
        <v>368</v>
      </c>
      <c r="G308" s="34" t="s">
        <v>389</v>
      </c>
      <c r="H308" s="52" t="n">
        <f aca="false">IF($E308="Per class",$D308*COUNTIFS('Session Tracker'!$D$5:$D$149,$A308,'Session Tracker'!$F$5:$F$149,"Next week",'Session Tracker'!$G$5:$G$149,"Mon"),$D308*SUMIFS('Session Tracker'!$J$5:$J$149,'Session Tracker'!$D$5:$D$149,$A308,'Session Tracker'!$F$5:$F$149,"Next week",'Session Tracker'!$G$5:$G$149,"Mon"))</f>
        <v>0</v>
      </c>
      <c r="I308" s="52" t="n">
        <f aca="false">IF($E308="Per class",$D308*COUNTIFS('Session Tracker'!$D$5:$D$149,$A308,'Session Tracker'!$F$5:$F$149,"Next week",'Session Tracker'!$G$5:$G$149,"Tue"),$D308*SUMIFS('Session Tracker'!$J$5:$J$149,'Session Tracker'!$D$5:$D$149,$A308,'Session Tracker'!$F$5:$F$149,"Next week",'Session Tracker'!$G$5:$G$149,"Tue"))</f>
        <v>0</v>
      </c>
      <c r="J308" s="52" t="n">
        <f aca="false">IF($E308="Per class",$D308*COUNTIFS('Session Tracker'!$D$5:$D$149,$A308,'Session Tracker'!$F$5:$F$149,"Next week",'Session Tracker'!$G$5:$G$149,"Wed"),$D308*SUMIFS('Session Tracker'!$J$5:$J$149,'Session Tracker'!$D$5:$D$149,$A308,'Session Tracker'!$F$5:$F$149,"Next week",'Session Tracker'!$G$5:$G$149,"Wed"))</f>
        <v>0</v>
      </c>
      <c r="K308" s="52" t="n">
        <f aca="false">IF($E308="Per class",$D308*COUNTIFS('Session Tracker'!$D$5:$D$149,$A308,'Session Tracker'!$F$5:$F$149,"Next week",'Session Tracker'!$G$5:$G$149,"Thu"),$D308*SUMIFS('Session Tracker'!$J$5:$J$149,'Session Tracker'!$D$5:$D$149,$A308,'Session Tracker'!$F$5:$F$149,"Next week",'Session Tracker'!$G$5:$G$149,"Thu"))</f>
        <v>0</v>
      </c>
      <c r="L308" s="52" t="n">
        <f aca="false">IF($E308="Per class",$D308*COUNTIFS('Session Tracker'!$D$5:$D$149,$A308,'Session Tracker'!$F$5:$F$149,"Next week",'Session Tracker'!$G$5:$G$149,"Fri"),$D308*SUMIFS('Session Tracker'!$J$5:$J$149,'Session Tracker'!$D$5:$D$149,$A308,'Session Tracker'!$F$5:$F$149,"Next week",'Session Tracker'!$G$5:$G$149,"Fri"))</f>
        <v>0</v>
      </c>
      <c r="M308" s="52" t="n">
        <f aca="false">IF($E308="Per class",$D308*COUNTIFS('Session Tracker'!$D$5:$D$149,$A308,'Session Tracker'!$F$5:$F$149,"Next week",'Session Tracker'!$G$5:$G$149,""),$D308*SUMIFS('Session Tracker'!$J$5:$J$149,'Session Tracker'!$D$5:$D$149,$A308,'Session Tracker'!$F$5:$F$149,"Next week",'Session Tracker'!$G$5:$G$149,""))</f>
        <v>0</v>
      </c>
    </row>
    <row r="309" customFormat="false" ht="15" hidden="false" customHeight="false" outlineLevel="0" collapsed="false">
      <c r="A309" s="53" t="s">
        <v>194</v>
      </c>
      <c r="B309" s="54"/>
      <c r="C309" s="54"/>
      <c r="D309" s="54"/>
      <c r="E309" s="54"/>
      <c r="F309" s="54"/>
      <c r="G309" s="54"/>
      <c r="H309" s="52" t="n">
        <f aca="false">IF($E309="Per class",$D309*COUNTIFS('Session Tracker'!$D$5:$D$149,$A309,'Session Tracker'!$F$5:$F$149,"Next week",'Session Tracker'!$G$5:$G$149,"Mon"),$D309*SUMIFS('Session Tracker'!$J$5:$J$149,'Session Tracker'!$D$5:$D$149,$A309,'Session Tracker'!$F$5:$F$149,"Next week",'Session Tracker'!$G$5:$G$149,"Mon"))</f>
        <v>0</v>
      </c>
      <c r="I309" s="52" t="n">
        <f aca="false">IF($E309="Per class",$D309*COUNTIFS('Session Tracker'!$D$5:$D$149,$A309,'Session Tracker'!$F$5:$F$149,"Next week",'Session Tracker'!$G$5:$G$149,"Tue"),$D309*SUMIFS('Session Tracker'!$J$5:$J$149,'Session Tracker'!$D$5:$D$149,$A309,'Session Tracker'!$F$5:$F$149,"Next week",'Session Tracker'!$G$5:$G$149,"Tue"))</f>
        <v>0</v>
      </c>
      <c r="J309" s="52" t="n">
        <f aca="false">IF($E309="Per class",$D309*COUNTIFS('Session Tracker'!$D$5:$D$149,$A309,'Session Tracker'!$F$5:$F$149,"Next week",'Session Tracker'!$G$5:$G$149,"Wed"),$D309*SUMIFS('Session Tracker'!$J$5:$J$149,'Session Tracker'!$D$5:$D$149,$A309,'Session Tracker'!$F$5:$F$149,"Next week",'Session Tracker'!$G$5:$G$149,"Wed"))</f>
        <v>0</v>
      </c>
      <c r="K309" s="52" t="n">
        <f aca="false">IF($E309="Per class",$D309*COUNTIFS('Session Tracker'!$D$5:$D$149,$A309,'Session Tracker'!$F$5:$F$149,"Next week",'Session Tracker'!$G$5:$G$149,"Thu"),$D309*SUMIFS('Session Tracker'!$J$5:$J$149,'Session Tracker'!$D$5:$D$149,$A309,'Session Tracker'!$F$5:$F$149,"Next week",'Session Tracker'!$G$5:$G$149,"Thu"))</f>
        <v>0</v>
      </c>
      <c r="L309" s="52" t="n">
        <f aca="false">IF($E309="Per class",$D309*COUNTIFS('Session Tracker'!$D$5:$D$149,$A309,'Session Tracker'!$F$5:$F$149,"Next week",'Session Tracker'!$G$5:$G$149,"Fri"),$D309*SUMIFS('Session Tracker'!$J$5:$J$149,'Session Tracker'!$D$5:$D$149,$A309,'Session Tracker'!$F$5:$F$149,"Next week",'Session Tracker'!$G$5:$G$149,"Fri"))</f>
        <v>0</v>
      </c>
      <c r="M309" s="52" t="n">
        <f aca="false">IF($E309="Per class",$D309*COUNTIFS('Session Tracker'!$D$5:$D$149,$A309,'Session Tracker'!$F$5:$F$149,"Next week",'Session Tracker'!$G$5:$G$149,""),$D309*SUMIFS('Session Tracker'!$J$5:$J$149,'Session Tracker'!$D$5:$D$149,$A309,'Session Tracker'!$F$5:$F$149,"Next week",'Session Tracker'!$G$5:$G$149,""))</f>
        <v>0</v>
      </c>
    </row>
    <row r="310" customFormat="false" ht="15" hidden="false" customHeight="false" outlineLevel="0" collapsed="false">
      <c r="A310" s="53" t="s">
        <v>194</v>
      </c>
      <c r="B310" s="54"/>
      <c r="C310" s="54"/>
      <c r="D310" s="54"/>
      <c r="E310" s="54"/>
      <c r="F310" s="54"/>
      <c r="G310" s="54"/>
      <c r="H310" s="52" t="n">
        <f aca="false">IF($E310="Per class",$D310*COUNTIFS('Session Tracker'!$D$5:$D$149,$A310,'Session Tracker'!$F$5:$F$149,"Next week",'Session Tracker'!$G$5:$G$149,"Mon"),$D310*SUMIFS('Session Tracker'!$J$5:$J$149,'Session Tracker'!$D$5:$D$149,$A310,'Session Tracker'!$F$5:$F$149,"Next week",'Session Tracker'!$G$5:$G$149,"Mon"))</f>
        <v>0</v>
      </c>
      <c r="I310" s="52" t="n">
        <f aca="false">IF($E310="Per class",$D310*COUNTIFS('Session Tracker'!$D$5:$D$149,$A310,'Session Tracker'!$F$5:$F$149,"Next week",'Session Tracker'!$G$5:$G$149,"Tue"),$D310*SUMIFS('Session Tracker'!$J$5:$J$149,'Session Tracker'!$D$5:$D$149,$A310,'Session Tracker'!$F$5:$F$149,"Next week",'Session Tracker'!$G$5:$G$149,"Tue"))</f>
        <v>0</v>
      </c>
      <c r="J310" s="52" t="n">
        <f aca="false">IF($E310="Per class",$D310*COUNTIFS('Session Tracker'!$D$5:$D$149,$A310,'Session Tracker'!$F$5:$F$149,"Next week",'Session Tracker'!$G$5:$G$149,"Wed"),$D310*SUMIFS('Session Tracker'!$J$5:$J$149,'Session Tracker'!$D$5:$D$149,$A310,'Session Tracker'!$F$5:$F$149,"Next week",'Session Tracker'!$G$5:$G$149,"Wed"))</f>
        <v>0</v>
      </c>
      <c r="K310" s="52" t="n">
        <f aca="false">IF($E310="Per class",$D310*COUNTIFS('Session Tracker'!$D$5:$D$149,$A310,'Session Tracker'!$F$5:$F$149,"Next week",'Session Tracker'!$G$5:$G$149,"Thu"),$D310*SUMIFS('Session Tracker'!$J$5:$J$149,'Session Tracker'!$D$5:$D$149,$A310,'Session Tracker'!$F$5:$F$149,"Next week",'Session Tracker'!$G$5:$G$149,"Thu"))</f>
        <v>0</v>
      </c>
      <c r="L310" s="52" t="n">
        <f aca="false">IF($E310="Per class",$D310*COUNTIFS('Session Tracker'!$D$5:$D$149,$A310,'Session Tracker'!$F$5:$F$149,"Next week",'Session Tracker'!$G$5:$G$149,"Fri"),$D310*SUMIFS('Session Tracker'!$J$5:$J$149,'Session Tracker'!$D$5:$D$149,$A310,'Session Tracker'!$F$5:$F$149,"Next week",'Session Tracker'!$G$5:$G$149,"Fri"))</f>
        <v>0</v>
      </c>
      <c r="M310" s="52" t="n">
        <f aca="false">IF($E310="Per class",$D310*COUNTIFS('Session Tracker'!$D$5:$D$149,$A310,'Session Tracker'!$F$5:$F$149,"Next week",'Session Tracker'!$G$5:$G$149,""),$D310*SUMIFS('Session Tracker'!$J$5:$J$149,'Session Tracker'!$D$5:$D$149,$A310,'Session Tracker'!$F$5:$F$149,"Next week",'Session Tracker'!$G$5:$G$149,""))</f>
        <v>0</v>
      </c>
    </row>
    <row r="312" customFormat="false" ht="19.5" hidden="false" customHeight="true" outlineLevel="0" collapsed="false">
      <c r="A312" s="57" t="s">
        <v>196</v>
      </c>
      <c r="B312" s="58" t="s">
        <v>561</v>
      </c>
      <c r="C312" s="58"/>
      <c r="D312" s="58"/>
      <c r="E312" s="58"/>
      <c r="F312" s="59" t="str">
        <f aca="false">"Status: "&amp;'Session Tracker'!F66&amp;IF('Session Tracker'!G66&lt;&gt;""," ("&amp;'Session Tracker'!G66&amp;")","")</f>
        <v>Status: Not started</v>
      </c>
      <c r="G312" s="59"/>
      <c r="H312" s="60"/>
      <c r="I312" s="60"/>
      <c r="J312" s="60"/>
      <c r="K312" s="60"/>
      <c r="L312" s="60"/>
      <c r="M312" s="60"/>
    </row>
    <row r="313" customFormat="false" ht="23.85" hidden="false" customHeight="false" outlineLevel="0" collapsed="false">
      <c r="A313" s="61" t="s">
        <v>196</v>
      </c>
      <c r="B313" s="34" t="s">
        <v>366</v>
      </c>
      <c r="C313" s="34" t="s">
        <v>367</v>
      </c>
      <c r="D313" s="32" t="n">
        <v>1</v>
      </c>
      <c r="E313" s="32" t="s">
        <v>14</v>
      </c>
      <c r="F313" s="32" t="s">
        <v>368</v>
      </c>
      <c r="G313" s="34"/>
      <c r="H313" s="52" t="n">
        <f aca="false">IF($E313="Per class",$D313*COUNTIFS('Session Tracker'!$D$5:$D$149,$A313,'Session Tracker'!$F$5:$F$149,"Next week",'Session Tracker'!$G$5:$G$149,"Mon"),$D313*SUMIFS('Session Tracker'!$J$5:$J$149,'Session Tracker'!$D$5:$D$149,$A313,'Session Tracker'!$F$5:$F$149,"Next week",'Session Tracker'!$G$5:$G$149,"Mon"))</f>
        <v>0</v>
      </c>
      <c r="I313" s="52" t="n">
        <f aca="false">IF($E313="Per class",$D313*COUNTIFS('Session Tracker'!$D$5:$D$149,$A313,'Session Tracker'!$F$5:$F$149,"Next week",'Session Tracker'!$G$5:$G$149,"Tue"),$D313*SUMIFS('Session Tracker'!$J$5:$J$149,'Session Tracker'!$D$5:$D$149,$A313,'Session Tracker'!$F$5:$F$149,"Next week",'Session Tracker'!$G$5:$G$149,"Tue"))</f>
        <v>0</v>
      </c>
      <c r="J313" s="52" t="n">
        <f aca="false">IF($E313="Per class",$D313*COUNTIFS('Session Tracker'!$D$5:$D$149,$A313,'Session Tracker'!$F$5:$F$149,"Next week",'Session Tracker'!$G$5:$G$149,"Wed"),$D313*SUMIFS('Session Tracker'!$J$5:$J$149,'Session Tracker'!$D$5:$D$149,$A313,'Session Tracker'!$F$5:$F$149,"Next week",'Session Tracker'!$G$5:$G$149,"Wed"))</f>
        <v>0</v>
      </c>
      <c r="K313" s="52" t="n">
        <f aca="false">IF($E313="Per class",$D313*COUNTIFS('Session Tracker'!$D$5:$D$149,$A313,'Session Tracker'!$F$5:$F$149,"Next week",'Session Tracker'!$G$5:$G$149,"Thu"),$D313*SUMIFS('Session Tracker'!$J$5:$J$149,'Session Tracker'!$D$5:$D$149,$A313,'Session Tracker'!$F$5:$F$149,"Next week",'Session Tracker'!$G$5:$G$149,"Thu"))</f>
        <v>0</v>
      </c>
      <c r="L313" s="52" t="n">
        <f aca="false">IF($E313="Per class",$D313*COUNTIFS('Session Tracker'!$D$5:$D$149,$A313,'Session Tracker'!$F$5:$F$149,"Next week",'Session Tracker'!$G$5:$G$149,"Fri"),$D313*SUMIFS('Session Tracker'!$J$5:$J$149,'Session Tracker'!$D$5:$D$149,$A313,'Session Tracker'!$F$5:$F$149,"Next week",'Session Tracker'!$G$5:$G$149,"Fri"))</f>
        <v>0</v>
      </c>
      <c r="M313" s="52" t="n">
        <f aca="false">IF($E313="Per class",$D313*COUNTIFS('Session Tracker'!$D$5:$D$149,$A313,'Session Tracker'!$F$5:$F$149,"Next week",'Session Tracker'!$G$5:$G$149,""),$D313*SUMIFS('Session Tracker'!$J$5:$J$149,'Session Tracker'!$D$5:$D$149,$A313,'Session Tracker'!$F$5:$F$149,"Next week",'Session Tracker'!$G$5:$G$149,""))</f>
        <v>0</v>
      </c>
    </row>
    <row r="314" customFormat="false" ht="15" hidden="false" customHeight="false" outlineLevel="0" collapsed="false">
      <c r="A314" s="61" t="s">
        <v>196</v>
      </c>
      <c r="B314" s="34" t="s">
        <v>371</v>
      </c>
      <c r="C314" s="34" t="s">
        <v>562</v>
      </c>
      <c r="D314" s="32" t="n">
        <v>1</v>
      </c>
      <c r="E314" s="32" t="s">
        <v>14</v>
      </c>
      <c r="F314" s="32" t="s">
        <v>368</v>
      </c>
      <c r="G314" s="34"/>
      <c r="H314" s="52" t="n">
        <f aca="false">IF($E314="Per class",$D314*COUNTIFS('Session Tracker'!$D$5:$D$149,$A314,'Session Tracker'!$F$5:$F$149,"Next week",'Session Tracker'!$G$5:$G$149,"Mon"),$D314*SUMIFS('Session Tracker'!$J$5:$J$149,'Session Tracker'!$D$5:$D$149,$A314,'Session Tracker'!$F$5:$F$149,"Next week",'Session Tracker'!$G$5:$G$149,"Mon"))</f>
        <v>0</v>
      </c>
      <c r="I314" s="52" t="n">
        <f aca="false">IF($E314="Per class",$D314*COUNTIFS('Session Tracker'!$D$5:$D$149,$A314,'Session Tracker'!$F$5:$F$149,"Next week",'Session Tracker'!$G$5:$G$149,"Tue"),$D314*SUMIFS('Session Tracker'!$J$5:$J$149,'Session Tracker'!$D$5:$D$149,$A314,'Session Tracker'!$F$5:$F$149,"Next week",'Session Tracker'!$G$5:$G$149,"Tue"))</f>
        <v>0</v>
      </c>
      <c r="J314" s="52" t="n">
        <f aca="false">IF($E314="Per class",$D314*COUNTIFS('Session Tracker'!$D$5:$D$149,$A314,'Session Tracker'!$F$5:$F$149,"Next week",'Session Tracker'!$G$5:$G$149,"Wed"),$D314*SUMIFS('Session Tracker'!$J$5:$J$149,'Session Tracker'!$D$5:$D$149,$A314,'Session Tracker'!$F$5:$F$149,"Next week",'Session Tracker'!$G$5:$G$149,"Wed"))</f>
        <v>0</v>
      </c>
      <c r="K314" s="52" t="n">
        <f aca="false">IF($E314="Per class",$D314*COUNTIFS('Session Tracker'!$D$5:$D$149,$A314,'Session Tracker'!$F$5:$F$149,"Next week",'Session Tracker'!$G$5:$G$149,"Thu"),$D314*SUMIFS('Session Tracker'!$J$5:$J$149,'Session Tracker'!$D$5:$D$149,$A314,'Session Tracker'!$F$5:$F$149,"Next week",'Session Tracker'!$G$5:$G$149,"Thu"))</f>
        <v>0</v>
      </c>
      <c r="L314" s="52" t="n">
        <f aca="false">IF($E314="Per class",$D314*COUNTIFS('Session Tracker'!$D$5:$D$149,$A314,'Session Tracker'!$F$5:$F$149,"Next week",'Session Tracker'!$G$5:$G$149,"Fri"),$D314*SUMIFS('Session Tracker'!$J$5:$J$149,'Session Tracker'!$D$5:$D$149,$A314,'Session Tracker'!$F$5:$F$149,"Next week",'Session Tracker'!$G$5:$G$149,"Fri"))</f>
        <v>0</v>
      </c>
      <c r="M314" s="52" t="n">
        <f aca="false">IF($E314="Per class",$D314*COUNTIFS('Session Tracker'!$D$5:$D$149,$A314,'Session Tracker'!$F$5:$F$149,"Next week",'Session Tracker'!$G$5:$G$149,""),$D314*SUMIFS('Session Tracker'!$J$5:$J$149,'Session Tracker'!$D$5:$D$149,$A314,'Session Tracker'!$F$5:$F$149,"Next week",'Session Tracker'!$G$5:$G$149,""))</f>
        <v>0</v>
      </c>
    </row>
    <row r="315" customFormat="false" ht="15" hidden="false" customHeight="false" outlineLevel="0" collapsed="false">
      <c r="A315" s="61" t="s">
        <v>196</v>
      </c>
      <c r="B315" s="34" t="s">
        <v>369</v>
      </c>
      <c r="C315" s="34" t="s">
        <v>563</v>
      </c>
      <c r="D315" s="32" t="n">
        <v>1</v>
      </c>
      <c r="E315" s="32" t="s">
        <v>14</v>
      </c>
      <c r="F315" s="32" t="s">
        <v>368</v>
      </c>
      <c r="G315" s="34"/>
      <c r="H315" s="52" t="n">
        <f aca="false">IF($E315="Per class",$D315*COUNTIFS('Session Tracker'!$D$5:$D$149,$A315,'Session Tracker'!$F$5:$F$149,"Next week",'Session Tracker'!$G$5:$G$149,"Mon"),$D315*SUMIFS('Session Tracker'!$J$5:$J$149,'Session Tracker'!$D$5:$D$149,$A315,'Session Tracker'!$F$5:$F$149,"Next week",'Session Tracker'!$G$5:$G$149,"Mon"))</f>
        <v>0</v>
      </c>
      <c r="I315" s="52" t="n">
        <f aca="false">IF($E315="Per class",$D315*COUNTIFS('Session Tracker'!$D$5:$D$149,$A315,'Session Tracker'!$F$5:$F$149,"Next week",'Session Tracker'!$G$5:$G$149,"Tue"),$D315*SUMIFS('Session Tracker'!$J$5:$J$149,'Session Tracker'!$D$5:$D$149,$A315,'Session Tracker'!$F$5:$F$149,"Next week",'Session Tracker'!$G$5:$G$149,"Tue"))</f>
        <v>0</v>
      </c>
      <c r="J315" s="52" t="n">
        <f aca="false">IF($E315="Per class",$D315*COUNTIFS('Session Tracker'!$D$5:$D$149,$A315,'Session Tracker'!$F$5:$F$149,"Next week",'Session Tracker'!$G$5:$G$149,"Wed"),$D315*SUMIFS('Session Tracker'!$J$5:$J$149,'Session Tracker'!$D$5:$D$149,$A315,'Session Tracker'!$F$5:$F$149,"Next week",'Session Tracker'!$G$5:$G$149,"Wed"))</f>
        <v>0</v>
      </c>
      <c r="K315" s="52" t="n">
        <f aca="false">IF($E315="Per class",$D315*COUNTIFS('Session Tracker'!$D$5:$D$149,$A315,'Session Tracker'!$F$5:$F$149,"Next week",'Session Tracker'!$G$5:$G$149,"Thu"),$D315*SUMIFS('Session Tracker'!$J$5:$J$149,'Session Tracker'!$D$5:$D$149,$A315,'Session Tracker'!$F$5:$F$149,"Next week",'Session Tracker'!$G$5:$G$149,"Thu"))</f>
        <v>0</v>
      </c>
      <c r="L315" s="52" t="n">
        <f aca="false">IF($E315="Per class",$D315*COUNTIFS('Session Tracker'!$D$5:$D$149,$A315,'Session Tracker'!$F$5:$F$149,"Next week",'Session Tracker'!$G$5:$G$149,"Fri"),$D315*SUMIFS('Session Tracker'!$J$5:$J$149,'Session Tracker'!$D$5:$D$149,$A315,'Session Tracker'!$F$5:$F$149,"Next week",'Session Tracker'!$G$5:$G$149,"Fri"))</f>
        <v>0</v>
      </c>
      <c r="M315" s="52" t="n">
        <f aca="false">IF($E315="Per class",$D315*COUNTIFS('Session Tracker'!$D$5:$D$149,$A315,'Session Tracker'!$F$5:$F$149,"Next week",'Session Tracker'!$G$5:$G$149,""),$D315*SUMIFS('Session Tracker'!$J$5:$J$149,'Session Tracker'!$D$5:$D$149,$A315,'Session Tracker'!$F$5:$F$149,"Next week",'Session Tracker'!$G$5:$G$149,""))</f>
        <v>0</v>
      </c>
    </row>
    <row r="316" customFormat="false" ht="15" hidden="false" customHeight="false" outlineLevel="0" collapsed="false">
      <c r="A316" s="61" t="s">
        <v>196</v>
      </c>
      <c r="B316" s="34" t="s">
        <v>375</v>
      </c>
      <c r="C316" s="34" t="s">
        <v>564</v>
      </c>
      <c r="D316" s="32" t="n">
        <v>1</v>
      </c>
      <c r="E316" s="32" t="s">
        <v>14</v>
      </c>
      <c r="F316" s="32" t="s">
        <v>373</v>
      </c>
      <c r="G316" s="34" t="s">
        <v>565</v>
      </c>
      <c r="H316" s="52" t="n">
        <f aca="false">IF($E316="Per class",$D316*COUNTIFS('Session Tracker'!$D$5:$D$149,$A316,'Session Tracker'!$F$5:$F$149,"Next week",'Session Tracker'!$G$5:$G$149,"Mon"),$D316*SUMIFS('Session Tracker'!$J$5:$J$149,'Session Tracker'!$D$5:$D$149,$A316,'Session Tracker'!$F$5:$F$149,"Next week",'Session Tracker'!$G$5:$G$149,"Mon"))</f>
        <v>0</v>
      </c>
      <c r="I316" s="52" t="n">
        <f aca="false">IF($E316="Per class",$D316*COUNTIFS('Session Tracker'!$D$5:$D$149,$A316,'Session Tracker'!$F$5:$F$149,"Next week",'Session Tracker'!$G$5:$G$149,"Tue"),$D316*SUMIFS('Session Tracker'!$J$5:$J$149,'Session Tracker'!$D$5:$D$149,$A316,'Session Tracker'!$F$5:$F$149,"Next week",'Session Tracker'!$G$5:$G$149,"Tue"))</f>
        <v>0</v>
      </c>
      <c r="J316" s="52" t="n">
        <f aca="false">IF($E316="Per class",$D316*COUNTIFS('Session Tracker'!$D$5:$D$149,$A316,'Session Tracker'!$F$5:$F$149,"Next week",'Session Tracker'!$G$5:$G$149,"Wed"),$D316*SUMIFS('Session Tracker'!$J$5:$J$149,'Session Tracker'!$D$5:$D$149,$A316,'Session Tracker'!$F$5:$F$149,"Next week",'Session Tracker'!$G$5:$G$149,"Wed"))</f>
        <v>0</v>
      </c>
      <c r="K316" s="52" t="n">
        <f aca="false">IF($E316="Per class",$D316*COUNTIFS('Session Tracker'!$D$5:$D$149,$A316,'Session Tracker'!$F$5:$F$149,"Next week",'Session Tracker'!$G$5:$G$149,"Thu"),$D316*SUMIFS('Session Tracker'!$J$5:$J$149,'Session Tracker'!$D$5:$D$149,$A316,'Session Tracker'!$F$5:$F$149,"Next week",'Session Tracker'!$G$5:$G$149,"Thu"))</f>
        <v>0</v>
      </c>
      <c r="L316" s="52" t="n">
        <f aca="false">IF($E316="Per class",$D316*COUNTIFS('Session Tracker'!$D$5:$D$149,$A316,'Session Tracker'!$F$5:$F$149,"Next week",'Session Tracker'!$G$5:$G$149,"Fri"),$D316*SUMIFS('Session Tracker'!$J$5:$J$149,'Session Tracker'!$D$5:$D$149,$A316,'Session Tracker'!$F$5:$F$149,"Next week",'Session Tracker'!$G$5:$G$149,"Fri"))</f>
        <v>0</v>
      </c>
      <c r="M316" s="52" t="n">
        <f aca="false">IF($E316="Per class",$D316*COUNTIFS('Session Tracker'!$D$5:$D$149,$A316,'Session Tracker'!$F$5:$F$149,"Next week",'Session Tracker'!$G$5:$G$149,""),$D316*SUMIFS('Session Tracker'!$J$5:$J$149,'Session Tracker'!$D$5:$D$149,$A316,'Session Tracker'!$F$5:$F$149,"Next week",'Session Tracker'!$G$5:$G$149,""))</f>
        <v>0</v>
      </c>
    </row>
    <row r="317" customFormat="false" ht="15" hidden="false" customHeight="false" outlineLevel="0" collapsed="false">
      <c r="A317" s="61" t="s">
        <v>196</v>
      </c>
      <c r="B317" s="34" t="s">
        <v>375</v>
      </c>
      <c r="C317" s="34" t="s">
        <v>376</v>
      </c>
      <c r="D317" s="32" t="n">
        <v>1</v>
      </c>
      <c r="E317" s="32" t="s">
        <v>14</v>
      </c>
      <c r="F317" s="32" t="s">
        <v>373</v>
      </c>
      <c r="G317" s="34" t="s">
        <v>566</v>
      </c>
      <c r="H317" s="52" t="n">
        <f aca="false">IF($E317="Per class",$D317*COUNTIFS('Session Tracker'!$D$5:$D$149,$A317,'Session Tracker'!$F$5:$F$149,"Next week",'Session Tracker'!$G$5:$G$149,"Mon"),$D317*SUMIFS('Session Tracker'!$J$5:$J$149,'Session Tracker'!$D$5:$D$149,$A317,'Session Tracker'!$F$5:$F$149,"Next week",'Session Tracker'!$G$5:$G$149,"Mon"))</f>
        <v>0</v>
      </c>
      <c r="I317" s="52" t="n">
        <f aca="false">IF($E317="Per class",$D317*COUNTIFS('Session Tracker'!$D$5:$D$149,$A317,'Session Tracker'!$F$5:$F$149,"Next week",'Session Tracker'!$G$5:$G$149,"Tue"),$D317*SUMIFS('Session Tracker'!$J$5:$J$149,'Session Tracker'!$D$5:$D$149,$A317,'Session Tracker'!$F$5:$F$149,"Next week",'Session Tracker'!$G$5:$G$149,"Tue"))</f>
        <v>0</v>
      </c>
      <c r="J317" s="52" t="n">
        <f aca="false">IF($E317="Per class",$D317*COUNTIFS('Session Tracker'!$D$5:$D$149,$A317,'Session Tracker'!$F$5:$F$149,"Next week",'Session Tracker'!$G$5:$G$149,"Wed"),$D317*SUMIFS('Session Tracker'!$J$5:$J$149,'Session Tracker'!$D$5:$D$149,$A317,'Session Tracker'!$F$5:$F$149,"Next week",'Session Tracker'!$G$5:$G$149,"Wed"))</f>
        <v>0</v>
      </c>
      <c r="K317" s="52" t="n">
        <f aca="false">IF($E317="Per class",$D317*COUNTIFS('Session Tracker'!$D$5:$D$149,$A317,'Session Tracker'!$F$5:$F$149,"Next week",'Session Tracker'!$G$5:$G$149,"Thu"),$D317*SUMIFS('Session Tracker'!$J$5:$J$149,'Session Tracker'!$D$5:$D$149,$A317,'Session Tracker'!$F$5:$F$149,"Next week",'Session Tracker'!$G$5:$G$149,"Thu"))</f>
        <v>0</v>
      </c>
      <c r="L317" s="52" t="n">
        <f aca="false">IF($E317="Per class",$D317*COUNTIFS('Session Tracker'!$D$5:$D$149,$A317,'Session Tracker'!$F$5:$F$149,"Next week",'Session Tracker'!$G$5:$G$149,"Fri"),$D317*SUMIFS('Session Tracker'!$J$5:$J$149,'Session Tracker'!$D$5:$D$149,$A317,'Session Tracker'!$F$5:$F$149,"Next week",'Session Tracker'!$G$5:$G$149,"Fri"))</f>
        <v>0</v>
      </c>
      <c r="M317" s="52" t="n">
        <f aca="false">IF($E317="Per class",$D317*COUNTIFS('Session Tracker'!$D$5:$D$149,$A317,'Session Tracker'!$F$5:$F$149,"Next week",'Session Tracker'!$G$5:$G$149,""),$D317*SUMIFS('Session Tracker'!$J$5:$J$149,'Session Tracker'!$D$5:$D$149,$A317,'Session Tracker'!$F$5:$F$149,"Next week",'Session Tracker'!$G$5:$G$149,""))</f>
        <v>0</v>
      </c>
    </row>
    <row r="318" customFormat="false" ht="15" hidden="false" customHeight="false" outlineLevel="0" collapsed="false">
      <c r="A318" s="61" t="s">
        <v>196</v>
      </c>
      <c r="B318" s="34" t="s">
        <v>379</v>
      </c>
      <c r="C318" s="34" t="s">
        <v>380</v>
      </c>
      <c r="D318" s="32" t="n">
        <v>1</v>
      </c>
      <c r="E318" s="32" t="s">
        <v>14</v>
      </c>
      <c r="F318" s="32" t="s">
        <v>368</v>
      </c>
      <c r="G318" s="34"/>
      <c r="H318" s="52" t="n">
        <f aca="false">IF($E318="Per class",$D318*COUNTIFS('Session Tracker'!$D$5:$D$149,$A318,'Session Tracker'!$F$5:$F$149,"Next week",'Session Tracker'!$G$5:$G$149,"Mon"),$D318*SUMIFS('Session Tracker'!$J$5:$J$149,'Session Tracker'!$D$5:$D$149,$A318,'Session Tracker'!$F$5:$F$149,"Next week",'Session Tracker'!$G$5:$G$149,"Mon"))</f>
        <v>0</v>
      </c>
      <c r="I318" s="52" t="n">
        <f aca="false">IF($E318="Per class",$D318*COUNTIFS('Session Tracker'!$D$5:$D$149,$A318,'Session Tracker'!$F$5:$F$149,"Next week",'Session Tracker'!$G$5:$G$149,"Tue"),$D318*SUMIFS('Session Tracker'!$J$5:$J$149,'Session Tracker'!$D$5:$D$149,$A318,'Session Tracker'!$F$5:$F$149,"Next week",'Session Tracker'!$G$5:$G$149,"Tue"))</f>
        <v>0</v>
      </c>
      <c r="J318" s="52" t="n">
        <f aca="false">IF($E318="Per class",$D318*COUNTIFS('Session Tracker'!$D$5:$D$149,$A318,'Session Tracker'!$F$5:$F$149,"Next week",'Session Tracker'!$G$5:$G$149,"Wed"),$D318*SUMIFS('Session Tracker'!$J$5:$J$149,'Session Tracker'!$D$5:$D$149,$A318,'Session Tracker'!$F$5:$F$149,"Next week",'Session Tracker'!$G$5:$G$149,"Wed"))</f>
        <v>0</v>
      </c>
      <c r="K318" s="52" t="n">
        <f aca="false">IF($E318="Per class",$D318*COUNTIFS('Session Tracker'!$D$5:$D$149,$A318,'Session Tracker'!$F$5:$F$149,"Next week",'Session Tracker'!$G$5:$G$149,"Thu"),$D318*SUMIFS('Session Tracker'!$J$5:$J$149,'Session Tracker'!$D$5:$D$149,$A318,'Session Tracker'!$F$5:$F$149,"Next week",'Session Tracker'!$G$5:$G$149,"Thu"))</f>
        <v>0</v>
      </c>
      <c r="L318" s="52" t="n">
        <f aca="false">IF($E318="Per class",$D318*COUNTIFS('Session Tracker'!$D$5:$D$149,$A318,'Session Tracker'!$F$5:$F$149,"Next week",'Session Tracker'!$G$5:$G$149,"Fri"),$D318*SUMIFS('Session Tracker'!$J$5:$J$149,'Session Tracker'!$D$5:$D$149,$A318,'Session Tracker'!$F$5:$F$149,"Next week",'Session Tracker'!$G$5:$G$149,"Fri"))</f>
        <v>0</v>
      </c>
      <c r="M318" s="52" t="n">
        <f aca="false">IF($E318="Per class",$D318*COUNTIFS('Session Tracker'!$D$5:$D$149,$A318,'Session Tracker'!$F$5:$F$149,"Next week",'Session Tracker'!$G$5:$G$149,""),$D318*SUMIFS('Session Tracker'!$J$5:$J$149,'Session Tracker'!$D$5:$D$149,$A318,'Session Tracker'!$F$5:$F$149,"Next week",'Session Tracker'!$G$5:$G$149,""))</f>
        <v>0</v>
      </c>
    </row>
    <row r="319" customFormat="false" ht="15" hidden="false" customHeight="false" outlineLevel="0" collapsed="false">
      <c r="A319" s="61" t="s">
        <v>196</v>
      </c>
      <c r="B319" s="34" t="s">
        <v>379</v>
      </c>
      <c r="C319" s="34" t="s">
        <v>381</v>
      </c>
      <c r="D319" s="32" t="n">
        <v>8</v>
      </c>
      <c r="E319" s="32" t="s">
        <v>14</v>
      </c>
      <c r="F319" s="32" t="s">
        <v>368</v>
      </c>
      <c r="G319" s="34"/>
      <c r="H319" s="52" t="n">
        <f aca="false">IF($E319="Per class",$D319*COUNTIFS('Session Tracker'!$D$5:$D$149,$A319,'Session Tracker'!$F$5:$F$149,"Next week",'Session Tracker'!$G$5:$G$149,"Mon"),$D319*SUMIFS('Session Tracker'!$J$5:$J$149,'Session Tracker'!$D$5:$D$149,$A319,'Session Tracker'!$F$5:$F$149,"Next week",'Session Tracker'!$G$5:$G$149,"Mon"))</f>
        <v>0</v>
      </c>
      <c r="I319" s="52" t="n">
        <f aca="false">IF($E319="Per class",$D319*COUNTIFS('Session Tracker'!$D$5:$D$149,$A319,'Session Tracker'!$F$5:$F$149,"Next week",'Session Tracker'!$G$5:$G$149,"Tue"),$D319*SUMIFS('Session Tracker'!$J$5:$J$149,'Session Tracker'!$D$5:$D$149,$A319,'Session Tracker'!$F$5:$F$149,"Next week",'Session Tracker'!$G$5:$G$149,"Tue"))</f>
        <v>0</v>
      </c>
      <c r="J319" s="52" t="n">
        <f aca="false">IF($E319="Per class",$D319*COUNTIFS('Session Tracker'!$D$5:$D$149,$A319,'Session Tracker'!$F$5:$F$149,"Next week",'Session Tracker'!$G$5:$G$149,"Wed"),$D319*SUMIFS('Session Tracker'!$J$5:$J$149,'Session Tracker'!$D$5:$D$149,$A319,'Session Tracker'!$F$5:$F$149,"Next week",'Session Tracker'!$G$5:$G$149,"Wed"))</f>
        <v>0</v>
      </c>
      <c r="K319" s="52" t="n">
        <f aca="false">IF($E319="Per class",$D319*COUNTIFS('Session Tracker'!$D$5:$D$149,$A319,'Session Tracker'!$F$5:$F$149,"Next week",'Session Tracker'!$G$5:$G$149,"Thu"),$D319*SUMIFS('Session Tracker'!$J$5:$J$149,'Session Tracker'!$D$5:$D$149,$A319,'Session Tracker'!$F$5:$F$149,"Next week",'Session Tracker'!$G$5:$G$149,"Thu"))</f>
        <v>0</v>
      </c>
      <c r="L319" s="52" t="n">
        <f aca="false">IF($E319="Per class",$D319*COUNTIFS('Session Tracker'!$D$5:$D$149,$A319,'Session Tracker'!$F$5:$F$149,"Next week",'Session Tracker'!$G$5:$G$149,"Fri"),$D319*SUMIFS('Session Tracker'!$J$5:$J$149,'Session Tracker'!$D$5:$D$149,$A319,'Session Tracker'!$F$5:$F$149,"Next week",'Session Tracker'!$G$5:$G$149,"Fri"))</f>
        <v>0</v>
      </c>
      <c r="M319" s="52" t="n">
        <f aca="false">IF($E319="Per class",$D319*COUNTIFS('Session Tracker'!$D$5:$D$149,$A319,'Session Tracker'!$F$5:$F$149,"Next week",'Session Tracker'!$G$5:$G$149,""),$D319*SUMIFS('Session Tracker'!$J$5:$J$149,'Session Tracker'!$D$5:$D$149,$A319,'Session Tracker'!$F$5:$F$149,"Next week",'Session Tracker'!$G$5:$G$149,""))</f>
        <v>0</v>
      </c>
    </row>
    <row r="320" customFormat="false" ht="15" hidden="false" customHeight="false" outlineLevel="0" collapsed="false">
      <c r="A320" s="61" t="s">
        <v>196</v>
      </c>
      <c r="B320" s="34" t="s">
        <v>382</v>
      </c>
      <c r="C320" s="34" t="s">
        <v>383</v>
      </c>
      <c r="D320" s="32" t="n">
        <v>1</v>
      </c>
      <c r="E320" s="32" t="s">
        <v>14</v>
      </c>
      <c r="F320" s="32" t="s">
        <v>368</v>
      </c>
      <c r="G320" s="34"/>
      <c r="H320" s="52" t="n">
        <f aca="false">IF($E320="Per class",$D320*COUNTIFS('Session Tracker'!$D$5:$D$149,$A320,'Session Tracker'!$F$5:$F$149,"Next week",'Session Tracker'!$G$5:$G$149,"Mon"),$D320*SUMIFS('Session Tracker'!$J$5:$J$149,'Session Tracker'!$D$5:$D$149,$A320,'Session Tracker'!$F$5:$F$149,"Next week",'Session Tracker'!$G$5:$G$149,"Mon"))</f>
        <v>0</v>
      </c>
      <c r="I320" s="52" t="n">
        <f aca="false">IF($E320="Per class",$D320*COUNTIFS('Session Tracker'!$D$5:$D$149,$A320,'Session Tracker'!$F$5:$F$149,"Next week",'Session Tracker'!$G$5:$G$149,"Tue"),$D320*SUMIFS('Session Tracker'!$J$5:$J$149,'Session Tracker'!$D$5:$D$149,$A320,'Session Tracker'!$F$5:$F$149,"Next week",'Session Tracker'!$G$5:$G$149,"Tue"))</f>
        <v>0</v>
      </c>
      <c r="J320" s="52" t="n">
        <f aca="false">IF($E320="Per class",$D320*COUNTIFS('Session Tracker'!$D$5:$D$149,$A320,'Session Tracker'!$F$5:$F$149,"Next week",'Session Tracker'!$G$5:$G$149,"Wed"),$D320*SUMIFS('Session Tracker'!$J$5:$J$149,'Session Tracker'!$D$5:$D$149,$A320,'Session Tracker'!$F$5:$F$149,"Next week",'Session Tracker'!$G$5:$G$149,"Wed"))</f>
        <v>0</v>
      </c>
      <c r="K320" s="52" t="n">
        <f aca="false">IF($E320="Per class",$D320*COUNTIFS('Session Tracker'!$D$5:$D$149,$A320,'Session Tracker'!$F$5:$F$149,"Next week",'Session Tracker'!$G$5:$G$149,"Thu"),$D320*SUMIFS('Session Tracker'!$J$5:$J$149,'Session Tracker'!$D$5:$D$149,$A320,'Session Tracker'!$F$5:$F$149,"Next week",'Session Tracker'!$G$5:$G$149,"Thu"))</f>
        <v>0</v>
      </c>
      <c r="L320" s="52" t="n">
        <f aca="false">IF($E320="Per class",$D320*COUNTIFS('Session Tracker'!$D$5:$D$149,$A320,'Session Tracker'!$F$5:$F$149,"Next week",'Session Tracker'!$G$5:$G$149,"Fri"),$D320*SUMIFS('Session Tracker'!$J$5:$J$149,'Session Tracker'!$D$5:$D$149,$A320,'Session Tracker'!$F$5:$F$149,"Next week",'Session Tracker'!$G$5:$G$149,"Fri"))</f>
        <v>0</v>
      </c>
      <c r="M320" s="52" t="n">
        <f aca="false">IF($E320="Per class",$D320*COUNTIFS('Session Tracker'!$D$5:$D$149,$A320,'Session Tracker'!$F$5:$F$149,"Next week",'Session Tracker'!$G$5:$G$149,""),$D320*SUMIFS('Session Tracker'!$J$5:$J$149,'Session Tracker'!$D$5:$D$149,$A320,'Session Tracker'!$F$5:$F$149,"Next week",'Session Tracker'!$G$5:$G$149,""))</f>
        <v>0</v>
      </c>
    </row>
    <row r="321" customFormat="false" ht="15" hidden="false" customHeight="false" outlineLevel="0" collapsed="false">
      <c r="A321" s="61" t="s">
        <v>196</v>
      </c>
      <c r="B321" s="34" t="s">
        <v>371</v>
      </c>
      <c r="C321" s="34" t="s">
        <v>372</v>
      </c>
      <c r="D321" s="32" t="n">
        <v>1</v>
      </c>
      <c r="E321" s="32" t="s">
        <v>14</v>
      </c>
      <c r="F321" s="32" t="s">
        <v>373</v>
      </c>
      <c r="G321" s="34" t="s">
        <v>389</v>
      </c>
      <c r="H321" s="52" t="n">
        <f aca="false">IF($E321="Per class",$D321*COUNTIFS('Session Tracker'!$D$5:$D$149,$A321,'Session Tracker'!$F$5:$F$149,"Next week",'Session Tracker'!$G$5:$G$149,"Mon"),$D321*SUMIFS('Session Tracker'!$J$5:$J$149,'Session Tracker'!$D$5:$D$149,$A321,'Session Tracker'!$F$5:$F$149,"Next week",'Session Tracker'!$G$5:$G$149,"Mon"))</f>
        <v>0</v>
      </c>
      <c r="I321" s="52" t="n">
        <f aca="false">IF($E321="Per class",$D321*COUNTIFS('Session Tracker'!$D$5:$D$149,$A321,'Session Tracker'!$F$5:$F$149,"Next week",'Session Tracker'!$G$5:$G$149,"Tue"),$D321*SUMIFS('Session Tracker'!$J$5:$J$149,'Session Tracker'!$D$5:$D$149,$A321,'Session Tracker'!$F$5:$F$149,"Next week",'Session Tracker'!$G$5:$G$149,"Tue"))</f>
        <v>0</v>
      </c>
      <c r="J321" s="52" t="n">
        <f aca="false">IF($E321="Per class",$D321*COUNTIFS('Session Tracker'!$D$5:$D$149,$A321,'Session Tracker'!$F$5:$F$149,"Next week",'Session Tracker'!$G$5:$G$149,"Wed"),$D321*SUMIFS('Session Tracker'!$J$5:$J$149,'Session Tracker'!$D$5:$D$149,$A321,'Session Tracker'!$F$5:$F$149,"Next week",'Session Tracker'!$G$5:$G$149,"Wed"))</f>
        <v>0</v>
      </c>
      <c r="K321" s="52" t="n">
        <f aca="false">IF($E321="Per class",$D321*COUNTIFS('Session Tracker'!$D$5:$D$149,$A321,'Session Tracker'!$F$5:$F$149,"Next week",'Session Tracker'!$G$5:$G$149,"Thu"),$D321*SUMIFS('Session Tracker'!$J$5:$J$149,'Session Tracker'!$D$5:$D$149,$A321,'Session Tracker'!$F$5:$F$149,"Next week",'Session Tracker'!$G$5:$G$149,"Thu"))</f>
        <v>0</v>
      </c>
      <c r="L321" s="52" t="n">
        <f aca="false">IF($E321="Per class",$D321*COUNTIFS('Session Tracker'!$D$5:$D$149,$A321,'Session Tracker'!$F$5:$F$149,"Next week",'Session Tracker'!$G$5:$G$149,"Fri"),$D321*SUMIFS('Session Tracker'!$J$5:$J$149,'Session Tracker'!$D$5:$D$149,$A321,'Session Tracker'!$F$5:$F$149,"Next week",'Session Tracker'!$G$5:$G$149,"Fri"))</f>
        <v>0</v>
      </c>
      <c r="M321" s="52" t="n">
        <f aca="false">IF($E321="Per class",$D321*COUNTIFS('Session Tracker'!$D$5:$D$149,$A321,'Session Tracker'!$F$5:$F$149,"Next week",'Session Tracker'!$G$5:$G$149,""),$D321*SUMIFS('Session Tracker'!$J$5:$J$149,'Session Tracker'!$D$5:$D$149,$A321,'Session Tracker'!$F$5:$F$149,"Next week",'Session Tracker'!$G$5:$G$149,""))</f>
        <v>0</v>
      </c>
    </row>
    <row r="322" customFormat="false" ht="15" hidden="false" customHeight="false" outlineLevel="0" collapsed="false">
      <c r="A322" s="61" t="s">
        <v>196</v>
      </c>
      <c r="B322" s="34" t="s">
        <v>377</v>
      </c>
      <c r="C322" s="34" t="s">
        <v>378</v>
      </c>
      <c r="D322" s="32" t="n">
        <v>1</v>
      </c>
      <c r="E322" s="32" t="s">
        <v>14</v>
      </c>
      <c r="F322" s="32" t="s">
        <v>368</v>
      </c>
      <c r="G322" s="34" t="s">
        <v>389</v>
      </c>
      <c r="H322" s="52" t="n">
        <f aca="false">IF($E322="Per class",$D322*COUNTIFS('Session Tracker'!$D$5:$D$149,$A322,'Session Tracker'!$F$5:$F$149,"Next week",'Session Tracker'!$G$5:$G$149,"Mon"),$D322*SUMIFS('Session Tracker'!$J$5:$J$149,'Session Tracker'!$D$5:$D$149,$A322,'Session Tracker'!$F$5:$F$149,"Next week",'Session Tracker'!$G$5:$G$149,"Mon"))</f>
        <v>0</v>
      </c>
      <c r="I322" s="52" t="n">
        <f aca="false">IF($E322="Per class",$D322*COUNTIFS('Session Tracker'!$D$5:$D$149,$A322,'Session Tracker'!$F$5:$F$149,"Next week",'Session Tracker'!$G$5:$G$149,"Tue"),$D322*SUMIFS('Session Tracker'!$J$5:$J$149,'Session Tracker'!$D$5:$D$149,$A322,'Session Tracker'!$F$5:$F$149,"Next week",'Session Tracker'!$G$5:$G$149,"Tue"))</f>
        <v>0</v>
      </c>
      <c r="J322" s="52" t="n">
        <f aca="false">IF($E322="Per class",$D322*COUNTIFS('Session Tracker'!$D$5:$D$149,$A322,'Session Tracker'!$F$5:$F$149,"Next week",'Session Tracker'!$G$5:$G$149,"Wed"),$D322*SUMIFS('Session Tracker'!$J$5:$J$149,'Session Tracker'!$D$5:$D$149,$A322,'Session Tracker'!$F$5:$F$149,"Next week",'Session Tracker'!$G$5:$G$149,"Wed"))</f>
        <v>0</v>
      </c>
      <c r="K322" s="52" t="n">
        <f aca="false">IF($E322="Per class",$D322*COUNTIFS('Session Tracker'!$D$5:$D$149,$A322,'Session Tracker'!$F$5:$F$149,"Next week",'Session Tracker'!$G$5:$G$149,"Thu"),$D322*SUMIFS('Session Tracker'!$J$5:$J$149,'Session Tracker'!$D$5:$D$149,$A322,'Session Tracker'!$F$5:$F$149,"Next week",'Session Tracker'!$G$5:$G$149,"Thu"))</f>
        <v>0</v>
      </c>
      <c r="L322" s="52" t="n">
        <f aca="false">IF($E322="Per class",$D322*COUNTIFS('Session Tracker'!$D$5:$D$149,$A322,'Session Tracker'!$F$5:$F$149,"Next week",'Session Tracker'!$G$5:$G$149,"Fri"),$D322*SUMIFS('Session Tracker'!$J$5:$J$149,'Session Tracker'!$D$5:$D$149,$A322,'Session Tracker'!$F$5:$F$149,"Next week",'Session Tracker'!$G$5:$G$149,"Fri"))</f>
        <v>0</v>
      </c>
      <c r="M322" s="52" t="n">
        <f aca="false">IF($E322="Per class",$D322*COUNTIFS('Session Tracker'!$D$5:$D$149,$A322,'Session Tracker'!$F$5:$F$149,"Next week",'Session Tracker'!$G$5:$G$149,""),$D322*SUMIFS('Session Tracker'!$J$5:$J$149,'Session Tracker'!$D$5:$D$149,$A322,'Session Tracker'!$F$5:$F$149,"Next week",'Session Tracker'!$G$5:$G$149,""))</f>
        <v>0</v>
      </c>
    </row>
    <row r="323" customFormat="false" ht="15" hidden="false" customHeight="false" outlineLevel="0" collapsed="false">
      <c r="A323" s="53" t="s">
        <v>196</v>
      </c>
      <c r="B323" s="54"/>
      <c r="C323" s="54"/>
      <c r="D323" s="54"/>
      <c r="E323" s="54"/>
      <c r="F323" s="54"/>
      <c r="G323" s="54"/>
      <c r="H323" s="52" t="n">
        <f aca="false">IF($E323="Per class",$D323*COUNTIFS('Session Tracker'!$D$5:$D$149,$A323,'Session Tracker'!$F$5:$F$149,"Next week",'Session Tracker'!$G$5:$G$149,"Mon"),$D323*SUMIFS('Session Tracker'!$J$5:$J$149,'Session Tracker'!$D$5:$D$149,$A323,'Session Tracker'!$F$5:$F$149,"Next week",'Session Tracker'!$G$5:$G$149,"Mon"))</f>
        <v>0</v>
      </c>
      <c r="I323" s="52" t="n">
        <f aca="false">IF($E323="Per class",$D323*COUNTIFS('Session Tracker'!$D$5:$D$149,$A323,'Session Tracker'!$F$5:$F$149,"Next week",'Session Tracker'!$G$5:$G$149,"Tue"),$D323*SUMIFS('Session Tracker'!$J$5:$J$149,'Session Tracker'!$D$5:$D$149,$A323,'Session Tracker'!$F$5:$F$149,"Next week",'Session Tracker'!$G$5:$G$149,"Tue"))</f>
        <v>0</v>
      </c>
      <c r="J323" s="52" t="n">
        <f aca="false">IF($E323="Per class",$D323*COUNTIFS('Session Tracker'!$D$5:$D$149,$A323,'Session Tracker'!$F$5:$F$149,"Next week",'Session Tracker'!$G$5:$G$149,"Wed"),$D323*SUMIFS('Session Tracker'!$J$5:$J$149,'Session Tracker'!$D$5:$D$149,$A323,'Session Tracker'!$F$5:$F$149,"Next week",'Session Tracker'!$G$5:$G$149,"Wed"))</f>
        <v>0</v>
      </c>
      <c r="K323" s="52" t="n">
        <f aca="false">IF($E323="Per class",$D323*COUNTIFS('Session Tracker'!$D$5:$D$149,$A323,'Session Tracker'!$F$5:$F$149,"Next week",'Session Tracker'!$G$5:$G$149,"Thu"),$D323*SUMIFS('Session Tracker'!$J$5:$J$149,'Session Tracker'!$D$5:$D$149,$A323,'Session Tracker'!$F$5:$F$149,"Next week",'Session Tracker'!$G$5:$G$149,"Thu"))</f>
        <v>0</v>
      </c>
      <c r="L323" s="52" t="n">
        <f aca="false">IF($E323="Per class",$D323*COUNTIFS('Session Tracker'!$D$5:$D$149,$A323,'Session Tracker'!$F$5:$F$149,"Next week",'Session Tracker'!$G$5:$G$149,"Fri"),$D323*SUMIFS('Session Tracker'!$J$5:$J$149,'Session Tracker'!$D$5:$D$149,$A323,'Session Tracker'!$F$5:$F$149,"Next week",'Session Tracker'!$G$5:$G$149,"Fri"))</f>
        <v>0</v>
      </c>
      <c r="M323" s="52" t="n">
        <f aca="false">IF($E323="Per class",$D323*COUNTIFS('Session Tracker'!$D$5:$D$149,$A323,'Session Tracker'!$F$5:$F$149,"Next week",'Session Tracker'!$G$5:$G$149,""),$D323*SUMIFS('Session Tracker'!$J$5:$J$149,'Session Tracker'!$D$5:$D$149,$A323,'Session Tracker'!$F$5:$F$149,"Next week",'Session Tracker'!$G$5:$G$149,""))</f>
        <v>0</v>
      </c>
    </row>
    <row r="324" customFormat="false" ht="15" hidden="false" customHeight="false" outlineLevel="0" collapsed="false">
      <c r="A324" s="53" t="s">
        <v>196</v>
      </c>
      <c r="B324" s="54"/>
      <c r="C324" s="54"/>
      <c r="D324" s="54"/>
      <c r="E324" s="54"/>
      <c r="F324" s="54"/>
      <c r="G324" s="54"/>
      <c r="H324" s="52" t="n">
        <f aca="false">IF($E324="Per class",$D324*COUNTIFS('Session Tracker'!$D$5:$D$149,$A324,'Session Tracker'!$F$5:$F$149,"Next week",'Session Tracker'!$G$5:$G$149,"Mon"),$D324*SUMIFS('Session Tracker'!$J$5:$J$149,'Session Tracker'!$D$5:$D$149,$A324,'Session Tracker'!$F$5:$F$149,"Next week",'Session Tracker'!$G$5:$G$149,"Mon"))</f>
        <v>0</v>
      </c>
      <c r="I324" s="52" t="n">
        <f aca="false">IF($E324="Per class",$D324*COUNTIFS('Session Tracker'!$D$5:$D$149,$A324,'Session Tracker'!$F$5:$F$149,"Next week",'Session Tracker'!$G$5:$G$149,"Tue"),$D324*SUMIFS('Session Tracker'!$J$5:$J$149,'Session Tracker'!$D$5:$D$149,$A324,'Session Tracker'!$F$5:$F$149,"Next week",'Session Tracker'!$G$5:$G$149,"Tue"))</f>
        <v>0</v>
      </c>
      <c r="J324" s="52" t="n">
        <f aca="false">IF($E324="Per class",$D324*COUNTIFS('Session Tracker'!$D$5:$D$149,$A324,'Session Tracker'!$F$5:$F$149,"Next week",'Session Tracker'!$G$5:$G$149,"Wed"),$D324*SUMIFS('Session Tracker'!$J$5:$J$149,'Session Tracker'!$D$5:$D$149,$A324,'Session Tracker'!$F$5:$F$149,"Next week",'Session Tracker'!$G$5:$G$149,"Wed"))</f>
        <v>0</v>
      </c>
      <c r="K324" s="52" t="n">
        <f aca="false">IF($E324="Per class",$D324*COUNTIFS('Session Tracker'!$D$5:$D$149,$A324,'Session Tracker'!$F$5:$F$149,"Next week",'Session Tracker'!$G$5:$G$149,"Thu"),$D324*SUMIFS('Session Tracker'!$J$5:$J$149,'Session Tracker'!$D$5:$D$149,$A324,'Session Tracker'!$F$5:$F$149,"Next week",'Session Tracker'!$G$5:$G$149,"Thu"))</f>
        <v>0</v>
      </c>
      <c r="L324" s="52" t="n">
        <f aca="false">IF($E324="Per class",$D324*COUNTIFS('Session Tracker'!$D$5:$D$149,$A324,'Session Tracker'!$F$5:$F$149,"Next week",'Session Tracker'!$G$5:$G$149,"Fri"),$D324*SUMIFS('Session Tracker'!$J$5:$J$149,'Session Tracker'!$D$5:$D$149,$A324,'Session Tracker'!$F$5:$F$149,"Next week",'Session Tracker'!$G$5:$G$149,"Fri"))</f>
        <v>0</v>
      </c>
      <c r="M324" s="52" t="n">
        <f aca="false">IF($E324="Per class",$D324*COUNTIFS('Session Tracker'!$D$5:$D$149,$A324,'Session Tracker'!$F$5:$F$149,"Next week",'Session Tracker'!$G$5:$G$149,""),$D324*SUMIFS('Session Tracker'!$J$5:$J$149,'Session Tracker'!$D$5:$D$149,$A324,'Session Tracker'!$F$5:$F$149,"Next week",'Session Tracker'!$G$5:$G$149,""))</f>
        <v>0</v>
      </c>
    </row>
    <row r="326" customFormat="false" ht="19.5" hidden="false" customHeight="true" outlineLevel="0" collapsed="false">
      <c r="A326" s="57" t="s">
        <v>198</v>
      </c>
      <c r="B326" s="58" t="s">
        <v>567</v>
      </c>
      <c r="C326" s="58"/>
      <c r="D326" s="58"/>
      <c r="E326" s="58"/>
      <c r="F326" s="59" t="str">
        <f aca="false">"Status: "&amp;'Session Tracker'!F67&amp;IF('Session Tracker'!G67&lt;&gt;""," ("&amp;'Session Tracker'!G67&amp;")","")</f>
        <v>Status: Not started</v>
      </c>
      <c r="G326" s="59"/>
      <c r="H326" s="60"/>
      <c r="I326" s="60"/>
      <c r="J326" s="60"/>
      <c r="K326" s="60"/>
      <c r="L326" s="60"/>
      <c r="M326" s="60"/>
    </row>
    <row r="327" customFormat="false" ht="23.85" hidden="false" customHeight="false" outlineLevel="0" collapsed="false">
      <c r="A327" s="61" t="s">
        <v>198</v>
      </c>
      <c r="B327" s="34" t="s">
        <v>366</v>
      </c>
      <c r="C327" s="34" t="s">
        <v>367</v>
      </c>
      <c r="D327" s="32" t="n">
        <v>1</v>
      </c>
      <c r="E327" s="32" t="s">
        <v>14</v>
      </c>
      <c r="F327" s="32" t="s">
        <v>368</v>
      </c>
      <c r="G327" s="34"/>
      <c r="H327" s="52" t="n">
        <f aca="false">IF($E327="Per class",$D327*COUNTIFS('Session Tracker'!$D$5:$D$149,$A327,'Session Tracker'!$F$5:$F$149,"Next week",'Session Tracker'!$G$5:$G$149,"Mon"),$D327*SUMIFS('Session Tracker'!$J$5:$J$149,'Session Tracker'!$D$5:$D$149,$A327,'Session Tracker'!$F$5:$F$149,"Next week",'Session Tracker'!$G$5:$G$149,"Mon"))</f>
        <v>0</v>
      </c>
      <c r="I327" s="52" t="n">
        <f aca="false">IF($E327="Per class",$D327*COUNTIFS('Session Tracker'!$D$5:$D$149,$A327,'Session Tracker'!$F$5:$F$149,"Next week",'Session Tracker'!$G$5:$G$149,"Tue"),$D327*SUMIFS('Session Tracker'!$J$5:$J$149,'Session Tracker'!$D$5:$D$149,$A327,'Session Tracker'!$F$5:$F$149,"Next week",'Session Tracker'!$G$5:$G$149,"Tue"))</f>
        <v>0</v>
      </c>
      <c r="J327" s="52" t="n">
        <f aca="false">IF($E327="Per class",$D327*COUNTIFS('Session Tracker'!$D$5:$D$149,$A327,'Session Tracker'!$F$5:$F$149,"Next week",'Session Tracker'!$G$5:$G$149,"Wed"),$D327*SUMIFS('Session Tracker'!$J$5:$J$149,'Session Tracker'!$D$5:$D$149,$A327,'Session Tracker'!$F$5:$F$149,"Next week",'Session Tracker'!$G$5:$G$149,"Wed"))</f>
        <v>0</v>
      </c>
      <c r="K327" s="52" t="n">
        <f aca="false">IF($E327="Per class",$D327*COUNTIFS('Session Tracker'!$D$5:$D$149,$A327,'Session Tracker'!$F$5:$F$149,"Next week",'Session Tracker'!$G$5:$G$149,"Thu"),$D327*SUMIFS('Session Tracker'!$J$5:$J$149,'Session Tracker'!$D$5:$D$149,$A327,'Session Tracker'!$F$5:$F$149,"Next week",'Session Tracker'!$G$5:$G$149,"Thu"))</f>
        <v>0</v>
      </c>
      <c r="L327" s="52" t="n">
        <f aca="false">IF($E327="Per class",$D327*COUNTIFS('Session Tracker'!$D$5:$D$149,$A327,'Session Tracker'!$F$5:$F$149,"Next week",'Session Tracker'!$G$5:$G$149,"Fri"),$D327*SUMIFS('Session Tracker'!$J$5:$J$149,'Session Tracker'!$D$5:$D$149,$A327,'Session Tracker'!$F$5:$F$149,"Next week",'Session Tracker'!$G$5:$G$149,"Fri"))</f>
        <v>0</v>
      </c>
      <c r="M327" s="52" t="n">
        <f aca="false">IF($E327="Per class",$D327*COUNTIFS('Session Tracker'!$D$5:$D$149,$A327,'Session Tracker'!$F$5:$F$149,"Next week",'Session Tracker'!$G$5:$G$149,""),$D327*SUMIFS('Session Tracker'!$J$5:$J$149,'Session Tracker'!$D$5:$D$149,$A327,'Session Tracker'!$F$5:$F$149,"Next week",'Session Tracker'!$G$5:$G$149,""))</f>
        <v>0</v>
      </c>
    </row>
    <row r="328" customFormat="false" ht="15" hidden="false" customHeight="false" outlineLevel="0" collapsed="false">
      <c r="A328" s="61" t="s">
        <v>198</v>
      </c>
      <c r="B328" s="34" t="s">
        <v>371</v>
      </c>
      <c r="C328" s="34" t="s">
        <v>568</v>
      </c>
      <c r="D328" s="32" t="n">
        <v>1</v>
      </c>
      <c r="E328" s="32" t="s">
        <v>14</v>
      </c>
      <c r="F328" s="32" t="s">
        <v>368</v>
      </c>
      <c r="G328" s="34"/>
      <c r="H328" s="52" t="n">
        <f aca="false">IF($E328="Per class",$D328*COUNTIFS('Session Tracker'!$D$5:$D$149,$A328,'Session Tracker'!$F$5:$F$149,"Next week",'Session Tracker'!$G$5:$G$149,"Mon"),$D328*SUMIFS('Session Tracker'!$J$5:$J$149,'Session Tracker'!$D$5:$D$149,$A328,'Session Tracker'!$F$5:$F$149,"Next week",'Session Tracker'!$G$5:$G$149,"Mon"))</f>
        <v>0</v>
      </c>
      <c r="I328" s="52" t="n">
        <f aca="false">IF($E328="Per class",$D328*COUNTIFS('Session Tracker'!$D$5:$D$149,$A328,'Session Tracker'!$F$5:$F$149,"Next week",'Session Tracker'!$G$5:$G$149,"Tue"),$D328*SUMIFS('Session Tracker'!$J$5:$J$149,'Session Tracker'!$D$5:$D$149,$A328,'Session Tracker'!$F$5:$F$149,"Next week",'Session Tracker'!$G$5:$G$149,"Tue"))</f>
        <v>0</v>
      </c>
      <c r="J328" s="52" t="n">
        <f aca="false">IF($E328="Per class",$D328*COUNTIFS('Session Tracker'!$D$5:$D$149,$A328,'Session Tracker'!$F$5:$F$149,"Next week",'Session Tracker'!$G$5:$G$149,"Wed"),$D328*SUMIFS('Session Tracker'!$J$5:$J$149,'Session Tracker'!$D$5:$D$149,$A328,'Session Tracker'!$F$5:$F$149,"Next week",'Session Tracker'!$G$5:$G$149,"Wed"))</f>
        <v>0</v>
      </c>
      <c r="K328" s="52" t="n">
        <f aca="false">IF($E328="Per class",$D328*COUNTIFS('Session Tracker'!$D$5:$D$149,$A328,'Session Tracker'!$F$5:$F$149,"Next week",'Session Tracker'!$G$5:$G$149,"Thu"),$D328*SUMIFS('Session Tracker'!$J$5:$J$149,'Session Tracker'!$D$5:$D$149,$A328,'Session Tracker'!$F$5:$F$149,"Next week",'Session Tracker'!$G$5:$G$149,"Thu"))</f>
        <v>0</v>
      </c>
      <c r="L328" s="52" t="n">
        <f aca="false">IF($E328="Per class",$D328*COUNTIFS('Session Tracker'!$D$5:$D$149,$A328,'Session Tracker'!$F$5:$F$149,"Next week",'Session Tracker'!$G$5:$G$149,"Fri"),$D328*SUMIFS('Session Tracker'!$J$5:$J$149,'Session Tracker'!$D$5:$D$149,$A328,'Session Tracker'!$F$5:$F$149,"Next week",'Session Tracker'!$G$5:$G$149,"Fri"))</f>
        <v>0</v>
      </c>
      <c r="M328" s="52" t="n">
        <f aca="false">IF($E328="Per class",$D328*COUNTIFS('Session Tracker'!$D$5:$D$149,$A328,'Session Tracker'!$F$5:$F$149,"Next week",'Session Tracker'!$G$5:$G$149,""),$D328*SUMIFS('Session Tracker'!$J$5:$J$149,'Session Tracker'!$D$5:$D$149,$A328,'Session Tracker'!$F$5:$F$149,"Next week",'Session Tracker'!$G$5:$G$149,""))</f>
        <v>0</v>
      </c>
    </row>
    <row r="329" customFormat="false" ht="15" hidden="false" customHeight="false" outlineLevel="0" collapsed="false">
      <c r="A329" s="61" t="s">
        <v>198</v>
      </c>
      <c r="B329" s="34" t="s">
        <v>411</v>
      </c>
      <c r="C329" s="34" t="s">
        <v>450</v>
      </c>
      <c r="D329" s="32" t="n">
        <v>1</v>
      </c>
      <c r="E329" s="32" t="s">
        <v>14</v>
      </c>
      <c r="F329" s="32" t="s">
        <v>373</v>
      </c>
      <c r="G329" s="34"/>
      <c r="H329" s="52" t="n">
        <f aca="false">IF($E329="Per class",$D329*COUNTIFS('Session Tracker'!$D$5:$D$149,$A329,'Session Tracker'!$F$5:$F$149,"Next week",'Session Tracker'!$G$5:$G$149,"Mon"),$D329*SUMIFS('Session Tracker'!$J$5:$J$149,'Session Tracker'!$D$5:$D$149,$A329,'Session Tracker'!$F$5:$F$149,"Next week",'Session Tracker'!$G$5:$G$149,"Mon"))</f>
        <v>0</v>
      </c>
      <c r="I329" s="52" t="n">
        <f aca="false">IF($E329="Per class",$D329*COUNTIFS('Session Tracker'!$D$5:$D$149,$A329,'Session Tracker'!$F$5:$F$149,"Next week",'Session Tracker'!$G$5:$G$149,"Tue"),$D329*SUMIFS('Session Tracker'!$J$5:$J$149,'Session Tracker'!$D$5:$D$149,$A329,'Session Tracker'!$F$5:$F$149,"Next week",'Session Tracker'!$G$5:$G$149,"Tue"))</f>
        <v>0</v>
      </c>
      <c r="J329" s="52" t="n">
        <f aca="false">IF($E329="Per class",$D329*COUNTIFS('Session Tracker'!$D$5:$D$149,$A329,'Session Tracker'!$F$5:$F$149,"Next week",'Session Tracker'!$G$5:$G$149,"Wed"),$D329*SUMIFS('Session Tracker'!$J$5:$J$149,'Session Tracker'!$D$5:$D$149,$A329,'Session Tracker'!$F$5:$F$149,"Next week",'Session Tracker'!$G$5:$G$149,"Wed"))</f>
        <v>0</v>
      </c>
      <c r="K329" s="52" t="n">
        <f aca="false">IF($E329="Per class",$D329*COUNTIFS('Session Tracker'!$D$5:$D$149,$A329,'Session Tracker'!$F$5:$F$149,"Next week",'Session Tracker'!$G$5:$G$149,"Thu"),$D329*SUMIFS('Session Tracker'!$J$5:$J$149,'Session Tracker'!$D$5:$D$149,$A329,'Session Tracker'!$F$5:$F$149,"Next week",'Session Tracker'!$G$5:$G$149,"Thu"))</f>
        <v>0</v>
      </c>
      <c r="L329" s="52" t="n">
        <f aca="false">IF($E329="Per class",$D329*COUNTIFS('Session Tracker'!$D$5:$D$149,$A329,'Session Tracker'!$F$5:$F$149,"Next week",'Session Tracker'!$G$5:$G$149,"Fri"),$D329*SUMIFS('Session Tracker'!$J$5:$J$149,'Session Tracker'!$D$5:$D$149,$A329,'Session Tracker'!$F$5:$F$149,"Next week",'Session Tracker'!$G$5:$G$149,"Fri"))</f>
        <v>0</v>
      </c>
      <c r="M329" s="52" t="n">
        <f aca="false">IF($E329="Per class",$D329*COUNTIFS('Session Tracker'!$D$5:$D$149,$A329,'Session Tracker'!$F$5:$F$149,"Next week",'Session Tracker'!$G$5:$G$149,""),$D329*SUMIFS('Session Tracker'!$J$5:$J$149,'Session Tracker'!$D$5:$D$149,$A329,'Session Tracker'!$F$5:$F$149,"Next week",'Session Tracker'!$G$5:$G$149,""))</f>
        <v>0</v>
      </c>
    </row>
    <row r="330" customFormat="false" ht="15" hidden="false" customHeight="false" outlineLevel="0" collapsed="false">
      <c r="A330" s="61" t="s">
        <v>198</v>
      </c>
      <c r="B330" s="34" t="s">
        <v>379</v>
      </c>
      <c r="C330" s="34" t="s">
        <v>395</v>
      </c>
      <c r="D330" s="32" t="n">
        <v>5</v>
      </c>
      <c r="E330" s="32" t="s">
        <v>14</v>
      </c>
      <c r="F330" s="32" t="s">
        <v>368</v>
      </c>
      <c r="G330" s="34"/>
      <c r="H330" s="52" t="n">
        <f aca="false">IF($E330="Per class",$D330*COUNTIFS('Session Tracker'!$D$5:$D$149,$A330,'Session Tracker'!$F$5:$F$149,"Next week",'Session Tracker'!$G$5:$G$149,"Mon"),$D330*SUMIFS('Session Tracker'!$J$5:$J$149,'Session Tracker'!$D$5:$D$149,$A330,'Session Tracker'!$F$5:$F$149,"Next week",'Session Tracker'!$G$5:$G$149,"Mon"))</f>
        <v>0</v>
      </c>
      <c r="I330" s="52" t="n">
        <f aca="false">IF($E330="Per class",$D330*COUNTIFS('Session Tracker'!$D$5:$D$149,$A330,'Session Tracker'!$F$5:$F$149,"Next week",'Session Tracker'!$G$5:$G$149,"Tue"),$D330*SUMIFS('Session Tracker'!$J$5:$J$149,'Session Tracker'!$D$5:$D$149,$A330,'Session Tracker'!$F$5:$F$149,"Next week",'Session Tracker'!$G$5:$G$149,"Tue"))</f>
        <v>0</v>
      </c>
      <c r="J330" s="52" t="n">
        <f aca="false">IF($E330="Per class",$D330*COUNTIFS('Session Tracker'!$D$5:$D$149,$A330,'Session Tracker'!$F$5:$F$149,"Next week",'Session Tracker'!$G$5:$G$149,"Wed"),$D330*SUMIFS('Session Tracker'!$J$5:$J$149,'Session Tracker'!$D$5:$D$149,$A330,'Session Tracker'!$F$5:$F$149,"Next week",'Session Tracker'!$G$5:$G$149,"Wed"))</f>
        <v>0</v>
      </c>
      <c r="K330" s="52" t="n">
        <f aca="false">IF($E330="Per class",$D330*COUNTIFS('Session Tracker'!$D$5:$D$149,$A330,'Session Tracker'!$F$5:$F$149,"Next week",'Session Tracker'!$G$5:$G$149,"Thu"),$D330*SUMIFS('Session Tracker'!$J$5:$J$149,'Session Tracker'!$D$5:$D$149,$A330,'Session Tracker'!$F$5:$F$149,"Next week",'Session Tracker'!$G$5:$G$149,"Thu"))</f>
        <v>0</v>
      </c>
      <c r="L330" s="52" t="n">
        <f aca="false">IF($E330="Per class",$D330*COUNTIFS('Session Tracker'!$D$5:$D$149,$A330,'Session Tracker'!$F$5:$F$149,"Next week",'Session Tracker'!$G$5:$G$149,"Fri"),$D330*SUMIFS('Session Tracker'!$J$5:$J$149,'Session Tracker'!$D$5:$D$149,$A330,'Session Tracker'!$F$5:$F$149,"Next week",'Session Tracker'!$G$5:$G$149,"Fri"))</f>
        <v>0</v>
      </c>
      <c r="M330" s="52" t="n">
        <f aca="false">IF($E330="Per class",$D330*COUNTIFS('Session Tracker'!$D$5:$D$149,$A330,'Session Tracker'!$F$5:$F$149,"Next week",'Session Tracker'!$G$5:$G$149,""),$D330*SUMIFS('Session Tracker'!$J$5:$J$149,'Session Tracker'!$D$5:$D$149,$A330,'Session Tracker'!$F$5:$F$149,"Next week",'Session Tracker'!$G$5:$G$149,""))</f>
        <v>0</v>
      </c>
    </row>
    <row r="331" customFormat="false" ht="15" hidden="false" customHeight="false" outlineLevel="0" collapsed="false">
      <c r="A331" s="61" t="s">
        <v>198</v>
      </c>
      <c r="B331" s="34" t="s">
        <v>382</v>
      </c>
      <c r="C331" s="34" t="s">
        <v>383</v>
      </c>
      <c r="D331" s="32" t="n">
        <v>1</v>
      </c>
      <c r="E331" s="32" t="s">
        <v>14</v>
      </c>
      <c r="F331" s="32" t="s">
        <v>368</v>
      </c>
      <c r="G331" s="34"/>
      <c r="H331" s="52" t="n">
        <f aca="false">IF($E331="Per class",$D331*COUNTIFS('Session Tracker'!$D$5:$D$149,$A331,'Session Tracker'!$F$5:$F$149,"Next week",'Session Tracker'!$G$5:$G$149,"Mon"),$D331*SUMIFS('Session Tracker'!$J$5:$J$149,'Session Tracker'!$D$5:$D$149,$A331,'Session Tracker'!$F$5:$F$149,"Next week",'Session Tracker'!$G$5:$G$149,"Mon"))</f>
        <v>0</v>
      </c>
      <c r="I331" s="52" t="n">
        <f aca="false">IF($E331="Per class",$D331*COUNTIFS('Session Tracker'!$D$5:$D$149,$A331,'Session Tracker'!$F$5:$F$149,"Next week",'Session Tracker'!$G$5:$G$149,"Tue"),$D331*SUMIFS('Session Tracker'!$J$5:$J$149,'Session Tracker'!$D$5:$D$149,$A331,'Session Tracker'!$F$5:$F$149,"Next week",'Session Tracker'!$G$5:$G$149,"Tue"))</f>
        <v>0</v>
      </c>
      <c r="J331" s="52" t="n">
        <f aca="false">IF($E331="Per class",$D331*COUNTIFS('Session Tracker'!$D$5:$D$149,$A331,'Session Tracker'!$F$5:$F$149,"Next week",'Session Tracker'!$G$5:$G$149,"Wed"),$D331*SUMIFS('Session Tracker'!$J$5:$J$149,'Session Tracker'!$D$5:$D$149,$A331,'Session Tracker'!$F$5:$F$149,"Next week",'Session Tracker'!$G$5:$G$149,"Wed"))</f>
        <v>0</v>
      </c>
      <c r="K331" s="52" t="n">
        <f aca="false">IF($E331="Per class",$D331*COUNTIFS('Session Tracker'!$D$5:$D$149,$A331,'Session Tracker'!$F$5:$F$149,"Next week",'Session Tracker'!$G$5:$G$149,"Thu"),$D331*SUMIFS('Session Tracker'!$J$5:$J$149,'Session Tracker'!$D$5:$D$149,$A331,'Session Tracker'!$F$5:$F$149,"Next week",'Session Tracker'!$G$5:$G$149,"Thu"))</f>
        <v>0</v>
      </c>
      <c r="L331" s="52" t="n">
        <f aca="false">IF($E331="Per class",$D331*COUNTIFS('Session Tracker'!$D$5:$D$149,$A331,'Session Tracker'!$F$5:$F$149,"Next week",'Session Tracker'!$G$5:$G$149,"Fri"),$D331*SUMIFS('Session Tracker'!$J$5:$J$149,'Session Tracker'!$D$5:$D$149,$A331,'Session Tracker'!$F$5:$F$149,"Next week",'Session Tracker'!$G$5:$G$149,"Fri"))</f>
        <v>0</v>
      </c>
      <c r="M331" s="52" t="n">
        <f aca="false">IF($E331="Per class",$D331*COUNTIFS('Session Tracker'!$D$5:$D$149,$A331,'Session Tracker'!$F$5:$F$149,"Next week",'Session Tracker'!$G$5:$G$149,""),$D331*SUMIFS('Session Tracker'!$J$5:$J$149,'Session Tracker'!$D$5:$D$149,$A331,'Session Tracker'!$F$5:$F$149,"Next week",'Session Tracker'!$G$5:$G$149,""))</f>
        <v>0</v>
      </c>
    </row>
    <row r="332" customFormat="false" ht="15" hidden="false" customHeight="false" outlineLevel="0" collapsed="false">
      <c r="A332" s="61" t="s">
        <v>198</v>
      </c>
      <c r="B332" s="34" t="s">
        <v>371</v>
      </c>
      <c r="C332" s="34" t="s">
        <v>372</v>
      </c>
      <c r="D332" s="32" t="n">
        <v>1</v>
      </c>
      <c r="E332" s="32" t="s">
        <v>14</v>
      </c>
      <c r="F332" s="32" t="s">
        <v>373</v>
      </c>
      <c r="G332" s="34" t="s">
        <v>389</v>
      </c>
      <c r="H332" s="52" t="n">
        <f aca="false">IF($E332="Per class",$D332*COUNTIFS('Session Tracker'!$D$5:$D$149,$A332,'Session Tracker'!$F$5:$F$149,"Next week",'Session Tracker'!$G$5:$G$149,"Mon"),$D332*SUMIFS('Session Tracker'!$J$5:$J$149,'Session Tracker'!$D$5:$D$149,$A332,'Session Tracker'!$F$5:$F$149,"Next week",'Session Tracker'!$G$5:$G$149,"Mon"))</f>
        <v>0</v>
      </c>
      <c r="I332" s="52" t="n">
        <f aca="false">IF($E332="Per class",$D332*COUNTIFS('Session Tracker'!$D$5:$D$149,$A332,'Session Tracker'!$F$5:$F$149,"Next week",'Session Tracker'!$G$5:$G$149,"Tue"),$D332*SUMIFS('Session Tracker'!$J$5:$J$149,'Session Tracker'!$D$5:$D$149,$A332,'Session Tracker'!$F$5:$F$149,"Next week",'Session Tracker'!$G$5:$G$149,"Tue"))</f>
        <v>0</v>
      </c>
      <c r="J332" s="52" t="n">
        <f aca="false">IF($E332="Per class",$D332*COUNTIFS('Session Tracker'!$D$5:$D$149,$A332,'Session Tracker'!$F$5:$F$149,"Next week",'Session Tracker'!$G$5:$G$149,"Wed"),$D332*SUMIFS('Session Tracker'!$J$5:$J$149,'Session Tracker'!$D$5:$D$149,$A332,'Session Tracker'!$F$5:$F$149,"Next week",'Session Tracker'!$G$5:$G$149,"Wed"))</f>
        <v>0</v>
      </c>
      <c r="K332" s="52" t="n">
        <f aca="false">IF($E332="Per class",$D332*COUNTIFS('Session Tracker'!$D$5:$D$149,$A332,'Session Tracker'!$F$5:$F$149,"Next week",'Session Tracker'!$G$5:$G$149,"Thu"),$D332*SUMIFS('Session Tracker'!$J$5:$J$149,'Session Tracker'!$D$5:$D$149,$A332,'Session Tracker'!$F$5:$F$149,"Next week",'Session Tracker'!$G$5:$G$149,"Thu"))</f>
        <v>0</v>
      </c>
      <c r="L332" s="52" t="n">
        <f aca="false">IF($E332="Per class",$D332*COUNTIFS('Session Tracker'!$D$5:$D$149,$A332,'Session Tracker'!$F$5:$F$149,"Next week",'Session Tracker'!$G$5:$G$149,"Fri"),$D332*SUMIFS('Session Tracker'!$J$5:$J$149,'Session Tracker'!$D$5:$D$149,$A332,'Session Tracker'!$F$5:$F$149,"Next week",'Session Tracker'!$G$5:$G$149,"Fri"))</f>
        <v>0</v>
      </c>
      <c r="M332" s="52" t="n">
        <f aca="false">IF($E332="Per class",$D332*COUNTIFS('Session Tracker'!$D$5:$D$149,$A332,'Session Tracker'!$F$5:$F$149,"Next week",'Session Tracker'!$G$5:$G$149,""),$D332*SUMIFS('Session Tracker'!$J$5:$J$149,'Session Tracker'!$D$5:$D$149,$A332,'Session Tracker'!$F$5:$F$149,"Next week",'Session Tracker'!$G$5:$G$149,""))</f>
        <v>0</v>
      </c>
    </row>
    <row r="333" customFormat="false" ht="15" hidden="false" customHeight="false" outlineLevel="0" collapsed="false">
      <c r="A333" s="61" t="s">
        <v>198</v>
      </c>
      <c r="B333" s="34" t="s">
        <v>375</v>
      </c>
      <c r="C333" s="34" t="s">
        <v>376</v>
      </c>
      <c r="D333" s="32" t="n">
        <v>1</v>
      </c>
      <c r="E333" s="32" t="s">
        <v>14</v>
      </c>
      <c r="F333" s="32" t="s">
        <v>373</v>
      </c>
      <c r="G333" s="34" t="s">
        <v>442</v>
      </c>
      <c r="H333" s="52" t="n">
        <f aca="false">IF($E333="Per class",$D333*COUNTIFS('Session Tracker'!$D$5:$D$149,$A333,'Session Tracker'!$F$5:$F$149,"Next week",'Session Tracker'!$G$5:$G$149,"Mon"),$D333*SUMIFS('Session Tracker'!$J$5:$J$149,'Session Tracker'!$D$5:$D$149,$A333,'Session Tracker'!$F$5:$F$149,"Next week",'Session Tracker'!$G$5:$G$149,"Mon"))</f>
        <v>0</v>
      </c>
      <c r="I333" s="52" t="n">
        <f aca="false">IF($E333="Per class",$D333*COUNTIFS('Session Tracker'!$D$5:$D$149,$A333,'Session Tracker'!$F$5:$F$149,"Next week",'Session Tracker'!$G$5:$G$149,"Tue"),$D333*SUMIFS('Session Tracker'!$J$5:$J$149,'Session Tracker'!$D$5:$D$149,$A333,'Session Tracker'!$F$5:$F$149,"Next week",'Session Tracker'!$G$5:$G$149,"Tue"))</f>
        <v>0</v>
      </c>
      <c r="J333" s="52" t="n">
        <f aca="false">IF($E333="Per class",$D333*COUNTIFS('Session Tracker'!$D$5:$D$149,$A333,'Session Tracker'!$F$5:$F$149,"Next week",'Session Tracker'!$G$5:$G$149,"Wed"),$D333*SUMIFS('Session Tracker'!$J$5:$J$149,'Session Tracker'!$D$5:$D$149,$A333,'Session Tracker'!$F$5:$F$149,"Next week",'Session Tracker'!$G$5:$G$149,"Wed"))</f>
        <v>0</v>
      </c>
      <c r="K333" s="52" t="n">
        <f aca="false">IF($E333="Per class",$D333*COUNTIFS('Session Tracker'!$D$5:$D$149,$A333,'Session Tracker'!$F$5:$F$149,"Next week",'Session Tracker'!$G$5:$G$149,"Thu"),$D333*SUMIFS('Session Tracker'!$J$5:$J$149,'Session Tracker'!$D$5:$D$149,$A333,'Session Tracker'!$F$5:$F$149,"Next week",'Session Tracker'!$G$5:$G$149,"Thu"))</f>
        <v>0</v>
      </c>
      <c r="L333" s="52" t="n">
        <f aca="false">IF($E333="Per class",$D333*COUNTIFS('Session Tracker'!$D$5:$D$149,$A333,'Session Tracker'!$F$5:$F$149,"Next week",'Session Tracker'!$G$5:$G$149,"Fri"),$D333*SUMIFS('Session Tracker'!$J$5:$J$149,'Session Tracker'!$D$5:$D$149,$A333,'Session Tracker'!$F$5:$F$149,"Next week",'Session Tracker'!$G$5:$G$149,"Fri"))</f>
        <v>0</v>
      </c>
      <c r="M333" s="52" t="n">
        <f aca="false">IF($E333="Per class",$D333*COUNTIFS('Session Tracker'!$D$5:$D$149,$A333,'Session Tracker'!$F$5:$F$149,"Next week",'Session Tracker'!$G$5:$G$149,""),$D333*SUMIFS('Session Tracker'!$J$5:$J$149,'Session Tracker'!$D$5:$D$149,$A333,'Session Tracker'!$F$5:$F$149,"Next week",'Session Tracker'!$G$5:$G$149,""))</f>
        <v>0</v>
      </c>
    </row>
    <row r="334" customFormat="false" ht="15" hidden="false" customHeight="false" outlineLevel="0" collapsed="false">
      <c r="A334" s="61" t="s">
        <v>198</v>
      </c>
      <c r="B334" s="34" t="s">
        <v>377</v>
      </c>
      <c r="C334" s="34" t="s">
        <v>378</v>
      </c>
      <c r="D334" s="32" t="n">
        <v>1</v>
      </c>
      <c r="E334" s="32" t="s">
        <v>14</v>
      </c>
      <c r="F334" s="32" t="s">
        <v>368</v>
      </c>
      <c r="G334" s="34" t="s">
        <v>389</v>
      </c>
      <c r="H334" s="52" t="n">
        <f aca="false">IF($E334="Per class",$D334*COUNTIFS('Session Tracker'!$D$5:$D$149,$A334,'Session Tracker'!$F$5:$F$149,"Next week",'Session Tracker'!$G$5:$G$149,"Mon"),$D334*SUMIFS('Session Tracker'!$J$5:$J$149,'Session Tracker'!$D$5:$D$149,$A334,'Session Tracker'!$F$5:$F$149,"Next week",'Session Tracker'!$G$5:$G$149,"Mon"))</f>
        <v>0</v>
      </c>
      <c r="I334" s="52" t="n">
        <f aca="false">IF($E334="Per class",$D334*COUNTIFS('Session Tracker'!$D$5:$D$149,$A334,'Session Tracker'!$F$5:$F$149,"Next week",'Session Tracker'!$G$5:$G$149,"Tue"),$D334*SUMIFS('Session Tracker'!$J$5:$J$149,'Session Tracker'!$D$5:$D$149,$A334,'Session Tracker'!$F$5:$F$149,"Next week",'Session Tracker'!$G$5:$G$149,"Tue"))</f>
        <v>0</v>
      </c>
      <c r="J334" s="52" t="n">
        <f aca="false">IF($E334="Per class",$D334*COUNTIFS('Session Tracker'!$D$5:$D$149,$A334,'Session Tracker'!$F$5:$F$149,"Next week",'Session Tracker'!$G$5:$G$149,"Wed"),$D334*SUMIFS('Session Tracker'!$J$5:$J$149,'Session Tracker'!$D$5:$D$149,$A334,'Session Tracker'!$F$5:$F$149,"Next week",'Session Tracker'!$G$5:$G$149,"Wed"))</f>
        <v>0</v>
      </c>
      <c r="K334" s="52" t="n">
        <f aca="false">IF($E334="Per class",$D334*COUNTIFS('Session Tracker'!$D$5:$D$149,$A334,'Session Tracker'!$F$5:$F$149,"Next week",'Session Tracker'!$G$5:$G$149,"Thu"),$D334*SUMIFS('Session Tracker'!$J$5:$J$149,'Session Tracker'!$D$5:$D$149,$A334,'Session Tracker'!$F$5:$F$149,"Next week",'Session Tracker'!$G$5:$G$149,"Thu"))</f>
        <v>0</v>
      </c>
      <c r="L334" s="52" t="n">
        <f aca="false">IF($E334="Per class",$D334*COUNTIFS('Session Tracker'!$D$5:$D$149,$A334,'Session Tracker'!$F$5:$F$149,"Next week",'Session Tracker'!$G$5:$G$149,"Fri"),$D334*SUMIFS('Session Tracker'!$J$5:$J$149,'Session Tracker'!$D$5:$D$149,$A334,'Session Tracker'!$F$5:$F$149,"Next week",'Session Tracker'!$G$5:$G$149,"Fri"))</f>
        <v>0</v>
      </c>
      <c r="M334" s="52" t="n">
        <f aca="false">IF($E334="Per class",$D334*COUNTIFS('Session Tracker'!$D$5:$D$149,$A334,'Session Tracker'!$F$5:$F$149,"Next week",'Session Tracker'!$G$5:$G$149,""),$D334*SUMIFS('Session Tracker'!$J$5:$J$149,'Session Tracker'!$D$5:$D$149,$A334,'Session Tracker'!$F$5:$F$149,"Next week",'Session Tracker'!$G$5:$G$149,""))</f>
        <v>0</v>
      </c>
    </row>
    <row r="335" customFormat="false" ht="15" hidden="false" customHeight="false" outlineLevel="0" collapsed="false">
      <c r="A335" s="53" t="s">
        <v>198</v>
      </c>
      <c r="B335" s="54"/>
      <c r="C335" s="54"/>
      <c r="D335" s="54"/>
      <c r="E335" s="54"/>
      <c r="F335" s="54"/>
      <c r="G335" s="54"/>
      <c r="H335" s="52" t="n">
        <f aca="false">IF($E335="Per class",$D335*COUNTIFS('Session Tracker'!$D$5:$D$149,$A335,'Session Tracker'!$F$5:$F$149,"Next week",'Session Tracker'!$G$5:$G$149,"Mon"),$D335*SUMIFS('Session Tracker'!$J$5:$J$149,'Session Tracker'!$D$5:$D$149,$A335,'Session Tracker'!$F$5:$F$149,"Next week",'Session Tracker'!$G$5:$G$149,"Mon"))</f>
        <v>0</v>
      </c>
      <c r="I335" s="52" t="n">
        <f aca="false">IF($E335="Per class",$D335*COUNTIFS('Session Tracker'!$D$5:$D$149,$A335,'Session Tracker'!$F$5:$F$149,"Next week",'Session Tracker'!$G$5:$G$149,"Tue"),$D335*SUMIFS('Session Tracker'!$J$5:$J$149,'Session Tracker'!$D$5:$D$149,$A335,'Session Tracker'!$F$5:$F$149,"Next week",'Session Tracker'!$G$5:$G$149,"Tue"))</f>
        <v>0</v>
      </c>
      <c r="J335" s="52" t="n">
        <f aca="false">IF($E335="Per class",$D335*COUNTIFS('Session Tracker'!$D$5:$D$149,$A335,'Session Tracker'!$F$5:$F$149,"Next week",'Session Tracker'!$G$5:$G$149,"Wed"),$D335*SUMIFS('Session Tracker'!$J$5:$J$149,'Session Tracker'!$D$5:$D$149,$A335,'Session Tracker'!$F$5:$F$149,"Next week",'Session Tracker'!$G$5:$G$149,"Wed"))</f>
        <v>0</v>
      </c>
      <c r="K335" s="52" t="n">
        <f aca="false">IF($E335="Per class",$D335*COUNTIFS('Session Tracker'!$D$5:$D$149,$A335,'Session Tracker'!$F$5:$F$149,"Next week",'Session Tracker'!$G$5:$G$149,"Thu"),$D335*SUMIFS('Session Tracker'!$J$5:$J$149,'Session Tracker'!$D$5:$D$149,$A335,'Session Tracker'!$F$5:$F$149,"Next week",'Session Tracker'!$G$5:$G$149,"Thu"))</f>
        <v>0</v>
      </c>
      <c r="L335" s="52" t="n">
        <f aca="false">IF($E335="Per class",$D335*COUNTIFS('Session Tracker'!$D$5:$D$149,$A335,'Session Tracker'!$F$5:$F$149,"Next week",'Session Tracker'!$G$5:$G$149,"Fri"),$D335*SUMIFS('Session Tracker'!$J$5:$J$149,'Session Tracker'!$D$5:$D$149,$A335,'Session Tracker'!$F$5:$F$149,"Next week",'Session Tracker'!$G$5:$G$149,"Fri"))</f>
        <v>0</v>
      </c>
      <c r="M335" s="52" t="n">
        <f aca="false">IF($E335="Per class",$D335*COUNTIFS('Session Tracker'!$D$5:$D$149,$A335,'Session Tracker'!$F$5:$F$149,"Next week",'Session Tracker'!$G$5:$G$149,""),$D335*SUMIFS('Session Tracker'!$J$5:$J$149,'Session Tracker'!$D$5:$D$149,$A335,'Session Tracker'!$F$5:$F$149,"Next week",'Session Tracker'!$G$5:$G$149,""))</f>
        <v>0</v>
      </c>
    </row>
    <row r="336" customFormat="false" ht="15" hidden="false" customHeight="false" outlineLevel="0" collapsed="false">
      <c r="A336" s="53" t="s">
        <v>198</v>
      </c>
      <c r="B336" s="54"/>
      <c r="C336" s="54"/>
      <c r="D336" s="54"/>
      <c r="E336" s="54"/>
      <c r="F336" s="54"/>
      <c r="G336" s="54"/>
      <c r="H336" s="52" t="n">
        <f aca="false">IF($E336="Per class",$D336*COUNTIFS('Session Tracker'!$D$5:$D$149,$A336,'Session Tracker'!$F$5:$F$149,"Next week",'Session Tracker'!$G$5:$G$149,"Mon"),$D336*SUMIFS('Session Tracker'!$J$5:$J$149,'Session Tracker'!$D$5:$D$149,$A336,'Session Tracker'!$F$5:$F$149,"Next week",'Session Tracker'!$G$5:$G$149,"Mon"))</f>
        <v>0</v>
      </c>
      <c r="I336" s="52" t="n">
        <f aca="false">IF($E336="Per class",$D336*COUNTIFS('Session Tracker'!$D$5:$D$149,$A336,'Session Tracker'!$F$5:$F$149,"Next week",'Session Tracker'!$G$5:$G$149,"Tue"),$D336*SUMIFS('Session Tracker'!$J$5:$J$149,'Session Tracker'!$D$5:$D$149,$A336,'Session Tracker'!$F$5:$F$149,"Next week",'Session Tracker'!$G$5:$G$149,"Tue"))</f>
        <v>0</v>
      </c>
      <c r="J336" s="52" t="n">
        <f aca="false">IF($E336="Per class",$D336*COUNTIFS('Session Tracker'!$D$5:$D$149,$A336,'Session Tracker'!$F$5:$F$149,"Next week",'Session Tracker'!$G$5:$G$149,"Wed"),$D336*SUMIFS('Session Tracker'!$J$5:$J$149,'Session Tracker'!$D$5:$D$149,$A336,'Session Tracker'!$F$5:$F$149,"Next week",'Session Tracker'!$G$5:$G$149,"Wed"))</f>
        <v>0</v>
      </c>
      <c r="K336" s="52" t="n">
        <f aca="false">IF($E336="Per class",$D336*COUNTIFS('Session Tracker'!$D$5:$D$149,$A336,'Session Tracker'!$F$5:$F$149,"Next week",'Session Tracker'!$G$5:$G$149,"Thu"),$D336*SUMIFS('Session Tracker'!$J$5:$J$149,'Session Tracker'!$D$5:$D$149,$A336,'Session Tracker'!$F$5:$F$149,"Next week",'Session Tracker'!$G$5:$G$149,"Thu"))</f>
        <v>0</v>
      </c>
      <c r="L336" s="52" t="n">
        <f aca="false">IF($E336="Per class",$D336*COUNTIFS('Session Tracker'!$D$5:$D$149,$A336,'Session Tracker'!$F$5:$F$149,"Next week",'Session Tracker'!$G$5:$G$149,"Fri"),$D336*SUMIFS('Session Tracker'!$J$5:$J$149,'Session Tracker'!$D$5:$D$149,$A336,'Session Tracker'!$F$5:$F$149,"Next week",'Session Tracker'!$G$5:$G$149,"Fri"))</f>
        <v>0</v>
      </c>
      <c r="M336" s="52" t="n">
        <f aca="false">IF($E336="Per class",$D336*COUNTIFS('Session Tracker'!$D$5:$D$149,$A336,'Session Tracker'!$F$5:$F$149,"Next week",'Session Tracker'!$G$5:$G$149,""),$D336*SUMIFS('Session Tracker'!$J$5:$J$149,'Session Tracker'!$D$5:$D$149,$A336,'Session Tracker'!$F$5:$F$149,"Next week",'Session Tracker'!$G$5:$G$149,""))</f>
        <v>0</v>
      </c>
    </row>
    <row r="338" customFormat="false" ht="19.5" hidden="false" customHeight="true" outlineLevel="0" collapsed="false">
      <c r="A338" s="57" t="s">
        <v>200</v>
      </c>
      <c r="B338" s="58" t="s">
        <v>569</v>
      </c>
      <c r="C338" s="58"/>
      <c r="D338" s="58"/>
      <c r="E338" s="58"/>
      <c r="F338" s="59" t="str">
        <f aca="false">"Status: "&amp;'Session Tracker'!F68&amp;IF('Session Tracker'!G68&lt;&gt;""," ("&amp;'Session Tracker'!G68&amp;")","")</f>
        <v>Status: Not started</v>
      </c>
      <c r="G338" s="59"/>
      <c r="H338" s="60"/>
      <c r="I338" s="60"/>
      <c r="J338" s="60"/>
      <c r="K338" s="60"/>
      <c r="L338" s="60"/>
      <c r="M338" s="60"/>
    </row>
    <row r="339" customFormat="false" ht="23.85" hidden="false" customHeight="false" outlineLevel="0" collapsed="false">
      <c r="A339" s="61" t="s">
        <v>200</v>
      </c>
      <c r="B339" s="34" t="s">
        <v>366</v>
      </c>
      <c r="C339" s="34" t="s">
        <v>367</v>
      </c>
      <c r="D339" s="32" t="n">
        <v>1</v>
      </c>
      <c r="E339" s="32" t="s">
        <v>14</v>
      </c>
      <c r="F339" s="32" t="s">
        <v>368</v>
      </c>
      <c r="G339" s="34"/>
      <c r="H339" s="52" t="n">
        <f aca="false">IF($E339="Per class",$D339*COUNTIFS('Session Tracker'!$D$5:$D$149,$A339,'Session Tracker'!$F$5:$F$149,"Next week",'Session Tracker'!$G$5:$G$149,"Mon"),$D339*SUMIFS('Session Tracker'!$J$5:$J$149,'Session Tracker'!$D$5:$D$149,$A339,'Session Tracker'!$F$5:$F$149,"Next week",'Session Tracker'!$G$5:$G$149,"Mon"))</f>
        <v>0</v>
      </c>
      <c r="I339" s="52" t="n">
        <f aca="false">IF($E339="Per class",$D339*COUNTIFS('Session Tracker'!$D$5:$D$149,$A339,'Session Tracker'!$F$5:$F$149,"Next week",'Session Tracker'!$G$5:$G$149,"Tue"),$D339*SUMIFS('Session Tracker'!$J$5:$J$149,'Session Tracker'!$D$5:$D$149,$A339,'Session Tracker'!$F$5:$F$149,"Next week",'Session Tracker'!$G$5:$G$149,"Tue"))</f>
        <v>0</v>
      </c>
      <c r="J339" s="52" t="n">
        <f aca="false">IF($E339="Per class",$D339*COUNTIFS('Session Tracker'!$D$5:$D$149,$A339,'Session Tracker'!$F$5:$F$149,"Next week",'Session Tracker'!$G$5:$G$149,"Wed"),$D339*SUMIFS('Session Tracker'!$J$5:$J$149,'Session Tracker'!$D$5:$D$149,$A339,'Session Tracker'!$F$5:$F$149,"Next week",'Session Tracker'!$G$5:$G$149,"Wed"))</f>
        <v>0</v>
      </c>
      <c r="K339" s="52" t="n">
        <f aca="false">IF($E339="Per class",$D339*COUNTIFS('Session Tracker'!$D$5:$D$149,$A339,'Session Tracker'!$F$5:$F$149,"Next week",'Session Tracker'!$G$5:$G$149,"Thu"),$D339*SUMIFS('Session Tracker'!$J$5:$J$149,'Session Tracker'!$D$5:$D$149,$A339,'Session Tracker'!$F$5:$F$149,"Next week",'Session Tracker'!$G$5:$G$149,"Thu"))</f>
        <v>0</v>
      </c>
      <c r="L339" s="52" t="n">
        <f aca="false">IF($E339="Per class",$D339*COUNTIFS('Session Tracker'!$D$5:$D$149,$A339,'Session Tracker'!$F$5:$F$149,"Next week",'Session Tracker'!$G$5:$G$149,"Fri"),$D339*SUMIFS('Session Tracker'!$J$5:$J$149,'Session Tracker'!$D$5:$D$149,$A339,'Session Tracker'!$F$5:$F$149,"Next week",'Session Tracker'!$G$5:$G$149,"Fri"))</f>
        <v>0</v>
      </c>
      <c r="M339" s="52" t="n">
        <f aca="false">IF($E339="Per class",$D339*COUNTIFS('Session Tracker'!$D$5:$D$149,$A339,'Session Tracker'!$F$5:$F$149,"Next week",'Session Tracker'!$G$5:$G$149,""),$D339*SUMIFS('Session Tracker'!$J$5:$J$149,'Session Tracker'!$D$5:$D$149,$A339,'Session Tracker'!$F$5:$F$149,"Next week",'Session Tracker'!$G$5:$G$149,""))</f>
        <v>0</v>
      </c>
    </row>
    <row r="340" customFormat="false" ht="15" hidden="false" customHeight="false" outlineLevel="0" collapsed="false">
      <c r="A340" s="61" t="s">
        <v>200</v>
      </c>
      <c r="B340" s="34" t="s">
        <v>369</v>
      </c>
      <c r="C340" s="34" t="s">
        <v>370</v>
      </c>
      <c r="D340" s="32" t="n">
        <v>1</v>
      </c>
      <c r="E340" s="32" t="s">
        <v>14</v>
      </c>
      <c r="F340" s="32" t="s">
        <v>368</v>
      </c>
      <c r="G340" s="34"/>
      <c r="H340" s="52" t="n">
        <f aca="false">IF($E340="Per class",$D340*COUNTIFS('Session Tracker'!$D$5:$D$149,$A340,'Session Tracker'!$F$5:$F$149,"Next week",'Session Tracker'!$G$5:$G$149,"Mon"),$D340*SUMIFS('Session Tracker'!$J$5:$J$149,'Session Tracker'!$D$5:$D$149,$A340,'Session Tracker'!$F$5:$F$149,"Next week",'Session Tracker'!$G$5:$G$149,"Mon"))</f>
        <v>0</v>
      </c>
      <c r="I340" s="52" t="n">
        <f aca="false">IF($E340="Per class",$D340*COUNTIFS('Session Tracker'!$D$5:$D$149,$A340,'Session Tracker'!$F$5:$F$149,"Next week",'Session Tracker'!$G$5:$G$149,"Tue"),$D340*SUMIFS('Session Tracker'!$J$5:$J$149,'Session Tracker'!$D$5:$D$149,$A340,'Session Tracker'!$F$5:$F$149,"Next week",'Session Tracker'!$G$5:$G$149,"Tue"))</f>
        <v>0</v>
      </c>
      <c r="J340" s="52" t="n">
        <f aca="false">IF($E340="Per class",$D340*COUNTIFS('Session Tracker'!$D$5:$D$149,$A340,'Session Tracker'!$F$5:$F$149,"Next week",'Session Tracker'!$G$5:$G$149,"Wed"),$D340*SUMIFS('Session Tracker'!$J$5:$J$149,'Session Tracker'!$D$5:$D$149,$A340,'Session Tracker'!$F$5:$F$149,"Next week",'Session Tracker'!$G$5:$G$149,"Wed"))</f>
        <v>0</v>
      </c>
      <c r="K340" s="52" t="n">
        <f aca="false">IF($E340="Per class",$D340*COUNTIFS('Session Tracker'!$D$5:$D$149,$A340,'Session Tracker'!$F$5:$F$149,"Next week",'Session Tracker'!$G$5:$G$149,"Thu"),$D340*SUMIFS('Session Tracker'!$J$5:$J$149,'Session Tracker'!$D$5:$D$149,$A340,'Session Tracker'!$F$5:$F$149,"Next week",'Session Tracker'!$G$5:$G$149,"Thu"))</f>
        <v>0</v>
      </c>
      <c r="L340" s="52" t="n">
        <f aca="false">IF($E340="Per class",$D340*COUNTIFS('Session Tracker'!$D$5:$D$149,$A340,'Session Tracker'!$F$5:$F$149,"Next week",'Session Tracker'!$G$5:$G$149,"Fri"),$D340*SUMIFS('Session Tracker'!$J$5:$J$149,'Session Tracker'!$D$5:$D$149,$A340,'Session Tracker'!$F$5:$F$149,"Next week",'Session Tracker'!$G$5:$G$149,"Fri"))</f>
        <v>0</v>
      </c>
      <c r="M340" s="52" t="n">
        <f aca="false">IF($E340="Per class",$D340*COUNTIFS('Session Tracker'!$D$5:$D$149,$A340,'Session Tracker'!$F$5:$F$149,"Next week",'Session Tracker'!$G$5:$G$149,""),$D340*SUMIFS('Session Tracker'!$J$5:$J$149,'Session Tracker'!$D$5:$D$149,$A340,'Session Tracker'!$F$5:$F$149,"Next week",'Session Tracker'!$G$5:$G$149,""))</f>
        <v>0</v>
      </c>
    </row>
    <row r="341" customFormat="false" ht="15" hidden="false" customHeight="false" outlineLevel="0" collapsed="false">
      <c r="A341" s="61" t="s">
        <v>200</v>
      </c>
      <c r="B341" s="34" t="s">
        <v>377</v>
      </c>
      <c r="C341" s="34" t="s">
        <v>477</v>
      </c>
      <c r="D341" s="32" t="n">
        <v>1</v>
      </c>
      <c r="E341" s="32" t="s">
        <v>14</v>
      </c>
      <c r="F341" s="32" t="s">
        <v>368</v>
      </c>
      <c r="G341" s="34"/>
      <c r="H341" s="52" t="n">
        <f aca="false">IF($E341="Per class",$D341*COUNTIFS('Session Tracker'!$D$5:$D$149,$A341,'Session Tracker'!$F$5:$F$149,"Next week",'Session Tracker'!$G$5:$G$149,"Mon"),$D341*SUMIFS('Session Tracker'!$J$5:$J$149,'Session Tracker'!$D$5:$D$149,$A341,'Session Tracker'!$F$5:$F$149,"Next week",'Session Tracker'!$G$5:$G$149,"Mon"))</f>
        <v>0</v>
      </c>
      <c r="I341" s="52" t="n">
        <f aca="false">IF($E341="Per class",$D341*COUNTIFS('Session Tracker'!$D$5:$D$149,$A341,'Session Tracker'!$F$5:$F$149,"Next week",'Session Tracker'!$G$5:$G$149,"Tue"),$D341*SUMIFS('Session Tracker'!$J$5:$J$149,'Session Tracker'!$D$5:$D$149,$A341,'Session Tracker'!$F$5:$F$149,"Next week",'Session Tracker'!$G$5:$G$149,"Tue"))</f>
        <v>0</v>
      </c>
      <c r="J341" s="52" t="n">
        <f aca="false">IF($E341="Per class",$D341*COUNTIFS('Session Tracker'!$D$5:$D$149,$A341,'Session Tracker'!$F$5:$F$149,"Next week",'Session Tracker'!$G$5:$G$149,"Wed"),$D341*SUMIFS('Session Tracker'!$J$5:$J$149,'Session Tracker'!$D$5:$D$149,$A341,'Session Tracker'!$F$5:$F$149,"Next week",'Session Tracker'!$G$5:$G$149,"Wed"))</f>
        <v>0</v>
      </c>
      <c r="K341" s="52" t="n">
        <f aca="false">IF($E341="Per class",$D341*COUNTIFS('Session Tracker'!$D$5:$D$149,$A341,'Session Tracker'!$F$5:$F$149,"Next week",'Session Tracker'!$G$5:$G$149,"Thu"),$D341*SUMIFS('Session Tracker'!$J$5:$J$149,'Session Tracker'!$D$5:$D$149,$A341,'Session Tracker'!$F$5:$F$149,"Next week",'Session Tracker'!$G$5:$G$149,"Thu"))</f>
        <v>0</v>
      </c>
      <c r="L341" s="52" t="n">
        <f aca="false">IF($E341="Per class",$D341*COUNTIFS('Session Tracker'!$D$5:$D$149,$A341,'Session Tracker'!$F$5:$F$149,"Next week",'Session Tracker'!$G$5:$G$149,"Fri"),$D341*SUMIFS('Session Tracker'!$J$5:$J$149,'Session Tracker'!$D$5:$D$149,$A341,'Session Tracker'!$F$5:$F$149,"Next week",'Session Tracker'!$G$5:$G$149,"Fri"))</f>
        <v>0</v>
      </c>
      <c r="M341" s="52" t="n">
        <f aca="false">IF($E341="Per class",$D341*COUNTIFS('Session Tracker'!$D$5:$D$149,$A341,'Session Tracker'!$F$5:$F$149,"Next week",'Session Tracker'!$G$5:$G$149,""),$D341*SUMIFS('Session Tracker'!$J$5:$J$149,'Session Tracker'!$D$5:$D$149,$A341,'Session Tracker'!$F$5:$F$149,"Next week",'Session Tracker'!$G$5:$G$149,""))</f>
        <v>0</v>
      </c>
    </row>
    <row r="342" customFormat="false" ht="15" hidden="false" customHeight="false" outlineLevel="0" collapsed="false">
      <c r="A342" s="61" t="s">
        <v>200</v>
      </c>
      <c r="B342" s="34" t="s">
        <v>375</v>
      </c>
      <c r="C342" s="34" t="s">
        <v>385</v>
      </c>
      <c r="D342" s="32" t="n">
        <v>1</v>
      </c>
      <c r="E342" s="32" t="s">
        <v>14</v>
      </c>
      <c r="F342" s="32" t="s">
        <v>368</v>
      </c>
      <c r="G342" s="34"/>
      <c r="H342" s="52" t="n">
        <f aca="false">IF($E342="Per class",$D342*COUNTIFS('Session Tracker'!$D$5:$D$149,$A342,'Session Tracker'!$F$5:$F$149,"Next week",'Session Tracker'!$G$5:$G$149,"Mon"),$D342*SUMIFS('Session Tracker'!$J$5:$J$149,'Session Tracker'!$D$5:$D$149,$A342,'Session Tracker'!$F$5:$F$149,"Next week",'Session Tracker'!$G$5:$G$149,"Mon"))</f>
        <v>0</v>
      </c>
      <c r="I342" s="52" t="n">
        <f aca="false">IF($E342="Per class",$D342*COUNTIFS('Session Tracker'!$D$5:$D$149,$A342,'Session Tracker'!$F$5:$F$149,"Next week",'Session Tracker'!$G$5:$G$149,"Tue"),$D342*SUMIFS('Session Tracker'!$J$5:$J$149,'Session Tracker'!$D$5:$D$149,$A342,'Session Tracker'!$F$5:$F$149,"Next week",'Session Tracker'!$G$5:$G$149,"Tue"))</f>
        <v>0</v>
      </c>
      <c r="J342" s="52" t="n">
        <f aca="false">IF($E342="Per class",$D342*COUNTIFS('Session Tracker'!$D$5:$D$149,$A342,'Session Tracker'!$F$5:$F$149,"Next week",'Session Tracker'!$G$5:$G$149,"Wed"),$D342*SUMIFS('Session Tracker'!$J$5:$J$149,'Session Tracker'!$D$5:$D$149,$A342,'Session Tracker'!$F$5:$F$149,"Next week",'Session Tracker'!$G$5:$G$149,"Wed"))</f>
        <v>0</v>
      </c>
      <c r="K342" s="52" t="n">
        <f aca="false">IF($E342="Per class",$D342*COUNTIFS('Session Tracker'!$D$5:$D$149,$A342,'Session Tracker'!$F$5:$F$149,"Next week",'Session Tracker'!$G$5:$G$149,"Thu"),$D342*SUMIFS('Session Tracker'!$J$5:$J$149,'Session Tracker'!$D$5:$D$149,$A342,'Session Tracker'!$F$5:$F$149,"Next week",'Session Tracker'!$G$5:$G$149,"Thu"))</f>
        <v>0</v>
      </c>
      <c r="L342" s="52" t="n">
        <f aca="false">IF($E342="Per class",$D342*COUNTIFS('Session Tracker'!$D$5:$D$149,$A342,'Session Tracker'!$F$5:$F$149,"Next week",'Session Tracker'!$G$5:$G$149,"Fri"),$D342*SUMIFS('Session Tracker'!$J$5:$J$149,'Session Tracker'!$D$5:$D$149,$A342,'Session Tracker'!$F$5:$F$149,"Next week",'Session Tracker'!$G$5:$G$149,"Fri"))</f>
        <v>0</v>
      </c>
      <c r="M342" s="52" t="n">
        <f aca="false">IF($E342="Per class",$D342*COUNTIFS('Session Tracker'!$D$5:$D$149,$A342,'Session Tracker'!$F$5:$F$149,"Next week",'Session Tracker'!$G$5:$G$149,""),$D342*SUMIFS('Session Tracker'!$J$5:$J$149,'Session Tracker'!$D$5:$D$149,$A342,'Session Tracker'!$F$5:$F$149,"Next week",'Session Tracker'!$G$5:$G$149,""))</f>
        <v>0</v>
      </c>
    </row>
    <row r="343" customFormat="false" ht="15" hidden="false" customHeight="false" outlineLevel="0" collapsed="false">
      <c r="A343" s="61" t="s">
        <v>200</v>
      </c>
      <c r="B343" s="34" t="s">
        <v>375</v>
      </c>
      <c r="C343" s="34" t="s">
        <v>417</v>
      </c>
      <c r="D343" s="32" t="n">
        <v>1</v>
      </c>
      <c r="E343" s="32" t="s">
        <v>14</v>
      </c>
      <c r="F343" s="32" t="s">
        <v>373</v>
      </c>
      <c r="G343" s="34"/>
      <c r="H343" s="52" t="n">
        <f aca="false">IF($E343="Per class",$D343*COUNTIFS('Session Tracker'!$D$5:$D$149,$A343,'Session Tracker'!$F$5:$F$149,"Next week",'Session Tracker'!$G$5:$G$149,"Mon"),$D343*SUMIFS('Session Tracker'!$J$5:$J$149,'Session Tracker'!$D$5:$D$149,$A343,'Session Tracker'!$F$5:$F$149,"Next week",'Session Tracker'!$G$5:$G$149,"Mon"))</f>
        <v>0</v>
      </c>
      <c r="I343" s="52" t="n">
        <f aca="false">IF($E343="Per class",$D343*COUNTIFS('Session Tracker'!$D$5:$D$149,$A343,'Session Tracker'!$F$5:$F$149,"Next week",'Session Tracker'!$G$5:$G$149,"Tue"),$D343*SUMIFS('Session Tracker'!$J$5:$J$149,'Session Tracker'!$D$5:$D$149,$A343,'Session Tracker'!$F$5:$F$149,"Next week",'Session Tracker'!$G$5:$G$149,"Tue"))</f>
        <v>0</v>
      </c>
      <c r="J343" s="52" t="n">
        <f aca="false">IF($E343="Per class",$D343*COUNTIFS('Session Tracker'!$D$5:$D$149,$A343,'Session Tracker'!$F$5:$F$149,"Next week",'Session Tracker'!$G$5:$G$149,"Wed"),$D343*SUMIFS('Session Tracker'!$J$5:$J$149,'Session Tracker'!$D$5:$D$149,$A343,'Session Tracker'!$F$5:$F$149,"Next week",'Session Tracker'!$G$5:$G$149,"Wed"))</f>
        <v>0</v>
      </c>
      <c r="K343" s="52" t="n">
        <f aca="false">IF($E343="Per class",$D343*COUNTIFS('Session Tracker'!$D$5:$D$149,$A343,'Session Tracker'!$F$5:$F$149,"Next week",'Session Tracker'!$G$5:$G$149,"Thu"),$D343*SUMIFS('Session Tracker'!$J$5:$J$149,'Session Tracker'!$D$5:$D$149,$A343,'Session Tracker'!$F$5:$F$149,"Next week",'Session Tracker'!$G$5:$G$149,"Thu"))</f>
        <v>0</v>
      </c>
      <c r="L343" s="52" t="n">
        <f aca="false">IF($E343="Per class",$D343*COUNTIFS('Session Tracker'!$D$5:$D$149,$A343,'Session Tracker'!$F$5:$F$149,"Next week",'Session Tracker'!$G$5:$G$149,"Fri"),$D343*SUMIFS('Session Tracker'!$J$5:$J$149,'Session Tracker'!$D$5:$D$149,$A343,'Session Tracker'!$F$5:$F$149,"Next week",'Session Tracker'!$G$5:$G$149,"Fri"))</f>
        <v>0</v>
      </c>
      <c r="M343" s="52" t="n">
        <f aca="false">IF($E343="Per class",$D343*COUNTIFS('Session Tracker'!$D$5:$D$149,$A343,'Session Tracker'!$F$5:$F$149,"Next week",'Session Tracker'!$G$5:$G$149,""),$D343*SUMIFS('Session Tracker'!$J$5:$J$149,'Session Tracker'!$D$5:$D$149,$A343,'Session Tracker'!$F$5:$F$149,"Next week",'Session Tracker'!$G$5:$G$149,""))</f>
        <v>0</v>
      </c>
    </row>
    <row r="344" customFormat="false" ht="15" hidden="false" customHeight="false" outlineLevel="0" collapsed="false">
      <c r="A344" s="61" t="s">
        <v>200</v>
      </c>
      <c r="B344" s="34" t="s">
        <v>379</v>
      </c>
      <c r="C344" s="34" t="s">
        <v>380</v>
      </c>
      <c r="D344" s="32" t="n">
        <v>1</v>
      </c>
      <c r="E344" s="32" t="s">
        <v>14</v>
      </c>
      <c r="F344" s="32" t="s">
        <v>368</v>
      </c>
      <c r="G344" s="34"/>
      <c r="H344" s="52" t="n">
        <f aca="false">IF($E344="Per class",$D344*COUNTIFS('Session Tracker'!$D$5:$D$149,$A344,'Session Tracker'!$F$5:$F$149,"Next week",'Session Tracker'!$G$5:$G$149,"Mon"),$D344*SUMIFS('Session Tracker'!$J$5:$J$149,'Session Tracker'!$D$5:$D$149,$A344,'Session Tracker'!$F$5:$F$149,"Next week",'Session Tracker'!$G$5:$G$149,"Mon"))</f>
        <v>0</v>
      </c>
      <c r="I344" s="52" t="n">
        <f aca="false">IF($E344="Per class",$D344*COUNTIFS('Session Tracker'!$D$5:$D$149,$A344,'Session Tracker'!$F$5:$F$149,"Next week",'Session Tracker'!$G$5:$G$149,"Tue"),$D344*SUMIFS('Session Tracker'!$J$5:$J$149,'Session Tracker'!$D$5:$D$149,$A344,'Session Tracker'!$F$5:$F$149,"Next week",'Session Tracker'!$G$5:$G$149,"Tue"))</f>
        <v>0</v>
      </c>
      <c r="J344" s="52" t="n">
        <f aca="false">IF($E344="Per class",$D344*COUNTIFS('Session Tracker'!$D$5:$D$149,$A344,'Session Tracker'!$F$5:$F$149,"Next week",'Session Tracker'!$G$5:$G$149,"Wed"),$D344*SUMIFS('Session Tracker'!$J$5:$J$149,'Session Tracker'!$D$5:$D$149,$A344,'Session Tracker'!$F$5:$F$149,"Next week",'Session Tracker'!$G$5:$G$149,"Wed"))</f>
        <v>0</v>
      </c>
      <c r="K344" s="52" t="n">
        <f aca="false">IF($E344="Per class",$D344*COUNTIFS('Session Tracker'!$D$5:$D$149,$A344,'Session Tracker'!$F$5:$F$149,"Next week",'Session Tracker'!$G$5:$G$149,"Thu"),$D344*SUMIFS('Session Tracker'!$J$5:$J$149,'Session Tracker'!$D$5:$D$149,$A344,'Session Tracker'!$F$5:$F$149,"Next week",'Session Tracker'!$G$5:$G$149,"Thu"))</f>
        <v>0</v>
      </c>
      <c r="L344" s="52" t="n">
        <f aca="false">IF($E344="Per class",$D344*COUNTIFS('Session Tracker'!$D$5:$D$149,$A344,'Session Tracker'!$F$5:$F$149,"Next week",'Session Tracker'!$G$5:$G$149,"Fri"),$D344*SUMIFS('Session Tracker'!$J$5:$J$149,'Session Tracker'!$D$5:$D$149,$A344,'Session Tracker'!$F$5:$F$149,"Next week",'Session Tracker'!$G$5:$G$149,"Fri"))</f>
        <v>0</v>
      </c>
      <c r="M344" s="52" t="n">
        <f aca="false">IF($E344="Per class",$D344*COUNTIFS('Session Tracker'!$D$5:$D$149,$A344,'Session Tracker'!$F$5:$F$149,"Next week",'Session Tracker'!$G$5:$G$149,""),$D344*SUMIFS('Session Tracker'!$J$5:$J$149,'Session Tracker'!$D$5:$D$149,$A344,'Session Tracker'!$F$5:$F$149,"Next week",'Session Tracker'!$G$5:$G$149,""))</f>
        <v>0</v>
      </c>
    </row>
    <row r="345" customFormat="false" ht="15" hidden="false" customHeight="false" outlineLevel="0" collapsed="false">
      <c r="A345" s="61" t="s">
        <v>200</v>
      </c>
      <c r="B345" s="34" t="s">
        <v>379</v>
      </c>
      <c r="C345" s="34" t="s">
        <v>381</v>
      </c>
      <c r="D345" s="32" t="n">
        <v>8</v>
      </c>
      <c r="E345" s="32" t="s">
        <v>14</v>
      </c>
      <c r="F345" s="32" t="s">
        <v>368</v>
      </c>
      <c r="G345" s="34"/>
      <c r="H345" s="52" t="n">
        <f aca="false">IF($E345="Per class",$D345*COUNTIFS('Session Tracker'!$D$5:$D$149,$A345,'Session Tracker'!$F$5:$F$149,"Next week",'Session Tracker'!$G$5:$G$149,"Mon"),$D345*SUMIFS('Session Tracker'!$J$5:$J$149,'Session Tracker'!$D$5:$D$149,$A345,'Session Tracker'!$F$5:$F$149,"Next week",'Session Tracker'!$G$5:$G$149,"Mon"))</f>
        <v>0</v>
      </c>
      <c r="I345" s="52" t="n">
        <f aca="false">IF($E345="Per class",$D345*COUNTIFS('Session Tracker'!$D$5:$D$149,$A345,'Session Tracker'!$F$5:$F$149,"Next week",'Session Tracker'!$G$5:$G$149,"Tue"),$D345*SUMIFS('Session Tracker'!$J$5:$J$149,'Session Tracker'!$D$5:$D$149,$A345,'Session Tracker'!$F$5:$F$149,"Next week",'Session Tracker'!$G$5:$G$149,"Tue"))</f>
        <v>0</v>
      </c>
      <c r="J345" s="52" t="n">
        <f aca="false">IF($E345="Per class",$D345*COUNTIFS('Session Tracker'!$D$5:$D$149,$A345,'Session Tracker'!$F$5:$F$149,"Next week",'Session Tracker'!$G$5:$G$149,"Wed"),$D345*SUMIFS('Session Tracker'!$J$5:$J$149,'Session Tracker'!$D$5:$D$149,$A345,'Session Tracker'!$F$5:$F$149,"Next week",'Session Tracker'!$G$5:$G$149,"Wed"))</f>
        <v>0</v>
      </c>
      <c r="K345" s="52" t="n">
        <f aca="false">IF($E345="Per class",$D345*COUNTIFS('Session Tracker'!$D$5:$D$149,$A345,'Session Tracker'!$F$5:$F$149,"Next week",'Session Tracker'!$G$5:$G$149,"Thu"),$D345*SUMIFS('Session Tracker'!$J$5:$J$149,'Session Tracker'!$D$5:$D$149,$A345,'Session Tracker'!$F$5:$F$149,"Next week",'Session Tracker'!$G$5:$G$149,"Thu"))</f>
        <v>0</v>
      </c>
      <c r="L345" s="52" t="n">
        <f aca="false">IF($E345="Per class",$D345*COUNTIFS('Session Tracker'!$D$5:$D$149,$A345,'Session Tracker'!$F$5:$F$149,"Next week",'Session Tracker'!$G$5:$G$149,"Fri"),$D345*SUMIFS('Session Tracker'!$J$5:$J$149,'Session Tracker'!$D$5:$D$149,$A345,'Session Tracker'!$F$5:$F$149,"Next week",'Session Tracker'!$G$5:$G$149,"Fri"))</f>
        <v>0</v>
      </c>
      <c r="M345" s="52" t="n">
        <f aca="false">IF($E345="Per class",$D345*COUNTIFS('Session Tracker'!$D$5:$D$149,$A345,'Session Tracker'!$F$5:$F$149,"Next week",'Session Tracker'!$G$5:$G$149,""),$D345*SUMIFS('Session Tracker'!$J$5:$J$149,'Session Tracker'!$D$5:$D$149,$A345,'Session Tracker'!$F$5:$F$149,"Next week",'Session Tracker'!$G$5:$G$149,""))</f>
        <v>0</v>
      </c>
    </row>
    <row r="346" customFormat="false" ht="15" hidden="false" customHeight="false" outlineLevel="0" collapsed="false">
      <c r="A346" s="61" t="s">
        <v>200</v>
      </c>
      <c r="B346" s="34" t="s">
        <v>382</v>
      </c>
      <c r="C346" s="34" t="s">
        <v>383</v>
      </c>
      <c r="D346" s="32" t="n">
        <v>1</v>
      </c>
      <c r="E346" s="32" t="s">
        <v>14</v>
      </c>
      <c r="F346" s="32" t="s">
        <v>368</v>
      </c>
      <c r="G346" s="34"/>
      <c r="H346" s="52" t="n">
        <f aca="false">IF($E346="Per class",$D346*COUNTIFS('Session Tracker'!$D$5:$D$149,$A346,'Session Tracker'!$F$5:$F$149,"Next week",'Session Tracker'!$G$5:$G$149,"Mon"),$D346*SUMIFS('Session Tracker'!$J$5:$J$149,'Session Tracker'!$D$5:$D$149,$A346,'Session Tracker'!$F$5:$F$149,"Next week",'Session Tracker'!$G$5:$G$149,"Mon"))</f>
        <v>0</v>
      </c>
      <c r="I346" s="52" t="n">
        <f aca="false">IF($E346="Per class",$D346*COUNTIFS('Session Tracker'!$D$5:$D$149,$A346,'Session Tracker'!$F$5:$F$149,"Next week",'Session Tracker'!$G$5:$G$149,"Tue"),$D346*SUMIFS('Session Tracker'!$J$5:$J$149,'Session Tracker'!$D$5:$D$149,$A346,'Session Tracker'!$F$5:$F$149,"Next week",'Session Tracker'!$G$5:$G$149,"Tue"))</f>
        <v>0</v>
      </c>
      <c r="J346" s="52" t="n">
        <f aca="false">IF($E346="Per class",$D346*COUNTIFS('Session Tracker'!$D$5:$D$149,$A346,'Session Tracker'!$F$5:$F$149,"Next week",'Session Tracker'!$G$5:$G$149,"Wed"),$D346*SUMIFS('Session Tracker'!$J$5:$J$149,'Session Tracker'!$D$5:$D$149,$A346,'Session Tracker'!$F$5:$F$149,"Next week",'Session Tracker'!$G$5:$G$149,"Wed"))</f>
        <v>0</v>
      </c>
      <c r="K346" s="52" t="n">
        <f aca="false">IF($E346="Per class",$D346*COUNTIFS('Session Tracker'!$D$5:$D$149,$A346,'Session Tracker'!$F$5:$F$149,"Next week",'Session Tracker'!$G$5:$G$149,"Thu"),$D346*SUMIFS('Session Tracker'!$J$5:$J$149,'Session Tracker'!$D$5:$D$149,$A346,'Session Tracker'!$F$5:$F$149,"Next week",'Session Tracker'!$G$5:$G$149,"Thu"))</f>
        <v>0</v>
      </c>
      <c r="L346" s="52" t="n">
        <f aca="false">IF($E346="Per class",$D346*COUNTIFS('Session Tracker'!$D$5:$D$149,$A346,'Session Tracker'!$F$5:$F$149,"Next week",'Session Tracker'!$G$5:$G$149,"Fri"),$D346*SUMIFS('Session Tracker'!$J$5:$J$149,'Session Tracker'!$D$5:$D$149,$A346,'Session Tracker'!$F$5:$F$149,"Next week",'Session Tracker'!$G$5:$G$149,"Fri"))</f>
        <v>0</v>
      </c>
      <c r="M346" s="52" t="n">
        <f aca="false">IF($E346="Per class",$D346*COUNTIFS('Session Tracker'!$D$5:$D$149,$A346,'Session Tracker'!$F$5:$F$149,"Next week",'Session Tracker'!$G$5:$G$149,""),$D346*SUMIFS('Session Tracker'!$J$5:$J$149,'Session Tracker'!$D$5:$D$149,$A346,'Session Tracker'!$F$5:$F$149,"Next week",'Session Tracker'!$G$5:$G$149,""))</f>
        <v>0</v>
      </c>
    </row>
    <row r="347" customFormat="false" ht="15" hidden="false" customHeight="false" outlineLevel="0" collapsed="false">
      <c r="A347" s="61" t="s">
        <v>200</v>
      </c>
      <c r="B347" s="34" t="s">
        <v>371</v>
      </c>
      <c r="C347" s="34" t="s">
        <v>372</v>
      </c>
      <c r="D347" s="32" t="n">
        <v>1</v>
      </c>
      <c r="E347" s="32" t="s">
        <v>14</v>
      </c>
      <c r="F347" s="32" t="s">
        <v>373</v>
      </c>
      <c r="G347" s="34" t="s">
        <v>389</v>
      </c>
      <c r="H347" s="52" t="n">
        <f aca="false">IF($E347="Per class",$D347*COUNTIFS('Session Tracker'!$D$5:$D$149,$A347,'Session Tracker'!$F$5:$F$149,"Next week",'Session Tracker'!$G$5:$G$149,"Mon"),$D347*SUMIFS('Session Tracker'!$J$5:$J$149,'Session Tracker'!$D$5:$D$149,$A347,'Session Tracker'!$F$5:$F$149,"Next week",'Session Tracker'!$G$5:$G$149,"Mon"))</f>
        <v>0</v>
      </c>
      <c r="I347" s="52" t="n">
        <f aca="false">IF($E347="Per class",$D347*COUNTIFS('Session Tracker'!$D$5:$D$149,$A347,'Session Tracker'!$F$5:$F$149,"Next week",'Session Tracker'!$G$5:$G$149,"Tue"),$D347*SUMIFS('Session Tracker'!$J$5:$J$149,'Session Tracker'!$D$5:$D$149,$A347,'Session Tracker'!$F$5:$F$149,"Next week",'Session Tracker'!$G$5:$G$149,"Tue"))</f>
        <v>0</v>
      </c>
      <c r="J347" s="52" t="n">
        <f aca="false">IF($E347="Per class",$D347*COUNTIFS('Session Tracker'!$D$5:$D$149,$A347,'Session Tracker'!$F$5:$F$149,"Next week",'Session Tracker'!$G$5:$G$149,"Wed"),$D347*SUMIFS('Session Tracker'!$J$5:$J$149,'Session Tracker'!$D$5:$D$149,$A347,'Session Tracker'!$F$5:$F$149,"Next week",'Session Tracker'!$G$5:$G$149,"Wed"))</f>
        <v>0</v>
      </c>
      <c r="K347" s="52" t="n">
        <f aca="false">IF($E347="Per class",$D347*COUNTIFS('Session Tracker'!$D$5:$D$149,$A347,'Session Tracker'!$F$5:$F$149,"Next week",'Session Tracker'!$G$5:$G$149,"Thu"),$D347*SUMIFS('Session Tracker'!$J$5:$J$149,'Session Tracker'!$D$5:$D$149,$A347,'Session Tracker'!$F$5:$F$149,"Next week",'Session Tracker'!$G$5:$G$149,"Thu"))</f>
        <v>0</v>
      </c>
      <c r="L347" s="52" t="n">
        <f aca="false">IF($E347="Per class",$D347*COUNTIFS('Session Tracker'!$D$5:$D$149,$A347,'Session Tracker'!$F$5:$F$149,"Next week",'Session Tracker'!$G$5:$G$149,"Fri"),$D347*SUMIFS('Session Tracker'!$J$5:$J$149,'Session Tracker'!$D$5:$D$149,$A347,'Session Tracker'!$F$5:$F$149,"Next week",'Session Tracker'!$G$5:$G$149,"Fri"))</f>
        <v>0</v>
      </c>
      <c r="M347" s="52" t="n">
        <f aca="false">IF($E347="Per class",$D347*COUNTIFS('Session Tracker'!$D$5:$D$149,$A347,'Session Tracker'!$F$5:$F$149,"Next week",'Session Tracker'!$G$5:$G$149,""),$D347*SUMIFS('Session Tracker'!$J$5:$J$149,'Session Tracker'!$D$5:$D$149,$A347,'Session Tracker'!$F$5:$F$149,"Next week",'Session Tracker'!$G$5:$G$149,""))</f>
        <v>0</v>
      </c>
    </row>
    <row r="348" customFormat="false" ht="15" hidden="false" customHeight="false" outlineLevel="0" collapsed="false">
      <c r="A348" s="61" t="s">
        <v>200</v>
      </c>
      <c r="B348" s="34" t="s">
        <v>375</v>
      </c>
      <c r="C348" s="34" t="s">
        <v>376</v>
      </c>
      <c r="D348" s="32" t="n">
        <v>1</v>
      </c>
      <c r="E348" s="32" t="s">
        <v>14</v>
      </c>
      <c r="F348" s="32" t="s">
        <v>373</v>
      </c>
      <c r="G348" s="34" t="s">
        <v>442</v>
      </c>
      <c r="H348" s="52" t="n">
        <f aca="false">IF($E348="Per class",$D348*COUNTIFS('Session Tracker'!$D$5:$D$149,$A348,'Session Tracker'!$F$5:$F$149,"Next week",'Session Tracker'!$G$5:$G$149,"Mon"),$D348*SUMIFS('Session Tracker'!$J$5:$J$149,'Session Tracker'!$D$5:$D$149,$A348,'Session Tracker'!$F$5:$F$149,"Next week",'Session Tracker'!$G$5:$G$149,"Mon"))</f>
        <v>0</v>
      </c>
      <c r="I348" s="52" t="n">
        <f aca="false">IF($E348="Per class",$D348*COUNTIFS('Session Tracker'!$D$5:$D$149,$A348,'Session Tracker'!$F$5:$F$149,"Next week",'Session Tracker'!$G$5:$G$149,"Tue"),$D348*SUMIFS('Session Tracker'!$J$5:$J$149,'Session Tracker'!$D$5:$D$149,$A348,'Session Tracker'!$F$5:$F$149,"Next week",'Session Tracker'!$G$5:$G$149,"Tue"))</f>
        <v>0</v>
      </c>
      <c r="J348" s="52" t="n">
        <f aca="false">IF($E348="Per class",$D348*COUNTIFS('Session Tracker'!$D$5:$D$149,$A348,'Session Tracker'!$F$5:$F$149,"Next week",'Session Tracker'!$G$5:$G$149,"Wed"),$D348*SUMIFS('Session Tracker'!$J$5:$J$149,'Session Tracker'!$D$5:$D$149,$A348,'Session Tracker'!$F$5:$F$149,"Next week",'Session Tracker'!$G$5:$G$149,"Wed"))</f>
        <v>0</v>
      </c>
      <c r="K348" s="52" t="n">
        <f aca="false">IF($E348="Per class",$D348*COUNTIFS('Session Tracker'!$D$5:$D$149,$A348,'Session Tracker'!$F$5:$F$149,"Next week",'Session Tracker'!$G$5:$G$149,"Thu"),$D348*SUMIFS('Session Tracker'!$J$5:$J$149,'Session Tracker'!$D$5:$D$149,$A348,'Session Tracker'!$F$5:$F$149,"Next week",'Session Tracker'!$G$5:$G$149,"Thu"))</f>
        <v>0</v>
      </c>
      <c r="L348" s="52" t="n">
        <f aca="false">IF($E348="Per class",$D348*COUNTIFS('Session Tracker'!$D$5:$D$149,$A348,'Session Tracker'!$F$5:$F$149,"Next week",'Session Tracker'!$G$5:$G$149,"Fri"),$D348*SUMIFS('Session Tracker'!$J$5:$J$149,'Session Tracker'!$D$5:$D$149,$A348,'Session Tracker'!$F$5:$F$149,"Next week",'Session Tracker'!$G$5:$G$149,"Fri"))</f>
        <v>0</v>
      </c>
      <c r="M348" s="52" t="n">
        <f aca="false">IF($E348="Per class",$D348*COUNTIFS('Session Tracker'!$D$5:$D$149,$A348,'Session Tracker'!$F$5:$F$149,"Next week",'Session Tracker'!$G$5:$G$149,""),$D348*SUMIFS('Session Tracker'!$J$5:$J$149,'Session Tracker'!$D$5:$D$149,$A348,'Session Tracker'!$F$5:$F$149,"Next week",'Session Tracker'!$G$5:$G$149,""))</f>
        <v>0</v>
      </c>
    </row>
    <row r="349" customFormat="false" ht="15" hidden="false" customHeight="false" outlineLevel="0" collapsed="false">
      <c r="A349" s="61" t="s">
        <v>200</v>
      </c>
      <c r="B349" s="34" t="s">
        <v>377</v>
      </c>
      <c r="C349" s="34" t="s">
        <v>378</v>
      </c>
      <c r="D349" s="32" t="n">
        <v>1</v>
      </c>
      <c r="E349" s="32" t="s">
        <v>14</v>
      </c>
      <c r="F349" s="32" t="s">
        <v>368</v>
      </c>
      <c r="G349" s="34" t="s">
        <v>389</v>
      </c>
      <c r="H349" s="52" t="n">
        <f aca="false">IF($E349="Per class",$D349*COUNTIFS('Session Tracker'!$D$5:$D$149,$A349,'Session Tracker'!$F$5:$F$149,"Next week",'Session Tracker'!$G$5:$G$149,"Mon"),$D349*SUMIFS('Session Tracker'!$J$5:$J$149,'Session Tracker'!$D$5:$D$149,$A349,'Session Tracker'!$F$5:$F$149,"Next week",'Session Tracker'!$G$5:$G$149,"Mon"))</f>
        <v>0</v>
      </c>
      <c r="I349" s="52" t="n">
        <f aca="false">IF($E349="Per class",$D349*COUNTIFS('Session Tracker'!$D$5:$D$149,$A349,'Session Tracker'!$F$5:$F$149,"Next week",'Session Tracker'!$G$5:$G$149,"Tue"),$D349*SUMIFS('Session Tracker'!$J$5:$J$149,'Session Tracker'!$D$5:$D$149,$A349,'Session Tracker'!$F$5:$F$149,"Next week",'Session Tracker'!$G$5:$G$149,"Tue"))</f>
        <v>0</v>
      </c>
      <c r="J349" s="52" t="n">
        <f aca="false">IF($E349="Per class",$D349*COUNTIFS('Session Tracker'!$D$5:$D$149,$A349,'Session Tracker'!$F$5:$F$149,"Next week",'Session Tracker'!$G$5:$G$149,"Wed"),$D349*SUMIFS('Session Tracker'!$J$5:$J$149,'Session Tracker'!$D$5:$D$149,$A349,'Session Tracker'!$F$5:$F$149,"Next week",'Session Tracker'!$G$5:$G$149,"Wed"))</f>
        <v>0</v>
      </c>
      <c r="K349" s="52" t="n">
        <f aca="false">IF($E349="Per class",$D349*COUNTIFS('Session Tracker'!$D$5:$D$149,$A349,'Session Tracker'!$F$5:$F$149,"Next week",'Session Tracker'!$G$5:$G$149,"Thu"),$D349*SUMIFS('Session Tracker'!$J$5:$J$149,'Session Tracker'!$D$5:$D$149,$A349,'Session Tracker'!$F$5:$F$149,"Next week",'Session Tracker'!$G$5:$G$149,"Thu"))</f>
        <v>0</v>
      </c>
      <c r="L349" s="52" t="n">
        <f aca="false">IF($E349="Per class",$D349*COUNTIFS('Session Tracker'!$D$5:$D$149,$A349,'Session Tracker'!$F$5:$F$149,"Next week",'Session Tracker'!$G$5:$G$149,"Fri"),$D349*SUMIFS('Session Tracker'!$J$5:$J$149,'Session Tracker'!$D$5:$D$149,$A349,'Session Tracker'!$F$5:$F$149,"Next week",'Session Tracker'!$G$5:$G$149,"Fri"))</f>
        <v>0</v>
      </c>
      <c r="M349" s="52" t="n">
        <f aca="false">IF($E349="Per class",$D349*COUNTIFS('Session Tracker'!$D$5:$D$149,$A349,'Session Tracker'!$F$5:$F$149,"Next week",'Session Tracker'!$G$5:$G$149,""),$D349*SUMIFS('Session Tracker'!$J$5:$J$149,'Session Tracker'!$D$5:$D$149,$A349,'Session Tracker'!$F$5:$F$149,"Next week",'Session Tracker'!$G$5:$G$149,""))</f>
        <v>0</v>
      </c>
    </row>
    <row r="350" customFormat="false" ht="15" hidden="false" customHeight="false" outlineLevel="0" collapsed="false">
      <c r="A350" s="53" t="s">
        <v>200</v>
      </c>
      <c r="B350" s="54"/>
      <c r="C350" s="54"/>
      <c r="D350" s="54"/>
      <c r="E350" s="54"/>
      <c r="F350" s="54"/>
      <c r="G350" s="54"/>
      <c r="H350" s="52" t="n">
        <f aca="false">IF($E350="Per class",$D350*COUNTIFS('Session Tracker'!$D$5:$D$149,$A350,'Session Tracker'!$F$5:$F$149,"Next week",'Session Tracker'!$G$5:$G$149,"Mon"),$D350*SUMIFS('Session Tracker'!$J$5:$J$149,'Session Tracker'!$D$5:$D$149,$A350,'Session Tracker'!$F$5:$F$149,"Next week",'Session Tracker'!$G$5:$G$149,"Mon"))</f>
        <v>0</v>
      </c>
      <c r="I350" s="52" t="n">
        <f aca="false">IF($E350="Per class",$D350*COUNTIFS('Session Tracker'!$D$5:$D$149,$A350,'Session Tracker'!$F$5:$F$149,"Next week",'Session Tracker'!$G$5:$G$149,"Tue"),$D350*SUMIFS('Session Tracker'!$J$5:$J$149,'Session Tracker'!$D$5:$D$149,$A350,'Session Tracker'!$F$5:$F$149,"Next week",'Session Tracker'!$G$5:$G$149,"Tue"))</f>
        <v>0</v>
      </c>
      <c r="J350" s="52" t="n">
        <f aca="false">IF($E350="Per class",$D350*COUNTIFS('Session Tracker'!$D$5:$D$149,$A350,'Session Tracker'!$F$5:$F$149,"Next week",'Session Tracker'!$G$5:$G$149,"Wed"),$D350*SUMIFS('Session Tracker'!$J$5:$J$149,'Session Tracker'!$D$5:$D$149,$A350,'Session Tracker'!$F$5:$F$149,"Next week",'Session Tracker'!$G$5:$G$149,"Wed"))</f>
        <v>0</v>
      </c>
      <c r="K350" s="52" t="n">
        <f aca="false">IF($E350="Per class",$D350*COUNTIFS('Session Tracker'!$D$5:$D$149,$A350,'Session Tracker'!$F$5:$F$149,"Next week",'Session Tracker'!$G$5:$G$149,"Thu"),$D350*SUMIFS('Session Tracker'!$J$5:$J$149,'Session Tracker'!$D$5:$D$149,$A350,'Session Tracker'!$F$5:$F$149,"Next week",'Session Tracker'!$G$5:$G$149,"Thu"))</f>
        <v>0</v>
      </c>
      <c r="L350" s="52" t="n">
        <f aca="false">IF($E350="Per class",$D350*COUNTIFS('Session Tracker'!$D$5:$D$149,$A350,'Session Tracker'!$F$5:$F$149,"Next week",'Session Tracker'!$G$5:$G$149,"Fri"),$D350*SUMIFS('Session Tracker'!$J$5:$J$149,'Session Tracker'!$D$5:$D$149,$A350,'Session Tracker'!$F$5:$F$149,"Next week",'Session Tracker'!$G$5:$G$149,"Fri"))</f>
        <v>0</v>
      </c>
      <c r="M350" s="52" t="n">
        <f aca="false">IF($E350="Per class",$D350*COUNTIFS('Session Tracker'!$D$5:$D$149,$A350,'Session Tracker'!$F$5:$F$149,"Next week",'Session Tracker'!$G$5:$G$149,""),$D350*SUMIFS('Session Tracker'!$J$5:$J$149,'Session Tracker'!$D$5:$D$149,$A350,'Session Tracker'!$F$5:$F$149,"Next week",'Session Tracker'!$G$5:$G$149,""))</f>
        <v>0</v>
      </c>
    </row>
    <row r="351" customFormat="false" ht="15" hidden="false" customHeight="false" outlineLevel="0" collapsed="false">
      <c r="A351" s="53" t="s">
        <v>200</v>
      </c>
      <c r="B351" s="54"/>
      <c r="C351" s="54"/>
      <c r="D351" s="54"/>
      <c r="E351" s="54"/>
      <c r="F351" s="54"/>
      <c r="G351" s="54"/>
      <c r="H351" s="52" t="n">
        <f aca="false">IF($E351="Per class",$D351*COUNTIFS('Session Tracker'!$D$5:$D$149,$A351,'Session Tracker'!$F$5:$F$149,"Next week",'Session Tracker'!$G$5:$G$149,"Mon"),$D351*SUMIFS('Session Tracker'!$J$5:$J$149,'Session Tracker'!$D$5:$D$149,$A351,'Session Tracker'!$F$5:$F$149,"Next week",'Session Tracker'!$G$5:$G$149,"Mon"))</f>
        <v>0</v>
      </c>
      <c r="I351" s="52" t="n">
        <f aca="false">IF($E351="Per class",$D351*COUNTIFS('Session Tracker'!$D$5:$D$149,$A351,'Session Tracker'!$F$5:$F$149,"Next week",'Session Tracker'!$G$5:$G$149,"Tue"),$D351*SUMIFS('Session Tracker'!$J$5:$J$149,'Session Tracker'!$D$5:$D$149,$A351,'Session Tracker'!$F$5:$F$149,"Next week",'Session Tracker'!$G$5:$G$149,"Tue"))</f>
        <v>0</v>
      </c>
      <c r="J351" s="52" t="n">
        <f aca="false">IF($E351="Per class",$D351*COUNTIFS('Session Tracker'!$D$5:$D$149,$A351,'Session Tracker'!$F$5:$F$149,"Next week",'Session Tracker'!$G$5:$G$149,"Wed"),$D351*SUMIFS('Session Tracker'!$J$5:$J$149,'Session Tracker'!$D$5:$D$149,$A351,'Session Tracker'!$F$5:$F$149,"Next week",'Session Tracker'!$G$5:$G$149,"Wed"))</f>
        <v>0</v>
      </c>
      <c r="K351" s="52" t="n">
        <f aca="false">IF($E351="Per class",$D351*COUNTIFS('Session Tracker'!$D$5:$D$149,$A351,'Session Tracker'!$F$5:$F$149,"Next week",'Session Tracker'!$G$5:$G$149,"Thu"),$D351*SUMIFS('Session Tracker'!$J$5:$J$149,'Session Tracker'!$D$5:$D$149,$A351,'Session Tracker'!$F$5:$F$149,"Next week",'Session Tracker'!$G$5:$G$149,"Thu"))</f>
        <v>0</v>
      </c>
      <c r="L351" s="52" t="n">
        <f aca="false">IF($E351="Per class",$D351*COUNTIFS('Session Tracker'!$D$5:$D$149,$A351,'Session Tracker'!$F$5:$F$149,"Next week",'Session Tracker'!$G$5:$G$149,"Fri"),$D351*SUMIFS('Session Tracker'!$J$5:$J$149,'Session Tracker'!$D$5:$D$149,$A351,'Session Tracker'!$F$5:$F$149,"Next week",'Session Tracker'!$G$5:$G$149,"Fri"))</f>
        <v>0</v>
      </c>
      <c r="M351" s="52" t="n">
        <f aca="false">IF($E351="Per class",$D351*COUNTIFS('Session Tracker'!$D$5:$D$149,$A351,'Session Tracker'!$F$5:$F$149,"Next week",'Session Tracker'!$G$5:$G$149,""),$D351*SUMIFS('Session Tracker'!$J$5:$J$149,'Session Tracker'!$D$5:$D$149,$A351,'Session Tracker'!$F$5:$F$149,"Next week",'Session Tracker'!$G$5:$G$149,""))</f>
        <v>0</v>
      </c>
    </row>
    <row r="353" customFormat="false" ht="19.5" hidden="false" customHeight="true" outlineLevel="0" collapsed="false">
      <c r="A353" s="57" t="s">
        <v>202</v>
      </c>
      <c r="B353" s="58" t="s">
        <v>570</v>
      </c>
      <c r="C353" s="58"/>
      <c r="D353" s="58"/>
      <c r="E353" s="58"/>
      <c r="F353" s="59" t="str">
        <f aca="false">"Status: "&amp;'Session Tracker'!F69&amp;IF('Session Tracker'!G69&lt;&gt;""," ("&amp;'Session Tracker'!G69&amp;")","")</f>
        <v>Status: Not started</v>
      </c>
      <c r="G353" s="59"/>
      <c r="H353" s="60"/>
      <c r="I353" s="60"/>
      <c r="J353" s="60"/>
      <c r="K353" s="60"/>
      <c r="L353" s="60"/>
      <c r="M353" s="60"/>
    </row>
    <row r="354" customFormat="false" ht="15" hidden="false" customHeight="false" outlineLevel="0" collapsed="false">
      <c r="A354" s="61" t="s">
        <v>202</v>
      </c>
      <c r="B354" s="34" t="s">
        <v>382</v>
      </c>
      <c r="C354" s="34" t="s">
        <v>383</v>
      </c>
      <c r="D354" s="32" t="n">
        <v>1</v>
      </c>
      <c r="E354" s="32" t="s">
        <v>14</v>
      </c>
      <c r="F354" s="32" t="s">
        <v>368</v>
      </c>
      <c r="G354" s="34"/>
      <c r="H354" s="52" t="n">
        <f aca="false">IF($E354="Per class",$D354*COUNTIFS('Session Tracker'!$D$5:$D$149,$A354,'Session Tracker'!$F$5:$F$149,"Next week",'Session Tracker'!$G$5:$G$149,"Mon"),$D354*SUMIFS('Session Tracker'!$J$5:$J$149,'Session Tracker'!$D$5:$D$149,$A354,'Session Tracker'!$F$5:$F$149,"Next week",'Session Tracker'!$G$5:$G$149,"Mon"))</f>
        <v>0</v>
      </c>
      <c r="I354" s="52" t="n">
        <f aca="false">IF($E354="Per class",$D354*COUNTIFS('Session Tracker'!$D$5:$D$149,$A354,'Session Tracker'!$F$5:$F$149,"Next week",'Session Tracker'!$G$5:$G$149,"Tue"),$D354*SUMIFS('Session Tracker'!$J$5:$J$149,'Session Tracker'!$D$5:$D$149,$A354,'Session Tracker'!$F$5:$F$149,"Next week",'Session Tracker'!$G$5:$G$149,"Tue"))</f>
        <v>0</v>
      </c>
      <c r="J354" s="52" t="n">
        <f aca="false">IF($E354="Per class",$D354*COUNTIFS('Session Tracker'!$D$5:$D$149,$A354,'Session Tracker'!$F$5:$F$149,"Next week",'Session Tracker'!$G$5:$G$149,"Wed"),$D354*SUMIFS('Session Tracker'!$J$5:$J$149,'Session Tracker'!$D$5:$D$149,$A354,'Session Tracker'!$F$5:$F$149,"Next week",'Session Tracker'!$G$5:$G$149,"Wed"))</f>
        <v>0</v>
      </c>
      <c r="K354" s="52" t="n">
        <f aca="false">IF($E354="Per class",$D354*COUNTIFS('Session Tracker'!$D$5:$D$149,$A354,'Session Tracker'!$F$5:$F$149,"Next week",'Session Tracker'!$G$5:$G$149,"Thu"),$D354*SUMIFS('Session Tracker'!$J$5:$J$149,'Session Tracker'!$D$5:$D$149,$A354,'Session Tracker'!$F$5:$F$149,"Next week",'Session Tracker'!$G$5:$G$149,"Thu"))</f>
        <v>0</v>
      </c>
      <c r="L354" s="52" t="n">
        <f aca="false">IF($E354="Per class",$D354*COUNTIFS('Session Tracker'!$D$5:$D$149,$A354,'Session Tracker'!$F$5:$F$149,"Next week",'Session Tracker'!$G$5:$G$149,"Fri"),$D354*SUMIFS('Session Tracker'!$J$5:$J$149,'Session Tracker'!$D$5:$D$149,$A354,'Session Tracker'!$F$5:$F$149,"Next week",'Session Tracker'!$G$5:$G$149,"Fri"))</f>
        <v>0</v>
      </c>
      <c r="M354" s="52" t="n">
        <f aca="false">IF($E354="Per class",$D354*COUNTIFS('Session Tracker'!$D$5:$D$149,$A354,'Session Tracker'!$F$5:$F$149,"Next week",'Session Tracker'!$G$5:$G$149,""),$D354*SUMIFS('Session Tracker'!$J$5:$J$149,'Session Tracker'!$D$5:$D$149,$A354,'Session Tracker'!$F$5:$F$149,"Next week",'Session Tracker'!$G$5:$G$149,""))</f>
        <v>0</v>
      </c>
    </row>
    <row r="355" customFormat="false" ht="15" hidden="false" customHeight="false" outlineLevel="0" collapsed="false">
      <c r="A355" s="53" t="s">
        <v>202</v>
      </c>
      <c r="B355" s="54"/>
      <c r="C355" s="54"/>
      <c r="D355" s="54"/>
      <c r="E355" s="54"/>
      <c r="F355" s="54"/>
      <c r="G355" s="54"/>
      <c r="H355" s="52" t="n">
        <f aca="false">IF($E355="Per class",$D355*COUNTIFS('Session Tracker'!$D$5:$D$149,$A355,'Session Tracker'!$F$5:$F$149,"Next week",'Session Tracker'!$G$5:$G$149,"Mon"),$D355*SUMIFS('Session Tracker'!$J$5:$J$149,'Session Tracker'!$D$5:$D$149,$A355,'Session Tracker'!$F$5:$F$149,"Next week",'Session Tracker'!$G$5:$G$149,"Mon"))</f>
        <v>0</v>
      </c>
      <c r="I355" s="52" t="n">
        <f aca="false">IF($E355="Per class",$D355*COUNTIFS('Session Tracker'!$D$5:$D$149,$A355,'Session Tracker'!$F$5:$F$149,"Next week",'Session Tracker'!$G$5:$G$149,"Tue"),$D355*SUMIFS('Session Tracker'!$J$5:$J$149,'Session Tracker'!$D$5:$D$149,$A355,'Session Tracker'!$F$5:$F$149,"Next week",'Session Tracker'!$G$5:$G$149,"Tue"))</f>
        <v>0</v>
      </c>
      <c r="J355" s="52" t="n">
        <f aca="false">IF($E355="Per class",$D355*COUNTIFS('Session Tracker'!$D$5:$D$149,$A355,'Session Tracker'!$F$5:$F$149,"Next week",'Session Tracker'!$G$5:$G$149,"Wed"),$D355*SUMIFS('Session Tracker'!$J$5:$J$149,'Session Tracker'!$D$5:$D$149,$A355,'Session Tracker'!$F$5:$F$149,"Next week",'Session Tracker'!$G$5:$G$149,"Wed"))</f>
        <v>0</v>
      </c>
      <c r="K355" s="52" t="n">
        <f aca="false">IF($E355="Per class",$D355*COUNTIFS('Session Tracker'!$D$5:$D$149,$A355,'Session Tracker'!$F$5:$F$149,"Next week",'Session Tracker'!$G$5:$G$149,"Thu"),$D355*SUMIFS('Session Tracker'!$J$5:$J$149,'Session Tracker'!$D$5:$D$149,$A355,'Session Tracker'!$F$5:$F$149,"Next week",'Session Tracker'!$G$5:$G$149,"Thu"))</f>
        <v>0</v>
      </c>
      <c r="L355" s="52" t="n">
        <f aca="false">IF($E355="Per class",$D355*COUNTIFS('Session Tracker'!$D$5:$D$149,$A355,'Session Tracker'!$F$5:$F$149,"Next week",'Session Tracker'!$G$5:$G$149,"Fri"),$D355*SUMIFS('Session Tracker'!$J$5:$J$149,'Session Tracker'!$D$5:$D$149,$A355,'Session Tracker'!$F$5:$F$149,"Next week",'Session Tracker'!$G$5:$G$149,"Fri"))</f>
        <v>0</v>
      </c>
      <c r="M355" s="52" t="n">
        <f aca="false">IF($E355="Per class",$D355*COUNTIFS('Session Tracker'!$D$5:$D$149,$A355,'Session Tracker'!$F$5:$F$149,"Next week",'Session Tracker'!$G$5:$G$149,""),$D355*SUMIFS('Session Tracker'!$J$5:$J$149,'Session Tracker'!$D$5:$D$149,$A355,'Session Tracker'!$F$5:$F$149,"Next week",'Session Tracker'!$G$5:$G$149,""))</f>
        <v>0</v>
      </c>
    </row>
    <row r="356" customFormat="false" ht="15" hidden="false" customHeight="false" outlineLevel="0" collapsed="false">
      <c r="A356" s="53" t="s">
        <v>202</v>
      </c>
      <c r="B356" s="54"/>
      <c r="C356" s="54"/>
      <c r="D356" s="54"/>
      <c r="E356" s="54"/>
      <c r="F356" s="54"/>
      <c r="G356" s="54"/>
      <c r="H356" s="52" t="n">
        <f aca="false">IF($E356="Per class",$D356*COUNTIFS('Session Tracker'!$D$5:$D$149,$A356,'Session Tracker'!$F$5:$F$149,"Next week",'Session Tracker'!$G$5:$G$149,"Mon"),$D356*SUMIFS('Session Tracker'!$J$5:$J$149,'Session Tracker'!$D$5:$D$149,$A356,'Session Tracker'!$F$5:$F$149,"Next week",'Session Tracker'!$G$5:$G$149,"Mon"))</f>
        <v>0</v>
      </c>
      <c r="I356" s="52" t="n">
        <f aca="false">IF($E356="Per class",$D356*COUNTIFS('Session Tracker'!$D$5:$D$149,$A356,'Session Tracker'!$F$5:$F$149,"Next week",'Session Tracker'!$G$5:$G$149,"Tue"),$D356*SUMIFS('Session Tracker'!$J$5:$J$149,'Session Tracker'!$D$5:$D$149,$A356,'Session Tracker'!$F$5:$F$149,"Next week",'Session Tracker'!$G$5:$G$149,"Tue"))</f>
        <v>0</v>
      </c>
      <c r="J356" s="52" t="n">
        <f aca="false">IF($E356="Per class",$D356*COUNTIFS('Session Tracker'!$D$5:$D$149,$A356,'Session Tracker'!$F$5:$F$149,"Next week",'Session Tracker'!$G$5:$G$149,"Wed"),$D356*SUMIFS('Session Tracker'!$J$5:$J$149,'Session Tracker'!$D$5:$D$149,$A356,'Session Tracker'!$F$5:$F$149,"Next week",'Session Tracker'!$G$5:$G$149,"Wed"))</f>
        <v>0</v>
      </c>
      <c r="K356" s="52" t="n">
        <f aca="false">IF($E356="Per class",$D356*COUNTIFS('Session Tracker'!$D$5:$D$149,$A356,'Session Tracker'!$F$5:$F$149,"Next week",'Session Tracker'!$G$5:$G$149,"Thu"),$D356*SUMIFS('Session Tracker'!$J$5:$J$149,'Session Tracker'!$D$5:$D$149,$A356,'Session Tracker'!$F$5:$F$149,"Next week",'Session Tracker'!$G$5:$G$149,"Thu"))</f>
        <v>0</v>
      </c>
      <c r="L356" s="52" t="n">
        <f aca="false">IF($E356="Per class",$D356*COUNTIFS('Session Tracker'!$D$5:$D$149,$A356,'Session Tracker'!$F$5:$F$149,"Next week",'Session Tracker'!$G$5:$G$149,"Fri"),$D356*SUMIFS('Session Tracker'!$J$5:$J$149,'Session Tracker'!$D$5:$D$149,$A356,'Session Tracker'!$F$5:$F$149,"Next week",'Session Tracker'!$G$5:$G$149,"Fri"))</f>
        <v>0</v>
      </c>
      <c r="M356" s="52" t="n">
        <f aca="false">IF($E356="Per class",$D356*COUNTIFS('Session Tracker'!$D$5:$D$149,$A356,'Session Tracker'!$F$5:$F$149,"Next week",'Session Tracker'!$G$5:$G$149,""),$D356*SUMIFS('Session Tracker'!$J$5:$J$149,'Session Tracker'!$D$5:$D$149,$A356,'Session Tracker'!$F$5:$F$149,"Next week",'Session Tracker'!$G$5:$G$149,""))</f>
        <v>0</v>
      </c>
    </row>
    <row r="358" customFormat="false" ht="19.5" hidden="false" customHeight="true" outlineLevel="0" collapsed="false">
      <c r="A358" s="57" t="s">
        <v>204</v>
      </c>
      <c r="B358" s="58" t="s">
        <v>571</v>
      </c>
      <c r="C358" s="58"/>
      <c r="D358" s="58"/>
      <c r="E358" s="58"/>
      <c r="F358" s="59" t="str">
        <f aca="false">"Status: "&amp;'Session Tracker'!F70&amp;IF('Session Tracker'!G70&lt;&gt;""," ("&amp;'Session Tracker'!G70&amp;")","")</f>
        <v>Status: Not started</v>
      </c>
      <c r="G358" s="59"/>
      <c r="H358" s="60"/>
      <c r="I358" s="60"/>
      <c r="J358" s="60"/>
      <c r="K358" s="60"/>
      <c r="L358" s="60"/>
      <c r="M358" s="60"/>
    </row>
    <row r="359" customFormat="false" ht="23.85" hidden="false" customHeight="false" outlineLevel="0" collapsed="false">
      <c r="A359" s="61" t="s">
        <v>204</v>
      </c>
      <c r="B359" s="34" t="s">
        <v>366</v>
      </c>
      <c r="C359" s="34" t="s">
        <v>367</v>
      </c>
      <c r="D359" s="32" t="n">
        <v>1</v>
      </c>
      <c r="E359" s="32" t="s">
        <v>14</v>
      </c>
      <c r="F359" s="32" t="s">
        <v>368</v>
      </c>
      <c r="G359" s="34"/>
      <c r="H359" s="52" t="n">
        <f aca="false">IF($E359="Per class",$D359*COUNTIFS('Session Tracker'!$D$5:$D$149,$A359,'Session Tracker'!$F$5:$F$149,"Next week",'Session Tracker'!$G$5:$G$149,"Mon"),$D359*SUMIFS('Session Tracker'!$J$5:$J$149,'Session Tracker'!$D$5:$D$149,$A359,'Session Tracker'!$F$5:$F$149,"Next week",'Session Tracker'!$G$5:$G$149,"Mon"))</f>
        <v>0</v>
      </c>
      <c r="I359" s="52" t="n">
        <f aca="false">IF($E359="Per class",$D359*COUNTIFS('Session Tracker'!$D$5:$D$149,$A359,'Session Tracker'!$F$5:$F$149,"Next week",'Session Tracker'!$G$5:$G$149,"Tue"),$D359*SUMIFS('Session Tracker'!$J$5:$J$149,'Session Tracker'!$D$5:$D$149,$A359,'Session Tracker'!$F$5:$F$149,"Next week",'Session Tracker'!$G$5:$G$149,"Tue"))</f>
        <v>0</v>
      </c>
      <c r="J359" s="52" t="n">
        <f aca="false">IF($E359="Per class",$D359*COUNTIFS('Session Tracker'!$D$5:$D$149,$A359,'Session Tracker'!$F$5:$F$149,"Next week",'Session Tracker'!$G$5:$G$149,"Wed"),$D359*SUMIFS('Session Tracker'!$J$5:$J$149,'Session Tracker'!$D$5:$D$149,$A359,'Session Tracker'!$F$5:$F$149,"Next week",'Session Tracker'!$G$5:$G$149,"Wed"))</f>
        <v>0</v>
      </c>
      <c r="K359" s="52" t="n">
        <f aca="false">IF($E359="Per class",$D359*COUNTIFS('Session Tracker'!$D$5:$D$149,$A359,'Session Tracker'!$F$5:$F$149,"Next week",'Session Tracker'!$G$5:$G$149,"Thu"),$D359*SUMIFS('Session Tracker'!$J$5:$J$149,'Session Tracker'!$D$5:$D$149,$A359,'Session Tracker'!$F$5:$F$149,"Next week",'Session Tracker'!$G$5:$G$149,"Thu"))</f>
        <v>0</v>
      </c>
      <c r="L359" s="52" t="n">
        <f aca="false">IF($E359="Per class",$D359*COUNTIFS('Session Tracker'!$D$5:$D$149,$A359,'Session Tracker'!$F$5:$F$149,"Next week",'Session Tracker'!$G$5:$G$149,"Fri"),$D359*SUMIFS('Session Tracker'!$J$5:$J$149,'Session Tracker'!$D$5:$D$149,$A359,'Session Tracker'!$F$5:$F$149,"Next week",'Session Tracker'!$G$5:$G$149,"Fri"))</f>
        <v>0</v>
      </c>
      <c r="M359" s="52" t="n">
        <f aca="false">IF($E359="Per class",$D359*COUNTIFS('Session Tracker'!$D$5:$D$149,$A359,'Session Tracker'!$F$5:$F$149,"Next week",'Session Tracker'!$G$5:$G$149,""),$D359*SUMIFS('Session Tracker'!$J$5:$J$149,'Session Tracker'!$D$5:$D$149,$A359,'Session Tracker'!$F$5:$F$149,"Next week",'Session Tracker'!$G$5:$G$149,""))</f>
        <v>0</v>
      </c>
    </row>
    <row r="360" customFormat="false" ht="15" hidden="false" customHeight="false" outlineLevel="0" collapsed="false">
      <c r="A360" s="61" t="s">
        <v>204</v>
      </c>
      <c r="B360" s="34" t="s">
        <v>369</v>
      </c>
      <c r="C360" s="34" t="s">
        <v>543</v>
      </c>
      <c r="D360" s="32" t="n">
        <v>2</v>
      </c>
      <c r="E360" s="32" t="s">
        <v>14</v>
      </c>
      <c r="F360" s="32" t="s">
        <v>368</v>
      </c>
      <c r="G360" s="34"/>
      <c r="H360" s="52" t="n">
        <f aca="false">IF($E360="Per class",$D360*COUNTIFS('Session Tracker'!$D$5:$D$149,$A360,'Session Tracker'!$F$5:$F$149,"Next week",'Session Tracker'!$G$5:$G$149,"Mon"),$D360*SUMIFS('Session Tracker'!$J$5:$J$149,'Session Tracker'!$D$5:$D$149,$A360,'Session Tracker'!$F$5:$F$149,"Next week",'Session Tracker'!$G$5:$G$149,"Mon"))</f>
        <v>0</v>
      </c>
      <c r="I360" s="52" t="n">
        <f aca="false">IF($E360="Per class",$D360*COUNTIFS('Session Tracker'!$D$5:$D$149,$A360,'Session Tracker'!$F$5:$F$149,"Next week",'Session Tracker'!$G$5:$G$149,"Tue"),$D360*SUMIFS('Session Tracker'!$J$5:$J$149,'Session Tracker'!$D$5:$D$149,$A360,'Session Tracker'!$F$5:$F$149,"Next week",'Session Tracker'!$G$5:$G$149,"Tue"))</f>
        <v>0</v>
      </c>
      <c r="J360" s="52" t="n">
        <f aca="false">IF($E360="Per class",$D360*COUNTIFS('Session Tracker'!$D$5:$D$149,$A360,'Session Tracker'!$F$5:$F$149,"Next week",'Session Tracker'!$G$5:$G$149,"Wed"),$D360*SUMIFS('Session Tracker'!$J$5:$J$149,'Session Tracker'!$D$5:$D$149,$A360,'Session Tracker'!$F$5:$F$149,"Next week",'Session Tracker'!$G$5:$G$149,"Wed"))</f>
        <v>0</v>
      </c>
      <c r="K360" s="52" t="n">
        <f aca="false">IF($E360="Per class",$D360*COUNTIFS('Session Tracker'!$D$5:$D$149,$A360,'Session Tracker'!$F$5:$F$149,"Next week",'Session Tracker'!$G$5:$G$149,"Thu"),$D360*SUMIFS('Session Tracker'!$J$5:$J$149,'Session Tracker'!$D$5:$D$149,$A360,'Session Tracker'!$F$5:$F$149,"Next week",'Session Tracker'!$G$5:$G$149,"Thu"))</f>
        <v>0</v>
      </c>
      <c r="L360" s="52" t="n">
        <f aca="false">IF($E360="Per class",$D360*COUNTIFS('Session Tracker'!$D$5:$D$149,$A360,'Session Tracker'!$F$5:$F$149,"Next week",'Session Tracker'!$G$5:$G$149,"Fri"),$D360*SUMIFS('Session Tracker'!$J$5:$J$149,'Session Tracker'!$D$5:$D$149,$A360,'Session Tracker'!$F$5:$F$149,"Next week",'Session Tracker'!$G$5:$G$149,"Fri"))</f>
        <v>0</v>
      </c>
      <c r="M360" s="52" t="n">
        <f aca="false">IF($E360="Per class",$D360*COUNTIFS('Session Tracker'!$D$5:$D$149,$A360,'Session Tracker'!$F$5:$F$149,"Next week",'Session Tracker'!$G$5:$G$149,""),$D360*SUMIFS('Session Tracker'!$J$5:$J$149,'Session Tracker'!$D$5:$D$149,$A360,'Session Tracker'!$F$5:$F$149,"Next week",'Session Tracker'!$G$5:$G$149,""))</f>
        <v>0</v>
      </c>
    </row>
    <row r="361" customFormat="false" ht="15" hidden="false" customHeight="false" outlineLevel="0" collapsed="false">
      <c r="A361" s="61" t="s">
        <v>204</v>
      </c>
      <c r="B361" s="34" t="s">
        <v>371</v>
      </c>
      <c r="C361" s="34" t="s">
        <v>372</v>
      </c>
      <c r="D361" s="32" t="n">
        <v>6</v>
      </c>
      <c r="E361" s="32" t="s">
        <v>14</v>
      </c>
      <c r="F361" s="32" t="s">
        <v>373</v>
      </c>
      <c r="G361" s="34" t="s">
        <v>572</v>
      </c>
      <c r="H361" s="52" t="n">
        <f aca="false">IF($E361="Per class",$D361*COUNTIFS('Session Tracker'!$D$5:$D$149,$A361,'Session Tracker'!$F$5:$F$149,"Next week",'Session Tracker'!$G$5:$G$149,"Mon"),$D361*SUMIFS('Session Tracker'!$J$5:$J$149,'Session Tracker'!$D$5:$D$149,$A361,'Session Tracker'!$F$5:$F$149,"Next week",'Session Tracker'!$G$5:$G$149,"Mon"))</f>
        <v>0</v>
      </c>
      <c r="I361" s="52" t="n">
        <f aca="false">IF($E361="Per class",$D361*COUNTIFS('Session Tracker'!$D$5:$D$149,$A361,'Session Tracker'!$F$5:$F$149,"Next week",'Session Tracker'!$G$5:$G$149,"Tue"),$D361*SUMIFS('Session Tracker'!$J$5:$J$149,'Session Tracker'!$D$5:$D$149,$A361,'Session Tracker'!$F$5:$F$149,"Next week",'Session Tracker'!$G$5:$G$149,"Tue"))</f>
        <v>0</v>
      </c>
      <c r="J361" s="52" t="n">
        <f aca="false">IF($E361="Per class",$D361*COUNTIFS('Session Tracker'!$D$5:$D$149,$A361,'Session Tracker'!$F$5:$F$149,"Next week",'Session Tracker'!$G$5:$G$149,"Wed"),$D361*SUMIFS('Session Tracker'!$J$5:$J$149,'Session Tracker'!$D$5:$D$149,$A361,'Session Tracker'!$F$5:$F$149,"Next week",'Session Tracker'!$G$5:$G$149,"Wed"))</f>
        <v>0</v>
      </c>
      <c r="K361" s="52" t="n">
        <f aca="false">IF($E361="Per class",$D361*COUNTIFS('Session Tracker'!$D$5:$D$149,$A361,'Session Tracker'!$F$5:$F$149,"Next week",'Session Tracker'!$G$5:$G$149,"Thu"),$D361*SUMIFS('Session Tracker'!$J$5:$J$149,'Session Tracker'!$D$5:$D$149,$A361,'Session Tracker'!$F$5:$F$149,"Next week",'Session Tracker'!$G$5:$G$149,"Thu"))</f>
        <v>0</v>
      </c>
      <c r="L361" s="52" t="n">
        <f aca="false">IF($E361="Per class",$D361*COUNTIFS('Session Tracker'!$D$5:$D$149,$A361,'Session Tracker'!$F$5:$F$149,"Next week",'Session Tracker'!$G$5:$G$149,"Fri"),$D361*SUMIFS('Session Tracker'!$J$5:$J$149,'Session Tracker'!$D$5:$D$149,$A361,'Session Tracker'!$F$5:$F$149,"Next week",'Session Tracker'!$G$5:$G$149,"Fri"))</f>
        <v>0</v>
      </c>
      <c r="M361" s="52" t="n">
        <f aca="false">IF($E361="Per class",$D361*COUNTIFS('Session Tracker'!$D$5:$D$149,$A361,'Session Tracker'!$F$5:$F$149,"Next week",'Session Tracker'!$G$5:$G$149,""),$D361*SUMIFS('Session Tracker'!$J$5:$J$149,'Session Tracker'!$D$5:$D$149,$A361,'Session Tracker'!$F$5:$F$149,"Next week",'Session Tracker'!$G$5:$G$149,""))</f>
        <v>0</v>
      </c>
    </row>
    <row r="362" customFormat="false" ht="15" hidden="false" customHeight="false" outlineLevel="0" collapsed="false">
      <c r="A362" s="61" t="s">
        <v>204</v>
      </c>
      <c r="B362" s="34" t="s">
        <v>375</v>
      </c>
      <c r="C362" s="34" t="s">
        <v>376</v>
      </c>
      <c r="D362" s="32" t="n">
        <v>6</v>
      </c>
      <c r="E362" s="32" t="s">
        <v>14</v>
      </c>
      <c r="F362" s="32" t="s">
        <v>373</v>
      </c>
      <c r="G362" s="34"/>
      <c r="H362" s="52" t="n">
        <f aca="false">IF($E362="Per class",$D362*COUNTIFS('Session Tracker'!$D$5:$D$149,$A362,'Session Tracker'!$F$5:$F$149,"Next week",'Session Tracker'!$G$5:$G$149,"Mon"),$D362*SUMIFS('Session Tracker'!$J$5:$J$149,'Session Tracker'!$D$5:$D$149,$A362,'Session Tracker'!$F$5:$F$149,"Next week",'Session Tracker'!$G$5:$G$149,"Mon"))</f>
        <v>0</v>
      </c>
      <c r="I362" s="52" t="n">
        <f aca="false">IF($E362="Per class",$D362*COUNTIFS('Session Tracker'!$D$5:$D$149,$A362,'Session Tracker'!$F$5:$F$149,"Next week",'Session Tracker'!$G$5:$G$149,"Tue"),$D362*SUMIFS('Session Tracker'!$J$5:$J$149,'Session Tracker'!$D$5:$D$149,$A362,'Session Tracker'!$F$5:$F$149,"Next week",'Session Tracker'!$G$5:$G$149,"Tue"))</f>
        <v>0</v>
      </c>
      <c r="J362" s="52" t="n">
        <f aca="false">IF($E362="Per class",$D362*COUNTIFS('Session Tracker'!$D$5:$D$149,$A362,'Session Tracker'!$F$5:$F$149,"Next week",'Session Tracker'!$G$5:$G$149,"Wed"),$D362*SUMIFS('Session Tracker'!$J$5:$J$149,'Session Tracker'!$D$5:$D$149,$A362,'Session Tracker'!$F$5:$F$149,"Next week",'Session Tracker'!$G$5:$G$149,"Wed"))</f>
        <v>0</v>
      </c>
      <c r="K362" s="52" t="n">
        <f aca="false">IF($E362="Per class",$D362*COUNTIFS('Session Tracker'!$D$5:$D$149,$A362,'Session Tracker'!$F$5:$F$149,"Next week",'Session Tracker'!$G$5:$G$149,"Thu"),$D362*SUMIFS('Session Tracker'!$J$5:$J$149,'Session Tracker'!$D$5:$D$149,$A362,'Session Tracker'!$F$5:$F$149,"Next week",'Session Tracker'!$G$5:$G$149,"Thu"))</f>
        <v>0</v>
      </c>
      <c r="L362" s="52" t="n">
        <f aca="false">IF($E362="Per class",$D362*COUNTIFS('Session Tracker'!$D$5:$D$149,$A362,'Session Tracker'!$F$5:$F$149,"Next week",'Session Tracker'!$G$5:$G$149,"Fri"),$D362*SUMIFS('Session Tracker'!$J$5:$J$149,'Session Tracker'!$D$5:$D$149,$A362,'Session Tracker'!$F$5:$F$149,"Next week",'Session Tracker'!$G$5:$G$149,"Fri"))</f>
        <v>0</v>
      </c>
      <c r="M362" s="52" t="n">
        <f aca="false">IF($E362="Per class",$D362*COUNTIFS('Session Tracker'!$D$5:$D$149,$A362,'Session Tracker'!$F$5:$F$149,"Next week",'Session Tracker'!$G$5:$G$149,""),$D362*SUMIFS('Session Tracker'!$J$5:$J$149,'Session Tracker'!$D$5:$D$149,$A362,'Session Tracker'!$F$5:$F$149,"Next week",'Session Tracker'!$G$5:$G$149,""))</f>
        <v>0</v>
      </c>
    </row>
    <row r="363" customFormat="false" ht="15" hidden="false" customHeight="false" outlineLevel="0" collapsed="false">
      <c r="A363" s="61" t="s">
        <v>204</v>
      </c>
      <c r="B363" s="34" t="s">
        <v>371</v>
      </c>
      <c r="C363" s="34" t="s">
        <v>517</v>
      </c>
      <c r="D363" s="32" t="n">
        <v>1</v>
      </c>
      <c r="E363" s="32" t="s">
        <v>14</v>
      </c>
      <c r="F363" s="32" t="s">
        <v>368</v>
      </c>
      <c r="G363" s="34"/>
      <c r="H363" s="52" t="n">
        <f aca="false">IF($E363="Per class",$D363*COUNTIFS('Session Tracker'!$D$5:$D$149,$A363,'Session Tracker'!$F$5:$F$149,"Next week",'Session Tracker'!$G$5:$G$149,"Mon"),$D363*SUMIFS('Session Tracker'!$J$5:$J$149,'Session Tracker'!$D$5:$D$149,$A363,'Session Tracker'!$F$5:$F$149,"Next week",'Session Tracker'!$G$5:$G$149,"Mon"))</f>
        <v>0</v>
      </c>
      <c r="I363" s="52" t="n">
        <f aca="false">IF($E363="Per class",$D363*COUNTIFS('Session Tracker'!$D$5:$D$149,$A363,'Session Tracker'!$F$5:$F$149,"Next week",'Session Tracker'!$G$5:$G$149,"Tue"),$D363*SUMIFS('Session Tracker'!$J$5:$J$149,'Session Tracker'!$D$5:$D$149,$A363,'Session Tracker'!$F$5:$F$149,"Next week",'Session Tracker'!$G$5:$G$149,"Tue"))</f>
        <v>0</v>
      </c>
      <c r="J363" s="52" t="n">
        <f aca="false">IF($E363="Per class",$D363*COUNTIFS('Session Tracker'!$D$5:$D$149,$A363,'Session Tracker'!$F$5:$F$149,"Next week",'Session Tracker'!$G$5:$G$149,"Wed"),$D363*SUMIFS('Session Tracker'!$J$5:$J$149,'Session Tracker'!$D$5:$D$149,$A363,'Session Tracker'!$F$5:$F$149,"Next week",'Session Tracker'!$G$5:$G$149,"Wed"))</f>
        <v>0</v>
      </c>
      <c r="K363" s="52" t="n">
        <f aca="false">IF($E363="Per class",$D363*COUNTIFS('Session Tracker'!$D$5:$D$149,$A363,'Session Tracker'!$F$5:$F$149,"Next week",'Session Tracker'!$G$5:$G$149,"Thu"),$D363*SUMIFS('Session Tracker'!$J$5:$J$149,'Session Tracker'!$D$5:$D$149,$A363,'Session Tracker'!$F$5:$F$149,"Next week",'Session Tracker'!$G$5:$G$149,"Thu"))</f>
        <v>0</v>
      </c>
      <c r="L363" s="52" t="n">
        <f aca="false">IF($E363="Per class",$D363*COUNTIFS('Session Tracker'!$D$5:$D$149,$A363,'Session Tracker'!$F$5:$F$149,"Next week",'Session Tracker'!$G$5:$G$149,"Fri"),$D363*SUMIFS('Session Tracker'!$J$5:$J$149,'Session Tracker'!$D$5:$D$149,$A363,'Session Tracker'!$F$5:$F$149,"Next week",'Session Tracker'!$G$5:$G$149,"Fri"))</f>
        <v>0</v>
      </c>
      <c r="M363" s="52" t="n">
        <f aca="false">IF($E363="Per class",$D363*COUNTIFS('Session Tracker'!$D$5:$D$149,$A363,'Session Tracker'!$F$5:$F$149,"Next week",'Session Tracker'!$G$5:$G$149,""),$D363*SUMIFS('Session Tracker'!$J$5:$J$149,'Session Tracker'!$D$5:$D$149,$A363,'Session Tracker'!$F$5:$F$149,"Next week",'Session Tracker'!$G$5:$G$149,""))</f>
        <v>0</v>
      </c>
    </row>
    <row r="364" customFormat="false" ht="15" hidden="false" customHeight="false" outlineLevel="0" collapsed="false">
      <c r="A364" s="61" t="s">
        <v>204</v>
      </c>
      <c r="B364" s="34" t="s">
        <v>411</v>
      </c>
      <c r="C364" s="34" t="s">
        <v>440</v>
      </c>
      <c r="D364" s="32" t="n">
        <v>1</v>
      </c>
      <c r="E364" s="32" t="s">
        <v>14</v>
      </c>
      <c r="F364" s="32" t="s">
        <v>373</v>
      </c>
      <c r="G364" s="34" t="s">
        <v>573</v>
      </c>
      <c r="H364" s="52" t="n">
        <f aca="false">IF($E364="Per class",$D364*COUNTIFS('Session Tracker'!$D$5:$D$149,$A364,'Session Tracker'!$F$5:$F$149,"Next week",'Session Tracker'!$G$5:$G$149,"Mon"),$D364*SUMIFS('Session Tracker'!$J$5:$J$149,'Session Tracker'!$D$5:$D$149,$A364,'Session Tracker'!$F$5:$F$149,"Next week",'Session Tracker'!$G$5:$G$149,"Mon"))</f>
        <v>0</v>
      </c>
      <c r="I364" s="52" t="n">
        <f aca="false">IF($E364="Per class",$D364*COUNTIFS('Session Tracker'!$D$5:$D$149,$A364,'Session Tracker'!$F$5:$F$149,"Next week",'Session Tracker'!$G$5:$G$149,"Tue"),$D364*SUMIFS('Session Tracker'!$J$5:$J$149,'Session Tracker'!$D$5:$D$149,$A364,'Session Tracker'!$F$5:$F$149,"Next week",'Session Tracker'!$G$5:$G$149,"Tue"))</f>
        <v>0</v>
      </c>
      <c r="J364" s="52" t="n">
        <f aca="false">IF($E364="Per class",$D364*COUNTIFS('Session Tracker'!$D$5:$D$149,$A364,'Session Tracker'!$F$5:$F$149,"Next week",'Session Tracker'!$G$5:$G$149,"Wed"),$D364*SUMIFS('Session Tracker'!$J$5:$J$149,'Session Tracker'!$D$5:$D$149,$A364,'Session Tracker'!$F$5:$F$149,"Next week",'Session Tracker'!$G$5:$G$149,"Wed"))</f>
        <v>0</v>
      </c>
      <c r="K364" s="52" t="n">
        <f aca="false">IF($E364="Per class",$D364*COUNTIFS('Session Tracker'!$D$5:$D$149,$A364,'Session Tracker'!$F$5:$F$149,"Next week",'Session Tracker'!$G$5:$G$149,"Thu"),$D364*SUMIFS('Session Tracker'!$J$5:$J$149,'Session Tracker'!$D$5:$D$149,$A364,'Session Tracker'!$F$5:$F$149,"Next week",'Session Tracker'!$G$5:$G$149,"Thu"))</f>
        <v>0</v>
      </c>
      <c r="L364" s="52" t="n">
        <f aca="false">IF($E364="Per class",$D364*COUNTIFS('Session Tracker'!$D$5:$D$149,$A364,'Session Tracker'!$F$5:$F$149,"Next week",'Session Tracker'!$G$5:$G$149,"Fri"),$D364*SUMIFS('Session Tracker'!$J$5:$J$149,'Session Tracker'!$D$5:$D$149,$A364,'Session Tracker'!$F$5:$F$149,"Next week",'Session Tracker'!$G$5:$G$149,"Fri"))</f>
        <v>0</v>
      </c>
      <c r="M364" s="52" t="n">
        <f aca="false">IF($E364="Per class",$D364*COUNTIFS('Session Tracker'!$D$5:$D$149,$A364,'Session Tracker'!$F$5:$F$149,"Next week",'Session Tracker'!$G$5:$G$149,""),$D364*SUMIFS('Session Tracker'!$J$5:$J$149,'Session Tracker'!$D$5:$D$149,$A364,'Session Tracker'!$F$5:$F$149,"Next week",'Session Tracker'!$G$5:$G$149,""))</f>
        <v>0</v>
      </c>
    </row>
    <row r="365" customFormat="false" ht="15" hidden="false" customHeight="false" outlineLevel="0" collapsed="false">
      <c r="A365" s="61" t="s">
        <v>204</v>
      </c>
      <c r="B365" s="34" t="s">
        <v>379</v>
      </c>
      <c r="C365" s="34" t="s">
        <v>380</v>
      </c>
      <c r="D365" s="32" t="n">
        <v>1</v>
      </c>
      <c r="E365" s="32" t="s">
        <v>14</v>
      </c>
      <c r="F365" s="32" t="s">
        <v>368</v>
      </c>
      <c r="G365" s="34"/>
      <c r="H365" s="52" t="n">
        <f aca="false">IF($E365="Per class",$D365*COUNTIFS('Session Tracker'!$D$5:$D$149,$A365,'Session Tracker'!$F$5:$F$149,"Next week",'Session Tracker'!$G$5:$G$149,"Mon"),$D365*SUMIFS('Session Tracker'!$J$5:$J$149,'Session Tracker'!$D$5:$D$149,$A365,'Session Tracker'!$F$5:$F$149,"Next week",'Session Tracker'!$G$5:$G$149,"Mon"))</f>
        <v>0</v>
      </c>
      <c r="I365" s="52" t="n">
        <f aca="false">IF($E365="Per class",$D365*COUNTIFS('Session Tracker'!$D$5:$D$149,$A365,'Session Tracker'!$F$5:$F$149,"Next week",'Session Tracker'!$G$5:$G$149,"Tue"),$D365*SUMIFS('Session Tracker'!$J$5:$J$149,'Session Tracker'!$D$5:$D$149,$A365,'Session Tracker'!$F$5:$F$149,"Next week",'Session Tracker'!$G$5:$G$149,"Tue"))</f>
        <v>0</v>
      </c>
      <c r="J365" s="52" t="n">
        <f aca="false">IF($E365="Per class",$D365*COUNTIFS('Session Tracker'!$D$5:$D$149,$A365,'Session Tracker'!$F$5:$F$149,"Next week",'Session Tracker'!$G$5:$G$149,"Wed"),$D365*SUMIFS('Session Tracker'!$J$5:$J$149,'Session Tracker'!$D$5:$D$149,$A365,'Session Tracker'!$F$5:$F$149,"Next week",'Session Tracker'!$G$5:$G$149,"Wed"))</f>
        <v>0</v>
      </c>
      <c r="K365" s="52" t="n">
        <f aca="false">IF($E365="Per class",$D365*COUNTIFS('Session Tracker'!$D$5:$D$149,$A365,'Session Tracker'!$F$5:$F$149,"Next week",'Session Tracker'!$G$5:$G$149,"Thu"),$D365*SUMIFS('Session Tracker'!$J$5:$J$149,'Session Tracker'!$D$5:$D$149,$A365,'Session Tracker'!$F$5:$F$149,"Next week",'Session Tracker'!$G$5:$G$149,"Thu"))</f>
        <v>0</v>
      </c>
      <c r="L365" s="52" t="n">
        <f aca="false">IF($E365="Per class",$D365*COUNTIFS('Session Tracker'!$D$5:$D$149,$A365,'Session Tracker'!$F$5:$F$149,"Next week",'Session Tracker'!$G$5:$G$149,"Fri"),$D365*SUMIFS('Session Tracker'!$J$5:$J$149,'Session Tracker'!$D$5:$D$149,$A365,'Session Tracker'!$F$5:$F$149,"Next week",'Session Tracker'!$G$5:$G$149,"Fri"))</f>
        <v>0</v>
      </c>
      <c r="M365" s="52" t="n">
        <f aca="false">IF($E365="Per class",$D365*COUNTIFS('Session Tracker'!$D$5:$D$149,$A365,'Session Tracker'!$F$5:$F$149,"Next week",'Session Tracker'!$G$5:$G$149,""),$D365*SUMIFS('Session Tracker'!$J$5:$J$149,'Session Tracker'!$D$5:$D$149,$A365,'Session Tracker'!$F$5:$F$149,"Next week",'Session Tracker'!$G$5:$G$149,""))</f>
        <v>0</v>
      </c>
    </row>
    <row r="366" customFormat="false" ht="15" hidden="false" customHeight="false" outlineLevel="0" collapsed="false">
      <c r="A366" s="61" t="s">
        <v>204</v>
      </c>
      <c r="B366" s="34" t="s">
        <v>379</v>
      </c>
      <c r="C366" s="34" t="s">
        <v>381</v>
      </c>
      <c r="D366" s="32" t="n">
        <v>16</v>
      </c>
      <c r="E366" s="32" t="s">
        <v>14</v>
      </c>
      <c r="F366" s="32" t="s">
        <v>368</v>
      </c>
      <c r="G366" s="34"/>
      <c r="H366" s="52" t="n">
        <f aca="false">IF($E366="Per class",$D366*COUNTIFS('Session Tracker'!$D$5:$D$149,$A366,'Session Tracker'!$F$5:$F$149,"Next week",'Session Tracker'!$G$5:$G$149,"Mon"),$D366*SUMIFS('Session Tracker'!$J$5:$J$149,'Session Tracker'!$D$5:$D$149,$A366,'Session Tracker'!$F$5:$F$149,"Next week",'Session Tracker'!$G$5:$G$149,"Mon"))</f>
        <v>0</v>
      </c>
      <c r="I366" s="52" t="n">
        <f aca="false">IF($E366="Per class",$D366*COUNTIFS('Session Tracker'!$D$5:$D$149,$A366,'Session Tracker'!$F$5:$F$149,"Next week",'Session Tracker'!$G$5:$G$149,"Tue"),$D366*SUMIFS('Session Tracker'!$J$5:$J$149,'Session Tracker'!$D$5:$D$149,$A366,'Session Tracker'!$F$5:$F$149,"Next week",'Session Tracker'!$G$5:$G$149,"Tue"))</f>
        <v>0</v>
      </c>
      <c r="J366" s="52" t="n">
        <f aca="false">IF($E366="Per class",$D366*COUNTIFS('Session Tracker'!$D$5:$D$149,$A366,'Session Tracker'!$F$5:$F$149,"Next week",'Session Tracker'!$G$5:$G$149,"Wed"),$D366*SUMIFS('Session Tracker'!$J$5:$J$149,'Session Tracker'!$D$5:$D$149,$A366,'Session Tracker'!$F$5:$F$149,"Next week",'Session Tracker'!$G$5:$G$149,"Wed"))</f>
        <v>0</v>
      </c>
      <c r="K366" s="52" t="n">
        <f aca="false">IF($E366="Per class",$D366*COUNTIFS('Session Tracker'!$D$5:$D$149,$A366,'Session Tracker'!$F$5:$F$149,"Next week",'Session Tracker'!$G$5:$G$149,"Thu"),$D366*SUMIFS('Session Tracker'!$J$5:$J$149,'Session Tracker'!$D$5:$D$149,$A366,'Session Tracker'!$F$5:$F$149,"Next week",'Session Tracker'!$G$5:$G$149,"Thu"))</f>
        <v>0</v>
      </c>
      <c r="L366" s="52" t="n">
        <f aca="false">IF($E366="Per class",$D366*COUNTIFS('Session Tracker'!$D$5:$D$149,$A366,'Session Tracker'!$F$5:$F$149,"Next week",'Session Tracker'!$G$5:$G$149,"Fri"),$D366*SUMIFS('Session Tracker'!$J$5:$J$149,'Session Tracker'!$D$5:$D$149,$A366,'Session Tracker'!$F$5:$F$149,"Next week",'Session Tracker'!$G$5:$G$149,"Fri"))</f>
        <v>0</v>
      </c>
      <c r="M366" s="52" t="n">
        <f aca="false">IF($E366="Per class",$D366*COUNTIFS('Session Tracker'!$D$5:$D$149,$A366,'Session Tracker'!$F$5:$F$149,"Next week",'Session Tracker'!$G$5:$G$149,""),$D366*SUMIFS('Session Tracker'!$J$5:$J$149,'Session Tracker'!$D$5:$D$149,$A366,'Session Tracker'!$F$5:$F$149,"Next week",'Session Tracker'!$G$5:$G$149,""))</f>
        <v>0</v>
      </c>
    </row>
    <row r="367" customFormat="false" ht="15" hidden="false" customHeight="false" outlineLevel="0" collapsed="false">
      <c r="A367" s="61" t="s">
        <v>204</v>
      </c>
      <c r="B367" s="34" t="s">
        <v>379</v>
      </c>
      <c r="C367" s="34" t="s">
        <v>395</v>
      </c>
      <c r="D367" s="32" t="n">
        <v>6</v>
      </c>
      <c r="E367" s="32" t="s">
        <v>14</v>
      </c>
      <c r="F367" s="32" t="s">
        <v>368</v>
      </c>
      <c r="G367" s="34"/>
      <c r="H367" s="52" t="n">
        <f aca="false">IF($E367="Per class",$D367*COUNTIFS('Session Tracker'!$D$5:$D$149,$A367,'Session Tracker'!$F$5:$F$149,"Next week",'Session Tracker'!$G$5:$G$149,"Mon"),$D367*SUMIFS('Session Tracker'!$J$5:$J$149,'Session Tracker'!$D$5:$D$149,$A367,'Session Tracker'!$F$5:$F$149,"Next week",'Session Tracker'!$G$5:$G$149,"Mon"))</f>
        <v>0</v>
      </c>
      <c r="I367" s="52" t="n">
        <f aca="false">IF($E367="Per class",$D367*COUNTIFS('Session Tracker'!$D$5:$D$149,$A367,'Session Tracker'!$F$5:$F$149,"Next week",'Session Tracker'!$G$5:$G$149,"Tue"),$D367*SUMIFS('Session Tracker'!$J$5:$J$149,'Session Tracker'!$D$5:$D$149,$A367,'Session Tracker'!$F$5:$F$149,"Next week",'Session Tracker'!$G$5:$G$149,"Tue"))</f>
        <v>0</v>
      </c>
      <c r="J367" s="52" t="n">
        <f aca="false">IF($E367="Per class",$D367*COUNTIFS('Session Tracker'!$D$5:$D$149,$A367,'Session Tracker'!$F$5:$F$149,"Next week",'Session Tracker'!$G$5:$G$149,"Wed"),$D367*SUMIFS('Session Tracker'!$J$5:$J$149,'Session Tracker'!$D$5:$D$149,$A367,'Session Tracker'!$F$5:$F$149,"Next week",'Session Tracker'!$G$5:$G$149,"Wed"))</f>
        <v>0</v>
      </c>
      <c r="K367" s="52" t="n">
        <f aca="false">IF($E367="Per class",$D367*COUNTIFS('Session Tracker'!$D$5:$D$149,$A367,'Session Tracker'!$F$5:$F$149,"Next week",'Session Tracker'!$G$5:$G$149,"Thu"),$D367*SUMIFS('Session Tracker'!$J$5:$J$149,'Session Tracker'!$D$5:$D$149,$A367,'Session Tracker'!$F$5:$F$149,"Next week",'Session Tracker'!$G$5:$G$149,"Thu"))</f>
        <v>0</v>
      </c>
      <c r="L367" s="52" t="n">
        <f aca="false">IF($E367="Per class",$D367*COUNTIFS('Session Tracker'!$D$5:$D$149,$A367,'Session Tracker'!$F$5:$F$149,"Next week",'Session Tracker'!$G$5:$G$149,"Fri"),$D367*SUMIFS('Session Tracker'!$J$5:$J$149,'Session Tracker'!$D$5:$D$149,$A367,'Session Tracker'!$F$5:$F$149,"Next week",'Session Tracker'!$G$5:$G$149,"Fri"))</f>
        <v>0</v>
      </c>
      <c r="M367" s="52" t="n">
        <f aca="false">IF($E367="Per class",$D367*COUNTIFS('Session Tracker'!$D$5:$D$149,$A367,'Session Tracker'!$F$5:$F$149,"Next week",'Session Tracker'!$G$5:$G$149,""),$D367*SUMIFS('Session Tracker'!$J$5:$J$149,'Session Tracker'!$D$5:$D$149,$A367,'Session Tracker'!$F$5:$F$149,"Next week",'Session Tracker'!$G$5:$G$149,""))</f>
        <v>0</v>
      </c>
    </row>
    <row r="368" customFormat="false" ht="15" hidden="false" customHeight="false" outlineLevel="0" collapsed="false">
      <c r="A368" s="61" t="s">
        <v>204</v>
      </c>
      <c r="B368" s="34" t="s">
        <v>382</v>
      </c>
      <c r="C368" s="34" t="s">
        <v>383</v>
      </c>
      <c r="D368" s="32" t="n">
        <v>1</v>
      </c>
      <c r="E368" s="32" t="s">
        <v>14</v>
      </c>
      <c r="F368" s="32" t="s">
        <v>368</v>
      </c>
      <c r="G368" s="34"/>
      <c r="H368" s="52" t="n">
        <f aca="false">IF($E368="Per class",$D368*COUNTIFS('Session Tracker'!$D$5:$D$149,$A368,'Session Tracker'!$F$5:$F$149,"Next week",'Session Tracker'!$G$5:$G$149,"Mon"),$D368*SUMIFS('Session Tracker'!$J$5:$J$149,'Session Tracker'!$D$5:$D$149,$A368,'Session Tracker'!$F$5:$F$149,"Next week",'Session Tracker'!$G$5:$G$149,"Mon"))</f>
        <v>0</v>
      </c>
      <c r="I368" s="52" t="n">
        <f aca="false">IF($E368="Per class",$D368*COUNTIFS('Session Tracker'!$D$5:$D$149,$A368,'Session Tracker'!$F$5:$F$149,"Next week",'Session Tracker'!$G$5:$G$149,"Tue"),$D368*SUMIFS('Session Tracker'!$J$5:$J$149,'Session Tracker'!$D$5:$D$149,$A368,'Session Tracker'!$F$5:$F$149,"Next week",'Session Tracker'!$G$5:$G$149,"Tue"))</f>
        <v>0</v>
      </c>
      <c r="J368" s="52" t="n">
        <f aca="false">IF($E368="Per class",$D368*COUNTIFS('Session Tracker'!$D$5:$D$149,$A368,'Session Tracker'!$F$5:$F$149,"Next week",'Session Tracker'!$G$5:$G$149,"Wed"),$D368*SUMIFS('Session Tracker'!$J$5:$J$149,'Session Tracker'!$D$5:$D$149,$A368,'Session Tracker'!$F$5:$F$149,"Next week",'Session Tracker'!$G$5:$G$149,"Wed"))</f>
        <v>0</v>
      </c>
      <c r="K368" s="52" t="n">
        <f aca="false">IF($E368="Per class",$D368*COUNTIFS('Session Tracker'!$D$5:$D$149,$A368,'Session Tracker'!$F$5:$F$149,"Next week",'Session Tracker'!$G$5:$G$149,"Thu"),$D368*SUMIFS('Session Tracker'!$J$5:$J$149,'Session Tracker'!$D$5:$D$149,$A368,'Session Tracker'!$F$5:$F$149,"Next week",'Session Tracker'!$G$5:$G$149,"Thu"))</f>
        <v>0</v>
      </c>
      <c r="L368" s="52" t="n">
        <f aca="false">IF($E368="Per class",$D368*COUNTIFS('Session Tracker'!$D$5:$D$149,$A368,'Session Tracker'!$F$5:$F$149,"Next week",'Session Tracker'!$G$5:$G$149,"Fri"),$D368*SUMIFS('Session Tracker'!$J$5:$J$149,'Session Tracker'!$D$5:$D$149,$A368,'Session Tracker'!$F$5:$F$149,"Next week",'Session Tracker'!$G$5:$G$149,"Fri"))</f>
        <v>0</v>
      </c>
      <c r="M368" s="52" t="n">
        <f aca="false">IF($E368="Per class",$D368*COUNTIFS('Session Tracker'!$D$5:$D$149,$A368,'Session Tracker'!$F$5:$F$149,"Next week",'Session Tracker'!$G$5:$G$149,""),$D368*SUMIFS('Session Tracker'!$J$5:$J$149,'Session Tracker'!$D$5:$D$149,$A368,'Session Tracker'!$F$5:$F$149,"Next week",'Session Tracker'!$G$5:$G$149,""))</f>
        <v>0</v>
      </c>
    </row>
    <row r="369" customFormat="false" ht="15" hidden="false" customHeight="false" outlineLevel="0" collapsed="false">
      <c r="A369" s="61" t="s">
        <v>204</v>
      </c>
      <c r="B369" s="34" t="s">
        <v>377</v>
      </c>
      <c r="C369" s="34" t="s">
        <v>378</v>
      </c>
      <c r="D369" s="32" t="n">
        <v>1</v>
      </c>
      <c r="E369" s="32" t="s">
        <v>14</v>
      </c>
      <c r="F369" s="32" t="s">
        <v>368</v>
      </c>
      <c r="G369" s="34" t="s">
        <v>389</v>
      </c>
      <c r="H369" s="52" t="n">
        <f aca="false">IF($E369="Per class",$D369*COUNTIFS('Session Tracker'!$D$5:$D$149,$A369,'Session Tracker'!$F$5:$F$149,"Next week",'Session Tracker'!$G$5:$G$149,"Mon"),$D369*SUMIFS('Session Tracker'!$J$5:$J$149,'Session Tracker'!$D$5:$D$149,$A369,'Session Tracker'!$F$5:$F$149,"Next week",'Session Tracker'!$G$5:$G$149,"Mon"))</f>
        <v>0</v>
      </c>
      <c r="I369" s="52" t="n">
        <f aca="false">IF($E369="Per class",$D369*COUNTIFS('Session Tracker'!$D$5:$D$149,$A369,'Session Tracker'!$F$5:$F$149,"Next week",'Session Tracker'!$G$5:$G$149,"Tue"),$D369*SUMIFS('Session Tracker'!$J$5:$J$149,'Session Tracker'!$D$5:$D$149,$A369,'Session Tracker'!$F$5:$F$149,"Next week",'Session Tracker'!$G$5:$G$149,"Tue"))</f>
        <v>0</v>
      </c>
      <c r="J369" s="52" t="n">
        <f aca="false">IF($E369="Per class",$D369*COUNTIFS('Session Tracker'!$D$5:$D$149,$A369,'Session Tracker'!$F$5:$F$149,"Next week",'Session Tracker'!$G$5:$G$149,"Wed"),$D369*SUMIFS('Session Tracker'!$J$5:$J$149,'Session Tracker'!$D$5:$D$149,$A369,'Session Tracker'!$F$5:$F$149,"Next week",'Session Tracker'!$G$5:$G$149,"Wed"))</f>
        <v>0</v>
      </c>
      <c r="K369" s="52" t="n">
        <f aca="false">IF($E369="Per class",$D369*COUNTIFS('Session Tracker'!$D$5:$D$149,$A369,'Session Tracker'!$F$5:$F$149,"Next week",'Session Tracker'!$G$5:$G$149,"Thu"),$D369*SUMIFS('Session Tracker'!$J$5:$J$149,'Session Tracker'!$D$5:$D$149,$A369,'Session Tracker'!$F$5:$F$149,"Next week",'Session Tracker'!$G$5:$G$149,"Thu"))</f>
        <v>0</v>
      </c>
      <c r="L369" s="52" t="n">
        <f aca="false">IF($E369="Per class",$D369*COUNTIFS('Session Tracker'!$D$5:$D$149,$A369,'Session Tracker'!$F$5:$F$149,"Next week",'Session Tracker'!$G$5:$G$149,"Fri"),$D369*SUMIFS('Session Tracker'!$J$5:$J$149,'Session Tracker'!$D$5:$D$149,$A369,'Session Tracker'!$F$5:$F$149,"Next week",'Session Tracker'!$G$5:$G$149,"Fri"))</f>
        <v>0</v>
      </c>
      <c r="M369" s="52" t="n">
        <f aca="false">IF($E369="Per class",$D369*COUNTIFS('Session Tracker'!$D$5:$D$149,$A369,'Session Tracker'!$F$5:$F$149,"Next week",'Session Tracker'!$G$5:$G$149,""),$D369*SUMIFS('Session Tracker'!$J$5:$J$149,'Session Tracker'!$D$5:$D$149,$A369,'Session Tracker'!$F$5:$F$149,"Next week",'Session Tracker'!$G$5:$G$149,""))</f>
        <v>0</v>
      </c>
    </row>
    <row r="370" customFormat="false" ht="15" hidden="false" customHeight="false" outlineLevel="0" collapsed="false">
      <c r="A370" s="53" t="s">
        <v>204</v>
      </c>
      <c r="B370" s="54"/>
      <c r="C370" s="54"/>
      <c r="D370" s="54"/>
      <c r="E370" s="54"/>
      <c r="F370" s="54"/>
      <c r="G370" s="54"/>
      <c r="H370" s="52" t="n">
        <f aca="false">IF($E370="Per class",$D370*COUNTIFS('Session Tracker'!$D$5:$D$149,$A370,'Session Tracker'!$F$5:$F$149,"Next week",'Session Tracker'!$G$5:$G$149,"Mon"),$D370*SUMIFS('Session Tracker'!$J$5:$J$149,'Session Tracker'!$D$5:$D$149,$A370,'Session Tracker'!$F$5:$F$149,"Next week",'Session Tracker'!$G$5:$G$149,"Mon"))</f>
        <v>0</v>
      </c>
      <c r="I370" s="52" t="n">
        <f aca="false">IF($E370="Per class",$D370*COUNTIFS('Session Tracker'!$D$5:$D$149,$A370,'Session Tracker'!$F$5:$F$149,"Next week",'Session Tracker'!$G$5:$G$149,"Tue"),$D370*SUMIFS('Session Tracker'!$J$5:$J$149,'Session Tracker'!$D$5:$D$149,$A370,'Session Tracker'!$F$5:$F$149,"Next week",'Session Tracker'!$G$5:$G$149,"Tue"))</f>
        <v>0</v>
      </c>
      <c r="J370" s="52" t="n">
        <f aca="false">IF($E370="Per class",$D370*COUNTIFS('Session Tracker'!$D$5:$D$149,$A370,'Session Tracker'!$F$5:$F$149,"Next week",'Session Tracker'!$G$5:$G$149,"Wed"),$D370*SUMIFS('Session Tracker'!$J$5:$J$149,'Session Tracker'!$D$5:$D$149,$A370,'Session Tracker'!$F$5:$F$149,"Next week",'Session Tracker'!$G$5:$G$149,"Wed"))</f>
        <v>0</v>
      </c>
      <c r="K370" s="52" t="n">
        <f aca="false">IF($E370="Per class",$D370*COUNTIFS('Session Tracker'!$D$5:$D$149,$A370,'Session Tracker'!$F$5:$F$149,"Next week",'Session Tracker'!$G$5:$G$149,"Thu"),$D370*SUMIFS('Session Tracker'!$J$5:$J$149,'Session Tracker'!$D$5:$D$149,$A370,'Session Tracker'!$F$5:$F$149,"Next week",'Session Tracker'!$G$5:$G$149,"Thu"))</f>
        <v>0</v>
      </c>
      <c r="L370" s="52" t="n">
        <f aca="false">IF($E370="Per class",$D370*COUNTIFS('Session Tracker'!$D$5:$D$149,$A370,'Session Tracker'!$F$5:$F$149,"Next week",'Session Tracker'!$G$5:$G$149,"Fri"),$D370*SUMIFS('Session Tracker'!$J$5:$J$149,'Session Tracker'!$D$5:$D$149,$A370,'Session Tracker'!$F$5:$F$149,"Next week",'Session Tracker'!$G$5:$G$149,"Fri"))</f>
        <v>0</v>
      </c>
      <c r="M370" s="52" t="n">
        <f aca="false">IF($E370="Per class",$D370*COUNTIFS('Session Tracker'!$D$5:$D$149,$A370,'Session Tracker'!$F$5:$F$149,"Next week",'Session Tracker'!$G$5:$G$149,""),$D370*SUMIFS('Session Tracker'!$J$5:$J$149,'Session Tracker'!$D$5:$D$149,$A370,'Session Tracker'!$F$5:$F$149,"Next week",'Session Tracker'!$G$5:$G$149,""))</f>
        <v>0</v>
      </c>
    </row>
    <row r="371" customFormat="false" ht="15" hidden="false" customHeight="false" outlineLevel="0" collapsed="false">
      <c r="A371" s="53" t="s">
        <v>204</v>
      </c>
      <c r="B371" s="54"/>
      <c r="C371" s="54"/>
      <c r="D371" s="54"/>
      <c r="E371" s="54"/>
      <c r="F371" s="54"/>
      <c r="G371" s="54"/>
      <c r="H371" s="52" t="n">
        <f aca="false">IF($E371="Per class",$D371*COUNTIFS('Session Tracker'!$D$5:$D$149,$A371,'Session Tracker'!$F$5:$F$149,"Next week",'Session Tracker'!$G$5:$G$149,"Mon"),$D371*SUMIFS('Session Tracker'!$J$5:$J$149,'Session Tracker'!$D$5:$D$149,$A371,'Session Tracker'!$F$5:$F$149,"Next week",'Session Tracker'!$G$5:$G$149,"Mon"))</f>
        <v>0</v>
      </c>
      <c r="I371" s="52" t="n">
        <f aca="false">IF($E371="Per class",$D371*COUNTIFS('Session Tracker'!$D$5:$D$149,$A371,'Session Tracker'!$F$5:$F$149,"Next week",'Session Tracker'!$G$5:$G$149,"Tue"),$D371*SUMIFS('Session Tracker'!$J$5:$J$149,'Session Tracker'!$D$5:$D$149,$A371,'Session Tracker'!$F$5:$F$149,"Next week",'Session Tracker'!$G$5:$G$149,"Tue"))</f>
        <v>0</v>
      </c>
      <c r="J371" s="52" t="n">
        <f aca="false">IF($E371="Per class",$D371*COUNTIFS('Session Tracker'!$D$5:$D$149,$A371,'Session Tracker'!$F$5:$F$149,"Next week",'Session Tracker'!$G$5:$G$149,"Wed"),$D371*SUMIFS('Session Tracker'!$J$5:$J$149,'Session Tracker'!$D$5:$D$149,$A371,'Session Tracker'!$F$5:$F$149,"Next week",'Session Tracker'!$G$5:$G$149,"Wed"))</f>
        <v>0</v>
      </c>
      <c r="K371" s="52" t="n">
        <f aca="false">IF($E371="Per class",$D371*COUNTIFS('Session Tracker'!$D$5:$D$149,$A371,'Session Tracker'!$F$5:$F$149,"Next week",'Session Tracker'!$G$5:$G$149,"Thu"),$D371*SUMIFS('Session Tracker'!$J$5:$J$149,'Session Tracker'!$D$5:$D$149,$A371,'Session Tracker'!$F$5:$F$149,"Next week",'Session Tracker'!$G$5:$G$149,"Thu"))</f>
        <v>0</v>
      </c>
      <c r="L371" s="52" t="n">
        <f aca="false">IF($E371="Per class",$D371*COUNTIFS('Session Tracker'!$D$5:$D$149,$A371,'Session Tracker'!$F$5:$F$149,"Next week",'Session Tracker'!$G$5:$G$149,"Fri"),$D371*SUMIFS('Session Tracker'!$J$5:$J$149,'Session Tracker'!$D$5:$D$149,$A371,'Session Tracker'!$F$5:$F$149,"Next week",'Session Tracker'!$G$5:$G$149,"Fri"))</f>
        <v>0</v>
      </c>
      <c r="M371" s="52" t="n">
        <f aca="false">IF($E371="Per class",$D371*COUNTIFS('Session Tracker'!$D$5:$D$149,$A371,'Session Tracker'!$F$5:$F$149,"Next week",'Session Tracker'!$G$5:$G$149,""),$D371*SUMIFS('Session Tracker'!$J$5:$J$149,'Session Tracker'!$D$5:$D$149,$A371,'Session Tracker'!$F$5:$F$149,"Next week",'Session Tracker'!$G$5:$G$149,""))</f>
        <v>0</v>
      </c>
    </row>
    <row r="373" customFormat="false" ht="19.5" hidden="false" customHeight="true" outlineLevel="0" collapsed="false">
      <c r="A373" s="57" t="s">
        <v>206</v>
      </c>
      <c r="B373" s="58" t="s">
        <v>574</v>
      </c>
      <c r="C373" s="58"/>
      <c r="D373" s="58"/>
      <c r="E373" s="58"/>
      <c r="F373" s="59" t="str">
        <f aca="false">"Status: "&amp;'Session Tracker'!F71&amp;IF('Session Tracker'!G71&lt;&gt;""," ("&amp;'Session Tracker'!G71&amp;")","")</f>
        <v>Status: Not started</v>
      </c>
      <c r="G373" s="59"/>
      <c r="H373" s="60"/>
      <c r="I373" s="60"/>
      <c r="J373" s="60"/>
      <c r="K373" s="60"/>
      <c r="L373" s="60"/>
      <c r="M373" s="60"/>
    </row>
    <row r="374" customFormat="false" ht="23.85" hidden="false" customHeight="false" outlineLevel="0" collapsed="false">
      <c r="A374" s="61" t="s">
        <v>206</v>
      </c>
      <c r="B374" s="34" t="s">
        <v>366</v>
      </c>
      <c r="C374" s="34" t="s">
        <v>367</v>
      </c>
      <c r="D374" s="32" t="n">
        <v>1</v>
      </c>
      <c r="E374" s="32" t="s">
        <v>14</v>
      </c>
      <c r="F374" s="32" t="s">
        <v>368</v>
      </c>
      <c r="G374" s="34"/>
      <c r="H374" s="52" t="n">
        <f aca="false">IF($E374="Per class",$D374*COUNTIFS('Session Tracker'!$D$5:$D$149,$A374,'Session Tracker'!$F$5:$F$149,"Next week",'Session Tracker'!$G$5:$G$149,"Mon"),$D374*SUMIFS('Session Tracker'!$J$5:$J$149,'Session Tracker'!$D$5:$D$149,$A374,'Session Tracker'!$F$5:$F$149,"Next week",'Session Tracker'!$G$5:$G$149,"Mon"))</f>
        <v>0</v>
      </c>
      <c r="I374" s="52" t="n">
        <f aca="false">IF($E374="Per class",$D374*COUNTIFS('Session Tracker'!$D$5:$D$149,$A374,'Session Tracker'!$F$5:$F$149,"Next week",'Session Tracker'!$G$5:$G$149,"Tue"),$D374*SUMIFS('Session Tracker'!$J$5:$J$149,'Session Tracker'!$D$5:$D$149,$A374,'Session Tracker'!$F$5:$F$149,"Next week",'Session Tracker'!$G$5:$G$149,"Tue"))</f>
        <v>0</v>
      </c>
      <c r="J374" s="52" t="n">
        <f aca="false">IF($E374="Per class",$D374*COUNTIFS('Session Tracker'!$D$5:$D$149,$A374,'Session Tracker'!$F$5:$F$149,"Next week",'Session Tracker'!$G$5:$G$149,"Wed"),$D374*SUMIFS('Session Tracker'!$J$5:$J$149,'Session Tracker'!$D$5:$D$149,$A374,'Session Tracker'!$F$5:$F$149,"Next week",'Session Tracker'!$G$5:$G$149,"Wed"))</f>
        <v>0</v>
      </c>
      <c r="K374" s="52" t="n">
        <f aca="false">IF($E374="Per class",$D374*COUNTIFS('Session Tracker'!$D$5:$D$149,$A374,'Session Tracker'!$F$5:$F$149,"Next week",'Session Tracker'!$G$5:$G$149,"Thu"),$D374*SUMIFS('Session Tracker'!$J$5:$J$149,'Session Tracker'!$D$5:$D$149,$A374,'Session Tracker'!$F$5:$F$149,"Next week",'Session Tracker'!$G$5:$G$149,"Thu"))</f>
        <v>0</v>
      </c>
      <c r="L374" s="52" t="n">
        <f aca="false">IF($E374="Per class",$D374*COUNTIFS('Session Tracker'!$D$5:$D$149,$A374,'Session Tracker'!$F$5:$F$149,"Next week",'Session Tracker'!$G$5:$G$149,"Fri"),$D374*SUMIFS('Session Tracker'!$J$5:$J$149,'Session Tracker'!$D$5:$D$149,$A374,'Session Tracker'!$F$5:$F$149,"Next week",'Session Tracker'!$G$5:$G$149,"Fri"))</f>
        <v>0</v>
      </c>
      <c r="M374" s="52" t="n">
        <f aca="false">IF($E374="Per class",$D374*COUNTIFS('Session Tracker'!$D$5:$D$149,$A374,'Session Tracker'!$F$5:$F$149,"Next week",'Session Tracker'!$G$5:$G$149,""),$D374*SUMIFS('Session Tracker'!$J$5:$J$149,'Session Tracker'!$D$5:$D$149,$A374,'Session Tracker'!$F$5:$F$149,"Next week",'Session Tracker'!$G$5:$G$149,""))</f>
        <v>0</v>
      </c>
    </row>
    <row r="375" customFormat="false" ht="15" hidden="false" customHeight="false" outlineLevel="0" collapsed="false">
      <c r="A375" s="61" t="s">
        <v>206</v>
      </c>
      <c r="B375" s="34" t="s">
        <v>369</v>
      </c>
      <c r="C375" s="34" t="s">
        <v>575</v>
      </c>
      <c r="D375" s="32" t="n">
        <v>1</v>
      </c>
      <c r="E375" s="32" t="s">
        <v>14</v>
      </c>
      <c r="F375" s="32" t="s">
        <v>368</v>
      </c>
      <c r="G375" s="34"/>
      <c r="H375" s="52" t="n">
        <f aca="false">IF($E375="Per class",$D375*COUNTIFS('Session Tracker'!$D$5:$D$149,$A375,'Session Tracker'!$F$5:$F$149,"Next week",'Session Tracker'!$G$5:$G$149,"Mon"),$D375*SUMIFS('Session Tracker'!$J$5:$J$149,'Session Tracker'!$D$5:$D$149,$A375,'Session Tracker'!$F$5:$F$149,"Next week",'Session Tracker'!$G$5:$G$149,"Mon"))</f>
        <v>0</v>
      </c>
      <c r="I375" s="52" t="n">
        <f aca="false">IF($E375="Per class",$D375*COUNTIFS('Session Tracker'!$D$5:$D$149,$A375,'Session Tracker'!$F$5:$F$149,"Next week",'Session Tracker'!$G$5:$G$149,"Tue"),$D375*SUMIFS('Session Tracker'!$J$5:$J$149,'Session Tracker'!$D$5:$D$149,$A375,'Session Tracker'!$F$5:$F$149,"Next week",'Session Tracker'!$G$5:$G$149,"Tue"))</f>
        <v>0</v>
      </c>
      <c r="J375" s="52" t="n">
        <f aca="false">IF($E375="Per class",$D375*COUNTIFS('Session Tracker'!$D$5:$D$149,$A375,'Session Tracker'!$F$5:$F$149,"Next week",'Session Tracker'!$G$5:$G$149,"Wed"),$D375*SUMIFS('Session Tracker'!$J$5:$J$149,'Session Tracker'!$D$5:$D$149,$A375,'Session Tracker'!$F$5:$F$149,"Next week",'Session Tracker'!$G$5:$G$149,"Wed"))</f>
        <v>0</v>
      </c>
      <c r="K375" s="52" t="n">
        <f aca="false">IF($E375="Per class",$D375*COUNTIFS('Session Tracker'!$D$5:$D$149,$A375,'Session Tracker'!$F$5:$F$149,"Next week",'Session Tracker'!$G$5:$G$149,"Thu"),$D375*SUMIFS('Session Tracker'!$J$5:$J$149,'Session Tracker'!$D$5:$D$149,$A375,'Session Tracker'!$F$5:$F$149,"Next week",'Session Tracker'!$G$5:$G$149,"Thu"))</f>
        <v>0</v>
      </c>
      <c r="L375" s="52" t="n">
        <f aca="false">IF($E375="Per class",$D375*COUNTIFS('Session Tracker'!$D$5:$D$149,$A375,'Session Tracker'!$F$5:$F$149,"Next week",'Session Tracker'!$G$5:$G$149,"Fri"),$D375*SUMIFS('Session Tracker'!$J$5:$J$149,'Session Tracker'!$D$5:$D$149,$A375,'Session Tracker'!$F$5:$F$149,"Next week",'Session Tracker'!$G$5:$G$149,"Fri"))</f>
        <v>0</v>
      </c>
      <c r="M375" s="52" t="n">
        <f aca="false">IF($E375="Per class",$D375*COUNTIFS('Session Tracker'!$D$5:$D$149,$A375,'Session Tracker'!$F$5:$F$149,"Next week",'Session Tracker'!$G$5:$G$149,""),$D375*SUMIFS('Session Tracker'!$J$5:$J$149,'Session Tracker'!$D$5:$D$149,$A375,'Session Tracker'!$F$5:$F$149,"Next week",'Session Tracker'!$G$5:$G$149,""))</f>
        <v>0</v>
      </c>
    </row>
    <row r="376" customFormat="false" ht="15" hidden="false" customHeight="false" outlineLevel="0" collapsed="false">
      <c r="A376" s="61" t="s">
        <v>206</v>
      </c>
      <c r="B376" s="34" t="s">
        <v>371</v>
      </c>
      <c r="C376" s="34" t="s">
        <v>517</v>
      </c>
      <c r="D376" s="32" t="n">
        <v>1</v>
      </c>
      <c r="E376" s="32" t="s">
        <v>14</v>
      </c>
      <c r="F376" s="32" t="s">
        <v>368</v>
      </c>
      <c r="G376" s="34"/>
      <c r="H376" s="52" t="n">
        <f aca="false">IF($E376="Per class",$D376*COUNTIFS('Session Tracker'!$D$5:$D$149,$A376,'Session Tracker'!$F$5:$F$149,"Next week",'Session Tracker'!$G$5:$G$149,"Mon"),$D376*SUMIFS('Session Tracker'!$J$5:$J$149,'Session Tracker'!$D$5:$D$149,$A376,'Session Tracker'!$F$5:$F$149,"Next week",'Session Tracker'!$G$5:$G$149,"Mon"))</f>
        <v>0</v>
      </c>
      <c r="I376" s="52" t="n">
        <f aca="false">IF($E376="Per class",$D376*COUNTIFS('Session Tracker'!$D$5:$D$149,$A376,'Session Tracker'!$F$5:$F$149,"Next week",'Session Tracker'!$G$5:$G$149,"Tue"),$D376*SUMIFS('Session Tracker'!$J$5:$J$149,'Session Tracker'!$D$5:$D$149,$A376,'Session Tracker'!$F$5:$F$149,"Next week",'Session Tracker'!$G$5:$G$149,"Tue"))</f>
        <v>0</v>
      </c>
      <c r="J376" s="52" t="n">
        <f aca="false">IF($E376="Per class",$D376*COUNTIFS('Session Tracker'!$D$5:$D$149,$A376,'Session Tracker'!$F$5:$F$149,"Next week",'Session Tracker'!$G$5:$G$149,"Wed"),$D376*SUMIFS('Session Tracker'!$J$5:$J$149,'Session Tracker'!$D$5:$D$149,$A376,'Session Tracker'!$F$5:$F$149,"Next week",'Session Tracker'!$G$5:$G$149,"Wed"))</f>
        <v>0</v>
      </c>
      <c r="K376" s="52" t="n">
        <f aca="false">IF($E376="Per class",$D376*COUNTIFS('Session Tracker'!$D$5:$D$149,$A376,'Session Tracker'!$F$5:$F$149,"Next week",'Session Tracker'!$G$5:$G$149,"Thu"),$D376*SUMIFS('Session Tracker'!$J$5:$J$149,'Session Tracker'!$D$5:$D$149,$A376,'Session Tracker'!$F$5:$F$149,"Next week",'Session Tracker'!$G$5:$G$149,"Thu"))</f>
        <v>0</v>
      </c>
      <c r="L376" s="52" t="n">
        <f aca="false">IF($E376="Per class",$D376*COUNTIFS('Session Tracker'!$D$5:$D$149,$A376,'Session Tracker'!$F$5:$F$149,"Next week",'Session Tracker'!$G$5:$G$149,"Fri"),$D376*SUMIFS('Session Tracker'!$J$5:$J$149,'Session Tracker'!$D$5:$D$149,$A376,'Session Tracker'!$F$5:$F$149,"Next week",'Session Tracker'!$G$5:$G$149,"Fri"))</f>
        <v>0</v>
      </c>
      <c r="M376" s="52" t="n">
        <f aca="false">IF($E376="Per class",$D376*COUNTIFS('Session Tracker'!$D$5:$D$149,$A376,'Session Tracker'!$F$5:$F$149,"Next week",'Session Tracker'!$G$5:$G$149,""),$D376*SUMIFS('Session Tracker'!$J$5:$J$149,'Session Tracker'!$D$5:$D$149,$A376,'Session Tracker'!$F$5:$F$149,"Next week",'Session Tracker'!$G$5:$G$149,""))</f>
        <v>0</v>
      </c>
    </row>
    <row r="377" customFormat="false" ht="15" hidden="false" customHeight="false" outlineLevel="0" collapsed="false">
      <c r="A377" s="61" t="s">
        <v>206</v>
      </c>
      <c r="B377" s="34" t="s">
        <v>375</v>
      </c>
      <c r="C377" s="34" t="s">
        <v>385</v>
      </c>
      <c r="D377" s="32" t="n">
        <v>1</v>
      </c>
      <c r="E377" s="32" t="s">
        <v>14</v>
      </c>
      <c r="F377" s="32" t="s">
        <v>368</v>
      </c>
      <c r="G377" s="34"/>
      <c r="H377" s="52" t="n">
        <f aca="false">IF($E377="Per class",$D377*COUNTIFS('Session Tracker'!$D$5:$D$149,$A377,'Session Tracker'!$F$5:$F$149,"Next week",'Session Tracker'!$G$5:$G$149,"Mon"),$D377*SUMIFS('Session Tracker'!$J$5:$J$149,'Session Tracker'!$D$5:$D$149,$A377,'Session Tracker'!$F$5:$F$149,"Next week",'Session Tracker'!$G$5:$G$149,"Mon"))</f>
        <v>0</v>
      </c>
      <c r="I377" s="52" t="n">
        <f aca="false">IF($E377="Per class",$D377*COUNTIFS('Session Tracker'!$D$5:$D$149,$A377,'Session Tracker'!$F$5:$F$149,"Next week",'Session Tracker'!$G$5:$G$149,"Tue"),$D377*SUMIFS('Session Tracker'!$J$5:$J$149,'Session Tracker'!$D$5:$D$149,$A377,'Session Tracker'!$F$5:$F$149,"Next week",'Session Tracker'!$G$5:$G$149,"Tue"))</f>
        <v>0</v>
      </c>
      <c r="J377" s="52" t="n">
        <f aca="false">IF($E377="Per class",$D377*COUNTIFS('Session Tracker'!$D$5:$D$149,$A377,'Session Tracker'!$F$5:$F$149,"Next week",'Session Tracker'!$G$5:$G$149,"Wed"),$D377*SUMIFS('Session Tracker'!$J$5:$J$149,'Session Tracker'!$D$5:$D$149,$A377,'Session Tracker'!$F$5:$F$149,"Next week",'Session Tracker'!$G$5:$G$149,"Wed"))</f>
        <v>0</v>
      </c>
      <c r="K377" s="52" t="n">
        <f aca="false">IF($E377="Per class",$D377*COUNTIFS('Session Tracker'!$D$5:$D$149,$A377,'Session Tracker'!$F$5:$F$149,"Next week",'Session Tracker'!$G$5:$G$149,"Thu"),$D377*SUMIFS('Session Tracker'!$J$5:$J$149,'Session Tracker'!$D$5:$D$149,$A377,'Session Tracker'!$F$5:$F$149,"Next week",'Session Tracker'!$G$5:$G$149,"Thu"))</f>
        <v>0</v>
      </c>
      <c r="L377" s="52" t="n">
        <f aca="false">IF($E377="Per class",$D377*COUNTIFS('Session Tracker'!$D$5:$D$149,$A377,'Session Tracker'!$F$5:$F$149,"Next week",'Session Tracker'!$G$5:$G$149,"Fri"),$D377*SUMIFS('Session Tracker'!$J$5:$J$149,'Session Tracker'!$D$5:$D$149,$A377,'Session Tracker'!$F$5:$F$149,"Next week",'Session Tracker'!$G$5:$G$149,"Fri"))</f>
        <v>0</v>
      </c>
      <c r="M377" s="52" t="n">
        <f aca="false">IF($E377="Per class",$D377*COUNTIFS('Session Tracker'!$D$5:$D$149,$A377,'Session Tracker'!$F$5:$F$149,"Next week",'Session Tracker'!$G$5:$G$149,""),$D377*SUMIFS('Session Tracker'!$J$5:$J$149,'Session Tracker'!$D$5:$D$149,$A377,'Session Tracker'!$F$5:$F$149,"Next week",'Session Tracker'!$G$5:$G$149,""))</f>
        <v>0</v>
      </c>
    </row>
    <row r="378" customFormat="false" ht="15" hidden="false" customHeight="false" outlineLevel="0" collapsed="false">
      <c r="A378" s="61" t="s">
        <v>206</v>
      </c>
      <c r="B378" s="34" t="s">
        <v>375</v>
      </c>
      <c r="C378" s="34" t="s">
        <v>417</v>
      </c>
      <c r="D378" s="32" t="n">
        <v>1</v>
      </c>
      <c r="E378" s="32" t="s">
        <v>14</v>
      </c>
      <c r="F378" s="32" t="s">
        <v>373</v>
      </c>
      <c r="G378" s="34"/>
      <c r="H378" s="52" t="n">
        <f aca="false">IF($E378="Per class",$D378*COUNTIFS('Session Tracker'!$D$5:$D$149,$A378,'Session Tracker'!$F$5:$F$149,"Next week",'Session Tracker'!$G$5:$G$149,"Mon"),$D378*SUMIFS('Session Tracker'!$J$5:$J$149,'Session Tracker'!$D$5:$D$149,$A378,'Session Tracker'!$F$5:$F$149,"Next week",'Session Tracker'!$G$5:$G$149,"Mon"))</f>
        <v>0</v>
      </c>
      <c r="I378" s="52" t="n">
        <f aca="false">IF($E378="Per class",$D378*COUNTIFS('Session Tracker'!$D$5:$D$149,$A378,'Session Tracker'!$F$5:$F$149,"Next week",'Session Tracker'!$G$5:$G$149,"Tue"),$D378*SUMIFS('Session Tracker'!$J$5:$J$149,'Session Tracker'!$D$5:$D$149,$A378,'Session Tracker'!$F$5:$F$149,"Next week",'Session Tracker'!$G$5:$G$149,"Tue"))</f>
        <v>0</v>
      </c>
      <c r="J378" s="52" t="n">
        <f aca="false">IF($E378="Per class",$D378*COUNTIFS('Session Tracker'!$D$5:$D$149,$A378,'Session Tracker'!$F$5:$F$149,"Next week",'Session Tracker'!$G$5:$G$149,"Wed"),$D378*SUMIFS('Session Tracker'!$J$5:$J$149,'Session Tracker'!$D$5:$D$149,$A378,'Session Tracker'!$F$5:$F$149,"Next week",'Session Tracker'!$G$5:$G$149,"Wed"))</f>
        <v>0</v>
      </c>
      <c r="K378" s="52" t="n">
        <f aca="false">IF($E378="Per class",$D378*COUNTIFS('Session Tracker'!$D$5:$D$149,$A378,'Session Tracker'!$F$5:$F$149,"Next week",'Session Tracker'!$G$5:$G$149,"Thu"),$D378*SUMIFS('Session Tracker'!$J$5:$J$149,'Session Tracker'!$D$5:$D$149,$A378,'Session Tracker'!$F$5:$F$149,"Next week",'Session Tracker'!$G$5:$G$149,"Thu"))</f>
        <v>0</v>
      </c>
      <c r="L378" s="52" t="n">
        <f aca="false">IF($E378="Per class",$D378*COUNTIFS('Session Tracker'!$D$5:$D$149,$A378,'Session Tracker'!$F$5:$F$149,"Next week",'Session Tracker'!$G$5:$G$149,"Fri"),$D378*SUMIFS('Session Tracker'!$J$5:$J$149,'Session Tracker'!$D$5:$D$149,$A378,'Session Tracker'!$F$5:$F$149,"Next week",'Session Tracker'!$G$5:$G$149,"Fri"))</f>
        <v>0</v>
      </c>
      <c r="M378" s="52" t="n">
        <f aca="false">IF($E378="Per class",$D378*COUNTIFS('Session Tracker'!$D$5:$D$149,$A378,'Session Tracker'!$F$5:$F$149,"Next week",'Session Tracker'!$G$5:$G$149,""),$D378*SUMIFS('Session Tracker'!$J$5:$J$149,'Session Tracker'!$D$5:$D$149,$A378,'Session Tracker'!$F$5:$F$149,"Next week",'Session Tracker'!$G$5:$G$149,""))</f>
        <v>0</v>
      </c>
    </row>
    <row r="379" customFormat="false" ht="15" hidden="false" customHeight="false" outlineLevel="0" collapsed="false">
      <c r="A379" s="61" t="s">
        <v>206</v>
      </c>
      <c r="B379" s="34" t="s">
        <v>411</v>
      </c>
      <c r="C379" s="34" t="s">
        <v>440</v>
      </c>
      <c r="D379" s="32" t="n">
        <v>1</v>
      </c>
      <c r="E379" s="32" t="s">
        <v>14</v>
      </c>
      <c r="F379" s="32" t="s">
        <v>373</v>
      </c>
      <c r="G379" s="34" t="s">
        <v>576</v>
      </c>
      <c r="H379" s="52" t="n">
        <f aca="false">IF($E379="Per class",$D379*COUNTIFS('Session Tracker'!$D$5:$D$149,$A379,'Session Tracker'!$F$5:$F$149,"Next week",'Session Tracker'!$G$5:$G$149,"Mon"),$D379*SUMIFS('Session Tracker'!$J$5:$J$149,'Session Tracker'!$D$5:$D$149,$A379,'Session Tracker'!$F$5:$F$149,"Next week",'Session Tracker'!$G$5:$G$149,"Mon"))</f>
        <v>0</v>
      </c>
      <c r="I379" s="52" t="n">
        <f aca="false">IF($E379="Per class",$D379*COUNTIFS('Session Tracker'!$D$5:$D$149,$A379,'Session Tracker'!$F$5:$F$149,"Next week",'Session Tracker'!$G$5:$G$149,"Tue"),$D379*SUMIFS('Session Tracker'!$J$5:$J$149,'Session Tracker'!$D$5:$D$149,$A379,'Session Tracker'!$F$5:$F$149,"Next week",'Session Tracker'!$G$5:$G$149,"Tue"))</f>
        <v>0</v>
      </c>
      <c r="J379" s="52" t="n">
        <f aca="false">IF($E379="Per class",$D379*COUNTIFS('Session Tracker'!$D$5:$D$149,$A379,'Session Tracker'!$F$5:$F$149,"Next week",'Session Tracker'!$G$5:$G$149,"Wed"),$D379*SUMIFS('Session Tracker'!$J$5:$J$149,'Session Tracker'!$D$5:$D$149,$A379,'Session Tracker'!$F$5:$F$149,"Next week",'Session Tracker'!$G$5:$G$149,"Wed"))</f>
        <v>0</v>
      </c>
      <c r="K379" s="52" t="n">
        <f aca="false">IF($E379="Per class",$D379*COUNTIFS('Session Tracker'!$D$5:$D$149,$A379,'Session Tracker'!$F$5:$F$149,"Next week",'Session Tracker'!$G$5:$G$149,"Thu"),$D379*SUMIFS('Session Tracker'!$J$5:$J$149,'Session Tracker'!$D$5:$D$149,$A379,'Session Tracker'!$F$5:$F$149,"Next week",'Session Tracker'!$G$5:$G$149,"Thu"))</f>
        <v>0</v>
      </c>
      <c r="L379" s="52" t="n">
        <f aca="false">IF($E379="Per class",$D379*COUNTIFS('Session Tracker'!$D$5:$D$149,$A379,'Session Tracker'!$F$5:$F$149,"Next week",'Session Tracker'!$G$5:$G$149,"Fri"),$D379*SUMIFS('Session Tracker'!$J$5:$J$149,'Session Tracker'!$D$5:$D$149,$A379,'Session Tracker'!$F$5:$F$149,"Next week",'Session Tracker'!$G$5:$G$149,"Fri"))</f>
        <v>0</v>
      </c>
      <c r="M379" s="52" t="n">
        <f aca="false">IF($E379="Per class",$D379*COUNTIFS('Session Tracker'!$D$5:$D$149,$A379,'Session Tracker'!$F$5:$F$149,"Next week",'Session Tracker'!$G$5:$G$149,""),$D379*SUMIFS('Session Tracker'!$J$5:$J$149,'Session Tracker'!$D$5:$D$149,$A379,'Session Tracker'!$F$5:$F$149,"Next week",'Session Tracker'!$G$5:$G$149,""))</f>
        <v>0</v>
      </c>
    </row>
    <row r="380" customFormat="false" ht="15" hidden="false" customHeight="false" outlineLevel="0" collapsed="false">
      <c r="A380" s="61" t="s">
        <v>206</v>
      </c>
      <c r="B380" s="34" t="s">
        <v>379</v>
      </c>
      <c r="C380" s="34" t="s">
        <v>380</v>
      </c>
      <c r="D380" s="32" t="n">
        <v>1</v>
      </c>
      <c r="E380" s="32" t="s">
        <v>14</v>
      </c>
      <c r="F380" s="32" t="s">
        <v>368</v>
      </c>
      <c r="G380" s="34"/>
      <c r="H380" s="52" t="n">
        <f aca="false">IF($E380="Per class",$D380*COUNTIFS('Session Tracker'!$D$5:$D$149,$A380,'Session Tracker'!$F$5:$F$149,"Next week",'Session Tracker'!$G$5:$G$149,"Mon"),$D380*SUMIFS('Session Tracker'!$J$5:$J$149,'Session Tracker'!$D$5:$D$149,$A380,'Session Tracker'!$F$5:$F$149,"Next week",'Session Tracker'!$G$5:$G$149,"Mon"))</f>
        <v>0</v>
      </c>
      <c r="I380" s="52" t="n">
        <f aca="false">IF($E380="Per class",$D380*COUNTIFS('Session Tracker'!$D$5:$D$149,$A380,'Session Tracker'!$F$5:$F$149,"Next week",'Session Tracker'!$G$5:$G$149,"Tue"),$D380*SUMIFS('Session Tracker'!$J$5:$J$149,'Session Tracker'!$D$5:$D$149,$A380,'Session Tracker'!$F$5:$F$149,"Next week",'Session Tracker'!$G$5:$G$149,"Tue"))</f>
        <v>0</v>
      </c>
      <c r="J380" s="52" t="n">
        <f aca="false">IF($E380="Per class",$D380*COUNTIFS('Session Tracker'!$D$5:$D$149,$A380,'Session Tracker'!$F$5:$F$149,"Next week",'Session Tracker'!$G$5:$G$149,"Wed"),$D380*SUMIFS('Session Tracker'!$J$5:$J$149,'Session Tracker'!$D$5:$D$149,$A380,'Session Tracker'!$F$5:$F$149,"Next week",'Session Tracker'!$G$5:$G$149,"Wed"))</f>
        <v>0</v>
      </c>
      <c r="K380" s="52" t="n">
        <f aca="false">IF($E380="Per class",$D380*COUNTIFS('Session Tracker'!$D$5:$D$149,$A380,'Session Tracker'!$F$5:$F$149,"Next week",'Session Tracker'!$G$5:$G$149,"Thu"),$D380*SUMIFS('Session Tracker'!$J$5:$J$149,'Session Tracker'!$D$5:$D$149,$A380,'Session Tracker'!$F$5:$F$149,"Next week",'Session Tracker'!$G$5:$G$149,"Thu"))</f>
        <v>0</v>
      </c>
      <c r="L380" s="52" t="n">
        <f aca="false">IF($E380="Per class",$D380*COUNTIFS('Session Tracker'!$D$5:$D$149,$A380,'Session Tracker'!$F$5:$F$149,"Next week",'Session Tracker'!$G$5:$G$149,"Fri"),$D380*SUMIFS('Session Tracker'!$J$5:$J$149,'Session Tracker'!$D$5:$D$149,$A380,'Session Tracker'!$F$5:$F$149,"Next week",'Session Tracker'!$G$5:$G$149,"Fri"))</f>
        <v>0</v>
      </c>
      <c r="M380" s="52" t="n">
        <f aca="false">IF($E380="Per class",$D380*COUNTIFS('Session Tracker'!$D$5:$D$149,$A380,'Session Tracker'!$F$5:$F$149,"Next week",'Session Tracker'!$G$5:$G$149,""),$D380*SUMIFS('Session Tracker'!$J$5:$J$149,'Session Tracker'!$D$5:$D$149,$A380,'Session Tracker'!$F$5:$F$149,"Next week",'Session Tracker'!$G$5:$G$149,""))</f>
        <v>0</v>
      </c>
    </row>
    <row r="381" customFormat="false" ht="15" hidden="false" customHeight="false" outlineLevel="0" collapsed="false">
      <c r="A381" s="61" t="s">
        <v>206</v>
      </c>
      <c r="B381" s="34" t="s">
        <v>379</v>
      </c>
      <c r="C381" s="34" t="s">
        <v>381</v>
      </c>
      <c r="D381" s="32" t="n">
        <v>10</v>
      </c>
      <c r="E381" s="32" t="s">
        <v>14</v>
      </c>
      <c r="F381" s="32" t="s">
        <v>368</v>
      </c>
      <c r="G381" s="34"/>
      <c r="H381" s="52" t="n">
        <f aca="false">IF($E381="Per class",$D381*COUNTIFS('Session Tracker'!$D$5:$D$149,$A381,'Session Tracker'!$F$5:$F$149,"Next week",'Session Tracker'!$G$5:$G$149,"Mon"),$D381*SUMIFS('Session Tracker'!$J$5:$J$149,'Session Tracker'!$D$5:$D$149,$A381,'Session Tracker'!$F$5:$F$149,"Next week",'Session Tracker'!$G$5:$G$149,"Mon"))</f>
        <v>0</v>
      </c>
      <c r="I381" s="52" t="n">
        <f aca="false">IF($E381="Per class",$D381*COUNTIFS('Session Tracker'!$D$5:$D$149,$A381,'Session Tracker'!$F$5:$F$149,"Next week",'Session Tracker'!$G$5:$G$149,"Tue"),$D381*SUMIFS('Session Tracker'!$J$5:$J$149,'Session Tracker'!$D$5:$D$149,$A381,'Session Tracker'!$F$5:$F$149,"Next week",'Session Tracker'!$G$5:$G$149,"Tue"))</f>
        <v>0</v>
      </c>
      <c r="J381" s="52" t="n">
        <f aca="false">IF($E381="Per class",$D381*COUNTIFS('Session Tracker'!$D$5:$D$149,$A381,'Session Tracker'!$F$5:$F$149,"Next week",'Session Tracker'!$G$5:$G$149,"Wed"),$D381*SUMIFS('Session Tracker'!$J$5:$J$149,'Session Tracker'!$D$5:$D$149,$A381,'Session Tracker'!$F$5:$F$149,"Next week",'Session Tracker'!$G$5:$G$149,"Wed"))</f>
        <v>0</v>
      </c>
      <c r="K381" s="52" t="n">
        <f aca="false">IF($E381="Per class",$D381*COUNTIFS('Session Tracker'!$D$5:$D$149,$A381,'Session Tracker'!$F$5:$F$149,"Next week",'Session Tracker'!$G$5:$G$149,"Thu"),$D381*SUMIFS('Session Tracker'!$J$5:$J$149,'Session Tracker'!$D$5:$D$149,$A381,'Session Tracker'!$F$5:$F$149,"Next week",'Session Tracker'!$G$5:$G$149,"Thu"))</f>
        <v>0</v>
      </c>
      <c r="L381" s="52" t="n">
        <f aca="false">IF($E381="Per class",$D381*COUNTIFS('Session Tracker'!$D$5:$D$149,$A381,'Session Tracker'!$F$5:$F$149,"Next week",'Session Tracker'!$G$5:$G$149,"Fri"),$D381*SUMIFS('Session Tracker'!$J$5:$J$149,'Session Tracker'!$D$5:$D$149,$A381,'Session Tracker'!$F$5:$F$149,"Next week",'Session Tracker'!$G$5:$G$149,"Fri"))</f>
        <v>0</v>
      </c>
      <c r="M381" s="52" t="n">
        <f aca="false">IF($E381="Per class",$D381*COUNTIFS('Session Tracker'!$D$5:$D$149,$A381,'Session Tracker'!$F$5:$F$149,"Next week",'Session Tracker'!$G$5:$G$149,""),$D381*SUMIFS('Session Tracker'!$J$5:$J$149,'Session Tracker'!$D$5:$D$149,$A381,'Session Tracker'!$F$5:$F$149,"Next week",'Session Tracker'!$G$5:$G$149,""))</f>
        <v>0</v>
      </c>
    </row>
    <row r="382" customFormat="false" ht="15" hidden="false" customHeight="false" outlineLevel="0" collapsed="false">
      <c r="A382" s="61" t="s">
        <v>206</v>
      </c>
      <c r="B382" s="34" t="s">
        <v>379</v>
      </c>
      <c r="C382" s="34" t="s">
        <v>395</v>
      </c>
      <c r="D382" s="32" t="n">
        <v>6</v>
      </c>
      <c r="E382" s="32" t="s">
        <v>14</v>
      </c>
      <c r="F382" s="32" t="s">
        <v>368</v>
      </c>
      <c r="G382" s="34"/>
      <c r="H382" s="52" t="n">
        <f aca="false">IF($E382="Per class",$D382*COUNTIFS('Session Tracker'!$D$5:$D$149,$A382,'Session Tracker'!$F$5:$F$149,"Next week",'Session Tracker'!$G$5:$G$149,"Mon"),$D382*SUMIFS('Session Tracker'!$J$5:$J$149,'Session Tracker'!$D$5:$D$149,$A382,'Session Tracker'!$F$5:$F$149,"Next week",'Session Tracker'!$G$5:$G$149,"Mon"))</f>
        <v>0</v>
      </c>
      <c r="I382" s="52" t="n">
        <f aca="false">IF($E382="Per class",$D382*COUNTIFS('Session Tracker'!$D$5:$D$149,$A382,'Session Tracker'!$F$5:$F$149,"Next week",'Session Tracker'!$G$5:$G$149,"Tue"),$D382*SUMIFS('Session Tracker'!$J$5:$J$149,'Session Tracker'!$D$5:$D$149,$A382,'Session Tracker'!$F$5:$F$149,"Next week",'Session Tracker'!$G$5:$G$149,"Tue"))</f>
        <v>0</v>
      </c>
      <c r="J382" s="52" t="n">
        <f aca="false">IF($E382="Per class",$D382*COUNTIFS('Session Tracker'!$D$5:$D$149,$A382,'Session Tracker'!$F$5:$F$149,"Next week",'Session Tracker'!$G$5:$G$149,"Wed"),$D382*SUMIFS('Session Tracker'!$J$5:$J$149,'Session Tracker'!$D$5:$D$149,$A382,'Session Tracker'!$F$5:$F$149,"Next week",'Session Tracker'!$G$5:$G$149,"Wed"))</f>
        <v>0</v>
      </c>
      <c r="K382" s="52" t="n">
        <f aca="false">IF($E382="Per class",$D382*COUNTIFS('Session Tracker'!$D$5:$D$149,$A382,'Session Tracker'!$F$5:$F$149,"Next week",'Session Tracker'!$G$5:$G$149,"Thu"),$D382*SUMIFS('Session Tracker'!$J$5:$J$149,'Session Tracker'!$D$5:$D$149,$A382,'Session Tracker'!$F$5:$F$149,"Next week",'Session Tracker'!$G$5:$G$149,"Thu"))</f>
        <v>0</v>
      </c>
      <c r="L382" s="52" t="n">
        <f aca="false">IF($E382="Per class",$D382*COUNTIFS('Session Tracker'!$D$5:$D$149,$A382,'Session Tracker'!$F$5:$F$149,"Next week",'Session Tracker'!$G$5:$G$149,"Fri"),$D382*SUMIFS('Session Tracker'!$J$5:$J$149,'Session Tracker'!$D$5:$D$149,$A382,'Session Tracker'!$F$5:$F$149,"Next week",'Session Tracker'!$G$5:$G$149,"Fri"))</f>
        <v>0</v>
      </c>
      <c r="M382" s="52" t="n">
        <f aca="false">IF($E382="Per class",$D382*COUNTIFS('Session Tracker'!$D$5:$D$149,$A382,'Session Tracker'!$F$5:$F$149,"Next week",'Session Tracker'!$G$5:$G$149,""),$D382*SUMIFS('Session Tracker'!$J$5:$J$149,'Session Tracker'!$D$5:$D$149,$A382,'Session Tracker'!$F$5:$F$149,"Next week",'Session Tracker'!$G$5:$G$149,""))</f>
        <v>0</v>
      </c>
    </row>
    <row r="383" customFormat="false" ht="15" hidden="false" customHeight="false" outlineLevel="0" collapsed="false">
      <c r="A383" s="61" t="s">
        <v>206</v>
      </c>
      <c r="B383" s="34" t="s">
        <v>382</v>
      </c>
      <c r="C383" s="34" t="s">
        <v>383</v>
      </c>
      <c r="D383" s="32" t="n">
        <v>1</v>
      </c>
      <c r="E383" s="32" t="s">
        <v>14</v>
      </c>
      <c r="F383" s="32" t="s">
        <v>368</v>
      </c>
      <c r="G383" s="34"/>
      <c r="H383" s="52" t="n">
        <f aca="false">IF($E383="Per class",$D383*COUNTIFS('Session Tracker'!$D$5:$D$149,$A383,'Session Tracker'!$F$5:$F$149,"Next week",'Session Tracker'!$G$5:$G$149,"Mon"),$D383*SUMIFS('Session Tracker'!$J$5:$J$149,'Session Tracker'!$D$5:$D$149,$A383,'Session Tracker'!$F$5:$F$149,"Next week",'Session Tracker'!$G$5:$G$149,"Mon"))</f>
        <v>0</v>
      </c>
      <c r="I383" s="52" t="n">
        <f aca="false">IF($E383="Per class",$D383*COUNTIFS('Session Tracker'!$D$5:$D$149,$A383,'Session Tracker'!$F$5:$F$149,"Next week",'Session Tracker'!$G$5:$G$149,"Tue"),$D383*SUMIFS('Session Tracker'!$J$5:$J$149,'Session Tracker'!$D$5:$D$149,$A383,'Session Tracker'!$F$5:$F$149,"Next week",'Session Tracker'!$G$5:$G$149,"Tue"))</f>
        <v>0</v>
      </c>
      <c r="J383" s="52" t="n">
        <f aca="false">IF($E383="Per class",$D383*COUNTIFS('Session Tracker'!$D$5:$D$149,$A383,'Session Tracker'!$F$5:$F$149,"Next week",'Session Tracker'!$G$5:$G$149,"Wed"),$D383*SUMIFS('Session Tracker'!$J$5:$J$149,'Session Tracker'!$D$5:$D$149,$A383,'Session Tracker'!$F$5:$F$149,"Next week",'Session Tracker'!$G$5:$G$149,"Wed"))</f>
        <v>0</v>
      </c>
      <c r="K383" s="52" t="n">
        <f aca="false">IF($E383="Per class",$D383*COUNTIFS('Session Tracker'!$D$5:$D$149,$A383,'Session Tracker'!$F$5:$F$149,"Next week",'Session Tracker'!$G$5:$G$149,"Thu"),$D383*SUMIFS('Session Tracker'!$J$5:$J$149,'Session Tracker'!$D$5:$D$149,$A383,'Session Tracker'!$F$5:$F$149,"Next week",'Session Tracker'!$G$5:$G$149,"Thu"))</f>
        <v>0</v>
      </c>
      <c r="L383" s="52" t="n">
        <f aca="false">IF($E383="Per class",$D383*COUNTIFS('Session Tracker'!$D$5:$D$149,$A383,'Session Tracker'!$F$5:$F$149,"Next week",'Session Tracker'!$G$5:$G$149,"Fri"),$D383*SUMIFS('Session Tracker'!$J$5:$J$149,'Session Tracker'!$D$5:$D$149,$A383,'Session Tracker'!$F$5:$F$149,"Next week",'Session Tracker'!$G$5:$G$149,"Fri"))</f>
        <v>0</v>
      </c>
      <c r="M383" s="52" t="n">
        <f aca="false">IF($E383="Per class",$D383*COUNTIFS('Session Tracker'!$D$5:$D$149,$A383,'Session Tracker'!$F$5:$F$149,"Next week",'Session Tracker'!$G$5:$G$149,""),$D383*SUMIFS('Session Tracker'!$J$5:$J$149,'Session Tracker'!$D$5:$D$149,$A383,'Session Tracker'!$F$5:$F$149,"Next week",'Session Tracker'!$G$5:$G$149,""))</f>
        <v>0</v>
      </c>
    </row>
    <row r="384" customFormat="false" ht="15" hidden="false" customHeight="false" outlineLevel="0" collapsed="false">
      <c r="A384" s="61" t="s">
        <v>206</v>
      </c>
      <c r="B384" s="34" t="s">
        <v>371</v>
      </c>
      <c r="C384" s="34" t="s">
        <v>372</v>
      </c>
      <c r="D384" s="32" t="n">
        <v>1</v>
      </c>
      <c r="E384" s="32" t="s">
        <v>14</v>
      </c>
      <c r="F384" s="32" t="s">
        <v>373</v>
      </c>
      <c r="G384" s="34" t="s">
        <v>389</v>
      </c>
      <c r="H384" s="52" t="n">
        <f aca="false">IF($E384="Per class",$D384*COUNTIFS('Session Tracker'!$D$5:$D$149,$A384,'Session Tracker'!$F$5:$F$149,"Next week",'Session Tracker'!$G$5:$G$149,"Mon"),$D384*SUMIFS('Session Tracker'!$J$5:$J$149,'Session Tracker'!$D$5:$D$149,$A384,'Session Tracker'!$F$5:$F$149,"Next week",'Session Tracker'!$G$5:$G$149,"Mon"))</f>
        <v>0</v>
      </c>
      <c r="I384" s="52" t="n">
        <f aca="false">IF($E384="Per class",$D384*COUNTIFS('Session Tracker'!$D$5:$D$149,$A384,'Session Tracker'!$F$5:$F$149,"Next week",'Session Tracker'!$G$5:$G$149,"Tue"),$D384*SUMIFS('Session Tracker'!$J$5:$J$149,'Session Tracker'!$D$5:$D$149,$A384,'Session Tracker'!$F$5:$F$149,"Next week",'Session Tracker'!$G$5:$G$149,"Tue"))</f>
        <v>0</v>
      </c>
      <c r="J384" s="52" t="n">
        <f aca="false">IF($E384="Per class",$D384*COUNTIFS('Session Tracker'!$D$5:$D$149,$A384,'Session Tracker'!$F$5:$F$149,"Next week",'Session Tracker'!$G$5:$G$149,"Wed"),$D384*SUMIFS('Session Tracker'!$J$5:$J$149,'Session Tracker'!$D$5:$D$149,$A384,'Session Tracker'!$F$5:$F$149,"Next week",'Session Tracker'!$G$5:$G$149,"Wed"))</f>
        <v>0</v>
      </c>
      <c r="K384" s="52" t="n">
        <f aca="false">IF($E384="Per class",$D384*COUNTIFS('Session Tracker'!$D$5:$D$149,$A384,'Session Tracker'!$F$5:$F$149,"Next week",'Session Tracker'!$G$5:$G$149,"Thu"),$D384*SUMIFS('Session Tracker'!$J$5:$J$149,'Session Tracker'!$D$5:$D$149,$A384,'Session Tracker'!$F$5:$F$149,"Next week",'Session Tracker'!$G$5:$G$149,"Thu"))</f>
        <v>0</v>
      </c>
      <c r="L384" s="52" t="n">
        <f aca="false">IF($E384="Per class",$D384*COUNTIFS('Session Tracker'!$D$5:$D$149,$A384,'Session Tracker'!$F$5:$F$149,"Next week",'Session Tracker'!$G$5:$G$149,"Fri"),$D384*SUMIFS('Session Tracker'!$J$5:$J$149,'Session Tracker'!$D$5:$D$149,$A384,'Session Tracker'!$F$5:$F$149,"Next week",'Session Tracker'!$G$5:$G$149,"Fri"))</f>
        <v>0</v>
      </c>
      <c r="M384" s="52" t="n">
        <f aca="false">IF($E384="Per class",$D384*COUNTIFS('Session Tracker'!$D$5:$D$149,$A384,'Session Tracker'!$F$5:$F$149,"Next week",'Session Tracker'!$G$5:$G$149,""),$D384*SUMIFS('Session Tracker'!$J$5:$J$149,'Session Tracker'!$D$5:$D$149,$A384,'Session Tracker'!$F$5:$F$149,"Next week",'Session Tracker'!$G$5:$G$149,""))</f>
        <v>0</v>
      </c>
    </row>
    <row r="385" customFormat="false" ht="15" hidden="false" customHeight="false" outlineLevel="0" collapsed="false">
      <c r="A385" s="61" t="s">
        <v>206</v>
      </c>
      <c r="B385" s="34" t="s">
        <v>375</v>
      </c>
      <c r="C385" s="34" t="s">
        <v>376</v>
      </c>
      <c r="D385" s="32" t="n">
        <v>1</v>
      </c>
      <c r="E385" s="32" t="s">
        <v>14</v>
      </c>
      <c r="F385" s="32" t="s">
        <v>373</v>
      </c>
      <c r="G385" s="34" t="s">
        <v>442</v>
      </c>
      <c r="H385" s="52" t="n">
        <f aca="false">IF($E385="Per class",$D385*COUNTIFS('Session Tracker'!$D$5:$D$149,$A385,'Session Tracker'!$F$5:$F$149,"Next week",'Session Tracker'!$G$5:$G$149,"Mon"),$D385*SUMIFS('Session Tracker'!$J$5:$J$149,'Session Tracker'!$D$5:$D$149,$A385,'Session Tracker'!$F$5:$F$149,"Next week",'Session Tracker'!$G$5:$G$149,"Mon"))</f>
        <v>0</v>
      </c>
      <c r="I385" s="52" t="n">
        <f aca="false">IF($E385="Per class",$D385*COUNTIFS('Session Tracker'!$D$5:$D$149,$A385,'Session Tracker'!$F$5:$F$149,"Next week",'Session Tracker'!$G$5:$G$149,"Tue"),$D385*SUMIFS('Session Tracker'!$J$5:$J$149,'Session Tracker'!$D$5:$D$149,$A385,'Session Tracker'!$F$5:$F$149,"Next week",'Session Tracker'!$G$5:$G$149,"Tue"))</f>
        <v>0</v>
      </c>
      <c r="J385" s="52" t="n">
        <f aca="false">IF($E385="Per class",$D385*COUNTIFS('Session Tracker'!$D$5:$D$149,$A385,'Session Tracker'!$F$5:$F$149,"Next week",'Session Tracker'!$G$5:$G$149,"Wed"),$D385*SUMIFS('Session Tracker'!$J$5:$J$149,'Session Tracker'!$D$5:$D$149,$A385,'Session Tracker'!$F$5:$F$149,"Next week",'Session Tracker'!$G$5:$G$149,"Wed"))</f>
        <v>0</v>
      </c>
      <c r="K385" s="52" t="n">
        <f aca="false">IF($E385="Per class",$D385*COUNTIFS('Session Tracker'!$D$5:$D$149,$A385,'Session Tracker'!$F$5:$F$149,"Next week",'Session Tracker'!$G$5:$G$149,"Thu"),$D385*SUMIFS('Session Tracker'!$J$5:$J$149,'Session Tracker'!$D$5:$D$149,$A385,'Session Tracker'!$F$5:$F$149,"Next week",'Session Tracker'!$G$5:$G$149,"Thu"))</f>
        <v>0</v>
      </c>
      <c r="L385" s="52" t="n">
        <f aca="false">IF($E385="Per class",$D385*COUNTIFS('Session Tracker'!$D$5:$D$149,$A385,'Session Tracker'!$F$5:$F$149,"Next week",'Session Tracker'!$G$5:$G$149,"Fri"),$D385*SUMIFS('Session Tracker'!$J$5:$J$149,'Session Tracker'!$D$5:$D$149,$A385,'Session Tracker'!$F$5:$F$149,"Next week",'Session Tracker'!$G$5:$G$149,"Fri"))</f>
        <v>0</v>
      </c>
      <c r="M385" s="52" t="n">
        <f aca="false">IF($E385="Per class",$D385*COUNTIFS('Session Tracker'!$D$5:$D$149,$A385,'Session Tracker'!$F$5:$F$149,"Next week",'Session Tracker'!$G$5:$G$149,""),$D385*SUMIFS('Session Tracker'!$J$5:$J$149,'Session Tracker'!$D$5:$D$149,$A385,'Session Tracker'!$F$5:$F$149,"Next week",'Session Tracker'!$G$5:$G$149,""))</f>
        <v>0</v>
      </c>
    </row>
    <row r="386" customFormat="false" ht="15" hidden="false" customHeight="false" outlineLevel="0" collapsed="false">
      <c r="A386" s="61" t="s">
        <v>206</v>
      </c>
      <c r="B386" s="34" t="s">
        <v>377</v>
      </c>
      <c r="C386" s="34" t="s">
        <v>378</v>
      </c>
      <c r="D386" s="32" t="n">
        <v>1</v>
      </c>
      <c r="E386" s="32" t="s">
        <v>14</v>
      </c>
      <c r="F386" s="32" t="s">
        <v>368</v>
      </c>
      <c r="G386" s="34" t="s">
        <v>389</v>
      </c>
      <c r="H386" s="52" t="n">
        <f aca="false">IF($E386="Per class",$D386*COUNTIFS('Session Tracker'!$D$5:$D$149,$A386,'Session Tracker'!$F$5:$F$149,"Next week",'Session Tracker'!$G$5:$G$149,"Mon"),$D386*SUMIFS('Session Tracker'!$J$5:$J$149,'Session Tracker'!$D$5:$D$149,$A386,'Session Tracker'!$F$5:$F$149,"Next week",'Session Tracker'!$G$5:$G$149,"Mon"))</f>
        <v>0</v>
      </c>
      <c r="I386" s="52" t="n">
        <f aca="false">IF($E386="Per class",$D386*COUNTIFS('Session Tracker'!$D$5:$D$149,$A386,'Session Tracker'!$F$5:$F$149,"Next week",'Session Tracker'!$G$5:$G$149,"Tue"),$D386*SUMIFS('Session Tracker'!$J$5:$J$149,'Session Tracker'!$D$5:$D$149,$A386,'Session Tracker'!$F$5:$F$149,"Next week",'Session Tracker'!$G$5:$G$149,"Tue"))</f>
        <v>0</v>
      </c>
      <c r="J386" s="52" t="n">
        <f aca="false">IF($E386="Per class",$D386*COUNTIFS('Session Tracker'!$D$5:$D$149,$A386,'Session Tracker'!$F$5:$F$149,"Next week",'Session Tracker'!$G$5:$G$149,"Wed"),$D386*SUMIFS('Session Tracker'!$J$5:$J$149,'Session Tracker'!$D$5:$D$149,$A386,'Session Tracker'!$F$5:$F$149,"Next week",'Session Tracker'!$G$5:$G$149,"Wed"))</f>
        <v>0</v>
      </c>
      <c r="K386" s="52" t="n">
        <f aca="false">IF($E386="Per class",$D386*COUNTIFS('Session Tracker'!$D$5:$D$149,$A386,'Session Tracker'!$F$5:$F$149,"Next week",'Session Tracker'!$G$5:$G$149,"Thu"),$D386*SUMIFS('Session Tracker'!$J$5:$J$149,'Session Tracker'!$D$5:$D$149,$A386,'Session Tracker'!$F$5:$F$149,"Next week",'Session Tracker'!$G$5:$G$149,"Thu"))</f>
        <v>0</v>
      </c>
      <c r="L386" s="52" t="n">
        <f aca="false">IF($E386="Per class",$D386*COUNTIFS('Session Tracker'!$D$5:$D$149,$A386,'Session Tracker'!$F$5:$F$149,"Next week",'Session Tracker'!$G$5:$G$149,"Fri"),$D386*SUMIFS('Session Tracker'!$J$5:$J$149,'Session Tracker'!$D$5:$D$149,$A386,'Session Tracker'!$F$5:$F$149,"Next week",'Session Tracker'!$G$5:$G$149,"Fri"))</f>
        <v>0</v>
      </c>
      <c r="M386" s="52" t="n">
        <f aca="false">IF($E386="Per class",$D386*COUNTIFS('Session Tracker'!$D$5:$D$149,$A386,'Session Tracker'!$F$5:$F$149,"Next week",'Session Tracker'!$G$5:$G$149,""),$D386*SUMIFS('Session Tracker'!$J$5:$J$149,'Session Tracker'!$D$5:$D$149,$A386,'Session Tracker'!$F$5:$F$149,"Next week",'Session Tracker'!$G$5:$G$149,""))</f>
        <v>0</v>
      </c>
    </row>
    <row r="387" customFormat="false" ht="15" hidden="false" customHeight="false" outlineLevel="0" collapsed="false">
      <c r="A387" s="53" t="s">
        <v>206</v>
      </c>
      <c r="B387" s="54"/>
      <c r="C387" s="54"/>
      <c r="D387" s="54"/>
      <c r="E387" s="54"/>
      <c r="F387" s="54"/>
      <c r="G387" s="54"/>
      <c r="H387" s="52" t="n">
        <f aca="false">IF($E387="Per class",$D387*COUNTIFS('Session Tracker'!$D$5:$D$149,$A387,'Session Tracker'!$F$5:$F$149,"Next week",'Session Tracker'!$G$5:$G$149,"Mon"),$D387*SUMIFS('Session Tracker'!$J$5:$J$149,'Session Tracker'!$D$5:$D$149,$A387,'Session Tracker'!$F$5:$F$149,"Next week",'Session Tracker'!$G$5:$G$149,"Mon"))</f>
        <v>0</v>
      </c>
      <c r="I387" s="52" t="n">
        <f aca="false">IF($E387="Per class",$D387*COUNTIFS('Session Tracker'!$D$5:$D$149,$A387,'Session Tracker'!$F$5:$F$149,"Next week",'Session Tracker'!$G$5:$G$149,"Tue"),$D387*SUMIFS('Session Tracker'!$J$5:$J$149,'Session Tracker'!$D$5:$D$149,$A387,'Session Tracker'!$F$5:$F$149,"Next week",'Session Tracker'!$G$5:$G$149,"Tue"))</f>
        <v>0</v>
      </c>
      <c r="J387" s="52" t="n">
        <f aca="false">IF($E387="Per class",$D387*COUNTIFS('Session Tracker'!$D$5:$D$149,$A387,'Session Tracker'!$F$5:$F$149,"Next week",'Session Tracker'!$G$5:$G$149,"Wed"),$D387*SUMIFS('Session Tracker'!$J$5:$J$149,'Session Tracker'!$D$5:$D$149,$A387,'Session Tracker'!$F$5:$F$149,"Next week",'Session Tracker'!$G$5:$G$149,"Wed"))</f>
        <v>0</v>
      </c>
      <c r="K387" s="52" t="n">
        <f aca="false">IF($E387="Per class",$D387*COUNTIFS('Session Tracker'!$D$5:$D$149,$A387,'Session Tracker'!$F$5:$F$149,"Next week",'Session Tracker'!$G$5:$G$149,"Thu"),$D387*SUMIFS('Session Tracker'!$J$5:$J$149,'Session Tracker'!$D$5:$D$149,$A387,'Session Tracker'!$F$5:$F$149,"Next week",'Session Tracker'!$G$5:$G$149,"Thu"))</f>
        <v>0</v>
      </c>
      <c r="L387" s="52" t="n">
        <f aca="false">IF($E387="Per class",$D387*COUNTIFS('Session Tracker'!$D$5:$D$149,$A387,'Session Tracker'!$F$5:$F$149,"Next week",'Session Tracker'!$G$5:$G$149,"Fri"),$D387*SUMIFS('Session Tracker'!$J$5:$J$149,'Session Tracker'!$D$5:$D$149,$A387,'Session Tracker'!$F$5:$F$149,"Next week",'Session Tracker'!$G$5:$G$149,"Fri"))</f>
        <v>0</v>
      </c>
      <c r="M387" s="52" t="n">
        <f aca="false">IF($E387="Per class",$D387*COUNTIFS('Session Tracker'!$D$5:$D$149,$A387,'Session Tracker'!$F$5:$F$149,"Next week",'Session Tracker'!$G$5:$G$149,""),$D387*SUMIFS('Session Tracker'!$J$5:$J$149,'Session Tracker'!$D$5:$D$149,$A387,'Session Tracker'!$F$5:$F$149,"Next week",'Session Tracker'!$G$5:$G$149,""))</f>
        <v>0</v>
      </c>
    </row>
    <row r="388" customFormat="false" ht="15" hidden="false" customHeight="false" outlineLevel="0" collapsed="false">
      <c r="A388" s="53" t="s">
        <v>206</v>
      </c>
      <c r="B388" s="54"/>
      <c r="C388" s="54"/>
      <c r="D388" s="54"/>
      <c r="E388" s="54"/>
      <c r="F388" s="54"/>
      <c r="G388" s="54"/>
      <c r="H388" s="52" t="n">
        <f aca="false">IF($E388="Per class",$D388*COUNTIFS('Session Tracker'!$D$5:$D$149,$A388,'Session Tracker'!$F$5:$F$149,"Next week",'Session Tracker'!$G$5:$G$149,"Mon"),$D388*SUMIFS('Session Tracker'!$J$5:$J$149,'Session Tracker'!$D$5:$D$149,$A388,'Session Tracker'!$F$5:$F$149,"Next week",'Session Tracker'!$G$5:$G$149,"Mon"))</f>
        <v>0</v>
      </c>
      <c r="I388" s="52" t="n">
        <f aca="false">IF($E388="Per class",$D388*COUNTIFS('Session Tracker'!$D$5:$D$149,$A388,'Session Tracker'!$F$5:$F$149,"Next week",'Session Tracker'!$G$5:$G$149,"Tue"),$D388*SUMIFS('Session Tracker'!$J$5:$J$149,'Session Tracker'!$D$5:$D$149,$A388,'Session Tracker'!$F$5:$F$149,"Next week",'Session Tracker'!$G$5:$G$149,"Tue"))</f>
        <v>0</v>
      </c>
      <c r="J388" s="52" t="n">
        <f aca="false">IF($E388="Per class",$D388*COUNTIFS('Session Tracker'!$D$5:$D$149,$A388,'Session Tracker'!$F$5:$F$149,"Next week",'Session Tracker'!$G$5:$G$149,"Wed"),$D388*SUMIFS('Session Tracker'!$J$5:$J$149,'Session Tracker'!$D$5:$D$149,$A388,'Session Tracker'!$F$5:$F$149,"Next week",'Session Tracker'!$G$5:$G$149,"Wed"))</f>
        <v>0</v>
      </c>
      <c r="K388" s="52" t="n">
        <f aca="false">IF($E388="Per class",$D388*COUNTIFS('Session Tracker'!$D$5:$D$149,$A388,'Session Tracker'!$F$5:$F$149,"Next week",'Session Tracker'!$G$5:$G$149,"Thu"),$D388*SUMIFS('Session Tracker'!$J$5:$J$149,'Session Tracker'!$D$5:$D$149,$A388,'Session Tracker'!$F$5:$F$149,"Next week",'Session Tracker'!$G$5:$G$149,"Thu"))</f>
        <v>0</v>
      </c>
      <c r="L388" s="52" t="n">
        <f aca="false">IF($E388="Per class",$D388*COUNTIFS('Session Tracker'!$D$5:$D$149,$A388,'Session Tracker'!$F$5:$F$149,"Next week",'Session Tracker'!$G$5:$G$149,"Fri"),$D388*SUMIFS('Session Tracker'!$J$5:$J$149,'Session Tracker'!$D$5:$D$149,$A388,'Session Tracker'!$F$5:$F$149,"Next week",'Session Tracker'!$G$5:$G$149,"Fri"))</f>
        <v>0</v>
      </c>
      <c r="M388" s="52" t="n">
        <f aca="false">IF($E388="Per class",$D388*COUNTIFS('Session Tracker'!$D$5:$D$149,$A388,'Session Tracker'!$F$5:$F$149,"Next week",'Session Tracker'!$G$5:$G$149,""),$D388*SUMIFS('Session Tracker'!$J$5:$J$149,'Session Tracker'!$D$5:$D$149,$A388,'Session Tracker'!$F$5:$F$149,"Next week",'Session Tracker'!$G$5:$G$149,""))</f>
        <v>0</v>
      </c>
    </row>
    <row r="390" customFormat="false" ht="19.5" hidden="false" customHeight="true" outlineLevel="0" collapsed="false">
      <c r="A390" s="57" t="s">
        <v>208</v>
      </c>
      <c r="B390" s="58" t="s">
        <v>577</v>
      </c>
      <c r="C390" s="58"/>
      <c r="D390" s="58"/>
      <c r="E390" s="58"/>
      <c r="F390" s="59" t="str">
        <f aca="false">"Status: "&amp;'Session Tracker'!F72&amp;IF('Session Tracker'!G72&lt;&gt;""," ("&amp;'Session Tracker'!G72&amp;")","")</f>
        <v>Status: Not started</v>
      </c>
      <c r="G390" s="59"/>
      <c r="H390" s="60"/>
      <c r="I390" s="60"/>
      <c r="J390" s="60"/>
      <c r="K390" s="60"/>
      <c r="L390" s="60"/>
      <c r="M390" s="60"/>
    </row>
    <row r="391" customFormat="false" ht="23.85" hidden="false" customHeight="false" outlineLevel="0" collapsed="false">
      <c r="A391" s="61" t="s">
        <v>208</v>
      </c>
      <c r="B391" s="34" t="s">
        <v>366</v>
      </c>
      <c r="C391" s="34" t="s">
        <v>367</v>
      </c>
      <c r="D391" s="32" t="n">
        <v>1</v>
      </c>
      <c r="E391" s="32" t="s">
        <v>14</v>
      </c>
      <c r="F391" s="32" t="s">
        <v>368</v>
      </c>
      <c r="G391" s="34"/>
      <c r="H391" s="52" t="n">
        <f aca="false">IF($E391="Per class",$D391*COUNTIFS('Session Tracker'!$D$5:$D$149,$A391,'Session Tracker'!$F$5:$F$149,"Next week",'Session Tracker'!$G$5:$G$149,"Mon"),$D391*SUMIFS('Session Tracker'!$J$5:$J$149,'Session Tracker'!$D$5:$D$149,$A391,'Session Tracker'!$F$5:$F$149,"Next week",'Session Tracker'!$G$5:$G$149,"Mon"))</f>
        <v>0</v>
      </c>
      <c r="I391" s="52" t="n">
        <f aca="false">IF($E391="Per class",$D391*COUNTIFS('Session Tracker'!$D$5:$D$149,$A391,'Session Tracker'!$F$5:$F$149,"Next week",'Session Tracker'!$G$5:$G$149,"Tue"),$D391*SUMIFS('Session Tracker'!$J$5:$J$149,'Session Tracker'!$D$5:$D$149,$A391,'Session Tracker'!$F$5:$F$149,"Next week",'Session Tracker'!$G$5:$G$149,"Tue"))</f>
        <v>0</v>
      </c>
      <c r="J391" s="52" t="n">
        <f aca="false">IF($E391="Per class",$D391*COUNTIFS('Session Tracker'!$D$5:$D$149,$A391,'Session Tracker'!$F$5:$F$149,"Next week",'Session Tracker'!$G$5:$G$149,"Wed"),$D391*SUMIFS('Session Tracker'!$J$5:$J$149,'Session Tracker'!$D$5:$D$149,$A391,'Session Tracker'!$F$5:$F$149,"Next week",'Session Tracker'!$G$5:$G$149,"Wed"))</f>
        <v>0</v>
      </c>
      <c r="K391" s="52" t="n">
        <f aca="false">IF($E391="Per class",$D391*COUNTIFS('Session Tracker'!$D$5:$D$149,$A391,'Session Tracker'!$F$5:$F$149,"Next week",'Session Tracker'!$G$5:$G$149,"Thu"),$D391*SUMIFS('Session Tracker'!$J$5:$J$149,'Session Tracker'!$D$5:$D$149,$A391,'Session Tracker'!$F$5:$F$149,"Next week",'Session Tracker'!$G$5:$G$149,"Thu"))</f>
        <v>0</v>
      </c>
      <c r="L391" s="52" t="n">
        <f aca="false">IF($E391="Per class",$D391*COUNTIFS('Session Tracker'!$D$5:$D$149,$A391,'Session Tracker'!$F$5:$F$149,"Next week",'Session Tracker'!$G$5:$G$149,"Fri"),$D391*SUMIFS('Session Tracker'!$J$5:$J$149,'Session Tracker'!$D$5:$D$149,$A391,'Session Tracker'!$F$5:$F$149,"Next week",'Session Tracker'!$G$5:$G$149,"Fri"))</f>
        <v>0</v>
      </c>
      <c r="M391" s="52" t="n">
        <f aca="false">IF($E391="Per class",$D391*COUNTIFS('Session Tracker'!$D$5:$D$149,$A391,'Session Tracker'!$F$5:$F$149,"Next week",'Session Tracker'!$G$5:$G$149,""),$D391*SUMIFS('Session Tracker'!$J$5:$J$149,'Session Tracker'!$D$5:$D$149,$A391,'Session Tracker'!$F$5:$F$149,"Next week",'Session Tracker'!$G$5:$G$149,""))</f>
        <v>0</v>
      </c>
    </row>
    <row r="392" customFormat="false" ht="15" hidden="false" customHeight="false" outlineLevel="0" collapsed="false">
      <c r="A392" s="61" t="s">
        <v>208</v>
      </c>
      <c r="B392" s="34" t="s">
        <v>377</v>
      </c>
      <c r="C392" s="34" t="s">
        <v>439</v>
      </c>
      <c r="D392" s="32" t="n">
        <v>2</v>
      </c>
      <c r="E392" s="32" t="s">
        <v>14</v>
      </c>
      <c r="F392" s="32" t="s">
        <v>368</v>
      </c>
      <c r="G392" s="34"/>
      <c r="H392" s="52" t="n">
        <f aca="false">IF($E392="Per class",$D392*COUNTIFS('Session Tracker'!$D$5:$D$149,$A392,'Session Tracker'!$F$5:$F$149,"Next week",'Session Tracker'!$G$5:$G$149,"Mon"),$D392*SUMIFS('Session Tracker'!$J$5:$J$149,'Session Tracker'!$D$5:$D$149,$A392,'Session Tracker'!$F$5:$F$149,"Next week",'Session Tracker'!$G$5:$G$149,"Mon"))</f>
        <v>0</v>
      </c>
      <c r="I392" s="52" t="n">
        <f aca="false">IF($E392="Per class",$D392*COUNTIFS('Session Tracker'!$D$5:$D$149,$A392,'Session Tracker'!$F$5:$F$149,"Next week",'Session Tracker'!$G$5:$G$149,"Tue"),$D392*SUMIFS('Session Tracker'!$J$5:$J$149,'Session Tracker'!$D$5:$D$149,$A392,'Session Tracker'!$F$5:$F$149,"Next week",'Session Tracker'!$G$5:$G$149,"Tue"))</f>
        <v>0</v>
      </c>
      <c r="J392" s="52" t="n">
        <f aca="false">IF($E392="Per class",$D392*COUNTIFS('Session Tracker'!$D$5:$D$149,$A392,'Session Tracker'!$F$5:$F$149,"Next week",'Session Tracker'!$G$5:$G$149,"Wed"),$D392*SUMIFS('Session Tracker'!$J$5:$J$149,'Session Tracker'!$D$5:$D$149,$A392,'Session Tracker'!$F$5:$F$149,"Next week",'Session Tracker'!$G$5:$G$149,"Wed"))</f>
        <v>0</v>
      </c>
      <c r="K392" s="52" t="n">
        <f aca="false">IF($E392="Per class",$D392*COUNTIFS('Session Tracker'!$D$5:$D$149,$A392,'Session Tracker'!$F$5:$F$149,"Next week",'Session Tracker'!$G$5:$G$149,"Thu"),$D392*SUMIFS('Session Tracker'!$J$5:$J$149,'Session Tracker'!$D$5:$D$149,$A392,'Session Tracker'!$F$5:$F$149,"Next week",'Session Tracker'!$G$5:$G$149,"Thu"))</f>
        <v>0</v>
      </c>
      <c r="L392" s="52" t="n">
        <f aca="false">IF($E392="Per class",$D392*COUNTIFS('Session Tracker'!$D$5:$D$149,$A392,'Session Tracker'!$F$5:$F$149,"Next week",'Session Tracker'!$G$5:$G$149,"Fri"),$D392*SUMIFS('Session Tracker'!$J$5:$J$149,'Session Tracker'!$D$5:$D$149,$A392,'Session Tracker'!$F$5:$F$149,"Next week",'Session Tracker'!$G$5:$G$149,"Fri"))</f>
        <v>0</v>
      </c>
      <c r="M392" s="52" t="n">
        <f aca="false">IF($E392="Per class",$D392*COUNTIFS('Session Tracker'!$D$5:$D$149,$A392,'Session Tracker'!$F$5:$F$149,"Next week",'Session Tracker'!$G$5:$G$149,""),$D392*SUMIFS('Session Tracker'!$J$5:$J$149,'Session Tracker'!$D$5:$D$149,$A392,'Session Tracker'!$F$5:$F$149,"Next week",'Session Tracker'!$G$5:$G$149,""))</f>
        <v>0</v>
      </c>
    </row>
    <row r="393" customFormat="false" ht="15" hidden="false" customHeight="false" outlineLevel="0" collapsed="false">
      <c r="A393" s="61" t="s">
        <v>208</v>
      </c>
      <c r="B393" s="34" t="s">
        <v>369</v>
      </c>
      <c r="C393" s="34" t="s">
        <v>560</v>
      </c>
      <c r="D393" s="32" t="n">
        <v>1</v>
      </c>
      <c r="E393" s="32" t="s">
        <v>14</v>
      </c>
      <c r="F393" s="32" t="s">
        <v>368</v>
      </c>
      <c r="G393" s="34"/>
      <c r="H393" s="52" t="n">
        <f aca="false">IF($E393="Per class",$D393*COUNTIFS('Session Tracker'!$D$5:$D$149,$A393,'Session Tracker'!$F$5:$F$149,"Next week",'Session Tracker'!$G$5:$G$149,"Mon"),$D393*SUMIFS('Session Tracker'!$J$5:$J$149,'Session Tracker'!$D$5:$D$149,$A393,'Session Tracker'!$F$5:$F$149,"Next week",'Session Tracker'!$G$5:$G$149,"Mon"))</f>
        <v>0</v>
      </c>
      <c r="I393" s="52" t="n">
        <f aca="false">IF($E393="Per class",$D393*COUNTIFS('Session Tracker'!$D$5:$D$149,$A393,'Session Tracker'!$F$5:$F$149,"Next week",'Session Tracker'!$G$5:$G$149,"Tue"),$D393*SUMIFS('Session Tracker'!$J$5:$J$149,'Session Tracker'!$D$5:$D$149,$A393,'Session Tracker'!$F$5:$F$149,"Next week",'Session Tracker'!$G$5:$G$149,"Tue"))</f>
        <v>0</v>
      </c>
      <c r="J393" s="52" t="n">
        <f aca="false">IF($E393="Per class",$D393*COUNTIFS('Session Tracker'!$D$5:$D$149,$A393,'Session Tracker'!$F$5:$F$149,"Next week",'Session Tracker'!$G$5:$G$149,"Wed"),$D393*SUMIFS('Session Tracker'!$J$5:$J$149,'Session Tracker'!$D$5:$D$149,$A393,'Session Tracker'!$F$5:$F$149,"Next week",'Session Tracker'!$G$5:$G$149,"Wed"))</f>
        <v>0</v>
      </c>
      <c r="K393" s="52" t="n">
        <f aca="false">IF($E393="Per class",$D393*COUNTIFS('Session Tracker'!$D$5:$D$149,$A393,'Session Tracker'!$F$5:$F$149,"Next week",'Session Tracker'!$G$5:$G$149,"Thu"),$D393*SUMIFS('Session Tracker'!$J$5:$J$149,'Session Tracker'!$D$5:$D$149,$A393,'Session Tracker'!$F$5:$F$149,"Next week",'Session Tracker'!$G$5:$G$149,"Thu"))</f>
        <v>0</v>
      </c>
      <c r="L393" s="52" t="n">
        <f aca="false">IF($E393="Per class",$D393*COUNTIFS('Session Tracker'!$D$5:$D$149,$A393,'Session Tracker'!$F$5:$F$149,"Next week",'Session Tracker'!$G$5:$G$149,"Fri"),$D393*SUMIFS('Session Tracker'!$J$5:$J$149,'Session Tracker'!$D$5:$D$149,$A393,'Session Tracker'!$F$5:$F$149,"Next week",'Session Tracker'!$G$5:$G$149,"Fri"))</f>
        <v>0</v>
      </c>
      <c r="M393" s="52" t="n">
        <f aca="false">IF($E393="Per class",$D393*COUNTIFS('Session Tracker'!$D$5:$D$149,$A393,'Session Tracker'!$F$5:$F$149,"Next week",'Session Tracker'!$G$5:$G$149,""),$D393*SUMIFS('Session Tracker'!$J$5:$J$149,'Session Tracker'!$D$5:$D$149,$A393,'Session Tracker'!$F$5:$F$149,"Next week",'Session Tracker'!$G$5:$G$149,""))</f>
        <v>0</v>
      </c>
    </row>
    <row r="394" customFormat="false" ht="15" hidden="false" customHeight="false" outlineLevel="0" collapsed="false">
      <c r="A394" s="61" t="s">
        <v>208</v>
      </c>
      <c r="B394" s="34" t="s">
        <v>411</v>
      </c>
      <c r="C394" s="34" t="s">
        <v>444</v>
      </c>
      <c r="D394" s="32" t="n">
        <v>10</v>
      </c>
      <c r="E394" s="32" t="s">
        <v>14</v>
      </c>
      <c r="F394" s="32" t="s">
        <v>373</v>
      </c>
      <c r="G394" s="34"/>
      <c r="H394" s="52" t="n">
        <f aca="false">IF($E394="Per class",$D394*COUNTIFS('Session Tracker'!$D$5:$D$149,$A394,'Session Tracker'!$F$5:$F$149,"Next week",'Session Tracker'!$G$5:$G$149,"Mon"),$D394*SUMIFS('Session Tracker'!$J$5:$J$149,'Session Tracker'!$D$5:$D$149,$A394,'Session Tracker'!$F$5:$F$149,"Next week",'Session Tracker'!$G$5:$G$149,"Mon"))</f>
        <v>0</v>
      </c>
      <c r="I394" s="52" t="n">
        <f aca="false">IF($E394="Per class",$D394*COUNTIFS('Session Tracker'!$D$5:$D$149,$A394,'Session Tracker'!$F$5:$F$149,"Next week",'Session Tracker'!$G$5:$G$149,"Tue"),$D394*SUMIFS('Session Tracker'!$J$5:$J$149,'Session Tracker'!$D$5:$D$149,$A394,'Session Tracker'!$F$5:$F$149,"Next week",'Session Tracker'!$G$5:$G$149,"Tue"))</f>
        <v>0</v>
      </c>
      <c r="J394" s="52" t="n">
        <f aca="false">IF($E394="Per class",$D394*COUNTIFS('Session Tracker'!$D$5:$D$149,$A394,'Session Tracker'!$F$5:$F$149,"Next week",'Session Tracker'!$G$5:$G$149,"Wed"),$D394*SUMIFS('Session Tracker'!$J$5:$J$149,'Session Tracker'!$D$5:$D$149,$A394,'Session Tracker'!$F$5:$F$149,"Next week",'Session Tracker'!$G$5:$G$149,"Wed"))</f>
        <v>0</v>
      </c>
      <c r="K394" s="52" t="n">
        <f aca="false">IF($E394="Per class",$D394*COUNTIFS('Session Tracker'!$D$5:$D$149,$A394,'Session Tracker'!$F$5:$F$149,"Next week",'Session Tracker'!$G$5:$G$149,"Thu"),$D394*SUMIFS('Session Tracker'!$J$5:$J$149,'Session Tracker'!$D$5:$D$149,$A394,'Session Tracker'!$F$5:$F$149,"Next week",'Session Tracker'!$G$5:$G$149,"Thu"))</f>
        <v>0</v>
      </c>
      <c r="L394" s="52" t="n">
        <f aca="false">IF($E394="Per class",$D394*COUNTIFS('Session Tracker'!$D$5:$D$149,$A394,'Session Tracker'!$F$5:$F$149,"Next week",'Session Tracker'!$G$5:$G$149,"Fri"),$D394*SUMIFS('Session Tracker'!$J$5:$J$149,'Session Tracker'!$D$5:$D$149,$A394,'Session Tracker'!$F$5:$F$149,"Next week",'Session Tracker'!$G$5:$G$149,"Fri"))</f>
        <v>0</v>
      </c>
      <c r="M394" s="52" t="n">
        <f aca="false">IF($E394="Per class",$D394*COUNTIFS('Session Tracker'!$D$5:$D$149,$A394,'Session Tracker'!$F$5:$F$149,"Next week",'Session Tracker'!$G$5:$G$149,""),$D394*SUMIFS('Session Tracker'!$J$5:$J$149,'Session Tracker'!$D$5:$D$149,$A394,'Session Tracker'!$F$5:$F$149,"Next week",'Session Tracker'!$G$5:$G$149,""))</f>
        <v>0</v>
      </c>
    </row>
    <row r="395" customFormat="false" ht="15" hidden="false" customHeight="false" outlineLevel="0" collapsed="false">
      <c r="A395" s="61" t="s">
        <v>208</v>
      </c>
      <c r="B395" s="34" t="s">
        <v>411</v>
      </c>
      <c r="C395" s="34" t="s">
        <v>440</v>
      </c>
      <c r="D395" s="32" t="n">
        <v>1</v>
      </c>
      <c r="E395" s="32" t="s">
        <v>14</v>
      </c>
      <c r="F395" s="32" t="s">
        <v>373</v>
      </c>
      <c r="G395" s="34"/>
      <c r="H395" s="52" t="n">
        <f aca="false">IF($E395="Per class",$D395*COUNTIFS('Session Tracker'!$D$5:$D$149,$A395,'Session Tracker'!$F$5:$F$149,"Next week",'Session Tracker'!$G$5:$G$149,"Mon"),$D395*SUMIFS('Session Tracker'!$J$5:$J$149,'Session Tracker'!$D$5:$D$149,$A395,'Session Tracker'!$F$5:$F$149,"Next week",'Session Tracker'!$G$5:$G$149,"Mon"))</f>
        <v>0</v>
      </c>
      <c r="I395" s="52" t="n">
        <f aca="false">IF($E395="Per class",$D395*COUNTIFS('Session Tracker'!$D$5:$D$149,$A395,'Session Tracker'!$F$5:$F$149,"Next week",'Session Tracker'!$G$5:$G$149,"Tue"),$D395*SUMIFS('Session Tracker'!$J$5:$J$149,'Session Tracker'!$D$5:$D$149,$A395,'Session Tracker'!$F$5:$F$149,"Next week",'Session Tracker'!$G$5:$G$149,"Tue"))</f>
        <v>0</v>
      </c>
      <c r="J395" s="52" t="n">
        <f aca="false">IF($E395="Per class",$D395*COUNTIFS('Session Tracker'!$D$5:$D$149,$A395,'Session Tracker'!$F$5:$F$149,"Next week",'Session Tracker'!$G$5:$G$149,"Wed"),$D395*SUMIFS('Session Tracker'!$J$5:$J$149,'Session Tracker'!$D$5:$D$149,$A395,'Session Tracker'!$F$5:$F$149,"Next week",'Session Tracker'!$G$5:$G$149,"Wed"))</f>
        <v>0</v>
      </c>
      <c r="K395" s="52" t="n">
        <f aca="false">IF($E395="Per class",$D395*COUNTIFS('Session Tracker'!$D$5:$D$149,$A395,'Session Tracker'!$F$5:$F$149,"Next week",'Session Tracker'!$G$5:$G$149,"Thu"),$D395*SUMIFS('Session Tracker'!$J$5:$J$149,'Session Tracker'!$D$5:$D$149,$A395,'Session Tracker'!$F$5:$F$149,"Next week",'Session Tracker'!$G$5:$G$149,"Thu"))</f>
        <v>0</v>
      </c>
      <c r="L395" s="52" t="n">
        <f aca="false">IF($E395="Per class",$D395*COUNTIFS('Session Tracker'!$D$5:$D$149,$A395,'Session Tracker'!$F$5:$F$149,"Next week",'Session Tracker'!$G$5:$G$149,"Fri"),$D395*SUMIFS('Session Tracker'!$J$5:$J$149,'Session Tracker'!$D$5:$D$149,$A395,'Session Tracker'!$F$5:$F$149,"Next week",'Session Tracker'!$G$5:$G$149,"Fri"))</f>
        <v>0</v>
      </c>
      <c r="M395" s="52" t="n">
        <f aca="false">IF($E395="Per class",$D395*COUNTIFS('Session Tracker'!$D$5:$D$149,$A395,'Session Tracker'!$F$5:$F$149,"Next week",'Session Tracker'!$G$5:$G$149,""),$D395*SUMIFS('Session Tracker'!$J$5:$J$149,'Session Tracker'!$D$5:$D$149,$A395,'Session Tracker'!$F$5:$F$149,"Next week",'Session Tracker'!$G$5:$G$149,""))</f>
        <v>0</v>
      </c>
    </row>
    <row r="396" customFormat="false" ht="15" hidden="false" customHeight="false" outlineLevel="0" collapsed="false">
      <c r="A396" s="61" t="s">
        <v>208</v>
      </c>
      <c r="B396" s="34" t="s">
        <v>382</v>
      </c>
      <c r="C396" s="34" t="s">
        <v>495</v>
      </c>
      <c r="D396" s="32" t="n">
        <v>1</v>
      </c>
      <c r="E396" s="32" t="s">
        <v>16</v>
      </c>
      <c r="F396" s="32" t="s">
        <v>368</v>
      </c>
      <c r="G396" s="34" t="s">
        <v>578</v>
      </c>
      <c r="H396" s="52" t="n">
        <f aca="false">IF($E396="Per class",$D396*COUNTIFS('Session Tracker'!$D$5:$D$149,$A396,'Session Tracker'!$F$5:$F$149,"Next week",'Session Tracker'!$G$5:$G$149,"Mon"),$D396*SUMIFS('Session Tracker'!$J$5:$J$149,'Session Tracker'!$D$5:$D$149,$A396,'Session Tracker'!$F$5:$F$149,"Next week",'Session Tracker'!$G$5:$G$149,"Mon"))</f>
        <v>0</v>
      </c>
      <c r="I396" s="52" t="n">
        <f aca="false">IF($E396="Per class",$D396*COUNTIFS('Session Tracker'!$D$5:$D$149,$A396,'Session Tracker'!$F$5:$F$149,"Next week",'Session Tracker'!$G$5:$G$149,"Tue"),$D396*SUMIFS('Session Tracker'!$J$5:$J$149,'Session Tracker'!$D$5:$D$149,$A396,'Session Tracker'!$F$5:$F$149,"Next week",'Session Tracker'!$G$5:$G$149,"Tue"))</f>
        <v>0</v>
      </c>
      <c r="J396" s="52" t="n">
        <f aca="false">IF($E396="Per class",$D396*COUNTIFS('Session Tracker'!$D$5:$D$149,$A396,'Session Tracker'!$F$5:$F$149,"Next week",'Session Tracker'!$G$5:$G$149,"Wed"),$D396*SUMIFS('Session Tracker'!$J$5:$J$149,'Session Tracker'!$D$5:$D$149,$A396,'Session Tracker'!$F$5:$F$149,"Next week",'Session Tracker'!$G$5:$G$149,"Wed"))</f>
        <v>0</v>
      </c>
      <c r="K396" s="52" t="n">
        <f aca="false">IF($E396="Per class",$D396*COUNTIFS('Session Tracker'!$D$5:$D$149,$A396,'Session Tracker'!$F$5:$F$149,"Next week",'Session Tracker'!$G$5:$G$149,"Thu"),$D396*SUMIFS('Session Tracker'!$J$5:$J$149,'Session Tracker'!$D$5:$D$149,$A396,'Session Tracker'!$F$5:$F$149,"Next week",'Session Tracker'!$G$5:$G$149,"Thu"))</f>
        <v>0</v>
      </c>
      <c r="L396" s="52" t="n">
        <f aca="false">IF($E396="Per class",$D396*COUNTIFS('Session Tracker'!$D$5:$D$149,$A396,'Session Tracker'!$F$5:$F$149,"Next week",'Session Tracker'!$G$5:$G$149,"Fri"),$D396*SUMIFS('Session Tracker'!$J$5:$J$149,'Session Tracker'!$D$5:$D$149,$A396,'Session Tracker'!$F$5:$F$149,"Next week",'Session Tracker'!$G$5:$G$149,"Fri"))</f>
        <v>0</v>
      </c>
      <c r="M396" s="52" t="n">
        <f aca="false">IF($E396="Per class",$D396*COUNTIFS('Session Tracker'!$D$5:$D$149,$A396,'Session Tracker'!$F$5:$F$149,"Next week",'Session Tracker'!$G$5:$G$149,""),$D396*SUMIFS('Session Tracker'!$J$5:$J$149,'Session Tracker'!$D$5:$D$149,$A396,'Session Tracker'!$F$5:$F$149,"Next week",'Session Tracker'!$G$5:$G$149,""))</f>
        <v>0</v>
      </c>
    </row>
    <row r="397" customFormat="false" ht="15" hidden="false" customHeight="false" outlineLevel="0" collapsed="false">
      <c r="A397" s="61" t="s">
        <v>208</v>
      </c>
      <c r="B397" s="34" t="s">
        <v>379</v>
      </c>
      <c r="C397" s="34" t="s">
        <v>380</v>
      </c>
      <c r="D397" s="32" t="n">
        <v>1</v>
      </c>
      <c r="E397" s="32" t="s">
        <v>14</v>
      </c>
      <c r="F397" s="32" t="s">
        <v>368</v>
      </c>
      <c r="G397" s="34"/>
      <c r="H397" s="52" t="n">
        <f aca="false">IF($E397="Per class",$D397*COUNTIFS('Session Tracker'!$D$5:$D$149,$A397,'Session Tracker'!$F$5:$F$149,"Next week",'Session Tracker'!$G$5:$G$149,"Mon"),$D397*SUMIFS('Session Tracker'!$J$5:$J$149,'Session Tracker'!$D$5:$D$149,$A397,'Session Tracker'!$F$5:$F$149,"Next week",'Session Tracker'!$G$5:$G$149,"Mon"))</f>
        <v>0</v>
      </c>
      <c r="I397" s="52" t="n">
        <f aca="false">IF($E397="Per class",$D397*COUNTIFS('Session Tracker'!$D$5:$D$149,$A397,'Session Tracker'!$F$5:$F$149,"Next week",'Session Tracker'!$G$5:$G$149,"Tue"),$D397*SUMIFS('Session Tracker'!$J$5:$J$149,'Session Tracker'!$D$5:$D$149,$A397,'Session Tracker'!$F$5:$F$149,"Next week",'Session Tracker'!$G$5:$G$149,"Tue"))</f>
        <v>0</v>
      </c>
      <c r="J397" s="52" t="n">
        <f aca="false">IF($E397="Per class",$D397*COUNTIFS('Session Tracker'!$D$5:$D$149,$A397,'Session Tracker'!$F$5:$F$149,"Next week",'Session Tracker'!$G$5:$G$149,"Wed"),$D397*SUMIFS('Session Tracker'!$J$5:$J$149,'Session Tracker'!$D$5:$D$149,$A397,'Session Tracker'!$F$5:$F$149,"Next week",'Session Tracker'!$G$5:$G$149,"Wed"))</f>
        <v>0</v>
      </c>
      <c r="K397" s="52" t="n">
        <f aca="false">IF($E397="Per class",$D397*COUNTIFS('Session Tracker'!$D$5:$D$149,$A397,'Session Tracker'!$F$5:$F$149,"Next week",'Session Tracker'!$G$5:$G$149,"Thu"),$D397*SUMIFS('Session Tracker'!$J$5:$J$149,'Session Tracker'!$D$5:$D$149,$A397,'Session Tracker'!$F$5:$F$149,"Next week",'Session Tracker'!$G$5:$G$149,"Thu"))</f>
        <v>0</v>
      </c>
      <c r="L397" s="52" t="n">
        <f aca="false">IF($E397="Per class",$D397*COUNTIFS('Session Tracker'!$D$5:$D$149,$A397,'Session Tracker'!$F$5:$F$149,"Next week",'Session Tracker'!$G$5:$G$149,"Fri"),$D397*SUMIFS('Session Tracker'!$J$5:$J$149,'Session Tracker'!$D$5:$D$149,$A397,'Session Tracker'!$F$5:$F$149,"Next week",'Session Tracker'!$G$5:$G$149,"Fri"))</f>
        <v>0</v>
      </c>
      <c r="M397" s="52" t="n">
        <f aca="false">IF($E397="Per class",$D397*COUNTIFS('Session Tracker'!$D$5:$D$149,$A397,'Session Tracker'!$F$5:$F$149,"Next week",'Session Tracker'!$G$5:$G$149,""),$D397*SUMIFS('Session Tracker'!$J$5:$J$149,'Session Tracker'!$D$5:$D$149,$A397,'Session Tracker'!$F$5:$F$149,"Next week",'Session Tracker'!$G$5:$G$149,""))</f>
        <v>0</v>
      </c>
    </row>
    <row r="398" customFormat="false" ht="15" hidden="false" customHeight="false" outlineLevel="0" collapsed="false">
      <c r="A398" s="61" t="s">
        <v>208</v>
      </c>
      <c r="B398" s="34" t="s">
        <v>379</v>
      </c>
      <c r="C398" s="34" t="s">
        <v>381</v>
      </c>
      <c r="D398" s="32" t="n">
        <v>10</v>
      </c>
      <c r="E398" s="32" t="s">
        <v>14</v>
      </c>
      <c r="F398" s="32" t="s">
        <v>368</v>
      </c>
      <c r="G398" s="34"/>
      <c r="H398" s="52" t="n">
        <f aca="false">IF($E398="Per class",$D398*COUNTIFS('Session Tracker'!$D$5:$D$149,$A398,'Session Tracker'!$F$5:$F$149,"Next week",'Session Tracker'!$G$5:$G$149,"Mon"),$D398*SUMIFS('Session Tracker'!$J$5:$J$149,'Session Tracker'!$D$5:$D$149,$A398,'Session Tracker'!$F$5:$F$149,"Next week",'Session Tracker'!$G$5:$G$149,"Mon"))</f>
        <v>0</v>
      </c>
      <c r="I398" s="52" t="n">
        <f aca="false">IF($E398="Per class",$D398*COUNTIFS('Session Tracker'!$D$5:$D$149,$A398,'Session Tracker'!$F$5:$F$149,"Next week",'Session Tracker'!$G$5:$G$149,"Tue"),$D398*SUMIFS('Session Tracker'!$J$5:$J$149,'Session Tracker'!$D$5:$D$149,$A398,'Session Tracker'!$F$5:$F$149,"Next week",'Session Tracker'!$G$5:$G$149,"Tue"))</f>
        <v>0</v>
      </c>
      <c r="J398" s="52" t="n">
        <f aca="false">IF($E398="Per class",$D398*COUNTIFS('Session Tracker'!$D$5:$D$149,$A398,'Session Tracker'!$F$5:$F$149,"Next week",'Session Tracker'!$G$5:$G$149,"Wed"),$D398*SUMIFS('Session Tracker'!$J$5:$J$149,'Session Tracker'!$D$5:$D$149,$A398,'Session Tracker'!$F$5:$F$149,"Next week",'Session Tracker'!$G$5:$G$149,"Wed"))</f>
        <v>0</v>
      </c>
      <c r="K398" s="52" t="n">
        <f aca="false">IF($E398="Per class",$D398*COUNTIFS('Session Tracker'!$D$5:$D$149,$A398,'Session Tracker'!$F$5:$F$149,"Next week",'Session Tracker'!$G$5:$G$149,"Thu"),$D398*SUMIFS('Session Tracker'!$J$5:$J$149,'Session Tracker'!$D$5:$D$149,$A398,'Session Tracker'!$F$5:$F$149,"Next week",'Session Tracker'!$G$5:$G$149,"Thu"))</f>
        <v>0</v>
      </c>
      <c r="L398" s="52" t="n">
        <f aca="false">IF($E398="Per class",$D398*COUNTIFS('Session Tracker'!$D$5:$D$149,$A398,'Session Tracker'!$F$5:$F$149,"Next week",'Session Tracker'!$G$5:$G$149,"Fri"),$D398*SUMIFS('Session Tracker'!$J$5:$J$149,'Session Tracker'!$D$5:$D$149,$A398,'Session Tracker'!$F$5:$F$149,"Next week",'Session Tracker'!$G$5:$G$149,"Fri"))</f>
        <v>0</v>
      </c>
      <c r="M398" s="52" t="n">
        <f aca="false">IF($E398="Per class",$D398*COUNTIFS('Session Tracker'!$D$5:$D$149,$A398,'Session Tracker'!$F$5:$F$149,"Next week",'Session Tracker'!$G$5:$G$149,""),$D398*SUMIFS('Session Tracker'!$J$5:$J$149,'Session Tracker'!$D$5:$D$149,$A398,'Session Tracker'!$F$5:$F$149,"Next week",'Session Tracker'!$G$5:$G$149,""))</f>
        <v>0</v>
      </c>
    </row>
    <row r="399" customFormat="false" ht="15" hidden="false" customHeight="false" outlineLevel="0" collapsed="false">
      <c r="A399" s="61" t="s">
        <v>208</v>
      </c>
      <c r="B399" s="34" t="s">
        <v>379</v>
      </c>
      <c r="C399" s="34" t="s">
        <v>395</v>
      </c>
      <c r="D399" s="32" t="n">
        <v>5</v>
      </c>
      <c r="E399" s="32" t="s">
        <v>14</v>
      </c>
      <c r="F399" s="32" t="s">
        <v>368</v>
      </c>
      <c r="G399" s="34"/>
      <c r="H399" s="52" t="n">
        <f aca="false">IF($E399="Per class",$D399*COUNTIFS('Session Tracker'!$D$5:$D$149,$A399,'Session Tracker'!$F$5:$F$149,"Next week",'Session Tracker'!$G$5:$G$149,"Mon"),$D399*SUMIFS('Session Tracker'!$J$5:$J$149,'Session Tracker'!$D$5:$D$149,$A399,'Session Tracker'!$F$5:$F$149,"Next week",'Session Tracker'!$G$5:$G$149,"Mon"))</f>
        <v>0</v>
      </c>
      <c r="I399" s="52" t="n">
        <f aca="false">IF($E399="Per class",$D399*COUNTIFS('Session Tracker'!$D$5:$D$149,$A399,'Session Tracker'!$F$5:$F$149,"Next week",'Session Tracker'!$G$5:$G$149,"Tue"),$D399*SUMIFS('Session Tracker'!$J$5:$J$149,'Session Tracker'!$D$5:$D$149,$A399,'Session Tracker'!$F$5:$F$149,"Next week",'Session Tracker'!$G$5:$G$149,"Tue"))</f>
        <v>0</v>
      </c>
      <c r="J399" s="52" t="n">
        <f aca="false">IF($E399="Per class",$D399*COUNTIFS('Session Tracker'!$D$5:$D$149,$A399,'Session Tracker'!$F$5:$F$149,"Next week",'Session Tracker'!$G$5:$G$149,"Wed"),$D399*SUMIFS('Session Tracker'!$J$5:$J$149,'Session Tracker'!$D$5:$D$149,$A399,'Session Tracker'!$F$5:$F$149,"Next week",'Session Tracker'!$G$5:$G$149,"Wed"))</f>
        <v>0</v>
      </c>
      <c r="K399" s="52" t="n">
        <f aca="false">IF($E399="Per class",$D399*COUNTIFS('Session Tracker'!$D$5:$D$149,$A399,'Session Tracker'!$F$5:$F$149,"Next week",'Session Tracker'!$G$5:$G$149,"Thu"),$D399*SUMIFS('Session Tracker'!$J$5:$J$149,'Session Tracker'!$D$5:$D$149,$A399,'Session Tracker'!$F$5:$F$149,"Next week",'Session Tracker'!$G$5:$G$149,"Thu"))</f>
        <v>0</v>
      </c>
      <c r="L399" s="52" t="n">
        <f aca="false">IF($E399="Per class",$D399*COUNTIFS('Session Tracker'!$D$5:$D$149,$A399,'Session Tracker'!$F$5:$F$149,"Next week",'Session Tracker'!$G$5:$G$149,"Fri"),$D399*SUMIFS('Session Tracker'!$J$5:$J$149,'Session Tracker'!$D$5:$D$149,$A399,'Session Tracker'!$F$5:$F$149,"Next week",'Session Tracker'!$G$5:$G$149,"Fri"))</f>
        <v>0</v>
      </c>
      <c r="M399" s="52" t="n">
        <f aca="false">IF($E399="Per class",$D399*COUNTIFS('Session Tracker'!$D$5:$D$149,$A399,'Session Tracker'!$F$5:$F$149,"Next week",'Session Tracker'!$G$5:$G$149,""),$D399*SUMIFS('Session Tracker'!$J$5:$J$149,'Session Tracker'!$D$5:$D$149,$A399,'Session Tracker'!$F$5:$F$149,"Next week",'Session Tracker'!$G$5:$G$149,""))</f>
        <v>0</v>
      </c>
    </row>
    <row r="400" customFormat="false" ht="15" hidden="false" customHeight="false" outlineLevel="0" collapsed="false">
      <c r="A400" s="61" t="s">
        <v>208</v>
      </c>
      <c r="B400" s="34" t="s">
        <v>382</v>
      </c>
      <c r="C400" s="34" t="s">
        <v>383</v>
      </c>
      <c r="D400" s="32" t="n">
        <v>1</v>
      </c>
      <c r="E400" s="32" t="s">
        <v>14</v>
      </c>
      <c r="F400" s="32" t="s">
        <v>368</v>
      </c>
      <c r="G400" s="34"/>
      <c r="H400" s="52" t="n">
        <f aca="false">IF($E400="Per class",$D400*COUNTIFS('Session Tracker'!$D$5:$D$149,$A400,'Session Tracker'!$F$5:$F$149,"Next week",'Session Tracker'!$G$5:$G$149,"Mon"),$D400*SUMIFS('Session Tracker'!$J$5:$J$149,'Session Tracker'!$D$5:$D$149,$A400,'Session Tracker'!$F$5:$F$149,"Next week",'Session Tracker'!$G$5:$G$149,"Mon"))</f>
        <v>0</v>
      </c>
      <c r="I400" s="52" t="n">
        <f aca="false">IF($E400="Per class",$D400*COUNTIFS('Session Tracker'!$D$5:$D$149,$A400,'Session Tracker'!$F$5:$F$149,"Next week",'Session Tracker'!$G$5:$G$149,"Tue"),$D400*SUMIFS('Session Tracker'!$J$5:$J$149,'Session Tracker'!$D$5:$D$149,$A400,'Session Tracker'!$F$5:$F$149,"Next week",'Session Tracker'!$G$5:$G$149,"Tue"))</f>
        <v>0</v>
      </c>
      <c r="J400" s="52" t="n">
        <f aca="false">IF($E400="Per class",$D400*COUNTIFS('Session Tracker'!$D$5:$D$149,$A400,'Session Tracker'!$F$5:$F$149,"Next week",'Session Tracker'!$G$5:$G$149,"Wed"),$D400*SUMIFS('Session Tracker'!$J$5:$J$149,'Session Tracker'!$D$5:$D$149,$A400,'Session Tracker'!$F$5:$F$149,"Next week",'Session Tracker'!$G$5:$G$149,"Wed"))</f>
        <v>0</v>
      </c>
      <c r="K400" s="52" t="n">
        <f aca="false">IF($E400="Per class",$D400*COUNTIFS('Session Tracker'!$D$5:$D$149,$A400,'Session Tracker'!$F$5:$F$149,"Next week",'Session Tracker'!$G$5:$G$149,"Thu"),$D400*SUMIFS('Session Tracker'!$J$5:$J$149,'Session Tracker'!$D$5:$D$149,$A400,'Session Tracker'!$F$5:$F$149,"Next week",'Session Tracker'!$G$5:$G$149,"Thu"))</f>
        <v>0</v>
      </c>
      <c r="L400" s="52" t="n">
        <f aca="false">IF($E400="Per class",$D400*COUNTIFS('Session Tracker'!$D$5:$D$149,$A400,'Session Tracker'!$F$5:$F$149,"Next week",'Session Tracker'!$G$5:$G$149,"Fri"),$D400*SUMIFS('Session Tracker'!$J$5:$J$149,'Session Tracker'!$D$5:$D$149,$A400,'Session Tracker'!$F$5:$F$149,"Next week",'Session Tracker'!$G$5:$G$149,"Fri"))</f>
        <v>0</v>
      </c>
      <c r="M400" s="52" t="n">
        <f aca="false">IF($E400="Per class",$D400*COUNTIFS('Session Tracker'!$D$5:$D$149,$A400,'Session Tracker'!$F$5:$F$149,"Next week",'Session Tracker'!$G$5:$G$149,""),$D400*SUMIFS('Session Tracker'!$J$5:$J$149,'Session Tracker'!$D$5:$D$149,$A400,'Session Tracker'!$F$5:$F$149,"Next week",'Session Tracker'!$G$5:$G$149,""))</f>
        <v>0</v>
      </c>
    </row>
    <row r="401" customFormat="false" ht="15" hidden="false" customHeight="false" outlineLevel="0" collapsed="false">
      <c r="A401" s="61" t="s">
        <v>208</v>
      </c>
      <c r="B401" s="34" t="s">
        <v>371</v>
      </c>
      <c r="C401" s="34" t="s">
        <v>372</v>
      </c>
      <c r="D401" s="32" t="n">
        <v>1</v>
      </c>
      <c r="E401" s="32" t="s">
        <v>14</v>
      </c>
      <c r="F401" s="32" t="s">
        <v>373</v>
      </c>
      <c r="G401" s="34" t="s">
        <v>389</v>
      </c>
      <c r="H401" s="52" t="n">
        <f aca="false">IF($E401="Per class",$D401*COUNTIFS('Session Tracker'!$D$5:$D$149,$A401,'Session Tracker'!$F$5:$F$149,"Next week",'Session Tracker'!$G$5:$G$149,"Mon"),$D401*SUMIFS('Session Tracker'!$J$5:$J$149,'Session Tracker'!$D$5:$D$149,$A401,'Session Tracker'!$F$5:$F$149,"Next week",'Session Tracker'!$G$5:$G$149,"Mon"))</f>
        <v>0</v>
      </c>
      <c r="I401" s="52" t="n">
        <f aca="false">IF($E401="Per class",$D401*COUNTIFS('Session Tracker'!$D$5:$D$149,$A401,'Session Tracker'!$F$5:$F$149,"Next week",'Session Tracker'!$G$5:$G$149,"Tue"),$D401*SUMIFS('Session Tracker'!$J$5:$J$149,'Session Tracker'!$D$5:$D$149,$A401,'Session Tracker'!$F$5:$F$149,"Next week",'Session Tracker'!$G$5:$G$149,"Tue"))</f>
        <v>0</v>
      </c>
      <c r="J401" s="52" t="n">
        <f aca="false">IF($E401="Per class",$D401*COUNTIFS('Session Tracker'!$D$5:$D$149,$A401,'Session Tracker'!$F$5:$F$149,"Next week",'Session Tracker'!$G$5:$G$149,"Wed"),$D401*SUMIFS('Session Tracker'!$J$5:$J$149,'Session Tracker'!$D$5:$D$149,$A401,'Session Tracker'!$F$5:$F$149,"Next week",'Session Tracker'!$G$5:$G$149,"Wed"))</f>
        <v>0</v>
      </c>
      <c r="K401" s="52" t="n">
        <f aca="false">IF($E401="Per class",$D401*COUNTIFS('Session Tracker'!$D$5:$D$149,$A401,'Session Tracker'!$F$5:$F$149,"Next week",'Session Tracker'!$G$5:$G$149,"Thu"),$D401*SUMIFS('Session Tracker'!$J$5:$J$149,'Session Tracker'!$D$5:$D$149,$A401,'Session Tracker'!$F$5:$F$149,"Next week",'Session Tracker'!$G$5:$G$149,"Thu"))</f>
        <v>0</v>
      </c>
      <c r="L401" s="52" t="n">
        <f aca="false">IF($E401="Per class",$D401*COUNTIFS('Session Tracker'!$D$5:$D$149,$A401,'Session Tracker'!$F$5:$F$149,"Next week",'Session Tracker'!$G$5:$G$149,"Fri"),$D401*SUMIFS('Session Tracker'!$J$5:$J$149,'Session Tracker'!$D$5:$D$149,$A401,'Session Tracker'!$F$5:$F$149,"Next week",'Session Tracker'!$G$5:$G$149,"Fri"))</f>
        <v>0</v>
      </c>
      <c r="M401" s="52" t="n">
        <f aca="false">IF($E401="Per class",$D401*COUNTIFS('Session Tracker'!$D$5:$D$149,$A401,'Session Tracker'!$F$5:$F$149,"Next week",'Session Tracker'!$G$5:$G$149,""),$D401*SUMIFS('Session Tracker'!$J$5:$J$149,'Session Tracker'!$D$5:$D$149,$A401,'Session Tracker'!$F$5:$F$149,"Next week",'Session Tracker'!$G$5:$G$149,""))</f>
        <v>0</v>
      </c>
    </row>
    <row r="402" customFormat="false" ht="15" hidden="false" customHeight="false" outlineLevel="0" collapsed="false">
      <c r="A402" s="61" t="s">
        <v>208</v>
      </c>
      <c r="B402" s="34" t="s">
        <v>375</v>
      </c>
      <c r="C402" s="34" t="s">
        <v>376</v>
      </c>
      <c r="D402" s="32" t="n">
        <v>1</v>
      </c>
      <c r="E402" s="32" t="s">
        <v>14</v>
      </c>
      <c r="F402" s="32" t="s">
        <v>373</v>
      </c>
      <c r="G402" s="34" t="s">
        <v>442</v>
      </c>
      <c r="H402" s="52" t="n">
        <f aca="false">IF($E402="Per class",$D402*COUNTIFS('Session Tracker'!$D$5:$D$149,$A402,'Session Tracker'!$F$5:$F$149,"Next week",'Session Tracker'!$G$5:$G$149,"Mon"),$D402*SUMIFS('Session Tracker'!$J$5:$J$149,'Session Tracker'!$D$5:$D$149,$A402,'Session Tracker'!$F$5:$F$149,"Next week",'Session Tracker'!$G$5:$G$149,"Mon"))</f>
        <v>0</v>
      </c>
      <c r="I402" s="52" t="n">
        <f aca="false">IF($E402="Per class",$D402*COUNTIFS('Session Tracker'!$D$5:$D$149,$A402,'Session Tracker'!$F$5:$F$149,"Next week",'Session Tracker'!$G$5:$G$149,"Tue"),$D402*SUMIFS('Session Tracker'!$J$5:$J$149,'Session Tracker'!$D$5:$D$149,$A402,'Session Tracker'!$F$5:$F$149,"Next week",'Session Tracker'!$G$5:$G$149,"Tue"))</f>
        <v>0</v>
      </c>
      <c r="J402" s="52" t="n">
        <f aca="false">IF($E402="Per class",$D402*COUNTIFS('Session Tracker'!$D$5:$D$149,$A402,'Session Tracker'!$F$5:$F$149,"Next week",'Session Tracker'!$G$5:$G$149,"Wed"),$D402*SUMIFS('Session Tracker'!$J$5:$J$149,'Session Tracker'!$D$5:$D$149,$A402,'Session Tracker'!$F$5:$F$149,"Next week",'Session Tracker'!$G$5:$G$149,"Wed"))</f>
        <v>0</v>
      </c>
      <c r="K402" s="52" t="n">
        <f aca="false">IF($E402="Per class",$D402*COUNTIFS('Session Tracker'!$D$5:$D$149,$A402,'Session Tracker'!$F$5:$F$149,"Next week",'Session Tracker'!$G$5:$G$149,"Thu"),$D402*SUMIFS('Session Tracker'!$J$5:$J$149,'Session Tracker'!$D$5:$D$149,$A402,'Session Tracker'!$F$5:$F$149,"Next week",'Session Tracker'!$G$5:$G$149,"Thu"))</f>
        <v>0</v>
      </c>
      <c r="L402" s="52" t="n">
        <f aca="false">IF($E402="Per class",$D402*COUNTIFS('Session Tracker'!$D$5:$D$149,$A402,'Session Tracker'!$F$5:$F$149,"Next week",'Session Tracker'!$G$5:$G$149,"Fri"),$D402*SUMIFS('Session Tracker'!$J$5:$J$149,'Session Tracker'!$D$5:$D$149,$A402,'Session Tracker'!$F$5:$F$149,"Next week",'Session Tracker'!$G$5:$G$149,"Fri"))</f>
        <v>0</v>
      </c>
      <c r="M402" s="52" t="n">
        <f aca="false">IF($E402="Per class",$D402*COUNTIFS('Session Tracker'!$D$5:$D$149,$A402,'Session Tracker'!$F$5:$F$149,"Next week",'Session Tracker'!$G$5:$G$149,""),$D402*SUMIFS('Session Tracker'!$J$5:$J$149,'Session Tracker'!$D$5:$D$149,$A402,'Session Tracker'!$F$5:$F$149,"Next week",'Session Tracker'!$G$5:$G$149,""))</f>
        <v>0</v>
      </c>
    </row>
    <row r="403" customFormat="false" ht="15" hidden="false" customHeight="false" outlineLevel="0" collapsed="false">
      <c r="A403" s="61" t="s">
        <v>208</v>
      </c>
      <c r="B403" s="34" t="s">
        <v>377</v>
      </c>
      <c r="C403" s="34" t="s">
        <v>378</v>
      </c>
      <c r="D403" s="32" t="n">
        <v>1</v>
      </c>
      <c r="E403" s="32" t="s">
        <v>14</v>
      </c>
      <c r="F403" s="32" t="s">
        <v>368</v>
      </c>
      <c r="G403" s="34" t="s">
        <v>389</v>
      </c>
      <c r="H403" s="52" t="n">
        <f aca="false">IF($E403="Per class",$D403*COUNTIFS('Session Tracker'!$D$5:$D$149,$A403,'Session Tracker'!$F$5:$F$149,"Next week",'Session Tracker'!$G$5:$G$149,"Mon"),$D403*SUMIFS('Session Tracker'!$J$5:$J$149,'Session Tracker'!$D$5:$D$149,$A403,'Session Tracker'!$F$5:$F$149,"Next week",'Session Tracker'!$G$5:$G$149,"Mon"))</f>
        <v>0</v>
      </c>
      <c r="I403" s="52" t="n">
        <f aca="false">IF($E403="Per class",$D403*COUNTIFS('Session Tracker'!$D$5:$D$149,$A403,'Session Tracker'!$F$5:$F$149,"Next week",'Session Tracker'!$G$5:$G$149,"Tue"),$D403*SUMIFS('Session Tracker'!$J$5:$J$149,'Session Tracker'!$D$5:$D$149,$A403,'Session Tracker'!$F$5:$F$149,"Next week",'Session Tracker'!$G$5:$G$149,"Tue"))</f>
        <v>0</v>
      </c>
      <c r="J403" s="52" t="n">
        <f aca="false">IF($E403="Per class",$D403*COUNTIFS('Session Tracker'!$D$5:$D$149,$A403,'Session Tracker'!$F$5:$F$149,"Next week",'Session Tracker'!$G$5:$G$149,"Wed"),$D403*SUMIFS('Session Tracker'!$J$5:$J$149,'Session Tracker'!$D$5:$D$149,$A403,'Session Tracker'!$F$5:$F$149,"Next week",'Session Tracker'!$G$5:$G$149,"Wed"))</f>
        <v>0</v>
      </c>
      <c r="K403" s="52" t="n">
        <f aca="false">IF($E403="Per class",$D403*COUNTIFS('Session Tracker'!$D$5:$D$149,$A403,'Session Tracker'!$F$5:$F$149,"Next week",'Session Tracker'!$G$5:$G$149,"Thu"),$D403*SUMIFS('Session Tracker'!$J$5:$J$149,'Session Tracker'!$D$5:$D$149,$A403,'Session Tracker'!$F$5:$F$149,"Next week",'Session Tracker'!$G$5:$G$149,"Thu"))</f>
        <v>0</v>
      </c>
      <c r="L403" s="52" t="n">
        <f aca="false">IF($E403="Per class",$D403*COUNTIFS('Session Tracker'!$D$5:$D$149,$A403,'Session Tracker'!$F$5:$F$149,"Next week",'Session Tracker'!$G$5:$G$149,"Fri"),$D403*SUMIFS('Session Tracker'!$J$5:$J$149,'Session Tracker'!$D$5:$D$149,$A403,'Session Tracker'!$F$5:$F$149,"Next week",'Session Tracker'!$G$5:$G$149,"Fri"))</f>
        <v>0</v>
      </c>
      <c r="M403" s="52" t="n">
        <f aca="false">IF($E403="Per class",$D403*COUNTIFS('Session Tracker'!$D$5:$D$149,$A403,'Session Tracker'!$F$5:$F$149,"Next week",'Session Tracker'!$G$5:$G$149,""),$D403*SUMIFS('Session Tracker'!$J$5:$J$149,'Session Tracker'!$D$5:$D$149,$A403,'Session Tracker'!$F$5:$F$149,"Next week",'Session Tracker'!$G$5:$G$149,""))</f>
        <v>0</v>
      </c>
    </row>
    <row r="404" customFormat="false" ht="15" hidden="false" customHeight="false" outlineLevel="0" collapsed="false">
      <c r="A404" s="53" t="s">
        <v>208</v>
      </c>
      <c r="B404" s="54"/>
      <c r="C404" s="54"/>
      <c r="D404" s="54"/>
      <c r="E404" s="54"/>
      <c r="F404" s="54"/>
      <c r="G404" s="54"/>
      <c r="H404" s="52" t="n">
        <f aca="false">IF($E404="Per class",$D404*COUNTIFS('Session Tracker'!$D$5:$D$149,$A404,'Session Tracker'!$F$5:$F$149,"Next week",'Session Tracker'!$G$5:$G$149,"Mon"),$D404*SUMIFS('Session Tracker'!$J$5:$J$149,'Session Tracker'!$D$5:$D$149,$A404,'Session Tracker'!$F$5:$F$149,"Next week",'Session Tracker'!$G$5:$G$149,"Mon"))</f>
        <v>0</v>
      </c>
      <c r="I404" s="52" t="n">
        <f aca="false">IF($E404="Per class",$D404*COUNTIFS('Session Tracker'!$D$5:$D$149,$A404,'Session Tracker'!$F$5:$F$149,"Next week",'Session Tracker'!$G$5:$G$149,"Tue"),$D404*SUMIFS('Session Tracker'!$J$5:$J$149,'Session Tracker'!$D$5:$D$149,$A404,'Session Tracker'!$F$5:$F$149,"Next week",'Session Tracker'!$G$5:$G$149,"Tue"))</f>
        <v>0</v>
      </c>
      <c r="J404" s="52" t="n">
        <f aca="false">IF($E404="Per class",$D404*COUNTIFS('Session Tracker'!$D$5:$D$149,$A404,'Session Tracker'!$F$5:$F$149,"Next week",'Session Tracker'!$G$5:$G$149,"Wed"),$D404*SUMIFS('Session Tracker'!$J$5:$J$149,'Session Tracker'!$D$5:$D$149,$A404,'Session Tracker'!$F$5:$F$149,"Next week",'Session Tracker'!$G$5:$G$149,"Wed"))</f>
        <v>0</v>
      </c>
      <c r="K404" s="52" t="n">
        <f aca="false">IF($E404="Per class",$D404*COUNTIFS('Session Tracker'!$D$5:$D$149,$A404,'Session Tracker'!$F$5:$F$149,"Next week",'Session Tracker'!$G$5:$G$149,"Thu"),$D404*SUMIFS('Session Tracker'!$J$5:$J$149,'Session Tracker'!$D$5:$D$149,$A404,'Session Tracker'!$F$5:$F$149,"Next week",'Session Tracker'!$G$5:$G$149,"Thu"))</f>
        <v>0</v>
      </c>
      <c r="L404" s="52" t="n">
        <f aca="false">IF($E404="Per class",$D404*COUNTIFS('Session Tracker'!$D$5:$D$149,$A404,'Session Tracker'!$F$5:$F$149,"Next week",'Session Tracker'!$G$5:$G$149,"Fri"),$D404*SUMIFS('Session Tracker'!$J$5:$J$149,'Session Tracker'!$D$5:$D$149,$A404,'Session Tracker'!$F$5:$F$149,"Next week",'Session Tracker'!$G$5:$G$149,"Fri"))</f>
        <v>0</v>
      </c>
      <c r="M404" s="52" t="n">
        <f aca="false">IF($E404="Per class",$D404*COUNTIFS('Session Tracker'!$D$5:$D$149,$A404,'Session Tracker'!$F$5:$F$149,"Next week",'Session Tracker'!$G$5:$G$149,""),$D404*SUMIFS('Session Tracker'!$J$5:$J$149,'Session Tracker'!$D$5:$D$149,$A404,'Session Tracker'!$F$5:$F$149,"Next week",'Session Tracker'!$G$5:$G$149,""))</f>
        <v>0</v>
      </c>
    </row>
    <row r="405" customFormat="false" ht="15" hidden="false" customHeight="false" outlineLevel="0" collapsed="false">
      <c r="A405" s="53" t="s">
        <v>208</v>
      </c>
      <c r="B405" s="54"/>
      <c r="C405" s="54"/>
      <c r="D405" s="54"/>
      <c r="E405" s="54"/>
      <c r="F405" s="54"/>
      <c r="G405" s="54"/>
      <c r="H405" s="52" t="n">
        <f aca="false">IF($E405="Per class",$D405*COUNTIFS('Session Tracker'!$D$5:$D$149,$A405,'Session Tracker'!$F$5:$F$149,"Next week",'Session Tracker'!$G$5:$G$149,"Mon"),$D405*SUMIFS('Session Tracker'!$J$5:$J$149,'Session Tracker'!$D$5:$D$149,$A405,'Session Tracker'!$F$5:$F$149,"Next week",'Session Tracker'!$G$5:$G$149,"Mon"))</f>
        <v>0</v>
      </c>
      <c r="I405" s="52" t="n">
        <f aca="false">IF($E405="Per class",$D405*COUNTIFS('Session Tracker'!$D$5:$D$149,$A405,'Session Tracker'!$F$5:$F$149,"Next week",'Session Tracker'!$G$5:$G$149,"Tue"),$D405*SUMIFS('Session Tracker'!$J$5:$J$149,'Session Tracker'!$D$5:$D$149,$A405,'Session Tracker'!$F$5:$F$149,"Next week",'Session Tracker'!$G$5:$G$149,"Tue"))</f>
        <v>0</v>
      </c>
      <c r="J405" s="52" t="n">
        <f aca="false">IF($E405="Per class",$D405*COUNTIFS('Session Tracker'!$D$5:$D$149,$A405,'Session Tracker'!$F$5:$F$149,"Next week",'Session Tracker'!$G$5:$G$149,"Wed"),$D405*SUMIFS('Session Tracker'!$J$5:$J$149,'Session Tracker'!$D$5:$D$149,$A405,'Session Tracker'!$F$5:$F$149,"Next week",'Session Tracker'!$G$5:$G$149,"Wed"))</f>
        <v>0</v>
      </c>
      <c r="K405" s="52" t="n">
        <f aca="false">IF($E405="Per class",$D405*COUNTIFS('Session Tracker'!$D$5:$D$149,$A405,'Session Tracker'!$F$5:$F$149,"Next week",'Session Tracker'!$G$5:$G$149,"Thu"),$D405*SUMIFS('Session Tracker'!$J$5:$J$149,'Session Tracker'!$D$5:$D$149,$A405,'Session Tracker'!$F$5:$F$149,"Next week",'Session Tracker'!$G$5:$G$149,"Thu"))</f>
        <v>0</v>
      </c>
      <c r="L405" s="52" t="n">
        <f aca="false">IF($E405="Per class",$D405*COUNTIFS('Session Tracker'!$D$5:$D$149,$A405,'Session Tracker'!$F$5:$F$149,"Next week",'Session Tracker'!$G$5:$G$149,"Fri"),$D405*SUMIFS('Session Tracker'!$J$5:$J$149,'Session Tracker'!$D$5:$D$149,$A405,'Session Tracker'!$F$5:$F$149,"Next week",'Session Tracker'!$G$5:$G$149,"Fri"))</f>
        <v>0</v>
      </c>
      <c r="M405" s="52" t="n">
        <f aca="false">IF($E405="Per class",$D405*COUNTIFS('Session Tracker'!$D$5:$D$149,$A405,'Session Tracker'!$F$5:$F$149,"Next week",'Session Tracker'!$G$5:$G$149,""),$D405*SUMIFS('Session Tracker'!$J$5:$J$149,'Session Tracker'!$D$5:$D$149,$A405,'Session Tracker'!$F$5:$F$149,"Next week",'Session Tracker'!$G$5:$G$149,""))</f>
        <v>0</v>
      </c>
    </row>
    <row r="407" customFormat="false" ht="19.5" hidden="false" customHeight="true" outlineLevel="0" collapsed="false">
      <c r="A407" s="57" t="s">
        <v>210</v>
      </c>
      <c r="B407" s="58" t="s">
        <v>579</v>
      </c>
      <c r="C407" s="58"/>
      <c r="D407" s="58"/>
      <c r="E407" s="58"/>
      <c r="F407" s="59" t="str">
        <f aca="false">"Status: "&amp;'Session Tracker'!F73&amp;IF('Session Tracker'!G73&lt;&gt;""," ("&amp;'Session Tracker'!G73&amp;")","")</f>
        <v>Status: Not started</v>
      </c>
      <c r="G407" s="59"/>
      <c r="H407" s="60"/>
      <c r="I407" s="60"/>
      <c r="J407" s="60"/>
      <c r="K407" s="60"/>
      <c r="L407" s="60"/>
      <c r="M407" s="60"/>
    </row>
    <row r="408" customFormat="false" ht="15" hidden="false" customHeight="false" outlineLevel="0" collapsed="false">
      <c r="A408" s="61" t="s">
        <v>210</v>
      </c>
      <c r="B408" s="34" t="s">
        <v>377</v>
      </c>
      <c r="C408" s="34" t="s">
        <v>483</v>
      </c>
      <c r="D408" s="32" t="n">
        <v>1</v>
      </c>
      <c r="E408" s="32" t="s">
        <v>14</v>
      </c>
      <c r="F408" s="32" t="s">
        <v>368</v>
      </c>
      <c r="G408" s="34"/>
      <c r="H408" s="52" t="n">
        <f aca="false">IF($E408="Per class",$D408*COUNTIFS('Session Tracker'!$D$5:$D$149,$A408,'Session Tracker'!$F$5:$F$149,"Next week",'Session Tracker'!$G$5:$G$149,"Mon"),$D408*SUMIFS('Session Tracker'!$J$5:$J$149,'Session Tracker'!$D$5:$D$149,$A408,'Session Tracker'!$F$5:$F$149,"Next week",'Session Tracker'!$G$5:$G$149,"Mon"))</f>
        <v>0</v>
      </c>
      <c r="I408" s="52" t="n">
        <f aca="false">IF($E408="Per class",$D408*COUNTIFS('Session Tracker'!$D$5:$D$149,$A408,'Session Tracker'!$F$5:$F$149,"Next week",'Session Tracker'!$G$5:$G$149,"Tue"),$D408*SUMIFS('Session Tracker'!$J$5:$J$149,'Session Tracker'!$D$5:$D$149,$A408,'Session Tracker'!$F$5:$F$149,"Next week",'Session Tracker'!$G$5:$G$149,"Tue"))</f>
        <v>0</v>
      </c>
      <c r="J408" s="52" t="n">
        <f aca="false">IF($E408="Per class",$D408*COUNTIFS('Session Tracker'!$D$5:$D$149,$A408,'Session Tracker'!$F$5:$F$149,"Next week",'Session Tracker'!$G$5:$G$149,"Wed"),$D408*SUMIFS('Session Tracker'!$J$5:$J$149,'Session Tracker'!$D$5:$D$149,$A408,'Session Tracker'!$F$5:$F$149,"Next week",'Session Tracker'!$G$5:$G$149,"Wed"))</f>
        <v>0</v>
      </c>
      <c r="K408" s="52" t="n">
        <f aca="false">IF($E408="Per class",$D408*COUNTIFS('Session Tracker'!$D$5:$D$149,$A408,'Session Tracker'!$F$5:$F$149,"Next week",'Session Tracker'!$G$5:$G$149,"Thu"),$D408*SUMIFS('Session Tracker'!$J$5:$J$149,'Session Tracker'!$D$5:$D$149,$A408,'Session Tracker'!$F$5:$F$149,"Next week",'Session Tracker'!$G$5:$G$149,"Thu"))</f>
        <v>0</v>
      </c>
      <c r="L408" s="52" t="n">
        <f aca="false">IF($E408="Per class",$D408*COUNTIFS('Session Tracker'!$D$5:$D$149,$A408,'Session Tracker'!$F$5:$F$149,"Next week",'Session Tracker'!$G$5:$G$149,"Fri"),$D408*SUMIFS('Session Tracker'!$J$5:$J$149,'Session Tracker'!$D$5:$D$149,$A408,'Session Tracker'!$F$5:$F$149,"Next week",'Session Tracker'!$G$5:$G$149,"Fri"))</f>
        <v>0</v>
      </c>
      <c r="M408" s="52" t="n">
        <f aca="false">IF($E408="Per class",$D408*COUNTIFS('Session Tracker'!$D$5:$D$149,$A408,'Session Tracker'!$F$5:$F$149,"Next week",'Session Tracker'!$G$5:$G$149,""),$D408*SUMIFS('Session Tracker'!$J$5:$J$149,'Session Tracker'!$D$5:$D$149,$A408,'Session Tracker'!$F$5:$F$149,"Next week",'Session Tracker'!$G$5:$G$149,""))</f>
        <v>0</v>
      </c>
    </row>
    <row r="409" customFormat="false" ht="15" hidden="false" customHeight="false" outlineLevel="0" collapsed="false">
      <c r="A409" s="61" t="s">
        <v>210</v>
      </c>
      <c r="B409" s="34" t="s">
        <v>382</v>
      </c>
      <c r="C409" s="34" t="s">
        <v>484</v>
      </c>
      <c r="D409" s="32" t="n">
        <v>1</v>
      </c>
      <c r="E409" s="32" t="s">
        <v>14</v>
      </c>
      <c r="F409" s="32" t="s">
        <v>368</v>
      </c>
      <c r="G409" s="34"/>
      <c r="H409" s="52" t="n">
        <f aca="false">IF($E409="Per class",$D409*COUNTIFS('Session Tracker'!$D$5:$D$149,$A409,'Session Tracker'!$F$5:$F$149,"Next week",'Session Tracker'!$G$5:$G$149,"Mon"),$D409*SUMIFS('Session Tracker'!$J$5:$J$149,'Session Tracker'!$D$5:$D$149,$A409,'Session Tracker'!$F$5:$F$149,"Next week",'Session Tracker'!$G$5:$G$149,"Mon"))</f>
        <v>0</v>
      </c>
      <c r="I409" s="52" t="n">
        <f aca="false">IF($E409="Per class",$D409*COUNTIFS('Session Tracker'!$D$5:$D$149,$A409,'Session Tracker'!$F$5:$F$149,"Next week",'Session Tracker'!$G$5:$G$149,"Tue"),$D409*SUMIFS('Session Tracker'!$J$5:$J$149,'Session Tracker'!$D$5:$D$149,$A409,'Session Tracker'!$F$5:$F$149,"Next week",'Session Tracker'!$G$5:$G$149,"Tue"))</f>
        <v>0</v>
      </c>
      <c r="J409" s="52" t="n">
        <f aca="false">IF($E409="Per class",$D409*COUNTIFS('Session Tracker'!$D$5:$D$149,$A409,'Session Tracker'!$F$5:$F$149,"Next week",'Session Tracker'!$G$5:$G$149,"Wed"),$D409*SUMIFS('Session Tracker'!$J$5:$J$149,'Session Tracker'!$D$5:$D$149,$A409,'Session Tracker'!$F$5:$F$149,"Next week",'Session Tracker'!$G$5:$G$149,"Wed"))</f>
        <v>0</v>
      </c>
      <c r="K409" s="52" t="n">
        <f aca="false">IF($E409="Per class",$D409*COUNTIFS('Session Tracker'!$D$5:$D$149,$A409,'Session Tracker'!$F$5:$F$149,"Next week",'Session Tracker'!$G$5:$G$149,"Thu"),$D409*SUMIFS('Session Tracker'!$J$5:$J$149,'Session Tracker'!$D$5:$D$149,$A409,'Session Tracker'!$F$5:$F$149,"Next week",'Session Tracker'!$G$5:$G$149,"Thu"))</f>
        <v>0</v>
      </c>
      <c r="L409" s="52" t="n">
        <f aca="false">IF($E409="Per class",$D409*COUNTIFS('Session Tracker'!$D$5:$D$149,$A409,'Session Tracker'!$F$5:$F$149,"Next week",'Session Tracker'!$G$5:$G$149,"Fri"),$D409*SUMIFS('Session Tracker'!$J$5:$J$149,'Session Tracker'!$D$5:$D$149,$A409,'Session Tracker'!$F$5:$F$149,"Next week",'Session Tracker'!$G$5:$G$149,"Fri"))</f>
        <v>0</v>
      </c>
      <c r="M409" s="52" t="n">
        <f aca="false">IF($E409="Per class",$D409*COUNTIFS('Session Tracker'!$D$5:$D$149,$A409,'Session Tracker'!$F$5:$F$149,"Next week",'Session Tracker'!$G$5:$G$149,""),$D409*SUMIFS('Session Tracker'!$J$5:$J$149,'Session Tracker'!$D$5:$D$149,$A409,'Session Tracker'!$F$5:$F$149,"Next week",'Session Tracker'!$G$5:$G$149,""))</f>
        <v>0</v>
      </c>
    </row>
    <row r="410" customFormat="false" ht="15" hidden="false" customHeight="false" outlineLevel="0" collapsed="false">
      <c r="A410" s="61" t="s">
        <v>210</v>
      </c>
      <c r="B410" s="34" t="s">
        <v>411</v>
      </c>
      <c r="C410" s="34" t="s">
        <v>412</v>
      </c>
      <c r="D410" s="32" t="n">
        <v>2</v>
      </c>
      <c r="E410" s="32" t="s">
        <v>14</v>
      </c>
      <c r="F410" s="32" t="s">
        <v>373</v>
      </c>
      <c r="G410" s="34"/>
      <c r="H410" s="52" t="n">
        <f aca="false">IF($E410="Per class",$D410*COUNTIFS('Session Tracker'!$D$5:$D$149,$A410,'Session Tracker'!$F$5:$F$149,"Next week",'Session Tracker'!$G$5:$G$149,"Mon"),$D410*SUMIFS('Session Tracker'!$J$5:$J$149,'Session Tracker'!$D$5:$D$149,$A410,'Session Tracker'!$F$5:$F$149,"Next week",'Session Tracker'!$G$5:$G$149,"Mon"))</f>
        <v>0</v>
      </c>
      <c r="I410" s="52" t="n">
        <f aca="false">IF($E410="Per class",$D410*COUNTIFS('Session Tracker'!$D$5:$D$149,$A410,'Session Tracker'!$F$5:$F$149,"Next week",'Session Tracker'!$G$5:$G$149,"Tue"),$D410*SUMIFS('Session Tracker'!$J$5:$J$149,'Session Tracker'!$D$5:$D$149,$A410,'Session Tracker'!$F$5:$F$149,"Next week",'Session Tracker'!$G$5:$G$149,"Tue"))</f>
        <v>0</v>
      </c>
      <c r="J410" s="52" t="n">
        <f aca="false">IF($E410="Per class",$D410*COUNTIFS('Session Tracker'!$D$5:$D$149,$A410,'Session Tracker'!$F$5:$F$149,"Next week",'Session Tracker'!$G$5:$G$149,"Wed"),$D410*SUMIFS('Session Tracker'!$J$5:$J$149,'Session Tracker'!$D$5:$D$149,$A410,'Session Tracker'!$F$5:$F$149,"Next week",'Session Tracker'!$G$5:$G$149,"Wed"))</f>
        <v>0</v>
      </c>
      <c r="K410" s="52" t="n">
        <f aca="false">IF($E410="Per class",$D410*COUNTIFS('Session Tracker'!$D$5:$D$149,$A410,'Session Tracker'!$F$5:$F$149,"Next week",'Session Tracker'!$G$5:$G$149,"Thu"),$D410*SUMIFS('Session Tracker'!$J$5:$J$149,'Session Tracker'!$D$5:$D$149,$A410,'Session Tracker'!$F$5:$F$149,"Next week",'Session Tracker'!$G$5:$G$149,"Thu"))</f>
        <v>0</v>
      </c>
      <c r="L410" s="52" t="n">
        <f aca="false">IF($E410="Per class",$D410*COUNTIFS('Session Tracker'!$D$5:$D$149,$A410,'Session Tracker'!$F$5:$F$149,"Next week",'Session Tracker'!$G$5:$G$149,"Fri"),$D410*SUMIFS('Session Tracker'!$J$5:$J$149,'Session Tracker'!$D$5:$D$149,$A410,'Session Tracker'!$F$5:$F$149,"Next week",'Session Tracker'!$G$5:$G$149,"Fri"))</f>
        <v>0</v>
      </c>
      <c r="M410" s="52" t="n">
        <f aca="false">IF($E410="Per class",$D410*COUNTIFS('Session Tracker'!$D$5:$D$149,$A410,'Session Tracker'!$F$5:$F$149,"Next week",'Session Tracker'!$G$5:$G$149,""),$D410*SUMIFS('Session Tracker'!$J$5:$J$149,'Session Tracker'!$D$5:$D$149,$A410,'Session Tracker'!$F$5:$F$149,"Next week",'Session Tracker'!$G$5:$G$149,""))</f>
        <v>0</v>
      </c>
    </row>
    <row r="411" customFormat="false" ht="15" hidden="false" customHeight="false" outlineLevel="0" collapsed="false">
      <c r="A411" s="61" t="s">
        <v>210</v>
      </c>
      <c r="B411" s="34" t="s">
        <v>411</v>
      </c>
      <c r="C411" s="34" t="s">
        <v>493</v>
      </c>
      <c r="D411" s="32" t="n">
        <v>2</v>
      </c>
      <c r="E411" s="32" t="s">
        <v>14</v>
      </c>
      <c r="F411" s="32" t="s">
        <v>373</v>
      </c>
      <c r="G411" s="34"/>
      <c r="H411" s="52" t="n">
        <f aca="false">IF($E411="Per class",$D411*COUNTIFS('Session Tracker'!$D$5:$D$149,$A411,'Session Tracker'!$F$5:$F$149,"Next week",'Session Tracker'!$G$5:$G$149,"Mon"),$D411*SUMIFS('Session Tracker'!$J$5:$J$149,'Session Tracker'!$D$5:$D$149,$A411,'Session Tracker'!$F$5:$F$149,"Next week",'Session Tracker'!$G$5:$G$149,"Mon"))</f>
        <v>0</v>
      </c>
      <c r="I411" s="52" t="n">
        <f aca="false">IF($E411="Per class",$D411*COUNTIFS('Session Tracker'!$D$5:$D$149,$A411,'Session Tracker'!$F$5:$F$149,"Next week",'Session Tracker'!$G$5:$G$149,"Tue"),$D411*SUMIFS('Session Tracker'!$J$5:$J$149,'Session Tracker'!$D$5:$D$149,$A411,'Session Tracker'!$F$5:$F$149,"Next week",'Session Tracker'!$G$5:$G$149,"Tue"))</f>
        <v>0</v>
      </c>
      <c r="J411" s="52" t="n">
        <f aca="false">IF($E411="Per class",$D411*COUNTIFS('Session Tracker'!$D$5:$D$149,$A411,'Session Tracker'!$F$5:$F$149,"Next week",'Session Tracker'!$G$5:$G$149,"Wed"),$D411*SUMIFS('Session Tracker'!$J$5:$J$149,'Session Tracker'!$D$5:$D$149,$A411,'Session Tracker'!$F$5:$F$149,"Next week",'Session Tracker'!$G$5:$G$149,"Wed"))</f>
        <v>0</v>
      </c>
      <c r="K411" s="52" t="n">
        <f aca="false">IF($E411="Per class",$D411*COUNTIFS('Session Tracker'!$D$5:$D$149,$A411,'Session Tracker'!$F$5:$F$149,"Next week",'Session Tracker'!$G$5:$G$149,"Thu"),$D411*SUMIFS('Session Tracker'!$J$5:$J$149,'Session Tracker'!$D$5:$D$149,$A411,'Session Tracker'!$F$5:$F$149,"Next week",'Session Tracker'!$G$5:$G$149,"Thu"))</f>
        <v>0</v>
      </c>
      <c r="L411" s="52" t="n">
        <f aca="false">IF($E411="Per class",$D411*COUNTIFS('Session Tracker'!$D$5:$D$149,$A411,'Session Tracker'!$F$5:$F$149,"Next week",'Session Tracker'!$G$5:$G$149,"Fri"),$D411*SUMIFS('Session Tracker'!$J$5:$J$149,'Session Tracker'!$D$5:$D$149,$A411,'Session Tracker'!$F$5:$F$149,"Next week",'Session Tracker'!$G$5:$G$149,"Fri"))</f>
        <v>0</v>
      </c>
      <c r="M411" s="52" t="n">
        <f aca="false">IF($E411="Per class",$D411*COUNTIFS('Session Tracker'!$D$5:$D$149,$A411,'Session Tracker'!$F$5:$F$149,"Next week",'Session Tracker'!$G$5:$G$149,""),$D411*SUMIFS('Session Tracker'!$J$5:$J$149,'Session Tracker'!$D$5:$D$149,$A411,'Session Tracker'!$F$5:$F$149,"Next week",'Session Tracker'!$G$5:$G$149,""))</f>
        <v>0</v>
      </c>
    </row>
    <row r="412" customFormat="false" ht="15" hidden="false" customHeight="false" outlineLevel="0" collapsed="false">
      <c r="A412" s="61" t="s">
        <v>210</v>
      </c>
      <c r="B412" s="34" t="s">
        <v>371</v>
      </c>
      <c r="C412" s="34" t="s">
        <v>580</v>
      </c>
      <c r="D412" s="32" t="n">
        <v>1</v>
      </c>
      <c r="E412" s="32" t="s">
        <v>16</v>
      </c>
      <c r="F412" s="32" t="s">
        <v>368</v>
      </c>
      <c r="G412" s="34" t="s">
        <v>581</v>
      </c>
      <c r="H412" s="52" t="n">
        <f aca="false">IF($E412="Per class",$D412*COUNTIFS('Session Tracker'!$D$5:$D$149,$A412,'Session Tracker'!$F$5:$F$149,"Next week",'Session Tracker'!$G$5:$G$149,"Mon"),$D412*SUMIFS('Session Tracker'!$J$5:$J$149,'Session Tracker'!$D$5:$D$149,$A412,'Session Tracker'!$F$5:$F$149,"Next week",'Session Tracker'!$G$5:$G$149,"Mon"))</f>
        <v>0</v>
      </c>
      <c r="I412" s="52" t="n">
        <f aca="false">IF($E412="Per class",$D412*COUNTIFS('Session Tracker'!$D$5:$D$149,$A412,'Session Tracker'!$F$5:$F$149,"Next week",'Session Tracker'!$G$5:$G$149,"Tue"),$D412*SUMIFS('Session Tracker'!$J$5:$J$149,'Session Tracker'!$D$5:$D$149,$A412,'Session Tracker'!$F$5:$F$149,"Next week",'Session Tracker'!$G$5:$G$149,"Tue"))</f>
        <v>0</v>
      </c>
      <c r="J412" s="52" t="n">
        <f aca="false">IF($E412="Per class",$D412*COUNTIFS('Session Tracker'!$D$5:$D$149,$A412,'Session Tracker'!$F$5:$F$149,"Next week",'Session Tracker'!$G$5:$G$149,"Wed"),$D412*SUMIFS('Session Tracker'!$J$5:$J$149,'Session Tracker'!$D$5:$D$149,$A412,'Session Tracker'!$F$5:$F$149,"Next week",'Session Tracker'!$G$5:$G$149,"Wed"))</f>
        <v>0</v>
      </c>
      <c r="K412" s="52" t="n">
        <f aca="false">IF($E412="Per class",$D412*COUNTIFS('Session Tracker'!$D$5:$D$149,$A412,'Session Tracker'!$F$5:$F$149,"Next week",'Session Tracker'!$G$5:$G$149,"Thu"),$D412*SUMIFS('Session Tracker'!$J$5:$J$149,'Session Tracker'!$D$5:$D$149,$A412,'Session Tracker'!$F$5:$F$149,"Next week",'Session Tracker'!$G$5:$G$149,"Thu"))</f>
        <v>0</v>
      </c>
      <c r="L412" s="52" t="n">
        <f aca="false">IF($E412="Per class",$D412*COUNTIFS('Session Tracker'!$D$5:$D$149,$A412,'Session Tracker'!$F$5:$F$149,"Next week",'Session Tracker'!$G$5:$G$149,"Fri"),$D412*SUMIFS('Session Tracker'!$J$5:$J$149,'Session Tracker'!$D$5:$D$149,$A412,'Session Tracker'!$F$5:$F$149,"Next week",'Session Tracker'!$G$5:$G$149,"Fri"))</f>
        <v>0</v>
      </c>
      <c r="M412" s="52" t="n">
        <f aca="false">IF($E412="Per class",$D412*COUNTIFS('Session Tracker'!$D$5:$D$149,$A412,'Session Tracker'!$F$5:$F$149,"Next week",'Session Tracker'!$G$5:$G$149,""),$D412*SUMIFS('Session Tracker'!$J$5:$J$149,'Session Tracker'!$D$5:$D$149,$A412,'Session Tracker'!$F$5:$F$149,"Next week",'Session Tracker'!$G$5:$G$149,""))</f>
        <v>0</v>
      </c>
    </row>
    <row r="413" customFormat="false" ht="15" hidden="false" customHeight="false" outlineLevel="0" collapsed="false">
      <c r="A413" s="61" t="s">
        <v>210</v>
      </c>
      <c r="B413" s="34" t="s">
        <v>379</v>
      </c>
      <c r="C413" s="34" t="s">
        <v>423</v>
      </c>
      <c r="D413" s="32" t="n">
        <v>2</v>
      </c>
      <c r="E413" s="32" t="s">
        <v>14</v>
      </c>
      <c r="F413" s="32" t="s">
        <v>368</v>
      </c>
      <c r="G413" s="34"/>
      <c r="H413" s="52" t="n">
        <f aca="false">IF($E413="Per class",$D413*COUNTIFS('Session Tracker'!$D$5:$D$149,$A413,'Session Tracker'!$F$5:$F$149,"Next week",'Session Tracker'!$G$5:$G$149,"Mon"),$D413*SUMIFS('Session Tracker'!$J$5:$J$149,'Session Tracker'!$D$5:$D$149,$A413,'Session Tracker'!$F$5:$F$149,"Next week",'Session Tracker'!$G$5:$G$149,"Mon"))</f>
        <v>0</v>
      </c>
      <c r="I413" s="52" t="n">
        <f aca="false">IF($E413="Per class",$D413*COUNTIFS('Session Tracker'!$D$5:$D$149,$A413,'Session Tracker'!$F$5:$F$149,"Next week",'Session Tracker'!$G$5:$G$149,"Tue"),$D413*SUMIFS('Session Tracker'!$J$5:$J$149,'Session Tracker'!$D$5:$D$149,$A413,'Session Tracker'!$F$5:$F$149,"Next week",'Session Tracker'!$G$5:$G$149,"Tue"))</f>
        <v>0</v>
      </c>
      <c r="J413" s="52" t="n">
        <f aca="false">IF($E413="Per class",$D413*COUNTIFS('Session Tracker'!$D$5:$D$149,$A413,'Session Tracker'!$F$5:$F$149,"Next week",'Session Tracker'!$G$5:$G$149,"Wed"),$D413*SUMIFS('Session Tracker'!$J$5:$J$149,'Session Tracker'!$D$5:$D$149,$A413,'Session Tracker'!$F$5:$F$149,"Next week",'Session Tracker'!$G$5:$G$149,"Wed"))</f>
        <v>0</v>
      </c>
      <c r="K413" s="52" t="n">
        <f aca="false">IF($E413="Per class",$D413*COUNTIFS('Session Tracker'!$D$5:$D$149,$A413,'Session Tracker'!$F$5:$F$149,"Next week",'Session Tracker'!$G$5:$G$149,"Thu"),$D413*SUMIFS('Session Tracker'!$J$5:$J$149,'Session Tracker'!$D$5:$D$149,$A413,'Session Tracker'!$F$5:$F$149,"Next week",'Session Tracker'!$G$5:$G$149,"Thu"))</f>
        <v>0</v>
      </c>
      <c r="L413" s="52" t="n">
        <f aca="false">IF($E413="Per class",$D413*COUNTIFS('Session Tracker'!$D$5:$D$149,$A413,'Session Tracker'!$F$5:$F$149,"Next week",'Session Tracker'!$G$5:$G$149,"Fri"),$D413*SUMIFS('Session Tracker'!$J$5:$J$149,'Session Tracker'!$D$5:$D$149,$A413,'Session Tracker'!$F$5:$F$149,"Next week",'Session Tracker'!$G$5:$G$149,"Fri"))</f>
        <v>0</v>
      </c>
      <c r="M413" s="52" t="n">
        <f aca="false">IF($E413="Per class",$D413*COUNTIFS('Session Tracker'!$D$5:$D$149,$A413,'Session Tracker'!$F$5:$F$149,"Next week",'Session Tracker'!$G$5:$G$149,""),$D413*SUMIFS('Session Tracker'!$J$5:$J$149,'Session Tracker'!$D$5:$D$149,$A413,'Session Tracker'!$F$5:$F$149,"Next week",'Session Tracker'!$G$5:$G$149,""))</f>
        <v>0</v>
      </c>
    </row>
    <row r="414" customFormat="false" ht="15" hidden="false" customHeight="false" outlineLevel="0" collapsed="false">
      <c r="A414" s="53" t="s">
        <v>210</v>
      </c>
      <c r="B414" s="54"/>
      <c r="C414" s="54"/>
      <c r="D414" s="54"/>
      <c r="E414" s="54"/>
      <c r="F414" s="54"/>
      <c r="G414" s="54"/>
      <c r="H414" s="52" t="n">
        <f aca="false">IF($E414="Per class",$D414*COUNTIFS('Session Tracker'!$D$5:$D$149,$A414,'Session Tracker'!$F$5:$F$149,"Next week",'Session Tracker'!$G$5:$G$149,"Mon"),$D414*SUMIFS('Session Tracker'!$J$5:$J$149,'Session Tracker'!$D$5:$D$149,$A414,'Session Tracker'!$F$5:$F$149,"Next week",'Session Tracker'!$G$5:$G$149,"Mon"))</f>
        <v>0</v>
      </c>
      <c r="I414" s="52" t="n">
        <f aca="false">IF($E414="Per class",$D414*COUNTIFS('Session Tracker'!$D$5:$D$149,$A414,'Session Tracker'!$F$5:$F$149,"Next week",'Session Tracker'!$G$5:$G$149,"Tue"),$D414*SUMIFS('Session Tracker'!$J$5:$J$149,'Session Tracker'!$D$5:$D$149,$A414,'Session Tracker'!$F$5:$F$149,"Next week",'Session Tracker'!$G$5:$G$149,"Tue"))</f>
        <v>0</v>
      </c>
      <c r="J414" s="52" t="n">
        <f aca="false">IF($E414="Per class",$D414*COUNTIFS('Session Tracker'!$D$5:$D$149,$A414,'Session Tracker'!$F$5:$F$149,"Next week",'Session Tracker'!$G$5:$G$149,"Wed"),$D414*SUMIFS('Session Tracker'!$J$5:$J$149,'Session Tracker'!$D$5:$D$149,$A414,'Session Tracker'!$F$5:$F$149,"Next week",'Session Tracker'!$G$5:$G$149,"Wed"))</f>
        <v>0</v>
      </c>
      <c r="K414" s="52" t="n">
        <f aca="false">IF($E414="Per class",$D414*COUNTIFS('Session Tracker'!$D$5:$D$149,$A414,'Session Tracker'!$F$5:$F$149,"Next week",'Session Tracker'!$G$5:$G$149,"Thu"),$D414*SUMIFS('Session Tracker'!$J$5:$J$149,'Session Tracker'!$D$5:$D$149,$A414,'Session Tracker'!$F$5:$F$149,"Next week",'Session Tracker'!$G$5:$G$149,"Thu"))</f>
        <v>0</v>
      </c>
      <c r="L414" s="52" t="n">
        <f aca="false">IF($E414="Per class",$D414*COUNTIFS('Session Tracker'!$D$5:$D$149,$A414,'Session Tracker'!$F$5:$F$149,"Next week",'Session Tracker'!$G$5:$G$149,"Fri"),$D414*SUMIFS('Session Tracker'!$J$5:$J$149,'Session Tracker'!$D$5:$D$149,$A414,'Session Tracker'!$F$5:$F$149,"Next week",'Session Tracker'!$G$5:$G$149,"Fri"))</f>
        <v>0</v>
      </c>
      <c r="M414" s="52" t="n">
        <f aca="false">IF($E414="Per class",$D414*COUNTIFS('Session Tracker'!$D$5:$D$149,$A414,'Session Tracker'!$F$5:$F$149,"Next week",'Session Tracker'!$G$5:$G$149,""),$D414*SUMIFS('Session Tracker'!$J$5:$J$149,'Session Tracker'!$D$5:$D$149,$A414,'Session Tracker'!$F$5:$F$149,"Next week",'Session Tracker'!$G$5:$G$149,""))</f>
        <v>0</v>
      </c>
    </row>
    <row r="415" customFormat="false" ht="15" hidden="false" customHeight="false" outlineLevel="0" collapsed="false">
      <c r="A415" s="53" t="s">
        <v>210</v>
      </c>
      <c r="B415" s="54"/>
      <c r="C415" s="54"/>
      <c r="D415" s="54"/>
      <c r="E415" s="54"/>
      <c r="F415" s="54"/>
      <c r="G415" s="54"/>
      <c r="H415" s="52" t="n">
        <f aca="false">IF($E415="Per class",$D415*COUNTIFS('Session Tracker'!$D$5:$D$149,$A415,'Session Tracker'!$F$5:$F$149,"Next week",'Session Tracker'!$G$5:$G$149,"Mon"),$D415*SUMIFS('Session Tracker'!$J$5:$J$149,'Session Tracker'!$D$5:$D$149,$A415,'Session Tracker'!$F$5:$F$149,"Next week",'Session Tracker'!$G$5:$G$149,"Mon"))</f>
        <v>0</v>
      </c>
      <c r="I415" s="52" t="n">
        <f aca="false">IF($E415="Per class",$D415*COUNTIFS('Session Tracker'!$D$5:$D$149,$A415,'Session Tracker'!$F$5:$F$149,"Next week",'Session Tracker'!$G$5:$G$149,"Tue"),$D415*SUMIFS('Session Tracker'!$J$5:$J$149,'Session Tracker'!$D$5:$D$149,$A415,'Session Tracker'!$F$5:$F$149,"Next week",'Session Tracker'!$G$5:$G$149,"Tue"))</f>
        <v>0</v>
      </c>
      <c r="J415" s="52" t="n">
        <f aca="false">IF($E415="Per class",$D415*COUNTIFS('Session Tracker'!$D$5:$D$149,$A415,'Session Tracker'!$F$5:$F$149,"Next week",'Session Tracker'!$G$5:$G$149,"Wed"),$D415*SUMIFS('Session Tracker'!$J$5:$J$149,'Session Tracker'!$D$5:$D$149,$A415,'Session Tracker'!$F$5:$F$149,"Next week",'Session Tracker'!$G$5:$G$149,"Wed"))</f>
        <v>0</v>
      </c>
      <c r="K415" s="52" t="n">
        <f aca="false">IF($E415="Per class",$D415*COUNTIFS('Session Tracker'!$D$5:$D$149,$A415,'Session Tracker'!$F$5:$F$149,"Next week",'Session Tracker'!$G$5:$G$149,"Thu"),$D415*SUMIFS('Session Tracker'!$J$5:$J$149,'Session Tracker'!$D$5:$D$149,$A415,'Session Tracker'!$F$5:$F$149,"Next week",'Session Tracker'!$G$5:$G$149,"Thu"))</f>
        <v>0</v>
      </c>
      <c r="L415" s="52" t="n">
        <f aca="false">IF($E415="Per class",$D415*COUNTIFS('Session Tracker'!$D$5:$D$149,$A415,'Session Tracker'!$F$5:$F$149,"Next week",'Session Tracker'!$G$5:$G$149,"Fri"),$D415*SUMIFS('Session Tracker'!$J$5:$J$149,'Session Tracker'!$D$5:$D$149,$A415,'Session Tracker'!$F$5:$F$149,"Next week",'Session Tracker'!$G$5:$G$149,"Fri"))</f>
        <v>0</v>
      </c>
      <c r="M415" s="52" t="n">
        <f aca="false">IF($E415="Per class",$D415*COUNTIFS('Session Tracker'!$D$5:$D$149,$A415,'Session Tracker'!$F$5:$F$149,"Next week",'Session Tracker'!$G$5:$G$149,""),$D415*SUMIFS('Session Tracker'!$J$5:$J$149,'Session Tracker'!$D$5:$D$149,$A415,'Session Tracker'!$F$5:$F$149,"Next week",'Session Tracker'!$G$5:$G$149,""))</f>
        <v>0</v>
      </c>
    </row>
    <row r="417" customFormat="false" ht="19.5" hidden="false" customHeight="true" outlineLevel="0" collapsed="false">
      <c r="A417" s="57" t="s">
        <v>212</v>
      </c>
      <c r="B417" s="58" t="s">
        <v>582</v>
      </c>
      <c r="C417" s="58"/>
      <c r="D417" s="58"/>
      <c r="E417" s="58"/>
      <c r="F417" s="59" t="str">
        <f aca="false">"Status: "&amp;'Session Tracker'!F74&amp;IF('Session Tracker'!G74&lt;&gt;""," ("&amp;'Session Tracker'!G74&amp;")","")</f>
        <v>Status: Not started</v>
      </c>
      <c r="G417" s="59"/>
      <c r="H417" s="60"/>
      <c r="I417" s="60"/>
      <c r="J417" s="60"/>
      <c r="K417" s="60"/>
      <c r="L417" s="60"/>
      <c r="M417" s="60"/>
    </row>
    <row r="418" customFormat="false" ht="15" hidden="false" customHeight="false" outlineLevel="0" collapsed="false">
      <c r="A418" s="61" t="s">
        <v>212</v>
      </c>
      <c r="B418" s="34" t="s">
        <v>382</v>
      </c>
      <c r="C418" s="34" t="s">
        <v>383</v>
      </c>
      <c r="D418" s="32" t="n">
        <v>1</v>
      </c>
      <c r="E418" s="32" t="s">
        <v>14</v>
      </c>
      <c r="F418" s="32" t="s">
        <v>368</v>
      </c>
      <c r="G418" s="34"/>
      <c r="H418" s="52" t="n">
        <f aca="false">IF($E418="Per class",$D418*COUNTIFS('Session Tracker'!$D$5:$D$149,$A418,'Session Tracker'!$F$5:$F$149,"Next week",'Session Tracker'!$G$5:$G$149,"Mon"),$D418*SUMIFS('Session Tracker'!$J$5:$J$149,'Session Tracker'!$D$5:$D$149,$A418,'Session Tracker'!$F$5:$F$149,"Next week",'Session Tracker'!$G$5:$G$149,"Mon"))</f>
        <v>0</v>
      </c>
      <c r="I418" s="52" t="n">
        <f aca="false">IF($E418="Per class",$D418*COUNTIFS('Session Tracker'!$D$5:$D$149,$A418,'Session Tracker'!$F$5:$F$149,"Next week",'Session Tracker'!$G$5:$G$149,"Tue"),$D418*SUMIFS('Session Tracker'!$J$5:$J$149,'Session Tracker'!$D$5:$D$149,$A418,'Session Tracker'!$F$5:$F$149,"Next week",'Session Tracker'!$G$5:$G$149,"Tue"))</f>
        <v>0</v>
      </c>
      <c r="J418" s="52" t="n">
        <f aca="false">IF($E418="Per class",$D418*COUNTIFS('Session Tracker'!$D$5:$D$149,$A418,'Session Tracker'!$F$5:$F$149,"Next week",'Session Tracker'!$G$5:$G$149,"Wed"),$D418*SUMIFS('Session Tracker'!$J$5:$J$149,'Session Tracker'!$D$5:$D$149,$A418,'Session Tracker'!$F$5:$F$149,"Next week",'Session Tracker'!$G$5:$G$149,"Wed"))</f>
        <v>0</v>
      </c>
      <c r="K418" s="52" t="n">
        <f aca="false">IF($E418="Per class",$D418*COUNTIFS('Session Tracker'!$D$5:$D$149,$A418,'Session Tracker'!$F$5:$F$149,"Next week",'Session Tracker'!$G$5:$G$149,"Thu"),$D418*SUMIFS('Session Tracker'!$J$5:$J$149,'Session Tracker'!$D$5:$D$149,$A418,'Session Tracker'!$F$5:$F$149,"Next week",'Session Tracker'!$G$5:$G$149,"Thu"))</f>
        <v>0</v>
      </c>
      <c r="L418" s="52" t="n">
        <f aca="false">IF($E418="Per class",$D418*COUNTIFS('Session Tracker'!$D$5:$D$149,$A418,'Session Tracker'!$F$5:$F$149,"Next week",'Session Tracker'!$G$5:$G$149,"Fri"),$D418*SUMIFS('Session Tracker'!$J$5:$J$149,'Session Tracker'!$D$5:$D$149,$A418,'Session Tracker'!$F$5:$F$149,"Next week",'Session Tracker'!$G$5:$G$149,"Fri"))</f>
        <v>0</v>
      </c>
      <c r="M418" s="52" t="n">
        <f aca="false">IF($E418="Per class",$D418*COUNTIFS('Session Tracker'!$D$5:$D$149,$A418,'Session Tracker'!$F$5:$F$149,"Next week",'Session Tracker'!$G$5:$G$149,""),$D418*SUMIFS('Session Tracker'!$J$5:$J$149,'Session Tracker'!$D$5:$D$149,$A418,'Session Tracker'!$F$5:$F$149,"Next week",'Session Tracker'!$G$5:$G$149,""))</f>
        <v>0</v>
      </c>
    </row>
    <row r="419" customFormat="false" ht="15" hidden="false" customHeight="false" outlineLevel="0" collapsed="false">
      <c r="A419" s="53" t="s">
        <v>212</v>
      </c>
      <c r="B419" s="54"/>
      <c r="C419" s="54"/>
      <c r="D419" s="54"/>
      <c r="E419" s="54"/>
      <c r="F419" s="54"/>
      <c r="G419" s="54"/>
      <c r="H419" s="52" t="n">
        <f aca="false">IF($E419="Per class",$D419*COUNTIFS('Session Tracker'!$D$5:$D$149,$A419,'Session Tracker'!$F$5:$F$149,"Next week",'Session Tracker'!$G$5:$G$149,"Mon"),$D419*SUMIFS('Session Tracker'!$J$5:$J$149,'Session Tracker'!$D$5:$D$149,$A419,'Session Tracker'!$F$5:$F$149,"Next week",'Session Tracker'!$G$5:$G$149,"Mon"))</f>
        <v>0</v>
      </c>
      <c r="I419" s="52" t="n">
        <f aca="false">IF($E419="Per class",$D419*COUNTIFS('Session Tracker'!$D$5:$D$149,$A419,'Session Tracker'!$F$5:$F$149,"Next week",'Session Tracker'!$G$5:$G$149,"Tue"),$D419*SUMIFS('Session Tracker'!$J$5:$J$149,'Session Tracker'!$D$5:$D$149,$A419,'Session Tracker'!$F$5:$F$149,"Next week",'Session Tracker'!$G$5:$G$149,"Tue"))</f>
        <v>0</v>
      </c>
      <c r="J419" s="52" t="n">
        <f aca="false">IF($E419="Per class",$D419*COUNTIFS('Session Tracker'!$D$5:$D$149,$A419,'Session Tracker'!$F$5:$F$149,"Next week",'Session Tracker'!$G$5:$G$149,"Wed"),$D419*SUMIFS('Session Tracker'!$J$5:$J$149,'Session Tracker'!$D$5:$D$149,$A419,'Session Tracker'!$F$5:$F$149,"Next week",'Session Tracker'!$G$5:$G$149,"Wed"))</f>
        <v>0</v>
      </c>
      <c r="K419" s="52" t="n">
        <f aca="false">IF($E419="Per class",$D419*COUNTIFS('Session Tracker'!$D$5:$D$149,$A419,'Session Tracker'!$F$5:$F$149,"Next week",'Session Tracker'!$G$5:$G$149,"Thu"),$D419*SUMIFS('Session Tracker'!$J$5:$J$149,'Session Tracker'!$D$5:$D$149,$A419,'Session Tracker'!$F$5:$F$149,"Next week",'Session Tracker'!$G$5:$G$149,"Thu"))</f>
        <v>0</v>
      </c>
      <c r="L419" s="52" t="n">
        <f aca="false">IF($E419="Per class",$D419*COUNTIFS('Session Tracker'!$D$5:$D$149,$A419,'Session Tracker'!$F$5:$F$149,"Next week",'Session Tracker'!$G$5:$G$149,"Fri"),$D419*SUMIFS('Session Tracker'!$J$5:$J$149,'Session Tracker'!$D$5:$D$149,$A419,'Session Tracker'!$F$5:$F$149,"Next week",'Session Tracker'!$G$5:$G$149,"Fri"))</f>
        <v>0</v>
      </c>
      <c r="M419" s="52" t="n">
        <f aca="false">IF($E419="Per class",$D419*COUNTIFS('Session Tracker'!$D$5:$D$149,$A419,'Session Tracker'!$F$5:$F$149,"Next week",'Session Tracker'!$G$5:$G$149,""),$D419*SUMIFS('Session Tracker'!$J$5:$J$149,'Session Tracker'!$D$5:$D$149,$A419,'Session Tracker'!$F$5:$F$149,"Next week",'Session Tracker'!$G$5:$G$149,""))</f>
        <v>0</v>
      </c>
    </row>
    <row r="420" customFormat="false" ht="15" hidden="false" customHeight="false" outlineLevel="0" collapsed="false">
      <c r="A420" s="53" t="s">
        <v>212</v>
      </c>
      <c r="B420" s="54"/>
      <c r="C420" s="54"/>
      <c r="D420" s="54"/>
      <c r="E420" s="54"/>
      <c r="F420" s="54"/>
      <c r="G420" s="54"/>
      <c r="H420" s="52" t="n">
        <f aca="false">IF($E420="Per class",$D420*COUNTIFS('Session Tracker'!$D$5:$D$149,$A420,'Session Tracker'!$F$5:$F$149,"Next week",'Session Tracker'!$G$5:$G$149,"Mon"),$D420*SUMIFS('Session Tracker'!$J$5:$J$149,'Session Tracker'!$D$5:$D$149,$A420,'Session Tracker'!$F$5:$F$149,"Next week",'Session Tracker'!$G$5:$G$149,"Mon"))</f>
        <v>0</v>
      </c>
      <c r="I420" s="52" t="n">
        <f aca="false">IF($E420="Per class",$D420*COUNTIFS('Session Tracker'!$D$5:$D$149,$A420,'Session Tracker'!$F$5:$F$149,"Next week",'Session Tracker'!$G$5:$G$149,"Tue"),$D420*SUMIFS('Session Tracker'!$J$5:$J$149,'Session Tracker'!$D$5:$D$149,$A420,'Session Tracker'!$F$5:$F$149,"Next week",'Session Tracker'!$G$5:$G$149,"Tue"))</f>
        <v>0</v>
      </c>
      <c r="J420" s="52" t="n">
        <f aca="false">IF($E420="Per class",$D420*COUNTIFS('Session Tracker'!$D$5:$D$149,$A420,'Session Tracker'!$F$5:$F$149,"Next week",'Session Tracker'!$G$5:$G$149,"Wed"),$D420*SUMIFS('Session Tracker'!$J$5:$J$149,'Session Tracker'!$D$5:$D$149,$A420,'Session Tracker'!$F$5:$F$149,"Next week",'Session Tracker'!$G$5:$G$149,"Wed"))</f>
        <v>0</v>
      </c>
      <c r="K420" s="52" t="n">
        <f aca="false">IF($E420="Per class",$D420*COUNTIFS('Session Tracker'!$D$5:$D$149,$A420,'Session Tracker'!$F$5:$F$149,"Next week",'Session Tracker'!$G$5:$G$149,"Thu"),$D420*SUMIFS('Session Tracker'!$J$5:$J$149,'Session Tracker'!$D$5:$D$149,$A420,'Session Tracker'!$F$5:$F$149,"Next week",'Session Tracker'!$G$5:$G$149,"Thu"))</f>
        <v>0</v>
      </c>
      <c r="L420" s="52" t="n">
        <f aca="false">IF($E420="Per class",$D420*COUNTIFS('Session Tracker'!$D$5:$D$149,$A420,'Session Tracker'!$F$5:$F$149,"Next week",'Session Tracker'!$G$5:$G$149,"Fri"),$D420*SUMIFS('Session Tracker'!$J$5:$J$149,'Session Tracker'!$D$5:$D$149,$A420,'Session Tracker'!$F$5:$F$149,"Next week",'Session Tracker'!$G$5:$G$149,"Fri"))</f>
        <v>0</v>
      </c>
      <c r="M420" s="52" t="n">
        <f aca="false">IF($E420="Per class",$D420*COUNTIFS('Session Tracker'!$D$5:$D$149,$A420,'Session Tracker'!$F$5:$F$149,"Next week",'Session Tracker'!$G$5:$G$149,""),$D420*SUMIFS('Session Tracker'!$J$5:$J$149,'Session Tracker'!$D$5:$D$149,$A420,'Session Tracker'!$F$5:$F$149,"Next week",'Session Tracker'!$G$5:$G$149,""))</f>
        <v>0</v>
      </c>
    </row>
    <row r="422" customFormat="false" ht="19.5" hidden="false" customHeight="true" outlineLevel="0" collapsed="false">
      <c r="A422" s="57" t="s">
        <v>214</v>
      </c>
      <c r="B422" s="58" t="s">
        <v>583</v>
      </c>
      <c r="C422" s="58"/>
      <c r="D422" s="58"/>
      <c r="E422" s="58"/>
      <c r="F422" s="59" t="str">
        <f aca="false">"Status: "&amp;'Session Tracker'!F75&amp;IF('Session Tracker'!G75&lt;&gt;""," ("&amp;'Session Tracker'!G75&amp;")","")</f>
        <v>Status: Not started</v>
      </c>
      <c r="G422" s="59"/>
      <c r="H422" s="60"/>
      <c r="I422" s="60"/>
      <c r="J422" s="60"/>
      <c r="K422" s="60"/>
      <c r="L422" s="60"/>
      <c r="M422" s="60"/>
    </row>
    <row r="423" customFormat="false" ht="15" hidden="false" customHeight="false" outlineLevel="0" collapsed="false">
      <c r="A423" s="61" t="s">
        <v>214</v>
      </c>
      <c r="B423" s="34" t="s">
        <v>382</v>
      </c>
      <c r="C423" s="34" t="s">
        <v>383</v>
      </c>
      <c r="D423" s="32" t="n">
        <v>1</v>
      </c>
      <c r="E423" s="32" t="s">
        <v>14</v>
      </c>
      <c r="F423" s="32" t="s">
        <v>368</v>
      </c>
      <c r="G423" s="34"/>
      <c r="H423" s="52" t="n">
        <f aca="false">IF($E423="Per class",$D423*COUNTIFS('Session Tracker'!$D$5:$D$149,$A423,'Session Tracker'!$F$5:$F$149,"Next week",'Session Tracker'!$G$5:$G$149,"Mon"),$D423*SUMIFS('Session Tracker'!$J$5:$J$149,'Session Tracker'!$D$5:$D$149,$A423,'Session Tracker'!$F$5:$F$149,"Next week",'Session Tracker'!$G$5:$G$149,"Mon"))</f>
        <v>0</v>
      </c>
      <c r="I423" s="52" t="n">
        <f aca="false">IF($E423="Per class",$D423*COUNTIFS('Session Tracker'!$D$5:$D$149,$A423,'Session Tracker'!$F$5:$F$149,"Next week",'Session Tracker'!$G$5:$G$149,"Tue"),$D423*SUMIFS('Session Tracker'!$J$5:$J$149,'Session Tracker'!$D$5:$D$149,$A423,'Session Tracker'!$F$5:$F$149,"Next week",'Session Tracker'!$G$5:$G$149,"Tue"))</f>
        <v>0</v>
      </c>
      <c r="J423" s="52" t="n">
        <f aca="false">IF($E423="Per class",$D423*COUNTIFS('Session Tracker'!$D$5:$D$149,$A423,'Session Tracker'!$F$5:$F$149,"Next week",'Session Tracker'!$G$5:$G$149,"Wed"),$D423*SUMIFS('Session Tracker'!$J$5:$J$149,'Session Tracker'!$D$5:$D$149,$A423,'Session Tracker'!$F$5:$F$149,"Next week",'Session Tracker'!$G$5:$G$149,"Wed"))</f>
        <v>0</v>
      </c>
      <c r="K423" s="52" t="n">
        <f aca="false">IF($E423="Per class",$D423*COUNTIFS('Session Tracker'!$D$5:$D$149,$A423,'Session Tracker'!$F$5:$F$149,"Next week",'Session Tracker'!$G$5:$G$149,"Thu"),$D423*SUMIFS('Session Tracker'!$J$5:$J$149,'Session Tracker'!$D$5:$D$149,$A423,'Session Tracker'!$F$5:$F$149,"Next week",'Session Tracker'!$G$5:$G$149,"Thu"))</f>
        <v>0</v>
      </c>
      <c r="L423" s="52" t="n">
        <f aca="false">IF($E423="Per class",$D423*COUNTIFS('Session Tracker'!$D$5:$D$149,$A423,'Session Tracker'!$F$5:$F$149,"Next week",'Session Tracker'!$G$5:$G$149,"Fri"),$D423*SUMIFS('Session Tracker'!$J$5:$J$149,'Session Tracker'!$D$5:$D$149,$A423,'Session Tracker'!$F$5:$F$149,"Next week",'Session Tracker'!$G$5:$G$149,"Fri"))</f>
        <v>0</v>
      </c>
      <c r="M423" s="52" t="n">
        <f aca="false">IF($E423="Per class",$D423*COUNTIFS('Session Tracker'!$D$5:$D$149,$A423,'Session Tracker'!$F$5:$F$149,"Next week",'Session Tracker'!$G$5:$G$149,""),$D423*SUMIFS('Session Tracker'!$J$5:$J$149,'Session Tracker'!$D$5:$D$149,$A423,'Session Tracker'!$F$5:$F$149,"Next week",'Session Tracker'!$G$5:$G$149,""))</f>
        <v>0</v>
      </c>
    </row>
    <row r="424" customFormat="false" ht="15" hidden="false" customHeight="false" outlineLevel="0" collapsed="false">
      <c r="A424" s="61" t="s">
        <v>214</v>
      </c>
      <c r="B424" s="34" t="s">
        <v>411</v>
      </c>
      <c r="C424" s="34" t="s">
        <v>450</v>
      </c>
      <c r="D424" s="32" t="n">
        <v>1</v>
      </c>
      <c r="E424" s="32" t="s">
        <v>14</v>
      </c>
      <c r="F424" s="32" t="s">
        <v>373</v>
      </c>
      <c r="G424" s="34"/>
      <c r="H424" s="52" t="n">
        <f aca="false">IF($E424="Per class",$D424*COUNTIFS('Session Tracker'!$D$5:$D$149,$A424,'Session Tracker'!$F$5:$F$149,"Next week",'Session Tracker'!$G$5:$G$149,"Mon"),$D424*SUMIFS('Session Tracker'!$J$5:$J$149,'Session Tracker'!$D$5:$D$149,$A424,'Session Tracker'!$F$5:$F$149,"Next week",'Session Tracker'!$G$5:$G$149,"Mon"))</f>
        <v>0</v>
      </c>
      <c r="I424" s="52" t="n">
        <f aca="false">IF($E424="Per class",$D424*COUNTIFS('Session Tracker'!$D$5:$D$149,$A424,'Session Tracker'!$F$5:$F$149,"Next week",'Session Tracker'!$G$5:$G$149,"Tue"),$D424*SUMIFS('Session Tracker'!$J$5:$J$149,'Session Tracker'!$D$5:$D$149,$A424,'Session Tracker'!$F$5:$F$149,"Next week",'Session Tracker'!$G$5:$G$149,"Tue"))</f>
        <v>0</v>
      </c>
      <c r="J424" s="52" t="n">
        <f aca="false">IF($E424="Per class",$D424*COUNTIFS('Session Tracker'!$D$5:$D$149,$A424,'Session Tracker'!$F$5:$F$149,"Next week",'Session Tracker'!$G$5:$G$149,"Wed"),$D424*SUMIFS('Session Tracker'!$J$5:$J$149,'Session Tracker'!$D$5:$D$149,$A424,'Session Tracker'!$F$5:$F$149,"Next week",'Session Tracker'!$G$5:$G$149,"Wed"))</f>
        <v>0</v>
      </c>
      <c r="K424" s="52" t="n">
        <f aca="false">IF($E424="Per class",$D424*COUNTIFS('Session Tracker'!$D$5:$D$149,$A424,'Session Tracker'!$F$5:$F$149,"Next week",'Session Tracker'!$G$5:$G$149,"Thu"),$D424*SUMIFS('Session Tracker'!$J$5:$J$149,'Session Tracker'!$D$5:$D$149,$A424,'Session Tracker'!$F$5:$F$149,"Next week",'Session Tracker'!$G$5:$G$149,"Thu"))</f>
        <v>0</v>
      </c>
      <c r="L424" s="52" t="n">
        <f aca="false">IF($E424="Per class",$D424*COUNTIFS('Session Tracker'!$D$5:$D$149,$A424,'Session Tracker'!$F$5:$F$149,"Next week",'Session Tracker'!$G$5:$G$149,"Fri"),$D424*SUMIFS('Session Tracker'!$J$5:$J$149,'Session Tracker'!$D$5:$D$149,$A424,'Session Tracker'!$F$5:$F$149,"Next week",'Session Tracker'!$G$5:$G$149,"Fri"))</f>
        <v>0</v>
      </c>
      <c r="M424" s="52" t="n">
        <f aca="false">IF($E424="Per class",$D424*COUNTIFS('Session Tracker'!$D$5:$D$149,$A424,'Session Tracker'!$F$5:$F$149,"Next week",'Session Tracker'!$G$5:$G$149,""),$D424*SUMIFS('Session Tracker'!$J$5:$J$149,'Session Tracker'!$D$5:$D$149,$A424,'Session Tracker'!$F$5:$F$149,"Next week",'Session Tracker'!$G$5:$G$149,""))</f>
        <v>0</v>
      </c>
    </row>
    <row r="425" customFormat="false" ht="15" hidden="false" customHeight="false" outlineLevel="0" collapsed="false">
      <c r="A425" s="53" t="s">
        <v>214</v>
      </c>
      <c r="B425" s="54"/>
      <c r="C425" s="54"/>
      <c r="D425" s="54"/>
      <c r="E425" s="54"/>
      <c r="F425" s="54"/>
      <c r="G425" s="54"/>
      <c r="H425" s="52" t="n">
        <f aca="false">IF($E425="Per class",$D425*COUNTIFS('Session Tracker'!$D$5:$D$149,$A425,'Session Tracker'!$F$5:$F$149,"Next week",'Session Tracker'!$G$5:$G$149,"Mon"),$D425*SUMIFS('Session Tracker'!$J$5:$J$149,'Session Tracker'!$D$5:$D$149,$A425,'Session Tracker'!$F$5:$F$149,"Next week",'Session Tracker'!$G$5:$G$149,"Mon"))</f>
        <v>0</v>
      </c>
      <c r="I425" s="52" t="n">
        <f aca="false">IF($E425="Per class",$D425*COUNTIFS('Session Tracker'!$D$5:$D$149,$A425,'Session Tracker'!$F$5:$F$149,"Next week",'Session Tracker'!$G$5:$G$149,"Tue"),$D425*SUMIFS('Session Tracker'!$J$5:$J$149,'Session Tracker'!$D$5:$D$149,$A425,'Session Tracker'!$F$5:$F$149,"Next week",'Session Tracker'!$G$5:$G$149,"Tue"))</f>
        <v>0</v>
      </c>
      <c r="J425" s="52" t="n">
        <f aca="false">IF($E425="Per class",$D425*COUNTIFS('Session Tracker'!$D$5:$D$149,$A425,'Session Tracker'!$F$5:$F$149,"Next week",'Session Tracker'!$G$5:$G$149,"Wed"),$D425*SUMIFS('Session Tracker'!$J$5:$J$149,'Session Tracker'!$D$5:$D$149,$A425,'Session Tracker'!$F$5:$F$149,"Next week",'Session Tracker'!$G$5:$G$149,"Wed"))</f>
        <v>0</v>
      </c>
      <c r="K425" s="52" t="n">
        <f aca="false">IF($E425="Per class",$D425*COUNTIFS('Session Tracker'!$D$5:$D$149,$A425,'Session Tracker'!$F$5:$F$149,"Next week",'Session Tracker'!$G$5:$G$149,"Thu"),$D425*SUMIFS('Session Tracker'!$J$5:$J$149,'Session Tracker'!$D$5:$D$149,$A425,'Session Tracker'!$F$5:$F$149,"Next week",'Session Tracker'!$G$5:$G$149,"Thu"))</f>
        <v>0</v>
      </c>
      <c r="L425" s="52" t="n">
        <f aca="false">IF($E425="Per class",$D425*COUNTIFS('Session Tracker'!$D$5:$D$149,$A425,'Session Tracker'!$F$5:$F$149,"Next week",'Session Tracker'!$G$5:$G$149,"Fri"),$D425*SUMIFS('Session Tracker'!$J$5:$J$149,'Session Tracker'!$D$5:$D$149,$A425,'Session Tracker'!$F$5:$F$149,"Next week",'Session Tracker'!$G$5:$G$149,"Fri"))</f>
        <v>0</v>
      </c>
      <c r="M425" s="52" t="n">
        <f aca="false">IF($E425="Per class",$D425*COUNTIFS('Session Tracker'!$D$5:$D$149,$A425,'Session Tracker'!$F$5:$F$149,"Next week",'Session Tracker'!$G$5:$G$149,""),$D425*SUMIFS('Session Tracker'!$J$5:$J$149,'Session Tracker'!$D$5:$D$149,$A425,'Session Tracker'!$F$5:$F$149,"Next week",'Session Tracker'!$G$5:$G$149,""))</f>
        <v>0</v>
      </c>
    </row>
    <row r="426" customFormat="false" ht="15" hidden="false" customHeight="false" outlineLevel="0" collapsed="false">
      <c r="A426" s="53" t="s">
        <v>214</v>
      </c>
      <c r="B426" s="54"/>
      <c r="C426" s="54"/>
      <c r="D426" s="54"/>
      <c r="E426" s="54"/>
      <c r="F426" s="54"/>
      <c r="G426" s="54"/>
      <c r="H426" s="52" t="n">
        <f aca="false">IF($E426="Per class",$D426*COUNTIFS('Session Tracker'!$D$5:$D$149,$A426,'Session Tracker'!$F$5:$F$149,"Next week",'Session Tracker'!$G$5:$G$149,"Mon"),$D426*SUMIFS('Session Tracker'!$J$5:$J$149,'Session Tracker'!$D$5:$D$149,$A426,'Session Tracker'!$F$5:$F$149,"Next week",'Session Tracker'!$G$5:$G$149,"Mon"))</f>
        <v>0</v>
      </c>
      <c r="I426" s="52" t="n">
        <f aca="false">IF($E426="Per class",$D426*COUNTIFS('Session Tracker'!$D$5:$D$149,$A426,'Session Tracker'!$F$5:$F$149,"Next week",'Session Tracker'!$G$5:$G$149,"Tue"),$D426*SUMIFS('Session Tracker'!$J$5:$J$149,'Session Tracker'!$D$5:$D$149,$A426,'Session Tracker'!$F$5:$F$149,"Next week",'Session Tracker'!$G$5:$G$149,"Tue"))</f>
        <v>0</v>
      </c>
      <c r="J426" s="52" t="n">
        <f aca="false">IF($E426="Per class",$D426*COUNTIFS('Session Tracker'!$D$5:$D$149,$A426,'Session Tracker'!$F$5:$F$149,"Next week",'Session Tracker'!$G$5:$G$149,"Wed"),$D426*SUMIFS('Session Tracker'!$J$5:$J$149,'Session Tracker'!$D$5:$D$149,$A426,'Session Tracker'!$F$5:$F$149,"Next week",'Session Tracker'!$G$5:$G$149,"Wed"))</f>
        <v>0</v>
      </c>
      <c r="K426" s="52" t="n">
        <f aca="false">IF($E426="Per class",$D426*COUNTIFS('Session Tracker'!$D$5:$D$149,$A426,'Session Tracker'!$F$5:$F$149,"Next week",'Session Tracker'!$G$5:$G$149,"Thu"),$D426*SUMIFS('Session Tracker'!$J$5:$J$149,'Session Tracker'!$D$5:$D$149,$A426,'Session Tracker'!$F$5:$F$149,"Next week",'Session Tracker'!$G$5:$G$149,"Thu"))</f>
        <v>0</v>
      </c>
      <c r="L426" s="52" t="n">
        <f aca="false">IF($E426="Per class",$D426*COUNTIFS('Session Tracker'!$D$5:$D$149,$A426,'Session Tracker'!$F$5:$F$149,"Next week",'Session Tracker'!$G$5:$G$149,"Fri"),$D426*SUMIFS('Session Tracker'!$J$5:$J$149,'Session Tracker'!$D$5:$D$149,$A426,'Session Tracker'!$F$5:$F$149,"Next week",'Session Tracker'!$G$5:$G$149,"Fri"))</f>
        <v>0</v>
      </c>
      <c r="M426" s="52" t="n">
        <f aca="false">IF($E426="Per class",$D426*COUNTIFS('Session Tracker'!$D$5:$D$149,$A426,'Session Tracker'!$F$5:$F$149,"Next week",'Session Tracker'!$G$5:$G$149,""),$D426*SUMIFS('Session Tracker'!$J$5:$J$149,'Session Tracker'!$D$5:$D$149,$A426,'Session Tracker'!$F$5:$F$149,"Next week",'Session Tracker'!$G$5:$G$149,""))</f>
        <v>0</v>
      </c>
    </row>
    <row r="428" customFormat="false" ht="19.5" hidden="false" customHeight="true" outlineLevel="0" collapsed="false">
      <c r="A428" s="57" t="s">
        <v>216</v>
      </c>
      <c r="B428" s="58" t="s">
        <v>584</v>
      </c>
      <c r="C428" s="58"/>
      <c r="D428" s="58"/>
      <c r="E428" s="58"/>
      <c r="F428" s="59" t="str">
        <f aca="false">"Status: "&amp;'Session Tracker'!F76&amp;IF('Session Tracker'!G76&lt;&gt;""," ("&amp;'Session Tracker'!G76&amp;")","")</f>
        <v>Status: Not started</v>
      </c>
      <c r="G428" s="59"/>
      <c r="H428" s="60"/>
      <c r="I428" s="60"/>
      <c r="J428" s="60"/>
      <c r="K428" s="60"/>
      <c r="L428" s="60"/>
      <c r="M428" s="60"/>
    </row>
    <row r="429" customFormat="false" ht="15" hidden="false" customHeight="false" outlineLevel="0" collapsed="false">
      <c r="A429" s="61" t="s">
        <v>216</v>
      </c>
      <c r="B429" s="34" t="s">
        <v>382</v>
      </c>
      <c r="C429" s="34" t="s">
        <v>383</v>
      </c>
      <c r="D429" s="32" t="n">
        <v>1</v>
      </c>
      <c r="E429" s="32" t="s">
        <v>14</v>
      </c>
      <c r="F429" s="32" t="s">
        <v>368</v>
      </c>
      <c r="G429" s="34"/>
      <c r="H429" s="52" t="n">
        <f aca="false">IF($E429="Per class",$D429*COUNTIFS('Session Tracker'!$D$5:$D$149,$A429,'Session Tracker'!$F$5:$F$149,"Next week",'Session Tracker'!$G$5:$G$149,"Mon"),$D429*SUMIFS('Session Tracker'!$J$5:$J$149,'Session Tracker'!$D$5:$D$149,$A429,'Session Tracker'!$F$5:$F$149,"Next week",'Session Tracker'!$G$5:$G$149,"Mon"))</f>
        <v>0</v>
      </c>
      <c r="I429" s="52" t="n">
        <f aca="false">IF($E429="Per class",$D429*COUNTIFS('Session Tracker'!$D$5:$D$149,$A429,'Session Tracker'!$F$5:$F$149,"Next week",'Session Tracker'!$G$5:$G$149,"Tue"),$D429*SUMIFS('Session Tracker'!$J$5:$J$149,'Session Tracker'!$D$5:$D$149,$A429,'Session Tracker'!$F$5:$F$149,"Next week",'Session Tracker'!$G$5:$G$149,"Tue"))</f>
        <v>0</v>
      </c>
      <c r="J429" s="52" t="n">
        <f aca="false">IF($E429="Per class",$D429*COUNTIFS('Session Tracker'!$D$5:$D$149,$A429,'Session Tracker'!$F$5:$F$149,"Next week",'Session Tracker'!$G$5:$G$149,"Wed"),$D429*SUMIFS('Session Tracker'!$J$5:$J$149,'Session Tracker'!$D$5:$D$149,$A429,'Session Tracker'!$F$5:$F$149,"Next week",'Session Tracker'!$G$5:$G$149,"Wed"))</f>
        <v>0</v>
      </c>
      <c r="K429" s="52" t="n">
        <f aca="false">IF($E429="Per class",$D429*COUNTIFS('Session Tracker'!$D$5:$D$149,$A429,'Session Tracker'!$F$5:$F$149,"Next week",'Session Tracker'!$G$5:$G$149,"Thu"),$D429*SUMIFS('Session Tracker'!$J$5:$J$149,'Session Tracker'!$D$5:$D$149,$A429,'Session Tracker'!$F$5:$F$149,"Next week",'Session Tracker'!$G$5:$G$149,"Thu"))</f>
        <v>0</v>
      </c>
      <c r="L429" s="52" t="n">
        <f aca="false">IF($E429="Per class",$D429*COUNTIFS('Session Tracker'!$D$5:$D$149,$A429,'Session Tracker'!$F$5:$F$149,"Next week",'Session Tracker'!$G$5:$G$149,"Fri"),$D429*SUMIFS('Session Tracker'!$J$5:$J$149,'Session Tracker'!$D$5:$D$149,$A429,'Session Tracker'!$F$5:$F$149,"Next week",'Session Tracker'!$G$5:$G$149,"Fri"))</f>
        <v>0</v>
      </c>
      <c r="M429" s="52" t="n">
        <f aca="false">IF($E429="Per class",$D429*COUNTIFS('Session Tracker'!$D$5:$D$149,$A429,'Session Tracker'!$F$5:$F$149,"Next week",'Session Tracker'!$G$5:$G$149,""),$D429*SUMIFS('Session Tracker'!$J$5:$J$149,'Session Tracker'!$D$5:$D$149,$A429,'Session Tracker'!$F$5:$F$149,"Next week",'Session Tracker'!$G$5:$G$149,""))</f>
        <v>0</v>
      </c>
    </row>
    <row r="430" customFormat="false" ht="15" hidden="false" customHeight="false" outlineLevel="0" collapsed="false">
      <c r="A430" s="61" t="s">
        <v>216</v>
      </c>
      <c r="B430" s="34" t="s">
        <v>382</v>
      </c>
      <c r="C430" s="34" t="s">
        <v>490</v>
      </c>
      <c r="D430" s="32" t="n">
        <v>1</v>
      </c>
      <c r="E430" s="32" t="s">
        <v>14</v>
      </c>
      <c r="F430" s="32" t="s">
        <v>368</v>
      </c>
      <c r="G430" s="34" t="s">
        <v>491</v>
      </c>
      <c r="H430" s="52" t="n">
        <f aca="false">IF($E430="Per class",$D430*COUNTIFS('Session Tracker'!$D$5:$D$149,$A430,'Session Tracker'!$F$5:$F$149,"Next week",'Session Tracker'!$G$5:$G$149,"Mon"),$D430*SUMIFS('Session Tracker'!$J$5:$J$149,'Session Tracker'!$D$5:$D$149,$A430,'Session Tracker'!$F$5:$F$149,"Next week",'Session Tracker'!$G$5:$G$149,"Mon"))</f>
        <v>0</v>
      </c>
      <c r="I430" s="52" t="n">
        <f aca="false">IF($E430="Per class",$D430*COUNTIFS('Session Tracker'!$D$5:$D$149,$A430,'Session Tracker'!$F$5:$F$149,"Next week",'Session Tracker'!$G$5:$G$149,"Tue"),$D430*SUMIFS('Session Tracker'!$J$5:$J$149,'Session Tracker'!$D$5:$D$149,$A430,'Session Tracker'!$F$5:$F$149,"Next week",'Session Tracker'!$G$5:$G$149,"Tue"))</f>
        <v>0</v>
      </c>
      <c r="J430" s="52" t="n">
        <f aca="false">IF($E430="Per class",$D430*COUNTIFS('Session Tracker'!$D$5:$D$149,$A430,'Session Tracker'!$F$5:$F$149,"Next week",'Session Tracker'!$G$5:$G$149,"Wed"),$D430*SUMIFS('Session Tracker'!$J$5:$J$149,'Session Tracker'!$D$5:$D$149,$A430,'Session Tracker'!$F$5:$F$149,"Next week",'Session Tracker'!$G$5:$G$149,"Wed"))</f>
        <v>0</v>
      </c>
      <c r="K430" s="52" t="n">
        <f aca="false">IF($E430="Per class",$D430*COUNTIFS('Session Tracker'!$D$5:$D$149,$A430,'Session Tracker'!$F$5:$F$149,"Next week",'Session Tracker'!$G$5:$G$149,"Thu"),$D430*SUMIFS('Session Tracker'!$J$5:$J$149,'Session Tracker'!$D$5:$D$149,$A430,'Session Tracker'!$F$5:$F$149,"Next week",'Session Tracker'!$G$5:$G$149,"Thu"))</f>
        <v>0</v>
      </c>
      <c r="L430" s="52" t="n">
        <f aca="false">IF($E430="Per class",$D430*COUNTIFS('Session Tracker'!$D$5:$D$149,$A430,'Session Tracker'!$F$5:$F$149,"Next week",'Session Tracker'!$G$5:$G$149,"Fri"),$D430*SUMIFS('Session Tracker'!$J$5:$J$149,'Session Tracker'!$D$5:$D$149,$A430,'Session Tracker'!$F$5:$F$149,"Next week",'Session Tracker'!$G$5:$G$149,"Fri"))</f>
        <v>0</v>
      </c>
      <c r="M430" s="52" t="n">
        <f aca="false">IF($E430="Per class",$D430*COUNTIFS('Session Tracker'!$D$5:$D$149,$A430,'Session Tracker'!$F$5:$F$149,"Next week",'Session Tracker'!$G$5:$G$149,""),$D430*SUMIFS('Session Tracker'!$J$5:$J$149,'Session Tracker'!$D$5:$D$149,$A430,'Session Tracker'!$F$5:$F$149,"Next week",'Session Tracker'!$G$5:$G$149,""))</f>
        <v>0</v>
      </c>
    </row>
    <row r="431" customFormat="false" ht="15" hidden="false" customHeight="false" outlineLevel="0" collapsed="false">
      <c r="A431" s="53" t="s">
        <v>216</v>
      </c>
      <c r="B431" s="54"/>
      <c r="C431" s="54"/>
      <c r="D431" s="54"/>
      <c r="E431" s="54"/>
      <c r="F431" s="54"/>
      <c r="G431" s="54"/>
      <c r="H431" s="52" t="n">
        <f aca="false">IF($E431="Per class",$D431*COUNTIFS('Session Tracker'!$D$5:$D$149,$A431,'Session Tracker'!$F$5:$F$149,"Next week",'Session Tracker'!$G$5:$G$149,"Mon"),$D431*SUMIFS('Session Tracker'!$J$5:$J$149,'Session Tracker'!$D$5:$D$149,$A431,'Session Tracker'!$F$5:$F$149,"Next week",'Session Tracker'!$G$5:$G$149,"Mon"))</f>
        <v>0</v>
      </c>
      <c r="I431" s="52" t="n">
        <f aca="false">IF($E431="Per class",$D431*COUNTIFS('Session Tracker'!$D$5:$D$149,$A431,'Session Tracker'!$F$5:$F$149,"Next week",'Session Tracker'!$G$5:$G$149,"Tue"),$D431*SUMIFS('Session Tracker'!$J$5:$J$149,'Session Tracker'!$D$5:$D$149,$A431,'Session Tracker'!$F$5:$F$149,"Next week",'Session Tracker'!$G$5:$G$149,"Tue"))</f>
        <v>0</v>
      </c>
      <c r="J431" s="52" t="n">
        <f aca="false">IF($E431="Per class",$D431*COUNTIFS('Session Tracker'!$D$5:$D$149,$A431,'Session Tracker'!$F$5:$F$149,"Next week",'Session Tracker'!$G$5:$G$149,"Wed"),$D431*SUMIFS('Session Tracker'!$J$5:$J$149,'Session Tracker'!$D$5:$D$149,$A431,'Session Tracker'!$F$5:$F$149,"Next week",'Session Tracker'!$G$5:$G$149,"Wed"))</f>
        <v>0</v>
      </c>
      <c r="K431" s="52" t="n">
        <f aca="false">IF($E431="Per class",$D431*COUNTIFS('Session Tracker'!$D$5:$D$149,$A431,'Session Tracker'!$F$5:$F$149,"Next week",'Session Tracker'!$G$5:$G$149,"Thu"),$D431*SUMIFS('Session Tracker'!$J$5:$J$149,'Session Tracker'!$D$5:$D$149,$A431,'Session Tracker'!$F$5:$F$149,"Next week",'Session Tracker'!$G$5:$G$149,"Thu"))</f>
        <v>0</v>
      </c>
      <c r="L431" s="52" t="n">
        <f aca="false">IF($E431="Per class",$D431*COUNTIFS('Session Tracker'!$D$5:$D$149,$A431,'Session Tracker'!$F$5:$F$149,"Next week",'Session Tracker'!$G$5:$G$149,"Fri"),$D431*SUMIFS('Session Tracker'!$J$5:$J$149,'Session Tracker'!$D$5:$D$149,$A431,'Session Tracker'!$F$5:$F$149,"Next week",'Session Tracker'!$G$5:$G$149,"Fri"))</f>
        <v>0</v>
      </c>
      <c r="M431" s="52" t="n">
        <f aca="false">IF($E431="Per class",$D431*COUNTIFS('Session Tracker'!$D$5:$D$149,$A431,'Session Tracker'!$F$5:$F$149,"Next week",'Session Tracker'!$G$5:$G$149,""),$D431*SUMIFS('Session Tracker'!$J$5:$J$149,'Session Tracker'!$D$5:$D$149,$A431,'Session Tracker'!$F$5:$F$149,"Next week",'Session Tracker'!$G$5:$G$149,""))</f>
        <v>0</v>
      </c>
    </row>
    <row r="432" customFormat="false" ht="15" hidden="false" customHeight="false" outlineLevel="0" collapsed="false">
      <c r="A432" s="53" t="s">
        <v>216</v>
      </c>
      <c r="B432" s="54"/>
      <c r="C432" s="54"/>
      <c r="D432" s="54"/>
      <c r="E432" s="54"/>
      <c r="F432" s="54"/>
      <c r="G432" s="54"/>
      <c r="H432" s="52" t="n">
        <f aca="false">IF($E432="Per class",$D432*COUNTIFS('Session Tracker'!$D$5:$D$149,$A432,'Session Tracker'!$F$5:$F$149,"Next week",'Session Tracker'!$G$5:$G$149,"Mon"),$D432*SUMIFS('Session Tracker'!$J$5:$J$149,'Session Tracker'!$D$5:$D$149,$A432,'Session Tracker'!$F$5:$F$149,"Next week",'Session Tracker'!$G$5:$G$149,"Mon"))</f>
        <v>0</v>
      </c>
      <c r="I432" s="52" t="n">
        <f aca="false">IF($E432="Per class",$D432*COUNTIFS('Session Tracker'!$D$5:$D$149,$A432,'Session Tracker'!$F$5:$F$149,"Next week",'Session Tracker'!$G$5:$G$149,"Tue"),$D432*SUMIFS('Session Tracker'!$J$5:$J$149,'Session Tracker'!$D$5:$D$149,$A432,'Session Tracker'!$F$5:$F$149,"Next week",'Session Tracker'!$G$5:$G$149,"Tue"))</f>
        <v>0</v>
      </c>
      <c r="J432" s="52" t="n">
        <f aca="false">IF($E432="Per class",$D432*COUNTIFS('Session Tracker'!$D$5:$D$149,$A432,'Session Tracker'!$F$5:$F$149,"Next week",'Session Tracker'!$G$5:$G$149,"Wed"),$D432*SUMIFS('Session Tracker'!$J$5:$J$149,'Session Tracker'!$D$5:$D$149,$A432,'Session Tracker'!$F$5:$F$149,"Next week",'Session Tracker'!$G$5:$G$149,"Wed"))</f>
        <v>0</v>
      </c>
      <c r="K432" s="52" t="n">
        <f aca="false">IF($E432="Per class",$D432*COUNTIFS('Session Tracker'!$D$5:$D$149,$A432,'Session Tracker'!$F$5:$F$149,"Next week",'Session Tracker'!$G$5:$G$149,"Thu"),$D432*SUMIFS('Session Tracker'!$J$5:$J$149,'Session Tracker'!$D$5:$D$149,$A432,'Session Tracker'!$F$5:$F$149,"Next week",'Session Tracker'!$G$5:$G$149,"Thu"))</f>
        <v>0</v>
      </c>
      <c r="L432" s="52" t="n">
        <f aca="false">IF($E432="Per class",$D432*COUNTIFS('Session Tracker'!$D$5:$D$149,$A432,'Session Tracker'!$F$5:$F$149,"Next week",'Session Tracker'!$G$5:$G$149,"Fri"),$D432*SUMIFS('Session Tracker'!$J$5:$J$149,'Session Tracker'!$D$5:$D$149,$A432,'Session Tracker'!$F$5:$F$149,"Next week",'Session Tracker'!$G$5:$G$149,"Fri"))</f>
        <v>0</v>
      </c>
      <c r="M432" s="52" t="n">
        <f aca="false">IF($E432="Per class",$D432*COUNTIFS('Session Tracker'!$D$5:$D$149,$A432,'Session Tracker'!$F$5:$F$149,"Next week",'Session Tracker'!$G$5:$G$149,""),$D432*SUMIFS('Session Tracker'!$J$5:$J$149,'Session Tracker'!$D$5:$D$149,$A432,'Session Tracker'!$F$5:$F$149,"Next week",'Session Tracker'!$G$5:$G$149,""))</f>
        <v>0</v>
      </c>
    </row>
    <row r="434" customFormat="false" ht="19.5" hidden="false" customHeight="true" outlineLevel="0" collapsed="false">
      <c r="A434" s="57" t="s">
        <v>218</v>
      </c>
      <c r="B434" s="58" t="s">
        <v>585</v>
      </c>
      <c r="C434" s="58"/>
      <c r="D434" s="58"/>
      <c r="E434" s="58"/>
      <c r="F434" s="59" t="str">
        <f aca="false">"Status: "&amp;'Session Tracker'!F77&amp;IF('Session Tracker'!G77&lt;&gt;""," ("&amp;'Session Tracker'!G77&amp;")","")</f>
        <v>Status: Not started</v>
      </c>
      <c r="G434" s="59"/>
      <c r="H434" s="60"/>
      <c r="I434" s="60"/>
      <c r="J434" s="60"/>
      <c r="K434" s="60"/>
      <c r="L434" s="60"/>
      <c r="M434" s="60"/>
    </row>
    <row r="435" customFormat="false" ht="15" hidden="false" customHeight="false" outlineLevel="0" collapsed="false">
      <c r="A435" s="61" t="s">
        <v>218</v>
      </c>
      <c r="B435" s="34" t="s">
        <v>411</v>
      </c>
      <c r="C435" s="34" t="s">
        <v>450</v>
      </c>
      <c r="D435" s="32" t="n">
        <v>1</v>
      </c>
      <c r="E435" s="32" t="s">
        <v>14</v>
      </c>
      <c r="F435" s="32" t="s">
        <v>373</v>
      </c>
      <c r="G435" s="34"/>
      <c r="H435" s="52" t="n">
        <f aca="false">IF($E435="Per class",$D435*COUNTIFS('Session Tracker'!$D$5:$D$149,$A435,'Session Tracker'!$F$5:$F$149,"Next week",'Session Tracker'!$G$5:$G$149,"Mon"),$D435*SUMIFS('Session Tracker'!$J$5:$J$149,'Session Tracker'!$D$5:$D$149,$A435,'Session Tracker'!$F$5:$F$149,"Next week",'Session Tracker'!$G$5:$G$149,"Mon"))</f>
        <v>0</v>
      </c>
      <c r="I435" s="52" t="n">
        <f aca="false">IF($E435="Per class",$D435*COUNTIFS('Session Tracker'!$D$5:$D$149,$A435,'Session Tracker'!$F$5:$F$149,"Next week",'Session Tracker'!$G$5:$G$149,"Tue"),$D435*SUMIFS('Session Tracker'!$J$5:$J$149,'Session Tracker'!$D$5:$D$149,$A435,'Session Tracker'!$F$5:$F$149,"Next week",'Session Tracker'!$G$5:$G$149,"Tue"))</f>
        <v>0</v>
      </c>
      <c r="J435" s="52" t="n">
        <f aca="false">IF($E435="Per class",$D435*COUNTIFS('Session Tracker'!$D$5:$D$149,$A435,'Session Tracker'!$F$5:$F$149,"Next week",'Session Tracker'!$G$5:$G$149,"Wed"),$D435*SUMIFS('Session Tracker'!$J$5:$J$149,'Session Tracker'!$D$5:$D$149,$A435,'Session Tracker'!$F$5:$F$149,"Next week",'Session Tracker'!$G$5:$G$149,"Wed"))</f>
        <v>0</v>
      </c>
      <c r="K435" s="52" t="n">
        <f aca="false">IF($E435="Per class",$D435*COUNTIFS('Session Tracker'!$D$5:$D$149,$A435,'Session Tracker'!$F$5:$F$149,"Next week",'Session Tracker'!$G$5:$G$149,"Thu"),$D435*SUMIFS('Session Tracker'!$J$5:$J$149,'Session Tracker'!$D$5:$D$149,$A435,'Session Tracker'!$F$5:$F$149,"Next week",'Session Tracker'!$G$5:$G$149,"Thu"))</f>
        <v>0</v>
      </c>
      <c r="L435" s="52" t="n">
        <f aca="false">IF($E435="Per class",$D435*COUNTIFS('Session Tracker'!$D$5:$D$149,$A435,'Session Tracker'!$F$5:$F$149,"Next week",'Session Tracker'!$G$5:$G$149,"Fri"),$D435*SUMIFS('Session Tracker'!$J$5:$J$149,'Session Tracker'!$D$5:$D$149,$A435,'Session Tracker'!$F$5:$F$149,"Next week",'Session Tracker'!$G$5:$G$149,"Fri"))</f>
        <v>0</v>
      </c>
      <c r="M435" s="52" t="n">
        <f aca="false">IF($E435="Per class",$D435*COUNTIFS('Session Tracker'!$D$5:$D$149,$A435,'Session Tracker'!$F$5:$F$149,"Next week",'Session Tracker'!$G$5:$G$149,""),$D435*SUMIFS('Session Tracker'!$J$5:$J$149,'Session Tracker'!$D$5:$D$149,$A435,'Session Tracker'!$F$5:$F$149,"Next week",'Session Tracker'!$G$5:$G$149,""))</f>
        <v>0</v>
      </c>
    </row>
    <row r="436" customFormat="false" ht="15" hidden="false" customHeight="false" outlineLevel="0" collapsed="false">
      <c r="A436" s="61" t="s">
        <v>218</v>
      </c>
      <c r="B436" s="34" t="s">
        <v>586</v>
      </c>
      <c r="C436" s="34" t="s">
        <v>587</v>
      </c>
      <c r="D436" s="32" t="n">
        <v>1</v>
      </c>
      <c r="E436" s="32" t="s">
        <v>16</v>
      </c>
      <c r="F436" s="32" t="s">
        <v>368</v>
      </c>
      <c r="G436" s="34" t="s">
        <v>588</v>
      </c>
      <c r="H436" s="52" t="n">
        <f aca="false">IF($E436="Per class",$D436*COUNTIFS('Session Tracker'!$D$5:$D$149,$A436,'Session Tracker'!$F$5:$F$149,"Next week",'Session Tracker'!$G$5:$G$149,"Mon"),$D436*SUMIFS('Session Tracker'!$J$5:$J$149,'Session Tracker'!$D$5:$D$149,$A436,'Session Tracker'!$F$5:$F$149,"Next week",'Session Tracker'!$G$5:$G$149,"Mon"))</f>
        <v>0</v>
      </c>
      <c r="I436" s="52" t="n">
        <f aca="false">IF($E436="Per class",$D436*COUNTIFS('Session Tracker'!$D$5:$D$149,$A436,'Session Tracker'!$F$5:$F$149,"Next week",'Session Tracker'!$G$5:$G$149,"Tue"),$D436*SUMIFS('Session Tracker'!$J$5:$J$149,'Session Tracker'!$D$5:$D$149,$A436,'Session Tracker'!$F$5:$F$149,"Next week",'Session Tracker'!$G$5:$G$149,"Tue"))</f>
        <v>0</v>
      </c>
      <c r="J436" s="52" t="n">
        <f aca="false">IF($E436="Per class",$D436*COUNTIFS('Session Tracker'!$D$5:$D$149,$A436,'Session Tracker'!$F$5:$F$149,"Next week",'Session Tracker'!$G$5:$G$149,"Wed"),$D436*SUMIFS('Session Tracker'!$J$5:$J$149,'Session Tracker'!$D$5:$D$149,$A436,'Session Tracker'!$F$5:$F$149,"Next week",'Session Tracker'!$G$5:$G$149,"Wed"))</f>
        <v>0</v>
      </c>
      <c r="K436" s="52" t="n">
        <f aca="false">IF($E436="Per class",$D436*COUNTIFS('Session Tracker'!$D$5:$D$149,$A436,'Session Tracker'!$F$5:$F$149,"Next week",'Session Tracker'!$G$5:$G$149,"Thu"),$D436*SUMIFS('Session Tracker'!$J$5:$J$149,'Session Tracker'!$D$5:$D$149,$A436,'Session Tracker'!$F$5:$F$149,"Next week",'Session Tracker'!$G$5:$G$149,"Thu"))</f>
        <v>0</v>
      </c>
      <c r="L436" s="52" t="n">
        <f aca="false">IF($E436="Per class",$D436*COUNTIFS('Session Tracker'!$D$5:$D$149,$A436,'Session Tracker'!$F$5:$F$149,"Next week",'Session Tracker'!$G$5:$G$149,"Fri"),$D436*SUMIFS('Session Tracker'!$J$5:$J$149,'Session Tracker'!$D$5:$D$149,$A436,'Session Tracker'!$F$5:$F$149,"Next week",'Session Tracker'!$G$5:$G$149,"Fri"))</f>
        <v>0</v>
      </c>
      <c r="M436" s="52" t="n">
        <f aca="false">IF($E436="Per class",$D436*COUNTIFS('Session Tracker'!$D$5:$D$149,$A436,'Session Tracker'!$F$5:$F$149,"Next week",'Session Tracker'!$G$5:$G$149,""),$D436*SUMIFS('Session Tracker'!$J$5:$J$149,'Session Tracker'!$D$5:$D$149,$A436,'Session Tracker'!$F$5:$F$149,"Next week",'Session Tracker'!$G$5:$G$149,""))</f>
        <v>0</v>
      </c>
    </row>
    <row r="437" customFormat="false" ht="15" hidden="false" customHeight="false" outlineLevel="0" collapsed="false">
      <c r="A437" s="53" t="s">
        <v>218</v>
      </c>
      <c r="B437" s="54"/>
      <c r="C437" s="54"/>
      <c r="D437" s="54"/>
      <c r="E437" s="54"/>
      <c r="F437" s="54"/>
      <c r="G437" s="54"/>
      <c r="H437" s="52" t="n">
        <f aca="false">IF($E437="Per class",$D437*COUNTIFS('Session Tracker'!$D$5:$D$149,$A437,'Session Tracker'!$F$5:$F$149,"Next week",'Session Tracker'!$G$5:$G$149,"Mon"),$D437*SUMIFS('Session Tracker'!$J$5:$J$149,'Session Tracker'!$D$5:$D$149,$A437,'Session Tracker'!$F$5:$F$149,"Next week",'Session Tracker'!$G$5:$G$149,"Mon"))</f>
        <v>0</v>
      </c>
      <c r="I437" s="52" t="n">
        <f aca="false">IF($E437="Per class",$D437*COUNTIFS('Session Tracker'!$D$5:$D$149,$A437,'Session Tracker'!$F$5:$F$149,"Next week",'Session Tracker'!$G$5:$G$149,"Tue"),$D437*SUMIFS('Session Tracker'!$J$5:$J$149,'Session Tracker'!$D$5:$D$149,$A437,'Session Tracker'!$F$5:$F$149,"Next week",'Session Tracker'!$G$5:$G$149,"Tue"))</f>
        <v>0</v>
      </c>
      <c r="J437" s="52" t="n">
        <f aca="false">IF($E437="Per class",$D437*COUNTIFS('Session Tracker'!$D$5:$D$149,$A437,'Session Tracker'!$F$5:$F$149,"Next week",'Session Tracker'!$G$5:$G$149,"Wed"),$D437*SUMIFS('Session Tracker'!$J$5:$J$149,'Session Tracker'!$D$5:$D$149,$A437,'Session Tracker'!$F$5:$F$149,"Next week",'Session Tracker'!$G$5:$G$149,"Wed"))</f>
        <v>0</v>
      </c>
      <c r="K437" s="52" t="n">
        <f aca="false">IF($E437="Per class",$D437*COUNTIFS('Session Tracker'!$D$5:$D$149,$A437,'Session Tracker'!$F$5:$F$149,"Next week",'Session Tracker'!$G$5:$G$149,"Thu"),$D437*SUMIFS('Session Tracker'!$J$5:$J$149,'Session Tracker'!$D$5:$D$149,$A437,'Session Tracker'!$F$5:$F$149,"Next week",'Session Tracker'!$G$5:$G$149,"Thu"))</f>
        <v>0</v>
      </c>
      <c r="L437" s="52" t="n">
        <f aca="false">IF($E437="Per class",$D437*COUNTIFS('Session Tracker'!$D$5:$D$149,$A437,'Session Tracker'!$F$5:$F$149,"Next week",'Session Tracker'!$G$5:$G$149,"Fri"),$D437*SUMIFS('Session Tracker'!$J$5:$J$149,'Session Tracker'!$D$5:$D$149,$A437,'Session Tracker'!$F$5:$F$149,"Next week",'Session Tracker'!$G$5:$G$149,"Fri"))</f>
        <v>0</v>
      </c>
      <c r="M437" s="52" t="n">
        <f aca="false">IF($E437="Per class",$D437*COUNTIFS('Session Tracker'!$D$5:$D$149,$A437,'Session Tracker'!$F$5:$F$149,"Next week",'Session Tracker'!$G$5:$G$149,""),$D437*SUMIFS('Session Tracker'!$J$5:$J$149,'Session Tracker'!$D$5:$D$149,$A437,'Session Tracker'!$F$5:$F$149,"Next week",'Session Tracker'!$G$5:$G$149,""))</f>
        <v>0</v>
      </c>
    </row>
    <row r="438" customFormat="false" ht="15" hidden="false" customHeight="false" outlineLevel="0" collapsed="false">
      <c r="A438" s="53" t="s">
        <v>218</v>
      </c>
      <c r="B438" s="54"/>
      <c r="C438" s="54"/>
      <c r="D438" s="54"/>
      <c r="E438" s="54"/>
      <c r="F438" s="54"/>
      <c r="G438" s="54"/>
      <c r="H438" s="52" t="n">
        <f aca="false">IF($E438="Per class",$D438*COUNTIFS('Session Tracker'!$D$5:$D$149,$A438,'Session Tracker'!$F$5:$F$149,"Next week",'Session Tracker'!$G$5:$G$149,"Mon"),$D438*SUMIFS('Session Tracker'!$J$5:$J$149,'Session Tracker'!$D$5:$D$149,$A438,'Session Tracker'!$F$5:$F$149,"Next week",'Session Tracker'!$G$5:$G$149,"Mon"))</f>
        <v>0</v>
      </c>
      <c r="I438" s="52" t="n">
        <f aca="false">IF($E438="Per class",$D438*COUNTIFS('Session Tracker'!$D$5:$D$149,$A438,'Session Tracker'!$F$5:$F$149,"Next week",'Session Tracker'!$G$5:$G$149,"Tue"),$D438*SUMIFS('Session Tracker'!$J$5:$J$149,'Session Tracker'!$D$5:$D$149,$A438,'Session Tracker'!$F$5:$F$149,"Next week",'Session Tracker'!$G$5:$G$149,"Tue"))</f>
        <v>0</v>
      </c>
      <c r="J438" s="52" t="n">
        <f aca="false">IF($E438="Per class",$D438*COUNTIFS('Session Tracker'!$D$5:$D$149,$A438,'Session Tracker'!$F$5:$F$149,"Next week",'Session Tracker'!$G$5:$G$149,"Wed"),$D438*SUMIFS('Session Tracker'!$J$5:$J$149,'Session Tracker'!$D$5:$D$149,$A438,'Session Tracker'!$F$5:$F$149,"Next week",'Session Tracker'!$G$5:$G$149,"Wed"))</f>
        <v>0</v>
      </c>
      <c r="K438" s="52" t="n">
        <f aca="false">IF($E438="Per class",$D438*COUNTIFS('Session Tracker'!$D$5:$D$149,$A438,'Session Tracker'!$F$5:$F$149,"Next week",'Session Tracker'!$G$5:$G$149,"Thu"),$D438*SUMIFS('Session Tracker'!$J$5:$J$149,'Session Tracker'!$D$5:$D$149,$A438,'Session Tracker'!$F$5:$F$149,"Next week",'Session Tracker'!$G$5:$G$149,"Thu"))</f>
        <v>0</v>
      </c>
      <c r="L438" s="52" t="n">
        <f aca="false">IF($E438="Per class",$D438*COUNTIFS('Session Tracker'!$D$5:$D$149,$A438,'Session Tracker'!$F$5:$F$149,"Next week",'Session Tracker'!$G$5:$G$149,"Fri"),$D438*SUMIFS('Session Tracker'!$J$5:$J$149,'Session Tracker'!$D$5:$D$149,$A438,'Session Tracker'!$F$5:$F$149,"Next week",'Session Tracker'!$G$5:$G$149,"Fri"))</f>
        <v>0</v>
      </c>
      <c r="M438" s="52" t="n">
        <f aca="false">IF($E438="Per class",$D438*COUNTIFS('Session Tracker'!$D$5:$D$149,$A438,'Session Tracker'!$F$5:$F$149,"Next week",'Session Tracker'!$G$5:$G$149,""),$D438*SUMIFS('Session Tracker'!$J$5:$J$149,'Session Tracker'!$D$5:$D$149,$A438,'Session Tracker'!$F$5:$F$149,"Next week",'Session Tracker'!$G$5:$G$149,""))</f>
        <v>0</v>
      </c>
    </row>
  </sheetData>
  <mergeCells count="74">
    <mergeCell ref="B5:E5"/>
    <mergeCell ref="F5:G5"/>
    <mergeCell ref="B17:E17"/>
    <mergeCell ref="F17:G17"/>
    <mergeCell ref="B30:E30"/>
    <mergeCell ref="F30:G30"/>
    <mergeCell ref="B43:E43"/>
    <mergeCell ref="F43:G43"/>
    <mergeCell ref="B51:E51"/>
    <mergeCell ref="F51:G51"/>
    <mergeCell ref="B64:E64"/>
    <mergeCell ref="F64:G64"/>
    <mergeCell ref="B76:E76"/>
    <mergeCell ref="F76:G76"/>
    <mergeCell ref="B91:E91"/>
    <mergeCell ref="F91:G91"/>
    <mergeCell ref="B107:E107"/>
    <mergeCell ref="F107:G107"/>
    <mergeCell ref="B122:E122"/>
    <mergeCell ref="F122:G122"/>
    <mergeCell ref="B137:E137"/>
    <mergeCell ref="F137:G137"/>
    <mergeCell ref="B153:E153"/>
    <mergeCell ref="F153:G153"/>
    <mergeCell ref="B171:E171"/>
    <mergeCell ref="F171:G171"/>
    <mergeCell ref="B188:E188"/>
    <mergeCell ref="F188:G188"/>
    <mergeCell ref="B203:E203"/>
    <mergeCell ref="F203:G203"/>
    <mergeCell ref="B210:E210"/>
    <mergeCell ref="F210:G210"/>
    <mergeCell ref="B226:E226"/>
    <mergeCell ref="F226:G226"/>
    <mergeCell ref="B243:E243"/>
    <mergeCell ref="F243:G243"/>
    <mergeCell ref="B259:E259"/>
    <mergeCell ref="F259:G259"/>
    <mergeCell ref="B264:E264"/>
    <mergeCell ref="F264:G264"/>
    <mergeCell ref="B278:E278"/>
    <mergeCell ref="F278:G278"/>
    <mergeCell ref="B285:E285"/>
    <mergeCell ref="F285:G285"/>
    <mergeCell ref="B290:E290"/>
    <mergeCell ref="F290:G290"/>
    <mergeCell ref="B295:E295"/>
    <mergeCell ref="F295:G295"/>
    <mergeCell ref="B301:E301"/>
    <mergeCell ref="F301:G301"/>
    <mergeCell ref="B312:E312"/>
    <mergeCell ref="F312:G312"/>
    <mergeCell ref="B326:E326"/>
    <mergeCell ref="F326:G326"/>
    <mergeCell ref="B338:E338"/>
    <mergeCell ref="F338:G338"/>
    <mergeCell ref="B353:E353"/>
    <mergeCell ref="F353:G353"/>
    <mergeCell ref="B358:E358"/>
    <mergeCell ref="F358:G358"/>
    <mergeCell ref="B373:E373"/>
    <mergeCell ref="F373:G373"/>
    <mergeCell ref="B390:E390"/>
    <mergeCell ref="F390:G390"/>
    <mergeCell ref="B407:E407"/>
    <mergeCell ref="F407:G407"/>
    <mergeCell ref="B417:E417"/>
    <mergeCell ref="F417:G417"/>
    <mergeCell ref="B422:E422"/>
    <mergeCell ref="F422:G422"/>
    <mergeCell ref="B428:E428"/>
    <mergeCell ref="F428:G428"/>
    <mergeCell ref="B434:E434"/>
    <mergeCell ref="F434:G434"/>
  </mergeCells>
  <dataValidations count="1">
    <dataValidation allowBlank="true" errorStyle="stop" operator="between" showDropDown="false" showErrorMessage="false" showInputMessage="false" sqref="E5:E440" type="list">
      <formula1>"Per group,Per class"</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3FC4"/>
    <pageSetUpPr fitToPage="true"/>
  </sheetPr>
  <dimension ref="A1:M4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34"/>
    <col collapsed="false" customWidth="true" hidden="false" outlineLevel="0" max="4" min="4" style="0" width="6"/>
    <col collapsed="false" customWidth="true" hidden="false" outlineLevel="0" max="5" min="5" style="0" width="11"/>
    <col collapsed="false" customWidth="true" hidden="false" outlineLevel="0" max="6" min="6" style="0" width="12"/>
    <col collapsed="false" customWidth="true" hidden="false" outlineLevel="0" max="7" min="7" style="0" width="30"/>
    <col collapsed="false" customWidth="true" hidden="false" outlineLevel="0" max="12" min="8" style="0" width="7"/>
    <col collapsed="false" customWidth="true" hidden="false" outlineLevel="0" max="13" min="13" style="0" width="8"/>
  </cols>
  <sheetData>
    <row r="1" customFormat="false" ht="17.35" hidden="false" customHeight="false" outlineLevel="0" collapsed="false">
      <c r="A1" s="62" t="s">
        <v>589</v>
      </c>
    </row>
    <row r="2" customFormat="false" ht="15" hidden="false" customHeight="false" outlineLevel="0" collapsed="false">
      <c r="A2" s="2" t="s">
        <v>359</v>
      </c>
    </row>
    <row r="4" customFormat="false" ht="30" hidden="false" customHeight="true" outlineLevel="0" collapsed="false">
      <c r="A4" s="63" t="s">
        <v>45</v>
      </c>
      <c r="B4" s="63" t="s">
        <v>52</v>
      </c>
      <c r="C4" s="63" t="s">
        <v>53</v>
      </c>
      <c r="D4" s="63" t="s">
        <v>55</v>
      </c>
      <c r="E4" s="63" t="s">
        <v>61</v>
      </c>
      <c r="F4" s="63" t="s">
        <v>54</v>
      </c>
      <c r="G4" s="63" t="s">
        <v>58</v>
      </c>
      <c r="H4" s="30" t="s">
        <v>360</v>
      </c>
      <c r="I4" s="30" t="s">
        <v>361</v>
      </c>
      <c r="J4" s="30" t="s">
        <v>362</v>
      </c>
      <c r="K4" s="30" t="s">
        <v>363</v>
      </c>
      <c r="L4" s="30" t="s">
        <v>364</v>
      </c>
      <c r="M4" s="30" t="s">
        <v>22</v>
      </c>
    </row>
    <row r="5" customFormat="false" ht="19.5" hidden="false" customHeight="true" outlineLevel="0" collapsed="false">
      <c r="A5" s="64" t="s">
        <v>221</v>
      </c>
      <c r="B5" s="65" t="s">
        <v>365</v>
      </c>
      <c r="C5" s="65"/>
      <c r="D5" s="65"/>
      <c r="E5" s="65"/>
      <c r="F5" s="66" t="str">
        <f aca="false">"Status: "&amp;'Session Tracker'!F78&amp;IF('Session Tracker'!G78&lt;&gt;""," ("&amp;'Session Tracker'!G78&amp;")","")</f>
        <v>Status: Not started</v>
      </c>
      <c r="G5" s="66"/>
      <c r="H5" s="67"/>
      <c r="I5" s="67"/>
      <c r="J5" s="67"/>
      <c r="K5" s="67"/>
      <c r="L5" s="67"/>
      <c r="M5" s="67"/>
    </row>
    <row r="6" customFormat="false" ht="23.85" hidden="false" customHeight="false" outlineLevel="0" collapsed="false">
      <c r="A6" s="68" t="s">
        <v>221</v>
      </c>
      <c r="B6" s="34" t="s">
        <v>366</v>
      </c>
      <c r="C6" s="34" t="s">
        <v>367</v>
      </c>
      <c r="D6" s="32" t="n">
        <v>1</v>
      </c>
      <c r="E6" s="32" t="s">
        <v>14</v>
      </c>
      <c r="F6" s="32" t="s">
        <v>368</v>
      </c>
      <c r="G6" s="34"/>
      <c r="H6" s="52" t="n">
        <f aca="false">IF($E6="Per class",$D6*COUNTIFS('Session Tracker'!$D$5:$D$149,$A6,'Session Tracker'!$F$5:$F$149,"Next week",'Session Tracker'!$G$5:$G$149,"Mon"),$D6*SUMIFS('Session Tracker'!$J$5:$J$149,'Session Tracker'!$D$5:$D$149,$A6,'Session Tracker'!$F$5:$F$149,"Next week",'Session Tracker'!$G$5:$G$149,"Mon"))</f>
        <v>0</v>
      </c>
      <c r="I6" s="52" t="n">
        <f aca="false">IF($E6="Per class",$D6*COUNTIFS('Session Tracker'!$D$5:$D$149,$A6,'Session Tracker'!$F$5:$F$149,"Next week",'Session Tracker'!$G$5:$G$149,"Tue"),$D6*SUMIFS('Session Tracker'!$J$5:$J$149,'Session Tracker'!$D$5:$D$149,$A6,'Session Tracker'!$F$5:$F$149,"Next week",'Session Tracker'!$G$5:$G$149,"Tue"))</f>
        <v>0</v>
      </c>
      <c r="J6" s="52" t="n">
        <f aca="false">IF($E6="Per class",$D6*COUNTIFS('Session Tracker'!$D$5:$D$149,$A6,'Session Tracker'!$F$5:$F$149,"Next week",'Session Tracker'!$G$5:$G$149,"Wed"),$D6*SUMIFS('Session Tracker'!$J$5:$J$149,'Session Tracker'!$D$5:$D$149,$A6,'Session Tracker'!$F$5:$F$149,"Next week",'Session Tracker'!$G$5:$G$149,"Wed"))</f>
        <v>0</v>
      </c>
      <c r="K6" s="52" t="n">
        <f aca="false">IF($E6="Per class",$D6*COUNTIFS('Session Tracker'!$D$5:$D$149,$A6,'Session Tracker'!$F$5:$F$149,"Next week",'Session Tracker'!$G$5:$G$149,"Thu"),$D6*SUMIFS('Session Tracker'!$J$5:$J$149,'Session Tracker'!$D$5:$D$149,$A6,'Session Tracker'!$F$5:$F$149,"Next week",'Session Tracker'!$G$5:$G$149,"Thu"))</f>
        <v>0</v>
      </c>
      <c r="L6" s="52" t="n">
        <f aca="false">IF($E6="Per class",$D6*COUNTIFS('Session Tracker'!$D$5:$D$149,$A6,'Session Tracker'!$F$5:$F$149,"Next week",'Session Tracker'!$G$5:$G$149,"Fri"),$D6*SUMIFS('Session Tracker'!$J$5:$J$149,'Session Tracker'!$D$5:$D$149,$A6,'Session Tracker'!$F$5:$F$149,"Next week",'Session Tracker'!$G$5:$G$149,"Fri"))</f>
        <v>0</v>
      </c>
      <c r="M6" s="52" t="n">
        <f aca="false">IF($E6="Per class",$D6*COUNTIFS('Session Tracker'!$D$5:$D$149,$A6,'Session Tracker'!$F$5:$F$149,"Next week",'Session Tracker'!$G$5:$G$149,""),$D6*SUMIFS('Session Tracker'!$J$5:$J$149,'Session Tracker'!$D$5:$D$149,$A6,'Session Tracker'!$F$5:$F$149,"Next week",'Session Tracker'!$G$5:$G$149,""))</f>
        <v>0</v>
      </c>
    </row>
    <row r="7" customFormat="false" ht="15" hidden="false" customHeight="false" outlineLevel="0" collapsed="false">
      <c r="A7" s="68" t="s">
        <v>221</v>
      </c>
      <c r="B7" s="34" t="s">
        <v>369</v>
      </c>
      <c r="C7" s="34" t="s">
        <v>370</v>
      </c>
      <c r="D7" s="32" t="n">
        <v>1</v>
      </c>
      <c r="E7" s="32" t="s">
        <v>14</v>
      </c>
      <c r="F7" s="32" t="s">
        <v>368</v>
      </c>
      <c r="G7" s="34"/>
      <c r="H7" s="52" t="n">
        <f aca="false">IF($E7="Per class",$D7*COUNTIFS('Session Tracker'!$D$5:$D$149,$A7,'Session Tracker'!$F$5:$F$149,"Next week",'Session Tracker'!$G$5:$G$149,"Mon"),$D7*SUMIFS('Session Tracker'!$J$5:$J$149,'Session Tracker'!$D$5:$D$149,$A7,'Session Tracker'!$F$5:$F$149,"Next week",'Session Tracker'!$G$5:$G$149,"Mon"))</f>
        <v>0</v>
      </c>
      <c r="I7" s="52" t="n">
        <f aca="false">IF($E7="Per class",$D7*COUNTIFS('Session Tracker'!$D$5:$D$149,$A7,'Session Tracker'!$F$5:$F$149,"Next week",'Session Tracker'!$G$5:$G$149,"Tue"),$D7*SUMIFS('Session Tracker'!$J$5:$J$149,'Session Tracker'!$D$5:$D$149,$A7,'Session Tracker'!$F$5:$F$149,"Next week",'Session Tracker'!$G$5:$G$149,"Tue"))</f>
        <v>0</v>
      </c>
      <c r="J7" s="52" t="n">
        <f aca="false">IF($E7="Per class",$D7*COUNTIFS('Session Tracker'!$D$5:$D$149,$A7,'Session Tracker'!$F$5:$F$149,"Next week",'Session Tracker'!$G$5:$G$149,"Wed"),$D7*SUMIFS('Session Tracker'!$J$5:$J$149,'Session Tracker'!$D$5:$D$149,$A7,'Session Tracker'!$F$5:$F$149,"Next week",'Session Tracker'!$G$5:$G$149,"Wed"))</f>
        <v>0</v>
      </c>
      <c r="K7" s="52" t="n">
        <f aca="false">IF($E7="Per class",$D7*COUNTIFS('Session Tracker'!$D$5:$D$149,$A7,'Session Tracker'!$F$5:$F$149,"Next week",'Session Tracker'!$G$5:$G$149,"Thu"),$D7*SUMIFS('Session Tracker'!$J$5:$J$149,'Session Tracker'!$D$5:$D$149,$A7,'Session Tracker'!$F$5:$F$149,"Next week",'Session Tracker'!$G$5:$G$149,"Thu"))</f>
        <v>0</v>
      </c>
      <c r="L7" s="52" t="n">
        <f aca="false">IF($E7="Per class",$D7*COUNTIFS('Session Tracker'!$D$5:$D$149,$A7,'Session Tracker'!$F$5:$F$149,"Next week",'Session Tracker'!$G$5:$G$149,"Fri"),$D7*SUMIFS('Session Tracker'!$J$5:$J$149,'Session Tracker'!$D$5:$D$149,$A7,'Session Tracker'!$F$5:$F$149,"Next week",'Session Tracker'!$G$5:$G$149,"Fri"))</f>
        <v>0</v>
      </c>
      <c r="M7" s="52" t="n">
        <f aca="false">IF($E7="Per class",$D7*COUNTIFS('Session Tracker'!$D$5:$D$149,$A7,'Session Tracker'!$F$5:$F$149,"Next week",'Session Tracker'!$G$5:$G$149,""),$D7*SUMIFS('Session Tracker'!$J$5:$J$149,'Session Tracker'!$D$5:$D$149,$A7,'Session Tracker'!$F$5:$F$149,"Next week",'Session Tracker'!$G$5:$G$149,""))</f>
        <v>0</v>
      </c>
    </row>
    <row r="8" customFormat="false" ht="15" hidden="false" customHeight="false" outlineLevel="0" collapsed="false">
      <c r="A8" s="68" t="s">
        <v>221</v>
      </c>
      <c r="B8" s="34" t="s">
        <v>371</v>
      </c>
      <c r="C8" s="34" t="s">
        <v>372</v>
      </c>
      <c r="D8" s="32" t="n">
        <v>1</v>
      </c>
      <c r="E8" s="32" t="s">
        <v>14</v>
      </c>
      <c r="F8" s="32" t="s">
        <v>373</v>
      </c>
      <c r="G8" s="34" t="s">
        <v>374</v>
      </c>
      <c r="H8" s="52" t="n">
        <f aca="false">IF($E8="Per class",$D8*COUNTIFS('Session Tracker'!$D$5:$D$149,$A8,'Session Tracker'!$F$5:$F$149,"Next week",'Session Tracker'!$G$5:$G$149,"Mon"),$D8*SUMIFS('Session Tracker'!$J$5:$J$149,'Session Tracker'!$D$5:$D$149,$A8,'Session Tracker'!$F$5:$F$149,"Next week",'Session Tracker'!$G$5:$G$149,"Mon"))</f>
        <v>0</v>
      </c>
      <c r="I8" s="52" t="n">
        <f aca="false">IF($E8="Per class",$D8*COUNTIFS('Session Tracker'!$D$5:$D$149,$A8,'Session Tracker'!$F$5:$F$149,"Next week",'Session Tracker'!$G$5:$G$149,"Tue"),$D8*SUMIFS('Session Tracker'!$J$5:$J$149,'Session Tracker'!$D$5:$D$149,$A8,'Session Tracker'!$F$5:$F$149,"Next week",'Session Tracker'!$G$5:$G$149,"Tue"))</f>
        <v>0</v>
      </c>
      <c r="J8" s="52" t="n">
        <f aca="false">IF($E8="Per class",$D8*COUNTIFS('Session Tracker'!$D$5:$D$149,$A8,'Session Tracker'!$F$5:$F$149,"Next week",'Session Tracker'!$G$5:$G$149,"Wed"),$D8*SUMIFS('Session Tracker'!$J$5:$J$149,'Session Tracker'!$D$5:$D$149,$A8,'Session Tracker'!$F$5:$F$149,"Next week",'Session Tracker'!$G$5:$G$149,"Wed"))</f>
        <v>0</v>
      </c>
      <c r="K8" s="52" t="n">
        <f aca="false">IF($E8="Per class",$D8*COUNTIFS('Session Tracker'!$D$5:$D$149,$A8,'Session Tracker'!$F$5:$F$149,"Next week",'Session Tracker'!$G$5:$G$149,"Thu"),$D8*SUMIFS('Session Tracker'!$J$5:$J$149,'Session Tracker'!$D$5:$D$149,$A8,'Session Tracker'!$F$5:$F$149,"Next week",'Session Tracker'!$G$5:$G$149,"Thu"))</f>
        <v>0</v>
      </c>
      <c r="L8" s="52" t="n">
        <f aca="false">IF($E8="Per class",$D8*COUNTIFS('Session Tracker'!$D$5:$D$149,$A8,'Session Tracker'!$F$5:$F$149,"Next week",'Session Tracker'!$G$5:$G$149,"Fri"),$D8*SUMIFS('Session Tracker'!$J$5:$J$149,'Session Tracker'!$D$5:$D$149,$A8,'Session Tracker'!$F$5:$F$149,"Next week",'Session Tracker'!$G$5:$G$149,"Fri"))</f>
        <v>0</v>
      </c>
      <c r="M8" s="52" t="n">
        <f aca="false">IF($E8="Per class",$D8*COUNTIFS('Session Tracker'!$D$5:$D$149,$A8,'Session Tracker'!$F$5:$F$149,"Next week",'Session Tracker'!$G$5:$G$149,""),$D8*SUMIFS('Session Tracker'!$J$5:$J$149,'Session Tracker'!$D$5:$D$149,$A8,'Session Tracker'!$F$5:$F$149,"Next week",'Session Tracker'!$G$5:$G$149,""))</f>
        <v>0</v>
      </c>
    </row>
    <row r="9" customFormat="false" ht="15" hidden="false" customHeight="false" outlineLevel="0" collapsed="false">
      <c r="A9" s="68" t="s">
        <v>221</v>
      </c>
      <c r="B9" s="34" t="s">
        <v>375</v>
      </c>
      <c r="C9" s="34" t="s">
        <v>376</v>
      </c>
      <c r="D9" s="32" t="n">
        <v>1</v>
      </c>
      <c r="E9" s="32" t="s">
        <v>14</v>
      </c>
      <c r="F9" s="32" t="s">
        <v>373</v>
      </c>
      <c r="G9" s="34"/>
      <c r="H9" s="52" t="n">
        <f aca="false">IF($E9="Per class",$D9*COUNTIFS('Session Tracker'!$D$5:$D$149,$A9,'Session Tracker'!$F$5:$F$149,"Next week",'Session Tracker'!$G$5:$G$149,"Mon"),$D9*SUMIFS('Session Tracker'!$J$5:$J$149,'Session Tracker'!$D$5:$D$149,$A9,'Session Tracker'!$F$5:$F$149,"Next week",'Session Tracker'!$G$5:$G$149,"Mon"))</f>
        <v>0</v>
      </c>
      <c r="I9" s="52" t="n">
        <f aca="false">IF($E9="Per class",$D9*COUNTIFS('Session Tracker'!$D$5:$D$149,$A9,'Session Tracker'!$F$5:$F$149,"Next week",'Session Tracker'!$G$5:$G$149,"Tue"),$D9*SUMIFS('Session Tracker'!$J$5:$J$149,'Session Tracker'!$D$5:$D$149,$A9,'Session Tracker'!$F$5:$F$149,"Next week",'Session Tracker'!$G$5:$G$149,"Tue"))</f>
        <v>0</v>
      </c>
      <c r="J9" s="52" t="n">
        <f aca="false">IF($E9="Per class",$D9*COUNTIFS('Session Tracker'!$D$5:$D$149,$A9,'Session Tracker'!$F$5:$F$149,"Next week",'Session Tracker'!$G$5:$G$149,"Wed"),$D9*SUMIFS('Session Tracker'!$J$5:$J$149,'Session Tracker'!$D$5:$D$149,$A9,'Session Tracker'!$F$5:$F$149,"Next week",'Session Tracker'!$G$5:$G$149,"Wed"))</f>
        <v>0</v>
      </c>
      <c r="K9" s="52" t="n">
        <f aca="false">IF($E9="Per class",$D9*COUNTIFS('Session Tracker'!$D$5:$D$149,$A9,'Session Tracker'!$F$5:$F$149,"Next week",'Session Tracker'!$G$5:$G$149,"Thu"),$D9*SUMIFS('Session Tracker'!$J$5:$J$149,'Session Tracker'!$D$5:$D$149,$A9,'Session Tracker'!$F$5:$F$149,"Next week",'Session Tracker'!$G$5:$G$149,"Thu"))</f>
        <v>0</v>
      </c>
      <c r="L9" s="52" t="n">
        <f aca="false">IF($E9="Per class",$D9*COUNTIFS('Session Tracker'!$D$5:$D$149,$A9,'Session Tracker'!$F$5:$F$149,"Next week",'Session Tracker'!$G$5:$G$149,"Fri"),$D9*SUMIFS('Session Tracker'!$J$5:$J$149,'Session Tracker'!$D$5:$D$149,$A9,'Session Tracker'!$F$5:$F$149,"Next week",'Session Tracker'!$G$5:$G$149,"Fri"))</f>
        <v>0</v>
      </c>
      <c r="M9" s="52" t="n">
        <f aca="false">IF($E9="Per class",$D9*COUNTIFS('Session Tracker'!$D$5:$D$149,$A9,'Session Tracker'!$F$5:$F$149,"Next week",'Session Tracker'!$G$5:$G$149,""),$D9*SUMIFS('Session Tracker'!$J$5:$J$149,'Session Tracker'!$D$5:$D$149,$A9,'Session Tracker'!$F$5:$F$149,"Next week",'Session Tracker'!$G$5:$G$149,""))</f>
        <v>0</v>
      </c>
    </row>
    <row r="10" customFormat="false" ht="15" hidden="false" customHeight="false" outlineLevel="0" collapsed="false">
      <c r="A10" s="68" t="s">
        <v>221</v>
      </c>
      <c r="B10" s="34" t="s">
        <v>377</v>
      </c>
      <c r="C10" s="34" t="s">
        <v>378</v>
      </c>
      <c r="D10" s="32" t="n">
        <v>1</v>
      </c>
      <c r="E10" s="32" t="s">
        <v>14</v>
      </c>
      <c r="F10" s="32" t="s">
        <v>368</v>
      </c>
      <c r="G10" s="34"/>
      <c r="H10" s="52" t="n">
        <f aca="false">IF($E10="Per class",$D10*COUNTIFS('Session Tracker'!$D$5:$D$149,$A10,'Session Tracker'!$F$5:$F$149,"Next week",'Session Tracker'!$G$5:$G$149,"Mon"),$D10*SUMIFS('Session Tracker'!$J$5:$J$149,'Session Tracker'!$D$5:$D$149,$A10,'Session Tracker'!$F$5:$F$149,"Next week",'Session Tracker'!$G$5:$G$149,"Mon"))</f>
        <v>0</v>
      </c>
      <c r="I10" s="52" t="n">
        <f aca="false">IF($E10="Per class",$D10*COUNTIFS('Session Tracker'!$D$5:$D$149,$A10,'Session Tracker'!$F$5:$F$149,"Next week",'Session Tracker'!$G$5:$G$149,"Tue"),$D10*SUMIFS('Session Tracker'!$J$5:$J$149,'Session Tracker'!$D$5:$D$149,$A10,'Session Tracker'!$F$5:$F$149,"Next week",'Session Tracker'!$G$5:$G$149,"Tue"))</f>
        <v>0</v>
      </c>
      <c r="J10" s="52" t="n">
        <f aca="false">IF($E10="Per class",$D10*COUNTIFS('Session Tracker'!$D$5:$D$149,$A10,'Session Tracker'!$F$5:$F$149,"Next week",'Session Tracker'!$G$5:$G$149,"Wed"),$D10*SUMIFS('Session Tracker'!$J$5:$J$149,'Session Tracker'!$D$5:$D$149,$A10,'Session Tracker'!$F$5:$F$149,"Next week",'Session Tracker'!$G$5:$G$149,"Wed"))</f>
        <v>0</v>
      </c>
      <c r="K10" s="52" t="n">
        <f aca="false">IF($E10="Per class",$D10*COUNTIFS('Session Tracker'!$D$5:$D$149,$A10,'Session Tracker'!$F$5:$F$149,"Next week",'Session Tracker'!$G$5:$G$149,"Thu"),$D10*SUMIFS('Session Tracker'!$J$5:$J$149,'Session Tracker'!$D$5:$D$149,$A10,'Session Tracker'!$F$5:$F$149,"Next week",'Session Tracker'!$G$5:$G$149,"Thu"))</f>
        <v>0</v>
      </c>
      <c r="L10" s="52" t="n">
        <f aca="false">IF($E10="Per class",$D10*COUNTIFS('Session Tracker'!$D$5:$D$149,$A10,'Session Tracker'!$F$5:$F$149,"Next week",'Session Tracker'!$G$5:$G$149,"Fri"),$D10*SUMIFS('Session Tracker'!$J$5:$J$149,'Session Tracker'!$D$5:$D$149,$A10,'Session Tracker'!$F$5:$F$149,"Next week",'Session Tracker'!$G$5:$G$149,"Fri"))</f>
        <v>0</v>
      </c>
      <c r="M10" s="52" t="n">
        <f aca="false">IF($E10="Per class",$D10*COUNTIFS('Session Tracker'!$D$5:$D$149,$A10,'Session Tracker'!$F$5:$F$149,"Next week",'Session Tracker'!$G$5:$G$149,""),$D10*SUMIFS('Session Tracker'!$J$5:$J$149,'Session Tracker'!$D$5:$D$149,$A10,'Session Tracker'!$F$5:$F$149,"Next week",'Session Tracker'!$G$5:$G$149,""))</f>
        <v>0</v>
      </c>
    </row>
    <row r="11" customFormat="false" ht="15" hidden="false" customHeight="false" outlineLevel="0" collapsed="false">
      <c r="A11" s="68" t="s">
        <v>221</v>
      </c>
      <c r="B11" s="34" t="s">
        <v>379</v>
      </c>
      <c r="C11" s="34" t="s">
        <v>380</v>
      </c>
      <c r="D11" s="32" t="n">
        <v>1</v>
      </c>
      <c r="E11" s="32" t="s">
        <v>14</v>
      </c>
      <c r="F11" s="32" t="s">
        <v>368</v>
      </c>
      <c r="G11" s="34"/>
      <c r="H11" s="52" t="n">
        <f aca="false">IF($E11="Per class",$D11*COUNTIFS('Session Tracker'!$D$5:$D$149,$A11,'Session Tracker'!$F$5:$F$149,"Next week",'Session Tracker'!$G$5:$G$149,"Mon"),$D11*SUMIFS('Session Tracker'!$J$5:$J$149,'Session Tracker'!$D$5:$D$149,$A11,'Session Tracker'!$F$5:$F$149,"Next week",'Session Tracker'!$G$5:$G$149,"Mon"))</f>
        <v>0</v>
      </c>
      <c r="I11" s="52" t="n">
        <f aca="false">IF($E11="Per class",$D11*COUNTIFS('Session Tracker'!$D$5:$D$149,$A11,'Session Tracker'!$F$5:$F$149,"Next week",'Session Tracker'!$G$5:$G$149,"Tue"),$D11*SUMIFS('Session Tracker'!$J$5:$J$149,'Session Tracker'!$D$5:$D$149,$A11,'Session Tracker'!$F$5:$F$149,"Next week",'Session Tracker'!$G$5:$G$149,"Tue"))</f>
        <v>0</v>
      </c>
      <c r="J11" s="52" t="n">
        <f aca="false">IF($E11="Per class",$D11*COUNTIFS('Session Tracker'!$D$5:$D$149,$A11,'Session Tracker'!$F$5:$F$149,"Next week",'Session Tracker'!$G$5:$G$149,"Wed"),$D11*SUMIFS('Session Tracker'!$J$5:$J$149,'Session Tracker'!$D$5:$D$149,$A11,'Session Tracker'!$F$5:$F$149,"Next week",'Session Tracker'!$G$5:$G$149,"Wed"))</f>
        <v>0</v>
      </c>
      <c r="K11" s="52" t="n">
        <f aca="false">IF($E11="Per class",$D11*COUNTIFS('Session Tracker'!$D$5:$D$149,$A11,'Session Tracker'!$F$5:$F$149,"Next week",'Session Tracker'!$G$5:$G$149,"Thu"),$D11*SUMIFS('Session Tracker'!$J$5:$J$149,'Session Tracker'!$D$5:$D$149,$A11,'Session Tracker'!$F$5:$F$149,"Next week",'Session Tracker'!$G$5:$G$149,"Thu"))</f>
        <v>0</v>
      </c>
      <c r="L11" s="52" t="n">
        <f aca="false">IF($E11="Per class",$D11*COUNTIFS('Session Tracker'!$D$5:$D$149,$A11,'Session Tracker'!$F$5:$F$149,"Next week",'Session Tracker'!$G$5:$G$149,"Fri"),$D11*SUMIFS('Session Tracker'!$J$5:$J$149,'Session Tracker'!$D$5:$D$149,$A11,'Session Tracker'!$F$5:$F$149,"Next week",'Session Tracker'!$G$5:$G$149,"Fri"))</f>
        <v>0</v>
      </c>
      <c r="M11" s="52" t="n">
        <f aca="false">IF($E11="Per class",$D11*COUNTIFS('Session Tracker'!$D$5:$D$149,$A11,'Session Tracker'!$F$5:$F$149,"Next week",'Session Tracker'!$G$5:$G$149,""),$D11*SUMIFS('Session Tracker'!$J$5:$J$149,'Session Tracker'!$D$5:$D$149,$A11,'Session Tracker'!$F$5:$F$149,"Next week",'Session Tracker'!$G$5:$G$149,""))</f>
        <v>0</v>
      </c>
    </row>
    <row r="12" customFormat="false" ht="15" hidden="false" customHeight="false" outlineLevel="0" collapsed="false">
      <c r="A12" s="68" t="s">
        <v>221</v>
      </c>
      <c r="B12" s="34" t="s">
        <v>379</v>
      </c>
      <c r="C12" s="34" t="s">
        <v>381</v>
      </c>
      <c r="D12" s="32" t="n">
        <v>6</v>
      </c>
      <c r="E12" s="32" t="s">
        <v>14</v>
      </c>
      <c r="F12" s="32" t="s">
        <v>368</v>
      </c>
      <c r="G12" s="34"/>
      <c r="H12" s="52" t="n">
        <f aca="false">IF($E12="Per class",$D12*COUNTIFS('Session Tracker'!$D$5:$D$149,$A12,'Session Tracker'!$F$5:$F$149,"Next week",'Session Tracker'!$G$5:$G$149,"Mon"),$D12*SUMIFS('Session Tracker'!$J$5:$J$149,'Session Tracker'!$D$5:$D$149,$A12,'Session Tracker'!$F$5:$F$149,"Next week",'Session Tracker'!$G$5:$G$149,"Mon"))</f>
        <v>0</v>
      </c>
      <c r="I12" s="52" t="n">
        <f aca="false">IF($E12="Per class",$D12*COUNTIFS('Session Tracker'!$D$5:$D$149,$A12,'Session Tracker'!$F$5:$F$149,"Next week",'Session Tracker'!$G$5:$G$149,"Tue"),$D12*SUMIFS('Session Tracker'!$J$5:$J$149,'Session Tracker'!$D$5:$D$149,$A12,'Session Tracker'!$F$5:$F$149,"Next week",'Session Tracker'!$G$5:$G$149,"Tue"))</f>
        <v>0</v>
      </c>
      <c r="J12" s="52" t="n">
        <f aca="false">IF($E12="Per class",$D12*COUNTIFS('Session Tracker'!$D$5:$D$149,$A12,'Session Tracker'!$F$5:$F$149,"Next week",'Session Tracker'!$G$5:$G$149,"Wed"),$D12*SUMIFS('Session Tracker'!$J$5:$J$149,'Session Tracker'!$D$5:$D$149,$A12,'Session Tracker'!$F$5:$F$149,"Next week",'Session Tracker'!$G$5:$G$149,"Wed"))</f>
        <v>0</v>
      </c>
      <c r="K12" s="52" t="n">
        <f aca="false">IF($E12="Per class",$D12*COUNTIFS('Session Tracker'!$D$5:$D$149,$A12,'Session Tracker'!$F$5:$F$149,"Next week",'Session Tracker'!$G$5:$G$149,"Thu"),$D12*SUMIFS('Session Tracker'!$J$5:$J$149,'Session Tracker'!$D$5:$D$149,$A12,'Session Tracker'!$F$5:$F$149,"Next week",'Session Tracker'!$G$5:$G$149,"Thu"))</f>
        <v>0</v>
      </c>
      <c r="L12" s="52" t="n">
        <f aca="false">IF($E12="Per class",$D12*COUNTIFS('Session Tracker'!$D$5:$D$149,$A12,'Session Tracker'!$F$5:$F$149,"Next week",'Session Tracker'!$G$5:$G$149,"Fri"),$D12*SUMIFS('Session Tracker'!$J$5:$J$149,'Session Tracker'!$D$5:$D$149,$A12,'Session Tracker'!$F$5:$F$149,"Next week",'Session Tracker'!$G$5:$G$149,"Fri"))</f>
        <v>0</v>
      </c>
      <c r="M12" s="52" t="n">
        <f aca="false">IF($E12="Per class",$D12*COUNTIFS('Session Tracker'!$D$5:$D$149,$A12,'Session Tracker'!$F$5:$F$149,"Next week",'Session Tracker'!$G$5:$G$149,""),$D12*SUMIFS('Session Tracker'!$J$5:$J$149,'Session Tracker'!$D$5:$D$149,$A12,'Session Tracker'!$F$5:$F$149,"Next week",'Session Tracker'!$G$5:$G$149,""))</f>
        <v>0</v>
      </c>
    </row>
    <row r="13" customFormat="false" ht="15" hidden="false" customHeight="false" outlineLevel="0" collapsed="false">
      <c r="A13" s="68" t="s">
        <v>221</v>
      </c>
      <c r="B13" s="34" t="s">
        <v>382</v>
      </c>
      <c r="C13" s="34" t="s">
        <v>383</v>
      </c>
      <c r="D13" s="32" t="n">
        <v>1</v>
      </c>
      <c r="E13" s="32" t="s">
        <v>14</v>
      </c>
      <c r="F13" s="32" t="s">
        <v>368</v>
      </c>
      <c r="G13" s="34"/>
      <c r="H13" s="52" t="n">
        <f aca="false">IF($E13="Per class",$D13*COUNTIFS('Session Tracker'!$D$5:$D$149,$A13,'Session Tracker'!$F$5:$F$149,"Next week",'Session Tracker'!$G$5:$G$149,"Mon"),$D13*SUMIFS('Session Tracker'!$J$5:$J$149,'Session Tracker'!$D$5:$D$149,$A13,'Session Tracker'!$F$5:$F$149,"Next week",'Session Tracker'!$G$5:$G$149,"Mon"))</f>
        <v>0</v>
      </c>
      <c r="I13" s="52" t="n">
        <f aca="false">IF($E13="Per class",$D13*COUNTIFS('Session Tracker'!$D$5:$D$149,$A13,'Session Tracker'!$F$5:$F$149,"Next week",'Session Tracker'!$G$5:$G$149,"Tue"),$D13*SUMIFS('Session Tracker'!$J$5:$J$149,'Session Tracker'!$D$5:$D$149,$A13,'Session Tracker'!$F$5:$F$149,"Next week",'Session Tracker'!$G$5:$G$149,"Tue"))</f>
        <v>0</v>
      </c>
      <c r="J13" s="52" t="n">
        <f aca="false">IF($E13="Per class",$D13*COUNTIFS('Session Tracker'!$D$5:$D$149,$A13,'Session Tracker'!$F$5:$F$149,"Next week",'Session Tracker'!$G$5:$G$149,"Wed"),$D13*SUMIFS('Session Tracker'!$J$5:$J$149,'Session Tracker'!$D$5:$D$149,$A13,'Session Tracker'!$F$5:$F$149,"Next week",'Session Tracker'!$G$5:$G$149,"Wed"))</f>
        <v>0</v>
      </c>
      <c r="K13" s="52" t="n">
        <f aca="false">IF($E13="Per class",$D13*COUNTIFS('Session Tracker'!$D$5:$D$149,$A13,'Session Tracker'!$F$5:$F$149,"Next week",'Session Tracker'!$G$5:$G$149,"Thu"),$D13*SUMIFS('Session Tracker'!$J$5:$J$149,'Session Tracker'!$D$5:$D$149,$A13,'Session Tracker'!$F$5:$F$149,"Next week",'Session Tracker'!$G$5:$G$149,"Thu"))</f>
        <v>0</v>
      </c>
      <c r="L13" s="52" t="n">
        <f aca="false">IF($E13="Per class",$D13*COUNTIFS('Session Tracker'!$D$5:$D$149,$A13,'Session Tracker'!$F$5:$F$149,"Next week",'Session Tracker'!$G$5:$G$149,"Fri"),$D13*SUMIFS('Session Tracker'!$J$5:$J$149,'Session Tracker'!$D$5:$D$149,$A13,'Session Tracker'!$F$5:$F$149,"Next week",'Session Tracker'!$G$5:$G$149,"Fri"))</f>
        <v>0</v>
      </c>
      <c r="M13" s="52" t="n">
        <f aca="false">IF($E13="Per class",$D13*COUNTIFS('Session Tracker'!$D$5:$D$149,$A13,'Session Tracker'!$F$5:$F$149,"Next week",'Session Tracker'!$G$5:$G$149,""),$D13*SUMIFS('Session Tracker'!$J$5:$J$149,'Session Tracker'!$D$5:$D$149,$A13,'Session Tracker'!$F$5:$F$149,"Next week",'Session Tracker'!$G$5:$G$149,""))</f>
        <v>0</v>
      </c>
    </row>
    <row r="14" customFormat="false" ht="15" hidden="false" customHeight="false" outlineLevel="0" collapsed="false">
      <c r="A14" s="53" t="s">
        <v>221</v>
      </c>
      <c r="B14" s="54"/>
      <c r="C14" s="54"/>
      <c r="D14" s="54"/>
      <c r="E14" s="54"/>
      <c r="F14" s="54"/>
      <c r="G14" s="54"/>
      <c r="H14" s="52" t="n">
        <f aca="false">IF($E14="Per class",$D14*COUNTIFS('Session Tracker'!$D$5:$D$149,$A14,'Session Tracker'!$F$5:$F$149,"Next week",'Session Tracker'!$G$5:$G$149,"Mon"),$D14*SUMIFS('Session Tracker'!$J$5:$J$149,'Session Tracker'!$D$5:$D$149,$A14,'Session Tracker'!$F$5:$F$149,"Next week",'Session Tracker'!$G$5:$G$149,"Mon"))</f>
        <v>0</v>
      </c>
      <c r="I14" s="52" t="n">
        <f aca="false">IF($E14="Per class",$D14*COUNTIFS('Session Tracker'!$D$5:$D$149,$A14,'Session Tracker'!$F$5:$F$149,"Next week",'Session Tracker'!$G$5:$G$149,"Tue"),$D14*SUMIFS('Session Tracker'!$J$5:$J$149,'Session Tracker'!$D$5:$D$149,$A14,'Session Tracker'!$F$5:$F$149,"Next week",'Session Tracker'!$G$5:$G$149,"Tue"))</f>
        <v>0</v>
      </c>
      <c r="J14" s="52" t="n">
        <f aca="false">IF($E14="Per class",$D14*COUNTIFS('Session Tracker'!$D$5:$D$149,$A14,'Session Tracker'!$F$5:$F$149,"Next week",'Session Tracker'!$G$5:$G$149,"Wed"),$D14*SUMIFS('Session Tracker'!$J$5:$J$149,'Session Tracker'!$D$5:$D$149,$A14,'Session Tracker'!$F$5:$F$149,"Next week",'Session Tracker'!$G$5:$G$149,"Wed"))</f>
        <v>0</v>
      </c>
      <c r="K14" s="52" t="n">
        <f aca="false">IF($E14="Per class",$D14*COUNTIFS('Session Tracker'!$D$5:$D$149,$A14,'Session Tracker'!$F$5:$F$149,"Next week",'Session Tracker'!$G$5:$G$149,"Thu"),$D14*SUMIFS('Session Tracker'!$J$5:$J$149,'Session Tracker'!$D$5:$D$149,$A14,'Session Tracker'!$F$5:$F$149,"Next week",'Session Tracker'!$G$5:$G$149,"Thu"))</f>
        <v>0</v>
      </c>
      <c r="L14" s="52" t="n">
        <f aca="false">IF($E14="Per class",$D14*COUNTIFS('Session Tracker'!$D$5:$D$149,$A14,'Session Tracker'!$F$5:$F$149,"Next week",'Session Tracker'!$G$5:$G$149,"Fri"),$D14*SUMIFS('Session Tracker'!$J$5:$J$149,'Session Tracker'!$D$5:$D$149,$A14,'Session Tracker'!$F$5:$F$149,"Next week",'Session Tracker'!$G$5:$G$149,"Fri"))</f>
        <v>0</v>
      </c>
      <c r="M14" s="52" t="n">
        <f aca="false">IF($E14="Per class",$D14*COUNTIFS('Session Tracker'!$D$5:$D$149,$A14,'Session Tracker'!$F$5:$F$149,"Next week",'Session Tracker'!$G$5:$G$149,""),$D14*SUMIFS('Session Tracker'!$J$5:$J$149,'Session Tracker'!$D$5:$D$149,$A14,'Session Tracker'!$F$5:$F$149,"Next week",'Session Tracker'!$G$5:$G$149,""))</f>
        <v>0</v>
      </c>
    </row>
    <row r="15" customFormat="false" ht="15" hidden="false" customHeight="false" outlineLevel="0" collapsed="false">
      <c r="A15" s="53" t="s">
        <v>221</v>
      </c>
      <c r="B15" s="54"/>
      <c r="C15" s="54"/>
      <c r="D15" s="54"/>
      <c r="E15" s="54"/>
      <c r="F15" s="54"/>
      <c r="G15" s="54"/>
      <c r="H15" s="52" t="n">
        <f aca="false">IF($E15="Per class",$D15*COUNTIFS('Session Tracker'!$D$5:$D$149,$A15,'Session Tracker'!$F$5:$F$149,"Next week",'Session Tracker'!$G$5:$G$149,"Mon"),$D15*SUMIFS('Session Tracker'!$J$5:$J$149,'Session Tracker'!$D$5:$D$149,$A15,'Session Tracker'!$F$5:$F$149,"Next week",'Session Tracker'!$G$5:$G$149,"Mon"))</f>
        <v>0</v>
      </c>
      <c r="I15" s="52" t="n">
        <f aca="false">IF($E15="Per class",$D15*COUNTIFS('Session Tracker'!$D$5:$D$149,$A15,'Session Tracker'!$F$5:$F$149,"Next week",'Session Tracker'!$G$5:$G$149,"Tue"),$D15*SUMIFS('Session Tracker'!$J$5:$J$149,'Session Tracker'!$D$5:$D$149,$A15,'Session Tracker'!$F$5:$F$149,"Next week",'Session Tracker'!$G$5:$G$149,"Tue"))</f>
        <v>0</v>
      </c>
      <c r="J15" s="52" t="n">
        <f aca="false">IF($E15="Per class",$D15*COUNTIFS('Session Tracker'!$D$5:$D$149,$A15,'Session Tracker'!$F$5:$F$149,"Next week",'Session Tracker'!$G$5:$G$149,"Wed"),$D15*SUMIFS('Session Tracker'!$J$5:$J$149,'Session Tracker'!$D$5:$D$149,$A15,'Session Tracker'!$F$5:$F$149,"Next week",'Session Tracker'!$G$5:$G$149,"Wed"))</f>
        <v>0</v>
      </c>
      <c r="K15" s="52" t="n">
        <f aca="false">IF($E15="Per class",$D15*COUNTIFS('Session Tracker'!$D$5:$D$149,$A15,'Session Tracker'!$F$5:$F$149,"Next week",'Session Tracker'!$G$5:$G$149,"Thu"),$D15*SUMIFS('Session Tracker'!$J$5:$J$149,'Session Tracker'!$D$5:$D$149,$A15,'Session Tracker'!$F$5:$F$149,"Next week",'Session Tracker'!$G$5:$G$149,"Thu"))</f>
        <v>0</v>
      </c>
      <c r="L15" s="52" t="n">
        <f aca="false">IF($E15="Per class",$D15*COUNTIFS('Session Tracker'!$D$5:$D$149,$A15,'Session Tracker'!$F$5:$F$149,"Next week",'Session Tracker'!$G$5:$G$149,"Fri"),$D15*SUMIFS('Session Tracker'!$J$5:$J$149,'Session Tracker'!$D$5:$D$149,$A15,'Session Tracker'!$F$5:$F$149,"Next week",'Session Tracker'!$G$5:$G$149,"Fri"))</f>
        <v>0</v>
      </c>
      <c r="M15" s="52" t="n">
        <f aca="false">IF($E15="Per class",$D15*COUNTIFS('Session Tracker'!$D$5:$D$149,$A15,'Session Tracker'!$F$5:$F$149,"Next week",'Session Tracker'!$G$5:$G$149,""),$D15*SUMIFS('Session Tracker'!$J$5:$J$149,'Session Tracker'!$D$5:$D$149,$A15,'Session Tracker'!$F$5:$F$149,"Next week",'Session Tracker'!$G$5:$G$149,""))</f>
        <v>0</v>
      </c>
    </row>
    <row r="17" customFormat="false" ht="19.5" hidden="false" customHeight="true" outlineLevel="0" collapsed="false">
      <c r="A17" s="64" t="s">
        <v>222</v>
      </c>
      <c r="B17" s="65" t="s">
        <v>384</v>
      </c>
      <c r="C17" s="65"/>
      <c r="D17" s="65"/>
      <c r="E17" s="65"/>
      <c r="F17" s="66" t="str">
        <f aca="false">"Status: "&amp;'Session Tracker'!F79&amp;IF('Session Tracker'!G79&lt;&gt;""," ("&amp;'Session Tracker'!G79&amp;")","")</f>
        <v>Status: Not started</v>
      </c>
      <c r="G17" s="66"/>
      <c r="H17" s="67"/>
      <c r="I17" s="67"/>
      <c r="J17" s="67"/>
      <c r="K17" s="67"/>
      <c r="L17" s="67"/>
      <c r="M17" s="67"/>
    </row>
    <row r="18" customFormat="false" ht="23.85" hidden="false" customHeight="false" outlineLevel="0" collapsed="false">
      <c r="A18" s="68" t="s">
        <v>222</v>
      </c>
      <c r="B18" s="34" t="s">
        <v>366</v>
      </c>
      <c r="C18" s="34" t="s">
        <v>367</v>
      </c>
      <c r="D18" s="32" t="n">
        <v>1</v>
      </c>
      <c r="E18" s="32" t="s">
        <v>14</v>
      </c>
      <c r="F18" s="32" t="s">
        <v>368</v>
      </c>
      <c r="G18" s="34"/>
      <c r="H18" s="52" t="n">
        <f aca="false">IF($E18="Per class",$D18*COUNTIFS('Session Tracker'!$D$5:$D$149,$A18,'Session Tracker'!$F$5:$F$149,"Next week",'Session Tracker'!$G$5:$G$149,"Mon"),$D18*SUMIFS('Session Tracker'!$J$5:$J$149,'Session Tracker'!$D$5:$D$149,$A18,'Session Tracker'!$F$5:$F$149,"Next week",'Session Tracker'!$G$5:$G$149,"Mon"))</f>
        <v>0</v>
      </c>
      <c r="I18" s="52" t="n">
        <f aca="false">IF($E18="Per class",$D18*COUNTIFS('Session Tracker'!$D$5:$D$149,$A18,'Session Tracker'!$F$5:$F$149,"Next week",'Session Tracker'!$G$5:$G$149,"Tue"),$D18*SUMIFS('Session Tracker'!$J$5:$J$149,'Session Tracker'!$D$5:$D$149,$A18,'Session Tracker'!$F$5:$F$149,"Next week",'Session Tracker'!$G$5:$G$149,"Tue"))</f>
        <v>0</v>
      </c>
      <c r="J18" s="52" t="n">
        <f aca="false">IF($E18="Per class",$D18*COUNTIFS('Session Tracker'!$D$5:$D$149,$A18,'Session Tracker'!$F$5:$F$149,"Next week",'Session Tracker'!$G$5:$G$149,"Wed"),$D18*SUMIFS('Session Tracker'!$J$5:$J$149,'Session Tracker'!$D$5:$D$149,$A18,'Session Tracker'!$F$5:$F$149,"Next week",'Session Tracker'!$G$5:$G$149,"Wed"))</f>
        <v>0</v>
      </c>
      <c r="K18" s="52" t="n">
        <f aca="false">IF($E18="Per class",$D18*COUNTIFS('Session Tracker'!$D$5:$D$149,$A18,'Session Tracker'!$F$5:$F$149,"Next week",'Session Tracker'!$G$5:$G$149,"Thu"),$D18*SUMIFS('Session Tracker'!$J$5:$J$149,'Session Tracker'!$D$5:$D$149,$A18,'Session Tracker'!$F$5:$F$149,"Next week",'Session Tracker'!$G$5:$G$149,"Thu"))</f>
        <v>0</v>
      </c>
      <c r="L18" s="52" t="n">
        <f aca="false">IF($E18="Per class",$D18*COUNTIFS('Session Tracker'!$D$5:$D$149,$A18,'Session Tracker'!$F$5:$F$149,"Next week",'Session Tracker'!$G$5:$G$149,"Fri"),$D18*SUMIFS('Session Tracker'!$J$5:$J$149,'Session Tracker'!$D$5:$D$149,$A18,'Session Tracker'!$F$5:$F$149,"Next week",'Session Tracker'!$G$5:$G$149,"Fri"))</f>
        <v>0</v>
      </c>
      <c r="M18" s="52" t="n">
        <f aca="false">IF($E18="Per class",$D18*COUNTIFS('Session Tracker'!$D$5:$D$149,$A18,'Session Tracker'!$F$5:$F$149,"Next week",'Session Tracker'!$G$5:$G$149,""),$D18*SUMIFS('Session Tracker'!$J$5:$J$149,'Session Tracker'!$D$5:$D$149,$A18,'Session Tracker'!$F$5:$F$149,"Next week",'Session Tracker'!$G$5:$G$149,""))</f>
        <v>0</v>
      </c>
    </row>
    <row r="19" customFormat="false" ht="15" hidden="false" customHeight="false" outlineLevel="0" collapsed="false">
      <c r="A19" s="68" t="s">
        <v>222</v>
      </c>
      <c r="B19" s="34" t="s">
        <v>371</v>
      </c>
      <c r="C19" s="34" t="s">
        <v>372</v>
      </c>
      <c r="D19" s="32" t="n">
        <v>2</v>
      </c>
      <c r="E19" s="32" t="s">
        <v>14</v>
      </c>
      <c r="F19" s="32" t="s">
        <v>373</v>
      </c>
      <c r="G19" s="34"/>
      <c r="H19" s="52" t="n">
        <f aca="false">IF($E19="Per class",$D19*COUNTIFS('Session Tracker'!$D$5:$D$149,$A19,'Session Tracker'!$F$5:$F$149,"Next week",'Session Tracker'!$G$5:$G$149,"Mon"),$D19*SUMIFS('Session Tracker'!$J$5:$J$149,'Session Tracker'!$D$5:$D$149,$A19,'Session Tracker'!$F$5:$F$149,"Next week",'Session Tracker'!$G$5:$G$149,"Mon"))</f>
        <v>0</v>
      </c>
      <c r="I19" s="52" t="n">
        <f aca="false">IF($E19="Per class",$D19*COUNTIFS('Session Tracker'!$D$5:$D$149,$A19,'Session Tracker'!$F$5:$F$149,"Next week",'Session Tracker'!$G$5:$G$149,"Tue"),$D19*SUMIFS('Session Tracker'!$J$5:$J$149,'Session Tracker'!$D$5:$D$149,$A19,'Session Tracker'!$F$5:$F$149,"Next week",'Session Tracker'!$G$5:$G$149,"Tue"))</f>
        <v>0</v>
      </c>
      <c r="J19" s="52" t="n">
        <f aca="false">IF($E19="Per class",$D19*COUNTIFS('Session Tracker'!$D$5:$D$149,$A19,'Session Tracker'!$F$5:$F$149,"Next week",'Session Tracker'!$G$5:$G$149,"Wed"),$D19*SUMIFS('Session Tracker'!$J$5:$J$149,'Session Tracker'!$D$5:$D$149,$A19,'Session Tracker'!$F$5:$F$149,"Next week",'Session Tracker'!$G$5:$G$149,"Wed"))</f>
        <v>0</v>
      </c>
      <c r="K19" s="52" t="n">
        <f aca="false">IF($E19="Per class",$D19*COUNTIFS('Session Tracker'!$D$5:$D$149,$A19,'Session Tracker'!$F$5:$F$149,"Next week",'Session Tracker'!$G$5:$G$149,"Thu"),$D19*SUMIFS('Session Tracker'!$J$5:$J$149,'Session Tracker'!$D$5:$D$149,$A19,'Session Tracker'!$F$5:$F$149,"Next week",'Session Tracker'!$G$5:$G$149,"Thu"))</f>
        <v>0</v>
      </c>
      <c r="L19" s="52" t="n">
        <f aca="false">IF($E19="Per class",$D19*COUNTIFS('Session Tracker'!$D$5:$D$149,$A19,'Session Tracker'!$F$5:$F$149,"Next week",'Session Tracker'!$G$5:$G$149,"Fri"),$D19*SUMIFS('Session Tracker'!$J$5:$J$149,'Session Tracker'!$D$5:$D$149,$A19,'Session Tracker'!$F$5:$F$149,"Next week",'Session Tracker'!$G$5:$G$149,"Fri"))</f>
        <v>0</v>
      </c>
      <c r="M19" s="52" t="n">
        <f aca="false">IF($E19="Per class",$D19*COUNTIFS('Session Tracker'!$D$5:$D$149,$A19,'Session Tracker'!$F$5:$F$149,"Next week",'Session Tracker'!$G$5:$G$149,""),$D19*SUMIFS('Session Tracker'!$J$5:$J$149,'Session Tracker'!$D$5:$D$149,$A19,'Session Tracker'!$F$5:$F$149,"Next week",'Session Tracker'!$G$5:$G$149,""))</f>
        <v>0</v>
      </c>
    </row>
    <row r="20" customFormat="false" ht="15" hidden="false" customHeight="false" outlineLevel="0" collapsed="false">
      <c r="A20" s="68" t="s">
        <v>222</v>
      </c>
      <c r="B20" s="34" t="s">
        <v>375</v>
      </c>
      <c r="C20" s="34" t="s">
        <v>376</v>
      </c>
      <c r="D20" s="32" t="n">
        <v>2</v>
      </c>
      <c r="E20" s="32" t="s">
        <v>14</v>
      </c>
      <c r="F20" s="32" t="s">
        <v>373</v>
      </c>
      <c r="G20" s="34"/>
      <c r="H20" s="52" t="n">
        <f aca="false">IF($E20="Per class",$D20*COUNTIFS('Session Tracker'!$D$5:$D$149,$A20,'Session Tracker'!$F$5:$F$149,"Next week",'Session Tracker'!$G$5:$G$149,"Mon"),$D20*SUMIFS('Session Tracker'!$J$5:$J$149,'Session Tracker'!$D$5:$D$149,$A20,'Session Tracker'!$F$5:$F$149,"Next week",'Session Tracker'!$G$5:$G$149,"Mon"))</f>
        <v>0</v>
      </c>
      <c r="I20" s="52" t="n">
        <f aca="false">IF($E20="Per class",$D20*COUNTIFS('Session Tracker'!$D$5:$D$149,$A20,'Session Tracker'!$F$5:$F$149,"Next week",'Session Tracker'!$G$5:$G$149,"Tue"),$D20*SUMIFS('Session Tracker'!$J$5:$J$149,'Session Tracker'!$D$5:$D$149,$A20,'Session Tracker'!$F$5:$F$149,"Next week",'Session Tracker'!$G$5:$G$149,"Tue"))</f>
        <v>0</v>
      </c>
      <c r="J20" s="52" t="n">
        <f aca="false">IF($E20="Per class",$D20*COUNTIFS('Session Tracker'!$D$5:$D$149,$A20,'Session Tracker'!$F$5:$F$149,"Next week",'Session Tracker'!$G$5:$G$149,"Wed"),$D20*SUMIFS('Session Tracker'!$J$5:$J$149,'Session Tracker'!$D$5:$D$149,$A20,'Session Tracker'!$F$5:$F$149,"Next week",'Session Tracker'!$G$5:$G$149,"Wed"))</f>
        <v>0</v>
      </c>
      <c r="K20" s="52" t="n">
        <f aca="false">IF($E20="Per class",$D20*COUNTIFS('Session Tracker'!$D$5:$D$149,$A20,'Session Tracker'!$F$5:$F$149,"Next week",'Session Tracker'!$G$5:$G$149,"Thu"),$D20*SUMIFS('Session Tracker'!$J$5:$J$149,'Session Tracker'!$D$5:$D$149,$A20,'Session Tracker'!$F$5:$F$149,"Next week",'Session Tracker'!$G$5:$G$149,"Thu"))</f>
        <v>0</v>
      </c>
      <c r="L20" s="52" t="n">
        <f aca="false">IF($E20="Per class",$D20*COUNTIFS('Session Tracker'!$D$5:$D$149,$A20,'Session Tracker'!$F$5:$F$149,"Next week",'Session Tracker'!$G$5:$G$149,"Fri"),$D20*SUMIFS('Session Tracker'!$J$5:$J$149,'Session Tracker'!$D$5:$D$149,$A20,'Session Tracker'!$F$5:$F$149,"Next week",'Session Tracker'!$G$5:$G$149,"Fri"))</f>
        <v>0</v>
      </c>
      <c r="M20" s="52" t="n">
        <f aca="false">IF($E20="Per class",$D20*COUNTIFS('Session Tracker'!$D$5:$D$149,$A20,'Session Tracker'!$F$5:$F$149,"Next week",'Session Tracker'!$G$5:$G$149,""),$D20*SUMIFS('Session Tracker'!$J$5:$J$149,'Session Tracker'!$D$5:$D$149,$A20,'Session Tracker'!$F$5:$F$149,"Next week",'Session Tracker'!$G$5:$G$149,""))</f>
        <v>0</v>
      </c>
    </row>
    <row r="21" customFormat="false" ht="15" hidden="false" customHeight="false" outlineLevel="0" collapsed="false">
      <c r="A21" s="68" t="s">
        <v>222</v>
      </c>
      <c r="B21" s="34" t="s">
        <v>375</v>
      </c>
      <c r="C21" s="34" t="s">
        <v>385</v>
      </c>
      <c r="D21" s="32" t="n">
        <v>1</v>
      </c>
      <c r="E21" s="32" t="s">
        <v>14</v>
      </c>
      <c r="F21" s="32" t="s">
        <v>368</v>
      </c>
      <c r="G21" s="34" t="s">
        <v>386</v>
      </c>
      <c r="H21" s="52" t="n">
        <f aca="false">IF($E21="Per class",$D21*COUNTIFS('Session Tracker'!$D$5:$D$149,$A21,'Session Tracker'!$F$5:$F$149,"Next week",'Session Tracker'!$G$5:$G$149,"Mon"),$D21*SUMIFS('Session Tracker'!$J$5:$J$149,'Session Tracker'!$D$5:$D$149,$A21,'Session Tracker'!$F$5:$F$149,"Next week",'Session Tracker'!$G$5:$G$149,"Mon"))</f>
        <v>0</v>
      </c>
      <c r="I21" s="52" t="n">
        <f aca="false">IF($E21="Per class",$D21*COUNTIFS('Session Tracker'!$D$5:$D$149,$A21,'Session Tracker'!$F$5:$F$149,"Next week",'Session Tracker'!$G$5:$G$149,"Tue"),$D21*SUMIFS('Session Tracker'!$J$5:$J$149,'Session Tracker'!$D$5:$D$149,$A21,'Session Tracker'!$F$5:$F$149,"Next week",'Session Tracker'!$G$5:$G$149,"Tue"))</f>
        <v>0</v>
      </c>
      <c r="J21" s="52" t="n">
        <f aca="false">IF($E21="Per class",$D21*COUNTIFS('Session Tracker'!$D$5:$D$149,$A21,'Session Tracker'!$F$5:$F$149,"Next week",'Session Tracker'!$G$5:$G$149,"Wed"),$D21*SUMIFS('Session Tracker'!$J$5:$J$149,'Session Tracker'!$D$5:$D$149,$A21,'Session Tracker'!$F$5:$F$149,"Next week",'Session Tracker'!$G$5:$G$149,"Wed"))</f>
        <v>0</v>
      </c>
      <c r="K21" s="52" t="n">
        <f aca="false">IF($E21="Per class",$D21*COUNTIFS('Session Tracker'!$D$5:$D$149,$A21,'Session Tracker'!$F$5:$F$149,"Next week",'Session Tracker'!$G$5:$G$149,"Thu"),$D21*SUMIFS('Session Tracker'!$J$5:$J$149,'Session Tracker'!$D$5:$D$149,$A21,'Session Tracker'!$F$5:$F$149,"Next week",'Session Tracker'!$G$5:$G$149,"Thu"))</f>
        <v>0</v>
      </c>
      <c r="L21" s="52" t="n">
        <f aca="false">IF($E21="Per class",$D21*COUNTIFS('Session Tracker'!$D$5:$D$149,$A21,'Session Tracker'!$F$5:$F$149,"Next week",'Session Tracker'!$G$5:$G$149,"Fri"),$D21*SUMIFS('Session Tracker'!$J$5:$J$149,'Session Tracker'!$D$5:$D$149,$A21,'Session Tracker'!$F$5:$F$149,"Next week",'Session Tracker'!$G$5:$G$149,"Fri"))</f>
        <v>0</v>
      </c>
      <c r="M21" s="52" t="n">
        <f aca="false">IF($E21="Per class",$D21*COUNTIFS('Session Tracker'!$D$5:$D$149,$A21,'Session Tracker'!$F$5:$F$149,"Next week",'Session Tracker'!$G$5:$G$149,""),$D21*SUMIFS('Session Tracker'!$J$5:$J$149,'Session Tracker'!$D$5:$D$149,$A21,'Session Tracker'!$F$5:$F$149,"Next week",'Session Tracker'!$G$5:$G$149,""))</f>
        <v>0</v>
      </c>
    </row>
    <row r="22" customFormat="false" ht="15" hidden="false" customHeight="false" outlineLevel="0" collapsed="false">
      <c r="A22" s="68" t="s">
        <v>222</v>
      </c>
      <c r="B22" s="34" t="s">
        <v>375</v>
      </c>
      <c r="C22" s="34" t="s">
        <v>387</v>
      </c>
      <c r="D22" s="32" t="n">
        <v>1</v>
      </c>
      <c r="E22" s="32" t="s">
        <v>14</v>
      </c>
      <c r="F22" s="32" t="s">
        <v>368</v>
      </c>
      <c r="G22" s="34" t="s">
        <v>388</v>
      </c>
      <c r="H22" s="52" t="n">
        <f aca="false">IF($E22="Per class",$D22*COUNTIFS('Session Tracker'!$D$5:$D$149,$A22,'Session Tracker'!$F$5:$F$149,"Next week",'Session Tracker'!$G$5:$G$149,"Mon"),$D22*SUMIFS('Session Tracker'!$J$5:$J$149,'Session Tracker'!$D$5:$D$149,$A22,'Session Tracker'!$F$5:$F$149,"Next week",'Session Tracker'!$G$5:$G$149,"Mon"))</f>
        <v>0</v>
      </c>
      <c r="I22" s="52" t="n">
        <f aca="false">IF($E22="Per class",$D22*COUNTIFS('Session Tracker'!$D$5:$D$149,$A22,'Session Tracker'!$F$5:$F$149,"Next week",'Session Tracker'!$G$5:$G$149,"Tue"),$D22*SUMIFS('Session Tracker'!$J$5:$J$149,'Session Tracker'!$D$5:$D$149,$A22,'Session Tracker'!$F$5:$F$149,"Next week",'Session Tracker'!$G$5:$G$149,"Tue"))</f>
        <v>0</v>
      </c>
      <c r="J22" s="52" t="n">
        <f aca="false">IF($E22="Per class",$D22*COUNTIFS('Session Tracker'!$D$5:$D$149,$A22,'Session Tracker'!$F$5:$F$149,"Next week",'Session Tracker'!$G$5:$G$149,"Wed"),$D22*SUMIFS('Session Tracker'!$J$5:$J$149,'Session Tracker'!$D$5:$D$149,$A22,'Session Tracker'!$F$5:$F$149,"Next week",'Session Tracker'!$G$5:$G$149,"Wed"))</f>
        <v>0</v>
      </c>
      <c r="K22" s="52" t="n">
        <f aca="false">IF($E22="Per class",$D22*COUNTIFS('Session Tracker'!$D$5:$D$149,$A22,'Session Tracker'!$F$5:$F$149,"Next week",'Session Tracker'!$G$5:$G$149,"Thu"),$D22*SUMIFS('Session Tracker'!$J$5:$J$149,'Session Tracker'!$D$5:$D$149,$A22,'Session Tracker'!$F$5:$F$149,"Next week",'Session Tracker'!$G$5:$G$149,"Thu"))</f>
        <v>0</v>
      </c>
      <c r="L22" s="52" t="n">
        <f aca="false">IF($E22="Per class",$D22*COUNTIFS('Session Tracker'!$D$5:$D$149,$A22,'Session Tracker'!$F$5:$F$149,"Next week",'Session Tracker'!$G$5:$G$149,"Fri"),$D22*SUMIFS('Session Tracker'!$J$5:$J$149,'Session Tracker'!$D$5:$D$149,$A22,'Session Tracker'!$F$5:$F$149,"Next week",'Session Tracker'!$G$5:$G$149,"Fri"))</f>
        <v>0</v>
      </c>
      <c r="M22" s="52" t="n">
        <f aca="false">IF($E22="Per class",$D22*COUNTIFS('Session Tracker'!$D$5:$D$149,$A22,'Session Tracker'!$F$5:$F$149,"Next week",'Session Tracker'!$G$5:$G$149,""),$D22*SUMIFS('Session Tracker'!$J$5:$J$149,'Session Tracker'!$D$5:$D$149,$A22,'Session Tracker'!$F$5:$F$149,"Next week",'Session Tracker'!$G$5:$G$149,""))</f>
        <v>0</v>
      </c>
    </row>
    <row r="23" customFormat="false" ht="15" hidden="false" customHeight="false" outlineLevel="0" collapsed="false">
      <c r="A23" s="68" t="s">
        <v>222</v>
      </c>
      <c r="B23" s="34" t="s">
        <v>379</v>
      </c>
      <c r="C23" s="34" t="s">
        <v>380</v>
      </c>
      <c r="D23" s="32" t="n">
        <v>1</v>
      </c>
      <c r="E23" s="32" t="s">
        <v>14</v>
      </c>
      <c r="F23" s="32" t="s">
        <v>368</v>
      </c>
      <c r="G23" s="34"/>
      <c r="H23" s="52" t="n">
        <f aca="false">IF($E23="Per class",$D23*COUNTIFS('Session Tracker'!$D$5:$D$149,$A23,'Session Tracker'!$F$5:$F$149,"Next week",'Session Tracker'!$G$5:$G$149,"Mon"),$D23*SUMIFS('Session Tracker'!$J$5:$J$149,'Session Tracker'!$D$5:$D$149,$A23,'Session Tracker'!$F$5:$F$149,"Next week",'Session Tracker'!$G$5:$G$149,"Mon"))</f>
        <v>0</v>
      </c>
      <c r="I23" s="52" t="n">
        <f aca="false">IF($E23="Per class",$D23*COUNTIFS('Session Tracker'!$D$5:$D$149,$A23,'Session Tracker'!$F$5:$F$149,"Next week",'Session Tracker'!$G$5:$G$149,"Tue"),$D23*SUMIFS('Session Tracker'!$J$5:$J$149,'Session Tracker'!$D$5:$D$149,$A23,'Session Tracker'!$F$5:$F$149,"Next week",'Session Tracker'!$G$5:$G$149,"Tue"))</f>
        <v>0</v>
      </c>
      <c r="J23" s="52" t="n">
        <f aca="false">IF($E23="Per class",$D23*COUNTIFS('Session Tracker'!$D$5:$D$149,$A23,'Session Tracker'!$F$5:$F$149,"Next week",'Session Tracker'!$G$5:$G$149,"Wed"),$D23*SUMIFS('Session Tracker'!$J$5:$J$149,'Session Tracker'!$D$5:$D$149,$A23,'Session Tracker'!$F$5:$F$149,"Next week",'Session Tracker'!$G$5:$G$149,"Wed"))</f>
        <v>0</v>
      </c>
      <c r="K23" s="52" t="n">
        <f aca="false">IF($E23="Per class",$D23*COUNTIFS('Session Tracker'!$D$5:$D$149,$A23,'Session Tracker'!$F$5:$F$149,"Next week",'Session Tracker'!$G$5:$G$149,"Thu"),$D23*SUMIFS('Session Tracker'!$J$5:$J$149,'Session Tracker'!$D$5:$D$149,$A23,'Session Tracker'!$F$5:$F$149,"Next week",'Session Tracker'!$G$5:$G$149,"Thu"))</f>
        <v>0</v>
      </c>
      <c r="L23" s="52" t="n">
        <f aca="false">IF($E23="Per class",$D23*COUNTIFS('Session Tracker'!$D$5:$D$149,$A23,'Session Tracker'!$F$5:$F$149,"Next week",'Session Tracker'!$G$5:$G$149,"Fri"),$D23*SUMIFS('Session Tracker'!$J$5:$J$149,'Session Tracker'!$D$5:$D$149,$A23,'Session Tracker'!$F$5:$F$149,"Next week",'Session Tracker'!$G$5:$G$149,"Fri"))</f>
        <v>0</v>
      </c>
      <c r="M23" s="52" t="n">
        <f aca="false">IF($E23="Per class",$D23*COUNTIFS('Session Tracker'!$D$5:$D$149,$A23,'Session Tracker'!$F$5:$F$149,"Next week",'Session Tracker'!$G$5:$G$149,""),$D23*SUMIFS('Session Tracker'!$J$5:$J$149,'Session Tracker'!$D$5:$D$149,$A23,'Session Tracker'!$F$5:$F$149,"Next week",'Session Tracker'!$G$5:$G$149,""))</f>
        <v>0</v>
      </c>
    </row>
    <row r="24" customFormat="false" ht="15" hidden="false" customHeight="false" outlineLevel="0" collapsed="false">
      <c r="A24" s="68" t="s">
        <v>222</v>
      </c>
      <c r="B24" s="34" t="s">
        <v>379</v>
      </c>
      <c r="C24" s="34" t="s">
        <v>381</v>
      </c>
      <c r="D24" s="32" t="n">
        <v>8</v>
      </c>
      <c r="E24" s="32" t="s">
        <v>14</v>
      </c>
      <c r="F24" s="32" t="s">
        <v>368</v>
      </c>
      <c r="G24" s="34"/>
      <c r="H24" s="52" t="n">
        <f aca="false">IF($E24="Per class",$D24*COUNTIFS('Session Tracker'!$D$5:$D$149,$A24,'Session Tracker'!$F$5:$F$149,"Next week",'Session Tracker'!$G$5:$G$149,"Mon"),$D24*SUMIFS('Session Tracker'!$J$5:$J$149,'Session Tracker'!$D$5:$D$149,$A24,'Session Tracker'!$F$5:$F$149,"Next week",'Session Tracker'!$G$5:$G$149,"Mon"))</f>
        <v>0</v>
      </c>
      <c r="I24" s="52" t="n">
        <f aca="false">IF($E24="Per class",$D24*COUNTIFS('Session Tracker'!$D$5:$D$149,$A24,'Session Tracker'!$F$5:$F$149,"Next week",'Session Tracker'!$G$5:$G$149,"Tue"),$D24*SUMIFS('Session Tracker'!$J$5:$J$149,'Session Tracker'!$D$5:$D$149,$A24,'Session Tracker'!$F$5:$F$149,"Next week",'Session Tracker'!$G$5:$G$149,"Tue"))</f>
        <v>0</v>
      </c>
      <c r="J24" s="52" t="n">
        <f aca="false">IF($E24="Per class",$D24*COUNTIFS('Session Tracker'!$D$5:$D$149,$A24,'Session Tracker'!$F$5:$F$149,"Next week",'Session Tracker'!$G$5:$G$149,"Wed"),$D24*SUMIFS('Session Tracker'!$J$5:$J$149,'Session Tracker'!$D$5:$D$149,$A24,'Session Tracker'!$F$5:$F$149,"Next week",'Session Tracker'!$G$5:$G$149,"Wed"))</f>
        <v>0</v>
      </c>
      <c r="K24" s="52" t="n">
        <f aca="false">IF($E24="Per class",$D24*COUNTIFS('Session Tracker'!$D$5:$D$149,$A24,'Session Tracker'!$F$5:$F$149,"Next week",'Session Tracker'!$G$5:$G$149,"Thu"),$D24*SUMIFS('Session Tracker'!$J$5:$J$149,'Session Tracker'!$D$5:$D$149,$A24,'Session Tracker'!$F$5:$F$149,"Next week",'Session Tracker'!$G$5:$G$149,"Thu"))</f>
        <v>0</v>
      </c>
      <c r="L24" s="52" t="n">
        <f aca="false">IF($E24="Per class",$D24*COUNTIFS('Session Tracker'!$D$5:$D$149,$A24,'Session Tracker'!$F$5:$F$149,"Next week",'Session Tracker'!$G$5:$G$149,"Fri"),$D24*SUMIFS('Session Tracker'!$J$5:$J$149,'Session Tracker'!$D$5:$D$149,$A24,'Session Tracker'!$F$5:$F$149,"Next week",'Session Tracker'!$G$5:$G$149,"Fri"))</f>
        <v>0</v>
      </c>
      <c r="M24" s="52" t="n">
        <f aca="false">IF($E24="Per class",$D24*COUNTIFS('Session Tracker'!$D$5:$D$149,$A24,'Session Tracker'!$F$5:$F$149,"Next week",'Session Tracker'!$G$5:$G$149,""),$D24*SUMIFS('Session Tracker'!$J$5:$J$149,'Session Tracker'!$D$5:$D$149,$A24,'Session Tracker'!$F$5:$F$149,"Next week",'Session Tracker'!$G$5:$G$149,""))</f>
        <v>0</v>
      </c>
    </row>
    <row r="25" customFormat="false" ht="15" hidden="false" customHeight="false" outlineLevel="0" collapsed="false">
      <c r="A25" s="68" t="s">
        <v>222</v>
      </c>
      <c r="B25" s="34" t="s">
        <v>382</v>
      </c>
      <c r="C25" s="34" t="s">
        <v>383</v>
      </c>
      <c r="D25" s="32" t="n">
        <v>1</v>
      </c>
      <c r="E25" s="32" t="s">
        <v>14</v>
      </c>
      <c r="F25" s="32" t="s">
        <v>368</v>
      </c>
      <c r="G25" s="34"/>
      <c r="H25" s="52" t="n">
        <f aca="false">IF($E25="Per class",$D25*COUNTIFS('Session Tracker'!$D$5:$D$149,$A25,'Session Tracker'!$F$5:$F$149,"Next week",'Session Tracker'!$G$5:$G$149,"Mon"),$D25*SUMIFS('Session Tracker'!$J$5:$J$149,'Session Tracker'!$D$5:$D$149,$A25,'Session Tracker'!$F$5:$F$149,"Next week",'Session Tracker'!$G$5:$G$149,"Mon"))</f>
        <v>0</v>
      </c>
      <c r="I25" s="52" t="n">
        <f aca="false">IF($E25="Per class",$D25*COUNTIFS('Session Tracker'!$D$5:$D$149,$A25,'Session Tracker'!$F$5:$F$149,"Next week",'Session Tracker'!$G$5:$G$149,"Tue"),$D25*SUMIFS('Session Tracker'!$J$5:$J$149,'Session Tracker'!$D$5:$D$149,$A25,'Session Tracker'!$F$5:$F$149,"Next week",'Session Tracker'!$G$5:$G$149,"Tue"))</f>
        <v>0</v>
      </c>
      <c r="J25" s="52" t="n">
        <f aca="false">IF($E25="Per class",$D25*COUNTIFS('Session Tracker'!$D$5:$D$149,$A25,'Session Tracker'!$F$5:$F$149,"Next week",'Session Tracker'!$G$5:$G$149,"Wed"),$D25*SUMIFS('Session Tracker'!$J$5:$J$149,'Session Tracker'!$D$5:$D$149,$A25,'Session Tracker'!$F$5:$F$149,"Next week",'Session Tracker'!$G$5:$G$149,"Wed"))</f>
        <v>0</v>
      </c>
      <c r="K25" s="52" t="n">
        <f aca="false">IF($E25="Per class",$D25*COUNTIFS('Session Tracker'!$D$5:$D$149,$A25,'Session Tracker'!$F$5:$F$149,"Next week",'Session Tracker'!$G$5:$G$149,"Thu"),$D25*SUMIFS('Session Tracker'!$J$5:$J$149,'Session Tracker'!$D$5:$D$149,$A25,'Session Tracker'!$F$5:$F$149,"Next week",'Session Tracker'!$G$5:$G$149,"Thu"))</f>
        <v>0</v>
      </c>
      <c r="L25" s="52" t="n">
        <f aca="false">IF($E25="Per class",$D25*COUNTIFS('Session Tracker'!$D$5:$D$149,$A25,'Session Tracker'!$F$5:$F$149,"Next week",'Session Tracker'!$G$5:$G$149,"Fri"),$D25*SUMIFS('Session Tracker'!$J$5:$J$149,'Session Tracker'!$D$5:$D$149,$A25,'Session Tracker'!$F$5:$F$149,"Next week",'Session Tracker'!$G$5:$G$149,"Fri"))</f>
        <v>0</v>
      </c>
      <c r="M25" s="52" t="n">
        <f aca="false">IF($E25="Per class",$D25*COUNTIFS('Session Tracker'!$D$5:$D$149,$A25,'Session Tracker'!$F$5:$F$149,"Next week",'Session Tracker'!$G$5:$G$149,""),$D25*SUMIFS('Session Tracker'!$J$5:$J$149,'Session Tracker'!$D$5:$D$149,$A25,'Session Tracker'!$F$5:$F$149,"Next week",'Session Tracker'!$G$5:$G$149,""))</f>
        <v>0</v>
      </c>
    </row>
    <row r="26" customFormat="false" ht="15" hidden="false" customHeight="false" outlineLevel="0" collapsed="false">
      <c r="A26" s="68" t="s">
        <v>222</v>
      </c>
      <c r="B26" s="34" t="s">
        <v>377</v>
      </c>
      <c r="C26" s="34" t="s">
        <v>378</v>
      </c>
      <c r="D26" s="32" t="n">
        <v>1</v>
      </c>
      <c r="E26" s="32" t="s">
        <v>14</v>
      </c>
      <c r="F26" s="32" t="s">
        <v>368</v>
      </c>
      <c r="G26" s="34" t="s">
        <v>389</v>
      </c>
      <c r="H26" s="52" t="n">
        <f aca="false">IF($E26="Per class",$D26*COUNTIFS('Session Tracker'!$D$5:$D$149,$A26,'Session Tracker'!$F$5:$F$149,"Next week",'Session Tracker'!$G$5:$G$149,"Mon"),$D26*SUMIFS('Session Tracker'!$J$5:$J$149,'Session Tracker'!$D$5:$D$149,$A26,'Session Tracker'!$F$5:$F$149,"Next week",'Session Tracker'!$G$5:$G$149,"Mon"))</f>
        <v>0</v>
      </c>
      <c r="I26" s="52" t="n">
        <f aca="false">IF($E26="Per class",$D26*COUNTIFS('Session Tracker'!$D$5:$D$149,$A26,'Session Tracker'!$F$5:$F$149,"Next week",'Session Tracker'!$G$5:$G$149,"Tue"),$D26*SUMIFS('Session Tracker'!$J$5:$J$149,'Session Tracker'!$D$5:$D$149,$A26,'Session Tracker'!$F$5:$F$149,"Next week",'Session Tracker'!$G$5:$G$149,"Tue"))</f>
        <v>0</v>
      </c>
      <c r="J26" s="52" t="n">
        <f aca="false">IF($E26="Per class",$D26*COUNTIFS('Session Tracker'!$D$5:$D$149,$A26,'Session Tracker'!$F$5:$F$149,"Next week",'Session Tracker'!$G$5:$G$149,"Wed"),$D26*SUMIFS('Session Tracker'!$J$5:$J$149,'Session Tracker'!$D$5:$D$149,$A26,'Session Tracker'!$F$5:$F$149,"Next week",'Session Tracker'!$G$5:$G$149,"Wed"))</f>
        <v>0</v>
      </c>
      <c r="K26" s="52" t="n">
        <f aca="false">IF($E26="Per class",$D26*COUNTIFS('Session Tracker'!$D$5:$D$149,$A26,'Session Tracker'!$F$5:$F$149,"Next week",'Session Tracker'!$G$5:$G$149,"Thu"),$D26*SUMIFS('Session Tracker'!$J$5:$J$149,'Session Tracker'!$D$5:$D$149,$A26,'Session Tracker'!$F$5:$F$149,"Next week",'Session Tracker'!$G$5:$G$149,"Thu"))</f>
        <v>0</v>
      </c>
      <c r="L26" s="52" t="n">
        <f aca="false">IF($E26="Per class",$D26*COUNTIFS('Session Tracker'!$D$5:$D$149,$A26,'Session Tracker'!$F$5:$F$149,"Next week",'Session Tracker'!$G$5:$G$149,"Fri"),$D26*SUMIFS('Session Tracker'!$J$5:$J$149,'Session Tracker'!$D$5:$D$149,$A26,'Session Tracker'!$F$5:$F$149,"Next week",'Session Tracker'!$G$5:$G$149,"Fri"))</f>
        <v>0</v>
      </c>
      <c r="M26" s="52" t="n">
        <f aca="false">IF($E26="Per class",$D26*COUNTIFS('Session Tracker'!$D$5:$D$149,$A26,'Session Tracker'!$F$5:$F$149,"Next week",'Session Tracker'!$G$5:$G$149,""),$D26*SUMIFS('Session Tracker'!$J$5:$J$149,'Session Tracker'!$D$5:$D$149,$A26,'Session Tracker'!$F$5:$F$149,"Next week",'Session Tracker'!$G$5:$G$149,""))</f>
        <v>0</v>
      </c>
    </row>
    <row r="27" customFormat="false" ht="15" hidden="false" customHeight="false" outlineLevel="0" collapsed="false">
      <c r="A27" s="53" t="s">
        <v>222</v>
      </c>
      <c r="B27" s="54"/>
      <c r="C27" s="54"/>
      <c r="D27" s="54"/>
      <c r="E27" s="54"/>
      <c r="F27" s="54"/>
      <c r="G27" s="54"/>
      <c r="H27" s="52" t="n">
        <f aca="false">IF($E27="Per class",$D27*COUNTIFS('Session Tracker'!$D$5:$D$149,$A27,'Session Tracker'!$F$5:$F$149,"Next week",'Session Tracker'!$G$5:$G$149,"Mon"),$D27*SUMIFS('Session Tracker'!$J$5:$J$149,'Session Tracker'!$D$5:$D$149,$A27,'Session Tracker'!$F$5:$F$149,"Next week",'Session Tracker'!$G$5:$G$149,"Mon"))</f>
        <v>0</v>
      </c>
      <c r="I27" s="52" t="n">
        <f aca="false">IF($E27="Per class",$D27*COUNTIFS('Session Tracker'!$D$5:$D$149,$A27,'Session Tracker'!$F$5:$F$149,"Next week",'Session Tracker'!$G$5:$G$149,"Tue"),$D27*SUMIFS('Session Tracker'!$J$5:$J$149,'Session Tracker'!$D$5:$D$149,$A27,'Session Tracker'!$F$5:$F$149,"Next week",'Session Tracker'!$G$5:$G$149,"Tue"))</f>
        <v>0</v>
      </c>
      <c r="J27" s="52" t="n">
        <f aca="false">IF($E27="Per class",$D27*COUNTIFS('Session Tracker'!$D$5:$D$149,$A27,'Session Tracker'!$F$5:$F$149,"Next week",'Session Tracker'!$G$5:$G$149,"Wed"),$D27*SUMIFS('Session Tracker'!$J$5:$J$149,'Session Tracker'!$D$5:$D$149,$A27,'Session Tracker'!$F$5:$F$149,"Next week",'Session Tracker'!$G$5:$G$149,"Wed"))</f>
        <v>0</v>
      </c>
      <c r="K27" s="52" t="n">
        <f aca="false">IF($E27="Per class",$D27*COUNTIFS('Session Tracker'!$D$5:$D$149,$A27,'Session Tracker'!$F$5:$F$149,"Next week",'Session Tracker'!$G$5:$G$149,"Thu"),$D27*SUMIFS('Session Tracker'!$J$5:$J$149,'Session Tracker'!$D$5:$D$149,$A27,'Session Tracker'!$F$5:$F$149,"Next week",'Session Tracker'!$G$5:$G$149,"Thu"))</f>
        <v>0</v>
      </c>
      <c r="L27" s="52" t="n">
        <f aca="false">IF($E27="Per class",$D27*COUNTIFS('Session Tracker'!$D$5:$D$149,$A27,'Session Tracker'!$F$5:$F$149,"Next week",'Session Tracker'!$G$5:$G$149,"Fri"),$D27*SUMIFS('Session Tracker'!$J$5:$J$149,'Session Tracker'!$D$5:$D$149,$A27,'Session Tracker'!$F$5:$F$149,"Next week",'Session Tracker'!$G$5:$G$149,"Fri"))</f>
        <v>0</v>
      </c>
      <c r="M27" s="52" t="n">
        <f aca="false">IF($E27="Per class",$D27*COUNTIFS('Session Tracker'!$D$5:$D$149,$A27,'Session Tracker'!$F$5:$F$149,"Next week",'Session Tracker'!$G$5:$G$149,""),$D27*SUMIFS('Session Tracker'!$J$5:$J$149,'Session Tracker'!$D$5:$D$149,$A27,'Session Tracker'!$F$5:$F$149,"Next week",'Session Tracker'!$G$5:$G$149,""))</f>
        <v>0</v>
      </c>
    </row>
    <row r="28" customFormat="false" ht="15" hidden="false" customHeight="false" outlineLevel="0" collapsed="false">
      <c r="A28" s="53" t="s">
        <v>222</v>
      </c>
      <c r="B28" s="54"/>
      <c r="C28" s="54"/>
      <c r="D28" s="54"/>
      <c r="E28" s="54"/>
      <c r="F28" s="54"/>
      <c r="G28" s="54"/>
      <c r="H28" s="52" t="n">
        <f aca="false">IF($E28="Per class",$D28*COUNTIFS('Session Tracker'!$D$5:$D$149,$A28,'Session Tracker'!$F$5:$F$149,"Next week",'Session Tracker'!$G$5:$G$149,"Mon"),$D28*SUMIFS('Session Tracker'!$J$5:$J$149,'Session Tracker'!$D$5:$D$149,$A28,'Session Tracker'!$F$5:$F$149,"Next week",'Session Tracker'!$G$5:$G$149,"Mon"))</f>
        <v>0</v>
      </c>
      <c r="I28" s="52" t="n">
        <f aca="false">IF($E28="Per class",$D28*COUNTIFS('Session Tracker'!$D$5:$D$149,$A28,'Session Tracker'!$F$5:$F$149,"Next week",'Session Tracker'!$G$5:$G$149,"Tue"),$D28*SUMIFS('Session Tracker'!$J$5:$J$149,'Session Tracker'!$D$5:$D$149,$A28,'Session Tracker'!$F$5:$F$149,"Next week",'Session Tracker'!$G$5:$G$149,"Tue"))</f>
        <v>0</v>
      </c>
      <c r="J28" s="52" t="n">
        <f aca="false">IF($E28="Per class",$D28*COUNTIFS('Session Tracker'!$D$5:$D$149,$A28,'Session Tracker'!$F$5:$F$149,"Next week",'Session Tracker'!$G$5:$G$149,"Wed"),$D28*SUMIFS('Session Tracker'!$J$5:$J$149,'Session Tracker'!$D$5:$D$149,$A28,'Session Tracker'!$F$5:$F$149,"Next week",'Session Tracker'!$G$5:$G$149,"Wed"))</f>
        <v>0</v>
      </c>
      <c r="K28" s="52" t="n">
        <f aca="false">IF($E28="Per class",$D28*COUNTIFS('Session Tracker'!$D$5:$D$149,$A28,'Session Tracker'!$F$5:$F$149,"Next week",'Session Tracker'!$G$5:$G$149,"Thu"),$D28*SUMIFS('Session Tracker'!$J$5:$J$149,'Session Tracker'!$D$5:$D$149,$A28,'Session Tracker'!$F$5:$F$149,"Next week",'Session Tracker'!$G$5:$G$149,"Thu"))</f>
        <v>0</v>
      </c>
      <c r="L28" s="52" t="n">
        <f aca="false">IF($E28="Per class",$D28*COUNTIFS('Session Tracker'!$D$5:$D$149,$A28,'Session Tracker'!$F$5:$F$149,"Next week",'Session Tracker'!$G$5:$G$149,"Fri"),$D28*SUMIFS('Session Tracker'!$J$5:$J$149,'Session Tracker'!$D$5:$D$149,$A28,'Session Tracker'!$F$5:$F$149,"Next week",'Session Tracker'!$G$5:$G$149,"Fri"))</f>
        <v>0</v>
      </c>
      <c r="M28" s="52" t="n">
        <f aca="false">IF($E28="Per class",$D28*COUNTIFS('Session Tracker'!$D$5:$D$149,$A28,'Session Tracker'!$F$5:$F$149,"Next week",'Session Tracker'!$G$5:$G$149,""),$D28*SUMIFS('Session Tracker'!$J$5:$J$149,'Session Tracker'!$D$5:$D$149,$A28,'Session Tracker'!$F$5:$F$149,"Next week",'Session Tracker'!$G$5:$G$149,""))</f>
        <v>0</v>
      </c>
    </row>
    <row r="30" customFormat="false" ht="19.5" hidden="false" customHeight="true" outlineLevel="0" collapsed="false">
      <c r="A30" s="64" t="s">
        <v>223</v>
      </c>
      <c r="B30" s="65" t="s">
        <v>390</v>
      </c>
      <c r="C30" s="65"/>
      <c r="D30" s="65"/>
      <c r="E30" s="65"/>
      <c r="F30" s="66" t="str">
        <f aca="false">"Status: "&amp;'Session Tracker'!F80&amp;IF('Session Tracker'!G80&lt;&gt;""," ("&amp;'Session Tracker'!G80&amp;")","")</f>
        <v>Status: Not started</v>
      </c>
      <c r="G30" s="66"/>
      <c r="H30" s="67"/>
      <c r="I30" s="67"/>
      <c r="J30" s="67"/>
      <c r="K30" s="67"/>
      <c r="L30" s="67"/>
      <c r="M30" s="67"/>
    </row>
    <row r="31" customFormat="false" ht="23.85" hidden="false" customHeight="false" outlineLevel="0" collapsed="false">
      <c r="A31" s="68" t="s">
        <v>223</v>
      </c>
      <c r="B31" s="34" t="s">
        <v>366</v>
      </c>
      <c r="C31" s="34" t="s">
        <v>391</v>
      </c>
      <c r="D31" s="32" t="n">
        <v>1</v>
      </c>
      <c r="E31" s="32" t="s">
        <v>14</v>
      </c>
      <c r="F31" s="32" t="s">
        <v>368</v>
      </c>
      <c r="G31" s="34" t="s">
        <v>392</v>
      </c>
      <c r="H31" s="52" t="n">
        <f aca="false">IF($E31="Per class",$D31*COUNTIFS('Session Tracker'!$D$5:$D$149,$A31,'Session Tracker'!$F$5:$F$149,"Next week",'Session Tracker'!$G$5:$G$149,"Mon"),$D31*SUMIFS('Session Tracker'!$J$5:$J$149,'Session Tracker'!$D$5:$D$149,$A31,'Session Tracker'!$F$5:$F$149,"Next week",'Session Tracker'!$G$5:$G$149,"Mon"))</f>
        <v>0</v>
      </c>
      <c r="I31" s="52" t="n">
        <f aca="false">IF($E31="Per class",$D31*COUNTIFS('Session Tracker'!$D$5:$D$149,$A31,'Session Tracker'!$F$5:$F$149,"Next week",'Session Tracker'!$G$5:$G$149,"Tue"),$D31*SUMIFS('Session Tracker'!$J$5:$J$149,'Session Tracker'!$D$5:$D$149,$A31,'Session Tracker'!$F$5:$F$149,"Next week",'Session Tracker'!$G$5:$G$149,"Tue"))</f>
        <v>0</v>
      </c>
      <c r="J31" s="52" t="n">
        <f aca="false">IF($E31="Per class",$D31*COUNTIFS('Session Tracker'!$D$5:$D$149,$A31,'Session Tracker'!$F$5:$F$149,"Next week",'Session Tracker'!$G$5:$G$149,"Wed"),$D31*SUMIFS('Session Tracker'!$J$5:$J$149,'Session Tracker'!$D$5:$D$149,$A31,'Session Tracker'!$F$5:$F$149,"Next week",'Session Tracker'!$G$5:$G$149,"Wed"))</f>
        <v>0</v>
      </c>
      <c r="K31" s="52" t="n">
        <f aca="false">IF($E31="Per class",$D31*COUNTIFS('Session Tracker'!$D$5:$D$149,$A31,'Session Tracker'!$F$5:$F$149,"Next week",'Session Tracker'!$G$5:$G$149,"Thu"),$D31*SUMIFS('Session Tracker'!$J$5:$J$149,'Session Tracker'!$D$5:$D$149,$A31,'Session Tracker'!$F$5:$F$149,"Next week",'Session Tracker'!$G$5:$G$149,"Thu"))</f>
        <v>0</v>
      </c>
      <c r="L31" s="52" t="n">
        <f aca="false">IF($E31="Per class",$D31*COUNTIFS('Session Tracker'!$D$5:$D$149,$A31,'Session Tracker'!$F$5:$F$149,"Next week",'Session Tracker'!$G$5:$G$149,"Fri"),$D31*SUMIFS('Session Tracker'!$J$5:$J$149,'Session Tracker'!$D$5:$D$149,$A31,'Session Tracker'!$F$5:$F$149,"Next week",'Session Tracker'!$G$5:$G$149,"Fri"))</f>
        <v>0</v>
      </c>
      <c r="M31" s="52" t="n">
        <f aca="false">IF($E31="Per class",$D31*COUNTIFS('Session Tracker'!$D$5:$D$149,$A31,'Session Tracker'!$F$5:$F$149,"Next week",'Session Tracker'!$G$5:$G$149,""),$D31*SUMIFS('Session Tracker'!$J$5:$J$149,'Session Tracker'!$D$5:$D$149,$A31,'Session Tracker'!$F$5:$F$149,"Next week",'Session Tracker'!$G$5:$G$149,""))</f>
        <v>0</v>
      </c>
    </row>
    <row r="32" customFormat="false" ht="15" hidden="false" customHeight="false" outlineLevel="0" collapsed="false">
      <c r="A32" s="68" t="s">
        <v>223</v>
      </c>
      <c r="B32" s="34" t="s">
        <v>371</v>
      </c>
      <c r="C32" s="34" t="s">
        <v>372</v>
      </c>
      <c r="D32" s="32" t="n">
        <v>1</v>
      </c>
      <c r="E32" s="32" t="s">
        <v>14</v>
      </c>
      <c r="F32" s="32" t="s">
        <v>373</v>
      </c>
      <c r="G32" s="34"/>
      <c r="H32" s="52" t="n">
        <f aca="false">IF($E32="Per class",$D32*COUNTIFS('Session Tracker'!$D$5:$D$149,$A32,'Session Tracker'!$F$5:$F$149,"Next week",'Session Tracker'!$G$5:$G$149,"Mon"),$D32*SUMIFS('Session Tracker'!$J$5:$J$149,'Session Tracker'!$D$5:$D$149,$A32,'Session Tracker'!$F$5:$F$149,"Next week",'Session Tracker'!$G$5:$G$149,"Mon"))</f>
        <v>0</v>
      </c>
      <c r="I32" s="52" t="n">
        <f aca="false">IF($E32="Per class",$D32*COUNTIFS('Session Tracker'!$D$5:$D$149,$A32,'Session Tracker'!$F$5:$F$149,"Next week",'Session Tracker'!$G$5:$G$149,"Tue"),$D32*SUMIFS('Session Tracker'!$J$5:$J$149,'Session Tracker'!$D$5:$D$149,$A32,'Session Tracker'!$F$5:$F$149,"Next week",'Session Tracker'!$G$5:$G$149,"Tue"))</f>
        <v>0</v>
      </c>
      <c r="J32" s="52" t="n">
        <f aca="false">IF($E32="Per class",$D32*COUNTIFS('Session Tracker'!$D$5:$D$149,$A32,'Session Tracker'!$F$5:$F$149,"Next week",'Session Tracker'!$G$5:$G$149,"Wed"),$D32*SUMIFS('Session Tracker'!$J$5:$J$149,'Session Tracker'!$D$5:$D$149,$A32,'Session Tracker'!$F$5:$F$149,"Next week",'Session Tracker'!$G$5:$G$149,"Wed"))</f>
        <v>0</v>
      </c>
      <c r="K32" s="52" t="n">
        <f aca="false">IF($E32="Per class",$D32*COUNTIFS('Session Tracker'!$D$5:$D$149,$A32,'Session Tracker'!$F$5:$F$149,"Next week",'Session Tracker'!$G$5:$G$149,"Thu"),$D32*SUMIFS('Session Tracker'!$J$5:$J$149,'Session Tracker'!$D$5:$D$149,$A32,'Session Tracker'!$F$5:$F$149,"Next week",'Session Tracker'!$G$5:$G$149,"Thu"))</f>
        <v>0</v>
      </c>
      <c r="L32" s="52" t="n">
        <f aca="false">IF($E32="Per class",$D32*COUNTIFS('Session Tracker'!$D$5:$D$149,$A32,'Session Tracker'!$F$5:$F$149,"Next week",'Session Tracker'!$G$5:$G$149,"Fri"),$D32*SUMIFS('Session Tracker'!$J$5:$J$149,'Session Tracker'!$D$5:$D$149,$A32,'Session Tracker'!$F$5:$F$149,"Next week",'Session Tracker'!$G$5:$G$149,"Fri"))</f>
        <v>0</v>
      </c>
      <c r="M32" s="52" t="n">
        <f aca="false">IF($E32="Per class",$D32*COUNTIFS('Session Tracker'!$D$5:$D$149,$A32,'Session Tracker'!$F$5:$F$149,"Next week",'Session Tracker'!$G$5:$G$149,""),$D32*SUMIFS('Session Tracker'!$J$5:$J$149,'Session Tracker'!$D$5:$D$149,$A32,'Session Tracker'!$F$5:$F$149,"Next week",'Session Tracker'!$G$5:$G$149,""))</f>
        <v>0</v>
      </c>
    </row>
    <row r="33" customFormat="false" ht="15" hidden="false" customHeight="false" outlineLevel="0" collapsed="false">
      <c r="A33" s="68" t="s">
        <v>223</v>
      </c>
      <c r="B33" s="34" t="s">
        <v>375</v>
      </c>
      <c r="C33" s="34" t="s">
        <v>376</v>
      </c>
      <c r="D33" s="32" t="n">
        <v>1</v>
      </c>
      <c r="E33" s="32" t="s">
        <v>14</v>
      </c>
      <c r="F33" s="32" t="s">
        <v>373</v>
      </c>
      <c r="G33" s="34"/>
      <c r="H33" s="52" t="n">
        <f aca="false">IF($E33="Per class",$D33*COUNTIFS('Session Tracker'!$D$5:$D$149,$A33,'Session Tracker'!$F$5:$F$149,"Next week",'Session Tracker'!$G$5:$G$149,"Mon"),$D33*SUMIFS('Session Tracker'!$J$5:$J$149,'Session Tracker'!$D$5:$D$149,$A33,'Session Tracker'!$F$5:$F$149,"Next week",'Session Tracker'!$G$5:$G$149,"Mon"))</f>
        <v>0</v>
      </c>
      <c r="I33" s="52" t="n">
        <f aca="false">IF($E33="Per class",$D33*COUNTIFS('Session Tracker'!$D$5:$D$149,$A33,'Session Tracker'!$F$5:$F$149,"Next week",'Session Tracker'!$G$5:$G$149,"Tue"),$D33*SUMIFS('Session Tracker'!$J$5:$J$149,'Session Tracker'!$D$5:$D$149,$A33,'Session Tracker'!$F$5:$F$149,"Next week",'Session Tracker'!$G$5:$G$149,"Tue"))</f>
        <v>0</v>
      </c>
      <c r="J33" s="52" t="n">
        <f aca="false">IF($E33="Per class",$D33*COUNTIFS('Session Tracker'!$D$5:$D$149,$A33,'Session Tracker'!$F$5:$F$149,"Next week",'Session Tracker'!$G$5:$G$149,"Wed"),$D33*SUMIFS('Session Tracker'!$J$5:$J$149,'Session Tracker'!$D$5:$D$149,$A33,'Session Tracker'!$F$5:$F$149,"Next week",'Session Tracker'!$G$5:$G$149,"Wed"))</f>
        <v>0</v>
      </c>
      <c r="K33" s="52" t="n">
        <f aca="false">IF($E33="Per class",$D33*COUNTIFS('Session Tracker'!$D$5:$D$149,$A33,'Session Tracker'!$F$5:$F$149,"Next week",'Session Tracker'!$G$5:$G$149,"Thu"),$D33*SUMIFS('Session Tracker'!$J$5:$J$149,'Session Tracker'!$D$5:$D$149,$A33,'Session Tracker'!$F$5:$F$149,"Next week",'Session Tracker'!$G$5:$G$149,"Thu"))</f>
        <v>0</v>
      </c>
      <c r="L33" s="52" t="n">
        <f aca="false">IF($E33="Per class",$D33*COUNTIFS('Session Tracker'!$D$5:$D$149,$A33,'Session Tracker'!$F$5:$F$149,"Next week",'Session Tracker'!$G$5:$G$149,"Fri"),$D33*SUMIFS('Session Tracker'!$J$5:$J$149,'Session Tracker'!$D$5:$D$149,$A33,'Session Tracker'!$F$5:$F$149,"Next week",'Session Tracker'!$G$5:$G$149,"Fri"))</f>
        <v>0</v>
      </c>
      <c r="M33" s="52" t="n">
        <f aca="false">IF($E33="Per class",$D33*COUNTIFS('Session Tracker'!$D$5:$D$149,$A33,'Session Tracker'!$F$5:$F$149,"Next week",'Session Tracker'!$G$5:$G$149,""),$D33*SUMIFS('Session Tracker'!$J$5:$J$149,'Session Tracker'!$D$5:$D$149,$A33,'Session Tracker'!$F$5:$F$149,"Next week",'Session Tracker'!$G$5:$G$149,""))</f>
        <v>0</v>
      </c>
    </row>
    <row r="34" customFormat="false" ht="15" hidden="false" customHeight="false" outlineLevel="0" collapsed="false">
      <c r="A34" s="68" t="s">
        <v>223</v>
      </c>
      <c r="B34" s="34" t="s">
        <v>375</v>
      </c>
      <c r="C34" s="34" t="s">
        <v>387</v>
      </c>
      <c r="D34" s="32" t="n">
        <v>1</v>
      </c>
      <c r="E34" s="32" t="s">
        <v>14</v>
      </c>
      <c r="F34" s="32" t="s">
        <v>368</v>
      </c>
      <c r="G34" s="34" t="s">
        <v>393</v>
      </c>
      <c r="H34" s="52" t="n">
        <f aca="false">IF($E34="Per class",$D34*COUNTIFS('Session Tracker'!$D$5:$D$149,$A34,'Session Tracker'!$F$5:$F$149,"Next week",'Session Tracker'!$G$5:$G$149,"Mon"),$D34*SUMIFS('Session Tracker'!$J$5:$J$149,'Session Tracker'!$D$5:$D$149,$A34,'Session Tracker'!$F$5:$F$149,"Next week",'Session Tracker'!$G$5:$G$149,"Mon"))</f>
        <v>0</v>
      </c>
      <c r="I34" s="52" t="n">
        <f aca="false">IF($E34="Per class",$D34*COUNTIFS('Session Tracker'!$D$5:$D$149,$A34,'Session Tracker'!$F$5:$F$149,"Next week",'Session Tracker'!$G$5:$G$149,"Tue"),$D34*SUMIFS('Session Tracker'!$J$5:$J$149,'Session Tracker'!$D$5:$D$149,$A34,'Session Tracker'!$F$5:$F$149,"Next week",'Session Tracker'!$G$5:$G$149,"Tue"))</f>
        <v>0</v>
      </c>
      <c r="J34" s="52" t="n">
        <f aca="false">IF($E34="Per class",$D34*COUNTIFS('Session Tracker'!$D$5:$D$149,$A34,'Session Tracker'!$F$5:$F$149,"Next week",'Session Tracker'!$G$5:$G$149,"Wed"),$D34*SUMIFS('Session Tracker'!$J$5:$J$149,'Session Tracker'!$D$5:$D$149,$A34,'Session Tracker'!$F$5:$F$149,"Next week",'Session Tracker'!$G$5:$G$149,"Wed"))</f>
        <v>0</v>
      </c>
      <c r="K34" s="52" t="n">
        <f aca="false">IF($E34="Per class",$D34*COUNTIFS('Session Tracker'!$D$5:$D$149,$A34,'Session Tracker'!$F$5:$F$149,"Next week",'Session Tracker'!$G$5:$G$149,"Thu"),$D34*SUMIFS('Session Tracker'!$J$5:$J$149,'Session Tracker'!$D$5:$D$149,$A34,'Session Tracker'!$F$5:$F$149,"Next week",'Session Tracker'!$G$5:$G$149,"Thu"))</f>
        <v>0</v>
      </c>
      <c r="L34" s="52" t="n">
        <f aca="false">IF($E34="Per class",$D34*COUNTIFS('Session Tracker'!$D$5:$D$149,$A34,'Session Tracker'!$F$5:$F$149,"Next week",'Session Tracker'!$G$5:$G$149,"Fri"),$D34*SUMIFS('Session Tracker'!$J$5:$J$149,'Session Tracker'!$D$5:$D$149,$A34,'Session Tracker'!$F$5:$F$149,"Next week",'Session Tracker'!$G$5:$G$149,"Fri"))</f>
        <v>0</v>
      </c>
      <c r="M34" s="52" t="n">
        <f aca="false">IF($E34="Per class",$D34*COUNTIFS('Session Tracker'!$D$5:$D$149,$A34,'Session Tracker'!$F$5:$F$149,"Next week",'Session Tracker'!$G$5:$G$149,""),$D34*SUMIFS('Session Tracker'!$J$5:$J$149,'Session Tracker'!$D$5:$D$149,$A34,'Session Tracker'!$F$5:$F$149,"Next week",'Session Tracker'!$G$5:$G$149,""))</f>
        <v>0</v>
      </c>
    </row>
    <row r="35" customFormat="false" ht="15" hidden="false" customHeight="false" outlineLevel="0" collapsed="false">
      <c r="A35" s="68" t="s">
        <v>223</v>
      </c>
      <c r="B35" s="34" t="s">
        <v>379</v>
      </c>
      <c r="C35" s="34" t="s">
        <v>380</v>
      </c>
      <c r="D35" s="32" t="n">
        <v>2</v>
      </c>
      <c r="E35" s="32" t="s">
        <v>14</v>
      </c>
      <c r="F35" s="32" t="s">
        <v>368</v>
      </c>
      <c r="G35" s="34" t="s">
        <v>394</v>
      </c>
      <c r="H35" s="52" t="n">
        <f aca="false">IF($E35="Per class",$D35*COUNTIFS('Session Tracker'!$D$5:$D$149,$A35,'Session Tracker'!$F$5:$F$149,"Next week",'Session Tracker'!$G$5:$G$149,"Mon"),$D35*SUMIFS('Session Tracker'!$J$5:$J$149,'Session Tracker'!$D$5:$D$149,$A35,'Session Tracker'!$F$5:$F$149,"Next week",'Session Tracker'!$G$5:$G$149,"Mon"))</f>
        <v>0</v>
      </c>
      <c r="I35" s="52" t="n">
        <f aca="false">IF($E35="Per class",$D35*COUNTIFS('Session Tracker'!$D$5:$D$149,$A35,'Session Tracker'!$F$5:$F$149,"Next week",'Session Tracker'!$G$5:$G$149,"Tue"),$D35*SUMIFS('Session Tracker'!$J$5:$J$149,'Session Tracker'!$D$5:$D$149,$A35,'Session Tracker'!$F$5:$F$149,"Next week",'Session Tracker'!$G$5:$G$149,"Tue"))</f>
        <v>0</v>
      </c>
      <c r="J35" s="52" t="n">
        <f aca="false">IF($E35="Per class",$D35*COUNTIFS('Session Tracker'!$D$5:$D$149,$A35,'Session Tracker'!$F$5:$F$149,"Next week",'Session Tracker'!$G$5:$G$149,"Wed"),$D35*SUMIFS('Session Tracker'!$J$5:$J$149,'Session Tracker'!$D$5:$D$149,$A35,'Session Tracker'!$F$5:$F$149,"Next week",'Session Tracker'!$G$5:$G$149,"Wed"))</f>
        <v>0</v>
      </c>
      <c r="K35" s="52" t="n">
        <f aca="false">IF($E35="Per class",$D35*COUNTIFS('Session Tracker'!$D$5:$D$149,$A35,'Session Tracker'!$F$5:$F$149,"Next week",'Session Tracker'!$G$5:$G$149,"Thu"),$D35*SUMIFS('Session Tracker'!$J$5:$J$149,'Session Tracker'!$D$5:$D$149,$A35,'Session Tracker'!$F$5:$F$149,"Next week",'Session Tracker'!$G$5:$G$149,"Thu"))</f>
        <v>0</v>
      </c>
      <c r="L35" s="52" t="n">
        <f aca="false">IF($E35="Per class",$D35*COUNTIFS('Session Tracker'!$D$5:$D$149,$A35,'Session Tracker'!$F$5:$F$149,"Next week",'Session Tracker'!$G$5:$G$149,"Fri"),$D35*SUMIFS('Session Tracker'!$J$5:$J$149,'Session Tracker'!$D$5:$D$149,$A35,'Session Tracker'!$F$5:$F$149,"Next week",'Session Tracker'!$G$5:$G$149,"Fri"))</f>
        <v>0</v>
      </c>
      <c r="M35" s="52" t="n">
        <f aca="false">IF($E35="Per class",$D35*COUNTIFS('Session Tracker'!$D$5:$D$149,$A35,'Session Tracker'!$F$5:$F$149,"Next week",'Session Tracker'!$G$5:$G$149,""),$D35*SUMIFS('Session Tracker'!$J$5:$J$149,'Session Tracker'!$D$5:$D$149,$A35,'Session Tracker'!$F$5:$F$149,"Next week",'Session Tracker'!$G$5:$G$149,""))</f>
        <v>0</v>
      </c>
    </row>
    <row r="36" customFormat="false" ht="15" hidden="false" customHeight="false" outlineLevel="0" collapsed="false">
      <c r="A36" s="68" t="s">
        <v>223</v>
      </c>
      <c r="B36" s="34" t="s">
        <v>379</v>
      </c>
      <c r="C36" s="34" t="s">
        <v>381</v>
      </c>
      <c r="D36" s="32" t="n">
        <v>6</v>
      </c>
      <c r="E36" s="32" t="s">
        <v>14</v>
      </c>
      <c r="F36" s="32" t="s">
        <v>368</v>
      </c>
      <c r="G36" s="34"/>
      <c r="H36" s="52" t="n">
        <f aca="false">IF($E36="Per class",$D36*COUNTIFS('Session Tracker'!$D$5:$D$149,$A36,'Session Tracker'!$F$5:$F$149,"Next week",'Session Tracker'!$G$5:$G$149,"Mon"),$D36*SUMIFS('Session Tracker'!$J$5:$J$149,'Session Tracker'!$D$5:$D$149,$A36,'Session Tracker'!$F$5:$F$149,"Next week",'Session Tracker'!$G$5:$G$149,"Mon"))</f>
        <v>0</v>
      </c>
      <c r="I36" s="52" t="n">
        <f aca="false">IF($E36="Per class",$D36*COUNTIFS('Session Tracker'!$D$5:$D$149,$A36,'Session Tracker'!$F$5:$F$149,"Next week",'Session Tracker'!$G$5:$G$149,"Tue"),$D36*SUMIFS('Session Tracker'!$J$5:$J$149,'Session Tracker'!$D$5:$D$149,$A36,'Session Tracker'!$F$5:$F$149,"Next week",'Session Tracker'!$G$5:$G$149,"Tue"))</f>
        <v>0</v>
      </c>
      <c r="J36" s="52" t="n">
        <f aca="false">IF($E36="Per class",$D36*COUNTIFS('Session Tracker'!$D$5:$D$149,$A36,'Session Tracker'!$F$5:$F$149,"Next week",'Session Tracker'!$G$5:$G$149,"Wed"),$D36*SUMIFS('Session Tracker'!$J$5:$J$149,'Session Tracker'!$D$5:$D$149,$A36,'Session Tracker'!$F$5:$F$149,"Next week",'Session Tracker'!$G$5:$G$149,"Wed"))</f>
        <v>0</v>
      </c>
      <c r="K36" s="52" t="n">
        <f aca="false">IF($E36="Per class",$D36*COUNTIFS('Session Tracker'!$D$5:$D$149,$A36,'Session Tracker'!$F$5:$F$149,"Next week",'Session Tracker'!$G$5:$G$149,"Thu"),$D36*SUMIFS('Session Tracker'!$J$5:$J$149,'Session Tracker'!$D$5:$D$149,$A36,'Session Tracker'!$F$5:$F$149,"Next week",'Session Tracker'!$G$5:$G$149,"Thu"))</f>
        <v>0</v>
      </c>
      <c r="L36" s="52" t="n">
        <f aca="false">IF($E36="Per class",$D36*COUNTIFS('Session Tracker'!$D$5:$D$149,$A36,'Session Tracker'!$F$5:$F$149,"Next week",'Session Tracker'!$G$5:$G$149,"Fri"),$D36*SUMIFS('Session Tracker'!$J$5:$J$149,'Session Tracker'!$D$5:$D$149,$A36,'Session Tracker'!$F$5:$F$149,"Next week",'Session Tracker'!$G$5:$G$149,"Fri"))</f>
        <v>0</v>
      </c>
      <c r="M36" s="52" t="n">
        <f aca="false">IF($E36="Per class",$D36*COUNTIFS('Session Tracker'!$D$5:$D$149,$A36,'Session Tracker'!$F$5:$F$149,"Next week",'Session Tracker'!$G$5:$G$149,""),$D36*SUMIFS('Session Tracker'!$J$5:$J$149,'Session Tracker'!$D$5:$D$149,$A36,'Session Tracker'!$F$5:$F$149,"Next week",'Session Tracker'!$G$5:$G$149,""))</f>
        <v>0</v>
      </c>
    </row>
    <row r="37" customFormat="false" ht="15" hidden="false" customHeight="false" outlineLevel="0" collapsed="false">
      <c r="A37" s="68" t="s">
        <v>223</v>
      </c>
      <c r="B37" s="34" t="s">
        <v>379</v>
      </c>
      <c r="C37" s="34" t="s">
        <v>395</v>
      </c>
      <c r="D37" s="32" t="n">
        <v>4</v>
      </c>
      <c r="E37" s="32" t="s">
        <v>14</v>
      </c>
      <c r="F37" s="32" t="s">
        <v>368</v>
      </c>
      <c r="G37" s="34" t="s">
        <v>396</v>
      </c>
      <c r="H37" s="52" t="n">
        <f aca="false">IF($E37="Per class",$D37*COUNTIFS('Session Tracker'!$D$5:$D$149,$A37,'Session Tracker'!$F$5:$F$149,"Next week",'Session Tracker'!$G$5:$G$149,"Mon"),$D37*SUMIFS('Session Tracker'!$J$5:$J$149,'Session Tracker'!$D$5:$D$149,$A37,'Session Tracker'!$F$5:$F$149,"Next week",'Session Tracker'!$G$5:$G$149,"Mon"))</f>
        <v>0</v>
      </c>
      <c r="I37" s="52" t="n">
        <f aca="false">IF($E37="Per class",$D37*COUNTIFS('Session Tracker'!$D$5:$D$149,$A37,'Session Tracker'!$F$5:$F$149,"Next week",'Session Tracker'!$G$5:$G$149,"Tue"),$D37*SUMIFS('Session Tracker'!$J$5:$J$149,'Session Tracker'!$D$5:$D$149,$A37,'Session Tracker'!$F$5:$F$149,"Next week",'Session Tracker'!$G$5:$G$149,"Tue"))</f>
        <v>0</v>
      </c>
      <c r="J37" s="52" t="n">
        <f aca="false">IF($E37="Per class",$D37*COUNTIFS('Session Tracker'!$D$5:$D$149,$A37,'Session Tracker'!$F$5:$F$149,"Next week",'Session Tracker'!$G$5:$G$149,"Wed"),$D37*SUMIFS('Session Tracker'!$J$5:$J$149,'Session Tracker'!$D$5:$D$149,$A37,'Session Tracker'!$F$5:$F$149,"Next week",'Session Tracker'!$G$5:$G$149,"Wed"))</f>
        <v>0</v>
      </c>
      <c r="K37" s="52" t="n">
        <f aca="false">IF($E37="Per class",$D37*COUNTIFS('Session Tracker'!$D$5:$D$149,$A37,'Session Tracker'!$F$5:$F$149,"Next week",'Session Tracker'!$G$5:$G$149,"Thu"),$D37*SUMIFS('Session Tracker'!$J$5:$J$149,'Session Tracker'!$D$5:$D$149,$A37,'Session Tracker'!$F$5:$F$149,"Next week",'Session Tracker'!$G$5:$G$149,"Thu"))</f>
        <v>0</v>
      </c>
      <c r="L37" s="52" t="n">
        <f aca="false">IF($E37="Per class",$D37*COUNTIFS('Session Tracker'!$D$5:$D$149,$A37,'Session Tracker'!$F$5:$F$149,"Next week",'Session Tracker'!$G$5:$G$149,"Fri"),$D37*SUMIFS('Session Tracker'!$J$5:$J$149,'Session Tracker'!$D$5:$D$149,$A37,'Session Tracker'!$F$5:$F$149,"Next week",'Session Tracker'!$G$5:$G$149,"Fri"))</f>
        <v>0</v>
      </c>
      <c r="M37" s="52" t="n">
        <f aca="false">IF($E37="Per class",$D37*COUNTIFS('Session Tracker'!$D$5:$D$149,$A37,'Session Tracker'!$F$5:$F$149,"Next week",'Session Tracker'!$G$5:$G$149,""),$D37*SUMIFS('Session Tracker'!$J$5:$J$149,'Session Tracker'!$D$5:$D$149,$A37,'Session Tracker'!$F$5:$F$149,"Next week",'Session Tracker'!$G$5:$G$149,""))</f>
        <v>0</v>
      </c>
    </row>
    <row r="38" customFormat="false" ht="15" hidden="false" customHeight="false" outlineLevel="0" collapsed="false">
      <c r="A38" s="68" t="s">
        <v>223</v>
      </c>
      <c r="B38" s="34" t="s">
        <v>382</v>
      </c>
      <c r="C38" s="34" t="s">
        <v>383</v>
      </c>
      <c r="D38" s="32" t="n">
        <v>1</v>
      </c>
      <c r="E38" s="32" t="s">
        <v>14</v>
      </c>
      <c r="F38" s="32" t="s">
        <v>368</v>
      </c>
      <c r="G38" s="34"/>
      <c r="H38" s="52" t="n">
        <f aca="false">IF($E38="Per class",$D38*COUNTIFS('Session Tracker'!$D$5:$D$149,$A38,'Session Tracker'!$F$5:$F$149,"Next week",'Session Tracker'!$G$5:$G$149,"Mon"),$D38*SUMIFS('Session Tracker'!$J$5:$J$149,'Session Tracker'!$D$5:$D$149,$A38,'Session Tracker'!$F$5:$F$149,"Next week",'Session Tracker'!$G$5:$G$149,"Mon"))</f>
        <v>0</v>
      </c>
      <c r="I38" s="52" t="n">
        <f aca="false">IF($E38="Per class",$D38*COUNTIFS('Session Tracker'!$D$5:$D$149,$A38,'Session Tracker'!$F$5:$F$149,"Next week",'Session Tracker'!$G$5:$G$149,"Tue"),$D38*SUMIFS('Session Tracker'!$J$5:$J$149,'Session Tracker'!$D$5:$D$149,$A38,'Session Tracker'!$F$5:$F$149,"Next week",'Session Tracker'!$G$5:$G$149,"Tue"))</f>
        <v>0</v>
      </c>
      <c r="J38" s="52" t="n">
        <f aca="false">IF($E38="Per class",$D38*COUNTIFS('Session Tracker'!$D$5:$D$149,$A38,'Session Tracker'!$F$5:$F$149,"Next week",'Session Tracker'!$G$5:$G$149,"Wed"),$D38*SUMIFS('Session Tracker'!$J$5:$J$149,'Session Tracker'!$D$5:$D$149,$A38,'Session Tracker'!$F$5:$F$149,"Next week",'Session Tracker'!$G$5:$G$149,"Wed"))</f>
        <v>0</v>
      </c>
      <c r="K38" s="52" t="n">
        <f aca="false">IF($E38="Per class",$D38*COUNTIFS('Session Tracker'!$D$5:$D$149,$A38,'Session Tracker'!$F$5:$F$149,"Next week",'Session Tracker'!$G$5:$G$149,"Thu"),$D38*SUMIFS('Session Tracker'!$J$5:$J$149,'Session Tracker'!$D$5:$D$149,$A38,'Session Tracker'!$F$5:$F$149,"Next week",'Session Tracker'!$G$5:$G$149,"Thu"))</f>
        <v>0</v>
      </c>
      <c r="L38" s="52" t="n">
        <f aca="false">IF($E38="Per class",$D38*COUNTIFS('Session Tracker'!$D$5:$D$149,$A38,'Session Tracker'!$F$5:$F$149,"Next week",'Session Tracker'!$G$5:$G$149,"Fri"),$D38*SUMIFS('Session Tracker'!$J$5:$J$149,'Session Tracker'!$D$5:$D$149,$A38,'Session Tracker'!$F$5:$F$149,"Next week",'Session Tracker'!$G$5:$G$149,"Fri"))</f>
        <v>0</v>
      </c>
      <c r="M38" s="52" t="n">
        <f aca="false">IF($E38="Per class",$D38*COUNTIFS('Session Tracker'!$D$5:$D$149,$A38,'Session Tracker'!$F$5:$F$149,"Next week",'Session Tracker'!$G$5:$G$149,""),$D38*SUMIFS('Session Tracker'!$J$5:$J$149,'Session Tracker'!$D$5:$D$149,$A38,'Session Tracker'!$F$5:$F$149,"Next week",'Session Tracker'!$G$5:$G$149,""))</f>
        <v>0</v>
      </c>
    </row>
    <row r="39" customFormat="false" ht="15" hidden="false" customHeight="false" outlineLevel="0" collapsed="false">
      <c r="A39" s="68" t="s">
        <v>223</v>
      </c>
      <c r="B39" s="34" t="s">
        <v>382</v>
      </c>
      <c r="C39" s="34" t="s">
        <v>397</v>
      </c>
      <c r="D39" s="32" t="n">
        <v>1</v>
      </c>
      <c r="E39" s="32" t="s">
        <v>16</v>
      </c>
      <c r="F39" s="32" t="s">
        <v>368</v>
      </c>
      <c r="G39" s="34" t="s">
        <v>398</v>
      </c>
      <c r="H39" s="52" t="n">
        <f aca="false">IF($E39="Per class",$D39*COUNTIFS('Session Tracker'!$D$5:$D$149,$A39,'Session Tracker'!$F$5:$F$149,"Next week",'Session Tracker'!$G$5:$G$149,"Mon"),$D39*SUMIFS('Session Tracker'!$J$5:$J$149,'Session Tracker'!$D$5:$D$149,$A39,'Session Tracker'!$F$5:$F$149,"Next week",'Session Tracker'!$G$5:$G$149,"Mon"))</f>
        <v>0</v>
      </c>
      <c r="I39" s="52" t="n">
        <f aca="false">IF($E39="Per class",$D39*COUNTIFS('Session Tracker'!$D$5:$D$149,$A39,'Session Tracker'!$F$5:$F$149,"Next week",'Session Tracker'!$G$5:$G$149,"Tue"),$D39*SUMIFS('Session Tracker'!$J$5:$J$149,'Session Tracker'!$D$5:$D$149,$A39,'Session Tracker'!$F$5:$F$149,"Next week",'Session Tracker'!$G$5:$G$149,"Tue"))</f>
        <v>0</v>
      </c>
      <c r="J39" s="52" t="n">
        <f aca="false">IF($E39="Per class",$D39*COUNTIFS('Session Tracker'!$D$5:$D$149,$A39,'Session Tracker'!$F$5:$F$149,"Next week",'Session Tracker'!$G$5:$G$149,"Wed"),$D39*SUMIFS('Session Tracker'!$J$5:$J$149,'Session Tracker'!$D$5:$D$149,$A39,'Session Tracker'!$F$5:$F$149,"Next week",'Session Tracker'!$G$5:$G$149,"Wed"))</f>
        <v>0</v>
      </c>
      <c r="K39" s="52" t="n">
        <f aca="false">IF($E39="Per class",$D39*COUNTIFS('Session Tracker'!$D$5:$D$149,$A39,'Session Tracker'!$F$5:$F$149,"Next week",'Session Tracker'!$G$5:$G$149,"Thu"),$D39*SUMIFS('Session Tracker'!$J$5:$J$149,'Session Tracker'!$D$5:$D$149,$A39,'Session Tracker'!$F$5:$F$149,"Next week",'Session Tracker'!$G$5:$G$149,"Thu"))</f>
        <v>0</v>
      </c>
      <c r="L39" s="52" t="n">
        <f aca="false">IF($E39="Per class",$D39*COUNTIFS('Session Tracker'!$D$5:$D$149,$A39,'Session Tracker'!$F$5:$F$149,"Next week",'Session Tracker'!$G$5:$G$149,"Fri"),$D39*SUMIFS('Session Tracker'!$J$5:$J$149,'Session Tracker'!$D$5:$D$149,$A39,'Session Tracker'!$F$5:$F$149,"Next week",'Session Tracker'!$G$5:$G$149,"Fri"))</f>
        <v>0</v>
      </c>
      <c r="M39" s="52" t="n">
        <f aca="false">IF($E39="Per class",$D39*COUNTIFS('Session Tracker'!$D$5:$D$149,$A39,'Session Tracker'!$F$5:$F$149,"Next week",'Session Tracker'!$G$5:$G$149,""),$D39*SUMIFS('Session Tracker'!$J$5:$J$149,'Session Tracker'!$D$5:$D$149,$A39,'Session Tracker'!$F$5:$F$149,"Next week",'Session Tracker'!$G$5:$G$149,""))</f>
        <v>0</v>
      </c>
    </row>
    <row r="40" customFormat="false" ht="15" hidden="false" customHeight="false" outlineLevel="0" collapsed="false">
      <c r="A40" s="53" t="s">
        <v>223</v>
      </c>
      <c r="B40" s="54"/>
      <c r="C40" s="54"/>
      <c r="D40" s="54"/>
      <c r="E40" s="54"/>
      <c r="F40" s="54"/>
      <c r="G40" s="54"/>
      <c r="H40" s="52" t="n">
        <f aca="false">IF($E40="Per class",$D40*COUNTIFS('Session Tracker'!$D$5:$D$149,$A40,'Session Tracker'!$F$5:$F$149,"Next week",'Session Tracker'!$G$5:$G$149,"Mon"),$D40*SUMIFS('Session Tracker'!$J$5:$J$149,'Session Tracker'!$D$5:$D$149,$A40,'Session Tracker'!$F$5:$F$149,"Next week",'Session Tracker'!$G$5:$G$149,"Mon"))</f>
        <v>0</v>
      </c>
      <c r="I40" s="52" t="n">
        <f aca="false">IF($E40="Per class",$D40*COUNTIFS('Session Tracker'!$D$5:$D$149,$A40,'Session Tracker'!$F$5:$F$149,"Next week",'Session Tracker'!$G$5:$G$149,"Tue"),$D40*SUMIFS('Session Tracker'!$J$5:$J$149,'Session Tracker'!$D$5:$D$149,$A40,'Session Tracker'!$F$5:$F$149,"Next week",'Session Tracker'!$G$5:$G$149,"Tue"))</f>
        <v>0</v>
      </c>
      <c r="J40" s="52" t="n">
        <f aca="false">IF($E40="Per class",$D40*COUNTIFS('Session Tracker'!$D$5:$D$149,$A40,'Session Tracker'!$F$5:$F$149,"Next week",'Session Tracker'!$G$5:$G$149,"Wed"),$D40*SUMIFS('Session Tracker'!$J$5:$J$149,'Session Tracker'!$D$5:$D$149,$A40,'Session Tracker'!$F$5:$F$149,"Next week",'Session Tracker'!$G$5:$G$149,"Wed"))</f>
        <v>0</v>
      </c>
      <c r="K40" s="52" t="n">
        <f aca="false">IF($E40="Per class",$D40*COUNTIFS('Session Tracker'!$D$5:$D$149,$A40,'Session Tracker'!$F$5:$F$149,"Next week",'Session Tracker'!$G$5:$G$149,"Thu"),$D40*SUMIFS('Session Tracker'!$J$5:$J$149,'Session Tracker'!$D$5:$D$149,$A40,'Session Tracker'!$F$5:$F$149,"Next week",'Session Tracker'!$G$5:$G$149,"Thu"))</f>
        <v>0</v>
      </c>
      <c r="L40" s="52" t="n">
        <f aca="false">IF($E40="Per class",$D40*COUNTIFS('Session Tracker'!$D$5:$D$149,$A40,'Session Tracker'!$F$5:$F$149,"Next week",'Session Tracker'!$G$5:$G$149,"Fri"),$D40*SUMIFS('Session Tracker'!$J$5:$J$149,'Session Tracker'!$D$5:$D$149,$A40,'Session Tracker'!$F$5:$F$149,"Next week",'Session Tracker'!$G$5:$G$149,"Fri"))</f>
        <v>0</v>
      </c>
      <c r="M40" s="52" t="n">
        <f aca="false">IF($E40="Per class",$D40*COUNTIFS('Session Tracker'!$D$5:$D$149,$A40,'Session Tracker'!$F$5:$F$149,"Next week",'Session Tracker'!$G$5:$G$149,""),$D40*SUMIFS('Session Tracker'!$J$5:$J$149,'Session Tracker'!$D$5:$D$149,$A40,'Session Tracker'!$F$5:$F$149,"Next week",'Session Tracker'!$G$5:$G$149,""))</f>
        <v>0</v>
      </c>
    </row>
    <row r="41" customFormat="false" ht="15" hidden="false" customHeight="false" outlineLevel="0" collapsed="false">
      <c r="A41" s="53" t="s">
        <v>223</v>
      </c>
      <c r="B41" s="54"/>
      <c r="C41" s="54"/>
      <c r="D41" s="54"/>
      <c r="E41" s="54"/>
      <c r="F41" s="54"/>
      <c r="G41" s="54"/>
      <c r="H41" s="52" t="n">
        <f aca="false">IF($E41="Per class",$D41*COUNTIFS('Session Tracker'!$D$5:$D$149,$A41,'Session Tracker'!$F$5:$F$149,"Next week",'Session Tracker'!$G$5:$G$149,"Mon"),$D41*SUMIFS('Session Tracker'!$J$5:$J$149,'Session Tracker'!$D$5:$D$149,$A41,'Session Tracker'!$F$5:$F$149,"Next week",'Session Tracker'!$G$5:$G$149,"Mon"))</f>
        <v>0</v>
      </c>
      <c r="I41" s="52" t="n">
        <f aca="false">IF($E41="Per class",$D41*COUNTIFS('Session Tracker'!$D$5:$D$149,$A41,'Session Tracker'!$F$5:$F$149,"Next week",'Session Tracker'!$G$5:$G$149,"Tue"),$D41*SUMIFS('Session Tracker'!$J$5:$J$149,'Session Tracker'!$D$5:$D$149,$A41,'Session Tracker'!$F$5:$F$149,"Next week",'Session Tracker'!$G$5:$G$149,"Tue"))</f>
        <v>0</v>
      </c>
      <c r="J41" s="52" t="n">
        <f aca="false">IF($E41="Per class",$D41*COUNTIFS('Session Tracker'!$D$5:$D$149,$A41,'Session Tracker'!$F$5:$F$149,"Next week",'Session Tracker'!$G$5:$G$149,"Wed"),$D41*SUMIFS('Session Tracker'!$J$5:$J$149,'Session Tracker'!$D$5:$D$149,$A41,'Session Tracker'!$F$5:$F$149,"Next week",'Session Tracker'!$G$5:$G$149,"Wed"))</f>
        <v>0</v>
      </c>
      <c r="K41" s="52" t="n">
        <f aca="false">IF($E41="Per class",$D41*COUNTIFS('Session Tracker'!$D$5:$D$149,$A41,'Session Tracker'!$F$5:$F$149,"Next week",'Session Tracker'!$G$5:$G$149,"Thu"),$D41*SUMIFS('Session Tracker'!$J$5:$J$149,'Session Tracker'!$D$5:$D$149,$A41,'Session Tracker'!$F$5:$F$149,"Next week",'Session Tracker'!$G$5:$G$149,"Thu"))</f>
        <v>0</v>
      </c>
      <c r="L41" s="52" t="n">
        <f aca="false">IF($E41="Per class",$D41*COUNTIFS('Session Tracker'!$D$5:$D$149,$A41,'Session Tracker'!$F$5:$F$149,"Next week",'Session Tracker'!$G$5:$G$149,"Fri"),$D41*SUMIFS('Session Tracker'!$J$5:$J$149,'Session Tracker'!$D$5:$D$149,$A41,'Session Tracker'!$F$5:$F$149,"Next week",'Session Tracker'!$G$5:$G$149,"Fri"))</f>
        <v>0</v>
      </c>
      <c r="M41" s="52" t="n">
        <f aca="false">IF($E41="Per class",$D41*COUNTIFS('Session Tracker'!$D$5:$D$149,$A41,'Session Tracker'!$F$5:$F$149,"Next week",'Session Tracker'!$G$5:$G$149,""),$D41*SUMIFS('Session Tracker'!$J$5:$J$149,'Session Tracker'!$D$5:$D$149,$A41,'Session Tracker'!$F$5:$F$149,"Next week",'Session Tracker'!$G$5:$G$149,""))</f>
        <v>0</v>
      </c>
    </row>
    <row r="43" customFormat="false" ht="19.5" hidden="false" customHeight="true" outlineLevel="0" collapsed="false">
      <c r="A43" s="64" t="s">
        <v>224</v>
      </c>
      <c r="B43" s="65" t="s">
        <v>399</v>
      </c>
      <c r="C43" s="65"/>
      <c r="D43" s="65"/>
      <c r="E43" s="65"/>
      <c r="F43" s="66" t="str">
        <f aca="false">"Status: "&amp;'Session Tracker'!F81&amp;IF('Session Tracker'!G81&lt;&gt;""," ("&amp;'Session Tracker'!G81&amp;")","")</f>
        <v>Status: Not started</v>
      </c>
      <c r="G43" s="66"/>
      <c r="H43" s="67"/>
      <c r="I43" s="67"/>
      <c r="J43" s="67"/>
      <c r="K43" s="67"/>
      <c r="L43" s="67"/>
      <c r="M43" s="67"/>
    </row>
    <row r="44" customFormat="false" ht="15" hidden="false" customHeight="false" outlineLevel="0" collapsed="false">
      <c r="A44" s="68" t="s">
        <v>224</v>
      </c>
      <c r="B44" s="34" t="s">
        <v>382</v>
      </c>
      <c r="C44" s="34" t="s">
        <v>383</v>
      </c>
      <c r="D44" s="32" t="n">
        <v>1</v>
      </c>
      <c r="E44" s="32" t="s">
        <v>14</v>
      </c>
      <c r="F44" s="32" t="s">
        <v>368</v>
      </c>
      <c r="G44" s="34" t="s">
        <v>400</v>
      </c>
      <c r="H44" s="52" t="n">
        <f aca="false">IF($E44="Per class",$D44*COUNTIFS('Session Tracker'!$D$5:$D$149,$A44,'Session Tracker'!$F$5:$F$149,"Next week",'Session Tracker'!$G$5:$G$149,"Mon"),$D44*SUMIFS('Session Tracker'!$J$5:$J$149,'Session Tracker'!$D$5:$D$149,$A44,'Session Tracker'!$F$5:$F$149,"Next week",'Session Tracker'!$G$5:$G$149,"Mon"))</f>
        <v>0</v>
      </c>
      <c r="I44" s="52" t="n">
        <f aca="false">IF($E44="Per class",$D44*COUNTIFS('Session Tracker'!$D$5:$D$149,$A44,'Session Tracker'!$F$5:$F$149,"Next week",'Session Tracker'!$G$5:$G$149,"Tue"),$D44*SUMIFS('Session Tracker'!$J$5:$J$149,'Session Tracker'!$D$5:$D$149,$A44,'Session Tracker'!$F$5:$F$149,"Next week",'Session Tracker'!$G$5:$G$149,"Tue"))</f>
        <v>0</v>
      </c>
      <c r="J44" s="52" t="n">
        <f aca="false">IF($E44="Per class",$D44*COUNTIFS('Session Tracker'!$D$5:$D$149,$A44,'Session Tracker'!$F$5:$F$149,"Next week",'Session Tracker'!$G$5:$G$149,"Wed"),$D44*SUMIFS('Session Tracker'!$J$5:$J$149,'Session Tracker'!$D$5:$D$149,$A44,'Session Tracker'!$F$5:$F$149,"Next week",'Session Tracker'!$G$5:$G$149,"Wed"))</f>
        <v>0</v>
      </c>
      <c r="K44" s="52" t="n">
        <f aca="false">IF($E44="Per class",$D44*COUNTIFS('Session Tracker'!$D$5:$D$149,$A44,'Session Tracker'!$F$5:$F$149,"Next week",'Session Tracker'!$G$5:$G$149,"Thu"),$D44*SUMIFS('Session Tracker'!$J$5:$J$149,'Session Tracker'!$D$5:$D$149,$A44,'Session Tracker'!$F$5:$F$149,"Next week",'Session Tracker'!$G$5:$G$149,"Thu"))</f>
        <v>0</v>
      </c>
      <c r="L44" s="52" t="n">
        <f aca="false">IF($E44="Per class",$D44*COUNTIFS('Session Tracker'!$D$5:$D$149,$A44,'Session Tracker'!$F$5:$F$149,"Next week",'Session Tracker'!$G$5:$G$149,"Fri"),$D44*SUMIFS('Session Tracker'!$J$5:$J$149,'Session Tracker'!$D$5:$D$149,$A44,'Session Tracker'!$F$5:$F$149,"Next week",'Session Tracker'!$G$5:$G$149,"Fri"))</f>
        <v>0</v>
      </c>
      <c r="M44" s="52" t="n">
        <f aca="false">IF($E44="Per class",$D44*COUNTIFS('Session Tracker'!$D$5:$D$149,$A44,'Session Tracker'!$F$5:$F$149,"Next week",'Session Tracker'!$G$5:$G$149,""),$D44*SUMIFS('Session Tracker'!$J$5:$J$149,'Session Tracker'!$D$5:$D$149,$A44,'Session Tracker'!$F$5:$F$149,"Next week",'Session Tracker'!$G$5:$G$149,""))</f>
        <v>0</v>
      </c>
    </row>
    <row r="45" customFormat="false" ht="15" hidden="false" customHeight="false" outlineLevel="0" collapsed="false">
      <c r="A45" s="68" t="s">
        <v>224</v>
      </c>
      <c r="B45" s="34" t="s">
        <v>382</v>
      </c>
      <c r="C45" s="34" t="s">
        <v>401</v>
      </c>
      <c r="D45" s="32" t="n">
        <v>1</v>
      </c>
      <c r="E45" s="32" t="s">
        <v>16</v>
      </c>
      <c r="F45" s="32" t="s">
        <v>368</v>
      </c>
      <c r="G45" s="34"/>
      <c r="H45" s="52" t="n">
        <f aca="false">IF($E45="Per class",$D45*COUNTIFS('Session Tracker'!$D$5:$D$149,$A45,'Session Tracker'!$F$5:$F$149,"Next week",'Session Tracker'!$G$5:$G$149,"Mon"),$D45*SUMIFS('Session Tracker'!$J$5:$J$149,'Session Tracker'!$D$5:$D$149,$A45,'Session Tracker'!$F$5:$F$149,"Next week",'Session Tracker'!$G$5:$G$149,"Mon"))</f>
        <v>0</v>
      </c>
      <c r="I45" s="52" t="n">
        <f aca="false">IF($E45="Per class",$D45*COUNTIFS('Session Tracker'!$D$5:$D$149,$A45,'Session Tracker'!$F$5:$F$149,"Next week",'Session Tracker'!$G$5:$G$149,"Tue"),$D45*SUMIFS('Session Tracker'!$J$5:$J$149,'Session Tracker'!$D$5:$D$149,$A45,'Session Tracker'!$F$5:$F$149,"Next week",'Session Tracker'!$G$5:$G$149,"Tue"))</f>
        <v>0</v>
      </c>
      <c r="J45" s="52" t="n">
        <f aca="false">IF($E45="Per class",$D45*COUNTIFS('Session Tracker'!$D$5:$D$149,$A45,'Session Tracker'!$F$5:$F$149,"Next week",'Session Tracker'!$G$5:$G$149,"Wed"),$D45*SUMIFS('Session Tracker'!$J$5:$J$149,'Session Tracker'!$D$5:$D$149,$A45,'Session Tracker'!$F$5:$F$149,"Next week",'Session Tracker'!$G$5:$G$149,"Wed"))</f>
        <v>0</v>
      </c>
      <c r="K45" s="52" t="n">
        <f aca="false">IF($E45="Per class",$D45*COUNTIFS('Session Tracker'!$D$5:$D$149,$A45,'Session Tracker'!$F$5:$F$149,"Next week",'Session Tracker'!$G$5:$G$149,"Thu"),$D45*SUMIFS('Session Tracker'!$J$5:$J$149,'Session Tracker'!$D$5:$D$149,$A45,'Session Tracker'!$F$5:$F$149,"Next week",'Session Tracker'!$G$5:$G$149,"Thu"))</f>
        <v>0</v>
      </c>
      <c r="L45" s="52" t="n">
        <f aca="false">IF($E45="Per class",$D45*COUNTIFS('Session Tracker'!$D$5:$D$149,$A45,'Session Tracker'!$F$5:$F$149,"Next week",'Session Tracker'!$G$5:$G$149,"Fri"),$D45*SUMIFS('Session Tracker'!$J$5:$J$149,'Session Tracker'!$D$5:$D$149,$A45,'Session Tracker'!$F$5:$F$149,"Next week",'Session Tracker'!$G$5:$G$149,"Fri"))</f>
        <v>0</v>
      </c>
      <c r="M45" s="52" t="n">
        <f aca="false">IF($E45="Per class",$D45*COUNTIFS('Session Tracker'!$D$5:$D$149,$A45,'Session Tracker'!$F$5:$F$149,"Next week",'Session Tracker'!$G$5:$G$149,""),$D45*SUMIFS('Session Tracker'!$J$5:$J$149,'Session Tracker'!$D$5:$D$149,$A45,'Session Tracker'!$F$5:$F$149,"Next week",'Session Tracker'!$G$5:$G$149,""))</f>
        <v>0</v>
      </c>
    </row>
    <row r="46" customFormat="false" ht="15" hidden="false" customHeight="false" outlineLevel="0" collapsed="false">
      <c r="A46" s="68" t="s">
        <v>224</v>
      </c>
      <c r="B46" s="34" t="s">
        <v>382</v>
      </c>
      <c r="C46" s="34" t="s">
        <v>402</v>
      </c>
      <c r="D46" s="32" t="n">
        <v>1</v>
      </c>
      <c r="E46" s="32" t="s">
        <v>16</v>
      </c>
      <c r="F46" s="32" t="s">
        <v>373</v>
      </c>
      <c r="G46" s="34" t="s">
        <v>403</v>
      </c>
      <c r="H46" s="52" t="n">
        <f aca="false">IF($E46="Per class",$D46*COUNTIFS('Session Tracker'!$D$5:$D$149,$A46,'Session Tracker'!$F$5:$F$149,"Next week",'Session Tracker'!$G$5:$G$149,"Mon"),$D46*SUMIFS('Session Tracker'!$J$5:$J$149,'Session Tracker'!$D$5:$D$149,$A46,'Session Tracker'!$F$5:$F$149,"Next week",'Session Tracker'!$G$5:$G$149,"Mon"))</f>
        <v>0</v>
      </c>
      <c r="I46" s="52" t="n">
        <f aca="false">IF($E46="Per class",$D46*COUNTIFS('Session Tracker'!$D$5:$D$149,$A46,'Session Tracker'!$F$5:$F$149,"Next week",'Session Tracker'!$G$5:$G$149,"Tue"),$D46*SUMIFS('Session Tracker'!$J$5:$J$149,'Session Tracker'!$D$5:$D$149,$A46,'Session Tracker'!$F$5:$F$149,"Next week",'Session Tracker'!$G$5:$G$149,"Tue"))</f>
        <v>0</v>
      </c>
      <c r="J46" s="52" t="n">
        <f aca="false">IF($E46="Per class",$D46*COUNTIFS('Session Tracker'!$D$5:$D$149,$A46,'Session Tracker'!$F$5:$F$149,"Next week",'Session Tracker'!$G$5:$G$149,"Wed"),$D46*SUMIFS('Session Tracker'!$J$5:$J$149,'Session Tracker'!$D$5:$D$149,$A46,'Session Tracker'!$F$5:$F$149,"Next week",'Session Tracker'!$G$5:$G$149,"Wed"))</f>
        <v>0</v>
      </c>
      <c r="K46" s="52" t="n">
        <f aca="false">IF($E46="Per class",$D46*COUNTIFS('Session Tracker'!$D$5:$D$149,$A46,'Session Tracker'!$F$5:$F$149,"Next week",'Session Tracker'!$G$5:$G$149,"Thu"),$D46*SUMIFS('Session Tracker'!$J$5:$J$149,'Session Tracker'!$D$5:$D$149,$A46,'Session Tracker'!$F$5:$F$149,"Next week",'Session Tracker'!$G$5:$G$149,"Thu"))</f>
        <v>0</v>
      </c>
      <c r="L46" s="52" t="n">
        <f aca="false">IF($E46="Per class",$D46*COUNTIFS('Session Tracker'!$D$5:$D$149,$A46,'Session Tracker'!$F$5:$F$149,"Next week",'Session Tracker'!$G$5:$G$149,"Fri"),$D46*SUMIFS('Session Tracker'!$J$5:$J$149,'Session Tracker'!$D$5:$D$149,$A46,'Session Tracker'!$F$5:$F$149,"Next week",'Session Tracker'!$G$5:$G$149,"Fri"))</f>
        <v>0</v>
      </c>
      <c r="M46" s="52" t="n">
        <f aca="false">IF($E46="Per class",$D46*COUNTIFS('Session Tracker'!$D$5:$D$149,$A46,'Session Tracker'!$F$5:$F$149,"Next week",'Session Tracker'!$G$5:$G$149,""),$D46*SUMIFS('Session Tracker'!$J$5:$J$149,'Session Tracker'!$D$5:$D$149,$A46,'Session Tracker'!$F$5:$F$149,"Next week",'Session Tracker'!$G$5:$G$149,""))</f>
        <v>0</v>
      </c>
    </row>
    <row r="47" customFormat="false" ht="15" hidden="false" customHeight="false" outlineLevel="0" collapsed="false">
      <c r="A47" s="68" t="s">
        <v>224</v>
      </c>
      <c r="B47" s="34" t="s">
        <v>382</v>
      </c>
      <c r="C47" s="34" t="s">
        <v>404</v>
      </c>
      <c r="D47" s="32" t="n">
        <v>1</v>
      </c>
      <c r="E47" s="32" t="s">
        <v>16</v>
      </c>
      <c r="F47" s="32" t="s">
        <v>368</v>
      </c>
      <c r="G47" s="34" t="s">
        <v>405</v>
      </c>
      <c r="H47" s="52" t="n">
        <f aca="false">IF($E47="Per class",$D47*COUNTIFS('Session Tracker'!$D$5:$D$149,$A47,'Session Tracker'!$F$5:$F$149,"Next week",'Session Tracker'!$G$5:$G$149,"Mon"),$D47*SUMIFS('Session Tracker'!$J$5:$J$149,'Session Tracker'!$D$5:$D$149,$A47,'Session Tracker'!$F$5:$F$149,"Next week",'Session Tracker'!$G$5:$G$149,"Mon"))</f>
        <v>0</v>
      </c>
      <c r="I47" s="52" t="n">
        <f aca="false">IF($E47="Per class",$D47*COUNTIFS('Session Tracker'!$D$5:$D$149,$A47,'Session Tracker'!$F$5:$F$149,"Next week",'Session Tracker'!$G$5:$G$149,"Tue"),$D47*SUMIFS('Session Tracker'!$J$5:$J$149,'Session Tracker'!$D$5:$D$149,$A47,'Session Tracker'!$F$5:$F$149,"Next week",'Session Tracker'!$G$5:$G$149,"Tue"))</f>
        <v>0</v>
      </c>
      <c r="J47" s="52" t="n">
        <f aca="false">IF($E47="Per class",$D47*COUNTIFS('Session Tracker'!$D$5:$D$149,$A47,'Session Tracker'!$F$5:$F$149,"Next week",'Session Tracker'!$G$5:$G$149,"Wed"),$D47*SUMIFS('Session Tracker'!$J$5:$J$149,'Session Tracker'!$D$5:$D$149,$A47,'Session Tracker'!$F$5:$F$149,"Next week",'Session Tracker'!$G$5:$G$149,"Wed"))</f>
        <v>0</v>
      </c>
      <c r="K47" s="52" t="n">
        <f aca="false">IF($E47="Per class",$D47*COUNTIFS('Session Tracker'!$D$5:$D$149,$A47,'Session Tracker'!$F$5:$F$149,"Next week",'Session Tracker'!$G$5:$G$149,"Thu"),$D47*SUMIFS('Session Tracker'!$J$5:$J$149,'Session Tracker'!$D$5:$D$149,$A47,'Session Tracker'!$F$5:$F$149,"Next week",'Session Tracker'!$G$5:$G$149,"Thu"))</f>
        <v>0</v>
      </c>
      <c r="L47" s="52" t="n">
        <f aca="false">IF($E47="Per class",$D47*COUNTIFS('Session Tracker'!$D$5:$D$149,$A47,'Session Tracker'!$F$5:$F$149,"Next week",'Session Tracker'!$G$5:$G$149,"Fri"),$D47*SUMIFS('Session Tracker'!$J$5:$J$149,'Session Tracker'!$D$5:$D$149,$A47,'Session Tracker'!$F$5:$F$149,"Next week",'Session Tracker'!$G$5:$G$149,"Fri"))</f>
        <v>0</v>
      </c>
      <c r="M47" s="52" t="n">
        <f aca="false">IF($E47="Per class",$D47*COUNTIFS('Session Tracker'!$D$5:$D$149,$A47,'Session Tracker'!$F$5:$F$149,"Next week",'Session Tracker'!$G$5:$G$149,""),$D47*SUMIFS('Session Tracker'!$J$5:$J$149,'Session Tracker'!$D$5:$D$149,$A47,'Session Tracker'!$F$5:$F$149,"Next week",'Session Tracker'!$G$5:$G$149,""))</f>
        <v>0</v>
      </c>
    </row>
    <row r="48" customFormat="false" ht="15" hidden="false" customHeight="false" outlineLevel="0" collapsed="false">
      <c r="A48" s="53" t="s">
        <v>224</v>
      </c>
      <c r="B48" s="54"/>
      <c r="C48" s="54"/>
      <c r="D48" s="54"/>
      <c r="E48" s="54"/>
      <c r="F48" s="54"/>
      <c r="G48" s="54"/>
      <c r="H48" s="52" t="n">
        <f aca="false">IF($E48="Per class",$D48*COUNTIFS('Session Tracker'!$D$5:$D$149,$A48,'Session Tracker'!$F$5:$F$149,"Next week",'Session Tracker'!$G$5:$G$149,"Mon"),$D48*SUMIFS('Session Tracker'!$J$5:$J$149,'Session Tracker'!$D$5:$D$149,$A48,'Session Tracker'!$F$5:$F$149,"Next week",'Session Tracker'!$G$5:$G$149,"Mon"))</f>
        <v>0</v>
      </c>
      <c r="I48" s="52" t="n">
        <f aca="false">IF($E48="Per class",$D48*COUNTIFS('Session Tracker'!$D$5:$D$149,$A48,'Session Tracker'!$F$5:$F$149,"Next week",'Session Tracker'!$G$5:$G$149,"Tue"),$D48*SUMIFS('Session Tracker'!$J$5:$J$149,'Session Tracker'!$D$5:$D$149,$A48,'Session Tracker'!$F$5:$F$149,"Next week",'Session Tracker'!$G$5:$G$149,"Tue"))</f>
        <v>0</v>
      </c>
      <c r="J48" s="52" t="n">
        <f aca="false">IF($E48="Per class",$D48*COUNTIFS('Session Tracker'!$D$5:$D$149,$A48,'Session Tracker'!$F$5:$F$149,"Next week",'Session Tracker'!$G$5:$G$149,"Wed"),$D48*SUMIFS('Session Tracker'!$J$5:$J$149,'Session Tracker'!$D$5:$D$149,$A48,'Session Tracker'!$F$5:$F$149,"Next week",'Session Tracker'!$G$5:$G$149,"Wed"))</f>
        <v>0</v>
      </c>
      <c r="K48" s="52" t="n">
        <f aca="false">IF($E48="Per class",$D48*COUNTIFS('Session Tracker'!$D$5:$D$149,$A48,'Session Tracker'!$F$5:$F$149,"Next week",'Session Tracker'!$G$5:$G$149,"Thu"),$D48*SUMIFS('Session Tracker'!$J$5:$J$149,'Session Tracker'!$D$5:$D$149,$A48,'Session Tracker'!$F$5:$F$149,"Next week",'Session Tracker'!$G$5:$G$149,"Thu"))</f>
        <v>0</v>
      </c>
      <c r="L48" s="52" t="n">
        <f aca="false">IF($E48="Per class",$D48*COUNTIFS('Session Tracker'!$D$5:$D$149,$A48,'Session Tracker'!$F$5:$F$149,"Next week",'Session Tracker'!$G$5:$G$149,"Fri"),$D48*SUMIFS('Session Tracker'!$J$5:$J$149,'Session Tracker'!$D$5:$D$149,$A48,'Session Tracker'!$F$5:$F$149,"Next week",'Session Tracker'!$G$5:$G$149,"Fri"))</f>
        <v>0</v>
      </c>
      <c r="M48" s="52" t="n">
        <f aca="false">IF($E48="Per class",$D48*COUNTIFS('Session Tracker'!$D$5:$D$149,$A48,'Session Tracker'!$F$5:$F$149,"Next week",'Session Tracker'!$G$5:$G$149,""),$D48*SUMIFS('Session Tracker'!$J$5:$J$149,'Session Tracker'!$D$5:$D$149,$A48,'Session Tracker'!$F$5:$F$149,"Next week",'Session Tracker'!$G$5:$G$149,""))</f>
        <v>0</v>
      </c>
    </row>
    <row r="49" customFormat="false" ht="15" hidden="false" customHeight="false" outlineLevel="0" collapsed="false">
      <c r="A49" s="53" t="s">
        <v>224</v>
      </c>
      <c r="B49" s="54"/>
      <c r="C49" s="54"/>
      <c r="D49" s="54"/>
      <c r="E49" s="54"/>
      <c r="F49" s="54"/>
      <c r="G49" s="54"/>
      <c r="H49" s="52" t="n">
        <f aca="false">IF($E49="Per class",$D49*COUNTIFS('Session Tracker'!$D$5:$D$149,$A49,'Session Tracker'!$F$5:$F$149,"Next week",'Session Tracker'!$G$5:$G$149,"Mon"),$D49*SUMIFS('Session Tracker'!$J$5:$J$149,'Session Tracker'!$D$5:$D$149,$A49,'Session Tracker'!$F$5:$F$149,"Next week",'Session Tracker'!$G$5:$G$149,"Mon"))</f>
        <v>0</v>
      </c>
      <c r="I49" s="52" t="n">
        <f aca="false">IF($E49="Per class",$D49*COUNTIFS('Session Tracker'!$D$5:$D$149,$A49,'Session Tracker'!$F$5:$F$149,"Next week",'Session Tracker'!$G$5:$G$149,"Tue"),$D49*SUMIFS('Session Tracker'!$J$5:$J$149,'Session Tracker'!$D$5:$D$149,$A49,'Session Tracker'!$F$5:$F$149,"Next week",'Session Tracker'!$G$5:$G$149,"Tue"))</f>
        <v>0</v>
      </c>
      <c r="J49" s="52" t="n">
        <f aca="false">IF($E49="Per class",$D49*COUNTIFS('Session Tracker'!$D$5:$D$149,$A49,'Session Tracker'!$F$5:$F$149,"Next week",'Session Tracker'!$G$5:$G$149,"Wed"),$D49*SUMIFS('Session Tracker'!$J$5:$J$149,'Session Tracker'!$D$5:$D$149,$A49,'Session Tracker'!$F$5:$F$149,"Next week",'Session Tracker'!$G$5:$G$149,"Wed"))</f>
        <v>0</v>
      </c>
      <c r="K49" s="52" t="n">
        <f aca="false">IF($E49="Per class",$D49*COUNTIFS('Session Tracker'!$D$5:$D$149,$A49,'Session Tracker'!$F$5:$F$149,"Next week",'Session Tracker'!$G$5:$G$149,"Thu"),$D49*SUMIFS('Session Tracker'!$J$5:$J$149,'Session Tracker'!$D$5:$D$149,$A49,'Session Tracker'!$F$5:$F$149,"Next week",'Session Tracker'!$G$5:$G$149,"Thu"))</f>
        <v>0</v>
      </c>
      <c r="L49" s="52" t="n">
        <f aca="false">IF($E49="Per class",$D49*COUNTIFS('Session Tracker'!$D$5:$D$149,$A49,'Session Tracker'!$F$5:$F$149,"Next week",'Session Tracker'!$G$5:$G$149,"Fri"),$D49*SUMIFS('Session Tracker'!$J$5:$J$149,'Session Tracker'!$D$5:$D$149,$A49,'Session Tracker'!$F$5:$F$149,"Next week",'Session Tracker'!$G$5:$G$149,"Fri"))</f>
        <v>0</v>
      </c>
      <c r="M49" s="52" t="n">
        <f aca="false">IF($E49="Per class",$D49*COUNTIFS('Session Tracker'!$D$5:$D$149,$A49,'Session Tracker'!$F$5:$F$149,"Next week",'Session Tracker'!$G$5:$G$149,""),$D49*SUMIFS('Session Tracker'!$J$5:$J$149,'Session Tracker'!$D$5:$D$149,$A49,'Session Tracker'!$F$5:$F$149,"Next week",'Session Tracker'!$G$5:$G$149,""))</f>
        <v>0</v>
      </c>
    </row>
    <row r="51" customFormat="false" ht="19.5" hidden="false" customHeight="true" outlineLevel="0" collapsed="false">
      <c r="A51" s="64" t="s">
        <v>225</v>
      </c>
      <c r="B51" s="65" t="s">
        <v>590</v>
      </c>
      <c r="C51" s="65"/>
      <c r="D51" s="65"/>
      <c r="E51" s="65"/>
      <c r="F51" s="66" t="str">
        <f aca="false">"Status: "&amp;'Session Tracker'!F82&amp;IF('Session Tracker'!G82&lt;&gt;""," ("&amp;'Session Tracker'!G82&amp;")","")</f>
        <v>Status: Not started</v>
      </c>
      <c r="G51" s="66"/>
      <c r="H51" s="67"/>
      <c r="I51" s="67"/>
      <c r="J51" s="67"/>
      <c r="K51" s="67"/>
      <c r="L51" s="67"/>
      <c r="M51" s="67"/>
    </row>
    <row r="52" customFormat="false" ht="15" hidden="false" customHeight="false" outlineLevel="0" collapsed="false">
      <c r="A52" s="68" t="s">
        <v>225</v>
      </c>
      <c r="B52" s="34" t="s">
        <v>375</v>
      </c>
      <c r="C52" s="34" t="s">
        <v>591</v>
      </c>
      <c r="D52" s="32" t="n">
        <v>1</v>
      </c>
      <c r="E52" s="32" t="s">
        <v>14</v>
      </c>
      <c r="F52" s="32" t="s">
        <v>373</v>
      </c>
      <c r="G52" s="34"/>
      <c r="H52" s="52" t="n">
        <f aca="false">IF($E52="Per class",$D52*COUNTIFS('Session Tracker'!$D$5:$D$149,$A52,'Session Tracker'!$F$5:$F$149,"Next week",'Session Tracker'!$G$5:$G$149,"Mon"),$D52*SUMIFS('Session Tracker'!$J$5:$J$149,'Session Tracker'!$D$5:$D$149,$A52,'Session Tracker'!$F$5:$F$149,"Next week",'Session Tracker'!$G$5:$G$149,"Mon"))</f>
        <v>0</v>
      </c>
      <c r="I52" s="52" t="n">
        <f aca="false">IF($E52="Per class",$D52*COUNTIFS('Session Tracker'!$D$5:$D$149,$A52,'Session Tracker'!$F$5:$F$149,"Next week",'Session Tracker'!$G$5:$G$149,"Tue"),$D52*SUMIFS('Session Tracker'!$J$5:$J$149,'Session Tracker'!$D$5:$D$149,$A52,'Session Tracker'!$F$5:$F$149,"Next week",'Session Tracker'!$G$5:$G$149,"Tue"))</f>
        <v>0</v>
      </c>
      <c r="J52" s="52" t="n">
        <f aca="false">IF($E52="Per class",$D52*COUNTIFS('Session Tracker'!$D$5:$D$149,$A52,'Session Tracker'!$F$5:$F$149,"Next week",'Session Tracker'!$G$5:$G$149,"Wed"),$D52*SUMIFS('Session Tracker'!$J$5:$J$149,'Session Tracker'!$D$5:$D$149,$A52,'Session Tracker'!$F$5:$F$149,"Next week",'Session Tracker'!$G$5:$G$149,"Wed"))</f>
        <v>0</v>
      </c>
      <c r="K52" s="52" t="n">
        <f aca="false">IF($E52="Per class",$D52*COUNTIFS('Session Tracker'!$D$5:$D$149,$A52,'Session Tracker'!$F$5:$F$149,"Next week",'Session Tracker'!$G$5:$G$149,"Thu"),$D52*SUMIFS('Session Tracker'!$J$5:$J$149,'Session Tracker'!$D$5:$D$149,$A52,'Session Tracker'!$F$5:$F$149,"Next week",'Session Tracker'!$G$5:$G$149,"Thu"))</f>
        <v>0</v>
      </c>
      <c r="L52" s="52" t="n">
        <f aca="false">IF($E52="Per class",$D52*COUNTIFS('Session Tracker'!$D$5:$D$149,$A52,'Session Tracker'!$F$5:$F$149,"Next week",'Session Tracker'!$G$5:$G$149,"Fri"),$D52*SUMIFS('Session Tracker'!$J$5:$J$149,'Session Tracker'!$D$5:$D$149,$A52,'Session Tracker'!$F$5:$F$149,"Next week",'Session Tracker'!$G$5:$G$149,"Fri"))</f>
        <v>0</v>
      </c>
      <c r="M52" s="52" t="n">
        <f aca="false">IF($E52="Per class",$D52*COUNTIFS('Session Tracker'!$D$5:$D$149,$A52,'Session Tracker'!$F$5:$F$149,"Next week",'Session Tracker'!$G$5:$G$149,""),$D52*SUMIFS('Session Tracker'!$J$5:$J$149,'Session Tracker'!$D$5:$D$149,$A52,'Session Tracker'!$F$5:$F$149,"Next week",'Session Tracker'!$G$5:$G$149,""))</f>
        <v>0</v>
      </c>
    </row>
    <row r="53" customFormat="false" ht="15" hidden="false" customHeight="false" outlineLevel="0" collapsed="false">
      <c r="A53" s="68" t="s">
        <v>225</v>
      </c>
      <c r="B53" s="34" t="s">
        <v>375</v>
      </c>
      <c r="C53" s="34" t="s">
        <v>592</v>
      </c>
      <c r="D53" s="32" t="n">
        <v>1</v>
      </c>
      <c r="E53" s="32" t="s">
        <v>14</v>
      </c>
      <c r="F53" s="32" t="s">
        <v>373</v>
      </c>
      <c r="G53" s="34"/>
      <c r="H53" s="52" t="n">
        <f aca="false">IF($E53="Per class",$D53*COUNTIFS('Session Tracker'!$D$5:$D$149,$A53,'Session Tracker'!$F$5:$F$149,"Next week",'Session Tracker'!$G$5:$G$149,"Mon"),$D53*SUMIFS('Session Tracker'!$J$5:$J$149,'Session Tracker'!$D$5:$D$149,$A53,'Session Tracker'!$F$5:$F$149,"Next week",'Session Tracker'!$G$5:$G$149,"Mon"))</f>
        <v>0</v>
      </c>
      <c r="I53" s="52" t="n">
        <f aca="false">IF($E53="Per class",$D53*COUNTIFS('Session Tracker'!$D$5:$D$149,$A53,'Session Tracker'!$F$5:$F$149,"Next week",'Session Tracker'!$G$5:$G$149,"Tue"),$D53*SUMIFS('Session Tracker'!$J$5:$J$149,'Session Tracker'!$D$5:$D$149,$A53,'Session Tracker'!$F$5:$F$149,"Next week",'Session Tracker'!$G$5:$G$149,"Tue"))</f>
        <v>0</v>
      </c>
      <c r="J53" s="52" t="n">
        <f aca="false">IF($E53="Per class",$D53*COUNTIFS('Session Tracker'!$D$5:$D$149,$A53,'Session Tracker'!$F$5:$F$149,"Next week",'Session Tracker'!$G$5:$G$149,"Wed"),$D53*SUMIFS('Session Tracker'!$J$5:$J$149,'Session Tracker'!$D$5:$D$149,$A53,'Session Tracker'!$F$5:$F$149,"Next week",'Session Tracker'!$G$5:$G$149,"Wed"))</f>
        <v>0</v>
      </c>
      <c r="K53" s="52" t="n">
        <f aca="false">IF($E53="Per class",$D53*COUNTIFS('Session Tracker'!$D$5:$D$149,$A53,'Session Tracker'!$F$5:$F$149,"Next week",'Session Tracker'!$G$5:$G$149,"Thu"),$D53*SUMIFS('Session Tracker'!$J$5:$J$149,'Session Tracker'!$D$5:$D$149,$A53,'Session Tracker'!$F$5:$F$149,"Next week",'Session Tracker'!$G$5:$G$149,"Thu"))</f>
        <v>0</v>
      </c>
      <c r="L53" s="52" t="n">
        <f aca="false">IF($E53="Per class",$D53*COUNTIFS('Session Tracker'!$D$5:$D$149,$A53,'Session Tracker'!$F$5:$F$149,"Next week",'Session Tracker'!$G$5:$G$149,"Fri"),$D53*SUMIFS('Session Tracker'!$J$5:$J$149,'Session Tracker'!$D$5:$D$149,$A53,'Session Tracker'!$F$5:$F$149,"Next week",'Session Tracker'!$G$5:$G$149,"Fri"))</f>
        <v>0</v>
      </c>
      <c r="M53" s="52" t="n">
        <f aca="false">IF($E53="Per class",$D53*COUNTIFS('Session Tracker'!$D$5:$D$149,$A53,'Session Tracker'!$F$5:$F$149,"Next week",'Session Tracker'!$G$5:$G$149,""),$D53*SUMIFS('Session Tracker'!$J$5:$J$149,'Session Tracker'!$D$5:$D$149,$A53,'Session Tracker'!$F$5:$F$149,"Next week",'Session Tracker'!$G$5:$G$149,""))</f>
        <v>0</v>
      </c>
    </row>
    <row r="54" customFormat="false" ht="15" hidden="false" customHeight="false" outlineLevel="0" collapsed="false">
      <c r="A54" s="68" t="s">
        <v>225</v>
      </c>
      <c r="B54" s="34" t="s">
        <v>375</v>
      </c>
      <c r="C54" s="34" t="s">
        <v>593</v>
      </c>
      <c r="D54" s="32" t="n">
        <v>1</v>
      </c>
      <c r="E54" s="32" t="s">
        <v>14</v>
      </c>
      <c r="F54" s="32" t="s">
        <v>373</v>
      </c>
      <c r="G54" s="34"/>
      <c r="H54" s="52" t="n">
        <f aca="false">IF($E54="Per class",$D54*COUNTIFS('Session Tracker'!$D$5:$D$149,$A54,'Session Tracker'!$F$5:$F$149,"Next week",'Session Tracker'!$G$5:$G$149,"Mon"),$D54*SUMIFS('Session Tracker'!$J$5:$J$149,'Session Tracker'!$D$5:$D$149,$A54,'Session Tracker'!$F$5:$F$149,"Next week",'Session Tracker'!$G$5:$G$149,"Mon"))</f>
        <v>0</v>
      </c>
      <c r="I54" s="52" t="n">
        <f aca="false">IF($E54="Per class",$D54*COUNTIFS('Session Tracker'!$D$5:$D$149,$A54,'Session Tracker'!$F$5:$F$149,"Next week",'Session Tracker'!$G$5:$G$149,"Tue"),$D54*SUMIFS('Session Tracker'!$J$5:$J$149,'Session Tracker'!$D$5:$D$149,$A54,'Session Tracker'!$F$5:$F$149,"Next week",'Session Tracker'!$G$5:$G$149,"Tue"))</f>
        <v>0</v>
      </c>
      <c r="J54" s="52" t="n">
        <f aca="false">IF($E54="Per class",$D54*COUNTIFS('Session Tracker'!$D$5:$D$149,$A54,'Session Tracker'!$F$5:$F$149,"Next week",'Session Tracker'!$G$5:$G$149,"Wed"),$D54*SUMIFS('Session Tracker'!$J$5:$J$149,'Session Tracker'!$D$5:$D$149,$A54,'Session Tracker'!$F$5:$F$149,"Next week",'Session Tracker'!$G$5:$G$149,"Wed"))</f>
        <v>0</v>
      </c>
      <c r="K54" s="52" t="n">
        <f aca="false">IF($E54="Per class",$D54*COUNTIFS('Session Tracker'!$D$5:$D$149,$A54,'Session Tracker'!$F$5:$F$149,"Next week",'Session Tracker'!$G$5:$G$149,"Thu"),$D54*SUMIFS('Session Tracker'!$J$5:$J$149,'Session Tracker'!$D$5:$D$149,$A54,'Session Tracker'!$F$5:$F$149,"Next week",'Session Tracker'!$G$5:$G$149,"Thu"))</f>
        <v>0</v>
      </c>
      <c r="L54" s="52" t="n">
        <f aca="false">IF($E54="Per class",$D54*COUNTIFS('Session Tracker'!$D$5:$D$149,$A54,'Session Tracker'!$F$5:$F$149,"Next week",'Session Tracker'!$G$5:$G$149,"Fri"),$D54*SUMIFS('Session Tracker'!$J$5:$J$149,'Session Tracker'!$D$5:$D$149,$A54,'Session Tracker'!$F$5:$F$149,"Next week",'Session Tracker'!$G$5:$G$149,"Fri"))</f>
        <v>0</v>
      </c>
      <c r="M54" s="52" t="n">
        <f aca="false">IF($E54="Per class",$D54*COUNTIFS('Session Tracker'!$D$5:$D$149,$A54,'Session Tracker'!$F$5:$F$149,"Next week",'Session Tracker'!$G$5:$G$149,""),$D54*SUMIFS('Session Tracker'!$J$5:$J$149,'Session Tracker'!$D$5:$D$149,$A54,'Session Tracker'!$F$5:$F$149,"Next week",'Session Tracker'!$G$5:$G$149,""))</f>
        <v>0</v>
      </c>
    </row>
    <row r="55" customFormat="false" ht="15" hidden="false" customHeight="false" outlineLevel="0" collapsed="false">
      <c r="A55" s="68" t="s">
        <v>225</v>
      </c>
      <c r="B55" s="34" t="s">
        <v>375</v>
      </c>
      <c r="C55" s="34" t="s">
        <v>564</v>
      </c>
      <c r="D55" s="32" t="n">
        <v>1</v>
      </c>
      <c r="E55" s="32" t="s">
        <v>14</v>
      </c>
      <c r="F55" s="32" t="s">
        <v>373</v>
      </c>
      <c r="G55" s="34"/>
      <c r="H55" s="52" t="n">
        <f aca="false">IF($E55="Per class",$D55*COUNTIFS('Session Tracker'!$D$5:$D$149,$A55,'Session Tracker'!$F$5:$F$149,"Next week",'Session Tracker'!$G$5:$G$149,"Mon"),$D55*SUMIFS('Session Tracker'!$J$5:$J$149,'Session Tracker'!$D$5:$D$149,$A55,'Session Tracker'!$F$5:$F$149,"Next week",'Session Tracker'!$G$5:$G$149,"Mon"))</f>
        <v>0</v>
      </c>
      <c r="I55" s="52" t="n">
        <f aca="false">IF($E55="Per class",$D55*COUNTIFS('Session Tracker'!$D$5:$D$149,$A55,'Session Tracker'!$F$5:$F$149,"Next week",'Session Tracker'!$G$5:$G$149,"Tue"),$D55*SUMIFS('Session Tracker'!$J$5:$J$149,'Session Tracker'!$D$5:$D$149,$A55,'Session Tracker'!$F$5:$F$149,"Next week",'Session Tracker'!$G$5:$G$149,"Tue"))</f>
        <v>0</v>
      </c>
      <c r="J55" s="52" t="n">
        <f aca="false">IF($E55="Per class",$D55*COUNTIFS('Session Tracker'!$D$5:$D$149,$A55,'Session Tracker'!$F$5:$F$149,"Next week",'Session Tracker'!$G$5:$G$149,"Wed"),$D55*SUMIFS('Session Tracker'!$J$5:$J$149,'Session Tracker'!$D$5:$D$149,$A55,'Session Tracker'!$F$5:$F$149,"Next week",'Session Tracker'!$G$5:$G$149,"Wed"))</f>
        <v>0</v>
      </c>
      <c r="K55" s="52" t="n">
        <f aca="false">IF($E55="Per class",$D55*COUNTIFS('Session Tracker'!$D$5:$D$149,$A55,'Session Tracker'!$F$5:$F$149,"Next week",'Session Tracker'!$G$5:$G$149,"Thu"),$D55*SUMIFS('Session Tracker'!$J$5:$J$149,'Session Tracker'!$D$5:$D$149,$A55,'Session Tracker'!$F$5:$F$149,"Next week",'Session Tracker'!$G$5:$G$149,"Thu"))</f>
        <v>0</v>
      </c>
      <c r="L55" s="52" t="n">
        <f aca="false">IF($E55="Per class",$D55*COUNTIFS('Session Tracker'!$D$5:$D$149,$A55,'Session Tracker'!$F$5:$F$149,"Next week",'Session Tracker'!$G$5:$G$149,"Fri"),$D55*SUMIFS('Session Tracker'!$J$5:$J$149,'Session Tracker'!$D$5:$D$149,$A55,'Session Tracker'!$F$5:$F$149,"Next week",'Session Tracker'!$G$5:$G$149,"Fri"))</f>
        <v>0</v>
      </c>
      <c r="M55" s="52" t="n">
        <f aca="false">IF($E55="Per class",$D55*COUNTIFS('Session Tracker'!$D$5:$D$149,$A55,'Session Tracker'!$F$5:$F$149,"Next week",'Session Tracker'!$G$5:$G$149,""),$D55*SUMIFS('Session Tracker'!$J$5:$J$149,'Session Tracker'!$D$5:$D$149,$A55,'Session Tracker'!$F$5:$F$149,"Next week",'Session Tracker'!$G$5:$G$149,""))</f>
        <v>0</v>
      </c>
    </row>
    <row r="56" customFormat="false" ht="15" hidden="false" customHeight="false" outlineLevel="0" collapsed="false">
      <c r="A56" s="68" t="s">
        <v>225</v>
      </c>
      <c r="B56" s="34" t="s">
        <v>375</v>
      </c>
      <c r="C56" s="34" t="s">
        <v>547</v>
      </c>
      <c r="D56" s="32" t="n">
        <v>2</v>
      </c>
      <c r="E56" s="32" t="s">
        <v>14</v>
      </c>
      <c r="F56" s="32" t="s">
        <v>373</v>
      </c>
      <c r="G56" s="34"/>
      <c r="H56" s="52" t="n">
        <f aca="false">IF($E56="Per class",$D56*COUNTIFS('Session Tracker'!$D$5:$D$149,$A56,'Session Tracker'!$F$5:$F$149,"Next week",'Session Tracker'!$G$5:$G$149,"Mon"),$D56*SUMIFS('Session Tracker'!$J$5:$J$149,'Session Tracker'!$D$5:$D$149,$A56,'Session Tracker'!$F$5:$F$149,"Next week",'Session Tracker'!$G$5:$G$149,"Mon"))</f>
        <v>0</v>
      </c>
      <c r="I56" s="52" t="n">
        <f aca="false">IF($E56="Per class",$D56*COUNTIFS('Session Tracker'!$D$5:$D$149,$A56,'Session Tracker'!$F$5:$F$149,"Next week",'Session Tracker'!$G$5:$G$149,"Tue"),$D56*SUMIFS('Session Tracker'!$J$5:$J$149,'Session Tracker'!$D$5:$D$149,$A56,'Session Tracker'!$F$5:$F$149,"Next week",'Session Tracker'!$G$5:$G$149,"Tue"))</f>
        <v>0</v>
      </c>
      <c r="J56" s="52" t="n">
        <f aca="false">IF($E56="Per class",$D56*COUNTIFS('Session Tracker'!$D$5:$D$149,$A56,'Session Tracker'!$F$5:$F$149,"Next week",'Session Tracker'!$G$5:$G$149,"Wed"),$D56*SUMIFS('Session Tracker'!$J$5:$J$149,'Session Tracker'!$D$5:$D$149,$A56,'Session Tracker'!$F$5:$F$149,"Next week",'Session Tracker'!$G$5:$G$149,"Wed"))</f>
        <v>0</v>
      </c>
      <c r="K56" s="52" t="n">
        <f aca="false">IF($E56="Per class",$D56*COUNTIFS('Session Tracker'!$D$5:$D$149,$A56,'Session Tracker'!$F$5:$F$149,"Next week",'Session Tracker'!$G$5:$G$149,"Thu"),$D56*SUMIFS('Session Tracker'!$J$5:$J$149,'Session Tracker'!$D$5:$D$149,$A56,'Session Tracker'!$F$5:$F$149,"Next week",'Session Tracker'!$G$5:$G$149,"Thu"))</f>
        <v>0</v>
      </c>
      <c r="L56" s="52" t="n">
        <f aca="false">IF($E56="Per class",$D56*COUNTIFS('Session Tracker'!$D$5:$D$149,$A56,'Session Tracker'!$F$5:$F$149,"Next week",'Session Tracker'!$G$5:$G$149,"Fri"),$D56*SUMIFS('Session Tracker'!$J$5:$J$149,'Session Tracker'!$D$5:$D$149,$A56,'Session Tracker'!$F$5:$F$149,"Next week",'Session Tracker'!$G$5:$G$149,"Fri"))</f>
        <v>0</v>
      </c>
      <c r="M56" s="52" t="n">
        <f aca="false">IF($E56="Per class",$D56*COUNTIFS('Session Tracker'!$D$5:$D$149,$A56,'Session Tracker'!$F$5:$F$149,"Next week",'Session Tracker'!$G$5:$G$149,""),$D56*SUMIFS('Session Tracker'!$J$5:$J$149,'Session Tracker'!$D$5:$D$149,$A56,'Session Tracker'!$F$5:$F$149,"Next week",'Session Tracker'!$G$5:$G$149,""))</f>
        <v>0</v>
      </c>
    </row>
    <row r="57" customFormat="false" ht="15" hidden="false" customHeight="false" outlineLevel="0" collapsed="false">
      <c r="A57" s="68" t="s">
        <v>225</v>
      </c>
      <c r="B57" s="34" t="s">
        <v>375</v>
      </c>
      <c r="C57" s="34" t="s">
        <v>417</v>
      </c>
      <c r="D57" s="32" t="n">
        <v>1</v>
      </c>
      <c r="E57" s="32" t="s">
        <v>14</v>
      </c>
      <c r="F57" s="32" t="s">
        <v>373</v>
      </c>
      <c r="G57" s="34"/>
      <c r="H57" s="52" t="n">
        <f aca="false">IF($E57="Per class",$D57*COUNTIFS('Session Tracker'!$D$5:$D$149,$A57,'Session Tracker'!$F$5:$F$149,"Next week",'Session Tracker'!$G$5:$G$149,"Mon"),$D57*SUMIFS('Session Tracker'!$J$5:$J$149,'Session Tracker'!$D$5:$D$149,$A57,'Session Tracker'!$F$5:$F$149,"Next week",'Session Tracker'!$G$5:$G$149,"Mon"))</f>
        <v>0</v>
      </c>
      <c r="I57" s="52" t="n">
        <f aca="false">IF($E57="Per class",$D57*COUNTIFS('Session Tracker'!$D$5:$D$149,$A57,'Session Tracker'!$F$5:$F$149,"Next week",'Session Tracker'!$G$5:$G$149,"Tue"),$D57*SUMIFS('Session Tracker'!$J$5:$J$149,'Session Tracker'!$D$5:$D$149,$A57,'Session Tracker'!$F$5:$F$149,"Next week",'Session Tracker'!$G$5:$G$149,"Tue"))</f>
        <v>0</v>
      </c>
      <c r="J57" s="52" t="n">
        <f aca="false">IF($E57="Per class",$D57*COUNTIFS('Session Tracker'!$D$5:$D$149,$A57,'Session Tracker'!$F$5:$F$149,"Next week",'Session Tracker'!$G$5:$G$149,"Wed"),$D57*SUMIFS('Session Tracker'!$J$5:$J$149,'Session Tracker'!$D$5:$D$149,$A57,'Session Tracker'!$F$5:$F$149,"Next week",'Session Tracker'!$G$5:$G$149,"Wed"))</f>
        <v>0</v>
      </c>
      <c r="K57" s="52" t="n">
        <f aca="false">IF($E57="Per class",$D57*COUNTIFS('Session Tracker'!$D$5:$D$149,$A57,'Session Tracker'!$F$5:$F$149,"Next week",'Session Tracker'!$G$5:$G$149,"Thu"),$D57*SUMIFS('Session Tracker'!$J$5:$J$149,'Session Tracker'!$D$5:$D$149,$A57,'Session Tracker'!$F$5:$F$149,"Next week",'Session Tracker'!$G$5:$G$149,"Thu"))</f>
        <v>0</v>
      </c>
      <c r="L57" s="52" t="n">
        <f aca="false">IF($E57="Per class",$D57*COUNTIFS('Session Tracker'!$D$5:$D$149,$A57,'Session Tracker'!$F$5:$F$149,"Next week",'Session Tracker'!$G$5:$G$149,"Fri"),$D57*SUMIFS('Session Tracker'!$J$5:$J$149,'Session Tracker'!$D$5:$D$149,$A57,'Session Tracker'!$F$5:$F$149,"Next week",'Session Tracker'!$G$5:$G$149,"Fri"))</f>
        <v>0</v>
      </c>
      <c r="M57" s="52" t="n">
        <f aca="false">IF($E57="Per class",$D57*COUNTIFS('Session Tracker'!$D$5:$D$149,$A57,'Session Tracker'!$F$5:$F$149,"Next week",'Session Tracker'!$G$5:$G$149,""),$D57*SUMIFS('Session Tracker'!$J$5:$J$149,'Session Tracker'!$D$5:$D$149,$A57,'Session Tracker'!$F$5:$F$149,"Next week",'Session Tracker'!$G$5:$G$149,""))</f>
        <v>0</v>
      </c>
    </row>
    <row r="58" customFormat="false" ht="15" hidden="false" customHeight="false" outlineLevel="0" collapsed="false">
      <c r="A58" s="68" t="s">
        <v>225</v>
      </c>
      <c r="B58" s="34" t="s">
        <v>375</v>
      </c>
      <c r="C58" s="34" t="s">
        <v>376</v>
      </c>
      <c r="D58" s="32" t="n">
        <v>1</v>
      </c>
      <c r="E58" s="32" t="s">
        <v>14</v>
      </c>
      <c r="F58" s="32" t="s">
        <v>373</v>
      </c>
      <c r="G58" s="34"/>
      <c r="H58" s="52" t="n">
        <f aca="false">IF($E58="Per class",$D58*COUNTIFS('Session Tracker'!$D$5:$D$149,$A58,'Session Tracker'!$F$5:$F$149,"Next week",'Session Tracker'!$G$5:$G$149,"Mon"),$D58*SUMIFS('Session Tracker'!$J$5:$J$149,'Session Tracker'!$D$5:$D$149,$A58,'Session Tracker'!$F$5:$F$149,"Next week",'Session Tracker'!$G$5:$G$149,"Mon"))</f>
        <v>0</v>
      </c>
      <c r="I58" s="52" t="n">
        <f aca="false">IF($E58="Per class",$D58*COUNTIFS('Session Tracker'!$D$5:$D$149,$A58,'Session Tracker'!$F$5:$F$149,"Next week",'Session Tracker'!$G$5:$G$149,"Tue"),$D58*SUMIFS('Session Tracker'!$J$5:$J$149,'Session Tracker'!$D$5:$D$149,$A58,'Session Tracker'!$F$5:$F$149,"Next week",'Session Tracker'!$G$5:$G$149,"Tue"))</f>
        <v>0</v>
      </c>
      <c r="J58" s="52" t="n">
        <f aca="false">IF($E58="Per class",$D58*COUNTIFS('Session Tracker'!$D$5:$D$149,$A58,'Session Tracker'!$F$5:$F$149,"Next week",'Session Tracker'!$G$5:$G$149,"Wed"),$D58*SUMIFS('Session Tracker'!$J$5:$J$149,'Session Tracker'!$D$5:$D$149,$A58,'Session Tracker'!$F$5:$F$149,"Next week",'Session Tracker'!$G$5:$G$149,"Wed"))</f>
        <v>0</v>
      </c>
      <c r="K58" s="52" t="n">
        <f aca="false">IF($E58="Per class",$D58*COUNTIFS('Session Tracker'!$D$5:$D$149,$A58,'Session Tracker'!$F$5:$F$149,"Next week",'Session Tracker'!$G$5:$G$149,"Thu"),$D58*SUMIFS('Session Tracker'!$J$5:$J$149,'Session Tracker'!$D$5:$D$149,$A58,'Session Tracker'!$F$5:$F$149,"Next week",'Session Tracker'!$G$5:$G$149,"Thu"))</f>
        <v>0</v>
      </c>
      <c r="L58" s="52" t="n">
        <f aca="false">IF($E58="Per class",$D58*COUNTIFS('Session Tracker'!$D$5:$D$149,$A58,'Session Tracker'!$F$5:$F$149,"Next week",'Session Tracker'!$G$5:$G$149,"Fri"),$D58*SUMIFS('Session Tracker'!$J$5:$J$149,'Session Tracker'!$D$5:$D$149,$A58,'Session Tracker'!$F$5:$F$149,"Next week",'Session Tracker'!$G$5:$G$149,"Fri"))</f>
        <v>0</v>
      </c>
      <c r="M58" s="52" t="n">
        <f aca="false">IF($E58="Per class",$D58*COUNTIFS('Session Tracker'!$D$5:$D$149,$A58,'Session Tracker'!$F$5:$F$149,"Next week",'Session Tracker'!$G$5:$G$149,""),$D58*SUMIFS('Session Tracker'!$J$5:$J$149,'Session Tracker'!$D$5:$D$149,$A58,'Session Tracker'!$F$5:$F$149,"Next week",'Session Tracker'!$G$5:$G$149,""))</f>
        <v>0</v>
      </c>
    </row>
    <row r="59" customFormat="false" ht="15" hidden="false" customHeight="false" outlineLevel="0" collapsed="false">
      <c r="A59" s="68" t="s">
        <v>225</v>
      </c>
      <c r="B59" s="34" t="s">
        <v>375</v>
      </c>
      <c r="C59" s="34" t="s">
        <v>387</v>
      </c>
      <c r="D59" s="32" t="n">
        <v>1</v>
      </c>
      <c r="E59" s="32" t="s">
        <v>14</v>
      </c>
      <c r="F59" s="32" t="s">
        <v>368</v>
      </c>
      <c r="G59" s="34"/>
      <c r="H59" s="52" t="n">
        <f aca="false">IF($E59="Per class",$D59*COUNTIFS('Session Tracker'!$D$5:$D$149,$A59,'Session Tracker'!$F$5:$F$149,"Next week",'Session Tracker'!$G$5:$G$149,"Mon"),$D59*SUMIFS('Session Tracker'!$J$5:$J$149,'Session Tracker'!$D$5:$D$149,$A59,'Session Tracker'!$F$5:$F$149,"Next week",'Session Tracker'!$G$5:$G$149,"Mon"))</f>
        <v>0</v>
      </c>
      <c r="I59" s="52" t="n">
        <f aca="false">IF($E59="Per class",$D59*COUNTIFS('Session Tracker'!$D$5:$D$149,$A59,'Session Tracker'!$F$5:$F$149,"Next week",'Session Tracker'!$G$5:$G$149,"Tue"),$D59*SUMIFS('Session Tracker'!$J$5:$J$149,'Session Tracker'!$D$5:$D$149,$A59,'Session Tracker'!$F$5:$F$149,"Next week",'Session Tracker'!$G$5:$G$149,"Tue"))</f>
        <v>0</v>
      </c>
      <c r="J59" s="52" t="n">
        <f aca="false">IF($E59="Per class",$D59*COUNTIFS('Session Tracker'!$D$5:$D$149,$A59,'Session Tracker'!$F$5:$F$149,"Next week",'Session Tracker'!$G$5:$G$149,"Wed"),$D59*SUMIFS('Session Tracker'!$J$5:$J$149,'Session Tracker'!$D$5:$D$149,$A59,'Session Tracker'!$F$5:$F$149,"Next week",'Session Tracker'!$G$5:$G$149,"Wed"))</f>
        <v>0</v>
      </c>
      <c r="K59" s="52" t="n">
        <f aca="false">IF($E59="Per class",$D59*COUNTIFS('Session Tracker'!$D$5:$D$149,$A59,'Session Tracker'!$F$5:$F$149,"Next week",'Session Tracker'!$G$5:$G$149,"Thu"),$D59*SUMIFS('Session Tracker'!$J$5:$J$149,'Session Tracker'!$D$5:$D$149,$A59,'Session Tracker'!$F$5:$F$149,"Next week",'Session Tracker'!$G$5:$G$149,"Thu"))</f>
        <v>0</v>
      </c>
      <c r="L59" s="52" t="n">
        <f aca="false">IF($E59="Per class",$D59*COUNTIFS('Session Tracker'!$D$5:$D$149,$A59,'Session Tracker'!$F$5:$F$149,"Next week",'Session Tracker'!$G$5:$G$149,"Fri"),$D59*SUMIFS('Session Tracker'!$J$5:$J$149,'Session Tracker'!$D$5:$D$149,$A59,'Session Tracker'!$F$5:$F$149,"Next week",'Session Tracker'!$G$5:$G$149,"Fri"))</f>
        <v>0</v>
      </c>
      <c r="M59" s="52" t="n">
        <f aca="false">IF($E59="Per class",$D59*COUNTIFS('Session Tracker'!$D$5:$D$149,$A59,'Session Tracker'!$F$5:$F$149,"Next week",'Session Tracker'!$G$5:$G$149,""),$D59*SUMIFS('Session Tracker'!$J$5:$J$149,'Session Tracker'!$D$5:$D$149,$A59,'Session Tracker'!$F$5:$F$149,"Next week",'Session Tracker'!$G$5:$G$149,""))</f>
        <v>0</v>
      </c>
    </row>
    <row r="60" customFormat="false" ht="15" hidden="false" customHeight="false" outlineLevel="0" collapsed="false">
      <c r="A60" s="68" t="s">
        <v>225</v>
      </c>
      <c r="B60" s="34" t="s">
        <v>377</v>
      </c>
      <c r="C60" s="34" t="s">
        <v>378</v>
      </c>
      <c r="D60" s="32" t="n">
        <v>1</v>
      </c>
      <c r="E60" s="32" t="s">
        <v>14</v>
      </c>
      <c r="F60" s="32" t="s">
        <v>368</v>
      </c>
      <c r="G60" s="34"/>
      <c r="H60" s="52" t="n">
        <f aca="false">IF($E60="Per class",$D60*COUNTIFS('Session Tracker'!$D$5:$D$149,$A60,'Session Tracker'!$F$5:$F$149,"Next week",'Session Tracker'!$G$5:$G$149,"Mon"),$D60*SUMIFS('Session Tracker'!$J$5:$J$149,'Session Tracker'!$D$5:$D$149,$A60,'Session Tracker'!$F$5:$F$149,"Next week",'Session Tracker'!$G$5:$G$149,"Mon"))</f>
        <v>0</v>
      </c>
      <c r="I60" s="52" t="n">
        <f aca="false">IF($E60="Per class",$D60*COUNTIFS('Session Tracker'!$D$5:$D$149,$A60,'Session Tracker'!$F$5:$F$149,"Next week",'Session Tracker'!$G$5:$G$149,"Tue"),$D60*SUMIFS('Session Tracker'!$J$5:$J$149,'Session Tracker'!$D$5:$D$149,$A60,'Session Tracker'!$F$5:$F$149,"Next week",'Session Tracker'!$G$5:$G$149,"Tue"))</f>
        <v>0</v>
      </c>
      <c r="J60" s="52" t="n">
        <f aca="false">IF($E60="Per class",$D60*COUNTIFS('Session Tracker'!$D$5:$D$149,$A60,'Session Tracker'!$F$5:$F$149,"Next week",'Session Tracker'!$G$5:$G$149,"Wed"),$D60*SUMIFS('Session Tracker'!$J$5:$J$149,'Session Tracker'!$D$5:$D$149,$A60,'Session Tracker'!$F$5:$F$149,"Next week",'Session Tracker'!$G$5:$G$149,"Wed"))</f>
        <v>0</v>
      </c>
      <c r="K60" s="52" t="n">
        <f aca="false">IF($E60="Per class",$D60*COUNTIFS('Session Tracker'!$D$5:$D$149,$A60,'Session Tracker'!$F$5:$F$149,"Next week",'Session Tracker'!$G$5:$G$149,"Thu"),$D60*SUMIFS('Session Tracker'!$J$5:$J$149,'Session Tracker'!$D$5:$D$149,$A60,'Session Tracker'!$F$5:$F$149,"Next week",'Session Tracker'!$G$5:$G$149,"Thu"))</f>
        <v>0</v>
      </c>
      <c r="L60" s="52" t="n">
        <f aca="false">IF($E60="Per class",$D60*COUNTIFS('Session Tracker'!$D$5:$D$149,$A60,'Session Tracker'!$F$5:$F$149,"Next week",'Session Tracker'!$G$5:$G$149,"Fri"),$D60*SUMIFS('Session Tracker'!$J$5:$J$149,'Session Tracker'!$D$5:$D$149,$A60,'Session Tracker'!$F$5:$F$149,"Next week",'Session Tracker'!$G$5:$G$149,"Fri"))</f>
        <v>0</v>
      </c>
      <c r="M60" s="52" t="n">
        <f aca="false">IF($E60="Per class",$D60*COUNTIFS('Session Tracker'!$D$5:$D$149,$A60,'Session Tracker'!$F$5:$F$149,"Next week",'Session Tracker'!$G$5:$G$149,""),$D60*SUMIFS('Session Tracker'!$J$5:$J$149,'Session Tracker'!$D$5:$D$149,$A60,'Session Tracker'!$F$5:$F$149,"Next week",'Session Tracker'!$G$5:$G$149,""))</f>
        <v>0</v>
      </c>
    </row>
    <row r="61" customFormat="false" ht="15" hidden="false" customHeight="false" outlineLevel="0" collapsed="false">
      <c r="A61" s="68" t="s">
        <v>225</v>
      </c>
      <c r="B61" s="34" t="s">
        <v>371</v>
      </c>
      <c r="C61" s="34" t="s">
        <v>372</v>
      </c>
      <c r="D61" s="32" t="n">
        <v>1</v>
      </c>
      <c r="E61" s="32" t="s">
        <v>14</v>
      </c>
      <c r="F61" s="32" t="s">
        <v>373</v>
      </c>
      <c r="G61" s="34"/>
      <c r="H61" s="52" t="n">
        <f aca="false">IF($E61="Per class",$D61*COUNTIFS('Session Tracker'!$D$5:$D$149,$A61,'Session Tracker'!$F$5:$F$149,"Next week",'Session Tracker'!$G$5:$G$149,"Mon"),$D61*SUMIFS('Session Tracker'!$J$5:$J$149,'Session Tracker'!$D$5:$D$149,$A61,'Session Tracker'!$F$5:$F$149,"Next week",'Session Tracker'!$G$5:$G$149,"Mon"))</f>
        <v>0</v>
      </c>
      <c r="I61" s="52" t="n">
        <f aca="false">IF($E61="Per class",$D61*COUNTIFS('Session Tracker'!$D$5:$D$149,$A61,'Session Tracker'!$F$5:$F$149,"Next week",'Session Tracker'!$G$5:$G$149,"Tue"),$D61*SUMIFS('Session Tracker'!$J$5:$J$149,'Session Tracker'!$D$5:$D$149,$A61,'Session Tracker'!$F$5:$F$149,"Next week",'Session Tracker'!$G$5:$G$149,"Tue"))</f>
        <v>0</v>
      </c>
      <c r="J61" s="52" t="n">
        <f aca="false">IF($E61="Per class",$D61*COUNTIFS('Session Tracker'!$D$5:$D$149,$A61,'Session Tracker'!$F$5:$F$149,"Next week",'Session Tracker'!$G$5:$G$149,"Wed"),$D61*SUMIFS('Session Tracker'!$J$5:$J$149,'Session Tracker'!$D$5:$D$149,$A61,'Session Tracker'!$F$5:$F$149,"Next week",'Session Tracker'!$G$5:$G$149,"Wed"))</f>
        <v>0</v>
      </c>
      <c r="K61" s="52" t="n">
        <f aca="false">IF($E61="Per class",$D61*COUNTIFS('Session Tracker'!$D$5:$D$149,$A61,'Session Tracker'!$F$5:$F$149,"Next week",'Session Tracker'!$G$5:$G$149,"Thu"),$D61*SUMIFS('Session Tracker'!$J$5:$J$149,'Session Tracker'!$D$5:$D$149,$A61,'Session Tracker'!$F$5:$F$149,"Next week",'Session Tracker'!$G$5:$G$149,"Thu"))</f>
        <v>0</v>
      </c>
      <c r="L61" s="52" t="n">
        <f aca="false">IF($E61="Per class",$D61*COUNTIFS('Session Tracker'!$D$5:$D$149,$A61,'Session Tracker'!$F$5:$F$149,"Next week",'Session Tracker'!$G$5:$G$149,"Fri"),$D61*SUMIFS('Session Tracker'!$J$5:$J$149,'Session Tracker'!$D$5:$D$149,$A61,'Session Tracker'!$F$5:$F$149,"Next week",'Session Tracker'!$G$5:$G$149,"Fri"))</f>
        <v>0</v>
      </c>
      <c r="M61" s="52" t="n">
        <f aca="false">IF($E61="Per class",$D61*COUNTIFS('Session Tracker'!$D$5:$D$149,$A61,'Session Tracker'!$F$5:$F$149,"Next week",'Session Tracker'!$G$5:$G$149,""),$D61*SUMIFS('Session Tracker'!$J$5:$J$149,'Session Tracker'!$D$5:$D$149,$A61,'Session Tracker'!$F$5:$F$149,"Next week",'Session Tracker'!$G$5:$G$149,""))</f>
        <v>0</v>
      </c>
    </row>
    <row r="62" customFormat="false" ht="15" hidden="false" customHeight="false" outlineLevel="0" collapsed="false">
      <c r="A62" s="68" t="s">
        <v>225</v>
      </c>
      <c r="B62" s="34" t="s">
        <v>409</v>
      </c>
      <c r="C62" s="34" t="s">
        <v>515</v>
      </c>
      <c r="D62" s="32" t="n">
        <v>1</v>
      </c>
      <c r="E62" s="32" t="s">
        <v>14</v>
      </c>
      <c r="F62" s="32" t="s">
        <v>373</v>
      </c>
      <c r="G62" s="34"/>
      <c r="H62" s="52" t="n">
        <f aca="false">IF($E62="Per class",$D62*COUNTIFS('Session Tracker'!$D$5:$D$149,$A62,'Session Tracker'!$F$5:$F$149,"Next week",'Session Tracker'!$G$5:$G$149,"Mon"),$D62*SUMIFS('Session Tracker'!$J$5:$J$149,'Session Tracker'!$D$5:$D$149,$A62,'Session Tracker'!$F$5:$F$149,"Next week",'Session Tracker'!$G$5:$G$149,"Mon"))</f>
        <v>0</v>
      </c>
      <c r="I62" s="52" t="n">
        <f aca="false">IF($E62="Per class",$D62*COUNTIFS('Session Tracker'!$D$5:$D$149,$A62,'Session Tracker'!$F$5:$F$149,"Next week",'Session Tracker'!$G$5:$G$149,"Tue"),$D62*SUMIFS('Session Tracker'!$J$5:$J$149,'Session Tracker'!$D$5:$D$149,$A62,'Session Tracker'!$F$5:$F$149,"Next week",'Session Tracker'!$G$5:$G$149,"Tue"))</f>
        <v>0</v>
      </c>
      <c r="J62" s="52" t="n">
        <f aca="false">IF($E62="Per class",$D62*COUNTIFS('Session Tracker'!$D$5:$D$149,$A62,'Session Tracker'!$F$5:$F$149,"Next week",'Session Tracker'!$G$5:$G$149,"Wed"),$D62*SUMIFS('Session Tracker'!$J$5:$J$149,'Session Tracker'!$D$5:$D$149,$A62,'Session Tracker'!$F$5:$F$149,"Next week",'Session Tracker'!$G$5:$G$149,"Wed"))</f>
        <v>0</v>
      </c>
      <c r="K62" s="52" t="n">
        <f aca="false">IF($E62="Per class",$D62*COUNTIFS('Session Tracker'!$D$5:$D$149,$A62,'Session Tracker'!$F$5:$F$149,"Next week",'Session Tracker'!$G$5:$G$149,"Thu"),$D62*SUMIFS('Session Tracker'!$J$5:$J$149,'Session Tracker'!$D$5:$D$149,$A62,'Session Tracker'!$F$5:$F$149,"Next week",'Session Tracker'!$G$5:$G$149,"Thu"))</f>
        <v>0</v>
      </c>
      <c r="L62" s="52" t="n">
        <f aca="false">IF($E62="Per class",$D62*COUNTIFS('Session Tracker'!$D$5:$D$149,$A62,'Session Tracker'!$F$5:$F$149,"Next week",'Session Tracker'!$G$5:$G$149,"Fri"),$D62*SUMIFS('Session Tracker'!$J$5:$J$149,'Session Tracker'!$D$5:$D$149,$A62,'Session Tracker'!$F$5:$F$149,"Next week",'Session Tracker'!$G$5:$G$149,"Fri"))</f>
        <v>0</v>
      </c>
      <c r="M62" s="52" t="n">
        <f aca="false">IF($E62="Per class",$D62*COUNTIFS('Session Tracker'!$D$5:$D$149,$A62,'Session Tracker'!$F$5:$F$149,"Next week",'Session Tracker'!$G$5:$G$149,""),$D62*SUMIFS('Session Tracker'!$J$5:$J$149,'Session Tracker'!$D$5:$D$149,$A62,'Session Tracker'!$F$5:$F$149,"Next week",'Session Tracker'!$G$5:$G$149,""))</f>
        <v>0</v>
      </c>
    </row>
    <row r="63" customFormat="false" ht="15" hidden="false" customHeight="false" outlineLevel="0" collapsed="false">
      <c r="A63" s="68" t="s">
        <v>225</v>
      </c>
      <c r="B63" s="34" t="s">
        <v>382</v>
      </c>
      <c r="C63" s="34" t="s">
        <v>484</v>
      </c>
      <c r="D63" s="32" t="n">
        <v>1</v>
      </c>
      <c r="E63" s="32" t="s">
        <v>14</v>
      </c>
      <c r="F63" s="32" t="s">
        <v>368</v>
      </c>
      <c r="G63" s="34"/>
      <c r="H63" s="52" t="n">
        <f aca="false">IF($E63="Per class",$D63*COUNTIFS('Session Tracker'!$D$5:$D$149,$A63,'Session Tracker'!$F$5:$F$149,"Next week",'Session Tracker'!$G$5:$G$149,"Mon"),$D63*SUMIFS('Session Tracker'!$J$5:$J$149,'Session Tracker'!$D$5:$D$149,$A63,'Session Tracker'!$F$5:$F$149,"Next week",'Session Tracker'!$G$5:$G$149,"Mon"))</f>
        <v>0</v>
      </c>
      <c r="I63" s="52" t="n">
        <f aca="false">IF($E63="Per class",$D63*COUNTIFS('Session Tracker'!$D$5:$D$149,$A63,'Session Tracker'!$F$5:$F$149,"Next week",'Session Tracker'!$G$5:$G$149,"Tue"),$D63*SUMIFS('Session Tracker'!$J$5:$J$149,'Session Tracker'!$D$5:$D$149,$A63,'Session Tracker'!$F$5:$F$149,"Next week",'Session Tracker'!$G$5:$G$149,"Tue"))</f>
        <v>0</v>
      </c>
      <c r="J63" s="52" t="n">
        <f aca="false">IF($E63="Per class",$D63*COUNTIFS('Session Tracker'!$D$5:$D$149,$A63,'Session Tracker'!$F$5:$F$149,"Next week",'Session Tracker'!$G$5:$G$149,"Wed"),$D63*SUMIFS('Session Tracker'!$J$5:$J$149,'Session Tracker'!$D$5:$D$149,$A63,'Session Tracker'!$F$5:$F$149,"Next week",'Session Tracker'!$G$5:$G$149,"Wed"))</f>
        <v>0</v>
      </c>
      <c r="K63" s="52" t="n">
        <f aca="false">IF($E63="Per class",$D63*COUNTIFS('Session Tracker'!$D$5:$D$149,$A63,'Session Tracker'!$F$5:$F$149,"Next week",'Session Tracker'!$G$5:$G$149,"Thu"),$D63*SUMIFS('Session Tracker'!$J$5:$J$149,'Session Tracker'!$D$5:$D$149,$A63,'Session Tracker'!$F$5:$F$149,"Next week",'Session Tracker'!$G$5:$G$149,"Thu"))</f>
        <v>0</v>
      </c>
      <c r="L63" s="52" t="n">
        <f aca="false">IF($E63="Per class",$D63*COUNTIFS('Session Tracker'!$D$5:$D$149,$A63,'Session Tracker'!$F$5:$F$149,"Next week",'Session Tracker'!$G$5:$G$149,"Fri"),$D63*SUMIFS('Session Tracker'!$J$5:$J$149,'Session Tracker'!$D$5:$D$149,$A63,'Session Tracker'!$F$5:$F$149,"Next week",'Session Tracker'!$G$5:$G$149,"Fri"))</f>
        <v>0</v>
      </c>
      <c r="M63" s="52" t="n">
        <f aca="false">IF($E63="Per class",$D63*COUNTIFS('Session Tracker'!$D$5:$D$149,$A63,'Session Tracker'!$F$5:$F$149,"Next week",'Session Tracker'!$G$5:$G$149,""),$D63*SUMIFS('Session Tracker'!$J$5:$J$149,'Session Tracker'!$D$5:$D$149,$A63,'Session Tracker'!$F$5:$F$149,"Next week",'Session Tracker'!$G$5:$G$149,""))</f>
        <v>0</v>
      </c>
    </row>
    <row r="64" customFormat="false" ht="15" hidden="false" customHeight="false" outlineLevel="0" collapsed="false">
      <c r="A64" s="68" t="s">
        <v>225</v>
      </c>
      <c r="B64" s="34" t="s">
        <v>379</v>
      </c>
      <c r="C64" s="34" t="s">
        <v>380</v>
      </c>
      <c r="D64" s="32" t="n">
        <v>1</v>
      </c>
      <c r="E64" s="32" t="s">
        <v>14</v>
      </c>
      <c r="F64" s="32" t="s">
        <v>368</v>
      </c>
      <c r="G64" s="34"/>
      <c r="H64" s="52" t="n">
        <f aca="false">IF($E64="Per class",$D64*COUNTIFS('Session Tracker'!$D$5:$D$149,$A64,'Session Tracker'!$F$5:$F$149,"Next week",'Session Tracker'!$G$5:$G$149,"Mon"),$D64*SUMIFS('Session Tracker'!$J$5:$J$149,'Session Tracker'!$D$5:$D$149,$A64,'Session Tracker'!$F$5:$F$149,"Next week",'Session Tracker'!$G$5:$G$149,"Mon"))</f>
        <v>0</v>
      </c>
      <c r="I64" s="52" t="n">
        <f aca="false">IF($E64="Per class",$D64*COUNTIFS('Session Tracker'!$D$5:$D$149,$A64,'Session Tracker'!$F$5:$F$149,"Next week",'Session Tracker'!$G$5:$G$149,"Tue"),$D64*SUMIFS('Session Tracker'!$J$5:$J$149,'Session Tracker'!$D$5:$D$149,$A64,'Session Tracker'!$F$5:$F$149,"Next week",'Session Tracker'!$G$5:$G$149,"Tue"))</f>
        <v>0</v>
      </c>
      <c r="J64" s="52" t="n">
        <f aca="false">IF($E64="Per class",$D64*COUNTIFS('Session Tracker'!$D$5:$D$149,$A64,'Session Tracker'!$F$5:$F$149,"Next week",'Session Tracker'!$G$5:$G$149,"Wed"),$D64*SUMIFS('Session Tracker'!$J$5:$J$149,'Session Tracker'!$D$5:$D$149,$A64,'Session Tracker'!$F$5:$F$149,"Next week",'Session Tracker'!$G$5:$G$149,"Wed"))</f>
        <v>0</v>
      </c>
      <c r="K64" s="52" t="n">
        <f aca="false">IF($E64="Per class",$D64*COUNTIFS('Session Tracker'!$D$5:$D$149,$A64,'Session Tracker'!$F$5:$F$149,"Next week",'Session Tracker'!$G$5:$G$149,"Thu"),$D64*SUMIFS('Session Tracker'!$J$5:$J$149,'Session Tracker'!$D$5:$D$149,$A64,'Session Tracker'!$F$5:$F$149,"Next week",'Session Tracker'!$G$5:$G$149,"Thu"))</f>
        <v>0</v>
      </c>
      <c r="L64" s="52" t="n">
        <f aca="false">IF($E64="Per class",$D64*COUNTIFS('Session Tracker'!$D$5:$D$149,$A64,'Session Tracker'!$F$5:$F$149,"Next week",'Session Tracker'!$G$5:$G$149,"Fri"),$D64*SUMIFS('Session Tracker'!$J$5:$J$149,'Session Tracker'!$D$5:$D$149,$A64,'Session Tracker'!$F$5:$F$149,"Next week",'Session Tracker'!$G$5:$G$149,"Fri"))</f>
        <v>0</v>
      </c>
      <c r="M64" s="52" t="n">
        <f aca="false">IF($E64="Per class",$D64*COUNTIFS('Session Tracker'!$D$5:$D$149,$A64,'Session Tracker'!$F$5:$F$149,"Next week",'Session Tracker'!$G$5:$G$149,""),$D64*SUMIFS('Session Tracker'!$J$5:$J$149,'Session Tracker'!$D$5:$D$149,$A64,'Session Tracker'!$F$5:$F$149,"Next week",'Session Tracker'!$G$5:$G$149,""))</f>
        <v>0</v>
      </c>
    </row>
    <row r="65" customFormat="false" ht="15" hidden="false" customHeight="false" outlineLevel="0" collapsed="false">
      <c r="A65" s="68" t="s">
        <v>225</v>
      </c>
      <c r="B65" s="34" t="s">
        <v>379</v>
      </c>
      <c r="C65" s="34" t="s">
        <v>381</v>
      </c>
      <c r="D65" s="32" t="n">
        <v>12</v>
      </c>
      <c r="E65" s="32" t="s">
        <v>14</v>
      </c>
      <c r="F65" s="32" t="s">
        <v>368</v>
      </c>
      <c r="G65" s="34"/>
      <c r="H65" s="52" t="n">
        <f aca="false">IF($E65="Per class",$D65*COUNTIFS('Session Tracker'!$D$5:$D$149,$A65,'Session Tracker'!$F$5:$F$149,"Next week",'Session Tracker'!$G$5:$G$149,"Mon"),$D65*SUMIFS('Session Tracker'!$J$5:$J$149,'Session Tracker'!$D$5:$D$149,$A65,'Session Tracker'!$F$5:$F$149,"Next week",'Session Tracker'!$G$5:$G$149,"Mon"))</f>
        <v>0</v>
      </c>
      <c r="I65" s="52" t="n">
        <f aca="false">IF($E65="Per class",$D65*COUNTIFS('Session Tracker'!$D$5:$D$149,$A65,'Session Tracker'!$F$5:$F$149,"Next week",'Session Tracker'!$G$5:$G$149,"Tue"),$D65*SUMIFS('Session Tracker'!$J$5:$J$149,'Session Tracker'!$D$5:$D$149,$A65,'Session Tracker'!$F$5:$F$149,"Next week",'Session Tracker'!$G$5:$G$149,"Tue"))</f>
        <v>0</v>
      </c>
      <c r="J65" s="52" t="n">
        <f aca="false">IF($E65="Per class",$D65*COUNTIFS('Session Tracker'!$D$5:$D$149,$A65,'Session Tracker'!$F$5:$F$149,"Next week",'Session Tracker'!$G$5:$G$149,"Wed"),$D65*SUMIFS('Session Tracker'!$J$5:$J$149,'Session Tracker'!$D$5:$D$149,$A65,'Session Tracker'!$F$5:$F$149,"Next week",'Session Tracker'!$G$5:$G$149,"Wed"))</f>
        <v>0</v>
      </c>
      <c r="K65" s="52" t="n">
        <f aca="false">IF($E65="Per class",$D65*COUNTIFS('Session Tracker'!$D$5:$D$149,$A65,'Session Tracker'!$F$5:$F$149,"Next week",'Session Tracker'!$G$5:$G$149,"Thu"),$D65*SUMIFS('Session Tracker'!$J$5:$J$149,'Session Tracker'!$D$5:$D$149,$A65,'Session Tracker'!$F$5:$F$149,"Next week",'Session Tracker'!$G$5:$G$149,"Thu"))</f>
        <v>0</v>
      </c>
      <c r="L65" s="52" t="n">
        <f aca="false">IF($E65="Per class",$D65*COUNTIFS('Session Tracker'!$D$5:$D$149,$A65,'Session Tracker'!$F$5:$F$149,"Next week",'Session Tracker'!$G$5:$G$149,"Fri"),$D65*SUMIFS('Session Tracker'!$J$5:$J$149,'Session Tracker'!$D$5:$D$149,$A65,'Session Tracker'!$F$5:$F$149,"Next week",'Session Tracker'!$G$5:$G$149,"Fri"))</f>
        <v>0</v>
      </c>
      <c r="M65" s="52" t="n">
        <f aca="false">IF($E65="Per class",$D65*COUNTIFS('Session Tracker'!$D$5:$D$149,$A65,'Session Tracker'!$F$5:$F$149,"Next week",'Session Tracker'!$G$5:$G$149,""),$D65*SUMIFS('Session Tracker'!$J$5:$J$149,'Session Tracker'!$D$5:$D$149,$A65,'Session Tracker'!$F$5:$F$149,"Next week",'Session Tracker'!$G$5:$G$149,""))</f>
        <v>0</v>
      </c>
    </row>
    <row r="66" customFormat="false" ht="15" hidden="false" customHeight="false" outlineLevel="0" collapsed="false">
      <c r="A66" s="53" t="s">
        <v>225</v>
      </c>
      <c r="B66" s="54"/>
      <c r="C66" s="54"/>
      <c r="D66" s="54"/>
      <c r="E66" s="54"/>
      <c r="F66" s="54"/>
      <c r="G66" s="54"/>
      <c r="H66" s="52" t="n">
        <f aca="false">IF($E66="Per class",$D66*COUNTIFS('Session Tracker'!$D$5:$D$149,$A66,'Session Tracker'!$F$5:$F$149,"Next week",'Session Tracker'!$G$5:$G$149,"Mon"),$D66*SUMIFS('Session Tracker'!$J$5:$J$149,'Session Tracker'!$D$5:$D$149,$A66,'Session Tracker'!$F$5:$F$149,"Next week",'Session Tracker'!$G$5:$G$149,"Mon"))</f>
        <v>0</v>
      </c>
      <c r="I66" s="52" t="n">
        <f aca="false">IF($E66="Per class",$D66*COUNTIFS('Session Tracker'!$D$5:$D$149,$A66,'Session Tracker'!$F$5:$F$149,"Next week",'Session Tracker'!$G$5:$G$149,"Tue"),$D66*SUMIFS('Session Tracker'!$J$5:$J$149,'Session Tracker'!$D$5:$D$149,$A66,'Session Tracker'!$F$5:$F$149,"Next week",'Session Tracker'!$G$5:$G$149,"Tue"))</f>
        <v>0</v>
      </c>
      <c r="J66" s="52" t="n">
        <f aca="false">IF($E66="Per class",$D66*COUNTIFS('Session Tracker'!$D$5:$D$149,$A66,'Session Tracker'!$F$5:$F$149,"Next week",'Session Tracker'!$G$5:$G$149,"Wed"),$D66*SUMIFS('Session Tracker'!$J$5:$J$149,'Session Tracker'!$D$5:$D$149,$A66,'Session Tracker'!$F$5:$F$149,"Next week",'Session Tracker'!$G$5:$G$149,"Wed"))</f>
        <v>0</v>
      </c>
      <c r="K66" s="52" t="n">
        <f aca="false">IF($E66="Per class",$D66*COUNTIFS('Session Tracker'!$D$5:$D$149,$A66,'Session Tracker'!$F$5:$F$149,"Next week",'Session Tracker'!$G$5:$G$149,"Thu"),$D66*SUMIFS('Session Tracker'!$J$5:$J$149,'Session Tracker'!$D$5:$D$149,$A66,'Session Tracker'!$F$5:$F$149,"Next week",'Session Tracker'!$G$5:$G$149,"Thu"))</f>
        <v>0</v>
      </c>
      <c r="L66" s="52" t="n">
        <f aca="false">IF($E66="Per class",$D66*COUNTIFS('Session Tracker'!$D$5:$D$149,$A66,'Session Tracker'!$F$5:$F$149,"Next week",'Session Tracker'!$G$5:$G$149,"Fri"),$D66*SUMIFS('Session Tracker'!$J$5:$J$149,'Session Tracker'!$D$5:$D$149,$A66,'Session Tracker'!$F$5:$F$149,"Next week",'Session Tracker'!$G$5:$G$149,"Fri"))</f>
        <v>0</v>
      </c>
      <c r="M66" s="52" t="n">
        <f aca="false">IF($E66="Per class",$D66*COUNTIFS('Session Tracker'!$D$5:$D$149,$A66,'Session Tracker'!$F$5:$F$149,"Next week",'Session Tracker'!$G$5:$G$149,""),$D66*SUMIFS('Session Tracker'!$J$5:$J$149,'Session Tracker'!$D$5:$D$149,$A66,'Session Tracker'!$F$5:$F$149,"Next week",'Session Tracker'!$G$5:$G$149,""))</f>
        <v>0</v>
      </c>
    </row>
    <row r="67" customFormat="false" ht="15" hidden="false" customHeight="false" outlineLevel="0" collapsed="false">
      <c r="A67" s="53" t="s">
        <v>225</v>
      </c>
      <c r="B67" s="54"/>
      <c r="C67" s="54"/>
      <c r="D67" s="54"/>
      <c r="E67" s="54"/>
      <c r="F67" s="54"/>
      <c r="G67" s="54"/>
      <c r="H67" s="52" t="n">
        <f aca="false">IF($E67="Per class",$D67*COUNTIFS('Session Tracker'!$D$5:$D$149,$A67,'Session Tracker'!$F$5:$F$149,"Next week",'Session Tracker'!$G$5:$G$149,"Mon"),$D67*SUMIFS('Session Tracker'!$J$5:$J$149,'Session Tracker'!$D$5:$D$149,$A67,'Session Tracker'!$F$5:$F$149,"Next week",'Session Tracker'!$G$5:$G$149,"Mon"))</f>
        <v>0</v>
      </c>
      <c r="I67" s="52" t="n">
        <f aca="false">IF($E67="Per class",$D67*COUNTIFS('Session Tracker'!$D$5:$D$149,$A67,'Session Tracker'!$F$5:$F$149,"Next week",'Session Tracker'!$G$5:$G$149,"Tue"),$D67*SUMIFS('Session Tracker'!$J$5:$J$149,'Session Tracker'!$D$5:$D$149,$A67,'Session Tracker'!$F$5:$F$149,"Next week",'Session Tracker'!$G$5:$G$149,"Tue"))</f>
        <v>0</v>
      </c>
      <c r="J67" s="52" t="n">
        <f aca="false">IF($E67="Per class",$D67*COUNTIFS('Session Tracker'!$D$5:$D$149,$A67,'Session Tracker'!$F$5:$F$149,"Next week",'Session Tracker'!$G$5:$G$149,"Wed"),$D67*SUMIFS('Session Tracker'!$J$5:$J$149,'Session Tracker'!$D$5:$D$149,$A67,'Session Tracker'!$F$5:$F$149,"Next week",'Session Tracker'!$G$5:$G$149,"Wed"))</f>
        <v>0</v>
      </c>
      <c r="K67" s="52" t="n">
        <f aca="false">IF($E67="Per class",$D67*COUNTIFS('Session Tracker'!$D$5:$D$149,$A67,'Session Tracker'!$F$5:$F$149,"Next week",'Session Tracker'!$G$5:$G$149,"Thu"),$D67*SUMIFS('Session Tracker'!$J$5:$J$149,'Session Tracker'!$D$5:$D$149,$A67,'Session Tracker'!$F$5:$F$149,"Next week",'Session Tracker'!$G$5:$G$149,"Thu"))</f>
        <v>0</v>
      </c>
      <c r="L67" s="52" t="n">
        <f aca="false">IF($E67="Per class",$D67*COUNTIFS('Session Tracker'!$D$5:$D$149,$A67,'Session Tracker'!$F$5:$F$149,"Next week",'Session Tracker'!$G$5:$G$149,"Fri"),$D67*SUMIFS('Session Tracker'!$J$5:$J$149,'Session Tracker'!$D$5:$D$149,$A67,'Session Tracker'!$F$5:$F$149,"Next week",'Session Tracker'!$G$5:$G$149,"Fri"))</f>
        <v>0</v>
      </c>
      <c r="M67" s="52" t="n">
        <f aca="false">IF($E67="Per class",$D67*COUNTIFS('Session Tracker'!$D$5:$D$149,$A67,'Session Tracker'!$F$5:$F$149,"Next week",'Session Tracker'!$G$5:$G$149,""),$D67*SUMIFS('Session Tracker'!$J$5:$J$149,'Session Tracker'!$D$5:$D$149,$A67,'Session Tracker'!$F$5:$F$149,"Next week",'Session Tracker'!$G$5:$G$149,""))</f>
        <v>0</v>
      </c>
    </row>
    <row r="69" customFormat="false" ht="19.5" hidden="false" customHeight="true" outlineLevel="0" collapsed="false">
      <c r="A69" s="64" t="s">
        <v>227</v>
      </c>
      <c r="B69" s="65" t="s">
        <v>594</v>
      </c>
      <c r="C69" s="65"/>
      <c r="D69" s="65"/>
      <c r="E69" s="65"/>
      <c r="F69" s="66" t="str">
        <f aca="false">"Status: "&amp;'Session Tracker'!F83&amp;IF('Session Tracker'!G83&lt;&gt;""," ("&amp;'Session Tracker'!G83&amp;")","")</f>
        <v>Status: Not started</v>
      </c>
      <c r="G69" s="66"/>
      <c r="H69" s="67"/>
      <c r="I69" s="67"/>
      <c r="J69" s="67"/>
      <c r="K69" s="67"/>
      <c r="L69" s="67"/>
      <c r="M69" s="67"/>
    </row>
    <row r="70" customFormat="false" ht="23.85" hidden="false" customHeight="false" outlineLevel="0" collapsed="false">
      <c r="A70" s="68" t="s">
        <v>227</v>
      </c>
      <c r="B70" s="34" t="s">
        <v>366</v>
      </c>
      <c r="C70" s="34" t="s">
        <v>367</v>
      </c>
      <c r="D70" s="32" t="n">
        <v>1</v>
      </c>
      <c r="E70" s="32" t="s">
        <v>14</v>
      </c>
      <c r="F70" s="32" t="s">
        <v>368</v>
      </c>
      <c r="G70" s="34"/>
      <c r="H70" s="52" t="n">
        <f aca="false">IF($E70="Per class",$D70*COUNTIFS('Session Tracker'!$D$5:$D$149,$A70,'Session Tracker'!$F$5:$F$149,"Next week",'Session Tracker'!$G$5:$G$149,"Mon"),$D70*SUMIFS('Session Tracker'!$J$5:$J$149,'Session Tracker'!$D$5:$D$149,$A70,'Session Tracker'!$F$5:$F$149,"Next week",'Session Tracker'!$G$5:$G$149,"Mon"))</f>
        <v>0</v>
      </c>
      <c r="I70" s="52" t="n">
        <f aca="false">IF($E70="Per class",$D70*COUNTIFS('Session Tracker'!$D$5:$D$149,$A70,'Session Tracker'!$F$5:$F$149,"Next week",'Session Tracker'!$G$5:$G$149,"Tue"),$D70*SUMIFS('Session Tracker'!$J$5:$J$149,'Session Tracker'!$D$5:$D$149,$A70,'Session Tracker'!$F$5:$F$149,"Next week",'Session Tracker'!$G$5:$G$149,"Tue"))</f>
        <v>0</v>
      </c>
      <c r="J70" s="52" t="n">
        <f aca="false">IF($E70="Per class",$D70*COUNTIFS('Session Tracker'!$D$5:$D$149,$A70,'Session Tracker'!$F$5:$F$149,"Next week",'Session Tracker'!$G$5:$G$149,"Wed"),$D70*SUMIFS('Session Tracker'!$J$5:$J$149,'Session Tracker'!$D$5:$D$149,$A70,'Session Tracker'!$F$5:$F$149,"Next week",'Session Tracker'!$G$5:$G$149,"Wed"))</f>
        <v>0</v>
      </c>
      <c r="K70" s="52" t="n">
        <f aca="false">IF($E70="Per class",$D70*COUNTIFS('Session Tracker'!$D$5:$D$149,$A70,'Session Tracker'!$F$5:$F$149,"Next week",'Session Tracker'!$G$5:$G$149,"Thu"),$D70*SUMIFS('Session Tracker'!$J$5:$J$149,'Session Tracker'!$D$5:$D$149,$A70,'Session Tracker'!$F$5:$F$149,"Next week",'Session Tracker'!$G$5:$G$149,"Thu"))</f>
        <v>0</v>
      </c>
      <c r="L70" s="52" t="n">
        <f aca="false">IF($E70="Per class",$D70*COUNTIFS('Session Tracker'!$D$5:$D$149,$A70,'Session Tracker'!$F$5:$F$149,"Next week",'Session Tracker'!$G$5:$G$149,"Fri"),$D70*SUMIFS('Session Tracker'!$J$5:$J$149,'Session Tracker'!$D$5:$D$149,$A70,'Session Tracker'!$F$5:$F$149,"Next week",'Session Tracker'!$G$5:$G$149,"Fri"))</f>
        <v>0</v>
      </c>
      <c r="M70" s="52" t="n">
        <f aca="false">IF($E70="Per class",$D70*COUNTIFS('Session Tracker'!$D$5:$D$149,$A70,'Session Tracker'!$F$5:$F$149,"Next week",'Session Tracker'!$G$5:$G$149,""),$D70*SUMIFS('Session Tracker'!$J$5:$J$149,'Session Tracker'!$D$5:$D$149,$A70,'Session Tracker'!$F$5:$F$149,"Next week",'Session Tracker'!$G$5:$G$149,""))</f>
        <v>0</v>
      </c>
    </row>
    <row r="71" customFormat="false" ht="15" hidden="false" customHeight="false" outlineLevel="0" collapsed="false">
      <c r="A71" s="68" t="s">
        <v>227</v>
      </c>
      <c r="B71" s="34" t="s">
        <v>369</v>
      </c>
      <c r="C71" s="34" t="s">
        <v>595</v>
      </c>
      <c r="D71" s="32" t="n">
        <v>1</v>
      </c>
      <c r="E71" s="32" t="s">
        <v>14</v>
      </c>
      <c r="F71" s="32" t="s">
        <v>368</v>
      </c>
      <c r="G71" s="34"/>
      <c r="H71" s="52" t="n">
        <f aca="false">IF($E71="Per class",$D71*COUNTIFS('Session Tracker'!$D$5:$D$149,$A71,'Session Tracker'!$F$5:$F$149,"Next week",'Session Tracker'!$G$5:$G$149,"Mon"),$D71*SUMIFS('Session Tracker'!$J$5:$J$149,'Session Tracker'!$D$5:$D$149,$A71,'Session Tracker'!$F$5:$F$149,"Next week",'Session Tracker'!$G$5:$G$149,"Mon"))</f>
        <v>0</v>
      </c>
      <c r="I71" s="52" t="n">
        <f aca="false">IF($E71="Per class",$D71*COUNTIFS('Session Tracker'!$D$5:$D$149,$A71,'Session Tracker'!$F$5:$F$149,"Next week",'Session Tracker'!$G$5:$G$149,"Tue"),$D71*SUMIFS('Session Tracker'!$J$5:$J$149,'Session Tracker'!$D$5:$D$149,$A71,'Session Tracker'!$F$5:$F$149,"Next week",'Session Tracker'!$G$5:$G$149,"Tue"))</f>
        <v>0</v>
      </c>
      <c r="J71" s="52" t="n">
        <f aca="false">IF($E71="Per class",$D71*COUNTIFS('Session Tracker'!$D$5:$D$149,$A71,'Session Tracker'!$F$5:$F$149,"Next week",'Session Tracker'!$G$5:$G$149,"Wed"),$D71*SUMIFS('Session Tracker'!$J$5:$J$149,'Session Tracker'!$D$5:$D$149,$A71,'Session Tracker'!$F$5:$F$149,"Next week",'Session Tracker'!$G$5:$G$149,"Wed"))</f>
        <v>0</v>
      </c>
      <c r="K71" s="52" t="n">
        <f aca="false">IF($E71="Per class",$D71*COUNTIFS('Session Tracker'!$D$5:$D$149,$A71,'Session Tracker'!$F$5:$F$149,"Next week",'Session Tracker'!$G$5:$G$149,"Thu"),$D71*SUMIFS('Session Tracker'!$J$5:$J$149,'Session Tracker'!$D$5:$D$149,$A71,'Session Tracker'!$F$5:$F$149,"Next week",'Session Tracker'!$G$5:$G$149,"Thu"))</f>
        <v>0</v>
      </c>
      <c r="L71" s="52" t="n">
        <f aca="false">IF($E71="Per class",$D71*COUNTIFS('Session Tracker'!$D$5:$D$149,$A71,'Session Tracker'!$F$5:$F$149,"Next week",'Session Tracker'!$G$5:$G$149,"Fri"),$D71*SUMIFS('Session Tracker'!$J$5:$J$149,'Session Tracker'!$D$5:$D$149,$A71,'Session Tracker'!$F$5:$F$149,"Next week",'Session Tracker'!$G$5:$G$149,"Fri"))</f>
        <v>0</v>
      </c>
      <c r="M71" s="52" t="n">
        <f aca="false">IF($E71="Per class",$D71*COUNTIFS('Session Tracker'!$D$5:$D$149,$A71,'Session Tracker'!$F$5:$F$149,"Next week",'Session Tracker'!$G$5:$G$149,""),$D71*SUMIFS('Session Tracker'!$J$5:$J$149,'Session Tracker'!$D$5:$D$149,$A71,'Session Tracker'!$F$5:$F$149,"Next week",'Session Tracker'!$G$5:$G$149,""))</f>
        <v>0</v>
      </c>
    </row>
    <row r="72" customFormat="false" ht="15" hidden="false" customHeight="false" outlineLevel="0" collapsed="false">
      <c r="A72" s="68" t="s">
        <v>227</v>
      </c>
      <c r="B72" s="34" t="s">
        <v>371</v>
      </c>
      <c r="C72" s="34" t="s">
        <v>517</v>
      </c>
      <c r="D72" s="32" t="n">
        <v>1</v>
      </c>
      <c r="E72" s="32" t="s">
        <v>14</v>
      </c>
      <c r="F72" s="32" t="s">
        <v>368</v>
      </c>
      <c r="G72" s="34"/>
      <c r="H72" s="52" t="n">
        <f aca="false">IF($E72="Per class",$D72*COUNTIFS('Session Tracker'!$D$5:$D$149,$A72,'Session Tracker'!$F$5:$F$149,"Next week",'Session Tracker'!$G$5:$G$149,"Mon"),$D72*SUMIFS('Session Tracker'!$J$5:$J$149,'Session Tracker'!$D$5:$D$149,$A72,'Session Tracker'!$F$5:$F$149,"Next week",'Session Tracker'!$G$5:$G$149,"Mon"))</f>
        <v>0</v>
      </c>
      <c r="I72" s="52" t="n">
        <f aca="false">IF($E72="Per class",$D72*COUNTIFS('Session Tracker'!$D$5:$D$149,$A72,'Session Tracker'!$F$5:$F$149,"Next week",'Session Tracker'!$G$5:$G$149,"Tue"),$D72*SUMIFS('Session Tracker'!$J$5:$J$149,'Session Tracker'!$D$5:$D$149,$A72,'Session Tracker'!$F$5:$F$149,"Next week",'Session Tracker'!$G$5:$G$149,"Tue"))</f>
        <v>0</v>
      </c>
      <c r="J72" s="52" t="n">
        <f aca="false">IF($E72="Per class",$D72*COUNTIFS('Session Tracker'!$D$5:$D$149,$A72,'Session Tracker'!$F$5:$F$149,"Next week",'Session Tracker'!$G$5:$G$149,"Wed"),$D72*SUMIFS('Session Tracker'!$J$5:$J$149,'Session Tracker'!$D$5:$D$149,$A72,'Session Tracker'!$F$5:$F$149,"Next week",'Session Tracker'!$G$5:$G$149,"Wed"))</f>
        <v>0</v>
      </c>
      <c r="K72" s="52" t="n">
        <f aca="false">IF($E72="Per class",$D72*COUNTIFS('Session Tracker'!$D$5:$D$149,$A72,'Session Tracker'!$F$5:$F$149,"Next week",'Session Tracker'!$G$5:$G$149,"Thu"),$D72*SUMIFS('Session Tracker'!$J$5:$J$149,'Session Tracker'!$D$5:$D$149,$A72,'Session Tracker'!$F$5:$F$149,"Next week",'Session Tracker'!$G$5:$G$149,"Thu"))</f>
        <v>0</v>
      </c>
      <c r="L72" s="52" t="n">
        <f aca="false">IF($E72="Per class",$D72*COUNTIFS('Session Tracker'!$D$5:$D$149,$A72,'Session Tracker'!$F$5:$F$149,"Next week",'Session Tracker'!$G$5:$G$149,"Fri"),$D72*SUMIFS('Session Tracker'!$J$5:$J$149,'Session Tracker'!$D$5:$D$149,$A72,'Session Tracker'!$F$5:$F$149,"Next week",'Session Tracker'!$G$5:$G$149,"Fri"))</f>
        <v>0</v>
      </c>
      <c r="M72" s="52" t="n">
        <f aca="false">IF($E72="Per class",$D72*COUNTIFS('Session Tracker'!$D$5:$D$149,$A72,'Session Tracker'!$F$5:$F$149,"Next week",'Session Tracker'!$G$5:$G$149,""),$D72*SUMIFS('Session Tracker'!$J$5:$J$149,'Session Tracker'!$D$5:$D$149,$A72,'Session Tracker'!$F$5:$F$149,"Next week",'Session Tracker'!$G$5:$G$149,""))</f>
        <v>0</v>
      </c>
    </row>
    <row r="73" customFormat="false" ht="15" hidden="false" customHeight="false" outlineLevel="0" collapsed="false">
      <c r="A73" s="68" t="s">
        <v>227</v>
      </c>
      <c r="B73" s="34" t="s">
        <v>377</v>
      </c>
      <c r="C73" s="34" t="s">
        <v>378</v>
      </c>
      <c r="D73" s="32" t="n">
        <v>1</v>
      </c>
      <c r="E73" s="32" t="s">
        <v>14</v>
      </c>
      <c r="F73" s="32" t="s">
        <v>368</v>
      </c>
      <c r="G73" s="34"/>
      <c r="H73" s="52" t="n">
        <f aca="false">IF($E73="Per class",$D73*COUNTIFS('Session Tracker'!$D$5:$D$149,$A73,'Session Tracker'!$F$5:$F$149,"Next week",'Session Tracker'!$G$5:$G$149,"Mon"),$D73*SUMIFS('Session Tracker'!$J$5:$J$149,'Session Tracker'!$D$5:$D$149,$A73,'Session Tracker'!$F$5:$F$149,"Next week",'Session Tracker'!$G$5:$G$149,"Mon"))</f>
        <v>0</v>
      </c>
      <c r="I73" s="52" t="n">
        <f aca="false">IF($E73="Per class",$D73*COUNTIFS('Session Tracker'!$D$5:$D$149,$A73,'Session Tracker'!$F$5:$F$149,"Next week",'Session Tracker'!$G$5:$G$149,"Tue"),$D73*SUMIFS('Session Tracker'!$J$5:$J$149,'Session Tracker'!$D$5:$D$149,$A73,'Session Tracker'!$F$5:$F$149,"Next week",'Session Tracker'!$G$5:$G$149,"Tue"))</f>
        <v>0</v>
      </c>
      <c r="J73" s="52" t="n">
        <f aca="false">IF($E73="Per class",$D73*COUNTIFS('Session Tracker'!$D$5:$D$149,$A73,'Session Tracker'!$F$5:$F$149,"Next week",'Session Tracker'!$G$5:$G$149,"Wed"),$D73*SUMIFS('Session Tracker'!$J$5:$J$149,'Session Tracker'!$D$5:$D$149,$A73,'Session Tracker'!$F$5:$F$149,"Next week",'Session Tracker'!$G$5:$G$149,"Wed"))</f>
        <v>0</v>
      </c>
      <c r="K73" s="52" t="n">
        <f aca="false">IF($E73="Per class",$D73*COUNTIFS('Session Tracker'!$D$5:$D$149,$A73,'Session Tracker'!$F$5:$F$149,"Next week",'Session Tracker'!$G$5:$G$149,"Thu"),$D73*SUMIFS('Session Tracker'!$J$5:$J$149,'Session Tracker'!$D$5:$D$149,$A73,'Session Tracker'!$F$5:$F$149,"Next week",'Session Tracker'!$G$5:$G$149,"Thu"))</f>
        <v>0</v>
      </c>
      <c r="L73" s="52" t="n">
        <f aca="false">IF($E73="Per class",$D73*COUNTIFS('Session Tracker'!$D$5:$D$149,$A73,'Session Tracker'!$F$5:$F$149,"Next week",'Session Tracker'!$G$5:$G$149,"Fri"),$D73*SUMIFS('Session Tracker'!$J$5:$J$149,'Session Tracker'!$D$5:$D$149,$A73,'Session Tracker'!$F$5:$F$149,"Next week",'Session Tracker'!$G$5:$G$149,"Fri"))</f>
        <v>0</v>
      </c>
      <c r="M73" s="52" t="n">
        <f aca="false">IF($E73="Per class",$D73*COUNTIFS('Session Tracker'!$D$5:$D$149,$A73,'Session Tracker'!$F$5:$F$149,"Next week",'Session Tracker'!$G$5:$G$149,""),$D73*SUMIFS('Session Tracker'!$J$5:$J$149,'Session Tracker'!$D$5:$D$149,$A73,'Session Tracker'!$F$5:$F$149,"Next week",'Session Tracker'!$G$5:$G$149,""))</f>
        <v>0</v>
      </c>
    </row>
    <row r="74" customFormat="false" ht="15" hidden="false" customHeight="false" outlineLevel="0" collapsed="false">
      <c r="A74" s="68" t="s">
        <v>227</v>
      </c>
      <c r="B74" s="34" t="s">
        <v>371</v>
      </c>
      <c r="C74" s="34" t="s">
        <v>372</v>
      </c>
      <c r="D74" s="32" t="n">
        <v>1</v>
      </c>
      <c r="E74" s="32" t="s">
        <v>14</v>
      </c>
      <c r="F74" s="32" t="s">
        <v>373</v>
      </c>
      <c r="G74" s="34"/>
      <c r="H74" s="52" t="n">
        <f aca="false">IF($E74="Per class",$D74*COUNTIFS('Session Tracker'!$D$5:$D$149,$A74,'Session Tracker'!$F$5:$F$149,"Next week",'Session Tracker'!$G$5:$G$149,"Mon"),$D74*SUMIFS('Session Tracker'!$J$5:$J$149,'Session Tracker'!$D$5:$D$149,$A74,'Session Tracker'!$F$5:$F$149,"Next week",'Session Tracker'!$G$5:$G$149,"Mon"))</f>
        <v>0</v>
      </c>
      <c r="I74" s="52" t="n">
        <f aca="false">IF($E74="Per class",$D74*COUNTIFS('Session Tracker'!$D$5:$D$149,$A74,'Session Tracker'!$F$5:$F$149,"Next week",'Session Tracker'!$G$5:$G$149,"Tue"),$D74*SUMIFS('Session Tracker'!$J$5:$J$149,'Session Tracker'!$D$5:$D$149,$A74,'Session Tracker'!$F$5:$F$149,"Next week",'Session Tracker'!$G$5:$G$149,"Tue"))</f>
        <v>0</v>
      </c>
      <c r="J74" s="52" t="n">
        <f aca="false">IF($E74="Per class",$D74*COUNTIFS('Session Tracker'!$D$5:$D$149,$A74,'Session Tracker'!$F$5:$F$149,"Next week",'Session Tracker'!$G$5:$G$149,"Wed"),$D74*SUMIFS('Session Tracker'!$J$5:$J$149,'Session Tracker'!$D$5:$D$149,$A74,'Session Tracker'!$F$5:$F$149,"Next week",'Session Tracker'!$G$5:$G$149,"Wed"))</f>
        <v>0</v>
      </c>
      <c r="K74" s="52" t="n">
        <f aca="false">IF($E74="Per class",$D74*COUNTIFS('Session Tracker'!$D$5:$D$149,$A74,'Session Tracker'!$F$5:$F$149,"Next week",'Session Tracker'!$G$5:$G$149,"Thu"),$D74*SUMIFS('Session Tracker'!$J$5:$J$149,'Session Tracker'!$D$5:$D$149,$A74,'Session Tracker'!$F$5:$F$149,"Next week",'Session Tracker'!$G$5:$G$149,"Thu"))</f>
        <v>0</v>
      </c>
      <c r="L74" s="52" t="n">
        <f aca="false">IF($E74="Per class",$D74*COUNTIFS('Session Tracker'!$D$5:$D$149,$A74,'Session Tracker'!$F$5:$F$149,"Next week",'Session Tracker'!$G$5:$G$149,"Fri"),$D74*SUMIFS('Session Tracker'!$J$5:$J$149,'Session Tracker'!$D$5:$D$149,$A74,'Session Tracker'!$F$5:$F$149,"Next week",'Session Tracker'!$G$5:$G$149,"Fri"))</f>
        <v>0</v>
      </c>
      <c r="M74" s="52" t="n">
        <f aca="false">IF($E74="Per class",$D74*COUNTIFS('Session Tracker'!$D$5:$D$149,$A74,'Session Tracker'!$F$5:$F$149,"Next week",'Session Tracker'!$G$5:$G$149,""),$D74*SUMIFS('Session Tracker'!$J$5:$J$149,'Session Tracker'!$D$5:$D$149,$A74,'Session Tracker'!$F$5:$F$149,"Next week",'Session Tracker'!$G$5:$G$149,""))</f>
        <v>0</v>
      </c>
    </row>
    <row r="75" customFormat="false" ht="15" hidden="false" customHeight="false" outlineLevel="0" collapsed="false">
      <c r="A75" s="68" t="s">
        <v>227</v>
      </c>
      <c r="B75" s="34" t="s">
        <v>375</v>
      </c>
      <c r="C75" s="34" t="s">
        <v>376</v>
      </c>
      <c r="D75" s="32" t="n">
        <v>1</v>
      </c>
      <c r="E75" s="32" t="s">
        <v>14</v>
      </c>
      <c r="F75" s="32" t="s">
        <v>373</v>
      </c>
      <c r="G75" s="34"/>
      <c r="H75" s="52" t="n">
        <f aca="false">IF($E75="Per class",$D75*COUNTIFS('Session Tracker'!$D$5:$D$149,$A75,'Session Tracker'!$F$5:$F$149,"Next week",'Session Tracker'!$G$5:$G$149,"Mon"),$D75*SUMIFS('Session Tracker'!$J$5:$J$149,'Session Tracker'!$D$5:$D$149,$A75,'Session Tracker'!$F$5:$F$149,"Next week",'Session Tracker'!$G$5:$G$149,"Mon"))</f>
        <v>0</v>
      </c>
      <c r="I75" s="52" t="n">
        <f aca="false">IF($E75="Per class",$D75*COUNTIFS('Session Tracker'!$D$5:$D$149,$A75,'Session Tracker'!$F$5:$F$149,"Next week",'Session Tracker'!$G$5:$G$149,"Tue"),$D75*SUMIFS('Session Tracker'!$J$5:$J$149,'Session Tracker'!$D$5:$D$149,$A75,'Session Tracker'!$F$5:$F$149,"Next week",'Session Tracker'!$G$5:$G$149,"Tue"))</f>
        <v>0</v>
      </c>
      <c r="J75" s="52" t="n">
        <f aca="false">IF($E75="Per class",$D75*COUNTIFS('Session Tracker'!$D$5:$D$149,$A75,'Session Tracker'!$F$5:$F$149,"Next week",'Session Tracker'!$G$5:$G$149,"Wed"),$D75*SUMIFS('Session Tracker'!$J$5:$J$149,'Session Tracker'!$D$5:$D$149,$A75,'Session Tracker'!$F$5:$F$149,"Next week",'Session Tracker'!$G$5:$G$149,"Wed"))</f>
        <v>0</v>
      </c>
      <c r="K75" s="52" t="n">
        <f aca="false">IF($E75="Per class",$D75*COUNTIFS('Session Tracker'!$D$5:$D$149,$A75,'Session Tracker'!$F$5:$F$149,"Next week",'Session Tracker'!$G$5:$G$149,"Thu"),$D75*SUMIFS('Session Tracker'!$J$5:$J$149,'Session Tracker'!$D$5:$D$149,$A75,'Session Tracker'!$F$5:$F$149,"Next week",'Session Tracker'!$G$5:$G$149,"Thu"))</f>
        <v>0</v>
      </c>
      <c r="L75" s="52" t="n">
        <f aca="false">IF($E75="Per class",$D75*COUNTIFS('Session Tracker'!$D$5:$D$149,$A75,'Session Tracker'!$F$5:$F$149,"Next week",'Session Tracker'!$G$5:$G$149,"Fri"),$D75*SUMIFS('Session Tracker'!$J$5:$J$149,'Session Tracker'!$D$5:$D$149,$A75,'Session Tracker'!$F$5:$F$149,"Next week",'Session Tracker'!$G$5:$G$149,"Fri"))</f>
        <v>0</v>
      </c>
      <c r="M75" s="52" t="n">
        <f aca="false">IF($E75="Per class",$D75*COUNTIFS('Session Tracker'!$D$5:$D$149,$A75,'Session Tracker'!$F$5:$F$149,"Next week",'Session Tracker'!$G$5:$G$149,""),$D75*SUMIFS('Session Tracker'!$J$5:$J$149,'Session Tracker'!$D$5:$D$149,$A75,'Session Tracker'!$F$5:$F$149,"Next week",'Session Tracker'!$G$5:$G$149,""))</f>
        <v>0</v>
      </c>
    </row>
    <row r="76" customFormat="false" ht="15" hidden="false" customHeight="false" outlineLevel="0" collapsed="false">
      <c r="A76" s="68" t="s">
        <v>227</v>
      </c>
      <c r="B76" s="34" t="s">
        <v>379</v>
      </c>
      <c r="C76" s="34" t="s">
        <v>380</v>
      </c>
      <c r="D76" s="32" t="n">
        <v>1</v>
      </c>
      <c r="E76" s="32" t="s">
        <v>14</v>
      </c>
      <c r="F76" s="32" t="s">
        <v>368</v>
      </c>
      <c r="G76" s="34"/>
      <c r="H76" s="52" t="n">
        <f aca="false">IF($E76="Per class",$D76*COUNTIFS('Session Tracker'!$D$5:$D$149,$A76,'Session Tracker'!$F$5:$F$149,"Next week",'Session Tracker'!$G$5:$G$149,"Mon"),$D76*SUMIFS('Session Tracker'!$J$5:$J$149,'Session Tracker'!$D$5:$D$149,$A76,'Session Tracker'!$F$5:$F$149,"Next week",'Session Tracker'!$G$5:$G$149,"Mon"))</f>
        <v>0</v>
      </c>
      <c r="I76" s="52" t="n">
        <f aca="false">IF($E76="Per class",$D76*COUNTIFS('Session Tracker'!$D$5:$D$149,$A76,'Session Tracker'!$F$5:$F$149,"Next week",'Session Tracker'!$G$5:$G$149,"Tue"),$D76*SUMIFS('Session Tracker'!$J$5:$J$149,'Session Tracker'!$D$5:$D$149,$A76,'Session Tracker'!$F$5:$F$149,"Next week",'Session Tracker'!$G$5:$G$149,"Tue"))</f>
        <v>0</v>
      </c>
      <c r="J76" s="52" t="n">
        <f aca="false">IF($E76="Per class",$D76*COUNTIFS('Session Tracker'!$D$5:$D$149,$A76,'Session Tracker'!$F$5:$F$149,"Next week",'Session Tracker'!$G$5:$G$149,"Wed"),$D76*SUMIFS('Session Tracker'!$J$5:$J$149,'Session Tracker'!$D$5:$D$149,$A76,'Session Tracker'!$F$5:$F$149,"Next week",'Session Tracker'!$G$5:$G$149,"Wed"))</f>
        <v>0</v>
      </c>
      <c r="K76" s="52" t="n">
        <f aca="false">IF($E76="Per class",$D76*COUNTIFS('Session Tracker'!$D$5:$D$149,$A76,'Session Tracker'!$F$5:$F$149,"Next week",'Session Tracker'!$G$5:$G$149,"Thu"),$D76*SUMIFS('Session Tracker'!$J$5:$J$149,'Session Tracker'!$D$5:$D$149,$A76,'Session Tracker'!$F$5:$F$149,"Next week",'Session Tracker'!$G$5:$G$149,"Thu"))</f>
        <v>0</v>
      </c>
      <c r="L76" s="52" t="n">
        <f aca="false">IF($E76="Per class",$D76*COUNTIFS('Session Tracker'!$D$5:$D$149,$A76,'Session Tracker'!$F$5:$F$149,"Next week",'Session Tracker'!$G$5:$G$149,"Fri"),$D76*SUMIFS('Session Tracker'!$J$5:$J$149,'Session Tracker'!$D$5:$D$149,$A76,'Session Tracker'!$F$5:$F$149,"Next week",'Session Tracker'!$G$5:$G$149,"Fri"))</f>
        <v>0</v>
      </c>
      <c r="M76" s="52" t="n">
        <f aca="false">IF($E76="Per class",$D76*COUNTIFS('Session Tracker'!$D$5:$D$149,$A76,'Session Tracker'!$F$5:$F$149,"Next week",'Session Tracker'!$G$5:$G$149,""),$D76*SUMIFS('Session Tracker'!$J$5:$J$149,'Session Tracker'!$D$5:$D$149,$A76,'Session Tracker'!$F$5:$F$149,"Next week",'Session Tracker'!$G$5:$G$149,""))</f>
        <v>0</v>
      </c>
    </row>
    <row r="77" customFormat="false" ht="15" hidden="false" customHeight="false" outlineLevel="0" collapsed="false">
      <c r="A77" s="68" t="s">
        <v>227</v>
      </c>
      <c r="B77" s="34" t="s">
        <v>379</v>
      </c>
      <c r="C77" s="34" t="s">
        <v>381</v>
      </c>
      <c r="D77" s="32" t="n">
        <v>10</v>
      </c>
      <c r="E77" s="32" t="s">
        <v>14</v>
      </c>
      <c r="F77" s="32" t="s">
        <v>368</v>
      </c>
      <c r="G77" s="34"/>
      <c r="H77" s="52" t="n">
        <f aca="false">IF($E77="Per class",$D77*COUNTIFS('Session Tracker'!$D$5:$D$149,$A77,'Session Tracker'!$F$5:$F$149,"Next week",'Session Tracker'!$G$5:$G$149,"Mon"),$D77*SUMIFS('Session Tracker'!$J$5:$J$149,'Session Tracker'!$D$5:$D$149,$A77,'Session Tracker'!$F$5:$F$149,"Next week",'Session Tracker'!$G$5:$G$149,"Mon"))</f>
        <v>0</v>
      </c>
      <c r="I77" s="52" t="n">
        <f aca="false">IF($E77="Per class",$D77*COUNTIFS('Session Tracker'!$D$5:$D$149,$A77,'Session Tracker'!$F$5:$F$149,"Next week",'Session Tracker'!$G$5:$G$149,"Tue"),$D77*SUMIFS('Session Tracker'!$J$5:$J$149,'Session Tracker'!$D$5:$D$149,$A77,'Session Tracker'!$F$5:$F$149,"Next week",'Session Tracker'!$G$5:$G$149,"Tue"))</f>
        <v>0</v>
      </c>
      <c r="J77" s="52" t="n">
        <f aca="false">IF($E77="Per class",$D77*COUNTIFS('Session Tracker'!$D$5:$D$149,$A77,'Session Tracker'!$F$5:$F$149,"Next week",'Session Tracker'!$G$5:$G$149,"Wed"),$D77*SUMIFS('Session Tracker'!$J$5:$J$149,'Session Tracker'!$D$5:$D$149,$A77,'Session Tracker'!$F$5:$F$149,"Next week",'Session Tracker'!$G$5:$G$149,"Wed"))</f>
        <v>0</v>
      </c>
      <c r="K77" s="52" t="n">
        <f aca="false">IF($E77="Per class",$D77*COUNTIFS('Session Tracker'!$D$5:$D$149,$A77,'Session Tracker'!$F$5:$F$149,"Next week",'Session Tracker'!$G$5:$G$149,"Thu"),$D77*SUMIFS('Session Tracker'!$J$5:$J$149,'Session Tracker'!$D$5:$D$149,$A77,'Session Tracker'!$F$5:$F$149,"Next week",'Session Tracker'!$G$5:$G$149,"Thu"))</f>
        <v>0</v>
      </c>
      <c r="L77" s="52" t="n">
        <f aca="false">IF($E77="Per class",$D77*COUNTIFS('Session Tracker'!$D$5:$D$149,$A77,'Session Tracker'!$F$5:$F$149,"Next week",'Session Tracker'!$G$5:$G$149,"Fri"),$D77*SUMIFS('Session Tracker'!$J$5:$J$149,'Session Tracker'!$D$5:$D$149,$A77,'Session Tracker'!$F$5:$F$149,"Next week",'Session Tracker'!$G$5:$G$149,"Fri"))</f>
        <v>0</v>
      </c>
      <c r="M77" s="52" t="n">
        <f aca="false">IF($E77="Per class",$D77*COUNTIFS('Session Tracker'!$D$5:$D$149,$A77,'Session Tracker'!$F$5:$F$149,"Next week",'Session Tracker'!$G$5:$G$149,""),$D77*SUMIFS('Session Tracker'!$J$5:$J$149,'Session Tracker'!$D$5:$D$149,$A77,'Session Tracker'!$F$5:$F$149,"Next week",'Session Tracker'!$G$5:$G$149,""))</f>
        <v>0</v>
      </c>
    </row>
    <row r="78" customFormat="false" ht="15" hidden="false" customHeight="false" outlineLevel="0" collapsed="false">
      <c r="A78" s="68" t="s">
        <v>227</v>
      </c>
      <c r="B78" s="34" t="s">
        <v>379</v>
      </c>
      <c r="C78" s="34" t="s">
        <v>395</v>
      </c>
      <c r="D78" s="32" t="n">
        <v>6</v>
      </c>
      <c r="E78" s="32" t="s">
        <v>14</v>
      </c>
      <c r="F78" s="32" t="s">
        <v>368</v>
      </c>
      <c r="G78" s="34"/>
      <c r="H78" s="52" t="n">
        <f aca="false">IF($E78="Per class",$D78*COUNTIFS('Session Tracker'!$D$5:$D$149,$A78,'Session Tracker'!$F$5:$F$149,"Next week",'Session Tracker'!$G$5:$G$149,"Mon"),$D78*SUMIFS('Session Tracker'!$J$5:$J$149,'Session Tracker'!$D$5:$D$149,$A78,'Session Tracker'!$F$5:$F$149,"Next week",'Session Tracker'!$G$5:$G$149,"Mon"))</f>
        <v>0</v>
      </c>
      <c r="I78" s="52" t="n">
        <f aca="false">IF($E78="Per class",$D78*COUNTIFS('Session Tracker'!$D$5:$D$149,$A78,'Session Tracker'!$F$5:$F$149,"Next week",'Session Tracker'!$G$5:$G$149,"Tue"),$D78*SUMIFS('Session Tracker'!$J$5:$J$149,'Session Tracker'!$D$5:$D$149,$A78,'Session Tracker'!$F$5:$F$149,"Next week",'Session Tracker'!$G$5:$G$149,"Tue"))</f>
        <v>0</v>
      </c>
      <c r="J78" s="52" t="n">
        <f aca="false">IF($E78="Per class",$D78*COUNTIFS('Session Tracker'!$D$5:$D$149,$A78,'Session Tracker'!$F$5:$F$149,"Next week",'Session Tracker'!$G$5:$G$149,"Wed"),$D78*SUMIFS('Session Tracker'!$J$5:$J$149,'Session Tracker'!$D$5:$D$149,$A78,'Session Tracker'!$F$5:$F$149,"Next week",'Session Tracker'!$G$5:$G$149,"Wed"))</f>
        <v>0</v>
      </c>
      <c r="K78" s="52" t="n">
        <f aca="false">IF($E78="Per class",$D78*COUNTIFS('Session Tracker'!$D$5:$D$149,$A78,'Session Tracker'!$F$5:$F$149,"Next week",'Session Tracker'!$G$5:$G$149,"Thu"),$D78*SUMIFS('Session Tracker'!$J$5:$J$149,'Session Tracker'!$D$5:$D$149,$A78,'Session Tracker'!$F$5:$F$149,"Next week",'Session Tracker'!$G$5:$G$149,"Thu"))</f>
        <v>0</v>
      </c>
      <c r="L78" s="52" t="n">
        <f aca="false">IF($E78="Per class",$D78*COUNTIFS('Session Tracker'!$D$5:$D$149,$A78,'Session Tracker'!$F$5:$F$149,"Next week",'Session Tracker'!$G$5:$G$149,"Fri"),$D78*SUMIFS('Session Tracker'!$J$5:$J$149,'Session Tracker'!$D$5:$D$149,$A78,'Session Tracker'!$F$5:$F$149,"Next week",'Session Tracker'!$G$5:$G$149,"Fri"))</f>
        <v>0</v>
      </c>
      <c r="M78" s="52" t="n">
        <f aca="false">IF($E78="Per class",$D78*COUNTIFS('Session Tracker'!$D$5:$D$149,$A78,'Session Tracker'!$F$5:$F$149,"Next week",'Session Tracker'!$G$5:$G$149,""),$D78*SUMIFS('Session Tracker'!$J$5:$J$149,'Session Tracker'!$D$5:$D$149,$A78,'Session Tracker'!$F$5:$F$149,"Next week",'Session Tracker'!$G$5:$G$149,""))</f>
        <v>0</v>
      </c>
    </row>
    <row r="79" customFormat="false" ht="15" hidden="false" customHeight="false" outlineLevel="0" collapsed="false">
      <c r="A79" s="68" t="s">
        <v>227</v>
      </c>
      <c r="B79" s="34" t="s">
        <v>382</v>
      </c>
      <c r="C79" s="34" t="s">
        <v>383</v>
      </c>
      <c r="D79" s="32" t="n">
        <v>1</v>
      </c>
      <c r="E79" s="32" t="s">
        <v>14</v>
      </c>
      <c r="F79" s="32" t="s">
        <v>368</v>
      </c>
      <c r="G79" s="34"/>
      <c r="H79" s="52" t="n">
        <f aca="false">IF($E79="Per class",$D79*COUNTIFS('Session Tracker'!$D$5:$D$149,$A79,'Session Tracker'!$F$5:$F$149,"Next week",'Session Tracker'!$G$5:$G$149,"Mon"),$D79*SUMIFS('Session Tracker'!$J$5:$J$149,'Session Tracker'!$D$5:$D$149,$A79,'Session Tracker'!$F$5:$F$149,"Next week",'Session Tracker'!$G$5:$G$149,"Mon"))</f>
        <v>0</v>
      </c>
      <c r="I79" s="52" t="n">
        <f aca="false">IF($E79="Per class",$D79*COUNTIFS('Session Tracker'!$D$5:$D$149,$A79,'Session Tracker'!$F$5:$F$149,"Next week",'Session Tracker'!$G$5:$G$149,"Tue"),$D79*SUMIFS('Session Tracker'!$J$5:$J$149,'Session Tracker'!$D$5:$D$149,$A79,'Session Tracker'!$F$5:$F$149,"Next week",'Session Tracker'!$G$5:$G$149,"Tue"))</f>
        <v>0</v>
      </c>
      <c r="J79" s="52" t="n">
        <f aca="false">IF($E79="Per class",$D79*COUNTIFS('Session Tracker'!$D$5:$D$149,$A79,'Session Tracker'!$F$5:$F$149,"Next week",'Session Tracker'!$G$5:$G$149,"Wed"),$D79*SUMIFS('Session Tracker'!$J$5:$J$149,'Session Tracker'!$D$5:$D$149,$A79,'Session Tracker'!$F$5:$F$149,"Next week",'Session Tracker'!$G$5:$G$149,"Wed"))</f>
        <v>0</v>
      </c>
      <c r="K79" s="52" t="n">
        <f aca="false">IF($E79="Per class",$D79*COUNTIFS('Session Tracker'!$D$5:$D$149,$A79,'Session Tracker'!$F$5:$F$149,"Next week",'Session Tracker'!$G$5:$G$149,"Thu"),$D79*SUMIFS('Session Tracker'!$J$5:$J$149,'Session Tracker'!$D$5:$D$149,$A79,'Session Tracker'!$F$5:$F$149,"Next week",'Session Tracker'!$G$5:$G$149,"Thu"))</f>
        <v>0</v>
      </c>
      <c r="L79" s="52" t="n">
        <f aca="false">IF($E79="Per class",$D79*COUNTIFS('Session Tracker'!$D$5:$D$149,$A79,'Session Tracker'!$F$5:$F$149,"Next week",'Session Tracker'!$G$5:$G$149,"Fri"),$D79*SUMIFS('Session Tracker'!$J$5:$J$149,'Session Tracker'!$D$5:$D$149,$A79,'Session Tracker'!$F$5:$F$149,"Next week",'Session Tracker'!$G$5:$G$149,"Fri"))</f>
        <v>0</v>
      </c>
      <c r="M79" s="52" t="n">
        <f aca="false">IF($E79="Per class",$D79*COUNTIFS('Session Tracker'!$D$5:$D$149,$A79,'Session Tracker'!$F$5:$F$149,"Next week",'Session Tracker'!$G$5:$G$149,""),$D79*SUMIFS('Session Tracker'!$J$5:$J$149,'Session Tracker'!$D$5:$D$149,$A79,'Session Tracker'!$F$5:$F$149,"Next week",'Session Tracker'!$G$5:$G$149,""))</f>
        <v>0</v>
      </c>
    </row>
    <row r="80" customFormat="false" ht="15" hidden="false" customHeight="false" outlineLevel="0" collapsed="false">
      <c r="A80" s="53" t="s">
        <v>227</v>
      </c>
      <c r="B80" s="54"/>
      <c r="C80" s="54"/>
      <c r="D80" s="54"/>
      <c r="E80" s="54"/>
      <c r="F80" s="54"/>
      <c r="G80" s="54"/>
      <c r="H80" s="52" t="n">
        <f aca="false">IF($E80="Per class",$D80*COUNTIFS('Session Tracker'!$D$5:$D$149,$A80,'Session Tracker'!$F$5:$F$149,"Next week",'Session Tracker'!$G$5:$G$149,"Mon"),$D80*SUMIFS('Session Tracker'!$J$5:$J$149,'Session Tracker'!$D$5:$D$149,$A80,'Session Tracker'!$F$5:$F$149,"Next week",'Session Tracker'!$G$5:$G$149,"Mon"))</f>
        <v>0</v>
      </c>
      <c r="I80" s="52" t="n">
        <f aca="false">IF($E80="Per class",$D80*COUNTIFS('Session Tracker'!$D$5:$D$149,$A80,'Session Tracker'!$F$5:$F$149,"Next week",'Session Tracker'!$G$5:$G$149,"Tue"),$D80*SUMIFS('Session Tracker'!$J$5:$J$149,'Session Tracker'!$D$5:$D$149,$A80,'Session Tracker'!$F$5:$F$149,"Next week",'Session Tracker'!$G$5:$G$149,"Tue"))</f>
        <v>0</v>
      </c>
      <c r="J80" s="52" t="n">
        <f aca="false">IF($E80="Per class",$D80*COUNTIFS('Session Tracker'!$D$5:$D$149,$A80,'Session Tracker'!$F$5:$F$149,"Next week",'Session Tracker'!$G$5:$G$149,"Wed"),$D80*SUMIFS('Session Tracker'!$J$5:$J$149,'Session Tracker'!$D$5:$D$149,$A80,'Session Tracker'!$F$5:$F$149,"Next week",'Session Tracker'!$G$5:$G$149,"Wed"))</f>
        <v>0</v>
      </c>
      <c r="K80" s="52" t="n">
        <f aca="false">IF($E80="Per class",$D80*COUNTIFS('Session Tracker'!$D$5:$D$149,$A80,'Session Tracker'!$F$5:$F$149,"Next week",'Session Tracker'!$G$5:$G$149,"Thu"),$D80*SUMIFS('Session Tracker'!$J$5:$J$149,'Session Tracker'!$D$5:$D$149,$A80,'Session Tracker'!$F$5:$F$149,"Next week",'Session Tracker'!$G$5:$G$149,"Thu"))</f>
        <v>0</v>
      </c>
      <c r="L80" s="52" t="n">
        <f aca="false">IF($E80="Per class",$D80*COUNTIFS('Session Tracker'!$D$5:$D$149,$A80,'Session Tracker'!$F$5:$F$149,"Next week",'Session Tracker'!$G$5:$G$149,"Fri"),$D80*SUMIFS('Session Tracker'!$J$5:$J$149,'Session Tracker'!$D$5:$D$149,$A80,'Session Tracker'!$F$5:$F$149,"Next week",'Session Tracker'!$G$5:$G$149,"Fri"))</f>
        <v>0</v>
      </c>
      <c r="M80" s="52" t="n">
        <f aca="false">IF($E80="Per class",$D80*COUNTIFS('Session Tracker'!$D$5:$D$149,$A80,'Session Tracker'!$F$5:$F$149,"Next week",'Session Tracker'!$G$5:$G$149,""),$D80*SUMIFS('Session Tracker'!$J$5:$J$149,'Session Tracker'!$D$5:$D$149,$A80,'Session Tracker'!$F$5:$F$149,"Next week",'Session Tracker'!$G$5:$G$149,""))</f>
        <v>0</v>
      </c>
    </row>
    <row r="81" customFormat="false" ht="15" hidden="false" customHeight="false" outlineLevel="0" collapsed="false">
      <c r="A81" s="53" t="s">
        <v>227</v>
      </c>
      <c r="B81" s="54"/>
      <c r="C81" s="54"/>
      <c r="D81" s="54"/>
      <c r="E81" s="54"/>
      <c r="F81" s="54"/>
      <c r="G81" s="54"/>
      <c r="H81" s="52" t="n">
        <f aca="false">IF($E81="Per class",$D81*COUNTIFS('Session Tracker'!$D$5:$D$149,$A81,'Session Tracker'!$F$5:$F$149,"Next week",'Session Tracker'!$G$5:$G$149,"Mon"),$D81*SUMIFS('Session Tracker'!$J$5:$J$149,'Session Tracker'!$D$5:$D$149,$A81,'Session Tracker'!$F$5:$F$149,"Next week",'Session Tracker'!$G$5:$G$149,"Mon"))</f>
        <v>0</v>
      </c>
      <c r="I81" s="52" t="n">
        <f aca="false">IF($E81="Per class",$D81*COUNTIFS('Session Tracker'!$D$5:$D$149,$A81,'Session Tracker'!$F$5:$F$149,"Next week",'Session Tracker'!$G$5:$G$149,"Tue"),$D81*SUMIFS('Session Tracker'!$J$5:$J$149,'Session Tracker'!$D$5:$D$149,$A81,'Session Tracker'!$F$5:$F$149,"Next week",'Session Tracker'!$G$5:$G$149,"Tue"))</f>
        <v>0</v>
      </c>
      <c r="J81" s="52" t="n">
        <f aca="false">IF($E81="Per class",$D81*COUNTIFS('Session Tracker'!$D$5:$D$149,$A81,'Session Tracker'!$F$5:$F$149,"Next week",'Session Tracker'!$G$5:$G$149,"Wed"),$D81*SUMIFS('Session Tracker'!$J$5:$J$149,'Session Tracker'!$D$5:$D$149,$A81,'Session Tracker'!$F$5:$F$149,"Next week",'Session Tracker'!$G$5:$G$149,"Wed"))</f>
        <v>0</v>
      </c>
      <c r="K81" s="52" t="n">
        <f aca="false">IF($E81="Per class",$D81*COUNTIFS('Session Tracker'!$D$5:$D$149,$A81,'Session Tracker'!$F$5:$F$149,"Next week",'Session Tracker'!$G$5:$G$149,"Thu"),$D81*SUMIFS('Session Tracker'!$J$5:$J$149,'Session Tracker'!$D$5:$D$149,$A81,'Session Tracker'!$F$5:$F$149,"Next week",'Session Tracker'!$G$5:$G$149,"Thu"))</f>
        <v>0</v>
      </c>
      <c r="L81" s="52" t="n">
        <f aca="false">IF($E81="Per class",$D81*COUNTIFS('Session Tracker'!$D$5:$D$149,$A81,'Session Tracker'!$F$5:$F$149,"Next week",'Session Tracker'!$G$5:$G$149,"Fri"),$D81*SUMIFS('Session Tracker'!$J$5:$J$149,'Session Tracker'!$D$5:$D$149,$A81,'Session Tracker'!$F$5:$F$149,"Next week",'Session Tracker'!$G$5:$G$149,"Fri"))</f>
        <v>0</v>
      </c>
      <c r="M81" s="52" t="n">
        <f aca="false">IF($E81="Per class",$D81*COUNTIFS('Session Tracker'!$D$5:$D$149,$A81,'Session Tracker'!$F$5:$F$149,"Next week",'Session Tracker'!$G$5:$G$149,""),$D81*SUMIFS('Session Tracker'!$J$5:$J$149,'Session Tracker'!$D$5:$D$149,$A81,'Session Tracker'!$F$5:$F$149,"Next week",'Session Tracker'!$G$5:$G$149,""))</f>
        <v>0</v>
      </c>
    </row>
    <row r="83" customFormat="false" ht="19.5" hidden="false" customHeight="true" outlineLevel="0" collapsed="false">
      <c r="A83" s="64" t="s">
        <v>229</v>
      </c>
      <c r="B83" s="65" t="s">
        <v>596</v>
      </c>
      <c r="C83" s="65"/>
      <c r="D83" s="65"/>
      <c r="E83" s="65"/>
      <c r="F83" s="66" t="str">
        <f aca="false">"Status: "&amp;'Session Tracker'!F84&amp;IF('Session Tracker'!G84&lt;&gt;""," ("&amp;'Session Tracker'!G84&amp;")","")</f>
        <v>Status: Not started</v>
      </c>
      <c r="G83" s="66"/>
      <c r="H83" s="67"/>
      <c r="I83" s="67"/>
      <c r="J83" s="67"/>
      <c r="K83" s="67"/>
      <c r="L83" s="67"/>
      <c r="M83" s="67"/>
    </row>
    <row r="84" customFormat="false" ht="23.85" hidden="false" customHeight="false" outlineLevel="0" collapsed="false">
      <c r="A84" s="68" t="s">
        <v>229</v>
      </c>
      <c r="B84" s="34" t="s">
        <v>366</v>
      </c>
      <c r="C84" s="34" t="s">
        <v>367</v>
      </c>
      <c r="D84" s="32" t="n">
        <v>1</v>
      </c>
      <c r="E84" s="32" t="s">
        <v>14</v>
      </c>
      <c r="F84" s="32" t="s">
        <v>368</v>
      </c>
      <c r="G84" s="34"/>
      <c r="H84" s="52" t="n">
        <f aca="false">IF($E84="Per class",$D84*COUNTIFS('Session Tracker'!$D$5:$D$149,$A84,'Session Tracker'!$F$5:$F$149,"Next week",'Session Tracker'!$G$5:$G$149,"Mon"),$D84*SUMIFS('Session Tracker'!$J$5:$J$149,'Session Tracker'!$D$5:$D$149,$A84,'Session Tracker'!$F$5:$F$149,"Next week",'Session Tracker'!$G$5:$G$149,"Mon"))</f>
        <v>0</v>
      </c>
      <c r="I84" s="52" t="n">
        <f aca="false">IF($E84="Per class",$D84*COUNTIFS('Session Tracker'!$D$5:$D$149,$A84,'Session Tracker'!$F$5:$F$149,"Next week",'Session Tracker'!$G$5:$G$149,"Tue"),$D84*SUMIFS('Session Tracker'!$J$5:$J$149,'Session Tracker'!$D$5:$D$149,$A84,'Session Tracker'!$F$5:$F$149,"Next week",'Session Tracker'!$G$5:$G$149,"Tue"))</f>
        <v>0</v>
      </c>
      <c r="J84" s="52" t="n">
        <f aca="false">IF($E84="Per class",$D84*COUNTIFS('Session Tracker'!$D$5:$D$149,$A84,'Session Tracker'!$F$5:$F$149,"Next week",'Session Tracker'!$G$5:$G$149,"Wed"),$D84*SUMIFS('Session Tracker'!$J$5:$J$149,'Session Tracker'!$D$5:$D$149,$A84,'Session Tracker'!$F$5:$F$149,"Next week",'Session Tracker'!$G$5:$G$149,"Wed"))</f>
        <v>0</v>
      </c>
      <c r="K84" s="52" t="n">
        <f aca="false">IF($E84="Per class",$D84*COUNTIFS('Session Tracker'!$D$5:$D$149,$A84,'Session Tracker'!$F$5:$F$149,"Next week",'Session Tracker'!$G$5:$G$149,"Thu"),$D84*SUMIFS('Session Tracker'!$J$5:$J$149,'Session Tracker'!$D$5:$D$149,$A84,'Session Tracker'!$F$5:$F$149,"Next week",'Session Tracker'!$G$5:$G$149,"Thu"))</f>
        <v>0</v>
      </c>
      <c r="L84" s="52" t="n">
        <f aca="false">IF($E84="Per class",$D84*COUNTIFS('Session Tracker'!$D$5:$D$149,$A84,'Session Tracker'!$F$5:$F$149,"Next week",'Session Tracker'!$G$5:$G$149,"Fri"),$D84*SUMIFS('Session Tracker'!$J$5:$J$149,'Session Tracker'!$D$5:$D$149,$A84,'Session Tracker'!$F$5:$F$149,"Next week",'Session Tracker'!$G$5:$G$149,"Fri"))</f>
        <v>0</v>
      </c>
      <c r="M84" s="52" t="n">
        <f aca="false">IF($E84="Per class",$D84*COUNTIFS('Session Tracker'!$D$5:$D$149,$A84,'Session Tracker'!$F$5:$F$149,"Next week",'Session Tracker'!$G$5:$G$149,""),$D84*SUMIFS('Session Tracker'!$J$5:$J$149,'Session Tracker'!$D$5:$D$149,$A84,'Session Tracker'!$F$5:$F$149,"Next week",'Session Tracker'!$G$5:$G$149,""))</f>
        <v>0</v>
      </c>
    </row>
    <row r="85" customFormat="false" ht="15" hidden="false" customHeight="false" outlineLevel="0" collapsed="false">
      <c r="A85" s="68" t="s">
        <v>229</v>
      </c>
      <c r="B85" s="34" t="s">
        <v>369</v>
      </c>
      <c r="C85" s="34" t="s">
        <v>437</v>
      </c>
      <c r="D85" s="32" t="n">
        <v>1</v>
      </c>
      <c r="E85" s="32" t="s">
        <v>14</v>
      </c>
      <c r="F85" s="32" t="s">
        <v>368</v>
      </c>
      <c r="G85" s="34"/>
      <c r="H85" s="52" t="n">
        <f aca="false">IF($E85="Per class",$D85*COUNTIFS('Session Tracker'!$D$5:$D$149,$A85,'Session Tracker'!$F$5:$F$149,"Next week",'Session Tracker'!$G$5:$G$149,"Mon"),$D85*SUMIFS('Session Tracker'!$J$5:$J$149,'Session Tracker'!$D$5:$D$149,$A85,'Session Tracker'!$F$5:$F$149,"Next week",'Session Tracker'!$G$5:$G$149,"Mon"))</f>
        <v>0</v>
      </c>
      <c r="I85" s="52" t="n">
        <f aca="false">IF($E85="Per class",$D85*COUNTIFS('Session Tracker'!$D$5:$D$149,$A85,'Session Tracker'!$F$5:$F$149,"Next week",'Session Tracker'!$G$5:$G$149,"Tue"),$D85*SUMIFS('Session Tracker'!$J$5:$J$149,'Session Tracker'!$D$5:$D$149,$A85,'Session Tracker'!$F$5:$F$149,"Next week",'Session Tracker'!$G$5:$G$149,"Tue"))</f>
        <v>0</v>
      </c>
      <c r="J85" s="52" t="n">
        <f aca="false">IF($E85="Per class",$D85*COUNTIFS('Session Tracker'!$D$5:$D$149,$A85,'Session Tracker'!$F$5:$F$149,"Next week",'Session Tracker'!$G$5:$G$149,"Wed"),$D85*SUMIFS('Session Tracker'!$J$5:$J$149,'Session Tracker'!$D$5:$D$149,$A85,'Session Tracker'!$F$5:$F$149,"Next week",'Session Tracker'!$G$5:$G$149,"Wed"))</f>
        <v>0</v>
      </c>
      <c r="K85" s="52" t="n">
        <f aca="false">IF($E85="Per class",$D85*COUNTIFS('Session Tracker'!$D$5:$D$149,$A85,'Session Tracker'!$F$5:$F$149,"Next week",'Session Tracker'!$G$5:$G$149,"Thu"),$D85*SUMIFS('Session Tracker'!$J$5:$J$149,'Session Tracker'!$D$5:$D$149,$A85,'Session Tracker'!$F$5:$F$149,"Next week",'Session Tracker'!$G$5:$G$149,"Thu"))</f>
        <v>0</v>
      </c>
      <c r="L85" s="52" t="n">
        <f aca="false">IF($E85="Per class",$D85*COUNTIFS('Session Tracker'!$D$5:$D$149,$A85,'Session Tracker'!$F$5:$F$149,"Next week",'Session Tracker'!$G$5:$G$149,"Fri"),$D85*SUMIFS('Session Tracker'!$J$5:$J$149,'Session Tracker'!$D$5:$D$149,$A85,'Session Tracker'!$F$5:$F$149,"Next week",'Session Tracker'!$G$5:$G$149,"Fri"))</f>
        <v>0</v>
      </c>
      <c r="M85" s="52" t="n">
        <f aca="false">IF($E85="Per class",$D85*COUNTIFS('Session Tracker'!$D$5:$D$149,$A85,'Session Tracker'!$F$5:$F$149,"Next week",'Session Tracker'!$G$5:$G$149,""),$D85*SUMIFS('Session Tracker'!$J$5:$J$149,'Session Tracker'!$D$5:$D$149,$A85,'Session Tracker'!$F$5:$F$149,"Next week",'Session Tracker'!$G$5:$G$149,""))</f>
        <v>0</v>
      </c>
    </row>
    <row r="86" customFormat="false" ht="15" hidden="false" customHeight="false" outlineLevel="0" collapsed="false">
      <c r="A86" s="68" t="s">
        <v>229</v>
      </c>
      <c r="B86" s="34" t="s">
        <v>369</v>
      </c>
      <c r="C86" s="34" t="s">
        <v>428</v>
      </c>
      <c r="D86" s="32" t="n">
        <v>1</v>
      </c>
      <c r="E86" s="32" t="s">
        <v>14</v>
      </c>
      <c r="F86" s="32" t="s">
        <v>368</v>
      </c>
      <c r="G86" s="34"/>
      <c r="H86" s="52" t="n">
        <f aca="false">IF($E86="Per class",$D86*COUNTIFS('Session Tracker'!$D$5:$D$149,$A86,'Session Tracker'!$F$5:$F$149,"Next week",'Session Tracker'!$G$5:$G$149,"Mon"),$D86*SUMIFS('Session Tracker'!$J$5:$J$149,'Session Tracker'!$D$5:$D$149,$A86,'Session Tracker'!$F$5:$F$149,"Next week",'Session Tracker'!$G$5:$G$149,"Mon"))</f>
        <v>0</v>
      </c>
      <c r="I86" s="52" t="n">
        <f aca="false">IF($E86="Per class",$D86*COUNTIFS('Session Tracker'!$D$5:$D$149,$A86,'Session Tracker'!$F$5:$F$149,"Next week",'Session Tracker'!$G$5:$G$149,"Tue"),$D86*SUMIFS('Session Tracker'!$J$5:$J$149,'Session Tracker'!$D$5:$D$149,$A86,'Session Tracker'!$F$5:$F$149,"Next week",'Session Tracker'!$G$5:$G$149,"Tue"))</f>
        <v>0</v>
      </c>
      <c r="J86" s="52" t="n">
        <f aca="false">IF($E86="Per class",$D86*COUNTIFS('Session Tracker'!$D$5:$D$149,$A86,'Session Tracker'!$F$5:$F$149,"Next week",'Session Tracker'!$G$5:$G$149,"Wed"),$D86*SUMIFS('Session Tracker'!$J$5:$J$149,'Session Tracker'!$D$5:$D$149,$A86,'Session Tracker'!$F$5:$F$149,"Next week",'Session Tracker'!$G$5:$G$149,"Wed"))</f>
        <v>0</v>
      </c>
      <c r="K86" s="52" t="n">
        <f aca="false">IF($E86="Per class",$D86*COUNTIFS('Session Tracker'!$D$5:$D$149,$A86,'Session Tracker'!$F$5:$F$149,"Next week",'Session Tracker'!$G$5:$G$149,"Thu"),$D86*SUMIFS('Session Tracker'!$J$5:$J$149,'Session Tracker'!$D$5:$D$149,$A86,'Session Tracker'!$F$5:$F$149,"Next week",'Session Tracker'!$G$5:$G$149,"Thu"))</f>
        <v>0</v>
      </c>
      <c r="L86" s="52" t="n">
        <f aca="false">IF($E86="Per class",$D86*COUNTIFS('Session Tracker'!$D$5:$D$149,$A86,'Session Tracker'!$F$5:$F$149,"Next week",'Session Tracker'!$G$5:$G$149,"Fri"),$D86*SUMIFS('Session Tracker'!$J$5:$J$149,'Session Tracker'!$D$5:$D$149,$A86,'Session Tracker'!$F$5:$F$149,"Next week",'Session Tracker'!$G$5:$G$149,"Fri"))</f>
        <v>0</v>
      </c>
      <c r="M86" s="52" t="n">
        <f aca="false">IF($E86="Per class",$D86*COUNTIFS('Session Tracker'!$D$5:$D$149,$A86,'Session Tracker'!$F$5:$F$149,"Next week",'Session Tracker'!$G$5:$G$149,""),$D86*SUMIFS('Session Tracker'!$J$5:$J$149,'Session Tracker'!$D$5:$D$149,$A86,'Session Tracker'!$F$5:$F$149,"Next week",'Session Tracker'!$G$5:$G$149,""))</f>
        <v>0</v>
      </c>
    </row>
    <row r="87" customFormat="false" ht="15" hidden="false" customHeight="false" outlineLevel="0" collapsed="false">
      <c r="A87" s="68" t="s">
        <v>229</v>
      </c>
      <c r="B87" s="34" t="s">
        <v>377</v>
      </c>
      <c r="C87" s="34" t="s">
        <v>597</v>
      </c>
      <c r="D87" s="32" t="n">
        <v>1</v>
      </c>
      <c r="E87" s="32" t="s">
        <v>14</v>
      </c>
      <c r="F87" s="32" t="s">
        <v>368</v>
      </c>
      <c r="G87" s="34"/>
      <c r="H87" s="52" t="n">
        <f aca="false">IF($E87="Per class",$D87*COUNTIFS('Session Tracker'!$D$5:$D$149,$A87,'Session Tracker'!$F$5:$F$149,"Next week",'Session Tracker'!$G$5:$G$149,"Mon"),$D87*SUMIFS('Session Tracker'!$J$5:$J$149,'Session Tracker'!$D$5:$D$149,$A87,'Session Tracker'!$F$5:$F$149,"Next week",'Session Tracker'!$G$5:$G$149,"Mon"))</f>
        <v>0</v>
      </c>
      <c r="I87" s="52" t="n">
        <f aca="false">IF($E87="Per class",$D87*COUNTIFS('Session Tracker'!$D$5:$D$149,$A87,'Session Tracker'!$F$5:$F$149,"Next week",'Session Tracker'!$G$5:$G$149,"Tue"),$D87*SUMIFS('Session Tracker'!$J$5:$J$149,'Session Tracker'!$D$5:$D$149,$A87,'Session Tracker'!$F$5:$F$149,"Next week",'Session Tracker'!$G$5:$G$149,"Tue"))</f>
        <v>0</v>
      </c>
      <c r="J87" s="52" t="n">
        <f aca="false">IF($E87="Per class",$D87*COUNTIFS('Session Tracker'!$D$5:$D$149,$A87,'Session Tracker'!$F$5:$F$149,"Next week",'Session Tracker'!$G$5:$G$149,"Wed"),$D87*SUMIFS('Session Tracker'!$J$5:$J$149,'Session Tracker'!$D$5:$D$149,$A87,'Session Tracker'!$F$5:$F$149,"Next week",'Session Tracker'!$G$5:$G$149,"Wed"))</f>
        <v>0</v>
      </c>
      <c r="K87" s="52" t="n">
        <f aca="false">IF($E87="Per class",$D87*COUNTIFS('Session Tracker'!$D$5:$D$149,$A87,'Session Tracker'!$F$5:$F$149,"Next week",'Session Tracker'!$G$5:$G$149,"Thu"),$D87*SUMIFS('Session Tracker'!$J$5:$J$149,'Session Tracker'!$D$5:$D$149,$A87,'Session Tracker'!$F$5:$F$149,"Next week",'Session Tracker'!$G$5:$G$149,"Thu"))</f>
        <v>0</v>
      </c>
      <c r="L87" s="52" t="n">
        <f aca="false">IF($E87="Per class",$D87*COUNTIFS('Session Tracker'!$D$5:$D$149,$A87,'Session Tracker'!$F$5:$F$149,"Next week",'Session Tracker'!$G$5:$G$149,"Fri"),$D87*SUMIFS('Session Tracker'!$J$5:$J$149,'Session Tracker'!$D$5:$D$149,$A87,'Session Tracker'!$F$5:$F$149,"Next week",'Session Tracker'!$G$5:$G$149,"Fri"))</f>
        <v>0</v>
      </c>
      <c r="M87" s="52" t="n">
        <f aca="false">IF($E87="Per class",$D87*COUNTIFS('Session Tracker'!$D$5:$D$149,$A87,'Session Tracker'!$F$5:$F$149,"Next week",'Session Tracker'!$G$5:$G$149,""),$D87*SUMIFS('Session Tracker'!$J$5:$J$149,'Session Tracker'!$D$5:$D$149,$A87,'Session Tracker'!$F$5:$F$149,"Next week",'Session Tracker'!$G$5:$G$149,""))</f>
        <v>0</v>
      </c>
    </row>
    <row r="88" customFormat="false" ht="15" hidden="false" customHeight="false" outlineLevel="0" collapsed="false">
      <c r="A88" s="68" t="s">
        <v>229</v>
      </c>
      <c r="B88" s="34" t="s">
        <v>371</v>
      </c>
      <c r="C88" s="34" t="s">
        <v>598</v>
      </c>
      <c r="D88" s="32" t="n">
        <v>1</v>
      </c>
      <c r="E88" s="32" t="s">
        <v>14</v>
      </c>
      <c r="F88" s="32" t="s">
        <v>368</v>
      </c>
      <c r="G88" s="34"/>
      <c r="H88" s="52" t="n">
        <f aca="false">IF($E88="Per class",$D88*COUNTIFS('Session Tracker'!$D$5:$D$149,$A88,'Session Tracker'!$F$5:$F$149,"Next week",'Session Tracker'!$G$5:$G$149,"Mon"),$D88*SUMIFS('Session Tracker'!$J$5:$J$149,'Session Tracker'!$D$5:$D$149,$A88,'Session Tracker'!$F$5:$F$149,"Next week",'Session Tracker'!$G$5:$G$149,"Mon"))</f>
        <v>0</v>
      </c>
      <c r="I88" s="52" t="n">
        <f aca="false">IF($E88="Per class",$D88*COUNTIFS('Session Tracker'!$D$5:$D$149,$A88,'Session Tracker'!$F$5:$F$149,"Next week",'Session Tracker'!$G$5:$G$149,"Tue"),$D88*SUMIFS('Session Tracker'!$J$5:$J$149,'Session Tracker'!$D$5:$D$149,$A88,'Session Tracker'!$F$5:$F$149,"Next week",'Session Tracker'!$G$5:$G$149,"Tue"))</f>
        <v>0</v>
      </c>
      <c r="J88" s="52" t="n">
        <f aca="false">IF($E88="Per class",$D88*COUNTIFS('Session Tracker'!$D$5:$D$149,$A88,'Session Tracker'!$F$5:$F$149,"Next week",'Session Tracker'!$G$5:$G$149,"Wed"),$D88*SUMIFS('Session Tracker'!$J$5:$J$149,'Session Tracker'!$D$5:$D$149,$A88,'Session Tracker'!$F$5:$F$149,"Next week",'Session Tracker'!$G$5:$G$149,"Wed"))</f>
        <v>0</v>
      </c>
      <c r="K88" s="52" t="n">
        <f aca="false">IF($E88="Per class",$D88*COUNTIFS('Session Tracker'!$D$5:$D$149,$A88,'Session Tracker'!$F$5:$F$149,"Next week",'Session Tracker'!$G$5:$G$149,"Thu"),$D88*SUMIFS('Session Tracker'!$J$5:$J$149,'Session Tracker'!$D$5:$D$149,$A88,'Session Tracker'!$F$5:$F$149,"Next week",'Session Tracker'!$G$5:$G$149,"Thu"))</f>
        <v>0</v>
      </c>
      <c r="L88" s="52" t="n">
        <f aca="false">IF($E88="Per class",$D88*COUNTIFS('Session Tracker'!$D$5:$D$149,$A88,'Session Tracker'!$F$5:$F$149,"Next week",'Session Tracker'!$G$5:$G$149,"Fri"),$D88*SUMIFS('Session Tracker'!$J$5:$J$149,'Session Tracker'!$D$5:$D$149,$A88,'Session Tracker'!$F$5:$F$149,"Next week",'Session Tracker'!$G$5:$G$149,"Fri"))</f>
        <v>0</v>
      </c>
      <c r="M88" s="52" t="n">
        <f aca="false">IF($E88="Per class",$D88*COUNTIFS('Session Tracker'!$D$5:$D$149,$A88,'Session Tracker'!$F$5:$F$149,"Next week",'Session Tracker'!$G$5:$G$149,""),$D88*SUMIFS('Session Tracker'!$J$5:$J$149,'Session Tracker'!$D$5:$D$149,$A88,'Session Tracker'!$F$5:$F$149,"Next week",'Session Tracker'!$G$5:$G$149,""))</f>
        <v>0</v>
      </c>
    </row>
    <row r="89" customFormat="false" ht="15" hidden="false" customHeight="false" outlineLevel="0" collapsed="false">
      <c r="A89" s="68" t="s">
        <v>229</v>
      </c>
      <c r="B89" s="34" t="s">
        <v>371</v>
      </c>
      <c r="C89" s="34" t="s">
        <v>517</v>
      </c>
      <c r="D89" s="32" t="n">
        <v>1</v>
      </c>
      <c r="E89" s="32" t="s">
        <v>14</v>
      </c>
      <c r="F89" s="32" t="s">
        <v>368</v>
      </c>
      <c r="G89" s="34"/>
      <c r="H89" s="52" t="n">
        <f aca="false">IF($E89="Per class",$D89*COUNTIFS('Session Tracker'!$D$5:$D$149,$A89,'Session Tracker'!$F$5:$F$149,"Next week",'Session Tracker'!$G$5:$G$149,"Mon"),$D89*SUMIFS('Session Tracker'!$J$5:$J$149,'Session Tracker'!$D$5:$D$149,$A89,'Session Tracker'!$F$5:$F$149,"Next week",'Session Tracker'!$G$5:$G$149,"Mon"))</f>
        <v>0</v>
      </c>
      <c r="I89" s="52" t="n">
        <f aca="false">IF($E89="Per class",$D89*COUNTIFS('Session Tracker'!$D$5:$D$149,$A89,'Session Tracker'!$F$5:$F$149,"Next week",'Session Tracker'!$G$5:$G$149,"Tue"),$D89*SUMIFS('Session Tracker'!$J$5:$J$149,'Session Tracker'!$D$5:$D$149,$A89,'Session Tracker'!$F$5:$F$149,"Next week",'Session Tracker'!$G$5:$G$149,"Tue"))</f>
        <v>0</v>
      </c>
      <c r="J89" s="52" t="n">
        <f aca="false">IF($E89="Per class",$D89*COUNTIFS('Session Tracker'!$D$5:$D$149,$A89,'Session Tracker'!$F$5:$F$149,"Next week",'Session Tracker'!$G$5:$G$149,"Wed"),$D89*SUMIFS('Session Tracker'!$J$5:$J$149,'Session Tracker'!$D$5:$D$149,$A89,'Session Tracker'!$F$5:$F$149,"Next week",'Session Tracker'!$G$5:$G$149,"Wed"))</f>
        <v>0</v>
      </c>
      <c r="K89" s="52" t="n">
        <f aca="false">IF($E89="Per class",$D89*COUNTIFS('Session Tracker'!$D$5:$D$149,$A89,'Session Tracker'!$F$5:$F$149,"Next week",'Session Tracker'!$G$5:$G$149,"Thu"),$D89*SUMIFS('Session Tracker'!$J$5:$J$149,'Session Tracker'!$D$5:$D$149,$A89,'Session Tracker'!$F$5:$F$149,"Next week",'Session Tracker'!$G$5:$G$149,"Thu"))</f>
        <v>0</v>
      </c>
      <c r="L89" s="52" t="n">
        <f aca="false">IF($E89="Per class",$D89*COUNTIFS('Session Tracker'!$D$5:$D$149,$A89,'Session Tracker'!$F$5:$F$149,"Next week",'Session Tracker'!$G$5:$G$149,"Fri"),$D89*SUMIFS('Session Tracker'!$J$5:$J$149,'Session Tracker'!$D$5:$D$149,$A89,'Session Tracker'!$F$5:$F$149,"Next week",'Session Tracker'!$G$5:$G$149,"Fri"))</f>
        <v>0</v>
      </c>
      <c r="M89" s="52" t="n">
        <f aca="false">IF($E89="Per class",$D89*COUNTIFS('Session Tracker'!$D$5:$D$149,$A89,'Session Tracker'!$F$5:$F$149,"Next week",'Session Tracker'!$G$5:$G$149,""),$D89*SUMIFS('Session Tracker'!$J$5:$J$149,'Session Tracker'!$D$5:$D$149,$A89,'Session Tracker'!$F$5:$F$149,"Next week",'Session Tracker'!$G$5:$G$149,""))</f>
        <v>0</v>
      </c>
    </row>
    <row r="90" customFormat="false" ht="15" hidden="false" customHeight="false" outlineLevel="0" collapsed="false">
      <c r="A90" s="68" t="s">
        <v>229</v>
      </c>
      <c r="B90" s="34" t="s">
        <v>379</v>
      </c>
      <c r="C90" s="34" t="s">
        <v>380</v>
      </c>
      <c r="D90" s="32" t="n">
        <v>1</v>
      </c>
      <c r="E90" s="32" t="s">
        <v>14</v>
      </c>
      <c r="F90" s="32" t="s">
        <v>368</v>
      </c>
      <c r="G90" s="34"/>
      <c r="H90" s="52" t="n">
        <f aca="false">IF($E90="Per class",$D90*COUNTIFS('Session Tracker'!$D$5:$D$149,$A90,'Session Tracker'!$F$5:$F$149,"Next week",'Session Tracker'!$G$5:$G$149,"Mon"),$D90*SUMIFS('Session Tracker'!$J$5:$J$149,'Session Tracker'!$D$5:$D$149,$A90,'Session Tracker'!$F$5:$F$149,"Next week",'Session Tracker'!$G$5:$G$149,"Mon"))</f>
        <v>0</v>
      </c>
      <c r="I90" s="52" t="n">
        <f aca="false">IF($E90="Per class",$D90*COUNTIFS('Session Tracker'!$D$5:$D$149,$A90,'Session Tracker'!$F$5:$F$149,"Next week",'Session Tracker'!$G$5:$G$149,"Tue"),$D90*SUMIFS('Session Tracker'!$J$5:$J$149,'Session Tracker'!$D$5:$D$149,$A90,'Session Tracker'!$F$5:$F$149,"Next week",'Session Tracker'!$G$5:$G$149,"Tue"))</f>
        <v>0</v>
      </c>
      <c r="J90" s="52" t="n">
        <f aca="false">IF($E90="Per class",$D90*COUNTIFS('Session Tracker'!$D$5:$D$149,$A90,'Session Tracker'!$F$5:$F$149,"Next week",'Session Tracker'!$G$5:$G$149,"Wed"),$D90*SUMIFS('Session Tracker'!$J$5:$J$149,'Session Tracker'!$D$5:$D$149,$A90,'Session Tracker'!$F$5:$F$149,"Next week",'Session Tracker'!$G$5:$G$149,"Wed"))</f>
        <v>0</v>
      </c>
      <c r="K90" s="52" t="n">
        <f aca="false">IF($E90="Per class",$D90*COUNTIFS('Session Tracker'!$D$5:$D$149,$A90,'Session Tracker'!$F$5:$F$149,"Next week",'Session Tracker'!$G$5:$G$149,"Thu"),$D90*SUMIFS('Session Tracker'!$J$5:$J$149,'Session Tracker'!$D$5:$D$149,$A90,'Session Tracker'!$F$5:$F$149,"Next week",'Session Tracker'!$G$5:$G$149,"Thu"))</f>
        <v>0</v>
      </c>
      <c r="L90" s="52" t="n">
        <f aca="false">IF($E90="Per class",$D90*COUNTIFS('Session Tracker'!$D$5:$D$149,$A90,'Session Tracker'!$F$5:$F$149,"Next week",'Session Tracker'!$G$5:$G$149,"Fri"),$D90*SUMIFS('Session Tracker'!$J$5:$J$149,'Session Tracker'!$D$5:$D$149,$A90,'Session Tracker'!$F$5:$F$149,"Next week",'Session Tracker'!$G$5:$G$149,"Fri"))</f>
        <v>0</v>
      </c>
      <c r="M90" s="52" t="n">
        <f aca="false">IF($E90="Per class",$D90*COUNTIFS('Session Tracker'!$D$5:$D$149,$A90,'Session Tracker'!$F$5:$F$149,"Next week",'Session Tracker'!$G$5:$G$149,""),$D90*SUMIFS('Session Tracker'!$J$5:$J$149,'Session Tracker'!$D$5:$D$149,$A90,'Session Tracker'!$F$5:$F$149,"Next week",'Session Tracker'!$G$5:$G$149,""))</f>
        <v>0</v>
      </c>
    </row>
    <row r="91" customFormat="false" ht="15" hidden="false" customHeight="false" outlineLevel="0" collapsed="false">
      <c r="A91" s="68" t="s">
        <v>229</v>
      </c>
      <c r="B91" s="34" t="s">
        <v>379</v>
      </c>
      <c r="C91" s="34" t="s">
        <v>381</v>
      </c>
      <c r="D91" s="32" t="n">
        <v>10</v>
      </c>
      <c r="E91" s="32" t="s">
        <v>14</v>
      </c>
      <c r="F91" s="32" t="s">
        <v>368</v>
      </c>
      <c r="G91" s="34"/>
      <c r="H91" s="52" t="n">
        <f aca="false">IF($E91="Per class",$D91*COUNTIFS('Session Tracker'!$D$5:$D$149,$A91,'Session Tracker'!$F$5:$F$149,"Next week",'Session Tracker'!$G$5:$G$149,"Mon"),$D91*SUMIFS('Session Tracker'!$J$5:$J$149,'Session Tracker'!$D$5:$D$149,$A91,'Session Tracker'!$F$5:$F$149,"Next week",'Session Tracker'!$G$5:$G$149,"Mon"))</f>
        <v>0</v>
      </c>
      <c r="I91" s="52" t="n">
        <f aca="false">IF($E91="Per class",$D91*COUNTIFS('Session Tracker'!$D$5:$D$149,$A91,'Session Tracker'!$F$5:$F$149,"Next week",'Session Tracker'!$G$5:$G$149,"Tue"),$D91*SUMIFS('Session Tracker'!$J$5:$J$149,'Session Tracker'!$D$5:$D$149,$A91,'Session Tracker'!$F$5:$F$149,"Next week",'Session Tracker'!$G$5:$G$149,"Tue"))</f>
        <v>0</v>
      </c>
      <c r="J91" s="52" t="n">
        <f aca="false">IF($E91="Per class",$D91*COUNTIFS('Session Tracker'!$D$5:$D$149,$A91,'Session Tracker'!$F$5:$F$149,"Next week",'Session Tracker'!$G$5:$G$149,"Wed"),$D91*SUMIFS('Session Tracker'!$J$5:$J$149,'Session Tracker'!$D$5:$D$149,$A91,'Session Tracker'!$F$5:$F$149,"Next week",'Session Tracker'!$G$5:$G$149,"Wed"))</f>
        <v>0</v>
      </c>
      <c r="K91" s="52" t="n">
        <f aca="false">IF($E91="Per class",$D91*COUNTIFS('Session Tracker'!$D$5:$D$149,$A91,'Session Tracker'!$F$5:$F$149,"Next week",'Session Tracker'!$G$5:$G$149,"Thu"),$D91*SUMIFS('Session Tracker'!$J$5:$J$149,'Session Tracker'!$D$5:$D$149,$A91,'Session Tracker'!$F$5:$F$149,"Next week",'Session Tracker'!$G$5:$G$149,"Thu"))</f>
        <v>0</v>
      </c>
      <c r="L91" s="52" t="n">
        <f aca="false">IF($E91="Per class",$D91*COUNTIFS('Session Tracker'!$D$5:$D$149,$A91,'Session Tracker'!$F$5:$F$149,"Next week",'Session Tracker'!$G$5:$G$149,"Fri"),$D91*SUMIFS('Session Tracker'!$J$5:$J$149,'Session Tracker'!$D$5:$D$149,$A91,'Session Tracker'!$F$5:$F$149,"Next week",'Session Tracker'!$G$5:$G$149,"Fri"))</f>
        <v>0</v>
      </c>
      <c r="M91" s="52" t="n">
        <f aca="false">IF($E91="Per class",$D91*COUNTIFS('Session Tracker'!$D$5:$D$149,$A91,'Session Tracker'!$F$5:$F$149,"Next week",'Session Tracker'!$G$5:$G$149,""),$D91*SUMIFS('Session Tracker'!$J$5:$J$149,'Session Tracker'!$D$5:$D$149,$A91,'Session Tracker'!$F$5:$F$149,"Next week",'Session Tracker'!$G$5:$G$149,""))</f>
        <v>0</v>
      </c>
    </row>
    <row r="92" customFormat="false" ht="15" hidden="false" customHeight="false" outlineLevel="0" collapsed="false">
      <c r="A92" s="68" t="s">
        <v>229</v>
      </c>
      <c r="B92" s="34" t="s">
        <v>379</v>
      </c>
      <c r="C92" s="34" t="s">
        <v>395</v>
      </c>
      <c r="D92" s="32" t="n">
        <v>8</v>
      </c>
      <c r="E92" s="32" t="s">
        <v>14</v>
      </c>
      <c r="F92" s="32" t="s">
        <v>368</v>
      </c>
      <c r="G92" s="34"/>
      <c r="H92" s="52" t="n">
        <f aca="false">IF($E92="Per class",$D92*COUNTIFS('Session Tracker'!$D$5:$D$149,$A92,'Session Tracker'!$F$5:$F$149,"Next week",'Session Tracker'!$G$5:$G$149,"Mon"),$D92*SUMIFS('Session Tracker'!$J$5:$J$149,'Session Tracker'!$D$5:$D$149,$A92,'Session Tracker'!$F$5:$F$149,"Next week",'Session Tracker'!$G$5:$G$149,"Mon"))</f>
        <v>0</v>
      </c>
      <c r="I92" s="52" t="n">
        <f aca="false">IF($E92="Per class",$D92*COUNTIFS('Session Tracker'!$D$5:$D$149,$A92,'Session Tracker'!$F$5:$F$149,"Next week",'Session Tracker'!$G$5:$G$149,"Tue"),$D92*SUMIFS('Session Tracker'!$J$5:$J$149,'Session Tracker'!$D$5:$D$149,$A92,'Session Tracker'!$F$5:$F$149,"Next week",'Session Tracker'!$G$5:$G$149,"Tue"))</f>
        <v>0</v>
      </c>
      <c r="J92" s="52" t="n">
        <f aca="false">IF($E92="Per class",$D92*COUNTIFS('Session Tracker'!$D$5:$D$149,$A92,'Session Tracker'!$F$5:$F$149,"Next week",'Session Tracker'!$G$5:$G$149,"Wed"),$D92*SUMIFS('Session Tracker'!$J$5:$J$149,'Session Tracker'!$D$5:$D$149,$A92,'Session Tracker'!$F$5:$F$149,"Next week",'Session Tracker'!$G$5:$G$149,"Wed"))</f>
        <v>0</v>
      </c>
      <c r="K92" s="52" t="n">
        <f aca="false">IF($E92="Per class",$D92*COUNTIFS('Session Tracker'!$D$5:$D$149,$A92,'Session Tracker'!$F$5:$F$149,"Next week",'Session Tracker'!$G$5:$G$149,"Thu"),$D92*SUMIFS('Session Tracker'!$J$5:$J$149,'Session Tracker'!$D$5:$D$149,$A92,'Session Tracker'!$F$5:$F$149,"Next week",'Session Tracker'!$G$5:$G$149,"Thu"))</f>
        <v>0</v>
      </c>
      <c r="L92" s="52" t="n">
        <f aca="false">IF($E92="Per class",$D92*COUNTIFS('Session Tracker'!$D$5:$D$149,$A92,'Session Tracker'!$F$5:$F$149,"Next week",'Session Tracker'!$G$5:$G$149,"Fri"),$D92*SUMIFS('Session Tracker'!$J$5:$J$149,'Session Tracker'!$D$5:$D$149,$A92,'Session Tracker'!$F$5:$F$149,"Next week",'Session Tracker'!$G$5:$G$149,"Fri"))</f>
        <v>0</v>
      </c>
      <c r="M92" s="52" t="n">
        <f aca="false">IF($E92="Per class",$D92*COUNTIFS('Session Tracker'!$D$5:$D$149,$A92,'Session Tracker'!$F$5:$F$149,"Next week",'Session Tracker'!$G$5:$G$149,""),$D92*SUMIFS('Session Tracker'!$J$5:$J$149,'Session Tracker'!$D$5:$D$149,$A92,'Session Tracker'!$F$5:$F$149,"Next week",'Session Tracker'!$G$5:$G$149,""))</f>
        <v>0</v>
      </c>
    </row>
    <row r="93" customFormat="false" ht="15" hidden="false" customHeight="false" outlineLevel="0" collapsed="false">
      <c r="A93" s="68" t="s">
        <v>229</v>
      </c>
      <c r="B93" s="34" t="s">
        <v>382</v>
      </c>
      <c r="C93" s="34" t="s">
        <v>383</v>
      </c>
      <c r="D93" s="32" t="n">
        <v>1</v>
      </c>
      <c r="E93" s="32" t="s">
        <v>14</v>
      </c>
      <c r="F93" s="32" t="s">
        <v>368</v>
      </c>
      <c r="G93" s="34"/>
      <c r="H93" s="52" t="n">
        <f aca="false">IF($E93="Per class",$D93*COUNTIFS('Session Tracker'!$D$5:$D$149,$A93,'Session Tracker'!$F$5:$F$149,"Next week",'Session Tracker'!$G$5:$G$149,"Mon"),$D93*SUMIFS('Session Tracker'!$J$5:$J$149,'Session Tracker'!$D$5:$D$149,$A93,'Session Tracker'!$F$5:$F$149,"Next week",'Session Tracker'!$G$5:$G$149,"Mon"))</f>
        <v>0</v>
      </c>
      <c r="I93" s="52" t="n">
        <f aca="false">IF($E93="Per class",$D93*COUNTIFS('Session Tracker'!$D$5:$D$149,$A93,'Session Tracker'!$F$5:$F$149,"Next week",'Session Tracker'!$G$5:$G$149,"Tue"),$D93*SUMIFS('Session Tracker'!$J$5:$J$149,'Session Tracker'!$D$5:$D$149,$A93,'Session Tracker'!$F$5:$F$149,"Next week",'Session Tracker'!$G$5:$G$149,"Tue"))</f>
        <v>0</v>
      </c>
      <c r="J93" s="52" t="n">
        <f aca="false">IF($E93="Per class",$D93*COUNTIFS('Session Tracker'!$D$5:$D$149,$A93,'Session Tracker'!$F$5:$F$149,"Next week",'Session Tracker'!$G$5:$G$149,"Wed"),$D93*SUMIFS('Session Tracker'!$J$5:$J$149,'Session Tracker'!$D$5:$D$149,$A93,'Session Tracker'!$F$5:$F$149,"Next week",'Session Tracker'!$G$5:$G$149,"Wed"))</f>
        <v>0</v>
      </c>
      <c r="K93" s="52" t="n">
        <f aca="false">IF($E93="Per class",$D93*COUNTIFS('Session Tracker'!$D$5:$D$149,$A93,'Session Tracker'!$F$5:$F$149,"Next week",'Session Tracker'!$G$5:$G$149,"Thu"),$D93*SUMIFS('Session Tracker'!$J$5:$J$149,'Session Tracker'!$D$5:$D$149,$A93,'Session Tracker'!$F$5:$F$149,"Next week",'Session Tracker'!$G$5:$G$149,"Thu"))</f>
        <v>0</v>
      </c>
      <c r="L93" s="52" t="n">
        <f aca="false">IF($E93="Per class",$D93*COUNTIFS('Session Tracker'!$D$5:$D$149,$A93,'Session Tracker'!$F$5:$F$149,"Next week",'Session Tracker'!$G$5:$G$149,"Fri"),$D93*SUMIFS('Session Tracker'!$J$5:$J$149,'Session Tracker'!$D$5:$D$149,$A93,'Session Tracker'!$F$5:$F$149,"Next week",'Session Tracker'!$G$5:$G$149,"Fri"))</f>
        <v>0</v>
      </c>
      <c r="M93" s="52" t="n">
        <f aca="false">IF($E93="Per class",$D93*COUNTIFS('Session Tracker'!$D$5:$D$149,$A93,'Session Tracker'!$F$5:$F$149,"Next week",'Session Tracker'!$G$5:$G$149,""),$D93*SUMIFS('Session Tracker'!$J$5:$J$149,'Session Tracker'!$D$5:$D$149,$A93,'Session Tracker'!$F$5:$F$149,"Next week",'Session Tracker'!$G$5:$G$149,""))</f>
        <v>0</v>
      </c>
    </row>
    <row r="94" customFormat="false" ht="15" hidden="false" customHeight="false" outlineLevel="0" collapsed="false">
      <c r="A94" s="68" t="s">
        <v>229</v>
      </c>
      <c r="B94" s="34" t="s">
        <v>371</v>
      </c>
      <c r="C94" s="34" t="s">
        <v>372</v>
      </c>
      <c r="D94" s="32" t="n">
        <v>1</v>
      </c>
      <c r="E94" s="32" t="s">
        <v>14</v>
      </c>
      <c r="F94" s="32" t="s">
        <v>373</v>
      </c>
      <c r="G94" s="34" t="s">
        <v>389</v>
      </c>
      <c r="H94" s="52" t="n">
        <f aca="false">IF($E94="Per class",$D94*COUNTIFS('Session Tracker'!$D$5:$D$149,$A94,'Session Tracker'!$F$5:$F$149,"Next week",'Session Tracker'!$G$5:$G$149,"Mon"),$D94*SUMIFS('Session Tracker'!$J$5:$J$149,'Session Tracker'!$D$5:$D$149,$A94,'Session Tracker'!$F$5:$F$149,"Next week",'Session Tracker'!$G$5:$G$149,"Mon"))</f>
        <v>0</v>
      </c>
      <c r="I94" s="52" t="n">
        <f aca="false">IF($E94="Per class",$D94*COUNTIFS('Session Tracker'!$D$5:$D$149,$A94,'Session Tracker'!$F$5:$F$149,"Next week",'Session Tracker'!$G$5:$G$149,"Tue"),$D94*SUMIFS('Session Tracker'!$J$5:$J$149,'Session Tracker'!$D$5:$D$149,$A94,'Session Tracker'!$F$5:$F$149,"Next week",'Session Tracker'!$G$5:$G$149,"Tue"))</f>
        <v>0</v>
      </c>
      <c r="J94" s="52" t="n">
        <f aca="false">IF($E94="Per class",$D94*COUNTIFS('Session Tracker'!$D$5:$D$149,$A94,'Session Tracker'!$F$5:$F$149,"Next week",'Session Tracker'!$G$5:$G$149,"Wed"),$D94*SUMIFS('Session Tracker'!$J$5:$J$149,'Session Tracker'!$D$5:$D$149,$A94,'Session Tracker'!$F$5:$F$149,"Next week",'Session Tracker'!$G$5:$G$149,"Wed"))</f>
        <v>0</v>
      </c>
      <c r="K94" s="52" t="n">
        <f aca="false">IF($E94="Per class",$D94*COUNTIFS('Session Tracker'!$D$5:$D$149,$A94,'Session Tracker'!$F$5:$F$149,"Next week",'Session Tracker'!$G$5:$G$149,"Thu"),$D94*SUMIFS('Session Tracker'!$J$5:$J$149,'Session Tracker'!$D$5:$D$149,$A94,'Session Tracker'!$F$5:$F$149,"Next week",'Session Tracker'!$G$5:$G$149,"Thu"))</f>
        <v>0</v>
      </c>
      <c r="L94" s="52" t="n">
        <f aca="false">IF($E94="Per class",$D94*COUNTIFS('Session Tracker'!$D$5:$D$149,$A94,'Session Tracker'!$F$5:$F$149,"Next week",'Session Tracker'!$G$5:$G$149,"Fri"),$D94*SUMIFS('Session Tracker'!$J$5:$J$149,'Session Tracker'!$D$5:$D$149,$A94,'Session Tracker'!$F$5:$F$149,"Next week",'Session Tracker'!$G$5:$G$149,"Fri"))</f>
        <v>0</v>
      </c>
      <c r="M94" s="52" t="n">
        <f aca="false">IF($E94="Per class",$D94*COUNTIFS('Session Tracker'!$D$5:$D$149,$A94,'Session Tracker'!$F$5:$F$149,"Next week",'Session Tracker'!$G$5:$G$149,""),$D94*SUMIFS('Session Tracker'!$J$5:$J$149,'Session Tracker'!$D$5:$D$149,$A94,'Session Tracker'!$F$5:$F$149,"Next week",'Session Tracker'!$G$5:$G$149,""))</f>
        <v>0</v>
      </c>
    </row>
    <row r="95" customFormat="false" ht="15" hidden="false" customHeight="false" outlineLevel="0" collapsed="false">
      <c r="A95" s="68" t="s">
        <v>229</v>
      </c>
      <c r="B95" s="34" t="s">
        <v>375</v>
      </c>
      <c r="C95" s="34" t="s">
        <v>376</v>
      </c>
      <c r="D95" s="32" t="n">
        <v>1</v>
      </c>
      <c r="E95" s="32" t="s">
        <v>14</v>
      </c>
      <c r="F95" s="32" t="s">
        <v>373</v>
      </c>
      <c r="G95" s="34" t="s">
        <v>442</v>
      </c>
      <c r="H95" s="52" t="n">
        <f aca="false">IF($E95="Per class",$D95*COUNTIFS('Session Tracker'!$D$5:$D$149,$A95,'Session Tracker'!$F$5:$F$149,"Next week",'Session Tracker'!$G$5:$G$149,"Mon"),$D95*SUMIFS('Session Tracker'!$J$5:$J$149,'Session Tracker'!$D$5:$D$149,$A95,'Session Tracker'!$F$5:$F$149,"Next week",'Session Tracker'!$G$5:$G$149,"Mon"))</f>
        <v>0</v>
      </c>
      <c r="I95" s="52" t="n">
        <f aca="false">IF($E95="Per class",$D95*COUNTIFS('Session Tracker'!$D$5:$D$149,$A95,'Session Tracker'!$F$5:$F$149,"Next week",'Session Tracker'!$G$5:$G$149,"Tue"),$D95*SUMIFS('Session Tracker'!$J$5:$J$149,'Session Tracker'!$D$5:$D$149,$A95,'Session Tracker'!$F$5:$F$149,"Next week",'Session Tracker'!$G$5:$G$149,"Tue"))</f>
        <v>0</v>
      </c>
      <c r="J95" s="52" t="n">
        <f aca="false">IF($E95="Per class",$D95*COUNTIFS('Session Tracker'!$D$5:$D$149,$A95,'Session Tracker'!$F$5:$F$149,"Next week",'Session Tracker'!$G$5:$G$149,"Wed"),$D95*SUMIFS('Session Tracker'!$J$5:$J$149,'Session Tracker'!$D$5:$D$149,$A95,'Session Tracker'!$F$5:$F$149,"Next week",'Session Tracker'!$G$5:$G$149,"Wed"))</f>
        <v>0</v>
      </c>
      <c r="K95" s="52" t="n">
        <f aca="false">IF($E95="Per class",$D95*COUNTIFS('Session Tracker'!$D$5:$D$149,$A95,'Session Tracker'!$F$5:$F$149,"Next week",'Session Tracker'!$G$5:$G$149,"Thu"),$D95*SUMIFS('Session Tracker'!$J$5:$J$149,'Session Tracker'!$D$5:$D$149,$A95,'Session Tracker'!$F$5:$F$149,"Next week",'Session Tracker'!$G$5:$G$149,"Thu"))</f>
        <v>0</v>
      </c>
      <c r="L95" s="52" t="n">
        <f aca="false">IF($E95="Per class",$D95*COUNTIFS('Session Tracker'!$D$5:$D$149,$A95,'Session Tracker'!$F$5:$F$149,"Next week",'Session Tracker'!$G$5:$G$149,"Fri"),$D95*SUMIFS('Session Tracker'!$J$5:$J$149,'Session Tracker'!$D$5:$D$149,$A95,'Session Tracker'!$F$5:$F$149,"Next week",'Session Tracker'!$G$5:$G$149,"Fri"))</f>
        <v>0</v>
      </c>
      <c r="M95" s="52" t="n">
        <f aca="false">IF($E95="Per class",$D95*COUNTIFS('Session Tracker'!$D$5:$D$149,$A95,'Session Tracker'!$F$5:$F$149,"Next week",'Session Tracker'!$G$5:$G$149,""),$D95*SUMIFS('Session Tracker'!$J$5:$J$149,'Session Tracker'!$D$5:$D$149,$A95,'Session Tracker'!$F$5:$F$149,"Next week",'Session Tracker'!$G$5:$G$149,""))</f>
        <v>0</v>
      </c>
    </row>
    <row r="96" customFormat="false" ht="15" hidden="false" customHeight="false" outlineLevel="0" collapsed="false">
      <c r="A96" s="68" t="s">
        <v>229</v>
      </c>
      <c r="B96" s="34" t="s">
        <v>377</v>
      </c>
      <c r="C96" s="34" t="s">
        <v>378</v>
      </c>
      <c r="D96" s="32" t="n">
        <v>1</v>
      </c>
      <c r="E96" s="32" t="s">
        <v>14</v>
      </c>
      <c r="F96" s="32" t="s">
        <v>368</v>
      </c>
      <c r="G96" s="34" t="s">
        <v>389</v>
      </c>
      <c r="H96" s="52" t="n">
        <f aca="false">IF($E96="Per class",$D96*COUNTIFS('Session Tracker'!$D$5:$D$149,$A96,'Session Tracker'!$F$5:$F$149,"Next week",'Session Tracker'!$G$5:$G$149,"Mon"),$D96*SUMIFS('Session Tracker'!$J$5:$J$149,'Session Tracker'!$D$5:$D$149,$A96,'Session Tracker'!$F$5:$F$149,"Next week",'Session Tracker'!$G$5:$G$149,"Mon"))</f>
        <v>0</v>
      </c>
      <c r="I96" s="52" t="n">
        <f aca="false">IF($E96="Per class",$D96*COUNTIFS('Session Tracker'!$D$5:$D$149,$A96,'Session Tracker'!$F$5:$F$149,"Next week",'Session Tracker'!$G$5:$G$149,"Tue"),$D96*SUMIFS('Session Tracker'!$J$5:$J$149,'Session Tracker'!$D$5:$D$149,$A96,'Session Tracker'!$F$5:$F$149,"Next week",'Session Tracker'!$G$5:$G$149,"Tue"))</f>
        <v>0</v>
      </c>
      <c r="J96" s="52" t="n">
        <f aca="false">IF($E96="Per class",$D96*COUNTIFS('Session Tracker'!$D$5:$D$149,$A96,'Session Tracker'!$F$5:$F$149,"Next week",'Session Tracker'!$G$5:$G$149,"Wed"),$D96*SUMIFS('Session Tracker'!$J$5:$J$149,'Session Tracker'!$D$5:$D$149,$A96,'Session Tracker'!$F$5:$F$149,"Next week",'Session Tracker'!$G$5:$G$149,"Wed"))</f>
        <v>0</v>
      </c>
      <c r="K96" s="52" t="n">
        <f aca="false">IF($E96="Per class",$D96*COUNTIFS('Session Tracker'!$D$5:$D$149,$A96,'Session Tracker'!$F$5:$F$149,"Next week",'Session Tracker'!$G$5:$G$149,"Thu"),$D96*SUMIFS('Session Tracker'!$J$5:$J$149,'Session Tracker'!$D$5:$D$149,$A96,'Session Tracker'!$F$5:$F$149,"Next week",'Session Tracker'!$G$5:$G$149,"Thu"))</f>
        <v>0</v>
      </c>
      <c r="L96" s="52" t="n">
        <f aca="false">IF($E96="Per class",$D96*COUNTIFS('Session Tracker'!$D$5:$D$149,$A96,'Session Tracker'!$F$5:$F$149,"Next week",'Session Tracker'!$G$5:$G$149,"Fri"),$D96*SUMIFS('Session Tracker'!$J$5:$J$149,'Session Tracker'!$D$5:$D$149,$A96,'Session Tracker'!$F$5:$F$149,"Next week",'Session Tracker'!$G$5:$G$149,"Fri"))</f>
        <v>0</v>
      </c>
      <c r="M96" s="52" t="n">
        <f aca="false">IF($E96="Per class",$D96*COUNTIFS('Session Tracker'!$D$5:$D$149,$A96,'Session Tracker'!$F$5:$F$149,"Next week",'Session Tracker'!$G$5:$G$149,""),$D96*SUMIFS('Session Tracker'!$J$5:$J$149,'Session Tracker'!$D$5:$D$149,$A96,'Session Tracker'!$F$5:$F$149,"Next week",'Session Tracker'!$G$5:$G$149,""))</f>
        <v>0</v>
      </c>
    </row>
    <row r="97" customFormat="false" ht="15" hidden="false" customHeight="false" outlineLevel="0" collapsed="false">
      <c r="A97" s="53" t="s">
        <v>229</v>
      </c>
      <c r="B97" s="54"/>
      <c r="C97" s="54"/>
      <c r="D97" s="54"/>
      <c r="E97" s="54"/>
      <c r="F97" s="54"/>
      <c r="G97" s="54"/>
      <c r="H97" s="52" t="n">
        <f aca="false">IF($E97="Per class",$D97*COUNTIFS('Session Tracker'!$D$5:$D$149,$A97,'Session Tracker'!$F$5:$F$149,"Next week",'Session Tracker'!$G$5:$G$149,"Mon"),$D97*SUMIFS('Session Tracker'!$J$5:$J$149,'Session Tracker'!$D$5:$D$149,$A97,'Session Tracker'!$F$5:$F$149,"Next week",'Session Tracker'!$G$5:$G$149,"Mon"))</f>
        <v>0</v>
      </c>
      <c r="I97" s="52" t="n">
        <f aca="false">IF($E97="Per class",$D97*COUNTIFS('Session Tracker'!$D$5:$D$149,$A97,'Session Tracker'!$F$5:$F$149,"Next week",'Session Tracker'!$G$5:$G$149,"Tue"),$D97*SUMIFS('Session Tracker'!$J$5:$J$149,'Session Tracker'!$D$5:$D$149,$A97,'Session Tracker'!$F$5:$F$149,"Next week",'Session Tracker'!$G$5:$G$149,"Tue"))</f>
        <v>0</v>
      </c>
      <c r="J97" s="52" t="n">
        <f aca="false">IF($E97="Per class",$D97*COUNTIFS('Session Tracker'!$D$5:$D$149,$A97,'Session Tracker'!$F$5:$F$149,"Next week",'Session Tracker'!$G$5:$G$149,"Wed"),$D97*SUMIFS('Session Tracker'!$J$5:$J$149,'Session Tracker'!$D$5:$D$149,$A97,'Session Tracker'!$F$5:$F$149,"Next week",'Session Tracker'!$G$5:$G$149,"Wed"))</f>
        <v>0</v>
      </c>
      <c r="K97" s="52" t="n">
        <f aca="false">IF($E97="Per class",$D97*COUNTIFS('Session Tracker'!$D$5:$D$149,$A97,'Session Tracker'!$F$5:$F$149,"Next week",'Session Tracker'!$G$5:$G$149,"Thu"),$D97*SUMIFS('Session Tracker'!$J$5:$J$149,'Session Tracker'!$D$5:$D$149,$A97,'Session Tracker'!$F$5:$F$149,"Next week",'Session Tracker'!$G$5:$G$149,"Thu"))</f>
        <v>0</v>
      </c>
      <c r="L97" s="52" t="n">
        <f aca="false">IF($E97="Per class",$D97*COUNTIFS('Session Tracker'!$D$5:$D$149,$A97,'Session Tracker'!$F$5:$F$149,"Next week",'Session Tracker'!$G$5:$G$149,"Fri"),$D97*SUMIFS('Session Tracker'!$J$5:$J$149,'Session Tracker'!$D$5:$D$149,$A97,'Session Tracker'!$F$5:$F$149,"Next week",'Session Tracker'!$G$5:$G$149,"Fri"))</f>
        <v>0</v>
      </c>
      <c r="M97" s="52" t="n">
        <f aca="false">IF($E97="Per class",$D97*COUNTIFS('Session Tracker'!$D$5:$D$149,$A97,'Session Tracker'!$F$5:$F$149,"Next week",'Session Tracker'!$G$5:$G$149,""),$D97*SUMIFS('Session Tracker'!$J$5:$J$149,'Session Tracker'!$D$5:$D$149,$A97,'Session Tracker'!$F$5:$F$149,"Next week",'Session Tracker'!$G$5:$G$149,""))</f>
        <v>0</v>
      </c>
    </row>
    <row r="98" customFormat="false" ht="15" hidden="false" customHeight="false" outlineLevel="0" collapsed="false">
      <c r="A98" s="53" t="s">
        <v>229</v>
      </c>
      <c r="B98" s="54"/>
      <c r="C98" s="54"/>
      <c r="D98" s="54"/>
      <c r="E98" s="54"/>
      <c r="F98" s="54"/>
      <c r="G98" s="54"/>
      <c r="H98" s="52" t="n">
        <f aca="false">IF($E98="Per class",$D98*COUNTIFS('Session Tracker'!$D$5:$D$149,$A98,'Session Tracker'!$F$5:$F$149,"Next week",'Session Tracker'!$G$5:$G$149,"Mon"),$D98*SUMIFS('Session Tracker'!$J$5:$J$149,'Session Tracker'!$D$5:$D$149,$A98,'Session Tracker'!$F$5:$F$149,"Next week",'Session Tracker'!$G$5:$G$149,"Mon"))</f>
        <v>0</v>
      </c>
      <c r="I98" s="52" t="n">
        <f aca="false">IF($E98="Per class",$D98*COUNTIFS('Session Tracker'!$D$5:$D$149,$A98,'Session Tracker'!$F$5:$F$149,"Next week",'Session Tracker'!$G$5:$G$149,"Tue"),$D98*SUMIFS('Session Tracker'!$J$5:$J$149,'Session Tracker'!$D$5:$D$149,$A98,'Session Tracker'!$F$5:$F$149,"Next week",'Session Tracker'!$G$5:$G$149,"Tue"))</f>
        <v>0</v>
      </c>
      <c r="J98" s="52" t="n">
        <f aca="false">IF($E98="Per class",$D98*COUNTIFS('Session Tracker'!$D$5:$D$149,$A98,'Session Tracker'!$F$5:$F$149,"Next week",'Session Tracker'!$G$5:$G$149,"Wed"),$D98*SUMIFS('Session Tracker'!$J$5:$J$149,'Session Tracker'!$D$5:$D$149,$A98,'Session Tracker'!$F$5:$F$149,"Next week",'Session Tracker'!$G$5:$G$149,"Wed"))</f>
        <v>0</v>
      </c>
      <c r="K98" s="52" t="n">
        <f aca="false">IF($E98="Per class",$D98*COUNTIFS('Session Tracker'!$D$5:$D$149,$A98,'Session Tracker'!$F$5:$F$149,"Next week",'Session Tracker'!$G$5:$G$149,"Thu"),$D98*SUMIFS('Session Tracker'!$J$5:$J$149,'Session Tracker'!$D$5:$D$149,$A98,'Session Tracker'!$F$5:$F$149,"Next week",'Session Tracker'!$G$5:$G$149,"Thu"))</f>
        <v>0</v>
      </c>
      <c r="L98" s="52" t="n">
        <f aca="false">IF($E98="Per class",$D98*COUNTIFS('Session Tracker'!$D$5:$D$149,$A98,'Session Tracker'!$F$5:$F$149,"Next week",'Session Tracker'!$G$5:$G$149,"Fri"),$D98*SUMIFS('Session Tracker'!$J$5:$J$149,'Session Tracker'!$D$5:$D$149,$A98,'Session Tracker'!$F$5:$F$149,"Next week",'Session Tracker'!$G$5:$G$149,"Fri"))</f>
        <v>0</v>
      </c>
      <c r="M98" s="52" t="n">
        <f aca="false">IF($E98="Per class",$D98*COUNTIFS('Session Tracker'!$D$5:$D$149,$A98,'Session Tracker'!$F$5:$F$149,"Next week",'Session Tracker'!$G$5:$G$149,""),$D98*SUMIFS('Session Tracker'!$J$5:$J$149,'Session Tracker'!$D$5:$D$149,$A98,'Session Tracker'!$F$5:$F$149,"Next week",'Session Tracker'!$G$5:$G$149,""))</f>
        <v>0</v>
      </c>
    </row>
    <row r="100" customFormat="false" ht="19.5" hidden="false" customHeight="true" outlineLevel="0" collapsed="false">
      <c r="A100" s="64" t="s">
        <v>231</v>
      </c>
      <c r="B100" s="65" t="s">
        <v>599</v>
      </c>
      <c r="C100" s="65"/>
      <c r="D100" s="65"/>
      <c r="E100" s="65"/>
      <c r="F100" s="66" t="str">
        <f aca="false">"Status: "&amp;'Session Tracker'!F85&amp;IF('Session Tracker'!G85&lt;&gt;""," ("&amp;'Session Tracker'!G85&amp;")","")</f>
        <v>Status: Not started</v>
      </c>
      <c r="G100" s="66"/>
      <c r="H100" s="67"/>
      <c r="I100" s="67"/>
      <c r="J100" s="67"/>
      <c r="K100" s="67"/>
      <c r="L100" s="67"/>
      <c r="M100" s="67"/>
    </row>
    <row r="101" customFormat="false" ht="23.85" hidden="false" customHeight="false" outlineLevel="0" collapsed="false">
      <c r="A101" s="68" t="s">
        <v>231</v>
      </c>
      <c r="B101" s="34" t="s">
        <v>366</v>
      </c>
      <c r="C101" s="34" t="s">
        <v>367</v>
      </c>
      <c r="D101" s="32" t="n">
        <v>1</v>
      </c>
      <c r="E101" s="32" t="s">
        <v>14</v>
      </c>
      <c r="F101" s="32" t="s">
        <v>368</v>
      </c>
      <c r="G101" s="34"/>
      <c r="H101" s="52" t="n">
        <f aca="false">IF($E101="Per class",$D101*COUNTIFS('Session Tracker'!$D$5:$D$149,$A101,'Session Tracker'!$F$5:$F$149,"Next week",'Session Tracker'!$G$5:$G$149,"Mon"),$D101*SUMIFS('Session Tracker'!$J$5:$J$149,'Session Tracker'!$D$5:$D$149,$A101,'Session Tracker'!$F$5:$F$149,"Next week",'Session Tracker'!$G$5:$G$149,"Mon"))</f>
        <v>0</v>
      </c>
      <c r="I101" s="52" t="n">
        <f aca="false">IF($E101="Per class",$D101*COUNTIFS('Session Tracker'!$D$5:$D$149,$A101,'Session Tracker'!$F$5:$F$149,"Next week",'Session Tracker'!$G$5:$G$149,"Tue"),$D101*SUMIFS('Session Tracker'!$J$5:$J$149,'Session Tracker'!$D$5:$D$149,$A101,'Session Tracker'!$F$5:$F$149,"Next week",'Session Tracker'!$G$5:$G$149,"Tue"))</f>
        <v>0</v>
      </c>
      <c r="J101" s="52" t="n">
        <f aca="false">IF($E101="Per class",$D101*COUNTIFS('Session Tracker'!$D$5:$D$149,$A101,'Session Tracker'!$F$5:$F$149,"Next week",'Session Tracker'!$G$5:$G$149,"Wed"),$D101*SUMIFS('Session Tracker'!$J$5:$J$149,'Session Tracker'!$D$5:$D$149,$A101,'Session Tracker'!$F$5:$F$149,"Next week",'Session Tracker'!$G$5:$G$149,"Wed"))</f>
        <v>0</v>
      </c>
      <c r="K101" s="52" t="n">
        <f aca="false">IF($E101="Per class",$D101*COUNTIFS('Session Tracker'!$D$5:$D$149,$A101,'Session Tracker'!$F$5:$F$149,"Next week",'Session Tracker'!$G$5:$G$149,"Thu"),$D101*SUMIFS('Session Tracker'!$J$5:$J$149,'Session Tracker'!$D$5:$D$149,$A101,'Session Tracker'!$F$5:$F$149,"Next week",'Session Tracker'!$G$5:$G$149,"Thu"))</f>
        <v>0</v>
      </c>
      <c r="L101" s="52" t="n">
        <f aca="false">IF($E101="Per class",$D101*COUNTIFS('Session Tracker'!$D$5:$D$149,$A101,'Session Tracker'!$F$5:$F$149,"Next week",'Session Tracker'!$G$5:$G$149,"Fri"),$D101*SUMIFS('Session Tracker'!$J$5:$J$149,'Session Tracker'!$D$5:$D$149,$A101,'Session Tracker'!$F$5:$F$149,"Next week",'Session Tracker'!$G$5:$G$149,"Fri"))</f>
        <v>0</v>
      </c>
      <c r="M101" s="52" t="n">
        <f aca="false">IF($E101="Per class",$D101*COUNTIFS('Session Tracker'!$D$5:$D$149,$A101,'Session Tracker'!$F$5:$F$149,"Next week",'Session Tracker'!$G$5:$G$149,""),$D101*SUMIFS('Session Tracker'!$J$5:$J$149,'Session Tracker'!$D$5:$D$149,$A101,'Session Tracker'!$F$5:$F$149,"Next week",'Session Tracker'!$G$5:$G$149,""))</f>
        <v>0</v>
      </c>
    </row>
    <row r="102" customFormat="false" ht="15" hidden="false" customHeight="false" outlineLevel="0" collapsed="false">
      <c r="A102" s="68" t="s">
        <v>231</v>
      </c>
      <c r="B102" s="34" t="s">
        <v>377</v>
      </c>
      <c r="C102" s="34" t="s">
        <v>600</v>
      </c>
      <c r="D102" s="32" t="n">
        <v>2</v>
      </c>
      <c r="E102" s="32" t="s">
        <v>14</v>
      </c>
      <c r="F102" s="32" t="s">
        <v>368</v>
      </c>
      <c r="G102" s="34"/>
      <c r="H102" s="52" t="n">
        <f aca="false">IF($E102="Per class",$D102*COUNTIFS('Session Tracker'!$D$5:$D$149,$A102,'Session Tracker'!$F$5:$F$149,"Next week",'Session Tracker'!$G$5:$G$149,"Mon"),$D102*SUMIFS('Session Tracker'!$J$5:$J$149,'Session Tracker'!$D$5:$D$149,$A102,'Session Tracker'!$F$5:$F$149,"Next week",'Session Tracker'!$G$5:$G$149,"Mon"))</f>
        <v>0</v>
      </c>
      <c r="I102" s="52" t="n">
        <f aca="false">IF($E102="Per class",$D102*COUNTIFS('Session Tracker'!$D$5:$D$149,$A102,'Session Tracker'!$F$5:$F$149,"Next week",'Session Tracker'!$G$5:$G$149,"Tue"),$D102*SUMIFS('Session Tracker'!$J$5:$J$149,'Session Tracker'!$D$5:$D$149,$A102,'Session Tracker'!$F$5:$F$149,"Next week",'Session Tracker'!$G$5:$G$149,"Tue"))</f>
        <v>0</v>
      </c>
      <c r="J102" s="52" t="n">
        <f aca="false">IF($E102="Per class",$D102*COUNTIFS('Session Tracker'!$D$5:$D$149,$A102,'Session Tracker'!$F$5:$F$149,"Next week",'Session Tracker'!$G$5:$G$149,"Wed"),$D102*SUMIFS('Session Tracker'!$J$5:$J$149,'Session Tracker'!$D$5:$D$149,$A102,'Session Tracker'!$F$5:$F$149,"Next week",'Session Tracker'!$G$5:$G$149,"Wed"))</f>
        <v>0</v>
      </c>
      <c r="K102" s="52" t="n">
        <f aca="false">IF($E102="Per class",$D102*COUNTIFS('Session Tracker'!$D$5:$D$149,$A102,'Session Tracker'!$F$5:$F$149,"Next week",'Session Tracker'!$G$5:$G$149,"Thu"),$D102*SUMIFS('Session Tracker'!$J$5:$J$149,'Session Tracker'!$D$5:$D$149,$A102,'Session Tracker'!$F$5:$F$149,"Next week",'Session Tracker'!$G$5:$G$149,"Thu"))</f>
        <v>0</v>
      </c>
      <c r="L102" s="52" t="n">
        <f aca="false">IF($E102="Per class",$D102*COUNTIFS('Session Tracker'!$D$5:$D$149,$A102,'Session Tracker'!$F$5:$F$149,"Next week",'Session Tracker'!$G$5:$G$149,"Fri"),$D102*SUMIFS('Session Tracker'!$J$5:$J$149,'Session Tracker'!$D$5:$D$149,$A102,'Session Tracker'!$F$5:$F$149,"Next week",'Session Tracker'!$G$5:$G$149,"Fri"))</f>
        <v>0</v>
      </c>
      <c r="M102" s="52" t="n">
        <f aca="false">IF($E102="Per class",$D102*COUNTIFS('Session Tracker'!$D$5:$D$149,$A102,'Session Tracker'!$F$5:$F$149,"Next week",'Session Tracker'!$G$5:$G$149,""),$D102*SUMIFS('Session Tracker'!$J$5:$J$149,'Session Tracker'!$D$5:$D$149,$A102,'Session Tracker'!$F$5:$F$149,"Next week",'Session Tracker'!$G$5:$G$149,""))</f>
        <v>0</v>
      </c>
    </row>
    <row r="103" customFormat="false" ht="15" hidden="false" customHeight="false" outlineLevel="0" collapsed="false">
      <c r="A103" s="68" t="s">
        <v>231</v>
      </c>
      <c r="B103" s="34" t="s">
        <v>377</v>
      </c>
      <c r="C103" s="34" t="s">
        <v>439</v>
      </c>
      <c r="D103" s="32" t="n">
        <v>1</v>
      </c>
      <c r="E103" s="32" t="s">
        <v>14</v>
      </c>
      <c r="F103" s="32" t="s">
        <v>368</v>
      </c>
      <c r="G103" s="34" t="s">
        <v>601</v>
      </c>
      <c r="H103" s="52" t="n">
        <f aca="false">IF($E103="Per class",$D103*COUNTIFS('Session Tracker'!$D$5:$D$149,$A103,'Session Tracker'!$F$5:$F$149,"Next week",'Session Tracker'!$G$5:$G$149,"Mon"),$D103*SUMIFS('Session Tracker'!$J$5:$J$149,'Session Tracker'!$D$5:$D$149,$A103,'Session Tracker'!$F$5:$F$149,"Next week",'Session Tracker'!$G$5:$G$149,"Mon"))</f>
        <v>0</v>
      </c>
      <c r="I103" s="52" t="n">
        <f aca="false">IF($E103="Per class",$D103*COUNTIFS('Session Tracker'!$D$5:$D$149,$A103,'Session Tracker'!$F$5:$F$149,"Next week",'Session Tracker'!$G$5:$G$149,"Tue"),$D103*SUMIFS('Session Tracker'!$J$5:$J$149,'Session Tracker'!$D$5:$D$149,$A103,'Session Tracker'!$F$5:$F$149,"Next week",'Session Tracker'!$G$5:$G$149,"Tue"))</f>
        <v>0</v>
      </c>
      <c r="J103" s="52" t="n">
        <f aca="false">IF($E103="Per class",$D103*COUNTIFS('Session Tracker'!$D$5:$D$149,$A103,'Session Tracker'!$F$5:$F$149,"Next week",'Session Tracker'!$G$5:$G$149,"Wed"),$D103*SUMIFS('Session Tracker'!$J$5:$J$149,'Session Tracker'!$D$5:$D$149,$A103,'Session Tracker'!$F$5:$F$149,"Next week",'Session Tracker'!$G$5:$G$149,"Wed"))</f>
        <v>0</v>
      </c>
      <c r="K103" s="52" t="n">
        <f aca="false">IF($E103="Per class",$D103*COUNTIFS('Session Tracker'!$D$5:$D$149,$A103,'Session Tracker'!$F$5:$F$149,"Next week",'Session Tracker'!$G$5:$G$149,"Thu"),$D103*SUMIFS('Session Tracker'!$J$5:$J$149,'Session Tracker'!$D$5:$D$149,$A103,'Session Tracker'!$F$5:$F$149,"Next week",'Session Tracker'!$G$5:$G$149,"Thu"))</f>
        <v>0</v>
      </c>
      <c r="L103" s="52" t="n">
        <f aca="false">IF($E103="Per class",$D103*COUNTIFS('Session Tracker'!$D$5:$D$149,$A103,'Session Tracker'!$F$5:$F$149,"Next week",'Session Tracker'!$G$5:$G$149,"Fri"),$D103*SUMIFS('Session Tracker'!$J$5:$J$149,'Session Tracker'!$D$5:$D$149,$A103,'Session Tracker'!$F$5:$F$149,"Next week",'Session Tracker'!$G$5:$G$149,"Fri"))</f>
        <v>0</v>
      </c>
      <c r="M103" s="52" t="n">
        <f aca="false">IF($E103="Per class",$D103*COUNTIFS('Session Tracker'!$D$5:$D$149,$A103,'Session Tracker'!$F$5:$F$149,"Next week",'Session Tracker'!$G$5:$G$149,""),$D103*SUMIFS('Session Tracker'!$J$5:$J$149,'Session Tracker'!$D$5:$D$149,$A103,'Session Tracker'!$F$5:$F$149,"Next week",'Session Tracker'!$G$5:$G$149,""))</f>
        <v>0</v>
      </c>
    </row>
    <row r="104" customFormat="false" ht="15" hidden="false" customHeight="false" outlineLevel="0" collapsed="false">
      <c r="A104" s="68" t="s">
        <v>231</v>
      </c>
      <c r="B104" s="34" t="s">
        <v>411</v>
      </c>
      <c r="C104" s="34" t="s">
        <v>440</v>
      </c>
      <c r="D104" s="32" t="n">
        <v>2</v>
      </c>
      <c r="E104" s="32" t="s">
        <v>14</v>
      </c>
      <c r="F104" s="32" t="s">
        <v>373</v>
      </c>
      <c r="G104" s="34" t="s">
        <v>602</v>
      </c>
      <c r="H104" s="52" t="n">
        <f aca="false">IF($E104="Per class",$D104*COUNTIFS('Session Tracker'!$D$5:$D$149,$A104,'Session Tracker'!$F$5:$F$149,"Next week",'Session Tracker'!$G$5:$G$149,"Mon"),$D104*SUMIFS('Session Tracker'!$J$5:$J$149,'Session Tracker'!$D$5:$D$149,$A104,'Session Tracker'!$F$5:$F$149,"Next week",'Session Tracker'!$G$5:$G$149,"Mon"))</f>
        <v>0</v>
      </c>
      <c r="I104" s="52" t="n">
        <f aca="false">IF($E104="Per class",$D104*COUNTIFS('Session Tracker'!$D$5:$D$149,$A104,'Session Tracker'!$F$5:$F$149,"Next week",'Session Tracker'!$G$5:$G$149,"Tue"),$D104*SUMIFS('Session Tracker'!$J$5:$J$149,'Session Tracker'!$D$5:$D$149,$A104,'Session Tracker'!$F$5:$F$149,"Next week",'Session Tracker'!$G$5:$G$149,"Tue"))</f>
        <v>0</v>
      </c>
      <c r="J104" s="52" t="n">
        <f aca="false">IF($E104="Per class",$D104*COUNTIFS('Session Tracker'!$D$5:$D$149,$A104,'Session Tracker'!$F$5:$F$149,"Next week",'Session Tracker'!$G$5:$G$149,"Wed"),$D104*SUMIFS('Session Tracker'!$J$5:$J$149,'Session Tracker'!$D$5:$D$149,$A104,'Session Tracker'!$F$5:$F$149,"Next week",'Session Tracker'!$G$5:$G$149,"Wed"))</f>
        <v>0</v>
      </c>
      <c r="K104" s="52" t="n">
        <f aca="false">IF($E104="Per class",$D104*COUNTIFS('Session Tracker'!$D$5:$D$149,$A104,'Session Tracker'!$F$5:$F$149,"Next week",'Session Tracker'!$G$5:$G$149,"Thu"),$D104*SUMIFS('Session Tracker'!$J$5:$J$149,'Session Tracker'!$D$5:$D$149,$A104,'Session Tracker'!$F$5:$F$149,"Next week",'Session Tracker'!$G$5:$G$149,"Thu"))</f>
        <v>0</v>
      </c>
      <c r="L104" s="52" t="n">
        <f aca="false">IF($E104="Per class",$D104*COUNTIFS('Session Tracker'!$D$5:$D$149,$A104,'Session Tracker'!$F$5:$F$149,"Next week",'Session Tracker'!$G$5:$G$149,"Fri"),$D104*SUMIFS('Session Tracker'!$J$5:$J$149,'Session Tracker'!$D$5:$D$149,$A104,'Session Tracker'!$F$5:$F$149,"Next week",'Session Tracker'!$G$5:$G$149,"Fri"))</f>
        <v>0</v>
      </c>
      <c r="M104" s="52" t="n">
        <f aca="false">IF($E104="Per class",$D104*COUNTIFS('Session Tracker'!$D$5:$D$149,$A104,'Session Tracker'!$F$5:$F$149,"Next week",'Session Tracker'!$G$5:$G$149,""),$D104*SUMIFS('Session Tracker'!$J$5:$J$149,'Session Tracker'!$D$5:$D$149,$A104,'Session Tracker'!$F$5:$F$149,"Next week",'Session Tracker'!$G$5:$G$149,""))</f>
        <v>0</v>
      </c>
    </row>
    <row r="105" customFormat="false" ht="15" hidden="false" customHeight="false" outlineLevel="0" collapsed="false">
      <c r="A105" s="68" t="s">
        <v>231</v>
      </c>
      <c r="B105" s="34" t="s">
        <v>411</v>
      </c>
      <c r="C105" s="34" t="s">
        <v>413</v>
      </c>
      <c r="D105" s="32" t="n">
        <v>1</v>
      </c>
      <c r="E105" s="32" t="s">
        <v>14</v>
      </c>
      <c r="F105" s="32" t="s">
        <v>373</v>
      </c>
      <c r="G105" s="34"/>
      <c r="H105" s="52" t="n">
        <f aca="false">IF($E105="Per class",$D105*COUNTIFS('Session Tracker'!$D$5:$D$149,$A105,'Session Tracker'!$F$5:$F$149,"Next week",'Session Tracker'!$G$5:$G$149,"Mon"),$D105*SUMIFS('Session Tracker'!$J$5:$J$149,'Session Tracker'!$D$5:$D$149,$A105,'Session Tracker'!$F$5:$F$149,"Next week",'Session Tracker'!$G$5:$G$149,"Mon"))</f>
        <v>0</v>
      </c>
      <c r="I105" s="52" t="n">
        <f aca="false">IF($E105="Per class",$D105*COUNTIFS('Session Tracker'!$D$5:$D$149,$A105,'Session Tracker'!$F$5:$F$149,"Next week",'Session Tracker'!$G$5:$G$149,"Tue"),$D105*SUMIFS('Session Tracker'!$J$5:$J$149,'Session Tracker'!$D$5:$D$149,$A105,'Session Tracker'!$F$5:$F$149,"Next week",'Session Tracker'!$G$5:$G$149,"Tue"))</f>
        <v>0</v>
      </c>
      <c r="J105" s="52" t="n">
        <f aca="false">IF($E105="Per class",$D105*COUNTIFS('Session Tracker'!$D$5:$D$149,$A105,'Session Tracker'!$F$5:$F$149,"Next week",'Session Tracker'!$G$5:$G$149,"Wed"),$D105*SUMIFS('Session Tracker'!$J$5:$J$149,'Session Tracker'!$D$5:$D$149,$A105,'Session Tracker'!$F$5:$F$149,"Next week",'Session Tracker'!$G$5:$G$149,"Wed"))</f>
        <v>0</v>
      </c>
      <c r="K105" s="52" t="n">
        <f aca="false">IF($E105="Per class",$D105*COUNTIFS('Session Tracker'!$D$5:$D$149,$A105,'Session Tracker'!$F$5:$F$149,"Next week",'Session Tracker'!$G$5:$G$149,"Thu"),$D105*SUMIFS('Session Tracker'!$J$5:$J$149,'Session Tracker'!$D$5:$D$149,$A105,'Session Tracker'!$F$5:$F$149,"Next week",'Session Tracker'!$G$5:$G$149,"Thu"))</f>
        <v>0</v>
      </c>
      <c r="L105" s="52" t="n">
        <f aca="false">IF($E105="Per class",$D105*COUNTIFS('Session Tracker'!$D$5:$D$149,$A105,'Session Tracker'!$F$5:$F$149,"Next week",'Session Tracker'!$G$5:$G$149,"Fri"),$D105*SUMIFS('Session Tracker'!$J$5:$J$149,'Session Tracker'!$D$5:$D$149,$A105,'Session Tracker'!$F$5:$F$149,"Next week",'Session Tracker'!$G$5:$G$149,"Fri"))</f>
        <v>0</v>
      </c>
      <c r="M105" s="52" t="n">
        <f aca="false">IF($E105="Per class",$D105*COUNTIFS('Session Tracker'!$D$5:$D$149,$A105,'Session Tracker'!$F$5:$F$149,"Next week",'Session Tracker'!$G$5:$G$149,""),$D105*SUMIFS('Session Tracker'!$J$5:$J$149,'Session Tracker'!$D$5:$D$149,$A105,'Session Tracker'!$F$5:$F$149,"Next week",'Session Tracker'!$G$5:$G$149,""))</f>
        <v>0</v>
      </c>
    </row>
    <row r="106" customFormat="false" ht="15" hidden="false" customHeight="false" outlineLevel="0" collapsed="false">
      <c r="A106" s="68" t="s">
        <v>231</v>
      </c>
      <c r="B106" s="34" t="s">
        <v>411</v>
      </c>
      <c r="C106" s="34" t="s">
        <v>414</v>
      </c>
      <c r="D106" s="32" t="n">
        <v>1</v>
      </c>
      <c r="E106" s="32" t="s">
        <v>16</v>
      </c>
      <c r="F106" s="32" t="s">
        <v>373</v>
      </c>
      <c r="G106" s="34"/>
      <c r="H106" s="52" t="n">
        <f aca="false">IF($E106="Per class",$D106*COUNTIFS('Session Tracker'!$D$5:$D$149,$A106,'Session Tracker'!$F$5:$F$149,"Next week",'Session Tracker'!$G$5:$G$149,"Mon"),$D106*SUMIFS('Session Tracker'!$J$5:$J$149,'Session Tracker'!$D$5:$D$149,$A106,'Session Tracker'!$F$5:$F$149,"Next week",'Session Tracker'!$G$5:$G$149,"Mon"))</f>
        <v>0</v>
      </c>
      <c r="I106" s="52" t="n">
        <f aca="false">IF($E106="Per class",$D106*COUNTIFS('Session Tracker'!$D$5:$D$149,$A106,'Session Tracker'!$F$5:$F$149,"Next week",'Session Tracker'!$G$5:$G$149,"Tue"),$D106*SUMIFS('Session Tracker'!$J$5:$J$149,'Session Tracker'!$D$5:$D$149,$A106,'Session Tracker'!$F$5:$F$149,"Next week",'Session Tracker'!$G$5:$G$149,"Tue"))</f>
        <v>0</v>
      </c>
      <c r="J106" s="52" t="n">
        <f aca="false">IF($E106="Per class",$D106*COUNTIFS('Session Tracker'!$D$5:$D$149,$A106,'Session Tracker'!$F$5:$F$149,"Next week",'Session Tracker'!$G$5:$G$149,"Wed"),$D106*SUMIFS('Session Tracker'!$J$5:$J$149,'Session Tracker'!$D$5:$D$149,$A106,'Session Tracker'!$F$5:$F$149,"Next week",'Session Tracker'!$G$5:$G$149,"Wed"))</f>
        <v>0</v>
      </c>
      <c r="K106" s="52" t="n">
        <f aca="false">IF($E106="Per class",$D106*COUNTIFS('Session Tracker'!$D$5:$D$149,$A106,'Session Tracker'!$F$5:$F$149,"Next week",'Session Tracker'!$G$5:$G$149,"Thu"),$D106*SUMIFS('Session Tracker'!$J$5:$J$149,'Session Tracker'!$D$5:$D$149,$A106,'Session Tracker'!$F$5:$F$149,"Next week",'Session Tracker'!$G$5:$G$149,"Thu"))</f>
        <v>0</v>
      </c>
      <c r="L106" s="52" t="n">
        <f aca="false">IF($E106="Per class",$D106*COUNTIFS('Session Tracker'!$D$5:$D$149,$A106,'Session Tracker'!$F$5:$F$149,"Next week",'Session Tracker'!$G$5:$G$149,"Fri"),$D106*SUMIFS('Session Tracker'!$J$5:$J$149,'Session Tracker'!$D$5:$D$149,$A106,'Session Tracker'!$F$5:$F$149,"Next week",'Session Tracker'!$G$5:$G$149,"Fri"))</f>
        <v>0</v>
      </c>
      <c r="M106" s="52" t="n">
        <f aca="false">IF($E106="Per class",$D106*COUNTIFS('Session Tracker'!$D$5:$D$149,$A106,'Session Tracker'!$F$5:$F$149,"Next week",'Session Tracker'!$G$5:$G$149,""),$D106*SUMIFS('Session Tracker'!$J$5:$J$149,'Session Tracker'!$D$5:$D$149,$A106,'Session Tracker'!$F$5:$F$149,"Next week",'Session Tracker'!$G$5:$G$149,""))</f>
        <v>0</v>
      </c>
    </row>
    <row r="107" customFormat="false" ht="15" hidden="false" customHeight="false" outlineLevel="0" collapsed="false">
      <c r="A107" s="68" t="s">
        <v>231</v>
      </c>
      <c r="B107" s="34" t="s">
        <v>409</v>
      </c>
      <c r="C107" s="34" t="s">
        <v>533</v>
      </c>
      <c r="D107" s="32" t="n">
        <v>1</v>
      </c>
      <c r="E107" s="32" t="s">
        <v>14</v>
      </c>
      <c r="F107" s="32" t="s">
        <v>373</v>
      </c>
      <c r="G107" s="34" t="s">
        <v>534</v>
      </c>
      <c r="H107" s="52" t="n">
        <f aca="false">IF($E107="Per class",$D107*COUNTIFS('Session Tracker'!$D$5:$D$149,$A107,'Session Tracker'!$F$5:$F$149,"Next week",'Session Tracker'!$G$5:$G$149,"Mon"),$D107*SUMIFS('Session Tracker'!$J$5:$J$149,'Session Tracker'!$D$5:$D$149,$A107,'Session Tracker'!$F$5:$F$149,"Next week",'Session Tracker'!$G$5:$G$149,"Mon"))</f>
        <v>0</v>
      </c>
      <c r="I107" s="52" t="n">
        <f aca="false">IF($E107="Per class",$D107*COUNTIFS('Session Tracker'!$D$5:$D$149,$A107,'Session Tracker'!$F$5:$F$149,"Next week",'Session Tracker'!$G$5:$G$149,"Tue"),$D107*SUMIFS('Session Tracker'!$J$5:$J$149,'Session Tracker'!$D$5:$D$149,$A107,'Session Tracker'!$F$5:$F$149,"Next week",'Session Tracker'!$G$5:$G$149,"Tue"))</f>
        <v>0</v>
      </c>
      <c r="J107" s="52" t="n">
        <f aca="false">IF($E107="Per class",$D107*COUNTIFS('Session Tracker'!$D$5:$D$149,$A107,'Session Tracker'!$F$5:$F$149,"Next week",'Session Tracker'!$G$5:$G$149,"Wed"),$D107*SUMIFS('Session Tracker'!$J$5:$J$149,'Session Tracker'!$D$5:$D$149,$A107,'Session Tracker'!$F$5:$F$149,"Next week",'Session Tracker'!$G$5:$G$149,"Wed"))</f>
        <v>0</v>
      </c>
      <c r="K107" s="52" t="n">
        <f aca="false">IF($E107="Per class",$D107*COUNTIFS('Session Tracker'!$D$5:$D$149,$A107,'Session Tracker'!$F$5:$F$149,"Next week",'Session Tracker'!$G$5:$G$149,"Thu"),$D107*SUMIFS('Session Tracker'!$J$5:$J$149,'Session Tracker'!$D$5:$D$149,$A107,'Session Tracker'!$F$5:$F$149,"Next week",'Session Tracker'!$G$5:$G$149,"Thu"))</f>
        <v>0</v>
      </c>
      <c r="L107" s="52" t="n">
        <f aca="false">IF($E107="Per class",$D107*COUNTIFS('Session Tracker'!$D$5:$D$149,$A107,'Session Tracker'!$F$5:$F$149,"Next week",'Session Tracker'!$G$5:$G$149,"Fri"),$D107*SUMIFS('Session Tracker'!$J$5:$J$149,'Session Tracker'!$D$5:$D$149,$A107,'Session Tracker'!$F$5:$F$149,"Next week",'Session Tracker'!$G$5:$G$149,"Fri"))</f>
        <v>0</v>
      </c>
      <c r="M107" s="52" t="n">
        <f aca="false">IF($E107="Per class",$D107*COUNTIFS('Session Tracker'!$D$5:$D$149,$A107,'Session Tracker'!$F$5:$F$149,"Next week",'Session Tracker'!$G$5:$G$149,""),$D107*SUMIFS('Session Tracker'!$J$5:$J$149,'Session Tracker'!$D$5:$D$149,$A107,'Session Tracker'!$F$5:$F$149,"Next week",'Session Tracker'!$G$5:$G$149,""))</f>
        <v>0</v>
      </c>
    </row>
    <row r="108" customFormat="false" ht="15" hidden="false" customHeight="false" outlineLevel="0" collapsed="false">
      <c r="A108" s="68" t="s">
        <v>231</v>
      </c>
      <c r="B108" s="34" t="s">
        <v>379</v>
      </c>
      <c r="C108" s="34" t="s">
        <v>395</v>
      </c>
      <c r="D108" s="32" t="n">
        <v>12</v>
      </c>
      <c r="E108" s="32" t="s">
        <v>14</v>
      </c>
      <c r="F108" s="32" t="s">
        <v>368</v>
      </c>
      <c r="G108" s="34"/>
      <c r="H108" s="52" t="n">
        <f aca="false">IF($E108="Per class",$D108*COUNTIFS('Session Tracker'!$D$5:$D$149,$A108,'Session Tracker'!$F$5:$F$149,"Next week",'Session Tracker'!$G$5:$G$149,"Mon"),$D108*SUMIFS('Session Tracker'!$J$5:$J$149,'Session Tracker'!$D$5:$D$149,$A108,'Session Tracker'!$F$5:$F$149,"Next week",'Session Tracker'!$G$5:$G$149,"Mon"))</f>
        <v>0</v>
      </c>
      <c r="I108" s="52" t="n">
        <f aca="false">IF($E108="Per class",$D108*COUNTIFS('Session Tracker'!$D$5:$D$149,$A108,'Session Tracker'!$F$5:$F$149,"Next week",'Session Tracker'!$G$5:$G$149,"Tue"),$D108*SUMIFS('Session Tracker'!$J$5:$J$149,'Session Tracker'!$D$5:$D$149,$A108,'Session Tracker'!$F$5:$F$149,"Next week",'Session Tracker'!$G$5:$G$149,"Tue"))</f>
        <v>0</v>
      </c>
      <c r="J108" s="52" t="n">
        <f aca="false">IF($E108="Per class",$D108*COUNTIFS('Session Tracker'!$D$5:$D$149,$A108,'Session Tracker'!$F$5:$F$149,"Next week",'Session Tracker'!$G$5:$G$149,"Wed"),$D108*SUMIFS('Session Tracker'!$J$5:$J$149,'Session Tracker'!$D$5:$D$149,$A108,'Session Tracker'!$F$5:$F$149,"Next week",'Session Tracker'!$G$5:$G$149,"Wed"))</f>
        <v>0</v>
      </c>
      <c r="K108" s="52" t="n">
        <f aca="false">IF($E108="Per class",$D108*COUNTIFS('Session Tracker'!$D$5:$D$149,$A108,'Session Tracker'!$F$5:$F$149,"Next week",'Session Tracker'!$G$5:$G$149,"Thu"),$D108*SUMIFS('Session Tracker'!$J$5:$J$149,'Session Tracker'!$D$5:$D$149,$A108,'Session Tracker'!$F$5:$F$149,"Next week",'Session Tracker'!$G$5:$G$149,"Thu"))</f>
        <v>0</v>
      </c>
      <c r="L108" s="52" t="n">
        <f aca="false">IF($E108="Per class",$D108*COUNTIFS('Session Tracker'!$D$5:$D$149,$A108,'Session Tracker'!$F$5:$F$149,"Next week",'Session Tracker'!$G$5:$G$149,"Fri"),$D108*SUMIFS('Session Tracker'!$J$5:$J$149,'Session Tracker'!$D$5:$D$149,$A108,'Session Tracker'!$F$5:$F$149,"Next week",'Session Tracker'!$G$5:$G$149,"Fri"))</f>
        <v>0</v>
      </c>
      <c r="M108" s="52" t="n">
        <f aca="false">IF($E108="Per class",$D108*COUNTIFS('Session Tracker'!$D$5:$D$149,$A108,'Session Tracker'!$F$5:$F$149,"Next week",'Session Tracker'!$G$5:$G$149,""),$D108*SUMIFS('Session Tracker'!$J$5:$J$149,'Session Tracker'!$D$5:$D$149,$A108,'Session Tracker'!$F$5:$F$149,"Next week",'Session Tracker'!$G$5:$G$149,""))</f>
        <v>0</v>
      </c>
    </row>
    <row r="109" customFormat="false" ht="15" hidden="false" customHeight="false" outlineLevel="0" collapsed="false">
      <c r="A109" s="68" t="s">
        <v>231</v>
      </c>
      <c r="B109" s="34" t="s">
        <v>379</v>
      </c>
      <c r="C109" s="34" t="s">
        <v>381</v>
      </c>
      <c r="D109" s="32" t="n">
        <v>6</v>
      </c>
      <c r="E109" s="32" t="s">
        <v>14</v>
      </c>
      <c r="F109" s="32" t="s">
        <v>368</v>
      </c>
      <c r="G109" s="34"/>
      <c r="H109" s="52" t="n">
        <f aca="false">IF($E109="Per class",$D109*COUNTIFS('Session Tracker'!$D$5:$D$149,$A109,'Session Tracker'!$F$5:$F$149,"Next week",'Session Tracker'!$G$5:$G$149,"Mon"),$D109*SUMIFS('Session Tracker'!$J$5:$J$149,'Session Tracker'!$D$5:$D$149,$A109,'Session Tracker'!$F$5:$F$149,"Next week",'Session Tracker'!$G$5:$G$149,"Mon"))</f>
        <v>0</v>
      </c>
      <c r="I109" s="52" t="n">
        <f aca="false">IF($E109="Per class",$D109*COUNTIFS('Session Tracker'!$D$5:$D$149,$A109,'Session Tracker'!$F$5:$F$149,"Next week",'Session Tracker'!$G$5:$G$149,"Tue"),$D109*SUMIFS('Session Tracker'!$J$5:$J$149,'Session Tracker'!$D$5:$D$149,$A109,'Session Tracker'!$F$5:$F$149,"Next week",'Session Tracker'!$G$5:$G$149,"Tue"))</f>
        <v>0</v>
      </c>
      <c r="J109" s="52" t="n">
        <f aca="false">IF($E109="Per class",$D109*COUNTIFS('Session Tracker'!$D$5:$D$149,$A109,'Session Tracker'!$F$5:$F$149,"Next week",'Session Tracker'!$G$5:$G$149,"Wed"),$D109*SUMIFS('Session Tracker'!$J$5:$J$149,'Session Tracker'!$D$5:$D$149,$A109,'Session Tracker'!$F$5:$F$149,"Next week",'Session Tracker'!$G$5:$G$149,"Wed"))</f>
        <v>0</v>
      </c>
      <c r="K109" s="52" t="n">
        <f aca="false">IF($E109="Per class",$D109*COUNTIFS('Session Tracker'!$D$5:$D$149,$A109,'Session Tracker'!$F$5:$F$149,"Next week",'Session Tracker'!$G$5:$G$149,"Thu"),$D109*SUMIFS('Session Tracker'!$J$5:$J$149,'Session Tracker'!$D$5:$D$149,$A109,'Session Tracker'!$F$5:$F$149,"Next week",'Session Tracker'!$G$5:$G$149,"Thu"))</f>
        <v>0</v>
      </c>
      <c r="L109" s="52" t="n">
        <f aca="false">IF($E109="Per class",$D109*COUNTIFS('Session Tracker'!$D$5:$D$149,$A109,'Session Tracker'!$F$5:$F$149,"Next week",'Session Tracker'!$G$5:$G$149,"Fri"),$D109*SUMIFS('Session Tracker'!$J$5:$J$149,'Session Tracker'!$D$5:$D$149,$A109,'Session Tracker'!$F$5:$F$149,"Next week",'Session Tracker'!$G$5:$G$149,"Fri"))</f>
        <v>0</v>
      </c>
      <c r="M109" s="52" t="n">
        <f aca="false">IF($E109="Per class",$D109*COUNTIFS('Session Tracker'!$D$5:$D$149,$A109,'Session Tracker'!$F$5:$F$149,"Next week",'Session Tracker'!$G$5:$G$149,""),$D109*SUMIFS('Session Tracker'!$J$5:$J$149,'Session Tracker'!$D$5:$D$149,$A109,'Session Tracker'!$F$5:$F$149,"Next week",'Session Tracker'!$G$5:$G$149,""))</f>
        <v>0</v>
      </c>
    </row>
    <row r="110" customFormat="false" ht="15" hidden="false" customHeight="false" outlineLevel="0" collapsed="false">
      <c r="A110" s="68" t="s">
        <v>231</v>
      </c>
      <c r="B110" s="34" t="s">
        <v>382</v>
      </c>
      <c r="C110" s="34" t="s">
        <v>383</v>
      </c>
      <c r="D110" s="32" t="n">
        <v>1</v>
      </c>
      <c r="E110" s="32" t="s">
        <v>14</v>
      </c>
      <c r="F110" s="32" t="s">
        <v>368</v>
      </c>
      <c r="G110" s="34"/>
      <c r="H110" s="52" t="n">
        <f aca="false">IF($E110="Per class",$D110*COUNTIFS('Session Tracker'!$D$5:$D$149,$A110,'Session Tracker'!$F$5:$F$149,"Next week",'Session Tracker'!$G$5:$G$149,"Mon"),$D110*SUMIFS('Session Tracker'!$J$5:$J$149,'Session Tracker'!$D$5:$D$149,$A110,'Session Tracker'!$F$5:$F$149,"Next week",'Session Tracker'!$G$5:$G$149,"Mon"))</f>
        <v>0</v>
      </c>
      <c r="I110" s="52" t="n">
        <f aca="false">IF($E110="Per class",$D110*COUNTIFS('Session Tracker'!$D$5:$D$149,$A110,'Session Tracker'!$F$5:$F$149,"Next week",'Session Tracker'!$G$5:$G$149,"Tue"),$D110*SUMIFS('Session Tracker'!$J$5:$J$149,'Session Tracker'!$D$5:$D$149,$A110,'Session Tracker'!$F$5:$F$149,"Next week",'Session Tracker'!$G$5:$G$149,"Tue"))</f>
        <v>0</v>
      </c>
      <c r="J110" s="52" t="n">
        <f aca="false">IF($E110="Per class",$D110*COUNTIFS('Session Tracker'!$D$5:$D$149,$A110,'Session Tracker'!$F$5:$F$149,"Next week",'Session Tracker'!$G$5:$G$149,"Wed"),$D110*SUMIFS('Session Tracker'!$J$5:$J$149,'Session Tracker'!$D$5:$D$149,$A110,'Session Tracker'!$F$5:$F$149,"Next week",'Session Tracker'!$G$5:$G$149,"Wed"))</f>
        <v>0</v>
      </c>
      <c r="K110" s="52" t="n">
        <f aca="false">IF($E110="Per class",$D110*COUNTIFS('Session Tracker'!$D$5:$D$149,$A110,'Session Tracker'!$F$5:$F$149,"Next week",'Session Tracker'!$G$5:$G$149,"Thu"),$D110*SUMIFS('Session Tracker'!$J$5:$J$149,'Session Tracker'!$D$5:$D$149,$A110,'Session Tracker'!$F$5:$F$149,"Next week",'Session Tracker'!$G$5:$G$149,"Thu"))</f>
        <v>0</v>
      </c>
      <c r="L110" s="52" t="n">
        <f aca="false">IF($E110="Per class",$D110*COUNTIFS('Session Tracker'!$D$5:$D$149,$A110,'Session Tracker'!$F$5:$F$149,"Next week",'Session Tracker'!$G$5:$G$149,"Fri"),$D110*SUMIFS('Session Tracker'!$J$5:$J$149,'Session Tracker'!$D$5:$D$149,$A110,'Session Tracker'!$F$5:$F$149,"Next week",'Session Tracker'!$G$5:$G$149,"Fri"))</f>
        <v>0</v>
      </c>
      <c r="M110" s="52" t="n">
        <f aca="false">IF($E110="Per class",$D110*COUNTIFS('Session Tracker'!$D$5:$D$149,$A110,'Session Tracker'!$F$5:$F$149,"Next week",'Session Tracker'!$G$5:$G$149,""),$D110*SUMIFS('Session Tracker'!$J$5:$J$149,'Session Tracker'!$D$5:$D$149,$A110,'Session Tracker'!$F$5:$F$149,"Next week",'Session Tracker'!$G$5:$G$149,""))</f>
        <v>0</v>
      </c>
    </row>
    <row r="111" customFormat="false" ht="15" hidden="false" customHeight="false" outlineLevel="0" collapsed="false">
      <c r="A111" s="68" t="s">
        <v>231</v>
      </c>
      <c r="B111" s="34" t="s">
        <v>371</v>
      </c>
      <c r="C111" s="34" t="s">
        <v>372</v>
      </c>
      <c r="D111" s="32" t="n">
        <v>1</v>
      </c>
      <c r="E111" s="32" t="s">
        <v>14</v>
      </c>
      <c r="F111" s="32" t="s">
        <v>373</v>
      </c>
      <c r="G111" s="34" t="s">
        <v>389</v>
      </c>
      <c r="H111" s="52" t="n">
        <f aca="false">IF($E111="Per class",$D111*COUNTIFS('Session Tracker'!$D$5:$D$149,$A111,'Session Tracker'!$F$5:$F$149,"Next week",'Session Tracker'!$G$5:$G$149,"Mon"),$D111*SUMIFS('Session Tracker'!$J$5:$J$149,'Session Tracker'!$D$5:$D$149,$A111,'Session Tracker'!$F$5:$F$149,"Next week",'Session Tracker'!$G$5:$G$149,"Mon"))</f>
        <v>0</v>
      </c>
      <c r="I111" s="52" t="n">
        <f aca="false">IF($E111="Per class",$D111*COUNTIFS('Session Tracker'!$D$5:$D$149,$A111,'Session Tracker'!$F$5:$F$149,"Next week",'Session Tracker'!$G$5:$G$149,"Tue"),$D111*SUMIFS('Session Tracker'!$J$5:$J$149,'Session Tracker'!$D$5:$D$149,$A111,'Session Tracker'!$F$5:$F$149,"Next week",'Session Tracker'!$G$5:$G$149,"Tue"))</f>
        <v>0</v>
      </c>
      <c r="J111" s="52" t="n">
        <f aca="false">IF($E111="Per class",$D111*COUNTIFS('Session Tracker'!$D$5:$D$149,$A111,'Session Tracker'!$F$5:$F$149,"Next week",'Session Tracker'!$G$5:$G$149,"Wed"),$D111*SUMIFS('Session Tracker'!$J$5:$J$149,'Session Tracker'!$D$5:$D$149,$A111,'Session Tracker'!$F$5:$F$149,"Next week",'Session Tracker'!$G$5:$G$149,"Wed"))</f>
        <v>0</v>
      </c>
      <c r="K111" s="52" t="n">
        <f aca="false">IF($E111="Per class",$D111*COUNTIFS('Session Tracker'!$D$5:$D$149,$A111,'Session Tracker'!$F$5:$F$149,"Next week",'Session Tracker'!$G$5:$G$149,"Thu"),$D111*SUMIFS('Session Tracker'!$J$5:$J$149,'Session Tracker'!$D$5:$D$149,$A111,'Session Tracker'!$F$5:$F$149,"Next week",'Session Tracker'!$G$5:$G$149,"Thu"))</f>
        <v>0</v>
      </c>
      <c r="L111" s="52" t="n">
        <f aca="false">IF($E111="Per class",$D111*COUNTIFS('Session Tracker'!$D$5:$D$149,$A111,'Session Tracker'!$F$5:$F$149,"Next week",'Session Tracker'!$G$5:$G$149,"Fri"),$D111*SUMIFS('Session Tracker'!$J$5:$J$149,'Session Tracker'!$D$5:$D$149,$A111,'Session Tracker'!$F$5:$F$149,"Next week",'Session Tracker'!$G$5:$G$149,"Fri"))</f>
        <v>0</v>
      </c>
      <c r="M111" s="52" t="n">
        <f aca="false">IF($E111="Per class",$D111*COUNTIFS('Session Tracker'!$D$5:$D$149,$A111,'Session Tracker'!$F$5:$F$149,"Next week",'Session Tracker'!$G$5:$G$149,""),$D111*SUMIFS('Session Tracker'!$J$5:$J$149,'Session Tracker'!$D$5:$D$149,$A111,'Session Tracker'!$F$5:$F$149,"Next week",'Session Tracker'!$G$5:$G$149,""))</f>
        <v>0</v>
      </c>
    </row>
    <row r="112" customFormat="false" ht="15" hidden="false" customHeight="false" outlineLevel="0" collapsed="false">
      <c r="A112" s="68" t="s">
        <v>231</v>
      </c>
      <c r="B112" s="34" t="s">
        <v>375</v>
      </c>
      <c r="C112" s="34" t="s">
        <v>376</v>
      </c>
      <c r="D112" s="32" t="n">
        <v>1</v>
      </c>
      <c r="E112" s="32" t="s">
        <v>14</v>
      </c>
      <c r="F112" s="32" t="s">
        <v>373</v>
      </c>
      <c r="G112" s="34" t="s">
        <v>442</v>
      </c>
      <c r="H112" s="52" t="n">
        <f aca="false">IF($E112="Per class",$D112*COUNTIFS('Session Tracker'!$D$5:$D$149,$A112,'Session Tracker'!$F$5:$F$149,"Next week",'Session Tracker'!$G$5:$G$149,"Mon"),$D112*SUMIFS('Session Tracker'!$J$5:$J$149,'Session Tracker'!$D$5:$D$149,$A112,'Session Tracker'!$F$5:$F$149,"Next week",'Session Tracker'!$G$5:$G$149,"Mon"))</f>
        <v>0</v>
      </c>
      <c r="I112" s="52" t="n">
        <f aca="false">IF($E112="Per class",$D112*COUNTIFS('Session Tracker'!$D$5:$D$149,$A112,'Session Tracker'!$F$5:$F$149,"Next week",'Session Tracker'!$G$5:$G$149,"Tue"),$D112*SUMIFS('Session Tracker'!$J$5:$J$149,'Session Tracker'!$D$5:$D$149,$A112,'Session Tracker'!$F$5:$F$149,"Next week",'Session Tracker'!$G$5:$G$149,"Tue"))</f>
        <v>0</v>
      </c>
      <c r="J112" s="52" t="n">
        <f aca="false">IF($E112="Per class",$D112*COUNTIFS('Session Tracker'!$D$5:$D$149,$A112,'Session Tracker'!$F$5:$F$149,"Next week",'Session Tracker'!$G$5:$G$149,"Wed"),$D112*SUMIFS('Session Tracker'!$J$5:$J$149,'Session Tracker'!$D$5:$D$149,$A112,'Session Tracker'!$F$5:$F$149,"Next week",'Session Tracker'!$G$5:$G$149,"Wed"))</f>
        <v>0</v>
      </c>
      <c r="K112" s="52" t="n">
        <f aca="false">IF($E112="Per class",$D112*COUNTIFS('Session Tracker'!$D$5:$D$149,$A112,'Session Tracker'!$F$5:$F$149,"Next week",'Session Tracker'!$G$5:$G$149,"Thu"),$D112*SUMIFS('Session Tracker'!$J$5:$J$149,'Session Tracker'!$D$5:$D$149,$A112,'Session Tracker'!$F$5:$F$149,"Next week",'Session Tracker'!$G$5:$G$149,"Thu"))</f>
        <v>0</v>
      </c>
      <c r="L112" s="52" t="n">
        <f aca="false">IF($E112="Per class",$D112*COUNTIFS('Session Tracker'!$D$5:$D$149,$A112,'Session Tracker'!$F$5:$F$149,"Next week",'Session Tracker'!$G$5:$G$149,"Fri"),$D112*SUMIFS('Session Tracker'!$J$5:$J$149,'Session Tracker'!$D$5:$D$149,$A112,'Session Tracker'!$F$5:$F$149,"Next week",'Session Tracker'!$G$5:$G$149,"Fri"))</f>
        <v>0</v>
      </c>
      <c r="M112" s="52" t="n">
        <f aca="false">IF($E112="Per class",$D112*COUNTIFS('Session Tracker'!$D$5:$D$149,$A112,'Session Tracker'!$F$5:$F$149,"Next week",'Session Tracker'!$G$5:$G$149,""),$D112*SUMIFS('Session Tracker'!$J$5:$J$149,'Session Tracker'!$D$5:$D$149,$A112,'Session Tracker'!$F$5:$F$149,"Next week",'Session Tracker'!$G$5:$G$149,""))</f>
        <v>0</v>
      </c>
    </row>
    <row r="113" customFormat="false" ht="15" hidden="false" customHeight="false" outlineLevel="0" collapsed="false">
      <c r="A113" s="68" t="s">
        <v>231</v>
      </c>
      <c r="B113" s="34" t="s">
        <v>377</v>
      </c>
      <c r="C113" s="34" t="s">
        <v>378</v>
      </c>
      <c r="D113" s="32" t="n">
        <v>1</v>
      </c>
      <c r="E113" s="32" t="s">
        <v>14</v>
      </c>
      <c r="F113" s="32" t="s">
        <v>368</v>
      </c>
      <c r="G113" s="34" t="s">
        <v>389</v>
      </c>
      <c r="H113" s="52" t="n">
        <f aca="false">IF($E113="Per class",$D113*COUNTIFS('Session Tracker'!$D$5:$D$149,$A113,'Session Tracker'!$F$5:$F$149,"Next week",'Session Tracker'!$G$5:$G$149,"Mon"),$D113*SUMIFS('Session Tracker'!$J$5:$J$149,'Session Tracker'!$D$5:$D$149,$A113,'Session Tracker'!$F$5:$F$149,"Next week",'Session Tracker'!$G$5:$G$149,"Mon"))</f>
        <v>0</v>
      </c>
      <c r="I113" s="52" t="n">
        <f aca="false">IF($E113="Per class",$D113*COUNTIFS('Session Tracker'!$D$5:$D$149,$A113,'Session Tracker'!$F$5:$F$149,"Next week",'Session Tracker'!$G$5:$G$149,"Tue"),$D113*SUMIFS('Session Tracker'!$J$5:$J$149,'Session Tracker'!$D$5:$D$149,$A113,'Session Tracker'!$F$5:$F$149,"Next week",'Session Tracker'!$G$5:$G$149,"Tue"))</f>
        <v>0</v>
      </c>
      <c r="J113" s="52" t="n">
        <f aca="false">IF($E113="Per class",$D113*COUNTIFS('Session Tracker'!$D$5:$D$149,$A113,'Session Tracker'!$F$5:$F$149,"Next week",'Session Tracker'!$G$5:$G$149,"Wed"),$D113*SUMIFS('Session Tracker'!$J$5:$J$149,'Session Tracker'!$D$5:$D$149,$A113,'Session Tracker'!$F$5:$F$149,"Next week",'Session Tracker'!$G$5:$G$149,"Wed"))</f>
        <v>0</v>
      </c>
      <c r="K113" s="52" t="n">
        <f aca="false">IF($E113="Per class",$D113*COUNTIFS('Session Tracker'!$D$5:$D$149,$A113,'Session Tracker'!$F$5:$F$149,"Next week",'Session Tracker'!$G$5:$G$149,"Thu"),$D113*SUMIFS('Session Tracker'!$J$5:$J$149,'Session Tracker'!$D$5:$D$149,$A113,'Session Tracker'!$F$5:$F$149,"Next week",'Session Tracker'!$G$5:$G$149,"Thu"))</f>
        <v>0</v>
      </c>
      <c r="L113" s="52" t="n">
        <f aca="false">IF($E113="Per class",$D113*COUNTIFS('Session Tracker'!$D$5:$D$149,$A113,'Session Tracker'!$F$5:$F$149,"Next week",'Session Tracker'!$G$5:$G$149,"Fri"),$D113*SUMIFS('Session Tracker'!$J$5:$J$149,'Session Tracker'!$D$5:$D$149,$A113,'Session Tracker'!$F$5:$F$149,"Next week",'Session Tracker'!$G$5:$G$149,"Fri"))</f>
        <v>0</v>
      </c>
      <c r="M113" s="52" t="n">
        <f aca="false">IF($E113="Per class",$D113*COUNTIFS('Session Tracker'!$D$5:$D$149,$A113,'Session Tracker'!$F$5:$F$149,"Next week",'Session Tracker'!$G$5:$G$149,""),$D113*SUMIFS('Session Tracker'!$J$5:$J$149,'Session Tracker'!$D$5:$D$149,$A113,'Session Tracker'!$F$5:$F$149,"Next week",'Session Tracker'!$G$5:$G$149,""))</f>
        <v>0</v>
      </c>
    </row>
    <row r="114" customFormat="false" ht="15" hidden="false" customHeight="false" outlineLevel="0" collapsed="false">
      <c r="A114" s="53" t="s">
        <v>231</v>
      </c>
      <c r="B114" s="54"/>
      <c r="C114" s="54"/>
      <c r="D114" s="54"/>
      <c r="E114" s="54"/>
      <c r="F114" s="54"/>
      <c r="G114" s="54"/>
      <c r="H114" s="52" t="n">
        <f aca="false">IF($E114="Per class",$D114*COUNTIFS('Session Tracker'!$D$5:$D$149,$A114,'Session Tracker'!$F$5:$F$149,"Next week",'Session Tracker'!$G$5:$G$149,"Mon"),$D114*SUMIFS('Session Tracker'!$J$5:$J$149,'Session Tracker'!$D$5:$D$149,$A114,'Session Tracker'!$F$5:$F$149,"Next week",'Session Tracker'!$G$5:$G$149,"Mon"))</f>
        <v>0</v>
      </c>
      <c r="I114" s="52" t="n">
        <f aca="false">IF($E114="Per class",$D114*COUNTIFS('Session Tracker'!$D$5:$D$149,$A114,'Session Tracker'!$F$5:$F$149,"Next week",'Session Tracker'!$G$5:$G$149,"Tue"),$D114*SUMIFS('Session Tracker'!$J$5:$J$149,'Session Tracker'!$D$5:$D$149,$A114,'Session Tracker'!$F$5:$F$149,"Next week",'Session Tracker'!$G$5:$G$149,"Tue"))</f>
        <v>0</v>
      </c>
      <c r="J114" s="52" t="n">
        <f aca="false">IF($E114="Per class",$D114*COUNTIFS('Session Tracker'!$D$5:$D$149,$A114,'Session Tracker'!$F$5:$F$149,"Next week",'Session Tracker'!$G$5:$G$149,"Wed"),$D114*SUMIFS('Session Tracker'!$J$5:$J$149,'Session Tracker'!$D$5:$D$149,$A114,'Session Tracker'!$F$5:$F$149,"Next week",'Session Tracker'!$G$5:$G$149,"Wed"))</f>
        <v>0</v>
      </c>
      <c r="K114" s="52" t="n">
        <f aca="false">IF($E114="Per class",$D114*COUNTIFS('Session Tracker'!$D$5:$D$149,$A114,'Session Tracker'!$F$5:$F$149,"Next week",'Session Tracker'!$G$5:$G$149,"Thu"),$D114*SUMIFS('Session Tracker'!$J$5:$J$149,'Session Tracker'!$D$5:$D$149,$A114,'Session Tracker'!$F$5:$F$149,"Next week",'Session Tracker'!$G$5:$G$149,"Thu"))</f>
        <v>0</v>
      </c>
      <c r="L114" s="52" t="n">
        <f aca="false">IF($E114="Per class",$D114*COUNTIFS('Session Tracker'!$D$5:$D$149,$A114,'Session Tracker'!$F$5:$F$149,"Next week",'Session Tracker'!$G$5:$G$149,"Fri"),$D114*SUMIFS('Session Tracker'!$J$5:$J$149,'Session Tracker'!$D$5:$D$149,$A114,'Session Tracker'!$F$5:$F$149,"Next week",'Session Tracker'!$G$5:$G$149,"Fri"))</f>
        <v>0</v>
      </c>
      <c r="M114" s="52" t="n">
        <f aca="false">IF($E114="Per class",$D114*COUNTIFS('Session Tracker'!$D$5:$D$149,$A114,'Session Tracker'!$F$5:$F$149,"Next week",'Session Tracker'!$G$5:$G$149,""),$D114*SUMIFS('Session Tracker'!$J$5:$J$149,'Session Tracker'!$D$5:$D$149,$A114,'Session Tracker'!$F$5:$F$149,"Next week",'Session Tracker'!$G$5:$G$149,""))</f>
        <v>0</v>
      </c>
    </row>
    <row r="115" customFormat="false" ht="15" hidden="false" customHeight="false" outlineLevel="0" collapsed="false">
      <c r="A115" s="53" t="s">
        <v>231</v>
      </c>
      <c r="B115" s="54"/>
      <c r="C115" s="54"/>
      <c r="D115" s="54"/>
      <c r="E115" s="54"/>
      <c r="F115" s="54"/>
      <c r="G115" s="54"/>
      <c r="H115" s="52" t="n">
        <f aca="false">IF($E115="Per class",$D115*COUNTIFS('Session Tracker'!$D$5:$D$149,$A115,'Session Tracker'!$F$5:$F$149,"Next week",'Session Tracker'!$G$5:$G$149,"Mon"),$D115*SUMIFS('Session Tracker'!$J$5:$J$149,'Session Tracker'!$D$5:$D$149,$A115,'Session Tracker'!$F$5:$F$149,"Next week",'Session Tracker'!$G$5:$G$149,"Mon"))</f>
        <v>0</v>
      </c>
      <c r="I115" s="52" t="n">
        <f aca="false">IF($E115="Per class",$D115*COUNTIFS('Session Tracker'!$D$5:$D$149,$A115,'Session Tracker'!$F$5:$F$149,"Next week",'Session Tracker'!$G$5:$G$149,"Tue"),$D115*SUMIFS('Session Tracker'!$J$5:$J$149,'Session Tracker'!$D$5:$D$149,$A115,'Session Tracker'!$F$5:$F$149,"Next week",'Session Tracker'!$G$5:$G$149,"Tue"))</f>
        <v>0</v>
      </c>
      <c r="J115" s="52" t="n">
        <f aca="false">IF($E115="Per class",$D115*COUNTIFS('Session Tracker'!$D$5:$D$149,$A115,'Session Tracker'!$F$5:$F$149,"Next week",'Session Tracker'!$G$5:$G$149,"Wed"),$D115*SUMIFS('Session Tracker'!$J$5:$J$149,'Session Tracker'!$D$5:$D$149,$A115,'Session Tracker'!$F$5:$F$149,"Next week",'Session Tracker'!$G$5:$G$149,"Wed"))</f>
        <v>0</v>
      </c>
      <c r="K115" s="52" t="n">
        <f aca="false">IF($E115="Per class",$D115*COUNTIFS('Session Tracker'!$D$5:$D$149,$A115,'Session Tracker'!$F$5:$F$149,"Next week",'Session Tracker'!$G$5:$G$149,"Thu"),$D115*SUMIFS('Session Tracker'!$J$5:$J$149,'Session Tracker'!$D$5:$D$149,$A115,'Session Tracker'!$F$5:$F$149,"Next week",'Session Tracker'!$G$5:$G$149,"Thu"))</f>
        <v>0</v>
      </c>
      <c r="L115" s="52" t="n">
        <f aca="false">IF($E115="Per class",$D115*COUNTIFS('Session Tracker'!$D$5:$D$149,$A115,'Session Tracker'!$F$5:$F$149,"Next week",'Session Tracker'!$G$5:$G$149,"Fri"),$D115*SUMIFS('Session Tracker'!$J$5:$J$149,'Session Tracker'!$D$5:$D$149,$A115,'Session Tracker'!$F$5:$F$149,"Next week",'Session Tracker'!$G$5:$G$149,"Fri"))</f>
        <v>0</v>
      </c>
      <c r="M115" s="52" t="n">
        <f aca="false">IF($E115="Per class",$D115*COUNTIFS('Session Tracker'!$D$5:$D$149,$A115,'Session Tracker'!$F$5:$F$149,"Next week",'Session Tracker'!$G$5:$G$149,""),$D115*SUMIFS('Session Tracker'!$J$5:$J$149,'Session Tracker'!$D$5:$D$149,$A115,'Session Tracker'!$F$5:$F$149,"Next week",'Session Tracker'!$G$5:$G$149,""))</f>
        <v>0</v>
      </c>
    </row>
    <row r="117" customFormat="false" ht="19.5" hidden="false" customHeight="true" outlineLevel="0" collapsed="false">
      <c r="A117" s="64" t="s">
        <v>233</v>
      </c>
      <c r="B117" s="65" t="s">
        <v>603</v>
      </c>
      <c r="C117" s="65"/>
      <c r="D117" s="65"/>
      <c r="E117" s="65"/>
      <c r="F117" s="66" t="str">
        <f aca="false">"Status: "&amp;'Session Tracker'!F86&amp;IF('Session Tracker'!G86&lt;&gt;""," ("&amp;'Session Tracker'!G86&amp;")","")</f>
        <v>Status: Not started</v>
      </c>
      <c r="G117" s="66"/>
      <c r="H117" s="67"/>
      <c r="I117" s="67"/>
      <c r="J117" s="67"/>
      <c r="K117" s="67"/>
      <c r="L117" s="67"/>
      <c r="M117" s="67"/>
    </row>
    <row r="118" customFormat="false" ht="23.85" hidden="false" customHeight="false" outlineLevel="0" collapsed="false">
      <c r="A118" s="68" t="s">
        <v>233</v>
      </c>
      <c r="B118" s="34" t="s">
        <v>366</v>
      </c>
      <c r="C118" s="34" t="s">
        <v>367</v>
      </c>
      <c r="D118" s="32" t="n">
        <v>1</v>
      </c>
      <c r="E118" s="32" t="s">
        <v>14</v>
      </c>
      <c r="F118" s="32" t="s">
        <v>368</v>
      </c>
      <c r="G118" s="34"/>
      <c r="H118" s="52" t="n">
        <f aca="false">IF($E118="Per class",$D118*COUNTIFS('Session Tracker'!$D$5:$D$149,$A118,'Session Tracker'!$F$5:$F$149,"Next week",'Session Tracker'!$G$5:$G$149,"Mon"),$D118*SUMIFS('Session Tracker'!$J$5:$J$149,'Session Tracker'!$D$5:$D$149,$A118,'Session Tracker'!$F$5:$F$149,"Next week",'Session Tracker'!$G$5:$G$149,"Mon"))</f>
        <v>0</v>
      </c>
      <c r="I118" s="52" t="n">
        <f aca="false">IF($E118="Per class",$D118*COUNTIFS('Session Tracker'!$D$5:$D$149,$A118,'Session Tracker'!$F$5:$F$149,"Next week",'Session Tracker'!$G$5:$G$149,"Tue"),$D118*SUMIFS('Session Tracker'!$J$5:$J$149,'Session Tracker'!$D$5:$D$149,$A118,'Session Tracker'!$F$5:$F$149,"Next week",'Session Tracker'!$G$5:$G$149,"Tue"))</f>
        <v>0</v>
      </c>
      <c r="J118" s="52" t="n">
        <f aca="false">IF($E118="Per class",$D118*COUNTIFS('Session Tracker'!$D$5:$D$149,$A118,'Session Tracker'!$F$5:$F$149,"Next week",'Session Tracker'!$G$5:$G$149,"Wed"),$D118*SUMIFS('Session Tracker'!$J$5:$J$149,'Session Tracker'!$D$5:$D$149,$A118,'Session Tracker'!$F$5:$F$149,"Next week",'Session Tracker'!$G$5:$G$149,"Wed"))</f>
        <v>0</v>
      </c>
      <c r="K118" s="52" t="n">
        <f aca="false">IF($E118="Per class",$D118*COUNTIFS('Session Tracker'!$D$5:$D$149,$A118,'Session Tracker'!$F$5:$F$149,"Next week",'Session Tracker'!$G$5:$G$149,"Thu"),$D118*SUMIFS('Session Tracker'!$J$5:$J$149,'Session Tracker'!$D$5:$D$149,$A118,'Session Tracker'!$F$5:$F$149,"Next week",'Session Tracker'!$G$5:$G$149,"Thu"))</f>
        <v>0</v>
      </c>
      <c r="L118" s="52" t="n">
        <f aca="false">IF($E118="Per class",$D118*COUNTIFS('Session Tracker'!$D$5:$D$149,$A118,'Session Tracker'!$F$5:$F$149,"Next week",'Session Tracker'!$G$5:$G$149,"Fri"),$D118*SUMIFS('Session Tracker'!$J$5:$J$149,'Session Tracker'!$D$5:$D$149,$A118,'Session Tracker'!$F$5:$F$149,"Next week",'Session Tracker'!$G$5:$G$149,"Fri"))</f>
        <v>0</v>
      </c>
      <c r="M118" s="52" t="n">
        <f aca="false">IF($E118="Per class",$D118*COUNTIFS('Session Tracker'!$D$5:$D$149,$A118,'Session Tracker'!$F$5:$F$149,"Next week",'Session Tracker'!$G$5:$G$149,""),$D118*SUMIFS('Session Tracker'!$J$5:$J$149,'Session Tracker'!$D$5:$D$149,$A118,'Session Tracker'!$F$5:$F$149,"Next week",'Session Tracker'!$G$5:$G$149,""))</f>
        <v>0</v>
      </c>
    </row>
    <row r="119" customFormat="false" ht="15" hidden="false" customHeight="false" outlineLevel="0" collapsed="false">
      <c r="A119" s="68" t="s">
        <v>233</v>
      </c>
      <c r="B119" s="34" t="s">
        <v>447</v>
      </c>
      <c r="C119" s="34" t="s">
        <v>542</v>
      </c>
      <c r="D119" s="32" t="n">
        <v>1</v>
      </c>
      <c r="E119" s="32" t="s">
        <v>14</v>
      </c>
      <c r="F119" s="32" t="s">
        <v>368</v>
      </c>
      <c r="G119" s="34"/>
      <c r="H119" s="52" t="n">
        <f aca="false">IF($E119="Per class",$D119*COUNTIFS('Session Tracker'!$D$5:$D$149,$A119,'Session Tracker'!$F$5:$F$149,"Next week",'Session Tracker'!$G$5:$G$149,"Mon"),$D119*SUMIFS('Session Tracker'!$J$5:$J$149,'Session Tracker'!$D$5:$D$149,$A119,'Session Tracker'!$F$5:$F$149,"Next week",'Session Tracker'!$G$5:$G$149,"Mon"))</f>
        <v>0</v>
      </c>
      <c r="I119" s="52" t="n">
        <f aca="false">IF($E119="Per class",$D119*COUNTIFS('Session Tracker'!$D$5:$D$149,$A119,'Session Tracker'!$F$5:$F$149,"Next week",'Session Tracker'!$G$5:$G$149,"Tue"),$D119*SUMIFS('Session Tracker'!$J$5:$J$149,'Session Tracker'!$D$5:$D$149,$A119,'Session Tracker'!$F$5:$F$149,"Next week",'Session Tracker'!$G$5:$G$149,"Tue"))</f>
        <v>0</v>
      </c>
      <c r="J119" s="52" t="n">
        <f aca="false">IF($E119="Per class",$D119*COUNTIFS('Session Tracker'!$D$5:$D$149,$A119,'Session Tracker'!$F$5:$F$149,"Next week",'Session Tracker'!$G$5:$G$149,"Wed"),$D119*SUMIFS('Session Tracker'!$J$5:$J$149,'Session Tracker'!$D$5:$D$149,$A119,'Session Tracker'!$F$5:$F$149,"Next week",'Session Tracker'!$G$5:$G$149,"Wed"))</f>
        <v>0</v>
      </c>
      <c r="K119" s="52" t="n">
        <f aca="false">IF($E119="Per class",$D119*COUNTIFS('Session Tracker'!$D$5:$D$149,$A119,'Session Tracker'!$F$5:$F$149,"Next week",'Session Tracker'!$G$5:$G$149,"Thu"),$D119*SUMIFS('Session Tracker'!$J$5:$J$149,'Session Tracker'!$D$5:$D$149,$A119,'Session Tracker'!$F$5:$F$149,"Next week",'Session Tracker'!$G$5:$G$149,"Thu"))</f>
        <v>0</v>
      </c>
      <c r="L119" s="52" t="n">
        <f aca="false">IF($E119="Per class",$D119*COUNTIFS('Session Tracker'!$D$5:$D$149,$A119,'Session Tracker'!$F$5:$F$149,"Next week",'Session Tracker'!$G$5:$G$149,"Fri"),$D119*SUMIFS('Session Tracker'!$J$5:$J$149,'Session Tracker'!$D$5:$D$149,$A119,'Session Tracker'!$F$5:$F$149,"Next week",'Session Tracker'!$G$5:$G$149,"Fri"))</f>
        <v>0</v>
      </c>
      <c r="M119" s="52" t="n">
        <f aca="false">IF($E119="Per class",$D119*COUNTIFS('Session Tracker'!$D$5:$D$149,$A119,'Session Tracker'!$F$5:$F$149,"Next week",'Session Tracker'!$G$5:$G$149,""),$D119*SUMIFS('Session Tracker'!$J$5:$J$149,'Session Tracker'!$D$5:$D$149,$A119,'Session Tracker'!$F$5:$F$149,"Next week",'Session Tracker'!$G$5:$G$149,""))</f>
        <v>0</v>
      </c>
    </row>
    <row r="120" customFormat="false" ht="15" hidden="false" customHeight="false" outlineLevel="0" collapsed="false">
      <c r="A120" s="68" t="s">
        <v>233</v>
      </c>
      <c r="B120" s="34" t="s">
        <v>377</v>
      </c>
      <c r="C120" s="34" t="s">
        <v>532</v>
      </c>
      <c r="D120" s="32" t="n">
        <v>1</v>
      </c>
      <c r="E120" s="32" t="s">
        <v>14</v>
      </c>
      <c r="F120" s="32" t="s">
        <v>368</v>
      </c>
      <c r="G120" s="34"/>
      <c r="H120" s="52" t="n">
        <f aca="false">IF($E120="Per class",$D120*COUNTIFS('Session Tracker'!$D$5:$D$149,$A120,'Session Tracker'!$F$5:$F$149,"Next week",'Session Tracker'!$G$5:$G$149,"Mon"),$D120*SUMIFS('Session Tracker'!$J$5:$J$149,'Session Tracker'!$D$5:$D$149,$A120,'Session Tracker'!$F$5:$F$149,"Next week",'Session Tracker'!$G$5:$G$149,"Mon"))</f>
        <v>0</v>
      </c>
      <c r="I120" s="52" t="n">
        <f aca="false">IF($E120="Per class",$D120*COUNTIFS('Session Tracker'!$D$5:$D$149,$A120,'Session Tracker'!$F$5:$F$149,"Next week",'Session Tracker'!$G$5:$G$149,"Tue"),$D120*SUMIFS('Session Tracker'!$J$5:$J$149,'Session Tracker'!$D$5:$D$149,$A120,'Session Tracker'!$F$5:$F$149,"Next week",'Session Tracker'!$G$5:$G$149,"Tue"))</f>
        <v>0</v>
      </c>
      <c r="J120" s="52" t="n">
        <f aca="false">IF($E120="Per class",$D120*COUNTIFS('Session Tracker'!$D$5:$D$149,$A120,'Session Tracker'!$F$5:$F$149,"Next week",'Session Tracker'!$G$5:$G$149,"Wed"),$D120*SUMIFS('Session Tracker'!$J$5:$J$149,'Session Tracker'!$D$5:$D$149,$A120,'Session Tracker'!$F$5:$F$149,"Next week",'Session Tracker'!$G$5:$G$149,"Wed"))</f>
        <v>0</v>
      </c>
      <c r="K120" s="52" t="n">
        <f aca="false">IF($E120="Per class",$D120*COUNTIFS('Session Tracker'!$D$5:$D$149,$A120,'Session Tracker'!$F$5:$F$149,"Next week",'Session Tracker'!$G$5:$G$149,"Thu"),$D120*SUMIFS('Session Tracker'!$J$5:$J$149,'Session Tracker'!$D$5:$D$149,$A120,'Session Tracker'!$F$5:$F$149,"Next week",'Session Tracker'!$G$5:$G$149,"Thu"))</f>
        <v>0</v>
      </c>
      <c r="L120" s="52" t="n">
        <f aca="false">IF($E120="Per class",$D120*COUNTIFS('Session Tracker'!$D$5:$D$149,$A120,'Session Tracker'!$F$5:$F$149,"Next week",'Session Tracker'!$G$5:$G$149,"Fri"),$D120*SUMIFS('Session Tracker'!$J$5:$J$149,'Session Tracker'!$D$5:$D$149,$A120,'Session Tracker'!$F$5:$F$149,"Next week",'Session Tracker'!$G$5:$G$149,"Fri"))</f>
        <v>0</v>
      </c>
      <c r="M120" s="52" t="n">
        <f aca="false">IF($E120="Per class",$D120*COUNTIFS('Session Tracker'!$D$5:$D$149,$A120,'Session Tracker'!$F$5:$F$149,"Next week",'Session Tracker'!$G$5:$G$149,""),$D120*SUMIFS('Session Tracker'!$J$5:$J$149,'Session Tracker'!$D$5:$D$149,$A120,'Session Tracker'!$F$5:$F$149,"Next week",'Session Tracker'!$G$5:$G$149,""))</f>
        <v>0</v>
      </c>
    </row>
    <row r="121" customFormat="false" ht="15" hidden="false" customHeight="false" outlineLevel="0" collapsed="false">
      <c r="A121" s="68" t="s">
        <v>233</v>
      </c>
      <c r="B121" s="34" t="s">
        <v>369</v>
      </c>
      <c r="C121" s="34" t="s">
        <v>370</v>
      </c>
      <c r="D121" s="32" t="n">
        <v>1</v>
      </c>
      <c r="E121" s="32" t="s">
        <v>14</v>
      </c>
      <c r="F121" s="32" t="s">
        <v>368</v>
      </c>
      <c r="G121" s="34"/>
      <c r="H121" s="52" t="n">
        <f aca="false">IF($E121="Per class",$D121*COUNTIFS('Session Tracker'!$D$5:$D$149,$A121,'Session Tracker'!$F$5:$F$149,"Next week",'Session Tracker'!$G$5:$G$149,"Mon"),$D121*SUMIFS('Session Tracker'!$J$5:$J$149,'Session Tracker'!$D$5:$D$149,$A121,'Session Tracker'!$F$5:$F$149,"Next week",'Session Tracker'!$G$5:$G$149,"Mon"))</f>
        <v>0</v>
      </c>
      <c r="I121" s="52" t="n">
        <f aca="false">IF($E121="Per class",$D121*COUNTIFS('Session Tracker'!$D$5:$D$149,$A121,'Session Tracker'!$F$5:$F$149,"Next week",'Session Tracker'!$G$5:$G$149,"Tue"),$D121*SUMIFS('Session Tracker'!$J$5:$J$149,'Session Tracker'!$D$5:$D$149,$A121,'Session Tracker'!$F$5:$F$149,"Next week",'Session Tracker'!$G$5:$G$149,"Tue"))</f>
        <v>0</v>
      </c>
      <c r="J121" s="52" t="n">
        <f aca="false">IF($E121="Per class",$D121*COUNTIFS('Session Tracker'!$D$5:$D$149,$A121,'Session Tracker'!$F$5:$F$149,"Next week",'Session Tracker'!$G$5:$G$149,"Wed"),$D121*SUMIFS('Session Tracker'!$J$5:$J$149,'Session Tracker'!$D$5:$D$149,$A121,'Session Tracker'!$F$5:$F$149,"Next week",'Session Tracker'!$G$5:$G$149,"Wed"))</f>
        <v>0</v>
      </c>
      <c r="K121" s="52" t="n">
        <f aca="false">IF($E121="Per class",$D121*COUNTIFS('Session Tracker'!$D$5:$D$149,$A121,'Session Tracker'!$F$5:$F$149,"Next week",'Session Tracker'!$G$5:$G$149,"Thu"),$D121*SUMIFS('Session Tracker'!$J$5:$J$149,'Session Tracker'!$D$5:$D$149,$A121,'Session Tracker'!$F$5:$F$149,"Next week",'Session Tracker'!$G$5:$G$149,"Thu"))</f>
        <v>0</v>
      </c>
      <c r="L121" s="52" t="n">
        <f aca="false">IF($E121="Per class",$D121*COUNTIFS('Session Tracker'!$D$5:$D$149,$A121,'Session Tracker'!$F$5:$F$149,"Next week",'Session Tracker'!$G$5:$G$149,"Fri"),$D121*SUMIFS('Session Tracker'!$J$5:$J$149,'Session Tracker'!$D$5:$D$149,$A121,'Session Tracker'!$F$5:$F$149,"Next week",'Session Tracker'!$G$5:$G$149,"Fri"))</f>
        <v>0</v>
      </c>
      <c r="M121" s="52" t="n">
        <f aca="false">IF($E121="Per class",$D121*COUNTIFS('Session Tracker'!$D$5:$D$149,$A121,'Session Tracker'!$F$5:$F$149,"Next week",'Session Tracker'!$G$5:$G$149,""),$D121*SUMIFS('Session Tracker'!$J$5:$J$149,'Session Tracker'!$D$5:$D$149,$A121,'Session Tracker'!$F$5:$F$149,"Next week",'Session Tracker'!$G$5:$G$149,""))</f>
        <v>0</v>
      </c>
    </row>
    <row r="122" customFormat="false" ht="15" hidden="false" customHeight="false" outlineLevel="0" collapsed="false">
      <c r="A122" s="68" t="s">
        <v>233</v>
      </c>
      <c r="B122" s="34" t="s">
        <v>377</v>
      </c>
      <c r="C122" s="34" t="s">
        <v>439</v>
      </c>
      <c r="D122" s="32" t="n">
        <v>1</v>
      </c>
      <c r="E122" s="32" t="s">
        <v>14</v>
      </c>
      <c r="F122" s="32" t="s">
        <v>368</v>
      </c>
      <c r="G122" s="34"/>
      <c r="H122" s="52" t="n">
        <f aca="false">IF($E122="Per class",$D122*COUNTIFS('Session Tracker'!$D$5:$D$149,$A122,'Session Tracker'!$F$5:$F$149,"Next week",'Session Tracker'!$G$5:$G$149,"Mon"),$D122*SUMIFS('Session Tracker'!$J$5:$J$149,'Session Tracker'!$D$5:$D$149,$A122,'Session Tracker'!$F$5:$F$149,"Next week",'Session Tracker'!$G$5:$G$149,"Mon"))</f>
        <v>0</v>
      </c>
      <c r="I122" s="52" t="n">
        <f aca="false">IF($E122="Per class",$D122*COUNTIFS('Session Tracker'!$D$5:$D$149,$A122,'Session Tracker'!$F$5:$F$149,"Next week",'Session Tracker'!$G$5:$G$149,"Tue"),$D122*SUMIFS('Session Tracker'!$J$5:$J$149,'Session Tracker'!$D$5:$D$149,$A122,'Session Tracker'!$F$5:$F$149,"Next week",'Session Tracker'!$G$5:$G$149,"Tue"))</f>
        <v>0</v>
      </c>
      <c r="J122" s="52" t="n">
        <f aca="false">IF($E122="Per class",$D122*COUNTIFS('Session Tracker'!$D$5:$D$149,$A122,'Session Tracker'!$F$5:$F$149,"Next week",'Session Tracker'!$G$5:$G$149,"Wed"),$D122*SUMIFS('Session Tracker'!$J$5:$J$149,'Session Tracker'!$D$5:$D$149,$A122,'Session Tracker'!$F$5:$F$149,"Next week",'Session Tracker'!$G$5:$G$149,"Wed"))</f>
        <v>0</v>
      </c>
      <c r="K122" s="52" t="n">
        <f aca="false">IF($E122="Per class",$D122*COUNTIFS('Session Tracker'!$D$5:$D$149,$A122,'Session Tracker'!$F$5:$F$149,"Next week",'Session Tracker'!$G$5:$G$149,"Thu"),$D122*SUMIFS('Session Tracker'!$J$5:$J$149,'Session Tracker'!$D$5:$D$149,$A122,'Session Tracker'!$F$5:$F$149,"Next week",'Session Tracker'!$G$5:$G$149,"Thu"))</f>
        <v>0</v>
      </c>
      <c r="L122" s="52" t="n">
        <f aca="false">IF($E122="Per class",$D122*COUNTIFS('Session Tracker'!$D$5:$D$149,$A122,'Session Tracker'!$F$5:$F$149,"Next week",'Session Tracker'!$G$5:$G$149,"Fri"),$D122*SUMIFS('Session Tracker'!$J$5:$J$149,'Session Tracker'!$D$5:$D$149,$A122,'Session Tracker'!$F$5:$F$149,"Next week",'Session Tracker'!$G$5:$G$149,"Fri"))</f>
        <v>0</v>
      </c>
      <c r="M122" s="52" t="n">
        <f aca="false">IF($E122="Per class",$D122*COUNTIFS('Session Tracker'!$D$5:$D$149,$A122,'Session Tracker'!$F$5:$F$149,"Next week",'Session Tracker'!$G$5:$G$149,""),$D122*SUMIFS('Session Tracker'!$J$5:$J$149,'Session Tracker'!$D$5:$D$149,$A122,'Session Tracker'!$F$5:$F$149,"Next week",'Session Tracker'!$G$5:$G$149,""))</f>
        <v>0</v>
      </c>
    </row>
    <row r="123" customFormat="false" ht="15" hidden="false" customHeight="false" outlineLevel="0" collapsed="false">
      <c r="A123" s="68" t="s">
        <v>233</v>
      </c>
      <c r="B123" s="34" t="s">
        <v>409</v>
      </c>
      <c r="C123" s="34" t="s">
        <v>533</v>
      </c>
      <c r="D123" s="32" t="n">
        <v>1</v>
      </c>
      <c r="E123" s="32" t="s">
        <v>14</v>
      </c>
      <c r="F123" s="32" t="s">
        <v>373</v>
      </c>
      <c r="G123" s="34"/>
      <c r="H123" s="52" t="n">
        <f aca="false">IF($E123="Per class",$D123*COUNTIFS('Session Tracker'!$D$5:$D$149,$A123,'Session Tracker'!$F$5:$F$149,"Next week",'Session Tracker'!$G$5:$G$149,"Mon"),$D123*SUMIFS('Session Tracker'!$J$5:$J$149,'Session Tracker'!$D$5:$D$149,$A123,'Session Tracker'!$F$5:$F$149,"Next week",'Session Tracker'!$G$5:$G$149,"Mon"))</f>
        <v>0</v>
      </c>
      <c r="I123" s="52" t="n">
        <f aca="false">IF($E123="Per class",$D123*COUNTIFS('Session Tracker'!$D$5:$D$149,$A123,'Session Tracker'!$F$5:$F$149,"Next week",'Session Tracker'!$G$5:$G$149,"Tue"),$D123*SUMIFS('Session Tracker'!$J$5:$J$149,'Session Tracker'!$D$5:$D$149,$A123,'Session Tracker'!$F$5:$F$149,"Next week",'Session Tracker'!$G$5:$G$149,"Tue"))</f>
        <v>0</v>
      </c>
      <c r="J123" s="52" t="n">
        <f aca="false">IF($E123="Per class",$D123*COUNTIFS('Session Tracker'!$D$5:$D$149,$A123,'Session Tracker'!$F$5:$F$149,"Next week",'Session Tracker'!$G$5:$G$149,"Wed"),$D123*SUMIFS('Session Tracker'!$J$5:$J$149,'Session Tracker'!$D$5:$D$149,$A123,'Session Tracker'!$F$5:$F$149,"Next week",'Session Tracker'!$G$5:$G$149,"Wed"))</f>
        <v>0</v>
      </c>
      <c r="K123" s="52" t="n">
        <f aca="false">IF($E123="Per class",$D123*COUNTIFS('Session Tracker'!$D$5:$D$149,$A123,'Session Tracker'!$F$5:$F$149,"Next week",'Session Tracker'!$G$5:$G$149,"Thu"),$D123*SUMIFS('Session Tracker'!$J$5:$J$149,'Session Tracker'!$D$5:$D$149,$A123,'Session Tracker'!$F$5:$F$149,"Next week",'Session Tracker'!$G$5:$G$149,"Thu"))</f>
        <v>0</v>
      </c>
      <c r="L123" s="52" t="n">
        <f aca="false">IF($E123="Per class",$D123*COUNTIFS('Session Tracker'!$D$5:$D$149,$A123,'Session Tracker'!$F$5:$F$149,"Next week",'Session Tracker'!$G$5:$G$149,"Fri"),$D123*SUMIFS('Session Tracker'!$J$5:$J$149,'Session Tracker'!$D$5:$D$149,$A123,'Session Tracker'!$F$5:$F$149,"Next week",'Session Tracker'!$G$5:$G$149,"Fri"))</f>
        <v>0</v>
      </c>
      <c r="M123" s="52" t="n">
        <f aca="false">IF($E123="Per class",$D123*COUNTIFS('Session Tracker'!$D$5:$D$149,$A123,'Session Tracker'!$F$5:$F$149,"Next week",'Session Tracker'!$G$5:$G$149,""),$D123*SUMIFS('Session Tracker'!$J$5:$J$149,'Session Tracker'!$D$5:$D$149,$A123,'Session Tracker'!$F$5:$F$149,"Next week",'Session Tracker'!$G$5:$G$149,""))</f>
        <v>0</v>
      </c>
    </row>
    <row r="124" customFormat="false" ht="15" hidden="false" customHeight="false" outlineLevel="0" collapsed="false">
      <c r="A124" s="68" t="s">
        <v>233</v>
      </c>
      <c r="B124" s="34" t="s">
        <v>382</v>
      </c>
      <c r="C124" s="34" t="s">
        <v>404</v>
      </c>
      <c r="D124" s="32" t="n">
        <v>1</v>
      </c>
      <c r="E124" s="32" t="s">
        <v>14</v>
      </c>
      <c r="F124" s="32" t="s">
        <v>368</v>
      </c>
      <c r="G124" s="34"/>
      <c r="H124" s="52" t="n">
        <f aca="false">IF($E124="Per class",$D124*COUNTIFS('Session Tracker'!$D$5:$D$149,$A124,'Session Tracker'!$F$5:$F$149,"Next week",'Session Tracker'!$G$5:$G$149,"Mon"),$D124*SUMIFS('Session Tracker'!$J$5:$J$149,'Session Tracker'!$D$5:$D$149,$A124,'Session Tracker'!$F$5:$F$149,"Next week",'Session Tracker'!$G$5:$G$149,"Mon"))</f>
        <v>0</v>
      </c>
      <c r="I124" s="52" t="n">
        <f aca="false">IF($E124="Per class",$D124*COUNTIFS('Session Tracker'!$D$5:$D$149,$A124,'Session Tracker'!$F$5:$F$149,"Next week",'Session Tracker'!$G$5:$G$149,"Tue"),$D124*SUMIFS('Session Tracker'!$J$5:$J$149,'Session Tracker'!$D$5:$D$149,$A124,'Session Tracker'!$F$5:$F$149,"Next week",'Session Tracker'!$G$5:$G$149,"Tue"))</f>
        <v>0</v>
      </c>
      <c r="J124" s="52" t="n">
        <f aca="false">IF($E124="Per class",$D124*COUNTIFS('Session Tracker'!$D$5:$D$149,$A124,'Session Tracker'!$F$5:$F$149,"Next week",'Session Tracker'!$G$5:$G$149,"Wed"),$D124*SUMIFS('Session Tracker'!$J$5:$J$149,'Session Tracker'!$D$5:$D$149,$A124,'Session Tracker'!$F$5:$F$149,"Next week",'Session Tracker'!$G$5:$G$149,"Wed"))</f>
        <v>0</v>
      </c>
      <c r="K124" s="52" t="n">
        <f aca="false">IF($E124="Per class",$D124*COUNTIFS('Session Tracker'!$D$5:$D$149,$A124,'Session Tracker'!$F$5:$F$149,"Next week",'Session Tracker'!$G$5:$G$149,"Thu"),$D124*SUMIFS('Session Tracker'!$J$5:$J$149,'Session Tracker'!$D$5:$D$149,$A124,'Session Tracker'!$F$5:$F$149,"Next week",'Session Tracker'!$G$5:$G$149,"Thu"))</f>
        <v>0</v>
      </c>
      <c r="L124" s="52" t="n">
        <f aca="false">IF($E124="Per class",$D124*COUNTIFS('Session Tracker'!$D$5:$D$149,$A124,'Session Tracker'!$F$5:$F$149,"Next week",'Session Tracker'!$G$5:$G$149,"Fri"),$D124*SUMIFS('Session Tracker'!$J$5:$J$149,'Session Tracker'!$D$5:$D$149,$A124,'Session Tracker'!$F$5:$F$149,"Next week",'Session Tracker'!$G$5:$G$149,"Fri"))</f>
        <v>0</v>
      </c>
      <c r="M124" s="52" t="n">
        <f aca="false">IF($E124="Per class",$D124*COUNTIFS('Session Tracker'!$D$5:$D$149,$A124,'Session Tracker'!$F$5:$F$149,"Next week",'Session Tracker'!$G$5:$G$149,""),$D124*SUMIFS('Session Tracker'!$J$5:$J$149,'Session Tracker'!$D$5:$D$149,$A124,'Session Tracker'!$F$5:$F$149,"Next week",'Session Tracker'!$G$5:$G$149,""))</f>
        <v>0</v>
      </c>
    </row>
    <row r="125" customFormat="false" ht="15" hidden="false" customHeight="false" outlineLevel="0" collapsed="false">
      <c r="A125" s="68" t="s">
        <v>233</v>
      </c>
      <c r="B125" s="34" t="s">
        <v>379</v>
      </c>
      <c r="C125" s="34" t="s">
        <v>395</v>
      </c>
      <c r="D125" s="32" t="n">
        <v>10</v>
      </c>
      <c r="E125" s="32" t="s">
        <v>14</v>
      </c>
      <c r="F125" s="32" t="s">
        <v>368</v>
      </c>
      <c r="G125" s="34"/>
      <c r="H125" s="52" t="n">
        <f aca="false">IF($E125="Per class",$D125*COUNTIFS('Session Tracker'!$D$5:$D$149,$A125,'Session Tracker'!$F$5:$F$149,"Next week",'Session Tracker'!$G$5:$G$149,"Mon"),$D125*SUMIFS('Session Tracker'!$J$5:$J$149,'Session Tracker'!$D$5:$D$149,$A125,'Session Tracker'!$F$5:$F$149,"Next week",'Session Tracker'!$G$5:$G$149,"Mon"))</f>
        <v>0</v>
      </c>
      <c r="I125" s="52" t="n">
        <f aca="false">IF($E125="Per class",$D125*COUNTIFS('Session Tracker'!$D$5:$D$149,$A125,'Session Tracker'!$F$5:$F$149,"Next week",'Session Tracker'!$G$5:$G$149,"Tue"),$D125*SUMIFS('Session Tracker'!$J$5:$J$149,'Session Tracker'!$D$5:$D$149,$A125,'Session Tracker'!$F$5:$F$149,"Next week",'Session Tracker'!$G$5:$G$149,"Tue"))</f>
        <v>0</v>
      </c>
      <c r="J125" s="52" t="n">
        <f aca="false">IF($E125="Per class",$D125*COUNTIFS('Session Tracker'!$D$5:$D$149,$A125,'Session Tracker'!$F$5:$F$149,"Next week",'Session Tracker'!$G$5:$G$149,"Wed"),$D125*SUMIFS('Session Tracker'!$J$5:$J$149,'Session Tracker'!$D$5:$D$149,$A125,'Session Tracker'!$F$5:$F$149,"Next week",'Session Tracker'!$G$5:$G$149,"Wed"))</f>
        <v>0</v>
      </c>
      <c r="K125" s="52" t="n">
        <f aca="false">IF($E125="Per class",$D125*COUNTIFS('Session Tracker'!$D$5:$D$149,$A125,'Session Tracker'!$F$5:$F$149,"Next week",'Session Tracker'!$G$5:$G$149,"Thu"),$D125*SUMIFS('Session Tracker'!$J$5:$J$149,'Session Tracker'!$D$5:$D$149,$A125,'Session Tracker'!$F$5:$F$149,"Next week",'Session Tracker'!$G$5:$G$149,"Thu"))</f>
        <v>0</v>
      </c>
      <c r="L125" s="52" t="n">
        <f aca="false">IF($E125="Per class",$D125*COUNTIFS('Session Tracker'!$D$5:$D$149,$A125,'Session Tracker'!$F$5:$F$149,"Next week",'Session Tracker'!$G$5:$G$149,"Fri"),$D125*SUMIFS('Session Tracker'!$J$5:$J$149,'Session Tracker'!$D$5:$D$149,$A125,'Session Tracker'!$F$5:$F$149,"Next week",'Session Tracker'!$G$5:$G$149,"Fri"))</f>
        <v>0</v>
      </c>
      <c r="M125" s="52" t="n">
        <f aca="false">IF($E125="Per class",$D125*COUNTIFS('Session Tracker'!$D$5:$D$149,$A125,'Session Tracker'!$F$5:$F$149,"Next week",'Session Tracker'!$G$5:$G$149,""),$D125*SUMIFS('Session Tracker'!$J$5:$J$149,'Session Tracker'!$D$5:$D$149,$A125,'Session Tracker'!$F$5:$F$149,"Next week",'Session Tracker'!$G$5:$G$149,""))</f>
        <v>0</v>
      </c>
    </row>
    <row r="126" customFormat="false" ht="15" hidden="false" customHeight="false" outlineLevel="0" collapsed="false">
      <c r="A126" s="68" t="s">
        <v>233</v>
      </c>
      <c r="B126" s="34" t="s">
        <v>379</v>
      </c>
      <c r="C126" s="34" t="s">
        <v>381</v>
      </c>
      <c r="D126" s="32" t="n">
        <v>8</v>
      </c>
      <c r="E126" s="32" t="s">
        <v>14</v>
      </c>
      <c r="F126" s="32" t="s">
        <v>368</v>
      </c>
      <c r="G126" s="34"/>
      <c r="H126" s="52" t="n">
        <f aca="false">IF($E126="Per class",$D126*COUNTIFS('Session Tracker'!$D$5:$D$149,$A126,'Session Tracker'!$F$5:$F$149,"Next week",'Session Tracker'!$G$5:$G$149,"Mon"),$D126*SUMIFS('Session Tracker'!$J$5:$J$149,'Session Tracker'!$D$5:$D$149,$A126,'Session Tracker'!$F$5:$F$149,"Next week",'Session Tracker'!$G$5:$G$149,"Mon"))</f>
        <v>0</v>
      </c>
      <c r="I126" s="52" t="n">
        <f aca="false">IF($E126="Per class",$D126*COUNTIFS('Session Tracker'!$D$5:$D$149,$A126,'Session Tracker'!$F$5:$F$149,"Next week",'Session Tracker'!$G$5:$G$149,"Tue"),$D126*SUMIFS('Session Tracker'!$J$5:$J$149,'Session Tracker'!$D$5:$D$149,$A126,'Session Tracker'!$F$5:$F$149,"Next week",'Session Tracker'!$G$5:$G$149,"Tue"))</f>
        <v>0</v>
      </c>
      <c r="J126" s="52" t="n">
        <f aca="false">IF($E126="Per class",$D126*COUNTIFS('Session Tracker'!$D$5:$D$149,$A126,'Session Tracker'!$F$5:$F$149,"Next week",'Session Tracker'!$G$5:$G$149,"Wed"),$D126*SUMIFS('Session Tracker'!$J$5:$J$149,'Session Tracker'!$D$5:$D$149,$A126,'Session Tracker'!$F$5:$F$149,"Next week",'Session Tracker'!$G$5:$G$149,"Wed"))</f>
        <v>0</v>
      </c>
      <c r="K126" s="52" t="n">
        <f aca="false">IF($E126="Per class",$D126*COUNTIFS('Session Tracker'!$D$5:$D$149,$A126,'Session Tracker'!$F$5:$F$149,"Next week",'Session Tracker'!$G$5:$G$149,"Thu"),$D126*SUMIFS('Session Tracker'!$J$5:$J$149,'Session Tracker'!$D$5:$D$149,$A126,'Session Tracker'!$F$5:$F$149,"Next week",'Session Tracker'!$G$5:$G$149,"Thu"))</f>
        <v>0</v>
      </c>
      <c r="L126" s="52" t="n">
        <f aca="false">IF($E126="Per class",$D126*COUNTIFS('Session Tracker'!$D$5:$D$149,$A126,'Session Tracker'!$F$5:$F$149,"Next week",'Session Tracker'!$G$5:$G$149,"Fri"),$D126*SUMIFS('Session Tracker'!$J$5:$J$149,'Session Tracker'!$D$5:$D$149,$A126,'Session Tracker'!$F$5:$F$149,"Next week",'Session Tracker'!$G$5:$G$149,"Fri"))</f>
        <v>0</v>
      </c>
      <c r="M126" s="52" t="n">
        <f aca="false">IF($E126="Per class",$D126*COUNTIFS('Session Tracker'!$D$5:$D$149,$A126,'Session Tracker'!$F$5:$F$149,"Next week",'Session Tracker'!$G$5:$G$149,""),$D126*SUMIFS('Session Tracker'!$J$5:$J$149,'Session Tracker'!$D$5:$D$149,$A126,'Session Tracker'!$F$5:$F$149,"Next week",'Session Tracker'!$G$5:$G$149,""))</f>
        <v>0</v>
      </c>
    </row>
    <row r="127" customFormat="false" ht="15" hidden="false" customHeight="false" outlineLevel="0" collapsed="false">
      <c r="A127" s="68" t="s">
        <v>233</v>
      </c>
      <c r="B127" s="34" t="s">
        <v>382</v>
      </c>
      <c r="C127" s="34" t="s">
        <v>383</v>
      </c>
      <c r="D127" s="32" t="n">
        <v>1</v>
      </c>
      <c r="E127" s="32" t="s">
        <v>14</v>
      </c>
      <c r="F127" s="32" t="s">
        <v>368</v>
      </c>
      <c r="G127" s="34"/>
      <c r="H127" s="52" t="n">
        <f aca="false">IF($E127="Per class",$D127*COUNTIFS('Session Tracker'!$D$5:$D$149,$A127,'Session Tracker'!$F$5:$F$149,"Next week",'Session Tracker'!$G$5:$G$149,"Mon"),$D127*SUMIFS('Session Tracker'!$J$5:$J$149,'Session Tracker'!$D$5:$D$149,$A127,'Session Tracker'!$F$5:$F$149,"Next week",'Session Tracker'!$G$5:$G$149,"Mon"))</f>
        <v>0</v>
      </c>
      <c r="I127" s="52" t="n">
        <f aca="false">IF($E127="Per class",$D127*COUNTIFS('Session Tracker'!$D$5:$D$149,$A127,'Session Tracker'!$F$5:$F$149,"Next week",'Session Tracker'!$G$5:$G$149,"Tue"),$D127*SUMIFS('Session Tracker'!$J$5:$J$149,'Session Tracker'!$D$5:$D$149,$A127,'Session Tracker'!$F$5:$F$149,"Next week",'Session Tracker'!$G$5:$G$149,"Tue"))</f>
        <v>0</v>
      </c>
      <c r="J127" s="52" t="n">
        <f aca="false">IF($E127="Per class",$D127*COUNTIFS('Session Tracker'!$D$5:$D$149,$A127,'Session Tracker'!$F$5:$F$149,"Next week",'Session Tracker'!$G$5:$G$149,"Wed"),$D127*SUMIFS('Session Tracker'!$J$5:$J$149,'Session Tracker'!$D$5:$D$149,$A127,'Session Tracker'!$F$5:$F$149,"Next week",'Session Tracker'!$G$5:$G$149,"Wed"))</f>
        <v>0</v>
      </c>
      <c r="K127" s="52" t="n">
        <f aca="false">IF($E127="Per class",$D127*COUNTIFS('Session Tracker'!$D$5:$D$149,$A127,'Session Tracker'!$F$5:$F$149,"Next week",'Session Tracker'!$G$5:$G$149,"Thu"),$D127*SUMIFS('Session Tracker'!$J$5:$J$149,'Session Tracker'!$D$5:$D$149,$A127,'Session Tracker'!$F$5:$F$149,"Next week",'Session Tracker'!$G$5:$G$149,"Thu"))</f>
        <v>0</v>
      </c>
      <c r="L127" s="52" t="n">
        <f aca="false">IF($E127="Per class",$D127*COUNTIFS('Session Tracker'!$D$5:$D$149,$A127,'Session Tracker'!$F$5:$F$149,"Next week",'Session Tracker'!$G$5:$G$149,"Fri"),$D127*SUMIFS('Session Tracker'!$J$5:$J$149,'Session Tracker'!$D$5:$D$149,$A127,'Session Tracker'!$F$5:$F$149,"Next week",'Session Tracker'!$G$5:$G$149,"Fri"))</f>
        <v>0</v>
      </c>
      <c r="M127" s="52" t="n">
        <f aca="false">IF($E127="Per class",$D127*COUNTIFS('Session Tracker'!$D$5:$D$149,$A127,'Session Tracker'!$F$5:$F$149,"Next week",'Session Tracker'!$G$5:$G$149,""),$D127*SUMIFS('Session Tracker'!$J$5:$J$149,'Session Tracker'!$D$5:$D$149,$A127,'Session Tracker'!$F$5:$F$149,"Next week",'Session Tracker'!$G$5:$G$149,""))</f>
        <v>0</v>
      </c>
    </row>
    <row r="128" customFormat="false" ht="15" hidden="false" customHeight="false" outlineLevel="0" collapsed="false">
      <c r="A128" s="68" t="s">
        <v>233</v>
      </c>
      <c r="B128" s="34" t="s">
        <v>371</v>
      </c>
      <c r="C128" s="34" t="s">
        <v>372</v>
      </c>
      <c r="D128" s="32" t="n">
        <v>1</v>
      </c>
      <c r="E128" s="32" t="s">
        <v>14</v>
      </c>
      <c r="F128" s="32" t="s">
        <v>373</v>
      </c>
      <c r="G128" s="34" t="s">
        <v>389</v>
      </c>
      <c r="H128" s="52" t="n">
        <f aca="false">IF($E128="Per class",$D128*COUNTIFS('Session Tracker'!$D$5:$D$149,$A128,'Session Tracker'!$F$5:$F$149,"Next week",'Session Tracker'!$G$5:$G$149,"Mon"),$D128*SUMIFS('Session Tracker'!$J$5:$J$149,'Session Tracker'!$D$5:$D$149,$A128,'Session Tracker'!$F$5:$F$149,"Next week",'Session Tracker'!$G$5:$G$149,"Mon"))</f>
        <v>0</v>
      </c>
      <c r="I128" s="52" t="n">
        <f aca="false">IF($E128="Per class",$D128*COUNTIFS('Session Tracker'!$D$5:$D$149,$A128,'Session Tracker'!$F$5:$F$149,"Next week",'Session Tracker'!$G$5:$G$149,"Tue"),$D128*SUMIFS('Session Tracker'!$J$5:$J$149,'Session Tracker'!$D$5:$D$149,$A128,'Session Tracker'!$F$5:$F$149,"Next week",'Session Tracker'!$G$5:$G$149,"Tue"))</f>
        <v>0</v>
      </c>
      <c r="J128" s="52" t="n">
        <f aca="false">IF($E128="Per class",$D128*COUNTIFS('Session Tracker'!$D$5:$D$149,$A128,'Session Tracker'!$F$5:$F$149,"Next week",'Session Tracker'!$G$5:$G$149,"Wed"),$D128*SUMIFS('Session Tracker'!$J$5:$J$149,'Session Tracker'!$D$5:$D$149,$A128,'Session Tracker'!$F$5:$F$149,"Next week",'Session Tracker'!$G$5:$G$149,"Wed"))</f>
        <v>0</v>
      </c>
      <c r="K128" s="52" t="n">
        <f aca="false">IF($E128="Per class",$D128*COUNTIFS('Session Tracker'!$D$5:$D$149,$A128,'Session Tracker'!$F$5:$F$149,"Next week",'Session Tracker'!$G$5:$G$149,"Thu"),$D128*SUMIFS('Session Tracker'!$J$5:$J$149,'Session Tracker'!$D$5:$D$149,$A128,'Session Tracker'!$F$5:$F$149,"Next week",'Session Tracker'!$G$5:$G$149,"Thu"))</f>
        <v>0</v>
      </c>
      <c r="L128" s="52" t="n">
        <f aca="false">IF($E128="Per class",$D128*COUNTIFS('Session Tracker'!$D$5:$D$149,$A128,'Session Tracker'!$F$5:$F$149,"Next week",'Session Tracker'!$G$5:$G$149,"Fri"),$D128*SUMIFS('Session Tracker'!$J$5:$J$149,'Session Tracker'!$D$5:$D$149,$A128,'Session Tracker'!$F$5:$F$149,"Next week",'Session Tracker'!$G$5:$G$149,"Fri"))</f>
        <v>0</v>
      </c>
      <c r="M128" s="52" t="n">
        <f aca="false">IF($E128="Per class",$D128*COUNTIFS('Session Tracker'!$D$5:$D$149,$A128,'Session Tracker'!$F$5:$F$149,"Next week",'Session Tracker'!$G$5:$G$149,""),$D128*SUMIFS('Session Tracker'!$J$5:$J$149,'Session Tracker'!$D$5:$D$149,$A128,'Session Tracker'!$F$5:$F$149,"Next week",'Session Tracker'!$G$5:$G$149,""))</f>
        <v>0</v>
      </c>
    </row>
    <row r="129" customFormat="false" ht="15" hidden="false" customHeight="false" outlineLevel="0" collapsed="false">
      <c r="A129" s="68" t="s">
        <v>233</v>
      </c>
      <c r="B129" s="34" t="s">
        <v>375</v>
      </c>
      <c r="C129" s="34" t="s">
        <v>376</v>
      </c>
      <c r="D129" s="32" t="n">
        <v>1</v>
      </c>
      <c r="E129" s="32" t="s">
        <v>14</v>
      </c>
      <c r="F129" s="32" t="s">
        <v>373</v>
      </c>
      <c r="G129" s="34" t="s">
        <v>442</v>
      </c>
      <c r="H129" s="52" t="n">
        <f aca="false">IF($E129="Per class",$D129*COUNTIFS('Session Tracker'!$D$5:$D$149,$A129,'Session Tracker'!$F$5:$F$149,"Next week",'Session Tracker'!$G$5:$G$149,"Mon"),$D129*SUMIFS('Session Tracker'!$J$5:$J$149,'Session Tracker'!$D$5:$D$149,$A129,'Session Tracker'!$F$5:$F$149,"Next week",'Session Tracker'!$G$5:$G$149,"Mon"))</f>
        <v>0</v>
      </c>
      <c r="I129" s="52" t="n">
        <f aca="false">IF($E129="Per class",$D129*COUNTIFS('Session Tracker'!$D$5:$D$149,$A129,'Session Tracker'!$F$5:$F$149,"Next week",'Session Tracker'!$G$5:$G$149,"Tue"),$D129*SUMIFS('Session Tracker'!$J$5:$J$149,'Session Tracker'!$D$5:$D$149,$A129,'Session Tracker'!$F$5:$F$149,"Next week",'Session Tracker'!$G$5:$G$149,"Tue"))</f>
        <v>0</v>
      </c>
      <c r="J129" s="52" t="n">
        <f aca="false">IF($E129="Per class",$D129*COUNTIFS('Session Tracker'!$D$5:$D$149,$A129,'Session Tracker'!$F$5:$F$149,"Next week",'Session Tracker'!$G$5:$G$149,"Wed"),$D129*SUMIFS('Session Tracker'!$J$5:$J$149,'Session Tracker'!$D$5:$D$149,$A129,'Session Tracker'!$F$5:$F$149,"Next week",'Session Tracker'!$G$5:$G$149,"Wed"))</f>
        <v>0</v>
      </c>
      <c r="K129" s="52" t="n">
        <f aca="false">IF($E129="Per class",$D129*COUNTIFS('Session Tracker'!$D$5:$D$149,$A129,'Session Tracker'!$F$5:$F$149,"Next week",'Session Tracker'!$G$5:$G$149,"Thu"),$D129*SUMIFS('Session Tracker'!$J$5:$J$149,'Session Tracker'!$D$5:$D$149,$A129,'Session Tracker'!$F$5:$F$149,"Next week",'Session Tracker'!$G$5:$G$149,"Thu"))</f>
        <v>0</v>
      </c>
      <c r="L129" s="52" t="n">
        <f aca="false">IF($E129="Per class",$D129*COUNTIFS('Session Tracker'!$D$5:$D$149,$A129,'Session Tracker'!$F$5:$F$149,"Next week",'Session Tracker'!$G$5:$G$149,"Fri"),$D129*SUMIFS('Session Tracker'!$J$5:$J$149,'Session Tracker'!$D$5:$D$149,$A129,'Session Tracker'!$F$5:$F$149,"Next week",'Session Tracker'!$G$5:$G$149,"Fri"))</f>
        <v>0</v>
      </c>
      <c r="M129" s="52" t="n">
        <f aca="false">IF($E129="Per class",$D129*COUNTIFS('Session Tracker'!$D$5:$D$149,$A129,'Session Tracker'!$F$5:$F$149,"Next week",'Session Tracker'!$G$5:$G$149,""),$D129*SUMIFS('Session Tracker'!$J$5:$J$149,'Session Tracker'!$D$5:$D$149,$A129,'Session Tracker'!$F$5:$F$149,"Next week",'Session Tracker'!$G$5:$G$149,""))</f>
        <v>0</v>
      </c>
    </row>
    <row r="130" customFormat="false" ht="15" hidden="false" customHeight="false" outlineLevel="0" collapsed="false">
      <c r="A130" s="68" t="s">
        <v>233</v>
      </c>
      <c r="B130" s="34" t="s">
        <v>377</v>
      </c>
      <c r="C130" s="34" t="s">
        <v>378</v>
      </c>
      <c r="D130" s="32" t="n">
        <v>1</v>
      </c>
      <c r="E130" s="32" t="s">
        <v>14</v>
      </c>
      <c r="F130" s="32" t="s">
        <v>368</v>
      </c>
      <c r="G130" s="34" t="s">
        <v>389</v>
      </c>
      <c r="H130" s="52" t="n">
        <f aca="false">IF($E130="Per class",$D130*COUNTIFS('Session Tracker'!$D$5:$D$149,$A130,'Session Tracker'!$F$5:$F$149,"Next week",'Session Tracker'!$G$5:$G$149,"Mon"),$D130*SUMIFS('Session Tracker'!$J$5:$J$149,'Session Tracker'!$D$5:$D$149,$A130,'Session Tracker'!$F$5:$F$149,"Next week",'Session Tracker'!$G$5:$G$149,"Mon"))</f>
        <v>0</v>
      </c>
      <c r="I130" s="52" t="n">
        <f aca="false">IF($E130="Per class",$D130*COUNTIFS('Session Tracker'!$D$5:$D$149,$A130,'Session Tracker'!$F$5:$F$149,"Next week",'Session Tracker'!$G$5:$G$149,"Tue"),$D130*SUMIFS('Session Tracker'!$J$5:$J$149,'Session Tracker'!$D$5:$D$149,$A130,'Session Tracker'!$F$5:$F$149,"Next week",'Session Tracker'!$G$5:$G$149,"Tue"))</f>
        <v>0</v>
      </c>
      <c r="J130" s="52" t="n">
        <f aca="false">IF($E130="Per class",$D130*COUNTIFS('Session Tracker'!$D$5:$D$149,$A130,'Session Tracker'!$F$5:$F$149,"Next week",'Session Tracker'!$G$5:$G$149,"Wed"),$D130*SUMIFS('Session Tracker'!$J$5:$J$149,'Session Tracker'!$D$5:$D$149,$A130,'Session Tracker'!$F$5:$F$149,"Next week",'Session Tracker'!$G$5:$G$149,"Wed"))</f>
        <v>0</v>
      </c>
      <c r="K130" s="52" t="n">
        <f aca="false">IF($E130="Per class",$D130*COUNTIFS('Session Tracker'!$D$5:$D$149,$A130,'Session Tracker'!$F$5:$F$149,"Next week",'Session Tracker'!$G$5:$G$149,"Thu"),$D130*SUMIFS('Session Tracker'!$J$5:$J$149,'Session Tracker'!$D$5:$D$149,$A130,'Session Tracker'!$F$5:$F$149,"Next week",'Session Tracker'!$G$5:$G$149,"Thu"))</f>
        <v>0</v>
      </c>
      <c r="L130" s="52" t="n">
        <f aca="false">IF($E130="Per class",$D130*COUNTIFS('Session Tracker'!$D$5:$D$149,$A130,'Session Tracker'!$F$5:$F$149,"Next week",'Session Tracker'!$G$5:$G$149,"Fri"),$D130*SUMIFS('Session Tracker'!$J$5:$J$149,'Session Tracker'!$D$5:$D$149,$A130,'Session Tracker'!$F$5:$F$149,"Next week",'Session Tracker'!$G$5:$G$149,"Fri"))</f>
        <v>0</v>
      </c>
      <c r="M130" s="52" t="n">
        <f aca="false">IF($E130="Per class",$D130*COUNTIFS('Session Tracker'!$D$5:$D$149,$A130,'Session Tracker'!$F$5:$F$149,"Next week",'Session Tracker'!$G$5:$G$149,""),$D130*SUMIFS('Session Tracker'!$J$5:$J$149,'Session Tracker'!$D$5:$D$149,$A130,'Session Tracker'!$F$5:$F$149,"Next week",'Session Tracker'!$G$5:$G$149,""))</f>
        <v>0</v>
      </c>
    </row>
    <row r="131" customFormat="false" ht="15" hidden="false" customHeight="false" outlineLevel="0" collapsed="false">
      <c r="A131" s="53" t="s">
        <v>233</v>
      </c>
      <c r="B131" s="54"/>
      <c r="C131" s="54"/>
      <c r="D131" s="54"/>
      <c r="E131" s="54"/>
      <c r="F131" s="54"/>
      <c r="G131" s="54"/>
      <c r="H131" s="52" t="n">
        <f aca="false">IF($E131="Per class",$D131*COUNTIFS('Session Tracker'!$D$5:$D$149,$A131,'Session Tracker'!$F$5:$F$149,"Next week",'Session Tracker'!$G$5:$G$149,"Mon"),$D131*SUMIFS('Session Tracker'!$J$5:$J$149,'Session Tracker'!$D$5:$D$149,$A131,'Session Tracker'!$F$5:$F$149,"Next week",'Session Tracker'!$G$5:$G$149,"Mon"))</f>
        <v>0</v>
      </c>
      <c r="I131" s="52" t="n">
        <f aca="false">IF($E131="Per class",$D131*COUNTIFS('Session Tracker'!$D$5:$D$149,$A131,'Session Tracker'!$F$5:$F$149,"Next week",'Session Tracker'!$G$5:$G$149,"Tue"),$D131*SUMIFS('Session Tracker'!$J$5:$J$149,'Session Tracker'!$D$5:$D$149,$A131,'Session Tracker'!$F$5:$F$149,"Next week",'Session Tracker'!$G$5:$G$149,"Tue"))</f>
        <v>0</v>
      </c>
      <c r="J131" s="52" t="n">
        <f aca="false">IF($E131="Per class",$D131*COUNTIFS('Session Tracker'!$D$5:$D$149,$A131,'Session Tracker'!$F$5:$F$149,"Next week",'Session Tracker'!$G$5:$G$149,"Wed"),$D131*SUMIFS('Session Tracker'!$J$5:$J$149,'Session Tracker'!$D$5:$D$149,$A131,'Session Tracker'!$F$5:$F$149,"Next week",'Session Tracker'!$G$5:$G$149,"Wed"))</f>
        <v>0</v>
      </c>
      <c r="K131" s="52" t="n">
        <f aca="false">IF($E131="Per class",$D131*COUNTIFS('Session Tracker'!$D$5:$D$149,$A131,'Session Tracker'!$F$5:$F$149,"Next week",'Session Tracker'!$G$5:$G$149,"Thu"),$D131*SUMIFS('Session Tracker'!$J$5:$J$149,'Session Tracker'!$D$5:$D$149,$A131,'Session Tracker'!$F$5:$F$149,"Next week",'Session Tracker'!$G$5:$G$149,"Thu"))</f>
        <v>0</v>
      </c>
      <c r="L131" s="52" t="n">
        <f aca="false">IF($E131="Per class",$D131*COUNTIFS('Session Tracker'!$D$5:$D$149,$A131,'Session Tracker'!$F$5:$F$149,"Next week",'Session Tracker'!$G$5:$G$149,"Fri"),$D131*SUMIFS('Session Tracker'!$J$5:$J$149,'Session Tracker'!$D$5:$D$149,$A131,'Session Tracker'!$F$5:$F$149,"Next week",'Session Tracker'!$G$5:$G$149,"Fri"))</f>
        <v>0</v>
      </c>
      <c r="M131" s="52" t="n">
        <f aca="false">IF($E131="Per class",$D131*COUNTIFS('Session Tracker'!$D$5:$D$149,$A131,'Session Tracker'!$F$5:$F$149,"Next week",'Session Tracker'!$G$5:$G$149,""),$D131*SUMIFS('Session Tracker'!$J$5:$J$149,'Session Tracker'!$D$5:$D$149,$A131,'Session Tracker'!$F$5:$F$149,"Next week",'Session Tracker'!$G$5:$G$149,""))</f>
        <v>0</v>
      </c>
    </row>
    <row r="132" customFormat="false" ht="15" hidden="false" customHeight="false" outlineLevel="0" collapsed="false">
      <c r="A132" s="53" t="s">
        <v>233</v>
      </c>
      <c r="B132" s="54"/>
      <c r="C132" s="54"/>
      <c r="D132" s="54"/>
      <c r="E132" s="54"/>
      <c r="F132" s="54"/>
      <c r="G132" s="54"/>
      <c r="H132" s="52" t="n">
        <f aca="false">IF($E132="Per class",$D132*COUNTIFS('Session Tracker'!$D$5:$D$149,$A132,'Session Tracker'!$F$5:$F$149,"Next week",'Session Tracker'!$G$5:$G$149,"Mon"),$D132*SUMIFS('Session Tracker'!$J$5:$J$149,'Session Tracker'!$D$5:$D$149,$A132,'Session Tracker'!$F$5:$F$149,"Next week",'Session Tracker'!$G$5:$G$149,"Mon"))</f>
        <v>0</v>
      </c>
      <c r="I132" s="52" t="n">
        <f aca="false">IF($E132="Per class",$D132*COUNTIFS('Session Tracker'!$D$5:$D$149,$A132,'Session Tracker'!$F$5:$F$149,"Next week",'Session Tracker'!$G$5:$G$149,"Tue"),$D132*SUMIFS('Session Tracker'!$J$5:$J$149,'Session Tracker'!$D$5:$D$149,$A132,'Session Tracker'!$F$5:$F$149,"Next week",'Session Tracker'!$G$5:$G$149,"Tue"))</f>
        <v>0</v>
      </c>
      <c r="J132" s="52" t="n">
        <f aca="false">IF($E132="Per class",$D132*COUNTIFS('Session Tracker'!$D$5:$D$149,$A132,'Session Tracker'!$F$5:$F$149,"Next week",'Session Tracker'!$G$5:$G$149,"Wed"),$D132*SUMIFS('Session Tracker'!$J$5:$J$149,'Session Tracker'!$D$5:$D$149,$A132,'Session Tracker'!$F$5:$F$149,"Next week",'Session Tracker'!$G$5:$G$149,"Wed"))</f>
        <v>0</v>
      </c>
      <c r="K132" s="52" t="n">
        <f aca="false">IF($E132="Per class",$D132*COUNTIFS('Session Tracker'!$D$5:$D$149,$A132,'Session Tracker'!$F$5:$F$149,"Next week",'Session Tracker'!$G$5:$G$149,"Thu"),$D132*SUMIFS('Session Tracker'!$J$5:$J$149,'Session Tracker'!$D$5:$D$149,$A132,'Session Tracker'!$F$5:$F$149,"Next week",'Session Tracker'!$G$5:$G$149,"Thu"))</f>
        <v>0</v>
      </c>
      <c r="L132" s="52" t="n">
        <f aca="false">IF($E132="Per class",$D132*COUNTIFS('Session Tracker'!$D$5:$D$149,$A132,'Session Tracker'!$F$5:$F$149,"Next week",'Session Tracker'!$G$5:$G$149,"Fri"),$D132*SUMIFS('Session Tracker'!$J$5:$J$149,'Session Tracker'!$D$5:$D$149,$A132,'Session Tracker'!$F$5:$F$149,"Next week",'Session Tracker'!$G$5:$G$149,"Fri"))</f>
        <v>0</v>
      </c>
      <c r="M132" s="52" t="n">
        <f aca="false">IF($E132="Per class",$D132*COUNTIFS('Session Tracker'!$D$5:$D$149,$A132,'Session Tracker'!$F$5:$F$149,"Next week",'Session Tracker'!$G$5:$G$149,""),$D132*SUMIFS('Session Tracker'!$J$5:$J$149,'Session Tracker'!$D$5:$D$149,$A132,'Session Tracker'!$F$5:$F$149,"Next week",'Session Tracker'!$G$5:$G$149,""))</f>
        <v>0</v>
      </c>
    </row>
    <row r="134" customFormat="false" ht="19.5" hidden="false" customHeight="true" outlineLevel="0" collapsed="false">
      <c r="A134" s="64" t="s">
        <v>235</v>
      </c>
      <c r="B134" s="65" t="s">
        <v>604</v>
      </c>
      <c r="C134" s="65"/>
      <c r="D134" s="65"/>
      <c r="E134" s="65"/>
      <c r="F134" s="66" t="str">
        <f aca="false">"Status: "&amp;'Session Tracker'!F87&amp;IF('Session Tracker'!G87&lt;&gt;""," ("&amp;'Session Tracker'!G87&amp;")","")</f>
        <v>Status: Not started</v>
      </c>
      <c r="G134" s="66"/>
      <c r="H134" s="67"/>
      <c r="I134" s="67"/>
      <c r="J134" s="67"/>
      <c r="K134" s="67"/>
      <c r="L134" s="67"/>
      <c r="M134" s="67"/>
    </row>
    <row r="135" customFormat="false" ht="23.85" hidden="false" customHeight="false" outlineLevel="0" collapsed="false">
      <c r="A135" s="68" t="s">
        <v>235</v>
      </c>
      <c r="B135" s="34" t="s">
        <v>366</v>
      </c>
      <c r="C135" s="34" t="s">
        <v>367</v>
      </c>
      <c r="D135" s="32" t="n">
        <v>1</v>
      </c>
      <c r="E135" s="32" t="s">
        <v>14</v>
      </c>
      <c r="F135" s="32" t="s">
        <v>368</v>
      </c>
      <c r="G135" s="34"/>
      <c r="H135" s="52" t="n">
        <f aca="false">IF($E135="Per class",$D135*COUNTIFS('Session Tracker'!$D$5:$D$149,$A135,'Session Tracker'!$F$5:$F$149,"Next week",'Session Tracker'!$G$5:$G$149,"Mon"),$D135*SUMIFS('Session Tracker'!$J$5:$J$149,'Session Tracker'!$D$5:$D$149,$A135,'Session Tracker'!$F$5:$F$149,"Next week",'Session Tracker'!$G$5:$G$149,"Mon"))</f>
        <v>0</v>
      </c>
      <c r="I135" s="52" t="n">
        <f aca="false">IF($E135="Per class",$D135*COUNTIFS('Session Tracker'!$D$5:$D$149,$A135,'Session Tracker'!$F$5:$F$149,"Next week",'Session Tracker'!$G$5:$G$149,"Tue"),$D135*SUMIFS('Session Tracker'!$J$5:$J$149,'Session Tracker'!$D$5:$D$149,$A135,'Session Tracker'!$F$5:$F$149,"Next week",'Session Tracker'!$G$5:$G$149,"Tue"))</f>
        <v>0</v>
      </c>
      <c r="J135" s="52" t="n">
        <f aca="false">IF($E135="Per class",$D135*COUNTIFS('Session Tracker'!$D$5:$D$149,$A135,'Session Tracker'!$F$5:$F$149,"Next week",'Session Tracker'!$G$5:$G$149,"Wed"),$D135*SUMIFS('Session Tracker'!$J$5:$J$149,'Session Tracker'!$D$5:$D$149,$A135,'Session Tracker'!$F$5:$F$149,"Next week",'Session Tracker'!$G$5:$G$149,"Wed"))</f>
        <v>0</v>
      </c>
      <c r="K135" s="52" t="n">
        <f aca="false">IF($E135="Per class",$D135*COUNTIFS('Session Tracker'!$D$5:$D$149,$A135,'Session Tracker'!$F$5:$F$149,"Next week",'Session Tracker'!$G$5:$G$149,"Thu"),$D135*SUMIFS('Session Tracker'!$J$5:$J$149,'Session Tracker'!$D$5:$D$149,$A135,'Session Tracker'!$F$5:$F$149,"Next week",'Session Tracker'!$G$5:$G$149,"Thu"))</f>
        <v>0</v>
      </c>
      <c r="L135" s="52" t="n">
        <f aca="false">IF($E135="Per class",$D135*COUNTIFS('Session Tracker'!$D$5:$D$149,$A135,'Session Tracker'!$F$5:$F$149,"Next week",'Session Tracker'!$G$5:$G$149,"Fri"),$D135*SUMIFS('Session Tracker'!$J$5:$J$149,'Session Tracker'!$D$5:$D$149,$A135,'Session Tracker'!$F$5:$F$149,"Next week",'Session Tracker'!$G$5:$G$149,"Fri"))</f>
        <v>0</v>
      </c>
      <c r="M135" s="52" t="n">
        <f aca="false">IF($E135="Per class",$D135*COUNTIFS('Session Tracker'!$D$5:$D$149,$A135,'Session Tracker'!$F$5:$F$149,"Next week",'Session Tracker'!$G$5:$G$149,""),$D135*SUMIFS('Session Tracker'!$J$5:$J$149,'Session Tracker'!$D$5:$D$149,$A135,'Session Tracker'!$F$5:$F$149,"Next week",'Session Tracker'!$G$5:$G$149,""))</f>
        <v>0</v>
      </c>
    </row>
    <row r="136" customFormat="false" ht="15" hidden="false" customHeight="false" outlineLevel="0" collapsed="false">
      <c r="A136" s="68" t="s">
        <v>235</v>
      </c>
      <c r="B136" s="34" t="s">
        <v>447</v>
      </c>
      <c r="C136" s="34" t="s">
        <v>542</v>
      </c>
      <c r="D136" s="32" t="n">
        <v>1</v>
      </c>
      <c r="E136" s="32" t="s">
        <v>14</v>
      </c>
      <c r="F136" s="32" t="s">
        <v>368</v>
      </c>
      <c r="G136" s="34"/>
      <c r="H136" s="52" t="n">
        <f aca="false">IF($E136="Per class",$D136*COUNTIFS('Session Tracker'!$D$5:$D$149,$A136,'Session Tracker'!$F$5:$F$149,"Next week",'Session Tracker'!$G$5:$G$149,"Mon"),$D136*SUMIFS('Session Tracker'!$J$5:$J$149,'Session Tracker'!$D$5:$D$149,$A136,'Session Tracker'!$F$5:$F$149,"Next week",'Session Tracker'!$G$5:$G$149,"Mon"))</f>
        <v>0</v>
      </c>
      <c r="I136" s="52" t="n">
        <f aca="false">IF($E136="Per class",$D136*COUNTIFS('Session Tracker'!$D$5:$D$149,$A136,'Session Tracker'!$F$5:$F$149,"Next week",'Session Tracker'!$G$5:$G$149,"Tue"),$D136*SUMIFS('Session Tracker'!$J$5:$J$149,'Session Tracker'!$D$5:$D$149,$A136,'Session Tracker'!$F$5:$F$149,"Next week",'Session Tracker'!$G$5:$G$149,"Tue"))</f>
        <v>0</v>
      </c>
      <c r="J136" s="52" t="n">
        <f aca="false">IF($E136="Per class",$D136*COUNTIFS('Session Tracker'!$D$5:$D$149,$A136,'Session Tracker'!$F$5:$F$149,"Next week",'Session Tracker'!$G$5:$G$149,"Wed"),$D136*SUMIFS('Session Tracker'!$J$5:$J$149,'Session Tracker'!$D$5:$D$149,$A136,'Session Tracker'!$F$5:$F$149,"Next week",'Session Tracker'!$G$5:$G$149,"Wed"))</f>
        <v>0</v>
      </c>
      <c r="K136" s="52" t="n">
        <f aca="false">IF($E136="Per class",$D136*COUNTIFS('Session Tracker'!$D$5:$D$149,$A136,'Session Tracker'!$F$5:$F$149,"Next week",'Session Tracker'!$G$5:$G$149,"Thu"),$D136*SUMIFS('Session Tracker'!$J$5:$J$149,'Session Tracker'!$D$5:$D$149,$A136,'Session Tracker'!$F$5:$F$149,"Next week",'Session Tracker'!$G$5:$G$149,"Thu"))</f>
        <v>0</v>
      </c>
      <c r="L136" s="52" t="n">
        <f aca="false">IF($E136="Per class",$D136*COUNTIFS('Session Tracker'!$D$5:$D$149,$A136,'Session Tracker'!$F$5:$F$149,"Next week",'Session Tracker'!$G$5:$G$149,"Fri"),$D136*SUMIFS('Session Tracker'!$J$5:$J$149,'Session Tracker'!$D$5:$D$149,$A136,'Session Tracker'!$F$5:$F$149,"Next week",'Session Tracker'!$G$5:$G$149,"Fri"))</f>
        <v>0</v>
      </c>
      <c r="M136" s="52" t="n">
        <f aca="false">IF($E136="Per class",$D136*COUNTIFS('Session Tracker'!$D$5:$D$149,$A136,'Session Tracker'!$F$5:$F$149,"Next week",'Session Tracker'!$G$5:$G$149,""),$D136*SUMIFS('Session Tracker'!$J$5:$J$149,'Session Tracker'!$D$5:$D$149,$A136,'Session Tracker'!$F$5:$F$149,"Next week",'Session Tracker'!$G$5:$G$149,""))</f>
        <v>0</v>
      </c>
    </row>
    <row r="137" customFormat="false" ht="15" hidden="false" customHeight="false" outlineLevel="0" collapsed="false">
      <c r="A137" s="68" t="s">
        <v>235</v>
      </c>
      <c r="B137" s="34" t="s">
        <v>377</v>
      </c>
      <c r="C137" s="34" t="s">
        <v>532</v>
      </c>
      <c r="D137" s="32" t="n">
        <v>1</v>
      </c>
      <c r="E137" s="32" t="s">
        <v>14</v>
      </c>
      <c r="F137" s="32" t="s">
        <v>368</v>
      </c>
      <c r="G137" s="34"/>
      <c r="H137" s="52" t="n">
        <f aca="false">IF($E137="Per class",$D137*COUNTIFS('Session Tracker'!$D$5:$D$149,$A137,'Session Tracker'!$F$5:$F$149,"Next week",'Session Tracker'!$G$5:$G$149,"Mon"),$D137*SUMIFS('Session Tracker'!$J$5:$J$149,'Session Tracker'!$D$5:$D$149,$A137,'Session Tracker'!$F$5:$F$149,"Next week",'Session Tracker'!$G$5:$G$149,"Mon"))</f>
        <v>0</v>
      </c>
      <c r="I137" s="52" t="n">
        <f aca="false">IF($E137="Per class",$D137*COUNTIFS('Session Tracker'!$D$5:$D$149,$A137,'Session Tracker'!$F$5:$F$149,"Next week",'Session Tracker'!$G$5:$G$149,"Tue"),$D137*SUMIFS('Session Tracker'!$J$5:$J$149,'Session Tracker'!$D$5:$D$149,$A137,'Session Tracker'!$F$5:$F$149,"Next week",'Session Tracker'!$G$5:$G$149,"Tue"))</f>
        <v>0</v>
      </c>
      <c r="J137" s="52" t="n">
        <f aca="false">IF($E137="Per class",$D137*COUNTIFS('Session Tracker'!$D$5:$D$149,$A137,'Session Tracker'!$F$5:$F$149,"Next week",'Session Tracker'!$G$5:$G$149,"Wed"),$D137*SUMIFS('Session Tracker'!$J$5:$J$149,'Session Tracker'!$D$5:$D$149,$A137,'Session Tracker'!$F$5:$F$149,"Next week",'Session Tracker'!$G$5:$G$149,"Wed"))</f>
        <v>0</v>
      </c>
      <c r="K137" s="52" t="n">
        <f aca="false">IF($E137="Per class",$D137*COUNTIFS('Session Tracker'!$D$5:$D$149,$A137,'Session Tracker'!$F$5:$F$149,"Next week",'Session Tracker'!$G$5:$G$149,"Thu"),$D137*SUMIFS('Session Tracker'!$J$5:$J$149,'Session Tracker'!$D$5:$D$149,$A137,'Session Tracker'!$F$5:$F$149,"Next week",'Session Tracker'!$G$5:$G$149,"Thu"))</f>
        <v>0</v>
      </c>
      <c r="L137" s="52" t="n">
        <f aca="false">IF($E137="Per class",$D137*COUNTIFS('Session Tracker'!$D$5:$D$149,$A137,'Session Tracker'!$F$5:$F$149,"Next week",'Session Tracker'!$G$5:$G$149,"Fri"),$D137*SUMIFS('Session Tracker'!$J$5:$J$149,'Session Tracker'!$D$5:$D$149,$A137,'Session Tracker'!$F$5:$F$149,"Next week",'Session Tracker'!$G$5:$G$149,"Fri"))</f>
        <v>0</v>
      </c>
      <c r="M137" s="52" t="n">
        <f aca="false">IF($E137="Per class",$D137*COUNTIFS('Session Tracker'!$D$5:$D$149,$A137,'Session Tracker'!$F$5:$F$149,"Next week",'Session Tracker'!$G$5:$G$149,""),$D137*SUMIFS('Session Tracker'!$J$5:$J$149,'Session Tracker'!$D$5:$D$149,$A137,'Session Tracker'!$F$5:$F$149,"Next week",'Session Tracker'!$G$5:$G$149,""))</f>
        <v>0</v>
      </c>
    </row>
    <row r="138" customFormat="false" ht="15" hidden="false" customHeight="false" outlineLevel="0" collapsed="false">
      <c r="A138" s="68" t="s">
        <v>235</v>
      </c>
      <c r="B138" s="34" t="s">
        <v>545</v>
      </c>
      <c r="C138" s="34" t="s">
        <v>546</v>
      </c>
      <c r="D138" s="32" t="n">
        <v>1</v>
      </c>
      <c r="E138" s="32" t="s">
        <v>14</v>
      </c>
      <c r="F138" s="32" t="s">
        <v>368</v>
      </c>
      <c r="G138" s="34"/>
      <c r="H138" s="52" t="n">
        <f aca="false">IF($E138="Per class",$D138*COUNTIFS('Session Tracker'!$D$5:$D$149,$A138,'Session Tracker'!$F$5:$F$149,"Next week",'Session Tracker'!$G$5:$G$149,"Mon"),$D138*SUMIFS('Session Tracker'!$J$5:$J$149,'Session Tracker'!$D$5:$D$149,$A138,'Session Tracker'!$F$5:$F$149,"Next week",'Session Tracker'!$G$5:$G$149,"Mon"))</f>
        <v>0</v>
      </c>
      <c r="I138" s="52" t="n">
        <f aca="false">IF($E138="Per class",$D138*COUNTIFS('Session Tracker'!$D$5:$D$149,$A138,'Session Tracker'!$F$5:$F$149,"Next week",'Session Tracker'!$G$5:$G$149,"Tue"),$D138*SUMIFS('Session Tracker'!$J$5:$J$149,'Session Tracker'!$D$5:$D$149,$A138,'Session Tracker'!$F$5:$F$149,"Next week",'Session Tracker'!$G$5:$G$149,"Tue"))</f>
        <v>0</v>
      </c>
      <c r="J138" s="52" t="n">
        <f aca="false">IF($E138="Per class",$D138*COUNTIFS('Session Tracker'!$D$5:$D$149,$A138,'Session Tracker'!$F$5:$F$149,"Next week",'Session Tracker'!$G$5:$G$149,"Wed"),$D138*SUMIFS('Session Tracker'!$J$5:$J$149,'Session Tracker'!$D$5:$D$149,$A138,'Session Tracker'!$F$5:$F$149,"Next week",'Session Tracker'!$G$5:$G$149,"Wed"))</f>
        <v>0</v>
      </c>
      <c r="K138" s="52" t="n">
        <f aca="false">IF($E138="Per class",$D138*COUNTIFS('Session Tracker'!$D$5:$D$149,$A138,'Session Tracker'!$F$5:$F$149,"Next week",'Session Tracker'!$G$5:$G$149,"Thu"),$D138*SUMIFS('Session Tracker'!$J$5:$J$149,'Session Tracker'!$D$5:$D$149,$A138,'Session Tracker'!$F$5:$F$149,"Next week",'Session Tracker'!$G$5:$G$149,"Thu"))</f>
        <v>0</v>
      </c>
      <c r="L138" s="52" t="n">
        <f aca="false">IF($E138="Per class",$D138*COUNTIFS('Session Tracker'!$D$5:$D$149,$A138,'Session Tracker'!$F$5:$F$149,"Next week",'Session Tracker'!$G$5:$G$149,"Fri"),$D138*SUMIFS('Session Tracker'!$J$5:$J$149,'Session Tracker'!$D$5:$D$149,$A138,'Session Tracker'!$F$5:$F$149,"Next week",'Session Tracker'!$G$5:$G$149,"Fri"))</f>
        <v>0</v>
      </c>
      <c r="M138" s="52" t="n">
        <f aca="false">IF($E138="Per class",$D138*COUNTIFS('Session Tracker'!$D$5:$D$149,$A138,'Session Tracker'!$F$5:$F$149,"Next week",'Session Tracker'!$G$5:$G$149,""),$D138*SUMIFS('Session Tracker'!$J$5:$J$149,'Session Tracker'!$D$5:$D$149,$A138,'Session Tracker'!$F$5:$F$149,"Next week",'Session Tracker'!$G$5:$G$149,""))</f>
        <v>0</v>
      </c>
    </row>
    <row r="139" customFormat="false" ht="15" hidden="false" customHeight="false" outlineLevel="0" collapsed="false">
      <c r="A139" s="68" t="s">
        <v>235</v>
      </c>
      <c r="B139" s="34" t="s">
        <v>371</v>
      </c>
      <c r="C139" s="34" t="s">
        <v>372</v>
      </c>
      <c r="D139" s="32" t="n">
        <v>2</v>
      </c>
      <c r="E139" s="32" t="s">
        <v>14</v>
      </c>
      <c r="F139" s="32" t="s">
        <v>373</v>
      </c>
      <c r="G139" s="34" t="s">
        <v>605</v>
      </c>
      <c r="H139" s="52" t="n">
        <f aca="false">IF($E139="Per class",$D139*COUNTIFS('Session Tracker'!$D$5:$D$149,$A139,'Session Tracker'!$F$5:$F$149,"Next week",'Session Tracker'!$G$5:$G$149,"Mon"),$D139*SUMIFS('Session Tracker'!$J$5:$J$149,'Session Tracker'!$D$5:$D$149,$A139,'Session Tracker'!$F$5:$F$149,"Next week",'Session Tracker'!$G$5:$G$149,"Mon"))</f>
        <v>0</v>
      </c>
      <c r="I139" s="52" t="n">
        <f aca="false">IF($E139="Per class",$D139*COUNTIFS('Session Tracker'!$D$5:$D$149,$A139,'Session Tracker'!$F$5:$F$149,"Next week",'Session Tracker'!$G$5:$G$149,"Tue"),$D139*SUMIFS('Session Tracker'!$J$5:$J$149,'Session Tracker'!$D$5:$D$149,$A139,'Session Tracker'!$F$5:$F$149,"Next week",'Session Tracker'!$G$5:$G$149,"Tue"))</f>
        <v>0</v>
      </c>
      <c r="J139" s="52" t="n">
        <f aca="false">IF($E139="Per class",$D139*COUNTIFS('Session Tracker'!$D$5:$D$149,$A139,'Session Tracker'!$F$5:$F$149,"Next week",'Session Tracker'!$G$5:$G$149,"Wed"),$D139*SUMIFS('Session Tracker'!$J$5:$J$149,'Session Tracker'!$D$5:$D$149,$A139,'Session Tracker'!$F$5:$F$149,"Next week",'Session Tracker'!$G$5:$G$149,"Wed"))</f>
        <v>0</v>
      </c>
      <c r="K139" s="52" t="n">
        <f aca="false">IF($E139="Per class",$D139*COUNTIFS('Session Tracker'!$D$5:$D$149,$A139,'Session Tracker'!$F$5:$F$149,"Next week",'Session Tracker'!$G$5:$G$149,"Thu"),$D139*SUMIFS('Session Tracker'!$J$5:$J$149,'Session Tracker'!$D$5:$D$149,$A139,'Session Tracker'!$F$5:$F$149,"Next week",'Session Tracker'!$G$5:$G$149,"Thu"))</f>
        <v>0</v>
      </c>
      <c r="L139" s="52" t="n">
        <f aca="false">IF($E139="Per class",$D139*COUNTIFS('Session Tracker'!$D$5:$D$149,$A139,'Session Tracker'!$F$5:$F$149,"Next week",'Session Tracker'!$G$5:$G$149,"Fri"),$D139*SUMIFS('Session Tracker'!$J$5:$J$149,'Session Tracker'!$D$5:$D$149,$A139,'Session Tracker'!$F$5:$F$149,"Next week",'Session Tracker'!$G$5:$G$149,"Fri"))</f>
        <v>0</v>
      </c>
      <c r="M139" s="52" t="n">
        <f aca="false">IF($E139="Per class",$D139*COUNTIFS('Session Tracker'!$D$5:$D$149,$A139,'Session Tracker'!$F$5:$F$149,"Next week",'Session Tracker'!$G$5:$G$149,""),$D139*SUMIFS('Session Tracker'!$J$5:$J$149,'Session Tracker'!$D$5:$D$149,$A139,'Session Tracker'!$F$5:$F$149,"Next week",'Session Tracker'!$G$5:$G$149,""))</f>
        <v>0</v>
      </c>
    </row>
    <row r="140" customFormat="false" ht="15" hidden="false" customHeight="false" outlineLevel="0" collapsed="false">
      <c r="A140" s="68" t="s">
        <v>235</v>
      </c>
      <c r="B140" s="34" t="s">
        <v>375</v>
      </c>
      <c r="C140" s="34" t="s">
        <v>376</v>
      </c>
      <c r="D140" s="32" t="n">
        <v>2</v>
      </c>
      <c r="E140" s="32" t="s">
        <v>14</v>
      </c>
      <c r="F140" s="32" t="s">
        <v>373</v>
      </c>
      <c r="G140" s="34"/>
      <c r="H140" s="52" t="n">
        <f aca="false">IF($E140="Per class",$D140*COUNTIFS('Session Tracker'!$D$5:$D$149,$A140,'Session Tracker'!$F$5:$F$149,"Next week",'Session Tracker'!$G$5:$G$149,"Mon"),$D140*SUMIFS('Session Tracker'!$J$5:$J$149,'Session Tracker'!$D$5:$D$149,$A140,'Session Tracker'!$F$5:$F$149,"Next week",'Session Tracker'!$G$5:$G$149,"Mon"))</f>
        <v>0</v>
      </c>
      <c r="I140" s="52" t="n">
        <f aca="false">IF($E140="Per class",$D140*COUNTIFS('Session Tracker'!$D$5:$D$149,$A140,'Session Tracker'!$F$5:$F$149,"Next week",'Session Tracker'!$G$5:$G$149,"Tue"),$D140*SUMIFS('Session Tracker'!$J$5:$J$149,'Session Tracker'!$D$5:$D$149,$A140,'Session Tracker'!$F$5:$F$149,"Next week",'Session Tracker'!$G$5:$G$149,"Tue"))</f>
        <v>0</v>
      </c>
      <c r="J140" s="52" t="n">
        <f aca="false">IF($E140="Per class",$D140*COUNTIFS('Session Tracker'!$D$5:$D$149,$A140,'Session Tracker'!$F$5:$F$149,"Next week",'Session Tracker'!$G$5:$G$149,"Wed"),$D140*SUMIFS('Session Tracker'!$J$5:$J$149,'Session Tracker'!$D$5:$D$149,$A140,'Session Tracker'!$F$5:$F$149,"Next week",'Session Tracker'!$G$5:$G$149,"Wed"))</f>
        <v>0</v>
      </c>
      <c r="K140" s="52" t="n">
        <f aca="false">IF($E140="Per class",$D140*COUNTIFS('Session Tracker'!$D$5:$D$149,$A140,'Session Tracker'!$F$5:$F$149,"Next week",'Session Tracker'!$G$5:$G$149,"Thu"),$D140*SUMIFS('Session Tracker'!$J$5:$J$149,'Session Tracker'!$D$5:$D$149,$A140,'Session Tracker'!$F$5:$F$149,"Next week",'Session Tracker'!$G$5:$G$149,"Thu"))</f>
        <v>0</v>
      </c>
      <c r="L140" s="52" t="n">
        <f aca="false">IF($E140="Per class",$D140*COUNTIFS('Session Tracker'!$D$5:$D$149,$A140,'Session Tracker'!$F$5:$F$149,"Next week",'Session Tracker'!$G$5:$G$149,"Fri"),$D140*SUMIFS('Session Tracker'!$J$5:$J$149,'Session Tracker'!$D$5:$D$149,$A140,'Session Tracker'!$F$5:$F$149,"Next week",'Session Tracker'!$G$5:$G$149,"Fri"))</f>
        <v>0</v>
      </c>
      <c r="M140" s="52" t="n">
        <f aca="false">IF($E140="Per class",$D140*COUNTIFS('Session Tracker'!$D$5:$D$149,$A140,'Session Tracker'!$F$5:$F$149,"Next week",'Session Tracker'!$G$5:$G$149,""),$D140*SUMIFS('Session Tracker'!$J$5:$J$149,'Session Tracker'!$D$5:$D$149,$A140,'Session Tracker'!$F$5:$F$149,"Next week",'Session Tracker'!$G$5:$G$149,""))</f>
        <v>0</v>
      </c>
    </row>
    <row r="141" customFormat="false" ht="15" hidden="false" customHeight="false" outlineLevel="0" collapsed="false">
      <c r="A141" s="68" t="s">
        <v>235</v>
      </c>
      <c r="B141" s="34" t="s">
        <v>375</v>
      </c>
      <c r="C141" s="34" t="s">
        <v>547</v>
      </c>
      <c r="D141" s="32" t="n">
        <v>1</v>
      </c>
      <c r="E141" s="32" t="s">
        <v>14</v>
      </c>
      <c r="F141" s="32" t="s">
        <v>373</v>
      </c>
      <c r="G141" s="34"/>
      <c r="H141" s="52" t="n">
        <f aca="false">IF($E141="Per class",$D141*COUNTIFS('Session Tracker'!$D$5:$D$149,$A141,'Session Tracker'!$F$5:$F$149,"Next week",'Session Tracker'!$G$5:$G$149,"Mon"),$D141*SUMIFS('Session Tracker'!$J$5:$J$149,'Session Tracker'!$D$5:$D$149,$A141,'Session Tracker'!$F$5:$F$149,"Next week",'Session Tracker'!$G$5:$G$149,"Mon"))</f>
        <v>0</v>
      </c>
      <c r="I141" s="52" t="n">
        <f aca="false">IF($E141="Per class",$D141*COUNTIFS('Session Tracker'!$D$5:$D$149,$A141,'Session Tracker'!$F$5:$F$149,"Next week",'Session Tracker'!$G$5:$G$149,"Tue"),$D141*SUMIFS('Session Tracker'!$J$5:$J$149,'Session Tracker'!$D$5:$D$149,$A141,'Session Tracker'!$F$5:$F$149,"Next week",'Session Tracker'!$G$5:$G$149,"Tue"))</f>
        <v>0</v>
      </c>
      <c r="J141" s="52" t="n">
        <f aca="false">IF($E141="Per class",$D141*COUNTIFS('Session Tracker'!$D$5:$D$149,$A141,'Session Tracker'!$F$5:$F$149,"Next week",'Session Tracker'!$G$5:$G$149,"Wed"),$D141*SUMIFS('Session Tracker'!$J$5:$J$149,'Session Tracker'!$D$5:$D$149,$A141,'Session Tracker'!$F$5:$F$149,"Next week",'Session Tracker'!$G$5:$G$149,"Wed"))</f>
        <v>0</v>
      </c>
      <c r="K141" s="52" t="n">
        <f aca="false">IF($E141="Per class",$D141*COUNTIFS('Session Tracker'!$D$5:$D$149,$A141,'Session Tracker'!$F$5:$F$149,"Next week",'Session Tracker'!$G$5:$G$149,"Thu"),$D141*SUMIFS('Session Tracker'!$J$5:$J$149,'Session Tracker'!$D$5:$D$149,$A141,'Session Tracker'!$F$5:$F$149,"Next week",'Session Tracker'!$G$5:$G$149,"Thu"))</f>
        <v>0</v>
      </c>
      <c r="L141" s="52" t="n">
        <f aca="false">IF($E141="Per class",$D141*COUNTIFS('Session Tracker'!$D$5:$D$149,$A141,'Session Tracker'!$F$5:$F$149,"Next week",'Session Tracker'!$G$5:$G$149,"Fri"),$D141*SUMIFS('Session Tracker'!$J$5:$J$149,'Session Tracker'!$D$5:$D$149,$A141,'Session Tracker'!$F$5:$F$149,"Next week",'Session Tracker'!$G$5:$G$149,"Fri"))</f>
        <v>0</v>
      </c>
      <c r="M141" s="52" t="n">
        <f aca="false">IF($E141="Per class",$D141*COUNTIFS('Session Tracker'!$D$5:$D$149,$A141,'Session Tracker'!$F$5:$F$149,"Next week",'Session Tracker'!$G$5:$G$149,""),$D141*SUMIFS('Session Tracker'!$J$5:$J$149,'Session Tracker'!$D$5:$D$149,$A141,'Session Tracker'!$F$5:$F$149,"Next week",'Session Tracker'!$G$5:$G$149,""))</f>
        <v>0</v>
      </c>
    </row>
    <row r="142" customFormat="false" ht="15" hidden="false" customHeight="false" outlineLevel="0" collapsed="false">
      <c r="A142" s="68" t="s">
        <v>235</v>
      </c>
      <c r="B142" s="34" t="s">
        <v>375</v>
      </c>
      <c r="C142" s="34" t="s">
        <v>417</v>
      </c>
      <c r="D142" s="32" t="n">
        <v>1</v>
      </c>
      <c r="E142" s="32" t="s">
        <v>14</v>
      </c>
      <c r="F142" s="32" t="s">
        <v>373</v>
      </c>
      <c r="G142" s="34"/>
      <c r="H142" s="52" t="n">
        <f aca="false">IF($E142="Per class",$D142*COUNTIFS('Session Tracker'!$D$5:$D$149,$A142,'Session Tracker'!$F$5:$F$149,"Next week",'Session Tracker'!$G$5:$G$149,"Mon"),$D142*SUMIFS('Session Tracker'!$J$5:$J$149,'Session Tracker'!$D$5:$D$149,$A142,'Session Tracker'!$F$5:$F$149,"Next week",'Session Tracker'!$G$5:$G$149,"Mon"))</f>
        <v>0</v>
      </c>
      <c r="I142" s="52" t="n">
        <f aca="false">IF($E142="Per class",$D142*COUNTIFS('Session Tracker'!$D$5:$D$149,$A142,'Session Tracker'!$F$5:$F$149,"Next week",'Session Tracker'!$G$5:$G$149,"Tue"),$D142*SUMIFS('Session Tracker'!$J$5:$J$149,'Session Tracker'!$D$5:$D$149,$A142,'Session Tracker'!$F$5:$F$149,"Next week",'Session Tracker'!$G$5:$G$149,"Tue"))</f>
        <v>0</v>
      </c>
      <c r="J142" s="52" t="n">
        <f aca="false">IF($E142="Per class",$D142*COUNTIFS('Session Tracker'!$D$5:$D$149,$A142,'Session Tracker'!$F$5:$F$149,"Next week",'Session Tracker'!$G$5:$G$149,"Wed"),$D142*SUMIFS('Session Tracker'!$J$5:$J$149,'Session Tracker'!$D$5:$D$149,$A142,'Session Tracker'!$F$5:$F$149,"Next week",'Session Tracker'!$G$5:$G$149,"Wed"))</f>
        <v>0</v>
      </c>
      <c r="K142" s="52" t="n">
        <f aca="false">IF($E142="Per class",$D142*COUNTIFS('Session Tracker'!$D$5:$D$149,$A142,'Session Tracker'!$F$5:$F$149,"Next week",'Session Tracker'!$G$5:$G$149,"Thu"),$D142*SUMIFS('Session Tracker'!$J$5:$J$149,'Session Tracker'!$D$5:$D$149,$A142,'Session Tracker'!$F$5:$F$149,"Next week",'Session Tracker'!$G$5:$G$149,"Thu"))</f>
        <v>0</v>
      </c>
      <c r="L142" s="52" t="n">
        <f aca="false">IF($E142="Per class",$D142*COUNTIFS('Session Tracker'!$D$5:$D$149,$A142,'Session Tracker'!$F$5:$F$149,"Next week",'Session Tracker'!$G$5:$G$149,"Fri"),$D142*SUMIFS('Session Tracker'!$J$5:$J$149,'Session Tracker'!$D$5:$D$149,$A142,'Session Tracker'!$F$5:$F$149,"Next week",'Session Tracker'!$G$5:$G$149,"Fri"))</f>
        <v>0</v>
      </c>
      <c r="M142" s="52" t="n">
        <f aca="false">IF($E142="Per class",$D142*COUNTIFS('Session Tracker'!$D$5:$D$149,$A142,'Session Tracker'!$F$5:$F$149,"Next week",'Session Tracker'!$G$5:$G$149,""),$D142*SUMIFS('Session Tracker'!$J$5:$J$149,'Session Tracker'!$D$5:$D$149,$A142,'Session Tracker'!$F$5:$F$149,"Next week",'Session Tracker'!$G$5:$G$149,""))</f>
        <v>0</v>
      </c>
    </row>
    <row r="143" customFormat="false" ht="15" hidden="false" customHeight="false" outlineLevel="0" collapsed="false">
      <c r="A143" s="68" t="s">
        <v>235</v>
      </c>
      <c r="B143" s="34" t="s">
        <v>377</v>
      </c>
      <c r="C143" s="34" t="s">
        <v>378</v>
      </c>
      <c r="D143" s="32" t="n">
        <v>1</v>
      </c>
      <c r="E143" s="32" t="s">
        <v>14</v>
      </c>
      <c r="F143" s="32" t="s">
        <v>368</v>
      </c>
      <c r="G143" s="34"/>
      <c r="H143" s="52" t="n">
        <f aca="false">IF($E143="Per class",$D143*COUNTIFS('Session Tracker'!$D$5:$D$149,$A143,'Session Tracker'!$F$5:$F$149,"Next week",'Session Tracker'!$G$5:$G$149,"Mon"),$D143*SUMIFS('Session Tracker'!$J$5:$J$149,'Session Tracker'!$D$5:$D$149,$A143,'Session Tracker'!$F$5:$F$149,"Next week",'Session Tracker'!$G$5:$G$149,"Mon"))</f>
        <v>0</v>
      </c>
      <c r="I143" s="52" t="n">
        <f aca="false">IF($E143="Per class",$D143*COUNTIFS('Session Tracker'!$D$5:$D$149,$A143,'Session Tracker'!$F$5:$F$149,"Next week",'Session Tracker'!$G$5:$G$149,"Tue"),$D143*SUMIFS('Session Tracker'!$J$5:$J$149,'Session Tracker'!$D$5:$D$149,$A143,'Session Tracker'!$F$5:$F$149,"Next week",'Session Tracker'!$G$5:$G$149,"Tue"))</f>
        <v>0</v>
      </c>
      <c r="J143" s="52" t="n">
        <f aca="false">IF($E143="Per class",$D143*COUNTIFS('Session Tracker'!$D$5:$D$149,$A143,'Session Tracker'!$F$5:$F$149,"Next week",'Session Tracker'!$G$5:$G$149,"Wed"),$D143*SUMIFS('Session Tracker'!$J$5:$J$149,'Session Tracker'!$D$5:$D$149,$A143,'Session Tracker'!$F$5:$F$149,"Next week",'Session Tracker'!$G$5:$G$149,"Wed"))</f>
        <v>0</v>
      </c>
      <c r="K143" s="52" t="n">
        <f aca="false">IF($E143="Per class",$D143*COUNTIFS('Session Tracker'!$D$5:$D$149,$A143,'Session Tracker'!$F$5:$F$149,"Next week",'Session Tracker'!$G$5:$G$149,"Thu"),$D143*SUMIFS('Session Tracker'!$J$5:$J$149,'Session Tracker'!$D$5:$D$149,$A143,'Session Tracker'!$F$5:$F$149,"Next week",'Session Tracker'!$G$5:$G$149,"Thu"))</f>
        <v>0</v>
      </c>
      <c r="L143" s="52" t="n">
        <f aca="false">IF($E143="Per class",$D143*COUNTIFS('Session Tracker'!$D$5:$D$149,$A143,'Session Tracker'!$F$5:$F$149,"Next week",'Session Tracker'!$G$5:$G$149,"Fri"),$D143*SUMIFS('Session Tracker'!$J$5:$J$149,'Session Tracker'!$D$5:$D$149,$A143,'Session Tracker'!$F$5:$F$149,"Next week",'Session Tracker'!$G$5:$G$149,"Fri"))</f>
        <v>0</v>
      </c>
      <c r="M143" s="52" t="n">
        <f aca="false">IF($E143="Per class",$D143*COUNTIFS('Session Tracker'!$D$5:$D$149,$A143,'Session Tracker'!$F$5:$F$149,"Next week",'Session Tracker'!$G$5:$G$149,""),$D143*SUMIFS('Session Tracker'!$J$5:$J$149,'Session Tracker'!$D$5:$D$149,$A143,'Session Tracker'!$F$5:$F$149,"Next week",'Session Tracker'!$G$5:$G$149,""))</f>
        <v>0</v>
      </c>
    </row>
    <row r="144" customFormat="false" ht="15" hidden="false" customHeight="false" outlineLevel="0" collapsed="false">
      <c r="A144" s="68" t="s">
        <v>235</v>
      </c>
      <c r="B144" s="34" t="s">
        <v>409</v>
      </c>
      <c r="C144" s="34" t="s">
        <v>533</v>
      </c>
      <c r="D144" s="32" t="n">
        <v>1</v>
      </c>
      <c r="E144" s="32" t="s">
        <v>14</v>
      </c>
      <c r="F144" s="32" t="s">
        <v>373</v>
      </c>
      <c r="G144" s="34"/>
      <c r="H144" s="52" t="n">
        <f aca="false">IF($E144="Per class",$D144*COUNTIFS('Session Tracker'!$D$5:$D$149,$A144,'Session Tracker'!$F$5:$F$149,"Next week",'Session Tracker'!$G$5:$G$149,"Mon"),$D144*SUMIFS('Session Tracker'!$J$5:$J$149,'Session Tracker'!$D$5:$D$149,$A144,'Session Tracker'!$F$5:$F$149,"Next week",'Session Tracker'!$G$5:$G$149,"Mon"))</f>
        <v>0</v>
      </c>
      <c r="I144" s="52" t="n">
        <f aca="false">IF($E144="Per class",$D144*COUNTIFS('Session Tracker'!$D$5:$D$149,$A144,'Session Tracker'!$F$5:$F$149,"Next week",'Session Tracker'!$G$5:$G$149,"Tue"),$D144*SUMIFS('Session Tracker'!$J$5:$J$149,'Session Tracker'!$D$5:$D$149,$A144,'Session Tracker'!$F$5:$F$149,"Next week",'Session Tracker'!$G$5:$G$149,"Tue"))</f>
        <v>0</v>
      </c>
      <c r="J144" s="52" t="n">
        <f aca="false">IF($E144="Per class",$D144*COUNTIFS('Session Tracker'!$D$5:$D$149,$A144,'Session Tracker'!$F$5:$F$149,"Next week",'Session Tracker'!$G$5:$G$149,"Wed"),$D144*SUMIFS('Session Tracker'!$J$5:$J$149,'Session Tracker'!$D$5:$D$149,$A144,'Session Tracker'!$F$5:$F$149,"Next week",'Session Tracker'!$G$5:$G$149,"Wed"))</f>
        <v>0</v>
      </c>
      <c r="K144" s="52" t="n">
        <f aca="false">IF($E144="Per class",$D144*COUNTIFS('Session Tracker'!$D$5:$D$149,$A144,'Session Tracker'!$F$5:$F$149,"Next week",'Session Tracker'!$G$5:$G$149,"Thu"),$D144*SUMIFS('Session Tracker'!$J$5:$J$149,'Session Tracker'!$D$5:$D$149,$A144,'Session Tracker'!$F$5:$F$149,"Next week",'Session Tracker'!$G$5:$G$149,"Thu"))</f>
        <v>0</v>
      </c>
      <c r="L144" s="52" t="n">
        <f aca="false">IF($E144="Per class",$D144*COUNTIFS('Session Tracker'!$D$5:$D$149,$A144,'Session Tracker'!$F$5:$F$149,"Next week",'Session Tracker'!$G$5:$G$149,"Fri"),$D144*SUMIFS('Session Tracker'!$J$5:$J$149,'Session Tracker'!$D$5:$D$149,$A144,'Session Tracker'!$F$5:$F$149,"Next week",'Session Tracker'!$G$5:$G$149,"Fri"))</f>
        <v>0</v>
      </c>
      <c r="M144" s="52" t="n">
        <f aca="false">IF($E144="Per class",$D144*COUNTIFS('Session Tracker'!$D$5:$D$149,$A144,'Session Tracker'!$F$5:$F$149,"Next week",'Session Tracker'!$G$5:$G$149,""),$D144*SUMIFS('Session Tracker'!$J$5:$J$149,'Session Tracker'!$D$5:$D$149,$A144,'Session Tracker'!$F$5:$F$149,"Next week",'Session Tracker'!$G$5:$G$149,""))</f>
        <v>0</v>
      </c>
    </row>
    <row r="145" customFormat="false" ht="15" hidden="false" customHeight="false" outlineLevel="0" collapsed="false">
      <c r="A145" s="68" t="s">
        <v>235</v>
      </c>
      <c r="B145" s="34" t="s">
        <v>382</v>
      </c>
      <c r="C145" s="34" t="s">
        <v>397</v>
      </c>
      <c r="D145" s="32" t="n">
        <v>1</v>
      </c>
      <c r="E145" s="32" t="s">
        <v>14</v>
      </c>
      <c r="F145" s="32" t="s">
        <v>368</v>
      </c>
      <c r="G145" s="34"/>
      <c r="H145" s="52" t="n">
        <f aca="false">IF($E145="Per class",$D145*COUNTIFS('Session Tracker'!$D$5:$D$149,$A145,'Session Tracker'!$F$5:$F$149,"Next week",'Session Tracker'!$G$5:$G$149,"Mon"),$D145*SUMIFS('Session Tracker'!$J$5:$J$149,'Session Tracker'!$D$5:$D$149,$A145,'Session Tracker'!$F$5:$F$149,"Next week",'Session Tracker'!$G$5:$G$149,"Mon"))</f>
        <v>0</v>
      </c>
      <c r="I145" s="52" t="n">
        <f aca="false">IF($E145="Per class",$D145*COUNTIFS('Session Tracker'!$D$5:$D$149,$A145,'Session Tracker'!$F$5:$F$149,"Next week",'Session Tracker'!$G$5:$G$149,"Tue"),$D145*SUMIFS('Session Tracker'!$J$5:$J$149,'Session Tracker'!$D$5:$D$149,$A145,'Session Tracker'!$F$5:$F$149,"Next week",'Session Tracker'!$G$5:$G$149,"Tue"))</f>
        <v>0</v>
      </c>
      <c r="J145" s="52" t="n">
        <f aca="false">IF($E145="Per class",$D145*COUNTIFS('Session Tracker'!$D$5:$D$149,$A145,'Session Tracker'!$F$5:$F$149,"Next week",'Session Tracker'!$G$5:$G$149,"Wed"),$D145*SUMIFS('Session Tracker'!$J$5:$J$149,'Session Tracker'!$D$5:$D$149,$A145,'Session Tracker'!$F$5:$F$149,"Next week",'Session Tracker'!$G$5:$G$149,"Wed"))</f>
        <v>0</v>
      </c>
      <c r="K145" s="52" t="n">
        <f aca="false">IF($E145="Per class",$D145*COUNTIFS('Session Tracker'!$D$5:$D$149,$A145,'Session Tracker'!$F$5:$F$149,"Next week",'Session Tracker'!$G$5:$G$149,"Thu"),$D145*SUMIFS('Session Tracker'!$J$5:$J$149,'Session Tracker'!$D$5:$D$149,$A145,'Session Tracker'!$F$5:$F$149,"Next week",'Session Tracker'!$G$5:$G$149,"Thu"))</f>
        <v>0</v>
      </c>
      <c r="L145" s="52" t="n">
        <f aca="false">IF($E145="Per class",$D145*COUNTIFS('Session Tracker'!$D$5:$D$149,$A145,'Session Tracker'!$F$5:$F$149,"Next week",'Session Tracker'!$G$5:$G$149,"Fri"),$D145*SUMIFS('Session Tracker'!$J$5:$J$149,'Session Tracker'!$D$5:$D$149,$A145,'Session Tracker'!$F$5:$F$149,"Next week",'Session Tracker'!$G$5:$G$149,"Fri"))</f>
        <v>0</v>
      </c>
      <c r="M145" s="52" t="n">
        <f aca="false">IF($E145="Per class",$D145*COUNTIFS('Session Tracker'!$D$5:$D$149,$A145,'Session Tracker'!$F$5:$F$149,"Next week",'Session Tracker'!$G$5:$G$149,""),$D145*SUMIFS('Session Tracker'!$J$5:$J$149,'Session Tracker'!$D$5:$D$149,$A145,'Session Tracker'!$F$5:$F$149,"Next week",'Session Tracker'!$G$5:$G$149,""))</f>
        <v>0</v>
      </c>
    </row>
    <row r="146" customFormat="false" ht="15" hidden="false" customHeight="false" outlineLevel="0" collapsed="false">
      <c r="A146" s="68" t="s">
        <v>235</v>
      </c>
      <c r="B146" s="34" t="s">
        <v>379</v>
      </c>
      <c r="C146" s="34" t="s">
        <v>395</v>
      </c>
      <c r="D146" s="32" t="n">
        <v>10</v>
      </c>
      <c r="E146" s="32" t="s">
        <v>14</v>
      </c>
      <c r="F146" s="32" t="s">
        <v>368</v>
      </c>
      <c r="G146" s="34"/>
      <c r="H146" s="52" t="n">
        <f aca="false">IF($E146="Per class",$D146*COUNTIFS('Session Tracker'!$D$5:$D$149,$A146,'Session Tracker'!$F$5:$F$149,"Next week",'Session Tracker'!$G$5:$G$149,"Mon"),$D146*SUMIFS('Session Tracker'!$J$5:$J$149,'Session Tracker'!$D$5:$D$149,$A146,'Session Tracker'!$F$5:$F$149,"Next week",'Session Tracker'!$G$5:$G$149,"Mon"))</f>
        <v>0</v>
      </c>
      <c r="I146" s="52" t="n">
        <f aca="false">IF($E146="Per class",$D146*COUNTIFS('Session Tracker'!$D$5:$D$149,$A146,'Session Tracker'!$F$5:$F$149,"Next week",'Session Tracker'!$G$5:$G$149,"Tue"),$D146*SUMIFS('Session Tracker'!$J$5:$J$149,'Session Tracker'!$D$5:$D$149,$A146,'Session Tracker'!$F$5:$F$149,"Next week",'Session Tracker'!$G$5:$G$149,"Tue"))</f>
        <v>0</v>
      </c>
      <c r="J146" s="52" t="n">
        <f aca="false">IF($E146="Per class",$D146*COUNTIFS('Session Tracker'!$D$5:$D$149,$A146,'Session Tracker'!$F$5:$F$149,"Next week",'Session Tracker'!$G$5:$G$149,"Wed"),$D146*SUMIFS('Session Tracker'!$J$5:$J$149,'Session Tracker'!$D$5:$D$149,$A146,'Session Tracker'!$F$5:$F$149,"Next week",'Session Tracker'!$G$5:$G$149,"Wed"))</f>
        <v>0</v>
      </c>
      <c r="K146" s="52" t="n">
        <f aca="false">IF($E146="Per class",$D146*COUNTIFS('Session Tracker'!$D$5:$D$149,$A146,'Session Tracker'!$F$5:$F$149,"Next week",'Session Tracker'!$G$5:$G$149,"Thu"),$D146*SUMIFS('Session Tracker'!$J$5:$J$149,'Session Tracker'!$D$5:$D$149,$A146,'Session Tracker'!$F$5:$F$149,"Next week",'Session Tracker'!$G$5:$G$149,"Thu"))</f>
        <v>0</v>
      </c>
      <c r="L146" s="52" t="n">
        <f aca="false">IF($E146="Per class",$D146*COUNTIFS('Session Tracker'!$D$5:$D$149,$A146,'Session Tracker'!$F$5:$F$149,"Next week",'Session Tracker'!$G$5:$G$149,"Fri"),$D146*SUMIFS('Session Tracker'!$J$5:$J$149,'Session Tracker'!$D$5:$D$149,$A146,'Session Tracker'!$F$5:$F$149,"Next week",'Session Tracker'!$G$5:$G$149,"Fri"))</f>
        <v>0</v>
      </c>
      <c r="M146" s="52" t="n">
        <f aca="false">IF($E146="Per class",$D146*COUNTIFS('Session Tracker'!$D$5:$D$149,$A146,'Session Tracker'!$F$5:$F$149,"Next week",'Session Tracker'!$G$5:$G$149,""),$D146*SUMIFS('Session Tracker'!$J$5:$J$149,'Session Tracker'!$D$5:$D$149,$A146,'Session Tracker'!$F$5:$F$149,"Next week",'Session Tracker'!$G$5:$G$149,""))</f>
        <v>0</v>
      </c>
    </row>
    <row r="147" customFormat="false" ht="15" hidden="false" customHeight="false" outlineLevel="0" collapsed="false">
      <c r="A147" s="68" t="s">
        <v>235</v>
      </c>
      <c r="B147" s="34" t="s">
        <v>379</v>
      </c>
      <c r="C147" s="34" t="s">
        <v>381</v>
      </c>
      <c r="D147" s="32" t="n">
        <v>8</v>
      </c>
      <c r="E147" s="32" t="s">
        <v>14</v>
      </c>
      <c r="F147" s="32" t="s">
        <v>368</v>
      </c>
      <c r="G147" s="34"/>
      <c r="H147" s="52" t="n">
        <f aca="false">IF($E147="Per class",$D147*COUNTIFS('Session Tracker'!$D$5:$D$149,$A147,'Session Tracker'!$F$5:$F$149,"Next week",'Session Tracker'!$G$5:$G$149,"Mon"),$D147*SUMIFS('Session Tracker'!$J$5:$J$149,'Session Tracker'!$D$5:$D$149,$A147,'Session Tracker'!$F$5:$F$149,"Next week",'Session Tracker'!$G$5:$G$149,"Mon"))</f>
        <v>0</v>
      </c>
      <c r="I147" s="52" t="n">
        <f aca="false">IF($E147="Per class",$D147*COUNTIFS('Session Tracker'!$D$5:$D$149,$A147,'Session Tracker'!$F$5:$F$149,"Next week",'Session Tracker'!$G$5:$G$149,"Tue"),$D147*SUMIFS('Session Tracker'!$J$5:$J$149,'Session Tracker'!$D$5:$D$149,$A147,'Session Tracker'!$F$5:$F$149,"Next week",'Session Tracker'!$G$5:$G$149,"Tue"))</f>
        <v>0</v>
      </c>
      <c r="J147" s="52" t="n">
        <f aca="false">IF($E147="Per class",$D147*COUNTIFS('Session Tracker'!$D$5:$D$149,$A147,'Session Tracker'!$F$5:$F$149,"Next week",'Session Tracker'!$G$5:$G$149,"Wed"),$D147*SUMIFS('Session Tracker'!$J$5:$J$149,'Session Tracker'!$D$5:$D$149,$A147,'Session Tracker'!$F$5:$F$149,"Next week",'Session Tracker'!$G$5:$G$149,"Wed"))</f>
        <v>0</v>
      </c>
      <c r="K147" s="52" t="n">
        <f aca="false">IF($E147="Per class",$D147*COUNTIFS('Session Tracker'!$D$5:$D$149,$A147,'Session Tracker'!$F$5:$F$149,"Next week",'Session Tracker'!$G$5:$G$149,"Thu"),$D147*SUMIFS('Session Tracker'!$J$5:$J$149,'Session Tracker'!$D$5:$D$149,$A147,'Session Tracker'!$F$5:$F$149,"Next week",'Session Tracker'!$G$5:$G$149,"Thu"))</f>
        <v>0</v>
      </c>
      <c r="L147" s="52" t="n">
        <f aca="false">IF($E147="Per class",$D147*COUNTIFS('Session Tracker'!$D$5:$D$149,$A147,'Session Tracker'!$F$5:$F$149,"Next week",'Session Tracker'!$G$5:$G$149,"Fri"),$D147*SUMIFS('Session Tracker'!$J$5:$J$149,'Session Tracker'!$D$5:$D$149,$A147,'Session Tracker'!$F$5:$F$149,"Next week",'Session Tracker'!$G$5:$G$149,"Fri"))</f>
        <v>0</v>
      </c>
      <c r="M147" s="52" t="n">
        <f aca="false">IF($E147="Per class",$D147*COUNTIFS('Session Tracker'!$D$5:$D$149,$A147,'Session Tracker'!$F$5:$F$149,"Next week",'Session Tracker'!$G$5:$G$149,""),$D147*SUMIFS('Session Tracker'!$J$5:$J$149,'Session Tracker'!$D$5:$D$149,$A147,'Session Tracker'!$F$5:$F$149,"Next week",'Session Tracker'!$G$5:$G$149,""))</f>
        <v>0</v>
      </c>
    </row>
    <row r="148" customFormat="false" ht="15" hidden="false" customHeight="false" outlineLevel="0" collapsed="false">
      <c r="A148" s="68" t="s">
        <v>235</v>
      </c>
      <c r="B148" s="34" t="s">
        <v>382</v>
      </c>
      <c r="C148" s="34" t="s">
        <v>383</v>
      </c>
      <c r="D148" s="32" t="n">
        <v>1</v>
      </c>
      <c r="E148" s="32" t="s">
        <v>14</v>
      </c>
      <c r="F148" s="32" t="s">
        <v>368</v>
      </c>
      <c r="G148" s="34"/>
      <c r="H148" s="52" t="n">
        <f aca="false">IF($E148="Per class",$D148*COUNTIFS('Session Tracker'!$D$5:$D$149,$A148,'Session Tracker'!$F$5:$F$149,"Next week",'Session Tracker'!$G$5:$G$149,"Mon"),$D148*SUMIFS('Session Tracker'!$J$5:$J$149,'Session Tracker'!$D$5:$D$149,$A148,'Session Tracker'!$F$5:$F$149,"Next week",'Session Tracker'!$G$5:$G$149,"Mon"))</f>
        <v>0</v>
      </c>
      <c r="I148" s="52" t="n">
        <f aca="false">IF($E148="Per class",$D148*COUNTIFS('Session Tracker'!$D$5:$D$149,$A148,'Session Tracker'!$F$5:$F$149,"Next week",'Session Tracker'!$G$5:$G$149,"Tue"),$D148*SUMIFS('Session Tracker'!$J$5:$J$149,'Session Tracker'!$D$5:$D$149,$A148,'Session Tracker'!$F$5:$F$149,"Next week",'Session Tracker'!$G$5:$G$149,"Tue"))</f>
        <v>0</v>
      </c>
      <c r="J148" s="52" t="n">
        <f aca="false">IF($E148="Per class",$D148*COUNTIFS('Session Tracker'!$D$5:$D$149,$A148,'Session Tracker'!$F$5:$F$149,"Next week",'Session Tracker'!$G$5:$G$149,"Wed"),$D148*SUMIFS('Session Tracker'!$J$5:$J$149,'Session Tracker'!$D$5:$D$149,$A148,'Session Tracker'!$F$5:$F$149,"Next week",'Session Tracker'!$G$5:$G$149,"Wed"))</f>
        <v>0</v>
      </c>
      <c r="K148" s="52" t="n">
        <f aca="false">IF($E148="Per class",$D148*COUNTIFS('Session Tracker'!$D$5:$D$149,$A148,'Session Tracker'!$F$5:$F$149,"Next week",'Session Tracker'!$G$5:$G$149,"Thu"),$D148*SUMIFS('Session Tracker'!$J$5:$J$149,'Session Tracker'!$D$5:$D$149,$A148,'Session Tracker'!$F$5:$F$149,"Next week",'Session Tracker'!$G$5:$G$149,"Thu"))</f>
        <v>0</v>
      </c>
      <c r="L148" s="52" t="n">
        <f aca="false">IF($E148="Per class",$D148*COUNTIFS('Session Tracker'!$D$5:$D$149,$A148,'Session Tracker'!$F$5:$F$149,"Next week",'Session Tracker'!$G$5:$G$149,"Fri"),$D148*SUMIFS('Session Tracker'!$J$5:$J$149,'Session Tracker'!$D$5:$D$149,$A148,'Session Tracker'!$F$5:$F$149,"Next week",'Session Tracker'!$G$5:$G$149,"Fri"))</f>
        <v>0</v>
      </c>
      <c r="M148" s="52" t="n">
        <f aca="false">IF($E148="Per class",$D148*COUNTIFS('Session Tracker'!$D$5:$D$149,$A148,'Session Tracker'!$F$5:$F$149,"Next week",'Session Tracker'!$G$5:$G$149,""),$D148*SUMIFS('Session Tracker'!$J$5:$J$149,'Session Tracker'!$D$5:$D$149,$A148,'Session Tracker'!$F$5:$F$149,"Next week",'Session Tracker'!$G$5:$G$149,""))</f>
        <v>0</v>
      </c>
    </row>
    <row r="149" customFormat="false" ht="15" hidden="false" customHeight="false" outlineLevel="0" collapsed="false">
      <c r="A149" s="53" t="s">
        <v>235</v>
      </c>
      <c r="B149" s="54"/>
      <c r="C149" s="54"/>
      <c r="D149" s="54"/>
      <c r="E149" s="54"/>
      <c r="F149" s="54"/>
      <c r="G149" s="54"/>
      <c r="H149" s="52" t="n">
        <f aca="false">IF($E149="Per class",$D149*COUNTIFS('Session Tracker'!$D$5:$D$149,$A149,'Session Tracker'!$F$5:$F$149,"Next week",'Session Tracker'!$G$5:$G$149,"Mon"),$D149*SUMIFS('Session Tracker'!$J$5:$J$149,'Session Tracker'!$D$5:$D$149,$A149,'Session Tracker'!$F$5:$F$149,"Next week",'Session Tracker'!$G$5:$G$149,"Mon"))</f>
        <v>0</v>
      </c>
      <c r="I149" s="52" t="n">
        <f aca="false">IF($E149="Per class",$D149*COUNTIFS('Session Tracker'!$D$5:$D$149,$A149,'Session Tracker'!$F$5:$F$149,"Next week",'Session Tracker'!$G$5:$G$149,"Tue"),$D149*SUMIFS('Session Tracker'!$J$5:$J$149,'Session Tracker'!$D$5:$D$149,$A149,'Session Tracker'!$F$5:$F$149,"Next week",'Session Tracker'!$G$5:$G$149,"Tue"))</f>
        <v>0</v>
      </c>
      <c r="J149" s="52" t="n">
        <f aca="false">IF($E149="Per class",$D149*COUNTIFS('Session Tracker'!$D$5:$D$149,$A149,'Session Tracker'!$F$5:$F$149,"Next week",'Session Tracker'!$G$5:$G$149,"Wed"),$D149*SUMIFS('Session Tracker'!$J$5:$J$149,'Session Tracker'!$D$5:$D$149,$A149,'Session Tracker'!$F$5:$F$149,"Next week",'Session Tracker'!$G$5:$G$149,"Wed"))</f>
        <v>0</v>
      </c>
      <c r="K149" s="52" t="n">
        <f aca="false">IF($E149="Per class",$D149*COUNTIFS('Session Tracker'!$D$5:$D$149,$A149,'Session Tracker'!$F$5:$F$149,"Next week",'Session Tracker'!$G$5:$G$149,"Thu"),$D149*SUMIFS('Session Tracker'!$J$5:$J$149,'Session Tracker'!$D$5:$D$149,$A149,'Session Tracker'!$F$5:$F$149,"Next week",'Session Tracker'!$G$5:$G$149,"Thu"))</f>
        <v>0</v>
      </c>
      <c r="L149" s="52" t="n">
        <f aca="false">IF($E149="Per class",$D149*COUNTIFS('Session Tracker'!$D$5:$D$149,$A149,'Session Tracker'!$F$5:$F$149,"Next week",'Session Tracker'!$G$5:$G$149,"Fri"),$D149*SUMIFS('Session Tracker'!$J$5:$J$149,'Session Tracker'!$D$5:$D$149,$A149,'Session Tracker'!$F$5:$F$149,"Next week",'Session Tracker'!$G$5:$G$149,"Fri"))</f>
        <v>0</v>
      </c>
      <c r="M149" s="52" t="n">
        <f aca="false">IF($E149="Per class",$D149*COUNTIFS('Session Tracker'!$D$5:$D$149,$A149,'Session Tracker'!$F$5:$F$149,"Next week",'Session Tracker'!$G$5:$G$149,""),$D149*SUMIFS('Session Tracker'!$J$5:$J$149,'Session Tracker'!$D$5:$D$149,$A149,'Session Tracker'!$F$5:$F$149,"Next week",'Session Tracker'!$G$5:$G$149,""))</f>
        <v>0</v>
      </c>
    </row>
    <row r="150" customFormat="false" ht="15" hidden="false" customHeight="false" outlineLevel="0" collapsed="false">
      <c r="A150" s="53" t="s">
        <v>235</v>
      </c>
      <c r="B150" s="54"/>
      <c r="C150" s="54"/>
      <c r="D150" s="54"/>
      <c r="E150" s="54"/>
      <c r="F150" s="54"/>
      <c r="G150" s="54"/>
      <c r="H150" s="52" t="n">
        <f aca="false">IF($E150="Per class",$D150*COUNTIFS('Session Tracker'!$D$5:$D$149,$A150,'Session Tracker'!$F$5:$F$149,"Next week",'Session Tracker'!$G$5:$G$149,"Mon"),$D150*SUMIFS('Session Tracker'!$J$5:$J$149,'Session Tracker'!$D$5:$D$149,$A150,'Session Tracker'!$F$5:$F$149,"Next week",'Session Tracker'!$G$5:$G$149,"Mon"))</f>
        <v>0</v>
      </c>
      <c r="I150" s="52" t="n">
        <f aca="false">IF($E150="Per class",$D150*COUNTIFS('Session Tracker'!$D$5:$D$149,$A150,'Session Tracker'!$F$5:$F$149,"Next week",'Session Tracker'!$G$5:$G$149,"Tue"),$D150*SUMIFS('Session Tracker'!$J$5:$J$149,'Session Tracker'!$D$5:$D$149,$A150,'Session Tracker'!$F$5:$F$149,"Next week",'Session Tracker'!$G$5:$G$149,"Tue"))</f>
        <v>0</v>
      </c>
      <c r="J150" s="52" t="n">
        <f aca="false">IF($E150="Per class",$D150*COUNTIFS('Session Tracker'!$D$5:$D$149,$A150,'Session Tracker'!$F$5:$F$149,"Next week",'Session Tracker'!$G$5:$G$149,"Wed"),$D150*SUMIFS('Session Tracker'!$J$5:$J$149,'Session Tracker'!$D$5:$D$149,$A150,'Session Tracker'!$F$5:$F$149,"Next week",'Session Tracker'!$G$5:$G$149,"Wed"))</f>
        <v>0</v>
      </c>
      <c r="K150" s="52" t="n">
        <f aca="false">IF($E150="Per class",$D150*COUNTIFS('Session Tracker'!$D$5:$D$149,$A150,'Session Tracker'!$F$5:$F$149,"Next week",'Session Tracker'!$G$5:$G$149,"Thu"),$D150*SUMIFS('Session Tracker'!$J$5:$J$149,'Session Tracker'!$D$5:$D$149,$A150,'Session Tracker'!$F$5:$F$149,"Next week",'Session Tracker'!$G$5:$G$149,"Thu"))</f>
        <v>0</v>
      </c>
      <c r="L150" s="52" t="n">
        <f aca="false">IF($E150="Per class",$D150*COUNTIFS('Session Tracker'!$D$5:$D$149,$A150,'Session Tracker'!$F$5:$F$149,"Next week",'Session Tracker'!$G$5:$G$149,"Fri"),$D150*SUMIFS('Session Tracker'!$J$5:$J$149,'Session Tracker'!$D$5:$D$149,$A150,'Session Tracker'!$F$5:$F$149,"Next week",'Session Tracker'!$G$5:$G$149,"Fri"))</f>
        <v>0</v>
      </c>
      <c r="M150" s="52" t="n">
        <f aca="false">IF($E150="Per class",$D150*COUNTIFS('Session Tracker'!$D$5:$D$149,$A150,'Session Tracker'!$F$5:$F$149,"Next week",'Session Tracker'!$G$5:$G$149,""),$D150*SUMIFS('Session Tracker'!$J$5:$J$149,'Session Tracker'!$D$5:$D$149,$A150,'Session Tracker'!$F$5:$F$149,"Next week",'Session Tracker'!$G$5:$G$149,""))</f>
        <v>0</v>
      </c>
    </row>
    <row r="152" customFormat="false" ht="19.5" hidden="false" customHeight="true" outlineLevel="0" collapsed="false">
      <c r="A152" s="64" t="s">
        <v>237</v>
      </c>
      <c r="B152" s="65" t="s">
        <v>606</v>
      </c>
      <c r="C152" s="65"/>
      <c r="D152" s="65"/>
      <c r="E152" s="65"/>
      <c r="F152" s="66" t="str">
        <f aca="false">"Status: "&amp;'Session Tracker'!F88&amp;IF('Session Tracker'!G88&lt;&gt;""," ("&amp;'Session Tracker'!G88&amp;")","")</f>
        <v>Status: Not started</v>
      </c>
      <c r="G152" s="66"/>
      <c r="H152" s="67"/>
      <c r="I152" s="67"/>
      <c r="J152" s="67"/>
      <c r="K152" s="67"/>
      <c r="L152" s="67"/>
      <c r="M152" s="67"/>
    </row>
    <row r="153" customFormat="false" ht="23.85" hidden="false" customHeight="false" outlineLevel="0" collapsed="false">
      <c r="A153" s="68" t="s">
        <v>237</v>
      </c>
      <c r="B153" s="34" t="s">
        <v>366</v>
      </c>
      <c r="C153" s="34" t="s">
        <v>367</v>
      </c>
      <c r="D153" s="32" t="n">
        <v>1</v>
      </c>
      <c r="E153" s="32" t="s">
        <v>14</v>
      </c>
      <c r="F153" s="32" t="s">
        <v>368</v>
      </c>
      <c r="G153" s="34"/>
      <c r="H153" s="52" t="n">
        <f aca="false">IF($E153="Per class",$D153*COUNTIFS('Session Tracker'!$D$5:$D$149,$A153,'Session Tracker'!$F$5:$F$149,"Next week",'Session Tracker'!$G$5:$G$149,"Mon"),$D153*SUMIFS('Session Tracker'!$J$5:$J$149,'Session Tracker'!$D$5:$D$149,$A153,'Session Tracker'!$F$5:$F$149,"Next week",'Session Tracker'!$G$5:$G$149,"Mon"))</f>
        <v>0</v>
      </c>
      <c r="I153" s="52" t="n">
        <f aca="false">IF($E153="Per class",$D153*COUNTIFS('Session Tracker'!$D$5:$D$149,$A153,'Session Tracker'!$F$5:$F$149,"Next week",'Session Tracker'!$G$5:$G$149,"Tue"),$D153*SUMIFS('Session Tracker'!$J$5:$J$149,'Session Tracker'!$D$5:$D$149,$A153,'Session Tracker'!$F$5:$F$149,"Next week",'Session Tracker'!$G$5:$G$149,"Tue"))</f>
        <v>0</v>
      </c>
      <c r="J153" s="52" t="n">
        <f aca="false">IF($E153="Per class",$D153*COUNTIFS('Session Tracker'!$D$5:$D$149,$A153,'Session Tracker'!$F$5:$F$149,"Next week",'Session Tracker'!$G$5:$G$149,"Wed"),$D153*SUMIFS('Session Tracker'!$J$5:$J$149,'Session Tracker'!$D$5:$D$149,$A153,'Session Tracker'!$F$5:$F$149,"Next week",'Session Tracker'!$G$5:$G$149,"Wed"))</f>
        <v>0</v>
      </c>
      <c r="K153" s="52" t="n">
        <f aca="false">IF($E153="Per class",$D153*COUNTIFS('Session Tracker'!$D$5:$D$149,$A153,'Session Tracker'!$F$5:$F$149,"Next week",'Session Tracker'!$G$5:$G$149,"Thu"),$D153*SUMIFS('Session Tracker'!$J$5:$J$149,'Session Tracker'!$D$5:$D$149,$A153,'Session Tracker'!$F$5:$F$149,"Next week",'Session Tracker'!$G$5:$G$149,"Thu"))</f>
        <v>0</v>
      </c>
      <c r="L153" s="52" t="n">
        <f aca="false">IF($E153="Per class",$D153*COUNTIFS('Session Tracker'!$D$5:$D$149,$A153,'Session Tracker'!$F$5:$F$149,"Next week",'Session Tracker'!$G$5:$G$149,"Fri"),$D153*SUMIFS('Session Tracker'!$J$5:$J$149,'Session Tracker'!$D$5:$D$149,$A153,'Session Tracker'!$F$5:$F$149,"Next week",'Session Tracker'!$G$5:$G$149,"Fri"))</f>
        <v>0</v>
      </c>
      <c r="M153" s="52" t="n">
        <f aca="false">IF($E153="Per class",$D153*COUNTIFS('Session Tracker'!$D$5:$D$149,$A153,'Session Tracker'!$F$5:$F$149,"Next week",'Session Tracker'!$G$5:$G$149,""),$D153*SUMIFS('Session Tracker'!$J$5:$J$149,'Session Tracker'!$D$5:$D$149,$A153,'Session Tracker'!$F$5:$F$149,"Next week",'Session Tracker'!$G$5:$G$149,""))</f>
        <v>0</v>
      </c>
    </row>
    <row r="154" customFormat="false" ht="15" hidden="false" customHeight="false" outlineLevel="0" collapsed="false">
      <c r="A154" s="68" t="s">
        <v>237</v>
      </c>
      <c r="B154" s="34" t="s">
        <v>369</v>
      </c>
      <c r="C154" s="34" t="s">
        <v>550</v>
      </c>
      <c r="D154" s="32" t="n">
        <v>1</v>
      </c>
      <c r="E154" s="32" t="s">
        <v>14</v>
      </c>
      <c r="F154" s="32" t="s">
        <v>368</v>
      </c>
      <c r="G154" s="34"/>
      <c r="H154" s="52" t="n">
        <f aca="false">IF($E154="Per class",$D154*COUNTIFS('Session Tracker'!$D$5:$D$149,$A154,'Session Tracker'!$F$5:$F$149,"Next week",'Session Tracker'!$G$5:$G$149,"Mon"),$D154*SUMIFS('Session Tracker'!$J$5:$J$149,'Session Tracker'!$D$5:$D$149,$A154,'Session Tracker'!$F$5:$F$149,"Next week",'Session Tracker'!$G$5:$G$149,"Mon"))</f>
        <v>0</v>
      </c>
      <c r="I154" s="52" t="n">
        <f aca="false">IF($E154="Per class",$D154*COUNTIFS('Session Tracker'!$D$5:$D$149,$A154,'Session Tracker'!$F$5:$F$149,"Next week",'Session Tracker'!$G$5:$G$149,"Tue"),$D154*SUMIFS('Session Tracker'!$J$5:$J$149,'Session Tracker'!$D$5:$D$149,$A154,'Session Tracker'!$F$5:$F$149,"Next week",'Session Tracker'!$G$5:$G$149,"Tue"))</f>
        <v>0</v>
      </c>
      <c r="J154" s="52" t="n">
        <f aca="false">IF($E154="Per class",$D154*COUNTIFS('Session Tracker'!$D$5:$D$149,$A154,'Session Tracker'!$F$5:$F$149,"Next week",'Session Tracker'!$G$5:$G$149,"Wed"),$D154*SUMIFS('Session Tracker'!$J$5:$J$149,'Session Tracker'!$D$5:$D$149,$A154,'Session Tracker'!$F$5:$F$149,"Next week",'Session Tracker'!$G$5:$G$149,"Wed"))</f>
        <v>0</v>
      </c>
      <c r="K154" s="52" t="n">
        <f aca="false">IF($E154="Per class",$D154*COUNTIFS('Session Tracker'!$D$5:$D$149,$A154,'Session Tracker'!$F$5:$F$149,"Next week",'Session Tracker'!$G$5:$G$149,"Thu"),$D154*SUMIFS('Session Tracker'!$J$5:$J$149,'Session Tracker'!$D$5:$D$149,$A154,'Session Tracker'!$F$5:$F$149,"Next week",'Session Tracker'!$G$5:$G$149,"Thu"))</f>
        <v>0</v>
      </c>
      <c r="L154" s="52" t="n">
        <f aca="false">IF($E154="Per class",$D154*COUNTIFS('Session Tracker'!$D$5:$D$149,$A154,'Session Tracker'!$F$5:$F$149,"Next week",'Session Tracker'!$G$5:$G$149,"Fri"),$D154*SUMIFS('Session Tracker'!$J$5:$J$149,'Session Tracker'!$D$5:$D$149,$A154,'Session Tracker'!$F$5:$F$149,"Next week",'Session Tracker'!$G$5:$G$149,"Fri"))</f>
        <v>0</v>
      </c>
      <c r="M154" s="52" t="n">
        <f aca="false">IF($E154="Per class",$D154*COUNTIFS('Session Tracker'!$D$5:$D$149,$A154,'Session Tracker'!$F$5:$F$149,"Next week",'Session Tracker'!$G$5:$G$149,""),$D154*SUMIFS('Session Tracker'!$J$5:$J$149,'Session Tracker'!$D$5:$D$149,$A154,'Session Tracker'!$F$5:$F$149,"Next week",'Session Tracker'!$G$5:$G$149,""))</f>
        <v>0</v>
      </c>
    </row>
    <row r="155" customFormat="false" ht="15" hidden="false" customHeight="false" outlineLevel="0" collapsed="false">
      <c r="A155" s="68" t="s">
        <v>237</v>
      </c>
      <c r="B155" s="34" t="s">
        <v>377</v>
      </c>
      <c r="C155" s="34" t="s">
        <v>439</v>
      </c>
      <c r="D155" s="32" t="n">
        <v>3</v>
      </c>
      <c r="E155" s="32" t="s">
        <v>14</v>
      </c>
      <c r="F155" s="32" t="s">
        <v>368</v>
      </c>
      <c r="G155" s="34"/>
      <c r="H155" s="52" t="n">
        <f aca="false">IF($E155="Per class",$D155*COUNTIFS('Session Tracker'!$D$5:$D$149,$A155,'Session Tracker'!$F$5:$F$149,"Next week",'Session Tracker'!$G$5:$G$149,"Mon"),$D155*SUMIFS('Session Tracker'!$J$5:$J$149,'Session Tracker'!$D$5:$D$149,$A155,'Session Tracker'!$F$5:$F$149,"Next week",'Session Tracker'!$G$5:$G$149,"Mon"))</f>
        <v>0</v>
      </c>
      <c r="I155" s="52" t="n">
        <f aca="false">IF($E155="Per class",$D155*COUNTIFS('Session Tracker'!$D$5:$D$149,$A155,'Session Tracker'!$F$5:$F$149,"Next week",'Session Tracker'!$G$5:$G$149,"Tue"),$D155*SUMIFS('Session Tracker'!$J$5:$J$149,'Session Tracker'!$D$5:$D$149,$A155,'Session Tracker'!$F$5:$F$149,"Next week",'Session Tracker'!$G$5:$G$149,"Tue"))</f>
        <v>0</v>
      </c>
      <c r="J155" s="52" t="n">
        <f aca="false">IF($E155="Per class",$D155*COUNTIFS('Session Tracker'!$D$5:$D$149,$A155,'Session Tracker'!$F$5:$F$149,"Next week",'Session Tracker'!$G$5:$G$149,"Wed"),$D155*SUMIFS('Session Tracker'!$J$5:$J$149,'Session Tracker'!$D$5:$D$149,$A155,'Session Tracker'!$F$5:$F$149,"Next week",'Session Tracker'!$G$5:$G$149,"Wed"))</f>
        <v>0</v>
      </c>
      <c r="K155" s="52" t="n">
        <f aca="false">IF($E155="Per class",$D155*COUNTIFS('Session Tracker'!$D$5:$D$149,$A155,'Session Tracker'!$F$5:$F$149,"Next week",'Session Tracker'!$G$5:$G$149,"Thu"),$D155*SUMIFS('Session Tracker'!$J$5:$J$149,'Session Tracker'!$D$5:$D$149,$A155,'Session Tracker'!$F$5:$F$149,"Next week",'Session Tracker'!$G$5:$G$149,"Thu"))</f>
        <v>0</v>
      </c>
      <c r="L155" s="52" t="n">
        <f aca="false">IF($E155="Per class",$D155*COUNTIFS('Session Tracker'!$D$5:$D$149,$A155,'Session Tracker'!$F$5:$F$149,"Next week",'Session Tracker'!$G$5:$G$149,"Fri"),$D155*SUMIFS('Session Tracker'!$J$5:$J$149,'Session Tracker'!$D$5:$D$149,$A155,'Session Tracker'!$F$5:$F$149,"Next week",'Session Tracker'!$G$5:$G$149,"Fri"))</f>
        <v>0</v>
      </c>
      <c r="M155" s="52" t="n">
        <f aca="false">IF($E155="Per class",$D155*COUNTIFS('Session Tracker'!$D$5:$D$149,$A155,'Session Tracker'!$F$5:$F$149,"Next week",'Session Tracker'!$G$5:$G$149,""),$D155*SUMIFS('Session Tracker'!$J$5:$J$149,'Session Tracker'!$D$5:$D$149,$A155,'Session Tracker'!$F$5:$F$149,"Next week",'Session Tracker'!$G$5:$G$149,""))</f>
        <v>0</v>
      </c>
    </row>
    <row r="156" customFormat="false" ht="15" hidden="false" customHeight="false" outlineLevel="0" collapsed="false">
      <c r="A156" s="68" t="s">
        <v>237</v>
      </c>
      <c r="B156" s="34" t="s">
        <v>375</v>
      </c>
      <c r="C156" s="34" t="s">
        <v>385</v>
      </c>
      <c r="D156" s="32" t="n">
        <v>1</v>
      </c>
      <c r="E156" s="32" t="s">
        <v>14</v>
      </c>
      <c r="F156" s="32" t="s">
        <v>368</v>
      </c>
      <c r="G156" s="34"/>
      <c r="H156" s="52" t="n">
        <f aca="false">IF($E156="Per class",$D156*COUNTIFS('Session Tracker'!$D$5:$D$149,$A156,'Session Tracker'!$F$5:$F$149,"Next week",'Session Tracker'!$G$5:$G$149,"Mon"),$D156*SUMIFS('Session Tracker'!$J$5:$J$149,'Session Tracker'!$D$5:$D$149,$A156,'Session Tracker'!$F$5:$F$149,"Next week",'Session Tracker'!$G$5:$G$149,"Mon"))</f>
        <v>0</v>
      </c>
      <c r="I156" s="52" t="n">
        <f aca="false">IF($E156="Per class",$D156*COUNTIFS('Session Tracker'!$D$5:$D$149,$A156,'Session Tracker'!$F$5:$F$149,"Next week",'Session Tracker'!$G$5:$G$149,"Tue"),$D156*SUMIFS('Session Tracker'!$J$5:$J$149,'Session Tracker'!$D$5:$D$149,$A156,'Session Tracker'!$F$5:$F$149,"Next week",'Session Tracker'!$G$5:$G$149,"Tue"))</f>
        <v>0</v>
      </c>
      <c r="J156" s="52" t="n">
        <f aca="false">IF($E156="Per class",$D156*COUNTIFS('Session Tracker'!$D$5:$D$149,$A156,'Session Tracker'!$F$5:$F$149,"Next week",'Session Tracker'!$G$5:$G$149,"Wed"),$D156*SUMIFS('Session Tracker'!$J$5:$J$149,'Session Tracker'!$D$5:$D$149,$A156,'Session Tracker'!$F$5:$F$149,"Next week",'Session Tracker'!$G$5:$G$149,"Wed"))</f>
        <v>0</v>
      </c>
      <c r="K156" s="52" t="n">
        <f aca="false">IF($E156="Per class",$D156*COUNTIFS('Session Tracker'!$D$5:$D$149,$A156,'Session Tracker'!$F$5:$F$149,"Next week",'Session Tracker'!$G$5:$G$149,"Thu"),$D156*SUMIFS('Session Tracker'!$J$5:$J$149,'Session Tracker'!$D$5:$D$149,$A156,'Session Tracker'!$F$5:$F$149,"Next week",'Session Tracker'!$G$5:$G$149,"Thu"))</f>
        <v>0</v>
      </c>
      <c r="L156" s="52" t="n">
        <f aca="false">IF($E156="Per class",$D156*COUNTIFS('Session Tracker'!$D$5:$D$149,$A156,'Session Tracker'!$F$5:$F$149,"Next week",'Session Tracker'!$G$5:$G$149,"Fri"),$D156*SUMIFS('Session Tracker'!$J$5:$J$149,'Session Tracker'!$D$5:$D$149,$A156,'Session Tracker'!$F$5:$F$149,"Next week",'Session Tracker'!$G$5:$G$149,"Fri"))</f>
        <v>0</v>
      </c>
      <c r="M156" s="52" t="n">
        <f aca="false">IF($E156="Per class",$D156*COUNTIFS('Session Tracker'!$D$5:$D$149,$A156,'Session Tracker'!$F$5:$F$149,"Next week",'Session Tracker'!$G$5:$G$149,""),$D156*SUMIFS('Session Tracker'!$J$5:$J$149,'Session Tracker'!$D$5:$D$149,$A156,'Session Tracker'!$F$5:$F$149,"Next week",'Session Tracker'!$G$5:$G$149,""))</f>
        <v>0</v>
      </c>
    </row>
    <row r="157" customFormat="false" ht="15" hidden="false" customHeight="false" outlineLevel="0" collapsed="false">
      <c r="A157" s="68" t="s">
        <v>237</v>
      </c>
      <c r="B157" s="34" t="s">
        <v>411</v>
      </c>
      <c r="C157" s="34" t="s">
        <v>444</v>
      </c>
      <c r="D157" s="32" t="n">
        <v>10</v>
      </c>
      <c r="E157" s="32" t="s">
        <v>14</v>
      </c>
      <c r="F157" s="32" t="s">
        <v>373</v>
      </c>
      <c r="G157" s="34" t="s">
        <v>607</v>
      </c>
      <c r="H157" s="52" t="n">
        <f aca="false">IF($E157="Per class",$D157*COUNTIFS('Session Tracker'!$D$5:$D$149,$A157,'Session Tracker'!$F$5:$F$149,"Next week",'Session Tracker'!$G$5:$G$149,"Mon"),$D157*SUMIFS('Session Tracker'!$J$5:$J$149,'Session Tracker'!$D$5:$D$149,$A157,'Session Tracker'!$F$5:$F$149,"Next week",'Session Tracker'!$G$5:$G$149,"Mon"))</f>
        <v>0</v>
      </c>
      <c r="I157" s="52" t="n">
        <f aca="false">IF($E157="Per class",$D157*COUNTIFS('Session Tracker'!$D$5:$D$149,$A157,'Session Tracker'!$F$5:$F$149,"Next week",'Session Tracker'!$G$5:$G$149,"Tue"),$D157*SUMIFS('Session Tracker'!$J$5:$J$149,'Session Tracker'!$D$5:$D$149,$A157,'Session Tracker'!$F$5:$F$149,"Next week",'Session Tracker'!$G$5:$G$149,"Tue"))</f>
        <v>0</v>
      </c>
      <c r="J157" s="52" t="n">
        <f aca="false">IF($E157="Per class",$D157*COUNTIFS('Session Tracker'!$D$5:$D$149,$A157,'Session Tracker'!$F$5:$F$149,"Next week",'Session Tracker'!$G$5:$G$149,"Wed"),$D157*SUMIFS('Session Tracker'!$J$5:$J$149,'Session Tracker'!$D$5:$D$149,$A157,'Session Tracker'!$F$5:$F$149,"Next week",'Session Tracker'!$G$5:$G$149,"Wed"))</f>
        <v>0</v>
      </c>
      <c r="K157" s="52" t="n">
        <f aca="false">IF($E157="Per class",$D157*COUNTIFS('Session Tracker'!$D$5:$D$149,$A157,'Session Tracker'!$F$5:$F$149,"Next week",'Session Tracker'!$G$5:$G$149,"Thu"),$D157*SUMIFS('Session Tracker'!$J$5:$J$149,'Session Tracker'!$D$5:$D$149,$A157,'Session Tracker'!$F$5:$F$149,"Next week",'Session Tracker'!$G$5:$G$149,"Thu"))</f>
        <v>0</v>
      </c>
      <c r="L157" s="52" t="n">
        <f aca="false">IF($E157="Per class",$D157*COUNTIFS('Session Tracker'!$D$5:$D$149,$A157,'Session Tracker'!$F$5:$F$149,"Next week",'Session Tracker'!$G$5:$G$149,"Fri"),$D157*SUMIFS('Session Tracker'!$J$5:$J$149,'Session Tracker'!$D$5:$D$149,$A157,'Session Tracker'!$F$5:$F$149,"Next week",'Session Tracker'!$G$5:$G$149,"Fri"))</f>
        <v>0</v>
      </c>
      <c r="M157" s="52" t="n">
        <f aca="false">IF($E157="Per class",$D157*COUNTIFS('Session Tracker'!$D$5:$D$149,$A157,'Session Tracker'!$F$5:$F$149,"Next week",'Session Tracker'!$G$5:$G$149,""),$D157*SUMIFS('Session Tracker'!$J$5:$J$149,'Session Tracker'!$D$5:$D$149,$A157,'Session Tracker'!$F$5:$F$149,"Next week",'Session Tracker'!$G$5:$G$149,""))</f>
        <v>0</v>
      </c>
    </row>
    <row r="158" customFormat="false" ht="15" hidden="false" customHeight="false" outlineLevel="0" collapsed="false">
      <c r="A158" s="68" t="s">
        <v>237</v>
      </c>
      <c r="B158" s="34" t="s">
        <v>382</v>
      </c>
      <c r="C158" s="34" t="s">
        <v>495</v>
      </c>
      <c r="D158" s="32" t="n">
        <v>1</v>
      </c>
      <c r="E158" s="32" t="s">
        <v>16</v>
      </c>
      <c r="F158" s="32" t="s">
        <v>368</v>
      </c>
      <c r="G158" s="34"/>
      <c r="H158" s="52" t="n">
        <f aca="false">IF($E158="Per class",$D158*COUNTIFS('Session Tracker'!$D$5:$D$149,$A158,'Session Tracker'!$F$5:$F$149,"Next week",'Session Tracker'!$G$5:$G$149,"Mon"),$D158*SUMIFS('Session Tracker'!$J$5:$J$149,'Session Tracker'!$D$5:$D$149,$A158,'Session Tracker'!$F$5:$F$149,"Next week",'Session Tracker'!$G$5:$G$149,"Mon"))</f>
        <v>0</v>
      </c>
      <c r="I158" s="52" t="n">
        <f aca="false">IF($E158="Per class",$D158*COUNTIFS('Session Tracker'!$D$5:$D$149,$A158,'Session Tracker'!$F$5:$F$149,"Next week",'Session Tracker'!$G$5:$G$149,"Tue"),$D158*SUMIFS('Session Tracker'!$J$5:$J$149,'Session Tracker'!$D$5:$D$149,$A158,'Session Tracker'!$F$5:$F$149,"Next week",'Session Tracker'!$G$5:$G$149,"Tue"))</f>
        <v>0</v>
      </c>
      <c r="J158" s="52" t="n">
        <f aca="false">IF($E158="Per class",$D158*COUNTIFS('Session Tracker'!$D$5:$D$149,$A158,'Session Tracker'!$F$5:$F$149,"Next week",'Session Tracker'!$G$5:$G$149,"Wed"),$D158*SUMIFS('Session Tracker'!$J$5:$J$149,'Session Tracker'!$D$5:$D$149,$A158,'Session Tracker'!$F$5:$F$149,"Next week",'Session Tracker'!$G$5:$G$149,"Wed"))</f>
        <v>0</v>
      </c>
      <c r="K158" s="52" t="n">
        <f aca="false">IF($E158="Per class",$D158*COUNTIFS('Session Tracker'!$D$5:$D$149,$A158,'Session Tracker'!$F$5:$F$149,"Next week",'Session Tracker'!$G$5:$G$149,"Thu"),$D158*SUMIFS('Session Tracker'!$J$5:$J$149,'Session Tracker'!$D$5:$D$149,$A158,'Session Tracker'!$F$5:$F$149,"Next week",'Session Tracker'!$G$5:$G$149,"Thu"))</f>
        <v>0</v>
      </c>
      <c r="L158" s="52" t="n">
        <f aca="false">IF($E158="Per class",$D158*COUNTIFS('Session Tracker'!$D$5:$D$149,$A158,'Session Tracker'!$F$5:$F$149,"Next week",'Session Tracker'!$G$5:$G$149,"Fri"),$D158*SUMIFS('Session Tracker'!$J$5:$J$149,'Session Tracker'!$D$5:$D$149,$A158,'Session Tracker'!$F$5:$F$149,"Next week",'Session Tracker'!$G$5:$G$149,"Fri"))</f>
        <v>0</v>
      </c>
      <c r="M158" s="52" t="n">
        <f aca="false">IF($E158="Per class",$D158*COUNTIFS('Session Tracker'!$D$5:$D$149,$A158,'Session Tracker'!$F$5:$F$149,"Next week",'Session Tracker'!$G$5:$G$149,""),$D158*SUMIFS('Session Tracker'!$J$5:$J$149,'Session Tracker'!$D$5:$D$149,$A158,'Session Tracker'!$F$5:$F$149,"Next week",'Session Tracker'!$G$5:$G$149,""))</f>
        <v>0</v>
      </c>
    </row>
    <row r="159" customFormat="false" ht="15" hidden="false" customHeight="false" outlineLevel="0" collapsed="false">
      <c r="A159" s="68" t="s">
        <v>237</v>
      </c>
      <c r="B159" s="34" t="s">
        <v>409</v>
      </c>
      <c r="C159" s="34" t="s">
        <v>533</v>
      </c>
      <c r="D159" s="32" t="n">
        <v>1</v>
      </c>
      <c r="E159" s="32" t="s">
        <v>14</v>
      </c>
      <c r="F159" s="32" t="s">
        <v>373</v>
      </c>
      <c r="G159" s="34" t="s">
        <v>608</v>
      </c>
      <c r="H159" s="52" t="n">
        <f aca="false">IF($E159="Per class",$D159*COUNTIFS('Session Tracker'!$D$5:$D$149,$A159,'Session Tracker'!$F$5:$F$149,"Next week",'Session Tracker'!$G$5:$G$149,"Mon"),$D159*SUMIFS('Session Tracker'!$J$5:$J$149,'Session Tracker'!$D$5:$D$149,$A159,'Session Tracker'!$F$5:$F$149,"Next week",'Session Tracker'!$G$5:$G$149,"Mon"))</f>
        <v>0</v>
      </c>
      <c r="I159" s="52" t="n">
        <f aca="false">IF($E159="Per class",$D159*COUNTIFS('Session Tracker'!$D$5:$D$149,$A159,'Session Tracker'!$F$5:$F$149,"Next week",'Session Tracker'!$G$5:$G$149,"Tue"),$D159*SUMIFS('Session Tracker'!$J$5:$J$149,'Session Tracker'!$D$5:$D$149,$A159,'Session Tracker'!$F$5:$F$149,"Next week",'Session Tracker'!$G$5:$G$149,"Tue"))</f>
        <v>0</v>
      </c>
      <c r="J159" s="52" t="n">
        <f aca="false">IF($E159="Per class",$D159*COUNTIFS('Session Tracker'!$D$5:$D$149,$A159,'Session Tracker'!$F$5:$F$149,"Next week",'Session Tracker'!$G$5:$G$149,"Wed"),$D159*SUMIFS('Session Tracker'!$J$5:$J$149,'Session Tracker'!$D$5:$D$149,$A159,'Session Tracker'!$F$5:$F$149,"Next week",'Session Tracker'!$G$5:$G$149,"Wed"))</f>
        <v>0</v>
      </c>
      <c r="K159" s="52" t="n">
        <f aca="false">IF($E159="Per class",$D159*COUNTIFS('Session Tracker'!$D$5:$D$149,$A159,'Session Tracker'!$F$5:$F$149,"Next week",'Session Tracker'!$G$5:$G$149,"Thu"),$D159*SUMIFS('Session Tracker'!$J$5:$J$149,'Session Tracker'!$D$5:$D$149,$A159,'Session Tracker'!$F$5:$F$149,"Next week",'Session Tracker'!$G$5:$G$149,"Thu"))</f>
        <v>0</v>
      </c>
      <c r="L159" s="52" t="n">
        <f aca="false">IF($E159="Per class",$D159*COUNTIFS('Session Tracker'!$D$5:$D$149,$A159,'Session Tracker'!$F$5:$F$149,"Next week",'Session Tracker'!$G$5:$G$149,"Fri"),$D159*SUMIFS('Session Tracker'!$J$5:$J$149,'Session Tracker'!$D$5:$D$149,$A159,'Session Tracker'!$F$5:$F$149,"Next week",'Session Tracker'!$G$5:$G$149,"Fri"))</f>
        <v>0</v>
      </c>
      <c r="M159" s="52" t="n">
        <f aca="false">IF($E159="Per class",$D159*COUNTIFS('Session Tracker'!$D$5:$D$149,$A159,'Session Tracker'!$F$5:$F$149,"Next week",'Session Tracker'!$G$5:$G$149,""),$D159*SUMIFS('Session Tracker'!$J$5:$J$149,'Session Tracker'!$D$5:$D$149,$A159,'Session Tracker'!$F$5:$F$149,"Next week",'Session Tracker'!$G$5:$G$149,""))</f>
        <v>0</v>
      </c>
    </row>
    <row r="160" customFormat="false" ht="15" hidden="false" customHeight="false" outlineLevel="0" collapsed="false">
      <c r="A160" s="68" t="s">
        <v>237</v>
      </c>
      <c r="B160" s="34" t="s">
        <v>379</v>
      </c>
      <c r="C160" s="34" t="s">
        <v>380</v>
      </c>
      <c r="D160" s="32" t="n">
        <v>1</v>
      </c>
      <c r="E160" s="32" t="s">
        <v>14</v>
      </c>
      <c r="F160" s="32" t="s">
        <v>368</v>
      </c>
      <c r="G160" s="34"/>
      <c r="H160" s="52" t="n">
        <f aca="false">IF($E160="Per class",$D160*COUNTIFS('Session Tracker'!$D$5:$D$149,$A160,'Session Tracker'!$F$5:$F$149,"Next week",'Session Tracker'!$G$5:$G$149,"Mon"),$D160*SUMIFS('Session Tracker'!$J$5:$J$149,'Session Tracker'!$D$5:$D$149,$A160,'Session Tracker'!$F$5:$F$149,"Next week",'Session Tracker'!$G$5:$G$149,"Mon"))</f>
        <v>0</v>
      </c>
      <c r="I160" s="52" t="n">
        <f aca="false">IF($E160="Per class",$D160*COUNTIFS('Session Tracker'!$D$5:$D$149,$A160,'Session Tracker'!$F$5:$F$149,"Next week",'Session Tracker'!$G$5:$G$149,"Tue"),$D160*SUMIFS('Session Tracker'!$J$5:$J$149,'Session Tracker'!$D$5:$D$149,$A160,'Session Tracker'!$F$5:$F$149,"Next week",'Session Tracker'!$G$5:$G$149,"Tue"))</f>
        <v>0</v>
      </c>
      <c r="J160" s="52" t="n">
        <f aca="false">IF($E160="Per class",$D160*COUNTIFS('Session Tracker'!$D$5:$D$149,$A160,'Session Tracker'!$F$5:$F$149,"Next week",'Session Tracker'!$G$5:$G$149,"Wed"),$D160*SUMIFS('Session Tracker'!$J$5:$J$149,'Session Tracker'!$D$5:$D$149,$A160,'Session Tracker'!$F$5:$F$149,"Next week",'Session Tracker'!$G$5:$G$149,"Wed"))</f>
        <v>0</v>
      </c>
      <c r="K160" s="52" t="n">
        <f aca="false">IF($E160="Per class",$D160*COUNTIFS('Session Tracker'!$D$5:$D$149,$A160,'Session Tracker'!$F$5:$F$149,"Next week",'Session Tracker'!$G$5:$G$149,"Thu"),$D160*SUMIFS('Session Tracker'!$J$5:$J$149,'Session Tracker'!$D$5:$D$149,$A160,'Session Tracker'!$F$5:$F$149,"Next week",'Session Tracker'!$G$5:$G$149,"Thu"))</f>
        <v>0</v>
      </c>
      <c r="L160" s="52" t="n">
        <f aca="false">IF($E160="Per class",$D160*COUNTIFS('Session Tracker'!$D$5:$D$149,$A160,'Session Tracker'!$F$5:$F$149,"Next week",'Session Tracker'!$G$5:$G$149,"Fri"),$D160*SUMIFS('Session Tracker'!$J$5:$J$149,'Session Tracker'!$D$5:$D$149,$A160,'Session Tracker'!$F$5:$F$149,"Next week",'Session Tracker'!$G$5:$G$149,"Fri"))</f>
        <v>0</v>
      </c>
      <c r="M160" s="52" t="n">
        <f aca="false">IF($E160="Per class",$D160*COUNTIFS('Session Tracker'!$D$5:$D$149,$A160,'Session Tracker'!$F$5:$F$149,"Next week",'Session Tracker'!$G$5:$G$149,""),$D160*SUMIFS('Session Tracker'!$J$5:$J$149,'Session Tracker'!$D$5:$D$149,$A160,'Session Tracker'!$F$5:$F$149,"Next week",'Session Tracker'!$G$5:$G$149,""))</f>
        <v>0</v>
      </c>
    </row>
    <row r="161" customFormat="false" ht="15" hidden="false" customHeight="false" outlineLevel="0" collapsed="false">
      <c r="A161" s="68" t="s">
        <v>237</v>
      </c>
      <c r="B161" s="34" t="s">
        <v>379</v>
      </c>
      <c r="C161" s="34" t="s">
        <v>381</v>
      </c>
      <c r="D161" s="32" t="n">
        <v>12</v>
      </c>
      <c r="E161" s="32" t="s">
        <v>14</v>
      </c>
      <c r="F161" s="32" t="s">
        <v>368</v>
      </c>
      <c r="G161" s="34"/>
      <c r="H161" s="52" t="n">
        <f aca="false">IF($E161="Per class",$D161*COUNTIFS('Session Tracker'!$D$5:$D$149,$A161,'Session Tracker'!$F$5:$F$149,"Next week",'Session Tracker'!$G$5:$G$149,"Mon"),$D161*SUMIFS('Session Tracker'!$J$5:$J$149,'Session Tracker'!$D$5:$D$149,$A161,'Session Tracker'!$F$5:$F$149,"Next week",'Session Tracker'!$G$5:$G$149,"Mon"))</f>
        <v>0</v>
      </c>
      <c r="I161" s="52" t="n">
        <f aca="false">IF($E161="Per class",$D161*COUNTIFS('Session Tracker'!$D$5:$D$149,$A161,'Session Tracker'!$F$5:$F$149,"Next week",'Session Tracker'!$G$5:$G$149,"Tue"),$D161*SUMIFS('Session Tracker'!$J$5:$J$149,'Session Tracker'!$D$5:$D$149,$A161,'Session Tracker'!$F$5:$F$149,"Next week",'Session Tracker'!$G$5:$G$149,"Tue"))</f>
        <v>0</v>
      </c>
      <c r="J161" s="52" t="n">
        <f aca="false">IF($E161="Per class",$D161*COUNTIFS('Session Tracker'!$D$5:$D$149,$A161,'Session Tracker'!$F$5:$F$149,"Next week",'Session Tracker'!$G$5:$G$149,"Wed"),$D161*SUMIFS('Session Tracker'!$J$5:$J$149,'Session Tracker'!$D$5:$D$149,$A161,'Session Tracker'!$F$5:$F$149,"Next week",'Session Tracker'!$G$5:$G$149,"Wed"))</f>
        <v>0</v>
      </c>
      <c r="K161" s="52" t="n">
        <f aca="false">IF($E161="Per class",$D161*COUNTIFS('Session Tracker'!$D$5:$D$149,$A161,'Session Tracker'!$F$5:$F$149,"Next week",'Session Tracker'!$G$5:$G$149,"Thu"),$D161*SUMIFS('Session Tracker'!$J$5:$J$149,'Session Tracker'!$D$5:$D$149,$A161,'Session Tracker'!$F$5:$F$149,"Next week",'Session Tracker'!$G$5:$G$149,"Thu"))</f>
        <v>0</v>
      </c>
      <c r="L161" s="52" t="n">
        <f aca="false">IF($E161="Per class",$D161*COUNTIFS('Session Tracker'!$D$5:$D$149,$A161,'Session Tracker'!$F$5:$F$149,"Next week",'Session Tracker'!$G$5:$G$149,"Fri"),$D161*SUMIFS('Session Tracker'!$J$5:$J$149,'Session Tracker'!$D$5:$D$149,$A161,'Session Tracker'!$F$5:$F$149,"Next week",'Session Tracker'!$G$5:$G$149,"Fri"))</f>
        <v>0</v>
      </c>
      <c r="M161" s="52" t="n">
        <f aca="false">IF($E161="Per class",$D161*COUNTIFS('Session Tracker'!$D$5:$D$149,$A161,'Session Tracker'!$F$5:$F$149,"Next week",'Session Tracker'!$G$5:$G$149,""),$D161*SUMIFS('Session Tracker'!$J$5:$J$149,'Session Tracker'!$D$5:$D$149,$A161,'Session Tracker'!$F$5:$F$149,"Next week",'Session Tracker'!$G$5:$G$149,""))</f>
        <v>0</v>
      </c>
    </row>
    <row r="162" customFormat="false" ht="15" hidden="false" customHeight="false" outlineLevel="0" collapsed="false">
      <c r="A162" s="68" t="s">
        <v>237</v>
      </c>
      <c r="B162" s="34" t="s">
        <v>379</v>
      </c>
      <c r="C162" s="34" t="s">
        <v>395</v>
      </c>
      <c r="D162" s="32" t="n">
        <v>6</v>
      </c>
      <c r="E162" s="32" t="s">
        <v>14</v>
      </c>
      <c r="F162" s="32" t="s">
        <v>368</v>
      </c>
      <c r="G162" s="34"/>
      <c r="H162" s="52" t="n">
        <f aca="false">IF($E162="Per class",$D162*COUNTIFS('Session Tracker'!$D$5:$D$149,$A162,'Session Tracker'!$F$5:$F$149,"Next week",'Session Tracker'!$G$5:$G$149,"Mon"),$D162*SUMIFS('Session Tracker'!$J$5:$J$149,'Session Tracker'!$D$5:$D$149,$A162,'Session Tracker'!$F$5:$F$149,"Next week",'Session Tracker'!$G$5:$G$149,"Mon"))</f>
        <v>0</v>
      </c>
      <c r="I162" s="52" t="n">
        <f aca="false">IF($E162="Per class",$D162*COUNTIFS('Session Tracker'!$D$5:$D$149,$A162,'Session Tracker'!$F$5:$F$149,"Next week",'Session Tracker'!$G$5:$G$149,"Tue"),$D162*SUMIFS('Session Tracker'!$J$5:$J$149,'Session Tracker'!$D$5:$D$149,$A162,'Session Tracker'!$F$5:$F$149,"Next week",'Session Tracker'!$G$5:$G$149,"Tue"))</f>
        <v>0</v>
      </c>
      <c r="J162" s="52" t="n">
        <f aca="false">IF($E162="Per class",$D162*COUNTIFS('Session Tracker'!$D$5:$D$149,$A162,'Session Tracker'!$F$5:$F$149,"Next week",'Session Tracker'!$G$5:$G$149,"Wed"),$D162*SUMIFS('Session Tracker'!$J$5:$J$149,'Session Tracker'!$D$5:$D$149,$A162,'Session Tracker'!$F$5:$F$149,"Next week",'Session Tracker'!$G$5:$G$149,"Wed"))</f>
        <v>0</v>
      </c>
      <c r="K162" s="52" t="n">
        <f aca="false">IF($E162="Per class",$D162*COUNTIFS('Session Tracker'!$D$5:$D$149,$A162,'Session Tracker'!$F$5:$F$149,"Next week",'Session Tracker'!$G$5:$G$149,"Thu"),$D162*SUMIFS('Session Tracker'!$J$5:$J$149,'Session Tracker'!$D$5:$D$149,$A162,'Session Tracker'!$F$5:$F$149,"Next week",'Session Tracker'!$G$5:$G$149,"Thu"))</f>
        <v>0</v>
      </c>
      <c r="L162" s="52" t="n">
        <f aca="false">IF($E162="Per class",$D162*COUNTIFS('Session Tracker'!$D$5:$D$149,$A162,'Session Tracker'!$F$5:$F$149,"Next week",'Session Tracker'!$G$5:$G$149,"Fri"),$D162*SUMIFS('Session Tracker'!$J$5:$J$149,'Session Tracker'!$D$5:$D$149,$A162,'Session Tracker'!$F$5:$F$149,"Next week",'Session Tracker'!$G$5:$G$149,"Fri"))</f>
        <v>0</v>
      </c>
      <c r="M162" s="52" t="n">
        <f aca="false">IF($E162="Per class",$D162*COUNTIFS('Session Tracker'!$D$5:$D$149,$A162,'Session Tracker'!$F$5:$F$149,"Next week",'Session Tracker'!$G$5:$G$149,""),$D162*SUMIFS('Session Tracker'!$J$5:$J$149,'Session Tracker'!$D$5:$D$149,$A162,'Session Tracker'!$F$5:$F$149,"Next week",'Session Tracker'!$G$5:$G$149,""))</f>
        <v>0</v>
      </c>
    </row>
    <row r="163" customFormat="false" ht="15" hidden="false" customHeight="false" outlineLevel="0" collapsed="false">
      <c r="A163" s="68" t="s">
        <v>237</v>
      </c>
      <c r="B163" s="34" t="s">
        <v>382</v>
      </c>
      <c r="C163" s="34" t="s">
        <v>383</v>
      </c>
      <c r="D163" s="32" t="n">
        <v>1</v>
      </c>
      <c r="E163" s="32" t="s">
        <v>14</v>
      </c>
      <c r="F163" s="32" t="s">
        <v>368</v>
      </c>
      <c r="G163" s="34"/>
      <c r="H163" s="52" t="n">
        <f aca="false">IF($E163="Per class",$D163*COUNTIFS('Session Tracker'!$D$5:$D$149,$A163,'Session Tracker'!$F$5:$F$149,"Next week",'Session Tracker'!$G$5:$G$149,"Mon"),$D163*SUMIFS('Session Tracker'!$J$5:$J$149,'Session Tracker'!$D$5:$D$149,$A163,'Session Tracker'!$F$5:$F$149,"Next week",'Session Tracker'!$G$5:$G$149,"Mon"))</f>
        <v>0</v>
      </c>
      <c r="I163" s="52" t="n">
        <f aca="false">IF($E163="Per class",$D163*COUNTIFS('Session Tracker'!$D$5:$D$149,$A163,'Session Tracker'!$F$5:$F$149,"Next week",'Session Tracker'!$G$5:$G$149,"Tue"),$D163*SUMIFS('Session Tracker'!$J$5:$J$149,'Session Tracker'!$D$5:$D$149,$A163,'Session Tracker'!$F$5:$F$149,"Next week",'Session Tracker'!$G$5:$G$149,"Tue"))</f>
        <v>0</v>
      </c>
      <c r="J163" s="52" t="n">
        <f aca="false">IF($E163="Per class",$D163*COUNTIFS('Session Tracker'!$D$5:$D$149,$A163,'Session Tracker'!$F$5:$F$149,"Next week",'Session Tracker'!$G$5:$G$149,"Wed"),$D163*SUMIFS('Session Tracker'!$J$5:$J$149,'Session Tracker'!$D$5:$D$149,$A163,'Session Tracker'!$F$5:$F$149,"Next week",'Session Tracker'!$G$5:$G$149,"Wed"))</f>
        <v>0</v>
      </c>
      <c r="K163" s="52" t="n">
        <f aca="false">IF($E163="Per class",$D163*COUNTIFS('Session Tracker'!$D$5:$D$149,$A163,'Session Tracker'!$F$5:$F$149,"Next week",'Session Tracker'!$G$5:$G$149,"Thu"),$D163*SUMIFS('Session Tracker'!$J$5:$J$149,'Session Tracker'!$D$5:$D$149,$A163,'Session Tracker'!$F$5:$F$149,"Next week",'Session Tracker'!$G$5:$G$149,"Thu"))</f>
        <v>0</v>
      </c>
      <c r="L163" s="52" t="n">
        <f aca="false">IF($E163="Per class",$D163*COUNTIFS('Session Tracker'!$D$5:$D$149,$A163,'Session Tracker'!$F$5:$F$149,"Next week",'Session Tracker'!$G$5:$G$149,"Fri"),$D163*SUMIFS('Session Tracker'!$J$5:$J$149,'Session Tracker'!$D$5:$D$149,$A163,'Session Tracker'!$F$5:$F$149,"Next week",'Session Tracker'!$G$5:$G$149,"Fri"))</f>
        <v>0</v>
      </c>
      <c r="M163" s="52" t="n">
        <f aca="false">IF($E163="Per class",$D163*COUNTIFS('Session Tracker'!$D$5:$D$149,$A163,'Session Tracker'!$F$5:$F$149,"Next week",'Session Tracker'!$G$5:$G$149,""),$D163*SUMIFS('Session Tracker'!$J$5:$J$149,'Session Tracker'!$D$5:$D$149,$A163,'Session Tracker'!$F$5:$F$149,"Next week",'Session Tracker'!$G$5:$G$149,""))</f>
        <v>0</v>
      </c>
    </row>
    <row r="164" customFormat="false" ht="15" hidden="false" customHeight="false" outlineLevel="0" collapsed="false">
      <c r="A164" s="68" t="s">
        <v>237</v>
      </c>
      <c r="B164" s="34" t="s">
        <v>371</v>
      </c>
      <c r="C164" s="34" t="s">
        <v>372</v>
      </c>
      <c r="D164" s="32" t="n">
        <v>1</v>
      </c>
      <c r="E164" s="32" t="s">
        <v>14</v>
      </c>
      <c r="F164" s="32" t="s">
        <v>373</v>
      </c>
      <c r="G164" s="34" t="s">
        <v>389</v>
      </c>
      <c r="H164" s="52" t="n">
        <f aca="false">IF($E164="Per class",$D164*COUNTIFS('Session Tracker'!$D$5:$D$149,$A164,'Session Tracker'!$F$5:$F$149,"Next week",'Session Tracker'!$G$5:$G$149,"Mon"),$D164*SUMIFS('Session Tracker'!$J$5:$J$149,'Session Tracker'!$D$5:$D$149,$A164,'Session Tracker'!$F$5:$F$149,"Next week",'Session Tracker'!$G$5:$G$149,"Mon"))</f>
        <v>0</v>
      </c>
      <c r="I164" s="52" t="n">
        <f aca="false">IF($E164="Per class",$D164*COUNTIFS('Session Tracker'!$D$5:$D$149,$A164,'Session Tracker'!$F$5:$F$149,"Next week",'Session Tracker'!$G$5:$G$149,"Tue"),$D164*SUMIFS('Session Tracker'!$J$5:$J$149,'Session Tracker'!$D$5:$D$149,$A164,'Session Tracker'!$F$5:$F$149,"Next week",'Session Tracker'!$G$5:$G$149,"Tue"))</f>
        <v>0</v>
      </c>
      <c r="J164" s="52" t="n">
        <f aca="false">IF($E164="Per class",$D164*COUNTIFS('Session Tracker'!$D$5:$D$149,$A164,'Session Tracker'!$F$5:$F$149,"Next week",'Session Tracker'!$G$5:$G$149,"Wed"),$D164*SUMIFS('Session Tracker'!$J$5:$J$149,'Session Tracker'!$D$5:$D$149,$A164,'Session Tracker'!$F$5:$F$149,"Next week",'Session Tracker'!$G$5:$G$149,"Wed"))</f>
        <v>0</v>
      </c>
      <c r="K164" s="52" t="n">
        <f aca="false">IF($E164="Per class",$D164*COUNTIFS('Session Tracker'!$D$5:$D$149,$A164,'Session Tracker'!$F$5:$F$149,"Next week",'Session Tracker'!$G$5:$G$149,"Thu"),$D164*SUMIFS('Session Tracker'!$J$5:$J$149,'Session Tracker'!$D$5:$D$149,$A164,'Session Tracker'!$F$5:$F$149,"Next week",'Session Tracker'!$G$5:$G$149,"Thu"))</f>
        <v>0</v>
      </c>
      <c r="L164" s="52" t="n">
        <f aca="false">IF($E164="Per class",$D164*COUNTIFS('Session Tracker'!$D$5:$D$149,$A164,'Session Tracker'!$F$5:$F$149,"Next week",'Session Tracker'!$G$5:$G$149,"Fri"),$D164*SUMIFS('Session Tracker'!$J$5:$J$149,'Session Tracker'!$D$5:$D$149,$A164,'Session Tracker'!$F$5:$F$149,"Next week",'Session Tracker'!$G$5:$G$149,"Fri"))</f>
        <v>0</v>
      </c>
      <c r="M164" s="52" t="n">
        <f aca="false">IF($E164="Per class",$D164*COUNTIFS('Session Tracker'!$D$5:$D$149,$A164,'Session Tracker'!$F$5:$F$149,"Next week",'Session Tracker'!$G$5:$G$149,""),$D164*SUMIFS('Session Tracker'!$J$5:$J$149,'Session Tracker'!$D$5:$D$149,$A164,'Session Tracker'!$F$5:$F$149,"Next week",'Session Tracker'!$G$5:$G$149,""))</f>
        <v>0</v>
      </c>
    </row>
    <row r="165" customFormat="false" ht="15" hidden="false" customHeight="false" outlineLevel="0" collapsed="false">
      <c r="A165" s="68" t="s">
        <v>237</v>
      </c>
      <c r="B165" s="34" t="s">
        <v>375</v>
      </c>
      <c r="C165" s="34" t="s">
        <v>376</v>
      </c>
      <c r="D165" s="32" t="n">
        <v>1</v>
      </c>
      <c r="E165" s="32" t="s">
        <v>14</v>
      </c>
      <c r="F165" s="32" t="s">
        <v>373</v>
      </c>
      <c r="G165" s="34" t="s">
        <v>442</v>
      </c>
      <c r="H165" s="52" t="n">
        <f aca="false">IF($E165="Per class",$D165*COUNTIFS('Session Tracker'!$D$5:$D$149,$A165,'Session Tracker'!$F$5:$F$149,"Next week",'Session Tracker'!$G$5:$G$149,"Mon"),$D165*SUMIFS('Session Tracker'!$J$5:$J$149,'Session Tracker'!$D$5:$D$149,$A165,'Session Tracker'!$F$5:$F$149,"Next week",'Session Tracker'!$G$5:$G$149,"Mon"))</f>
        <v>0</v>
      </c>
      <c r="I165" s="52" t="n">
        <f aca="false">IF($E165="Per class",$D165*COUNTIFS('Session Tracker'!$D$5:$D$149,$A165,'Session Tracker'!$F$5:$F$149,"Next week",'Session Tracker'!$G$5:$G$149,"Tue"),$D165*SUMIFS('Session Tracker'!$J$5:$J$149,'Session Tracker'!$D$5:$D$149,$A165,'Session Tracker'!$F$5:$F$149,"Next week",'Session Tracker'!$G$5:$G$149,"Tue"))</f>
        <v>0</v>
      </c>
      <c r="J165" s="52" t="n">
        <f aca="false">IF($E165="Per class",$D165*COUNTIFS('Session Tracker'!$D$5:$D$149,$A165,'Session Tracker'!$F$5:$F$149,"Next week",'Session Tracker'!$G$5:$G$149,"Wed"),$D165*SUMIFS('Session Tracker'!$J$5:$J$149,'Session Tracker'!$D$5:$D$149,$A165,'Session Tracker'!$F$5:$F$149,"Next week",'Session Tracker'!$G$5:$G$149,"Wed"))</f>
        <v>0</v>
      </c>
      <c r="K165" s="52" t="n">
        <f aca="false">IF($E165="Per class",$D165*COUNTIFS('Session Tracker'!$D$5:$D$149,$A165,'Session Tracker'!$F$5:$F$149,"Next week",'Session Tracker'!$G$5:$G$149,"Thu"),$D165*SUMIFS('Session Tracker'!$J$5:$J$149,'Session Tracker'!$D$5:$D$149,$A165,'Session Tracker'!$F$5:$F$149,"Next week",'Session Tracker'!$G$5:$G$149,"Thu"))</f>
        <v>0</v>
      </c>
      <c r="L165" s="52" t="n">
        <f aca="false">IF($E165="Per class",$D165*COUNTIFS('Session Tracker'!$D$5:$D$149,$A165,'Session Tracker'!$F$5:$F$149,"Next week",'Session Tracker'!$G$5:$G$149,"Fri"),$D165*SUMIFS('Session Tracker'!$J$5:$J$149,'Session Tracker'!$D$5:$D$149,$A165,'Session Tracker'!$F$5:$F$149,"Next week",'Session Tracker'!$G$5:$G$149,"Fri"))</f>
        <v>0</v>
      </c>
      <c r="M165" s="52" t="n">
        <f aca="false">IF($E165="Per class",$D165*COUNTIFS('Session Tracker'!$D$5:$D$149,$A165,'Session Tracker'!$F$5:$F$149,"Next week",'Session Tracker'!$G$5:$G$149,""),$D165*SUMIFS('Session Tracker'!$J$5:$J$149,'Session Tracker'!$D$5:$D$149,$A165,'Session Tracker'!$F$5:$F$149,"Next week",'Session Tracker'!$G$5:$G$149,""))</f>
        <v>0</v>
      </c>
    </row>
    <row r="166" customFormat="false" ht="15" hidden="false" customHeight="false" outlineLevel="0" collapsed="false">
      <c r="A166" s="68" t="s">
        <v>237</v>
      </c>
      <c r="B166" s="34" t="s">
        <v>377</v>
      </c>
      <c r="C166" s="34" t="s">
        <v>378</v>
      </c>
      <c r="D166" s="32" t="n">
        <v>1</v>
      </c>
      <c r="E166" s="32" t="s">
        <v>14</v>
      </c>
      <c r="F166" s="32" t="s">
        <v>368</v>
      </c>
      <c r="G166" s="34" t="s">
        <v>389</v>
      </c>
      <c r="H166" s="52" t="n">
        <f aca="false">IF($E166="Per class",$D166*COUNTIFS('Session Tracker'!$D$5:$D$149,$A166,'Session Tracker'!$F$5:$F$149,"Next week",'Session Tracker'!$G$5:$G$149,"Mon"),$D166*SUMIFS('Session Tracker'!$J$5:$J$149,'Session Tracker'!$D$5:$D$149,$A166,'Session Tracker'!$F$5:$F$149,"Next week",'Session Tracker'!$G$5:$G$149,"Mon"))</f>
        <v>0</v>
      </c>
      <c r="I166" s="52" t="n">
        <f aca="false">IF($E166="Per class",$D166*COUNTIFS('Session Tracker'!$D$5:$D$149,$A166,'Session Tracker'!$F$5:$F$149,"Next week",'Session Tracker'!$G$5:$G$149,"Tue"),$D166*SUMIFS('Session Tracker'!$J$5:$J$149,'Session Tracker'!$D$5:$D$149,$A166,'Session Tracker'!$F$5:$F$149,"Next week",'Session Tracker'!$G$5:$G$149,"Tue"))</f>
        <v>0</v>
      </c>
      <c r="J166" s="52" t="n">
        <f aca="false">IF($E166="Per class",$D166*COUNTIFS('Session Tracker'!$D$5:$D$149,$A166,'Session Tracker'!$F$5:$F$149,"Next week",'Session Tracker'!$G$5:$G$149,"Wed"),$D166*SUMIFS('Session Tracker'!$J$5:$J$149,'Session Tracker'!$D$5:$D$149,$A166,'Session Tracker'!$F$5:$F$149,"Next week",'Session Tracker'!$G$5:$G$149,"Wed"))</f>
        <v>0</v>
      </c>
      <c r="K166" s="52" t="n">
        <f aca="false">IF($E166="Per class",$D166*COUNTIFS('Session Tracker'!$D$5:$D$149,$A166,'Session Tracker'!$F$5:$F$149,"Next week",'Session Tracker'!$G$5:$G$149,"Thu"),$D166*SUMIFS('Session Tracker'!$J$5:$J$149,'Session Tracker'!$D$5:$D$149,$A166,'Session Tracker'!$F$5:$F$149,"Next week",'Session Tracker'!$G$5:$G$149,"Thu"))</f>
        <v>0</v>
      </c>
      <c r="L166" s="52" t="n">
        <f aca="false">IF($E166="Per class",$D166*COUNTIFS('Session Tracker'!$D$5:$D$149,$A166,'Session Tracker'!$F$5:$F$149,"Next week",'Session Tracker'!$G$5:$G$149,"Fri"),$D166*SUMIFS('Session Tracker'!$J$5:$J$149,'Session Tracker'!$D$5:$D$149,$A166,'Session Tracker'!$F$5:$F$149,"Next week",'Session Tracker'!$G$5:$G$149,"Fri"))</f>
        <v>0</v>
      </c>
      <c r="M166" s="52" t="n">
        <f aca="false">IF($E166="Per class",$D166*COUNTIFS('Session Tracker'!$D$5:$D$149,$A166,'Session Tracker'!$F$5:$F$149,"Next week",'Session Tracker'!$G$5:$G$149,""),$D166*SUMIFS('Session Tracker'!$J$5:$J$149,'Session Tracker'!$D$5:$D$149,$A166,'Session Tracker'!$F$5:$F$149,"Next week",'Session Tracker'!$G$5:$G$149,""))</f>
        <v>0</v>
      </c>
    </row>
    <row r="167" customFormat="false" ht="15" hidden="false" customHeight="false" outlineLevel="0" collapsed="false">
      <c r="A167" s="53" t="s">
        <v>237</v>
      </c>
      <c r="B167" s="54"/>
      <c r="C167" s="54"/>
      <c r="D167" s="54"/>
      <c r="E167" s="54"/>
      <c r="F167" s="54"/>
      <c r="G167" s="54"/>
      <c r="H167" s="52" t="n">
        <f aca="false">IF($E167="Per class",$D167*COUNTIFS('Session Tracker'!$D$5:$D$149,$A167,'Session Tracker'!$F$5:$F$149,"Next week",'Session Tracker'!$G$5:$G$149,"Mon"),$D167*SUMIFS('Session Tracker'!$J$5:$J$149,'Session Tracker'!$D$5:$D$149,$A167,'Session Tracker'!$F$5:$F$149,"Next week",'Session Tracker'!$G$5:$G$149,"Mon"))</f>
        <v>0</v>
      </c>
      <c r="I167" s="52" t="n">
        <f aca="false">IF($E167="Per class",$D167*COUNTIFS('Session Tracker'!$D$5:$D$149,$A167,'Session Tracker'!$F$5:$F$149,"Next week",'Session Tracker'!$G$5:$G$149,"Tue"),$D167*SUMIFS('Session Tracker'!$J$5:$J$149,'Session Tracker'!$D$5:$D$149,$A167,'Session Tracker'!$F$5:$F$149,"Next week",'Session Tracker'!$G$5:$G$149,"Tue"))</f>
        <v>0</v>
      </c>
      <c r="J167" s="52" t="n">
        <f aca="false">IF($E167="Per class",$D167*COUNTIFS('Session Tracker'!$D$5:$D$149,$A167,'Session Tracker'!$F$5:$F$149,"Next week",'Session Tracker'!$G$5:$G$149,"Wed"),$D167*SUMIFS('Session Tracker'!$J$5:$J$149,'Session Tracker'!$D$5:$D$149,$A167,'Session Tracker'!$F$5:$F$149,"Next week",'Session Tracker'!$G$5:$G$149,"Wed"))</f>
        <v>0</v>
      </c>
      <c r="K167" s="52" t="n">
        <f aca="false">IF($E167="Per class",$D167*COUNTIFS('Session Tracker'!$D$5:$D$149,$A167,'Session Tracker'!$F$5:$F$149,"Next week",'Session Tracker'!$G$5:$G$149,"Thu"),$D167*SUMIFS('Session Tracker'!$J$5:$J$149,'Session Tracker'!$D$5:$D$149,$A167,'Session Tracker'!$F$5:$F$149,"Next week",'Session Tracker'!$G$5:$G$149,"Thu"))</f>
        <v>0</v>
      </c>
      <c r="L167" s="52" t="n">
        <f aca="false">IF($E167="Per class",$D167*COUNTIFS('Session Tracker'!$D$5:$D$149,$A167,'Session Tracker'!$F$5:$F$149,"Next week",'Session Tracker'!$G$5:$G$149,"Fri"),$D167*SUMIFS('Session Tracker'!$J$5:$J$149,'Session Tracker'!$D$5:$D$149,$A167,'Session Tracker'!$F$5:$F$149,"Next week",'Session Tracker'!$G$5:$G$149,"Fri"))</f>
        <v>0</v>
      </c>
      <c r="M167" s="52" t="n">
        <f aca="false">IF($E167="Per class",$D167*COUNTIFS('Session Tracker'!$D$5:$D$149,$A167,'Session Tracker'!$F$5:$F$149,"Next week",'Session Tracker'!$G$5:$G$149,""),$D167*SUMIFS('Session Tracker'!$J$5:$J$149,'Session Tracker'!$D$5:$D$149,$A167,'Session Tracker'!$F$5:$F$149,"Next week",'Session Tracker'!$G$5:$G$149,""))</f>
        <v>0</v>
      </c>
    </row>
    <row r="168" customFormat="false" ht="15" hidden="false" customHeight="false" outlineLevel="0" collapsed="false">
      <c r="A168" s="53" t="s">
        <v>237</v>
      </c>
      <c r="B168" s="54"/>
      <c r="C168" s="54"/>
      <c r="D168" s="54"/>
      <c r="E168" s="54"/>
      <c r="F168" s="54"/>
      <c r="G168" s="54"/>
      <c r="H168" s="52" t="n">
        <f aca="false">IF($E168="Per class",$D168*COUNTIFS('Session Tracker'!$D$5:$D$149,$A168,'Session Tracker'!$F$5:$F$149,"Next week",'Session Tracker'!$G$5:$G$149,"Mon"),$D168*SUMIFS('Session Tracker'!$J$5:$J$149,'Session Tracker'!$D$5:$D$149,$A168,'Session Tracker'!$F$5:$F$149,"Next week",'Session Tracker'!$G$5:$G$149,"Mon"))</f>
        <v>0</v>
      </c>
      <c r="I168" s="52" t="n">
        <f aca="false">IF($E168="Per class",$D168*COUNTIFS('Session Tracker'!$D$5:$D$149,$A168,'Session Tracker'!$F$5:$F$149,"Next week",'Session Tracker'!$G$5:$G$149,"Tue"),$D168*SUMIFS('Session Tracker'!$J$5:$J$149,'Session Tracker'!$D$5:$D$149,$A168,'Session Tracker'!$F$5:$F$149,"Next week",'Session Tracker'!$G$5:$G$149,"Tue"))</f>
        <v>0</v>
      </c>
      <c r="J168" s="52" t="n">
        <f aca="false">IF($E168="Per class",$D168*COUNTIFS('Session Tracker'!$D$5:$D$149,$A168,'Session Tracker'!$F$5:$F$149,"Next week",'Session Tracker'!$G$5:$G$149,"Wed"),$D168*SUMIFS('Session Tracker'!$J$5:$J$149,'Session Tracker'!$D$5:$D$149,$A168,'Session Tracker'!$F$5:$F$149,"Next week",'Session Tracker'!$G$5:$G$149,"Wed"))</f>
        <v>0</v>
      </c>
      <c r="K168" s="52" t="n">
        <f aca="false">IF($E168="Per class",$D168*COUNTIFS('Session Tracker'!$D$5:$D$149,$A168,'Session Tracker'!$F$5:$F$149,"Next week",'Session Tracker'!$G$5:$G$149,"Thu"),$D168*SUMIFS('Session Tracker'!$J$5:$J$149,'Session Tracker'!$D$5:$D$149,$A168,'Session Tracker'!$F$5:$F$149,"Next week",'Session Tracker'!$G$5:$G$149,"Thu"))</f>
        <v>0</v>
      </c>
      <c r="L168" s="52" t="n">
        <f aca="false">IF($E168="Per class",$D168*COUNTIFS('Session Tracker'!$D$5:$D$149,$A168,'Session Tracker'!$F$5:$F$149,"Next week",'Session Tracker'!$G$5:$G$149,"Fri"),$D168*SUMIFS('Session Tracker'!$J$5:$J$149,'Session Tracker'!$D$5:$D$149,$A168,'Session Tracker'!$F$5:$F$149,"Next week",'Session Tracker'!$G$5:$G$149,"Fri"))</f>
        <v>0</v>
      </c>
      <c r="M168" s="52" t="n">
        <f aca="false">IF($E168="Per class",$D168*COUNTIFS('Session Tracker'!$D$5:$D$149,$A168,'Session Tracker'!$F$5:$F$149,"Next week",'Session Tracker'!$G$5:$G$149,""),$D168*SUMIFS('Session Tracker'!$J$5:$J$149,'Session Tracker'!$D$5:$D$149,$A168,'Session Tracker'!$F$5:$F$149,"Next week",'Session Tracker'!$G$5:$G$149,""))</f>
        <v>0</v>
      </c>
    </row>
    <row r="170" customFormat="false" ht="19.5" hidden="false" customHeight="true" outlineLevel="0" collapsed="false">
      <c r="A170" s="64" t="s">
        <v>239</v>
      </c>
      <c r="B170" s="65" t="s">
        <v>609</v>
      </c>
      <c r="C170" s="65"/>
      <c r="D170" s="65"/>
      <c r="E170" s="65"/>
      <c r="F170" s="66" t="str">
        <f aca="false">"Status: "&amp;'Session Tracker'!F89&amp;IF('Session Tracker'!G89&lt;&gt;""," ("&amp;'Session Tracker'!G89&amp;")","")</f>
        <v>Status: Not started</v>
      </c>
      <c r="G170" s="66"/>
      <c r="H170" s="67"/>
      <c r="I170" s="67"/>
      <c r="J170" s="67"/>
      <c r="K170" s="67"/>
      <c r="L170" s="67"/>
      <c r="M170" s="67"/>
    </row>
    <row r="171" customFormat="false" ht="23.85" hidden="false" customHeight="false" outlineLevel="0" collapsed="false">
      <c r="A171" s="68" t="s">
        <v>239</v>
      </c>
      <c r="B171" s="34" t="s">
        <v>366</v>
      </c>
      <c r="C171" s="34" t="s">
        <v>367</v>
      </c>
      <c r="D171" s="32" t="n">
        <v>1</v>
      </c>
      <c r="E171" s="32" t="s">
        <v>14</v>
      </c>
      <c r="F171" s="32" t="s">
        <v>368</v>
      </c>
      <c r="G171" s="34"/>
      <c r="H171" s="52" t="n">
        <f aca="false">IF($E171="Per class",$D171*COUNTIFS('Session Tracker'!$D$5:$D$149,$A171,'Session Tracker'!$F$5:$F$149,"Next week",'Session Tracker'!$G$5:$G$149,"Mon"),$D171*SUMIFS('Session Tracker'!$J$5:$J$149,'Session Tracker'!$D$5:$D$149,$A171,'Session Tracker'!$F$5:$F$149,"Next week",'Session Tracker'!$G$5:$G$149,"Mon"))</f>
        <v>0</v>
      </c>
      <c r="I171" s="52" t="n">
        <f aca="false">IF($E171="Per class",$D171*COUNTIFS('Session Tracker'!$D$5:$D$149,$A171,'Session Tracker'!$F$5:$F$149,"Next week",'Session Tracker'!$G$5:$G$149,"Tue"),$D171*SUMIFS('Session Tracker'!$J$5:$J$149,'Session Tracker'!$D$5:$D$149,$A171,'Session Tracker'!$F$5:$F$149,"Next week",'Session Tracker'!$G$5:$G$149,"Tue"))</f>
        <v>0</v>
      </c>
      <c r="J171" s="52" t="n">
        <f aca="false">IF($E171="Per class",$D171*COUNTIFS('Session Tracker'!$D$5:$D$149,$A171,'Session Tracker'!$F$5:$F$149,"Next week",'Session Tracker'!$G$5:$G$149,"Wed"),$D171*SUMIFS('Session Tracker'!$J$5:$J$149,'Session Tracker'!$D$5:$D$149,$A171,'Session Tracker'!$F$5:$F$149,"Next week",'Session Tracker'!$G$5:$G$149,"Wed"))</f>
        <v>0</v>
      </c>
      <c r="K171" s="52" t="n">
        <f aca="false">IF($E171="Per class",$D171*COUNTIFS('Session Tracker'!$D$5:$D$149,$A171,'Session Tracker'!$F$5:$F$149,"Next week",'Session Tracker'!$G$5:$G$149,"Thu"),$D171*SUMIFS('Session Tracker'!$J$5:$J$149,'Session Tracker'!$D$5:$D$149,$A171,'Session Tracker'!$F$5:$F$149,"Next week",'Session Tracker'!$G$5:$G$149,"Thu"))</f>
        <v>0</v>
      </c>
      <c r="L171" s="52" t="n">
        <f aca="false">IF($E171="Per class",$D171*COUNTIFS('Session Tracker'!$D$5:$D$149,$A171,'Session Tracker'!$F$5:$F$149,"Next week",'Session Tracker'!$G$5:$G$149,"Fri"),$D171*SUMIFS('Session Tracker'!$J$5:$J$149,'Session Tracker'!$D$5:$D$149,$A171,'Session Tracker'!$F$5:$F$149,"Next week",'Session Tracker'!$G$5:$G$149,"Fri"))</f>
        <v>0</v>
      </c>
      <c r="M171" s="52" t="n">
        <f aca="false">IF($E171="Per class",$D171*COUNTIFS('Session Tracker'!$D$5:$D$149,$A171,'Session Tracker'!$F$5:$F$149,"Next week",'Session Tracker'!$G$5:$G$149,""),$D171*SUMIFS('Session Tracker'!$J$5:$J$149,'Session Tracker'!$D$5:$D$149,$A171,'Session Tracker'!$F$5:$F$149,"Next week",'Session Tracker'!$G$5:$G$149,""))</f>
        <v>0</v>
      </c>
    </row>
    <row r="172" customFormat="false" ht="15" hidden="false" customHeight="false" outlineLevel="0" collapsed="false">
      <c r="A172" s="68" t="s">
        <v>239</v>
      </c>
      <c r="B172" s="34" t="s">
        <v>586</v>
      </c>
      <c r="C172" s="34" t="s">
        <v>610</v>
      </c>
      <c r="D172" s="32" t="n">
        <v>1</v>
      </c>
      <c r="E172" s="32" t="s">
        <v>14</v>
      </c>
      <c r="F172" s="32" t="s">
        <v>368</v>
      </c>
      <c r="G172" s="34"/>
      <c r="H172" s="52" t="n">
        <f aca="false">IF($E172="Per class",$D172*COUNTIFS('Session Tracker'!$D$5:$D$149,$A172,'Session Tracker'!$F$5:$F$149,"Next week",'Session Tracker'!$G$5:$G$149,"Mon"),$D172*SUMIFS('Session Tracker'!$J$5:$J$149,'Session Tracker'!$D$5:$D$149,$A172,'Session Tracker'!$F$5:$F$149,"Next week",'Session Tracker'!$G$5:$G$149,"Mon"))</f>
        <v>0</v>
      </c>
      <c r="I172" s="52" t="n">
        <f aca="false">IF($E172="Per class",$D172*COUNTIFS('Session Tracker'!$D$5:$D$149,$A172,'Session Tracker'!$F$5:$F$149,"Next week",'Session Tracker'!$G$5:$G$149,"Tue"),$D172*SUMIFS('Session Tracker'!$J$5:$J$149,'Session Tracker'!$D$5:$D$149,$A172,'Session Tracker'!$F$5:$F$149,"Next week",'Session Tracker'!$G$5:$G$149,"Tue"))</f>
        <v>0</v>
      </c>
      <c r="J172" s="52" t="n">
        <f aca="false">IF($E172="Per class",$D172*COUNTIFS('Session Tracker'!$D$5:$D$149,$A172,'Session Tracker'!$F$5:$F$149,"Next week",'Session Tracker'!$G$5:$G$149,"Wed"),$D172*SUMIFS('Session Tracker'!$J$5:$J$149,'Session Tracker'!$D$5:$D$149,$A172,'Session Tracker'!$F$5:$F$149,"Next week",'Session Tracker'!$G$5:$G$149,"Wed"))</f>
        <v>0</v>
      </c>
      <c r="K172" s="52" t="n">
        <f aca="false">IF($E172="Per class",$D172*COUNTIFS('Session Tracker'!$D$5:$D$149,$A172,'Session Tracker'!$F$5:$F$149,"Next week",'Session Tracker'!$G$5:$G$149,"Thu"),$D172*SUMIFS('Session Tracker'!$J$5:$J$149,'Session Tracker'!$D$5:$D$149,$A172,'Session Tracker'!$F$5:$F$149,"Next week",'Session Tracker'!$G$5:$G$149,"Thu"))</f>
        <v>0</v>
      </c>
      <c r="L172" s="52" t="n">
        <f aca="false">IF($E172="Per class",$D172*COUNTIFS('Session Tracker'!$D$5:$D$149,$A172,'Session Tracker'!$F$5:$F$149,"Next week",'Session Tracker'!$G$5:$G$149,"Fri"),$D172*SUMIFS('Session Tracker'!$J$5:$J$149,'Session Tracker'!$D$5:$D$149,$A172,'Session Tracker'!$F$5:$F$149,"Next week",'Session Tracker'!$G$5:$G$149,"Fri"))</f>
        <v>0</v>
      </c>
      <c r="M172" s="52" t="n">
        <f aca="false">IF($E172="Per class",$D172*COUNTIFS('Session Tracker'!$D$5:$D$149,$A172,'Session Tracker'!$F$5:$F$149,"Next week",'Session Tracker'!$G$5:$G$149,""),$D172*SUMIFS('Session Tracker'!$J$5:$J$149,'Session Tracker'!$D$5:$D$149,$A172,'Session Tracker'!$F$5:$F$149,"Next week",'Session Tracker'!$G$5:$G$149,""))</f>
        <v>0</v>
      </c>
    </row>
    <row r="173" customFormat="false" ht="15" hidden="false" customHeight="false" outlineLevel="0" collapsed="false">
      <c r="A173" s="68" t="s">
        <v>239</v>
      </c>
      <c r="B173" s="34" t="s">
        <v>377</v>
      </c>
      <c r="C173" s="34" t="s">
        <v>439</v>
      </c>
      <c r="D173" s="32" t="n">
        <v>1</v>
      </c>
      <c r="E173" s="32" t="s">
        <v>14</v>
      </c>
      <c r="F173" s="32" t="s">
        <v>368</v>
      </c>
      <c r="G173" s="34"/>
      <c r="H173" s="52" t="n">
        <f aca="false">IF($E173="Per class",$D173*COUNTIFS('Session Tracker'!$D$5:$D$149,$A173,'Session Tracker'!$F$5:$F$149,"Next week",'Session Tracker'!$G$5:$G$149,"Mon"),$D173*SUMIFS('Session Tracker'!$J$5:$J$149,'Session Tracker'!$D$5:$D$149,$A173,'Session Tracker'!$F$5:$F$149,"Next week",'Session Tracker'!$G$5:$G$149,"Mon"))</f>
        <v>0</v>
      </c>
      <c r="I173" s="52" t="n">
        <f aca="false">IF($E173="Per class",$D173*COUNTIFS('Session Tracker'!$D$5:$D$149,$A173,'Session Tracker'!$F$5:$F$149,"Next week",'Session Tracker'!$G$5:$G$149,"Tue"),$D173*SUMIFS('Session Tracker'!$J$5:$J$149,'Session Tracker'!$D$5:$D$149,$A173,'Session Tracker'!$F$5:$F$149,"Next week",'Session Tracker'!$G$5:$G$149,"Tue"))</f>
        <v>0</v>
      </c>
      <c r="J173" s="52" t="n">
        <f aca="false">IF($E173="Per class",$D173*COUNTIFS('Session Tracker'!$D$5:$D$149,$A173,'Session Tracker'!$F$5:$F$149,"Next week",'Session Tracker'!$G$5:$G$149,"Wed"),$D173*SUMIFS('Session Tracker'!$J$5:$J$149,'Session Tracker'!$D$5:$D$149,$A173,'Session Tracker'!$F$5:$F$149,"Next week",'Session Tracker'!$G$5:$G$149,"Wed"))</f>
        <v>0</v>
      </c>
      <c r="K173" s="52" t="n">
        <f aca="false">IF($E173="Per class",$D173*COUNTIFS('Session Tracker'!$D$5:$D$149,$A173,'Session Tracker'!$F$5:$F$149,"Next week",'Session Tracker'!$G$5:$G$149,"Thu"),$D173*SUMIFS('Session Tracker'!$J$5:$J$149,'Session Tracker'!$D$5:$D$149,$A173,'Session Tracker'!$F$5:$F$149,"Next week",'Session Tracker'!$G$5:$G$149,"Thu"))</f>
        <v>0</v>
      </c>
      <c r="L173" s="52" t="n">
        <f aca="false">IF($E173="Per class",$D173*COUNTIFS('Session Tracker'!$D$5:$D$149,$A173,'Session Tracker'!$F$5:$F$149,"Next week",'Session Tracker'!$G$5:$G$149,"Fri"),$D173*SUMIFS('Session Tracker'!$J$5:$J$149,'Session Tracker'!$D$5:$D$149,$A173,'Session Tracker'!$F$5:$F$149,"Next week",'Session Tracker'!$G$5:$G$149,"Fri"))</f>
        <v>0</v>
      </c>
      <c r="M173" s="52" t="n">
        <f aca="false">IF($E173="Per class",$D173*COUNTIFS('Session Tracker'!$D$5:$D$149,$A173,'Session Tracker'!$F$5:$F$149,"Next week",'Session Tracker'!$G$5:$G$149,""),$D173*SUMIFS('Session Tracker'!$J$5:$J$149,'Session Tracker'!$D$5:$D$149,$A173,'Session Tracker'!$F$5:$F$149,"Next week",'Session Tracker'!$G$5:$G$149,""))</f>
        <v>0</v>
      </c>
    </row>
    <row r="174" customFormat="false" ht="15" hidden="false" customHeight="false" outlineLevel="0" collapsed="false">
      <c r="A174" s="68" t="s">
        <v>239</v>
      </c>
      <c r="B174" s="34" t="s">
        <v>371</v>
      </c>
      <c r="C174" s="34" t="s">
        <v>517</v>
      </c>
      <c r="D174" s="32" t="n">
        <v>1</v>
      </c>
      <c r="E174" s="32" t="s">
        <v>14</v>
      </c>
      <c r="F174" s="32" t="s">
        <v>368</v>
      </c>
      <c r="G174" s="34"/>
      <c r="H174" s="52" t="n">
        <f aca="false">IF($E174="Per class",$D174*COUNTIFS('Session Tracker'!$D$5:$D$149,$A174,'Session Tracker'!$F$5:$F$149,"Next week",'Session Tracker'!$G$5:$G$149,"Mon"),$D174*SUMIFS('Session Tracker'!$J$5:$J$149,'Session Tracker'!$D$5:$D$149,$A174,'Session Tracker'!$F$5:$F$149,"Next week",'Session Tracker'!$G$5:$G$149,"Mon"))</f>
        <v>0</v>
      </c>
      <c r="I174" s="52" t="n">
        <f aca="false">IF($E174="Per class",$D174*COUNTIFS('Session Tracker'!$D$5:$D$149,$A174,'Session Tracker'!$F$5:$F$149,"Next week",'Session Tracker'!$G$5:$G$149,"Tue"),$D174*SUMIFS('Session Tracker'!$J$5:$J$149,'Session Tracker'!$D$5:$D$149,$A174,'Session Tracker'!$F$5:$F$149,"Next week",'Session Tracker'!$G$5:$G$149,"Tue"))</f>
        <v>0</v>
      </c>
      <c r="J174" s="52" t="n">
        <f aca="false">IF($E174="Per class",$D174*COUNTIFS('Session Tracker'!$D$5:$D$149,$A174,'Session Tracker'!$F$5:$F$149,"Next week",'Session Tracker'!$G$5:$G$149,"Wed"),$D174*SUMIFS('Session Tracker'!$J$5:$J$149,'Session Tracker'!$D$5:$D$149,$A174,'Session Tracker'!$F$5:$F$149,"Next week",'Session Tracker'!$G$5:$G$149,"Wed"))</f>
        <v>0</v>
      </c>
      <c r="K174" s="52" t="n">
        <f aca="false">IF($E174="Per class",$D174*COUNTIFS('Session Tracker'!$D$5:$D$149,$A174,'Session Tracker'!$F$5:$F$149,"Next week",'Session Tracker'!$G$5:$G$149,"Thu"),$D174*SUMIFS('Session Tracker'!$J$5:$J$149,'Session Tracker'!$D$5:$D$149,$A174,'Session Tracker'!$F$5:$F$149,"Next week",'Session Tracker'!$G$5:$G$149,"Thu"))</f>
        <v>0</v>
      </c>
      <c r="L174" s="52" t="n">
        <f aca="false">IF($E174="Per class",$D174*COUNTIFS('Session Tracker'!$D$5:$D$149,$A174,'Session Tracker'!$F$5:$F$149,"Next week",'Session Tracker'!$G$5:$G$149,"Fri"),$D174*SUMIFS('Session Tracker'!$J$5:$J$149,'Session Tracker'!$D$5:$D$149,$A174,'Session Tracker'!$F$5:$F$149,"Next week",'Session Tracker'!$G$5:$G$149,"Fri"))</f>
        <v>0</v>
      </c>
      <c r="M174" s="52" t="n">
        <f aca="false">IF($E174="Per class",$D174*COUNTIFS('Session Tracker'!$D$5:$D$149,$A174,'Session Tracker'!$F$5:$F$149,"Next week",'Session Tracker'!$G$5:$G$149,""),$D174*SUMIFS('Session Tracker'!$J$5:$J$149,'Session Tracker'!$D$5:$D$149,$A174,'Session Tracker'!$F$5:$F$149,"Next week",'Session Tracker'!$G$5:$G$149,""))</f>
        <v>0</v>
      </c>
    </row>
    <row r="175" customFormat="false" ht="15" hidden="false" customHeight="false" outlineLevel="0" collapsed="false">
      <c r="A175" s="68" t="s">
        <v>239</v>
      </c>
      <c r="B175" s="34" t="s">
        <v>377</v>
      </c>
      <c r="C175" s="34" t="s">
        <v>378</v>
      </c>
      <c r="D175" s="32" t="n">
        <v>1</v>
      </c>
      <c r="E175" s="32" t="s">
        <v>14</v>
      </c>
      <c r="F175" s="32" t="s">
        <v>368</v>
      </c>
      <c r="G175" s="34"/>
      <c r="H175" s="52" t="n">
        <f aca="false">IF($E175="Per class",$D175*COUNTIFS('Session Tracker'!$D$5:$D$149,$A175,'Session Tracker'!$F$5:$F$149,"Next week",'Session Tracker'!$G$5:$G$149,"Mon"),$D175*SUMIFS('Session Tracker'!$J$5:$J$149,'Session Tracker'!$D$5:$D$149,$A175,'Session Tracker'!$F$5:$F$149,"Next week",'Session Tracker'!$G$5:$G$149,"Mon"))</f>
        <v>0</v>
      </c>
      <c r="I175" s="52" t="n">
        <f aca="false">IF($E175="Per class",$D175*COUNTIFS('Session Tracker'!$D$5:$D$149,$A175,'Session Tracker'!$F$5:$F$149,"Next week",'Session Tracker'!$G$5:$G$149,"Tue"),$D175*SUMIFS('Session Tracker'!$J$5:$J$149,'Session Tracker'!$D$5:$D$149,$A175,'Session Tracker'!$F$5:$F$149,"Next week",'Session Tracker'!$G$5:$G$149,"Tue"))</f>
        <v>0</v>
      </c>
      <c r="J175" s="52" t="n">
        <f aca="false">IF($E175="Per class",$D175*COUNTIFS('Session Tracker'!$D$5:$D$149,$A175,'Session Tracker'!$F$5:$F$149,"Next week",'Session Tracker'!$G$5:$G$149,"Wed"),$D175*SUMIFS('Session Tracker'!$J$5:$J$149,'Session Tracker'!$D$5:$D$149,$A175,'Session Tracker'!$F$5:$F$149,"Next week",'Session Tracker'!$G$5:$G$149,"Wed"))</f>
        <v>0</v>
      </c>
      <c r="K175" s="52" t="n">
        <f aca="false">IF($E175="Per class",$D175*COUNTIFS('Session Tracker'!$D$5:$D$149,$A175,'Session Tracker'!$F$5:$F$149,"Next week",'Session Tracker'!$G$5:$G$149,"Thu"),$D175*SUMIFS('Session Tracker'!$J$5:$J$149,'Session Tracker'!$D$5:$D$149,$A175,'Session Tracker'!$F$5:$F$149,"Next week",'Session Tracker'!$G$5:$G$149,"Thu"))</f>
        <v>0</v>
      </c>
      <c r="L175" s="52" t="n">
        <f aca="false">IF($E175="Per class",$D175*COUNTIFS('Session Tracker'!$D$5:$D$149,$A175,'Session Tracker'!$F$5:$F$149,"Next week",'Session Tracker'!$G$5:$G$149,"Fri"),$D175*SUMIFS('Session Tracker'!$J$5:$J$149,'Session Tracker'!$D$5:$D$149,$A175,'Session Tracker'!$F$5:$F$149,"Next week",'Session Tracker'!$G$5:$G$149,"Fri"))</f>
        <v>0</v>
      </c>
      <c r="M175" s="52" t="n">
        <f aca="false">IF($E175="Per class",$D175*COUNTIFS('Session Tracker'!$D$5:$D$149,$A175,'Session Tracker'!$F$5:$F$149,"Next week",'Session Tracker'!$G$5:$G$149,""),$D175*SUMIFS('Session Tracker'!$J$5:$J$149,'Session Tracker'!$D$5:$D$149,$A175,'Session Tracker'!$F$5:$F$149,"Next week",'Session Tracker'!$G$5:$G$149,""))</f>
        <v>0</v>
      </c>
    </row>
    <row r="176" customFormat="false" ht="15" hidden="false" customHeight="false" outlineLevel="0" collapsed="false">
      <c r="A176" s="68" t="s">
        <v>239</v>
      </c>
      <c r="B176" s="34" t="s">
        <v>371</v>
      </c>
      <c r="C176" s="34" t="s">
        <v>372</v>
      </c>
      <c r="D176" s="32" t="n">
        <v>2</v>
      </c>
      <c r="E176" s="32" t="s">
        <v>14</v>
      </c>
      <c r="F176" s="32" t="s">
        <v>373</v>
      </c>
      <c r="G176" s="34" t="s">
        <v>528</v>
      </c>
      <c r="H176" s="52" t="n">
        <f aca="false">IF($E176="Per class",$D176*COUNTIFS('Session Tracker'!$D$5:$D$149,$A176,'Session Tracker'!$F$5:$F$149,"Next week",'Session Tracker'!$G$5:$G$149,"Mon"),$D176*SUMIFS('Session Tracker'!$J$5:$J$149,'Session Tracker'!$D$5:$D$149,$A176,'Session Tracker'!$F$5:$F$149,"Next week",'Session Tracker'!$G$5:$G$149,"Mon"))</f>
        <v>0</v>
      </c>
      <c r="I176" s="52" t="n">
        <f aca="false">IF($E176="Per class",$D176*COUNTIFS('Session Tracker'!$D$5:$D$149,$A176,'Session Tracker'!$F$5:$F$149,"Next week",'Session Tracker'!$G$5:$G$149,"Tue"),$D176*SUMIFS('Session Tracker'!$J$5:$J$149,'Session Tracker'!$D$5:$D$149,$A176,'Session Tracker'!$F$5:$F$149,"Next week",'Session Tracker'!$G$5:$G$149,"Tue"))</f>
        <v>0</v>
      </c>
      <c r="J176" s="52" t="n">
        <f aca="false">IF($E176="Per class",$D176*COUNTIFS('Session Tracker'!$D$5:$D$149,$A176,'Session Tracker'!$F$5:$F$149,"Next week",'Session Tracker'!$G$5:$G$149,"Wed"),$D176*SUMIFS('Session Tracker'!$J$5:$J$149,'Session Tracker'!$D$5:$D$149,$A176,'Session Tracker'!$F$5:$F$149,"Next week",'Session Tracker'!$G$5:$G$149,"Wed"))</f>
        <v>0</v>
      </c>
      <c r="K176" s="52" t="n">
        <f aca="false">IF($E176="Per class",$D176*COUNTIFS('Session Tracker'!$D$5:$D$149,$A176,'Session Tracker'!$F$5:$F$149,"Next week",'Session Tracker'!$G$5:$G$149,"Thu"),$D176*SUMIFS('Session Tracker'!$J$5:$J$149,'Session Tracker'!$D$5:$D$149,$A176,'Session Tracker'!$F$5:$F$149,"Next week",'Session Tracker'!$G$5:$G$149,"Thu"))</f>
        <v>0</v>
      </c>
      <c r="L176" s="52" t="n">
        <f aca="false">IF($E176="Per class",$D176*COUNTIFS('Session Tracker'!$D$5:$D$149,$A176,'Session Tracker'!$F$5:$F$149,"Next week",'Session Tracker'!$G$5:$G$149,"Fri"),$D176*SUMIFS('Session Tracker'!$J$5:$J$149,'Session Tracker'!$D$5:$D$149,$A176,'Session Tracker'!$F$5:$F$149,"Next week",'Session Tracker'!$G$5:$G$149,"Fri"))</f>
        <v>0</v>
      </c>
      <c r="M176" s="52" t="n">
        <f aca="false">IF($E176="Per class",$D176*COUNTIFS('Session Tracker'!$D$5:$D$149,$A176,'Session Tracker'!$F$5:$F$149,"Next week",'Session Tracker'!$G$5:$G$149,""),$D176*SUMIFS('Session Tracker'!$J$5:$J$149,'Session Tracker'!$D$5:$D$149,$A176,'Session Tracker'!$F$5:$F$149,"Next week",'Session Tracker'!$G$5:$G$149,""))</f>
        <v>0</v>
      </c>
    </row>
    <row r="177" customFormat="false" ht="15" hidden="false" customHeight="false" outlineLevel="0" collapsed="false">
      <c r="A177" s="68" t="s">
        <v>239</v>
      </c>
      <c r="B177" s="34" t="s">
        <v>375</v>
      </c>
      <c r="C177" s="34" t="s">
        <v>376</v>
      </c>
      <c r="D177" s="32" t="n">
        <v>2</v>
      </c>
      <c r="E177" s="32" t="s">
        <v>14</v>
      </c>
      <c r="F177" s="32" t="s">
        <v>373</v>
      </c>
      <c r="G177" s="34"/>
      <c r="H177" s="52" t="n">
        <f aca="false">IF($E177="Per class",$D177*COUNTIFS('Session Tracker'!$D$5:$D$149,$A177,'Session Tracker'!$F$5:$F$149,"Next week",'Session Tracker'!$G$5:$G$149,"Mon"),$D177*SUMIFS('Session Tracker'!$J$5:$J$149,'Session Tracker'!$D$5:$D$149,$A177,'Session Tracker'!$F$5:$F$149,"Next week",'Session Tracker'!$G$5:$G$149,"Mon"))</f>
        <v>0</v>
      </c>
      <c r="I177" s="52" t="n">
        <f aca="false">IF($E177="Per class",$D177*COUNTIFS('Session Tracker'!$D$5:$D$149,$A177,'Session Tracker'!$F$5:$F$149,"Next week",'Session Tracker'!$G$5:$G$149,"Tue"),$D177*SUMIFS('Session Tracker'!$J$5:$J$149,'Session Tracker'!$D$5:$D$149,$A177,'Session Tracker'!$F$5:$F$149,"Next week",'Session Tracker'!$G$5:$G$149,"Tue"))</f>
        <v>0</v>
      </c>
      <c r="J177" s="52" t="n">
        <f aca="false">IF($E177="Per class",$D177*COUNTIFS('Session Tracker'!$D$5:$D$149,$A177,'Session Tracker'!$F$5:$F$149,"Next week",'Session Tracker'!$G$5:$G$149,"Wed"),$D177*SUMIFS('Session Tracker'!$J$5:$J$149,'Session Tracker'!$D$5:$D$149,$A177,'Session Tracker'!$F$5:$F$149,"Next week",'Session Tracker'!$G$5:$G$149,"Wed"))</f>
        <v>0</v>
      </c>
      <c r="K177" s="52" t="n">
        <f aca="false">IF($E177="Per class",$D177*COUNTIFS('Session Tracker'!$D$5:$D$149,$A177,'Session Tracker'!$F$5:$F$149,"Next week",'Session Tracker'!$G$5:$G$149,"Thu"),$D177*SUMIFS('Session Tracker'!$J$5:$J$149,'Session Tracker'!$D$5:$D$149,$A177,'Session Tracker'!$F$5:$F$149,"Next week",'Session Tracker'!$G$5:$G$149,"Thu"))</f>
        <v>0</v>
      </c>
      <c r="L177" s="52" t="n">
        <f aca="false">IF($E177="Per class",$D177*COUNTIFS('Session Tracker'!$D$5:$D$149,$A177,'Session Tracker'!$F$5:$F$149,"Next week",'Session Tracker'!$G$5:$G$149,"Fri"),$D177*SUMIFS('Session Tracker'!$J$5:$J$149,'Session Tracker'!$D$5:$D$149,$A177,'Session Tracker'!$F$5:$F$149,"Next week",'Session Tracker'!$G$5:$G$149,"Fri"))</f>
        <v>0</v>
      </c>
      <c r="M177" s="52" t="n">
        <f aca="false">IF($E177="Per class",$D177*COUNTIFS('Session Tracker'!$D$5:$D$149,$A177,'Session Tracker'!$F$5:$F$149,"Next week",'Session Tracker'!$G$5:$G$149,""),$D177*SUMIFS('Session Tracker'!$J$5:$J$149,'Session Tracker'!$D$5:$D$149,$A177,'Session Tracker'!$F$5:$F$149,"Next week",'Session Tracker'!$G$5:$G$149,""))</f>
        <v>0</v>
      </c>
    </row>
    <row r="178" customFormat="false" ht="15" hidden="false" customHeight="false" outlineLevel="0" collapsed="false">
      <c r="A178" s="68" t="s">
        <v>239</v>
      </c>
      <c r="B178" s="34" t="s">
        <v>379</v>
      </c>
      <c r="C178" s="34" t="s">
        <v>380</v>
      </c>
      <c r="D178" s="32" t="n">
        <v>1</v>
      </c>
      <c r="E178" s="32" t="s">
        <v>14</v>
      </c>
      <c r="F178" s="32" t="s">
        <v>368</v>
      </c>
      <c r="G178" s="34"/>
      <c r="H178" s="52" t="n">
        <f aca="false">IF($E178="Per class",$D178*COUNTIFS('Session Tracker'!$D$5:$D$149,$A178,'Session Tracker'!$F$5:$F$149,"Next week",'Session Tracker'!$G$5:$G$149,"Mon"),$D178*SUMIFS('Session Tracker'!$J$5:$J$149,'Session Tracker'!$D$5:$D$149,$A178,'Session Tracker'!$F$5:$F$149,"Next week",'Session Tracker'!$G$5:$G$149,"Mon"))</f>
        <v>0</v>
      </c>
      <c r="I178" s="52" t="n">
        <f aca="false">IF($E178="Per class",$D178*COUNTIFS('Session Tracker'!$D$5:$D$149,$A178,'Session Tracker'!$F$5:$F$149,"Next week",'Session Tracker'!$G$5:$G$149,"Tue"),$D178*SUMIFS('Session Tracker'!$J$5:$J$149,'Session Tracker'!$D$5:$D$149,$A178,'Session Tracker'!$F$5:$F$149,"Next week",'Session Tracker'!$G$5:$G$149,"Tue"))</f>
        <v>0</v>
      </c>
      <c r="J178" s="52" t="n">
        <f aca="false">IF($E178="Per class",$D178*COUNTIFS('Session Tracker'!$D$5:$D$149,$A178,'Session Tracker'!$F$5:$F$149,"Next week",'Session Tracker'!$G$5:$G$149,"Wed"),$D178*SUMIFS('Session Tracker'!$J$5:$J$149,'Session Tracker'!$D$5:$D$149,$A178,'Session Tracker'!$F$5:$F$149,"Next week",'Session Tracker'!$G$5:$G$149,"Wed"))</f>
        <v>0</v>
      </c>
      <c r="K178" s="52" t="n">
        <f aca="false">IF($E178="Per class",$D178*COUNTIFS('Session Tracker'!$D$5:$D$149,$A178,'Session Tracker'!$F$5:$F$149,"Next week",'Session Tracker'!$G$5:$G$149,"Thu"),$D178*SUMIFS('Session Tracker'!$J$5:$J$149,'Session Tracker'!$D$5:$D$149,$A178,'Session Tracker'!$F$5:$F$149,"Next week",'Session Tracker'!$G$5:$G$149,"Thu"))</f>
        <v>0</v>
      </c>
      <c r="L178" s="52" t="n">
        <f aca="false">IF($E178="Per class",$D178*COUNTIFS('Session Tracker'!$D$5:$D$149,$A178,'Session Tracker'!$F$5:$F$149,"Next week",'Session Tracker'!$G$5:$G$149,"Fri"),$D178*SUMIFS('Session Tracker'!$J$5:$J$149,'Session Tracker'!$D$5:$D$149,$A178,'Session Tracker'!$F$5:$F$149,"Next week",'Session Tracker'!$G$5:$G$149,"Fri"))</f>
        <v>0</v>
      </c>
      <c r="M178" s="52" t="n">
        <f aca="false">IF($E178="Per class",$D178*COUNTIFS('Session Tracker'!$D$5:$D$149,$A178,'Session Tracker'!$F$5:$F$149,"Next week",'Session Tracker'!$G$5:$G$149,""),$D178*SUMIFS('Session Tracker'!$J$5:$J$149,'Session Tracker'!$D$5:$D$149,$A178,'Session Tracker'!$F$5:$F$149,"Next week",'Session Tracker'!$G$5:$G$149,""))</f>
        <v>0</v>
      </c>
    </row>
    <row r="179" customFormat="false" ht="15" hidden="false" customHeight="false" outlineLevel="0" collapsed="false">
      <c r="A179" s="68" t="s">
        <v>239</v>
      </c>
      <c r="B179" s="34" t="s">
        <v>379</v>
      </c>
      <c r="C179" s="34" t="s">
        <v>381</v>
      </c>
      <c r="D179" s="32" t="n">
        <v>10</v>
      </c>
      <c r="E179" s="32" t="s">
        <v>14</v>
      </c>
      <c r="F179" s="32" t="s">
        <v>368</v>
      </c>
      <c r="G179" s="34"/>
      <c r="H179" s="52" t="n">
        <f aca="false">IF($E179="Per class",$D179*COUNTIFS('Session Tracker'!$D$5:$D$149,$A179,'Session Tracker'!$F$5:$F$149,"Next week",'Session Tracker'!$G$5:$G$149,"Mon"),$D179*SUMIFS('Session Tracker'!$J$5:$J$149,'Session Tracker'!$D$5:$D$149,$A179,'Session Tracker'!$F$5:$F$149,"Next week",'Session Tracker'!$G$5:$G$149,"Mon"))</f>
        <v>0</v>
      </c>
      <c r="I179" s="52" t="n">
        <f aca="false">IF($E179="Per class",$D179*COUNTIFS('Session Tracker'!$D$5:$D$149,$A179,'Session Tracker'!$F$5:$F$149,"Next week",'Session Tracker'!$G$5:$G$149,"Tue"),$D179*SUMIFS('Session Tracker'!$J$5:$J$149,'Session Tracker'!$D$5:$D$149,$A179,'Session Tracker'!$F$5:$F$149,"Next week",'Session Tracker'!$G$5:$G$149,"Tue"))</f>
        <v>0</v>
      </c>
      <c r="J179" s="52" t="n">
        <f aca="false">IF($E179="Per class",$D179*COUNTIFS('Session Tracker'!$D$5:$D$149,$A179,'Session Tracker'!$F$5:$F$149,"Next week",'Session Tracker'!$G$5:$G$149,"Wed"),$D179*SUMIFS('Session Tracker'!$J$5:$J$149,'Session Tracker'!$D$5:$D$149,$A179,'Session Tracker'!$F$5:$F$149,"Next week",'Session Tracker'!$G$5:$G$149,"Wed"))</f>
        <v>0</v>
      </c>
      <c r="K179" s="52" t="n">
        <f aca="false">IF($E179="Per class",$D179*COUNTIFS('Session Tracker'!$D$5:$D$149,$A179,'Session Tracker'!$F$5:$F$149,"Next week",'Session Tracker'!$G$5:$G$149,"Thu"),$D179*SUMIFS('Session Tracker'!$J$5:$J$149,'Session Tracker'!$D$5:$D$149,$A179,'Session Tracker'!$F$5:$F$149,"Next week",'Session Tracker'!$G$5:$G$149,"Thu"))</f>
        <v>0</v>
      </c>
      <c r="L179" s="52" t="n">
        <f aca="false">IF($E179="Per class",$D179*COUNTIFS('Session Tracker'!$D$5:$D$149,$A179,'Session Tracker'!$F$5:$F$149,"Next week",'Session Tracker'!$G$5:$G$149,"Fri"),$D179*SUMIFS('Session Tracker'!$J$5:$J$149,'Session Tracker'!$D$5:$D$149,$A179,'Session Tracker'!$F$5:$F$149,"Next week",'Session Tracker'!$G$5:$G$149,"Fri"))</f>
        <v>0</v>
      </c>
      <c r="M179" s="52" t="n">
        <f aca="false">IF($E179="Per class",$D179*COUNTIFS('Session Tracker'!$D$5:$D$149,$A179,'Session Tracker'!$F$5:$F$149,"Next week",'Session Tracker'!$G$5:$G$149,""),$D179*SUMIFS('Session Tracker'!$J$5:$J$149,'Session Tracker'!$D$5:$D$149,$A179,'Session Tracker'!$F$5:$F$149,"Next week",'Session Tracker'!$G$5:$G$149,""))</f>
        <v>0</v>
      </c>
    </row>
    <row r="180" customFormat="false" ht="15" hidden="false" customHeight="false" outlineLevel="0" collapsed="false">
      <c r="A180" s="68" t="s">
        <v>239</v>
      </c>
      <c r="B180" s="34" t="s">
        <v>379</v>
      </c>
      <c r="C180" s="34" t="s">
        <v>395</v>
      </c>
      <c r="D180" s="32" t="n">
        <v>10</v>
      </c>
      <c r="E180" s="32" t="s">
        <v>14</v>
      </c>
      <c r="F180" s="32" t="s">
        <v>368</v>
      </c>
      <c r="G180" s="34"/>
      <c r="H180" s="52" t="n">
        <f aca="false">IF($E180="Per class",$D180*COUNTIFS('Session Tracker'!$D$5:$D$149,$A180,'Session Tracker'!$F$5:$F$149,"Next week",'Session Tracker'!$G$5:$G$149,"Mon"),$D180*SUMIFS('Session Tracker'!$J$5:$J$149,'Session Tracker'!$D$5:$D$149,$A180,'Session Tracker'!$F$5:$F$149,"Next week",'Session Tracker'!$G$5:$G$149,"Mon"))</f>
        <v>0</v>
      </c>
      <c r="I180" s="52" t="n">
        <f aca="false">IF($E180="Per class",$D180*COUNTIFS('Session Tracker'!$D$5:$D$149,$A180,'Session Tracker'!$F$5:$F$149,"Next week",'Session Tracker'!$G$5:$G$149,"Tue"),$D180*SUMIFS('Session Tracker'!$J$5:$J$149,'Session Tracker'!$D$5:$D$149,$A180,'Session Tracker'!$F$5:$F$149,"Next week",'Session Tracker'!$G$5:$G$149,"Tue"))</f>
        <v>0</v>
      </c>
      <c r="J180" s="52" t="n">
        <f aca="false">IF($E180="Per class",$D180*COUNTIFS('Session Tracker'!$D$5:$D$149,$A180,'Session Tracker'!$F$5:$F$149,"Next week",'Session Tracker'!$G$5:$G$149,"Wed"),$D180*SUMIFS('Session Tracker'!$J$5:$J$149,'Session Tracker'!$D$5:$D$149,$A180,'Session Tracker'!$F$5:$F$149,"Next week",'Session Tracker'!$G$5:$G$149,"Wed"))</f>
        <v>0</v>
      </c>
      <c r="K180" s="52" t="n">
        <f aca="false">IF($E180="Per class",$D180*COUNTIFS('Session Tracker'!$D$5:$D$149,$A180,'Session Tracker'!$F$5:$F$149,"Next week",'Session Tracker'!$G$5:$G$149,"Thu"),$D180*SUMIFS('Session Tracker'!$J$5:$J$149,'Session Tracker'!$D$5:$D$149,$A180,'Session Tracker'!$F$5:$F$149,"Next week",'Session Tracker'!$G$5:$G$149,"Thu"))</f>
        <v>0</v>
      </c>
      <c r="L180" s="52" t="n">
        <f aca="false">IF($E180="Per class",$D180*COUNTIFS('Session Tracker'!$D$5:$D$149,$A180,'Session Tracker'!$F$5:$F$149,"Next week",'Session Tracker'!$G$5:$G$149,"Fri"),$D180*SUMIFS('Session Tracker'!$J$5:$J$149,'Session Tracker'!$D$5:$D$149,$A180,'Session Tracker'!$F$5:$F$149,"Next week",'Session Tracker'!$G$5:$G$149,"Fri"))</f>
        <v>0</v>
      </c>
      <c r="M180" s="52" t="n">
        <f aca="false">IF($E180="Per class",$D180*COUNTIFS('Session Tracker'!$D$5:$D$149,$A180,'Session Tracker'!$F$5:$F$149,"Next week",'Session Tracker'!$G$5:$G$149,""),$D180*SUMIFS('Session Tracker'!$J$5:$J$149,'Session Tracker'!$D$5:$D$149,$A180,'Session Tracker'!$F$5:$F$149,"Next week",'Session Tracker'!$G$5:$G$149,""))</f>
        <v>0</v>
      </c>
    </row>
    <row r="181" customFormat="false" ht="15" hidden="false" customHeight="false" outlineLevel="0" collapsed="false">
      <c r="A181" s="68" t="s">
        <v>239</v>
      </c>
      <c r="B181" s="34" t="s">
        <v>382</v>
      </c>
      <c r="C181" s="34" t="s">
        <v>383</v>
      </c>
      <c r="D181" s="32" t="n">
        <v>1</v>
      </c>
      <c r="E181" s="32" t="s">
        <v>14</v>
      </c>
      <c r="F181" s="32" t="s">
        <v>368</v>
      </c>
      <c r="G181" s="34"/>
      <c r="H181" s="52" t="n">
        <f aca="false">IF($E181="Per class",$D181*COUNTIFS('Session Tracker'!$D$5:$D$149,$A181,'Session Tracker'!$F$5:$F$149,"Next week",'Session Tracker'!$G$5:$G$149,"Mon"),$D181*SUMIFS('Session Tracker'!$J$5:$J$149,'Session Tracker'!$D$5:$D$149,$A181,'Session Tracker'!$F$5:$F$149,"Next week",'Session Tracker'!$G$5:$G$149,"Mon"))</f>
        <v>0</v>
      </c>
      <c r="I181" s="52" t="n">
        <f aca="false">IF($E181="Per class",$D181*COUNTIFS('Session Tracker'!$D$5:$D$149,$A181,'Session Tracker'!$F$5:$F$149,"Next week",'Session Tracker'!$G$5:$G$149,"Tue"),$D181*SUMIFS('Session Tracker'!$J$5:$J$149,'Session Tracker'!$D$5:$D$149,$A181,'Session Tracker'!$F$5:$F$149,"Next week",'Session Tracker'!$G$5:$G$149,"Tue"))</f>
        <v>0</v>
      </c>
      <c r="J181" s="52" t="n">
        <f aca="false">IF($E181="Per class",$D181*COUNTIFS('Session Tracker'!$D$5:$D$149,$A181,'Session Tracker'!$F$5:$F$149,"Next week",'Session Tracker'!$G$5:$G$149,"Wed"),$D181*SUMIFS('Session Tracker'!$J$5:$J$149,'Session Tracker'!$D$5:$D$149,$A181,'Session Tracker'!$F$5:$F$149,"Next week",'Session Tracker'!$G$5:$G$149,"Wed"))</f>
        <v>0</v>
      </c>
      <c r="K181" s="52" t="n">
        <f aca="false">IF($E181="Per class",$D181*COUNTIFS('Session Tracker'!$D$5:$D$149,$A181,'Session Tracker'!$F$5:$F$149,"Next week",'Session Tracker'!$G$5:$G$149,"Thu"),$D181*SUMIFS('Session Tracker'!$J$5:$J$149,'Session Tracker'!$D$5:$D$149,$A181,'Session Tracker'!$F$5:$F$149,"Next week",'Session Tracker'!$G$5:$G$149,"Thu"))</f>
        <v>0</v>
      </c>
      <c r="L181" s="52" t="n">
        <f aca="false">IF($E181="Per class",$D181*COUNTIFS('Session Tracker'!$D$5:$D$149,$A181,'Session Tracker'!$F$5:$F$149,"Next week",'Session Tracker'!$G$5:$G$149,"Fri"),$D181*SUMIFS('Session Tracker'!$J$5:$J$149,'Session Tracker'!$D$5:$D$149,$A181,'Session Tracker'!$F$5:$F$149,"Next week",'Session Tracker'!$G$5:$G$149,"Fri"))</f>
        <v>0</v>
      </c>
      <c r="M181" s="52" t="n">
        <f aca="false">IF($E181="Per class",$D181*COUNTIFS('Session Tracker'!$D$5:$D$149,$A181,'Session Tracker'!$F$5:$F$149,"Next week",'Session Tracker'!$G$5:$G$149,""),$D181*SUMIFS('Session Tracker'!$J$5:$J$149,'Session Tracker'!$D$5:$D$149,$A181,'Session Tracker'!$F$5:$F$149,"Next week",'Session Tracker'!$G$5:$G$149,""))</f>
        <v>0</v>
      </c>
    </row>
    <row r="182" customFormat="false" ht="15" hidden="false" customHeight="false" outlineLevel="0" collapsed="false">
      <c r="A182" s="53" t="s">
        <v>239</v>
      </c>
      <c r="B182" s="54"/>
      <c r="C182" s="54"/>
      <c r="D182" s="54"/>
      <c r="E182" s="54"/>
      <c r="F182" s="54"/>
      <c r="G182" s="54"/>
      <c r="H182" s="52" t="n">
        <f aca="false">IF($E182="Per class",$D182*COUNTIFS('Session Tracker'!$D$5:$D$149,$A182,'Session Tracker'!$F$5:$F$149,"Next week",'Session Tracker'!$G$5:$G$149,"Mon"),$D182*SUMIFS('Session Tracker'!$J$5:$J$149,'Session Tracker'!$D$5:$D$149,$A182,'Session Tracker'!$F$5:$F$149,"Next week",'Session Tracker'!$G$5:$G$149,"Mon"))</f>
        <v>0</v>
      </c>
      <c r="I182" s="52" t="n">
        <f aca="false">IF($E182="Per class",$D182*COUNTIFS('Session Tracker'!$D$5:$D$149,$A182,'Session Tracker'!$F$5:$F$149,"Next week",'Session Tracker'!$G$5:$G$149,"Tue"),$D182*SUMIFS('Session Tracker'!$J$5:$J$149,'Session Tracker'!$D$5:$D$149,$A182,'Session Tracker'!$F$5:$F$149,"Next week",'Session Tracker'!$G$5:$G$149,"Tue"))</f>
        <v>0</v>
      </c>
      <c r="J182" s="52" t="n">
        <f aca="false">IF($E182="Per class",$D182*COUNTIFS('Session Tracker'!$D$5:$D$149,$A182,'Session Tracker'!$F$5:$F$149,"Next week",'Session Tracker'!$G$5:$G$149,"Wed"),$D182*SUMIFS('Session Tracker'!$J$5:$J$149,'Session Tracker'!$D$5:$D$149,$A182,'Session Tracker'!$F$5:$F$149,"Next week",'Session Tracker'!$G$5:$G$149,"Wed"))</f>
        <v>0</v>
      </c>
      <c r="K182" s="52" t="n">
        <f aca="false">IF($E182="Per class",$D182*COUNTIFS('Session Tracker'!$D$5:$D$149,$A182,'Session Tracker'!$F$5:$F$149,"Next week",'Session Tracker'!$G$5:$G$149,"Thu"),$D182*SUMIFS('Session Tracker'!$J$5:$J$149,'Session Tracker'!$D$5:$D$149,$A182,'Session Tracker'!$F$5:$F$149,"Next week",'Session Tracker'!$G$5:$G$149,"Thu"))</f>
        <v>0</v>
      </c>
      <c r="L182" s="52" t="n">
        <f aca="false">IF($E182="Per class",$D182*COUNTIFS('Session Tracker'!$D$5:$D$149,$A182,'Session Tracker'!$F$5:$F$149,"Next week",'Session Tracker'!$G$5:$G$149,"Fri"),$D182*SUMIFS('Session Tracker'!$J$5:$J$149,'Session Tracker'!$D$5:$D$149,$A182,'Session Tracker'!$F$5:$F$149,"Next week",'Session Tracker'!$G$5:$G$149,"Fri"))</f>
        <v>0</v>
      </c>
      <c r="M182" s="52" t="n">
        <f aca="false">IF($E182="Per class",$D182*COUNTIFS('Session Tracker'!$D$5:$D$149,$A182,'Session Tracker'!$F$5:$F$149,"Next week",'Session Tracker'!$G$5:$G$149,""),$D182*SUMIFS('Session Tracker'!$J$5:$J$149,'Session Tracker'!$D$5:$D$149,$A182,'Session Tracker'!$F$5:$F$149,"Next week",'Session Tracker'!$G$5:$G$149,""))</f>
        <v>0</v>
      </c>
    </row>
    <row r="183" customFormat="false" ht="15" hidden="false" customHeight="false" outlineLevel="0" collapsed="false">
      <c r="A183" s="53" t="s">
        <v>239</v>
      </c>
      <c r="B183" s="54"/>
      <c r="C183" s="54"/>
      <c r="D183" s="54"/>
      <c r="E183" s="54"/>
      <c r="F183" s="54"/>
      <c r="G183" s="54"/>
      <c r="H183" s="52" t="n">
        <f aca="false">IF($E183="Per class",$D183*COUNTIFS('Session Tracker'!$D$5:$D$149,$A183,'Session Tracker'!$F$5:$F$149,"Next week",'Session Tracker'!$G$5:$G$149,"Mon"),$D183*SUMIFS('Session Tracker'!$J$5:$J$149,'Session Tracker'!$D$5:$D$149,$A183,'Session Tracker'!$F$5:$F$149,"Next week",'Session Tracker'!$G$5:$G$149,"Mon"))</f>
        <v>0</v>
      </c>
      <c r="I183" s="52" t="n">
        <f aca="false">IF($E183="Per class",$D183*COUNTIFS('Session Tracker'!$D$5:$D$149,$A183,'Session Tracker'!$F$5:$F$149,"Next week",'Session Tracker'!$G$5:$G$149,"Tue"),$D183*SUMIFS('Session Tracker'!$J$5:$J$149,'Session Tracker'!$D$5:$D$149,$A183,'Session Tracker'!$F$5:$F$149,"Next week",'Session Tracker'!$G$5:$G$149,"Tue"))</f>
        <v>0</v>
      </c>
      <c r="J183" s="52" t="n">
        <f aca="false">IF($E183="Per class",$D183*COUNTIFS('Session Tracker'!$D$5:$D$149,$A183,'Session Tracker'!$F$5:$F$149,"Next week",'Session Tracker'!$G$5:$G$149,"Wed"),$D183*SUMIFS('Session Tracker'!$J$5:$J$149,'Session Tracker'!$D$5:$D$149,$A183,'Session Tracker'!$F$5:$F$149,"Next week",'Session Tracker'!$G$5:$G$149,"Wed"))</f>
        <v>0</v>
      </c>
      <c r="K183" s="52" t="n">
        <f aca="false">IF($E183="Per class",$D183*COUNTIFS('Session Tracker'!$D$5:$D$149,$A183,'Session Tracker'!$F$5:$F$149,"Next week",'Session Tracker'!$G$5:$G$149,"Thu"),$D183*SUMIFS('Session Tracker'!$J$5:$J$149,'Session Tracker'!$D$5:$D$149,$A183,'Session Tracker'!$F$5:$F$149,"Next week",'Session Tracker'!$G$5:$G$149,"Thu"))</f>
        <v>0</v>
      </c>
      <c r="L183" s="52" t="n">
        <f aca="false">IF($E183="Per class",$D183*COUNTIFS('Session Tracker'!$D$5:$D$149,$A183,'Session Tracker'!$F$5:$F$149,"Next week",'Session Tracker'!$G$5:$G$149,"Fri"),$D183*SUMIFS('Session Tracker'!$J$5:$J$149,'Session Tracker'!$D$5:$D$149,$A183,'Session Tracker'!$F$5:$F$149,"Next week",'Session Tracker'!$G$5:$G$149,"Fri"))</f>
        <v>0</v>
      </c>
      <c r="M183" s="52" t="n">
        <f aca="false">IF($E183="Per class",$D183*COUNTIFS('Session Tracker'!$D$5:$D$149,$A183,'Session Tracker'!$F$5:$F$149,"Next week",'Session Tracker'!$G$5:$G$149,""),$D183*SUMIFS('Session Tracker'!$J$5:$J$149,'Session Tracker'!$D$5:$D$149,$A183,'Session Tracker'!$F$5:$F$149,"Next week",'Session Tracker'!$G$5:$G$149,""))</f>
        <v>0</v>
      </c>
    </row>
    <row r="185" customFormat="false" ht="19.5" hidden="false" customHeight="true" outlineLevel="0" collapsed="false">
      <c r="A185" s="64" t="s">
        <v>241</v>
      </c>
      <c r="B185" s="65" t="s">
        <v>611</v>
      </c>
      <c r="C185" s="65"/>
      <c r="D185" s="65"/>
      <c r="E185" s="65"/>
      <c r="F185" s="66" t="str">
        <f aca="false">"Status: "&amp;'Session Tracker'!F90&amp;IF('Session Tracker'!G90&lt;&gt;""," ("&amp;'Session Tracker'!G90&amp;")","")</f>
        <v>Status: Not started</v>
      </c>
      <c r="G185" s="66"/>
      <c r="H185" s="67"/>
      <c r="I185" s="67"/>
      <c r="J185" s="67"/>
      <c r="K185" s="67"/>
      <c r="L185" s="67"/>
      <c r="M185" s="67"/>
    </row>
    <row r="186" customFormat="false" ht="23.85" hidden="false" customHeight="false" outlineLevel="0" collapsed="false">
      <c r="A186" s="68" t="s">
        <v>241</v>
      </c>
      <c r="B186" s="34" t="s">
        <v>366</v>
      </c>
      <c r="C186" s="34" t="s">
        <v>367</v>
      </c>
      <c r="D186" s="32" t="n">
        <v>1</v>
      </c>
      <c r="E186" s="32" t="s">
        <v>14</v>
      </c>
      <c r="F186" s="32" t="s">
        <v>368</v>
      </c>
      <c r="G186" s="34"/>
      <c r="H186" s="52" t="n">
        <f aca="false">IF($E186="Per class",$D186*COUNTIFS('Session Tracker'!$D$5:$D$149,$A186,'Session Tracker'!$F$5:$F$149,"Next week",'Session Tracker'!$G$5:$G$149,"Mon"),$D186*SUMIFS('Session Tracker'!$J$5:$J$149,'Session Tracker'!$D$5:$D$149,$A186,'Session Tracker'!$F$5:$F$149,"Next week",'Session Tracker'!$G$5:$G$149,"Mon"))</f>
        <v>0</v>
      </c>
      <c r="I186" s="52" t="n">
        <f aca="false">IF($E186="Per class",$D186*COUNTIFS('Session Tracker'!$D$5:$D$149,$A186,'Session Tracker'!$F$5:$F$149,"Next week",'Session Tracker'!$G$5:$G$149,"Tue"),$D186*SUMIFS('Session Tracker'!$J$5:$J$149,'Session Tracker'!$D$5:$D$149,$A186,'Session Tracker'!$F$5:$F$149,"Next week",'Session Tracker'!$G$5:$G$149,"Tue"))</f>
        <v>0</v>
      </c>
      <c r="J186" s="52" t="n">
        <f aca="false">IF($E186="Per class",$D186*COUNTIFS('Session Tracker'!$D$5:$D$149,$A186,'Session Tracker'!$F$5:$F$149,"Next week",'Session Tracker'!$G$5:$G$149,"Wed"),$D186*SUMIFS('Session Tracker'!$J$5:$J$149,'Session Tracker'!$D$5:$D$149,$A186,'Session Tracker'!$F$5:$F$149,"Next week",'Session Tracker'!$G$5:$G$149,"Wed"))</f>
        <v>0</v>
      </c>
      <c r="K186" s="52" t="n">
        <f aca="false">IF($E186="Per class",$D186*COUNTIFS('Session Tracker'!$D$5:$D$149,$A186,'Session Tracker'!$F$5:$F$149,"Next week",'Session Tracker'!$G$5:$G$149,"Thu"),$D186*SUMIFS('Session Tracker'!$J$5:$J$149,'Session Tracker'!$D$5:$D$149,$A186,'Session Tracker'!$F$5:$F$149,"Next week",'Session Tracker'!$G$5:$G$149,"Thu"))</f>
        <v>0</v>
      </c>
      <c r="L186" s="52" t="n">
        <f aca="false">IF($E186="Per class",$D186*COUNTIFS('Session Tracker'!$D$5:$D$149,$A186,'Session Tracker'!$F$5:$F$149,"Next week",'Session Tracker'!$G$5:$G$149,"Fri"),$D186*SUMIFS('Session Tracker'!$J$5:$J$149,'Session Tracker'!$D$5:$D$149,$A186,'Session Tracker'!$F$5:$F$149,"Next week",'Session Tracker'!$G$5:$G$149,"Fri"))</f>
        <v>0</v>
      </c>
      <c r="M186" s="52" t="n">
        <f aca="false">IF($E186="Per class",$D186*COUNTIFS('Session Tracker'!$D$5:$D$149,$A186,'Session Tracker'!$F$5:$F$149,"Next week",'Session Tracker'!$G$5:$G$149,""),$D186*SUMIFS('Session Tracker'!$J$5:$J$149,'Session Tracker'!$D$5:$D$149,$A186,'Session Tracker'!$F$5:$F$149,"Next week",'Session Tracker'!$G$5:$G$149,""))</f>
        <v>0</v>
      </c>
    </row>
    <row r="187" customFormat="false" ht="15" hidden="false" customHeight="false" outlineLevel="0" collapsed="false">
      <c r="A187" s="68" t="s">
        <v>241</v>
      </c>
      <c r="B187" s="34" t="s">
        <v>409</v>
      </c>
      <c r="C187" s="34" t="s">
        <v>612</v>
      </c>
      <c r="D187" s="32" t="n">
        <v>1</v>
      </c>
      <c r="E187" s="32" t="s">
        <v>14</v>
      </c>
      <c r="F187" s="32" t="s">
        <v>368</v>
      </c>
      <c r="G187" s="34" t="s">
        <v>613</v>
      </c>
      <c r="H187" s="52" t="n">
        <f aca="false">IF($E187="Per class",$D187*COUNTIFS('Session Tracker'!$D$5:$D$149,$A187,'Session Tracker'!$F$5:$F$149,"Next week",'Session Tracker'!$G$5:$G$149,"Mon"),$D187*SUMIFS('Session Tracker'!$J$5:$J$149,'Session Tracker'!$D$5:$D$149,$A187,'Session Tracker'!$F$5:$F$149,"Next week",'Session Tracker'!$G$5:$G$149,"Mon"))</f>
        <v>0</v>
      </c>
      <c r="I187" s="52" t="n">
        <f aca="false">IF($E187="Per class",$D187*COUNTIFS('Session Tracker'!$D$5:$D$149,$A187,'Session Tracker'!$F$5:$F$149,"Next week",'Session Tracker'!$G$5:$G$149,"Tue"),$D187*SUMIFS('Session Tracker'!$J$5:$J$149,'Session Tracker'!$D$5:$D$149,$A187,'Session Tracker'!$F$5:$F$149,"Next week",'Session Tracker'!$G$5:$G$149,"Tue"))</f>
        <v>0</v>
      </c>
      <c r="J187" s="52" t="n">
        <f aca="false">IF($E187="Per class",$D187*COUNTIFS('Session Tracker'!$D$5:$D$149,$A187,'Session Tracker'!$F$5:$F$149,"Next week",'Session Tracker'!$G$5:$G$149,"Wed"),$D187*SUMIFS('Session Tracker'!$J$5:$J$149,'Session Tracker'!$D$5:$D$149,$A187,'Session Tracker'!$F$5:$F$149,"Next week",'Session Tracker'!$G$5:$G$149,"Wed"))</f>
        <v>0</v>
      </c>
      <c r="K187" s="52" t="n">
        <f aca="false">IF($E187="Per class",$D187*COUNTIFS('Session Tracker'!$D$5:$D$149,$A187,'Session Tracker'!$F$5:$F$149,"Next week",'Session Tracker'!$G$5:$G$149,"Thu"),$D187*SUMIFS('Session Tracker'!$J$5:$J$149,'Session Tracker'!$D$5:$D$149,$A187,'Session Tracker'!$F$5:$F$149,"Next week",'Session Tracker'!$G$5:$G$149,"Thu"))</f>
        <v>0</v>
      </c>
      <c r="L187" s="52" t="n">
        <f aca="false">IF($E187="Per class",$D187*COUNTIFS('Session Tracker'!$D$5:$D$149,$A187,'Session Tracker'!$F$5:$F$149,"Next week",'Session Tracker'!$G$5:$G$149,"Fri"),$D187*SUMIFS('Session Tracker'!$J$5:$J$149,'Session Tracker'!$D$5:$D$149,$A187,'Session Tracker'!$F$5:$F$149,"Next week",'Session Tracker'!$G$5:$G$149,"Fri"))</f>
        <v>0</v>
      </c>
      <c r="M187" s="52" t="n">
        <f aca="false">IF($E187="Per class",$D187*COUNTIFS('Session Tracker'!$D$5:$D$149,$A187,'Session Tracker'!$F$5:$F$149,"Next week",'Session Tracker'!$G$5:$G$149,""),$D187*SUMIFS('Session Tracker'!$J$5:$J$149,'Session Tracker'!$D$5:$D$149,$A187,'Session Tracker'!$F$5:$F$149,"Next week",'Session Tracker'!$G$5:$G$149,""))</f>
        <v>0</v>
      </c>
    </row>
    <row r="188" customFormat="false" ht="15" hidden="false" customHeight="false" outlineLevel="0" collapsed="false">
      <c r="A188" s="68" t="s">
        <v>241</v>
      </c>
      <c r="B188" s="34" t="s">
        <v>409</v>
      </c>
      <c r="C188" s="34" t="s">
        <v>614</v>
      </c>
      <c r="D188" s="32" t="n">
        <v>1</v>
      </c>
      <c r="E188" s="32" t="s">
        <v>14</v>
      </c>
      <c r="F188" s="32" t="s">
        <v>368</v>
      </c>
      <c r="G188" s="34"/>
      <c r="H188" s="52" t="n">
        <f aca="false">IF($E188="Per class",$D188*COUNTIFS('Session Tracker'!$D$5:$D$149,$A188,'Session Tracker'!$F$5:$F$149,"Next week",'Session Tracker'!$G$5:$G$149,"Mon"),$D188*SUMIFS('Session Tracker'!$J$5:$J$149,'Session Tracker'!$D$5:$D$149,$A188,'Session Tracker'!$F$5:$F$149,"Next week",'Session Tracker'!$G$5:$G$149,"Mon"))</f>
        <v>0</v>
      </c>
      <c r="I188" s="52" t="n">
        <f aca="false">IF($E188="Per class",$D188*COUNTIFS('Session Tracker'!$D$5:$D$149,$A188,'Session Tracker'!$F$5:$F$149,"Next week",'Session Tracker'!$G$5:$G$149,"Tue"),$D188*SUMIFS('Session Tracker'!$J$5:$J$149,'Session Tracker'!$D$5:$D$149,$A188,'Session Tracker'!$F$5:$F$149,"Next week",'Session Tracker'!$G$5:$G$149,"Tue"))</f>
        <v>0</v>
      </c>
      <c r="J188" s="52" t="n">
        <f aca="false">IF($E188="Per class",$D188*COUNTIFS('Session Tracker'!$D$5:$D$149,$A188,'Session Tracker'!$F$5:$F$149,"Next week",'Session Tracker'!$G$5:$G$149,"Wed"),$D188*SUMIFS('Session Tracker'!$J$5:$J$149,'Session Tracker'!$D$5:$D$149,$A188,'Session Tracker'!$F$5:$F$149,"Next week",'Session Tracker'!$G$5:$G$149,"Wed"))</f>
        <v>0</v>
      </c>
      <c r="K188" s="52" t="n">
        <f aca="false">IF($E188="Per class",$D188*COUNTIFS('Session Tracker'!$D$5:$D$149,$A188,'Session Tracker'!$F$5:$F$149,"Next week",'Session Tracker'!$G$5:$G$149,"Thu"),$D188*SUMIFS('Session Tracker'!$J$5:$J$149,'Session Tracker'!$D$5:$D$149,$A188,'Session Tracker'!$F$5:$F$149,"Next week",'Session Tracker'!$G$5:$G$149,"Thu"))</f>
        <v>0</v>
      </c>
      <c r="L188" s="52" t="n">
        <f aca="false">IF($E188="Per class",$D188*COUNTIFS('Session Tracker'!$D$5:$D$149,$A188,'Session Tracker'!$F$5:$F$149,"Next week",'Session Tracker'!$G$5:$G$149,"Fri"),$D188*SUMIFS('Session Tracker'!$J$5:$J$149,'Session Tracker'!$D$5:$D$149,$A188,'Session Tracker'!$F$5:$F$149,"Next week",'Session Tracker'!$G$5:$G$149,"Fri"))</f>
        <v>0</v>
      </c>
      <c r="M188" s="52" t="n">
        <f aca="false">IF($E188="Per class",$D188*COUNTIFS('Session Tracker'!$D$5:$D$149,$A188,'Session Tracker'!$F$5:$F$149,"Next week",'Session Tracker'!$G$5:$G$149,""),$D188*SUMIFS('Session Tracker'!$J$5:$J$149,'Session Tracker'!$D$5:$D$149,$A188,'Session Tracker'!$F$5:$F$149,"Next week",'Session Tracker'!$G$5:$G$149,""))</f>
        <v>0</v>
      </c>
    </row>
    <row r="189" customFormat="false" ht="15" hidden="false" customHeight="false" outlineLevel="0" collapsed="false">
      <c r="A189" s="68" t="s">
        <v>241</v>
      </c>
      <c r="B189" s="34" t="s">
        <v>409</v>
      </c>
      <c r="C189" s="34" t="s">
        <v>615</v>
      </c>
      <c r="D189" s="32" t="n">
        <v>1</v>
      </c>
      <c r="E189" s="32" t="s">
        <v>14</v>
      </c>
      <c r="F189" s="32" t="s">
        <v>368</v>
      </c>
      <c r="G189" s="34"/>
      <c r="H189" s="52" t="n">
        <f aca="false">IF($E189="Per class",$D189*COUNTIFS('Session Tracker'!$D$5:$D$149,$A189,'Session Tracker'!$F$5:$F$149,"Next week",'Session Tracker'!$G$5:$G$149,"Mon"),$D189*SUMIFS('Session Tracker'!$J$5:$J$149,'Session Tracker'!$D$5:$D$149,$A189,'Session Tracker'!$F$5:$F$149,"Next week",'Session Tracker'!$G$5:$G$149,"Mon"))</f>
        <v>0</v>
      </c>
      <c r="I189" s="52" t="n">
        <f aca="false">IF($E189="Per class",$D189*COUNTIFS('Session Tracker'!$D$5:$D$149,$A189,'Session Tracker'!$F$5:$F$149,"Next week",'Session Tracker'!$G$5:$G$149,"Tue"),$D189*SUMIFS('Session Tracker'!$J$5:$J$149,'Session Tracker'!$D$5:$D$149,$A189,'Session Tracker'!$F$5:$F$149,"Next week",'Session Tracker'!$G$5:$G$149,"Tue"))</f>
        <v>0</v>
      </c>
      <c r="J189" s="52" t="n">
        <f aca="false">IF($E189="Per class",$D189*COUNTIFS('Session Tracker'!$D$5:$D$149,$A189,'Session Tracker'!$F$5:$F$149,"Next week",'Session Tracker'!$G$5:$G$149,"Wed"),$D189*SUMIFS('Session Tracker'!$J$5:$J$149,'Session Tracker'!$D$5:$D$149,$A189,'Session Tracker'!$F$5:$F$149,"Next week",'Session Tracker'!$G$5:$G$149,"Wed"))</f>
        <v>0</v>
      </c>
      <c r="K189" s="52" t="n">
        <f aca="false">IF($E189="Per class",$D189*COUNTIFS('Session Tracker'!$D$5:$D$149,$A189,'Session Tracker'!$F$5:$F$149,"Next week",'Session Tracker'!$G$5:$G$149,"Thu"),$D189*SUMIFS('Session Tracker'!$J$5:$J$149,'Session Tracker'!$D$5:$D$149,$A189,'Session Tracker'!$F$5:$F$149,"Next week",'Session Tracker'!$G$5:$G$149,"Thu"))</f>
        <v>0</v>
      </c>
      <c r="L189" s="52" t="n">
        <f aca="false">IF($E189="Per class",$D189*COUNTIFS('Session Tracker'!$D$5:$D$149,$A189,'Session Tracker'!$F$5:$F$149,"Next week",'Session Tracker'!$G$5:$G$149,"Fri"),$D189*SUMIFS('Session Tracker'!$J$5:$J$149,'Session Tracker'!$D$5:$D$149,$A189,'Session Tracker'!$F$5:$F$149,"Next week",'Session Tracker'!$G$5:$G$149,"Fri"))</f>
        <v>0</v>
      </c>
      <c r="M189" s="52" t="n">
        <f aca="false">IF($E189="Per class",$D189*COUNTIFS('Session Tracker'!$D$5:$D$149,$A189,'Session Tracker'!$F$5:$F$149,"Next week",'Session Tracker'!$G$5:$G$149,""),$D189*SUMIFS('Session Tracker'!$J$5:$J$149,'Session Tracker'!$D$5:$D$149,$A189,'Session Tracker'!$F$5:$F$149,"Next week",'Session Tracker'!$G$5:$G$149,""))</f>
        <v>0</v>
      </c>
    </row>
    <row r="190" customFormat="false" ht="15" hidden="false" customHeight="false" outlineLevel="0" collapsed="false">
      <c r="A190" s="68" t="s">
        <v>241</v>
      </c>
      <c r="B190" s="34" t="s">
        <v>382</v>
      </c>
      <c r="C190" s="34" t="s">
        <v>484</v>
      </c>
      <c r="D190" s="32" t="n">
        <v>1</v>
      </c>
      <c r="E190" s="32" t="s">
        <v>14</v>
      </c>
      <c r="F190" s="32" t="s">
        <v>368</v>
      </c>
      <c r="G190" s="34"/>
      <c r="H190" s="52" t="n">
        <f aca="false">IF($E190="Per class",$D190*COUNTIFS('Session Tracker'!$D$5:$D$149,$A190,'Session Tracker'!$F$5:$F$149,"Next week",'Session Tracker'!$G$5:$G$149,"Mon"),$D190*SUMIFS('Session Tracker'!$J$5:$J$149,'Session Tracker'!$D$5:$D$149,$A190,'Session Tracker'!$F$5:$F$149,"Next week",'Session Tracker'!$G$5:$G$149,"Mon"))</f>
        <v>0</v>
      </c>
      <c r="I190" s="52" t="n">
        <f aca="false">IF($E190="Per class",$D190*COUNTIFS('Session Tracker'!$D$5:$D$149,$A190,'Session Tracker'!$F$5:$F$149,"Next week",'Session Tracker'!$G$5:$G$149,"Tue"),$D190*SUMIFS('Session Tracker'!$J$5:$J$149,'Session Tracker'!$D$5:$D$149,$A190,'Session Tracker'!$F$5:$F$149,"Next week",'Session Tracker'!$G$5:$G$149,"Tue"))</f>
        <v>0</v>
      </c>
      <c r="J190" s="52" t="n">
        <f aca="false">IF($E190="Per class",$D190*COUNTIFS('Session Tracker'!$D$5:$D$149,$A190,'Session Tracker'!$F$5:$F$149,"Next week",'Session Tracker'!$G$5:$G$149,"Wed"),$D190*SUMIFS('Session Tracker'!$J$5:$J$149,'Session Tracker'!$D$5:$D$149,$A190,'Session Tracker'!$F$5:$F$149,"Next week",'Session Tracker'!$G$5:$G$149,"Wed"))</f>
        <v>0</v>
      </c>
      <c r="K190" s="52" t="n">
        <f aca="false">IF($E190="Per class",$D190*COUNTIFS('Session Tracker'!$D$5:$D$149,$A190,'Session Tracker'!$F$5:$F$149,"Next week",'Session Tracker'!$G$5:$G$149,"Thu"),$D190*SUMIFS('Session Tracker'!$J$5:$J$149,'Session Tracker'!$D$5:$D$149,$A190,'Session Tracker'!$F$5:$F$149,"Next week",'Session Tracker'!$G$5:$G$149,"Thu"))</f>
        <v>0</v>
      </c>
      <c r="L190" s="52" t="n">
        <f aca="false">IF($E190="Per class",$D190*COUNTIFS('Session Tracker'!$D$5:$D$149,$A190,'Session Tracker'!$F$5:$F$149,"Next week",'Session Tracker'!$G$5:$G$149,"Fri"),$D190*SUMIFS('Session Tracker'!$J$5:$J$149,'Session Tracker'!$D$5:$D$149,$A190,'Session Tracker'!$F$5:$F$149,"Next week",'Session Tracker'!$G$5:$G$149,"Fri"))</f>
        <v>0</v>
      </c>
      <c r="M190" s="52" t="n">
        <f aca="false">IF($E190="Per class",$D190*COUNTIFS('Session Tracker'!$D$5:$D$149,$A190,'Session Tracker'!$F$5:$F$149,"Next week",'Session Tracker'!$G$5:$G$149,""),$D190*SUMIFS('Session Tracker'!$J$5:$J$149,'Session Tracker'!$D$5:$D$149,$A190,'Session Tracker'!$F$5:$F$149,"Next week",'Session Tracker'!$G$5:$G$149,""))</f>
        <v>0</v>
      </c>
    </row>
    <row r="191" customFormat="false" ht="15" hidden="false" customHeight="false" outlineLevel="0" collapsed="false">
      <c r="A191" s="68" t="s">
        <v>241</v>
      </c>
      <c r="B191" s="34" t="s">
        <v>371</v>
      </c>
      <c r="C191" s="34" t="s">
        <v>517</v>
      </c>
      <c r="D191" s="32" t="n">
        <v>1</v>
      </c>
      <c r="E191" s="32" t="s">
        <v>14</v>
      </c>
      <c r="F191" s="32" t="s">
        <v>368</v>
      </c>
      <c r="G191" s="34"/>
      <c r="H191" s="52" t="n">
        <f aca="false">IF($E191="Per class",$D191*COUNTIFS('Session Tracker'!$D$5:$D$149,$A191,'Session Tracker'!$F$5:$F$149,"Next week",'Session Tracker'!$G$5:$G$149,"Mon"),$D191*SUMIFS('Session Tracker'!$J$5:$J$149,'Session Tracker'!$D$5:$D$149,$A191,'Session Tracker'!$F$5:$F$149,"Next week",'Session Tracker'!$G$5:$G$149,"Mon"))</f>
        <v>0</v>
      </c>
      <c r="I191" s="52" t="n">
        <f aca="false">IF($E191="Per class",$D191*COUNTIFS('Session Tracker'!$D$5:$D$149,$A191,'Session Tracker'!$F$5:$F$149,"Next week",'Session Tracker'!$G$5:$G$149,"Tue"),$D191*SUMIFS('Session Tracker'!$J$5:$J$149,'Session Tracker'!$D$5:$D$149,$A191,'Session Tracker'!$F$5:$F$149,"Next week",'Session Tracker'!$G$5:$G$149,"Tue"))</f>
        <v>0</v>
      </c>
      <c r="J191" s="52" t="n">
        <f aca="false">IF($E191="Per class",$D191*COUNTIFS('Session Tracker'!$D$5:$D$149,$A191,'Session Tracker'!$F$5:$F$149,"Next week",'Session Tracker'!$G$5:$G$149,"Wed"),$D191*SUMIFS('Session Tracker'!$J$5:$J$149,'Session Tracker'!$D$5:$D$149,$A191,'Session Tracker'!$F$5:$F$149,"Next week",'Session Tracker'!$G$5:$G$149,"Wed"))</f>
        <v>0</v>
      </c>
      <c r="K191" s="52" t="n">
        <f aca="false">IF($E191="Per class",$D191*COUNTIFS('Session Tracker'!$D$5:$D$149,$A191,'Session Tracker'!$F$5:$F$149,"Next week",'Session Tracker'!$G$5:$G$149,"Thu"),$D191*SUMIFS('Session Tracker'!$J$5:$J$149,'Session Tracker'!$D$5:$D$149,$A191,'Session Tracker'!$F$5:$F$149,"Next week",'Session Tracker'!$G$5:$G$149,"Thu"))</f>
        <v>0</v>
      </c>
      <c r="L191" s="52" t="n">
        <f aca="false">IF($E191="Per class",$D191*COUNTIFS('Session Tracker'!$D$5:$D$149,$A191,'Session Tracker'!$F$5:$F$149,"Next week",'Session Tracker'!$G$5:$G$149,"Fri"),$D191*SUMIFS('Session Tracker'!$J$5:$J$149,'Session Tracker'!$D$5:$D$149,$A191,'Session Tracker'!$F$5:$F$149,"Next week",'Session Tracker'!$G$5:$G$149,"Fri"))</f>
        <v>0</v>
      </c>
      <c r="M191" s="52" t="n">
        <f aca="false">IF($E191="Per class",$D191*COUNTIFS('Session Tracker'!$D$5:$D$149,$A191,'Session Tracker'!$F$5:$F$149,"Next week",'Session Tracker'!$G$5:$G$149,""),$D191*SUMIFS('Session Tracker'!$J$5:$J$149,'Session Tracker'!$D$5:$D$149,$A191,'Session Tracker'!$F$5:$F$149,"Next week",'Session Tracker'!$G$5:$G$149,""))</f>
        <v>0</v>
      </c>
    </row>
    <row r="192" customFormat="false" ht="15" hidden="false" customHeight="false" outlineLevel="0" collapsed="false">
      <c r="A192" s="68" t="s">
        <v>241</v>
      </c>
      <c r="B192" s="34" t="s">
        <v>375</v>
      </c>
      <c r="C192" s="34" t="s">
        <v>417</v>
      </c>
      <c r="D192" s="32" t="n">
        <v>2</v>
      </c>
      <c r="E192" s="32" t="s">
        <v>14</v>
      </c>
      <c r="F192" s="32" t="s">
        <v>373</v>
      </c>
      <c r="G192" s="34" t="s">
        <v>616</v>
      </c>
      <c r="H192" s="52" t="n">
        <f aca="false">IF($E192="Per class",$D192*COUNTIFS('Session Tracker'!$D$5:$D$149,$A192,'Session Tracker'!$F$5:$F$149,"Next week",'Session Tracker'!$G$5:$G$149,"Mon"),$D192*SUMIFS('Session Tracker'!$J$5:$J$149,'Session Tracker'!$D$5:$D$149,$A192,'Session Tracker'!$F$5:$F$149,"Next week",'Session Tracker'!$G$5:$G$149,"Mon"))</f>
        <v>0</v>
      </c>
      <c r="I192" s="52" t="n">
        <f aca="false">IF($E192="Per class",$D192*COUNTIFS('Session Tracker'!$D$5:$D$149,$A192,'Session Tracker'!$F$5:$F$149,"Next week",'Session Tracker'!$G$5:$G$149,"Tue"),$D192*SUMIFS('Session Tracker'!$J$5:$J$149,'Session Tracker'!$D$5:$D$149,$A192,'Session Tracker'!$F$5:$F$149,"Next week",'Session Tracker'!$G$5:$G$149,"Tue"))</f>
        <v>0</v>
      </c>
      <c r="J192" s="52" t="n">
        <f aca="false">IF($E192="Per class",$D192*COUNTIFS('Session Tracker'!$D$5:$D$149,$A192,'Session Tracker'!$F$5:$F$149,"Next week",'Session Tracker'!$G$5:$G$149,"Wed"),$D192*SUMIFS('Session Tracker'!$J$5:$J$149,'Session Tracker'!$D$5:$D$149,$A192,'Session Tracker'!$F$5:$F$149,"Next week",'Session Tracker'!$G$5:$G$149,"Wed"))</f>
        <v>0</v>
      </c>
      <c r="K192" s="52" t="n">
        <f aca="false">IF($E192="Per class",$D192*COUNTIFS('Session Tracker'!$D$5:$D$149,$A192,'Session Tracker'!$F$5:$F$149,"Next week",'Session Tracker'!$G$5:$G$149,"Thu"),$D192*SUMIFS('Session Tracker'!$J$5:$J$149,'Session Tracker'!$D$5:$D$149,$A192,'Session Tracker'!$F$5:$F$149,"Next week",'Session Tracker'!$G$5:$G$149,"Thu"))</f>
        <v>0</v>
      </c>
      <c r="L192" s="52" t="n">
        <f aca="false">IF($E192="Per class",$D192*COUNTIFS('Session Tracker'!$D$5:$D$149,$A192,'Session Tracker'!$F$5:$F$149,"Next week",'Session Tracker'!$G$5:$G$149,"Fri"),$D192*SUMIFS('Session Tracker'!$J$5:$J$149,'Session Tracker'!$D$5:$D$149,$A192,'Session Tracker'!$F$5:$F$149,"Next week",'Session Tracker'!$G$5:$G$149,"Fri"))</f>
        <v>0</v>
      </c>
      <c r="M192" s="52" t="n">
        <f aca="false">IF($E192="Per class",$D192*COUNTIFS('Session Tracker'!$D$5:$D$149,$A192,'Session Tracker'!$F$5:$F$149,"Next week",'Session Tracker'!$G$5:$G$149,""),$D192*SUMIFS('Session Tracker'!$J$5:$J$149,'Session Tracker'!$D$5:$D$149,$A192,'Session Tracker'!$F$5:$F$149,"Next week",'Session Tracker'!$G$5:$G$149,""))</f>
        <v>0</v>
      </c>
    </row>
    <row r="193" customFormat="false" ht="15" hidden="false" customHeight="false" outlineLevel="0" collapsed="false">
      <c r="A193" s="68" t="s">
        <v>241</v>
      </c>
      <c r="B193" s="34" t="s">
        <v>379</v>
      </c>
      <c r="C193" s="34" t="s">
        <v>380</v>
      </c>
      <c r="D193" s="32" t="n">
        <v>1</v>
      </c>
      <c r="E193" s="32" t="s">
        <v>14</v>
      </c>
      <c r="F193" s="32" t="s">
        <v>368</v>
      </c>
      <c r="G193" s="34"/>
      <c r="H193" s="52" t="n">
        <f aca="false">IF($E193="Per class",$D193*COUNTIFS('Session Tracker'!$D$5:$D$149,$A193,'Session Tracker'!$F$5:$F$149,"Next week",'Session Tracker'!$G$5:$G$149,"Mon"),$D193*SUMIFS('Session Tracker'!$J$5:$J$149,'Session Tracker'!$D$5:$D$149,$A193,'Session Tracker'!$F$5:$F$149,"Next week",'Session Tracker'!$G$5:$G$149,"Mon"))</f>
        <v>0</v>
      </c>
      <c r="I193" s="52" t="n">
        <f aca="false">IF($E193="Per class",$D193*COUNTIFS('Session Tracker'!$D$5:$D$149,$A193,'Session Tracker'!$F$5:$F$149,"Next week",'Session Tracker'!$G$5:$G$149,"Tue"),$D193*SUMIFS('Session Tracker'!$J$5:$J$149,'Session Tracker'!$D$5:$D$149,$A193,'Session Tracker'!$F$5:$F$149,"Next week",'Session Tracker'!$G$5:$G$149,"Tue"))</f>
        <v>0</v>
      </c>
      <c r="J193" s="52" t="n">
        <f aca="false">IF($E193="Per class",$D193*COUNTIFS('Session Tracker'!$D$5:$D$149,$A193,'Session Tracker'!$F$5:$F$149,"Next week",'Session Tracker'!$G$5:$G$149,"Wed"),$D193*SUMIFS('Session Tracker'!$J$5:$J$149,'Session Tracker'!$D$5:$D$149,$A193,'Session Tracker'!$F$5:$F$149,"Next week",'Session Tracker'!$G$5:$G$149,"Wed"))</f>
        <v>0</v>
      </c>
      <c r="K193" s="52" t="n">
        <f aca="false">IF($E193="Per class",$D193*COUNTIFS('Session Tracker'!$D$5:$D$149,$A193,'Session Tracker'!$F$5:$F$149,"Next week",'Session Tracker'!$G$5:$G$149,"Thu"),$D193*SUMIFS('Session Tracker'!$J$5:$J$149,'Session Tracker'!$D$5:$D$149,$A193,'Session Tracker'!$F$5:$F$149,"Next week",'Session Tracker'!$G$5:$G$149,"Thu"))</f>
        <v>0</v>
      </c>
      <c r="L193" s="52" t="n">
        <f aca="false">IF($E193="Per class",$D193*COUNTIFS('Session Tracker'!$D$5:$D$149,$A193,'Session Tracker'!$F$5:$F$149,"Next week",'Session Tracker'!$G$5:$G$149,"Fri"),$D193*SUMIFS('Session Tracker'!$J$5:$J$149,'Session Tracker'!$D$5:$D$149,$A193,'Session Tracker'!$F$5:$F$149,"Next week",'Session Tracker'!$G$5:$G$149,"Fri"))</f>
        <v>0</v>
      </c>
      <c r="M193" s="52" t="n">
        <f aca="false">IF($E193="Per class",$D193*COUNTIFS('Session Tracker'!$D$5:$D$149,$A193,'Session Tracker'!$F$5:$F$149,"Next week",'Session Tracker'!$G$5:$G$149,""),$D193*SUMIFS('Session Tracker'!$J$5:$J$149,'Session Tracker'!$D$5:$D$149,$A193,'Session Tracker'!$F$5:$F$149,"Next week",'Session Tracker'!$G$5:$G$149,""))</f>
        <v>0</v>
      </c>
    </row>
    <row r="194" customFormat="false" ht="15" hidden="false" customHeight="false" outlineLevel="0" collapsed="false">
      <c r="A194" s="68" t="s">
        <v>241</v>
      </c>
      <c r="B194" s="34" t="s">
        <v>379</v>
      </c>
      <c r="C194" s="34" t="s">
        <v>381</v>
      </c>
      <c r="D194" s="32" t="n">
        <v>10</v>
      </c>
      <c r="E194" s="32" t="s">
        <v>14</v>
      </c>
      <c r="F194" s="32" t="s">
        <v>368</v>
      </c>
      <c r="G194" s="34"/>
      <c r="H194" s="52" t="n">
        <f aca="false">IF($E194="Per class",$D194*COUNTIFS('Session Tracker'!$D$5:$D$149,$A194,'Session Tracker'!$F$5:$F$149,"Next week",'Session Tracker'!$G$5:$G$149,"Mon"),$D194*SUMIFS('Session Tracker'!$J$5:$J$149,'Session Tracker'!$D$5:$D$149,$A194,'Session Tracker'!$F$5:$F$149,"Next week",'Session Tracker'!$G$5:$G$149,"Mon"))</f>
        <v>0</v>
      </c>
      <c r="I194" s="52" t="n">
        <f aca="false">IF($E194="Per class",$D194*COUNTIFS('Session Tracker'!$D$5:$D$149,$A194,'Session Tracker'!$F$5:$F$149,"Next week",'Session Tracker'!$G$5:$G$149,"Tue"),$D194*SUMIFS('Session Tracker'!$J$5:$J$149,'Session Tracker'!$D$5:$D$149,$A194,'Session Tracker'!$F$5:$F$149,"Next week",'Session Tracker'!$G$5:$G$149,"Tue"))</f>
        <v>0</v>
      </c>
      <c r="J194" s="52" t="n">
        <f aca="false">IF($E194="Per class",$D194*COUNTIFS('Session Tracker'!$D$5:$D$149,$A194,'Session Tracker'!$F$5:$F$149,"Next week",'Session Tracker'!$G$5:$G$149,"Wed"),$D194*SUMIFS('Session Tracker'!$J$5:$J$149,'Session Tracker'!$D$5:$D$149,$A194,'Session Tracker'!$F$5:$F$149,"Next week",'Session Tracker'!$G$5:$G$149,"Wed"))</f>
        <v>0</v>
      </c>
      <c r="K194" s="52" t="n">
        <f aca="false">IF($E194="Per class",$D194*COUNTIFS('Session Tracker'!$D$5:$D$149,$A194,'Session Tracker'!$F$5:$F$149,"Next week",'Session Tracker'!$G$5:$G$149,"Thu"),$D194*SUMIFS('Session Tracker'!$J$5:$J$149,'Session Tracker'!$D$5:$D$149,$A194,'Session Tracker'!$F$5:$F$149,"Next week",'Session Tracker'!$G$5:$G$149,"Thu"))</f>
        <v>0</v>
      </c>
      <c r="L194" s="52" t="n">
        <f aca="false">IF($E194="Per class",$D194*COUNTIFS('Session Tracker'!$D$5:$D$149,$A194,'Session Tracker'!$F$5:$F$149,"Next week",'Session Tracker'!$G$5:$G$149,"Fri"),$D194*SUMIFS('Session Tracker'!$J$5:$J$149,'Session Tracker'!$D$5:$D$149,$A194,'Session Tracker'!$F$5:$F$149,"Next week",'Session Tracker'!$G$5:$G$149,"Fri"))</f>
        <v>0</v>
      </c>
      <c r="M194" s="52" t="n">
        <f aca="false">IF($E194="Per class",$D194*COUNTIFS('Session Tracker'!$D$5:$D$149,$A194,'Session Tracker'!$F$5:$F$149,"Next week",'Session Tracker'!$G$5:$G$149,""),$D194*SUMIFS('Session Tracker'!$J$5:$J$149,'Session Tracker'!$D$5:$D$149,$A194,'Session Tracker'!$F$5:$F$149,"Next week",'Session Tracker'!$G$5:$G$149,""))</f>
        <v>0</v>
      </c>
    </row>
    <row r="195" customFormat="false" ht="15" hidden="false" customHeight="false" outlineLevel="0" collapsed="false">
      <c r="A195" s="68" t="s">
        <v>241</v>
      </c>
      <c r="B195" s="34" t="s">
        <v>379</v>
      </c>
      <c r="C195" s="34" t="s">
        <v>395</v>
      </c>
      <c r="D195" s="32" t="n">
        <v>4</v>
      </c>
      <c r="E195" s="32" t="s">
        <v>14</v>
      </c>
      <c r="F195" s="32" t="s">
        <v>368</v>
      </c>
      <c r="G195" s="34"/>
      <c r="H195" s="52" t="n">
        <f aca="false">IF($E195="Per class",$D195*COUNTIFS('Session Tracker'!$D$5:$D$149,$A195,'Session Tracker'!$F$5:$F$149,"Next week",'Session Tracker'!$G$5:$G$149,"Mon"),$D195*SUMIFS('Session Tracker'!$J$5:$J$149,'Session Tracker'!$D$5:$D$149,$A195,'Session Tracker'!$F$5:$F$149,"Next week",'Session Tracker'!$G$5:$G$149,"Mon"))</f>
        <v>0</v>
      </c>
      <c r="I195" s="52" t="n">
        <f aca="false">IF($E195="Per class",$D195*COUNTIFS('Session Tracker'!$D$5:$D$149,$A195,'Session Tracker'!$F$5:$F$149,"Next week",'Session Tracker'!$G$5:$G$149,"Tue"),$D195*SUMIFS('Session Tracker'!$J$5:$J$149,'Session Tracker'!$D$5:$D$149,$A195,'Session Tracker'!$F$5:$F$149,"Next week",'Session Tracker'!$G$5:$G$149,"Tue"))</f>
        <v>0</v>
      </c>
      <c r="J195" s="52" t="n">
        <f aca="false">IF($E195="Per class",$D195*COUNTIFS('Session Tracker'!$D$5:$D$149,$A195,'Session Tracker'!$F$5:$F$149,"Next week",'Session Tracker'!$G$5:$G$149,"Wed"),$D195*SUMIFS('Session Tracker'!$J$5:$J$149,'Session Tracker'!$D$5:$D$149,$A195,'Session Tracker'!$F$5:$F$149,"Next week",'Session Tracker'!$G$5:$G$149,"Wed"))</f>
        <v>0</v>
      </c>
      <c r="K195" s="52" t="n">
        <f aca="false">IF($E195="Per class",$D195*COUNTIFS('Session Tracker'!$D$5:$D$149,$A195,'Session Tracker'!$F$5:$F$149,"Next week",'Session Tracker'!$G$5:$G$149,"Thu"),$D195*SUMIFS('Session Tracker'!$J$5:$J$149,'Session Tracker'!$D$5:$D$149,$A195,'Session Tracker'!$F$5:$F$149,"Next week",'Session Tracker'!$G$5:$G$149,"Thu"))</f>
        <v>0</v>
      </c>
      <c r="L195" s="52" t="n">
        <f aca="false">IF($E195="Per class",$D195*COUNTIFS('Session Tracker'!$D$5:$D$149,$A195,'Session Tracker'!$F$5:$F$149,"Next week",'Session Tracker'!$G$5:$G$149,"Fri"),$D195*SUMIFS('Session Tracker'!$J$5:$J$149,'Session Tracker'!$D$5:$D$149,$A195,'Session Tracker'!$F$5:$F$149,"Next week",'Session Tracker'!$G$5:$G$149,"Fri"))</f>
        <v>0</v>
      </c>
      <c r="M195" s="52" t="n">
        <f aca="false">IF($E195="Per class",$D195*COUNTIFS('Session Tracker'!$D$5:$D$149,$A195,'Session Tracker'!$F$5:$F$149,"Next week",'Session Tracker'!$G$5:$G$149,""),$D195*SUMIFS('Session Tracker'!$J$5:$J$149,'Session Tracker'!$D$5:$D$149,$A195,'Session Tracker'!$F$5:$F$149,"Next week",'Session Tracker'!$G$5:$G$149,""))</f>
        <v>0</v>
      </c>
    </row>
    <row r="196" customFormat="false" ht="15" hidden="false" customHeight="false" outlineLevel="0" collapsed="false">
      <c r="A196" s="68" t="s">
        <v>241</v>
      </c>
      <c r="B196" s="34" t="s">
        <v>382</v>
      </c>
      <c r="C196" s="34" t="s">
        <v>383</v>
      </c>
      <c r="D196" s="32" t="n">
        <v>1</v>
      </c>
      <c r="E196" s="32" t="s">
        <v>14</v>
      </c>
      <c r="F196" s="32" t="s">
        <v>368</v>
      </c>
      <c r="G196" s="34"/>
      <c r="H196" s="52" t="n">
        <f aca="false">IF($E196="Per class",$D196*COUNTIFS('Session Tracker'!$D$5:$D$149,$A196,'Session Tracker'!$F$5:$F$149,"Next week",'Session Tracker'!$G$5:$G$149,"Mon"),$D196*SUMIFS('Session Tracker'!$J$5:$J$149,'Session Tracker'!$D$5:$D$149,$A196,'Session Tracker'!$F$5:$F$149,"Next week",'Session Tracker'!$G$5:$G$149,"Mon"))</f>
        <v>0</v>
      </c>
      <c r="I196" s="52" t="n">
        <f aca="false">IF($E196="Per class",$D196*COUNTIFS('Session Tracker'!$D$5:$D$149,$A196,'Session Tracker'!$F$5:$F$149,"Next week",'Session Tracker'!$G$5:$G$149,"Tue"),$D196*SUMIFS('Session Tracker'!$J$5:$J$149,'Session Tracker'!$D$5:$D$149,$A196,'Session Tracker'!$F$5:$F$149,"Next week",'Session Tracker'!$G$5:$G$149,"Tue"))</f>
        <v>0</v>
      </c>
      <c r="J196" s="52" t="n">
        <f aca="false">IF($E196="Per class",$D196*COUNTIFS('Session Tracker'!$D$5:$D$149,$A196,'Session Tracker'!$F$5:$F$149,"Next week",'Session Tracker'!$G$5:$G$149,"Wed"),$D196*SUMIFS('Session Tracker'!$J$5:$J$149,'Session Tracker'!$D$5:$D$149,$A196,'Session Tracker'!$F$5:$F$149,"Next week",'Session Tracker'!$G$5:$G$149,"Wed"))</f>
        <v>0</v>
      </c>
      <c r="K196" s="52" t="n">
        <f aca="false">IF($E196="Per class",$D196*COUNTIFS('Session Tracker'!$D$5:$D$149,$A196,'Session Tracker'!$F$5:$F$149,"Next week",'Session Tracker'!$G$5:$G$149,"Thu"),$D196*SUMIFS('Session Tracker'!$J$5:$J$149,'Session Tracker'!$D$5:$D$149,$A196,'Session Tracker'!$F$5:$F$149,"Next week",'Session Tracker'!$G$5:$G$149,"Thu"))</f>
        <v>0</v>
      </c>
      <c r="L196" s="52" t="n">
        <f aca="false">IF($E196="Per class",$D196*COUNTIFS('Session Tracker'!$D$5:$D$149,$A196,'Session Tracker'!$F$5:$F$149,"Next week",'Session Tracker'!$G$5:$G$149,"Fri"),$D196*SUMIFS('Session Tracker'!$J$5:$J$149,'Session Tracker'!$D$5:$D$149,$A196,'Session Tracker'!$F$5:$F$149,"Next week",'Session Tracker'!$G$5:$G$149,"Fri"))</f>
        <v>0</v>
      </c>
      <c r="M196" s="52" t="n">
        <f aca="false">IF($E196="Per class",$D196*COUNTIFS('Session Tracker'!$D$5:$D$149,$A196,'Session Tracker'!$F$5:$F$149,"Next week",'Session Tracker'!$G$5:$G$149,""),$D196*SUMIFS('Session Tracker'!$J$5:$J$149,'Session Tracker'!$D$5:$D$149,$A196,'Session Tracker'!$F$5:$F$149,"Next week",'Session Tracker'!$G$5:$G$149,""))</f>
        <v>0</v>
      </c>
    </row>
    <row r="197" customFormat="false" ht="15" hidden="false" customHeight="false" outlineLevel="0" collapsed="false">
      <c r="A197" s="68" t="s">
        <v>241</v>
      </c>
      <c r="B197" s="34" t="s">
        <v>371</v>
      </c>
      <c r="C197" s="34" t="s">
        <v>372</v>
      </c>
      <c r="D197" s="32" t="n">
        <v>1</v>
      </c>
      <c r="E197" s="32" t="s">
        <v>14</v>
      </c>
      <c r="F197" s="32" t="s">
        <v>373</v>
      </c>
      <c r="G197" s="34" t="s">
        <v>389</v>
      </c>
      <c r="H197" s="52" t="n">
        <f aca="false">IF($E197="Per class",$D197*COUNTIFS('Session Tracker'!$D$5:$D$149,$A197,'Session Tracker'!$F$5:$F$149,"Next week",'Session Tracker'!$G$5:$G$149,"Mon"),$D197*SUMIFS('Session Tracker'!$J$5:$J$149,'Session Tracker'!$D$5:$D$149,$A197,'Session Tracker'!$F$5:$F$149,"Next week",'Session Tracker'!$G$5:$G$149,"Mon"))</f>
        <v>0</v>
      </c>
      <c r="I197" s="52" t="n">
        <f aca="false">IF($E197="Per class",$D197*COUNTIFS('Session Tracker'!$D$5:$D$149,$A197,'Session Tracker'!$F$5:$F$149,"Next week",'Session Tracker'!$G$5:$G$149,"Tue"),$D197*SUMIFS('Session Tracker'!$J$5:$J$149,'Session Tracker'!$D$5:$D$149,$A197,'Session Tracker'!$F$5:$F$149,"Next week",'Session Tracker'!$G$5:$G$149,"Tue"))</f>
        <v>0</v>
      </c>
      <c r="J197" s="52" t="n">
        <f aca="false">IF($E197="Per class",$D197*COUNTIFS('Session Tracker'!$D$5:$D$149,$A197,'Session Tracker'!$F$5:$F$149,"Next week",'Session Tracker'!$G$5:$G$149,"Wed"),$D197*SUMIFS('Session Tracker'!$J$5:$J$149,'Session Tracker'!$D$5:$D$149,$A197,'Session Tracker'!$F$5:$F$149,"Next week",'Session Tracker'!$G$5:$G$149,"Wed"))</f>
        <v>0</v>
      </c>
      <c r="K197" s="52" t="n">
        <f aca="false">IF($E197="Per class",$D197*COUNTIFS('Session Tracker'!$D$5:$D$149,$A197,'Session Tracker'!$F$5:$F$149,"Next week",'Session Tracker'!$G$5:$G$149,"Thu"),$D197*SUMIFS('Session Tracker'!$J$5:$J$149,'Session Tracker'!$D$5:$D$149,$A197,'Session Tracker'!$F$5:$F$149,"Next week",'Session Tracker'!$G$5:$G$149,"Thu"))</f>
        <v>0</v>
      </c>
      <c r="L197" s="52" t="n">
        <f aca="false">IF($E197="Per class",$D197*COUNTIFS('Session Tracker'!$D$5:$D$149,$A197,'Session Tracker'!$F$5:$F$149,"Next week",'Session Tracker'!$G$5:$G$149,"Fri"),$D197*SUMIFS('Session Tracker'!$J$5:$J$149,'Session Tracker'!$D$5:$D$149,$A197,'Session Tracker'!$F$5:$F$149,"Next week",'Session Tracker'!$G$5:$G$149,"Fri"))</f>
        <v>0</v>
      </c>
      <c r="M197" s="52" t="n">
        <f aca="false">IF($E197="Per class",$D197*COUNTIFS('Session Tracker'!$D$5:$D$149,$A197,'Session Tracker'!$F$5:$F$149,"Next week",'Session Tracker'!$G$5:$G$149,""),$D197*SUMIFS('Session Tracker'!$J$5:$J$149,'Session Tracker'!$D$5:$D$149,$A197,'Session Tracker'!$F$5:$F$149,"Next week",'Session Tracker'!$G$5:$G$149,""))</f>
        <v>0</v>
      </c>
    </row>
    <row r="198" customFormat="false" ht="15" hidden="false" customHeight="false" outlineLevel="0" collapsed="false">
      <c r="A198" s="68" t="s">
        <v>241</v>
      </c>
      <c r="B198" s="34" t="s">
        <v>375</v>
      </c>
      <c r="C198" s="34" t="s">
        <v>376</v>
      </c>
      <c r="D198" s="32" t="n">
        <v>1</v>
      </c>
      <c r="E198" s="32" t="s">
        <v>14</v>
      </c>
      <c r="F198" s="32" t="s">
        <v>373</v>
      </c>
      <c r="G198" s="34" t="s">
        <v>442</v>
      </c>
      <c r="H198" s="52" t="n">
        <f aca="false">IF($E198="Per class",$D198*COUNTIFS('Session Tracker'!$D$5:$D$149,$A198,'Session Tracker'!$F$5:$F$149,"Next week",'Session Tracker'!$G$5:$G$149,"Mon"),$D198*SUMIFS('Session Tracker'!$J$5:$J$149,'Session Tracker'!$D$5:$D$149,$A198,'Session Tracker'!$F$5:$F$149,"Next week",'Session Tracker'!$G$5:$G$149,"Mon"))</f>
        <v>0</v>
      </c>
      <c r="I198" s="52" t="n">
        <f aca="false">IF($E198="Per class",$D198*COUNTIFS('Session Tracker'!$D$5:$D$149,$A198,'Session Tracker'!$F$5:$F$149,"Next week",'Session Tracker'!$G$5:$G$149,"Tue"),$D198*SUMIFS('Session Tracker'!$J$5:$J$149,'Session Tracker'!$D$5:$D$149,$A198,'Session Tracker'!$F$5:$F$149,"Next week",'Session Tracker'!$G$5:$G$149,"Tue"))</f>
        <v>0</v>
      </c>
      <c r="J198" s="52" t="n">
        <f aca="false">IF($E198="Per class",$D198*COUNTIFS('Session Tracker'!$D$5:$D$149,$A198,'Session Tracker'!$F$5:$F$149,"Next week",'Session Tracker'!$G$5:$G$149,"Wed"),$D198*SUMIFS('Session Tracker'!$J$5:$J$149,'Session Tracker'!$D$5:$D$149,$A198,'Session Tracker'!$F$5:$F$149,"Next week",'Session Tracker'!$G$5:$G$149,"Wed"))</f>
        <v>0</v>
      </c>
      <c r="K198" s="52" t="n">
        <f aca="false">IF($E198="Per class",$D198*COUNTIFS('Session Tracker'!$D$5:$D$149,$A198,'Session Tracker'!$F$5:$F$149,"Next week",'Session Tracker'!$G$5:$G$149,"Thu"),$D198*SUMIFS('Session Tracker'!$J$5:$J$149,'Session Tracker'!$D$5:$D$149,$A198,'Session Tracker'!$F$5:$F$149,"Next week",'Session Tracker'!$G$5:$G$149,"Thu"))</f>
        <v>0</v>
      </c>
      <c r="L198" s="52" t="n">
        <f aca="false">IF($E198="Per class",$D198*COUNTIFS('Session Tracker'!$D$5:$D$149,$A198,'Session Tracker'!$F$5:$F$149,"Next week",'Session Tracker'!$G$5:$G$149,"Fri"),$D198*SUMIFS('Session Tracker'!$J$5:$J$149,'Session Tracker'!$D$5:$D$149,$A198,'Session Tracker'!$F$5:$F$149,"Next week",'Session Tracker'!$G$5:$G$149,"Fri"))</f>
        <v>0</v>
      </c>
      <c r="M198" s="52" t="n">
        <f aca="false">IF($E198="Per class",$D198*COUNTIFS('Session Tracker'!$D$5:$D$149,$A198,'Session Tracker'!$F$5:$F$149,"Next week",'Session Tracker'!$G$5:$G$149,""),$D198*SUMIFS('Session Tracker'!$J$5:$J$149,'Session Tracker'!$D$5:$D$149,$A198,'Session Tracker'!$F$5:$F$149,"Next week",'Session Tracker'!$G$5:$G$149,""))</f>
        <v>0</v>
      </c>
    </row>
    <row r="199" customFormat="false" ht="15" hidden="false" customHeight="false" outlineLevel="0" collapsed="false">
      <c r="A199" s="68" t="s">
        <v>241</v>
      </c>
      <c r="B199" s="34" t="s">
        <v>377</v>
      </c>
      <c r="C199" s="34" t="s">
        <v>378</v>
      </c>
      <c r="D199" s="32" t="n">
        <v>1</v>
      </c>
      <c r="E199" s="32" t="s">
        <v>14</v>
      </c>
      <c r="F199" s="32" t="s">
        <v>368</v>
      </c>
      <c r="G199" s="34" t="s">
        <v>389</v>
      </c>
      <c r="H199" s="52" t="n">
        <f aca="false">IF($E199="Per class",$D199*COUNTIFS('Session Tracker'!$D$5:$D$149,$A199,'Session Tracker'!$F$5:$F$149,"Next week",'Session Tracker'!$G$5:$G$149,"Mon"),$D199*SUMIFS('Session Tracker'!$J$5:$J$149,'Session Tracker'!$D$5:$D$149,$A199,'Session Tracker'!$F$5:$F$149,"Next week",'Session Tracker'!$G$5:$G$149,"Mon"))</f>
        <v>0</v>
      </c>
      <c r="I199" s="52" t="n">
        <f aca="false">IF($E199="Per class",$D199*COUNTIFS('Session Tracker'!$D$5:$D$149,$A199,'Session Tracker'!$F$5:$F$149,"Next week",'Session Tracker'!$G$5:$G$149,"Tue"),$D199*SUMIFS('Session Tracker'!$J$5:$J$149,'Session Tracker'!$D$5:$D$149,$A199,'Session Tracker'!$F$5:$F$149,"Next week",'Session Tracker'!$G$5:$G$149,"Tue"))</f>
        <v>0</v>
      </c>
      <c r="J199" s="52" t="n">
        <f aca="false">IF($E199="Per class",$D199*COUNTIFS('Session Tracker'!$D$5:$D$149,$A199,'Session Tracker'!$F$5:$F$149,"Next week",'Session Tracker'!$G$5:$G$149,"Wed"),$D199*SUMIFS('Session Tracker'!$J$5:$J$149,'Session Tracker'!$D$5:$D$149,$A199,'Session Tracker'!$F$5:$F$149,"Next week",'Session Tracker'!$G$5:$G$149,"Wed"))</f>
        <v>0</v>
      </c>
      <c r="K199" s="52" t="n">
        <f aca="false">IF($E199="Per class",$D199*COUNTIFS('Session Tracker'!$D$5:$D$149,$A199,'Session Tracker'!$F$5:$F$149,"Next week",'Session Tracker'!$G$5:$G$149,"Thu"),$D199*SUMIFS('Session Tracker'!$J$5:$J$149,'Session Tracker'!$D$5:$D$149,$A199,'Session Tracker'!$F$5:$F$149,"Next week",'Session Tracker'!$G$5:$G$149,"Thu"))</f>
        <v>0</v>
      </c>
      <c r="L199" s="52" t="n">
        <f aca="false">IF($E199="Per class",$D199*COUNTIFS('Session Tracker'!$D$5:$D$149,$A199,'Session Tracker'!$F$5:$F$149,"Next week",'Session Tracker'!$G$5:$G$149,"Fri"),$D199*SUMIFS('Session Tracker'!$J$5:$J$149,'Session Tracker'!$D$5:$D$149,$A199,'Session Tracker'!$F$5:$F$149,"Next week",'Session Tracker'!$G$5:$G$149,"Fri"))</f>
        <v>0</v>
      </c>
      <c r="M199" s="52" t="n">
        <f aca="false">IF($E199="Per class",$D199*COUNTIFS('Session Tracker'!$D$5:$D$149,$A199,'Session Tracker'!$F$5:$F$149,"Next week",'Session Tracker'!$G$5:$G$149,""),$D199*SUMIFS('Session Tracker'!$J$5:$J$149,'Session Tracker'!$D$5:$D$149,$A199,'Session Tracker'!$F$5:$F$149,"Next week",'Session Tracker'!$G$5:$G$149,""))</f>
        <v>0</v>
      </c>
    </row>
    <row r="200" customFormat="false" ht="15" hidden="false" customHeight="false" outlineLevel="0" collapsed="false">
      <c r="A200" s="53" t="s">
        <v>241</v>
      </c>
      <c r="B200" s="54"/>
      <c r="C200" s="54"/>
      <c r="D200" s="54"/>
      <c r="E200" s="54"/>
      <c r="F200" s="54"/>
      <c r="G200" s="54"/>
      <c r="H200" s="52" t="n">
        <f aca="false">IF($E200="Per class",$D200*COUNTIFS('Session Tracker'!$D$5:$D$149,$A200,'Session Tracker'!$F$5:$F$149,"Next week",'Session Tracker'!$G$5:$G$149,"Mon"),$D200*SUMIFS('Session Tracker'!$J$5:$J$149,'Session Tracker'!$D$5:$D$149,$A200,'Session Tracker'!$F$5:$F$149,"Next week",'Session Tracker'!$G$5:$G$149,"Mon"))</f>
        <v>0</v>
      </c>
      <c r="I200" s="52" t="n">
        <f aca="false">IF($E200="Per class",$D200*COUNTIFS('Session Tracker'!$D$5:$D$149,$A200,'Session Tracker'!$F$5:$F$149,"Next week",'Session Tracker'!$G$5:$G$149,"Tue"),$D200*SUMIFS('Session Tracker'!$J$5:$J$149,'Session Tracker'!$D$5:$D$149,$A200,'Session Tracker'!$F$5:$F$149,"Next week",'Session Tracker'!$G$5:$G$149,"Tue"))</f>
        <v>0</v>
      </c>
      <c r="J200" s="52" t="n">
        <f aca="false">IF($E200="Per class",$D200*COUNTIFS('Session Tracker'!$D$5:$D$149,$A200,'Session Tracker'!$F$5:$F$149,"Next week",'Session Tracker'!$G$5:$G$149,"Wed"),$D200*SUMIFS('Session Tracker'!$J$5:$J$149,'Session Tracker'!$D$5:$D$149,$A200,'Session Tracker'!$F$5:$F$149,"Next week",'Session Tracker'!$G$5:$G$149,"Wed"))</f>
        <v>0</v>
      </c>
      <c r="K200" s="52" t="n">
        <f aca="false">IF($E200="Per class",$D200*COUNTIFS('Session Tracker'!$D$5:$D$149,$A200,'Session Tracker'!$F$5:$F$149,"Next week",'Session Tracker'!$G$5:$G$149,"Thu"),$D200*SUMIFS('Session Tracker'!$J$5:$J$149,'Session Tracker'!$D$5:$D$149,$A200,'Session Tracker'!$F$5:$F$149,"Next week",'Session Tracker'!$G$5:$G$149,"Thu"))</f>
        <v>0</v>
      </c>
      <c r="L200" s="52" t="n">
        <f aca="false">IF($E200="Per class",$D200*COUNTIFS('Session Tracker'!$D$5:$D$149,$A200,'Session Tracker'!$F$5:$F$149,"Next week",'Session Tracker'!$G$5:$G$149,"Fri"),$D200*SUMIFS('Session Tracker'!$J$5:$J$149,'Session Tracker'!$D$5:$D$149,$A200,'Session Tracker'!$F$5:$F$149,"Next week",'Session Tracker'!$G$5:$G$149,"Fri"))</f>
        <v>0</v>
      </c>
      <c r="M200" s="52" t="n">
        <f aca="false">IF($E200="Per class",$D200*COUNTIFS('Session Tracker'!$D$5:$D$149,$A200,'Session Tracker'!$F$5:$F$149,"Next week",'Session Tracker'!$G$5:$G$149,""),$D200*SUMIFS('Session Tracker'!$J$5:$J$149,'Session Tracker'!$D$5:$D$149,$A200,'Session Tracker'!$F$5:$F$149,"Next week",'Session Tracker'!$G$5:$G$149,""))</f>
        <v>0</v>
      </c>
    </row>
    <row r="201" customFormat="false" ht="15" hidden="false" customHeight="false" outlineLevel="0" collapsed="false">
      <c r="A201" s="53" t="s">
        <v>241</v>
      </c>
      <c r="B201" s="54"/>
      <c r="C201" s="54"/>
      <c r="D201" s="54"/>
      <c r="E201" s="54"/>
      <c r="F201" s="54"/>
      <c r="G201" s="54"/>
      <c r="H201" s="52" t="n">
        <f aca="false">IF($E201="Per class",$D201*COUNTIFS('Session Tracker'!$D$5:$D$149,$A201,'Session Tracker'!$F$5:$F$149,"Next week",'Session Tracker'!$G$5:$G$149,"Mon"),$D201*SUMIFS('Session Tracker'!$J$5:$J$149,'Session Tracker'!$D$5:$D$149,$A201,'Session Tracker'!$F$5:$F$149,"Next week",'Session Tracker'!$G$5:$G$149,"Mon"))</f>
        <v>0</v>
      </c>
      <c r="I201" s="52" t="n">
        <f aca="false">IF($E201="Per class",$D201*COUNTIFS('Session Tracker'!$D$5:$D$149,$A201,'Session Tracker'!$F$5:$F$149,"Next week",'Session Tracker'!$G$5:$G$149,"Tue"),$D201*SUMIFS('Session Tracker'!$J$5:$J$149,'Session Tracker'!$D$5:$D$149,$A201,'Session Tracker'!$F$5:$F$149,"Next week",'Session Tracker'!$G$5:$G$149,"Tue"))</f>
        <v>0</v>
      </c>
      <c r="J201" s="52" t="n">
        <f aca="false">IF($E201="Per class",$D201*COUNTIFS('Session Tracker'!$D$5:$D$149,$A201,'Session Tracker'!$F$5:$F$149,"Next week",'Session Tracker'!$G$5:$G$149,"Wed"),$D201*SUMIFS('Session Tracker'!$J$5:$J$149,'Session Tracker'!$D$5:$D$149,$A201,'Session Tracker'!$F$5:$F$149,"Next week",'Session Tracker'!$G$5:$G$149,"Wed"))</f>
        <v>0</v>
      </c>
      <c r="K201" s="52" t="n">
        <f aca="false">IF($E201="Per class",$D201*COUNTIFS('Session Tracker'!$D$5:$D$149,$A201,'Session Tracker'!$F$5:$F$149,"Next week",'Session Tracker'!$G$5:$G$149,"Thu"),$D201*SUMIFS('Session Tracker'!$J$5:$J$149,'Session Tracker'!$D$5:$D$149,$A201,'Session Tracker'!$F$5:$F$149,"Next week",'Session Tracker'!$G$5:$G$149,"Thu"))</f>
        <v>0</v>
      </c>
      <c r="L201" s="52" t="n">
        <f aca="false">IF($E201="Per class",$D201*COUNTIFS('Session Tracker'!$D$5:$D$149,$A201,'Session Tracker'!$F$5:$F$149,"Next week",'Session Tracker'!$G$5:$G$149,"Fri"),$D201*SUMIFS('Session Tracker'!$J$5:$J$149,'Session Tracker'!$D$5:$D$149,$A201,'Session Tracker'!$F$5:$F$149,"Next week",'Session Tracker'!$G$5:$G$149,"Fri"))</f>
        <v>0</v>
      </c>
      <c r="M201" s="52" t="n">
        <f aca="false">IF($E201="Per class",$D201*COUNTIFS('Session Tracker'!$D$5:$D$149,$A201,'Session Tracker'!$F$5:$F$149,"Next week",'Session Tracker'!$G$5:$G$149,""),$D201*SUMIFS('Session Tracker'!$J$5:$J$149,'Session Tracker'!$D$5:$D$149,$A201,'Session Tracker'!$F$5:$F$149,"Next week",'Session Tracker'!$G$5:$G$149,""))</f>
        <v>0</v>
      </c>
    </row>
    <row r="203" customFormat="false" ht="19.5" hidden="false" customHeight="true" outlineLevel="0" collapsed="false">
      <c r="A203" s="64" t="s">
        <v>243</v>
      </c>
      <c r="B203" s="65" t="s">
        <v>617</v>
      </c>
      <c r="C203" s="65"/>
      <c r="D203" s="65"/>
      <c r="E203" s="65"/>
      <c r="F203" s="66" t="str">
        <f aca="false">"Status: "&amp;'Session Tracker'!F91&amp;IF('Session Tracker'!G91&lt;&gt;""," ("&amp;'Session Tracker'!G91&amp;")","")</f>
        <v>Status: Not started</v>
      </c>
      <c r="G203" s="66"/>
      <c r="H203" s="67"/>
      <c r="I203" s="67"/>
      <c r="J203" s="67"/>
      <c r="K203" s="67"/>
      <c r="L203" s="67"/>
      <c r="M203" s="67"/>
    </row>
    <row r="204" customFormat="false" ht="23.85" hidden="false" customHeight="false" outlineLevel="0" collapsed="false">
      <c r="A204" s="68" t="s">
        <v>243</v>
      </c>
      <c r="B204" s="34" t="s">
        <v>366</v>
      </c>
      <c r="C204" s="34" t="s">
        <v>367</v>
      </c>
      <c r="D204" s="32" t="n">
        <v>2</v>
      </c>
      <c r="E204" s="32" t="s">
        <v>14</v>
      </c>
      <c r="F204" s="32" t="s">
        <v>368</v>
      </c>
      <c r="G204" s="34" t="s">
        <v>618</v>
      </c>
      <c r="H204" s="52" t="n">
        <f aca="false">IF($E204="Per class",$D204*COUNTIFS('Session Tracker'!$D$5:$D$149,$A204,'Session Tracker'!$F$5:$F$149,"Next week",'Session Tracker'!$G$5:$G$149,"Mon"),$D204*SUMIFS('Session Tracker'!$J$5:$J$149,'Session Tracker'!$D$5:$D$149,$A204,'Session Tracker'!$F$5:$F$149,"Next week",'Session Tracker'!$G$5:$G$149,"Mon"))</f>
        <v>0</v>
      </c>
      <c r="I204" s="52" t="n">
        <f aca="false">IF($E204="Per class",$D204*COUNTIFS('Session Tracker'!$D$5:$D$149,$A204,'Session Tracker'!$F$5:$F$149,"Next week",'Session Tracker'!$G$5:$G$149,"Tue"),$D204*SUMIFS('Session Tracker'!$J$5:$J$149,'Session Tracker'!$D$5:$D$149,$A204,'Session Tracker'!$F$5:$F$149,"Next week",'Session Tracker'!$G$5:$G$149,"Tue"))</f>
        <v>0</v>
      </c>
      <c r="J204" s="52" t="n">
        <f aca="false">IF($E204="Per class",$D204*COUNTIFS('Session Tracker'!$D$5:$D$149,$A204,'Session Tracker'!$F$5:$F$149,"Next week",'Session Tracker'!$G$5:$G$149,"Wed"),$D204*SUMIFS('Session Tracker'!$J$5:$J$149,'Session Tracker'!$D$5:$D$149,$A204,'Session Tracker'!$F$5:$F$149,"Next week",'Session Tracker'!$G$5:$G$149,"Wed"))</f>
        <v>0</v>
      </c>
      <c r="K204" s="52" t="n">
        <f aca="false">IF($E204="Per class",$D204*COUNTIFS('Session Tracker'!$D$5:$D$149,$A204,'Session Tracker'!$F$5:$F$149,"Next week",'Session Tracker'!$G$5:$G$149,"Thu"),$D204*SUMIFS('Session Tracker'!$J$5:$J$149,'Session Tracker'!$D$5:$D$149,$A204,'Session Tracker'!$F$5:$F$149,"Next week",'Session Tracker'!$G$5:$G$149,"Thu"))</f>
        <v>0</v>
      </c>
      <c r="L204" s="52" t="n">
        <f aca="false">IF($E204="Per class",$D204*COUNTIFS('Session Tracker'!$D$5:$D$149,$A204,'Session Tracker'!$F$5:$F$149,"Next week",'Session Tracker'!$G$5:$G$149,"Fri"),$D204*SUMIFS('Session Tracker'!$J$5:$J$149,'Session Tracker'!$D$5:$D$149,$A204,'Session Tracker'!$F$5:$F$149,"Next week",'Session Tracker'!$G$5:$G$149,"Fri"))</f>
        <v>0</v>
      </c>
      <c r="M204" s="52" t="n">
        <f aca="false">IF($E204="Per class",$D204*COUNTIFS('Session Tracker'!$D$5:$D$149,$A204,'Session Tracker'!$F$5:$F$149,"Next week",'Session Tracker'!$G$5:$G$149,""),$D204*SUMIFS('Session Tracker'!$J$5:$J$149,'Session Tracker'!$D$5:$D$149,$A204,'Session Tracker'!$F$5:$F$149,"Next week",'Session Tracker'!$G$5:$G$149,""))</f>
        <v>0</v>
      </c>
    </row>
    <row r="205" customFormat="false" ht="15" hidden="false" customHeight="false" outlineLevel="0" collapsed="false">
      <c r="A205" s="68" t="s">
        <v>243</v>
      </c>
      <c r="B205" s="34" t="s">
        <v>545</v>
      </c>
      <c r="C205" s="34" t="s">
        <v>619</v>
      </c>
      <c r="D205" s="32" t="n">
        <v>2</v>
      </c>
      <c r="E205" s="32" t="s">
        <v>14</v>
      </c>
      <c r="F205" s="32" t="s">
        <v>368</v>
      </c>
      <c r="G205" s="34"/>
      <c r="H205" s="52" t="n">
        <f aca="false">IF($E205="Per class",$D205*COUNTIFS('Session Tracker'!$D$5:$D$149,$A205,'Session Tracker'!$F$5:$F$149,"Next week",'Session Tracker'!$G$5:$G$149,"Mon"),$D205*SUMIFS('Session Tracker'!$J$5:$J$149,'Session Tracker'!$D$5:$D$149,$A205,'Session Tracker'!$F$5:$F$149,"Next week",'Session Tracker'!$G$5:$G$149,"Mon"))</f>
        <v>0</v>
      </c>
      <c r="I205" s="52" t="n">
        <f aca="false">IF($E205="Per class",$D205*COUNTIFS('Session Tracker'!$D$5:$D$149,$A205,'Session Tracker'!$F$5:$F$149,"Next week",'Session Tracker'!$G$5:$G$149,"Tue"),$D205*SUMIFS('Session Tracker'!$J$5:$J$149,'Session Tracker'!$D$5:$D$149,$A205,'Session Tracker'!$F$5:$F$149,"Next week",'Session Tracker'!$G$5:$G$149,"Tue"))</f>
        <v>0</v>
      </c>
      <c r="J205" s="52" t="n">
        <f aca="false">IF($E205="Per class",$D205*COUNTIFS('Session Tracker'!$D$5:$D$149,$A205,'Session Tracker'!$F$5:$F$149,"Next week",'Session Tracker'!$G$5:$G$149,"Wed"),$D205*SUMIFS('Session Tracker'!$J$5:$J$149,'Session Tracker'!$D$5:$D$149,$A205,'Session Tracker'!$F$5:$F$149,"Next week",'Session Tracker'!$G$5:$G$149,"Wed"))</f>
        <v>0</v>
      </c>
      <c r="K205" s="52" t="n">
        <f aca="false">IF($E205="Per class",$D205*COUNTIFS('Session Tracker'!$D$5:$D$149,$A205,'Session Tracker'!$F$5:$F$149,"Next week",'Session Tracker'!$G$5:$G$149,"Thu"),$D205*SUMIFS('Session Tracker'!$J$5:$J$149,'Session Tracker'!$D$5:$D$149,$A205,'Session Tracker'!$F$5:$F$149,"Next week",'Session Tracker'!$G$5:$G$149,"Thu"))</f>
        <v>0</v>
      </c>
      <c r="L205" s="52" t="n">
        <f aca="false">IF($E205="Per class",$D205*COUNTIFS('Session Tracker'!$D$5:$D$149,$A205,'Session Tracker'!$F$5:$F$149,"Next week",'Session Tracker'!$G$5:$G$149,"Fri"),$D205*SUMIFS('Session Tracker'!$J$5:$J$149,'Session Tracker'!$D$5:$D$149,$A205,'Session Tracker'!$F$5:$F$149,"Next week",'Session Tracker'!$G$5:$G$149,"Fri"))</f>
        <v>0</v>
      </c>
      <c r="M205" s="52" t="n">
        <f aca="false">IF($E205="Per class",$D205*COUNTIFS('Session Tracker'!$D$5:$D$149,$A205,'Session Tracker'!$F$5:$F$149,"Next week",'Session Tracker'!$G$5:$G$149,""),$D205*SUMIFS('Session Tracker'!$J$5:$J$149,'Session Tracker'!$D$5:$D$149,$A205,'Session Tracker'!$F$5:$F$149,"Next week",'Session Tracker'!$G$5:$G$149,""))</f>
        <v>0</v>
      </c>
    </row>
    <row r="206" customFormat="false" ht="15" hidden="false" customHeight="false" outlineLevel="0" collapsed="false">
      <c r="A206" s="68" t="s">
        <v>243</v>
      </c>
      <c r="B206" s="34" t="s">
        <v>375</v>
      </c>
      <c r="C206" s="34" t="s">
        <v>385</v>
      </c>
      <c r="D206" s="32" t="n">
        <v>1</v>
      </c>
      <c r="E206" s="32" t="s">
        <v>14</v>
      </c>
      <c r="F206" s="32" t="s">
        <v>368</v>
      </c>
      <c r="G206" s="34"/>
      <c r="H206" s="52" t="n">
        <f aca="false">IF($E206="Per class",$D206*COUNTIFS('Session Tracker'!$D$5:$D$149,$A206,'Session Tracker'!$F$5:$F$149,"Next week",'Session Tracker'!$G$5:$G$149,"Mon"),$D206*SUMIFS('Session Tracker'!$J$5:$J$149,'Session Tracker'!$D$5:$D$149,$A206,'Session Tracker'!$F$5:$F$149,"Next week",'Session Tracker'!$G$5:$G$149,"Mon"))</f>
        <v>0</v>
      </c>
      <c r="I206" s="52" t="n">
        <f aca="false">IF($E206="Per class",$D206*COUNTIFS('Session Tracker'!$D$5:$D$149,$A206,'Session Tracker'!$F$5:$F$149,"Next week",'Session Tracker'!$G$5:$G$149,"Tue"),$D206*SUMIFS('Session Tracker'!$J$5:$J$149,'Session Tracker'!$D$5:$D$149,$A206,'Session Tracker'!$F$5:$F$149,"Next week",'Session Tracker'!$G$5:$G$149,"Tue"))</f>
        <v>0</v>
      </c>
      <c r="J206" s="52" t="n">
        <f aca="false">IF($E206="Per class",$D206*COUNTIFS('Session Tracker'!$D$5:$D$149,$A206,'Session Tracker'!$F$5:$F$149,"Next week",'Session Tracker'!$G$5:$G$149,"Wed"),$D206*SUMIFS('Session Tracker'!$J$5:$J$149,'Session Tracker'!$D$5:$D$149,$A206,'Session Tracker'!$F$5:$F$149,"Next week",'Session Tracker'!$G$5:$G$149,"Wed"))</f>
        <v>0</v>
      </c>
      <c r="K206" s="52" t="n">
        <f aca="false">IF($E206="Per class",$D206*COUNTIFS('Session Tracker'!$D$5:$D$149,$A206,'Session Tracker'!$F$5:$F$149,"Next week",'Session Tracker'!$G$5:$G$149,"Thu"),$D206*SUMIFS('Session Tracker'!$J$5:$J$149,'Session Tracker'!$D$5:$D$149,$A206,'Session Tracker'!$F$5:$F$149,"Next week",'Session Tracker'!$G$5:$G$149,"Thu"))</f>
        <v>0</v>
      </c>
      <c r="L206" s="52" t="n">
        <f aca="false">IF($E206="Per class",$D206*COUNTIFS('Session Tracker'!$D$5:$D$149,$A206,'Session Tracker'!$F$5:$F$149,"Next week",'Session Tracker'!$G$5:$G$149,"Fri"),$D206*SUMIFS('Session Tracker'!$J$5:$J$149,'Session Tracker'!$D$5:$D$149,$A206,'Session Tracker'!$F$5:$F$149,"Next week",'Session Tracker'!$G$5:$G$149,"Fri"))</f>
        <v>0</v>
      </c>
      <c r="M206" s="52" t="n">
        <f aca="false">IF($E206="Per class",$D206*COUNTIFS('Session Tracker'!$D$5:$D$149,$A206,'Session Tracker'!$F$5:$F$149,"Next week",'Session Tracker'!$G$5:$G$149,""),$D206*SUMIFS('Session Tracker'!$J$5:$J$149,'Session Tracker'!$D$5:$D$149,$A206,'Session Tracker'!$F$5:$F$149,"Next week",'Session Tracker'!$G$5:$G$149,""))</f>
        <v>0</v>
      </c>
    </row>
    <row r="207" customFormat="false" ht="15" hidden="false" customHeight="false" outlineLevel="0" collapsed="false">
      <c r="A207" s="68" t="s">
        <v>243</v>
      </c>
      <c r="B207" s="34" t="s">
        <v>375</v>
      </c>
      <c r="C207" s="34" t="s">
        <v>417</v>
      </c>
      <c r="D207" s="32" t="n">
        <v>1</v>
      </c>
      <c r="E207" s="32" t="s">
        <v>14</v>
      </c>
      <c r="F207" s="32" t="s">
        <v>373</v>
      </c>
      <c r="G207" s="34"/>
      <c r="H207" s="52" t="n">
        <f aca="false">IF($E207="Per class",$D207*COUNTIFS('Session Tracker'!$D$5:$D$149,$A207,'Session Tracker'!$F$5:$F$149,"Next week",'Session Tracker'!$G$5:$G$149,"Mon"),$D207*SUMIFS('Session Tracker'!$J$5:$J$149,'Session Tracker'!$D$5:$D$149,$A207,'Session Tracker'!$F$5:$F$149,"Next week",'Session Tracker'!$G$5:$G$149,"Mon"))</f>
        <v>0</v>
      </c>
      <c r="I207" s="52" t="n">
        <f aca="false">IF($E207="Per class",$D207*COUNTIFS('Session Tracker'!$D$5:$D$149,$A207,'Session Tracker'!$F$5:$F$149,"Next week",'Session Tracker'!$G$5:$G$149,"Tue"),$D207*SUMIFS('Session Tracker'!$J$5:$J$149,'Session Tracker'!$D$5:$D$149,$A207,'Session Tracker'!$F$5:$F$149,"Next week",'Session Tracker'!$G$5:$G$149,"Tue"))</f>
        <v>0</v>
      </c>
      <c r="J207" s="52" t="n">
        <f aca="false">IF($E207="Per class",$D207*COUNTIFS('Session Tracker'!$D$5:$D$149,$A207,'Session Tracker'!$F$5:$F$149,"Next week",'Session Tracker'!$G$5:$G$149,"Wed"),$D207*SUMIFS('Session Tracker'!$J$5:$J$149,'Session Tracker'!$D$5:$D$149,$A207,'Session Tracker'!$F$5:$F$149,"Next week",'Session Tracker'!$G$5:$G$149,"Wed"))</f>
        <v>0</v>
      </c>
      <c r="K207" s="52" t="n">
        <f aca="false">IF($E207="Per class",$D207*COUNTIFS('Session Tracker'!$D$5:$D$149,$A207,'Session Tracker'!$F$5:$F$149,"Next week",'Session Tracker'!$G$5:$G$149,"Thu"),$D207*SUMIFS('Session Tracker'!$J$5:$J$149,'Session Tracker'!$D$5:$D$149,$A207,'Session Tracker'!$F$5:$F$149,"Next week",'Session Tracker'!$G$5:$G$149,"Thu"))</f>
        <v>0</v>
      </c>
      <c r="L207" s="52" t="n">
        <f aca="false">IF($E207="Per class",$D207*COUNTIFS('Session Tracker'!$D$5:$D$149,$A207,'Session Tracker'!$F$5:$F$149,"Next week",'Session Tracker'!$G$5:$G$149,"Fri"),$D207*SUMIFS('Session Tracker'!$J$5:$J$149,'Session Tracker'!$D$5:$D$149,$A207,'Session Tracker'!$F$5:$F$149,"Next week",'Session Tracker'!$G$5:$G$149,"Fri"))</f>
        <v>0</v>
      </c>
      <c r="M207" s="52" t="n">
        <f aca="false">IF($E207="Per class",$D207*COUNTIFS('Session Tracker'!$D$5:$D$149,$A207,'Session Tracker'!$F$5:$F$149,"Next week",'Session Tracker'!$G$5:$G$149,""),$D207*SUMIFS('Session Tracker'!$J$5:$J$149,'Session Tracker'!$D$5:$D$149,$A207,'Session Tracker'!$F$5:$F$149,"Next week",'Session Tracker'!$G$5:$G$149,""))</f>
        <v>0</v>
      </c>
    </row>
    <row r="208" customFormat="false" ht="15" hidden="false" customHeight="false" outlineLevel="0" collapsed="false">
      <c r="A208" s="68" t="s">
        <v>243</v>
      </c>
      <c r="B208" s="34" t="s">
        <v>377</v>
      </c>
      <c r="C208" s="34" t="s">
        <v>378</v>
      </c>
      <c r="D208" s="32" t="n">
        <v>1</v>
      </c>
      <c r="E208" s="32" t="s">
        <v>14</v>
      </c>
      <c r="F208" s="32" t="s">
        <v>368</v>
      </c>
      <c r="G208" s="34"/>
      <c r="H208" s="52" t="n">
        <f aca="false">IF($E208="Per class",$D208*COUNTIFS('Session Tracker'!$D$5:$D$149,$A208,'Session Tracker'!$F$5:$F$149,"Next week",'Session Tracker'!$G$5:$G$149,"Mon"),$D208*SUMIFS('Session Tracker'!$J$5:$J$149,'Session Tracker'!$D$5:$D$149,$A208,'Session Tracker'!$F$5:$F$149,"Next week",'Session Tracker'!$G$5:$G$149,"Mon"))</f>
        <v>0</v>
      </c>
      <c r="I208" s="52" t="n">
        <f aca="false">IF($E208="Per class",$D208*COUNTIFS('Session Tracker'!$D$5:$D$149,$A208,'Session Tracker'!$F$5:$F$149,"Next week",'Session Tracker'!$G$5:$G$149,"Tue"),$D208*SUMIFS('Session Tracker'!$J$5:$J$149,'Session Tracker'!$D$5:$D$149,$A208,'Session Tracker'!$F$5:$F$149,"Next week",'Session Tracker'!$G$5:$G$149,"Tue"))</f>
        <v>0</v>
      </c>
      <c r="J208" s="52" t="n">
        <f aca="false">IF($E208="Per class",$D208*COUNTIFS('Session Tracker'!$D$5:$D$149,$A208,'Session Tracker'!$F$5:$F$149,"Next week",'Session Tracker'!$G$5:$G$149,"Wed"),$D208*SUMIFS('Session Tracker'!$J$5:$J$149,'Session Tracker'!$D$5:$D$149,$A208,'Session Tracker'!$F$5:$F$149,"Next week",'Session Tracker'!$G$5:$G$149,"Wed"))</f>
        <v>0</v>
      </c>
      <c r="K208" s="52" t="n">
        <f aca="false">IF($E208="Per class",$D208*COUNTIFS('Session Tracker'!$D$5:$D$149,$A208,'Session Tracker'!$F$5:$F$149,"Next week",'Session Tracker'!$G$5:$G$149,"Thu"),$D208*SUMIFS('Session Tracker'!$J$5:$J$149,'Session Tracker'!$D$5:$D$149,$A208,'Session Tracker'!$F$5:$F$149,"Next week",'Session Tracker'!$G$5:$G$149,"Thu"))</f>
        <v>0</v>
      </c>
      <c r="L208" s="52" t="n">
        <f aca="false">IF($E208="Per class",$D208*COUNTIFS('Session Tracker'!$D$5:$D$149,$A208,'Session Tracker'!$F$5:$F$149,"Next week",'Session Tracker'!$G$5:$G$149,"Fri"),$D208*SUMIFS('Session Tracker'!$J$5:$J$149,'Session Tracker'!$D$5:$D$149,$A208,'Session Tracker'!$F$5:$F$149,"Next week",'Session Tracker'!$G$5:$G$149,"Fri"))</f>
        <v>0</v>
      </c>
      <c r="M208" s="52" t="n">
        <f aca="false">IF($E208="Per class",$D208*COUNTIFS('Session Tracker'!$D$5:$D$149,$A208,'Session Tracker'!$F$5:$F$149,"Next week",'Session Tracker'!$G$5:$G$149,""),$D208*SUMIFS('Session Tracker'!$J$5:$J$149,'Session Tracker'!$D$5:$D$149,$A208,'Session Tracker'!$F$5:$F$149,"Next week",'Session Tracker'!$G$5:$G$149,""))</f>
        <v>0</v>
      </c>
    </row>
    <row r="209" customFormat="false" ht="15" hidden="false" customHeight="false" outlineLevel="0" collapsed="false">
      <c r="A209" s="68" t="s">
        <v>243</v>
      </c>
      <c r="B209" s="34" t="s">
        <v>371</v>
      </c>
      <c r="C209" s="34" t="s">
        <v>517</v>
      </c>
      <c r="D209" s="32" t="n">
        <v>1</v>
      </c>
      <c r="E209" s="32" t="s">
        <v>14</v>
      </c>
      <c r="F209" s="32" t="s">
        <v>368</v>
      </c>
      <c r="G209" s="34"/>
      <c r="H209" s="52" t="n">
        <f aca="false">IF($E209="Per class",$D209*COUNTIFS('Session Tracker'!$D$5:$D$149,$A209,'Session Tracker'!$F$5:$F$149,"Next week",'Session Tracker'!$G$5:$G$149,"Mon"),$D209*SUMIFS('Session Tracker'!$J$5:$J$149,'Session Tracker'!$D$5:$D$149,$A209,'Session Tracker'!$F$5:$F$149,"Next week",'Session Tracker'!$G$5:$G$149,"Mon"))</f>
        <v>0</v>
      </c>
      <c r="I209" s="52" t="n">
        <f aca="false">IF($E209="Per class",$D209*COUNTIFS('Session Tracker'!$D$5:$D$149,$A209,'Session Tracker'!$F$5:$F$149,"Next week",'Session Tracker'!$G$5:$G$149,"Tue"),$D209*SUMIFS('Session Tracker'!$J$5:$J$149,'Session Tracker'!$D$5:$D$149,$A209,'Session Tracker'!$F$5:$F$149,"Next week",'Session Tracker'!$G$5:$G$149,"Tue"))</f>
        <v>0</v>
      </c>
      <c r="J209" s="52" t="n">
        <f aca="false">IF($E209="Per class",$D209*COUNTIFS('Session Tracker'!$D$5:$D$149,$A209,'Session Tracker'!$F$5:$F$149,"Next week",'Session Tracker'!$G$5:$G$149,"Wed"),$D209*SUMIFS('Session Tracker'!$J$5:$J$149,'Session Tracker'!$D$5:$D$149,$A209,'Session Tracker'!$F$5:$F$149,"Next week",'Session Tracker'!$G$5:$G$149,"Wed"))</f>
        <v>0</v>
      </c>
      <c r="K209" s="52" t="n">
        <f aca="false">IF($E209="Per class",$D209*COUNTIFS('Session Tracker'!$D$5:$D$149,$A209,'Session Tracker'!$F$5:$F$149,"Next week",'Session Tracker'!$G$5:$G$149,"Thu"),$D209*SUMIFS('Session Tracker'!$J$5:$J$149,'Session Tracker'!$D$5:$D$149,$A209,'Session Tracker'!$F$5:$F$149,"Next week",'Session Tracker'!$G$5:$G$149,"Thu"))</f>
        <v>0</v>
      </c>
      <c r="L209" s="52" t="n">
        <f aca="false">IF($E209="Per class",$D209*COUNTIFS('Session Tracker'!$D$5:$D$149,$A209,'Session Tracker'!$F$5:$F$149,"Next week",'Session Tracker'!$G$5:$G$149,"Fri"),$D209*SUMIFS('Session Tracker'!$J$5:$J$149,'Session Tracker'!$D$5:$D$149,$A209,'Session Tracker'!$F$5:$F$149,"Next week",'Session Tracker'!$G$5:$G$149,"Fri"))</f>
        <v>0</v>
      </c>
      <c r="M209" s="52" t="n">
        <f aca="false">IF($E209="Per class",$D209*COUNTIFS('Session Tracker'!$D$5:$D$149,$A209,'Session Tracker'!$F$5:$F$149,"Next week",'Session Tracker'!$G$5:$G$149,""),$D209*SUMIFS('Session Tracker'!$J$5:$J$149,'Session Tracker'!$D$5:$D$149,$A209,'Session Tracker'!$F$5:$F$149,"Next week",'Session Tracker'!$G$5:$G$149,""))</f>
        <v>0</v>
      </c>
    </row>
    <row r="210" customFormat="false" ht="15" hidden="false" customHeight="false" outlineLevel="0" collapsed="false">
      <c r="A210" s="68" t="s">
        <v>243</v>
      </c>
      <c r="B210" s="34" t="s">
        <v>375</v>
      </c>
      <c r="C210" s="34" t="s">
        <v>592</v>
      </c>
      <c r="D210" s="32" t="n">
        <v>2</v>
      </c>
      <c r="E210" s="32" t="s">
        <v>14</v>
      </c>
      <c r="F210" s="32" t="s">
        <v>373</v>
      </c>
      <c r="G210" s="34" t="s">
        <v>620</v>
      </c>
      <c r="H210" s="52" t="n">
        <f aca="false">IF($E210="Per class",$D210*COUNTIFS('Session Tracker'!$D$5:$D$149,$A210,'Session Tracker'!$F$5:$F$149,"Next week",'Session Tracker'!$G$5:$G$149,"Mon"),$D210*SUMIFS('Session Tracker'!$J$5:$J$149,'Session Tracker'!$D$5:$D$149,$A210,'Session Tracker'!$F$5:$F$149,"Next week",'Session Tracker'!$G$5:$G$149,"Mon"))</f>
        <v>0</v>
      </c>
      <c r="I210" s="52" t="n">
        <f aca="false">IF($E210="Per class",$D210*COUNTIFS('Session Tracker'!$D$5:$D$149,$A210,'Session Tracker'!$F$5:$F$149,"Next week",'Session Tracker'!$G$5:$G$149,"Tue"),$D210*SUMIFS('Session Tracker'!$J$5:$J$149,'Session Tracker'!$D$5:$D$149,$A210,'Session Tracker'!$F$5:$F$149,"Next week",'Session Tracker'!$G$5:$G$149,"Tue"))</f>
        <v>0</v>
      </c>
      <c r="J210" s="52" t="n">
        <f aca="false">IF($E210="Per class",$D210*COUNTIFS('Session Tracker'!$D$5:$D$149,$A210,'Session Tracker'!$F$5:$F$149,"Next week",'Session Tracker'!$G$5:$G$149,"Wed"),$D210*SUMIFS('Session Tracker'!$J$5:$J$149,'Session Tracker'!$D$5:$D$149,$A210,'Session Tracker'!$F$5:$F$149,"Next week",'Session Tracker'!$G$5:$G$149,"Wed"))</f>
        <v>0</v>
      </c>
      <c r="K210" s="52" t="n">
        <f aca="false">IF($E210="Per class",$D210*COUNTIFS('Session Tracker'!$D$5:$D$149,$A210,'Session Tracker'!$F$5:$F$149,"Next week",'Session Tracker'!$G$5:$G$149,"Thu"),$D210*SUMIFS('Session Tracker'!$J$5:$J$149,'Session Tracker'!$D$5:$D$149,$A210,'Session Tracker'!$F$5:$F$149,"Next week",'Session Tracker'!$G$5:$G$149,"Thu"))</f>
        <v>0</v>
      </c>
      <c r="L210" s="52" t="n">
        <f aca="false">IF($E210="Per class",$D210*COUNTIFS('Session Tracker'!$D$5:$D$149,$A210,'Session Tracker'!$F$5:$F$149,"Next week",'Session Tracker'!$G$5:$G$149,"Fri"),$D210*SUMIFS('Session Tracker'!$J$5:$J$149,'Session Tracker'!$D$5:$D$149,$A210,'Session Tracker'!$F$5:$F$149,"Next week",'Session Tracker'!$G$5:$G$149,"Fri"))</f>
        <v>0</v>
      </c>
      <c r="M210" s="52" t="n">
        <f aca="false">IF($E210="Per class",$D210*COUNTIFS('Session Tracker'!$D$5:$D$149,$A210,'Session Tracker'!$F$5:$F$149,"Next week",'Session Tracker'!$G$5:$G$149,""),$D210*SUMIFS('Session Tracker'!$J$5:$J$149,'Session Tracker'!$D$5:$D$149,$A210,'Session Tracker'!$F$5:$F$149,"Next week",'Session Tracker'!$G$5:$G$149,""))</f>
        <v>0</v>
      </c>
    </row>
    <row r="211" customFormat="false" ht="15" hidden="false" customHeight="false" outlineLevel="0" collapsed="false">
      <c r="A211" s="68" t="s">
        <v>243</v>
      </c>
      <c r="B211" s="34" t="s">
        <v>379</v>
      </c>
      <c r="C211" s="34" t="s">
        <v>380</v>
      </c>
      <c r="D211" s="32" t="n">
        <v>2</v>
      </c>
      <c r="E211" s="32" t="s">
        <v>14</v>
      </c>
      <c r="F211" s="32" t="s">
        <v>368</v>
      </c>
      <c r="G211" s="34"/>
      <c r="H211" s="52" t="n">
        <f aca="false">IF($E211="Per class",$D211*COUNTIFS('Session Tracker'!$D$5:$D$149,$A211,'Session Tracker'!$F$5:$F$149,"Next week",'Session Tracker'!$G$5:$G$149,"Mon"),$D211*SUMIFS('Session Tracker'!$J$5:$J$149,'Session Tracker'!$D$5:$D$149,$A211,'Session Tracker'!$F$5:$F$149,"Next week",'Session Tracker'!$G$5:$G$149,"Mon"))</f>
        <v>0</v>
      </c>
      <c r="I211" s="52" t="n">
        <f aca="false">IF($E211="Per class",$D211*COUNTIFS('Session Tracker'!$D$5:$D$149,$A211,'Session Tracker'!$F$5:$F$149,"Next week",'Session Tracker'!$G$5:$G$149,"Tue"),$D211*SUMIFS('Session Tracker'!$J$5:$J$149,'Session Tracker'!$D$5:$D$149,$A211,'Session Tracker'!$F$5:$F$149,"Next week",'Session Tracker'!$G$5:$G$149,"Tue"))</f>
        <v>0</v>
      </c>
      <c r="J211" s="52" t="n">
        <f aca="false">IF($E211="Per class",$D211*COUNTIFS('Session Tracker'!$D$5:$D$149,$A211,'Session Tracker'!$F$5:$F$149,"Next week",'Session Tracker'!$G$5:$G$149,"Wed"),$D211*SUMIFS('Session Tracker'!$J$5:$J$149,'Session Tracker'!$D$5:$D$149,$A211,'Session Tracker'!$F$5:$F$149,"Next week",'Session Tracker'!$G$5:$G$149,"Wed"))</f>
        <v>0</v>
      </c>
      <c r="K211" s="52" t="n">
        <f aca="false">IF($E211="Per class",$D211*COUNTIFS('Session Tracker'!$D$5:$D$149,$A211,'Session Tracker'!$F$5:$F$149,"Next week",'Session Tracker'!$G$5:$G$149,"Thu"),$D211*SUMIFS('Session Tracker'!$J$5:$J$149,'Session Tracker'!$D$5:$D$149,$A211,'Session Tracker'!$F$5:$F$149,"Next week",'Session Tracker'!$G$5:$G$149,"Thu"))</f>
        <v>0</v>
      </c>
      <c r="L211" s="52" t="n">
        <f aca="false">IF($E211="Per class",$D211*COUNTIFS('Session Tracker'!$D$5:$D$149,$A211,'Session Tracker'!$F$5:$F$149,"Next week",'Session Tracker'!$G$5:$G$149,"Fri"),$D211*SUMIFS('Session Tracker'!$J$5:$J$149,'Session Tracker'!$D$5:$D$149,$A211,'Session Tracker'!$F$5:$F$149,"Next week",'Session Tracker'!$G$5:$G$149,"Fri"))</f>
        <v>0</v>
      </c>
      <c r="M211" s="52" t="n">
        <f aca="false">IF($E211="Per class",$D211*COUNTIFS('Session Tracker'!$D$5:$D$149,$A211,'Session Tracker'!$F$5:$F$149,"Next week",'Session Tracker'!$G$5:$G$149,""),$D211*SUMIFS('Session Tracker'!$J$5:$J$149,'Session Tracker'!$D$5:$D$149,$A211,'Session Tracker'!$F$5:$F$149,"Next week",'Session Tracker'!$G$5:$G$149,""))</f>
        <v>0</v>
      </c>
    </row>
    <row r="212" customFormat="false" ht="15" hidden="false" customHeight="false" outlineLevel="0" collapsed="false">
      <c r="A212" s="68" t="s">
        <v>243</v>
      </c>
      <c r="B212" s="34" t="s">
        <v>379</v>
      </c>
      <c r="C212" s="34" t="s">
        <v>395</v>
      </c>
      <c r="D212" s="32" t="n">
        <v>16</v>
      </c>
      <c r="E212" s="32" t="s">
        <v>14</v>
      </c>
      <c r="F212" s="32" t="s">
        <v>368</v>
      </c>
      <c r="G212" s="34"/>
      <c r="H212" s="52" t="n">
        <f aca="false">IF($E212="Per class",$D212*COUNTIFS('Session Tracker'!$D$5:$D$149,$A212,'Session Tracker'!$F$5:$F$149,"Next week",'Session Tracker'!$G$5:$G$149,"Mon"),$D212*SUMIFS('Session Tracker'!$J$5:$J$149,'Session Tracker'!$D$5:$D$149,$A212,'Session Tracker'!$F$5:$F$149,"Next week",'Session Tracker'!$G$5:$G$149,"Mon"))</f>
        <v>0</v>
      </c>
      <c r="I212" s="52" t="n">
        <f aca="false">IF($E212="Per class",$D212*COUNTIFS('Session Tracker'!$D$5:$D$149,$A212,'Session Tracker'!$F$5:$F$149,"Next week",'Session Tracker'!$G$5:$G$149,"Tue"),$D212*SUMIFS('Session Tracker'!$J$5:$J$149,'Session Tracker'!$D$5:$D$149,$A212,'Session Tracker'!$F$5:$F$149,"Next week",'Session Tracker'!$G$5:$G$149,"Tue"))</f>
        <v>0</v>
      </c>
      <c r="J212" s="52" t="n">
        <f aca="false">IF($E212="Per class",$D212*COUNTIFS('Session Tracker'!$D$5:$D$149,$A212,'Session Tracker'!$F$5:$F$149,"Next week",'Session Tracker'!$G$5:$G$149,"Wed"),$D212*SUMIFS('Session Tracker'!$J$5:$J$149,'Session Tracker'!$D$5:$D$149,$A212,'Session Tracker'!$F$5:$F$149,"Next week",'Session Tracker'!$G$5:$G$149,"Wed"))</f>
        <v>0</v>
      </c>
      <c r="K212" s="52" t="n">
        <f aca="false">IF($E212="Per class",$D212*COUNTIFS('Session Tracker'!$D$5:$D$149,$A212,'Session Tracker'!$F$5:$F$149,"Next week",'Session Tracker'!$G$5:$G$149,"Thu"),$D212*SUMIFS('Session Tracker'!$J$5:$J$149,'Session Tracker'!$D$5:$D$149,$A212,'Session Tracker'!$F$5:$F$149,"Next week",'Session Tracker'!$G$5:$G$149,"Thu"))</f>
        <v>0</v>
      </c>
      <c r="L212" s="52" t="n">
        <f aca="false">IF($E212="Per class",$D212*COUNTIFS('Session Tracker'!$D$5:$D$149,$A212,'Session Tracker'!$F$5:$F$149,"Next week",'Session Tracker'!$G$5:$G$149,"Fri"),$D212*SUMIFS('Session Tracker'!$J$5:$J$149,'Session Tracker'!$D$5:$D$149,$A212,'Session Tracker'!$F$5:$F$149,"Next week",'Session Tracker'!$G$5:$G$149,"Fri"))</f>
        <v>0</v>
      </c>
      <c r="M212" s="52" t="n">
        <f aca="false">IF($E212="Per class",$D212*COUNTIFS('Session Tracker'!$D$5:$D$149,$A212,'Session Tracker'!$F$5:$F$149,"Next week",'Session Tracker'!$G$5:$G$149,""),$D212*SUMIFS('Session Tracker'!$J$5:$J$149,'Session Tracker'!$D$5:$D$149,$A212,'Session Tracker'!$F$5:$F$149,"Next week",'Session Tracker'!$G$5:$G$149,""))</f>
        <v>0</v>
      </c>
    </row>
    <row r="213" customFormat="false" ht="15" hidden="false" customHeight="false" outlineLevel="0" collapsed="false">
      <c r="A213" s="68" t="s">
        <v>243</v>
      </c>
      <c r="B213" s="34" t="s">
        <v>379</v>
      </c>
      <c r="C213" s="34" t="s">
        <v>381</v>
      </c>
      <c r="D213" s="32" t="n">
        <v>8</v>
      </c>
      <c r="E213" s="32" t="s">
        <v>14</v>
      </c>
      <c r="F213" s="32" t="s">
        <v>368</v>
      </c>
      <c r="G213" s="34"/>
      <c r="H213" s="52" t="n">
        <f aca="false">IF($E213="Per class",$D213*COUNTIFS('Session Tracker'!$D$5:$D$149,$A213,'Session Tracker'!$F$5:$F$149,"Next week",'Session Tracker'!$G$5:$G$149,"Mon"),$D213*SUMIFS('Session Tracker'!$J$5:$J$149,'Session Tracker'!$D$5:$D$149,$A213,'Session Tracker'!$F$5:$F$149,"Next week",'Session Tracker'!$G$5:$G$149,"Mon"))</f>
        <v>0</v>
      </c>
      <c r="I213" s="52" t="n">
        <f aca="false">IF($E213="Per class",$D213*COUNTIFS('Session Tracker'!$D$5:$D$149,$A213,'Session Tracker'!$F$5:$F$149,"Next week",'Session Tracker'!$G$5:$G$149,"Tue"),$D213*SUMIFS('Session Tracker'!$J$5:$J$149,'Session Tracker'!$D$5:$D$149,$A213,'Session Tracker'!$F$5:$F$149,"Next week",'Session Tracker'!$G$5:$G$149,"Tue"))</f>
        <v>0</v>
      </c>
      <c r="J213" s="52" t="n">
        <f aca="false">IF($E213="Per class",$D213*COUNTIFS('Session Tracker'!$D$5:$D$149,$A213,'Session Tracker'!$F$5:$F$149,"Next week",'Session Tracker'!$G$5:$G$149,"Wed"),$D213*SUMIFS('Session Tracker'!$J$5:$J$149,'Session Tracker'!$D$5:$D$149,$A213,'Session Tracker'!$F$5:$F$149,"Next week",'Session Tracker'!$G$5:$G$149,"Wed"))</f>
        <v>0</v>
      </c>
      <c r="K213" s="52" t="n">
        <f aca="false">IF($E213="Per class",$D213*COUNTIFS('Session Tracker'!$D$5:$D$149,$A213,'Session Tracker'!$F$5:$F$149,"Next week",'Session Tracker'!$G$5:$G$149,"Thu"),$D213*SUMIFS('Session Tracker'!$J$5:$J$149,'Session Tracker'!$D$5:$D$149,$A213,'Session Tracker'!$F$5:$F$149,"Next week",'Session Tracker'!$G$5:$G$149,"Thu"))</f>
        <v>0</v>
      </c>
      <c r="L213" s="52" t="n">
        <f aca="false">IF($E213="Per class",$D213*COUNTIFS('Session Tracker'!$D$5:$D$149,$A213,'Session Tracker'!$F$5:$F$149,"Next week",'Session Tracker'!$G$5:$G$149,"Fri"),$D213*SUMIFS('Session Tracker'!$J$5:$J$149,'Session Tracker'!$D$5:$D$149,$A213,'Session Tracker'!$F$5:$F$149,"Next week",'Session Tracker'!$G$5:$G$149,"Fri"))</f>
        <v>0</v>
      </c>
      <c r="M213" s="52" t="n">
        <f aca="false">IF($E213="Per class",$D213*COUNTIFS('Session Tracker'!$D$5:$D$149,$A213,'Session Tracker'!$F$5:$F$149,"Next week",'Session Tracker'!$G$5:$G$149,""),$D213*SUMIFS('Session Tracker'!$J$5:$J$149,'Session Tracker'!$D$5:$D$149,$A213,'Session Tracker'!$F$5:$F$149,"Next week",'Session Tracker'!$G$5:$G$149,""))</f>
        <v>0</v>
      </c>
    </row>
    <row r="214" customFormat="false" ht="15" hidden="false" customHeight="false" outlineLevel="0" collapsed="false">
      <c r="A214" s="68" t="s">
        <v>243</v>
      </c>
      <c r="B214" s="34" t="s">
        <v>382</v>
      </c>
      <c r="C214" s="34" t="s">
        <v>383</v>
      </c>
      <c r="D214" s="32" t="n">
        <v>2</v>
      </c>
      <c r="E214" s="32" t="s">
        <v>14</v>
      </c>
      <c r="F214" s="32" t="s">
        <v>368</v>
      </c>
      <c r="G214" s="34"/>
      <c r="H214" s="52" t="n">
        <f aca="false">IF($E214="Per class",$D214*COUNTIFS('Session Tracker'!$D$5:$D$149,$A214,'Session Tracker'!$F$5:$F$149,"Next week",'Session Tracker'!$G$5:$G$149,"Mon"),$D214*SUMIFS('Session Tracker'!$J$5:$J$149,'Session Tracker'!$D$5:$D$149,$A214,'Session Tracker'!$F$5:$F$149,"Next week",'Session Tracker'!$G$5:$G$149,"Mon"))</f>
        <v>0</v>
      </c>
      <c r="I214" s="52" t="n">
        <f aca="false">IF($E214="Per class",$D214*COUNTIFS('Session Tracker'!$D$5:$D$149,$A214,'Session Tracker'!$F$5:$F$149,"Next week",'Session Tracker'!$G$5:$G$149,"Tue"),$D214*SUMIFS('Session Tracker'!$J$5:$J$149,'Session Tracker'!$D$5:$D$149,$A214,'Session Tracker'!$F$5:$F$149,"Next week",'Session Tracker'!$G$5:$G$149,"Tue"))</f>
        <v>0</v>
      </c>
      <c r="J214" s="52" t="n">
        <f aca="false">IF($E214="Per class",$D214*COUNTIFS('Session Tracker'!$D$5:$D$149,$A214,'Session Tracker'!$F$5:$F$149,"Next week",'Session Tracker'!$G$5:$G$149,"Wed"),$D214*SUMIFS('Session Tracker'!$J$5:$J$149,'Session Tracker'!$D$5:$D$149,$A214,'Session Tracker'!$F$5:$F$149,"Next week",'Session Tracker'!$G$5:$G$149,"Wed"))</f>
        <v>0</v>
      </c>
      <c r="K214" s="52" t="n">
        <f aca="false">IF($E214="Per class",$D214*COUNTIFS('Session Tracker'!$D$5:$D$149,$A214,'Session Tracker'!$F$5:$F$149,"Next week",'Session Tracker'!$G$5:$G$149,"Thu"),$D214*SUMIFS('Session Tracker'!$J$5:$J$149,'Session Tracker'!$D$5:$D$149,$A214,'Session Tracker'!$F$5:$F$149,"Next week",'Session Tracker'!$G$5:$G$149,"Thu"))</f>
        <v>0</v>
      </c>
      <c r="L214" s="52" t="n">
        <f aca="false">IF($E214="Per class",$D214*COUNTIFS('Session Tracker'!$D$5:$D$149,$A214,'Session Tracker'!$F$5:$F$149,"Next week",'Session Tracker'!$G$5:$G$149,"Fri"),$D214*SUMIFS('Session Tracker'!$J$5:$J$149,'Session Tracker'!$D$5:$D$149,$A214,'Session Tracker'!$F$5:$F$149,"Next week",'Session Tracker'!$G$5:$G$149,"Fri"))</f>
        <v>0</v>
      </c>
      <c r="M214" s="52" t="n">
        <f aca="false">IF($E214="Per class",$D214*COUNTIFS('Session Tracker'!$D$5:$D$149,$A214,'Session Tracker'!$F$5:$F$149,"Next week",'Session Tracker'!$G$5:$G$149,""),$D214*SUMIFS('Session Tracker'!$J$5:$J$149,'Session Tracker'!$D$5:$D$149,$A214,'Session Tracker'!$F$5:$F$149,"Next week",'Session Tracker'!$G$5:$G$149,""))</f>
        <v>0</v>
      </c>
    </row>
    <row r="215" customFormat="false" ht="15" hidden="false" customHeight="false" outlineLevel="0" collapsed="false">
      <c r="A215" s="68" t="s">
        <v>243</v>
      </c>
      <c r="B215" s="34" t="s">
        <v>371</v>
      </c>
      <c r="C215" s="34" t="s">
        <v>372</v>
      </c>
      <c r="D215" s="32" t="n">
        <v>1</v>
      </c>
      <c r="E215" s="32" t="s">
        <v>14</v>
      </c>
      <c r="F215" s="32" t="s">
        <v>373</v>
      </c>
      <c r="G215" s="34" t="s">
        <v>389</v>
      </c>
      <c r="H215" s="52" t="n">
        <f aca="false">IF($E215="Per class",$D215*COUNTIFS('Session Tracker'!$D$5:$D$149,$A215,'Session Tracker'!$F$5:$F$149,"Next week",'Session Tracker'!$G$5:$G$149,"Mon"),$D215*SUMIFS('Session Tracker'!$J$5:$J$149,'Session Tracker'!$D$5:$D$149,$A215,'Session Tracker'!$F$5:$F$149,"Next week",'Session Tracker'!$G$5:$G$149,"Mon"))</f>
        <v>0</v>
      </c>
      <c r="I215" s="52" t="n">
        <f aca="false">IF($E215="Per class",$D215*COUNTIFS('Session Tracker'!$D$5:$D$149,$A215,'Session Tracker'!$F$5:$F$149,"Next week",'Session Tracker'!$G$5:$G$149,"Tue"),$D215*SUMIFS('Session Tracker'!$J$5:$J$149,'Session Tracker'!$D$5:$D$149,$A215,'Session Tracker'!$F$5:$F$149,"Next week",'Session Tracker'!$G$5:$G$149,"Tue"))</f>
        <v>0</v>
      </c>
      <c r="J215" s="52" t="n">
        <f aca="false">IF($E215="Per class",$D215*COUNTIFS('Session Tracker'!$D$5:$D$149,$A215,'Session Tracker'!$F$5:$F$149,"Next week",'Session Tracker'!$G$5:$G$149,"Wed"),$D215*SUMIFS('Session Tracker'!$J$5:$J$149,'Session Tracker'!$D$5:$D$149,$A215,'Session Tracker'!$F$5:$F$149,"Next week",'Session Tracker'!$G$5:$G$149,"Wed"))</f>
        <v>0</v>
      </c>
      <c r="K215" s="52" t="n">
        <f aca="false">IF($E215="Per class",$D215*COUNTIFS('Session Tracker'!$D$5:$D$149,$A215,'Session Tracker'!$F$5:$F$149,"Next week",'Session Tracker'!$G$5:$G$149,"Thu"),$D215*SUMIFS('Session Tracker'!$J$5:$J$149,'Session Tracker'!$D$5:$D$149,$A215,'Session Tracker'!$F$5:$F$149,"Next week",'Session Tracker'!$G$5:$G$149,"Thu"))</f>
        <v>0</v>
      </c>
      <c r="L215" s="52" t="n">
        <f aca="false">IF($E215="Per class",$D215*COUNTIFS('Session Tracker'!$D$5:$D$149,$A215,'Session Tracker'!$F$5:$F$149,"Next week",'Session Tracker'!$G$5:$G$149,"Fri"),$D215*SUMIFS('Session Tracker'!$J$5:$J$149,'Session Tracker'!$D$5:$D$149,$A215,'Session Tracker'!$F$5:$F$149,"Next week",'Session Tracker'!$G$5:$G$149,"Fri"))</f>
        <v>0</v>
      </c>
      <c r="M215" s="52" t="n">
        <f aca="false">IF($E215="Per class",$D215*COUNTIFS('Session Tracker'!$D$5:$D$149,$A215,'Session Tracker'!$F$5:$F$149,"Next week",'Session Tracker'!$G$5:$G$149,""),$D215*SUMIFS('Session Tracker'!$J$5:$J$149,'Session Tracker'!$D$5:$D$149,$A215,'Session Tracker'!$F$5:$F$149,"Next week",'Session Tracker'!$G$5:$G$149,""))</f>
        <v>0</v>
      </c>
    </row>
    <row r="216" customFormat="false" ht="15" hidden="false" customHeight="false" outlineLevel="0" collapsed="false">
      <c r="A216" s="68" t="s">
        <v>243</v>
      </c>
      <c r="B216" s="34" t="s">
        <v>375</v>
      </c>
      <c r="C216" s="34" t="s">
        <v>376</v>
      </c>
      <c r="D216" s="32" t="n">
        <v>1</v>
      </c>
      <c r="E216" s="32" t="s">
        <v>14</v>
      </c>
      <c r="F216" s="32" t="s">
        <v>373</v>
      </c>
      <c r="G216" s="34" t="s">
        <v>442</v>
      </c>
      <c r="H216" s="52" t="n">
        <f aca="false">IF($E216="Per class",$D216*COUNTIFS('Session Tracker'!$D$5:$D$149,$A216,'Session Tracker'!$F$5:$F$149,"Next week",'Session Tracker'!$G$5:$G$149,"Mon"),$D216*SUMIFS('Session Tracker'!$J$5:$J$149,'Session Tracker'!$D$5:$D$149,$A216,'Session Tracker'!$F$5:$F$149,"Next week",'Session Tracker'!$G$5:$G$149,"Mon"))</f>
        <v>0</v>
      </c>
      <c r="I216" s="52" t="n">
        <f aca="false">IF($E216="Per class",$D216*COUNTIFS('Session Tracker'!$D$5:$D$149,$A216,'Session Tracker'!$F$5:$F$149,"Next week",'Session Tracker'!$G$5:$G$149,"Tue"),$D216*SUMIFS('Session Tracker'!$J$5:$J$149,'Session Tracker'!$D$5:$D$149,$A216,'Session Tracker'!$F$5:$F$149,"Next week",'Session Tracker'!$G$5:$G$149,"Tue"))</f>
        <v>0</v>
      </c>
      <c r="J216" s="52" t="n">
        <f aca="false">IF($E216="Per class",$D216*COUNTIFS('Session Tracker'!$D$5:$D$149,$A216,'Session Tracker'!$F$5:$F$149,"Next week",'Session Tracker'!$G$5:$G$149,"Wed"),$D216*SUMIFS('Session Tracker'!$J$5:$J$149,'Session Tracker'!$D$5:$D$149,$A216,'Session Tracker'!$F$5:$F$149,"Next week",'Session Tracker'!$G$5:$G$149,"Wed"))</f>
        <v>0</v>
      </c>
      <c r="K216" s="52" t="n">
        <f aca="false">IF($E216="Per class",$D216*COUNTIFS('Session Tracker'!$D$5:$D$149,$A216,'Session Tracker'!$F$5:$F$149,"Next week",'Session Tracker'!$G$5:$G$149,"Thu"),$D216*SUMIFS('Session Tracker'!$J$5:$J$149,'Session Tracker'!$D$5:$D$149,$A216,'Session Tracker'!$F$5:$F$149,"Next week",'Session Tracker'!$G$5:$G$149,"Thu"))</f>
        <v>0</v>
      </c>
      <c r="L216" s="52" t="n">
        <f aca="false">IF($E216="Per class",$D216*COUNTIFS('Session Tracker'!$D$5:$D$149,$A216,'Session Tracker'!$F$5:$F$149,"Next week",'Session Tracker'!$G$5:$G$149,"Fri"),$D216*SUMIFS('Session Tracker'!$J$5:$J$149,'Session Tracker'!$D$5:$D$149,$A216,'Session Tracker'!$F$5:$F$149,"Next week",'Session Tracker'!$G$5:$G$149,"Fri"))</f>
        <v>0</v>
      </c>
      <c r="M216" s="52" t="n">
        <f aca="false">IF($E216="Per class",$D216*COUNTIFS('Session Tracker'!$D$5:$D$149,$A216,'Session Tracker'!$F$5:$F$149,"Next week",'Session Tracker'!$G$5:$G$149,""),$D216*SUMIFS('Session Tracker'!$J$5:$J$149,'Session Tracker'!$D$5:$D$149,$A216,'Session Tracker'!$F$5:$F$149,"Next week",'Session Tracker'!$G$5:$G$149,""))</f>
        <v>0</v>
      </c>
    </row>
    <row r="217" customFormat="false" ht="15" hidden="false" customHeight="false" outlineLevel="0" collapsed="false">
      <c r="A217" s="53" t="s">
        <v>243</v>
      </c>
      <c r="B217" s="54"/>
      <c r="C217" s="54"/>
      <c r="D217" s="54"/>
      <c r="E217" s="54"/>
      <c r="F217" s="54"/>
      <c r="G217" s="54"/>
      <c r="H217" s="52" t="n">
        <f aca="false">IF($E217="Per class",$D217*COUNTIFS('Session Tracker'!$D$5:$D$149,$A217,'Session Tracker'!$F$5:$F$149,"Next week",'Session Tracker'!$G$5:$G$149,"Mon"),$D217*SUMIFS('Session Tracker'!$J$5:$J$149,'Session Tracker'!$D$5:$D$149,$A217,'Session Tracker'!$F$5:$F$149,"Next week",'Session Tracker'!$G$5:$G$149,"Mon"))</f>
        <v>0</v>
      </c>
      <c r="I217" s="52" t="n">
        <f aca="false">IF($E217="Per class",$D217*COUNTIFS('Session Tracker'!$D$5:$D$149,$A217,'Session Tracker'!$F$5:$F$149,"Next week",'Session Tracker'!$G$5:$G$149,"Tue"),$D217*SUMIFS('Session Tracker'!$J$5:$J$149,'Session Tracker'!$D$5:$D$149,$A217,'Session Tracker'!$F$5:$F$149,"Next week",'Session Tracker'!$G$5:$G$149,"Tue"))</f>
        <v>0</v>
      </c>
      <c r="J217" s="52" t="n">
        <f aca="false">IF($E217="Per class",$D217*COUNTIFS('Session Tracker'!$D$5:$D$149,$A217,'Session Tracker'!$F$5:$F$149,"Next week",'Session Tracker'!$G$5:$G$149,"Wed"),$D217*SUMIFS('Session Tracker'!$J$5:$J$149,'Session Tracker'!$D$5:$D$149,$A217,'Session Tracker'!$F$5:$F$149,"Next week",'Session Tracker'!$G$5:$G$149,"Wed"))</f>
        <v>0</v>
      </c>
      <c r="K217" s="52" t="n">
        <f aca="false">IF($E217="Per class",$D217*COUNTIFS('Session Tracker'!$D$5:$D$149,$A217,'Session Tracker'!$F$5:$F$149,"Next week",'Session Tracker'!$G$5:$G$149,"Thu"),$D217*SUMIFS('Session Tracker'!$J$5:$J$149,'Session Tracker'!$D$5:$D$149,$A217,'Session Tracker'!$F$5:$F$149,"Next week",'Session Tracker'!$G$5:$G$149,"Thu"))</f>
        <v>0</v>
      </c>
      <c r="L217" s="52" t="n">
        <f aca="false">IF($E217="Per class",$D217*COUNTIFS('Session Tracker'!$D$5:$D$149,$A217,'Session Tracker'!$F$5:$F$149,"Next week",'Session Tracker'!$G$5:$G$149,"Fri"),$D217*SUMIFS('Session Tracker'!$J$5:$J$149,'Session Tracker'!$D$5:$D$149,$A217,'Session Tracker'!$F$5:$F$149,"Next week",'Session Tracker'!$G$5:$G$149,"Fri"))</f>
        <v>0</v>
      </c>
      <c r="M217" s="52" t="n">
        <f aca="false">IF($E217="Per class",$D217*COUNTIFS('Session Tracker'!$D$5:$D$149,$A217,'Session Tracker'!$F$5:$F$149,"Next week",'Session Tracker'!$G$5:$G$149,""),$D217*SUMIFS('Session Tracker'!$J$5:$J$149,'Session Tracker'!$D$5:$D$149,$A217,'Session Tracker'!$F$5:$F$149,"Next week",'Session Tracker'!$G$5:$G$149,""))</f>
        <v>0</v>
      </c>
    </row>
    <row r="218" customFormat="false" ht="15" hidden="false" customHeight="false" outlineLevel="0" collapsed="false">
      <c r="A218" s="53" t="s">
        <v>243</v>
      </c>
      <c r="B218" s="54"/>
      <c r="C218" s="54"/>
      <c r="D218" s="54"/>
      <c r="E218" s="54"/>
      <c r="F218" s="54"/>
      <c r="G218" s="54"/>
      <c r="H218" s="52" t="n">
        <f aca="false">IF($E218="Per class",$D218*COUNTIFS('Session Tracker'!$D$5:$D$149,$A218,'Session Tracker'!$F$5:$F$149,"Next week",'Session Tracker'!$G$5:$G$149,"Mon"),$D218*SUMIFS('Session Tracker'!$J$5:$J$149,'Session Tracker'!$D$5:$D$149,$A218,'Session Tracker'!$F$5:$F$149,"Next week",'Session Tracker'!$G$5:$G$149,"Mon"))</f>
        <v>0</v>
      </c>
      <c r="I218" s="52" t="n">
        <f aca="false">IF($E218="Per class",$D218*COUNTIFS('Session Tracker'!$D$5:$D$149,$A218,'Session Tracker'!$F$5:$F$149,"Next week",'Session Tracker'!$G$5:$G$149,"Tue"),$D218*SUMIFS('Session Tracker'!$J$5:$J$149,'Session Tracker'!$D$5:$D$149,$A218,'Session Tracker'!$F$5:$F$149,"Next week",'Session Tracker'!$G$5:$G$149,"Tue"))</f>
        <v>0</v>
      </c>
      <c r="J218" s="52" t="n">
        <f aca="false">IF($E218="Per class",$D218*COUNTIFS('Session Tracker'!$D$5:$D$149,$A218,'Session Tracker'!$F$5:$F$149,"Next week",'Session Tracker'!$G$5:$G$149,"Wed"),$D218*SUMIFS('Session Tracker'!$J$5:$J$149,'Session Tracker'!$D$5:$D$149,$A218,'Session Tracker'!$F$5:$F$149,"Next week",'Session Tracker'!$G$5:$G$149,"Wed"))</f>
        <v>0</v>
      </c>
      <c r="K218" s="52" t="n">
        <f aca="false">IF($E218="Per class",$D218*COUNTIFS('Session Tracker'!$D$5:$D$149,$A218,'Session Tracker'!$F$5:$F$149,"Next week",'Session Tracker'!$G$5:$G$149,"Thu"),$D218*SUMIFS('Session Tracker'!$J$5:$J$149,'Session Tracker'!$D$5:$D$149,$A218,'Session Tracker'!$F$5:$F$149,"Next week",'Session Tracker'!$G$5:$G$149,"Thu"))</f>
        <v>0</v>
      </c>
      <c r="L218" s="52" t="n">
        <f aca="false">IF($E218="Per class",$D218*COUNTIFS('Session Tracker'!$D$5:$D$149,$A218,'Session Tracker'!$F$5:$F$149,"Next week",'Session Tracker'!$G$5:$G$149,"Fri"),$D218*SUMIFS('Session Tracker'!$J$5:$J$149,'Session Tracker'!$D$5:$D$149,$A218,'Session Tracker'!$F$5:$F$149,"Next week",'Session Tracker'!$G$5:$G$149,"Fri"))</f>
        <v>0</v>
      </c>
      <c r="M218" s="52" t="n">
        <f aca="false">IF($E218="Per class",$D218*COUNTIFS('Session Tracker'!$D$5:$D$149,$A218,'Session Tracker'!$F$5:$F$149,"Next week",'Session Tracker'!$G$5:$G$149,""),$D218*SUMIFS('Session Tracker'!$J$5:$J$149,'Session Tracker'!$D$5:$D$149,$A218,'Session Tracker'!$F$5:$F$149,"Next week",'Session Tracker'!$G$5:$G$149,""))</f>
        <v>0</v>
      </c>
    </row>
    <row r="220" customFormat="false" ht="19.5" hidden="false" customHeight="true" outlineLevel="0" collapsed="false">
      <c r="A220" s="64" t="s">
        <v>245</v>
      </c>
      <c r="B220" s="65" t="s">
        <v>621</v>
      </c>
      <c r="C220" s="65"/>
      <c r="D220" s="65"/>
      <c r="E220" s="65"/>
      <c r="F220" s="66" t="str">
        <f aca="false">"Status: "&amp;'Session Tracker'!F92&amp;IF('Session Tracker'!G92&lt;&gt;""," ("&amp;'Session Tracker'!G92&amp;")","")</f>
        <v>Status: Not started</v>
      </c>
      <c r="G220" s="66"/>
      <c r="H220" s="67"/>
      <c r="I220" s="67"/>
      <c r="J220" s="67"/>
      <c r="K220" s="67"/>
      <c r="L220" s="67"/>
      <c r="M220" s="67"/>
    </row>
    <row r="221" customFormat="false" ht="23.85" hidden="false" customHeight="false" outlineLevel="0" collapsed="false">
      <c r="A221" s="68" t="s">
        <v>245</v>
      </c>
      <c r="B221" s="34" t="s">
        <v>366</v>
      </c>
      <c r="C221" s="34" t="s">
        <v>391</v>
      </c>
      <c r="D221" s="32" t="n">
        <v>1</v>
      </c>
      <c r="E221" s="32" t="s">
        <v>14</v>
      </c>
      <c r="F221" s="32" t="s">
        <v>368</v>
      </c>
      <c r="G221" s="34"/>
      <c r="H221" s="52" t="n">
        <f aca="false">IF($E221="Per class",$D221*COUNTIFS('Session Tracker'!$D$5:$D$149,$A221,'Session Tracker'!$F$5:$F$149,"Next week",'Session Tracker'!$G$5:$G$149,"Mon"),$D221*SUMIFS('Session Tracker'!$J$5:$J$149,'Session Tracker'!$D$5:$D$149,$A221,'Session Tracker'!$F$5:$F$149,"Next week",'Session Tracker'!$G$5:$G$149,"Mon"))</f>
        <v>0</v>
      </c>
      <c r="I221" s="52" t="n">
        <f aca="false">IF($E221="Per class",$D221*COUNTIFS('Session Tracker'!$D$5:$D$149,$A221,'Session Tracker'!$F$5:$F$149,"Next week",'Session Tracker'!$G$5:$G$149,"Tue"),$D221*SUMIFS('Session Tracker'!$J$5:$J$149,'Session Tracker'!$D$5:$D$149,$A221,'Session Tracker'!$F$5:$F$149,"Next week",'Session Tracker'!$G$5:$G$149,"Tue"))</f>
        <v>0</v>
      </c>
      <c r="J221" s="52" t="n">
        <f aca="false">IF($E221="Per class",$D221*COUNTIFS('Session Tracker'!$D$5:$D$149,$A221,'Session Tracker'!$F$5:$F$149,"Next week",'Session Tracker'!$G$5:$G$149,"Wed"),$D221*SUMIFS('Session Tracker'!$J$5:$J$149,'Session Tracker'!$D$5:$D$149,$A221,'Session Tracker'!$F$5:$F$149,"Next week",'Session Tracker'!$G$5:$G$149,"Wed"))</f>
        <v>0</v>
      </c>
      <c r="K221" s="52" t="n">
        <f aca="false">IF($E221="Per class",$D221*COUNTIFS('Session Tracker'!$D$5:$D$149,$A221,'Session Tracker'!$F$5:$F$149,"Next week",'Session Tracker'!$G$5:$G$149,"Thu"),$D221*SUMIFS('Session Tracker'!$J$5:$J$149,'Session Tracker'!$D$5:$D$149,$A221,'Session Tracker'!$F$5:$F$149,"Next week",'Session Tracker'!$G$5:$G$149,"Thu"))</f>
        <v>0</v>
      </c>
      <c r="L221" s="52" t="n">
        <f aca="false">IF($E221="Per class",$D221*COUNTIFS('Session Tracker'!$D$5:$D$149,$A221,'Session Tracker'!$F$5:$F$149,"Next week",'Session Tracker'!$G$5:$G$149,"Fri"),$D221*SUMIFS('Session Tracker'!$J$5:$J$149,'Session Tracker'!$D$5:$D$149,$A221,'Session Tracker'!$F$5:$F$149,"Next week",'Session Tracker'!$G$5:$G$149,"Fri"))</f>
        <v>0</v>
      </c>
      <c r="M221" s="52" t="n">
        <f aca="false">IF($E221="Per class",$D221*COUNTIFS('Session Tracker'!$D$5:$D$149,$A221,'Session Tracker'!$F$5:$F$149,"Next week",'Session Tracker'!$G$5:$G$149,""),$D221*SUMIFS('Session Tracker'!$J$5:$J$149,'Session Tracker'!$D$5:$D$149,$A221,'Session Tracker'!$F$5:$F$149,"Next week",'Session Tracker'!$G$5:$G$149,""))</f>
        <v>0</v>
      </c>
    </row>
    <row r="222" customFormat="false" ht="15" hidden="false" customHeight="false" outlineLevel="0" collapsed="false">
      <c r="A222" s="68" t="s">
        <v>245</v>
      </c>
      <c r="B222" s="34" t="s">
        <v>369</v>
      </c>
      <c r="C222" s="34" t="s">
        <v>433</v>
      </c>
      <c r="D222" s="32" t="n">
        <v>1</v>
      </c>
      <c r="E222" s="32" t="s">
        <v>14</v>
      </c>
      <c r="F222" s="32" t="s">
        <v>368</v>
      </c>
      <c r="G222" s="34"/>
      <c r="H222" s="52" t="n">
        <f aca="false">IF($E222="Per class",$D222*COUNTIFS('Session Tracker'!$D$5:$D$149,$A222,'Session Tracker'!$F$5:$F$149,"Next week",'Session Tracker'!$G$5:$G$149,"Mon"),$D222*SUMIFS('Session Tracker'!$J$5:$J$149,'Session Tracker'!$D$5:$D$149,$A222,'Session Tracker'!$F$5:$F$149,"Next week",'Session Tracker'!$G$5:$G$149,"Mon"))</f>
        <v>0</v>
      </c>
      <c r="I222" s="52" t="n">
        <f aca="false">IF($E222="Per class",$D222*COUNTIFS('Session Tracker'!$D$5:$D$149,$A222,'Session Tracker'!$F$5:$F$149,"Next week",'Session Tracker'!$G$5:$G$149,"Tue"),$D222*SUMIFS('Session Tracker'!$J$5:$J$149,'Session Tracker'!$D$5:$D$149,$A222,'Session Tracker'!$F$5:$F$149,"Next week",'Session Tracker'!$G$5:$G$149,"Tue"))</f>
        <v>0</v>
      </c>
      <c r="J222" s="52" t="n">
        <f aca="false">IF($E222="Per class",$D222*COUNTIFS('Session Tracker'!$D$5:$D$149,$A222,'Session Tracker'!$F$5:$F$149,"Next week",'Session Tracker'!$G$5:$G$149,"Wed"),$D222*SUMIFS('Session Tracker'!$J$5:$J$149,'Session Tracker'!$D$5:$D$149,$A222,'Session Tracker'!$F$5:$F$149,"Next week",'Session Tracker'!$G$5:$G$149,"Wed"))</f>
        <v>0</v>
      </c>
      <c r="K222" s="52" t="n">
        <f aca="false">IF($E222="Per class",$D222*COUNTIFS('Session Tracker'!$D$5:$D$149,$A222,'Session Tracker'!$F$5:$F$149,"Next week",'Session Tracker'!$G$5:$G$149,"Thu"),$D222*SUMIFS('Session Tracker'!$J$5:$J$149,'Session Tracker'!$D$5:$D$149,$A222,'Session Tracker'!$F$5:$F$149,"Next week",'Session Tracker'!$G$5:$G$149,"Thu"))</f>
        <v>0</v>
      </c>
      <c r="L222" s="52" t="n">
        <f aca="false">IF($E222="Per class",$D222*COUNTIFS('Session Tracker'!$D$5:$D$149,$A222,'Session Tracker'!$F$5:$F$149,"Next week",'Session Tracker'!$G$5:$G$149,"Fri"),$D222*SUMIFS('Session Tracker'!$J$5:$J$149,'Session Tracker'!$D$5:$D$149,$A222,'Session Tracker'!$F$5:$F$149,"Next week",'Session Tracker'!$G$5:$G$149,"Fri"))</f>
        <v>0</v>
      </c>
      <c r="M222" s="52" t="n">
        <f aca="false">IF($E222="Per class",$D222*COUNTIFS('Session Tracker'!$D$5:$D$149,$A222,'Session Tracker'!$F$5:$F$149,"Next week",'Session Tracker'!$G$5:$G$149,""),$D222*SUMIFS('Session Tracker'!$J$5:$J$149,'Session Tracker'!$D$5:$D$149,$A222,'Session Tracker'!$F$5:$F$149,"Next week",'Session Tracker'!$G$5:$G$149,""))</f>
        <v>0</v>
      </c>
    </row>
    <row r="223" customFormat="false" ht="15" hidden="false" customHeight="false" outlineLevel="0" collapsed="false">
      <c r="A223" s="68" t="s">
        <v>245</v>
      </c>
      <c r="B223" s="34" t="s">
        <v>369</v>
      </c>
      <c r="C223" s="34" t="s">
        <v>430</v>
      </c>
      <c r="D223" s="32" t="n">
        <v>1</v>
      </c>
      <c r="E223" s="32" t="s">
        <v>14</v>
      </c>
      <c r="F223" s="32" t="s">
        <v>368</v>
      </c>
      <c r="G223" s="34"/>
      <c r="H223" s="52" t="n">
        <f aca="false">IF($E223="Per class",$D223*COUNTIFS('Session Tracker'!$D$5:$D$149,$A223,'Session Tracker'!$F$5:$F$149,"Next week",'Session Tracker'!$G$5:$G$149,"Mon"),$D223*SUMIFS('Session Tracker'!$J$5:$J$149,'Session Tracker'!$D$5:$D$149,$A223,'Session Tracker'!$F$5:$F$149,"Next week",'Session Tracker'!$G$5:$G$149,"Mon"))</f>
        <v>0</v>
      </c>
      <c r="I223" s="52" t="n">
        <f aca="false">IF($E223="Per class",$D223*COUNTIFS('Session Tracker'!$D$5:$D$149,$A223,'Session Tracker'!$F$5:$F$149,"Next week",'Session Tracker'!$G$5:$G$149,"Tue"),$D223*SUMIFS('Session Tracker'!$J$5:$J$149,'Session Tracker'!$D$5:$D$149,$A223,'Session Tracker'!$F$5:$F$149,"Next week",'Session Tracker'!$G$5:$G$149,"Tue"))</f>
        <v>0</v>
      </c>
      <c r="J223" s="52" t="n">
        <f aca="false">IF($E223="Per class",$D223*COUNTIFS('Session Tracker'!$D$5:$D$149,$A223,'Session Tracker'!$F$5:$F$149,"Next week",'Session Tracker'!$G$5:$G$149,"Wed"),$D223*SUMIFS('Session Tracker'!$J$5:$J$149,'Session Tracker'!$D$5:$D$149,$A223,'Session Tracker'!$F$5:$F$149,"Next week",'Session Tracker'!$G$5:$G$149,"Wed"))</f>
        <v>0</v>
      </c>
      <c r="K223" s="52" t="n">
        <f aca="false">IF($E223="Per class",$D223*COUNTIFS('Session Tracker'!$D$5:$D$149,$A223,'Session Tracker'!$F$5:$F$149,"Next week",'Session Tracker'!$G$5:$G$149,"Thu"),$D223*SUMIFS('Session Tracker'!$J$5:$J$149,'Session Tracker'!$D$5:$D$149,$A223,'Session Tracker'!$F$5:$F$149,"Next week",'Session Tracker'!$G$5:$G$149,"Thu"))</f>
        <v>0</v>
      </c>
      <c r="L223" s="52" t="n">
        <f aca="false">IF($E223="Per class",$D223*COUNTIFS('Session Tracker'!$D$5:$D$149,$A223,'Session Tracker'!$F$5:$F$149,"Next week",'Session Tracker'!$G$5:$G$149,"Fri"),$D223*SUMIFS('Session Tracker'!$J$5:$J$149,'Session Tracker'!$D$5:$D$149,$A223,'Session Tracker'!$F$5:$F$149,"Next week",'Session Tracker'!$G$5:$G$149,"Fri"))</f>
        <v>0</v>
      </c>
      <c r="M223" s="52" t="n">
        <f aca="false">IF($E223="Per class",$D223*COUNTIFS('Session Tracker'!$D$5:$D$149,$A223,'Session Tracker'!$F$5:$F$149,"Next week",'Session Tracker'!$G$5:$G$149,""),$D223*SUMIFS('Session Tracker'!$J$5:$J$149,'Session Tracker'!$D$5:$D$149,$A223,'Session Tracker'!$F$5:$F$149,"Next week",'Session Tracker'!$G$5:$G$149,""))</f>
        <v>0</v>
      </c>
    </row>
    <row r="224" customFormat="false" ht="15" hidden="false" customHeight="false" outlineLevel="0" collapsed="false">
      <c r="A224" s="68" t="s">
        <v>245</v>
      </c>
      <c r="B224" s="34" t="s">
        <v>377</v>
      </c>
      <c r="C224" s="34" t="s">
        <v>597</v>
      </c>
      <c r="D224" s="32" t="n">
        <v>1</v>
      </c>
      <c r="E224" s="32" t="s">
        <v>14</v>
      </c>
      <c r="F224" s="32" t="s">
        <v>368</v>
      </c>
      <c r="G224" s="34"/>
      <c r="H224" s="52" t="n">
        <f aca="false">IF($E224="Per class",$D224*COUNTIFS('Session Tracker'!$D$5:$D$149,$A224,'Session Tracker'!$F$5:$F$149,"Next week",'Session Tracker'!$G$5:$G$149,"Mon"),$D224*SUMIFS('Session Tracker'!$J$5:$J$149,'Session Tracker'!$D$5:$D$149,$A224,'Session Tracker'!$F$5:$F$149,"Next week",'Session Tracker'!$G$5:$G$149,"Mon"))</f>
        <v>0</v>
      </c>
      <c r="I224" s="52" t="n">
        <f aca="false">IF($E224="Per class",$D224*COUNTIFS('Session Tracker'!$D$5:$D$149,$A224,'Session Tracker'!$F$5:$F$149,"Next week",'Session Tracker'!$G$5:$G$149,"Tue"),$D224*SUMIFS('Session Tracker'!$J$5:$J$149,'Session Tracker'!$D$5:$D$149,$A224,'Session Tracker'!$F$5:$F$149,"Next week",'Session Tracker'!$G$5:$G$149,"Tue"))</f>
        <v>0</v>
      </c>
      <c r="J224" s="52" t="n">
        <f aca="false">IF($E224="Per class",$D224*COUNTIFS('Session Tracker'!$D$5:$D$149,$A224,'Session Tracker'!$F$5:$F$149,"Next week",'Session Tracker'!$G$5:$G$149,"Wed"),$D224*SUMIFS('Session Tracker'!$J$5:$J$149,'Session Tracker'!$D$5:$D$149,$A224,'Session Tracker'!$F$5:$F$149,"Next week",'Session Tracker'!$G$5:$G$149,"Wed"))</f>
        <v>0</v>
      </c>
      <c r="K224" s="52" t="n">
        <f aca="false">IF($E224="Per class",$D224*COUNTIFS('Session Tracker'!$D$5:$D$149,$A224,'Session Tracker'!$F$5:$F$149,"Next week",'Session Tracker'!$G$5:$G$149,"Thu"),$D224*SUMIFS('Session Tracker'!$J$5:$J$149,'Session Tracker'!$D$5:$D$149,$A224,'Session Tracker'!$F$5:$F$149,"Next week",'Session Tracker'!$G$5:$G$149,"Thu"))</f>
        <v>0</v>
      </c>
      <c r="L224" s="52" t="n">
        <f aca="false">IF($E224="Per class",$D224*COUNTIFS('Session Tracker'!$D$5:$D$149,$A224,'Session Tracker'!$F$5:$F$149,"Next week",'Session Tracker'!$G$5:$G$149,"Fri"),$D224*SUMIFS('Session Tracker'!$J$5:$J$149,'Session Tracker'!$D$5:$D$149,$A224,'Session Tracker'!$F$5:$F$149,"Next week",'Session Tracker'!$G$5:$G$149,"Fri"))</f>
        <v>0</v>
      </c>
      <c r="M224" s="52" t="n">
        <f aca="false">IF($E224="Per class",$D224*COUNTIFS('Session Tracker'!$D$5:$D$149,$A224,'Session Tracker'!$F$5:$F$149,"Next week",'Session Tracker'!$G$5:$G$149,""),$D224*SUMIFS('Session Tracker'!$J$5:$J$149,'Session Tracker'!$D$5:$D$149,$A224,'Session Tracker'!$F$5:$F$149,"Next week",'Session Tracker'!$G$5:$G$149,""))</f>
        <v>0</v>
      </c>
    </row>
    <row r="225" customFormat="false" ht="15" hidden="false" customHeight="false" outlineLevel="0" collapsed="false">
      <c r="A225" s="68" t="s">
        <v>245</v>
      </c>
      <c r="B225" s="34" t="s">
        <v>377</v>
      </c>
      <c r="C225" s="34" t="s">
        <v>622</v>
      </c>
      <c r="D225" s="32" t="n">
        <v>1</v>
      </c>
      <c r="E225" s="32" t="s">
        <v>14</v>
      </c>
      <c r="F225" s="32" t="s">
        <v>368</v>
      </c>
      <c r="G225" s="34"/>
      <c r="H225" s="52" t="n">
        <f aca="false">IF($E225="Per class",$D225*COUNTIFS('Session Tracker'!$D$5:$D$149,$A225,'Session Tracker'!$F$5:$F$149,"Next week",'Session Tracker'!$G$5:$G$149,"Mon"),$D225*SUMIFS('Session Tracker'!$J$5:$J$149,'Session Tracker'!$D$5:$D$149,$A225,'Session Tracker'!$F$5:$F$149,"Next week",'Session Tracker'!$G$5:$G$149,"Mon"))</f>
        <v>0</v>
      </c>
      <c r="I225" s="52" t="n">
        <f aca="false">IF($E225="Per class",$D225*COUNTIFS('Session Tracker'!$D$5:$D$149,$A225,'Session Tracker'!$F$5:$F$149,"Next week",'Session Tracker'!$G$5:$G$149,"Tue"),$D225*SUMIFS('Session Tracker'!$J$5:$J$149,'Session Tracker'!$D$5:$D$149,$A225,'Session Tracker'!$F$5:$F$149,"Next week",'Session Tracker'!$G$5:$G$149,"Tue"))</f>
        <v>0</v>
      </c>
      <c r="J225" s="52" t="n">
        <f aca="false">IF($E225="Per class",$D225*COUNTIFS('Session Tracker'!$D$5:$D$149,$A225,'Session Tracker'!$F$5:$F$149,"Next week",'Session Tracker'!$G$5:$G$149,"Wed"),$D225*SUMIFS('Session Tracker'!$J$5:$J$149,'Session Tracker'!$D$5:$D$149,$A225,'Session Tracker'!$F$5:$F$149,"Next week",'Session Tracker'!$G$5:$G$149,"Wed"))</f>
        <v>0</v>
      </c>
      <c r="K225" s="52" t="n">
        <f aca="false">IF($E225="Per class",$D225*COUNTIFS('Session Tracker'!$D$5:$D$149,$A225,'Session Tracker'!$F$5:$F$149,"Next week",'Session Tracker'!$G$5:$G$149,"Thu"),$D225*SUMIFS('Session Tracker'!$J$5:$J$149,'Session Tracker'!$D$5:$D$149,$A225,'Session Tracker'!$F$5:$F$149,"Next week",'Session Tracker'!$G$5:$G$149,"Thu"))</f>
        <v>0</v>
      </c>
      <c r="L225" s="52" t="n">
        <f aca="false">IF($E225="Per class",$D225*COUNTIFS('Session Tracker'!$D$5:$D$149,$A225,'Session Tracker'!$F$5:$F$149,"Next week",'Session Tracker'!$G$5:$G$149,"Fri"),$D225*SUMIFS('Session Tracker'!$J$5:$J$149,'Session Tracker'!$D$5:$D$149,$A225,'Session Tracker'!$F$5:$F$149,"Next week",'Session Tracker'!$G$5:$G$149,"Fri"))</f>
        <v>0</v>
      </c>
      <c r="M225" s="52" t="n">
        <f aca="false">IF($E225="Per class",$D225*COUNTIFS('Session Tracker'!$D$5:$D$149,$A225,'Session Tracker'!$F$5:$F$149,"Next week",'Session Tracker'!$G$5:$G$149,""),$D225*SUMIFS('Session Tracker'!$J$5:$J$149,'Session Tracker'!$D$5:$D$149,$A225,'Session Tracker'!$F$5:$F$149,"Next week",'Session Tracker'!$G$5:$G$149,""))</f>
        <v>0</v>
      </c>
    </row>
    <row r="226" customFormat="false" ht="15" hidden="false" customHeight="false" outlineLevel="0" collapsed="false">
      <c r="A226" s="68" t="s">
        <v>245</v>
      </c>
      <c r="B226" s="34" t="s">
        <v>409</v>
      </c>
      <c r="C226" s="34" t="s">
        <v>533</v>
      </c>
      <c r="D226" s="32" t="n">
        <v>1</v>
      </c>
      <c r="E226" s="32" t="s">
        <v>14</v>
      </c>
      <c r="F226" s="32" t="s">
        <v>373</v>
      </c>
      <c r="G226" s="34" t="s">
        <v>623</v>
      </c>
      <c r="H226" s="52" t="n">
        <f aca="false">IF($E226="Per class",$D226*COUNTIFS('Session Tracker'!$D$5:$D$149,$A226,'Session Tracker'!$F$5:$F$149,"Next week",'Session Tracker'!$G$5:$G$149,"Mon"),$D226*SUMIFS('Session Tracker'!$J$5:$J$149,'Session Tracker'!$D$5:$D$149,$A226,'Session Tracker'!$F$5:$F$149,"Next week",'Session Tracker'!$G$5:$G$149,"Mon"))</f>
        <v>0</v>
      </c>
      <c r="I226" s="52" t="n">
        <f aca="false">IF($E226="Per class",$D226*COUNTIFS('Session Tracker'!$D$5:$D$149,$A226,'Session Tracker'!$F$5:$F$149,"Next week",'Session Tracker'!$G$5:$G$149,"Tue"),$D226*SUMIFS('Session Tracker'!$J$5:$J$149,'Session Tracker'!$D$5:$D$149,$A226,'Session Tracker'!$F$5:$F$149,"Next week",'Session Tracker'!$G$5:$G$149,"Tue"))</f>
        <v>0</v>
      </c>
      <c r="J226" s="52" t="n">
        <f aca="false">IF($E226="Per class",$D226*COUNTIFS('Session Tracker'!$D$5:$D$149,$A226,'Session Tracker'!$F$5:$F$149,"Next week",'Session Tracker'!$G$5:$G$149,"Wed"),$D226*SUMIFS('Session Tracker'!$J$5:$J$149,'Session Tracker'!$D$5:$D$149,$A226,'Session Tracker'!$F$5:$F$149,"Next week",'Session Tracker'!$G$5:$G$149,"Wed"))</f>
        <v>0</v>
      </c>
      <c r="K226" s="52" t="n">
        <f aca="false">IF($E226="Per class",$D226*COUNTIFS('Session Tracker'!$D$5:$D$149,$A226,'Session Tracker'!$F$5:$F$149,"Next week",'Session Tracker'!$G$5:$G$149,"Thu"),$D226*SUMIFS('Session Tracker'!$J$5:$J$149,'Session Tracker'!$D$5:$D$149,$A226,'Session Tracker'!$F$5:$F$149,"Next week",'Session Tracker'!$G$5:$G$149,"Thu"))</f>
        <v>0</v>
      </c>
      <c r="L226" s="52" t="n">
        <f aca="false">IF($E226="Per class",$D226*COUNTIFS('Session Tracker'!$D$5:$D$149,$A226,'Session Tracker'!$F$5:$F$149,"Next week",'Session Tracker'!$G$5:$G$149,"Fri"),$D226*SUMIFS('Session Tracker'!$J$5:$J$149,'Session Tracker'!$D$5:$D$149,$A226,'Session Tracker'!$F$5:$F$149,"Next week",'Session Tracker'!$G$5:$G$149,"Fri"))</f>
        <v>0</v>
      </c>
      <c r="M226" s="52" t="n">
        <f aca="false">IF($E226="Per class",$D226*COUNTIFS('Session Tracker'!$D$5:$D$149,$A226,'Session Tracker'!$F$5:$F$149,"Next week",'Session Tracker'!$G$5:$G$149,""),$D226*SUMIFS('Session Tracker'!$J$5:$J$149,'Session Tracker'!$D$5:$D$149,$A226,'Session Tracker'!$F$5:$F$149,"Next week",'Session Tracker'!$G$5:$G$149,""))</f>
        <v>0</v>
      </c>
    </row>
    <row r="227" customFormat="false" ht="15" hidden="false" customHeight="false" outlineLevel="0" collapsed="false">
      <c r="A227" s="68" t="s">
        <v>245</v>
      </c>
      <c r="B227" s="34" t="s">
        <v>411</v>
      </c>
      <c r="C227" s="34" t="s">
        <v>434</v>
      </c>
      <c r="D227" s="32" t="n">
        <v>1</v>
      </c>
      <c r="E227" s="32" t="s">
        <v>14</v>
      </c>
      <c r="F227" s="32" t="s">
        <v>373</v>
      </c>
      <c r="G227" s="34"/>
      <c r="H227" s="52" t="n">
        <f aca="false">IF($E227="Per class",$D227*COUNTIFS('Session Tracker'!$D$5:$D$149,$A227,'Session Tracker'!$F$5:$F$149,"Next week",'Session Tracker'!$G$5:$G$149,"Mon"),$D227*SUMIFS('Session Tracker'!$J$5:$J$149,'Session Tracker'!$D$5:$D$149,$A227,'Session Tracker'!$F$5:$F$149,"Next week",'Session Tracker'!$G$5:$G$149,"Mon"))</f>
        <v>0</v>
      </c>
      <c r="I227" s="52" t="n">
        <f aca="false">IF($E227="Per class",$D227*COUNTIFS('Session Tracker'!$D$5:$D$149,$A227,'Session Tracker'!$F$5:$F$149,"Next week",'Session Tracker'!$G$5:$G$149,"Tue"),$D227*SUMIFS('Session Tracker'!$J$5:$J$149,'Session Tracker'!$D$5:$D$149,$A227,'Session Tracker'!$F$5:$F$149,"Next week",'Session Tracker'!$G$5:$G$149,"Tue"))</f>
        <v>0</v>
      </c>
      <c r="J227" s="52" t="n">
        <f aca="false">IF($E227="Per class",$D227*COUNTIFS('Session Tracker'!$D$5:$D$149,$A227,'Session Tracker'!$F$5:$F$149,"Next week",'Session Tracker'!$G$5:$G$149,"Wed"),$D227*SUMIFS('Session Tracker'!$J$5:$J$149,'Session Tracker'!$D$5:$D$149,$A227,'Session Tracker'!$F$5:$F$149,"Next week",'Session Tracker'!$G$5:$G$149,"Wed"))</f>
        <v>0</v>
      </c>
      <c r="K227" s="52" t="n">
        <f aca="false">IF($E227="Per class",$D227*COUNTIFS('Session Tracker'!$D$5:$D$149,$A227,'Session Tracker'!$F$5:$F$149,"Next week",'Session Tracker'!$G$5:$G$149,"Thu"),$D227*SUMIFS('Session Tracker'!$J$5:$J$149,'Session Tracker'!$D$5:$D$149,$A227,'Session Tracker'!$F$5:$F$149,"Next week",'Session Tracker'!$G$5:$G$149,"Thu"))</f>
        <v>0</v>
      </c>
      <c r="L227" s="52" t="n">
        <f aca="false">IF($E227="Per class",$D227*COUNTIFS('Session Tracker'!$D$5:$D$149,$A227,'Session Tracker'!$F$5:$F$149,"Next week",'Session Tracker'!$G$5:$G$149,"Fri"),$D227*SUMIFS('Session Tracker'!$J$5:$J$149,'Session Tracker'!$D$5:$D$149,$A227,'Session Tracker'!$F$5:$F$149,"Next week",'Session Tracker'!$G$5:$G$149,"Fri"))</f>
        <v>0</v>
      </c>
      <c r="M227" s="52" t="n">
        <f aca="false">IF($E227="Per class",$D227*COUNTIFS('Session Tracker'!$D$5:$D$149,$A227,'Session Tracker'!$F$5:$F$149,"Next week",'Session Tracker'!$G$5:$G$149,""),$D227*SUMIFS('Session Tracker'!$J$5:$J$149,'Session Tracker'!$D$5:$D$149,$A227,'Session Tracker'!$F$5:$F$149,"Next week",'Session Tracker'!$G$5:$G$149,""))</f>
        <v>0</v>
      </c>
    </row>
    <row r="228" customFormat="false" ht="15" hidden="false" customHeight="false" outlineLevel="0" collapsed="false">
      <c r="A228" s="68" t="s">
        <v>245</v>
      </c>
      <c r="B228" s="34" t="s">
        <v>411</v>
      </c>
      <c r="C228" s="34" t="s">
        <v>435</v>
      </c>
      <c r="D228" s="32" t="n">
        <v>1</v>
      </c>
      <c r="E228" s="32" t="s">
        <v>14</v>
      </c>
      <c r="F228" s="32" t="s">
        <v>368</v>
      </c>
      <c r="G228" s="34"/>
      <c r="H228" s="52" t="n">
        <f aca="false">IF($E228="Per class",$D228*COUNTIFS('Session Tracker'!$D$5:$D$149,$A228,'Session Tracker'!$F$5:$F$149,"Next week",'Session Tracker'!$G$5:$G$149,"Mon"),$D228*SUMIFS('Session Tracker'!$J$5:$J$149,'Session Tracker'!$D$5:$D$149,$A228,'Session Tracker'!$F$5:$F$149,"Next week",'Session Tracker'!$G$5:$G$149,"Mon"))</f>
        <v>0</v>
      </c>
      <c r="I228" s="52" t="n">
        <f aca="false">IF($E228="Per class",$D228*COUNTIFS('Session Tracker'!$D$5:$D$149,$A228,'Session Tracker'!$F$5:$F$149,"Next week",'Session Tracker'!$G$5:$G$149,"Tue"),$D228*SUMIFS('Session Tracker'!$J$5:$J$149,'Session Tracker'!$D$5:$D$149,$A228,'Session Tracker'!$F$5:$F$149,"Next week",'Session Tracker'!$G$5:$G$149,"Tue"))</f>
        <v>0</v>
      </c>
      <c r="J228" s="52" t="n">
        <f aca="false">IF($E228="Per class",$D228*COUNTIFS('Session Tracker'!$D$5:$D$149,$A228,'Session Tracker'!$F$5:$F$149,"Next week",'Session Tracker'!$G$5:$G$149,"Wed"),$D228*SUMIFS('Session Tracker'!$J$5:$J$149,'Session Tracker'!$D$5:$D$149,$A228,'Session Tracker'!$F$5:$F$149,"Next week",'Session Tracker'!$G$5:$G$149,"Wed"))</f>
        <v>0</v>
      </c>
      <c r="K228" s="52" t="n">
        <f aca="false">IF($E228="Per class",$D228*COUNTIFS('Session Tracker'!$D$5:$D$149,$A228,'Session Tracker'!$F$5:$F$149,"Next week",'Session Tracker'!$G$5:$G$149,"Thu"),$D228*SUMIFS('Session Tracker'!$J$5:$J$149,'Session Tracker'!$D$5:$D$149,$A228,'Session Tracker'!$F$5:$F$149,"Next week",'Session Tracker'!$G$5:$G$149,"Thu"))</f>
        <v>0</v>
      </c>
      <c r="L228" s="52" t="n">
        <f aca="false">IF($E228="Per class",$D228*COUNTIFS('Session Tracker'!$D$5:$D$149,$A228,'Session Tracker'!$F$5:$F$149,"Next week",'Session Tracker'!$G$5:$G$149,"Fri"),$D228*SUMIFS('Session Tracker'!$J$5:$J$149,'Session Tracker'!$D$5:$D$149,$A228,'Session Tracker'!$F$5:$F$149,"Next week",'Session Tracker'!$G$5:$G$149,"Fri"))</f>
        <v>0</v>
      </c>
      <c r="M228" s="52" t="n">
        <f aca="false">IF($E228="Per class",$D228*COUNTIFS('Session Tracker'!$D$5:$D$149,$A228,'Session Tracker'!$F$5:$F$149,"Next week",'Session Tracker'!$G$5:$G$149,""),$D228*SUMIFS('Session Tracker'!$J$5:$J$149,'Session Tracker'!$D$5:$D$149,$A228,'Session Tracker'!$F$5:$F$149,"Next week",'Session Tracker'!$G$5:$G$149,""))</f>
        <v>0</v>
      </c>
    </row>
    <row r="229" customFormat="false" ht="15" hidden="false" customHeight="false" outlineLevel="0" collapsed="false">
      <c r="A229" s="68" t="s">
        <v>245</v>
      </c>
      <c r="B229" s="34" t="s">
        <v>379</v>
      </c>
      <c r="C229" s="34" t="s">
        <v>380</v>
      </c>
      <c r="D229" s="32" t="n">
        <v>1</v>
      </c>
      <c r="E229" s="32" t="s">
        <v>14</v>
      </c>
      <c r="F229" s="32" t="s">
        <v>368</v>
      </c>
      <c r="G229" s="34"/>
      <c r="H229" s="52" t="n">
        <f aca="false">IF($E229="Per class",$D229*COUNTIFS('Session Tracker'!$D$5:$D$149,$A229,'Session Tracker'!$F$5:$F$149,"Next week",'Session Tracker'!$G$5:$G$149,"Mon"),$D229*SUMIFS('Session Tracker'!$J$5:$J$149,'Session Tracker'!$D$5:$D$149,$A229,'Session Tracker'!$F$5:$F$149,"Next week",'Session Tracker'!$G$5:$G$149,"Mon"))</f>
        <v>0</v>
      </c>
      <c r="I229" s="52" t="n">
        <f aca="false">IF($E229="Per class",$D229*COUNTIFS('Session Tracker'!$D$5:$D$149,$A229,'Session Tracker'!$F$5:$F$149,"Next week",'Session Tracker'!$G$5:$G$149,"Tue"),$D229*SUMIFS('Session Tracker'!$J$5:$J$149,'Session Tracker'!$D$5:$D$149,$A229,'Session Tracker'!$F$5:$F$149,"Next week",'Session Tracker'!$G$5:$G$149,"Tue"))</f>
        <v>0</v>
      </c>
      <c r="J229" s="52" t="n">
        <f aca="false">IF($E229="Per class",$D229*COUNTIFS('Session Tracker'!$D$5:$D$149,$A229,'Session Tracker'!$F$5:$F$149,"Next week",'Session Tracker'!$G$5:$G$149,"Wed"),$D229*SUMIFS('Session Tracker'!$J$5:$J$149,'Session Tracker'!$D$5:$D$149,$A229,'Session Tracker'!$F$5:$F$149,"Next week",'Session Tracker'!$G$5:$G$149,"Wed"))</f>
        <v>0</v>
      </c>
      <c r="K229" s="52" t="n">
        <f aca="false">IF($E229="Per class",$D229*COUNTIFS('Session Tracker'!$D$5:$D$149,$A229,'Session Tracker'!$F$5:$F$149,"Next week",'Session Tracker'!$G$5:$G$149,"Thu"),$D229*SUMIFS('Session Tracker'!$J$5:$J$149,'Session Tracker'!$D$5:$D$149,$A229,'Session Tracker'!$F$5:$F$149,"Next week",'Session Tracker'!$G$5:$G$149,"Thu"))</f>
        <v>0</v>
      </c>
      <c r="L229" s="52" t="n">
        <f aca="false">IF($E229="Per class",$D229*COUNTIFS('Session Tracker'!$D$5:$D$149,$A229,'Session Tracker'!$F$5:$F$149,"Next week",'Session Tracker'!$G$5:$G$149,"Fri"),$D229*SUMIFS('Session Tracker'!$J$5:$J$149,'Session Tracker'!$D$5:$D$149,$A229,'Session Tracker'!$F$5:$F$149,"Next week",'Session Tracker'!$G$5:$G$149,"Fri"))</f>
        <v>0</v>
      </c>
      <c r="M229" s="52" t="n">
        <f aca="false">IF($E229="Per class",$D229*COUNTIFS('Session Tracker'!$D$5:$D$149,$A229,'Session Tracker'!$F$5:$F$149,"Next week",'Session Tracker'!$G$5:$G$149,""),$D229*SUMIFS('Session Tracker'!$J$5:$J$149,'Session Tracker'!$D$5:$D$149,$A229,'Session Tracker'!$F$5:$F$149,"Next week",'Session Tracker'!$G$5:$G$149,""))</f>
        <v>0</v>
      </c>
    </row>
    <row r="230" customFormat="false" ht="15" hidden="false" customHeight="false" outlineLevel="0" collapsed="false">
      <c r="A230" s="68" t="s">
        <v>245</v>
      </c>
      <c r="B230" s="34" t="s">
        <v>379</v>
      </c>
      <c r="C230" s="34" t="s">
        <v>381</v>
      </c>
      <c r="D230" s="32" t="n">
        <v>10</v>
      </c>
      <c r="E230" s="32" t="s">
        <v>14</v>
      </c>
      <c r="F230" s="32" t="s">
        <v>368</v>
      </c>
      <c r="G230" s="34"/>
      <c r="H230" s="52" t="n">
        <f aca="false">IF($E230="Per class",$D230*COUNTIFS('Session Tracker'!$D$5:$D$149,$A230,'Session Tracker'!$F$5:$F$149,"Next week",'Session Tracker'!$G$5:$G$149,"Mon"),$D230*SUMIFS('Session Tracker'!$J$5:$J$149,'Session Tracker'!$D$5:$D$149,$A230,'Session Tracker'!$F$5:$F$149,"Next week",'Session Tracker'!$G$5:$G$149,"Mon"))</f>
        <v>0</v>
      </c>
      <c r="I230" s="52" t="n">
        <f aca="false">IF($E230="Per class",$D230*COUNTIFS('Session Tracker'!$D$5:$D$149,$A230,'Session Tracker'!$F$5:$F$149,"Next week",'Session Tracker'!$G$5:$G$149,"Tue"),$D230*SUMIFS('Session Tracker'!$J$5:$J$149,'Session Tracker'!$D$5:$D$149,$A230,'Session Tracker'!$F$5:$F$149,"Next week",'Session Tracker'!$G$5:$G$149,"Tue"))</f>
        <v>0</v>
      </c>
      <c r="J230" s="52" t="n">
        <f aca="false">IF($E230="Per class",$D230*COUNTIFS('Session Tracker'!$D$5:$D$149,$A230,'Session Tracker'!$F$5:$F$149,"Next week",'Session Tracker'!$G$5:$G$149,"Wed"),$D230*SUMIFS('Session Tracker'!$J$5:$J$149,'Session Tracker'!$D$5:$D$149,$A230,'Session Tracker'!$F$5:$F$149,"Next week",'Session Tracker'!$G$5:$G$149,"Wed"))</f>
        <v>0</v>
      </c>
      <c r="K230" s="52" t="n">
        <f aca="false">IF($E230="Per class",$D230*COUNTIFS('Session Tracker'!$D$5:$D$149,$A230,'Session Tracker'!$F$5:$F$149,"Next week",'Session Tracker'!$G$5:$G$149,"Thu"),$D230*SUMIFS('Session Tracker'!$J$5:$J$149,'Session Tracker'!$D$5:$D$149,$A230,'Session Tracker'!$F$5:$F$149,"Next week",'Session Tracker'!$G$5:$G$149,"Thu"))</f>
        <v>0</v>
      </c>
      <c r="L230" s="52" t="n">
        <f aca="false">IF($E230="Per class",$D230*COUNTIFS('Session Tracker'!$D$5:$D$149,$A230,'Session Tracker'!$F$5:$F$149,"Next week",'Session Tracker'!$G$5:$G$149,"Fri"),$D230*SUMIFS('Session Tracker'!$J$5:$J$149,'Session Tracker'!$D$5:$D$149,$A230,'Session Tracker'!$F$5:$F$149,"Next week",'Session Tracker'!$G$5:$G$149,"Fri"))</f>
        <v>0</v>
      </c>
      <c r="M230" s="52" t="n">
        <f aca="false">IF($E230="Per class",$D230*COUNTIFS('Session Tracker'!$D$5:$D$149,$A230,'Session Tracker'!$F$5:$F$149,"Next week",'Session Tracker'!$G$5:$G$149,""),$D230*SUMIFS('Session Tracker'!$J$5:$J$149,'Session Tracker'!$D$5:$D$149,$A230,'Session Tracker'!$F$5:$F$149,"Next week",'Session Tracker'!$G$5:$G$149,""))</f>
        <v>0</v>
      </c>
    </row>
    <row r="231" customFormat="false" ht="15" hidden="false" customHeight="false" outlineLevel="0" collapsed="false">
      <c r="A231" s="68" t="s">
        <v>245</v>
      </c>
      <c r="B231" s="34" t="s">
        <v>379</v>
      </c>
      <c r="C231" s="34" t="s">
        <v>395</v>
      </c>
      <c r="D231" s="32" t="n">
        <v>8</v>
      </c>
      <c r="E231" s="32" t="s">
        <v>14</v>
      </c>
      <c r="F231" s="32" t="s">
        <v>368</v>
      </c>
      <c r="G231" s="34"/>
      <c r="H231" s="52" t="n">
        <f aca="false">IF($E231="Per class",$D231*COUNTIFS('Session Tracker'!$D$5:$D$149,$A231,'Session Tracker'!$F$5:$F$149,"Next week",'Session Tracker'!$G$5:$G$149,"Mon"),$D231*SUMIFS('Session Tracker'!$J$5:$J$149,'Session Tracker'!$D$5:$D$149,$A231,'Session Tracker'!$F$5:$F$149,"Next week",'Session Tracker'!$G$5:$G$149,"Mon"))</f>
        <v>0</v>
      </c>
      <c r="I231" s="52" t="n">
        <f aca="false">IF($E231="Per class",$D231*COUNTIFS('Session Tracker'!$D$5:$D$149,$A231,'Session Tracker'!$F$5:$F$149,"Next week",'Session Tracker'!$G$5:$G$149,"Tue"),$D231*SUMIFS('Session Tracker'!$J$5:$J$149,'Session Tracker'!$D$5:$D$149,$A231,'Session Tracker'!$F$5:$F$149,"Next week",'Session Tracker'!$G$5:$G$149,"Tue"))</f>
        <v>0</v>
      </c>
      <c r="J231" s="52" t="n">
        <f aca="false">IF($E231="Per class",$D231*COUNTIFS('Session Tracker'!$D$5:$D$149,$A231,'Session Tracker'!$F$5:$F$149,"Next week",'Session Tracker'!$G$5:$G$149,"Wed"),$D231*SUMIFS('Session Tracker'!$J$5:$J$149,'Session Tracker'!$D$5:$D$149,$A231,'Session Tracker'!$F$5:$F$149,"Next week",'Session Tracker'!$G$5:$G$149,"Wed"))</f>
        <v>0</v>
      </c>
      <c r="K231" s="52" t="n">
        <f aca="false">IF($E231="Per class",$D231*COUNTIFS('Session Tracker'!$D$5:$D$149,$A231,'Session Tracker'!$F$5:$F$149,"Next week",'Session Tracker'!$G$5:$G$149,"Thu"),$D231*SUMIFS('Session Tracker'!$J$5:$J$149,'Session Tracker'!$D$5:$D$149,$A231,'Session Tracker'!$F$5:$F$149,"Next week",'Session Tracker'!$G$5:$G$149,"Thu"))</f>
        <v>0</v>
      </c>
      <c r="L231" s="52" t="n">
        <f aca="false">IF($E231="Per class",$D231*COUNTIFS('Session Tracker'!$D$5:$D$149,$A231,'Session Tracker'!$F$5:$F$149,"Next week",'Session Tracker'!$G$5:$G$149,"Fri"),$D231*SUMIFS('Session Tracker'!$J$5:$J$149,'Session Tracker'!$D$5:$D$149,$A231,'Session Tracker'!$F$5:$F$149,"Next week",'Session Tracker'!$G$5:$G$149,"Fri"))</f>
        <v>0</v>
      </c>
      <c r="M231" s="52" t="n">
        <f aca="false">IF($E231="Per class",$D231*COUNTIFS('Session Tracker'!$D$5:$D$149,$A231,'Session Tracker'!$F$5:$F$149,"Next week",'Session Tracker'!$G$5:$G$149,""),$D231*SUMIFS('Session Tracker'!$J$5:$J$149,'Session Tracker'!$D$5:$D$149,$A231,'Session Tracker'!$F$5:$F$149,"Next week",'Session Tracker'!$G$5:$G$149,""))</f>
        <v>0</v>
      </c>
    </row>
    <row r="232" customFormat="false" ht="15" hidden="false" customHeight="false" outlineLevel="0" collapsed="false">
      <c r="A232" s="68" t="s">
        <v>245</v>
      </c>
      <c r="B232" s="34" t="s">
        <v>382</v>
      </c>
      <c r="C232" s="34" t="s">
        <v>383</v>
      </c>
      <c r="D232" s="32" t="n">
        <v>1</v>
      </c>
      <c r="E232" s="32" t="s">
        <v>14</v>
      </c>
      <c r="F232" s="32" t="s">
        <v>368</v>
      </c>
      <c r="G232" s="34"/>
      <c r="H232" s="52" t="n">
        <f aca="false">IF($E232="Per class",$D232*COUNTIFS('Session Tracker'!$D$5:$D$149,$A232,'Session Tracker'!$F$5:$F$149,"Next week",'Session Tracker'!$G$5:$G$149,"Mon"),$D232*SUMIFS('Session Tracker'!$J$5:$J$149,'Session Tracker'!$D$5:$D$149,$A232,'Session Tracker'!$F$5:$F$149,"Next week",'Session Tracker'!$G$5:$G$149,"Mon"))</f>
        <v>0</v>
      </c>
      <c r="I232" s="52" t="n">
        <f aca="false">IF($E232="Per class",$D232*COUNTIFS('Session Tracker'!$D$5:$D$149,$A232,'Session Tracker'!$F$5:$F$149,"Next week",'Session Tracker'!$G$5:$G$149,"Tue"),$D232*SUMIFS('Session Tracker'!$J$5:$J$149,'Session Tracker'!$D$5:$D$149,$A232,'Session Tracker'!$F$5:$F$149,"Next week",'Session Tracker'!$G$5:$G$149,"Tue"))</f>
        <v>0</v>
      </c>
      <c r="J232" s="52" t="n">
        <f aca="false">IF($E232="Per class",$D232*COUNTIFS('Session Tracker'!$D$5:$D$149,$A232,'Session Tracker'!$F$5:$F$149,"Next week",'Session Tracker'!$G$5:$G$149,"Wed"),$D232*SUMIFS('Session Tracker'!$J$5:$J$149,'Session Tracker'!$D$5:$D$149,$A232,'Session Tracker'!$F$5:$F$149,"Next week",'Session Tracker'!$G$5:$G$149,"Wed"))</f>
        <v>0</v>
      </c>
      <c r="K232" s="52" t="n">
        <f aca="false">IF($E232="Per class",$D232*COUNTIFS('Session Tracker'!$D$5:$D$149,$A232,'Session Tracker'!$F$5:$F$149,"Next week",'Session Tracker'!$G$5:$G$149,"Thu"),$D232*SUMIFS('Session Tracker'!$J$5:$J$149,'Session Tracker'!$D$5:$D$149,$A232,'Session Tracker'!$F$5:$F$149,"Next week",'Session Tracker'!$G$5:$G$149,"Thu"))</f>
        <v>0</v>
      </c>
      <c r="L232" s="52" t="n">
        <f aca="false">IF($E232="Per class",$D232*COUNTIFS('Session Tracker'!$D$5:$D$149,$A232,'Session Tracker'!$F$5:$F$149,"Next week",'Session Tracker'!$G$5:$G$149,"Fri"),$D232*SUMIFS('Session Tracker'!$J$5:$J$149,'Session Tracker'!$D$5:$D$149,$A232,'Session Tracker'!$F$5:$F$149,"Next week",'Session Tracker'!$G$5:$G$149,"Fri"))</f>
        <v>0</v>
      </c>
      <c r="M232" s="52" t="n">
        <f aca="false">IF($E232="Per class",$D232*COUNTIFS('Session Tracker'!$D$5:$D$149,$A232,'Session Tracker'!$F$5:$F$149,"Next week",'Session Tracker'!$G$5:$G$149,""),$D232*SUMIFS('Session Tracker'!$J$5:$J$149,'Session Tracker'!$D$5:$D$149,$A232,'Session Tracker'!$F$5:$F$149,"Next week",'Session Tracker'!$G$5:$G$149,""))</f>
        <v>0</v>
      </c>
    </row>
    <row r="233" customFormat="false" ht="15" hidden="false" customHeight="false" outlineLevel="0" collapsed="false">
      <c r="A233" s="53" t="s">
        <v>245</v>
      </c>
      <c r="B233" s="54"/>
      <c r="C233" s="54"/>
      <c r="D233" s="54"/>
      <c r="E233" s="54"/>
      <c r="F233" s="54"/>
      <c r="G233" s="54"/>
      <c r="H233" s="52" t="n">
        <f aca="false">IF($E233="Per class",$D233*COUNTIFS('Session Tracker'!$D$5:$D$149,$A233,'Session Tracker'!$F$5:$F$149,"Next week",'Session Tracker'!$G$5:$G$149,"Mon"),$D233*SUMIFS('Session Tracker'!$J$5:$J$149,'Session Tracker'!$D$5:$D$149,$A233,'Session Tracker'!$F$5:$F$149,"Next week",'Session Tracker'!$G$5:$G$149,"Mon"))</f>
        <v>0</v>
      </c>
      <c r="I233" s="52" t="n">
        <f aca="false">IF($E233="Per class",$D233*COUNTIFS('Session Tracker'!$D$5:$D$149,$A233,'Session Tracker'!$F$5:$F$149,"Next week",'Session Tracker'!$G$5:$G$149,"Tue"),$D233*SUMIFS('Session Tracker'!$J$5:$J$149,'Session Tracker'!$D$5:$D$149,$A233,'Session Tracker'!$F$5:$F$149,"Next week",'Session Tracker'!$G$5:$G$149,"Tue"))</f>
        <v>0</v>
      </c>
      <c r="J233" s="52" t="n">
        <f aca="false">IF($E233="Per class",$D233*COUNTIFS('Session Tracker'!$D$5:$D$149,$A233,'Session Tracker'!$F$5:$F$149,"Next week",'Session Tracker'!$G$5:$G$149,"Wed"),$D233*SUMIFS('Session Tracker'!$J$5:$J$149,'Session Tracker'!$D$5:$D$149,$A233,'Session Tracker'!$F$5:$F$149,"Next week",'Session Tracker'!$G$5:$G$149,"Wed"))</f>
        <v>0</v>
      </c>
      <c r="K233" s="52" t="n">
        <f aca="false">IF($E233="Per class",$D233*COUNTIFS('Session Tracker'!$D$5:$D$149,$A233,'Session Tracker'!$F$5:$F$149,"Next week",'Session Tracker'!$G$5:$G$149,"Thu"),$D233*SUMIFS('Session Tracker'!$J$5:$J$149,'Session Tracker'!$D$5:$D$149,$A233,'Session Tracker'!$F$5:$F$149,"Next week",'Session Tracker'!$G$5:$G$149,"Thu"))</f>
        <v>0</v>
      </c>
      <c r="L233" s="52" t="n">
        <f aca="false">IF($E233="Per class",$D233*COUNTIFS('Session Tracker'!$D$5:$D$149,$A233,'Session Tracker'!$F$5:$F$149,"Next week",'Session Tracker'!$G$5:$G$149,"Fri"),$D233*SUMIFS('Session Tracker'!$J$5:$J$149,'Session Tracker'!$D$5:$D$149,$A233,'Session Tracker'!$F$5:$F$149,"Next week",'Session Tracker'!$G$5:$G$149,"Fri"))</f>
        <v>0</v>
      </c>
      <c r="M233" s="52" t="n">
        <f aca="false">IF($E233="Per class",$D233*COUNTIFS('Session Tracker'!$D$5:$D$149,$A233,'Session Tracker'!$F$5:$F$149,"Next week",'Session Tracker'!$G$5:$G$149,""),$D233*SUMIFS('Session Tracker'!$J$5:$J$149,'Session Tracker'!$D$5:$D$149,$A233,'Session Tracker'!$F$5:$F$149,"Next week",'Session Tracker'!$G$5:$G$149,""))</f>
        <v>0</v>
      </c>
    </row>
    <row r="234" customFormat="false" ht="15" hidden="false" customHeight="false" outlineLevel="0" collapsed="false">
      <c r="A234" s="53" t="s">
        <v>245</v>
      </c>
      <c r="B234" s="54"/>
      <c r="C234" s="54"/>
      <c r="D234" s="54"/>
      <c r="E234" s="54"/>
      <c r="F234" s="54"/>
      <c r="G234" s="54"/>
      <c r="H234" s="52" t="n">
        <f aca="false">IF($E234="Per class",$D234*COUNTIFS('Session Tracker'!$D$5:$D$149,$A234,'Session Tracker'!$F$5:$F$149,"Next week",'Session Tracker'!$G$5:$G$149,"Mon"),$D234*SUMIFS('Session Tracker'!$J$5:$J$149,'Session Tracker'!$D$5:$D$149,$A234,'Session Tracker'!$F$5:$F$149,"Next week",'Session Tracker'!$G$5:$G$149,"Mon"))</f>
        <v>0</v>
      </c>
      <c r="I234" s="52" t="n">
        <f aca="false">IF($E234="Per class",$D234*COUNTIFS('Session Tracker'!$D$5:$D$149,$A234,'Session Tracker'!$F$5:$F$149,"Next week",'Session Tracker'!$G$5:$G$149,"Tue"),$D234*SUMIFS('Session Tracker'!$J$5:$J$149,'Session Tracker'!$D$5:$D$149,$A234,'Session Tracker'!$F$5:$F$149,"Next week",'Session Tracker'!$G$5:$G$149,"Tue"))</f>
        <v>0</v>
      </c>
      <c r="J234" s="52" t="n">
        <f aca="false">IF($E234="Per class",$D234*COUNTIFS('Session Tracker'!$D$5:$D$149,$A234,'Session Tracker'!$F$5:$F$149,"Next week",'Session Tracker'!$G$5:$G$149,"Wed"),$D234*SUMIFS('Session Tracker'!$J$5:$J$149,'Session Tracker'!$D$5:$D$149,$A234,'Session Tracker'!$F$5:$F$149,"Next week",'Session Tracker'!$G$5:$G$149,"Wed"))</f>
        <v>0</v>
      </c>
      <c r="K234" s="52" t="n">
        <f aca="false">IF($E234="Per class",$D234*COUNTIFS('Session Tracker'!$D$5:$D$149,$A234,'Session Tracker'!$F$5:$F$149,"Next week",'Session Tracker'!$G$5:$G$149,"Thu"),$D234*SUMIFS('Session Tracker'!$J$5:$J$149,'Session Tracker'!$D$5:$D$149,$A234,'Session Tracker'!$F$5:$F$149,"Next week",'Session Tracker'!$G$5:$G$149,"Thu"))</f>
        <v>0</v>
      </c>
      <c r="L234" s="52" t="n">
        <f aca="false">IF($E234="Per class",$D234*COUNTIFS('Session Tracker'!$D$5:$D$149,$A234,'Session Tracker'!$F$5:$F$149,"Next week",'Session Tracker'!$G$5:$G$149,"Fri"),$D234*SUMIFS('Session Tracker'!$J$5:$J$149,'Session Tracker'!$D$5:$D$149,$A234,'Session Tracker'!$F$5:$F$149,"Next week",'Session Tracker'!$G$5:$G$149,"Fri"))</f>
        <v>0</v>
      </c>
      <c r="M234" s="52" t="n">
        <f aca="false">IF($E234="Per class",$D234*COUNTIFS('Session Tracker'!$D$5:$D$149,$A234,'Session Tracker'!$F$5:$F$149,"Next week",'Session Tracker'!$G$5:$G$149,""),$D234*SUMIFS('Session Tracker'!$J$5:$J$149,'Session Tracker'!$D$5:$D$149,$A234,'Session Tracker'!$F$5:$F$149,"Next week",'Session Tracker'!$G$5:$G$149,""))</f>
        <v>0</v>
      </c>
    </row>
    <row r="236" customFormat="false" ht="19.5" hidden="false" customHeight="true" outlineLevel="0" collapsed="false">
      <c r="A236" s="64" t="s">
        <v>247</v>
      </c>
      <c r="B236" s="65" t="s">
        <v>624</v>
      </c>
      <c r="C236" s="65"/>
      <c r="D236" s="65"/>
      <c r="E236" s="65"/>
      <c r="F236" s="66" t="str">
        <f aca="false">"Status: "&amp;'Session Tracker'!F93&amp;IF('Session Tracker'!G93&lt;&gt;""," ("&amp;'Session Tracker'!G93&amp;")","")</f>
        <v>Status: Not started</v>
      </c>
      <c r="G236" s="66"/>
      <c r="H236" s="67"/>
      <c r="I236" s="67"/>
      <c r="J236" s="67"/>
      <c r="K236" s="67"/>
      <c r="L236" s="67"/>
      <c r="M236" s="67"/>
    </row>
    <row r="237" customFormat="false" ht="15" hidden="false" customHeight="false" outlineLevel="0" collapsed="false">
      <c r="A237" s="68" t="s">
        <v>247</v>
      </c>
      <c r="B237" s="34" t="s">
        <v>382</v>
      </c>
      <c r="C237" s="34" t="s">
        <v>383</v>
      </c>
      <c r="D237" s="32" t="n">
        <v>1</v>
      </c>
      <c r="E237" s="32" t="s">
        <v>14</v>
      </c>
      <c r="F237" s="32" t="s">
        <v>368</v>
      </c>
      <c r="G237" s="34"/>
      <c r="H237" s="52" t="n">
        <f aca="false">IF($E237="Per class",$D237*COUNTIFS('Session Tracker'!$D$5:$D$149,$A237,'Session Tracker'!$F$5:$F$149,"Next week",'Session Tracker'!$G$5:$G$149,"Mon"),$D237*SUMIFS('Session Tracker'!$J$5:$J$149,'Session Tracker'!$D$5:$D$149,$A237,'Session Tracker'!$F$5:$F$149,"Next week",'Session Tracker'!$G$5:$G$149,"Mon"))</f>
        <v>0</v>
      </c>
      <c r="I237" s="52" t="n">
        <f aca="false">IF($E237="Per class",$D237*COUNTIFS('Session Tracker'!$D$5:$D$149,$A237,'Session Tracker'!$F$5:$F$149,"Next week",'Session Tracker'!$G$5:$G$149,"Tue"),$D237*SUMIFS('Session Tracker'!$J$5:$J$149,'Session Tracker'!$D$5:$D$149,$A237,'Session Tracker'!$F$5:$F$149,"Next week",'Session Tracker'!$G$5:$G$149,"Tue"))</f>
        <v>0</v>
      </c>
      <c r="J237" s="52" t="n">
        <f aca="false">IF($E237="Per class",$D237*COUNTIFS('Session Tracker'!$D$5:$D$149,$A237,'Session Tracker'!$F$5:$F$149,"Next week",'Session Tracker'!$G$5:$G$149,"Wed"),$D237*SUMIFS('Session Tracker'!$J$5:$J$149,'Session Tracker'!$D$5:$D$149,$A237,'Session Tracker'!$F$5:$F$149,"Next week",'Session Tracker'!$G$5:$G$149,"Wed"))</f>
        <v>0</v>
      </c>
      <c r="K237" s="52" t="n">
        <f aca="false">IF($E237="Per class",$D237*COUNTIFS('Session Tracker'!$D$5:$D$149,$A237,'Session Tracker'!$F$5:$F$149,"Next week",'Session Tracker'!$G$5:$G$149,"Thu"),$D237*SUMIFS('Session Tracker'!$J$5:$J$149,'Session Tracker'!$D$5:$D$149,$A237,'Session Tracker'!$F$5:$F$149,"Next week",'Session Tracker'!$G$5:$G$149,"Thu"))</f>
        <v>0</v>
      </c>
      <c r="L237" s="52" t="n">
        <f aca="false">IF($E237="Per class",$D237*COUNTIFS('Session Tracker'!$D$5:$D$149,$A237,'Session Tracker'!$F$5:$F$149,"Next week",'Session Tracker'!$G$5:$G$149,"Fri"),$D237*SUMIFS('Session Tracker'!$J$5:$J$149,'Session Tracker'!$D$5:$D$149,$A237,'Session Tracker'!$F$5:$F$149,"Next week",'Session Tracker'!$G$5:$G$149,"Fri"))</f>
        <v>0</v>
      </c>
      <c r="M237" s="52" t="n">
        <f aca="false">IF($E237="Per class",$D237*COUNTIFS('Session Tracker'!$D$5:$D$149,$A237,'Session Tracker'!$F$5:$F$149,"Next week",'Session Tracker'!$G$5:$G$149,""),$D237*SUMIFS('Session Tracker'!$J$5:$J$149,'Session Tracker'!$D$5:$D$149,$A237,'Session Tracker'!$F$5:$F$149,"Next week",'Session Tracker'!$G$5:$G$149,""))</f>
        <v>0</v>
      </c>
    </row>
    <row r="238" customFormat="false" ht="15" hidden="false" customHeight="false" outlineLevel="0" collapsed="false">
      <c r="A238" s="68" t="s">
        <v>247</v>
      </c>
      <c r="B238" s="34" t="s">
        <v>382</v>
      </c>
      <c r="C238" s="34" t="s">
        <v>397</v>
      </c>
      <c r="D238" s="32" t="n">
        <v>1</v>
      </c>
      <c r="E238" s="32" t="s">
        <v>14</v>
      </c>
      <c r="F238" s="32" t="s">
        <v>368</v>
      </c>
      <c r="G238" s="34"/>
      <c r="H238" s="52" t="n">
        <f aca="false">IF($E238="Per class",$D238*COUNTIFS('Session Tracker'!$D$5:$D$149,$A238,'Session Tracker'!$F$5:$F$149,"Next week",'Session Tracker'!$G$5:$G$149,"Mon"),$D238*SUMIFS('Session Tracker'!$J$5:$J$149,'Session Tracker'!$D$5:$D$149,$A238,'Session Tracker'!$F$5:$F$149,"Next week",'Session Tracker'!$G$5:$G$149,"Mon"))</f>
        <v>0</v>
      </c>
      <c r="I238" s="52" t="n">
        <f aca="false">IF($E238="Per class",$D238*COUNTIFS('Session Tracker'!$D$5:$D$149,$A238,'Session Tracker'!$F$5:$F$149,"Next week",'Session Tracker'!$G$5:$G$149,"Tue"),$D238*SUMIFS('Session Tracker'!$J$5:$J$149,'Session Tracker'!$D$5:$D$149,$A238,'Session Tracker'!$F$5:$F$149,"Next week",'Session Tracker'!$G$5:$G$149,"Tue"))</f>
        <v>0</v>
      </c>
      <c r="J238" s="52" t="n">
        <f aca="false">IF($E238="Per class",$D238*COUNTIFS('Session Tracker'!$D$5:$D$149,$A238,'Session Tracker'!$F$5:$F$149,"Next week",'Session Tracker'!$G$5:$G$149,"Wed"),$D238*SUMIFS('Session Tracker'!$J$5:$J$149,'Session Tracker'!$D$5:$D$149,$A238,'Session Tracker'!$F$5:$F$149,"Next week",'Session Tracker'!$G$5:$G$149,"Wed"))</f>
        <v>0</v>
      </c>
      <c r="K238" s="52" t="n">
        <f aca="false">IF($E238="Per class",$D238*COUNTIFS('Session Tracker'!$D$5:$D$149,$A238,'Session Tracker'!$F$5:$F$149,"Next week",'Session Tracker'!$G$5:$G$149,"Thu"),$D238*SUMIFS('Session Tracker'!$J$5:$J$149,'Session Tracker'!$D$5:$D$149,$A238,'Session Tracker'!$F$5:$F$149,"Next week",'Session Tracker'!$G$5:$G$149,"Thu"))</f>
        <v>0</v>
      </c>
      <c r="L238" s="52" t="n">
        <f aca="false">IF($E238="Per class",$D238*COUNTIFS('Session Tracker'!$D$5:$D$149,$A238,'Session Tracker'!$F$5:$F$149,"Next week",'Session Tracker'!$G$5:$G$149,"Fri"),$D238*SUMIFS('Session Tracker'!$J$5:$J$149,'Session Tracker'!$D$5:$D$149,$A238,'Session Tracker'!$F$5:$F$149,"Next week",'Session Tracker'!$G$5:$G$149,"Fri"))</f>
        <v>0</v>
      </c>
      <c r="M238" s="52" t="n">
        <f aca="false">IF($E238="Per class",$D238*COUNTIFS('Session Tracker'!$D$5:$D$149,$A238,'Session Tracker'!$F$5:$F$149,"Next week",'Session Tracker'!$G$5:$G$149,""),$D238*SUMIFS('Session Tracker'!$J$5:$J$149,'Session Tracker'!$D$5:$D$149,$A238,'Session Tracker'!$F$5:$F$149,"Next week",'Session Tracker'!$G$5:$G$149,""))</f>
        <v>0</v>
      </c>
    </row>
    <row r="239" customFormat="false" ht="15" hidden="false" customHeight="false" outlineLevel="0" collapsed="false">
      <c r="A239" s="68" t="s">
        <v>247</v>
      </c>
      <c r="B239" s="34" t="s">
        <v>411</v>
      </c>
      <c r="C239" s="34" t="s">
        <v>450</v>
      </c>
      <c r="D239" s="32" t="n">
        <v>1</v>
      </c>
      <c r="E239" s="32" t="s">
        <v>14</v>
      </c>
      <c r="F239" s="32" t="s">
        <v>373</v>
      </c>
      <c r="G239" s="34" t="s">
        <v>625</v>
      </c>
      <c r="H239" s="52" t="n">
        <f aca="false">IF($E239="Per class",$D239*COUNTIFS('Session Tracker'!$D$5:$D$149,$A239,'Session Tracker'!$F$5:$F$149,"Next week",'Session Tracker'!$G$5:$G$149,"Mon"),$D239*SUMIFS('Session Tracker'!$J$5:$J$149,'Session Tracker'!$D$5:$D$149,$A239,'Session Tracker'!$F$5:$F$149,"Next week",'Session Tracker'!$G$5:$G$149,"Mon"))</f>
        <v>0</v>
      </c>
      <c r="I239" s="52" t="n">
        <f aca="false">IF($E239="Per class",$D239*COUNTIFS('Session Tracker'!$D$5:$D$149,$A239,'Session Tracker'!$F$5:$F$149,"Next week",'Session Tracker'!$G$5:$G$149,"Tue"),$D239*SUMIFS('Session Tracker'!$J$5:$J$149,'Session Tracker'!$D$5:$D$149,$A239,'Session Tracker'!$F$5:$F$149,"Next week",'Session Tracker'!$G$5:$G$149,"Tue"))</f>
        <v>0</v>
      </c>
      <c r="J239" s="52" t="n">
        <f aca="false">IF($E239="Per class",$D239*COUNTIFS('Session Tracker'!$D$5:$D$149,$A239,'Session Tracker'!$F$5:$F$149,"Next week",'Session Tracker'!$G$5:$G$149,"Wed"),$D239*SUMIFS('Session Tracker'!$J$5:$J$149,'Session Tracker'!$D$5:$D$149,$A239,'Session Tracker'!$F$5:$F$149,"Next week",'Session Tracker'!$G$5:$G$149,"Wed"))</f>
        <v>0</v>
      </c>
      <c r="K239" s="52" t="n">
        <f aca="false">IF($E239="Per class",$D239*COUNTIFS('Session Tracker'!$D$5:$D$149,$A239,'Session Tracker'!$F$5:$F$149,"Next week",'Session Tracker'!$G$5:$G$149,"Thu"),$D239*SUMIFS('Session Tracker'!$J$5:$J$149,'Session Tracker'!$D$5:$D$149,$A239,'Session Tracker'!$F$5:$F$149,"Next week",'Session Tracker'!$G$5:$G$149,"Thu"))</f>
        <v>0</v>
      </c>
      <c r="L239" s="52" t="n">
        <f aca="false">IF($E239="Per class",$D239*COUNTIFS('Session Tracker'!$D$5:$D$149,$A239,'Session Tracker'!$F$5:$F$149,"Next week",'Session Tracker'!$G$5:$G$149,"Fri"),$D239*SUMIFS('Session Tracker'!$J$5:$J$149,'Session Tracker'!$D$5:$D$149,$A239,'Session Tracker'!$F$5:$F$149,"Next week",'Session Tracker'!$G$5:$G$149,"Fri"))</f>
        <v>0</v>
      </c>
      <c r="M239" s="52" t="n">
        <f aca="false">IF($E239="Per class",$D239*COUNTIFS('Session Tracker'!$D$5:$D$149,$A239,'Session Tracker'!$F$5:$F$149,"Next week",'Session Tracker'!$G$5:$G$149,""),$D239*SUMIFS('Session Tracker'!$J$5:$J$149,'Session Tracker'!$D$5:$D$149,$A239,'Session Tracker'!$F$5:$F$149,"Next week",'Session Tracker'!$G$5:$G$149,""))</f>
        <v>0</v>
      </c>
    </row>
    <row r="240" customFormat="false" ht="15" hidden="false" customHeight="false" outlineLevel="0" collapsed="false">
      <c r="A240" s="53" t="s">
        <v>247</v>
      </c>
      <c r="B240" s="54"/>
      <c r="C240" s="54"/>
      <c r="D240" s="54"/>
      <c r="E240" s="54"/>
      <c r="F240" s="54"/>
      <c r="G240" s="54"/>
      <c r="H240" s="52" t="n">
        <f aca="false">IF($E240="Per class",$D240*COUNTIFS('Session Tracker'!$D$5:$D$149,$A240,'Session Tracker'!$F$5:$F$149,"Next week",'Session Tracker'!$G$5:$G$149,"Mon"),$D240*SUMIFS('Session Tracker'!$J$5:$J$149,'Session Tracker'!$D$5:$D$149,$A240,'Session Tracker'!$F$5:$F$149,"Next week",'Session Tracker'!$G$5:$G$149,"Mon"))</f>
        <v>0</v>
      </c>
      <c r="I240" s="52" t="n">
        <f aca="false">IF($E240="Per class",$D240*COUNTIFS('Session Tracker'!$D$5:$D$149,$A240,'Session Tracker'!$F$5:$F$149,"Next week",'Session Tracker'!$G$5:$G$149,"Tue"),$D240*SUMIFS('Session Tracker'!$J$5:$J$149,'Session Tracker'!$D$5:$D$149,$A240,'Session Tracker'!$F$5:$F$149,"Next week",'Session Tracker'!$G$5:$G$149,"Tue"))</f>
        <v>0</v>
      </c>
      <c r="J240" s="52" t="n">
        <f aca="false">IF($E240="Per class",$D240*COUNTIFS('Session Tracker'!$D$5:$D$149,$A240,'Session Tracker'!$F$5:$F$149,"Next week",'Session Tracker'!$G$5:$G$149,"Wed"),$D240*SUMIFS('Session Tracker'!$J$5:$J$149,'Session Tracker'!$D$5:$D$149,$A240,'Session Tracker'!$F$5:$F$149,"Next week",'Session Tracker'!$G$5:$G$149,"Wed"))</f>
        <v>0</v>
      </c>
      <c r="K240" s="52" t="n">
        <f aca="false">IF($E240="Per class",$D240*COUNTIFS('Session Tracker'!$D$5:$D$149,$A240,'Session Tracker'!$F$5:$F$149,"Next week",'Session Tracker'!$G$5:$G$149,"Thu"),$D240*SUMIFS('Session Tracker'!$J$5:$J$149,'Session Tracker'!$D$5:$D$149,$A240,'Session Tracker'!$F$5:$F$149,"Next week",'Session Tracker'!$G$5:$G$149,"Thu"))</f>
        <v>0</v>
      </c>
      <c r="L240" s="52" t="n">
        <f aca="false">IF($E240="Per class",$D240*COUNTIFS('Session Tracker'!$D$5:$D$149,$A240,'Session Tracker'!$F$5:$F$149,"Next week",'Session Tracker'!$G$5:$G$149,"Fri"),$D240*SUMIFS('Session Tracker'!$J$5:$J$149,'Session Tracker'!$D$5:$D$149,$A240,'Session Tracker'!$F$5:$F$149,"Next week",'Session Tracker'!$G$5:$G$149,"Fri"))</f>
        <v>0</v>
      </c>
      <c r="M240" s="52" t="n">
        <f aca="false">IF($E240="Per class",$D240*COUNTIFS('Session Tracker'!$D$5:$D$149,$A240,'Session Tracker'!$F$5:$F$149,"Next week",'Session Tracker'!$G$5:$G$149,""),$D240*SUMIFS('Session Tracker'!$J$5:$J$149,'Session Tracker'!$D$5:$D$149,$A240,'Session Tracker'!$F$5:$F$149,"Next week",'Session Tracker'!$G$5:$G$149,""))</f>
        <v>0</v>
      </c>
    </row>
    <row r="241" customFormat="false" ht="15" hidden="false" customHeight="false" outlineLevel="0" collapsed="false">
      <c r="A241" s="53" t="s">
        <v>247</v>
      </c>
      <c r="B241" s="54"/>
      <c r="C241" s="54"/>
      <c r="D241" s="54"/>
      <c r="E241" s="54"/>
      <c r="F241" s="54"/>
      <c r="G241" s="54"/>
      <c r="H241" s="52" t="n">
        <f aca="false">IF($E241="Per class",$D241*COUNTIFS('Session Tracker'!$D$5:$D$149,$A241,'Session Tracker'!$F$5:$F$149,"Next week",'Session Tracker'!$G$5:$G$149,"Mon"),$D241*SUMIFS('Session Tracker'!$J$5:$J$149,'Session Tracker'!$D$5:$D$149,$A241,'Session Tracker'!$F$5:$F$149,"Next week",'Session Tracker'!$G$5:$G$149,"Mon"))</f>
        <v>0</v>
      </c>
      <c r="I241" s="52" t="n">
        <f aca="false">IF($E241="Per class",$D241*COUNTIFS('Session Tracker'!$D$5:$D$149,$A241,'Session Tracker'!$F$5:$F$149,"Next week",'Session Tracker'!$G$5:$G$149,"Tue"),$D241*SUMIFS('Session Tracker'!$J$5:$J$149,'Session Tracker'!$D$5:$D$149,$A241,'Session Tracker'!$F$5:$F$149,"Next week",'Session Tracker'!$G$5:$G$149,"Tue"))</f>
        <v>0</v>
      </c>
      <c r="J241" s="52" t="n">
        <f aca="false">IF($E241="Per class",$D241*COUNTIFS('Session Tracker'!$D$5:$D$149,$A241,'Session Tracker'!$F$5:$F$149,"Next week",'Session Tracker'!$G$5:$G$149,"Wed"),$D241*SUMIFS('Session Tracker'!$J$5:$J$149,'Session Tracker'!$D$5:$D$149,$A241,'Session Tracker'!$F$5:$F$149,"Next week",'Session Tracker'!$G$5:$G$149,"Wed"))</f>
        <v>0</v>
      </c>
      <c r="K241" s="52" t="n">
        <f aca="false">IF($E241="Per class",$D241*COUNTIFS('Session Tracker'!$D$5:$D$149,$A241,'Session Tracker'!$F$5:$F$149,"Next week",'Session Tracker'!$G$5:$G$149,"Thu"),$D241*SUMIFS('Session Tracker'!$J$5:$J$149,'Session Tracker'!$D$5:$D$149,$A241,'Session Tracker'!$F$5:$F$149,"Next week",'Session Tracker'!$G$5:$G$149,"Thu"))</f>
        <v>0</v>
      </c>
      <c r="L241" s="52" t="n">
        <f aca="false">IF($E241="Per class",$D241*COUNTIFS('Session Tracker'!$D$5:$D$149,$A241,'Session Tracker'!$F$5:$F$149,"Next week",'Session Tracker'!$G$5:$G$149,"Fri"),$D241*SUMIFS('Session Tracker'!$J$5:$J$149,'Session Tracker'!$D$5:$D$149,$A241,'Session Tracker'!$F$5:$F$149,"Next week",'Session Tracker'!$G$5:$G$149,"Fri"))</f>
        <v>0</v>
      </c>
      <c r="M241" s="52" t="n">
        <f aca="false">IF($E241="Per class",$D241*COUNTIFS('Session Tracker'!$D$5:$D$149,$A241,'Session Tracker'!$F$5:$F$149,"Next week",'Session Tracker'!$G$5:$G$149,""),$D241*SUMIFS('Session Tracker'!$J$5:$J$149,'Session Tracker'!$D$5:$D$149,$A241,'Session Tracker'!$F$5:$F$149,"Next week",'Session Tracker'!$G$5:$G$149,""))</f>
        <v>0</v>
      </c>
    </row>
    <row r="243" customFormat="false" ht="19.5" hidden="false" customHeight="true" outlineLevel="0" collapsed="false">
      <c r="A243" s="64" t="s">
        <v>249</v>
      </c>
      <c r="B243" s="65" t="s">
        <v>626</v>
      </c>
      <c r="C243" s="65"/>
      <c r="D243" s="65"/>
      <c r="E243" s="65"/>
      <c r="F243" s="66" t="str">
        <f aca="false">"Status: "&amp;'Session Tracker'!F94&amp;IF('Session Tracker'!G94&lt;&gt;""," ("&amp;'Session Tracker'!G94&amp;")","")</f>
        <v>Status: Not started</v>
      </c>
      <c r="G243" s="66"/>
      <c r="H243" s="67"/>
      <c r="I243" s="67"/>
      <c r="J243" s="67"/>
      <c r="K243" s="67"/>
      <c r="L243" s="67"/>
      <c r="M243" s="67"/>
    </row>
    <row r="244" customFormat="false" ht="15" hidden="false" customHeight="false" outlineLevel="0" collapsed="false">
      <c r="A244" s="68" t="s">
        <v>249</v>
      </c>
      <c r="B244" s="34" t="s">
        <v>382</v>
      </c>
      <c r="C244" s="34" t="s">
        <v>383</v>
      </c>
      <c r="D244" s="32" t="n">
        <v>1</v>
      </c>
      <c r="E244" s="32" t="s">
        <v>14</v>
      </c>
      <c r="F244" s="32" t="s">
        <v>368</v>
      </c>
      <c r="G244" s="34"/>
      <c r="H244" s="52" t="n">
        <f aca="false">IF($E244="Per class",$D244*COUNTIFS('Session Tracker'!$D$5:$D$149,$A244,'Session Tracker'!$F$5:$F$149,"Next week",'Session Tracker'!$G$5:$G$149,"Mon"),$D244*SUMIFS('Session Tracker'!$J$5:$J$149,'Session Tracker'!$D$5:$D$149,$A244,'Session Tracker'!$F$5:$F$149,"Next week",'Session Tracker'!$G$5:$G$149,"Mon"))</f>
        <v>0</v>
      </c>
      <c r="I244" s="52" t="n">
        <f aca="false">IF($E244="Per class",$D244*COUNTIFS('Session Tracker'!$D$5:$D$149,$A244,'Session Tracker'!$F$5:$F$149,"Next week",'Session Tracker'!$G$5:$G$149,"Tue"),$D244*SUMIFS('Session Tracker'!$J$5:$J$149,'Session Tracker'!$D$5:$D$149,$A244,'Session Tracker'!$F$5:$F$149,"Next week",'Session Tracker'!$G$5:$G$149,"Tue"))</f>
        <v>0</v>
      </c>
      <c r="J244" s="52" t="n">
        <f aca="false">IF($E244="Per class",$D244*COUNTIFS('Session Tracker'!$D$5:$D$149,$A244,'Session Tracker'!$F$5:$F$149,"Next week",'Session Tracker'!$G$5:$G$149,"Wed"),$D244*SUMIFS('Session Tracker'!$J$5:$J$149,'Session Tracker'!$D$5:$D$149,$A244,'Session Tracker'!$F$5:$F$149,"Next week",'Session Tracker'!$G$5:$G$149,"Wed"))</f>
        <v>0</v>
      </c>
      <c r="K244" s="52" t="n">
        <f aca="false">IF($E244="Per class",$D244*COUNTIFS('Session Tracker'!$D$5:$D$149,$A244,'Session Tracker'!$F$5:$F$149,"Next week",'Session Tracker'!$G$5:$G$149,"Thu"),$D244*SUMIFS('Session Tracker'!$J$5:$J$149,'Session Tracker'!$D$5:$D$149,$A244,'Session Tracker'!$F$5:$F$149,"Next week",'Session Tracker'!$G$5:$G$149,"Thu"))</f>
        <v>0</v>
      </c>
      <c r="L244" s="52" t="n">
        <f aca="false">IF($E244="Per class",$D244*COUNTIFS('Session Tracker'!$D$5:$D$149,$A244,'Session Tracker'!$F$5:$F$149,"Next week",'Session Tracker'!$G$5:$G$149,"Fri"),$D244*SUMIFS('Session Tracker'!$J$5:$J$149,'Session Tracker'!$D$5:$D$149,$A244,'Session Tracker'!$F$5:$F$149,"Next week",'Session Tracker'!$G$5:$G$149,"Fri"))</f>
        <v>0</v>
      </c>
      <c r="M244" s="52" t="n">
        <f aca="false">IF($E244="Per class",$D244*COUNTIFS('Session Tracker'!$D$5:$D$149,$A244,'Session Tracker'!$F$5:$F$149,"Next week",'Session Tracker'!$G$5:$G$149,""),$D244*SUMIFS('Session Tracker'!$J$5:$J$149,'Session Tracker'!$D$5:$D$149,$A244,'Session Tracker'!$F$5:$F$149,"Next week",'Session Tracker'!$G$5:$G$149,""))</f>
        <v>0</v>
      </c>
    </row>
    <row r="245" customFormat="false" ht="15" hidden="false" customHeight="false" outlineLevel="0" collapsed="false">
      <c r="A245" s="53" t="s">
        <v>249</v>
      </c>
      <c r="B245" s="54"/>
      <c r="C245" s="54"/>
      <c r="D245" s="54"/>
      <c r="E245" s="54"/>
      <c r="F245" s="54"/>
      <c r="G245" s="54"/>
      <c r="H245" s="52" t="n">
        <f aca="false">IF($E245="Per class",$D245*COUNTIFS('Session Tracker'!$D$5:$D$149,$A245,'Session Tracker'!$F$5:$F$149,"Next week",'Session Tracker'!$G$5:$G$149,"Mon"),$D245*SUMIFS('Session Tracker'!$J$5:$J$149,'Session Tracker'!$D$5:$D$149,$A245,'Session Tracker'!$F$5:$F$149,"Next week",'Session Tracker'!$G$5:$G$149,"Mon"))</f>
        <v>0</v>
      </c>
      <c r="I245" s="52" t="n">
        <f aca="false">IF($E245="Per class",$D245*COUNTIFS('Session Tracker'!$D$5:$D$149,$A245,'Session Tracker'!$F$5:$F$149,"Next week",'Session Tracker'!$G$5:$G$149,"Tue"),$D245*SUMIFS('Session Tracker'!$J$5:$J$149,'Session Tracker'!$D$5:$D$149,$A245,'Session Tracker'!$F$5:$F$149,"Next week",'Session Tracker'!$G$5:$G$149,"Tue"))</f>
        <v>0</v>
      </c>
      <c r="J245" s="52" t="n">
        <f aca="false">IF($E245="Per class",$D245*COUNTIFS('Session Tracker'!$D$5:$D$149,$A245,'Session Tracker'!$F$5:$F$149,"Next week",'Session Tracker'!$G$5:$G$149,"Wed"),$D245*SUMIFS('Session Tracker'!$J$5:$J$149,'Session Tracker'!$D$5:$D$149,$A245,'Session Tracker'!$F$5:$F$149,"Next week",'Session Tracker'!$G$5:$G$149,"Wed"))</f>
        <v>0</v>
      </c>
      <c r="K245" s="52" t="n">
        <f aca="false">IF($E245="Per class",$D245*COUNTIFS('Session Tracker'!$D$5:$D$149,$A245,'Session Tracker'!$F$5:$F$149,"Next week",'Session Tracker'!$G$5:$G$149,"Thu"),$D245*SUMIFS('Session Tracker'!$J$5:$J$149,'Session Tracker'!$D$5:$D$149,$A245,'Session Tracker'!$F$5:$F$149,"Next week",'Session Tracker'!$G$5:$G$149,"Thu"))</f>
        <v>0</v>
      </c>
      <c r="L245" s="52" t="n">
        <f aca="false">IF($E245="Per class",$D245*COUNTIFS('Session Tracker'!$D$5:$D$149,$A245,'Session Tracker'!$F$5:$F$149,"Next week",'Session Tracker'!$G$5:$G$149,"Fri"),$D245*SUMIFS('Session Tracker'!$J$5:$J$149,'Session Tracker'!$D$5:$D$149,$A245,'Session Tracker'!$F$5:$F$149,"Next week",'Session Tracker'!$G$5:$G$149,"Fri"))</f>
        <v>0</v>
      </c>
      <c r="M245" s="52" t="n">
        <f aca="false">IF($E245="Per class",$D245*COUNTIFS('Session Tracker'!$D$5:$D$149,$A245,'Session Tracker'!$F$5:$F$149,"Next week",'Session Tracker'!$G$5:$G$149,""),$D245*SUMIFS('Session Tracker'!$J$5:$J$149,'Session Tracker'!$D$5:$D$149,$A245,'Session Tracker'!$F$5:$F$149,"Next week",'Session Tracker'!$G$5:$G$149,""))</f>
        <v>0</v>
      </c>
    </row>
    <row r="246" customFormat="false" ht="15" hidden="false" customHeight="false" outlineLevel="0" collapsed="false">
      <c r="A246" s="53" t="s">
        <v>249</v>
      </c>
      <c r="B246" s="54"/>
      <c r="C246" s="54"/>
      <c r="D246" s="54"/>
      <c r="E246" s="54"/>
      <c r="F246" s="54"/>
      <c r="G246" s="54"/>
      <c r="H246" s="52" t="n">
        <f aca="false">IF($E246="Per class",$D246*COUNTIFS('Session Tracker'!$D$5:$D$149,$A246,'Session Tracker'!$F$5:$F$149,"Next week",'Session Tracker'!$G$5:$G$149,"Mon"),$D246*SUMIFS('Session Tracker'!$J$5:$J$149,'Session Tracker'!$D$5:$D$149,$A246,'Session Tracker'!$F$5:$F$149,"Next week",'Session Tracker'!$G$5:$G$149,"Mon"))</f>
        <v>0</v>
      </c>
      <c r="I246" s="52" t="n">
        <f aca="false">IF($E246="Per class",$D246*COUNTIFS('Session Tracker'!$D$5:$D$149,$A246,'Session Tracker'!$F$5:$F$149,"Next week",'Session Tracker'!$G$5:$G$149,"Tue"),$D246*SUMIFS('Session Tracker'!$J$5:$J$149,'Session Tracker'!$D$5:$D$149,$A246,'Session Tracker'!$F$5:$F$149,"Next week",'Session Tracker'!$G$5:$G$149,"Tue"))</f>
        <v>0</v>
      </c>
      <c r="J246" s="52" t="n">
        <f aca="false">IF($E246="Per class",$D246*COUNTIFS('Session Tracker'!$D$5:$D$149,$A246,'Session Tracker'!$F$5:$F$149,"Next week",'Session Tracker'!$G$5:$G$149,"Wed"),$D246*SUMIFS('Session Tracker'!$J$5:$J$149,'Session Tracker'!$D$5:$D$149,$A246,'Session Tracker'!$F$5:$F$149,"Next week",'Session Tracker'!$G$5:$G$149,"Wed"))</f>
        <v>0</v>
      </c>
      <c r="K246" s="52" t="n">
        <f aca="false">IF($E246="Per class",$D246*COUNTIFS('Session Tracker'!$D$5:$D$149,$A246,'Session Tracker'!$F$5:$F$149,"Next week",'Session Tracker'!$G$5:$G$149,"Thu"),$D246*SUMIFS('Session Tracker'!$J$5:$J$149,'Session Tracker'!$D$5:$D$149,$A246,'Session Tracker'!$F$5:$F$149,"Next week",'Session Tracker'!$G$5:$G$149,"Thu"))</f>
        <v>0</v>
      </c>
      <c r="L246" s="52" t="n">
        <f aca="false">IF($E246="Per class",$D246*COUNTIFS('Session Tracker'!$D$5:$D$149,$A246,'Session Tracker'!$F$5:$F$149,"Next week",'Session Tracker'!$G$5:$G$149,"Fri"),$D246*SUMIFS('Session Tracker'!$J$5:$J$149,'Session Tracker'!$D$5:$D$149,$A246,'Session Tracker'!$F$5:$F$149,"Next week",'Session Tracker'!$G$5:$G$149,"Fri"))</f>
        <v>0</v>
      </c>
      <c r="M246" s="52" t="n">
        <f aca="false">IF($E246="Per class",$D246*COUNTIFS('Session Tracker'!$D$5:$D$149,$A246,'Session Tracker'!$F$5:$F$149,"Next week",'Session Tracker'!$G$5:$G$149,""),$D246*SUMIFS('Session Tracker'!$J$5:$J$149,'Session Tracker'!$D$5:$D$149,$A246,'Session Tracker'!$F$5:$F$149,"Next week",'Session Tracker'!$G$5:$G$149,""))</f>
        <v>0</v>
      </c>
    </row>
    <row r="248" customFormat="false" ht="19.5" hidden="false" customHeight="true" outlineLevel="0" collapsed="false">
      <c r="A248" s="64" t="s">
        <v>251</v>
      </c>
      <c r="B248" s="65" t="s">
        <v>627</v>
      </c>
      <c r="C248" s="65"/>
      <c r="D248" s="65"/>
      <c r="E248" s="65"/>
      <c r="F248" s="66" t="str">
        <f aca="false">"Status: "&amp;'Session Tracker'!F95&amp;IF('Session Tracker'!G95&lt;&gt;""," ("&amp;'Session Tracker'!G95&amp;")","")</f>
        <v>Status: Not started</v>
      </c>
      <c r="G248" s="66"/>
      <c r="H248" s="67"/>
      <c r="I248" s="67"/>
      <c r="J248" s="67"/>
      <c r="K248" s="67"/>
      <c r="L248" s="67"/>
      <c r="M248" s="67"/>
    </row>
    <row r="249" customFormat="false" ht="15" hidden="false" customHeight="false" outlineLevel="0" collapsed="false">
      <c r="A249" s="68" t="s">
        <v>251</v>
      </c>
      <c r="B249" s="34" t="s">
        <v>382</v>
      </c>
      <c r="C249" s="34" t="s">
        <v>383</v>
      </c>
      <c r="D249" s="32" t="n">
        <v>1</v>
      </c>
      <c r="E249" s="32" t="s">
        <v>14</v>
      </c>
      <c r="F249" s="32" t="s">
        <v>368</v>
      </c>
      <c r="G249" s="34"/>
      <c r="H249" s="52" t="n">
        <f aca="false">IF($E249="Per class",$D249*COUNTIFS('Session Tracker'!$D$5:$D$149,$A249,'Session Tracker'!$F$5:$F$149,"Next week",'Session Tracker'!$G$5:$G$149,"Mon"),$D249*SUMIFS('Session Tracker'!$J$5:$J$149,'Session Tracker'!$D$5:$D$149,$A249,'Session Tracker'!$F$5:$F$149,"Next week",'Session Tracker'!$G$5:$G$149,"Mon"))</f>
        <v>0</v>
      </c>
      <c r="I249" s="52" t="n">
        <f aca="false">IF($E249="Per class",$D249*COUNTIFS('Session Tracker'!$D$5:$D$149,$A249,'Session Tracker'!$F$5:$F$149,"Next week",'Session Tracker'!$G$5:$G$149,"Tue"),$D249*SUMIFS('Session Tracker'!$J$5:$J$149,'Session Tracker'!$D$5:$D$149,$A249,'Session Tracker'!$F$5:$F$149,"Next week",'Session Tracker'!$G$5:$G$149,"Tue"))</f>
        <v>0</v>
      </c>
      <c r="J249" s="52" t="n">
        <f aca="false">IF($E249="Per class",$D249*COUNTIFS('Session Tracker'!$D$5:$D$149,$A249,'Session Tracker'!$F$5:$F$149,"Next week",'Session Tracker'!$G$5:$G$149,"Wed"),$D249*SUMIFS('Session Tracker'!$J$5:$J$149,'Session Tracker'!$D$5:$D$149,$A249,'Session Tracker'!$F$5:$F$149,"Next week",'Session Tracker'!$G$5:$G$149,"Wed"))</f>
        <v>0</v>
      </c>
      <c r="K249" s="52" t="n">
        <f aca="false">IF($E249="Per class",$D249*COUNTIFS('Session Tracker'!$D$5:$D$149,$A249,'Session Tracker'!$F$5:$F$149,"Next week",'Session Tracker'!$G$5:$G$149,"Thu"),$D249*SUMIFS('Session Tracker'!$J$5:$J$149,'Session Tracker'!$D$5:$D$149,$A249,'Session Tracker'!$F$5:$F$149,"Next week",'Session Tracker'!$G$5:$G$149,"Thu"))</f>
        <v>0</v>
      </c>
      <c r="L249" s="52" t="n">
        <f aca="false">IF($E249="Per class",$D249*COUNTIFS('Session Tracker'!$D$5:$D$149,$A249,'Session Tracker'!$F$5:$F$149,"Next week",'Session Tracker'!$G$5:$G$149,"Fri"),$D249*SUMIFS('Session Tracker'!$J$5:$J$149,'Session Tracker'!$D$5:$D$149,$A249,'Session Tracker'!$F$5:$F$149,"Next week",'Session Tracker'!$G$5:$G$149,"Fri"))</f>
        <v>0</v>
      </c>
      <c r="M249" s="52" t="n">
        <f aca="false">IF($E249="Per class",$D249*COUNTIFS('Session Tracker'!$D$5:$D$149,$A249,'Session Tracker'!$F$5:$F$149,"Next week",'Session Tracker'!$G$5:$G$149,""),$D249*SUMIFS('Session Tracker'!$J$5:$J$149,'Session Tracker'!$D$5:$D$149,$A249,'Session Tracker'!$F$5:$F$149,"Next week",'Session Tracker'!$G$5:$G$149,""))</f>
        <v>0</v>
      </c>
    </row>
    <row r="250" customFormat="false" ht="15" hidden="false" customHeight="false" outlineLevel="0" collapsed="false">
      <c r="A250" s="53" t="s">
        <v>251</v>
      </c>
      <c r="B250" s="54"/>
      <c r="C250" s="54"/>
      <c r="D250" s="54"/>
      <c r="E250" s="54"/>
      <c r="F250" s="54"/>
      <c r="G250" s="54"/>
      <c r="H250" s="52" t="n">
        <f aca="false">IF($E250="Per class",$D250*COUNTIFS('Session Tracker'!$D$5:$D$149,$A250,'Session Tracker'!$F$5:$F$149,"Next week",'Session Tracker'!$G$5:$G$149,"Mon"),$D250*SUMIFS('Session Tracker'!$J$5:$J$149,'Session Tracker'!$D$5:$D$149,$A250,'Session Tracker'!$F$5:$F$149,"Next week",'Session Tracker'!$G$5:$G$149,"Mon"))</f>
        <v>0</v>
      </c>
      <c r="I250" s="52" t="n">
        <f aca="false">IF($E250="Per class",$D250*COUNTIFS('Session Tracker'!$D$5:$D$149,$A250,'Session Tracker'!$F$5:$F$149,"Next week",'Session Tracker'!$G$5:$G$149,"Tue"),$D250*SUMIFS('Session Tracker'!$J$5:$J$149,'Session Tracker'!$D$5:$D$149,$A250,'Session Tracker'!$F$5:$F$149,"Next week",'Session Tracker'!$G$5:$G$149,"Tue"))</f>
        <v>0</v>
      </c>
      <c r="J250" s="52" t="n">
        <f aca="false">IF($E250="Per class",$D250*COUNTIFS('Session Tracker'!$D$5:$D$149,$A250,'Session Tracker'!$F$5:$F$149,"Next week",'Session Tracker'!$G$5:$G$149,"Wed"),$D250*SUMIFS('Session Tracker'!$J$5:$J$149,'Session Tracker'!$D$5:$D$149,$A250,'Session Tracker'!$F$5:$F$149,"Next week",'Session Tracker'!$G$5:$G$149,"Wed"))</f>
        <v>0</v>
      </c>
      <c r="K250" s="52" t="n">
        <f aca="false">IF($E250="Per class",$D250*COUNTIFS('Session Tracker'!$D$5:$D$149,$A250,'Session Tracker'!$F$5:$F$149,"Next week",'Session Tracker'!$G$5:$G$149,"Thu"),$D250*SUMIFS('Session Tracker'!$J$5:$J$149,'Session Tracker'!$D$5:$D$149,$A250,'Session Tracker'!$F$5:$F$149,"Next week",'Session Tracker'!$G$5:$G$149,"Thu"))</f>
        <v>0</v>
      </c>
      <c r="L250" s="52" t="n">
        <f aca="false">IF($E250="Per class",$D250*COUNTIFS('Session Tracker'!$D$5:$D$149,$A250,'Session Tracker'!$F$5:$F$149,"Next week",'Session Tracker'!$G$5:$G$149,"Fri"),$D250*SUMIFS('Session Tracker'!$J$5:$J$149,'Session Tracker'!$D$5:$D$149,$A250,'Session Tracker'!$F$5:$F$149,"Next week",'Session Tracker'!$G$5:$G$149,"Fri"))</f>
        <v>0</v>
      </c>
      <c r="M250" s="52" t="n">
        <f aca="false">IF($E250="Per class",$D250*COUNTIFS('Session Tracker'!$D$5:$D$149,$A250,'Session Tracker'!$F$5:$F$149,"Next week",'Session Tracker'!$G$5:$G$149,""),$D250*SUMIFS('Session Tracker'!$J$5:$J$149,'Session Tracker'!$D$5:$D$149,$A250,'Session Tracker'!$F$5:$F$149,"Next week",'Session Tracker'!$G$5:$G$149,""))</f>
        <v>0</v>
      </c>
    </row>
    <row r="251" customFormat="false" ht="15" hidden="false" customHeight="false" outlineLevel="0" collapsed="false">
      <c r="A251" s="53" t="s">
        <v>251</v>
      </c>
      <c r="B251" s="54"/>
      <c r="C251" s="54"/>
      <c r="D251" s="54"/>
      <c r="E251" s="54"/>
      <c r="F251" s="54"/>
      <c r="G251" s="54"/>
      <c r="H251" s="52" t="n">
        <f aca="false">IF($E251="Per class",$D251*COUNTIFS('Session Tracker'!$D$5:$D$149,$A251,'Session Tracker'!$F$5:$F$149,"Next week",'Session Tracker'!$G$5:$G$149,"Mon"),$D251*SUMIFS('Session Tracker'!$J$5:$J$149,'Session Tracker'!$D$5:$D$149,$A251,'Session Tracker'!$F$5:$F$149,"Next week",'Session Tracker'!$G$5:$G$149,"Mon"))</f>
        <v>0</v>
      </c>
      <c r="I251" s="52" t="n">
        <f aca="false">IF($E251="Per class",$D251*COUNTIFS('Session Tracker'!$D$5:$D$149,$A251,'Session Tracker'!$F$5:$F$149,"Next week",'Session Tracker'!$G$5:$G$149,"Tue"),$D251*SUMIFS('Session Tracker'!$J$5:$J$149,'Session Tracker'!$D$5:$D$149,$A251,'Session Tracker'!$F$5:$F$149,"Next week",'Session Tracker'!$G$5:$G$149,"Tue"))</f>
        <v>0</v>
      </c>
      <c r="J251" s="52" t="n">
        <f aca="false">IF($E251="Per class",$D251*COUNTIFS('Session Tracker'!$D$5:$D$149,$A251,'Session Tracker'!$F$5:$F$149,"Next week",'Session Tracker'!$G$5:$G$149,"Wed"),$D251*SUMIFS('Session Tracker'!$J$5:$J$149,'Session Tracker'!$D$5:$D$149,$A251,'Session Tracker'!$F$5:$F$149,"Next week",'Session Tracker'!$G$5:$G$149,"Wed"))</f>
        <v>0</v>
      </c>
      <c r="K251" s="52" t="n">
        <f aca="false">IF($E251="Per class",$D251*COUNTIFS('Session Tracker'!$D$5:$D$149,$A251,'Session Tracker'!$F$5:$F$149,"Next week",'Session Tracker'!$G$5:$G$149,"Thu"),$D251*SUMIFS('Session Tracker'!$J$5:$J$149,'Session Tracker'!$D$5:$D$149,$A251,'Session Tracker'!$F$5:$F$149,"Next week",'Session Tracker'!$G$5:$G$149,"Thu"))</f>
        <v>0</v>
      </c>
      <c r="L251" s="52" t="n">
        <f aca="false">IF($E251="Per class",$D251*COUNTIFS('Session Tracker'!$D$5:$D$149,$A251,'Session Tracker'!$F$5:$F$149,"Next week",'Session Tracker'!$G$5:$G$149,"Fri"),$D251*SUMIFS('Session Tracker'!$J$5:$J$149,'Session Tracker'!$D$5:$D$149,$A251,'Session Tracker'!$F$5:$F$149,"Next week",'Session Tracker'!$G$5:$G$149,"Fri"))</f>
        <v>0</v>
      </c>
      <c r="M251" s="52" t="n">
        <f aca="false">IF($E251="Per class",$D251*COUNTIFS('Session Tracker'!$D$5:$D$149,$A251,'Session Tracker'!$F$5:$F$149,"Next week",'Session Tracker'!$G$5:$G$149,""),$D251*SUMIFS('Session Tracker'!$J$5:$J$149,'Session Tracker'!$D$5:$D$149,$A251,'Session Tracker'!$F$5:$F$149,"Next week",'Session Tracker'!$G$5:$G$149,""))</f>
        <v>0</v>
      </c>
    </row>
    <row r="253" customFormat="false" ht="19.5" hidden="false" customHeight="true" outlineLevel="0" collapsed="false">
      <c r="A253" s="64" t="s">
        <v>253</v>
      </c>
      <c r="B253" s="65" t="s">
        <v>628</v>
      </c>
      <c r="C253" s="65"/>
      <c r="D253" s="65"/>
      <c r="E253" s="65"/>
      <c r="F253" s="66" t="str">
        <f aca="false">"Status: "&amp;'Session Tracker'!F96&amp;IF('Session Tracker'!G96&lt;&gt;""," ("&amp;'Session Tracker'!G96&amp;")","")</f>
        <v>Status: Not started</v>
      </c>
      <c r="G253" s="66"/>
      <c r="H253" s="67"/>
      <c r="I253" s="67"/>
      <c r="J253" s="67"/>
      <c r="K253" s="67"/>
      <c r="L253" s="67"/>
      <c r="M253" s="67"/>
    </row>
    <row r="254" customFormat="false" ht="15" hidden="false" customHeight="false" outlineLevel="0" collapsed="false">
      <c r="A254" s="68" t="s">
        <v>253</v>
      </c>
      <c r="B254" s="34" t="s">
        <v>382</v>
      </c>
      <c r="C254" s="34" t="s">
        <v>383</v>
      </c>
      <c r="D254" s="32" t="n">
        <v>1</v>
      </c>
      <c r="E254" s="32" t="s">
        <v>14</v>
      </c>
      <c r="F254" s="32" t="s">
        <v>368</v>
      </c>
      <c r="G254" s="34"/>
      <c r="H254" s="52" t="n">
        <f aca="false">IF($E254="Per class",$D254*COUNTIFS('Session Tracker'!$D$5:$D$149,$A254,'Session Tracker'!$F$5:$F$149,"Next week",'Session Tracker'!$G$5:$G$149,"Mon"),$D254*SUMIFS('Session Tracker'!$J$5:$J$149,'Session Tracker'!$D$5:$D$149,$A254,'Session Tracker'!$F$5:$F$149,"Next week",'Session Tracker'!$G$5:$G$149,"Mon"))</f>
        <v>0</v>
      </c>
      <c r="I254" s="52" t="n">
        <f aca="false">IF($E254="Per class",$D254*COUNTIFS('Session Tracker'!$D$5:$D$149,$A254,'Session Tracker'!$F$5:$F$149,"Next week",'Session Tracker'!$G$5:$G$149,"Tue"),$D254*SUMIFS('Session Tracker'!$J$5:$J$149,'Session Tracker'!$D$5:$D$149,$A254,'Session Tracker'!$F$5:$F$149,"Next week",'Session Tracker'!$G$5:$G$149,"Tue"))</f>
        <v>0</v>
      </c>
      <c r="J254" s="52" t="n">
        <f aca="false">IF($E254="Per class",$D254*COUNTIFS('Session Tracker'!$D$5:$D$149,$A254,'Session Tracker'!$F$5:$F$149,"Next week",'Session Tracker'!$G$5:$G$149,"Wed"),$D254*SUMIFS('Session Tracker'!$J$5:$J$149,'Session Tracker'!$D$5:$D$149,$A254,'Session Tracker'!$F$5:$F$149,"Next week",'Session Tracker'!$G$5:$G$149,"Wed"))</f>
        <v>0</v>
      </c>
      <c r="K254" s="52" t="n">
        <f aca="false">IF($E254="Per class",$D254*COUNTIFS('Session Tracker'!$D$5:$D$149,$A254,'Session Tracker'!$F$5:$F$149,"Next week",'Session Tracker'!$G$5:$G$149,"Thu"),$D254*SUMIFS('Session Tracker'!$J$5:$J$149,'Session Tracker'!$D$5:$D$149,$A254,'Session Tracker'!$F$5:$F$149,"Next week",'Session Tracker'!$G$5:$G$149,"Thu"))</f>
        <v>0</v>
      </c>
      <c r="L254" s="52" t="n">
        <f aca="false">IF($E254="Per class",$D254*COUNTIFS('Session Tracker'!$D$5:$D$149,$A254,'Session Tracker'!$F$5:$F$149,"Next week",'Session Tracker'!$G$5:$G$149,"Fri"),$D254*SUMIFS('Session Tracker'!$J$5:$J$149,'Session Tracker'!$D$5:$D$149,$A254,'Session Tracker'!$F$5:$F$149,"Next week",'Session Tracker'!$G$5:$G$149,"Fri"))</f>
        <v>0</v>
      </c>
      <c r="M254" s="52" t="n">
        <f aca="false">IF($E254="Per class",$D254*COUNTIFS('Session Tracker'!$D$5:$D$149,$A254,'Session Tracker'!$F$5:$F$149,"Next week",'Session Tracker'!$G$5:$G$149,""),$D254*SUMIFS('Session Tracker'!$J$5:$J$149,'Session Tracker'!$D$5:$D$149,$A254,'Session Tracker'!$F$5:$F$149,"Next week",'Session Tracker'!$G$5:$G$149,""))</f>
        <v>0</v>
      </c>
    </row>
    <row r="255" customFormat="false" ht="15" hidden="false" customHeight="false" outlineLevel="0" collapsed="false">
      <c r="A255" s="53" t="s">
        <v>253</v>
      </c>
      <c r="B255" s="54"/>
      <c r="C255" s="54"/>
      <c r="D255" s="54"/>
      <c r="E255" s="54"/>
      <c r="F255" s="54"/>
      <c r="G255" s="54"/>
      <c r="H255" s="52" t="n">
        <f aca="false">IF($E255="Per class",$D255*COUNTIFS('Session Tracker'!$D$5:$D$149,$A255,'Session Tracker'!$F$5:$F$149,"Next week",'Session Tracker'!$G$5:$G$149,"Mon"),$D255*SUMIFS('Session Tracker'!$J$5:$J$149,'Session Tracker'!$D$5:$D$149,$A255,'Session Tracker'!$F$5:$F$149,"Next week",'Session Tracker'!$G$5:$G$149,"Mon"))</f>
        <v>0</v>
      </c>
      <c r="I255" s="52" t="n">
        <f aca="false">IF($E255="Per class",$D255*COUNTIFS('Session Tracker'!$D$5:$D$149,$A255,'Session Tracker'!$F$5:$F$149,"Next week",'Session Tracker'!$G$5:$G$149,"Tue"),$D255*SUMIFS('Session Tracker'!$J$5:$J$149,'Session Tracker'!$D$5:$D$149,$A255,'Session Tracker'!$F$5:$F$149,"Next week",'Session Tracker'!$G$5:$G$149,"Tue"))</f>
        <v>0</v>
      </c>
      <c r="J255" s="52" t="n">
        <f aca="false">IF($E255="Per class",$D255*COUNTIFS('Session Tracker'!$D$5:$D$149,$A255,'Session Tracker'!$F$5:$F$149,"Next week",'Session Tracker'!$G$5:$G$149,"Wed"),$D255*SUMIFS('Session Tracker'!$J$5:$J$149,'Session Tracker'!$D$5:$D$149,$A255,'Session Tracker'!$F$5:$F$149,"Next week",'Session Tracker'!$G$5:$G$149,"Wed"))</f>
        <v>0</v>
      </c>
      <c r="K255" s="52" t="n">
        <f aca="false">IF($E255="Per class",$D255*COUNTIFS('Session Tracker'!$D$5:$D$149,$A255,'Session Tracker'!$F$5:$F$149,"Next week",'Session Tracker'!$G$5:$G$149,"Thu"),$D255*SUMIFS('Session Tracker'!$J$5:$J$149,'Session Tracker'!$D$5:$D$149,$A255,'Session Tracker'!$F$5:$F$149,"Next week",'Session Tracker'!$G$5:$G$149,"Thu"))</f>
        <v>0</v>
      </c>
      <c r="L255" s="52" t="n">
        <f aca="false">IF($E255="Per class",$D255*COUNTIFS('Session Tracker'!$D$5:$D$149,$A255,'Session Tracker'!$F$5:$F$149,"Next week",'Session Tracker'!$G$5:$G$149,"Fri"),$D255*SUMIFS('Session Tracker'!$J$5:$J$149,'Session Tracker'!$D$5:$D$149,$A255,'Session Tracker'!$F$5:$F$149,"Next week",'Session Tracker'!$G$5:$G$149,"Fri"))</f>
        <v>0</v>
      </c>
      <c r="M255" s="52" t="n">
        <f aca="false">IF($E255="Per class",$D255*COUNTIFS('Session Tracker'!$D$5:$D$149,$A255,'Session Tracker'!$F$5:$F$149,"Next week",'Session Tracker'!$G$5:$G$149,""),$D255*SUMIFS('Session Tracker'!$J$5:$J$149,'Session Tracker'!$D$5:$D$149,$A255,'Session Tracker'!$F$5:$F$149,"Next week",'Session Tracker'!$G$5:$G$149,""))</f>
        <v>0</v>
      </c>
    </row>
    <row r="256" customFormat="false" ht="15" hidden="false" customHeight="false" outlineLevel="0" collapsed="false">
      <c r="A256" s="53" t="s">
        <v>253</v>
      </c>
      <c r="B256" s="54"/>
      <c r="C256" s="54"/>
      <c r="D256" s="54"/>
      <c r="E256" s="54"/>
      <c r="F256" s="54"/>
      <c r="G256" s="54"/>
      <c r="H256" s="52" t="n">
        <f aca="false">IF($E256="Per class",$D256*COUNTIFS('Session Tracker'!$D$5:$D$149,$A256,'Session Tracker'!$F$5:$F$149,"Next week",'Session Tracker'!$G$5:$G$149,"Mon"),$D256*SUMIFS('Session Tracker'!$J$5:$J$149,'Session Tracker'!$D$5:$D$149,$A256,'Session Tracker'!$F$5:$F$149,"Next week",'Session Tracker'!$G$5:$G$149,"Mon"))</f>
        <v>0</v>
      </c>
      <c r="I256" s="52" t="n">
        <f aca="false">IF($E256="Per class",$D256*COUNTIFS('Session Tracker'!$D$5:$D$149,$A256,'Session Tracker'!$F$5:$F$149,"Next week",'Session Tracker'!$G$5:$G$149,"Tue"),$D256*SUMIFS('Session Tracker'!$J$5:$J$149,'Session Tracker'!$D$5:$D$149,$A256,'Session Tracker'!$F$5:$F$149,"Next week",'Session Tracker'!$G$5:$G$149,"Tue"))</f>
        <v>0</v>
      </c>
      <c r="J256" s="52" t="n">
        <f aca="false">IF($E256="Per class",$D256*COUNTIFS('Session Tracker'!$D$5:$D$149,$A256,'Session Tracker'!$F$5:$F$149,"Next week",'Session Tracker'!$G$5:$G$149,"Wed"),$D256*SUMIFS('Session Tracker'!$J$5:$J$149,'Session Tracker'!$D$5:$D$149,$A256,'Session Tracker'!$F$5:$F$149,"Next week",'Session Tracker'!$G$5:$G$149,"Wed"))</f>
        <v>0</v>
      </c>
      <c r="K256" s="52" t="n">
        <f aca="false">IF($E256="Per class",$D256*COUNTIFS('Session Tracker'!$D$5:$D$149,$A256,'Session Tracker'!$F$5:$F$149,"Next week",'Session Tracker'!$G$5:$G$149,"Thu"),$D256*SUMIFS('Session Tracker'!$J$5:$J$149,'Session Tracker'!$D$5:$D$149,$A256,'Session Tracker'!$F$5:$F$149,"Next week",'Session Tracker'!$G$5:$G$149,"Thu"))</f>
        <v>0</v>
      </c>
      <c r="L256" s="52" t="n">
        <f aca="false">IF($E256="Per class",$D256*COUNTIFS('Session Tracker'!$D$5:$D$149,$A256,'Session Tracker'!$F$5:$F$149,"Next week",'Session Tracker'!$G$5:$G$149,"Fri"),$D256*SUMIFS('Session Tracker'!$J$5:$J$149,'Session Tracker'!$D$5:$D$149,$A256,'Session Tracker'!$F$5:$F$149,"Next week",'Session Tracker'!$G$5:$G$149,"Fri"))</f>
        <v>0</v>
      </c>
      <c r="M256" s="52" t="n">
        <f aca="false">IF($E256="Per class",$D256*COUNTIFS('Session Tracker'!$D$5:$D$149,$A256,'Session Tracker'!$F$5:$F$149,"Next week",'Session Tracker'!$G$5:$G$149,""),$D256*SUMIFS('Session Tracker'!$J$5:$J$149,'Session Tracker'!$D$5:$D$149,$A256,'Session Tracker'!$F$5:$F$149,"Next week",'Session Tracker'!$G$5:$G$149,""))</f>
        <v>0</v>
      </c>
    </row>
    <row r="258" customFormat="false" ht="19.5" hidden="false" customHeight="true" outlineLevel="0" collapsed="false">
      <c r="A258" s="64" t="s">
        <v>255</v>
      </c>
      <c r="B258" s="65" t="s">
        <v>629</v>
      </c>
      <c r="C258" s="65"/>
      <c r="D258" s="65"/>
      <c r="E258" s="65"/>
      <c r="F258" s="66" t="str">
        <f aca="false">"Status: "&amp;'Session Tracker'!F97&amp;IF('Session Tracker'!G97&lt;&gt;""," ("&amp;'Session Tracker'!G97&amp;")","")</f>
        <v>Status: Not started</v>
      </c>
      <c r="G258" s="66"/>
      <c r="H258" s="67"/>
      <c r="I258" s="67"/>
      <c r="J258" s="67"/>
      <c r="K258" s="67"/>
      <c r="L258" s="67"/>
      <c r="M258" s="67"/>
    </row>
    <row r="259" customFormat="false" ht="15" hidden="false" customHeight="false" outlineLevel="0" collapsed="false">
      <c r="A259" s="68" t="s">
        <v>255</v>
      </c>
      <c r="B259" s="34" t="s">
        <v>382</v>
      </c>
      <c r="C259" s="34" t="s">
        <v>383</v>
      </c>
      <c r="D259" s="32" t="n">
        <v>1</v>
      </c>
      <c r="E259" s="32" t="s">
        <v>14</v>
      </c>
      <c r="F259" s="32" t="s">
        <v>368</v>
      </c>
      <c r="G259" s="34"/>
      <c r="H259" s="52" t="n">
        <f aca="false">IF($E259="Per class",$D259*COUNTIFS('Session Tracker'!$D$5:$D$149,$A259,'Session Tracker'!$F$5:$F$149,"Next week",'Session Tracker'!$G$5:$G$149,"Mon"),$D259*SUMIFS('Session Tracker'!$J$5:$J$149,'Session Tracker'!$D$5:$D$149,$A259,'Session Tracker'!$F$5:$F$149,"Next week",'Session Tracker'!$G$5:$G$149,"Mon"))</f>
        <v>0</v>
      </c>
      <c r="I259" s="52" t="n">
        <f aca="false">IF($E259="Per class",$D259*COUNTIFS('Session Tracker'!$D$5:$D$149,$A259,'Session Tracker'!$F$5:$F$149,"Next week",'Session Tracker'!$G$5:$G$149,"Tue"),$D259*SUMIFS('Session Tracker'!$J$5:$J$149,'Session Tracker'!$D$5:$D$149,$A259,'Session Tracker'!$F$5:$F$149,"Next week",'Session Tracker'!$G$5:$G$149,"Tue"))</f>
        <v>0</v>
      </c>
      <c r="J259" s="52" t="n">
        <f aca="false">IF($E259="Per class",$D259*COUNTIFS('Session Tracker'!$D$5:$D$149,$A259,'Session Tracker'!$F$5:$F$149,"Next week",'Session Tracker'!$G$5:$G$149,"Wed"),$D259*SUMIFS('Session Tracker'!$J$5:$J$149,'Session Tracker'!$D$5:$D$149,$A259,'Session Tracker'!$F$5:$F$149,"Next week",'Session Tracker'!$G$5:$G$149,"Wed"))</f>
        <v>0</v>
      </c>
      <c r="K259" s="52" t="n">
        <f aca="false">IF($E259="Per class",$D259*COUNTIFS('Session Tracker'!$D$5:$D$149,$A259,'Session Tracker'!$F$5:$F$149,"Next week",'Session Tracker'!$G$5:$G$149,"Thu"),$D259*SUMIFS('Session Tracker'!$J$5:$J$149,'Session Tracker'!$D$5:$D$149,$A259,'Session Tracker'!$F$5:$F$149,"Next week",'Session Tracker'!$G$5:$G$149,"Thu"))</f>
        <v>0</v>
      </c>
      <c r="L259" s="52" t="n">
        <f aca="false">IF($E259="Per class",$D259*COUNTIFS('Session Tracker'!$D$5:$D$149,$A259,'Session Tracker'!$F$5:$F$149,"Next week",'Session Tracker'!$G$5:$G$149,"Fri"),$D259*SUMIFS('Session Tracker'!$J$5:$J$149,'Session Tracker'!$D$5:$D$149,$A259,'Session Tracker'!$F$5:$F$149,"Next week",'Session Tracker'!$G$5:$G$149,"Fri"))</f>
        <v>0</v>
      </c>
      <c r="M259" s="52" t="n">
        <f aca="false">IF($E259="Per class",$D259*COUNTIFS('Session Tracker'!$D$5:$D$149,$A259,'Session Tracker'!$F$5:$F$149,"Next week",'Session Tracker'!$G$5:$G$149,""),$D259*SUMIFS('Session Tracker'!$J$5:$J$149,'Session Tracker'!$D$5:$D$149,$A259,'Session Tracker'!$F$5:$F$149,"Next week",'Session Tracker'!$G$5:$G$149,""))</f>
        <v>0</v>
      </c>
    </row>
    <row r="260" customFormat="false" ht="15" hidden="false" customHeight="false" outlineLevel="0" collapsed="false">
      <c r="A260" s="68" t="s">
        <v>255</v>
      </c>
      <c r="B260" s="34" t="s">
        <v>382</v>
      </c>
      <c r="C260" s="34" t="s">
        <v>401</v>
      </c>
      <c r="D260" s="32" t="n">
        <v>1</v>
      </c>
      <c r="E260" s="32" t="s">
        <v>16</v>
      </c>
      <c r="F260" s="32" t="s">
        <v>368</v>
      </c>
      <c r="G260" s="34"/>
      <c r="H260" s="52" t="n">
        <f aca="false">IF($E260="Per class",$D260*COUNTIFS('Session Tracker'!$D$5:$D$149,$A260,'Session Tracker'!$F$5:$F$149,"Next week",'Session Tracker'!$G$5:$G$149,"Mon"),$D260*SUMIFS('Session Tracker'!$J$5:$J$149,'Session Tracker'!$D$5:$D$149,$A260,'Session Tracker'!$F$5:$F$149,"Next week",'Session Tracker'!$G$5:$G$149,"Mon"))</f>
        <v>0</v>
      </c>
      <c r="I260" s="52" t="n">
        <f aca="false">IF($E260="Per class",$D260*COUNTIFS('Session Tracker'!$D$5:$D$149,$A260,'Session Tracker'!$F$5:$F$149,"Next week",'Session Tracker'!$G$5:$G$149,"Tue"),$D260*SUMIFS('Session Tracker'!$J$5:$J$149,'Session Tracker'!$D$5:$D$149,$A260,'Session Tracker'!$F$5:$F$149,"Next week",'Session Tracker'!$G$5:$G$149,"Tue"))</f>
        <v>0</v>
      </c>
      <c r="J260" s="52" t="n">
        <f aca="false">IF($E260="Per class",$D260*COUNTIFS('Session Tracker'!$D$5:$D$149,$A260,'Session Tracker'!$F$5:$F$149,"Next week",'Session Tracker'!$G$5:$G$149,"Wed"),$D260*SUMIFS('Session Tracker'!$J$5:$J$149,'Session Tracker'!$D$5:$D$149,$A260,'Session Tracker'!$F$5:$F$149,"Next week",'Session Tracker'!$G$5:$G$149,"Wed"))</f>
        <v>0</v>
      </c>
      <c r="K260" s="52" t="n">
        <f aca="false">IF($E260="Per class",$D260*COUNTIFS('Session Tracker'!$D$5:$D$149,$A260,'Session Tracker'!$F$5:$F$149,"Next week",'Session Tracker'!$G$5:$G$149,"Thu"),$D260*SUMIFS('Session Tracker'!$J$5:$J$149,'Session Tracker'!$D$5:$D$149,$A260,'Session Tracker'!$F$5:$F$149,"Next week",'Session Tracker'!$G$5:$G$149,"Thu"))</f>
        <v>0</v>
      </c>
      <c r="L260" s="52" t="n">
        <f aca="false">IF($E260="Per class",$D260*COUNTIFS('Session Tracker'!$D$5:$D$149,$A260,'Session Tracker'!$F$5:$F$149,"Next week",'Session Tracker'!$G$5:$G$149,"Fri"),$D260*SUMIFS('Session Tracker'!$J$5:$J$149,'Session Tracker'!$D$5:$D$149,$A260,'Session Tracker'!$F$5:$F$149,"Next week",'Session Tracker'!$G$5:$G$149,"Fri"))</f>
        <v>0</v>
      </c>
      <c r="M260" s="52" t="n">
        <f aca="false">IF($E260="Per class",$D260*COUNTIFS('Session Tracker'!$D$5:$D$149,$A260,'Session Tracker'!$F$5:$F$149,"Next week",'Session Tracker'!$G$5:$G$149,""),$D260*SUMIFS('Session Tracker'!$J$5:$J$149,'Session Tracker'!$D$5:$D$149,$A260,'Session Tracker'!$F$5:$F$149,"Next week",'Session Tracker'!$G$5:$G$149,""))</f>
        <v>0</v>
      </c>
    </row>
    <row r="261" customFormat="false" ht="15" hidden="false" customHeight="false" outlineLevel="0" collapsed="false">
      <c r="A261" s="68" t="s">
        <v>255</v>
      </c>
      <c r="B261" s="34" t="s">
        <v>382</v>
      </c>
      <c r="C261" s="34" t="s">
        <v>402</v>
      </c>
      <c r="D261" s="32" t="n">
        <v>1</v>
      </c>
      <c r="E261" s="32" t="s">
        <v>16</v>
      </c>
      <c r="F261" s="32" t="s">
        <v>373</v>
      </c>
      <c r="G261" s="34"/>
      <c r="H261" s="52" t="n">
        <f aca="false">IF($E261="Per class",$D261*COUNTIFS('Session Tracker'!$D$5:$D$149,$A261,'Session Tracker'!$F$5:$F$149,"Next week",'Session Tracker'!$G$5:$G$149,"Mon"),$D261*SUMIFS('Session Tracker'!$J$5:$J$149,'Session Tracker'!$D$5:$D$149,$A261,'Session Tracker'!$F$5:$F$149,"Next week",'Session Tracker'!$G$5:$G$149,"Mon"))</f>
        <v>0</v>
      </c>
      <c r="I261" s="52" t="n">
        <f aca="false">IF($E261="Per class",$D261*COUNTIFS('Session Tracker'!$D$5:$D$149,$A261,'Session Tracker'!$F$5:$F$149,"Next week",'Session Tracker'!$G$5:$G$149,"Tue"),$D261*SUMIFS('Session Tracker'!$J$5:$J$149,'Session Tracker'!$D$5:$D$149,$A261,'Session Tracker'!$F$5:$F$149,"Next week",'Session Tracker'!$G$5:$G$149,"Tue"))</f>
        <v>0</v>
      </c>
      <c r="J261" s="52" t="n">
        <f aca="false">IF($E261="Per class",$D261*COUNTIFS('Session Tracker'!$D$5:$D$149,$A261,'Session Tracker'!$F$5:$F$149,"Next week",'Session Tracker'!$G$5:$G$149,"Wed"),$D261*SUMIFS('Session Tracker'!$J$5:$J$149,'Session Tracker'!$D$5:$D$149,$A261,'Session Tracker'!$F$5:$F$149,"Next week",'Session Tracker'!$G$5:$G$149,"Wed"))</f>
        <v>0</v>
      </c>
      <c r="K261" s="52" t="n">
        <f aca="false">IF($E261="Per class",$D261*COUNTIFS('Session Tracker'!$D$5:$D$149,$A261,'Session Tracker'!$F$5:$F$149,"Next week",'Session Tracker'!$G$5:$G$149,"Thu"),$D261*SUMIFS('Session Tracker'!$J$5:$J$149,'Session Tracker'!$D$5:$D$149,$A261,'Session Tracker'!$F$5:$F$149,"Next week",'Session Tracker'!$G$5:$G$149,"Thu"))</f>
        <v>0</v>
      </c>
      <c r="L261" s="52" t="n">
        <f aca="false">IF($E261="Per class",$D261*COUNTIFS('Session Tracker'!$D$5:$D$149,$A261,'Session Tracker'!$F$5:$F$149,"Next week",'Session Tracker'!$G$5:$G$149,"Fri"),$D261*SUMIFS('Session Tracker'!$J$5:$J$149,'Session Tracker'!$D$5:$D$149,$A261,'Session Tracker'!$F$5:$F$149,"Next week",'Session Tracker'!$G$5:$G$149,"Fri"))</f>
        <v>0</v>
      </c>
      <c r="M261" s="52" t="n">
        <f aca="false">IF($E261="Per class",$D261*COUNTIFS('Session Tracker'!$D$5:$D$149,$A261,'Session Tracker'!$F$5:$F$149,"Next week",'Session Tracker'!$G$5:$G$149,""),$D261*SUMIFS('Session Tracker'!$J$5:$J$149,'Session Tracker'!$D$5:$D$149,$A261,'Session Tracker'!$F$5:$F$149,"Next week",'Session Tracker'!$G$5:$G$149,""))</f>
        <v>0</v>
      </c>
    </row>
    <row r="262" customFormat="false" ht="15" hidden="false" customHeight="false" outlineLevel="0" collapsed="false">
      <c r="A262" s="53" t="s">
        <v>255</v>
      </c>
      <c r="B262" s="54"/>
      <c r="C262" s="54"/>
      <c r="D262" s="54"/>
      <c r="E262" s="54"/>
      <c r="F262" s="54"/>
      <c r="G262" s="54"/>
      <c r="H262" s="52" t="n">
        <f aca="false">IF($E262="Per class",$D262*COUNTIFS('Session Tracker'!$D$5:$D$149,$A262,'Session Tracker'!$F$5:$F$149,"Next week",'Session Tracker'!$G$5:$G$149,"Mon"),$D262*SUMIFS('Session Tracker'!$J$5:$J$149,'Session Tracker'!$D$5:$D$149,$A262,'Session Tracker'!$F$5:$F$149,"Next week",'Session Tracker'!$G$5:$G$149,"Mon"))</f>
        <v>0</v>
      </c>
      <c r="I262" s="52" t="n">
        <f aca="false">IF($E262="Per class",$D262*COUNTIFS('Session Tracker'!$D$5:$D$149,$A262,'Session Tracker'!$F$5:$F$149,"Next week",'Session Tracker'!$G$5:$G$149,"Tue"),$D262*SUMIFS('Session Tracker'!$J$5:$J$149,'Session Tracker'!$D$5:$D$149,$A262,'Session Tracker'!$F$5:$F$149,"Next week",'Session Tracker'!$G$5:$G$149,"Tue"))</f>
        <v>0</v>
      </c>
      <c r="J262" s="52" t="n">
        <f aca="false">IF($E262="Per class",$D262*COUNTIFS('Session Tracker'!$D$5:$D$149,$A262,'Session Tracker'!$F$5:$F$149,"Next week",'Session Tracker'!$G$5:$G$149,"Wed"),$D262*SUMIFS('Session Tracker'!$J$5:$J$149,'Session Tracker'!$D$5:$D$149,$A262,'Session Tracker'!$F$5:$F$149,"Next week",'Session Tracker'!$G$5:$G$149,"Wed"))</f>
        <v>0</v>
      </c>
      <c r="K262" s="52" t="n">
        <f aca="false">IF($E262="Per class",$D262*COUNTIFS('Session Tracker'!$D$5:$D$149,$A262,'Session Tracker'!$F$5:$F$149,"Next week",'Session Tracker'!$G$5:$G$149,"Thu"),$D262*SUMIFS('Session Tracker'!$J$5:$J$149,'Session Tracker'!$D$5:$D$149,$A262,'Session Tracker'!$F$5:$F$149,"Next week",'Session Tracker'!$G$5:$G$149,"Thu"))</f>
        <v>0</v>
      </c>
      <c r="L262" s="52" t="n">
        <f aca="false">IF($E262="Per class",$D262*COUNTIFS('Session Tracker'!$D$5:$D$149,$A262,'Session Tracker'!$F$5:$F$149,"Next week",'Session Tracker'!$G$5:$G$149,"Fri"),$D262*SUMIFS('Session Tracker'!$J$5:$J$149,'Session Tracker'!$D$5:$D$149,$A262,'Session Tracker'!$F$5:$F$149,"Next week",'Session Tracker'!$G$5:$G$149,"Fri"))</f>
        <v>0</v>
      </c>
      <c r="M262" s="52" t="n">
        <f aca="false">IF($E262="Per class",$D262*COUNTIFS('Session Tracker'!$D$5:$D$149,$A262,'Session Tracker'!$F$5:$F$149,"Next week",'Session Tracker'!$G$5:$G$149,""),$D262*SUMIFS('Session Tracker'!$J$5:$J$149,'Session Tracker'!$D$5:$D$149,$A262,'Session Tracker'!$F$5:$F$149,"Next week",'Session Tracker'!$G$5:$G$149,""))</f>
        <v>0</v>
      </c>
    </row>
    <row r="263" customFormat="false" ht="15" hidden="false" customHeight="false" outlineLevel="0" collapsed="false">
      <c r="A263" s="53" t="s">
        <v>255</v>
      </c>
      <c r="B263" s="54"/>
      <c r="C263" s="54"/>
      <c r="D263" s="54"/>
      <c r="E263" s="54"/>
      <c r="F263" s="54"/>
      <c r="G263" s="54"/>
      <c r="H263" s="52" t="n">
        <f aca="false">IF($E263="Per class",$D263*COUNTIFS('Session Tracker'!$D$5:$D$149,$A263,'Session Tracker'!$F$5:$F$149,"Next week",'Session Tracker'!$G$5:$G$149,"Mon"),$D263*SUMIFS('Session Tracker'!$J$5:$J$149,'Session Tracker'!$D$5:$D$149,$A263,'Session Tracker'!$F$5:$F$149,"Next week",'Session Tracker'!$G$5:$G$149,"Mon"))</f>
        <v>0</v>
      </c>
      <c r="I263" s="52" t="n">
        <f aca="false">IF($E263="Per class",$D263*COUNTIFS('Session Tracker'!$D$5:$D$149,$A263,'Session Tracker'!$F$5:$F$149,"Next week",'Session Tracker'!$G$5:$G$149,"Tue"),$D263*SUMIFS('Session Tracker'!$J$5:$J$149,'Session Tracker'!$D$5:$D$149,$A263,'Session Tracker'!$F$5:$F$149,"Next week",'Session Tracker'!$G$5:$G$149,"Tue"))</f>
        <v>0</v>
      </c>
      <c r="J263" s="52" t="n">
        <f aca="false">IF($E263="Per class",$D263*COUNTIFS('Session Tracker'!$D$5:$D$149,$A263,'Session Tracker'!$F$5:$F$149,"Next week",'Session Tracker'!$G$5:$G$149,"Wed"),$D263*SUMIFS('Session Tracker'!$J$5:$J$149,'Session Tracker'!$D$5:$D$149,$A263,'Session Tracker'!$F$5:$F$149,"Next week",'Session Tracker'!$G$5:$G$149,"Wed"))</f>
        <v>0</v>
      </c>
      <c r="K263" s="52" t="n">
        <f aca="false">IF($E263="Per class",$D263*COUNTIFS('Session Tracker'!$D$5:$D$149,$A263,'Session Tracker'!$F$5:$F$149,"Next week",'Session Tracker'!$G$5:$G$149,"Thu"),$D263*SUMIFS('Session Tracker'!$J$5:$J$149,'Session Tracker'!$D$5:$D$149,$A263,'Session Tracker'!$F$5:$F$149,"Next week",'Session Tracker'!$G$5:$G$149,"Thu"))</f>
        <v>0</v>
      </c>
      <c r="L263" s="52" t="n">
        <f aca="false">IF($E263="Per class",$D263*COUNTIFS('Session Tracker'!$D$5:$D$149,$A263,'Session Tracker'!$F$5:$F$149,"Next week",'Session Tracker'!$G$5:$G$149,"Fri"),$D263*SUMIFS('Session Tracker'!$J$5:$J$149,'Session Tracker'!$D$5:$D$149,$A263,'Session Tracker'!$F$5:$F$149,"Next week",'Session Tracker'!$G$5:$G$149,"Fri"))</f>
        <v>0</v>
      </c>
      <c r="M263" s="52" t="n">
        <f aca="false">IF($E263="Per class",$D263*COUNTIFS('Session Tracker'!$D$5:$D$149,$A263,'Session Tracker'!$F$5:$F$149,"Next week",'Session Tracker'!$G$5:$G$149,""),$D263*SUMIFS('Session Tracker'!$J$5:$J$149,'Session Tracker'!$D$5:$D$149,$A263,'Session Tracker'!$F$5:$F$149,"Next week",'Session Tracker'!$G$5:$G$149,""))</f>
        <v>0</v>
      </c>
    </row>
    <row r="265" customFormat="false" ht="19.5" hidden="false" customHeight="true" outlineLevel="0" collapsed="false">
      <c r="A265" s="64" t="s">
        <v>257</v>
      </c>
      <c r="B265" s="65" t="s">
        <v>630</v>
      </c>
      <c r="C265" s="65"/>
      <c r="D265" s="65"/>
      <c r="E265" s="65"/>
      <c r="F265" s="66" t="str">
        <f aca="false">"Status: "&amp;'Session Tracker'!F98&amp;IF('Session Tracker'!G98&lt;&gt;""," ("&amp;'Session Tracker'!G98&amp;")","")</f>
        <v>Status: Not started</v>
      </c>
      <c r="G265" s="66"/>
      <c r="H265" s="67"/>
      <c r="I265" s="67"/>
      <c r="J265" s="67"/>
      <c r="K265" s="67"/>
      <c r="L265" s="67"/>
      <c r="M265" s="67"/>
    </row>
    <row r="266" customFormat="false" ht="15" hidden="false" customHeight="false" outlineLevel="0" collapsed="false">
      <c r="A266" s="68" t="s">
        <v>257</v>
      </c>
      <c r="B266" s="34" t="s">
        <v>382</v>
      </c>
      <c r="C266" s="34" t="s">
        <v>383</v>
      </c>
      <c r="D266" s="32" t="n">
        <v>1</v>
      </c>
      <c r="E266" s="32" t="s">
        <v>14</v>
      </c>
      <c r="F266" s="32" t="s">
        <v>368</v>
      </c>
      <c r="G266" s="34"/>
      <c r="H266" s="52" t="n">
        <f aca="false">IF($E266="Per class",$D266*COUNTIFS('Session Tracker'!$D$5:$D$149,$A266,'Session Tracker'!$F$5:$F$149,"Next week",'Session Tracker'!$G$5:$G$149,"Mon"),$D266*SUMIFS('Session Tracker'!$J$5:$J$149,'Session Tracker'!$D$5:$D$149,$A266,'Session Tracker'!$F$5:$F$149,"Next week",'Session Tracker'!$G$5:$G$149,"Mon"))</f>
        <v>0</v>
      </c>
      <c r="I266" s="52" t="n">
        <f aca="false">IF($E266="Per class",$D266*COUNTIFS('Session Tracker'!$D$5:$D$149,$A266,'Session Tracker'!$F$5:$F$149,"Next week",'Session Tracker'!$G$5:$G$149,"Tue"),$D266*SUMIFS('Session Tracker'!$J$5:$J$149,'Session Tracker'!$D$5:$D$149,$A266,'Session Tracker'!$F$5:$F$149,"Next week",'Session Tracker'!$G$5:$G$149,"Tue"))</f>
        <v>0</v>
      </c>
      <c r="J266" s="52" t="n">
        <f aca="false">IF($E266="Per class",$D266*COUNTIFS('Session Tracker'!$D$5:$D$149,$A266,'Session Tracker'!$F$5:$F$149,"Next week",'Session Tracker'!$G$5:$G$149,"Wed"),$D266*SUMIFS('Session Tracker'!$J$5:$J$149,'Session Tracker'!$D$5:$D$149,$A266,'Session Tracker'!$F$5:$F$149,"Next week",'Session Tracker'!$G$5:$G$149,"Wed"))</f>
        <v>0</v>
      </c>
      <c r="K266" s="52" t="n">
        <f aca="false">IF($E266="Per class",$D266*COUNTIFS('Session Tracker'!$D$5:$D$149,$A266,'Session Tracker'!$F$5:$F$149,"Next week",'Session Tracker'!$G$5:$G$149,"Thu"),$D266*SUMIFS('Session Tracker'!$J$5:$J$149,'Session Tracker'!$D$5:$D$149,$A266,'Session Tracker'!$F$5:$F$149,"Next week",'Session Tracker'!$G$5:$G$149,"Thu"))</f>
        <v>0</v>
      </c>
      <c r="L266" s="52" t="n">
        <f aca="false">IF($E266="Per class",$D266*COUNTIFS('Session Tracker'!$D$5:$D$149,$A266,'Session Tracker'!$F$5:$F$149,"Next week",'Session Tracker'!$G$5:$G$149,"Fri"),$D266*SUMIFS('Session Tracker'!$J$5:$J$149,'Session Tracker'!$D$5:$D$149,$A266,'Session Tracker'!$F$5:$F$149,"Next week",'Session Tracker'!$G$5:$G$149,"Fri"))</f>
        <v>0</v>
      </c>
      <c r="M266" s="52" t="n">
        <f aca="false">IF($E266="Per class",$D266*COUNTIFS('Session Tracker'!$D$5:$D$149,$A266,'Session Tracker'!$F$5:$F$149,"Next week",'Session Tracker'!$G$5:$G$149,""),$D266*SUMIFS('Session Tracker'!$J$5:$J$149,'Session Tracker'!$D$5:$D$149,$A266,'Session Tracker'!$F$5:$F$149,"Next week",'Session Tracker'!$G$5:$G$149,""))</f>
        <v>0</v>
      </c>
    </row>
    <row r="267" customFormat="false" ht="15" hidden="false" customHeight="false" outlineLevel="0" collapsed="false">
      <c r="A267" s="53" t="s">
        <v>257</v>
      </c>
      <c r="B267" s="54"/>
      <c r="C267" s="54"/>
      <c r="D267" s="54"/>
      <c r="E267" s="54"/>
      <c r="F267" s="54"/>
      <c r="G267" s="54"/>
      <c r="H267" s="52" t="n">
        <f aca="false">IF($E267="Per class",$D267*COUNTIFS('Session Tracker'!$D$5:$D$149,$A267,'Session Tracker'!$F$5:$F$149,"Next week",'Session Tracker'!$G$5:$G$149,"Mon"),$D267*SUMIFS('Session Tracker'!$J$5:$J$149,'Session Tracker'!$D$5:$D$149,$A267,'Session Tracker'!$F$5:$F$149,"Next week",'Session Tracker'!$G$5:$G$149,"Mon"))</f>
        <v>0</v>
      </c>
      <c r="I267" s="52" t="n">
        <f aca="false">IF($E267="Per class",$D267*COUNTIFS('Session Tracker'!$D$5:$D$149,$A267,'Session Tracker'!$F$5:$F$149,"Next week",'Session Tracker'!$G$5:$G$149,"Tue"),$D267*SUMIFS('Session Tracker'!$J$5:$J$149,'Session Tracker'!$D$5:$D$149,$A267,'Session Tracker'!$F$5:$F$149,"Next week",'Session Tracker'!$G$5:$G$149,"Tue"))</f>
        <v>0</v>
      </c>
      <c r="J267" s="52" t="n">
        <f aca="false">IF($E267="Per class",$D267*COUNTIFS('Session Tracker'!$D$5:$D$149,$A267,'Session Tracker'!$F$5:$F$149,"Next week",'Session Tracker'!$G$5:$G$149,"Wed"),$D267*SUMIFS('Session Tracker'!$J$5:$J$149,'Session Tracker'!$D$5:$D$149,$A267,'Session Tracker'!$F$5:$F$149,"Next week",'Session Tracker'!$G$5:$G$149,"Wed"))</f>
        <v>0</v>
      </c>
      <c r="K267" s="52" t="n">
        <f aca="false">IF($E267="Per class",$D267*COUNTIFS('Session Tracker'!$D$5:$D$149,$A267,'Session Tracker'!$F$5:$F$149,"Next week",'Session Tracker'!$G$5:$G$149,"Thu"),$D267*SUMIFS('Session Tracker'!$J$5:$J$149,'Session Tracker'!$D$5:$D$149,$A267,'Session Tracker'!$F$5:$F$149,"Next week",'Session Tracker'!$G$5:$G$149,"Thu"))</f>
        <v>0</v>
      </c>
      <c r="L267" s="52" t="n">
        <f aca="false">IF($E267="Per class",$D267*COUNTIFS('Session Tracker'!$D$5:$D$149,$A267,'Session Tracker'!$F$5:$F$149,"Next week",'Session Tracker'!$G$5:$G$149,"Fri"),$D267*SUMIFS('Session Tracker'!$J$5:$J$149,'Session Tracker'!$D$5:$D$149,$A267,'Session Tracker'!$F$5:$F$149,"Next week",'Session Tracker'!$G$5:$G$149,"Fri"))</f>
        <v>0</v>
      </c>
      <c r="M267" s="52" t="n">
        <f aca="false">IF($E267="Per class",$D267*COUNTIFS('Session Tracker'!$D$5:$D$149,$A267,'Session Tracker'!$F$5:$F$149,"Next week",'Session Tracker'!$G$5:$G$149,""),$D267*SUMIFS('Session Tracker'!$J$5:$J$149,'Session Tracker'!$D$5:$D$149,$A267,'Session Tracker'!$F$5:$F$149,"Next week",'Session Tracker'!$G$5:$G$149,""))</f>
        <v>0</v>
      </c>
    </row>
    <row r="268" customFormat="false" ht="15" hidden="false" customHeight="false" outlineLevel="0" collapsed="false">
      <c r="A268" s="53" t="s">
        <v>257</v>
      </c>
      <c r="B268" s="54"/>
      <c r="C268" s="54"/>
      <c r="D268" s="54"/>
      <c r="E268" s="54"/>
      <c r="F268" s="54"/>
      <c r="G268" s="54"/>
      <c r="H268" s="52" t="n">
        <f aca="false">IF($E268="Per class",$D268*COUNTIFS('Session Tracker'!$D$5:$D$149,$A268,'Session Tracker'!$F$5:$F$149,"Next week",'Session Tracker'!$G$5:$G$149,"Mon"),$D268*SUMIFS('Session Tracker'!$J$5:$J$149,'Session Tracker'!$D$5:$D$149,$A268,'Session Tracker'!$F$5:$F$149,"Next week",'Session Tracker'!$G$5:$G$149,"Mon"))</f>
        <v>0</v>
      </c>
      <c r="I268" s="52" t="n">
        <f aca="false">IF($E268="Per class",$D268*COUNTIFS('Session Tracker'!$D$5:$D$149,$A268,'Session Tracker'!$F$5:$F$149,"Next week",'Session Tracker'!$G$5:$G$149,"Tue"),$D268*SUMIFS('Session Tracker'!$J$5:$J$149,'Session Tracker'!$D$5:$D$149,$A268,'Session Tracker'!$F$5:$F$149,"Next week",'Session Tracker'!$G$5:$G$149,"Tue"))</f>
        <v>0</v>
      </c>
      <c r="J268" s="52" t="n">
        <f aca="false">IF($E268="Per class",$D268*COUNTIFS('Session Tracker'!$D$5:$D$149,$A268,'Session Tracker'!$F$5:$F$149,"Next week",'Session Tracker'!$G$5:$G$149,"Wed"),$D268*SUMIFS('Session Tracker'!$J$5:$J$149,'Session Tracker'!$D$5:$D$149,$A268,'Session Tracker'!$F$5:$F$149,"Next week",'Session Tracker'!$G$5:$G$149,"Wed"))</f>
        <v>0</v>
      </c>
      <c r="K268" s="52" t="n">
        <f aca="false">IF($E268="Per class",$D268*COUNTIFS('Session Tracker'!$D$5:$D$149,$A268,'Session Tracker'!$F$5:$F$149,"Next week",'Session Tracker'!$G$5:$G$149,"Thu"),$D268*SUMIFS('Session Tracker'!$J$5:$J$149,'Session Tracker'!$D$5:$D$149,$A268,'Session Tracker'!$F$5:$F$149,"Next week",'Session Tracker'!$G$5:$G$149,"Thu"))</f>
        <v>0</v>
      </c>
      <c r="L268" s="52" t="n">
        <f aca="false">IF($E268="Per class",$D268*COUNTIFS('Session Tracker'!$D$5:$D$149,$A268,'Session Tracker'!$F$5:$F$149,"Next week",'Session Tracker'!$G$5:$G$149,"Fri"),$D268*SUMIFS('Session Tracker'!$J$5:$J$149,'Session Tracker'!$D$5:$D$149,$A268,'Session Tracker'!$F$5:$F$149,"Next week",'Session Tracker'!$G$5:$G$149,"Fri"))</f>
        <v>0</v>
      </c>
      <c r="M268" s="52" t="n">
        <f aca="false">IF($E268="Per class",$D268*COUNTIFS('Session Tracker'!$D$5:$D$149,$A268,'Session Tracker'!$F$5:$F$149,"Next week",'Session Tracker'!$G$5:$G$149,""),$D268*SUMIFS('Session Tracker'!$J$5:$J$149,'Session Tracker'!$D$5:$D$149,$A268,'Session Tracker'!$F$5:$F$149,"Next week",'Session Tracker'!$G$5:$G$149,""))</f>
        <v>0</v>
      </c>
    </row>
    <row r="270" customFormat="false" ht="19.5" hidden="false" customHeight="true" outlineLevel="0" collapsed="false">
      <c r="A270" s="64" t="s">
        <v>259</v>
      </c>
      <c r="B270" s="65" t="s">
        <v>631</v>
      </c>
      <c r="C270" s="65"/>
      <c r="D270" s="65"/>
      <c r="E270" s="65"/>
      <c r="F270" s="66" t="str">
        <f aca="false">"Status: "&amp;'Session Tracker'!F99&amp;IF('Session Tracker'!G99&lt;&gt;""," ("&amp;'Session Tracker'!G99&amp;")","")</f>
        <v>Status: Not started</v>
      </c>
      <c r="G270" s="66"/>
      <c r="H270" s="67"/>
      <c r="I270" s="67"/>
      <c r="J270" s="67"/>
      <c r="K270" s="67"/>
      <c r="L270" s="67"/>
      <c r="M270" s="67"/>
    </row>
    <row r="271" customFormat="false" ht="23.85" hidden="false" customHeight="false" outlineLevel="0" collapsed="false">
      <c r="A271" s="68" t="s">
        <v>259</v>
      </c>
      <c r="B271" s="34" t="s">
        <v>366</v>
      </c>
      <c r="C271" s="34" t="s">
        <v>367</v>
      </c>
      <c r="D271" s="32" t="n">
        <v>1</v>
      </c>
      <c r="E271" s="32" t="s">
        <v>14</v>
      </c>
      <c r="F271" s="32" t="s">
        <v>368</v>
      </c>
      <c r="G271" s="34"/>
      <c r="H271" s="52" t="n">
        <f aca="false">IF($E271="Per class",$D271*COUNTIFS('Session Tracker'!$D$5:$D$149,$A271,'Session Tracker'!$F$5:$F$149,"Next week",'Session Tracker'!$G$5:$G$149,"Mon"),$D271*SUMIFS('Session Tracker'!$J$5:$J$149,'Session Tracker'!$D$5:$D$149,$A271,'Session Tracker'!$F$5:$F$149,"Next week",'Session Tracker'!$G$5:$G$149,"Mon"))</f>
        <v>0</v>
      </c>
      <c r="I271" s="52" t="n">
        <f aca="false">IF($E271="Per class",$D271*COUNTIFS('Session Tracker'!$D$5:$D$149,$A271,'Session Tracker'!$F$5:$F$149,"Next week",'Session Tracker'!$G$5:$G$149,"Tue"),$D271*SUMIFS('Session Tracker'!$J$5:$J$149,'Session Tracker'!$D$5:$D$149,$A271,'Session Tracker'!$F$5:$F$149,"Next week",'Session Tracker'!$G$5:$G$149,"Tue"))</f>
        <v>0</v>
      </c>
      <c r="J271" s="52" t="n">
        <f aca="false">IF($E271="Per class",$D271*COUNTIFS('Session Tracker'!$D$5:$D$149,$A271,'Session Tracker'!$F$5:$F$149,"Next week",'Session Tracker'!$G$5:$G$149,"Wed"),$D271*SUMIFS('Session Tracker'!$J$5:$J$149,'Session Tracker'!$D$5:$D$149,$A271,'Session Tracker'!$F$5:$F$149,"Next week",'Session Tracker'!$G$5:$G$149,"Wed"))</f>
        <v>0</v>
      </c>
      <c r="K271" s="52" t="n">
        <f aca="false">IF($E271="Per class",$D271*COUNTIFS('Session Tracker'!$D$5:$D$149,$A271,'Session Tracker'!$F$5:$F$149,"Next week",'Session Tracker'!$G$5:$G$149,"Thu"),$D271*SUMIFS('Session Tracker'!$J$5:$J$149,'Session Tracker'!$D$5:$D$149,$A271,'Session Tracker'!$F$5:$F$149,"Next week",'Session Tracker'!$G$5:$G$149,"Thu"))</f>
        <v>0</v>
      </c>
      <c r="L271" s="52" t="n">
        <f aca="false">IF($E271="Per class",$D271*COUNTIFS('Session Tracker'!$D$5:$D$149,$A271,'Session Tracker'!$F$5:$F$149,"Next week",'Session Tracker'!$G$5:$G$149,"Fri"),$D271*SUMIFS('Session Tracker'!$J$5:$J$149,'Session Tracker'!$D$5:$D$149,$A271,'Session Tracker'!$F$5:$F$149,"Next week",'Session Tracker'!$G$5:$G$149,"Fri"))</f>
        <v>0</v>
      </c>
      <c r="M271" s="52" t="n">
        <f aca="false">IF($E271="Per class",$D271*COUNTIFS('Session Tracker'!$D$5:$D$149,$A271,'Session Tracker'!$F$5:$F$149,"Next week",'Session Tracker'!$G$5:$G$149,""),$D271*SUMIFS('Session Tracker'!$J$5:$J$149,'Session Tracker'!$D$5:$D$149,$A271,'Session Tracker'!$F$5:$F$149,"Next week",'Session Tracker'!$G$5:$G$149,""))</f>
        <v>0</v>
      </c>
    </row>
    <row r="272" customFormat="false" ht="15" hidden="false" customHeight="false" outlineLevel="0" collapsed="false">
      <c r="A272" s="68" t="s">
        <v>259</v>
      </c>
      <c r="B272" s="34" t="s">
        <v>369</v>
      </c>
      <c r="C272" s="34" t="s">
        <v>370</v>
      </c>
      <c r="D272" s="32" t="n">
        <v>1</v>
      </c>
      <c r="E272" s="32" t="s">
        <v>14</v>
      </c>
      <c r="F272" s="32" t="s">
        <v>368</v>
      </c>
      <c r="G272" s="34"/>
      <c r="H272" s="52" t="n">
        <f aca="false">IF($E272="Per class",$D272*COUNTIFS('Session Tracker'!$D$5:$D$149,$A272,'Session Tracker'!$F$5:$F$149,"Next week",'Session Tracker'!$G$5:$G$149,"Mon"),$D272*SUMIFS('Session Tracker'!$J$5:$J$149,'Session Tracker'!$D$5:$D$149,$A272,'Session Tracker'!$F$5:$F$149,"Next week",'Session Tracker'!$G$5:$G$149,"Mon"))</f>
        <v>0</v>
      </c>
      <c r="I272" s="52" t="n">
        <f aca="false">IF($E272="Per class",$D272*COUNTIFS('Session Tracker'!$D$5:$D$149,$A272,'Session Tracker'!$F$5:$F$149,"Next week",'Session Tracker'!$G$5:$G$149,"Tue"),$D272*SUMIFS('Session Tracker'!$J$5:$J$149,'Session Tracker'!$D$5:$D$149,$A272,'Session Tracker'!$F$5:$F$149,"Next week",'Session Tracker'!$G$5:$G$149,"Tue"))</f>
        <v>0</v>
      </c>
      <c r="J272" s="52" t="n">
        <f aca="false">IF($E272="Per class",$D272*COUNTIFS('Session Tracker'!$D$5:$D$149,$A272,'Session Tracker'!$F$5:$F$149,"Next week",'Session Tracker'!$G$5:$G$149,"Wed"),$D272*SUMIFS('Session Tracker'!$J$5:$J$149,'Session Tracker'!$D$5:$D$149,$A272,'Session Tracker'!$F$5:$F$149,"Next week",'Session Tracker'!$G$5:$G$149,"Wed"))</f>
        <v>0</v>
      </c>
      <c r="K272" s="52" t="n">
        <f aca="false">IF($E272="Per class",$D272*COUNTIFS('Session Tracker'!$D$5:$D$149,$A272,'Session Tracker'!$F$5:$F$149,"Next week",'Session Tracker'!$G$5:$G$149,"Thu"),$D272*SUMIFS('Session Tracker'!$J$5:$J$149,'Session Tracker'!$D$5:$D$149,$A272,'Session Tracker'!$F$5:$F$149,"Next week",'Session Tracker'!$G$5:$G$149,"Thu"))</f>
        <v>0</v>
      </c>
      <c r="L272" s="52" t="n">
        <f aca="false">IF($E272="Per class",$D272*COUNTIFS('Session Tracker'!$D$5:$D$149,$A272,'Session Tracker'!$F$5:$F$149,"Next week",'Session Tracker'!$G$5:$G$149,"Fri"),$D272*SUMIFS('Session Tracker'!$J$5:$J$149,'Session Tracker'!$D$5:$D$149,$A272,'Session Tracker'!$F$5:$F$149,"Next week",'Session Tracker'!$G$5:$G$149,"Fri"))</f>
        <v>0</v>
      </c>
      <c r="M272" s="52" t="n">
        <f aca="false">IF($E272="Per class",$D272*COUNTIFS('Session Tracker'!$D$5:$D$149,$A272,'Session Tracker'!$F$5:$F$149,"Next week",'Session Tracker'!$G$5:$G$149,""),$D272*SUMIFS('Session Tracker'!$J$5:$J$149,'Session Tracker'!$D$5:$D$149,$A272,'Session Tracker'!$F$5:$F$149,"Next week",'Session Tracker'!$G$5:$G$149,""))</f>
        <v>0</v>
      </c>
    </row>
    <row r="273" customFormat="false" ht="15" hidden="false" customHeight="false" outlineLevel="0" collapsed="false">
      <c r="A273" s="68" t="s">
        <v>259</v>
      </c>
      <c r="B273" s="34" t="s">
        <v>377</v>
      </c>
      <c r="C273" s="34" t="s">
        <v>439</v>
      </c>
      <c r="D273" s="32" t="n">
        <v>1</v>
      </c>
      <c r="E273" s="32" t="s">
        <v>14</v>
      </c>
      <c r="F273" s="32" t="s">
        <v>368</v>
      </c>
      <c r="G273" s="34"/>
      <c r="H273" s="52" t="n">
        <f aca="false">IF($E273="Per class",$D273*COUNTIFS('Session Tracker'!$D$5:$D$149,$A273,'Session Tracker'!$F$5:$F$149,"Next week",'Session Tracker'!$G$5:$G$149,"Mon"),$D273*SUMIFS('Session Tracker'!$J$5:$J$149,'Session Tracker'!$D$5:$D$149,$A273,'Session Tracker'!$F$5:$F$149,"Next week",'Session Tracker'!$G$5:$G$149,"Mon"))</f>
        <v>0</v>
      </c>
      <c r="I273" s="52" t="n">
        <f aca="false">IF($E273="Per class",$D273*COUNTIFS('Session Tracker'!$D$5:$D$149,$A273,'Session Tracker'!$F$5:$F$149,"Next week",'Session Tracker'!$G$5:$G$149,"Tue"),$D273*SUMIFS('Session Tracker'!$J$5:$J$149,'Session Tracker'!$D$5:$D$149,$A273,'Session Tracker'!$F$5:$F$149,"Next week",'Session Tracker'!$G$5:$G$149,"Tue"))</f>
        <v>0</v>
      </c>
      <c r="J273" s="52" t="n">
        <f aca="false">IF($E273="Per class",$D273*COUNTIFS('Session Tracker'!$D$5:$D$149,$A273,'Session Tracker'!$F$5:$F$149,"Next week",'Session Tracker'!$G$5:$G$149,"Wed"),$D273*SUMIFS('Session Tracker'!$J$5:$J$149,'Session Tracker'!$D$5:$D$149,$A273,'Session Tracker'!$F$5:$F$149,"Next week",'Session Tracker'!$G$5:$G$149,"Wed"))</f>
        <v>0</v>
      </c>
      <c r="K273" s="52" t="n">
        <f aca="false">IF($E273="Per class",$D273*COUNTIFS('Session Tracker'!$D$5:$D$149,$A273,'Session Tracker'!$F$5:$F$149,"Next week",'Session Tracker'!$G$5:$G$149,"Thu"),$D273*SUMIFS('Session Tracker'!$J$5:$J$149,'Session Tracker'!$D$5:$D$149,$A273,'Session Tracker'!$F$5:$F$149,"Next week",'Session Tracker'!$G$5:$G$149,"Thu"))</f>
        <v>0</v>
      </c>
      <c r="L273" s="52" t="n">
        <f aca="false">IF($E273="Per class",$D273*COUNTIFS('Session Tracker'!$D$5:$D$149,$A273,'Session Tracker'!$F$5:$F$149,"Next week",'Session Tracker'!$G$5:$G$149,"Fri"),$D273*SUMIFS('Session Tracker'!$J$5:$J$149,'Session Tracker'!$D$5:$D$149,$A273,'Session Tracker'!$F$5:$F$149,"Next week",'Session Tracker'!$G$5:$G$149,"Fri"))</f>
        <v>0</v>
      </c>
      <c r="M273" s="52" t="n">
        <f aca="false">IF($E273="Per class",$D273*COUNTIFS('Session Tracker'!$D$5:$D$149,$A273,'Session Tracker'!$F$5:$F$149,"Next week",'Session Tracker'!$G$5:$G$149,""),$D273*SUMIFS('Session Tracker'!$J$5:$J$149,'Session Tracker'!$D$5:$D$149,$A273,'Session Tracker'!$F$5:$F$149,"Next week",'Session Tracker'!$G$5:$G$149,""))</f>
        <v>0</v>
      </c>
    </row>
    <row r="274" customFormat="false" ht="15" hidden="false" customHeight="false" outlineLevel="0" collapsed="false">
      <c r="A274" s="68" t="s">
        <v>259</v>
      </c>
      <c r="B274" s="34" t="s">
        <v>379</v>
      </c>
      <c r="C274" s="34" t="s">
        <v>380</v>
      </c>
      <c r="D274" s="32" t="n">
        <v>1</v>
      </c>
      <c r="E274" s="32" t="s">
        <v>14</v>
      </c>
      <c r="F274" s="32" t="s">
        <v>368</v>
      </c>
      <c r="G274" s="34"/>
      <c r="H274" s="52" t="n">
        <f aca="false">IF($E274="Per class",$D274*COUNTIFS('Session Tracker'!$D$5:$D$149,$A274,'Session Tracker'!$F$5:$F$149,"Next week",'Session Tracker'!$G$5:$G$149,"Mon"),$D274*SUMIFS('Session Tracker'!$J$5:$J$149,'Session Tracker'!$D$5:$D$149,$A274,'Session Tracker'!$F$5:$F$149,"Next week",'Session Tracker'!$G$5:$G$149,"Mon"))</f>
        <v>0</v>
      </c>
      <c r="I274" s="52" t="n">
        <f aca="false">IF($E274="Per class",$D274*COUNTIFS('Session Tracker'!$D$5:$D$149,$A274,'Session Tracker'!$F$5:$F$149,"Next week",'Session Tracker'!$G$5:$G$149,"Tue"),$D274*SUMIFS('Session Tracker'!$J$5:$J$149,'Session Tracker'!$D$5:$D$149,$A274,'Session Tracker'!$F$5:$F$149,"Next week",'Session Tracker'!$G$5:$G$149,"Tue"))</f>
        <v>0</v>
      </c>
      <c r="J274" s="52" t="n">
        <f aca="false">IF($E274="Per class",$D274*COUNTIFS('Session Tracker'!$D$5:$D$149,$A274,'Session Tracker'!$F$5:$F$149,"Next week",'Session Tracker'!$G$5:$G$149,"Wed"),$D274*SUMIFS('Session Tracker'!$J$5:$J$149,'Session Tracker'!$D$5:$D$149,$A274,'Session Tracker'!$F$5:$F$149,"Next week",'Session Tracker'!$G$5:$G$149,"Wed"))</f>
        <v>0</v>
      </c>
      <c r="K274" s="52" t="n">
        <f aca="false">IF($E274="Per class",$D274*COUNTIFS('Session Tracker'!$D$5:$D$149,$A274,'Session Tracker'!$F$5:$F$149,"Next week",'Session Tracker'!$G$5:$G$149,"Thu"),$D274*SUMIFS('Session Tracker'!$J$5:$J$149,'Session Tracker'!$D$5:$D$149,$A274,'Session Tracker'!$F$5:$F$149,"Next week",'Session Tracker'!$G$5:$G$149,"Thu"))</f>
        <v>0</v>
      </c>
      <c r="L274" s="52" t="n">
        <f aca="false">IF($E274="Per class",$D274*COUNTIFS('Session Tracker'!$D$5:$D$149,$A274,'Session Tracker'!$F$5:$F$149,"Next week",'Session Tracker'!$G$5:$G$149,"Fri"),$D274*SUMIFS('Session Tracker'!$J$5:$J$149,'Session Tracker'!$D$5:$D$149,$A274,'Session Tracker'!$F$5:$F$149,"Next week",'Session Tracker'!$G$5:$G$149,"Fri"))</f>
        <v>0</v>
      </c>
      <c r="M274" s="52" t="n">
        <f aca="false">IF($E274="Per class",$D274*COUNTIFS('Session Tracker'!$D$5:$D$149,$A274,'Session Tracker'!$F$5:$F$149,"Next week",'Session Tracker'!$G$5:$G$149,""),$D274*SUMIFS('Session Tracker'!$J$5:$J$149,'Session Tracker'!$D$5:$D$149,$A274,'Session Tracker'!$F$5:$F$149,"Next week",'Session Tracker'!$G$5:$G$149,""))</f>
        <v>0</v>
      </c>
    </row>
    <row r="275" customFormat="false" ht="15" hidden="false" customHeight="false" outlineLevel="0" collapsed="false">
      <c r="A275" s="68" t="s">
        <v>259</v>
      </c>
      <c r="B275" s="34" t="s">
        <v>379</v>
      </c>
      <c r="C275" s="34" t="s">
        <v>381</v>
      </c>
      <c r="D275" s="32" t="n">
        <v>6</v>
      </c>
      <c r="E275" s="32" t="s">
        <v>14</v>
      </c>
      <c r="F275" s="32" t="s">
        <v>368</v>
      </c>
      <c r="G275" s="34"/>
      <c r="H275" s="52" t="n">
        <f aca="false">IF($E275="Per class",$D275*COUNTIFS('Session Tracker'!$D$5:$D$149,$A275,'Session Tracker'!$F$5:$F$149,"Next week",'Session Tracker'!$G$5:$G$149,"Mon"),$D275*SUMIFS('Session Tracker'!$J$5:$J$149,'Session Tracker'!$D$5:$D$149,$A275,'Session Tracker'!$F$5:$F$149,"Next week",'Session Tracker'!$G$5:$G$149,"Mon"))</f>
        <v>0</v>
      </c>
      <c r="I275" s="52" t="n">
        <f aca="false">IF($E275="Per class",$D275*COUNTIFS('Session Tracker'!$D$5:$D$149,$A275,'Session Tracker'!$F$5:$F$149,"Next week",'Session Tracker'!$G$5:$G$149,"Tue"),$D275*SUMIFS('Session Tracker'!$J$5:$J$149,'Session Tracker'!$D$5:$D$149,$A275,'Session Tracker'!$F$5:$F$149,"Next week",'Session Tracker'!$G$5:$G$149,"Tue"))</f>
        <v>0</v>
      </c>
      <c r="J275" s="52" t="n">
        <f aca="false">IF($E275="Per class",$D275*COUNTIFS('Session Tracker'!$D$5:$D$149,$A275,'Session Tracker'!$F$5:$F$149,"Next week",'Session Tracker'!$G$5:$G$149,"Wed"),$D275*SUMIFS('Session Tracker'!$J$5:$J$149,'Session Tracker'!$D$5:$D$149,$A275,'Session Tracker'!$F$5:$F$149,"Next week",'Session Tracker'!$G$5:$G$149,"Wed"))</f>
        <v>0</v>
      </c>
      <c r="K275" s="52" t="n">
        <f aca="false">IF($E275="Per class",$D275*COUNTIFS('Session Tracker'!$D$5:$D$149,$A275,'Session Tracker'!$F$5:$F$149,"Next week",'Session Tracker'!$G$5:$G$149,"Thu"),$D275*SUMIFS('Session Tracker'!$J$5:$J$149,'Session Tracker'!$D$5:$D$149,$A275,'Session Tracker'!$F$5:$F$149,"Next week",'Session Tracker'!$G$5:$G$149,"Thu"))</f>
        <v>0</v>
      </c>
      <c r="L275" s="52" t="n">
        <f aca="false">IF($E275="Per class",$D275*COUNTIFS('Session Tracker'!$D$5:$D$149,$A275,'Session Tracker'!$F$5:$F$149,"Next week",'Session Tracker'!$G$5:$G$149,"Fri"),$D275*SUMIFS('Session Tracker'!$J$5:$J$149,'Session Tracker'!$D$5:$D$149,$A275,'Session Tracker'!$F$5:$F$149,"Next week",'Session Tracker'!$G$5:$G$149,"Fri"))</f>
        <v>0</v>
      </c>
      <c r="M275" s="52" t="n">
        <f aca="false">IF($E275="Per class",$D275*COUNTIFS('Session Tracker'!$D$5:$D$149,$A275,'Session Tracker'!$F$5:$F$149,"Next week",'Session Tracker'!$G$5:$G$149,""),$D275*SUMIFS('Session Tracker'!$J$5:$J$149,'Session Tracker'!$D$5:$D$149,$A275,'Session Tracker'!$F$5:$F$149,"Next week",'Session Tracker'!$G$5:$G$149,""))</f>
        <v>0</v>
      </c>
    </row>
    <row r="276" customFormat="false" ht="15" hidden="false" customHeight="false" outlineLevel="0" collapsed="false">
      <c r="A276" s="68" t="s">
        <v>259</v>
      </c>
      <c r="B276" s="34" t="s">
        <v>379</v>
      </c>
      <c r="C276" s="34" t="s">
        <v>395</v>
      </c>
      <c r="D276" s="32" t="n">
        <v>4</v>
      </c>
      <c r="E276" s="32" t="s">
        <v>14</v>
      </c>
      <c r="F276" s="32" t="s">
        <v>368</v>
      </c>
      <c r="G276" s="34"/>
      <c r="H276" s="52" t="n">
        <f aca="false">IF($E276="Per class",$D276*COUNTIFS('Session Tracker'!$D$5:$D$149,$A276,'Session Tracker'!$F$5:$F$149,"Next week",'Session Tracker'!$G$5:$G$149,"Mon"),$D276*SUMIFS('Session Tracker'!$J$5:$J$149,'Session Tracker'!$D$5:$D$149,$A276,'Session Tracker'!$F$5:$F$149,"Next week",'Session Tracker'!$G$5:$G$149,"Mon"))</f>
        <v>0</v>
      </c>
      <c r="I276" s="52" t="n">
        <f aca="false">IF($E276="Per class",$D276*COUNTIFS('Session Tracker'!$D$5:$D$149,$A276,'Session Tracker'!$F$5:$F$149,"Next week",'Session Tracker'!$G$5:$G$149,"Tue"),$D276*SUMIFS('Session Tracker'!$J$5:$J$149,'Session Tracker'!$D$5:$D$149,$A276,'Session Tracker'!$F$5:$F$149,"Next week",'Session Tracker'!$G$5:$G$149,"Tue"))</f>
        <v>0</v>
      </c>
      <c r="J276" s="52" t="n">
        <f aca="false">IF($E276="Per class",$D276*COUNTIFS('Session Tracker'!$D$5:$D$149,$A276,'Session Tracker'!$F$5:$F$149,"Next week",'Session Tracker'!$G$5:$G$149,"Wed"),$D276*SUMIFS('Session Tracker'!$J$5:$J$149,'Session Tracker'!$D$5:$D$149,$A276,'Session Tracker'!$F$5:$F$149,"Next week",'Session Tracker'!$G$5:$G$149,"Wed"))</f>
        <v>0</v>
      </c>
      <c r="K276" s="52" t="n">
        <f aca="false">IF($E276="Per class",$D276*COUNTIFS('Session Tracker'!$D$5:$D$149,$A276,'Session Tracker'!$F$5:$F$149,"Next week",'Session Tracker'!$G$5:$G$149,"Thu"),$D276*SUMIFS('Session Tracker'!$J$5:$J$149,'Session Tracker'!$D$5:$D$149,$A276,'Session Tracker'!$F$5:$F$149,"Next week",'Session Tracker'!$G$5:$G$149,"Thu"))</f>
        <v>0</v>
      </c>
      <c r="L276" s="52" t="n">
        <f aca="false">IF($E276="Per class",$D276*COUNTIFS('Session Tracker'!$D$5:$D$149,$A276,'Session Tracker'!$F$5:$F$149,"Next week",'Session Tracker'!$G$5:$G$149,"Fri"),$D276*SUMIFS('Session Tracker'!$J$5:$J$149,'Session Tracker'!$D$5:$D$149,$A276,'Session Tracker'!$F$5:$F$149,"Next week",'Session Tracker'!$G$5:$G$149,"Fri"))</f>
        <v>0</v>
      </c>
      <c r="M276" s="52" t="n">
        <f aca="false">IF($E276="Per class",$D276*COUNTIFS('Session Tracker'!$D$5:$D$149,$A276,'Session Tracker'!$F$5:$F$149,"Next week",'Session Tracker'!$G$5:$G$149,""),$D276*SUMIFS('Session Tracker'!$J$5:$J$149,'Session Tracker'!$D$5:$D$149,$A276,'Session Tracker'!$F$5:$F$149,"Next week",'Session Tracker'!$G$5:$G$149,""))</f>
        <v>0</v>
      </c>
    </row>
    <row r="277" customFormat="false" ht="15" hidden="false" customHeight="false" outlineLevel="0" collapsed="false">
      <c r="A277" s="68" t="s">
        <v>259</v>
      </c>
      <c r="B277" s="34" t="s">
        <v>382</v>
      </c>
      <c r="C277" s="34" t="s">
        <v>383</v>
      </c>
      <c r="D277" s="32" t="n">
        <v>1</v>
      </c>
      <c r="E277" s="32" t="s">
        <v>14</v>
      </c>
      <c r="F277" s="32" t="s">
        <v>368</v>
      </c>
      <c r="G277" s="34"/>
      <c r="H277" s="52" t="n">
        <f aca="false">IF($E277="Per class",$D277*COUNTIFS('Session Tracker'!$D$5:$D$149,$A277,'Session Tracker'!$F$5:$F$149,"Next week",'Session Tracker'!$G$5:$G$149,"Mon"),$D277*SUMIFS('Session Tracker'!$J$5:$J$149,'Session Tracker'!$D$5:$D$149,$A277,'Session Tracker'!$F$5:$F$149,"Next week",'Session Tracker'!$G$5:$G$149,"Mon"))</f>
        <v>0</v>
      </c>
      <c r="I277" s="52" t="n">
        <f aca="false">IF($E277="Per class",$D277*COUNTIFS('Session Tracker'!$D$5:$D$149,$A277,'Session Tracker'!$F$5:$F$149,"Next week",'Session Tracker'!$G$5:$G$149,"Tue"),$D277*SUMIFS('Session Tracker'!$J$5:$J$149,'Session Tracker'!$D$5:$D$149,$A277,'Session Tracker'!$F$5:$F$149,"Next week",'Session Tracker'!$G$5:$G$149,"Tue"))</f>
        <v>0</v>
      </c>
      <c r="J277" s="52" t="n">
        <f aca="false">IF($E277="Per class",$D277*COUNTIFS('Session Tracker'!$D$5:$D$149,$A277,'Session Tracker'!$F$5:$F$149,"Next week",'Session Tracker'!$G$5:$G$149,"Wed"),$D277*SUMIFS('Session Tracker'!$J$5:$J$149,'Session Tracker'!$D$5:$D$149,$A277,'Session Tracker'!$F$5:$F$149,"Next week",'Session Tracker'!$G$5:$G$149,"Wed"))</f>
        <v>0</v>
      </c>
      <c r="K277" s="52" t="n">
        <f aca="false">IF($E277="Per class",$D277*COUNTIFS('Session Tracker'!$D$5:$D$149,$A277,'Session Tracker'!$F$5:$F$149,"Next week",'Session Tracker'!$G$5:$G$149,"Thu"),$D277*SUMIFS('Session Tracker'!$J$5:$J$149,'Session Tracker'!$D$5:$D$149,$A277,'Session Tracker'!$F$5:$F$149,"Next week",'Session Tracker'!$G$5:$G$149,"Thu"))</f>
        <v>0</v>
      </c>
      <c r="L277" s="52" t="n">
        <f aca="false">IF($E277="Per class",$D277*COUNTIFS('Session Tracker'!$D$5:$D$149,$A277,'Session Tracker'!$F$5:$F$149,"Next week",'Session Tracker'!$G$5:$G$149,"Fri"),$D277*SUMIFS('Session Tracker'!$J$5:$J$149,'Session Tracker'!$D$5:$D$149,$A277,'Session Tracker'!$F$5:$F$149,"Next week",'Session Tracker'!$G$5:$G$149,"Fri"))</f>
        <v>0</v>
      </c>
      <c r="M277" s="52" t="n">
        <f aca="false">IF($E277="Per class",$D277*COUNTIFS('Session Tracker'!$D$5:$D$149,$A277,'Session Tracker'!$F$5:$F$149,"Next week",'Session Tracker'!$G$5:$G$149,""),$D277*SUMIFS('Session Tracker'!$J$5:$J$149,'Session Tracker'!$D$5:$D$149,$A277,'Session Tracker'!$F$5:$F$149,"Next week",'Session Tracker'!$G$5:$G$149,""))</f>
        <v>0</v>
      </c>
    </row>
    <row r="278" customFormat="false" ht="15" hidden="false" customHeight="false" outlineLevel="0" collapsed="false">
      <c r="A278" s="68" t="s">
        <v>259</v>
      </c>
      <c r="B278" s="34" t="s">
        <v>371</v>
      </c>
      <c r="C278" s="34" t="s">
        <v>372</v>
      </c>
      <c r="D278" s="32" t="n">
        <v>1</v>
      </c>
      <c r="E278" s="32" t="s">
        <v>14</v>
      </c>
      <c r="F278" s="32" t="s">
        <v>373</v>
      </c>
      <c r="G278" s="34" t="s">
        <v>389</v>
      </c>
      <c r="H278" s="52" t="n">
        <f aca="false">IF($E278="Per class",$D278*COUNTIFS('Session Tracker'!$D$5:$D$149,$A278,'Session Tracker'!$F$5:$F$149,"Next week",'Session Tracker'!$G$5:$G$149,"Mon"),$D278*SUMIFS('Session Tracker'!$J$5:$J$149,'Session Tracker'!$D$5:$D$149,$A278,'Session Tracker'!$F$5:$F$149,"Next week",'Session Tracker'!$G$5:$G$149,"Mon"))</f>
        <v>0</v>
      </c>
      <c r="I278" s="52" t="n">
        <f aca="false">IF($E278="Per class",$D278*COUNTIFS('Session Tracker'!$D$5:$D$149,$A278,'Session Tracker'!$F$5:$F$149,"Next week",'Session Tracker'!$G$5:$G$149,"Tue"),$D278*SUMIFS('Session Tracker'!$J$5:$J$149,'Session Tracker'!$D$5:$D$149,$A278,'Session Tracker'!$F$5:$F$149,"Next week",'Session Tracker'!$G$5:$G$149,"Tue"))</f>
        <v>0</v>
      </c>
      <c r="J278" s="52" t="n">
        <f aca="false">IF($E278="Per class",$D278*COUNTIFS('Session Tracker'!$D$5:$D$149,$A278,'Session Tracker'!$F$5:$F$149,"Next week",'Session Tracker'!$G$5:$G$149,"Wed"),$D278*SUMIFS('Session Tracker'!$J$5:$J$149,'Session Tracker'!$D$5:$D$149,$A278,'Session Tracker'!$F$5:$F$149,"Next week",'Session Tracker'!$G$5:$G$149,"Wed"))</f>
        <v>0</v>
      </c>
      <c r="K278" s="52" t="n">
        <f aca="false">IF($E278="Per class",$D278*COUNTIFS('Session Tracker'!$D$5:$D$149,$A278,'Session Tracker'!$F$5:$F$149,"Next week",'Session Tracker'!$G$5:$G$149,"Thu"),$D278*SUMIFS('Session Tracker'!$J$5:$J$149,'Session Tracker'!$D$5:$D$149,$A278,'Session Tracker'!$F$5:$F$149,"Next week",'Session Tracker'!$G$5:$G$149,"Thu"))</f>
        <v>0</v>
      </c>
      <c r="L278" s="52" t="n">
        <f aca="false">IF($E278="Per class",$D278*COUNTIFS('Session Tracker'!$D$5:$D$149,$A278,'Session Tracker'!$F$5:$F$149,"Next week",'Session Tracker'!$G$5:$G$149,"Fri"),$D278*SUMIFS('Session Tracker'!$J$5:$J$149,'Session Tracker'!$D$5:$D$149,$A278,'Session Tracker'!$F$5:$F$149,"Next week",'Session Tracker'!$G$5:$G$149,"Fri"))</f>
        <v>0</v>
      </c>
      <c r="M278" s="52" t="n">
        <f aca="false">IF($E278="Per class",$D278*COUNTIFS('Session Tracker'!$D$5:$D$149,$A278,'Session Tracker'!$F$5:$F$149,"Next week",'Session Tracker'!$G$5:$G$149,""),$D278*SUMIFS('Session Tracker'!$J$5:$J$149,'Session Tracker'!$D$5:$D$149,$A278,'Session Tracker'!$F$5:$F$149,"Next week",'Session Tracker'!$G$5:$G$149,""))</f>
        <v>0</v>
      </c>
    </row>
    <row r="279" customFormat="false" ht="15" hidden="false" customHeight="false" outlineLevel="0" collapsed="false">
      <c r="A279" s="68" t="s">
        <v>259</v>
      </c>
      <c r="B279" s="34" t="s">
        <v>375</v>
      </c>
      <c r="C279" s="34" t="s">
        <v>376</v>
      </c>
      <c r="D279" s="32" t="n">
        <v>1</v>
      </c>
      <c r="E279" s="32" t="s">
        <v>14</v>
      </c>
      <c r="F279" s="32" t="s">
        <v>373</v>
      </c>
      <c r="G279" s="34" t="s">
        <v>442</v>
      </c>
      <c r="H279" s="52" t="n">
        <f aca="false">IF($E279="Per class",$D279*COUNTIFS('Session Tracker'!$D$5:$D$149,$A279,'Session Tracker'!$F$5:$F$149,"Next week",'Session Tracker'!$G$5:$G$149,"Mon"),$D279*SUMIFS('Session Tracker'!$J$5:$J$149,'Session Tracker'!$D$5:$D$149,$A279,'Session Tracker'!$F$5:$F$149,"Next week",'Session Tracker'!$G$5:$G$149,"Mon"))</f>
        <v>0</v>
      </c>
      <c r="I279" s="52" t="n">
        <f aca="false">IF($E279="Per class",$D279*COUNTIFS('Session Tracker'!$D$5:$D$149,$A279,'Session Tracker'!$F$5:$F$149,"Next week",'Session Tracker'!$G$5:$G$149,"Tue"),$D279*SUMIFS('Session Tracker'!$J$5:$J$149,'Session Tracker'!$D$5:$D$149,$A279,'Session Tracker'!$F$5:$F$149,"Next week",'Session Tracker'!$G$5:$G$149,"Tue"))</f>
        <v>0</v>
      </c>
      <c r="J279" s="52" t="n">
        <f aca="false">IF($E279="Per class",$D279*COUNTIFS('Session Tracker'!$D$5:$D$149,$A279,'Session Tracker'!$F$5:$F$149,"Next week",'Session Tracker'!$G$5:$G$149,"Wed"),$D279*SUMIFS('Session Tracker'!$J$5:$J$149,'Session Tracker'!$D$5:$D$149,$A279,'Session Tracker'!$F$5:$F$149,"Next week",'Session Tracker'!$G$5:$G$149,"Wed"))</f>
        <v>0</v>
      </c>
      <c r="K279" s="52" t="n">
        <f aca="false">IF($E279="Per class",$D279*COUNTIFS('Session Tracker'!$D$5:$D$149,$A279,'Session Tracker'!$F$5:$F$149,"Next week",'Session Tracker'!$G$5:$G$149,"Thu"),$D279*SUMIFS('Session Tracker'!$J$5:$J$149,'Session Tracker'!$D$5:$D$149,$A279,'Session Tracker'!$F$5:$F$149,"Next week",'Session Tracker'!$G$5:$G$149,"Thu"))</f>
        <v>0</v>
      </c>
      <c r="L279" s="52" t="n">
        <f aca="false">IF($E279="Per class",$D279*COUNTIFS('Session Tracker'!$D$5:$D$149,$A279,'Session Tracker'!$F$5:$F$149,"Next week",'Session Tracker'!$G$5:$G$149,"Fri"),$D279*SUMIFS('Session Tracker'!$J$5:$J$149,'Session Tracker'!$D$5:$D$149,$A279,'Session Tracker'!$F$5:$F$149,"Next week",'Session Tracker'!$G$5:$G$149,"Fri"))</f>
        <v>0</v>
      </c>
      <c r="M279" s="52" t="n">
        <f aca="false">IF($E279="Per class",$D279*COUNTIFS('Session Tracker'!$D$5:$D$149,$A279,'Session Tracker'!$F$5:$F$149,"Next week",'Session Tracker'!$G$5:$G$149,""),$D279*SUMIFS('Session Tracker'!$J$5:$J$149,'Session Tracker'!$D$5:$D$149,$A279,'Session Tracker'!$F$5:$F$149,"Next week",'Session Tracker'!$G$5:$G$149,""))</f>
        <v>0</v>
      </c>
    </row>
    <row r="280" customFormat="false" ht="15" hidden="false" customHeight="false" outlineLevel="0" collapsed="false">
      <c r="A280" s="68" t="s">
        <v>259</v>
      </c>
      <c r="B280" s="34" t="s">
        <v>377</v>
      </c>
      <c r="C280" s="34" t="s">
        <v>378</v>
      </c>
      <c r="D280" s="32" t="n">
        <v>1</v>
      </c>
      <c r="E280" s="32" t="s">
        <v>14</v>
      </c>
      <c r="F280" s="32" t="s">
        <v>368</v>
      </c>
      <c r="G280" s="34" t="s">
        <v>389</v>
      </c>
      <c r="H280" s="52" t="n">
        <f aca="false">IF($E280="Per class",$D280*COUNTIFS('Session Tracker'!$D$5:$D$149,$A280,'Session Tracker'!$F$5:$F$149,"Next week",'Session Tracker'!$G$5:$G$149,"Mon"),$D280*SUMIFS('Session Tracker'!$J$5:$J$149,'Session Tracker'!$D$5:$D$149,$A280,'Session Tracker'!$F$5:$F$149,"Next week",'Session Tracker'!$G$5:$G$149,"Mon"))</f>
        <v>0</v>
      </c>
      <c r="I280" s="52" t="n">
        <f aca="false">IF($E280="Per class",$D280*COUNTIFS('Session Tracker'!$D$5:$D$149,$A280,'Session Tracker'!$F$5:$F$149,"Next week",'Session Tracker'!$G$5:$G$149,"Tue"),$D280*SUMIFS('Session Tracker'!$J$5:$J$149,'Session Tracker'!$D$5:$D$149,$A280,'Session Tracker'!$F$5:$F$149,"Next week",'Session Tracker'!$G$5:$G$149,"Tue"))</f>
        <v>0</v>
      </c>
      <c r="J280" s="52" t="n">
        <f aca="false">IF($E280="Per class",$D280*COUNTIFS('Session Tracker'!$D$5:$D$149,$A280,'Session Tracker'!$F$5:$F$149,"Next week",'Session Tracker'!$G$5:$G$149,"Wed"),$D280*SUMIFS('Session Tracker'!$J$5:$J$149,'Session Tracker'!$D$5:$D$149,$A280,'Session Tracker'!$F$5:$F$149,"Next week",'Session Tracker'!$G$5:$G$149,"Wed"))</f>
        <v>0</v>
      </c>
      <c r="K280" s="52" t="n">
        <f aca="false">IF($E280="Per class",$D280*COUNTIFS('Session Tracker'!$D$5:$D$149,$A280,'Session Tracker'!$F$5:$F$149,"Next week",'Session Tracker'!$G$5:$G$149,"Thu"),$D280*SUMIFS('Session Tracker'!$J$5:$J$149,'Session Tracker'!$D$5:$D$149,$A280,'Session Tracker'!$F$5:$F$149,"Next week",'Session Tracker'!$G$5:$G$149,"Thu"))</f>
        <v>0</v>
      </c>
      <c r="L280" s="52" t="n">
        <f aca="false">IF($E280="Per class",$D280*COUNTIFS('Session Tracker'!$D$5:$D$149,$A280,'Session Tracker'!$F$5:$F$149,"Next week",'Session Tracker'!$G$5:$G$149,"Fri"),$D280*SUMIFS('Session Tracker'!$J$5:$J$149,'Session Tracker'!$D$5:$D$149,$A280,'Session Tracker'!$F$5:$F$149,"Next week",'Session Tracker'!$G$5:$G$149,"Fri"))</f>
        <v>0</v>
      </c>
      <c r="M280" s="52" t="n">
        <f aca="false">IF($E280="Per class",$D280*COUNTIFS('Session Tracker'!$D$5:$D$149,$A280,'Session Tracker'!$F$5:$F$149,"Next week",'Session Tracker'!$G$5:$G$149,""),$D280*SUMIFS('Session Tracker'!$J$5:$J$149,'Session Tracker'!$D$5:$D$149,$A280,'Session Tracker'!$F$5:$F$149,"Next week",'Session Tracker'!$G$5:$G$149,""))</f>
        <v>0</v>
      </c>
    </row>
    <row r="281" customFormat="false" ht="15" hidden="false" customHeight="false" outlineLevel="0" collapsed="false">
      <c r="A281" s="53" t="s">
        <v>259</v>
      </c>
      <c r="B281" s="54"/>
      <c r="C281" s="54"/>
      <c r="D281" s="54"/>
      <c r="E281" s="54"/>
      <c r="F281" s="54"/>
      <c r="G281" s="54"/>
      <c r="H281" s="52" t="n">
        <f aca="false">IF($E281="Per class",$D281*COUNTIFS('Session Tracker'!$D$5:$D$149,$A281,'Session Tracker'!$F$5:$F$149,"Next week",'Session Tracker'!$G$5:$G$149,"Mon"),$D281*SUMIFS('Session Tracker'!$J$5:$J$149,'Session Tracker'!$D$5:$D$149,$A281,'Session Tracker'!$F$5:$F$149,"Next week",'Session Tracker'!$G$5:$G$149,"Mon"))</f>
        <v>0</v>
      </c>
      <c r="I281" s="52" t="n">
        <f aca="false">IF($E281="Per class",$D281*COUNTIFS('Session Tracker'!$D$5:$D$149,$A281,'Session Tracker'!$F$5:$F$149,"Next week",'Session Tracker'!$G$5:$G$149,"Tue"),$D281*SUMIFS('Session Tracker'!$J$5:$J$149,'Session Tracker'!$D$5:$D$149,$A281,'Session Tracker'!$F$5:$F$149,"Next week",'Session Tracker'!$G$5:$G$149,"Tue"))</f>
        <v>0</v>
      </c>
      <c r="J281" s="52" t="n">
        <f aca="false">IF($E281="Per class",$D281*COUNTIFS('Session Tracker'!$D$5:$D$149,$A281,'Session Tracker'!$F$5:$F$149,"Next week",'Session Tracker'!$G$5:$G$149,"Wed"),$D281*SUMIFS('Session Tracker'!$J$5:$J$149,'Session Tracker'!$D$5:$D$149,$A281,'Session Tracker'!$F$5:$F$149,"Next week",'Session Tracker'!$G$5:$G$149,"Wed"))</f>
        <v>0</v>
      </c>
      <c r="K281" s="52" t="n">
        <f aca="false">IF($E281="Per class",$D281*COUNTIFS('Session Tracker'!$D$5:$D$149,$A281,'Session Tracker'!$F$5:$F$149,"Next week",'Session Tracker'!$G$5:$G$149,"Thu"),$D281*SUMIFS('Session Tracker'!$J$5:$J$149,'Session Tracker'!$D$5:$D$149,$A281,'Session Tracker'!$F$5:$F$149,"Next week",'Session Tracker'!$G$5:$G$149,"Thu"))</f>
        <v>0</v>
      </c>
      <c r="L281" s="52" t="n">
        <f aca="false">IF($E281="Per class",$D281*COUNTIFS('Session Tracker'!$D$5:$D$149,$A281,'Session Tracker'!$F$5:$F$149,"Next week",'Session Tracker'!$G$5:$G$149,"Fri"),$D281*SUMIFS('Session Tracker'!$J$5:$J$149,'Session Tracker'!$D$5:$D$149,$A281,'Session Tracker'!$F$5:$F$149,"Next week",'Session Tracker'!$G$5:$G$149,"Fri"))</f>
        <v>0</v>
      </c>
      <c r="M281" s="52" t="n">
        <f aca="false">IF($E281="Per class",$D281*COUNTIFS('Session Tracker'!$D$5:$D$149,$A281,'Session Tracker'!$F$5:$F$149,"Next week",'Session Tracker'!$G$5:$G$149,""),$D281*SUMIFS('Session Tracker'!$J$5:$J$149,'Session Tracker'!$D$5:$D$149,$A281,'Session Tracker'!$F$5:$F$149,"Next week",'Session Tracker'!$G$5:$G$149,""))</f>
        <v>0</v>
      </c>
    </row>
    <row r="282" customFormat="false" ht="15" hidden="false" customHeight="false" outlineLevel="0" collapsed="false">
      <c r="A282" s="53" t="s">
        <v>259</v>
      </c>
      <c r="B282" s="54"/>
      <c r="C282" s="54"/>
      <c r="D282" s="54"/>
      <c r="E282" s="54"/>
      <c r="F282" s="54"/>
      <c r="G282" s="54"/>
      <c r="H282" s="52" t="n">
        <f aca="false">IF($E282="Per class",$D282*COUNTIFS('Session Tracker'!$D$5:$D$149,$A282,'Session Tracker'!$F$5:$F$149,"Next week",'Session Tracker'!$G$5:$G$149,"Mon"),$D282*SUMIFS('Session Tracker'!$J$5:$J$149,'Session Tracker'!$D$5:$D$149,$A282,'Session Tracker'!$F$5:$F$149,"Next week",'Session Tracker'!$G$5:$G$149,"Mon"))</f>
        <v>0</v>
      </c>
      <c r="I282" s="52" t="n">
        <f aca="false">IF($E282="Per class",$D282*COUNTIFS('Session Tracker'!$D$5:$D$149,$A282,'Session Tracker'!$F$5:$F$149,"Next week",'Session Tracker'!$G$5:$G$149,"Tue"),$D282*SUMIFS('Session Tracker'!$J$5:$J$149,'Session Tracker'!$D$5:$D$149,$A282,'Session Tracker'!$F$5:$F$149,"Next week",'Session Tracker'!$G$5:$G$149,"Tue"))</f>
        <v>0</v>
      </c>
      <c r="J282" s="52" t="n">
        <f aca="false">IF($E282="Per class",$D282*COUNTIFS('Session Tracker'!$D$5:$D$149,$A282,'Session Tracker'!$F$5:$F$149,"Next week",'Session Tracker'!$G$5:$G$149,"Wed"),$D282*SUMIFS('Session Tracker'!$J$5:$J$149,'Session Tracker'!$D$5:$D$149,$A282,'Session Tracker'!$F$5:$F$149,"Next week",'Session Tracker'!$G$5:$G$149,"Wed"))</f>
        <v>0</v>
      </c>
      <c r="K282" s="52" t="n">
        <f aca="false">IF($E282="Per class",$D282*COUNTIFS('Session Tracker'!$D$5:$D$149,$A282,'Session Tracker'!$F$5:$F$149,"Next week",'Session Tracker'!$G$5:$G$149,"Thu"),$D282*SUMIFS('Session Tracker'!$J$5:$J$149,'Session Tracker'!$D$5:$D$149,$A282,'Session Tracker'!$F$5:$F$149,"Next week",'Session Tracker'!$G$5:$G$149,"Thu"))</f>
        <v>0</v>
      </c>
      <c r="L282" s="52" t="n">
        <f aca="false">IF($E282="Per class",$D282*COUNTIFS('Session Tracker'!$D$5:$D$149,$A282,'Session Tracker'!$F$5:$F$149,"Next week",'Session Tracker'!$G$5:$G$149,"Fri"),$D282*SUMIFS('Session Tracker'!$J$5:$J$149,'Session Tracker'!$D$5:$D$149,$A282,'Session Tracker'!$F$5:$F$149,"Next week",'Session Tracker'!$G$5:$G$149,"Fri"))</f>
        <v>0</v>
      </c>
      <c r="M282" s="52" t="n">
        <f aca="false">IF($E282="Per class",$D282*COUNTIFS('Session Tracker'!$D$5:$D$149,$A282,'Session Tracker'!$F$5:$F$149,"Next week",'Session Tracker'!$G$5:$G$149,""),$D282*SUMIFS('Session Tracker'!$J$5:$J$149,'Session Tracker'!$D$5:$D$149,$A282,'Session Tracker'!$F$5:$F$149,"Next week",'Session Tracker'!$G$5:$G$149,""))</f>
        <v>0</v>
      </c>
    </row>
    <row r="284" customFormat="false" ht="19.5" hidden="false" customHeight="true" outlineLevel="0" collapsed="false">
      <c r="A284" s="64" t="s">
        <v>261</v>
      </c>
      <c r="B284" s="65" t="s">
        <v>632</v>
      </c>
      <c r="C284" s="65"/>
      <c r="D284" s="65"/>
      <c r="E284" s="65"/>
      <c r="F284" s="66" t="str">
        <f aca="false">"Status: "&amp;'Session Tracker'!F100&amp;IF('Session Tracker'!G100&lt;&gt;""," ("&amp;'Session Tracker'!G100&amp;")","")</f>
        <v>Status: Not started</v>
      </c>
      <c r="G284" s="66"/>
      <c r="H284" s="67"/>
      <c r="I284" s="67"/>
      <c r="J284" s="67"/>
      <c r="K284" s="67"/>
      <c r="L284" s="67"/>
      <c r="M284" s="67"/>
    </row>
    <row r="285" customFormat="false" ht="15" hidden="false" customHeight="false" outlineLevel="0" collapsed="false">
      <c r="A285" s="68" t="s">
        <v>261</v>
      </c>
      <c r="B285" s="34" t="s">
        <v>382</v>
      </c>
      <c r="C285" s="34" t="s">
        <v>383</v>
      </c>
      <c r="D285" s="32" t="n">
        <v>1</v>
      </c>
      <c r="E285" s="32" t="s">
        <v>14</v>
      </c>
      <c r="F285" s="32" t="s">
        <v>368</v>
      </c>
      <c r="G285" s="34"/>
      <c r="H285" s="52" t="n">
        <f aca="false">IF($E285="Per class",$D285*COUNTIFS('Session Tracker'!$D$5:$D$149,$A285,'Session Tracker'!$F$5:$F$149,"Next week",'Session Tracker'!$G$5:$G$149,"Mon"),$D285*SUMIFS('Session Tracker'!$J$5:$J$149,'Session Tracker'!$D$5:$D$149,$A285,'Session Tracker'!$F$5:$F$149,"Next week",'Session Tracker'!$G$5:$G$149,"Mon"))</f>
        <v>0</v>
      </c>
      <c r="I285" s="52" t="n">
        <f aca="false">IF($E285="Per class",$D285*COUNTIFS('Session Tracker'!$D$5:$D$149,$A285,'Session Tracker'!$F$5:$F$149,"Next week",'Session Tracker'!$G$5:$G$149,"Tue"),$D285*SUMIFS('Session Tracker'!$J$5:$J$149,'Session Tracker'!$D$5:$D$149,$A285,'Session Tracker'!$F$5:$F$149,"Next week",'Session Tracker'!$G$5:$G$149,"Tue"))</f>
        <v>0</v>
      </c>
      <c r="J285" s="52" t="n">
        <f aca="false">IF($E285="Per class",$D285*COUNTIFS('Session Tracker'!$D$5:$D$149,$A285,'Session Tracker'!$F$5:$F$149,"Next week",'Session Tracker'!$G$5:$G$149,"Wed"),$D285*SUMIFS('Session Tracker'!$J$5:$J$149,'Session Tracker'!$D$5:$D$149,$A285,'Session Tracker'!$F$5:$F$149,"Next week",'Session Tracker'!$G$5:$G$149,"Wed"))</f>
        <v>0</v>
      </c>
      <c r="K285" s="52" t="n">
        <f aca="false">IF($E285="Per class",$D285*COUNTIFS('Session Tracker'!$D$5:$D$149,$A285,'Session Tracker'!$F$5:$F$149,"Next week",'Session Tracker'!$G$5:$G$149,"Thu"),$D285*SUMIFS('Session Tracker'!$J$5:$J$149,'Session Tracker'!$D$5:$D$149,$A285,'Session Tracker'!$F$5:$F$149,"Next week",'Session Tracker'!$G$5:$G$149,"Thu"))</f>
        <v>0</v>
      </c>
      <c r="L285" s="52" t="n">
        <f aca="false">IF($E285="Per class",$D285*COUNTIFS('Session Tracker'!$D$5:$D$149,$A285,'Session Tracker'!$F$5:$F$149,"Next week",'Session Tracker'!$G$5:$G$149,"Fri"),$D285*SUMIFS('Session Tracker'!$J$5:$J$149,'Session Tracker'!$D$5:$D$149,$A285,'Session Tracker'!$F$5:$F$149,"Next week",'Session Tracker'!$G$5:$G$149,"Fri"))</f>
        <v>0</v>
      </c>
      <c r="M285" s="52" t="n">
        <f aca="false">IF($E285="Per class",$D285*COUNTIFS('Session Tracker'!$D$5:$D$149,$A285,'Session Tracker'!$F$5:$F$149,"Next week",'Session Tracker'!$G$5:$G$149,""),$D285*SUMIFS('Session Tracker'!$J$5:$J$149,'Session Tracker'!$D$5:$D$149,$A285,'Session Tracker'!$F$5:$F$149,"Next week",'Session Tracker'!$G$5:$G$149,""))</f>
        <v>0</v>
      </c>
    </row>
    <row r="286" customFormat="false" ht="15" hidden="false" customHeight="false" outlineLevel="0" collapsed="false">
      <c r="A286" s="53" t="s">
        <v>261</v>
      </c>
      <c r="B286" s="54"/>
      <c r="C286" s="54"/>
      <c r="D286" s="54"/>
      <c r="E286" s="54"/>
      <c r="F286" s="54"/>
      <c r="G286" s="54"/>
      <c r="H286" s="52" t="n">
        <f aca="false">IF($E286="Per class",$D286*COUNTIFS('Session Tracker'!$D$5:$D$149,$A286,'Session Tracker'!$F$5:$F$149,"Next week",'Session Tracker'!$G$5:$G$149,"Mon"),$D286*SUMIFS('Session Tracker'!$J$5:$J$149,'Session Tracker'!$D$5:$D$149,$A286,'Session Tracker'!$F$5:$F$149,"Next week",'Session Tracker'!$G$5:$G$149,"Mon"))</f>
        <v>0</v>
      </c>
      <c r="I286" s="52" t="n">
        <f aca="false">IF($E286="Per class",$D286*COUNTIFS('Session Tracker'!$D$5:$D$149,$A286,'Session Tracker'!$F$5:$F$149,"Next week",'Session Tracker'!$G$5:$G$149,"Tue"),$D286*SUMIFS('Session Tracker'!$J$5:$J$149,'Session Tracker'!$D$5:$D$149,$A286,'Session Tracker'!$F$5:$F$149,"Next week",'Session Tracker'!$G$5:$G$149,"Tue"))</f>
        <v>0</v>
      </c>
      <c r="J286" s="52" t="n">
        <f aca="false">IF($E286="Per class",$D286*COUNTIFS('Session Tracker'!$D$5:$D$149,$A286,'Session Tracker'!$F$5:$F$149,"Next week",'Session Tracker'!$G$5:$G$149,"Wed"),$D286*SUMIFS('Session Tracker'!$J$5:$J$149,'Session Tracker'!$D$5:$D$149,$A286,'Session Tracker'!$F$5:$F$149,"Next week",'Session Tracker'!$G$5:$G$149,"Wed"))</f>
        <v>0</v>
      </c>
      <c r="K286" s="52" t="n">
        <f aca="false">IF($E286="Per class",$D286*COUNTIFS('Session Tracker'!$D$5:$D$149,$A286,'Session Tracker'!$F$5:$F$149,"Next week",'Session Tracker'!$G$5:$G$149,"Thu"),$D286*SUMIFS('Session Tracker'!$J$5:$J$149,'Session Tracker'!$D$5:$D$149,$A286,'Session Tracker'!$F$5:$F$149,"Next week",'Session Tracker'!$G$5:$G$149,"Thu"))</f>
        <v>0</v>
      </c>
      <c r="L286" s="52" t="n">
        <f aca="false">IF($E286="Per class",$D286*COUNTIFS('Session Tracker'!$D$5:$D$149,$A286,'Session Tracker'!$F$5:$F$149,"Next week",'Session Tracker'!$G$5:$G$149,"Fri"),$D286*SUMIFS('Session Tracker'!$J$5:$J$149,'Session Tracker'!$D$5:$D$149,$A286,'Session Tracker'!$F$5:$F$149,"Next week",'Session Tracker'!$G$5:$G$149,"Fri"))</f>
        <v>0</v>
      </c>
      <c r="M286" s="52" t="n">
        <f aca="false">IF($E286="Per class",$D286*COUNTIFS('Session Tracker'!$D$5:$D$149,$A286,'Session Tracker'!$F$5:$F$149,"Next week",'Session Tracker'!$G$5:$G$149,""),$D286*SUMIFS('Session Tracker'!$J$5:$J$149,'Session Tracker'!$D$5:$D$149,$A286,'Session Tracker'!$F$5:$F$149,"Next week",'Session Tracker'!$G$5:$G$149,""))</f>
        <v>0</v>
      </c>
    </row>
    <row r="287" customFormat="false" ht="15" hidden="false" customHeight="false" outlineLevel="0" collapsed="false">
      <c r="A287" s="53" t="s">
        <v>261</v>
      </c>
      <c r="B287" s="54"/>
      <c r="C287" s="54"/>
      <c r="D287" s="54"/>
      <c r="E287" s="54"/>
      <c r="F287" s="54"/>
      <c r="G287" s="54"/>
      <c r="H287" s="52" t="n">
        <f aca="false">IF($E287="Per class",$D287*COUNTIFS('Session Tracker'!$D$5:$D$149,$A287,'Session Tracker'!$F$5:$F$149,"Next week",'Session Tracker'!$G$5:$G$149,"Mon"),$D287*SUMIFS('Session Tracker'!$J$5:$J$149,'Session Tracker'!$D$5:$D$149,$A287,'Session Tracker'!$F$5:$F$149,"Next week",'Session Tracker'!$G$5:$G$149,"Mon"))</f>
        <v>0</v>
      </c>
      <c r="I287" s="52" t="n">
        <f aca="false">IF($E287="Per class",$D287*COUNTIFS('Session Tracker'!$D$5:$D$149,$A287,'Session Tracker'!$F$5:$F$149,"Next week",'Session Tracker'!$G$5:$G$149,"Tue"),$D287*SUMIFS('Session Tracker'!$J$5:$J$149,'Session Tracker'!$D$5:$D$149,$A287,'Session Tracker'!$F$5:$F$149,"Next week",'Session Tracker'!$G$5:$G$149,"Tue"))</f>
        <v>0</v>
      </c>
      <c r="J287" s="52" t="n">
        <f aca="false">IF($E287="Per class",$D287*COUNTIFS('Session Tracker'!$D$5:$D$149,$A287,'Session Tracker'!$F$5:$F$149,"Next week",'Session Tracker'!$G$5:$G$149,"Wed"),$D287*SUMIFS('Session Tracker'!$J$5:$J$149,'Session Tracker'!$D$5:$D$149,$A287,'Session Tracker'!$F$5:$F$149,"Next week",'Session Tracker'!$G$5:$G$149,"Wed"))</f>
        <v>0</v>
      </c>
      <c r="K287" s="52" t="n">
        <f aca="false">IF($E287="Per class",$D287*COUNTIFS('Session Tracker'!$D$5:$D$149,$A287,'Session Tracker'!$F$5:$F$149,"Next week",'Session Tracker'!$G$5:$G$149,"Thu"),$D287*SUMIFS('Session Tracker'!$J$5:$J$149,'Session Tracker'!$D$5:$D$149,$A287,'Session Tracker'!$F$5:$F$149,"Next week",'Session Tracker'!$G$5:$G$149,"Thu"))</f>
        <v>0</v>
      </c>
      <c r="L287" s="52" t="n">
        <f aca="false">IF($E287="Per class",$D287*COUNTIFS('Session Tracker'!$D$5:$D$149,$A287,'Session Tracker'!$F$5:$F$149,"Next week",'Session Tracker'!$G$5:$G$149,"Fri"),$D287*SUMIFS('Session Tracker'!$J$5:$J$149,'Session Tracker'!$D$5:$D$149,$A287,'Session Tracker'!$F$5:$F$149,"Next week",'Session Tracker'!$G$5:$G$149,"Fri"))</f>
        <v>0</v>
      </c>
      <c r="M287" s="52" t="n">
        <f aca="false">IF($E287="Per class",$D287*COUNTIFS('Session Tracker'!$D$5:$D$149,$A287,'Session Tracker'!$F$5:$F$149,"Next week",'Session Tracker'!$G$5:$G$149,""),$D287*SUMIFS('Session Tracker'!$J$5:$J$149,'Session Tracker'!$D$5:$D$149,$A287,'Session Tracker'!$F$5:$F$149,"Next week",'Session Tracker'!$G$5:$G$149,""))</f>
        <v>0</v>
      </c>
    </row>
    <row r="289" customFormat="false" ht="19.5" hidden="false" customHeight="true" outlineLevel="0" collapsed="false">
      <c r="A289" s="64" t="s">
        <v>263</v>
      </c>
      <c r="B289" s="65" t="s">
        <v>633</v>
      </c>
      <c r="C289" s="65"/>
      <c r="D289" s="65"/>
      <c r="E289" s="65"/>
      <c r="F289" s="66" t="str">
        <f aca="false">"Status: "&amp;'Session Tracker'!F101&amp;IF('Session Tracker'!G101&lt;&gt;""," ("&amp;'Session Tracker'!G101&amp;")","")</f>
        <v>Status: Not started</v>
      </c>
      <c r="G289" s="66"/>
      <c r="H289" s="67"/>
      <c r="I289" s="67"/>
      <c r="J289" s="67"/>
      <c r="K289" s="67"/>
      <c r="L289" s="67"/>
      <c r="M289" s="67"/>
    </row>
    <row r="290" customFormat="false" ht="23.85" hidden="false" customHeight="false" outlineLevel="0" collapsed="false">
      <c r="A290" s="68" t="s">
        <v>263</v>
      </c>
      <c r="B290" s="34" t="s">
        <v>366</v>
      </c>
      <c r="C290" s="34" t="s">
        <v>634</v>
      </c>
      <c r="D290" s="32" t="n">
        <v>1</v>
      </c>
      <c r="E290" s="32" t="s">
        <v>14</v>
      </c>
      <c r="F290" s="32" t="s">
        <v>368</v>
      </c>
      <c r="G290" s="34" t="s">
        <v>635</v>
      </c>
      <c r="H290" s="52" t="n">
        <f aca="false">IF($E290="Per class",$D290*COUNTIFS('Session Tracker'!$D$5:$D$149,$A290,'Session Tracker'!$F$5:$F$149,"Next week",'Session Tracker'!$G$5:$G$149,"Mon"),$D290*SUMIFS('Session Tracker'!$J$5:$J$149,'Session Tracker'!$D$5:$D$149,$A290,'Session Tracker'!$F$5:$F$149,"Next week",'Session Tracker'!$G$5:$G$149,"Mon"))</f>
        <v>0</v>
      </c>
      <c r="I290" s="52" t="n">
        <f aca="false">IF($E290="Per class",$D290*COUNTIFS('Session Tracker'!$D$5:$D$149,$A290,'Session Tracker'!$F$5:$F$149,"Next week",'Session Tracker'!$G$5:$G$149,"Tue"),$D290*SUMIFS('Session Tracker'!$J$5:$J$149,'Session Tracker'!$D$5:$D$149,$A290,'Session Tracker'!$F$5:$F$149,"Next week",'Session Tracker'!$G$5:$G$149,"Tue"))</f>
        <v>0</v>
      </c>
      <c r="J290" s="52" t="n">
        <f aca="false">IF($E290="Per class",$D290*COUNTIFS('Session Tracker'!$D$5:$D$149,$A290,'Session Tracker'!$F$5:$F$149,"Next week",'Session Tracker'!$G$5:$G$149,"Wed"),$D290*SUMIFS('Session Tracker'!$J$5:$J$149,'Session Tracker'!$D$5:$D$149,$A290,'Session Tracker'!$F$5:$F$149,"Next week",'Session Tracker'!$G$5:$G$149,"Wed"))</f>
        <v>0</v>
      </c>
      <c r="K290" s="52" t="n">
        <f aca="false">IF($E290="Per class",$D290*COUNTIFS('Session Tracker'!$D$5:$D$149,$A290,'Session Tracker'!$F$5:$F$149,"Next week",'Session Tracker'!$G$5:$G$149,"Thu"),$D290*SUMIFS('Session Tracker'!$J$5:$J$149,'Session Tracker'!$D$5:$D$149,$A290,'Session Tracker'!$F$5:$F$149,"Next week",'Session Tracker'!$G$5:$G$149,"Thu"))</f>
        <v>0</v>
      </c>
      <c r="L290" s="52" t="n">
        <f aca="false">IF($E290="Per class",$D290*COUNTIFS('Session Tracker'!$D$5:$D$149,$A290,'Session Tracker'!$F$5:$F$149,"Next week",'Session Tracker'!$G$5:$G$149,"Fri"),$D290*SUMIFS('Session Tracker'!$J$5:$J$149,'Session Tracker'!$D$5:$D$149,$A290,'Session Tracker'!$F$5:$F$149,"Next week",'Session Tracker'!$G$5:$G$149,"Fri"))</f>
        <v>0</v>
      </c>
      <c r="M290" s="52" t="n">
        <f aca="false">IF($E290="Per class",$D290*COUNTIFS('Session Tracker'!$D$5:$D$149,$A290,'Session Tracker'!$F$5:$F$149,"Next week",'Session Tracker'!$G$5:$G$149,""),$D290*SUMIFS('Session Tracker'!$J$5:$J$149,'Session Tracker'!$D$5:$D$149,$A290,'Session Tracker'!$F$5:$F$149,"Next week",'Session Tracker'!$G$5:$G$149,""))</f>
        <v>0</v>
      </c>
    </row>
    <row r="291" customFormat="false" ht="15" hidden="false" customHeight="false" outlineLevel="0" collapsed="false">
      <c r="A291" s="68" t="s">
        <v>263</v>
      </c>
      <c r="B291" s="34" t="s">
        <v>369</v>
      </c>
      <c r="C291" s="34" t="s">
        <v>437</v>
      </c>
      <c r="D291" s="32" t="n">
        <v>1</v>
      </c>
      <c r="E291" s="32" t="s">
        <v>14</v>
      </c>
      <c r="F291" s="32" t="s">
        <v>368</v>
      </c>
      <c r="G291" s="34"/>
      <c r="H291" s="52" t="n">
        <f aca="false">IF($E291="Per class",$D291*COUNTIFS('Session Tracker'!$D$5:$D$149,$A291,'Session Tracker'!$F$5:$F$149,"Next week",'Session Tracker'!$G$5:$G$149,"Mon"),$D291*SUMIFS('Session Tracker'!$J$5:$J$149,'Session Tracker'!$D$5:$D$149,$A291,'Session Tracker'!$F$5:$F$149,"Next week",'Session Tracker'!$G$5:$G$149,"Mon"))</f>
        <v>0</v>
      </c>
      <c r="I291" s="52" t="n">
        <f aca="false">IF($E291="Per class",$D291*COUNTIFS('Session Tracker'!$D$5:$D$149,$A291,'Session Tracker'!$F$5:$F$149,"Next week",'Session Tracker'!$G$5:$G$149,"Tue"),$D291*SUMIFS('Session Tracker'!$J$5:$J$149,'Session Tracker'!$D$5:$D$149,$A291,'Session Tracker'!$F$5:$F$149,"Next week",'Session Tracker'!$G$5:$G$149,"Tue"))</f>
        <v>0</v>
      </c>
      <c r="J291" s="52" t="n">
        <f aca="false">IF($E291="Per class",$D291*COUNTIFS('Session Tracker'!$D$5:$D$149,$A291,'Session Tracker'!$F$5:$F$149,"Next week",'Session Tracker'!$G$5:$G$149,"Wed"),$D291*SUMIFS('Session Tracker'!$J$5:$J$149,'Session Tracker'!$D$5:$D$149,$A291,'Session Tracker'!$F$5:$F$149,"Next week",'Session Tracker'!$G$5:$G$149,"Wed"))</f>
        <v>0</v>
      </c>
      <c r="K291" s="52" t="n">
        <f aca="false">IF($E291="Per class",$D291*COUNTIFS('Session Tracker'!$D$5:$D$149,$A291,'Session Tracker'!$F$5:$F$149,"Next week",'Session Tracker'!$G$5:$G$149,"Thu"),$D291*SUMIFS('Session Tracker'!$J$5:$J$149,'Session Tracker'!$D$5:$D$149,$A291,'Session Tracker'!$F$5:$F$149,"Next week",'Session Tracker'!$G$5:$G$149,"Thu"))</f>
        <v>0</v>
      </c>
      <c r="L291" s="52" t="n">
        <f aca="false">IF($E291="Per class",$D291*COUNTIFS('Session Tracker'!$D$5:$D$149,$A291,'Session Tracker'!$F$5:$F$149,"Next week",'Session Tracker'!$G$5:$G$149,"Fri"),$D291*SUMIFS('Session Tracker'!$J$5:$J$149,'Session Tracker'!$D$5:$D$149,$A291,'Session Tracker'!$F$5:$F$149,"Next week",'Session Tracker'!$G$5:$G$149,"Fri"))</f>
        <v>0</v>
      </c>
      <c r="M291" s="52" t="n">
        <f aca="false">IF($E291="Per class",$D291*COUNTIFS('Session Tracker'!$D$5:$D$149,$A291,'Session Tracker'!$F$5:$F$149,"Next week",'Session Tracker'!$G$5:$G$149,""),$D291*SUMIFS('Session Tracker'!$J$5:$J$149,'Session Tracker'!$D$5:$D$149,$A291,'Session Tracker'!$F$5:$F$149,"Next week",'Session Tracker'!$G$5:$G$149,""))</f>
        <v>0</v>
      </c>
    </row>
    <row r="292" customFormat="false" ht="15" hidden="false" customHeight="false" outlineLevel="0" collapsed="false">
      <c r="A292" s="68" t="s">
        <v>263</v>
      </c>
      <c r="B292" s="34" t="s">
        <v>379</v>
      </c>
      <c r="C292" s="34" t="s">
        <v>395</v>
      </c>
      <c r="D292" s="32" t="n">
        <v>6</v>
      </c>
      <c r="E292" s="32" t="s">
        <v>14</v>
      </c>
      <c r="F292" s="32" t="s">
        <v>368</v>
      </c>
      <c r="G292" s="34"/>
      <c r="H292" s="52" t="n">
        <f aca="false">IF($E292="Per class",$D292*COUNTIFS('Session Tracker'!$D$5:$D$149,$A292,'Session Tracker'!$F$5:$F$149,"Next week",'Session Tracker'!$G$5:$G$149,"Mon"),$D292*SUMIFS('Session Tracker'!$J$5:$J$149,'Session Tracker'!$D$5:$D$149,$A292,'Session Tracker'!$F$5:$F$149,"Next week",'Session Tracker'!$G$5:$G$149,"Mon"))</f>
        <v>0</v>
      </c>
      <c r="I292" s="52" t="n">
        <f aca="false">IF($E292="Per class",$D292*COUNTIFS('Session Tracker'!$D$5:$D$149,$A292,'Session Tracker'!$F$5:$F$149,"Next week",'Session Tracker'!$G$5:$G$149,"Tue"),$D292*SUMIFS('Session Tracker'!$J$5:$J$149,'Session Tracker'!$D$5:$D$149,$A292,'Session Tracker'!$F$5:$F$149,"Next week",'Session Tracker'!$G$5:$G$149,"Tue"))</f>
        <v>0</v>
      </c>
      <c r="J292" s="52" t="n">
        <f aca="false">IF($E292="Per class",$D292*COUNTIFS('Session Tracker'!$D$5:$D$149,$A292,'Session Tracker'!$F$5:$F$149,"Next week",'Session Tracker'!$G$5:$G$149,"Wed"),$D292*SUMIFS('Session Tracker'!$J$5:$J$149,'Session Tracker'!$D$5:$D$149,$A292,'Session Tracker'!$F$5:$F$149,"Next week",'Session Tracker'!$G$5:$G$149,"Wed"))</f>
        <v>0</v>
      </c>
      <c r="K292" s="52" t="n">
        <f aca="false">IF($E292="Per class",$D292*COUNTIFS('Session Tracker'!$D$5:$D$149,$A292,'Session Tracker'!$F$5:$F$149,"Next week",'Session Tracker'!$G$5:$G$149,"Thu"),$D292*SUMIFS('Session Tracker'!$J$5:$J$149,'Session Tracker'!$D$5:$D$149,$A292,'Session Tracker'!$F$5:$F$149,"Next week",'Session Tracker'!$G$5:$G$149,"Thu"))</f>
        <v>0</v>
      </c>
      <c r="L292" s="52" t="n">
        <f aca="false">IF($E292="Per class",$D292*COUNTIFS('Session Tracker'!$D$5:$D$149,$A292,'Session Tracker'!$F$5:$F$149,"Next week",'Session Tracker'!$G$5:$G$149,"Fri"),$D292*SUMIFS('Session Tracker'!$J$5:$J$149,'Session Tracker'!$D$5:$D$149,$A292,'Session Tracker'!$F$5:$F$149,"Next week",'Session Tracker'!$G$5:$G$149,"Fri"))</f>
        <v>0</v>
      </c>
      <c r="M292" s="52" t="n">
        <f aca="false">IF($E292="Per class",$D292*COUNTIFS('Session Tracker'!$D$5:$D$149,$A292,'Session Tracker'!$F$5:$F$149,"Next week",'Session Tracker'!$G$5:$G$149,""),$D292*SUMIFS('Session Tracker'!$J$5:$J$149,'Session Tracker'!$D$5:$D$149,$A292,'Session Tracker'!$F$5:$F$149,"Next week",'Session Tracker'!$G$5:$G$149,""))</f>
        <v>0</v>
      </c>
    </row>
    <row r="293" customFormat="false" ht="15" hidden="false" customHeight="false" outlineLevel="0" collapsed="false">
      <c r="A293" s="68" t="s">
        <v>263</v>
      </c>
      <c r="B293" s="34" t="s">
        <v>382</v>
      </c>
      <c r="C293" s="34" t="s">
        <v>383</v>
      </c>
      <c r="D293" s="32" t="n">
        <v>1</v>
      </c>
      <c r="E293" s="32" t="s">
        <v>14</v>
      </c>
      <c r="F293" s="32" t="s">
        <v>368</v>
      </c>
      <c r="G293" s="34"/>
      <c r="H293" s="52" t="n">
        <f aca="false">IF($E293="Per class",$D293*COUNTIFS('Session Tracker'!$D$5:$D$149,$A293,'Session Tracker'!$F$5:$F$149,"Next week",'Session Tracker'!$G$5:$G$149,"Mon"),$D293*SUMIFS('Session Tracker'!$J$5:$J$149,'Session Tracker'!$D$5:$D$149,$A293,'Session Tracker'!$F$5:$F$149,"Next week",'Session Tracker'!$G$5:$G$149,"Mon"))</f>
        <v>0</v>
      </c>
      <c r="I293" s="52" t="n">
        <f aca="false">IF($E293="Per class",$D293*COUNTIFS('Session Tracker'!$D$5:$D$149,$A293,'Session Tracker'!$F$5:$F$149,"Next week",'Session Tracker'!$G$5:$G$149,"Tue"),$D293*SUMIFS('Session Tracker'!$J$5:$J$149,'Session Tracker'!$D$5:$D$149,$A293,'Session Tracker'!$F$5:$F$149,"Next week",'Session Tracker'!$G$5:$G$149,"Tue"))</f>
        <v>0</v>
      </c>
      <c r="J293" s="52" t="n">
        <f aca="false">IF($E293="Per class",$D293*COUNTIFS('Session Tracker'!$D$5:$D$149,$A293,'Session Tracker'!$F$5:$F$149,"Next week",'Session Tracker'!$G$5:$G$149,"Wed"),$D293*SUMIFS('Session Tracker'!$J$5:$J$149,'Session Tracker'!$D$5:$D$149,$A293,'Session Tracker'!$F$5:$F$149,"Next week",'Session Tracker'!$G$5:$G$149,"Wed"))</f>
        <v>0</v>
      </c>
      <c r="K293" s="52" t="n">
        <f aca="false">IF($E293="Per class",$D293*COUNTIFS('Session Tracker'!$D$5:$D$149,$A293,'Session Tracker'!$F$5:$F$149,"Next week",'Session Tracker'!$G$5:$G$149,"Thu"),$D293*SUMIFS('Session Tracker'!$J$5:$J$149,'Session Tracker'!$D$5:$D$149,$A293,'Session Tracker'!$F$5:$F$149,"Next week",'Session Tracker'!$G$5:$G$149,"Thu"))</f>
        <v>0</v>
      </c>
      <c r="L293" s="52" t="n">
        <f aca="false">IF($E293="Per class",$D293*COUNTIFS('Session Tracker'!$D$5:$D$149,$A293,'Session Tracker'!$F$5:$F$149,"Next week",'Session Tracker'!$G$5:$G$149,"Fri"),$D293*SUMIFS('Session Tracker'!$J$5:$J$149,'Session Tracker'!$D$5:$D$149,$A293,'Session Tracker'!$F$5:$F$149,"Next week",'Session Tracker'!$G$5:$G$149,"Fri"))</f>
        <v>0</v>
      </c>
      <c r="M293" s="52" t="n">
        <f aca="false">IF($E293="Per class",$D293*COUNTIFS('Session Tracker'!$D$5:$D$149,$A293,'Session Tracker'!$F$5:$F$149,"Next week",'Session Tracker'!$G$5:$G$149,""),$D293*SUMIFS('Session Tracker'!$J$5:$J$149,'Session Tracker'!$D$5:$D$149,$A293,'Session Tracker'!$F$5:$F$149,"Next week",'Session Tracker'!$G$5:$G$149,""))</f>
        <v>0</v>
      </c>
    </row>
    <row r="294" customFormat="false" ht="15" hidden="false" customHeight="false" outlineLevel="0" collapsed="false">
      <c r="A294" s="53" t="s">
        <v>263</v>
      </c>
      <c r="B294" s="54"/>
      <c r="C294" s="54"/>
      <c r="D294" s="54"/>
      <c r="E294" s="54"/>
      <c r="F294" s="54"/>
      <c r="G294" s="54"/>
      <c r="H294" s="52" t="n">
        <f aca="false">IF($E294="Per class",$D294*COUNTIFS('Session Tracker'!$D$5:$D$149,$A294,'Session Tracker'!$F$5:$F$149,"Next week",'Session Tracker'!$G$5:$G$149,"Mon"),$D294*SUMIFS('Session Tracker'!$J$5:$J$149,'Session Tracker'!$D$5:$D$149,$A294,'Session Tracker'!$F$5:$F$149,"Next week",'Session Tracker'!$G$5:$G$149,"Mon"))</f>
        <v>0</v>
      </c>
      <c r="I294" s="52" t="n">
        <f aca="false">IF($E294="Per class",$D294*COUNTIFS('Session Tracker'!$D$5:$D$149,$A294,'Session Tracker'!$F$5:$F$149,"Next week",'Session Tracker'!$G$5:$G$149,"Tue"),$D294*SUMIFS('Session Tracker'!$J$5:$J$149,'Session Tracker'!$D$5:$D$149,$A294,'Session Tracker'!$F$5:$F$149,"Next week",'Session Tracker'!$G$5:$G$149,"Tue"))</f>
        <v>0</v>
      </c>
      <c r="J294" s="52" t="n">
        <f aca="false">IF($E294="Per class",$D294*COUNTIFS('Session Tracker'!$D$5:$D$149,$A294,'Session Tracker'!$F$5:$F$149,"Next week",'Session Tracker'!$G$5:$G$149,"Wed"),$D294*SUMIFS('Session Tracker'!$J$5:$J$149,'Session Tracker'!$D$5:$D$149,$A294,'Session Tracker'!$F$5:$F$149,"Next week",'Session Tracker'!$G$5:$G$149,"Wed"))</f>
        <v>0</v>
      </c>
      <c r="K294" s="52" t="n">
        <f aca="false">IF($E294="Per class",$D294*COUNTIFS('Session Tracker'!$D$5:$D$149,$A294,'Session Tracker'!$F$5:$F$149,"Next week",'Session Tracker'!$G$5:$G$149,"Thu"),$D294*SUMIFS('Session Tracker'!$J$5:$J$149,'Session Tracker'!$D$5:$D$149,$A294,'Session Tracker'!$F$5:$F$149,"Next week",'Session Tracker'!$G$5:$G$149,"Thu"))</f>
        <v>0</v>
      </c>
      <c r="L294" s="52" t="n">
        <f aca="false">IF($E294="Per class",$D294*COUNTIFS('Session Tracker'!$D$5:$D$149,$A294,'Session Tracker'!$F$5:$F$149,"Next week",'Session Tracker'!$G$5:$G$149,"Fri"),$D294*SUMIFS('Session Tracker'!$J$5:$J$149,'Session Tracker'!$D$5:$D$149,$A294,'Session Tracker'!$F$5:$F$149,"Next week",'Session Tracker'!$G$5:$G$149,"Fri"))</f>
        <v>0</v>
      </c>
      <c r="M294" s="52" t="n">
        <f aca="false">IF($E294="Per class",$D294*COUNTIFS('Session Tracker'!$D$5:$D$149,$A294,'Session Tracker'!$F$5:$F$149,"Next week",'Session Tracker'!$G$5:$G$149,""),$D294*SUMIFS('Session Tracker'!$J$5:$J$149,'Session Tracker'!$D$5:$D$149,$A294,'Session Tracker'!$F$5:$F$149,"Next week",'Session Tracker'!$G$5:$G$149,""))</f>
        <v>0</v>
      </c>
    </row>
    <row r="295" customFormat="false" ht="15" hidden="false" customHeight="false" outlineLevel="0" collapsed="false">
      <c r="A295" s="53" t="s">
        <v>263</v>
      </c>
      <c r="B295" s="54"/>
      <c r="C295" s="54"/>
      <c r="D295" s="54"/>
      <c r="E295" s="54"/>
      <c r="F295" s="54"/>
      <c r="G295" s="54"/>
      <c r="H295" s="52" t="n">
        <f aca="false">IF($E295="Per class",$D295*COUNTIFS('Session Tracker'!$D$5:$D$149,$A295,'Session Tracker'!$F$5:$F$149,"Next week",'Session Tracker'!$G$5:$G$149,"Mon"),$D295*SUMIFS('Session Tracker'!$J$5:$J$149,'Session Tracker'!$D$5:$D$149,$A295,'Session Tracker'!$F$5:$F$149,"Next week",'Session Tracker'!$G$5:$G$149,"Mon"))</f>
        <v>0</v>
      </c>
      <c r="I295" s="52" t="n">
        <f aca="false">IF($E295="Per class",$D295*COUNTIFS('Session Tracker'!$D$5:$D$149,$A295,'Session Tracker'!$F$5:$F$149,"Next week",'Session Tracker'!$G$5:$G$149,"Tue"),$D295*SUMIFS('Session Tracker'!$J$5:$J$149,'Session Tracker'!$D$5:$D$149,$A295,'Session Tracker'!$F$5:$F$149,"Next week",'Session Tracker'!$G$5:$G$149,"Tue"))</f>
        <v>0</v>
      </c>
      <c r="J295" s="52" t="n">
        <f aca="false">IF($E295="Per class",$D295*COUNTIFS('Session Tracker'!$D$5:$D$149,$A295,'Session Tracker'!$F$5:$F$149,"Next week",'Session Tracker'!$G$5:$G$149,"Wed"),$D295*SUMIFS('Session Tracker'!$J$5:$J$149,'Session Tracker'!$D$5:$D$149,$A295,'Session Tracker'!$F$5:$F$149,"Next week",'Session Tracker'!$G$5:$G$149,"Wed"))</f>
        <v>0</v>
      </c>
      <c r="K295" s="52" t="n">
        <f aca="false">IF($E295="Per class",$D295*COUNTIFS('Session Tracker'!$D$5:$D$149,$A295,'Session Tracker'!$F$5:$F$149,"Next week",'Session Tracker'!$G$5:$G$149,"Thu"),$D295*SUMIFS('Session Tracker'!$J$5:$J$149,'Session Tracker'!$D$5:$D$149,$A295,'Session Tracker'!$F$5:$F$149,"Next week",'Session Tracker'!$G$5:$G$149,"Thu"))</f>
        <v>0</v>
      </c>
      <c r="L295" s="52" t="n">
        <f aca="false">IF($E295="Per class",$D295*COUNTIFS('Session Tracker'!$D$5:$D$149,$A295,'Session Tracker'!$F$5:$F$149,"Next week",'Session Tracker'!$G$5:$G$149,"Fri"),$D295*SUMIFS('Session Tracker'!$J$5:$J$149,'Session Tracker'!$D$5:$D$149,$A295,'Session Tracker'!$F$5:$F$149,"Next week",'Session Tracker'!$G$5:$G$149,"Fri"))</f>
        <v>0</v>
      </c>
      <c r="M295" s="52" t="n">
        <f aca="false">IF($E295="Per class",$D295*COUNTIFS('Session Tracker'!$D$5:$D$149,$A295,'Session Tracker'!$F$5:$F$149,"Next week",'Session Tracker'!$G$5:$G$149,""),$D295*SUMIFS('Session Tracker'!$J$5:$J$149,'Session Tracker'!$D$5:$D$149,$A295,'Session Tracker'!$F$5:$F$149,"Next week",'Session Tracker'!$G$5:$G$149,""))</f>
        <v>0</v>
      </c>
    </row>
    <row r="297" customFormat="false" ht="19.5" hidden="false" customHeight="true" outlineLevel="0" collapsed="false">
      <c r="A297" s="64" t="s">
        <v>265</v>
      </c>
      <c r="B297" s="65" t="s">
        <v>636</v>
      </c>
      <c r="C297" s="65"/>
      <c r="D297" s="65"/>
      <c r="E297" s="65"/>
      <c r="F297" s="66" t="str">
        <f aca="false">"Status: "&amp;'Session Tracker'!F102&amp;IF('Session Tracker'!G102&lt;&gt;""," ("&amp;'Session Tracker'!G102&amp;")","")</f>
        <v>Status: Not started</v>
      </c>
      <c r="G297" s="66"/>
      <c r="H297" s="67"/>
      <c r="I297" s="67"/>
      <c r="J297" s="67"/>
      <c r="K297" s="67"/>
      <c r="L297" s="67"/>
      <c r="M297" s="67"/>
    </row>
    <row r="298" customFormat="false" ht="23.85" hidden="false" customHeight="false" outlineLevel="0" collapsed="false">
      <c r="A298" s="68" t="s">
        <v>265</v>
      </c>
      <c r="B298" s="34" t="s">
        <v>366</v>
      </c>
      <c r="C298" s="34" t="s">
        <v>367</v>
      </c>
      <c r="D298" s="32" t="n">
        <v>1</v>
      </c>
      <c r="E298" s="32" t="s">
        <v>14</v>
      </c>
      <c r="F298" s="32" t="s">
        <v>368</v>
      </c>
      <c r="G298" s="34"/>
      <c r="H298" s="52" t="n">
        <f aca="false">IF($E298="Per class",$D298*COUNTIFS('Session Tracker'!$D$5:$D$149,$A298,'Session Tracker'!$F$5:$F$149,"Next week",'Session Tracker'!$G$5:$G$149,"Mon"),$D298*SUMIFS('Session Tracker'!$J$5:$J$149,'Session Tracker'!$D$5:$D$149,$A298,'Session Tracker'!$F$5:$F$149,"Next week",'Session Tracker'!$G$5:$G$149,"Mon"))</f>
        <v>0</v>
      </c>
      <c r="I298" s="52" t="n">
        <f aca="false">IF($E298="Per class",$D298*COUNTIFS('Session Tracker'!$D$5:$D$149,$A298,'Session Tracker'!$F$5:$F$149,"Next week",'Session Tracker'!$G$5:$G$149,"Tue"),$D298*SUMIFS('Session Tracker'!$J$5:$J$149,'Session Tracker'!$D$5:$D$149,$A298,'Session Tracker'!$F$5:$F$149,"Next week",'Session Tracker'!$G$5:$G$149,"Tue"))</f>
        <v>0</v>
      </c>
      <c r="J298" s="52" t="n">
        <f aca="false">IF($E298="Per class",$D298*COUNTIFS('Session Tracker'!$D$5:$D$149,$A298,'Session Tracker'!$F$5:$F$149,"Next week",'Session Tracker'!$G$5:$G$149,"Wed"),$D298*SUMIFS('Session Tracker'!$J$5:$J$149,'Session Tracker'!$D$5:$D$149,$A298,'Session Tracker'!$F$5:$F$149,"Next week",'Session Tracker'!$G$5:$G$149,"Wed"))</f>
        <v>0</v>
      </c>
      <c r="K298" s="52" t="n">
        <f aca="false">IF($E298="Per class",$D298*COUNTIFS('Session Tracker'!$D$5:$D$149,$A298,'Session Tracker'!$F$5:$F$149,"Next week",'Session Tracker'!$G$5:$G$149,"Thu"),$D298*SUMIFS('Session Tracker'!$J$5:$J$149,'Session Tracker'!$D$5:$D$149,$A298,'Session Tracker'!$F$5:$F$149,"Next week",'Session Tracker'!$G$5:$G$149,"Thu"))</f>
        <v>0</v>
      </c>
      <c r="L298" s="52" t="n">
        <f aca="false">IF($E298="Per class",$D298*COUNTIFS('Session Tracker'!$D$5:$D$149,$A298,'Session Tracker'!$F$5:$F$149,"Next week",'Session Tracker'!$G$5:$G$149,"Fri"),$D298*SUMIFS('Session Tracker'!$J$5:$J$149,'Session Tracker'!$D$5:$D$149,$A298,'Session Tracker'!$F$5:$F$149,"Next week",'Session Tracker'!$G$5:$G$149,"Fri"))</f>
        <v>0</v>
      </c>
      <c r="M298" s="52" t="n">
        <f aca="false">IF($E298="Per class",$D298*COUNTIFS('Session Tracker'!$D$5:$D$149,$A298,'Session Tracker'!$F$5:$F$149,"Next week",'Session Tracker'!$G$5:$G$149,""),$D298*SUMIFS('Session Tracker'!$J$5:$J$149,'Session Tracker'!$D$5:$D$149,$A298,'Session Tracker'!$F$5:$F$149,"Next week",'Session Tracker'!$G$5:$G$149,""))</f>
        <v>0</v>
      </c>
    </row>
    <row r="299" customFormat="false" ht="15" hidden="false" customHeight="false" outlineLevel="0" collapsed="false">
      <c r="A299" s="68" t="s">
        <v>265</v>
      </c>
      <c r="B299" s="34" t="s">
        <v>369</v>
      </c>
      <c r="C299" s="34" t="s">
        <v>430</v>
      </c>
      <c r="D299" s="32" t="n">
        <v>1</v>
      </c>
      <c r="E299" s="32" t="s">
        <v>14</v>
      </c>
      <c r="F299" s="32" t="s">
        <v>368</v>
      </c>
      <c r="G299" s="34"/>
      <c r="H299" s="52" t="n">
        <f aca="false">IF($E299="Per class",$D299*COUNTIFS('Session Tracker'!$D$5:$D$149,$A299,'Session Tracker'!$F$5:$F$149,"Next week",'Session Tracker'!$G$5:$G$149,"Mon"),$D299*SUMIFS('Session Tracker'!$J$5:$J$149,'Session Tracker'!$D$5:$D$149,$A299,'Session Tracker'!$F$5:$F$149,"Next week",'Session Tracker'!$G$5:$G$149,"Mon"))</f>
        <v>0</v>
      </c>
      <c r="I299" s="52" t="n">
        <f aca="false">IF($E299="Per class",$D299*COUNTIFS('Session Tracker'!$D$5:$D$149,$A299,'Session Tracker'!$F$5:$F$149,"Next week",'Session Tracker'!$G$5:$G$149,"Tue"),$D299*SUMIFS('Session Tracker'!$J$5:$J$149,'Session Tracker'!$D$5:$D$149,$A299,'Session Tracker'!$F$5:$F$149,"Next week",'Session Tracker'!$G$5:$G$149,"Tue"))</f>
        <v>0</v>
      </c>
      <c r="J299" s="52" t="n">
        <f aca="false">IF($E299="Per class",$D299*COUNTIFS('Session Tracker'!$D$5:$D$149,$A299,'Session Tracker'!$F$5:$F$149,"Next week",'Session Tracker'!$G$5:$G$149,"Wed"),$D299*SUMIFS('Session Tracker'!$J$5:$J$149,'Session Tracker'!$D$5:$D$149,$A299,'Session Tracker'!$F$5:$F$149,"Next week",'Session Tracker'!$G$5:$G$149,"Wed"))</f>
        <v>0</v>
      </c>
      <c r="K299" s="52" t="n">
        <f aca="false">IF($E299="Per class",$D299*COUNTIFS('Session Tracker'!$D$5:$D$149,$A299,'Session Tracker'!$F$5:$F$149,"Next week",'Session Tracker'!$G$5:$G$149,"Thu"),$D299*SUMIFS('Session Tracker'!$J$5:$J$149,'Session Tracker'!$D$5:$D$149,$A299,'Session Tracker'!$F$5:$F$149,"Next week",'Session Tracker'!$G$5:$G$149,"Thu"))</f>
        <v>0</v>
      </c>
      <c r="L299" s="52" t="n">
        <f aca="false">IF($E299="Per class",$D299*COUNTIFS('Session Tracker'!$D$5:$D$149,$A299,'Session Tracker'!$F$5:$F$149,"Next week",'Session Tracker'!$G$5:$G$149,"Fri"),$D299*SUMIFS('Session Tracker'!$J$5:$J$149,'Session Tracker'!$D$5:$D$149,$A299,'Session Tracker'!$F$5:$F$149,"Next week",'Session Tracker'!$G$5:$G$149,"Fri"))</f>
        <v>0</v>
      </c>
      <c r="M299" s="52" t="n">
        <f aca="false">IF($E299="Per class",$D299*COUNTIFS('Session Tracker'!$D$5:$D$149,$A299,'Session Tracker'!$F$5:$F$149,"Next week",'Session Tracker'!$G$5:$G$149,""),$D299*SUMIFS('Session Tracker'!$J$5:$J$149,'Session Tracker'!$D$5:$D$149,$A299,'Session Tracker'!$F$5:$F$149,"Next week",'Session Tracker'!$G$5:$G$149,""))</f>
        <v>0</v>
      </c>
    </row>
    <row r="300" customFormat="false" ht="15" hidden="false" customHeight="false" outlineLevel="0" collapsed="false">
      <c r="A300" s="68" t="s">
        <v>265</v>
      </c>
      <c r="B300" s="34" t="s">
        <v>379</v>
      </c>
      <c r="C300" s="34" t="s">
        <v>380</v>
      </c>
      <c r="D300" s="32" t="n">
        <v>1</v>
      </c>
      <c r="E300" s="32" t="s">
        <v>14</v>
      </c>
      <c r="F300" s="32" t="s">
        <v>368</v>
      </c>
      <c r="G300" s="34"/>
      <c r="H300" s="52" t="n">
        <f aca="false">IF($E300="Per class",$D300*COUNTIFS('Session Tracker'!$D$5:$D$149,$A300,'Session Tracker'!$F$5:$F$149,"Next week",'Session Tracker'!$G$5:$G$149,"Mon"),$D300*SUMIFS('Session Tracker'!$J$5:$J$149,'Session Tracker'!$D$5:$D$149,$A300,'Session Tracker'!$F$5:$F$149,"Next week",'Session Tracker'!$G$5:$G$149,"Mon"))</f>
        <v>0</v>
      </c>
      <c r="I300" s="52" t="n">
        <f aca="false">IF($E300="Per class",$D300*COUNTIFS('Session Tracker'!$D$5:$D$149,$A300,'Session Tracker'!$F$5:$F$149,"Next week",'Session Tracker'!$G$5:$G$149,"Tue"),$D300*SUMIFS('Session Tracker'!$J$5:$J$149,'Session Tracker'!$D$5:$D$149,$A300,'Session Tracker'!$F$5:$F$149,"Next week",'Session Tracker'!$G$5:$G$149,"Tue"))</f>
        <v>0</v>
      </c>
      <c r="J300" s="52" t="n">
        <f aca="false">IF($E300="Per class",$D300*COUNTIFS('Session Tracker'!$D$5:$D$149,$A300,'Session Tracker'!$F$5:$F$149,"Next week",'Session Tracker'!$G$5:$G$149,"Wed"),$D300*SUMIFS('Session Tracker'!$J$5:$J$149,'Session Tracker'!$D$5:$D$149,$A300,'Session Tracker'!$F$5:$F$149,"Next week",'Session Tracker'!$G$5:$G$149,"Wed"))</f>
        <v>0</v>
      </c>
      <c r="K300" s="52" t="n">
        <f aca="false">IF($E300="Per class",$D300*COUNTIFS('Session Tracker'!$D$5:$D$149,$A300,'Session Tracker'!$F$5:$F$149,"Next week",'Session Tracker'!$G$5:$G$149,"Thu"),$D300*SUMIFS('Session Tracker'!$J$5:$J$149,'Session Tracker'!$D$5:$D$149,$A300,'Session Tracker'!$F$5:$F$149,"Next week",'Session Tracker'!$G$5:$G$149,"Thu"))</f>
        <v>0</v>
      </c>
      <c r="L300" s="52" t="n">
        <f aca="false">IF($E300="Per class",$D300*COUNTIFS('Session Tracker'!$D$5:$D$149,$A300,'Session Tracker'!$F$5:$F$149,"Next week",'Session Tracker'!$G$5:$G$149,"Fri"),$D300*SUMIFS('Session Tracker'!$J$5:$J$149,'Session Tracker'!$D$5:$D$149,$A300,'Session Tracker'!$F$5:$F$149,"Next week",'Session Tracker'!$G$5:$G$149,"Fri"))</f>
        <v>0</v>
      </c>
      <c r="M300" s="52" t="n">
        <f aca="false">IF($E300="Per class",$D300*COUNTIFS('Session Tracker'!$D$5:$D$149,$A300,'Session Tracker'!$F$5:$F$149,"Next week",'Session Tracker'!$G$5:$G$149,""),$D300*SUMIFS('Session Tracker'!$J$5:$J$149,'Session Tracker'!$D$5:$D$149,$A300,'Session Tracker'!$F$5:$F$149,"Next week",'Session Tracker'!$G$5:$G$149,""))</f>
        <v>0</v>
      </c>
    </row>
    <row r="301" customFormat="false" ht="15" hidden="false" customHeight="false" outlineLevel="0" collapsed="false">
      <c r="A301" s="68" t="s">
        <v>265</v>
      </c>
      <c r="B301" s="34" t="s">
        <v>379</v>
      </c>
      <c r="C301" s="34" t="s">
        <v>381</v>
      </c>
      <c r="D301" s="32" t="n">
        <v>4</v>
      </c>
      <c r="E301" s="32" t="s">
        <v>14</v>
      </c>
      <c r="F301" s="32" t="s">
        <v>368</v>
      </c>
      <c r="G301" s="34"/>
      <c r="H301" s="52" t="n">
        <f aca="false">IF($E301="Per class",$D301*COUNTIFS('Session Tracker'!$D$5:$D$149,$A301,'Session Tracker'!$F$5:$F$149,"Next week",'Session Tracker'!$G$5:$G$149,"Mon"),$D301*SUMIFS('Session Tracker'!$J$5:$J$149,'Session Tracker'!$D$5:$D$149,$A301,'Session Tracker'!$F$5:$F$149,"Next week",'Session Tracker'!$G$5:$G$149,"Mon"))</f>
        <v>0</v>
      </c>
      <c r="I301" s="52" t="n">
        <f aca="false">IF($E301="Per class",$D301*COUNTIFS('Session Tracker'!$D$5:$D$149,$A301,'Session Tracker'!$F$5:$F$149,"Next week",'Session Tracker'!$G$5:$G$149,"Tue"),$D301*SUMIFS('Session Tracker'!$J$5:$J$149,'Session Tracker'!$D$5:$D$149,$A301,'Session Tracker'!$F$5:$F$149,"Next week",'Session Tracker'!$G$5:$G$149,"Tue"))</f>
        <v>0</v>
      </c>
      <c r="J301" s="52" t="n">
        <f aca="false">IF($E301="Per class",$D301*COUNTIFS('Session Tracker'!$D$5:$D$149,$A301,'Session Tracker'!$F$5:$F$149,"Next week",'Session Tracker'!$G$5:$G$149,"Wed"),$D301*SUMIFS('Session Tracker'!$J$5:$J$149,'Session Tracker'!$D$5:$D$149,$A301,'Session Tracker'!$F$5:$F$149,"Next week",'Session Tracker'!$G$5:$G$149,"Wed"))</f>
        <v>0</v>
      </c>
      <c r="K301" s="52" t="n">
        <f aca="false">IF($E301="Per class",$D301*COUNTIFS('Session Tracker'!$D$5:$D$149,$A301,'Session Tracker'!$F$5:$F$149,"Next week",'Session Tracker'!$G$5:$G$149,"Thu"),$D301*SUMIFS('Session Tracker'!$J$5:$J$149,'Session Tracker'!$D$5:$D$149,$A301,'Session Tracker'!$F$5:$F$149,"Next week",'Session Tracker'!$G$5:$G$149,"Thu"))</f>
        <v>0</v>
      </c>
      <c r="L301" s="52" t="n">
        <f aca="false">IF($E301="Per class",$D301*COUNTIFS('Session Tracker'!$D$5:$D$149,$A301,'Session Tracker'!$F$5:$F$149,"Next week",'Session Tracker'!$G$5:$G$149,"Fri"),$D301*SUMIFS('Session Tracker'!$J$5:$J$149,'Session Tracker'!$D$5:$D$149,$A301,'Session Tracker'!$F$5:$F$149,"Next week",'Session Tracker'!$G$5:$G$149,"Fri"))</f>
        <v>0</v>
      </c>
      <c r="M301" s="52" t="n">
        <f aca="false">IF($E301="Per class",$D301*COUNTIFS('Session Tracker'!$D$5:$D$149,$A301,'Session Tracker'!$F$5:$F$149,"Next week",'Session Tracker'!$G$5:$G$149,""),$D301*SUMIFS('Session Tracker'!$J$5:$J$149,'Session Tracker'!$D$5:$D$149,$A301,'Session Tracker'!$F$5:$F$149,"Next week",'Session Tracker'!$G$5:$G$149,""))</f>
        <v>0</v>
      </c>
    </row>
    <row r="302" customFormat="false" ht="15" hidden="false" customHeight="false" outlineLevel="0" collapsed="false">
      <c r="A302" s="68" t="s">
        <v>265</v>
      </c>
      <c r="B302" s="34" t="s">
        <v>382</v>
      </c>
      <c r="C302" s="34" t="s">
        <v>383</v>
      </c>
      <c r="D302" s="32" t="n">
        <v>1</v>
      </c>
      <c r="E302" s="32" t="s">
        <v>14</v>
      </c>
      <c r="F302" s="32" t="s">
        <v>368</v>
      </c>
      <c r="G302" s="34"/>
      <c r="H302" s="52" t="n">
        <f aca="false">IF($E302="Per class",$D302*COUNTIFS('Session Tracker'!$D$5:$D$149,$A302,'Session Tracker'!$F$5:$F$149,"Next week",'Session Tracker'!$G$5:$G$149,"Mon"),$D302*SUMIFS('Session Tracker'!$J$5:$J$149,'Session Tracker'!$D$5:$D$149,$A302,'Session Tracker'!$F$5:$F$149,"Next week",'Session Tracker'!$G$5:$G$149,"Mon"))</f>
        <v>0</v>
      </c>
      <c r="I302" s="52" t="n">
        <f aca="false">IF($E302="Per class",$D302*COUNTIFS('Session Tracker'!$D$5:$D$149,$A302,'Session Tracker'!$F$5:$F$149,"Next week",'Session Tracker'!$G$5:$G$149,"Tue"),$D302*SUMIFS('Session Tracker'!$J$5:$J$149,'Session Tracker'!$D$5:$D$149,$A302,'Session Tracker'!$F$5:$F$149,"Next week",'Session Tracker'!$G$5:$G$149,"Tue"))</f>
        <v>0</v>
      </c>
      <c r="J302" s="52" t="n">
        <f aca="false">IF($E302="Per class",$D302*COUNTIFS('Session Tracker'!$D$5:$D$149,$A302,'Session Tracker'!$F$5:$F$149,"Next week",'Session Tracker'!$G$5:$G$149,"Wed"),$D302*SUMIFS('Session Tracker'!$J$5:$J$149,'Session Tracker'!$D$5:$D$149,$A302,'Session Tracker'!$F$5:$F$149,"Next week",'Session Tracker'!$G$5:$G$149,"Wed"))</f>
        <v>0</v>
      </c>
      <c r="K302" s="52" t="n">
        <f aca="false">IF($E302="Per class",$D302*COUNTIFS('Session Tracker'!$D$5:$D$149,$A302,'Session Tracker'!$F$5:$F$149,"Next week",'Session Tracker'!$G$5:$G$149,"Thu"),$D302*SUMIFS('Session Tracker'!$J$5:$J$149,'Session Tracker'!$D$5:$D$149,$A302,'Session Tracker'!$F$5:$F$149,"Next week",'Session Tracker'!$G$5:$G$149,"Thu"))</f>
        <v>0</v>
      </c>
      <c r="L302" s="52" t="n">
        <f aca="false">IF($E302="Per class",$D302*COUNTIFS('Session Tracker'!$D$5:$D$149,$A302,'Session Tracker'!$F$5:$F$149,"Next week",'Session Tracker'!$G$5:$G$149,"Fri"),$D302*SUMIFS('Session Tracker'!$J$5:$J$149,'Session Tracker'!$D$5:$D$149,$A302,'Session Tracker'!$F$5:$F$149,"Next week",'Session Tracker'!$G$5:$G$149,"Fri"))</f>
        <v>0</v>
      </c>
      <c r="M302" s="52" t="n">
        <f aca="false">IF($E302="Per class",$D302*COUNTIFS('Session Tracker'!$D$5:$D$149,$A302,'Session Tracker'!$F$5:$F$149,"Next week",'Session Tracker'!$G$5:$G$149,""),$D302*SUMIFS('Session Tracker'!$J$5:$J$149,'Session Tracker'!$D$5:$D$149,$A302,'Session Tracker'!$F$5:$F$149,"Next week",'Session Tracker'!$G$5:$G$149,""))</f>
        <v>0</v>
      </c>
    </row>
    <row r="303" customFormat="false" ht="15" hidden="false" customHeight="false" outlineLevel="0" collapsed="false">
      <c r="A303" s="68" t="s">
        <v>265</v>
      </c>
      <c r="B303" s="34" t="s">
        <v>371</v>
      </c>
      <c r="C303" s="34" t="s">
        <v>372</v>
      </c>
      <c r="D303" s="32" t="n">
        <v>1</v>
      </c>
      <c r="E303" s="32" t="s">
        <v>14</v>
      </c>
      <c r="F303" s="32" t="s">
        <v>373</v>
      </c>
      <c r="G303" s="34" t="s">
        <v>389</v>
      </c>
      <c r="H303" s="52" t="n">
        <f aca="false">IF($E303="Per class",$D303*COUNTIFS('Session Tracker'!$D$5:$D$149,$A303,'Session Tracker'!$F$5:$F$149,"Next week",'Session Tracker'!$G$5:$G$149,"Mon"),$D303*SUMIFS('Session Tracker'!$J$5:$J$149,'Session Tracker'!$D$5:$D$149,$A303,'Session Tracker'!$F$5:$F$149,"Next week",'Session Tracker'!$G$5:$G$149,"Mon"))</f>
        <v>0</v>
      </c>
      <c r="I303" s="52" t="n">
        <f aca="false">IF($E303="Per class",$D303*COUNTIFS('Session Tracker'!$D$5:$D$149,$A303,'Session Tracker'!$F$5:$F$149,"Next week",'Session Tracker'!$G$5:$G$149,"Tue"),$D303*SUMIFS('Session Tracker'!$J$5:$J$149,'Session Tracker'!$D$5:$D$149,$A303,'Session Tracker'!$F$5:$F$149,"Next week",'Session Tracker'!$G$5:$G$149,"Tue"))</f>
        <v>0</v>
      </c>
      <c r="J303" s="52" t="n">
        <f aca="false">IF($E303="Per class",$D303*COUNTIFS('Session Tracker'!$D$5:$D$149,$A303,'Session Tracker'!$F$5:$F$149,"Next week",'Session Tracker'!$G$5:$G$149,"Wed"),$D303*SUMIFS('Session Tracker'!$J$5:$J$149,'Session Tracker'!$D$5:$D$149,$A303,'Session Tracker'!$F$5:$F$149,"Next week",'Session Tracker'!$G$5:$G$149,"Wed"))</f>
        <v>0</v>
      </c>
      <c r="K303" s="52" t="n">
        <f aca="false">IF($E303="Per class",$D303*COUNTIFS('Session Tracker'!$D$5:$D$149,$A303,'Session Tracker'!$F$5:$F$149,"Next week",'Session Tracker'!$G$5:$G$149,"Thu"),$D303*SUMIFS('Session Tracker'!$J$5:$J$149,'Session Tracker'!$D$5:$D$149,$A303,'Session Tracker'!$F$5:$F$149,"Next week",'Session Tracker'!$G$5:$G$149,"Thu"))</f>
        <v>0</v>
      </c>
      <c r="L303" s="52" t="n">
        <f aca="false">IF($E303="Per class",$D303*COUNTIFS('Session Tracker'!$D$5:$D$149,$A303,'Session Tracker'!$F$5:$F$149,"Next week",'Session Tracker'!$G$5:$G$149,"Fri"),$D303*SUMIFS('Session Tracker'!$J$5:$J$149,'Session Tracker'!$D$5:$D$149,$A303,'Session Tracker'!$F$5:$F$149,"Next week",'Session Tracker'!$G$5:$G$149,"Fri"))</f>
        <v>0</v>
      </c>
      <c r="M303" s="52" t="n">
        <f aca="false">IF($E303="Per class",$D303*COUNTIFS('Session Tracker'!$D$5:$D$149,$A303,'Session Tracker'!$F$5:$F$149,"Next week",'Session Tracker'!$G$5:$G$149,""),$D303*SUMIFS('Session Tracker'!$J$5:$J$149,'Session Tracker'!$D$5:$D$149,$A303,'Session Tracker'!$F$5:$F$149,"Next week",'Session Tracker'!$G$5:$G$149,""))</f>
        <v>0</v>
      </c>
    </row>
    <row r="304" customFormat="false" ht="15" hidden="false" customHeight="false" outlineLevel="0" collapsed="false">
      <c r="A304" s="68" t="s">
        <v>265</v>
      </c>
      <c r="B304" s="34" t="s">
        <v>375</v>
      </c>
      <c r="C304" s="34" t="s">
        <v>376</v>
      </c>
      <c r="D304" s="32" t="n">
        <v>1</v>
      </c>
      <c r="E304" s="32" t="s">
        <v>14</v>
      </c>
      <c r="F304" s="32" t="s">
        <v>373</v>
      </c>
      <c r="G304" s="34" t="s">
        <v>442</v>
      </c>
      <c r="H304" s="52" t="n">
        <f aca="false">IF($E304="Per class",$D304*COUNTIFS('Session Tracker'!$D$5:$D$149,$A304,'Session Tracker'!$F$5:$F$149,"Next week",'Session Tracker'!$G$5:$G$149,"Mon"),$D304*SUMIFS('Session Tracker'!$J$5:$J$149,'Session Tracker'!$D$5:$D$149,$A304,'Session Tracker'!$F$5:$F$149,"Next week",'Session Tracker'!$G$5:$G$149,"Mon"))</f>
        <v>0</v>
      </c>
      <c r="I304" s="52" t="n">
        <f aca="false">IF($E304="Per class",$D304*COUNTIFS('Session Tracker'!$D$5:$D$149,$A304,'Session Tracker'!$F$5:$F$149,"Next week",'Session Tracker'!$G$5:$G$149,"Tue"),$D304*SUMIFS('Session Tracker'!$J$5:$J$149,'Session Tracker'!$D$5:$D$149,$A304,'Session Tracker'!$F$5:$F$149,"Next week",'Session Tracker'!$G$5:$G$149,"Tue"))</f>
        <v>0</v>
      </c>
      <c r="J304" s="52" t="n">
        <f aca="false">IF($E304="Per class",$D304*COUNTIFS('Session Tracker'!$D$5:$D$149,$A304,'Session Tracker'!$F$5:$F$149,"Next week",'Session Tracker'!$G$5:$G$149,"Wed"),$D304*SUMIFS('Session Tracker'!$J$5:$J$149,'Session Tracker'!$D$5:$D$149,$A304,'Session Tracker'!$F$5:$F$149,"Next week",'Session Tracker'!$G$5:$G$149,"Wed"))</f>
        <v>0</v>
      </c>
      <c r="K304" s="52" t="n">
        <f aca="false">IF($E304="Per class",$D304*COUNTIFS('Session Tracker'!$D$5:$D$149,$A304,'Session Tracker'!$F$5:$F$149,"Next week",'Session Tracker'!$G$5:$G$149,"Thu"),$D304*SUMIFS('Session Tracker'!$J$5:$J$149,'Session Tracker'!$D$5:$D$149,$A304,'Session Tracker'!$F$5:$F$149,"Next week",'Session Tracker'!$G$5:$G$149,"Thu"))</f>
        <v>0</v>
      </c>
      <c r="L304" s="52" t="n">
        <f aca="false">IF($E304="Per class",$D304*COUNTIFS('Session Tracker'!$D$5:$D$149,$A304,'Session Tracker'!$F$5:$F$149,"Next week",'Session Tracker'!$G$5:$G$149,"Fri"),$D304*SUMIFS('Session Tracker'!$J$5:$J$149,'Session Tracker'!$D$5:$D$149,$A304,'Session Tracker'!$F$5:$F$149,"Next week",'Session Tracker'!$G$5:$G$149,"Fri"))</f>
        <v>0</v>
      </c>
      <c r="M304" s="52" t="n">
        <f aca="false">IF($E304="Per class",$D304*COUNTIFS('Session Tracker'!$D$5:$D$149,$A304,'Session Tracker'!$F$5:$F$149,"Next week",'Session Tracker'!$G$5:$G$149,""),$D304*SUMIFS('Session Tracker'!$J$5:$J$149,'Session Tracker'!$D$5:$D$149,$A304,'Session Tracker'!$F$5:$F$149,"Next week",'Session Tracker'!$G$5:$G$149,""))</f>
        <v>0</v>
      </c>
    </row>
    <row r="305" customFormat="false" ht="15" hidden="false" customHeight="false" outlineLevel="0" collapsed="false">
      <c r="A305" s="68" t="s">
        <v>265</v>
      </c>
      <c r="B305" s="34" t="s">
        <v>377</v>
      </c>
      <c r="C305" s="34" t="s">
        <v>378</v>
      </c>
      <c r="D305" s="32" t="n">
        <v>1</v>
      </c>
      <c r="E305" s="32" t="s">
        <v>14</v>
      </c>
      <c r="F305" s="32" t="s">
        <v>368</v>
      </c>
      <c r="G305" s="34" t="s">
        <v>389</v>
      </c>
      <c r="H305" s="52" t="n">
        <f aca="false">IF($E305="Per class",$D305*COUNTIFS('Session Tracker'!$D$5:$D$149,$A305,'Session Tracker'!$F$5:$F$149,"Next week",'Session Tracker'!$G$5:$G$149,"Mon"),$D305*SUMIFS('Session Tracker'!$J$5:$J$149,'Session Tracker'!$D$5:$D$149,$A305,'Session Tracker'!$F$5:$F$149,"Next week",'Session Tracker'!$G$5:$G$149,"Mon"))</f>
        <v>0</v>
      </c>
      <c r="I305" s="52" t="n">
        <f aca="false">IF($E305="Per class",$D305*COUNTIFS('Session Tracker'!$D$5:$D$149,$A305,'Session Tracker'!$F$5:$F$149,"Next week",'Session Tracker'!$G$5:$G$149,"Tue"),$D305*SUMIFS('Session Tracker'!$J$5:$J$149,'Session Tracker'!$D$5:$D$149,$A305,'Session Tracker'!$F$5:$F$149,"Next week",'Session Tracker'!$G$5:$G$149,"Tue"))</f>
        <v>0</v>
      </c>
      <c r="J305" s="52" t="n">
        <f aca="false">IF($E305="Per class",$D305*COUNTIFS('Session Tracker'!$D$5:$D$149,$A305,'Session Tracker'!$F$5:$F$149,"Next week",'Session Tracker'!$G$5:$G$149,"Wed"),$D305*SUMIFS('Session Tracker'!$J$5:$J$149,'Session Tracker'!$D$5:$D$149,$A305,'Session Tracker'!$F$5:$F$149,"Next week",'Session Tracker'!$G$5:$G$149,"Wed"))</f>
        <v>0</v>
      </c>
      <c r="K305" s="52" t="n">
        <f aca="false">IF($E305="Per class",$D305*COUNTIFS('Session Tracker'!$D$5:$D$149,$A305,'Session Tracker'!$F$5:$F$149,"Next week",'Session Tracker'!$G$5:$G$149,"Thu"),$D305*SUMIFS('Session Tracker'!$J$5:$J$149,'Session Tracker'!$D$5:$D$149,$A305,'Session Tracker'!$F$5:$F$149,"Next week",'Session Tracker'!$G$5:$G$149,"Thu"))</f>
        <v>0</v>
      </c>
      <c r="L305" s="52" t="n">
        <f aca="false">IF($E305="Per class",$D305*COUNTIFS('Session Tracker'!$D$5:$D$149,$A305,'Session Tracker'!$F$5:$F$149,"Next week",'Session Tracker'!$G$5:$G$149,"Fri"),$D305*SUMIFS('Session Tracker'!$J$5:$J$149,'Session Tracker'!$D$5:$D$149,$A305,'Session Tracker'!$F$5:$F$149,"Next week",'Session Tracker'!$G$5:$G$149,"Fri"))</f>
        <v>0</v>
      </c>
      <c r="M305" s="52" t="n">
        <f aca="false">IF($E305="Per class",$D305*COUNTIFS('Session Tracker'!$D$5:$D$149,$A305,'Session Tracker'!$F$5:$F$149,"Next week",'Session Tracker'!$G$5:$G$149,""),$D305*SUMIFS('Session Tracker'!$J$5:$J$149,'Session Tracker'!$D$5:$D$149,$A305,'Session Tracker'!$F$5:$F$149,"Next week",'Session Tracker'!$G$5:$G$149,""))</f>
        <v>0</v>
      </c>
    </row>
    <row r="306" customFormat="false" ht="15" hidden="false" customHeight="false" outlineLevel="0" collapsed="false">
      <c r="A306" s="53" t="s">
        <v>265</v>
      </c>
      <c r="B306" s="54"/>
      <c r="C306" s="54"/>
      <c r="D306" s="54"/>
      <c r="E306" s="54"/>
      <c r="F306" s="54"/>
      <c r="G306" s="54"/>
      <c r="H306" s="52" t="n">
        <f aca="false">IF($E306="Per class",$D306*COUNTIFS('Session Tracker'!$D$5:$D$149,$A306,'Session Tracker'!$F$5:$F$149,"Next week",'Session Tracker'!$G$5:$G$149,"Mon"),$D306*SUMIFS('Session Tracker'!$J$5:$J$149,'Session Tracker'!$D$5:$D$149,$A306,'Session Tracker'!$F$5:$F$149,"Next week",'Session Tracker'!$G$5:$G$149,"Mon"))</f>
        <v>0</v>
      </c>
      <c r="I306" s="52" t="n">
        <f aca="false">IF($E306="Per class",$D306*COUNTIFS('Session Tracker'!$D$5:$D$149,$A306,'Session Tracker'!$F$5:$F$149,"Next week",'Session Tracker'!$G$5:$G$149,"Tue"),$D306*SUMIFS('Session Tracker'!$J$5:$J$149,'Session Tracker'!$D$5:$D$149,$A306,'Session Tracker'!$F$5:$F$149,"Next week",'Session Tracker'!$G$5:$G$149,"Tue"))</f>
        <v>0</v>
      </c>
      <c r="J306" s="52" t="n">
        <f aca="false">IF($E306="Per class",$D306*COUNTIFS('Session Tracker'!$D$5:$D$149,$A306,'Session Tracker'!$F$5:$F$149,"Next week",'Session Tracker'!$G$5:$G$149,"Wed"),$D306*SUMIFS('Session Tracker'!$J$5:$J$149,'Session Tracker'!$D$5:$D$149,$A306,'Session Tracker'!$F$5:$F$149,"Next week",'Session Tracker'!$G$5:$G$149,"Wed"))</f>
        <v>0</v>
      </c>
      <c r="K306" s="52" t="n">
        <f aca="false">IF($E306="Per class",$D306*COUNTIFS('Session Tracker'!$D$5:$D$149,$A306,'Session Tracker'!$F$5:$F$149,"Next week",'Session Tracker'!$G$5:$G$149,"Thu"),$D306*SUMIFS('Session Tracker'!$J$5:$J$149,'Session Tracker'!$D$5:$D$149,$A306,'Session Tracker'!$F$5:$F$149,"Next week",'Session Tracker'!$G$5:$G$149,"Thu"))</f>
        <v>0</v>
      </c>
      <c r="L306" s="52" t="n">
        <f aca="false">IF($E306="Per class",$D306*COUNTIFS('Session Tracker'!$D$5:$D$149,$A306,'Session Tracker'!$F$5:$F$149,"Next week",'Session Tracker'!$G$5:$G$149,"Fri"),$D306*SUMIFS('Session Tracker'!$J$5:$J$149,'Session Tracker'!$D$5:$D$149,$A306,'Session Tracker'!$F$5:$F$149,"Next week",'Session Tracker'!$G$5:$G$149,"Fri"))</f>
        <v>0</v>
      </c>
      <c r="M306" s="52" t="n">
        <f aca="false">IF($E306="Per class",$D306*COUNTIFS('Session Tracker'!$D$5:$D$149,$A306,'Session Tracker'!$F$5:$F$149,"Next week",'Session Tracker'!$G$5:$G$149,""),$D306*SUMIFS('Session Tracker'!$J$5:$J$149,'Session Tracker'!$D$5:$D$149,$A306,'Session Tracker'!$F$5:$F$149,"Next week",'Session Tracker'!$G$5:$G$149,""))</f>
        <v>0</v>
      </c>
    </row>
    <row r="307" customFormat="false" ht="15" hidden="false" customHeight="false" outlineLevel="0" collapsed="false">
      <c r="A307" s="53" t="s">
        <v>265</v>
      </c>
      <c r="B307" s="54"/>
      <c r="C307" s="54"/>
      <c r="D307" s="54"/>
      <c r="E307" s="54"/>
      <c r="F307" s="54"/>
      <c r="G307" s="54"/>
      <c r="H307" s="52" t="n">
        <f aca="false">IF($E307="Per class",$D307*COUNTIFS('Session Tracker'!$D$5:$D$149,$A307,'Session Tracker'!$F$5:$F$149,"Next week",'Session Tracker'!$G$5:$G$149,"Mon"),$D307*SUMIFS('Session Tracker'!$J$5:$J$149,'Session Tracker'!$D$5:$D$149,$A307,'Session Tracker'!$F$5:$F$149,"Next week",'Session Tracker'!$G$5:$G$149,"Mon"))</f>
        <v>0</v>
      </c>
      <c r="I307" s="52" t="n">
        <f aca="false">IF($E307="Per class",$D307*COUNTIFS('Session Tracker'!$D$5:$D$149,$A307,'Session Tracker'!$F$5:$F$149,"Next week",'Session Tracker'!$G$5:$G$149,"Tue"),$D307*SUMIFS('Session Tracker'!$J$5:$J$149,'Session Tracker'!$D$5:$D$149,$A307,'Session Tracker'!$F$5:$F$149,"Next week",'Session Tracker'!$G$5:$G$149,"Tue"))</f>
        <v>0</v>
      </c>
      <c r="J307" s="52" t="n">
        <f aca="false">IF($E307="Per class",$D307*COUNTIFS('Session Tracker'!$D$5:$D$149,$A307,'Session Tracker'!$F$5:$F$149,"Next week",'Session Tracker'!$G$5:$G$149,"Wed"),$D307*SUMIFS('Session Tracker'!$J$5:$J$149,'Session Tracker'!$D$5:$D$149,$A307,'Session Tracker'!$F$5:$F$149,"Next week",'Session Tracker'!$G$5:$G$149,"Wed"))</f>
        <v>0</v>
      </c>
      <c r="K307" s="52" t="n">
        <f aca="false">IF($E307="Per class",$D307*COUNTIFS('Session Tracker'!$D$5:$D$149,$A307,'Session Tracker'!$F$5:$F$149,"Next week",'Session Tracker'!$G$5:$G$149,"Thu"),$D307*SUMIFS('Session Tracker'!$J$5:$J$149,'Session Tracker'!$D$5:$D$149,$A307,'Session Tracker'!$F$5:$F$149,"Next week",'Session Tracker'!$G$5:$G$149,"Thu"))</f>
        <v>0</v>
      </c>
      <c r="L307" s="52" t="n">
        <f aca="false">IF($E307="Per class",$D307*COUNTIFS('Session Tracker'!$D$5:$D$149,$A307,'Session Tracker'!$F$5:$F$149,"Next week",'Session Tracker'!$G$5:$G$149,"Fri"),$D307*SUMIFS('Session Tracker'!$J$5:$J$149,'Session Tracker'!$D$5:$D$149,$A307,'Session Tracker'!$F$5:$F$149,"Next week",'Session Tracker'!$G$5:$G$149,"Fri"))</f>
        <v>0</v>
      </c>
      <c r="M307" s="52" t="n">
        <f aca="false">IF($E307="Per class",$D307*COUNTIFS('Session Tracker'!$D$5:$D$149,$A307,'Session Tracker'!$F$5:$F$149,"Next week",'Session Tracker'!$G$5:$G$149,""),$D307*SUMIFS('Session Tracker'!$J$5:$J$149,'Session Tracker'!$D$5:$D$149,$A307,'Session Tracker'!$F$5:$F$149,"Next week",'Session Tracker'!$G$5:$G$149,""))</f>
        <v>0</v>
      </c>
    </row>
    <row r="309" customFormat="false" ht="19.5" hidden="false" customHeight="true" outlineLevel="0" collapsed="false">
      <c r="A309" s="64" t="s">
        <v>267</v>
      </c>
      <c r="B309" s="65" t="s">
        <v>637</v>
      </c>
      <c r="C309" s="65"/>
      <c r="D309" s="65"/>
      <c r="E309" s="65"/>
      <c r="F309" s="66" t="str">
        <f aca="false">"Status: "&amp;'Session Tracker'!F103&amp;IF('Session Tracker'!G103&lt;&gt;""," ("&amp;'Session Tracker'!G103&amp;")","")</f>
        <v>Status: Not started</v>
      </c>
      <c r="G309" s="66"/>
      <c r="H309" s="67"/>
      <c r="I309" s="67"/>
      <c r="J309" s="67"/>
      <c r="K309" s="67"/>
      <c r="L309" s="67"/>
      <c r="M309" s="67"/>
    </row>
    <row r="310" customFormat="false" ht="23.85" hidden="false" customHeight="false" outlineLevel="0" collapsed="false">
      <c r="A310" s="68" t="s">
        <v>267</v>
      </c>
      <c r="B310" s="34" t="s">
        <v>366</v>
      </c>
      <c r="C310" s="34" t="s">
        <v>367</v>
      </c>
      <c r="D310" s="32" t="n">
        <v>1</v>
      </c>
      <c r="E310" s="32" t="s">
        <v>14</v>
      </c>
      <c r="F310" s="32" t="s">
        <v>368</v>
      </c>
      <c r="G310" s="34"/>
      <c r="H310" s="52" t="n">
        <f aca="false">IF($E310="Per class",$D310*COUNTIFS('Session Tracker'!$D$5:$D$149,$A310,'Session Tracker'!$F$5:$F$149,"Next week",'Session Tracker'!$G$5:$G$149,"Mon"),$D310*SUMIFS('Session Tracker'!$J$5:$J$149,'Session Tracker'!$D$5:$D$149,$A310,'Session Tracker'!$F$5:$F$149,"Next week",'Session Tracker'!$G$5:$G$149,"Mon"))</f>
        <v>0</v>
      </c>
      <c r="I310" s="52" t="n">
        <f aca="false">IF($E310="Per class",$D310*COUNTIFS('Session Tracker'!$D$5:$D$149,$A310,'Session Tracker'!$F$5:$F$149,"Next week",'Session Tracker'!$G$5:$G$149,"Tue"),$D310*SUMIFS('Session Tracker'!$J$5:$J$149,'Session Tracker'!$D$5:$D$149,$A310,'Session Tracker'!$F$5:$F$149,"Next week",'Session Tracker'!$G$5:$G$149,"Tue"))</f>
        <v>0</v>
      </c>
      <c r="J310" s="52" t="n">
        <f aca="false">IF($E310="Per class",$D310*COUNTIFS('Session Tracker'!$D$5:$D$149,$A310,'Session Tracker'!$F$5:$F$149,"Next week",'Session Tracker'!$G$5:$G$149,"Wed"),$D310*SUMIFS('Session Tracker'!$J$5:$J$149,'Session Tracker'!$D$5:$D$149,$A310,'Session Tracker'!$F$5:$F$149,"Next week",'Session Tracker'!$G$5:$G$149,"Wed"))</f>
        <v>0</v>
      </c>
      <c r="K310" s="52" t="n">
        <f aca="false">IF($E310="Per class",$D310*COUNTIFS('Session Tracker'!$D$5:$D$149,$A310,'Session Tracker'!$F$5:$F$149,"Next week",'Session Tracker'!$G$5:$G$149,"Thu"),$D310*SUMIFS('Session Tracker'!$J$5:$J$149,'Session Tracker'!$D$5:$D$149,$A310,'Session Tracker'!$F$5:$F$149,"Next week",'Session Tracker'!$G$5:$G$149,"Thu"))</f>
        <v>0</v>
      </c>
      <c r="L310" s="52" t="n">
        <f aca="false">IF($E310="Per class",$D310*COUNTIFS('Session Tracker'!$D$5:$D$149,$A310,'Session Tracker'!$F$5:$F$149,"Next week",'Session Tracker'!$G$5:$G$149,"Fri"),$D310*SUMIFS('Session Tracker'!$J$5:$J$149,'Session Tracker'!$D$5:$D$149,$A310,'Session Tracker'!$F$5:$F$149,"Next week",'Session Tracker'!$G$5:$G$149,"Fri"))</f>
        <v>0</v>
      </c>
      <c r="M310" s="52" t="n">
        <f aca="false">IF($E310="Per class",$D310*COUNTIFS('Session Tracker'!$D$5:$D$149,$A310,'Session Tracker'!$F$5:$F$149,"Next week",'Session Tracker'!$G$5:$G$149,""),$D310*SUMIFS('Session Tracker'!$J$5:$J$149,'Session Tracker'!$D$5:$D$149,$A310,'Session Tracker'!$F$5:$F$149,"Next week",'Session Tracker'!$G$5:$G$149,""))</f>
        <v>0</v>
      </c>
    </row>
    <row r="311" customFormat="false" ht="15" hidden="false" customHeight="false" outlineLevel="0" collapsed="false">
      <c r="A311" s="68" t="s">
        <v>267</v>
      </c>
      <c r="B311" s="34" t="s">
        <v>369</v>
      </c>
      <c r="C311" s="34" t="s">
        <v>550</v>
      </c>
      <c r="D311" s="32" t="n">
        <v>1</v>
      </c>
      <c r="E311" s="32" t="s">
        <v>14</v>
      </c>
      <c r="F311" s="32" t="s">
        <v>368</v>
      </c>
      <c r="G311" s="34"/>
      <c r="H311" s="52" t="n">
        <f aca="false">IF($E311="Per class",$D311*COUNTIFS('Session Tracker'!$D$5:$D$149,$A311,'Session Tracker'!$F$5:$F$149,"Next week",'Session Tracker'!$G$5:$G$149,"Mon"),$D311*SUMIFS('Session Tracker'!$J$5:$J$149,'Session Tracker'!$D$5:$D$149,$A311,'Session Tracker'!$F$5:$F$149,"Next week",'Session Tracker'!$G$5:$G$149,"Mon"))</f>
        <v>0</v>
      </c>
      <c r="I311" s="52" t="n">
        <f aca="false">IF($E311="Per class",$D311*COUNTIFS('Session Tracker'!$D$5:$D$149,$A311,'Session Tracker'!$F$5:$F$149,"Next week",'Session Tracker'!$G$5:$G$149,"Tue"),$D311*SUMIFS('Session Tracker'!$J$5:$J$149,'Session Tracker'!$D$5:$D$149,$A311,'Session Tracker'!$F$5:$F$149,"Next week",'Session Tracker'!$G$5:$G$149,"Tue"))</f>
        <v>0</v>
      </c>
      <c r="J311" s="52" t="n">
        <f aca="false">IF($E311="Per class",$D311*COUNTIFS('Session Tracker'!$D$5:$D$149,$A311,'Session Tracker'!$F$5:$F$149,"Next week",'Session Tracker'!$G$5:$G$149,"Wed"),$D311*SUMIFS('Session Tracker'!$J$5:$J$149,'Session Tracker'!$D$5:$D$149,$A311,'Session Tracker'!$F$5:$F$149,"Next week",'Session Tracker'!$G$5:$G$149,"Wed"))</f>
        <v>0</v>
      </c>
      <c r="K311" s="52" t="n">
        <f aca="false">IF($E311="Per class",$D311*COUNTIFS('Session Tracker'!$D$5:$D$149,$A311,'Session Tracker'!$F$5:$F$149,"Next week",'Session Tracker'!$G$5:$G$149,"Thu"),$D311*SUMIFS('Session Tracker'!$J$5:$J$149,'Session Tracker'!$D$5:$D$149,$A311,'Session Tracker'!$F$5:$F$149,"Next week",'Session Tracker'!$G$5:$G$149,"Thu"))</f>
        <v>0</v>
      </c>
      <c r="L311" s="52" t="n">
        <f aca="false">IF($E311="Per class",$D311*COUNTIFS('Session Tracker'!$D$5:$D$149,$A311,'Session Tracker'!$F$5:$F$149,"Next week",'Session Tracker'!$G$5:$G$149,"Fri"),$D311*SUMIFS('Session Tracker'!$J$5:$J$149,'Session Tracker'!$D$5:$D$149,$A311,'Session Tracker'!$F$5:$F$149,"Next week",'Session Tracker'!$G$5:$G$149,"Fri"))</f>
        <v>0</v>
      </c>
      <c r="M311" s="52" t="n">
        <f aca="false">IF($E311="Per class",$D311*COUNTIFS('Session Tracker'!$D$5:$D$149,$A311,'Session Tracker'!$F$5:$F$149,"Next week",'Session Tracker'!$G$5:$G$149,""),$D311*SUMIFS('Session Tracker'!$J$5:$J$149,'Session Tracker'!$D$5:$D$149,$A311,'Session Tracker'!$F$5:$F$149,"Next week",'Session Tracker'!$G$5:$G$149,""))</f>
        <v>0</v>
      </c>
    </row>
    <row r="312" customFormat="false" ht="15" hidden="false" customHeight="false" outlineLevel="0" collapsed="false">
      <c r="A312" s="68" t="s">
        <v>267</v>
      </c>
      <c r="B312" s="34" t="s">
        <v>377</v>
      </c>
      <c r="C312" s="34" t="s">
        <v>638</v>
      </c>
      <c r="D312" s="32" t="n">
        <v>1</v>
      </c>
      <c r="E312" s="32" t="s">
        <v>14</v>
      </c>
      <c r="F312" s="32" t="s">
        <v>368</v>
      </c>
      <c r="G312" s="34"/>
      <c r="H312" s="52" t="n">
        <f aca="false">IF($E312="Per class",$D312*COUNTIFS('Session Tracker'!$D$5:$D$149,$A312,'Session Tracker'!$F$5:$F$149,"Next week",'Session Tracker'!$G$5:$G$149,"Mon"),$D312*SUMIFS('Session Tracker'!$J$5:$J$149,'Session Tracker'!$D$5:$D$149,$A312,'Session Tracker'!$F$5:$F$149,"Next week",'Session Tracker'!$G$5:$G$149,"Mon"))</f>
        <v>0</v>
      </c>
      <c r="I312" s="52" t="n">
        <f aca="false">IF($E312="Per class",$D312*COUNTIFS('Session Tracker'!$D$5:$D$149,$A312,'Session Tracker'!$F$5:$F$149,"Next week",'Session Tracker'!$G$5:$G$149,"Tue"),$D312*SUMIFS('Session Tracker'!$J$5:$J$149,'Session Tracker'!$D$5:$D$149,$A312,'Session Tracker'!$F$5:$F$149,"Next week",'Session Tracker'!$G$5:$G$149,"Tue"))</f>
        <v>0</v>
      </c>
      <c r="J312" s="52" t="n">
        <f aca="false">IF($E312="Per class",$D312*COUNTIFS('Session Tracker'!$D$5:$D$149,$A312,'Session Tracker'!$F$5:$F$149,"Next week",'Session Tracker'!$G$5:$G$149,"Wed"),$D312*SUMIFS('Session Tracker'!$J$5:$J$149,'Session Tracker'!$D$5:$D$149,$A312,'Session Tracker'!$F$5:$F$149,"Next week",'Session Tracker'!$G$5:$G$149,"Wed"))</f>
        <v>0</v>
      </c>
      <c r="K312" s="52" t="n">
        <f aca="false">IF($E312="Per class",$D312*COUNTIFS('Session Tracker'!$D$5:$D$149,$A312,'Session Tracker'!$F$5:$F$149,"Next week",'Session Tracker'!$G$5:$G$149,"Thu"),$D312*SUMIFS('Session Tracker'!$J$5:$J$149,'Session Tracker'!$D$5:$D$149,$A312,'Session Tracker'!$F$5:$F$149,"Next week",'Session Tracker'!$G$5:$G$149,"Thu"))</f>
        <v>0</v>
      </c>
      <c r="L312" s="52" t="n">
        <f aca="false">IF($E312="Per class",$D312*COUNTIFS('Session Tracker'!$D$5:$D$149,$A312,'Session Tracker'!$F$5:$F$149,"Next week",'Session Tracker'!$G$5:$G$149,"Fri"),$D312*SUMIFS('Session Tracker'!$J$5:$J$149,'Session Tracker'!$D$5:$D$149,$A312,'Session Tracker'!$F$5:$F$149,"Next week",'Session Tracker'!$G$5:$G$149,"Fri"))</f>
        <v>0</v>
      </c>
      <c r="M312" s="52" t="n">
        <f aca="false">IF($E312="Per class",$D312*COUNTIFS('Session Tracker'!$D$5:$D$149,$A312,'Session Tracker'!$F$5:$F$149,"Next week",'Session Tracker'!$G$5:$G$149,""),$D312*SUMIFS('Session Tracker'!$J$5:$J$149,'Session Tracker'!$D$5:$D$149,$A312,'Session Tracker'!$F$5:$F$149,"Next week",'Session Tracker'!$G$5:$G$149,""))</f>
        <v>0</v>
      </c>
    </row>
    <row r="313" customFormat="false" ht="15" hidden="false" customHeight="false" outlineLevel="0" collapsed="false">
      <c r="A313" s="68" t="s">
        <v>267</v>
      </c>
      <c r="B313" s="34" t="s">
        <v>371</v>
      </c>
      <c r="C313" s="34" t="s">
        <v>517</v>
      </c>
      <c r="D313" s="32" t="n">
        <v>1</v>
      </c>
      <c r="E313" s="32" t="s">
        <v>14</v>
      </c>
      <c r="F313" s="32" t="s">
        <v>368</v>
      </c>
      <c r="G313" s="34"/>
      <c r="H313" s="52" t="n">
        <f aca="false">IF($E313="Per class",$D313*COUNTIFS('Session Tracker'!$D$5:$D$149,$A313,'Session Tracker'!$F$5:$F$149,"Next week",'Session Tracker'!$G$5:$G$149,"Mon"),$D313*SUMIFS('Session Tracker'!$J$5:$J$149,'Session Tracker'!$D$5:$D$149,$A313,'Session Tracker'!$F$5:$F$149,"Next week",'Session Tracker'!$G$5:$G$149,"Mon"))</f>
        <v>0</v>
      </c>
      <c r="I313" s="52" t="n">
        <f aca="false">IF($E313="Per class",$D313*COUNTIFS('Session Tracker'!$D$5:$D$149,$A313,'Session Tracker'!$F$5:$F$149,"Next week",'Session Tracker'!$G$5:$G$149,"Tue"),$D313*SUMIFS('Session Tracker'!$J$5:$J$149,'Session Tracker'!$D$5:$D$149,$A313,'Session Tracker'!$F$5:$F$149,"Next week",'Session Tracker'!$G$5:$G$149,"Tue"))</f>
        <v>0</v>
      </c>
      <c r="J313" s="52" t="n">
        <f aca="false">IF($E313="Per class",$D313*COUNTIFS('Session Tracker'!$D$5:$D$149,$A313,'Session Tracker'!$F$5:$F$149,"Next week",'Session Tracker'!$G$5:$G$149,"Wed"),$D313*SUMIFS('Session Tracker'!$J$5:$J$149,'Session Tracker'!$D$5:$D$149,$A313,'Session Tracker'!$F$5:$F$149,"Next week",'Session Tracker'!$G$5:$G$149,"Wed"))</f>
        <v>0</v>
      </c>
      <c r="K313" s="52" t="n">
        <f aca="false">IF($E313="Per class",$D313*COUNTIFS('Session Tracker'!$D$5:$D$149,$A313,'Session Tracker'!$F$5:$F$149,"Next week",'Session Tracker'!$G$5:$G$149,"Thu"),$D313*SUMIFS('Session Tracker'!$J$5:$J$149,'Session Tracker'!$D$5:$D$149,$A313,'Session Tracker'!$F$5:$F$149,"Next week",'Session Tracker'!$G$5:$G$149,"Thu"))</f>
        <v>0</v>
      </c>
      <c r="L313" s="52" t="n">
        <f aca="false">IF($E313="Per class",$D313*COUNTIFS('Session Tracker'!$D$5:$D$149,$A313,'Session Tracker'!$F$5:$F$149,"Next week",'Session Tracker'!$G$5:$G$149,"Fri"),$D313*SUMIFS('Session Tracker'!$J$5:$J$149,'Session Tracker'!$D$5:$D$149,$A313,'Session Tracker'!$F$5:$F$149,"Next week",'Session Tracker'!$G$5:$G$149,"Fri"))</f>
        <v>0</v>
      </c>
      <c r="M313" s="52" t="n">
        <f aca="false">IF($E313="Per class",$D313*COUNTIFS('Session Tracker'!$D$5:$D$149,$A313,'Session Tracker'!$F$5:$F$149,"Next week",'Session Tracker'!$G$5:$G$149,""),$D313*SUMIFS('Session Tracker'!$J$5:$J$149,'Session Tracker'!$D$5:$D$149,$A313,'Session Tracker'!$F$5:$F$149,"Next week",'Session Tracker'!$G$5:$G$149,""))</f>
        <v>0</v>
      </c>
    </row>
    <row r="314" customFormat="false" ht="15" hidden="false" customHeight="false" outlineLevel="0" collapsed="false">
      <c r="A314" s="68" t="s">
        <v>267</v>
      </c>
      <c r="B314" s="34" t="s">
        <v>379</v>
      </c>
      <c r="C314" s="34" t="s">
        <v>395</v>
      </c>
      <c r="D314" s="32" t="n">
        <v>8</v>
      </c>
      <c r="E314" s="32" t="s">
        <v>14</v>
      </c>
      <c r="F314" s="32" t="s">
        <v>368</v>
      </c>
      <c r="G314" s="34"/>
      <c r="H314" s="52" t="n">
        <f aca="false">IF($E314="Per class",$D314*COUNTIFS('Session Tracker'!$D$5:$D$149,$A314,'Session Tracker'!$F$5:$F$149,"Next week",'Session Tracker'!$G$5:$G$149,"Mon"),$D314*SUMIFS('Session Tracker'!$J$5:$J$149,'Session Tracker'!$D$5:$D$149,$A314,'Session Tracker'!$F$5:$F$149,"Next week",'Session Tracker'!$G$5:$G$149,"Mon"))</f>
        <v>0</v>
      </c>
      <c r="I314" s="52" t="n">
        <f aca="false">IF($E314="Per class",$D314*COUNTIFS('Session Tracker'!$D$5:$D$149,$A314,'Session Tracker'!$F$5:$F$149,"Next week",'Session Tracker'!$G$5:$G$149,"Tue"),$D314*SUMIFS('Session Tracker'!$J$5:$J$149,'Session Tracker'!$D$5:$D$149,$A314,'Session Tracker'!$F$5:$F$149,"Next week",'Session Tracker'!$G$5:$G$149,"Tue"))</f>
        <v>0</v>
      </c>
      <c r="J314" s="52" t="n">
        <f aca="false">IF($E314="Per class",$D314*COUNTIFS('Session Tracker'!$D$5:$D$149,$A314,'Session Tracker'!$F$5:$F$149,"Next week",'Session Tracker'!$G$5:$G$149,"Wed"),$D314*SUMIFS('Session Tracker'!$J$5:$J$149,'Session Tracker'!$D$5:$D$149,$A314,'Session Tracker'!$F$5:$F$149,"Next week",'Session Tracker'!$G$5:$G$149,"Wed"))</f>
        <v>0</v>
      </c>
      <c r="K314" s="52" t="n">
        <f aca="false">IF($E314="Per class",$D314*COUNTIFS('Session Tracker'!$D$5:$D$149,$A314,'Session Tracker'!$F$5:$F$149,"Next week",'Session Tracker'!$G$5:$G$149,"Thu"),$D314*SUMIFS('Session Tracker'!$J$5:$J$149,'Session Tracker'!$D$5:$D$149,$A314,'Session Tracker'!$F$5:$F$149,"Next week",'Session Tracker'!$G$5:$G$149,"Thu"))</f>
        <v>0</v>
      </c>
      <c r="L314" s="52" t="n">
        <f aca="false">IF($E314="Per class",$D314*COUNTIFS('Session Tracker'!$D$5:$D$149,$A314,'Session Tracker'!$F$5:$F$149,"Next week",'Session Tracker'!$G$5:$G$149,"Fri"),$D314*SUMIFS('Session Tracker'!$J$5:$J$149,'Session Tracker'!$D$5:$D$149,$A314,'Session Tracker'!$F$5:$F$149,"Next week",'Session Tracker'!$G$5:$G$149,"Fri"))</f>
        <v>0</v>
      </c>
      <c r="M314" s="52" t="n">
        <f aca="false">IF($E314="Per class",$D314*COUNTIFS('Session Tracker'!$D$5:$D$149,$A314,'Session Tracker'!$F$5:$F$149,"Next week",'Session Tracker'!$G$5:$G$149,""),$D314*SUMIFS('Session Tracker'!$J$5:$J$149,'Session Tracker'!$D$5:$D$149,$A314,'Session Tracker'!$F$5:$F$149,"Next week",'Session Tracker'!$G$5:$G$149,""))</f>
        <v>0</v>
      </c>
    </row>
    <row r="315" customFormat="false" ht="15" hidden="false" customHeight="false" outlineLevel="0" collapsed="false">
      <c r="A315" s="68" t="s">
        <v>267</v>
      </c>
      <c r="B315" s="34" t="s">
        <v>382</v>
      </c>
      <c r="C315" s="34" t="s">
        <v>383</v>
      </c>
      <c r="D315" s="32" t="n">
        <v>1</v>
      </c>
      <c r="E315" s="32" t="s">
        <v>14</v>
      </c>
      <c r="F315" s="32" t="s">
        <v>368</v>
      </c>
      <c r="G315" s="34"/>
      <c r="H315" s="52" t="n">
        <f aca="false">IF($E315="Per class",$D315*COUNTIFS('Session Tracker'!$D$5:$D$149,$A315,'Session Tracker'!$F$5:$F$149,"Next week",'Session Tracker'!$G$5:$G$149,"Mon"),$D315*SUMIFS('Session Tracker'!$J$5:$J$149,'Session Tracker'!$D$5:$D$149,$A315,'Session Tracker'!$F$5:$F$149,"Next week",'Session Tracker'!$G$5:$G$149,"Mon"))</f>
        <v>0</v>
      </c>
      <c r="I315" s="52" t="n">
        <f aca="false">IF($E315="Per class",$D315*COUNTIFS('Session Tracker'!$D$5:$D$149,$A315,'Session Tracker'!$F$5:$F$149,"Next week",'Session Tracker'!$G$5:$G$149,"Tue"),$D315*SUMIFS('Session Tracker'!$J$5:$J$149,'Session Tracker'!$D$5:$D$149,$A315,'Session Tracker'!$F$5:$F$149,"Next week",'Session Tracker'!$G$5:$G$149,"Tue"))</f>
        <v>0</v>
      </c>
      <c r="J315" s="52" t="n">
        <f aca="false">IF($E315="Per class",$D315*COUNTIFS('Session Tracker'!$D$5:$D$149,$A315,'Session Tracker'!$F$5:$F$149,"Next week",'Session Tracker'!$G$5:$G$149,"Wed"),$D315*SUMIFS('Session Tracker'!$J$5:$J$149,'Session Tracker'!$D$5:$D$149,$A315,'Session Tracker'!$F$5:$F$149,"Next week",'Session Tracker'!$G$5:$G$149,"Wed"))</f>
        <v>0</v>
      </c>
      <c r="K315" s="52" t="n">
        <f aca="false">IF($E315="Per class",$D315*COUNTIFS('Session Tracker'!$D$5:$D$149,$A315,'Session Tracker'!$F$5:$F$149,"Next week",'Session Tracker'!$G$5:$G$149,"Thu"),$D315*SUMIFS('Session Tracker'!$J$5:$J$149,'Session Tracker'!$D$5:$D$149,$A315,'Session Tracker'!$F$5:$F$149,"Next week",'Session Tracker'!$G$5:$G$149,"Thu"))</f>
        <v>0</v>
      </c>
      <c r="L315" s="52" t="n">
        <f aca="false">IF($E315="Per class",$D315*COUNTIFS('Session Tracker'!$D$5:$D$149,$A315,'Session Tracker'!$F$5:$F$149,"Next week",'Session Tracker'!$G$5:$G$149,"Fri"),$D315*SUMIFS('Session Tracker'!$J$5:$J$149,'Session Tracker'!$D$5:$D$149,$A315,'Session Tracker'!$F$5:$F$149,"Next week",'Session Tracker'!$G$5:$G$149,"Fri"))</f>
        <v>0</v>
      </c>
      <c r="M315" s="52" t="n">
        <f aca="false">IF($E315="Per class",$D315*COUNTIFS('Session Tracker'!$D$5:$D$149,$A315,'Session Tracker'!$F$5:$F$149,"Next week",'Session Tracker'!$G$5:$G$149,""),$D315*SUMIFS('Session Tracker'!$J$5:$J$149,'Session Tracker'!$D$5:$D$149,$A315,'Session Tracker'!$F$5:$F$149,"Next week",'Session Tracker'!$G$5:$G$149,""))</f>
        <v>0</v>
      </c>
    </row>
    <row r="316" customFormat="false" ht="15" hidden="false" customHeight="false" outlineLevel="0" collapsed="false">
      <c r="A316" s="68" t="s">
        <v>267</v>
      </c>
      <c r="B316" s="34" t="s">
        <v>371</v>
      </c>
      <c r="C316" s="34" t="s">
        <v>372</v>
      </c>
      <c r="D316" s="32" t="n">
        <v>1</v>
      </c>
      <c r="E316" s="32" t="s">
        <v>14</v>
      </c>
      <c r="F316" s="32" t="s">
        <v>373</v>
      </c>
      <c r="G316" s="34" t="s">
        <v>389</v>
      </c>
      <c r="H316" s="52" t="n">
        <f aca="false">IF($E316="Per class",$D316*COUNTIFS('Session Tracker'!$D$5:$D$149,$A316,'Session Tracker'!$F$5:$F$149,"Next week",'Session Tracker'!$G$5:$G$149,"Mon"),$D316*SUMIFS('Session Tracker'!$J$5:$J$149,'Session Tracker'!$D$5:$D$149,$A316,'Session Tracker'!$F$5:$F$149,"Next week",'Session Tracker'!$G$5:$G$149,"Mon"))</f>
        <v>0</v>
      </c>
      <c r="I316" s="52" t="n">
        <f aca="false">IF($E316="Per class",$D316*COUNTIFS('Session Tracker'!$D$5:$D$149,$A316,'Session Tracker'!$F$5:$F$149,"Next week",'Session Tracker'!$G$5:$G$149,"Tue"),$D316*SUMIFS('Session Tracker'!$J$5:$J$149,'Session Tracker'!$D$5:$D$149,$A316,'Session Tracker'!$F$5:$F$149,"Next week",'Session Tracker'!$G$5:$G$149,"Tue"))</f>
        <v>0</v>
      </c>
      <c r="J316" s="52" t="n">
        <f aca="false">IF($E316="Per class",$D316*COUNTIFS('Session Tracker'!$D$5:$D$149,$A316,'Session Tracker'!$F$5:$F$149,"Next week",'Session Tracker'!$G$5:$G$149,"Wed"),$D316*SUMIFS('Session Tracker'!$J$5:$J$149,'Session Tracker'!$D$5:$D$149,$A316,'Session Tracker'!$F$5:$F$149,"Next week",'Session Tracker'!$G$5:$G$149,"Wed"))</f>
        <v>0</v>
      </c>
      <c r="K316" s="52" t="n">
        <f aca="false">IF($E316="Per class",$D316*COUNTIFS('Session Tracker'!$D$5:$D$149,$A316,'Session Tracker'!$F$5:$F$149,"Next week",'Session Tracker'!$G$5:$G$149,"Thu"),$D316*SUMIFS('Session Tracker'!$J$5:$J$149,'Session Tracker'!$D$5:$D$149,$A316,'Session Tracker'!$F$5:$F$149,"Next week",'Session Tracker'!$G$5:$G$149,"Thu"))</f>
        <v>0</v>
      </c>
      <c r="L316" s="52" t="n">
        <f aca="false">IF($E316="Per class",$D316*COUNTIFS('Session Tracker'!$D$5:$D$149,$A316,'Session Tracker'!$F$5:$F$149,"Next week",'Session Tracker'!$G$5:$G$149,"Fri"),$D316*SUMIFS('Session Tracker'!$J$5:$J$149,'Session Tracker'!$D$5:$D$149,$A316,'Session Tracker'!$F$5:$F$149,"Next week",'Session Tracker'!$G$5:$G$149,"Fri"))</f>
        <v>0</v>
      </c>
      <c r="M316" s="52" t="n">
        <f aca="false">IF($E316="Per class",$D316*COUNTIFS('Session Tracker'!$D$5:$D$149,$A316,'Session Tracker'!$F$5:$F$149,"Next week",'Session Tracker'!$G$5:$G$149,""),$D316*SUMIFS('Session Tracker'!$J$5:$J$149,'Session Tracker'!$D$5:$D$149,$A316,'Session Tracker'!$F$5:$F$149,"Next week",'Session Tracker'!$G$5:$G$149,""))</f>
        <v>0</v>
      </c>
    </row>
    <row r="317" customFormat="false" ht="15" hidden="false" customHeight="false" outlineLevel="0" collapsed="false">
      <c r="A317" s="68" t="s">
        <v>267</v>
      </c>
      <c r="B317" s="34" t="s">
        <v>375</v>
      </c>
      <c r="C317" s="34" t="s">
        <v>376</v>
      </c>
      <c r="D317" s="32" t="n">
        <v>1</v>
      </c>
      <c r="E317" s="32" t="s">
        <v>14</v>
      </c>
      <c r="F317" s="32" t="s">
        <v>373</v>
      </c>
      <c r="G317" s="34" t="s">
        <v>442</v>
      </c>
      <c r="H317" s="52" t="n">
        <f aca="false">IF($E317="Per class",$D317*COUNTIFS('Session Tracker'!$D$5:$D$149,$A317,'Session Tracker'!$F$5:$F$149,"Next week",'Session Tracker'!$G$5:$G$149,"Mon"),$D317*SUMIFS('Session Tracker'!$J$5:$J$149,'Session Tracker'!$D$5:$D$149,$A317,'Session Tracker'!$F$5:$F$149,"Next week",'Session Tracker'!$G$5:$G$149,"Mon"))</f>
        <v>0</v>
      </c>
      <c r="I317" s="52" t="n">
        <f aca="false">IF($E317="Per class",$D317*COUNTIFS('Session Tracker'!$D$5:$D$149,$A317,'Session Tracker'!$F$5:$F$149,"Next week",'Session Tracker'!$G$5:$G$149,"Tue"),$D317*SUMIFS('Session Tracker'!$J$5:$J$149,'Session Tracker'!$D$5:$D$149,$A317,'Session Tracker'!$F$5:$F$149,"Next week",'Session Tracker'!$G$5:$G$149,"Tue"))</f>
        <v>0</v>
      </c>
      <c r="J317" s="52" t="n">
        <f aca="false">IF($E317="Per class",$D317*COUNTIFS('Session Tracker'!$D$5:$D$149,$A317,'Session Tracker'!$F$5:$F$149,"Next week",'Session Tracker'!$G$5:$G$149,"Wed"),$D317*SUMIFS('Session Tracker'!$J$5:$J$149,'Session Tracker'!$D$5:$D$149,$A317,'Session Tracker'!$F$5:$F$149,"Next week",'Session Tracker'!$G$5:$G$149,"Wed"))</f>
        <v>0</v>
      </c>
      <c r="K317" s="52" t="n">
        <f aca="false">IF($E317="Per class",$D317*COUNTIFS('Session Tracker'!$D$5:$D$149,$A317,'Session Tracker'!$F$5:$F$149,"Next week",'Session Tracker'!$G$5:$G$149,"Thu"),$D317*SUMIFS('Session Tracker'!$J$5:$J$149,'Session Tracker'!$D$5:$D$149,$A317,'Session Tracker'!$F$5:$F$149,"Next week",'Session Tracker'!$G$5:$G$149,"Thu"))</f>
        <v>0</v>
      </c>
      <c r="L317" s="52" t="n">
        <f aca="false">IF($E317="Per class",$D317*COUNTIFS('Session Tracker'!$D$5:$D$149,$A317,'Session Tracker'!$F$5:$F$149,"Next week",'Session Tracker'!$G$5:$G$149,"Fri"),$D317*SUMIFS('Session Tracker'!$J$5:$J$149,'Session Tracker'!$D$5:$D$149,$A317,'Session Tracker'!$F$5:$F$149,"Next week",'Session Tracker'!$G$5:$G$149,"Fri"))</f>
        <v>0</v>
      </c>
      <c r="M317" s="52" t="n">
        <f aca="false">IF($E317="Per class",$D317*COUNTIFS('Session Tracker'!$D$5:$D$149,$A317,'Session Tracker'!$F$5:$F$149,"Next week",'Session Tracker'!$G$5:$G$149,""),$D317*SUMIFS('Session Tracker'!$J$5:$J$149,'Session Tracker'!$D$5:$D$149,$A317,'Session Tracker'!$F$5:$F$149,"Next week",'Session Tracker'!$G$5:$G$149,""))</f>
        <v>0</v>
      </c>
    </row>
    <row r="318" customFormat="false" ht="15" hidden="false" customHeight="false" outlineLevel="0" collapsed="false">
      <c r="A318" s="68" t="s">
        <v>267</v>
      </c>
      <c r="B318" s="34" t="s">
        <v>377</v>
      </c>
      <c r="C318" s="34" t="s">
        <v>378</v>
      </c>
      <c r="D318" s="32" t="n">
        <v>1</v>
      </c>
      <c r="E318" s="32" t="s">
        <v>14</v>
      </c>
      <c r="F318" s="32" t="s">
        <v>368</v>
      </c>
      <c r="G318" s="34" t="s">
        <v>389</v>
      </c>
      <c r="H318" s="52" t="n">
        <f aca="false">IF($E318="Per class",$D318*COUNTIFS('Session Tracker'!$D$5:$D$149,$A318,'Session Tracker'!$F$5:$F$149,"Next week",'Session Tracker'!$G$5:$G$149,"Mon"),$D318*SUMIFS('Session Tracker'!$J$5:$J$149,'Session Tracker'!$D$5:$D$149,$A318,'Session Tracker'!$F$5:$F$149,"Next week",'Session Tracker'!$G$5:$G$149,"Mon"))</f>
        <v>0</v>
      </c>
      <c r="I318" s="52" t="n">
        <f aca="false">IF($E318="Per class",$D318*COUNTIFS('Session Tracker'!$D$5:$D$149,$A318,'Session Tracker'!$F$5:$F$149,"Next week",'Session Tracker'!$G$5:$G$149,"Tue"),$D318*SUMIFS('Session Tracker'!$J$5:$J$149,'Session Tracker'!$D$5:$D$149,$A318,'Session Tracker'!$F$5:$F$149,"Next week",'Session Tracker'!$G$5:$G$149,"Tue"))</f>
        <v>0</v>
      </c>
      <c r="J318" s="52" t="n">
        <f aca="false">IF($E318="Per class",$D318*COUNTIFS('Session Tracker'!$D$5:$D$149,$A318,'Session Tracker'!$F$5:$F$149,"Next week",'Session Tracker'!$G$5:$G$149,"Wed"),$D318*SUMIFS('Session Tracker'!$J$5:$J$149,'Session Tracker'!$D$5:$D$149,$A318,'Session Tracker'!$F$5:$F$149,"Next week",'Session Tracker'!$G$5:$G$149,"Wed"))</f>
        <v>0</v>
      </c>
      <c r="K318" s="52" t="n">
        <f aca="false">IF($E318="Per class",$D318*COUNTIFS('Session Tracker'!$D$5:$D$149,$A318,'Session Tracker'!$F$5:$F$149,"Next week",'Session Tracker'!$G$5:$G$149,"Thu"),$D318*SUMIFS('Session Tracker'!$J$5:$J$149,'Session Tracker'!$D$5:$D$149,$A318,'Session Tracker'!$F$5:$F$149,"Next week",'Session Tracker'!$G$5:$G$149,"Thu"))</f>
        <v>0</v>
      </c>
      <c r="L318" s="52" t="n">
        <f aca="false">IF($E318="Per class",$D318*COUNTIFS('Session Tracker'!$D$5:$D$149,$A318,'Session Tracker'!$F$5:$F$149,"Next week",'Session Tracker'!$G$5:$G$149,"Fri"),$D318*SUMIFS('Session Tracker'!$J$5:$J$149,'Session Tracker'!$D$5:$D$149,$A318,'Session Tracker'!$F$5:$F$149,"Next week",'Session Tracker'!$G$5:$G$149,"Fri"))</f>
        <v>0</v>
      </c>
      <c r="M318" s="52" t="n">
        <f aca="false">IF($E318="Per class",$D318*COUNTIFS('Session Tracker'!$D$5:$D$149,$A318,'Session Tracker'!$F$5:$F$149,"Next week",'Session Tracker'!$G$5:$G$149,""),$D318*SUMIFS('Session Tracker'!$J$5:$J$149,'Session Tracker'!$D$5:$D$149,$A318,'Session Tracker'!$F$5:$F$149,"Next week",'Session Tracker'!$G$5:$G$149,""))</f>
        <v>0</v>
      </c>
    </row>
    <row r="319" customFormat="false" ht="15" hidden="false" customHeight="false" outlineLevel="0" collapsed="false">
      <c r="A319" s="53" t="s">
        <v>267</v>
      </c>
      <c r="B319" s="54"/>
      <c r="C319" s="54"/>
      <c r="D319" s="54"/>
      <c r="E319" s="54"/>
      <c r="F319" s="54"/>
      <c r="G319" s="54"/>
      <c r="H319" s="52" t="n">
        <f aca="false">IF($E319="Per class",$D319*COUNTIFS('Session Tracker'!$D$5:$D$149,$A319,'Session Tracker'!$F$5:$F$149,"Next week",'Session Tracker'!$G$5:$G$149,"Mon"),$D319*SUMIFS('Session Tracker'!$J$5:$J$149,'Session Tracker'!$D$5:$D$149,$A319,'Session Tracker'!$F$5:$F$149,"Next week",'Session Tracker'!$G$5:$G$149,"Mon"))</f>
        <v>0</v>
      </c>
      <c r="I319" s="52" t="n">
        <f aca="false">IF($E319="Per class",$D319*COUNTIFS('Session Tracker'!$D$5:$D$149,$A319,'Session Tracker'!$F$5:$F$149,"Next week",'Session Tracker'!$G$5:$G$149,"Tue"),$D319*SUMIFS('Session Tracker'!$J$5:$J$149,'Session Tracker'!$D$5:$D$149,$A319,'Session Tracker'!$F$5:$F$149,"Next week",'Session Tracker'!$G$5:$G$149,"Tue"))</f>
        <v>0</v>
      </c>
      <c r="J319" s="52" t="n">
        <f aca="false">IF($E319="Per class",$D319*COUNTIFS('Session Tracker'!$D$5:$D$149,$A319,'Session Tracker'!$F$5:$F$149,"Next week",'Session Tracker'!$G$5:$G$149,"Wed"),$D319*SUMIFS('Session Tracker'!$J$5:$J$149,'Session Tracker'!$D$5:$D$149,$A319,'Session Tracker'!$F$5:$F$149,"Next week",'Session Tracker'!$G$5:$G$149,"Wed"))</f>
        <v>0</v>
      </c>
      <c r="K319" s="52" t="n">
        <f aca="false">IF($E319="Per class",$D319*COUNTIFS('Session Tracker'!$D$5:$D$149,$A319,'Session Tracker'!$F$5:$F$149,"Next week",'Session Tracker'!$G$5:$G$149,"Thu"),$D319*SUMIFS('Session Tracker'!$J$5:$J$149,'Session Tracker'!$D$5:$D$149,$A319,'Session Tracker'!$F$5:$F$149,"Next week",'Session Tracker'!$G$5:$G$149,"Thu"))</f>
        <v>0</v>
      </c>
      <c r="L319" s="52" t="n">
        <f aca="false">IF($E319="Per class",$D319*COUNTIFS('Session Tracker'!$D$5:$D$149,$A319,'Session Tracker'!$F$5:$F$149,"Next week",'Session Tracker'!$G$5:$G$149,"Fri"),$D319*SUMIFS('Session Tracker'!$J$5:$J$149,'Session Tracker'!$D$5:$D$149,$A319,'Session Tracker'!$F$5:$F$149,"Next week",'Session Tracker'!$G$5:$G$149,"Fri"))</f>
        <v>0</v>
      </c>
      <c r="M319" s="52" t="n">
        <f aca="false">IF($E319="Per class",$D319*COUNTIFS('Session Tracker'!$D$5:$D$149,$A319,'Session Tracker'!$F$5:$F$149,"Next week",'Session Tracker'!$G$5:$G$149,""),$D319*SUMIFS('Session Tracker'!$J$5:$J$149,'Session Tracker'!$D$5:$D$149,$A319,'Session Tracker'!$F$5:$F$149,"Next week",'Session Tracker'!$G$5:$G$149,""))</f>
        <v>0</v>
      </c>
    </row>
    <row r="320" customFormat="false" ht="15" hidden="false" customHeight="false" outlineLevel="0" collapsed="false">
      <c r="A320" s="53" t="s">
        <v>267</v>
      </c>
      <c r="B320" s="54"/>
      <c r="C320" s="54"/>
      <c r="D320" s="54"/>
      <c r="E320" s="54"/>
      <c r="F320" s="54"/>
      <c r="G320" s="54"/>
      <c r="H320" s="52" t="n">
        <f aca="false">IF($E320="Per class",$D320*COUNTIFS('Session Tracker'!$D$5:$D$149,$A320,'Session Tracker'!$F$5:$F$149,"Next week",'Session Tracker'!$G$5:$G$149,"Mon"),$D320*SUMIFS('Session Tracker'!$J$5:$J$149,'Session Tracker'!$D$5:$D$149,$A320,'Session Tracker'!$F$5:$F$149,"Next week",'Session Tracker'!$G$5:$G$149,"Mon"))</f>
        <v>0</v>
      </c>
      <c r="I320" s="52" t="n">
        <f aca="false">IF($E320="Per class",$D320*COUNTIFS('Session Tracker'!$D$5:$D$149,$A320,'Session Tracker'!$F$5:$F$149,"Next week",'Session Tracker'!$G$5:$G$149,"Tue"),$D320*SUMIFS('Session Tracker'!$J$5:$J$149,'Session Tracker'!$D$5:$D$149,$A320,'Session Tracker'!$F$5:$F$149,"Next week",'Session Tracker'!$G$5:$G$149,"Tue"))</f>
        <v>0</v>
      </c>
      <c r="J320" s="52" t="n">
        <f aca="false">IF($E320="Per class",$D320*COUNTIFS('Session Tracker'!$D$5:$D$149,$A320,'Session Tracker'!$F$5:$F$149,"Next week",'Session Tracker'!$G$5:$G$149,"Wed"),$D320*SUMIFS('Session Tracker'!$J$5:$J$149,'Session Tracker'!$D$5:$D$149,$A320,'Session Tracker'!$F$5:$F$149,"Next week",'Session Tracker'!$G$5:$G$149,"Wed"))</f>
        <v>0</v>
      </c>
      <c r="K320" s="52" t="n">
        <f aca="false">IF($E320="Per class",$D320*COUNTIFS('Session Tracker'!$D$5:$D$149,$A320,'Session Tracker'!$F$5:$F$149,"Next week",'Session Tracker'!$G$5:$G$149,"Thu"),$D320*SUMIFS('Session Tracker'!$J$5:$J$149,'Session Tracker'!$D$5:$D$149,$A320,'Session Tracker'!$F$5:$F$149,"Next week",'Session Tracker'!$G$5:$G$149,"Thu"))</f>
        <v>0</v>
      </c>
      <c r="L320" s="52" t="n">
        <f aca="false">IF($E320="Per class",$D320*COUNTIFS('Session Tracker'!$D$5:$D$149,$A320,'Session Tracker'!$F$5:$F$149,"Next week",'Session Tracker'!$G$5:$G$149,"Fri"),$D320*SUMIFS('Session Tracker'!$J$5:$J$149,'Session Tracker'!$D$5:$D$149,$A320,'Session Tracker'!$F$5:$F$149,"Next week",'Session Tracker'!$G$5:$G$149,"Fri"))</f>
        <v>0</v>
      </c>
      <c r="M320" s="52" t="n">
        <f aca="false">IF($E320="Per class",$D320*COUNTIFS('Session Tracker'!$D$5:$D$149,$A320,'Session Tracker'!$F$5:$F$149,"Next week",'Session Tracker'!$G$5:$G$149,""),$D320*SUMIFS('Session Tracker'!$J$5:$J$149,'Session Tracker'!$D$5:$D$149,$A320,'Session Tracker'!$F$5:$F$149,"Next week",'Session Tracker'!$G$5:$G$149,""))</f>
        <v>0</v>
      </c>
    </row>
    <row r="322" customFormat="false" ht="19.5" hidden="false" customHeight="true" outlineLevel="0" collapsed="false">
      <c r="A322" s="64" t="s">
        <v>269</v>
      </c>
      <c r="B322" s="65" t="s">
        <v>639</v>
      </c>
      <c r="C322" s="65"/>
      <c r="D322" s="65"/>
      <c r="E322" s="65"/>
      <c r="F322" s="66" t="str">
        <f aca="false">"Status: "&amp;'Session Tracker'!F104&amp;IF('Session Tracker'!G104&lt;&gt;""," ("&amp;'Session Tracker'!G104&amp;")","")</f>
        <v>Status: Not started</v>
      </c>
      <c r="G322" s="66"/>
      <c r="H322" s="67"/>
      <c r="I322" s="67"/>
      <c r="J322" s="67"/>
      <c r="K322" s="67"/>
      <c r="L322" s="67"/>
      <c r="M322" s="67"/>
    </row>
    <row r="323" customFormat="false" ht="23.85" hidden="false" customHeight="false" outlineLevel="0" collapsed="false">
      <c r="A323" s="68" t="s">
        <v>269</v>
      </c>
      <c r="B323" s="34" t="s">
        <v>366</v>
      </c>
      <c r="C323" s="34" t="s">
        <v>367</v>
      </c>
      <c r="D323" s="32" t="n">
        <v>2</v>
      </c>
      <c r="E323" s="32" t="s">
        <v>14</v>
      </c>
      <c r="F323" s="32" t="s">
        <v>368</v>
      </c>
      <c r="G323" s="34" t="s">
        <v>640</v>
      </c>
      <c r="H323" s="52" t="n">
        <f aca="false">IF($E323="Per class",$D323*COUNTIFS('Session Tracker'!$D$5:$D$149,$A323,'Session Tracker'!$F$5:$F$149,"Next week",'Session Tracker'!$G$5:$G$149,"Mon"),$D323*SUMIFS('Session Tracker'!$J$5:$J$149,'Session Tracker'!$D$5:$D$149,$A323,'Session Tracker'!$F$5:$F$149,"Next week",'Session Tracker'!$G$5:$G$149,"Mon"))</f>
        <v>0</v>
      </c>
      <c r="I323" s="52" t="n">
        <f aca="false">IF($E323="Per class",$D323*COUNTIFS('Session Tracker'!$D$5:$D$149,$A323,'Session Tracker'!$F$5:$F$149,"Next week",'Session Tracker'!$G$5:$G$149,"Tue"),$D323*SUMIFS('Session Tracker'!$J$5:$J$149,'Session Tracker'!$D$5:$D$149,$A323,'Session Tracker'!$F$5:$F$149,"Next week",'Session Tracker'!$G$5:$G$149,"Tue"))</f>
        <v>0</v>
      </c>
      <c r="J323" s="52" t="n">
        <f aca="false">IF($E323="Per class",$D323*COUNTIFS('Session Tracker'!$D$5:$D$149,$A323,'Session Tracker'!$F$5:$F$149,"Next week",'Session Tracker'!$G$5:$G$149,"Wed"),$D323*SUMIFS('Session Tracker'!$J$5:$J$149,'Session Tracker'!$D$5:$D$149,$A323,'Session Tracker'!$F$5:$F$149,"Next week",'Session Tracker'!$G$5:$G$149,"Wed"))</f>
        <v>0</v>
      </c>
      <c r="K323" s="52" t="n">
        <f aca="false">IF($E323="Per class",$D323*COUNTIFS('Session Tracker'!$D$5:$D$149,$A323,'Session Tracker'!$F$5:$F$149,"Next week",'Session Tracker'!$G$5:$G$149,"Thu"),$D323*SUMIFS('Session Tracker'!$J$5:$J$149,'Session Tracker'!$D$5:$D$149,$A323,'Session Tracker'!$F$5:$F$149,"Next week",'Session Tracker'!$G$5:$G$149,"Thu"))</f>
        <v>0</v>
      </c>
      <c r="L323" s="52" t="n">
        <f aca="false">IF($E323="Per class",$D323*COUNTIFS('Session Tracker'!$D$5:$D$149,$A323,'Session Tracker'!$F$5:$F$149,"Next week",'Session Tracker'!$G$5:$G$149,"Fri"),$D323*SUMIFS('Session Tracker'!$J$5:$J$149,'Session Tracker'!$D$5:$D$149,$A323,'Session Tracker'!$F$5:$F$149,"Next week",'Session Tracker'!$G$5:$G$149,"Fri"))</f>
        <v>0</v>
      </c>
      <c r="M323" s="52" t="n">
        <f aca="false">IF($E323="Per class",$D323*COUNTIFS('Session Tracker'!$D$5:$D$149,$A323,'Session Tracker'!$F$5:$F$149,"Next week",'Session Tracker'!$G$5:$G$149,""),$D323*SUMIFS('Session Tracker'!$J$5:$J$149,'Session Tracker'!$D$5:$D$149,$A323,'Session Tracker'!$F$5:$F$149,"Next week",'Session Tracker'!$G$5:$G$149,""))</f>
        <v>0</v>
      </c>
    </row>
    <row r="324" customFormat="false" ht="15" hidden="false" customHeight="false" outlineLevel="0" collapsed="false">
      <c r="A324" s="68" t="s">
        <v>269</v>
      </c>
      <c r="B324" s="34" t="s">
        <v>371</v>
      </c>
      <c r="C324" s="34" t="s">
        <v>372</v>
      </c>
      <c r="D324" s="32" t="n">
        <v>1</v>
      </c>
      <c r="E324" s="32" t="s">
        <v>14</v>
      </c>
      <c r="F324" s="32" t="s">
        <v>373</v>
      </c>
      <c r="G324" s="34" t="s">
        <v>641</v>
      </c>
      <c r="H324" s="52" t="n">
        <f aca="false">IF($E324="Per class",$D324*COUNTIFS('Session Tracker'!$D$5:$D$149,$A324,'Session Tracker'!$F$5:$F$149,"Next week",'Session Tracker'!$G$5:$G$149,"Mon"),$D324*SUMIFS('Session Tracker'!$J$5:$J$149,'Session Tracker'!$D$5:$D$149,$A324,'Session Tracker'!$F$5:$F$149,"Next week",'Session Tracker'!$G$5:$G$149,"Mon"))</f>
        <v>0</v>
      </c>
      <c r="I324" s="52" t="n">
        <f aca="false">IF($E324="Per class",$D324*COUNTIFS('Session Tracker'!$D$5:$D$149,$A324,'Session Tracker'!$F$5:$F$149,"Next week",'Session Tracker'!$G$5:$G$149,"Tue"),$D324*SUMIFS('Session Tracker'!$J$5:$J$149,'Session Tracker'!$D$5:$D$149,$A324,'Session Tracker'!$F$5:$F$149,"Next week",'Session Tracker'!$G$5:$G$149,"Tue"))</f>
        <v>0</v>
      </c>
      <c r="J324" s="52" t="n">
        <f aca="false">IF($E324="Per class",$D324*COUNTIFS('Session Tracker'!$D$5:$D$149,$A324,'Session Tracker'!$F$5:$F$149,"Next week",'Session Tracker'!$G$5:$G$149,"Wed"),$D324*SUMIFS('Session Tracker'!$J$5:$J$149,'Session Tracker'!$D$5:$D$149,$A324,'Session Tracker'!$F$5:$F$149,"Next week",'Session Tracker'!$G$5:$G$149,"Wed"))</f>
        <v>0</v>
      </c>
      <c r="K324" s="52" t="n">
        <f aca="false">IF($E324="Per class",$D324*COUNTIFS('Session Tracker'!$D$5:$D$149,$A324,'Session Tracker'!$F$5:$F$149,"Next week",'Session Tracker'!$G$5:$G$149,"Thu"),$D324*SUMIFS('Session Tracker'!$J$5:$J$149,'Session Tracker'!$D$5:$D$149,$A324,'Session Tracker'!$F$5:$F$149,"Next week",'Session Tracker'!$G$5:$G$149,"Thu"))</f>
        <v>0</v>
      </c>
      <c r="L324" s="52" t="n">
        <f aca="false">IF($E324="Per class",$D324*COUNTIFS('Session Tracker'!$D$5:$D$149,$A324,'Session Tracker'!$F$5:$F$149,"Next week",'Session Tracker'!$G$5:$G$149,"Fri"),$D324*SUMIFS('Session Tracker'!$J$5:$J$149,'Session Tracker'!$D$5:$D$149,$A324,'Session Tracker'!$F$5:$F$149,"Next week",'Session Tracker'!$G$5:$G$149,"Fri"))</f>
        <v>0</v>
      </c>
      <c r="M324" s="52" t="n">
        <f aca="false">IF($E324="Per class",$D324*COUNTIFS('Session Tracker'!$D$5:$D$149,$A324,'Session Tracker'!$F$5:$F$149,"Next week",'Session Tracker'!$G$5:$G$149,""),$D324*SUMIFS('Session Tracker'!$J$5:$J$149,'Session Tracker'!$D$5:$D$149,$A324,'Session Tracker'!$F$5:$F$149,"Next week",'Session Tracker'!$G$5:$G$149,""))</f>
        <v>0</v>
      </c>
    </row>
    <row r="325" customFormat="false" ht="15" hidden="false" customHeight="false" outlineLevel="0" collapsed="false">
      <c r="A325" s="68" t="s">
        <v>269</v>
      </c>
      <c r="B325" s="34" t="s">
        <v>369</v>
      </c>
      <c r="C325" s="34" t="s">
        <v>428</v>
      </c>
      <c r="D325" s="32" t="n">
        <v>1</v>
      </c>
      <c r="E325" s="32" t="s">
        <v>14</v>
      </c>
      <c r="F325" s="32" t="s">
        <v>368</v>
      </c>
      <c r="G325" s="34"/>
      <c r="H325" s="52" t="n">
        <f aca="false">IF($E325="Per class",$D325*COUNTIFS('Session Tracker'!$D$5:$D$149,$A325,'Session Tracker'!$F$5:$F$149,"Next week",'Session Tracker'!$G$5:$G$149,"Mon"),$D325*SUMIFS('Session Tracker'!$J$5:$J$149,'Session Tracker'!$D$5:$D$149,$A325,'Session Tracker'!$F$5:$F$149,"Next week",'Session Tracker'!$G$5:$G$149,"Mon"))</f>
        <v>0</v>
      </c>
      <c r="I325" s="52" t="n">
        <f aca="false">IF($E325="Per class",$D325*COUNTIFS('Session Tracker'!$D$5:$D$149,$A325,'Session Tracker'!$F$5:$F$149,"Next week",'Session Tracker'!$G$5:$G$149,"Tue"),$D325*SUMIFS('Session Tracker'!$J$5:$J$149,'Session Tracker'!$D$5:$D$149,$A325,'Session Tracker'!$F$5:$F$149,"Next week",'Session Tracker'!$G$5:$G$149,"Tue"))</f>
        <v>0</v>
      </c>
      <c r="J325" s="52" t="n">
        <f aca="false">IF($E325="Per class",$D325*COUNTIFS('Session Tracker'!$D$5:$D$149,$A325,'Session Tracker'!$F$5:$F$149,"Next week",'Session Tracker'!$G$5:$G$149,"Wed"),$D325*SUMIFS('Session Tracker'!$J$5:$J$149,'Session Tracker'!$D$5:$D$149,$A325,'Session Tracker'!$F$5:$F$149,"Next week",'Session Tracker'!$G$5:$G$149,"Wed"))</f>
        <v>0</v>
      </c>
      <c r="K325" s="52" t="n">
        <f aca="false">IF($E325="Per class",$D325*COUNTIFS('Session Tracker'!$D$5:$D$149,$A325,'Session Tracker'!$F$5:$F$149,"Next week",'Session Tracker'!$G$5:$G$149,"Thu"),$D325*SUMIFS('Session Tracker'!$J$5:$J$149,'Session Tracker'!$D$5:$D$149,$A325,'Session Tracker'!$F$5:$F$149,"Next week",'Session Tracker'!$G$5:$G$149,"Thu"))</f>
        <v>0</v>
      </c>
      <c r="L325" s="52" t="n">
        <f aca="false">IF($E325="Per class",$D325*COUNTIFS('Session Tracker'!$D$5:$D$149,$A325,'Session Tracker'!$F$5:$F$149,"Next week",'Session Tracker'!$G$5:$G$149,"Fri"),$D325*SUMIFS('Session Tracker'!$J$5:$J$149,'Session Tracker'!$D$5:$D$149,$A325,'Session Tracker'!$F$5:$F$149,"Next week",'Session Tracker'!$G$5:$G$149,"Fri"))</f>
        <v>0</v>
      </c>
      <c r="M325" s="52" t="n">
        <f aca="false">IF($E325="Per class",$D325*COUNTIFS('Session Tracker'!$D$5:$D$149,$A325,'Session Tracker'!$F$5:$F$149,"Next week",'Session Tracker'!$G$5:$G$149,""),$D325*SUMIFS('Session Tracker'!$J$5:$J$149,'Session Tracker'!$D$5:$D$149,$A325,'Session Tracker'!$F$5:$F$149,"Next week",'Session Tracker'!$G$5:$G$149,""))</f>
        <v>0</v>
      </c>
    </row>
    <row r="326" customFormat="false" ht="15" hidden="false" customHeight="false" outlineLevel="0" collapsed="false">
      <c r="A326" s="68" t="s">
        <v>269</v>
      </c>
      <c r="B326" s="34" t="s">
        <v>375</v>
      </c>
      <c r="C326" s="34" t="s">
        <v>376</v>
      </c>
      <c r="D326" s="32" t="n">
        <v>1</v>
      </c>
      <c r="E326" s="32" t="s">
        <v>14</v>
      </c>
      <c r="F326" s="32" t="s">
        <v>373</v>
      </c>
      <c r="G326" s="34"/>
      <c r="H326" s="52" t="n">
        <f aca="false">IF($E326="Per class",$D326*COUNTIFS('Session Tracker'!$D$5:$D$149,$A326,'Session Tracker'!$F$5:$F$149,"Next week",'Session Tracker'!$G$5:$G$149,"Mon"),$D326*SUMIFS('Session Tracker'!$J$5:$J$149,'Session Tracker'!$D$5:$D$149,$A326,'Session Tracker'!$F$5:$F$149,"Next week",'Session Tracker'!$G$5:$G$149,"Mon"))</f>
        <v>0</v>
      </c>
      <c r="I326" s="52" t="n">
        <f aca="false">IF($E326="Per class",$D326*COUNTIFS('Session Tracker'!$D$5:$D$149,$A326,'Session Tracker'!$F$5:$F$149,"Next week",'Session Tracker'!$G$5:$G$149,"Tue"),$D326*SUMIFS('Session Tracker'!$J$5:$J$149,'Session Tracker'!$D$5:$D$149,$A326,'Session Tracker'!$F$5:$F$149,"Next week",'Session Tracker'!$G$5:$G$149,"Tue"))</f>
        <v>0</v>
      </c>
      <c r="J326" s="52" t="n">
        <f aca="false">IF($E326="Per class",$D326*COUNTIFS('Session Tracker'!$D$5:$D$149,$A326,'Session Tracker'!$F$5:$F$149,"Next week",'Session Tracker'!$G$5:$G$149,"Wed"),$D326*SUMIFS('Session Tracker'!$J$5:$J$149,'Session Tracker'!$D$5:$D$149,$A326,'Session Tracker'!$F$5:$F$149,"Next week",'Session Tracker'!$G$5:$G$149,"Wed"))</f>
        <v>0</v>
      </c>
      <c r="K326" s="52" t="n">
        <f aca="false">IF($E326="Per class",$D326*COUNTIFS('Session Tracker'!$D$5:$D$149,$A326,'Session Tracker'!$F$5:$F$149,"Next week",'Session Tracker'!$G$5:$G$149,"Thu"),$D326*SUMIFS('Session Tracker'!$J$5:$J$149,'Session Tracker'!$D$5:$D$149,$A326,'Session Tracker'!$F$5:$F$149,"Next week",'Session Tracker'!$G$5:$G$149,"Thu"))</f>
        <v>0</v>
      </c>
      <c r="L326" s="52" t="n">
        <f aca="false">IF($E326="Per class",$D326*COUNTIFS('Session Tracker'!$D$5:$D$149,$A326,'Session Tracker'!$F$5:$F$149,"Next week",'Session Tracker'!$G$5:$G$149,"Fri"),$D326*SUMIFS('Session Tracker'!$J$5:$J$149,'Session Tracker'!$D$5:$D$149,$A326,'Session Tracker'!$F$5:$F$149,"Next week",'Session Tracker'!$G$5:$G$149,"Fri"))</f>
        <v>0</v>
      </c>
      <c r="M326" s="52" t="n">
        <f aca="false">IF($E326="Per class",$D326*COUNTIFS('Session Tracker'!$D$5:$D$149,$A326,'Session Tracker'!$F$5:$F$149,"Next week",'Session Tracker'!$G$5:$G$149,""),$D326*SUMIFS('Session Tracker'!$J$5:$J$149,'Session Tracker'!$D$5:$D$149,$A326,'Session Tracker'!$F$5:$F$149,"Next week",'Session Tracker'!$G$5:$G$149,""))</f>
        <v>0</v>
      </c>
    </row>
    <row r="327" customFormat="false" ht="15" hidden="false" customHeight="false" outlineLevel="0" collapsed="false">
      <c r="A327" s="68" t="s">
        <v>269</v>
      </c>
      <c r="B327" s="34" t="s">
        <v>379</v>
      </c>
      <c r="C327" s="34" t="s">
        <v>380</v>
      </c>
      <c r="D327" s="32" t="n">
        <v>2</v>
      </c>
      <c r="E327" s="32" t="s">
        <v>14</v>
      </c>
      <c r="F327" s="32" t="s">
        <v>368</v>
      </c>
      <c r="G327" s="34"/>
      <c r="H327" s="52" t="n">
        <f aca="false">IF($E327="Per class",$D327*COUNTIFS('Session Tracker'!$D$5:$D$149,$A327,'Session Tracker'!$F$5:$F$149,"Next week",'Session Tracker'!$G$5:$G$149,"Mon"),$D327*SUMIFS('Session Tracker'!$J$5:$J$149,'Session Tracker'!$D$5:$D$149,$A327,'Session Tracker'!$F$5:$F$149,"Next week",'Session Tracker'!$G$5:$G$149,"Mon"))</f>
        <v>0</v>
      </c>
      <c r="I327" s="52" t="n">
        <f aca="false">IF($E327="Per class",$D327*COUNTIFS('Session Tracker'!$D$5:$D$149,$A327,'Session Tracker'!$F$5:$F$149,"Next week",'Session Tracker'!$G$5:$G$149,"Tue"),$D327*SUMIFS('Session Tracker'!$J$5:$J$149,'Session Tracker'!$D$5:$D$149,$A327,'Session Tracker'!$F$5:$F$149,"Next week",'Session Tracker'!$G$5:$G$149,"Tue"))</f>
        <v>0</v>
      </c>
      <c r="J327" s="52" t="n">
        <f aca="false">IF($E327="Per class",$D327*COUNTIFS('Session Tracker'!$D$5:$D$149,$A327,'Session Tracker'!$F$5:$F$149,"Next week",'Session Tracker'!$G$5:$G$149,"Wed"),$D327*SUMIFS('Session Tracker'!$J$5:$J$149,'Session Tracker'!$D$5:$D$149,$A327,'Session Tracker'!$F$5:$F$149,"Next week",'Session Tracker'!$G$5:$G$149,"Wed"))</f>
        <v>0</v>
      </c>
      <c r="K327" s="52" t="n">
        <f aca="false">IF($E327="Per class",$D327*COUNTIFS('Session Tracker'!$D$5:$D$149,$A327,'Session Tracker'!$F$5:$F$149,"Next week",'Session Tracker'!$G$5:$G$149,"Thu"),$D327*SUMIFS('Session Tracker'!$J$5:$J$149,'Session Tracker'!$D$5:$D$149,$A327,'Session Tracker'!$F$5:$F$149,"Next week",'Session Tracker'!$G$5:$G$149,"Thu"))</f>
        <v>0</v>
      </c>
      <c r="L327" s="52" t="n">
        <f aca="false">IF($E327="Per class",$D327*COUNTIFS('Session Tracker'!$D$5:$D$149,$A327,'Session Tracker'!$F$5:$F$149,"Next week",'Session Tracker'!$G$5:$G$149,"Fri"),$D327*SUMIFS('Session Tracker'!$J$5:$J$149,'Session Tracker'!$D$5:$D$149,$A327,'Session Tracker'!$F$5:$F$149,"Next week",'Session Tracker'!$G$5:$G$149,"Fri"))</f>
        <v>0</v>
      </c>
      <c r="M327" s="52" t="n">
        <f aca="false">IF($E327="Per class",$D327*COUNTIFS('Session Tracker'!$D$5:$D$149,$A327,'Session Tracker'!$F$5:$F$149,"Next week",'Session Tracker'!$G$5:$G$149,""),$D327*SUMIFS('Session Tracker'!$J$5:$J$149,'Session Tracker'!$D$5:$D$149,$A327,'Session Tracker'!$F$5:$F$149,"Next week",'Session Tracker'!$G$5:$G$149,""))</f>
        <v>0</v>
      </c>
    </row>
    <row r="328" customFormat="false" ht="15" hidden="false" customHeight="false" outlineLevel="0" collapsed="false">
      <c r="A328" s="68" t="s">
        <v>269</v>
      </c>
      <c r="B328" s="34" t="s">
        <v>379</v>
      </c>
      <c r="C328" s="34" t="s">
        <v>381</v>
      </c>
      <c r="D328" s="32" t="n">
        <v>8</v>
      </c>
      <c r="E328" s="32" t="s">
        <v>14</v>
      </c>
      <c r="F328" s="32" t="s">
        <v>368</v>
      </c>
      <c r="G328" s="34"/>
      <c r="H328" s="52" t="n">
        <f aca="false">IF($E328="Per class",$D328*COUNTIFS('Session Tracker'!$D$5:$D$149,$A328,'Session Tracker'!$F$5:$F$149,"Next week",'Session Tracker'!$G$5:$G$149,"Mon"),$D328*SUMIFS('Session Tracker'!$J$5:$J$149,'Session Tracker'!$D$5:$D$149,$A328,'Session Tracker'!$F$5:$F$149,"Next week",'Session Tracker'!$G$5:$G$149,"Mon"))</f>
        <v>0</v>
      </c>
      <c r="I328" s="52" t="n">
        <f aca="false">IF($E328="Per class",$D328*COUNTIFS('Session Tracker'!$D$5:$D$149,$A328,'Session Tracker'!$F$5:$F$149,"Next week",'Session Tracker'!$G$5:$G$149,"Tue"),$D328*SUMIFS('Session Tracker'!$J$5:$J$149,'Session Tracker'!$D$5:$D$149,$A328,'Session Tracker'!$F$5:$F$149,"Next week",'Session Tracker'!$G$5:$G$149,"Tue"))</f>
        <v>0</v>
      </c>
      <c r="J328" s="52" t="n">
        <f aca="false">IF($E328="Per class",$D328*COUNTIFS('Session Tracker'!$D$5:$D$149,$A328,'Session Tracker'!$F$5:$F$149,"Next week",'Session Tracker'!$G$5:$G$149,"Wed"),$D328*SUMIFS('Session Tracker'!$J$5:$J$149,'Session Tracker'!$D$5:$D$149,$A328,'Session Tracker'!$F$5:$F$149,"Next week",'Session Tracker'!$G$5:$G$149,"Wed"))</f>
        <v>0</v>
      </c>
      <c r="K328" s="52" t="n">
        <f aca="false">IF($E328="Per class",$D328*COUNTIFS('Session Tracker'!$D$5:$D$149,$A328,'Session Tracker'!$F$5:$F$149,"Next week",'Session Tracker'!$G$5:$G$149,"Thu"),$D328*SUMIFS('Session Tracker'!$J$5:$J$149,'Session Tracker'!$D$5:$D$149,$A328,'Session Tracker'!$F$5:$F$149,"Next week",'Session Tracker'!$G$5:$G$149,"Thu"))</f>
        <v>0</v>
      </c>
      <c r="L328" s="52" t="n">
        <f aca="false">IF($E328="Per class",$D328*COUNTIFS('Session Tracker'!$D$5:$D$149,$A328,'Session Tracker'!$F$5:$F$149,"Next week",'Session Tracker'!$G$5:$G$149,"Fri"),$D328*SUMIFS('Session Tracker'!$J$5:$J$149,'Session Tracker'!$D$5:$D$149,$A328,'Session Tracker'!$F$5:$F$149,"Next week",'Session Tracker'!$G$5:$G$149,"Fri"))</f>
        <v>0</v>
      </c>
      <c r="M328" s="52" t="n">
        <f aca="false">IF($E328="Per class",$D328*COUNTIFS('Session Tracker'!$D$5:$D$149,$A328,'Session Tracker'!$F$5:$F$149,"Next week",'Session Tracker'!$G$5:$G$149,""),$D328*SUMIFS('Session Tracker'!$J$5:$J$149,'Session Tracker'!$D$5:$D$149,$A328,'Session Tracker'!$F$5:$F$149,"Next week",'Session Tracker'!$G$5:$G$149,""))</f>
        <v>0</v>
      </c>
    </row>
    <row r="329" customFormat="false" ht="15" hidden="false" customHeight="false" outlineLevel="0" collapsed="false">
      <c r="A329" s="68" t="s">
        <v>269</v>
      </c>
      <c r="B329" s="34" t="s">
        <v>382</v>
      </c>
      <c r="C329" s="34" t="s">
        <v>383</v>
      </c>
      <c r="D329" s="32" t="n">
        <v>2</v>
      </c>
      <c r="E329" s="32" t="s">
        <v>14</v>
      </c>
      <c r="F329" s="32" t="s">
        <v>368</v>
      </c>
      <c r="G329" s="34"/>
      <c r="H329" s="52" t="n">
        <f aca="false">IF($E329="Per class",$D329*COUNTIFS('Session Tracker'!$D$5:$D$149,$A329,'Session Tracker'!$F$5:$F$149,"Next week",'Session Tracker'!$G$5:$G$149,"Mon"),$D329*SUMIFS('Session Tracker'!$J$5:$J$149,'Session Tracker'!$D$5:$D$149,$A329,'Session Tracker'!$F$5:$F$149,"Next week",'Session Tracker'!$G$5:$G$149,"Mon"))</f>
        <v>0</v>
      </c>
      <c r="I329" s="52" t="n">
        <f aca="false">IF($E329="Per class",$D329*COUNTIFS('Session Tracker'!$D$5:$D$149,$A329,'Session Tracker'!$F$5:$F$149,"Next week",'Session Tracker'!$G$5:$G$149,"Tue"),$D329*SUMIFS('Session Tracker'!$J$5:$J$149,'Session Tracker'!$D$5:$D$149,$A329,'Session Tracker'!$F$5:$F$149,"Next week",'Session Tracker'!$G$5:$G$149,"Tue"))</f>
        <v>0</v>
      </c>
      <c r="J329" s="52" t="n">
        <f aca="false">IF($E329="Per class",$D329*COUNTIFS('Session Tracker'!$D$5:$D$149,$A329,'Session Tracker'!$F$5:$F$149,"Next week",'Session Tracker'!$G$5:$G$149,"Wed"),$D329*SUMIFS('Session Tracker'!$J$5:$J$149,'Session Tracker'!$D$5:$D$149,$A329,'Session Tracker'!$F$5:$F$149,"Next week",'Session Tracker'!$G$5:$G$149,"Wed"))</f>
        <v>0</v>
      </c>
      <c r="K329" s="52" t="n">
        <f aca="false">IF($E329="Per class",$D329*COUNTIFS('Session Tracker'!$D$5:$D$149,$A329,'Session Tracker'!$F$5:$F$149,"Next week",'Session Tracker'!$G$5:$G$149,"Thu"),$D329*SUMIFS('Session Tracker'!$J$5:$J$149,'Session Tracker'!$D$5:$D$149,$A329,'Session Tracker'!$F$5:$F$149,"Next week",'Session Tracker'!$G$5:$G$149,"Thu"))</f>
        <v>0</v>
      </c>
      <c r="L329" s="52" t="n">
        <f aca="false">IF($E329="Per class",$D329*COUNTIFS('Session Tracker'!$D$5:$D$149,$A329,'Session Tracker'!$F$5:$F$149,"Next week",'Session Tracker'!$G$5:$G$149,"Fri"),$D329*SUMIFS('Session Tracker'!$J$5:$J$149,'Session Tracker'!$D$5:$D$149,$A329,'Session Tracker'!$F$5:$F$149,"Next week",'Session Tracker'!$G$5:$G$149,"Fri"))</f>
        <v>0</v>
      </c>
      <c r="M329" s="52" t="n">
        <f aca="false">IF($E329="Per class",$D329*COUNTIFS('Session Tracker'!$D$5:$D$149,$A329,'Session Tracker'!$F$5:$F$149,"Next week",'Session Tracker'!$G$5:$G$149,""),$D329*SUMIFS('Session Tracker'!$J$5:$J$149,'Session Tracker'!$D$5:$D$149,$A329,'Session Tracker'!$F$5:$F$149,"Next week",'Session Tracker'!$G$5:$G$149,""))</f>
        <v>0</v>
      </c>
    </row>
    <row r="330" customFormat="false" ht="15" hidden="false" customHeight="false" outlineLevel="0" collapsed="false">
      <c r="A330" s="68" t="s">
        <v>269</v>
      </c>
      <c r="B330" s="34" t="s">
        <v>377</v>
      </c>
      <c r="C330" s="34" t="s">
        <v>378</v>
      </c>
      <c r="D330" s="32" t="n">
        <v>1</v>
      </c>
      <c r="E330" s="32" t="s">
        <v>14</v>
      </c>
      <c r="F330" s="32" t="s">
        <v>368</v>
      </c>
      <c r="G330" s="34" t="s">
        <v>389</v>
      </c>
      <c r="H330" s="52" t="n">
        <f aca="false">IF($E330="Per class",$D330*COUNTIFS('Session Tracker'!$D$5:$D$149,$A330,'Session Tracker'!$F$5:$F$149,"Next week",'Session Tracker'!$G$5:$G$149,"Mon"),$D330*SUMIFS('Session Tracker'!$J$5:$J$149,'Session Tracker'!$D$5:$D$149,$A330,'Session Tracker'!$F$5:$F$149,"Next week",'Session Tracker'!$G$5:$G$149,"Mon"))</f>
        <v>0</v>
      </c>
      <c r="I330" s="52" t="n">
        <f aca="false">IF($E330="Per class",$D330*COUNTIFS('Session Tracker'!$D$5:$D$149,$A330,'Session Tracker'!$F$5:$F$149,"Next week",'Session Tracker'!$G$5:$G$149,"Tue"),$D330*SUMIFS('Session Tracker'!$J$5:$J$149,'Session Tracker'!$D$5:$D$149,$A330,'Session Tracker'!$F$5:$F$149,"Next week",'Session Tracker'!$G$5:$G$149,"Tue"))</f>
        <v>0</v>
      </c>
      <c r="J330" s="52" t="n">
        <f aca="false">IF($E330="Per class",$D330*COUNTIFS('Session Tracker'!$D$5:$D$149,$A330,'Session Tracker'!$F$5:$F$149,"Next week",'Session Tracker'!$G$5:$G$149,"Wed"),$D330*SUMIFS('Session Tracker'!$J$5:$J$149,'Session Tracker'!$D$5:$D$149,$A330,'Session Tracker'!$F$5:$F$149,"Next week",'Session Tracker'!$G$5:$G$149,"Wed"))</f>
        <v>0</v>
      </c>
      <c r="K330" s="52" t="n">
        <f aca="false">IF($E330="Per class",$D330*COUNTIFS('Session Tracker'!$D$5:$D$149,$A330,'Session Tracker'!$F$5:$F$149,"Next week",'Session Tracker'!$G$5:$G$149,"Thu"),$D330*SUMIFS('Session Tracker'!$J$5:$J$149,'Session Tracker'!$D$5:$D$149,$A330,'Session Tracker'!$F$5:$F$149,"Next week",'Session Tracker'!$G$5:$G$149,"Thu"))</f>
        <v>0</v>
      </c>
      <c r="L330" s="52" t="n">
        <f aca="false">IF($E330="Per class",$D330*COUNTIFS('Session Tracker'!$D$5:$D$149,$A330,'Session Tracker'!$F$5:$F$149,"Next week",'Session Tracker'!$G$5:$G$149,"Fri"),$D330*SUMIFS('Session Tracker'!$J$5:$J$149,'Session Tracker'!$D$5:$D$149,$A330,'Session Tracker'!$F$5:$F$149,"Next week",'Session Tracker'!$G$5:$G$149,"Fri"))</f>
        <v>0</v>
      </c>
      <c r="M330" s="52" t="n">
        <f aca="false">IF($E330="Per class",$D330*COUNTIFS('Session Tracker'!$D$5:$D$149,$A330,'Session Tracker'!$F$5:$F$149,"Next week",'Session Tracker'!$G$5:$G$149,""),$D330*SUMIFS('Session Tracker'!$J$5:$J$149,'Session Tracker'!$D$5:$D$149,$A330,'Session Tracker'!$F$5:$F$149,"Next week",'Session Tracker'!$G$5:$G$149,""))</f>
        <v>0</v>
      </c>
    </row>
    <row r="331" customFormat="false" ht="15" hidden="false" customHeight="false" outlineLevel="0" collapsed="false">
      <c r="A331" s="53" t="s">
        <v>269</v>
      </c>
      <c r="B331" s="54"/>
      <c r="C331" s="54"/>
      <c r="D331" s="54"/>
      <c r="E331" s="54"/>
      <c r="F331" s="54"/>
      <c r="G331" s="54"/>
      <c r="H331" s="52" t="n">
        <f aca="false">IF($E331="Per class",$D331*COUNTIFS('Session Tracker'!$D$5:$D$149,$A331,'Session Tracker'!$F$5:$F$149,"Next week",'Session Tracker'!$G$5:$G$149,"Mon"),$D331*SUMIFS('Session Tracker'!$J$5:$J$149,'Session Tracker'!$D$5:$D$149,$A331,'Session Tracker'!$F$5:$F$149,"Next week",'Session Tracker'!$G$5:$G$149,"Mon"))</f>
        <v>0</v>
      </c>
      <c r="I331" s="52" t="n">
        <f aca="false">IF($E331="Per class",$D331*COUNTIFS('Session Tracker'!$D$5:$D$149,$A331,'Session Tracker'!$F$5:$F$149,"Next week",'Session Tracker'!$G$5:$G$149,"Tue"),$D331*SUMIFS('Session Tracker'!$J$5:$J$149,'Session Tracker'!$D$5:$D$149,$A331,'Session Tracker'!$F$5:$F$149,"Next week",'Session Tracker'!$G$5:$G$149,"Tue"))</f>
        <v>0</v>
      </c>
      <c r="J331" s="52" t="n">
        <f aca="false">IF($E331="Per class",$D331*COUNTIFS('Session Tracker'!$D$5:$D$149,$A331,'Session Tracker'!$F$5:$F$149,"Next week",'Session Tracker'!$G$5:$G$149,"Wed"),$D331*SUMIFS('Session Tracker'!$J$5:$J$149,'Session Tracker'!$D$5:$D$149,$A331,'Session Tracker'!$F$5:$F$149,"Next week",'Session Tracker'!$G$5:$G$149,"Wed"))</f>
        <v>0</v>
      </c>
      <c r="K331" s="52" t="n">
        <f aca="false">IF($E331="Per class",$D331*COUNTIFS('Session Tracker'!$D$5:$D$149,$A331,'Session Tracker'!$F$5:$F$149,"Next week",'Session Tracker'!$G$5:$G$149,"Thu"),$D331*SUMIFS('Session Tracker'!$J$5:$J$149,'Session Tracker'!$D$5:$D$149,$A331,'Session Tracker'!$F$5:$F$149,"Next week",'Session Tracker'!$G$5:$G$149,"Thu"))</f>
        <v>0</v>
      </c>
      <c r="L331" s="52" t="n">
        <f aca="false">IF($E331="Per class",$D331*COUNTIFS('Session Tracker'!$D$5:$D$149,$A331,'Session Tracker'!$F$5:$F$149,"Next week",'Session Tracker'!$G$5:$G$149,"Fri"),$D331*SUMIFS('Session Tracker'!$J$5:$J$149,'Session Tracker'!$D$5:$D$149,$A331,'Session Tracker'!$F$5:$F$149,"Next week",'Session Tracker'!$G$5:$G$149,"Fri"))</f>
        <v>0</v>
      </c>
      <c r="M331" s="52" t="n">
        <f aca="false">IF($E331="Per class",$D331*COUNTIFS('Session Tracker'!$D$5:$D$149,$A331,'Session Tracker'!$F$5:$F$149,"Next week",'Session Tracker'!$G$5:$G$149,""),$D331*SUMIFS('Session Tracker'!$J$5:$J$149,'Session Tracker'!$D$5:$D$149,$A331,'Session Tracker'!$F$5:$F$149,"Next week",'Session Tracker'!$G$5:$G$149,""))</f>
        <v>0</v>
      </c>
    </row>
    <row r="332" customFormat="false" ht="15" hidden="false" customHeight="false" outlineLevel="0" collapsed="false">
      <c r="A332" s="53" t="s">
        <v>269</v>
      </c>
      <c r="B332" s="54"/>
      <c r="C332" s="54"/>
      <c r="D332" s="54"/>
      <c r="E332" s="54"/>
      <c r="F332" s="54"/>
      <c r="G332" s="54"/>
      <c r="H332" s="52" t="n">
        <f aca="false">IF($E332="Per class",$D332*COUNTIFS('Session Tracker'!$D$5:$D$149,$A332,'Session Tracker'!$F$5:$F$149,"Next week",'Session Tracker'!$G$5:$G$149,"Mon"),$D332*SUMIFS('Session Tracker'!$J$5:$J$149,'Session Tracker'!$D$5:$D$149,$A332,'Session Tracker'!$F$5:$F$149,"Next week",'Session Tracker'!$G$5:$G$149,"Mon"))</f>
        <v>0</v>
      </c>
      <c r="I332" s="52" t="n">
        <f aca="false">IF($E332="Per class",$D332*COUNTIFS('Session Tracker'!$D$5:$D$149,$A332,'Session Tracker'!$F$5:$F$149,"Next week",'Session Tracker'!$G$5:$G$149,"Tue"),$D332*SUMIFS('Session Tracker'!$J$5:$J$149,'Session Tracker'!$D$5:$D$149,$A332,'Session Tracker'!$F$5:$F$149,"Next week",'Session Tracker'!$G$5:$G$149,"Tue"))</f>
        <v>0</v>
      </c>
      <c r="J332" s="52" t="n">
        <f aca="false">IF($E332="Per class",$D332*COUNTIFS('Session Tracker'!$D$5:$D$149,$A332,'Session Tracker'!$F$5:$F$149,"Next week",'Session Tracker'!$G$5:$G$149,"Wed"),$D332*SUMIFS('Session Tracker'!$J$5:$J$149,'Session Tracker'!$D$5:$D$149,$A332,'Session Tracker'!$F$5:$F$149,"Next week",'Session Tracker'!$G$5:$G$149,"Wed"))</f>
        <v>0</v>
      </c>
      <c r="K332" s="52" t="n">
        <f aca="false">IF($E332="Per class",$D332*COUNTIFS('Session Tracker'!$D$5:$D$149,$A332,'Session Tracker'!$F$5:$F$149,"Next week",'Session Tracker'!$G$5:$G$149,"Thu"),$D332*SUMIFS('Session Tracker'!$J$5:$J$149,'Session Tracker'!$D$5:$D$149,$A332,'Session Tracker'!$F$5:$F$149,"Next week",'Session Tracker'!$G$5:$G$149,"Thu"))</f>
        <v>0</v>
      </c>
      <c r="L332" s="52" t="n">
        <f aca="false">IF($E332="Per class",$D332*COUNTIFS('Session Tracker'!$D$5:$D$149,$A332,'Session Tracker'!$F$5:$F$149,"Next week",'Session Tracker'!$G$5:$G$149,"Fri"),$D332*SUMIFS('Session Tracker'!$J$5:$J$149,'Session Tracker'!$D$5:$D$149,$A332,'Session Tracker'!$F$5:$F$149,"Next week",'Session Tracker'!$G$5:$G$149,"Fri"))</f>
        <v>0</v>
      </c>
      <c r="M332" s="52" t="n">
        <f aca="false">IF($E332="Per class",$D332*COUNTIFS('Session Tracker'!$D$5:$D$149,$A332,'Session Tracker'!$F$5:$F$149,"Next week",'Session Tracker'!$G$5:$G$149,""),$D332*SUMIFS('Session Tracker'!$J$5:$J$149,'Session Tracker'!$D$5:$D$149,$A332,'Session Tracker'!$F$5:$F$149,"Next week",'Session Tracker'!$G$5:$G$149,""))</f>
        <v>0</v>
      </c>
    </row>
    <row r="334" customFormat="false" ht="19.5" hidden="false" customHeight="true" outlineLevel="0" collapsed="false">
      <c r="A334" s="64" t="s">
        <v>271</v>
      </c>
      <c r="B334" s="65" t="s">
        <v>642</v>
      </c>
      <c r="C334" s="65"/>
      <c r="D334" s="65"/>
      <c r="E334" s="65"/>
      <c r="F334" s="66" t="str">
        <f aca="false">"Status: "&amp;'Session Tracker'!F105&amp;IF('Session Tracker'!G105&lt;&gt;""," ("&amp;'Session Tracker'!G105&amp;")","")</f>
        <v>Status: Not started</v>
      </c>
      <c r="G334" s="66"/>
      <c r="H334" s="67"/>
      <c r="I334" s="67"/>
      <c r="J334" s="67"/>
      <c r="K334" s="67"/>
      <c r="L334" s="67"/>
      <c r="M334" s="67"/>
    </row>
    <row r="335" customFormat="false" ht="15" hidden="false" customHeight="false" outlineLevel="0" collapsed="false">
      <c r="A335" s="68" t="s">
        <v>271</v>
      </c>
      <c r="B335" s="34" t="s">
        <v>382</v>
      </c>
      <c r="C335" s="34" t="s">
        <v>383</v>
      </c>
      <c r="D335" s="32" t="n">
        <v>1</v>
      </c>
      <c r="E335" s="32" t="s">
        <v>14</v>
      </c>
      <c r="F335" s="32" t="s">
        <v>368</v>
      </c>
      <c r="G335" s="34"/>
      <c r="H335" s="52" t="n">
        <f aca="false">IF($E335="Per class",$D335*COUNTIFS('Session Tracker'!$D$5:$D$149,$A335,'Session Tracker'!$F$5:$F$149,"Next week",'Session Tracker'!$G$5:$G$149,"Mon"),$D335*SUMIFS('Session Tracker'!$J$5:$J$149,'Session Tracker'!$D$5:$D$149,$A335,'Session Tracker'!$F$5:$F$149,"Next week",'Session Tracker'!$G$5:$G$149,"Mon"))</f>
        <v>0</v>
      </c>
      <c r="I335" s="52" t="n">
        <f aca="false">IF($E335="Per class",$D335*COUNTIFS('Session Tracker'!$D$5:$D$149,$A335,'Session Tracker'!$F$5:$F$149,"Next week",'Session Tracker'!$G$5:$G$149,"Tue"),$D335*SUMIFS('Session Tracker'!$J$5:$J$149,'Session Tracker'!$D$5:$D$149,$A335,'Session Tracker'!$F$5:$F$149,"Next week",'Session Tracker'!$G$5:$G$149,"Tue"))</f>
        <v>0</v>
      </c>
      <c r="J335" s="52" t="n">
        <f aca="false">IF($E335="Per class",$D335*COUNTIFS('Session Tracker'!$D$5:$D$149,$A335,'Session Tracker'!$F$5:$F$149,"Next week",'Session Tracker'!$G$5:$G$149,"Wed"),$D335*SUMIFS('Session Tracker'!$J$5:$J$149,'Session Tracker'!$D$5:$D$149,$A335,'Session Tracker'!$F$5:$F$149,"Next week",'Session Tracker'!$G$5:$G$149,"Wed"))</f>
        <v>0</v>
      </c>
      <c r="K335" s="52" t="n">
        <f aca="false">IF($E335="Per class",$D335*COUNTIFS('Session Tracker'!$D$5:$D$149,$A335,'Session Tracker'!$F$5:$F$149,"Next week",'Session Tracker'!$G$5:$G$149,"Thu"),$D335*SUMIFS('Session Tracker'!$J$5:$J$149,'Session Tracker'!$D$5:$D$149,$A335,'Session Tracker'!$F$5:$F$149,"Next week",'Session Tracker'!$G$5:$G$149,"Thu"))</f>
        <v>0</v>
      </c>
      <c r="L335" s="52" t="n">
        <f aca="false">IF($E335="Per class",$D335*COUNTIFS('Session Tracker'!$D$5:$D$149,$A335,'Session Tracker'!$F$5:$F$149,"Next week",'Session Tracker'!$G$5:$G$149,"Fri"),$D335*SUMIFS('Session Tracker'!$J$5:$J$149,'Session Tracker'!$D$5:$D$149,$A335,'Session Tracker'!$F$5:$F$149,"Next week",'Session Tracker'!$G$5:$G$149,"Fri"))</f>
        <v>0</v>
      </c>
      <c r="M335" s="52" t="n">
        <f aca="false">IF($E335="Per class",$D335*COUNTIFS('Session Tracker'!$D$5:$D$149,$A335,'Session Tracker'!$F$5:$F$149,"Next week",'Session Tracker'!$G$5:$G$149,""),$D335*SUMIFS('Session Tracker'!$J$5:$J$149,'Session Tracker'!$D$5:$D$149,$A335,'Session Tracker'!$F$5:$F$149,"Next week",'Session Tracker'!$G$5:$G$149,""))</f>
        <v>0</v>
      </c>
    </row>
    <row r="336" customFormat="false" ht="15" hidden="false" customHeight="false" outlineLevel="0" collapsed="false">
      <c r="A336" s="53" t="s">
        <v>271</v>
      </c>
      <c r="B336" s="54"/>
      <c r="C336" s="54"/>
      <c r="D336" s="54"/>
      <c r="E336" s="54"/>
      <c r="F336" s="54"/>
      <c r="G336" s="54"/>
      <c r="H336" s="52" t="n">
        <f aca="false">IF($E336="Per class",$D336*COUNTIFS('Session Tracker'!$D$5:$D$149,$A336,'Session Tracker'!$F$5:$F$149,"Next week",'Session Tracker'!$G$5:$G$149,"Mon"),$D336*SUMIFS('Session Tracker'!$J$5:$J$149,'Session Tracker'!$D$5:$D$149,$A336,'Session Tracker'!$F$5:$F$149,"Next week",'Session Tracker'!$G$5:$G$149,"Mon"))</f>
        <v>0</v>
      </c>
      <c r="I336" s="52" t="n">
        <f aca="false">IF($E336="Per class",$D336*COUNTIFS('Session Tracker'!$D$5:$D$149,$A336,'Session Tracker'!$F$5:$F$149,"Next week",'Session Tracker'!$G$5:$G$149,"Tue"),$D336*SUMIFS('Session Tracker'!$J$5:$J$149,'Session Tracker'!$D$5:$D$149,$A336,'Session Tracker'!$F$5:$F$149,"Next week",'Session Tracker'!$G$5:$G$149,"Tue"))</f>
        <v>0</v>
      </c>
      <c r="J336" s="52" t="n">
        <f aca="false">IF($E336="Per class",$D336*COUNTIFS('Session Tracker'!$D$5:$D$149,$A336,'Session Tracker'!$F$5:$F$149,"Next week",'Session Tracker'!$G$5:$G$149,"Wed"),$D336*SUMIFS('Session Tracker'!$J$5:$J$149,'Session Tracker'!$D$5:$D$149,$A336,'Session Tracker'!$F$5:$F$149,"Next week",'Session Tracker'!$G$5:$G$149,"Wed"))</f>
        <v>0</v>
      </c>
      <c r="K336" s="52" t="n">
        <f aca="false">IF($E336="Per class",$D336*COUNTIFS('Session Tracker'!$D$5:$D$149,$A336,'Session Tracker'!$F$5:$F$149,"Next week",'Session Tracker'!$G$5:$G$149,"Thu"),$D336*SUMIFS('Session Tracker'!$J$5:$J$149,'Session Tracker'!$D$5:$D$149,$A336,'Session Tracker'!$F$5:$F$149,"Next week",'Session Tracker'!$G$5:$G$149,"Thu"))</f>
        <v>0</v>
      </c>
      <c r="L336" s="52" t="n">
        <f aca="false">IF($E336="Per class",$D336*COUNTIFS('Session Tracker'!$D$5:$D$149,$A336,'Session Tracker'!$F$5:$F$149,"Next week",'Session Tracker'!$G$5:$G$149,"Fri"),$D336*SUMIFS('Session Tracker'!$J$5:$J$149,'Session Tracker'!$D$5:$D$149,$A336,'Session Tracker'!$F$5:$F$149,"Next week",'Session Tracker'!$G$5:$G$149,"Fri"))</f>
        <v>0</v>
      </c>
      <c r="M336" s="52" t="n">
        <f aca="false">IF($E336="Per class",$D336*COUNTIFS('Session Tracker'!$D$5:$D$149,$A336,'Session Tracker'!$F$5:$F$149,"Next week",'Session Tracker'!$G$5:$G$149,""),$D336*SUMIFS('Session Tracker'!$J$5:$J$149,'Session Tracker'!$D$5:$D$149,$A336,'Session Tracker'!$F$5:$F$149,"Next week",'Session Tracker'!$G$5:$G$149,""))</f>
        <v>0</v>
      </c>
    </row>
    <row r="337" customFormat="false" ht="15" hidden="false" customHeight="false" outlineLevel="0" collapsed="false">
      <c r="A337" s="53" t="s">
        <v>271</v>
      </c>
      <c r="B337" s="54"/>
      <c r="C337" s="54"/>
      <c r="D337" s="54"/>
      <c r="E337" s="54"/>
      <c r="F337" s="54"/>
      <c r="G337" s="54"/>
      <c r="H337" s="52" t="n">
        <f aca="false">IF($E337="Per class",$D337*COUNTIFS('Session Tracker'!$D$5:$D$149,$A337,'Session Tracker'!$F$5:$F$149,"Next week",'Session Tracker'!$G$5:$G$149,"Mon"),$D337*SUMIFS('Session Tracker'!$J$5:$J$149,'Session Tracker'!$D$5:$D$149,$A337,'Session Tracker'!$F$5:$F$149,"Next week",'Session Tracker'!$G$5:$G$149,"Mon"))</f>
        <v>0</v>
      </c>
      <c r="I337" s="52" t="n">
        <f aca="false">IF($E337="Per class",$D337*COUNTIFS('Session Tracker'!$D$5:$D$149,$A337,'Session Tracker'!$F$5:$F$149,"Next week",'Session Tracker'!$G$5:$G$149,"Tue"),$D337*SUMIFS('Session Tracker'!$J$5:$J$149,'Session Tracker'!$D$5:$D$149,$A337,'Session Tracker'!$F$5:$F$149,"Next week",'Session Tracker'!$G$5:$G$149,"Tue"))</f>
        <v>0</v>
      </c>
      <c r="J337" s="52" t="n">
        <f aca="false">IF($E337="Per class",$D337*COUNTIFS('Session Tracker'!$D$5:$D$149,$A337,'Session Tracker'!$F$5:$F$149,"Next week",'Session Tracker'!$G$5:$G$149,"Wed"),$D337*SUMIFS('Session Tracker'!$J$5:$J$149,'Session Tracker'!$D$5:$D$149,$A337,'Session Tracker'!$F$5:$F$149,"Next week",'Session Tracker'!$G$5:$G$149,"Wed"))</f>
        <v>0</v>
      </c>
      <c r="K337" s="52" t="n">
        <f aca="false">IF($E337="Per class",$D337*COUNTIFS('Session Tracker'!$D$5:$D$149,$A337,'Session Tracker'!$F$5:$F$149,"Next week",'Session Tracker'!$G$5:$G$149,"Thu"),$D337*SUMIFS('Session Tracker'!$J$5:$J$149,'Session Tracker'!$D$5:$D$149,$A337,'Session Tracker'!$F$5:$F$149,"Next week",'Session Tracker'!$G$5:$G$149,"Thu"))</f>
        <v>0</v>
      </c>
      <c r="L337" s="52" t="n">
        <f aca="false">IF($E337="Per class",$D337*COUNTIFS('Session Tracker'!$D$5:$D$149,$A337,'Session Tracker'!$F$5:$F$149,"Next week",'Session Tracker'!$G$5:$G$149,"Fri"),$D337*SUMIFS('Session Tracker'!$J$5:$J$149,'Session Tracker'!$D$5:$D$149,$A337,'Session Tracker'!$F$5:$F$149,"Next week",'Session Tracker'!$G$5:$G$149,"Fri"))</f>
        <v>0</v>
      </c>
      <c r="M337" s="52" t="n">
        <f aca="false">IF($E337="Per class",$D337*COUNTIFS('Session Tracker'!$D$5:$D$149,$A337,'Session Tracker'!$F$5:$F$149,"Next week",'Session Tracker'!$G$5:$G$149,""),$D337*SUMIFS('Session Tracker'!$J$5:$J$149,'Session Tracker'!$D$5:$D$149,$A337,'Session Tracker'!$F$5:$F$149,"Next week",'Session Tracker'!$G$5:$G$149,""))</f>
        <v>0</v>
      </c>
    </row>
    <row r="339" customFormat="false" ht="19.5" hidden="false" customHeight="true" outlineLevel="0" collapsed="false">
      <c r="A339" s="64" t="s">
        <v>273</v>
      </c>
      <c r="B339" s="65" t="s">
        <v>643</v>
      </c>
      <c r="C339" s="65"/>
      <c r="D339" s="65"/>
      <c r="E339" s="65"/>
      <c r="F339" s="66" t="str">
        <f aca="false">"Status: "&amp;'Session Tracker'!F106&amp;IF('Session Tracker'!G106&lt;&gt;""," ("&amp;'Session Tracker'!G106&amp;")","")</f>
        <v>Status: Not started</v>
      </c>
      <c r="G339" s="66"/>
      <c r="H339" s="67"/>
      <c r="I339" s="67"/>
      <c r="J339" s="67"/>
      <c r="K339" s="67"/>
      <c r="L339" s="67"/>
      <c r="M339" s="67"/>
    </row>
    <row r="340" customFormat="false" ht="15" hidden="false" customHeight="false" outlineLevel="0" collapsed="false">
      <c r="A340" s="68" t="s">
        <v>273</v>
      </c>
      <c r="B340" s="34" t="s">
        <v>447</v>
      </c>
      <c r="C340" s="34" t="s">
        <v>469</v>
      </c>
      <c r="D340" s="32" t="n">
        <v>1</v>
      </c>
      <c r="E340" s="32" t="s">
        <v>14</v>
      </c>
      <c r="F340" s="32" t="s">
        <v>368</v>
      </c>
      <c r="G340" s="34" t="s">
        <v>470</v>
      </c>
      <c r="H340" s="52" t="n">
        <f aca="false">IF($E340="Per class",$D340*COUNTIFS('Session Tracker'!$D$5:$D$149,$A340,'Session Tracker'!$F$5:$F$149,"Next week",'Session Tracker'!$G$5:$G$149,"Mon"),$D340*SUMIFS('Session Tracker'!$J$5:$J$149,'Session Tracker'!$D$5:$D$149,$A340,'Session Tracker'!$F$5:$F$149,"Next week",'Session Tracker'!$G$5:$G$149,"Mon"))</f>
        <v>0</v>
      </c>
      <c r="I340" s="52" t="n">
        <f aca="false">IF($E340="Per class",$D340*COUNTIFS('Session Tracker'!$D$5:$D$149,$A340,'Session Tracker'!$F$5:$F$149,"Next week",'Session Tracker'!$G$5:$G$149,"Tue"),$D340*SUMIFS('Session Tracker'!$J$5:$J$149,'Session Tracker'!$D$5:$D$149,$A340,'Session Tracker'!$F$5:$F$149,"Next week",'Session Tracker'!$G$5:$G$149,"Tue"))</f>
        <v>0</v>
      </c>
      <c r="J340" s="52" t="n">
        <f aca="false">IF($E340="Per class",$D340*COUNTIFS('Session Tracker'!$D$5:$D$149,$A340,'Session Tracker'!$F$5:$F$149,"Next week",'Session Tracker'!$G$5:$G$149,"Wed"),$D340*SUMIFS('Session Tracker'!$J$5:$J$149,'Session Tracker'!$D$5:$D$149,$A340,'Session Tracker'!$F$5:$F$149,"Next week",'Session Tracker'!$G$5:$G$149,"Wed"))</f>
        <v>0</v>
      </c>
      <c r="K340" s="52" t="n">
        <f aca="false">IF($E340="Per class",$D340*COUNTIFS('Session Tracker'!$D$5:$D$149,$A340,'Session Tracker'!$F$5:$F$149,"Next week",'Session Tracker'!$G$5:$G$149,"Thu"),$D340*SUMIFS('Session Tracker'!$J$5:$J$149,'Session Tracker'!$D$5:$D$149,$A340,'Session Tracker'!$F$5:$F$149,"Next week",'Session Tracker'!$G$5:$G$149,"Thu"))</f>
        <v>0</v>
      </c>
      <c r="L340" s="52" t="n">
        <f aca="false">IF($E340="Per class",$D340*COUNTIFS('Session Tracker'!$D$5:$D$149,$A340,'Session Tracker'!$F$5:$F$149,"Next week",'Session Tracker'!$G$5:$G$149,"Fri"),$D340*SUMIFS('Session Tracker'!$J$5:$J$149,'Session Tracker'!$D$5:$D$149,$A340,'Session Tracker'!$F$5:$F$149,"Next week",'Session Tracker'!$G$5:$G$149,"Fri"))</f>
        <v>0</v>
      </c>
      <c r="M340" s="52" t="n">
        <f aca="false">IF($E340="Per class",$D340*COUNTIFS('Session Tracker'!$D$5:$D$149,$A340,'Session Tracker'!$F$5:$F$149,"Next week",'Session Tracker'!$G$5:$G$149,""),$D340*SUMIFS('Session Tracker'!$J$5:$J$149,'Session Tracker'!$D$5:$D$149,$A340,'Session Tracker'!$F$5:$F$149,"Next week",'Session Tracker'!$G$5:$G$149,""))</f>
        <v>0</v>
      </c>
    </row>
    <row r="341" customFormat="false" ht="15" hidden="false" customHeight="false" outlineLevel="0" collapsed="false">
      <c r="A341" s="68" t="s">
        <v>273</v>
      </c>
      <c r="B341" s="34" t="s">
        <v>369</v>
      </c>
      <c r="C341" s="34" t="s">
        <v>370</v>
      </c>
      <c r="D341" s="32" t="n">
        <v>1</v>
      </c>
      <c r="E341" s="32" t="s">
        <v>14</v>
      </c>
      <c r="F341" s="32" t="s">
        <v>368</v>
      </c>
      <c r="G341" s="34"/>
      <c r="H341" s="52" t="n">
        <f aca="false">IF($E341="Per class",$D341*COUNTIFS('Session Tracker'!$D$5:$D$149,$A341,'Session Tracker'!$F$5:$F$149,"Next week",'Session Tracker'!$G$5:$G$149,"Mon"),$D341*SUMIFS('Session Tracker'!$J$5:$J$149,'Session Tracker'!$D$5:$D$149,$A341,'Session Tracker'!$F$5:$F$149,"Next week",'Session Tracker'!$G$5:$G$149,"Mon"))</f>
        <v>0</v>
      </c>
      <c r="I341" s="52" t="n">
        <f aca="false">IF($E341="Per class",$D341*COUNTIFS('Session Tracker'!$D$5:$D$149,$A341,'Session Tracker'!$F$5:$F$149,"Next week",'Session Tracker'!$G$5:$G$149,"Tue"),$D341*SUMIFS('Session Tracker'!$J$5:$J$149,'Session Tracker'!$D$5:$D$149,$A341,'Session Tracker'!$F$5:$F$149,"Next week",'Session Tracker'!$G$5:$G$149,"Tue"))</f>
        <v>0</v>
      </c>
      <c r="J341" s="52" t="n">
        <f aca="false">IF($E341="Per class",$D341*COUNTIFS('Session Tracker'!$D$5:$D$149,$A341,'Session Tracker'!$F$5:$F$149,"Next week",'Session Tracker'!$G$5:$G$149,"Wed"),$D341*SUMIFS('Session Tracker'!$J$5:$J$149,'Session Tracker'!$D$5:$D$149,$A341,'Session Tracker'!$F$5:$F$149,"Next week",'Session Tracker'!$G$5:$G$149,"Wed"))</f>
        <v>0</v>
      </c>
      <c r="K341" s="52" t="n">
        <f aca="false">IF($E341="Per class",$D341*COUNTIFS('Session Tracker'!$D$5:$D$149,$A341,'Session Tracker'!$F$5:$F$149,"Next week",'Session Tracker'!$G$5:$G$149,"Thu"),$D341*SUMIFS('Session Tracker'!$J$5:$J$149,'Session Tracker'!$D$5:$D$149,$A341,'Session Tracker'!$F$5:$F$149,"Next week",'Session Tracker'!$G$5:$G$149,"Thu"))</f>
        <v>0</v>
      </c>
      <c r="L341" s="52" t="n">
        <f aca="false">IF($E341="Per class",$D341*COUNTIFS('Session Tracker'!$D$5:$D$149,$A341,'Session Tracker'!$F$5:$F$149,"Next week",'Session Tracker'!$G$5:$G$149,"Fri"),$D341*SUMIFS('Session Tracker'!$J$5:$J$149,'Session Tracker'!$D$5:$D$149,$A341,'Session Tracker'!$F$5:$F$149,"Next week",'Session Tracker'!$G$5:$G$149,"Fri"))</f>
        <v>0</v>
      </c>
      <c r="M341" s="52" t="n">
        <f aca="false">IF($E341="Per class",$D341*COUNTIFS('Session Tracker'!$D$5:$D$149,$A341,'Session Tracker'!$F$5:$F$149,"Next week",'Session Tracker'!$G$5:$G$149,""),$D341*SUMIFS('Session Tracker'!$J$5:$J$149,'Session Tracker'!$D$5:$D$149,$A341,'Session Tracker'!$F$5:$F$149,"Next week",'Session Tracker'!$G$5:$G$149,""))</f>
        <v>0</v>
      </c>
    </row>
    <row r="342" customFormat="false" ht="15" hidden="false" customHeight="false" outlineLevel="0" collapsed="false">
      <c r="A342" s="68" t="s">
        <v>273</v>
      </c>
      <c r="B342" s="34" t="s">
        <v>369</v>
      </c>
      <c r="C342" s="34" t="s">
        <v>543</v>
      </c>
      <c r="D342" s="32" t="n">
        <v>2</v>
      </c>
      <c r="E342" s="32" t="s">
        <v>14</v>
      </c>
      <c r="F342" s="32" t="s">
        <v>368</v>
      </c>
      <c r="G342" s="34" t="s">
        <v>644</v>
      </c>
      <c r="H342" s="52" t="n">
        <f aca="false">IF($E342="Per class",$D342*COUNTIFS('Session Tracker'!$D$5:$D$149,$A342,'Session Tracker'!$F$5:$F$149,"Next week",'Session Tracker'!$G$5:$G$149,"Mon"),$D342*SUMIFS('Session Tracker'!$J$5:$J$149,'Session Tracker'!$D$5:$D$149,$A342,'Session Tracker'!$F$5:$F$149,"Next week",'Session Tracker'!$G$5:$G$149,"Mon"))</f>
        <v>0</v>
      </c>
      <c r="I342" s="52" t="n">
        <f aca="false">IF($E342="Per class",$D342*COUNTIFS('Session Tracker'!$D$5:$D$149,$A342,'Session Tracker'!$F$5:$F$149,"Next week",'Session Tracker'!$G$5:$G$149,"Tue"),$D342*SUMIFS('Session Tracker'!$J$5:$J$149,'Session Tracker'!$D$5:$D$149,$A342,'Session Tracker'!$F$5:$F$149,"Next week",'Session Tracker'!$G$5:$G$149,"Tue"))</f>
        <v>0</v>
      </c>
      <c r="J342" s="52" t="n">
        <f aca="false">IF($E342="Per class",$D342*COUNTIFS('Session Tracker'!$D$5:$D$149,$A342,'Session Tracker'!$F$5:$F$149,"Next week",'Session Tracker'!$G$5:$G$149,"Wed"),$D342*SUMIFS('Session Tracker'!$J$5:$J$149,'Session Tracker'!$D$5:$D$149,$A342,'Session Tracker'!$F$5:$F$149,"Next week",'Session Tracker'!$G$5:$G$149,"Wed"))</f>
        <v>0</v>
      </c>
      <c r="K342" s="52" t="n">
        <f aca="false">IF($E342="Per class",$D342*COUNTIFS('Session Tracker'!$D$5:$D$149,$A342,'Session Tracker'!$F$5:$F$149,"Next week",'Session Tracker'!$G$5:$G$149,"Thu"),$D342*SUMIFS('Session Tracker'!$J$5:$J$149,'Session Tracker'!$D$5:$D$149,$A342,'Session Tracker'!$F$5:$F$149,"Next week",'Session Tracker'!$G$5:$G$149,"Thu"))</f>
        <v>0</v>
      </c>
      <c r="L342" s="52" t="n">
        <f aca="false">IF($E342="Per class",$D342*COUNTIFS('Session Tracker'!$D$5:$D$149,$A342,'Session Tracker'!$F$5:$F$149,"Next week",'Session Tracker'!$G$5:$G$149,"Fri"),$D342*SUMIFS('Session Tracker'!$J$5:$J$149,'Session Tracker'!$D$5:$D$149,$A342,'Session Tracker'!$F$5:$F$149,"Next week",'Session Tracker'!$G$5:$G$149,"Fri"))</f>
        <v>0</v>
      </c>
      <c r="M342" s="52" t="n">
        <f aca="false">IF($E342="Per class",$D342*COUNTIFS('Session Tracker'!$D$5:$D$149,$A342,'Session Tracker'!$F$5:$F$149,"Next week",'Session Tracker'!$G$5:$G$149,""),$D342*SUMIFS('Session Tracker'!$J$5:$J$149,'Session Tracker'!$D$5:$D$149,$A342,'Session Tracker'!$F$5:$F$149,"Next week",'Session Tracker'!$G$5:$G$149,""))</f>
        <v>0</v>
      </c>
    </row>
    <row r="343" customFormat="false" ht="15" hidden="false" customHeight="false" outlineLevel="0" collapsed="false">
      <c r="A343" s="68" t="s">
        <v>273</v>
      </c>
      <c r="B343" s="34" t="s">
        <v>379</v>
      </c>
      <c r="C343" s="34" t="s">
        <v>395</v>
      </c>
      <c r="D343" s="32" t="n">
        <v>10</v>
      </c>
      <c r="E343" s="32" t="s">
        <v>14</v>
      </c>
      <c r="F343" s="32" t="s">
        <v>368</v>
      </c>
      <c r="G343" s="34"/>
      <c r="H343" s="52" t="n">
        <f aca="false">IF($E343="Per class",$D343*COUNTIFS('Session Tracker'!$D$5:$D$149,$A343,'Session Tracker'!$F$5:$F$149,"Next week",'Session Tracker'!$G$5:$G$149,"Mon"),$D343*SUMIFS('Session Tracker'!$J$5:$J$149,'Session Tracker'!$D$5:$D$149,$A343,'Session Tracker'!$F$5:$F$149,"Next week",'Session Tracker'!$G$5:$G$149,"Mon"))</f>
        <v>0</v>
      </c>
      <c r="I343" s="52" t="n">
        <f aca="false">IF($E343="Per class",$D343*COUNTIFS('Session Tracker'!$D$5:$D$149,$A343,'Session Tracker'!$F$5:$F$149,"Next week",'Session Tracker'!$G$5:$G$149,"Tue"),$D343*SUMIFS('Session Tracker'!$J$5:$J$149,'Session Tracker'!$D$5:$D$149,$A343,'Session Tracker'!$F$5:$F$149,"Next week",'Session Tracker'!$G$5:$G$149,"Tue"))</f>
        <v>0</v>
      </c>
      <c r="J343" s="52" t="n">
        <f aca="false">IF($E343="Per class",$D343*COUNTIFS('Session Tracker'!$D$5:$D$149,$A343,'Session Tracker'!$F$5:$F$149,"Next week",'Session Tracker'!$G$5:$G$149,"Wed"),$D343*SUMIFS('Session Tracker'!$J$5:$J$149,'Session Tracker'!$D$5:$D$149,$A343,'Session Tracker'!$F$5:$F$149,"Next week",'Session Tracker'!$G$5:$G$149,"Wed"))</f>
        <v>0</v>
      </c>
      <c r="K343" s="52" t="n">
        <f aca="false">IF($E343="Per class",$D343*COUNTIFS('Session Tracker'!$D$5:$D$149,$A343,'Session Tracker'!$F$5:$F$149,"Next week",'Session Tracker'!$G$5:$G$149,"Thu"),$D343*SUMIFS('Session Tracker'!$J$5:$J$149,'Session Tracker'!$D$5:$D$149,$A343,'Session Tracker'!$F$5:$F$149,"Next week",'Session Tracker'!$G$5:$G$149,"Thu"))</f>
        <v>0</v>
      </c>
      <c r="L343" s="52" t="n">
        <f aca="false">IF($E343="Per class",$D343*COUNTIFS('Session Tracker'!$D$5:$D$149,$A343,'Session Tracker'!$F$5:$F$149,"Next week",'Session Tracker'!$G$5:$G$149,"Fri"),$D343*SUMIFS('Session Tracker'!$J$5:$J$149,'Session Tracker'!$D$5:$D$149,$A343,'Session Tracker'!$F$5:$F$149,"Next week",'Session Tracker'!$G$5:$G$149,"Fri"))</f>
        <v>0</v>
      </c>
      <c r="M343" s="52" t="n">
        <f aca="false">IF($E343="Per class",$D343*COUNTIFS('Session Tracker'!$D$5:$D$149,$A343,'Session Tracker'!$F$5:$F$149,"Next week",'Session Tracker'!$G$5:$G$149,""),$D343*SUMIFS('Session Tracker'!$J$5:$J$149,'Session Tracker'!$D$5:$D$149,$A343,'Session Tracker'!$F$5:$F$149,"Next week",'Session Tracker'!$G$5:$G$149,""))</f>
        <v>0</v>
      </c>
    </row>
    <row r="344" customFormat="false" ht="15" hidden="false" customHeight="false" outlineLevel="0" collapsed="false">
      <c r="A344" s="68" t="s">
        <v>273</v>
      </c>
      <c r="B344" s="34" t="s">
        <v>382</v>
      </c>
      <c r="C344" s="34" t="s">
        <v>383</v>
      </c>
      <c r="D344" s="32" t="n">
        <v>1</v>
      </c>
      <c r="E344" s="32" t="s">
        <v>14</v>
      </c>
      <c r="F344" s="32" t="s">
        <v>368</v>
      </c>
      <c r="G344" s="34"/>
      <c r="H344" s="52" t="n">
        <f aca="false">IF($E344="Per class",$D344*COUNTIFS('Session Tracker'!$D$5:$D$149,$A344,'Session Tracker'!$F$5:$F$149,"Next week",'Session Tracker'!$G$5:$G$149,"Mon"),$D344*SUMIFS('Session Tracker'!$J$5:$J$149,'Session Tracker'!$D$5:$D$149,$A344,'Session Tracker'!$F$5:$F$149,"Next week",'Session Tracker'!$G$5:$G$149,"Mon"))</f>
        <v>0</v>
      </c>
      <c r="I344" s="52" t="n">
        <f aca="false">IF($E344="Per class",$D344*COUNTIFS('Session Tracker'!$D$5:$D$149,$A344,'Session Tracker'!$F$5:$F$149,"Next week",'Session Tracker'!$G$5:$G$149,"Tue"),$D344*SUMIFS('Session Tracker'!$J$5:$J$149,'Session Tracker'!$D$5:$D$149,$A344,'Session Tracker'!$F$5:$F$149,"Next week",'Session Tracker'!$G$5:$G$149,"Tue"))</f>
        <v>0</v>
      </c>
      <c r="J344" s="52" t="n">
        <f aca="false">IF($E344="Per class",$D344*COUNTIFS('Session Tracker'!$D$5:$D$149,$A344,'Session Tracker'!$F$5:$F$149,"Next week",'Session Tracker'!$G$5:$G$149,"Wed"),$D344*SUMIFS('Session Tracker'!$J$5:$J$149,'Session Tracker'!$D$5:$D$149,$A344,'Session Tracker'!$F$5:$F$149,"Next week",'Session Tracker'!$G$5:$G$149,"Wed"))</f>
        <v>0</v>
      </c>
      <c r="K344" s="52" t="n">
        <f aca="false">IF($E344="Per class",$D344*COUNTIFS('Session Tracker'!$D$5:$D$149,$A344,'Session Tracker'!$F$5:$F$149,"Next week",'Session Tracker'!$G$5:$G$149,"Thu"),$D344*SUMIFS('Session Tracker'!$J$5:$J$149,'Session Tracker'!$D$5:$D$149,$A344,'Session Tracker'!$F$5:$F$149,"Next week",'Session Tracker'!$G$5:$G$149,"Thu"))</f>
        <v>0</v>
      </c>
      <c r="L344" s="52" t="n">
        <f aca="false">IF($E344="Per class",$D344*COUNTIFS('Session Tracker'!$D$5:$D$149,$A344,'Session Tracker'!$F$5:$F$149,"Next week",'Session Tracker'!$G$5:$G$149,"Fri"),$D344*SUMIFS('Session Tracker'!$J$5:$J$149,'Session Tracker'!$D$5:$D$149,$A344,'Session Tracker'!$F$5:$F$149,"Next week",'Session Tracker'!$G$5:$G$149,"Fri"))</f>
        <v>0</v>
      </c>
      <c r="M344" s="52" t="n">
        <f aca="false">IF($E344="Per class",$D344*COUNTIFS('Session Tracker'!$D$5:$D$149,$A344,'Session Tracker'!$F$5:$F$149,"Next week",'Session Tracker'!$G$5:$G$149,""),$D344*SUMIFS('Session Tracker'!$J$5:$J$149,'Session Tracker'!$D$5:$D$149,$A344,'Session Tracker'!$F$5:$F$149,"Next week",'Session Tracker'!$G$5:$G$149,""))</f>
        <v>0</v>
      </c>
    </row>
    <row r="345" customFormat="false" ht="15" hidden="false" customHeight="false" outlineLevel="0" collapsed="false">
      <c r="A345" s="53" t="s">
        <v>273</v>
      </c>
      <c r="B345" s="54"/>
      <c r="C345" s="54"/>
      <c r="D345" s="54"/>
      <c r="E345" s="54"/>
      <c r="F345" s="54"/>
      <c r="G345" s="54"/>
      <c r="H345" s="52" t="n">
        <f aca="false">IF($E345="Per class",$D345*COUNTIFS('Session Tracker'!$D$5:$D$149,$A345,'Session Tracker'!$F$5:$F$149,"Next week",'Session Tracker'!$G$5:$G$149,"Mon"),$D345*SUMIFS('Session Tracker'!$J$5:$J$149,'Session Tracker'!$D$5:$D$149,$A345,'Session Tracker'!$F$5:$F$149,"Next week",'Session Tracker'!$G$5:$G$149,"Mon"))</f>
        <v>0</v>
      </c>
      <c r="I345" s="52" t="n">
        <f aca="false">IF($E345="Per class",$D345*COUNTIFS('Session Tracker'!$D$5:$D$149,$A345,'Session Tracker'!$F$5:$F$149,"Next week",'Session Tracker'!$G$5:$G$149,"Tue"),$D345*SUMIFS('Session Tracker'!$J$5:$J$149,'Session Tracker'!$D$5:$D$149,$A345,'Session Tracker'!$F$5:$F$149,"Next week",'Session Tracker'!$G$5:$G$149,"Tue"))</f>
        <v>0</v>
      </c>
      <c r="J345" s="52" t="n">
        <f aca="false">IF($E345="Per class",$D345*COUNTIFS('Session Tracker'!$D$5:$D$149,$A345,'Session Tracker'!$F$5:$F$149,"Next week",'Session Tracker'!$G$5:$G$149,"Wed"),$D345*SUMIFS('Session Tracker'!$J$5:$J$149,'Session Tracker'!$D$5:$D$149,$A345,'Session Tracker'!$F$5:$F$149,"Next week",'Session Tracker'!$G$5:$G$149,"Wed"))</f>
        <v>0</v>
      </c>
      <c r="K345" s="52" t="n">
        <f aca="false">IF($E345="Per class",$D345*COUNTIFS('Session Tracker'!$D$5:$D$149,$A345,'Session Tracker'!$F$5:$F$149,"Next week",'Session Tracker'!$G$5:$G$149,"Thu"),$D345*SUMIFS('Session Tracker'!$J$5:$J$149,'Session Tracker'!$D$5:$D$149,$A345,'Session Tracker'!$F$5:$F$149,"Next week",'Session Tracker'!$G$5:$G$149,"Thu"))</f>
        <v>0</v>
      </c>
      <c r="L345" s="52" t="n">
        <f aca="false">IF($E345="Per class",$D345*COUNTIFS('Session Tracker'!$D$5:$D$149,$A345,'Session Tracker'!$F$5:$F$149,"Next week",'Session Tracker'!$G$5:$G$149,"Fri"),$D345*SUMIFS('Session Tracker'!$J$5:$J$149,'Session Tracker'!$D$5:$D$149,$A345,'Session Tracker'!$F$5:$F$149,"Next week",'Session Tracker'!$G$5:$G$149,"Fri"))</f>
        <v>0</v>
      </c>
      <c r="M345" s="52" t="n">
        <f aca="false">IF($E345="Per class",$D345*COUNTIFS('Session Tracker'!$D$5:$D$149,$A345,'Session Tracker'!$F$5:$F$149,"Next week",'Session Tracker'!$G$5:$G$149,""),$D345*SUMIFS('Session Tracker'!$J$5:$J$149,'Session Tracker'!$D$5:$D$149,$A345,'Session Tracker'!$F$5:$F$149,"Next week",'Session Tracker'!$G$5:$G$149,""))</f>
        <v>0</v>
      </c>
    </row>
    <row r="346" customFormat="false" ht="15" hidden="false" customHeight="false" outlineLevel="0" collapsed="false">
      <c r="A346" s="53" t="s">
        <v>273</v>
      </c>
      <c r="B346" s="54"/>
      <c r="C346" s="54"/>
      <c r="D346" s="54"/>
      <c r="E346" s="54"/>
      <c r="F346" s="54"/>
      <c r="G346" s="54"/>
      <c r="H346" s="52" t="n">
        <f aca="false">IF($E346="Per class",$D346*COUNTIFS('Session Tracker'!$D$5:$D$149,$A346,'Session Tracker'!$F$5:$F$149,"Next week",'Session Tracker'!$G$5:$G$149,"Mon"),$D346*SUMIFS('Session Tracker'!$J$5:$J$149,'Session Tracker'!$D$5:$D$149,$A346,'Session Tracker'!$F$5:$F$149,"Next week",'Session Tracker'!$G$5:$G$149,"Mon"))</f>
        <v>0</v>
      </c>
      <c r="I346" s="52" t="n">
        <f aca="false">IF($E346="Per class",$D346*COUNTIFS('Session Tracker'!$D$5:$D$149,$A346,'Session Tracker'!$F$5:$F$149,"Next week",'Session Tracker'!$G$5:$G$149,"Tue"),$D346*SUMIFS('Session Tracker'!$J$5:$J$149,'Session Tracker'!$D$5:$D$149,$A346,'Session Tracker'!$F$5:$F$149,"Next week",'Session Tracker'!$G$5:$G$149,"Tue"))</f>
        <v>0</v>
      </c>
      <c r="J346" s="52" t="n">
        <f aca="false">IF($E346="Per class",$D346*COUNTIFS('Session Tracker'!$D$5:$D$149,$A346,'Session Tracker'!$F$5:$F$149,"Next week",'Session Tracker'!$G$5:$G$149,"Wed"),$D346*SUMIFS('Session Tracker'!$J$5:$J$149,'Session Tracker'!$D$5:$D$149,$A346,'Session Tracker'!$F$5:$F$149,"Next week",'Session Tracker'!$G$5:$G$149,"Wed"))</f>
        <v>0</v>
      </c>
      <c r="K346" s="52" t="n">
        <f aca="false">IF($E346="Per class",$D346*COUNTIFS('Session Tracker'!$D$5:$D$149,$A346,'Session Tracker'!$F$5:$F$149,"Next week",'Session Tracker'!$G$5:$G$149,"Thu"),$D346*SUMIFS('Session Tracker'!$J$5:$J$149,'Session Tracker'!$D$5:$D$149,$A346,'Session Tracker'!$F$5:$F$149,"Next week",'Session Tracker'!$G$5:$G$149,"Thu"))</f>
        <v>0</v>
      </c>
      <c r="L346" s="52" t="n">
        <f aca="false">IF($E346="Per class",$D346*COUNTIFS('Session Tracker'!$D$5:$D$149,$A346,'Session Tracker'!$F$5:$F$149,"Next week",'Session Tracker'!$G$5:$G$149,"Fri"),$D346*SUMIFS('Session Tracker'!$J$5:$J$149,'Session Tracker'!$D$5:$D$149,$A346,'Session Tracker'!$F$5:$F$149,"Next week",'Session Tracker'!$G$5:$G$149,"Fri"))</f>
        <v>0</v>
      </c>
      <c r="M346" s="52" t="n">
        <f aca="false">IF($E346="Per class",$D346*COUNTIFS('Session Tracker'!$D$5:$D$149,$A346,'Session Tracker'!$F$5:$F$149,"Next week",'Session Tracker'!$G$5:$G$149,""),$D346*SUMIFS('Session Tracker'!$J$5:$J$149,'Session Tracker'!$D$5:$D$149,$A346,'Session Tracker'!$F$5:$F$149,"Next week",'Session Tracker'!$G$5:$G$149,""))</f>
        <v>0</v>
      </c>
    </row>
    <row r="348" customFormat="false" ht="19.5" hidden="false" customHeight="true" outlineLevel="0" collapsed="false">
      <c r="A348" s="64" t="s">
        <v>275</v>
      </c>
      <c r="B348" s="65" t="s">
        <v>645</v>
      </c>
      <c r="C348" s="65"/>
      <c r="D348" s="65"/>
      <c r="E348" s="65"/>
      <c r="F348" s="66" t="str">
        <f aca="false">"Status: "&amp;'Session Tracker'!F107&amp;IF('Session Tracker'!G107&lt;&gt;""," ("&amp;'Session Tracker'!G107&amp;")","")</f>
        <v>Status: Not started</v>
      </c>
      <c r="G348" s="66"/>
      <c r="H348" s="67"/>
      <c r="I348" s="67"/>
      <c r="J348" s="67"/>
      <c r="K348" s="67"/>
      <c r="L348" s="67"/>
      <c r="M348" s="67"/>
    </row>
    <row r="349" customFormat="false" ht="15" hidden="false" customHeight="false" outlineLevel="0" collapsed="false">
      <c r="A349" s="68" t="s">
        <v>275</v>
      </c>
      <c r="B349" s="34" t="s">
        <v>377</v>
      </c>
      <c r="C349" s="34" t="s">
        <v>483</v>
      </c>
      <c r="D349" s="32" t="n">
        <v>1</v>
      </c>
      <c r="E349" s="32" t="s">
        <v>14</v>
      </c>
      <c r="F349" s="32" t="s">
        <v>368</v>
      </c>
      <c r="G349" s="34" t="s">
        <v>646</v>
      </c>
      <c r="H349" s="52" t="n">
        <f aca="false">IF($E349="Per class",$D349*COUNTIFS('Session Tracker'!$D$5:$D$149,$A349,'Session Tracker'!$F$5:$F$149,"Next week",'Session Tracker'!$G$5:$G$149,"Mon"),$D349*SUMIFS('Session Tracker'!$J$5:$J$149,'Session Tracker'!$D$5:$D$149,$A349,'Session Tracker'!$F$5:$F$149,"Next week",'Session Tracker'!$G$5:$G$149,"Mon"))</f>
        <v>0</v>
      </c>
      <c r="I349" s="52" t="n">
        <f aca="false">IF($E349="Per class",$D349*COUNTIFS('Session Tracker'!$D$5:$D$149,$A349,'Session Tracker'!$F$5:$F$149,"Next week",'Session Tracker'!$G$5:$G$149,"Tue"),$D349*SUMIFS('Session Tracker'!$J$5:$J$149,'Session Tracker'!$D$5:$D$149,$A349,'Session Tracker'!$F$5:$F$149,"Next week",'Session Tracker'!$G$5:$G$149,"Tue"))</f>
        <v>0</v>
      </c>
      <c r="J349" s="52" t="n">
        <f aca="false">IF($E349="Per class",$D349*COUNTIFS('Session Tracker'!$D$5:$D$149,$A349,'Session Tracker'!$F$5:$F$149,"Next week",'Session Tracker'!$G$5:$G$149,"Wed"),$D349*SUMIFS('Session Tracker'!$J$5:$J$149,'Session Tracker'!$D$5:$D$149,$A349,'Session Tracker'!$F$5:$F$149,"Next week",'Session Tracker'!$G$5:$G$149,"Wed"))</f>
        <v>0</v>
      </c>
      <c r="K349" s="52" t="n">
        <f aca="false">IF($E349="Per class",$D349*COUNTIFS('Session Tracker'!$D$5:$D$149,$A349,'Session Tracker'!$F$5:$F$149,"Next week",'Session Tracker'!$G$5:$G$149,"Thu"),$D349*SUMIFS('Session Tracker'!$J$5:$J$149,'Session Tracker'!$D$5:$D$149,$A349,'Session Tracker'!$F$5:$F$149,"Next week",'Session Tracker'!$G$5:$G$149,"Thu"))</f>
        <v>0</v>
      </c>
      <c r="L349" s="52" t="n">
        <f aca="false">IF($E349="Per class",$D349*COUNTIFS('Session Tracker'!$D$5:$D$149,$A349,'Session Tracker'!$F$5:$F$149,"Next week",'Session Tracker'!$G$5:$G$149,"Fri"),$D349*SUMIFS('Session Tracker'!$J$5:$J$149,'Session Tracker'!$D$5:$D$149,$A349,'Session Tracker'!$F$5:$F$149,"Next week",'Session Tracker'!$G$5:$G$149,"Fri"))</f>
        <v>0</v>
      </c>
      <c r="M349" s="52" t="n">
        <f aca="false">IF($E349="Per class",$D349*COUNTIFS('Session Tracker'!$D$5:$D$149,$A349,'Session Tracker'!$F$5:$F$149,"Next week",'Session Tracker'!$G$5:$G$149,""),$D349*SUMIFS('Session Tracker'!$J$5:$J$149,'Session Tracker'!$D$5:$D$149,$A349,'Session Tracker'!$F$5:$F$149,"Next week",'Session Tracker'!$G$5:$G$149,""))</f>
        <v>0</v>
      </c>
    </row>
    <row r="350" customFormat="false" ht="15" hidden="false" customHeight="false" outlineLevel="0" collapsed="false">
      <c r="A350" s="68" t="s">
        <v>275</v>
      </c>
      <c r="B350" s="34" t="s">
        <v>409</v>
      </c>
      <c r="C350" s="34" t="s">
        <v>533</v>
      </c>
      <c r="D350" s="32" t="n">
        <v>1</v>
      </c>
      <c r="E350" s="32" t="s">
        <v>14</v>
      </c>
      <c r="F350" s="32" t="s">
        <v>373</v>
      </c>
      <c r="G350" s="34"/>
      <c r="H350" s="52" t="n">
        <f aca="false">IF($E350="Per class",$D350*COUNTIFS('Session Tracker'!$D$5:$D$149,$A350,'Session Tracker'!$F$5:$F$149,"Next week",'Session Tracker'!$G$5:$G$149,"Mon"),$D350*SUMIFS('Session Tracker'!$J$5:$J$149,'Session Tracker'!$D$5:$D$149,$A350,'Session Tracker'!$F$5:$F$149,"Next week",'Session Tracker'!$G$5:$G$149,"Mon"))</f>
        <v>0</v>
      </c>
      <c r="I350" s="52" t="n">
        <f aca="false">IF($E350="Per class",$D350*COUNTIFS('Session Tracker'!$D$5:$D$149,$A350,'Session Tracker'!$F$5:$F$149,"Next week",'Session Tracker'!$G$5:$G$149,"Tue"),$D350*SUMIFS('Session Tracker'!$J$5:$J$149,'Session Tracker'!$D$5:$D$149,$A350,'Session Tracker'!$F$5:$F$149,"Next week",'Session Tracker'!$G$5:$G$149,"Tue"))</f>
        <v>0</v>
      </c>
      <c r="J350" s="52" t="n">
        <f aca="false">IF($E350="Per class",$D350*COUNTIFS('Session Tracker'!$D$5:$D$149,$A350,'Session Tracker'!$F$5:$F$149,"Next week",'Session Tracker'!$G$5:$G$149,"Wed"),$D350*SUMIFS('Session Tracker'!$J$5:$J$149,'Session Tracker'!$D$5:$D$149,$A350,'Session Tracker'!$F$5:$F$149,"Next week",'Session Tracker'!$G$5:$G$149,"Wed"))</f>
        <v>0</v>
      </c>
      <c r="K350" s="52" t="n">
        <f aca="false">IF($E350="Per class",$D350*COUNTIFS('Session Tracker'!$D$5:$D$149,$A350,'Session Tracker'!$F$5:$F$149,"Next week",'Session Tracker'!$G$5:$G$149,"Thu"),$D350*SUMIFS('Session Tracker'!$J$5:$J$149,'Session Tracker'!$D$5:$D$149,$A350,'Session Tracker'!$F$5:$F$149,"Next week",'Session Tracker'!$G$5:$G$149,"Thu"))</f>
        <v>0</v>
      </c>
      <c r="L350" s="52" t="n">
        <f aca="false">IF($E350="Per class",$D350*COUNTIFS('Session Tracker'!$D$5:$D$149,$A350,'Session Tracker'!$F$5:$F$149,"Next week",'Session Tracker'!$G$5:$G$149,"Fri"),$D350*SUMIFS('Session Tracker'!$J$5:$J$149,'Session Tracker'!$D$5:$D$149,$A350,'Session Tracker'!$F$5:$F$149,"Next week",'Session Tracker'!$G$5:$G$149,"Fri"))</f>
        <v>0</v>
      </c>
      <c r="M350" s="52" t="n">
        <f aca="false">IF($E350="Per class",$D350*COUNTIFS('Session Tracker'!$D$5:$D$149,$A350,'Session Tracker'!$F$5:$F$149,"Next week",'Session Tracker'!$G$5:$G$149,""),$D350*SUMIFS('Session Tracker'!$J$5:$J$149,'Session Tracker'!$D$5:$D$149,$A350,'Session Tracker'!$F$5:$F$149,"Next week",'Session Tracker'!$G$5:$G$149,""))</f>
        <v>0</v>
      </c>
    </row>
    <row r="351" customFormat="false" ht="15" hidden="false" customHeight="false" outlineLevel="0" collapsed="false">
      <c r="A351" s="68" t="s">
        <v>275</v>
      </c>
      <c r="B351" s="34" t="s">
        <v>411</v>
      </c>
      <c r="C351" s="34" t="s">
        <v>444</v>
      </c>
      <c r="D351" s="32" t="n">
        <v>20</v>
      </c>
      <c r="E351" s="32" t="s">
        <v>14</v>
      </c>
      <c r="F351" s="32" t="s">
        <v>373</v>
      </c>
      <c r="G351" s="34"/>
      <c r="H351" s="52" t="n">
        <f aca="false">IF($E351="Per class",$D351*COUNTIFS('Session Tracker'!$D$5:$D$149,$A351,'Session Tracker'!$F$5:$F$149,"Next week",'Session Tracker'!$G$5:$G$149,"Mon"),$D351*SUMIFS('Session Tracker'!$J$5:$J$149,'Session Tracker'!$D$5:$D$149,$A351,'Session Tracker'!$F$5:$F$149,"Next week",'Session Tracker'!$G$5:$G$149,"Mon"))</f>
        <v>0</v>
      </c>
      <c r="I351" s="52" t="n">
        <f aca="false">IF($E351="Per class",$D351*COUNTIFS('Session Tracker'!$D$5:$D$149,$A351,'Session Tracker'!$F$5:$F$149,"Next week",'Session Tracker'!$G$5:$G$149,"Tue"),$D351*SUMIFS('Session Tracker'!$J$5:$J$149,'Session Tracker'!$D$5:$D$149,$A351,'Session Tracker'!$F$5:$F$149,"Next week",'Session Tracker'!$G$5:$G$149,"Tue"))</f>
        <v>0</v>
      </c>
      <c r="J351" s="52" t="n">
        <f aca="false">IF($E351="Per class",$D351*COUNTIFS('Session Tracker'!$D$5:$D$149,$A351,'Session Tracker'!$F$5:$F$149,"Next week",'Session Tracker'!$G$5:$G$149,"Wed"),$D351*SUMIFS('Session Tracker'!$J$5:$J$149,'Session Tracker'!$D$5:$D$149,$A351,'Session Tracker'!$F$5:$F$149,"Next week",'Session Tracker'!$G$5:$G$149,"Wed"))</f>
        <v>0</v>
      </c>
      <c r="K351" s="52" t="n">
        <f aca="false">IF($E351="Per class",$D351*COUNTIFS('Session Tracker'!$D$5:$D$149,$A351,'Session Tracker'!$F$5:$F$149,"Next week",'Session Tracker'!$G$5:$G$149,"Thu"),$D351*SUMIFS('Session Tracker'!$J$5:$J$149,'Session Tracker'!$D$5:$D$149,$A351,'Session Tracker'!$F$5:$F$149,"Next week",'Session Tracker'!$G$5:$G$149,"Thu"))</f>
        <v>0</v>
      </c>
      <c r="L351" s="52" t="n">
        <f aca="false">IF($E351="Per class",$D351*COUNTIFS('Session Tracker'!$D$5:$D$149,$A351,'Session Tracker'!$F$5:$F$149,"Next week",'Session Tracker'!$G$5:$G$149,"Fri"),$D351*SUMIFS('Session Tracker'!$J$5:$J$149,'Session Tracker'!$D$5:$D$149,$A351,'Session Tracker'!$F$5:$F$149,"Next week",'Session Tracker'!$G$5:$G$149,"Fri"))</f>
        <v>0</v>
      </c>
      <c r="M351" s="52" t="n">
        <f aca="false">IF($E351="Per class",$D351*COUNTIFS('Session Tracker'!$D$5:$D$149,$A351,'Session Tracker'!$F$5:$F$149,"Next week",'Session Tracker'!$G$5:$G$149,""),$D351*SUMIFS('Session Tracker'!$J$5:$J$149,'Session Tracker'!$D$5:$D$149,$A351,'Session Tracker'!$F$5:$F$149,"Next week",'Session Tracker'!$G$5:$G$149,""))</f>
        <v>0</v>
      </c>
    </row>
    <row r="352" customFormat="false" ht="15" hidden="false" customHeight="false" outlineLevel="0" collapsed="false">
      <c r="A352" s="68" t="s">
        <v>275</v>
      </c>
      <c r="B352" s="34" t="s">
        <v>411</v>
      </c>
      <c r="C352" s="34" t="s">
        <v>647</v>
      </c>
      <c r="D352" s="32" t="n">
        <v>12</v>
      </c>
      <c r="E352" s="32" t="s">
        <v>14</v>
      </c>
      <c r="F352" s="32" t="s">
        <v>373</v>
      </c>
      <c r="G352" s="34"/>
      <c r="H352" s="52" t="n">
        <f aca="false">IF($E352="Per class",$D352*COUNTIFS('Session Tracker'!$D$5:$D$149,$A352,'Session Tracker'!$F$5:$F$149,"Next week",'Session Tracker'!$G$5:$G$149,"Mon"),$D352*SUMIFS('Session Tracker'!$J$5:$J$149,'Session Tracker'!$D$5:$D$149,$A352,'Session Tracker'!$F$5:$F$149,"Next week",'Session Tracker'!$G$5:$G$149,"Mon"))</f>
        <v>0</v>
      </c>
      <c r="I352" s="52" t="n">
        <f aca="false">IF($E352="Per class",$D352*COUNTIFS('Session Tracker'!$D$5:$D$149,$A352,'Session Tracker'!$F$5:$F$149,"Next week",'Session Tracker'!$G$5:$G$149,"Tue"),$D352*SUMIFS('Session Tracker'!$J$5:$J$149,'Session Tracker'!$D$5:$D$149,$A352,'Session Tracker'!$F$5:$F$149,"Next week",'Session Tracker'!$G$5:$G$149,"Tue"))</f>
        <v>0</v>
      </c>
      <c r="J352" s="52" t="n">
        <f aca="false">IF($E352="Per class",$D352*COUNTIFS('Session Tracker'!$D$5:$D$149,$A352,'Session Tracker'!$F$5:$F$149,"Next week",'Session Tracker'!$G$5:$G$149,"Wed"),$D352*SUMIFS('Session Tracker'!$J$5:$J$149,'Session Tracker'!$D$5:$D$149,$A352,'Session Tracker'!$F$5:$F$149,"Next week",'Session Tracker'!$G$5:$G$149,"Wed"))</f>
        <v>0</v>
      </c>
      <c r="K352" s="52" t="n">
        <f aca="false">IF($E352="Per class",$D352*COUNTIFS('Session Tracker'!$D$5:$D$149,$A352,'Session Tracker'!$F$5:$F$149,"Next week",'Session Tracker'!$G$5:$G$149,"Thu"),$D352*SUMIFS('Session Tracker'!$J$5:$J$149,'Session Tracker'!$D$5:$D$149,$A352,'Session Tracker'!$F$5:$F$149,"Next week",'Session Tracker'!$G$5:$G$149,"Thu"))</f>
        <v>0</v>
      </c>
      <c r="L352" s="52" t="n">
        <f aca="false">IF($E352="Per class",$D352*COUNTIFS('Session Tracker'!$D$5:$D$149,$A352,'Session Tracker'!$F$5:$F$149,"Next week",'Session Tracker'!$G$5:$G$149,"Fri"),$D352*SUMIFS('Session Tracker'!$J$5:$J$149,'Session Tracker'!$D$5:$D$149,$A352,'Session Tracker'!$F$5:$F$149,"Next week",'Session Tracker'!$G$5:$G$149,"Fri"))</f>
        <v>0</v>
      </c>
      <c r="M352" s="52" t="n">
        <f aca="false">IF($E352="Per class",$D352*COUNTIFS('Session Tracker'!$D$5:$D$149,$A352,'Session Tracker'!$F$5:$F$149,"Next week",'Session Tracker'!$G$5:$G$149,""),$D352*SUMIFS('Session Tracker'!$J$5:$J$149,'Session Tracker'!$D$5:$D$149,$A352,'Session Tracker'!$F$5:$F$149,"Next week",'Session Tracker'!$G$5:$G$149,""))</f>
        <v>0</v>
      </c>
    </row>
    <row r="353" customFormat="false" ht="15" hidden="false" customHeight="false" outlineLevel="0" collapsed="false">
      <c r="A353" s="68" t="s">
        <v>275</v>
      </c>
      <c r="B353" s="34" t="s">
        <v>411</v>
      </c>
      <c r="C353" s="34" t="s">
        <v>493</v>
      </c>
      <c r="D353" s="32" t="n">
        <v>4</v>
      </c>
      <c r="E353" s="32" t="s">
        <v>14</v>
      </c>
      <c r="F353" s="32" t="s">
        <v>373</v>
      </c>
      <c r="G353" s="34"/>
      <c r="H353" s="52" t="n">
        <f aca="false">IF($E353="Per class",$D353*COUNTIFS('Session Tracker'!$D$5:$D$149,$A353,'Session Tracker'!$F$5:$F$149,"Next week",'Session Tracker'!$G$5:$G$149,"Mon"),$D353*SUMIFS('Session Tracker'!$J$5:$J$149,'Session Tracker'!$D$5:$D$149,$A353,'Session Tracker'!$F$5:$F$149,"Next week",'Session Tracker'!$G$5:$G$149,"Mon"))</f>
        <v>0</v>
      </c>
      <c r="I353" s="52" t="n">
        <f aca="false">IF($E353="Per class",$D353*COUNTIFS('Session Tracker'!$D$5:$D$149,$A353,'Session Tracker'!$F$5:$F$149,"Next week",'Session Tracker'!$G$5:$G$149,"Tue"),$D353*SUMIFS('Session Tracker'!$J$5:$J$149,'Session Tracker'!$D$5:$D$149,$A353,'Session Tracker'!$F$5:$F$149,"Next week",'Session Tracker'!$G$5:$G$149,"Tue"))</f>
        <v>0</v>
      </c>
      <c r="J353" s="52" t="n">
        <f aca="false">IF($E353="Per class",$D353*COUNTIFS('Session Tracker'!$D$5:$D$149,$A353,'Session Tracker'!$F$5:$F$149,"Next week",'Session Tracker'!$G$5:$G$149,"Wed"),$D353*SUMIFS('Session Tracker'!$J$5:$J$149,'Session Tracker'!$D$5:$D$149,$A353,'Session Tracker'!$F$5:$F$149,"Next week",'Session Tracker'!$G$5:$G$149,"Wed"))</f>
        <v>0</v>
      </c>
      <c r="K353" s="52" t="n">
        <f aca="false">IF($E353="Per class",$D353*COUNTIFS('Session Tracker'!$D$5:$D$149,$A353,'Session Tracker'!$F$5:$F$149,"Next week",'Session Tracker'!$G$5:$G$149,"Thu"),$D353*SUMIFS('Session Tracker'!$J$5:$J$149,'Session Tracker'!$D$5:$D$149,$A353,'Session Tracker'!$F$5:$F$149,"Next week",'Session Tracker'!$G$5:$G$149,"Thu"))</f>
        <v>0</v>
      </c>
      <c r="L353" s="52" t="n">
        <f aca="false">IF($E353="Per class",$D353*COUNTIFS('Session Tracker'!$D$5:$D$149,$A353,'Session Tracker'!$F$5:$F$149,"Next week",'Session Tracker'!$G$5:$G$149,"Fri"),$D353*SUMIFS('Session Tracker'!$J$5:$J$149,'Session Tracker'!$D$5:$D$149,$A353,'Session Tracker'!$F$5:$F$149,"Next week",'Session Tracker'!$G$5:$G$149,"Fri"))</f>
        <v>0</v>
      </c>
      <c r="M353" s="52" t="n">
        <f aca="false">IF($E353="Per class",$D353*COUNTIFS('Session Tracker'!$D$5:$D$149,$A353,'Session Tracker'!$F$5:$F$149,"Next week",'Session Tracker'!$G$5:$G$149,""),$D353*SUMIFS('Session Tracker'!$J$5:$J$149,'Session Tracker'!$D$5:$D$149,$A353,'Session Tracker'!$F$5:$F$149,"Next week",'Session Tracker'!$G$5:$G$149,""))</f>
        <v>0</v>
      </c>
    </row>
    <row r="354" customFormat="false" ht="15" hidden="false" customHeight="false" outlineLevel="0" collapsed="false">
      <c r="A354" s="68" t="s">
        <v>275</v>
      </c>
      <c r="B354" s="34" t="s">
        <v>382</v>
      </c>
      <c r="C354" s="34" t="s">
        <v>495</v>
      </c>
      <c r="D354" s="32" t="n">
        <v>1</v>
      </c>
      <c r="E354" s="32" t="s">
        <v>16</v>
      </c>
      <c r="F354" s="32" t="s">
        <v>368</v>
      </c>
      <c r="G354" s="34"/>
      <c r="H354" s="52" t="n">
        <f aca="false">IF($E354="Per class",$D354*COUNTIFS('Session Tracker'!$D$5:$D$149,$A354,'Session Tracker'!$F$5:$F$149,"Next week",'Session Tracker'!$G$5:$G$149,"Mon"),$D354*SUMIFS('Session Tracker'!$J$5:$J$149,'Session Tracker'!$D$5:$D$149,$A354,'Session Tracker'!$F$5:$F$149,"Next week",'Session Tracker'!$G$5:$G$149,"Mon"))</f>
        <v>0</v>
      </c>
      <c r="I354" s="52" t="n">
        <f aca="false">IF($E354="Per class",$D354*COUNTIFS('Session Tracker'!$D$5:$D$149,$A354,'Session Tracker'!$F$5:$F$149,"Next week",'Session Tracker'!$G$5:$G$149,"Tue"),$D354*SUMIFS('Session Tracker'!$J$5:$J$149,'Session Tracker'!$D$5:$D$149,$A354,'Session Tracker'!$F$5:$F$149,"Next week",'Session Tracker'!$G$5:$G$149,"Tue"))</f>
        <v>0</v>
      </c>
      <c r="J354" s="52" t="n">
        <f aca="false">IF($E354="Per class",$D354*COUNTIFS('Session Tracker'!$D$5:$D$149,$A354,'Session Tracker'!$F$5:$F$149,"Next week",'Session Tracker'!$G$5:$G$149,"Wed"),$D354*SUMIFS('Session Tracker'!$J$5:$J$149,'Session Tracker'!$D$5:$D$149,$A354,'Session Tracker'!$F$5:$F$149,"Next week",'Session Tracker'!$G$5:$G$149,"Wed"))</f>
        <v>0</v>
      </c>
      <c r="K354" s="52" t="n">
        <f aca="false">IF($E354="Per class",$D354*COUNTIFS('Session Tracker'!$D$5:$D$149,$A354,'Session Tracker'!$F$5:$F$149,"Next week",'Session Tracker'!$G$5:$G$149,"Thu"),$D354*SUMIFS('Session Tracker'!$J$5:$J$149,'Session Tracker'!$D$5:$D$149,$A354,'Session Tracker'!$F$5:$F$149,"Next week",'Session Tracker'!$G$5:$G$149,"Thu"))</f>
        <v>0</v>
      </c>
      <c r="L354" s="52" t="n">
        <f aca="false">IF($E354="Per class",$D354*COUNTIFS('Session Tracker'!$D$5:$D$149,$A354,'Session Tracker'!$F$5:$F$149,"Next week",'Session Tracker'!$G$5:$G$149,"Fri"),$D354*SUMIFS('Session Tracker'!$J$5:$J$149,'Session Tracker'!$D$5:$D$149,$A354,'Session Tracker'!$F$5:$F$149,"Next week",'Session Tracker'!$G$5:$G$149,"Fri"))</f>
        <v>0</v>
      </c>
      <c r="M354" s="52" t="n">
        <f aca="false">IF($E354="Per class",$D354*COUNTIFS('Session Tracker'!$D$5:$D$149,$A354,'Session Tracker'!$F$5:$F$149,"Next week",'Session Tracker'!$G$5:$G$149,""),$D354*SUMIFS('Session Tracker'!$J$5:$J$149,'Session Tracker'!$D$5:$D$149,$A354,'Session Tracker'!$F$5:$F$149,"Next week",'Session Tracker'!$G$5:$G$149,""))</f>
        <v>0</v>
      </c>
    </row>
    <row r="355" customFormat="false" ht="15" hidden="false" customHeight="false" outlineLevel="0" collapsed="false">
      <c r="A355" s="53" t="s">
        <v>275</v>
      </c>
      <c r="B355" s="54"/>
      <c r="C355" s="54"/>
      <c r="D355" s="54"/>
      <c r="E355" s="54"/>
      <c r="F355" s="54"/>
      <c r="G355" s="54"/>
      <c r="H355" s="52" t="n">
        <f aca="false">IF($E355="Per class",$D355*COUNTIFS('Session Tracker'!$D$5:$D$149,$A355,'Session Tracker'!$F$5:$F$149,"Next week",'Session Tracker'!$G$5:$G$149,"Mon"),$D355*SUMIFS('Session Tracker'!$J$5:$J$149,'Session Tracker'!$D$5:$D$149,$A355,'Session Tracker'!$F$5:$F$149,"Next week",'Session Tracker'!$G$5:$G$149,"Mon"))</f>
        <v>0</v>
      </c>
      <c r="I355" s="52" t="n">
        <f aca="false">IF($E355="Per class",$D355*COUNTIFS('Session Tracker'!$D$5:$D$149,$A355,'Session Tracker'!$F$5:$F$149,"Next week",'Session Tracker'!$G$5:$G$149,"Tue"),$D355*SUMIFS('Session Tracker'!$J$5:$J$149,'Session Tracker'!$D$5:$D$149,$A355,'Session Tracker'!$F$5:$F$149,"Next week",'Session Tracker'!$G$5:$G$149,"Tue"))</f>
        <v>0</v>
      </c>
      <c r="J355" s="52" t="n">
        <f aca="false">IF($E355="Per class",$D355*COUNTIFS('Session Tracker'!$D$5:$D$149,$A355,'Session Tracker'!$F$5:$F$149,"Next week",'Session Tracker'!$G$5:$G$149,"Wed"),$D355*SUMIFS('Session Tracker'!$J$5:$J$149,'Session Tracker'!$D$5:$D$149,$A355,'Session Tracker'!$F$5:$F$149,"Next week",'Session Tracker'!$G$5:$G$149,"Wed"))</f>
        <v>0</v>
      </c>
      <c r="K355" s="52" t="n">
        <f aca="false">IF($E355="Per class",$D355*COUNTIFS('Session Tracker'!$D$5:$D$149,$A355,'Session Tracker'!$F$5:$F$149,"Next week",'Session Tracker'!$G$5:$G$149,"Thu"),$D355*SUMIFS('Session Tracker'!$J$5:$J$149,'Session Tracker'!$D$5:$D$149,$A355,'Session Tracker'!$F$5:$F$149,"Next week",'Session Tracker'!$G$5:$G$149,"Thu"))</f>
        <v>0</v>
      </c>
      <c r="L355" s="52" t="n">
        <f aca="false">IF($E355="Per class",$D355*COUNTIFS('Session Tracker'!$D$5:$D$149,$A355,'Session Tracker'!$F$5:$F$149,"Next week",'Session Tracker'!$G$5:$G$149,"Fri"),$D355*SUMIFS('Session Tracker'!$J$5:$J$149,'Session Tracker'!$D$5:$D$149,$A355,'Session Tracker'!$F$5:$F$149,"Next week",'Session Tracker'!$G$5:$G$149,"Fri"))</f>
        <v>0</v>
      </c>
      <c r="M355" s="52" t="n">
        <f aca="false">IF($E355="Per class",$D355*COUNTIFS('Session Tracker'!$D$5:$D$149,$A355,'Session Tracker'!$F$5:$F$149,"Next week",'Session Tracker'!$G$5:$G$149,""),$D355*SUMIFS('Session Tracker'!$J$5:$J$149,'Session Tracker'!$D$5:$D$149,$A355,'Session Tracker'!$F$5:$F$149,"Next week",'Session Tracker'!$G$5:$G$149,""))</f>
        <v>0</v>
      </c>
    </row>
    <row r="356" customFormat="false" ht="15" hidden="false" customHeight="false" outlineLevel="0" collapsed="false">
      <c r="A356" s="53" t="s">
        <v>275</v>
      </c>
      <c r="B356" s="54"/>
      <c r="C356" s="54"/>
      <c r="D356" s="54"/>
      <c r="E356" s="54"/>
      <c r="F356" s="54"/>
      <c r="G356" s="54"/>
      <c r="H356" s="52" t="n">
        <f aca="false">IF($E356="Per class",$D356*COUNTIFS('Session Tracker'!$D$5:$D$149,$A356,'Session Tracker'!$F$5:$F$149,"Next week",'Session Tracker'!$G$5:$G$149,"Mon"),$D356*SUMIFS('Session Tracker'!$J$5:$J$149,'Session Tracker'!$D$5:$D$149,$A356,'Session Tracker'!$F$5:$F$149,"Next week",'Session Tracker'!$G$5:$G$149,"Mon"))</f>
        <v>0</v>
      </c>
      <c r="I356" s="52" t="n">
        <f aca="false">IF($E356="Per class",$D356*COUNTIFS('Session Tracker'!$D$5:$D$149,$A356,'Session Tracker'!$F$5:$F$149,"Next week",'Session Tracker'!$G$5:$G$149,"Tue"),$D356*SUMIFS('Session Tracker'!$J$5:$J$149,'Session Tracker'!$D$5:$D$149,$A356,'Session Tracker'!$F$5:$F$149,"Next week",'Session Tracker'!$G$5:$G$149,"Tue"))</f>
        <v>0</v>
      </c>
      <c r="J356" s="52" t="n">
        <f aca="false">IF($E356="Per class",$D356*COUNTIFS('Session Tracker'!$D$5:$D$149,$A356,'Session Tracker'!$F$5:$F$149,"Next week",'Session Tracker'!$G$5:$G$149,"Wed"),$D356*SUMIFS('Session Tracker'!$J$5:$J$149,'Session Tracker'!$D$5:$D$149,$A356,'Session Tracker'!$F$5:$F$149,"Next week",'Session Tracker'!$G$5:$G$149,"Wed"))</f>
        <v>0</v>
      </c>
      <c r="K356" s="52" t="n">
        <f aca="false">IF($E356="Per class",$D356*COUNTIFS('Session Tracker'!$D$5:$D$149,$A356,'Session Tracker'!$F$5:$F$149,"Next week",'Session Tracker'!$G$5:$G$149,"Thu"),$D356*SUMIFS('Session Tracker'!$J$5:$J$149,'Session Tracker'!$D$5:$D$149,$A356,'Session Tracker'!$F$5:$F$149,"Next week",'Session Tracker'!$G$5:$G$149,"Thu"))</f>
        <v>0</v>
      </c>
      <c r="L356" s="52" t="n">
        <f aca="false">IF($E356="Per class",$D356*COUNTIFS('Session Tracker'!$D$5:$D$149,$A356,'Session Tracker'!$F$5:$F$149,"Next week",'Session Tracker'!$G$5:$G$149,"Fri"),$D356*SUMIFS('Session Tracker'!$J$5:$J$149,'Session Tracker'!$D$5:$D$149,$A356,'Session Tracker'!$F$5:$F$149,"Next week",'Session Tracker'!$G$5:$G$149,"Fri"))</f>
        <v>0</v>
      </c>
      <c r="M356" s="52" t="n">
        <f aca="false">IF($E356="Per class",$D356*COUNTIFS('Session Tracker'!$D$5:$D$149,$A356,'Session Tracker'!$F$5:$F$149,"Next week",'Session Tracker'!$G$5:$G$149,""),$D356*SUMIFS('Session Tracker'!$J$5:$J$149,'Session Tracker'!$D$5:$D$149,$A356,'Session Tracker'!$F$5:$F$149,"Next week",'Session Tracker'!$G$5:$G$149,""))</f>
        <v>0</v>
      </c>
    </row>
    <row r="358" customFormat="false" ht="19.5" hidden="false" customHeight="true" outlineLevel="0" collapsed="false">
      <c r="A358" s="64" t="s">
        <v>277</v>
      </c>
      <c r="B358" s="65" t="s">
        <v>648</v>
      </c>
      <c r="C358" s="65"/>
      <c r="D358" s="65"/>
      <c r="E358" s="65"/>
      <c r="F358" s="66" t="str">
        <f aca="false">"Status: "&amp;'Session Tracker'!F108&amp;IF('Session Tracker'!G108&lt;&gt;""," ("&amp;'Session Tracker'!G108&amp;")","")</f>
        <v>Status: Not started</v>
      </c>
      <c r="G358" s="66"/>
      <c r="H358" s="67"/>
      <c r="I358" s="67"/>
      <c r="J358" s="67"/>
      <c r="K358" s="67"/>
      <c r="L358" s="67"/>
      <c r="M358" s="67"/>
    </row>
    <row r="359" customFormat="false" ht="23.85" hidden="false" customHeight="false" outlineLevel="0" collapsed="false">
      <c r="A359" s="68" t="s">
        <v>277</v>
      </c>
      <c r="B359" s="34" t="s">
        <v>366</v>
      </c>
      <c r="C359" s="34" t="s">
        <v>367</v>
      </c>
      <c r="D359" s="32" t="n">
        <v>1</v>
      </c>
      <c r="E359" s="32" t="s">
        <v>14</v>
      </c>
      <c r="F359" s="32" t="s">
        <v>368</v>
      </c>
      <c r="G359" s="34"/>
      <c r="H359" s="52" t="n">
        <f aca="false">IF($E359="Per class",$D359*COUNTIFS('Session Tracker'!$D$5:$D$149,$A359,'Session Tracker'!$F$5:$F$149,"Next week",'Session Tracker'!$G$5:$G$149,"Mon"),$D359*SUMIFS('Session Tracker'!$J$5:$J$149,'Session Tracker'!$D$5:$D$149,$A359,'Session Tracker'!$F$5:$F$149,"Next week",'Session Tracker'!$G$5:$G$149,"Mon"))</f>
        <v>0</v>
      </c>
      <c r="I359" s="52" t="n">
        <f aca="false">IF($E359="Per class",$D359*COUNTIFS('Session Tracker'!$D$5:$D$149,$A359,'Session Tracker'!$F$5:$F$149,"Next week",'Session Tracker'!$G$5:$G$149,"Tue"),$D359*SUMIFS('Session Tracker'!$J$5:$J$149,'Session Tracker'!$D$5:$D$149,$A359,'Session Tracker'!$F$5:$F$149,"Next week",'Session Tracker'!$G$5:$G$149,"Tue"))</f>
        <v>0</v>
      </c>
      <c r="J359" s="52" t="n">
        <f aca="false">IF($E359="Per class",$D359*COUNTIFS('Session Tracker'!$D$5:$D$149,$A359,'Session Tracker'!$F$5:$F$149,"Next week",'Session Tracker'!$G$5:$G$149,"Wed"),$D359*SUMIFS('Session Tracker'!$J$5:$J$149,'Session Tracker'!$D$5:$D$149,$A359,'Session Tracker'!$F$5:$F$149,"Next week",'Session Tracker'!$G$5:$G$149,"Wed"))</f>
        <v>0</v>
      </c>
      <c r="K359" s="52" t="n">
        <f aca="false">IF($E359="Per class",$D359*COUNTIFS('Session Tracker'!$D$5:$D$149,$A359,'Session Tracker'!$F$5:$F$149,"Next week",'Session Tracker'!$G$5:$G$149,"Thu"),$D359*SUMIFS('Session Tracker'!$J$5:$J$149,'Session Tracker'!$D$5:$D$149,$A359,'Session Tracker'!$F$5:$F$149,"Next week",'Session Tracker'!$G$5:$G$149,"Thu"))</f>
        <v>0</v>
      </c>
      <c r="L359" s="52" t="n">
        <f aca="false">IF($E359="Per class",$D359*COUNTIFS('Session Tracker'!$D$5:$D$149,$A359,'Session Tracker'!$F$5:$F$149,"Next week",'Session Tracker'!$G$5:$G$149,"Fri"),$D359*SUMIFS('Session Tracker'!$J$5:$J$149,'Session Tracker'!$D$5:$D$149,$A359,'Session Tracker'!$F$5:$F$149,"Next week",'Session Tracker'!$G$5:$G$149,"Fri"))</f>
        <v>0</v>
      </c>
      <c r="M359" s="52" t="n">
        <f aca="false">IF($E359="Per class",$D359*COUNTIFS('Session Tracker'!$D$5:$D$149,$A359,'Session Tracker'!$F$5:$F$149,"Next week",'Session Tracker'!$G$5:$G$149,""),$D359*SUMIFS('Session Tracker'!$J$5:$J$149,'Session Tracker'!$D$5:$D$149,$A359,'Session Tracker'!$F$5:$F$149,"Next week",'Session Tracker'!$G$5:$G$149,""))</f>
        <v>0</v>
      </c>
    </row>
    <row r="360" customFormat="false" ht="15" hidden="false" customHeight="false" outlineLevel="0" collapsed="false">
      <c r="A360" s="68" t="s">
        <v>277</v>
      </c>
      <c r="B360" s="34" t="s">
        <v>369</v>
      </c>
      <c r="C360" s="34" t="s">
        <v>649</v>
      </c>
      <c r="D360" s="32" t="n">
        <v>1</v>
      </c>
      <c r="E360" s="32" t="s">
        <v>14</v>
      </c>
      <c r="F360" s="32" t="s">
        <v>368</v>
      </c>
      <c r="G360" s="34"/>
      <c r="H360" s="52" t="n">
        <f aca="false">IF($E360="Per class",$D360*COUNTIFS('Session Tracker'!$D$5:$D$149,$A360,'Session Tracker'!$F$5:$F$149,"Next week",'Session Tracker'!$G$5:$G$149,"Mon"),$D360*SUMIFS('Session Tracker'!$J$5:$J$149,'Session Tracker'!$D$5:$D$149,$A360,'Session Tracker'!$F$5:$F$149,"Next week",'Session Tracker'!$G$5:$G$149,"Mon"))</f>
        <v>0</v>
      </c>
      <c r="I360" s="52" t="n">
        <f aca="false">IF($E360="Per class",$D360*COUNTIFS('Session Tracker'!$D$5:$D$149,$A360,'Session Tracker'!$F$5:$F$149,"Next week",'Session Tracker'!$G$5:$G$149,"Tue"),$D360*SUMIFS('Session Tracker'!$J$5:$J$149,'Session Tracker'!$D$5:$D$149,$A360,'Session Tracker'!$F$5:$F$149,"Next week",'Session Tracker'!$G$5:$G$149,"Tue"))</f>
        <v>0</v>
      </c>
      <c r="J360" s="52" t="n">
        <f aca="false">IF($E360="Per class",$D360*COUNTIFS('Session Tracker'!$D$5:$D$149,$A360,'Session Tracker'!$F$5:$F$149,"Next week",'Session Tracker'!$G$5:$G$149,"Wed"),$D360*SUMIFS('Session Tracker'!$J$5:$J$149,'Session Tracker'!$D$5:$D$149,$A360,'Session Tracker'!$F$5:$F$149,"Next week",'Session Tracker'!$G$5:$G$149,"Wed"))</f>
        <v>0</v>
      </c>
      <c r="K360" s="52" t="n">
        <f aca="false">IF($E360="Per class",$D360*COUNTIFS('Session Tracker'!$D$5:$D$149,$A360,'Session Tracker'!$F$5:$F$149,"Next week",'Session Tracker'!$G$5:$G$149,"Thu"),$D360*SUMIFS('Session Tracker'!$J$5:$J$149,'Session Tracker'!$D$5:$D$149,$A360,'Session Tracker'!$F$5:$F$149,"Next week",'Session Tracker'!$G$5:$G$149,"Thu"))</f>
        <v>0</v>
      </c>
      <c r="L360" s="52" t="n">
        <f aca="false">IF($E360="Per class",$D360*COUNTIFS('Session Tracker'!$D$5:$D$149,$A360,'Session Tracker'!$F$5:$F$149,"Next week",'Session Tracker'!$G$5:$G$149,"Fri"),$D360*SUMIFS('Session Tracker'!$J$5:$J$149,'Session Tracker'!$D$5:$D$149,$A360,'Session Tracker'!$F$5:$F$149,"Next week",'Session Tracker'!$G$5:$G$149,"Fri"))</f>
        <v>0</v>
      </c>
      <c r="M360" s="52" t="n">
        <f aca="false">IF($E360="Per class",$D360*COUNTIFS('Session Tracker'!$D$5:$D$149,$A360,'Session Tracker'!$F$5:$F$149,"Next week",'Session Tracker'!$G$5:$G$149,""),$D360*SUMIFS('Session Tracker'!$J$5:$J$149,'Session Tracker'!$D$5:$D$149,$A360,'Session Tracker'!$F$5:$F$149,"Next week",'Session Tracker'!$G$5:$G$149,""))</f>
        <v>0</v>
      </c>
    </row>
    <row r="361" customFormat="false" ht="15" hidden="false" customHeight="false" outlineLevel="0" collapsed="false">
      <c r="A361" s="68" t="s">
        <v>277</v>
      </c>
      <c r="B361" s="34" t="s">
        <v>371</v>
      </c>
      <c r="C361" s="34" t="s">
        <v>517</v>
      </c>
      <c r="D361" s="32" t="n">
        <v>1</v>
      </c>
      <c r="E361" s="32" t="s">
        <v>14</v>
      </c>
      <c r="F361" s="32" t="s">
        <v>368</v>
      </c>
      <c r="G361" s="34"/>
      <c r="H361" s="52" t="n">
        <f aca="false">IF($E361="Per class",$D361*COUNTIFS('Session Tracker'!$D$5:$D$149,$A361,'Session Tracker'!$F$5:$F$149,"Next week",'Session Tracker'!$G$5:$G$149,"Mon"),$D361*SUMIFS('Session Tracker'!$J$5:$J$149,'Session Tracker'!$D$5:$D$149,$A361,'Session Tracker'!$F$5:$F$149,"Next week",'Session Tracker'!$G$5:$G$149,"Mon"))</f>
        <v>0</v>
      </c>
      <c r="I361" s="52" t="n">
        <f aca="false">IF($E361="Per class",$D361*COUNTIFS('Session Tracker'!$D$5:$D$149,$A361,'Session Tracker'!$F$5:$F$149,"Next week",'Session Tracker'!$G$5:$G$149,"Tue"),$D361*SUMIFS('Session Tracker'!$J$5:$J$149,'Session Tracker'!$D$5:$D$149,$A361,'Session Tracker'!$F$5:$F$149,"Next week",'Session Tracker'!$G$5:$G$149,"Tue"))</f>
        <v>0</v>
      </c>
      <c r="J361" s="52" t="n">
        <f aca="false">IF($E361="Per class",$D361*COUNTIFS('Session Tracker'!$D$5:$D$149,$A361,'Session Tracker'!$F$5:$F$149,"Next week",'Session Tracker'!$G$5:$G$149,"Wed"),$D361*SUMIFS('Session Tracker'!$J$5:$J$149,'Session Tracker'!$D$5:$D$149,$A361,'Session Tracker'!$F$5:$F$149,"Next week",'Session Tracker'!$G$5:$G$149,"Wed"))</f>
        <v>0</v>
      </c>
      <c r="K361" s="52" t="n">
        <f aca="false">IF($E361="Per class",$D361*COUNTIFS('Session Tracker'!$D$5:$D$149,$A361,'Session Tracker'!$F$5:$F$149,"Next week",'Session Tracker'!$G$5:$G$149,"Thu"),$D361*SUMIFS('Session Tracker'!$J$5:$J$149,'Session Tracker'!$D$5:$D$149,$A361,'Session Tracker'!$F$5:$F$149,"Next week",'Session Tracker'!$G$5:$G$149,"Thu"))</f>
        <v>0</v>
      </c>
      <c r="L361" s="52" t="n">
        <f aca="false">IF($E361="Per class",$D361*COUNTIFS('Session Tracker'!$D$5:$D$149,$A361,'Session Tracker'!$F$5:$F$149,"Next week",'Session Tracker'!$G$5:$G$149,"Fri"),$D361*SUMIFS('Session Tracker'!$J$5:$J$149,'Session Tracker'!$D$5:$D$149,$A361,'Session Tracker'!$F$5:$F$149,"Next week",'Session Tracker'!$G$5:$G$149,"Fri"))</f>
        <v>0</v>
      </c>
      <c r="M361" s="52" t="n">
        <f aca="false">IF($E361="Per class",$D361*COUNTIFS('Session Tracker'!$D$5:$D$149,$A361,'Session Tracker'!$F$5:$F$149,"Next week",'Session Tracker'!$G$5:$G$149,""),$D361*SUMIFS('Session Tracker'!$J$5:$J$149,'Session Tracker'!$D$5:$D$149,$A361,'Session Tracker'!$F$5:$F$149,"Next week",'Session Tracker'!$G$5:$G$149,""))</f>
        <v>0</v>
      </c>
    </row>
    <row r="362" customFormat="false" ht="15" hidden="false" customHeight="false" outlineLevel="0" collapsed="false">
      <c r="A362" s="68" t="s">
        <v>277</v>
      </c>
      <c r="B362" s="34" t="s">
        <v>371</v>
      </c>
      <c r="C362" s="34" t="s">
        <v>372</v>
      </c>
      <c r="D362" s="32" t="n">
        <v>2</v>
      </c>
      <c r="E362" s="32" t="s">
        <v>14</v>
      </c>
      <c r="F362" s="32" t="s">
        <v>373</v>
      </c>
      <c r="G362" s="34"/>
      <c r="H362" s="52" t="n">
        <f aca="false">IF($E362="Per class",$D362*COUNTIFS('Session Tracker'!$D$5:$D$149,$A362,'Session Tracker'!$F$5:$F$149,"Next week",'Session Tracker'!$G$5:$G$149,"Mon"),$D362*SUMIFS('Session Tracker'!$J$5:$J$149,'Session Tracker'!$D$5:$D$149,$A362,'Session Tracker'!$F$5:$F$149,"Next week",'Session Tracker'!$G$5:$G$149,"Mon"))</f>
        <v>0</v>
      </c>
      <c r="I362" s="52" t="n">
        <f aca="false">IF($E362="Per class",$D362*COUNTIFS('Session Tracker'!$D$5:$D$149,$A362,'Session Tracker'!$F$5:$F$149,"Next week",'Session Tracker'!$G$5:$G$149,"Tue"),$D362*SUMIFS('Session Tracker'!$J$5:$J$149,'Session Tracker'!$D$5:$D$149,$A362,'Session Tracker'!$F$5:$F$149,"Next week",'Session Tracker'!$G$5:$G$149,"Tue"))</f>
        <v>0</v>
      </c>
      <c r="J362" s="52" t="n">
        <f aca="false">IF($E362="Per class",$D362*COUNTIFS('Session Tracker'!$D$5:$D$149,$A362,'Session Tracker'!$F$5:$F$149,"Next week",'Session Tracker'!$G$5:$G$149,"Wed"),$D362*SUMIFS('Session Tracker'!$J$5:$J$149,'Session Tracker'!$D$5:$D$149,$A362,'Session Tracker'!$F$5:$F$149,"Next week",'Session Tracker'!$G$5:$G$149,"Wed"))</f>
        <v>0</v>
      </c>
      <c r="K362" s="52" t="n">
        <f aca="false">IF($E362="Per class",$D362*COUNTIFS('Session Tracker'!$D$5:$D$149,$A362,'Session Tracker'!$F$5:$F$149,"Next week",'Session Tracker'!$G$5:$G$149,"Thu"),$D362*SUMIFS('Session Tracker'!$J$5:$J$149,'Session Tracker'!$D$5:$D$149,$A362,'Session Tracker'!$F$5:$F$149,"Next week",'Session Tracker'!$G$5:$G$149,"Thu"))</f>
        <v>0</v>
      </c>
      <c r="L362" s="52" t="n">
        <f aca="false">IF($E362="Per class",$D362*COUNTIFS('Session Tracker'!$D$5:$D$149,$A362,'Session Tracker'!$F$5:$F$149,"Next week",'Session Tracker'!$G$5:$G$149,"Fri"),$D362*SUMIFS('Session Tracker'!$J$5:$J$149,'Session Tracker'!$D$5:$D$149,$A362,'Session Tracker'!$F$5:$F$149,"Next week",'Session Tracker'!$G$5:$G$149,"Fri"))</f>
        <v>0</v>
      </c>
      <c r="M362" s="52" t="n">
        <f aca="false">IF($E362="Per class",$D362*COUNTIFS('Session Tracker'!$D$5:$D$149,$A362,'Session Tracker'!$F$5:$F$149,"Next week",'Session Tracker'!$G$5:$G$149,""),$D362*SUMIFS('Session Tracker'!$J$5:$J$149,'Session Tracker'!$D$5:$D$149,$A362,'Session Tracker'!$F$5:$F$149,"Next week",'Session Tracker'!$G$5:$G$149,""))</f>
        <v>0</v>
      </c>
    </row>
    <row r="363" customFormat="false" ht="15" hidden="false" customHeight="false" outlineLevel="0" collapsed="false">
      <c r="A363" s="68" t="s">
        <v>277</v>
      </c>
      <c r="B363" s="34" t="s">
        <v>377</v>
      </c>
      <c r="C363" s="34" t="s">
        <v>483</v>
      </c>
      <c r="D363" s="32" t="n">
        <v>1</v>
      </c>
      <c r="E363" s="32" t="s">
        <v>14</v>
      </c>
      <c r="F363" s="32" t="s">
        <v>368</v>
      </c>
      <c r="G363" s="34"/>
      <c r="H363" s="52" t="n">
        <f aca="false">IF($E363="Per class",$D363*COUNTIFS('Session Tracker'!$D$5:$D$149,$A363,'Session Tracker'!$F$5:$F$149,"Next week",'Session Tracker'!$G$5:$G$149,"Mon"),$D363*SUMIFS('Session Tracker'!$J$5:$J$149,'Session Tracker'!$D$5:$D$149,$A363,'Session Tracker'!$F$5:$F$149,"Next week",'Session Tracker'!$G$5:$G$149,"Mon"))</f>
        <v>0</v>
      </c>
      <c r="I363" s="52" t="n">
        <f aca="false">IF($E363="Per class",$D363*COUNTIFS('Session Tracker'!$D$5:$D$149,$A363,'Session Tracker'!$F$5:$F$149,"Next week",'Session Tracker'!$G$5:$G$149,"Tue"),$D363*SUMIFS('Session Tracker'!$J$5:$J$149,'Session Tracker'!$D$5:$D$149,$A363,'Session Tracker'!$F$5:$F$149,"Next week",'Session Tracker'!$G$5:$G$149,"Tue"))</f>
        <v>0</v>
      </c>
      <c r="J363" s="52" t="n">
        <f aca="false">IF($E363="Per class",$D363*COUNTIFS('Session Tracker'!$D$5:$D$149,$A363,'Session Tracker'!$F$5:$F$149,"Next week",'Session Tracker'!$G$5:$G$149,"Wed"),$D363*SUMIFS('Session Tracker'!$J$5:$J$149,'Session Tracker'!$D$5:$D$149,$A363,'Session Tracker'!$F$5:$F$149,"Next week",'Session Tracker'!$G$5:$G$149,"Wed"))</f>
        <v>0</v>
      </c>
      <c r="K363" s="52" t="n">
        <f aca="false">IF($E363="Per class",$D363*COUNTIFS('Session Tracker'!$D$5:$D$149,$A363,'Session Tracker'!$F$5:$F$149,"Next week",'Session Tracker'!$G$5:$G$149,"Thu"),$D363*SUMIFS('Session Tracker'!$J$5:$J$149,'Session Tracker'!$D$5:$D$149,$A363,'Session Tracker'!$F$5:$F$149,"Next week",'Session Tracker'!$G$5:$G$149,"Thu"))</f>
        <v>0</v>
      </c>
      <c r="L363" s="52" t="n">
        <f aca="false">IF($E363="Per class",$D363*COUNTIFS('Session Tracker'!$D$5:$D$149,$A363,'Session Tracker'!$F$5:$F$149,"Next week",'Session Tracker'!$G$5:$G$149,"Fri"),$D363*SUMIFS('Session Tracker'!$J$5:$J$149,'Session Tracker'!$D$5:$D$149,$A363,'Session Tracker'!$F$5:$F$149,"Next week",'Session Tracker'!$G$5:$G$149,"Fri"))</f>
        <v>0</v>
      </c>
      <c r="M363" s="52" t="n">
        <f aca="false">IF($E363="Per class",$D363*COUNTIFS('Session Tracker'!$D$5:$D$149,$A363,'Session Tracker'!$F$5:$F$149,"Next week",'Session Tracker'!$G$5:$G$149,""),$D363*SUMIFS('Session Tracker'!$J$5:$J$149,'Session Tracker'!$D$5:$D$149,$A363,'Session Tracker'!$F$5:$F$149,"Next week",'Session Tracker'!$G$5:$G$149,""))</f>
        <v>0</v>
      </c>
    </row>
    <row r="364" customFormat="false" ht="15" hidden="false" customHeight="false" outlineLevel="0" collapsed="false">
      <c r="A364" s="68" t="s">
        <v>277</v>
      </c>
      <c r="B364" s="34" t="s">
        <v>409</v>
      </c>
      <c r="C364" s="34" t="s">
        <v>533</v>
      </c>
      <c r="D364" s="32" t="n">
        <v>1</v>
      </c>
      <c r="E364" s="32" t="s">
        <v>14</v>
      </c>
      <c r="F364" s="32" t="s">
        <v>373</v>
      </c>
      <c r="G364" s="34"/>
      <c r="H364" s="52" t="n">
        <f aca="false">IF($E364="Per class",$D364*COUNTIFS('Session Tracker'!$D$5:$D$149,$A364,'Session Tracker'!$F$5:$F$149,"Next week",'Session Tracker'!$G$5:$G$149,"Mon"),$D364*SUMIFS('Session Tracker'!$J$5:$J$149,'Session Tracker'!$D$5:$D$149,$A364,'Session Tracker'!$F$5:$F$149,"Next week",'Session Tracker'!$G$5:$G$149,"Mon"))</f>
        <v>0</v>
      </c>
      <c r="I364" s="52" t="n">
        <f aca="false">IF($E364="Per class",$D364*COUNTIFS('Session Tracker'!$D$5:$D$149,$A364,'Session Tracker'!$F$5:$F$149,"Next week",'Session Tracker'!$G$5:$G$149,"Tue"),$D364*SUMIFS('Session Tracker'!$J$5:$J$149,'Session Tracker'!$D$5:$D$149,$A364,'Session Tracker'!$F$5:$F$149,"Next week",'Session Tracker'!$G$5:$G$149,"Tue"))</f>
        <v>0</v>
      </c>
      <c r="J364" s="52" t="n">
        <f aca="false">IF($E364="Per class",$D364*COUNTIFS('Session Tracker'!$D$5:$D$149,$A364,'Session Tracker'!$F$5:$F$149,"Next week",'Session Tracker'!$G$5:$G$149,"Wed"),$D364*SUMIFS('Session Tracker'!$J$5:$J$149,'Session Tracker'!$D$5:$D$149,$A364,'Session Tracker'!$F$5:$F$149,"Next week",'Session Tracker'!$G$5:$G$149,"Wed"))</f>
        <v>0</v>
      </c>
      <c r="K364" s="52" t="n">
        <f aca="false">IF($E364="Per class",$D364*COUNTIFS('Session Tracker'!$D$5:$D$149,$A364,'Session Tracker'!$F$5:$F$149,"Next week",'Session Tracker'!$G$5:$G$149,"Thu"),$D364*SUMIFS('Session Tracker'!$J$5:$J$149,'Session Tracker'!$D$5:$D$149,$A364,'Session Tracker'!$F$5:$F$149,"Next week",'Session Tracker'!$G$5:$G$149,"Thu"))</f>
        <v>0</v>
      </c>
      <c r="L364" s="52" t="n">
        <f aca="false">IF($E364="Per class",$D364*COUNTIFS('Session Tracker'!$D$5:$D$149,$A364,'Session Tracker'!$F$5:$F$149,"Next week",'Session Tracker'!$G$5:$G$149,"Fri"),$D364*SUMIFS('Session Tracker'!$J$5:$J$149,'Session Tracker'!$D$5:$D$149,$A364,'Session Tracker'!$F$5:$F$149,"Next week",'Session Tracker'!$G$5:$G$149,"Fri"))</f>
        <v>0</v>
      </c>
      <c r="M364" s="52" t="n">
        <f aca="false">IF($E364="Per class",$D364*COUNTIFS('Session Tracker'!$D$5:$D$149,$A364,'Session Tracker'!$F$5:$F$149,"Next week",'Session Tracker'!$G$5:$G$149,""),$D364*SUMIFS('Session Tracker'!$J$5:$J$149,'Session Tracker'!$D$5:$D$149,$A364,'Session Tracker'!$F$5:$F$149,"Next week",'Session Tracker'!$G$5:$G$149,""))</f>
        <v>0</v>
      </c>
    </row>
    <row r="365" customFormat="false" ht="15" hidden="false" customHeight="false" outlineLevel="0" collapsed="false">
      <c r="A365" s="68" t="s">
        <v>277</v>
      </c>
      <c r="B365" s="34" t="s">
        <v>379</v>
      </c>
      <c r="C365" s="34" t="s">
        <v>380</v>
      </c>
      <c r="D365" s="32" t="n">
        <v>1</v>
      </c>
      <c r="E365" s="32" t="s">
        <v>14</v>
      </c>
      <c r="F365" s="32" t="s">
        <v>368</v>
      </c>
      <c r="G365" s="34"/>
      <c r="H365" s="52" t="n">
        <f aca="false">IF($E365="Per class",$D365*COUNTIFS('Session Tracker'!$D$5:$D$149,$A365,'Session Tracker'!$F$5:$F$149,"Next week",'Session Tracker'!$G$5:$G$149,"Mon"),$D365*SUMIFS('Session Tracker'!$J$5:$J$149,'Session Tracker'!$D$5:$D$149,$A365,'Session Tracker'!$F$5:$F$149,"Next week",'Session Tracker'!$G$5:$G$149,"Mon"))</f>
        <v>0</v>
      </c>
      <c r="I365" s="52" t="n">
        <f aca="false">IF($E365="Per class",$D365*COUNTIFS('Session Tracker'!$D$5:$D$149,$A365,'Session Tracker'!$F$5:$F$149,"Next week",'Session Tracker'!$G$5:$G$149,"Tue"),$D365*SUMIFS('Session Tracker'!$J$5:$J$149,'Session Tracker'!$D$5:$D$149,$A365,'Session Tracker'!$F$5:$F$149,"Next week",'Session Tracker'!$G$5:$G$149,"Tue"))</f>
        <v>0</v>
      </c>
      <c r="J365" s="52" t="n">
        <f aca="false">IF($E365="Per class",$D365*COUNTIFS('Session Tracker'!$D$5:$D$149,$A365,'Session Tracker'!$F$5:$F$149,"Next week",'Session Tracker'!$G$5:$G$149,"Wed"),$D365*SUMIFS('Session Tracker'!$J$5:$J$149,'Session Tracker'!$D$5:$D$149,$A365,'Session Tracker'!$F$5:$F$149,"Next week",'Session Tracker'!$G$5:$G$149,"Wed"))</f>
        <v>0</v>
      </c>
      <c r="K365" s="52" t="n">
        <f aca="false">IF($E365="Per class",$D365*COUNTIFS('Session Tracker'!$D$5:$D$149,$A365,'Session Tracker'!$F$5:$F$149,"Next week",'Session Tracker'!$G$5:$G$149,"Thu"),$D365*SUMIFS('Session Tracker'!$J$5:$J$149,'Session Tracker'!$D$5:$D$149,$A365,'Session Tracker'!$F$5:$F$149,"Next week",'Session Tracker'!$G$5:$G$149,"Thu"))</f>
        <v>0</v>
      </c>
      <c r="L365" s="52" t="n">
        <f aca="false">IF($E365="Per class",$D365*COUNTIFS('Session Tracker'!$D$5:$D$149,$A365,'Session Tracker'!$F$5:$F$149,"Next week",'Session Tracker'!$G$5:$G$149,"Fri"),$D365*SUMIFS('Session Tracker'!$J$5:$J$149,'Session Tracker'!$D$5:$D$149,$A365,'Session Tracker'!$F$5:$F$149,"Next week",'Session Tracker'!$G$5:$G$149,"Fri"))</f>
        <v>0</v>
      </c>
      <c r="M365" s="52" t="n">
        <f aca="false">IF($E365="Per class",$D365*COUNTIFS('Session Tracker'!$D$5:$D$149,$A365,'Session Tracker'!$F$5:$F$149,"Next week",'Session Tracker'!$G$5:$G$149,""),$D365*SUMIFS('Session Tracker'!$J$5:$J$149,'Session Tracker'!$D$5:$D$149,$A365,'Session Tracker'!$F$5:$F$149,"Next week",'Session Tracker'!$G$5:$G$149,""))</f>
        <v>0</v>
      </c>
    </row>
    <row r="366" customFormat="false" ht="15" hidden="false" customHeight="false" outlineLevel="0" collapsed="false">
      <c r="A366" s="68" t="s">
        <v>277</v>
      </c>
      <c r="B366" s="34" t="s">
        <v>379</v>
      </c>
      <c r="C366" s="34" t="s">
        <v>381</v>
      </c>
      <c r="D366" s="32" t="n">
        <v>10</v>
      </c>
      <c r="E366" s="32" t="s">
        <v>14</v>
      </c>
      <c r="F366" s="32" t="s">
        <v>368</v>
      </c>
      <c r="G366" s="34"/>
      <c r="H366" s="52" t="n">
        <f aca="false">IF($E366="Per class",$D366*COUNTIFS('Session Tracker'!$D$5:$D$149,$A366,'Session Tracker'!$F$5:$F$149,"Next week",'Session Tracker'!$G$5:$G$149,"Mon"),$D366*SUMIFS('Session Tracker'!$J$5:$J$149,'Session Tracker'!$D$5:$D$149,$A366,'Session Tracker'!$F$5:$F$149,"Next week",'Session Tracker'!$G$5:$G$149,"Mon"))</f>
        <v>0</v>
      </c>
      <c r="I366" s="52" t="n">
        <f aca="false">IF($E366="Per class",$D366*COUNTIFS('Session Tracker'!$D$5:$D$149,$A366,'Session Tracker'!$F$5:$F$149,"Next week",'Session Tracker'!$G$5:$G$149,"Tue"),$D366*SUMIFS('Session Tracker'!$J$5:$J$149,'Session Tracker'!$D$5:$D$149,$A366,'Session Tracker'!$F$5:$F$149,"Next week",'Session Tracker'!$G$5:$G$149,"Tue"))</f>
        <v>0</v>
      </c>
      <c r="J366" s="52" t="n">
        <f aca="false">IF($E366="Per class",$D366*COUNTIFS('Session Tracker'!$D$5:$D$149,$A366,'Session Tracker'!$F$5:$F$149,"Next week",'Session Tracker'!$G$5:$G$149,"Wed"),$D366*SUMIFS('Session Tracker'!$J$5:$J$149,'Session Tracker'!$D$5:$D$149,$A366,'Session Tracker'!$F$5:$F$149,"Next week",'Session Tracker'!$G$5:$G$149,"Wed"))</f>
        <v>0</v>
      </c>
      <c r="K366" s="52" t="n">
        <f aca="false">IF($E366="Per class",$D366*COUNTIFS('Session Tracker'!$D$5:$D$149,$A366,'Session Tracker'!$F$5:$F$149,"Next week",'Session Tracker'!$G$5:$G$149,"Thu"),$D366*SUMIFS('Session Tracker'!$J$5:$J$149,'Session Tracker'!$D$5:$D$149,$A366,'Session Tracker'!$F$5:$F$149,"Next week",'Session Tracker'!$G$5:$G$149,"Thu"))</f>
        <v>0</v>
      </c>
      <c r="L366" s="52" t="n">
        <f aca="false">IF($E366="Per class",$D366*COUNTIFS('Session Tracker'!$D$5:$D$149,$A366,'Session Tracker'!$F$5:$F$149,"Next week",'Session Tracker'!$G$5:$G$149,"Fri"),$D366*SUMIFS('Session Tracker'!$J$5:$J$149,'Session Tracker'!$D$5:$D$149,$A366,'Session Tracker'!$F$5:$F$149,"Next week",'Session Tracker'!$G$5:$G$149,"Fri"))</f>
        <v>0</v>
      </c>
      <c r="M366" s="52" t="n">
        <f aca="false">IF($E366="Per class",$D366*COUNTIFS('Session Tracker'!$D$5:$D$149,$A366,'Session Tracker'!$F$5:$F$149,"Next week",'Session Tracker'!$G$5:$G$149,""),$D366*SUMIFS('Session Tracker'!$J$5:$J$149,'Session Tracker'!$D$5:$D$149,$A366,'Session Tracker'!$F$5:$F$149,"Next week",'Session Tracker'!$G$5:$G$149,""))</f>
        <v>0</v>
      </c>
    </row>
    <row r="367" customFormat="false" ht="15" hidden="false" customHeight="false" outlineLevel="0" collapsed="false">
      <c r="A367" s="68" t="s">
        <v>277</v>
      </c>
      <c r="B367" s="34" t="s">
        <v>382</v>
      </c>
      <c r="C367" s="34" t="s">
        <v>383</v>
      </c>
      <c r="D367" s="32" t="n">
        <v>1</v>
      </c>
      <c r="E367" s="32" t="s">
        <v>14</v>
      </c>
      <c r="F367" s="32" t="s">
        <v>368</v>
      </c>
      <c r="G367" s="34"/>
      <c r="H367" s="52" t="n">
        <f aca="false">IF($E367="Per class",$D367*COUNTIFS('Session Tracker'!$D$5:$D$149,$A367,'Session Tracker'!$F$5:$F$149,"Next week",'Session Tracker'!$G$5:$G$149,"Mon"),$D367*SUMIFS('Session Tracker'!$J$5:$J$149,'Session Tracker'!$D$5:$D$149,$A367,'Session Tracker'!$F$5:$F$149,"Next week",'Session Tracker'!$G$5:$G$149,"Mon"))</f>
        <v>0</v>
      </c>
      <c r="I367" s="52" t="n">
        <f aca="false">IF($E367="Per class",$D367*COUNTIFS('Session Tracker'!$D$5:$D$149,$A367,'Session Tracker'!$F$5:$F$149,"Next week",'Session Tracker'!$G$5:$G$149,"Tue"),$D367*SUMIFS('Session Tracker'!$J$5:$J$149,'Session Tracker'!$D$5:$D$149,$A367,'Session Tracker'!$F$5:$F$149,"Next week",'Session Tracker'!$G$5:$G$149,"Tue"))</f>
        <v>0</v>
      </c>
      <c r="J367" s="52" t="n">
        <f aca="false">IF($E367="Per class",$D367*COUNTIFS('Session Tracker'!$D$5:$D$149,$A367,'Session Tracker'!$F$5:$F$149,"Next week",'Session Tracker'!$G$5:$G$149,"Wed"),$D367*SUMIFS('Session Tracker'!$J$5:$J$149,'Session Tracker'!$D$5:$D$149,$A367,'Session Tracker'!$F$5:$F$149,"Next week",'Session Tracker'!$G$5:$G$149,"Wed"))</f>
        <v>0</v>
      </c>
      <c r="K367" s="52" t="n">
        <f aca="false">IF($E367="Per class",$D367*COUNTIFS('Session Tracker'!$D$5:$D$149,$A367,'Session Tracker'!$F$5:$F$149,"Next week",'Session Tracker'!$G$5:$G$149,"Thu"),$D367*SUMIFS('Session Tracker'!$J$5:$J$149,'Session Tracker'!$D$5:$D$149,$A367,'Session Tracker'!$F$5:$F$149,"Next week",'Session Tracker'!$G$5:$G$149,"Thu"))</f>
        <v>0</v>
      </c>
      <c r="L367" s="52" t="n">
        <f aca="false">IF($E367="Per class",$D367*COUNTIFS('Session Tracker'!$D$5:$D$149,$A367,'Session Tracker'!$F$5:$F$149,"Next week",'Session Tracker'!$G$5:$G$149,"Fri"),$D367*SUMIFS('Session Tracker'!$J$5:$J$149,'Session Tracker'!$D$5:$D$149,$A367,'Session Tracker'!$F$5:$F$149,"Next week",'Session Tracker'!$G$5:$G$149,"Fri"))</f>
        <v>0</v>
      </c>
      <c r="M367" s="52" t="n">
        <f aca="false">IF($E367="Per class",$D367*COUNTIFS('Session Tracker'!$D$5:$D$149,$A367,'Session Tracker'!$F$5:$F$149,"Next week",'Session Tracker'!$G$5:$G$149,""),$D367*SUMIFS('Session Tracker'!$J$5:$J$149,'Session Tracker'!$D$5:$D$149,$A367,'Session Tracker'!$F$5:$F$149,"Next week",'Session Tracker'!$G$5:$G$149,""))</f>
        <v>0</v>
      </c>
    </row>
    <row r="368" customFormat="false" ht="15" hidden="false" customHeight="false" outlineLevel="0" collapsed="false">
      <c r="A368" s="68" t="s">
        <v>277</v>
      </c>
      <c r="B368" s="34" t="s">
        <v>375</v>
      </c>
      <c r="C368" s="34" t="s">
        <v>376</v>
      </c>
      <c r="D368" s="32" t="n">
        <v>1</v>
      </c>
      <c r="E368" s="32" t="s">
        <v>14</v>
      </c>
      <c r="F368" s="32" t="s">
        <v>373</v>
      </c>
      <c r="G368" s="34" t="s">
        <v>442</v>
      </c>
      <c r="H368" s="52" t="n">
        <f aca="false">IF($E368="Per class",$D368*COUNTIFS('Session Tracker'!$D$5:$D$149,$A368,'Session Tracker'!$F$5:$F$149,"Next week",'Session Tracker'!$G$5:$G$149,"Mon"),$D368*SUMIFS('Session Tracker'!$J$5:$J$149,'Session Tracker'!$D$5:$D$149,$A368,'Session Tracker'!$F$5:$F$149,"Next week",'Session Tracker'!$G$5:$G$149,"Mon"))</f>
        <v>0</v>
      </c>
      <c r="I368" s="52" t="n">
        <f aca="false">IF($E368="Per class",$D368*COUNTIFS('Session Tracker'!$D$5:$D$149,$A368,'Session Tracker'!$F$5:$F$149,"Next week",'Session Tracker'!$G$5:$G$149,"Tue"),$D368*SUMIFS('Session Tracker'!$J$5:$J$149,'Session Tracker'!$D$5:$D$149,$A368,'Session Tracker'!$F$5:$F$149,"Next week",'Session Tracker'!$G$5:$G$149,"Tue"))</f>
        <v>0</v>
      </c>
      <c r="J368" s="52" t="n">
        <f aca="false">IF($E368="Per class",$D368*COUNTIFS('Session Tracker'!$D$5:$D$149,$A368,'Session Tracker'!$F$5:$F$149,"Next week",'Session Tracker'!$G$5:$G$149,"Wed"),$D368*SUMIFS('Session Tracker'!$J$5:$J$149,'Session Tracker'!$D$5:$D$149,$A368,'Session Tracker'!$F$5:$F$149,"Next week",'Session Tracker'!$G$5:$G$149,"Wed"))</f>
        <v>0</v>
      </c>
      <c r="K368" s="52" t="n">
        <f aca="false">IF($E368="Per class",$D368*COUNTIFS('Session Tracker'!$D$5:$D$149,$A368,'Session Tracker'!$F$5:$F$149,"Next week",'Session Tracker'!$G$5:$G$149,"Thu"),$D368*SUMIFS('Session Tracker'!$J$5:$J$149,'Session Tracker'!$D$5:$D$149,$A368,'Session Tracker'!$F$5:$F$149,"Next week",'Session Tracker'!$G$5:$G$149,"Thu"))</f>
        <v>0</v>
      </c>
      <c r="L368" s="52" t="n">
        <f aca="false">IF($E368="Per class",$D368*COUNTIFS('Session Tracker'!$D$5:$D$149,$A368,'Session Tracker'!$F$5:$F$149,"Next week",'Session Tracker'!$G$5:$G$149,"Fri"),$D368*SUMIFS('Session Tracker'!$J$5:$J$149,'Session Tracker'!$D$5:$D$149,$A368,'Session Tracker'!$F$5:$F$149,"Next week",'Session Tracker'!$G$5:$G$149,"Fri"))</f>
        <v>0</v>
      </c>
      <c r="M368" s="52" t="n">
        <f aca="false">IF($E368="Per class",$D368*COUNTIFS('Session Tracker'!$D$5:$D$149,$A368,'Session Tracker'!$F$5:$F$149,"Next week",'Session Tracker'!$G$5:$G$149,""),$D368*SUMIFS('Session Tracker'!$J$5:$J$149,'Session Tracker'!$D$5:$D$149,$A368,'Session Tracker'!$F$5:$F$149,"Next week",'Session Tracker'!$G$5:$G$149,""))</f>
        <v>0</v>
      </c>
    </row>
    <row r="369" customFormat="false" ht="15" hidden="false" customHeight="false" outlineLevel="0" collapsed="false">
      <c r="A369" s="68" t="s">
        <v>277</v>
      </c>
      <c r="B369" s="34" t="s">
        <v>377</v>
      </c>
      <c r="C369" s="34" t="s">
        <v>378</v>
      </c>
      <c r="D369" s="32" t="n">
        <v>1</v>
      </c>
      <c r="E369" s="32" t="s">
        <v>14</v>
      </c>
      <c r="F369" s="32" t="s">
        <v>368</v>
      </c>
      <c r="G369" s="34" t="s">
        <v>389</v>
      </c>
      <c r="H369" s="52" t="n">
        <f aca="false">IF($E369="Per class",$D369*COUNTIFS('Session Tracker'!$D$5:$D$149,$A369,'Session Tracker'!$F$5:$F$149,"Next week",'Session Tracker'!$G$5:$G$149,"Mon"),$D369*SUMIFS('Session Tracker'!$J$5:$J$149,'Session Tracker'!$D$5:$D$149,$A369,'Session Tracker'!$F$5:$F$149,"Next week",'Session Tracker'!$G$5:$G$149,"Mon"))</f>
        <v>0</v>
      </c>
      <c r="I369" s="52" t="n">
        <f aca="false">IF($E369="Per class",$D369*COUNTIFS('Session Tracker'!$D$5:$D$149,$A369,'Session Tracker'!$F$5:$F$149,"Next week",'Session Tracker'!$G$5:$G$149,"Tue"),$D369*SUMIFS('Session Tracker'!$J$5:$J$149,'Session Tracker'!$D$5:$D$149,$A369,'Session Tracker'!$F$5:$F$149,"Next week",'Session Tracker'!$G$5:$G$149,"Tue"))</f>
        <v>0</v>
      </c>
      <c r="J369" s="52" t="n">
        <f aca="false">IF($E369="Per class",$D369*COUNTIFS('Session Tracker'!$D$5:$D$149,$A369,'Session Tracker'!$F$5:$F$149,"Next week",'Session Tracker'!$G$5:$G$149,"Wed"),$D369*SUMIFS('Session Tracker'!$J$5:$J$149,'Session Tracker'!$D$5:$D$149,$A369,'Session Tracker'!$F$5:$F$149,"Next week",'Session Tracker'!$G$5:$G$149,"Wed"))</f>
        <v>0</v>
      </c>
      <c r="K369" s="52" t="n">
        <f aca="false">IF($E369="Per class",$D369*COUNTIFS('Session Tracker'!$D$5:$D$149,$A369,'Session Tracker'!$F$5:$F$149,"Next week",'Session Tracker'!$G$5:$G$149,"Thu"),$D369*SUMIFS('Session Tracker'!$J$5:$J$149,'Session Tracker'!$D$5:$D$149,$A369,'Session Tracker'!$F$5:$F$149,"Next week",'Session Tracker'!$G$5:$G$149,"Thu"))</f>
        <v>0</v>
      </c>
      <c r="L369" s="52" t="n">
        <f aca="false">IF($E369="Per class",$D369*COUNTIFS('Session Tracker'!$D$5:$D$149,$A369,'Session Tracker'!$F$5:$F$149,"Next week",'Session Tracker'!$G$5:$G$149,"Fri"),$D369*SUMIFS('Session Tracker'!$J$5:$J$149,'Session Tracker'!$D$5:$D$149,$A369,'Session Tracker'!$F$5:$F$149,"Next week",'Session Tracker'!$G$5:$G$149,"Fri"))</f>
        <v>0</v>
      </c>
      <c r="M369" s="52" t="n">
        <f aca="false">IF($E369="Per class",$D369*COUNTIFS('Session Tracker'!$D$5:$D$149,$A369,'Session Tracker'!$F$5:$F$149,"Next week",'Session Tracker'!$G$5:$G$149,""),$D369*SUMIFS('Session Tracker'!$J$5:$J$149,'Session Tracker'!$D$5:$D$149,$A369,'Session Tracker'!$F$5:$F$149,"Next week",'Session Tracker'!$G$5:$G$149,""))</f>
        <v>0</v>
      </c>
    </row>
    <row r="370" customFormat="false" ht="15" hidden="false" customHeight="false" outlineLevel="0" collapsed="false">
      <c r="A370" s="53" t="s">
        <v>277</v>
      </c>
      <c r="B370" s="54"/>
      <c r="C370" s="54"/>
      <c r="D370" s="54"/>
      <c r="E370" s="54"/>
      <c r="F370" s="54"/>
      <c r="G370" s="54"/>
      <c r="H370" s="52" t="n">
        <f aca="false">IF($E370="Per class",$D370*COUNTIFS('Session Tracker'!$D$5:$D$149,$A370,'Session Tracker'!$F$5:$F$149,"Next week",'Session Tracker'!$G$5:$G$149,"Mon"),$D370*SUMIFS('Session Tracker'!$J$5:$J$149,'Session Tracker'!$D$5:$D$149,$A370,'Session Tracker'!$F$5:$F$149,"Next week",'Session Tracker'!$G$5:$G$149,"Mon"))</f>
        <v>0</v>
      </c>
      <c r="I370" s="52" t="n">
        <f aca="false">IF($E370="Per class",$D370*COUNTIFS('Session Tracker'!$D$5:$D$149,$A370,'Session Tracker'!$F$5:$F$149,"Next week",'Session Tracker'!$G$5:$G$149,"Tue"),$D370*SUMIFS('Session Tracker'!$J$5:$J$149,'Session Tracker'!$D$5:$D$149,$A370,'Session Tracker'!$F$5:$F$149,"Next week",'Session Tracker'!$G$5:$G$149,"Tue"))</f>
        <v>0</v>
      </c>
      <c r="J370" s="52" t="n">
        <f aca="false">IF($E370="Per class",$D370*COUNTIFS('Session Tracker'!$D$5:$D$149,$A370,'Session Tracker'!$F$5:$F$149,"Next week",'Session Tracker'!$G$5:$G$149,"Wed"),$D370*SUMIFS('Session Tracker'!$J$5:$J$149,'Session Tracker'!$D$5:$D$149,$A370,'Session Tracker'!$F$5:$F$149,"Next week",'Session Tracker'!$G$5:$G$149,"Wed"))</f>
        <v>0</v>
      </c>
      <c r="K370" s="52" t="n">
        <f aca="false">IF($E370="Per class",$D370*COUNTIFS('Session Tracker'!$D$5:$D$149,$A370,'Session Tracker'!$F$5:$F$149,"Next week",'Session Tracker'!$G$5:$G$149,"Thu"),$D370*SUMIFS('Session Tracker'!$J$5:$J$149,'Session Tracker'!$D$5:$D$149,$A370,'Session Tracker'!$F$5:$F$149,"Next week",'Session Tracker'!$G$5:$G$149,"Thu"))</f>
        <v>0</v>
      </c>
      <c r="L370" s="52" t="n">
        <f aca="false">IF($E370="Per class",$D370*COUNTIFS('Session Tracker'!$D$5:$D$149,$A370,'Session Tracker'!$F$5:$F$149,"Next week",'Session Tracker'!$G$5:$G$149,"Fri"),$D370*SUMIFS('Session Tracker'!$J$5:$J$149,'Session Tracker'!$D$5:$D$149,$A370,'Session Tracker'!$F$5:$F$149,"Next week",'Session Tracker'!$G$5:$G$149,"Fri"))</f>
        <v>0</v>
      </c>
      <c r="M370" s="52" t="n">
        <f aca="false">IF($E370="Per class",$D370*COUNTIFS('Session Tracker'!$D$5:$D$149,$A370,'Session Tracker'!$F$5:$F$149,"Next week",'Session Tracker'!$G$5:$G$149,""),$D370*SUMIFS('Session Tracker'!$J$5:$J$149,'Session Tracker'!$D$5:$D$149,$A370,'Session Tracker'!$F$5:$F$149,"Next week",'Session Tracker'!$G$5:$G$149,""))</f>
        <v>0</v>
      </c>
    </row>
    <row r="371" customFormat="false" ht="15" hidden="false" customHeight="false" outlineLevel="0" collapsed="false">
      <c r="A371" s="53" t="s">
        <v>277</v>
      </c>
      <c r="B371" s="54"/>
      <c r="C371" s="54"/>
      <c r="D371" s="54"/>
      <c r="E371" s="54"/>
      <c r="F371" s="54"/>
      <c r="G371" s="54"/>
      <c r="H371" s="52" t="n">
        <f aca="false">IF($E371="Per class",$D371*COUNTIFS('Session Tracker'!$D$5:$D$149,$A371,'Session Tracker'!$F$5:$F$149,"Next week",'Session Tracker'!$G$5:$G$149,"Mon"),$D371*SUMIFS('Session Tracker'!$J$5:$J$149,'Session Tracker'!$D$5:$D$149,$A371,'Session Tracker'!$F$5:$F$149,"Next week",'Session Tracker'!$G$5:$G$149,"Mon"))</f>
        <v>0</v>
      </c>
      <c r="I371" s="52" t="n">
        <f aca="false">IF($E371="Per class",$D371*COUNTIFS('Session Tracker'!$D$5:$D$149,$A371,'Session Tracker'!$F$5:$F$149,"Next week",'Session Tracker'!$G$5:$G$149,"Tue"),$D371*SUMIFS('Session Tracker'!$J$5:$J$149,'Session Tracker'!$D$5:$D$149,$A371,'Session Tracker'!$F$5:$F$149,"Next week",'Session Tracker'!$G$5:$G$149,"Tue"))</f>
        <v>0</v>
      </c>
      <c r="J371" s="52" t="n">
        <f aca="false">IF($E371="Per class",$D371*COUNTIFS('Session Tracker'!$D$5:$D$149,$A371,'Session Tracker'!$F$5:$F$149,"Next week",'Session Tracker'!$G$5:$G$149,"Wed"),$D371*SUMIFS('Session Tracker'!$J$5:$J$149,'Session Tracker'!$D$5:$D$149,$A371,'Session Tracker'!$F$5:$F$149,"Next week",'Session Tracker'!$G$5:$G$149,"Wed"))</f>
        <v>0</v>
      </c>
      <c r="K371" s="52" t="n">
        <f aca="false">IF($E371="Per class",$D371*COUNTIFS('Session Tracker'!$D$5:$D$149,$A371,'Session Tracker'!$F$5:$F$149,"Next week",'Session Tracker'!$G$5:$G$149,"Thu"),$D371*SUMIFS('Session Tracker'!$J$5:$J$149,'Session Tracker'!$D$5:$D$149,$A371,'Session Tracker'!$F$5:$F$149,"Next week",'Session Tracker'!$G$5:$G$149,"Thu"))</f>
        <v>0</v>
      </c>
      <c r="L371" s="52" t="n">
        <f aca="false">IF($E371="Per class",$D371*COUNTIFS('Session Tracker'!$D$5:$D$149,$A371,'Session Tracker'!$F$5:$F$149,"Next week",'Session Tracker'!$G$5:$G$149,"Fri"),$D371*SUMIFS('Session Tracker'!$J$5:$J$149,'Session Tracker'!$D$5:$D$149,$A371,'Session Tracker'!$F$5:$F$149,"Next week",'Session Tracker'!$G$5:$G$149,"Fri"))</f>
        <v>0</v>
      </c>
      <c r="M371" s="52" t="n">
        <f aca="false">IF($E371="Per class",$D371*COUNTIFS('Session Tracker'!$D$5:$D$149,$A371,'Session Tracker'!$F$5:$F$149,"Next week",'Session Tracker'!$G$5:$G$149,""),$D371*SUMIFS('Session Tracker'!$J$5:$J$149,'Session Tracker'!$D$5:$D$149,$A371,'Session Tracker'!$F$5:$F$149,"Next week",'Session Tracker'!$G$5:$G$149,""))</f>
        <v>0</v>
      </c>
    </row>
    <row r="373" customFormat="false" ht="19.5" hidden="false" customHeight="true" outlineLevel="0" collapsed="false">
      <c r="A373" s="64" t="s">
        <v>279</v>
      </c>
      <c r="B373" s="65" t="s">
        <v>650</v>
      </c>
      <c r="C373" s="65"/>
      <c r="D373" s="65"/>
      <c r="E373" s="65"/>
      <c r="F373" s="66" t="str">
        <f aca="false">"Status: "&amp;'Session Tracker'!F109&amp;IF('Session Tracker'!G109&lt;&gt;""," ("&amp;'Session Tracker'!G109&amp;")","")</f>
        <v>Status: Not started</v>
      </c>
      <c r="G373" s="66"/>
      <c r="H373" s="67"/>
      <c r="I373" s="67"/>
      <c r="J373" s="67"/>
      <c r="K373" s="67"/>
      <c r="L373" s="67"/>
      <c r="M373" s="67"/>
    </row>
    <row r="374" customFormat="false" ht="23.85" hidden="false" customHeight="false" outlineLevel="0" collapsed="false">
      <c r="A374" s="68" t="s">
        <v>279</v>
      </c>
      <c r="B374" s="34" t="s">
        <v>366</v>
      </c>
      <c r="C374" s="34" t="s">
        <v>367</v>
      </c>
      <c r="D374" s="32" t="n">
        <v>1</v>
      </c>
      <c r="E374" s="32" t="s">
        <v>14</v>
      </c>
      <c r="F374" s="32" t="s">
        <v>368</v>
      </c>
      <c r="G374" s="34"/>
      <c r="H374" s="52" t="n">
        <f aca="false">IF($E374="Per class",$D374*COUNTIFS('Session Tracker'!$D$5:$D$149,$A374,'Session Tracker'!$F$5:$F$149,"Next week",'Session Tracker'!$G$5:$G$149,"Mon"),$D374*SUMIFS('Session Tracker'!$J$5:$J$149,'Session Tracker'!$D$5:$D$149,$A374,'Session Tracker'!$F$5:$F$149,"Next week",'Session Tracker'!$G$5:$G$149,"Mon"))</f>
        <v>0</v>
      </c>
      <c r="I374" s="52" t="n">
        <f aca="false">IF($E374="Per class",$D374*COUNTIFS('Session Tracker'!$D$5:$D$149,$A374,'Session Tracker'!$F$5:$F$149,"Next week",'Session Tracker'!$G$5:$G$149,"Tue"),$D374*SUMIFS('Session Tracker'!$J$5:$J$149,'Session Tracker'!$D$5:$D$149,$A374,'Session Tracker'!$F$5:$F$149,"Next week",'Session Tracker'!$G$5:$G$149,"Tue"))</f>
        <v>0</v>
      </c>
      <c r="J374" s="52" t="n">
        <f aca="false">IF($E374="Per class",$D374*COUNTIFS('Session Tracker'!$D$5:$D$149,$A374,'Session Tracker'!$F$5:$F$149,"Next week",'Session Tracker'!$G$5:$G$149,"Wed"),$D374*SUMIFS('Session Tracker'!$J$5:$J$149,'Session Tracker'!$D$5:$D$149,$A374,'Session Tracker'!$F$5:$F$149,"Next week",'Session Tracker'!$G$5:$G$149,"Wed"))</f>
        <v>0</v>
      </c>
      <c r="K374" s="52" t="n">
        <f aca="false">IF($E374="Per class",$D374*COUNTIFS('Session Tracker'!$D$5:$D$149,$A374,'Session Tracker'!$F$5:$F$149,"Next week",'Session Tracker'!$G$5:$G$149,"Thu"),$D374*SUMIFS('Session Tracker'!$J$5:$J$149,'Session Tracker'!$D$5:$D$149,$A374,'Session Tracker'!$F$5:$F$149,"Next week",'Session Tracker'!$G$5:$G$149,"Thu"))</f>
        <v>0</v>
      </c>
      <c r="L374" s="52" t="n">
        <f aca="false">IF($E374="Per class",$D374*COUNTIFS('Session Tracker'!$D$5:$D$149,$A374,'Session Tracker'!$F$5:$F$149,"Next week",'Session Tracker'!$G$5:$G$149,"Fri"),$D374*SUMIFS('Session Tracker'!$J$5:$J$149,'Session Tracker'!$D$5:$D$149,$A374,'Session Tracker'!$F$5:$F$149,"Next week",'Session Tracker'!$G$5:$G$149,"Fri"))</f>
        <v>0</v>
      </c>
      <c r="M374" s="52" t="n">
        <f aca="false">IF($E374="Per class",$D374*COUNTIFS('Session Tracker'!$D$5:$D$149,$A374,'Session Tracker'!$F$5:$F$149,"Next week",'Session Tracker'!$G$5:$G$149,""),$D374*SUMIFS('Session Tracker'!$J$5:$J$149,'Session Tracker'!$D$5:$D$149,$A374,'Session Tracker'!$F$5:$F$149,"Next week",'Session Tracker'!$G$5:$G$149,""))</f>
        <v>0</v>
      </c>
    </row>
    <row r="375" customFormat="false" ht="15" hidden="false" customHeight="false" outlineLevel="0" collapsed="false">
      <c r="A375" s="68" t="s">
        <v>279</v>
      </c>
      <c r="B375" s="34" t="s">
        <v>371</v>
      </c>
      <c r="C375" s="34" t="s">
        <v>372</v>
      </c>
      <c r="D375" s="32" t="n">
        <v>2</v>
      </c>
      <c r="E375" s="32" t="s">
        <v>14</v>
      </c>
      <c r="F375" s="32" t="s">
        <v>373</v>
      </c>
      <c r="G375" s="34"/>
      <c r="H375" s="52" t="n">
        <f aca="false">IF($E375="Per class",$D375*COUNTIFS('Session Tracker'!$D$5:$D$149,$A375,'Session Tracker'!$F$5:$F$149,"Next week",'Session Tracker'!$G$5:$G$149,"Mon"),$D375*SUMIFS('Session Tracker'!$J$5:$J$149,'Session Tracker'!$D$5:$D$149,$A375,'Session Tracker'!$F$5:$F$149,"Next week",'Session Tracker'!$G$5:$G$149,"Mon"))</f>
        <v>0</v>
      </c>
      <c r="I375" s="52" t="n">
        <f aca="false">IF($E375="Per class",$D375*COUNTIFS('Session Tracker'!$D$5:$D$149,$A375,'Session Tracker'!$F$5:$F$149,"Next week",'Session Tracker'!$G$5:$G$149,"Tue"),$D375*SUMIFS('Session Tracker'!$J$5:$J$149,'Session Tracker'!$D$5:$D$149,$A375,'Session Tracker'!$F$5:$F$149,"Next week",'Session Tracker'!$G$5:$G$149,"Tue"))</f>
        <v>0</v>
      </c>
      <c r="J375" s="52" t="n">
        <f aca="false">IF($E375="Per class",$D375*COUNTIFS('Session Tracker'!$D$5:$D$149,$A375,'Session Tracker'!$F$5:$F$149,"Next week",'Session Tracker'!$G$5:$G$149,"Wed"),$D375*SUMIFS('Session Tracker'!$J$5:$J$149,'Session Tracker'!$D$5:$D$149,$A375,'Session Tracker'!$F$5:$F$149,"Next week",'Session Tracker'!$G$5:$G$149,"Wed"))</f>
        <v>0</v>
      </c>
      <c r="K375" s="52" t="n">
        <f aca="false">IF($E375="Per class",$D375*COUNTIFS('Session Tracker'!$D$5:$D$149,$A375,'Session Tracker'!$F$5:$F$149,"Next week",'Session Tracker'!$G$5:$G$149,"Thu"),$D375*SUMIFS('Session Tracker'!$J$5:$J$149,'Session Tracker'!$D$5:$D$149,$A375,'Session Tracker'!$F$5:$F$149,"Next week",'Session Tracker'!$G$5:$G$149,"Thu"))</f>
        <v>0</v>
      </c>
      <c r="L375" s="52" t="n">
        <f aca="false">IF($E375="Per class",$D375*COUNTIFS('Session Tracker'!$D$5:$D$149,$A375,'Session Tracker'!$F$5:$F$149,"Next week",'Session Tracker'!$G$5:$G$149,"Fri"),$D375*SUMIFS('Session Tracker'!$J$5:$J$149,'Session Tracker'!$D$5:$D$149,$A375,'Session Tracker'!$F$5:$F$149,"Next week",'Session Tracker'!$G$5:$G$149,"Fri"))</f>
        <v>0</v>
      </c>
      <c r="M375" s="52" t="n">
        <f aca="false">IF($E375="Per class",$D375*COUNTIFS('Session Tracker'!$D$5:$D$149,$A375,'Session Tracker'!$F$5:$F$149,"Next week",'Session Tracker'!$G$5:$G$149,""),$D375*SUMIFS('Session Tracker'!$J$5:$J$149,'Session Tracker'!$D$5:$D$149,$A375,'Session Tracker'!$F$5:$F$149,"Next week",'Session Tracker'!$G$5:$G$149,""))</f>
        <v>0</v>
      </c>
    </row>
    <row r="376" customFormat="false" ht="15" hidden="false" customHeight="false" outlineLevel="0" collapsed="false">
      <c r="A376" s="68" t="s">
        <v>279</v>
      </c>
      <c r="B376" s="34" t="s">
        <v>375</v>
      </c>
      <c r="C376" s="34" t="s">
        <v>376</v>
      </c>
      <c r="D376" s="32" t="n">
        <v>2</v>
      </c>
      <c r="E376" s="32" t="s">
        <v>14</v>
      </c>
      <c r="F376" s="32" t="s">
        <v>373</v>
      </c>
      <c r="G376" s="34"/>
      <c r="H376" s="52" t="n">
        <f aca="false">IF($E376="Per class",$D376*COUNTIFS('Session Tracker'!$D$5:$D$149,$A376,'Session Tracker'!$F$5:$F$149,"Next week",'Session Tracker'!$G$5:$G$149,"Mon"),$D376*SUMIFS('Session Tracker'!$J$5:$J$149,'Session Tracker'!$D$5:$D$149,$A376,'Session Tracker'!$F$5:$F$149,"Next week",'Session Tracker'!$G$5:$G$149,"Mon"))</f>
        <v>0</v>
      </c>
      <c r="I376" s="52" t="n">
        <f aca="false">IF($E376="Per class",$D376*COUNTIFS('Session Tracker'!$D$5:$D$149,$A376,'Session Tracker'!$F$5:$F$149,"Next week",'Session Tracker'!$G$5:$G$149,"Tue"),$D376*SUMIFS('Session Tracker'!$J$5:$J$149,'Session Tracker'!$D$5:$D$149,$A376,'Session Tracker'!$F$5:$F$149,"Next week",'Session Tracker'!$G$5:$G$149,"Tue"))</f>
        <v>0</v>
      </c>
      <c r="J376" s="52" t="n">
        <f aca="false">IF($E376="Per class",$D376*COUNTIFS('Session Tracker'!$D$5:$D$149,$A376,'Session Tracker'!$F$5:$F$149,"Next week",'Session Tracker'!$G$5:$G$149,"Wed"),$D376*SUMIFS('Session Tracker'!$J$5:$J$149,'Session Tracker'!$D$5:$D$149,$A376,'Session Tracker'!$F$5:$F$149,"Next week",'Session Tracker'!$G$5:$G$149,"Wed"))</f>
        <v>0</v>
      </c>
      <c r="K376" s="52" t="n">
        <f aca="false">IF($E376="Per class",$D376*COUNTIFS('Session Tracker'!$D$5:$D$149,$A376,'Session Tracker'!$F$5:$F$149,"Next week",'Session Tracker'!$G$5:$G$149,"Thu"),$D376*SUMIFS('Session Tracker'!$J$5:$J$149,'Session Tracker'!$D$5:$D$149,$A376,'Session Tracker'!$F$5:$F$149,"Next week",'Session Tracker'!$G$5:$G$149,"Thu"))</f>
        <v>0</v>
      </c>
      <c r="L376" s="52" t="n">
        <f aca="false">IF($E376="Per class",$D376*COUNTIFS('Session Tracker'!$D$5:$D$149,$A376,'Session Tracker'!$F$5:$F$149,"Next week",'Session Tracker'!$G$5:$G$149,"Fri"),$D376*SUMIFS('Session Tracker'!$J$5:$J$149,'Session Tracker'!$D$5:$D$149,$A376,'Session Tracker'!$F$5:$F$149,"Next week",'Session Tracker'!$G$5:$G$149,"Fri"))</f>
        <v>0</v>
      </c>
      <c r="M376" s="52" t="n">
        <f aca="false">IF($E376="Per class",$D376*COUNTIFS('Session Tracker'!$D$5:$D$149,$A376,'Session Tracker'!$F$5:$F$149,"Next week",'Session Tracker'!$G$5:$G$149,""),$D376*SUMIFS('Session Tracker'!$J$5:$J$149,'Session Tracker'!$D$5:$D$149,$A376,'Session Tracker'!$F$5:$F$149,"Next week",'Session Tracker'!$G$5:$G$149,""))</f>
        <v>0</v>
      </c>
    </row>
    <row r="377" customFormat="false" ht="15" hidden="false" customHeight="false" outlineLevel="0" collapsed="false">
      <c r="A377" s="68" t="s">
        <v>279</v>
      </c>
      <c r="B377" s="34" t="s">
        <v>377</v>
      </c>
      <c r="C377" s="34" t="s">
        <v>439</v>
      </c>
      <c r="D377" s="32" t="n">
        <v>1</v>
      </c>
      <c r="E377" s="32" t="s">
        <v>14</v>
      </c>
      <c r="F377" s="32" t="s">
        <v>368</v>
      </c>
      <c r="G377" s="34"/>
      <c r="H377" s="52" t="n">
        <f aca="false">IF($E377="Per class",$D377*COUNTIFS('Session Tracker'!$D$5:$D$149,$A377,'Session Tracker'!$F$5:$F$149,"Next week",'Session Tracker'!$G$5:$G$149,"Mon"),$D377*SUMIFS('Session Tracker'!$J$5:$J$149,'Session Tracker'!$D$5:$D$149,$A377,'Session Tracker'!$F$5:$F$149,"Next week",'Session Tracker'!$G$5:$G$149,"Mon"))</f>
        <v>0</v>
      </c>
      <c r="I377" s="52" t="n">
        <f aca="false">IF($E377="Per class",$D377*COUNTIFS('Session Tracker'!$D$5:$D$149,$A377,'Session Tracker'!$F$5:$F$149,"Next week",'Session Tracker'!$G$5:$G$149,"Tue"),$D377*SUMIFS('Session Tracker'!$J$5:$J$149,'Session Tracker'!$D$5:$D$149,$A377,'Session Tracker'!$F$5:$F$149,"Next week",'Session Tracker'!$G$5:$G$149,"Tue"))</f>
        <v>0</v>
      </c>
      <c r="J377" s="52" t="n">
        <f aca="false">IF($E377="Per class",$D377*COUNTIFS('Session Tracker'!$D$5:$D$149,$A377,'Session Tracker'!$F$5:$F$149,"Next week",'Session Tracker'!$G$5:$G$149,"Wed"),$D377*SUMIFS('Session Tracker'!$J$5:$J$149,'Session Tracker'!$D$5:$D$149,$A377,'Session Tracker'!$F$5:$F$149,"Next week",'Session Tracker'!$G$5:$G$149,"Wed"))</f>
        <v>0</v>
      </c>
      <c r="K377" s="52" t="n">
        <f aca="false">IF($E377="Per class",$D377*COUNTIFS('Session Tracker'!$D$5:$D$149,$A377,'Session Tracker'!$F$5:$F$149,"Next week",'Session Tracker'!$G$5:$G$149,"Thu"),$D377*SUMIFS('Session Tracker'!$J$5:$J$149,'Session Tracker'!$D$5:$D$149,$A377,'Session Tracker'!$F$5:$F$149,"Next week",'Session Tracker'!$G$5:$G$149,"Thu"))</f>
        <v>0</v>
      </c>
      <c r="L377" s="52" t="n">
        <f aca="false">IF($E377="Per class",$D377*COUNTIFS('Session Tracker'!$D$5:$D$149,$A377,'Session Tracker'!$F$5:$F$149,"Next week",'Session Tracker'!$G$5:$G$149,"Fri"),$D377*SUMIFS('Session Tracker'!$J$5:$J$149,'Session Tracker'!$D$5:$D$149,$A377,'Session Tracker'!$F$5:$F$149,"Next week",'Session Tracker'!$G$5:$G$149,"Fri"))</f>
        <v>0</v>
      </c>
      <c r="M377" s="52" t="n">
        <f aca="false">IF($E377="Per class",$D377*COUNTIFS('Session Tracker'!$D$5:$D$149,$A377,'Session Tracker'!$F$5:$F$149,"Next week",'Session Tracker'!$G$5:$G$149,""),$D377*SUMIFS('Session Tracker'!$J$5:$J$149,'Session Tracker'!$D$5:$D$149,$A377,'Session Tracker'!$F$5:$F$149,"Next week",'Session Tracker'!$G$5:$G$149,""))</f>
        <v>0</v>
      </c>
    </row>
    <row r="378" customFormat="false" ht="15" hidden="false" customHeight="false" outlineLevel="0" collapsed="false">
      <c r="A378" s="68" t="s">
        <v>279</v>
      </c>
      <c r="B378" s="34" t="s">
        <v>369</v>
      </c>
      <c r="C378" s="34" t="s">
        <v>428</v>
      </c>
      <c r="D378" s="32" t="n">
        <v>1</v>
      </c>
      <c r="E378" s="32" t="s">
        <v>14</v>
      </c>
      <c r="F378" s="32" t="s">
        <v>368</v>
      </c>
      <c r="G378" s="34"/>
      <c r="H378" s="52" t="n">
        <f aca="false">IF($E378="Per class",$D378*COUNTIFS('Session Tracker'!$D$5:$D$149,$A378,'Session Tracker'!$F$5:$F$149,"Next week",'Session Tracker'!$G$5:$G$149,"Mon"),$D378*SUMIFS('Session Tracker'!$J$5:$J$149,'Session Tracker'!$D$5:$D$149,$A378,'Session Tracker'!$F$5:$F$149,"Next week",'Session Tracker'!$G$5:$G$149,"Mon"))</f>
        <v>0</v>
      </c>
      <c r="I378" s="52" t="n">
        <f aca="false">IF($E378="Per class",$D378*COUNTIFS('Session Tracker'!$D$5:$D$149,$A378,'Session Tracker'!$F$5:$F$149,"Next week",'Session Tracker'!$G$5:$G$149,"Tue"),$D378*SUMIFS('Session Tracker'!$J$5:$J$149,'Session Tracker'!$D$5:$D$149,$A378,'Session Tracker'!$F$5:$F$149,"Next week",'Session Tracker'!$G$5:$G$149,"Tue"))</f>
        <v>0</v>
      </c>
      <c r="J378" s="52" t="n">
        <f aca="false">IF($E378="Per class",$D378*COUNTIFS('Session Tracker'!$D$5:$D$149,$A378,'Session Tracker'!$F$5:$F$149,"Next week",'Session Tracker'!$G$5:$G$149,"Wed"),$D378*SUMIFS('Session Tracker'!$J$5:$J$149,'Session Tracker'!$D$5:$D$149,$A378,'Session Tracker'!$F$5:$F$149,"Next week",'Session Tracker'!$G$5:$G$149,"Wed"))</f>
        <v>0</v>
      </c>
      <c r="K378" s="52" t="n">
        <f aca="false">IF($E378="Per class",$D378*COUNTIFS('Session Tracker'!$D$5:$D$149,$A378,'Session Tracker'!$F$5:$F$149,"Next week",'Session Tracker'!$G$5:$G$149,"Thu"),$D378*SUMIFS('Session Tracker'!$J$5:$J$149,'Session Tracker'!$D$5:$D$149,$A378,'Session Tracker'!$F$5:$F$149,"Next week",'Session Tracker'!$G$5:$G$149,"Thu"))</f>
        <v>0</v>
      </c>
      <c r="L378" s="52" t="n">
        <f aca="false">IF($E378="Per class",$D378*COUNTIFS('Session Tracker'!$D$5:$D$149,$A378,'Session Tracker'!$F$5:$F$149,"Next week",'Session Tracker'!$G$5:$G$149,"Fri"),$D378*SUMIFS('Session Tracker'!$J$5:$J$149,'Session Tracker'!$D$5:$D$149,$A378,'Session Tracker'!$F$5:$F$149,"Next week",'Session Tracker'!$G$5:$G$149,"Fri"))</f>
        <v>0</v>
      </c>
      <c r="M378" s="52" t="n">
        <f aca="false">IF($E378="Per class",$D378*COUNTIFS('Session Tracker'!$D$5:$D$149,$A378,'Session Tracker'!$F$5:$F$149,"Next week",'Session Tracker'!$G$5:$G$149,""),$D378*SUMIFS('Session Tracker'!$J$5:$J$149,'Session Tracker'!$D$5:$D$149,$A378,'Session Tracker'!$F$5:$F$149,"Next week",'Session Tracker'!$G$5:$G$149,""))</f>
        <v>0</v>
      </c>
    </row>
    <row r="379" customFormat="false" ht="15" hidden="false" customHeight="false" outlineLevel="0" collapsed="false">
      <c r="A379" s="68" t="s">
        <v>279</v>
      </c>
      <c r="B379" s="34" t="s">
        <v>379</v>
      </c>
      <c r="C379" s="34" t="s">
        <v>380</v>
      </c>
      <c r="D379" s="32" t="n">
        <v>1</v>
      </c>
      <c r="E379" s="32" t="s">
        <v>14</v>
      </c>
      <c r="F379" s="32" t="s">
        <v>368</v>
      </c>
      <c r="G379" s="34"/>
      <c r="H379" s="52" t="n">
        <f aca="false">IF($E379="Per class",$D379*COUNTIFS('Session Tracker'!$D$5:$D$149,$A379,'Session Tracker'!$F$5:$F$149,"Next week",'Session Tracker'!$G$5:$G$149,"Mon"),$D379*SUMIFS('Session Tracker'!$J$5:$J$149,'Session Tracker'!$D$5:$D$149,$A379,'Session Tracker'!$F$5:$F$149,"Next week",'Session Tracker'!$G$5:$G$149,"Mon"))</f>
        <v>0</v>
      </c>
      <c r="I379" s="52" t="n">
        <f aca="false">IF($E379="Per class",$D379*COUNTIFS('Session Tracker'!$D$5:$D$149,$A379,'Session Tracker'!$F$5:$F$149,"Next week",'Session Tracker'!$G$5:$G$149,"Tue"),$D379*SUMIFS('Session Tracker'!$J$5:$J$149,'Session Tracker'!$D$5:$D$149,$A379,'Session Tracker'!$F$5:$F$149,"Next week",'Session Tracker'!$G$5:$G$149,"Tue"))</f>
        <v>0</v>
      </c>
      <c r="J379" s="52" t="n">
        <f aca="false">IF($E379="Per class",$D379*COUNTIFS('Session Tracker'!$D$5:$D$149,$A379,'Session Tracker'!$F$5:$F$149,"Next week",'Session Tracker'!$G$5:$G$149,"Wed"),$D379*SUMIFS('Session Tracker'!$J$5:$J$149,'Session Tracker'!$D$5:$D$149,$A379,'Session Tracker'!$F$5:$F$149,"Next week",'Session Tracker'!$G$5:$G$149,"Wed"))</f>
        <v>0</v>
      </c>
      <c r="K379" s="52" t="n">
        <f aca="false">IF($E379="Per class",$D379*COUNTIFS('Session Tracker'!$D$5:$D$149,$A379,'Session Tracker'!$F$5:$F$149,"Next week",'Session Tracker'!$G$5:$G$149,"Thu"),$D379*SUMIFS('Session Tracker'!$J$5:$J$149,'Session Tracker'!$D$5:$D$149,$A379,'Session Tracker'!$F$5:$F$149,"Next week",'Session Tracker'!$G$5:$G$149,"Thu"))</f>
        <v>0</v>
      </c>
      <c r="L379" s="52" t="n">
        <f aca="false">IF($E379="Per class",$D379*COUNTIFS('Session Tracker'!$D$5:$D$149,$A379,'Session Tracker'!$F$5:$F$149,"Next week",'Session Tracker'!$G$5:$G$149,"Fri"),$D379*SUMIFS('Session Tracker'!$J$5:$J$149,'Session Tracker'!$D$5:$D$149,$A379,'Session Tracker'!$F$5:$F$149,"Next week",'Session Tracker'!$G$5:$G$149,"Fri"))</f>
        <v>0</v>
      </c>
      <c r="M379" s="52" t="n">
        <f aca="false">IF($E379="Per class",$D379*COUNTIFS('Session Tracker'!$D$5:$D$149,$A379,'Session Tracker'!$F$5:$F$149,"Next week",'Session Tracker'!$G$5:$G$149,""),$D379*SUMIFS('Session Tracker'!$J$5:$J$149,'Session Tracker'!$D$5:$D$149,$A379,'Session Tracker'!$F$5:$F$149,"Next week",'Session Tracker'!$G$5:$G$149,""))</f>
        <v>0</v>
      </c>
    </row>
    <row r="380" customFormat="false" ht="15" hidden="false" customHeight="false" outlineLevel="0" collapsed="false">
      <c r="A380" s="68" t="s">
        <v>279</v>
      </c>
      <c r="B380" s="34" t="s">
        <v>379</v>
      </c>
      <c r="C380" s="34" t="s">
        <v>381</v>
      </c>
      <c r="D380" s="32" t="n">
        <v>10</v>
      </c>
      <c r="E380" s="32" t="s">
        <v>14</v>
      </c>
      <c r="F380" s="32" t="s">
        <v>368</v>
      </c>
      <c r="G380" s="34"/>
      <c r="H380" s="52" t="n">
        <f aca="false">IF($E380="Per class",$D380*COUNTIFS('Session Tracker'!$D$5:$D$149,$A380,'Session Tracker'!$F$5:$F$149,"Next week",'Session Tracker'!$G$5:$G$149,"Mon"),$D380*SUMIFS('Session Tracker'!$J$5:$J$149,'Session Tracker'!$D$5:$D$149,$A380,'Session Tracker'!$F$5:$F$149,"Next week",'Session Tracker'!$G$5:$G$149,"Mon"))</f>
        <v>0</v>
      </c>
      <c r="I380" s="52" t="n">
        <f aca="false">IF($E380="Per class",$D380*COUNTIFS('Session Tracker'!$D$5:$D$149,$A380,'Session Tracker'!$F$5:$F$149,"Next week",'Session Tracker'!$G$5:$G$149,"Tue"),$D380*SUMIFS('Session Tracker'!$J$5:$J$149,'Session Tracker'!$D$5:$D$149,$A380,'Session Tracker'!$F$5:$F$149,"Next week",'Session Tracker'!$G$5:$G$149,"Tue"))</f>
        <v>0</v>
      </c>
      <c r="J380" s="52" t="n">
        <f aca="false">IF($E380="Per class",$D380*COUNTIFS('Session Tracker'!$D$5:$D$149,$A380,'Session Tracker'!$F$5:$F$149,"Next week",'Session Tracker'!$G$5:$G$149,"Wed"),$D380*SUMIFS('Session Tracker'!$J$5:$J$149,'Session Tracker'!$D$5:$D$149,$A380,'Session Tracker'!$F$5:$F$149,"Next week",'Session Tracker'!$G$5:$G$149,"Wed"))</f>
        <v>0</v>
      </c>
      <c r="K380" s="52" t="n">
        <f aca="false">IF($E380="Per class",$D380*COUNTIFS('Session Tracker'!$D$5:$D$149,$A380,'Session Tracker'!$F$5:$F$149,"Next week",'Session Tracker'!$G$5:$G$149,"Thu"),$D380*SUMIFS('Session Tracker'!$J$5:$J$149,'Session Tracker'!$D$5:$D$149,$A380,'Session Tracker'!$F$5:$F$149,"Next week",'Session Tracker'!$G$5:$G$149,"Thu"))</f>
        <v>0</v>
      </c>
      <c r="L380" s="52" t="n">
        <f aca="false">IF($E380="Per class",$D380*COUNTIFS('Session Tracker'!$D$5:$D$149,$A380,'Session Tracker'!$F$5:$F$149,"Next week",'Session Tracker'!$G$5:$G$149,"Fri"),$D380*SUMIFS('Session Tracker'!$J$5:$J$149,'Session Tracker'!$D$5:$D$149,$A380,'Session Tracker'!$F$5:$F$149,"Next week",'Session Tracker'!$G$5:$G$149,"Fri"))</f>
        <v>0</v>
      </c>
      <c r="M380" s="52" t="n">
        <f aca="false">IF($E380="Per class",$D380*COUNTIFS('Session Tracker'!$D$5:$D$149,$A380,'Session Tracker'!$F$5:$F$149,"Next week",'Session Tracker'!$G$5:$G$149,""),$D380*SUMIFS('Session Tracker'!$J$5:$J$149,'Session Tracker'!$D$5:$D$149,$A380,'Session Tracker'!$F$5:$F$149,"Next week",'Session Tracker'!$G$5:$G$149,""))</f>
        <v>0</v>
      </c>
    </row>
    <row r="381" customFormat="false" ht="15" hidden="false" customHeight="false" outlineLevel="0" collapsed="false">
      <c r="A381" s="68" t="s">
        <v>279</v>
      </c>
      <c r="B381" s="34" t="s">
        <v>382</v>
      </c>
      <c r="C381" s="34" t="s">
        <v>383</v>
      </c>
      <c r="D381" s="32" t="n">
        <v>1</v>
      </c>
      <c r="E381" s="32" t="s">
        <v>14</v>
      </c>
      <c r="F381" s="32" t="s">
        <v>368</v>
      </c>
      <c r="G381" s="34"/>
      <c r="H381" s="52" t="n">
        <f aca="false">IF($E381="Per class",$D381*COUNTIFS('Session Tracker'!$D$5:$D$149,$A381,'Session Tracker'!$F$5:$F$149,"Next week",'Session Tracker'!$G$5:$G$149,"Mon"),$D381*SUMIFS('Session Tracker'!$J$5:$J$149,'Session Tracker'!$D$5:$D$149,$A381,'Session Tracker'!$F$5:$F$149,"Next week",'Session Tracker'!$G$5:$G$149,"Mon"))</f>
        <v>0</v>
      </c>
      <c r="I381" s="52" t="n">
        <f aca="false">IF($E381="Per class",$D381*COUNTIFS('Session Tracker'!$D$5:$D$149,$A381,'Session Tracker'!$F$5:$F$149,"Next week",'Session Tracker'!$G$5:$G$149,"Tue"),$D381*SUMIFS('Session Tracker'!$J$5:$J$149,'Session Tracker'!$D$5:$D$149,$A381,'Session Tracker'!$F$5:$F$149,"Next week",'Session Tracker'!$G$5:$G$149,"Tue"))</f>
        <v>0</v>
      </c>
      <c r="J381" s="52" t="n">
        <f aca="false">IF($E381="Per class",$D381*COUNTIFS('Session Tracker'!$D$5:$D$149,$A381,'Session Tracker'!$F$5:$F$149,"Next week",'Session Tracker'!$G$5:$G$149,"Wed"),$D381*SUMIFS('Session Tracker'!$J$5:$J$149,'Session Tracker'!$D$5:$D$149,$A381,'Session Tracker'!$F$5:$F$149,"Next week",'Session Tracker'!$G$5:$G$149,"Wed"))</f>
        <v>0</v>
      </c>
      <c r="K381" s="52" t="n">
        <f aca="false">IF($E381="Per class",$D381*COUNTIFS('Session Tracker'!$D$5:$D$149,$A381,'Session Tracker'!$F$5:$F$149,"Next week",'Session Tracker'!$G$5:$G$149,"Thu"),$D381*SUMIFS('Session Tracker'!$J$5:$J$149,'Session Tracker'!$D$5:$D$149,$A381,'Session Tracker'!$F$5:$F$149,"Next week",'Session Tracker'!$G$5:$G$149,"Thu"))</f>
        <v>0</v>
      </c>
      <c r="L381" s="52" t="n">
        <f aca="false">IF($E381="Per class",$D381*COUNTIFS('Session Tracker'!$D$5:$D$149,$A381,'Session Tracker'!$F$5:$F$149,"Next week",'Session Tracker'!$G$5:$G$149,"Fri"),$D381*SUMIFS('Session Tracker'!$J$5:$J$149,'Session Tracker'!$D$5:$D$149,$A381,'Session Tracker'!$F$5:$F$149,"Next week",'Session Tracker'!$G$5:$G$149,"Fri"))</f>
        <v>0</v>
      </c>
      <c r="M381" s="52" t="n">
        <f aca="false">IF($E381="Per class",$D381*COUNTIFS('Session Tracker'!$D$5:$D$149,$A381,'Session Tracker'!$F$5:$F$149,"Next week",'Session Tracker'!$G$5:$G$149,""),$D381*SUMIFS('Session Tracker'!$J$5:$J$149,'Session Tracker'!$D$5:$D$149,$A381,'Session Tracker'!$F$5:$F$149,"Next week",'Session Tracker'!$G$5:$G$149,""))</f>
        <v>0</v>
      </c>
    </row>
    <row r="382" customFormat="false" ht="15" hidden="false" customHeight="false" outlineLevel="0" collapsed="false">
      <c r="A382" s="68" t="s">
        <v>279</v>
      </c>
      <c r="B382" s="34" t="s">
        <v>377</v>
      </c>
      <c r="C382" s="34" t="s">
        <v>378</v>
      </c>
      <c r="D382" s="32" t="n">
        <v>1</v>
      </c>
      <c r="E382" s="32" t="s">
        <v>14</v>
      </c>
      <c r="F382" s="32" t="s">
        <v>368</v>
      </c>
      <c r="G382" s="34" t="s">
        <v>389</v>
      </c>
      <c r="H382" s="52" t="n">
        <f aca="false">IF($E382="Per class",$D382*COUNTIFS('Session Tracker'!$D$5:$D$149,$A382,'Session Tracker'!$F$5:$F$149,"Next week",'Session Tracker'!$G$5:$G$149,"Mon"),$D382*SUMIFS('Session Tracker'!$J$5:$J$149,'Session Tracker'!$D$5:$D$149,$A382,'Session Tracker'!$F$5:$F$149,"Next week",'Session Tracker'!$G$5:$G$149,"Mon"))</f>
        <v>0</v>
      </c>
      <c r="I382" s="52" t="n">
        <f aca="false">IF($E382="Per class",$D382*COUNTIFS('Session Tracker'!$D$5:$D$149,$A382,'Session Tracker'!$F$5:$F$149,"Next week",'Session Tracker'!$G$5:$G$149,"Tue"),$D382*SUMIFS('Session Tracker'!$J$5:$J$149,'Session Tracker'!$D$5:$D$149,$A382,'Session Tracker'!$F$5:$F$149,"Next week",'Session Tracker'!$G$5:$G$149,"Tue"))</f>
        <v>0</v>
      </c>
      <c r="J382" s="52" t="n">
        <f aca="false">IF($E382="Per class",$D382*COUNTIFS('Session Tracker'!$D$5:$D$149,$A382,'Session Tracker'!$F$5:$F$149,"Next week",'Session Tracker'!$G$5:$G$149,"Wed"),$D382*SUMIFS('Session Tracker'!$J$5:$J$149,'Session Tracker'!$D$5:$D$149,$A382,'Session Tracker'!$F$5:$F$149,"Next week",'Session Tracker'!$G$5:$G$149,"Wed"))</f>
        <v>0</v>
      </c>
      <c r="K382" s="52" t="n">
        <f aca="false">IF($E382="Per class",$D382*COUNTIFS('Session Tracker'!$D$5:$D$149,$A382,'Session Tracker'!$F$5:$F$149,"Next week",'Session Tracker'!$G$5:$G$149,"Thu"),$D382*SUMIFS('Session Tracker'!$J$5:$J$149,'Session Tracker'!$D$5:$D$149,$A382,'Session Tracker'!$F$5:$F$149,"Next week",'Session Tracker'!$G$5:$G$149,"Thu"))</f>
        <v>0</v>
      </c>
      <c r="L382" s="52" t="n">
        <f aca="false">IF($E382="Per class",$D382*COUNTIFS('Session Tracker'!$D$5:$D$149,$A382,'Session Tracker'!$F$5:$F$149,"Next week",'Session Tracker'!$G$5:$G$149,"Fri"),$D382*SUMIFS('Session Tracker'!$J$5:$J$149,'Session Tracker'!$D$5:$D$149,$A382,'Session Tracker'!$F$5:$F$149,"Next week",'Session Tracker'!$G$5:$G$149,"Fri"))</f>
        <v>0</v>
      </c>
      <c r="M382" s="52" t="n">
        <f aca="false">IF($E382="Per class",$D382*COUNTIFS('Session Tracker'!$D$5:$D$149,$A382,'Session Tracker'!$F$5:$F$149,"Next week",'Session Tracker'!$G$5:$G$149,""),$D382*SUMIFS('Session Tracker'!$J$5:$J$149,'Session Tracker'!$D$5:$D$149,$A382,'Session Tracker'!$F$5:$F$149,"Next week",'Session Tracker'!$G$5:$G$149,""))</f>
        <v>0</v>
      </c>
    </row>
    <row r="383" customFormat="false" ht="15" hidden="false" customHeight="false" outlineLevel="0" collapsed="false">
      <c r="A383" s="53" t="s">
        <v>279</v>
      </c>
      <c r="B383" s="54"/>
      <c r="C383" s="54"/>
      <c r="D383" s="54"/>
      <c r="E383" s="54"/>
      <c r="F383" s="54"/>
      <c r="G383" s="54"/>
      <c r="H383" s="52" t="n">
        <f aca="false">IF($E383="Per class",$D383*COUNTIFS('Session Tracker'!$D$5:$D$149,$A383,'Session Tracker'!$F$5:$F$149,"Next week",'Session Tracker'!$G$5:$G$149,"Mon"),$D383*SUMIFS('Session Tracker'!$J$5:$J$149,'Session Tracker'!$D$5:$D$149,$A383,'Session Tracker'!$F$5:$F$149,"Next week",'Session Tracker'!$G$5:$G$149,"Mon"))</f>
        <v>0</v>
      </c>
      <c r="I383" s="52" t="n">
        <f aca="false">IF($E383="Per class",$D383*COUNTIFS('Session Tracker'!$D$5:$D$149,$A383,'Session Tracker'!$F$5:$F$149,"Next week",'Session Tracker'!$G$5:$G$149,"Tue"),$D383*SUMIFS('Session Tracker'!$J$5:$J$149,'Session Tracker'!$D$5:$D$149,$A383,'Session Tracker'!$F$5:$F$149,"Next week",'Session Tracker'!$G$5:$G$149,"Tue"))</f>
        <v>0</v>
      </c>
      <c r="J383" s="52" t="n">
        <f aca="false">IF($E383="Per class",$D383*COUNTIFS('Session Tracker'!$D$5:$D$149,$A383,'Session Tracker'!$F$5:$F$149,"Next week",'Session Tracker'!$G$5:$G$149,"Wed"),$D383*SUMIFS('Session Tracker'!$J$5:$J$149,'Session Tracker'!$D$5:$D$149,$A383,'Session Tracker'!$F$5:$F$149,"Next week",'Session Tracker'!$G$5:$G$149,"Wed"))</f>
        <v>0</v>
      </c>
      <c r="K383" s="52" t="n">
        <f aca="false">IF($E383="Per class",$D383*COUNTIFS('Session Tracker'!$D$5:$D$149,$A383,'Session Tracker'!$F$5:$F$149,"Next week",'Session Tracker'!$G$5:$G$149,"Thu"),$D383*SUMIFS('Session Tracker'!$J$5:$J$149,'Session Tracker'!$D$5:$D$149,$A383,'Session Tracker'!$F$5:$F$149,"Next week",'Session Tracker'!$G$5:$G$149,"Thu"))</f>
        <v>0</v>
      </c>
      <c r="L383" s="52" t="n">
        <f aca="false">IF($E383="Per class",$D383*COUNTIFS('Session Tracker'!$D$5:$D$149,$A383,'Session Tracker'!$F$5:$F$149,"Next week",'Session Tracker'!$G$5:$G$149,"Fri"),$D383*SUMIFS('Session Tracker'!$J$5:$J$149,'Session Tracker'!$D$5:$D$149,$A383,'Session Tracker'!$F$5:$F$149,"Next week",'Session Tracker'!$G$5:$G$149,"Fri"))</f>
        <v>0</v>
      </c>
      <c r="M383" s="52" t="n">
        <f aca="false">IF($E383="Per class",$D383*COUNTIFS('Session Tracker'!$D$5:$D$149,$A383,'Session Tracker'!$F$5:$F$149,"Next week",'Session Tracker'!$G$5:$G$149,""),$D383*SUMIFS('Session Tracker'!$J$5:$J$149,'Session Tracker'!$D$5:$D$149,$A383,'Session Tracker'!$F$5:$F$149,"Next week",'Session Tracker'!$G$5:$G$149,""))</f>
        <v>0</v>
      </c>
    </row>
    <row r="384" customFormat="false" ht="15" hidden="false" customHeight="false" outlineLevel="0" collapsed="false">
      <c r="A384" s="53" t="s">
        <v>279</v>
      </c>
      <c r="B384" s="54"/>
      <c r="C384" s="54"/>
      <c r="D384" s="54"/>
      <c r="E384" s="54"/>
      <c r="F384" s="54"/>
      <c r="G384" s="54"/>
      <c r="H384" s="52" t="n">
        <f aca="false">IF($E384="Per class",$D384*COUNTIFS('Session Tracker'!$D$5:$D$149,$A384,'Session Tracker'!$F$5:$F$149,"Next week",'Session Tracker'!$G$5:$G$149,"Mon"),$D384*SUMIFS('Session Tracker'!$J$5:$J$149,'Session Tracker'!$D$5:$D$149,$A384,'Session Tracker'!$F$5:$F$149,"Next week",'Session Tracker'!$G$5:$G$149,"Mon"))</f>
        <v>0</v>
      </c>
      <c r="I384" s="52" t="n">
        <f aca="false">IF($E384="Per class",$D384*COUNTIFS('Session Tracker'!$D$5:$D$149,$A384,'Session Tracker'!$F$5:$F$149,"Next week",'Session Tracker'!$G$5:$G$149,"Tue"),$D384*SUMIFS('Session Tracker'!$J$5:$J$149,'Session Tracker'!$D$5:$D$149,$A384,'Session Tracker'!$F$5:$F$149,"Next week",'Session Tracker'!$G$5:$G$149,"Tue"))</f>
        <v>0</v>
      </c>
      <c r="J384" s="52" t="n">
        <f aca="false">IF($E384="Per class",$D384*COUNTIFS('Session Tracker'!$D$5:$D$149,$A384,'Session Tracker'!$F$5:$F$149,"Next week",'Session Tracker'!$G$5:$G$149,"Wed"),$D384*SUMIFS('Session Tracker'!$J$5:$J$149,'Session Tracker'!$D$5:$D$149,$A384,'Session Tracker'!$F$5:$F$149,"Next week",'Session Tracker'!$G$5:$G$149,"Wed"))</f>
        <v>0</v>
      </c>
      <c r="K384" s="52" t="n">
        <f aca="false">IF($E384="Per class",$D384*COUNTIFS('Session Tracker'!$D$5:$D$149,$A384,'Session Tracker'!$F$5:$F$149,"Next week",'Session Tracker'!$G$5:$G$149,"Thu"),$D384*SUMIFS('Session Tracker'!$J$5:$J$149,'Session Tracker'!$D$5:$D$149,$A384,'Session Tracker'!$F$5:$F$149,"Next week",'Session Tracker'!$G$5:$G$149,"Thu"))</f>
        <v>0</v>
      </c>
      <c r="L384" s="52" t="n">
        <f aca="false">IF($E384="Per class",$D384*COUNTIFS('Session Tracker'!$D$5:$D$149,$A384,'Session Tracker'!$F$5:$F$149,"Next week",'Session Tracker'!$G$5:$G$149,"Fri"),$D384*SUMIFS('Session Tracker'!$J$5:$J$149,'Session Tracker'!$D$5:$D$149,$A384,'Session Tracker'!$F$5:$F$149,"Next week",'Session Tracker'!$G$5:$G$149,"Fri"))</f>
        <v>0</v>
      </c>
      <c r="M384" s="52" t="n">
        <f aca="false">IF($E384="Per class",$D384*COUNTIFS('Session Tracker'!$D$5:$D$149,$A384,'Session Tracker'!$F$5:$F$149,"Next week",'Session Tracker'!$G$5:$G$149,""),$D384*SUMIFS('Session Tracker'!$J$5:$J$149,'Session Tracker'!$D$5:$D$149,$A384,'Session Tracker'!$F$5:$F$149,"Next week",'Session Tracker'!$G$5:$G$149,""))</f>
        <v>0</v>
      </c>
    </row>
    <row r="386" customFormat="false" ht="19.5" hidden="false" customHeight="true" outlineLevel="0" collapsed="false">
      <c r="A386" s="64" t="s">
        <v>281</v>
      </c>
      <c r="B386" s="65" t="s">
        <v>651</v>
      </c>
      <c r="C386" s="65"/>
      <c r="D386" s="65"/>
      <c r="E386" s="65"/>
      <c r="F386" s="66" t="str">
        <f aca="false">"Status: "&amp;'Session Tracker'!F110&amp;IF('Session Tracker'!G110&lt;&gt;""," ("&amp;'Session Tracker'!G110&amp;")","")</f>
        <v>Status: Not started</v>
      </c>
      <c r="G386" s="66"/>
      <c r="H386" s="67"/>
      <c r="I386" s="67"/>
      <c r="J386" s="67"/>
      <c r="K386" s="67"/>
      <c r="L386" s="67"/>
      <c r="M386" s="67"/>
    </row>
    <row r="387" customFormat="false" ht="15" hidden="false" customHeight="false" outlineLevel="0" collapsed="false">
      <c r="A387" s="68" t="s">
        <v>281</v>
      </c>
      <c r="B387" s="34" t="s">
        <v>382</v>
      </c>
      <c r="C387" s="34" t="s">
        <v>383</v>
      </c>
      <c r="D387" s="32" t="n">
        <v>1</v>
      </c>
      <c r="E387" s="32" t="s">
        <v>14</v>
      </c>
      <c r="F387" s="32" t="s">
        <v>368</v>
      </c>
      <c r="G387" s="34"/>
      <c r="H387" s="52" t="n">
        <f aca="false">IF($E387="Per class",$D387*COUNTIFS('Session Tracker'!$D$5:$D$149,$A387,'Session Tracker'!$F$5:$F$149,"Next week",'Session Tracker'!$G$5:$G$149,"Mon"),$D387*SUMIFS('Session Tracker'!$J$5:$J$149,'Session Tracker'!$D$5:$D$149,$A387,'Session Tracker'!$F$5:$F$149,"Next week",'Session Tracker'!$G$5:$G$149,"Mon"))</f>
        <v>0</v>
      </c>
      <c r="I387" s="52" t="n">
        <f aca="false">IF($E387="Per class",$D387*COUNTIFS('Session Tracker'!$D$5:$D$149,$A387,'Session Tracker'!$F$5:$F$149,"Next week",'Session Tracker'!$G$5:$G$149,"Tue"),$D387*SUMIFS('Session Tracker'!$J$5:$J$149,'Session Tracker'!$D$5:$D$149,$A387,'Session Tracker'!$F$5:$F$149,"Next week",'Session Tracker'!$G$5:$G$149,"Tue"))</f>
        <v>0</v>
      </c>
      <c r="J387" s="52" t="n">
        <f aca="false">IF($E387="Per class",$D387*COUNTIFS('Session Tracker'!$D$5:$D$149,$A387,'Session Tracker'!$F$5:$F$149,"Next week",'Session Tracker'!$G$5:$G$149,"Wed"),$D387*SUMIFS('Session Tracker'!$J$5:$J$149,'Session Tracker'!$D$5:$D$149,$A387,'Session Tracker'!$F$5:$F$149,"Next week",'Session Tracker'!$G$5:$G$149,"Wed"))</f>
        <v>0</v>
      </c>
      <c r="K387" s="52" t="n">
        <f aca="false">IF($E387="Per class",$D387*COUNTIFS('Session Tracker'!$D$5:$D$149,$A387,'Session Tracker'!$F$5:$F$149,"Next week",'Session Tracker'!$G$5:$G$149,"Thu"),$D387*SUMIFS('Session Tracker'!$J$5:$J$149,'Session Tracker'!$D$5:$D$149,$A387,'Session Tracker'!$F$5:$F$149,"Next week",'Session Tracker'!$G$5:$G$149,"Thu"))</f>
        <v>0</v>
      </c>
      <c r="L387" s="52" t="n">
        <f aca="false">IF($E387="Per class",$D387*COUNTIFS('Session Tracker'!$D$5:$D$149,$A387,'Session Tracker'!$F$5:$F$149,"Next week",'Session Tracker'!$G$5:$G$149,"Fri"),$D387*SUMIFS('Session Tracker'!$J$5:$J$149,'Session Tracker'!$D$5:$D$149,$A387,'Session Tracker'!$F$5:$F$149,"Next week",'Session Tracker'!$G$5:$G$149,"Fri"))</f>
        <v>0</v>
      </c>
      <c r="M387" s="52" t="n">
        <f aca="false">IF($E387="Per class",$D387*COUNTIFS('Session Tracker'!$D$5:$D$149,$A387,'Session Tracker'!$F$5:$F$149,"Next week",'Session Tracker'!$G$5:$G$149,""),$D387*SUMIFS('Session Tracker'!$J$5:$J$149,'Session Tracker'!$D$5:$D$149,$A387,'Session Tracker'!$F$5:$F$149,"Next week",'Session Tracker'!$G$5:$G$149,""))</f>
        <v>0</v>
      </c>
    </row>
    <row r="388" customFormat="false" ht="15" hidden="false" customHeight="false" outlineLevel="0" collapsed="false">
      <c r="A388" s="53" t="s">
        <v>281</v>
      </c>
      <c r="B388" s="54"/>
      <c r="C388" s="54"/>
      <c r="D388" s="54"/>
      <c r="E388" s="54"/>
      <c r="F388" s="54"/>
      <c r="G388" s="54"/>
      <c r="H388" s="52" t="n">
        <f aca="false">IF($E388="Per class",$D388*COUNTIFS('Session Tracker'!$D$5:$D$149,$A388,'Session Tracker'!$F$5:$F$149,"Next week",'Session Tracker'!$G$5:$G$149,"Mon"),$D388*SUMIFS('Session Tracker'!$J$5:$J$149,'Session Tracker'!$D$5:$D$149,$A388,'Session Tracker'!$F$5:$F$149,"Next week",'Session Tracker'!$G$5:$G$149,"Mon"))</f>
        <v>0</v>
      </c>
      <c r="I388" s="52" t="n">
        <f aca="false">IF($E388="Per class",$D388*COUNTIFS('Session Tracker'!$D$5:$D$149,$A388,'Session Tracker'!$F$5:$F$149,"Next week",'Session Tracker'!$G$5:$G$149,"Tue"),$D388*SUMIFS('Session Tracker'!$J$5:$J$149,'Session Tracker'!$D$5:$D$149,$A388,'Session Tracker'!$F$5:$F$149,"Next week",'Session Tracker'!$G$5:$G$149,"Tue"))</f>
        <v>0</v>
      </c>
      <c r="J388" s="52" t="n">
        <f aca="false">IF($E388="Per class",$D388*COUNTIFS('Session Tracker'!$D$5:$D$149,$A388,'Session Tracker'!$F$5:$F$149,"Next week",'Session Tracker'!$G$5:$G$149,"Wed"),$D388*SUMIFS('Session Tracker'!$J$5:$J$149,'Session Tracker'!$D$5:$D$149,$A388,'Session Tracker'!$F$5:$F$149,"Next week",'Session Tracker'!$G$5:$G$149,"Wed"))</f>
        <v>0</v>
      </c>
      <c r="K388" s="52" t="n">
        <f aca="false">IF($E388="Per class",$D388*COUNTIFS('Session Tracker'!$D$5:$D$149,$A388,'Session Tracker'!$F$5:$F$149,"Next week",'Session Tracker'!$G$5:$G$149,"Thu"),$D388*SUMIFS('Session Tracker'!$J$5:$J$149,'Session Tracker'!$D$5:$D$149,$A388,'Session Tracker'!$F$5:$F$149,"Next week",'Session Tracker'!$G$5:$G$149,"Thu"))</f>
        <v>0</v>
      </c>
      <c r="L388" s="52" t="n">
        <f aca="false">IF($E388="Per class",$D388*COUNTIFS('Session Tracker'!$D$5:$D$149,$A388,'Session Tracker'!$F$5:$F$149,"Next week",'Session Tracker'!$G$5:$G$149,"Fri"),$D388*SUMIFS('Session Tracker'!$J$5:$J$149,'Session Tracker'!$D$5:$D$149,$A388,'Session Tracker'!$F$5:$F$149,"Next week",'Session Tracker'!$G$5:$G$149,"Fri"))</f>
        <v>0</v>
      </c>
      <c r="M388" s="52" t="n">
        <f aca="false">IF($E388="Per class",$D388*COUNTIFS('Session Tracker'!$D$5:$D$149,$A388,'Session Tracker'!$F$5:$F$149,"Next week",'Session Tracker'!$G$5:$G$149,""),$D388*SUMIFS('Session Tracker'!$J$5:$J$149,'Session Tracker'!$D$5:$D$149,$A388,'Session Tracker'!$F$5:$F$149,"Next week",'Session Tracker'!$G$5:$G$149,""))</f>
        <v>0</v>
      </c>
    </row>
    <row r="389" customFormat="false" ht="15" hidden="false" customHeight="false" outlineLevel="0" collapsed="false">
      <c r="A389" s="53" t="s">
        <v>281</v>
      </c>
      <c r="B389" s="54"/>
      <c r="C389" s="54"/>
      <c r="D389" s="54"/>
      <c r="E389" s="54"/>
      <c r="F389" s="54"/>
      <c r="G389" s="54"/>
      <c r="H389" s="52" t="n">
        <f aca="false">IF($E389="Per class",$D389*COUNTIFS('Session Tracker'!$D$5:$D$149,$A389,'Session Tracker'!$F$5:$F$149,"Next week",'Session Tracker'!$G$5:$G$149,"Mon"),$D389*SUMIFS('Session Tracker'!$J$5:$J$149,'Session Tracker'!$D$5:$D$149,$A389,'Session Tracker'!$F$5:$F$149,"Next week",'Session Tracker'!$G$5:$G$149,"Mon"))</f>
        <v>0</v>
      </c>
      <c r="I389" s="52" t="n">
        <f aca="false">IF($E389="Per class",$D389*COUNTIFS('Session Tracker'!$D$5:$D$149,$A389,'Session Tracker'!$F$5:$F$149,"Next week",'Session Tracker'!$G$5:$G$149,"Tue"),$D389*SUMIFS('Session Tracker'!$J$5:$J$149,'Session Tracker'!$D$5:$D$149,$A389,'Session Tracker'!$F$5:$F$149,"Next week",'Session Tracker'!$G$5:$G$149,"Tue"))</f>
        <v>0</v>
      </c>
      <c r="J389" s="52" t="n">
        <f aca="false">IF($E389="Per class",$D389*COUNTIFS('Session Tracker'!$D$5:$D$149,$A389,'Session Tracker'!$F$5:$F$149,"Next week",'Session Tracker'!$G$5:$G$149,"Wed"),$D389*SUMIFS('Session Tracker'!$J$5:$J$149,'Session Tracker'!$D$5:$D$149,$A389,'Session Tracker'!$F$5:$F$149,"Next week",'Session Tracker'!$G$5:$G$149,"Wed"))</f>
        <v>0</v>
      </c>
      <c r="K389" s="52" t="n">
        <f aca="false">IF($E389="Per class",$D389*COUNTIFS('Session Tracker'!$D$5:$D$149,$A389,'Session Tracker'!$F$5:$F$149,"Next week",'Session Tracker'!$G$5:$G$149,"Thu"),$D389*SUMIFS('Session Tracker'!$J$5:$J$149,'Session Tracker'!$D$5:$D$149,$A389,'Session Tracker'!$F$5:$F$149,"Next week",'Session Tracker'!$G$5:$G$149,"Thu"))</f>
        <v>0</v>
      </c>
      <c r="L389" s="52" t="n">
        <f aca="false">IF($E389="Per class",$D389*COUNTIFS('Session Tracker'!$D$5:$D$149,$A389,'Session Tracker'!$F$5:$F$149,"Next week",'Session Tracker'!$G$5:$G$149,"Fri"),$D389*SUMIFS('Session Tracker'!$J$5:$J$149,'Session Tracker'!$D$5:$D$149,$A389,'Session Tracker'!$F$5:$F$149,"Next week",'Session Tracker'!$G$5:$G$149,"Fri"))</f>
        <v>0</v>
      </c>
      <c r="M389" s="52" t="n">
        <f aca="false">IF($E389="Per class",$D389*COUNTIFS('Session Tracker'!$D$5:$D$149,$A389,'Session Tracker'!$F$5:$F$149,"Next week",'Session Tracker'!$G$5:$G$149,""),$D389*SUMIFS('Session Tracker'!$J$5:$J$149,'Session Tracker'!$D$5:$D$149,$A389,'Session Tracker'!$F$5:$F$149,"Next week",'Session Tracker'!$G$5:$G$149,""))</f>
        <v>0</v>
      </c>
    </row>
    <row r="391" customFormat="false" ht="19.5" hidden="false" customHeight="true" outlineLevel="0" collapsed="false">
      <c r="A391" s="64" t="s">
        <v>283</v>
      </c>
      <c r="B391" s="65" t="s">
        <v>652</v>
      </c>
      <c r="C391" s="65"/>
      <c r="D391" s="65"/>
      <c r="E391" s="65"/>
      <c r="F391" s="66" t="str">
        <f aca="false">"Status: "&amp;'Session Tracker'!F111&amp;IF('Session Tracker'!G111&lt;&gt;""," ("&amp;'Session Tracker'!G111&amp;")","")</f>
        <v>Status: Not started</v>
      </c>
      <c r="G391" s="66"/>
      <c r="H391" s="67"/>
      <c r="I391" s="67"/>
      <c r="J391" s="67"/>
      <c r="K391" s="67"/>
      <c r="L391" s="67"/>
      <c r="M391" s="67"/>
    </row>
    <row r="392" customFormat="false" ht="15" hidden="false" customHeight="false" outlineLevel="0" collapsed="false">
      <c r="A392" s="68" t="s">
        <v>283</v>
      </c>
      <c r="B392" s="34" t="s">
        <v>382</v>
      </c>
      <c r="C392" s="34" t="s">
        <v>383</v>
      </c>
      <c r="D392" s="32" t="n">
        <v>1</v>
      </c>
      <c r="E392" s="32" t="s">
        <v>14</v>
      </c>
      <c r="F392" s="32" t="s">
        <v>368</v>
      </c>
      <c r="G392" s="34"/>
      <c r="H392" s="52" t="n">
        <f aca="false">IF($E392="Per class",$D392*COUNTIFS('Session Tracker'!$D$5:$D$149,$A392,'Session Tracker'!$F$5:$F$149,"Next week",'Session Tracker'!$G$5:$G$149,"Mon"),$D392*SUMIFS('Session Tracker'!$J$5:$J$149,'Session Tracker'!$D$5:$D$149,$A392,'Session Tracker'!$F$5:$F$149,"Next week",'Session Tracker'!$G$5:$G$149,"Mon"))</f>
        <v>0</v>
      </c>
      <c r="I392" s="52" t="n">
        <f aca="false">IF($E392="Per class",$D392*COUNTIFS('Session Tracker'!$D$5:$D$149,$A392,'Session Tracker'!$F$5:$F$149,"Next week",'Session Tracker'!$G$5:$G$149,"Tue"),$D392*SUMIFS('Session Tracker'!$J$5:$J$149,'Session Tracker'!$D$5:$D$149,$A392,'Session Tracker'!$F$5:$F$149,"Next week",'Session Tracker'!$G$5:$G$149,"Tue"))</f>
        <v>0</v>
      </c>
      <c r="J392" s="52" t="n">
        <f aca="false">IF($E392="Per class",$D392*COUNTIFS('Session Tracker'!$D$5:$D$149,$A392,'Session Tracker'!$F$5:$F$149,"Next week",'Session Tracker'!$G$5:$G$149,"Wed"),$D392*SUMIFS('Session Tracker'!$J$5:$J$149,'Session Tracker'!$D$5:$D$149,$A392,'Session Tracker'!$F$5:$F$149,"Next week",'Session Tracker'!$G$5:$G$149,"Wed"))</f>
        <v>0</v>
      </c>
      <c r="K392" s="52" t="n">
        <f aca="false">IF($E392="Per class",$D392*COUNTIFS('Session Tracker'!$D$5:$D$149,$A392,'Session Tracker'!$F$5:$F$149,"Next week",'Session Tracker'!$G$5:$G$149,"Thu"),$D392*SUMIFS('Session Tracker'!$J$5:$J$149,'Session Tracker'!$D$5:$D$149,$A392,'Session Tracker'!$F$5:$F$149,"Next week",'Session Tracker'!$G$5:$G$149,"Thu"))</f>
        <v>0</v>
      </c>
      <c r="L392" s="52" t="n">
        <f aca="false">IF($E392="Per class",$D392*COUNTIFS('Session Tracker'!$D$5:$D$149,$A392,'Session Tracker'!$F$5:$F$149,"Next week",'Session Tracker'!$G$5:$G$149,"Fri"),$D392*SUMIFS('Session Tracker'!$J$5:$J$149,'Session Tracker'!$D$5:$D$149,$A392,'Session Tracker'!$F$5:$F$149,"Next week",'Session Tracker'!$G$5:$G$149,"Fri"))</f>
        <v>0</v>
      </c>
      <c r="M392" s="52" t="n">
        <f aca="false">IF($E392="Per class",$D392*COUNTIFS('Session Tracker'!$D$5:$D$149,$A392,'Session Tracker'!$F$5:$F$149,"Next week",'Session Tracker'!$G$5:$G$149,""),$D392*SUMIFS('Session Tracker'!$J$5:$J$149,'Session Tracker'!$D$5:$D$149,$A392,'Session Tracker'!$F$5:$F$149,"Next week",'Session Tracker'!$G$5:$G$149,""))</f>
        <v>0</v>
      </c>
    </row>
    <row r="393" customFormat="false" ht="15" hidden="false" customHeight="false" outlineLevel="0" collapsed="false">
      <c r="A393" s="53" t="s">
        <v>283</v>
      </c>
      <c r="B393" s="54"/>
      <c r="C393" s="54"/>
      <c r="D393" s="54"/>
      <c r="E393" s="54"/>
      <c r="F393" s="54"/>
      <c r="G393" s="54"/>
      <c r="H393" s="52" t="n">
        <f aca="false">IF($E393="Per class",$D393*COUNTIFS('Session Tracker'!$D$5:$D$149,$A393,'Session Tracker'!$F$5:$F$149,"Next week",'Session Tracker'!$G$5:$G$149,"Mon"),$D393*SUMIFS('Session Tracker'!$J$5:$J$149,'Session Tracker'!$D$5:$D$149,$A393,'Session Tracker'!$F$5:$F$149,"Next week",'Session Tracker'!$G$5:$G$149,"Mon"))</f>
        <v>0</v>
      </c>
      <c r="I393" s="52" t="n">
        <f aca="false">IF($E393="Per class",$D393*COUNTIFS('Session Tracker'!$D$5:$D$149,$A393,'Session Tracker'!$F$5:$F$149,"Next week",'Session Tracker'!$G$5:$G$149,"Tue"),$D393*SUMIFS('Session Tracker'!$J$5:$J$149,'Session Tracker'!$D$5:$D$149,$A393,'Session Tracker'!$F$5:$F$149,"Next week",'Session Tracker'!$G$5:$G$149,"Tue"))</f>
        <v>0</v>
      </c>
      <c r="J393" s="52" t="n">
        <f aca="false">IF($E393="Per class",$D393*COUNTIFS('Session Tracker'!$D$5:$D$149,$A393,'Session Tracker'!$F$5:$F$149,"Next week",'Session Tracker'!$G$5:$G$149,"Wed"),$D393*SUMIFS('Session Tracker'!$J$5:$J$149,'Session Tracker'!$D$5:$D$149,$A393,'Session Tracker'!$F$5:$F$149,"Next week",'Session Tracker'!$G$5:$G$149,"Wed"))</f>
        <v>0</v>
      </c>
      <c r="K393" s="52" t="n">
        <f aca="false">IF($E393="Per class",$D393*COUNTIFS('Session Tracker'!$D$5:$D$149,$A393,'Session Tracker'!$F$5:$F$149,"Next week",'Session Tracker'!$G$5:$G$149,"Thu"),$D393*SUMIFS('Session Tracker'!$J$5:$J$149,'Session Tracker'!$D$5:$D$149,$A393,'Session Tracker'!$F$5:$F$149,"Next week",'Session Tracker'!$G$5:$G$149,"Thu"))</f>
        <v>0</v>
      </c>
      <c r="L393" s="52" t="n">
        <f aca="false">IF($E393="Per class",$D393*COUNTIFS('Session Tracker'!$D$5:$D$149,$A393,'Session Tracker'!$F$5:$F$149,"Next week",'Session Tracker'!$G$5:$G$149,"Fri"),$D393*SUMIFS('Session Tracker'!$J$5:$J$149,'Session Tracker'!$D$5:$D$149,$A393,'Session Tracker'!$F$5:$F$149,"Next week",'Session Tracker'!$G$5:$G$149,"Fri"))</f>
        <v>0</v>
      </c>
      <c r="M393" s="52" t="n">
        <f aca="false">IF($E393="Per class",$D393*COUNTIFS('Session Tracker'!$D$5:$D$149,$A393,'Session Tracker'!$F$5:$F$149,"Next week",'Session Tracker'!$G$5:$G$149,""),$D393*SUMIFS('Session Tracker'!$J$5:$J$149,'Session Tracker'!$D$5:$D$149,$A393,'Session Tracker'!$F$5:$F$149,"Next week",'Session Tracker'!$G$5:$G$149,""))</f>
        <v>0</v>
      </c>
    </row>
    <row r="394" customFormat="false" ht="15" hidden="false" customHeight="false" outlineLevel="0" collapsed="false">
      <c r="A394" s="53" t="s">
        <v>283</v>
      </c>
      <c r="B394" s="54"/>
      <c r="C394" s="54"/>
      <c r="D394" s="54"/>
      <c r="E394" s="54"/>
      <c r="F394" s="54"/>
      <c r="G394" s="54"/>
      <c r="H394" s="52" t="n">
        <f aca="false">IF($E394="Per class",$D394*COUNTIFS('Session Tracker'!$D$5:$D$149,$A394,'Session Tracker'!$F$5:$F$149,"Next week",'Session Tracker'!$G$5:$G$149,"Mon"),$D394*SUMIFS('Session Tracker'!$J$5:$J$149,'Session Tracker'!$D$5:$D$149,$A394,'Session Tracker'!$F$5:$F$149,"Next week",'Session Tracker'!$G$5:$G$149,"Mon"))</f>
        <v>0</v>
      </c>
      <c r="I394" s="52" t="n">
        <f aca="false">IF($E394="Per class",$D394*COUNTIFS('Session Tracker'!$D$5:$D$149,$A394,'Session Tracker'!$F$5:$F$149,"Next week",'Session Tracker'!$G$5:$G$149,"Tue"),$D394*SUMIFS('Session Tracker'!$J$5:$J$149,'Session Tracker'!$D$5:$D$149,$A394,'Session Tracker'!$F$5:$F$149,"Next week",'Session Tracker'!$G$5:$G$149,"Tue"))</f>
        <v>0</v>
      </c>
      <c r="J394" s="52" t="n">
        <f aca="false">IF($E394="Per class",$D394*COUNTIFS('Session Tracker'!$D$5:$D$149,$A394,'Session Tracker'!$F$5:$F$149,"Next week",'Session Tracker'!$G$5:$G$149,"Wed"),$D394*SUMIFS('Session Tracker'!$J$5:$J$149,'Session Tracker'!$D$5:$D$149,$A394,'Session Tracker'!$F$5:$F$149,"Next week",'Session Tracker'!$G$5:$G$149,"Wed"))</f>
        <v>0</v>
      </c>
      <c r="K394" s="52" t="n">
        <f aca="false">IF($E394="Per class",$D394*COUNTIFS('Session Tracker'!$D$5:$D$149,$A394,'Session Tracker'!$F$5:$F$149,"Next week",'Session Tracker'!$G$5:$G$149,"Thu"),$D394*SUMIFS('Session Tracker'!$J$5:$J$149,'Session Tracker'!$D$5:$D$149,$A394,'Session Tracker'!$F$5:$F$149,"Next week",'Session Tracker'!$G$5:$G$149,"Thu"))</f>
        <v>0</v>
      </c>
      <c r="L394" s="52" t="n">
        <f aca="false">IF($E394="Per class",$D394*COUNTIFS('Session Tracker'!$D$5:$D$149,$A394,'Session Tracker'!$F$5:$F$149,"Next week",'Session Tracker'!$G$5:$G$149,"Fri"),$D394*SUMIFS('Session Tracker'!$J$5:$J$149,'Session Tracker'!$D$5:$D$149,$A394,'Session Tracker'!$F$5:$F$149,"Next week",'Session Tracker'!$G$5:$G$149,"Fri"))</f>
        <v>0</v>
      </c>
      <c r="M394" s="52" t="n">
        <f aca="false">IF($E394="Per class",$D394*COUNTIFS('Session Tracker'!$D$5:$D$149,$A394,'Session Tracker'!$F$5:$F$149,"Next week",'Session Tracker'!$G$5:$G$149,""),$D394*SUMIFS('Session Tracker'!$J$5:$J$149,'Session Tracker'!$D$5:$D$149,$A394,'Session Tracker'!$F$5:$F$149,"Next week",'Session Tracker'!$G$5:$G$149,""))</f>
        <v>0</v>
      </c>
    </row>
    <row r="396" customFormat="false" ht="19.5" hidden="false" customHeight="true" outlineLevel="0" collapsed="false">
      <c r="A396" s="64" t="s">
        <v>285</v>
      </c>
      <c r="B396" s="65" t="s">
        <v>653</v>
      </c>
      <c r="C396" s="65"/>
      <c r="D396" s="65"/>
      <c r="E396" s="65"/>
      <c r="F396" s="66" t="str">
        <f aca="false">"Status: "&amp;'Session Tracker'!F112&amp;IF('Session Tracker'!G112&lt;&gt;""," ("&amp;'Session Tracker'!G112&amp;")","")</f>
        <v>Status: Not started</v>
      </c>
      <c r="G396" s="66"/>
      <c r="H396" s="67"/>
      <c r="I396" s="67"/>
      <c r="J396" s="67"/>
      <c r="K396" s="67"/>
      <c r="L396" s="67"/>
      <c r="M396" s="67"/>
    </row>
    <row r="397" customFormat="false" ht="15" hidden="false" customHeight="false" outlineLevel="0" collapsed="false">
      <c r="A397" s="68" t="s">
        <v>285</v>
      </c>
      <c r="B397" s="34" t="s">
        <v>382</v>
      </c>
      <c r="C397" s="34" t="s">
        <v>383</v>
      </c>
      <c r="D397" s="32" t="n">
        <v>1</v>
      </c>
      <c r="E397" s="32" t="s">
        <v>14</v>
      </c>
      <c r="F397" s="32" t="s">
        <v>368</v>
      </c>
      <c r="G397" s="34"/>
      <c r="H397" s="52" t="n">
        <f aca="false">IF($E397="Per class",$D397*COUNTIFS('Session Tracker'!$D$5:$D$149,$A397,'Session Tracker'!$F$5:$F$149,"Next week",'Session Tracker'!$G$5:$G$149,"Mon"),$D397*SUMIFS('Session Tracker'!$J$5:$J$149,'Session Tracker'!$D$5:$D$149,$A397,'Session Tracker'!$F$5:$F$149,"Next week",'Session Tracker'!$G$5:$G$149,"Mon"))</f>
        <v>0</v>
      </c>
      <c r="I397" s="52" t="n">
        <f aca="false">IF($E397="Per class",$D397*COUNTIFS('Session Tracker'!$D$5:$D$149,$A397,'Session Tracker'!$F$5:$F$149,"Next week",'Session Tracker'!$G$5:$G$149,"Tue"),$D397*SUMIFS('Session Tracker'!$J$5:$J$149,'Session Tracker'!$D$5:$D$149,$A397,'Session Tracker'!$F$5:$F$149,"Next week",'Session Tracker'!$G$5:$G$149,"Tue"))</f>
        <v>0</v>
      </c>
      <c r="J397" s="52" t="n">
        <f aca="false">IF($E397="Per class",$D397*COUNTIFS('Session Tracker'!$D$5:$D$149,$A397,'Session Tracker'!$F$5:$F$149,"Next week",'Session Tracker'!$G$5:$G$149,"Wed"),$D397*SUMIFS('Session Tracker'!$J$5:$J$149,'Session Tracker'!$D$5:$D$149,$A397,'Session Tracker'!$F$5:$F$149,"Next week",'Session Tracker'!$G$5:$G$149,"Wed"))</f>
        <v>0</v>
      </c>
      <c r="K397" s="52" t="n">
        <f aca="false">IF($E397="Per class",$D397*COUNTIFS('Session Tracker'!$D$5:$D$149,$A397,'Session Tracker'!$F$5:$F$149,"Next week",'Session Tracker'!$G$5:$G$149,"Thu"),$D397*SUMIFS('Session Tracker'!$J$5:$J$149,'Session Tracker'!$D$5:$D$149,$A397,'Session Tracker'!$F$5:$F$149,"Next week",'Session Tracker'!$G$5:$G$149,"Thu"))</f>
        <v>0</v>
      </c>
      <c r="L397" s="52" t="n">
        <f aca="false">IF($E397="Per class",$D397*COUNTIFS('Session Tracker'!$D$5:$D$149,$A397,'Session Tracker'!$F$5:$F$149,"Next week",'Session Tracker'!$G$5:$G$149,"Fri"),$D397*SUMIFS('Session Tracker'!$J$5:$J$149,'Session Tracker'!$D$5:$D$149,$A397,'Session Tracker'!$F$5:$F$149,"Next week",'Session Tracker'!$G$5:$G$149,"Fri"))</f>
        <v>0</v>
      </c>
      <c r="M397" s="52" t="n">
        <f aca="false">IF($E397="Per class",$D397*COUNTIFS('Session Tracker'!$D$5:$D$149,$A397,'Session Tracker'!$F$5:$F$149,"Next week",'Session Tracker'!$G$5:$G$149,""),$D397*SUMIFS('Session Tracker'!$J$5:$J$149,'Session Tracker'!$D$5:$D$149,$A397,'Session Tracker'!$F$5:$F$149,"Next week",'Session Tracker'!$G$5:$G$149,""))</f>
        <v>0</v>
      </c>
    </row>
    <row r="398" customFormat="false" ht="15" hidden="false" customHeight="false" outlineLevel="0" collapsed="false">
      <c r="A398" s="68" t="s">
        <v>285</v>
      </c>
      <c r="B398" s="34" t="s">
        <v>382</v>
      </c>
      <c r="C398" s="34" t="s">
        <v>490</v>
      </c>
      <c r="D398" s="32" t="n">
        <v>1</v>
      </c>
      <c r="E398" s="32" t="s">
        <v>14</v>
      </c>
      <c r="F398" s="32" t="s">
        <v>368</v>
      </c>
      <c r="G398" s="34" t="s">
        <v>491</v>
      </c>
      <c r="H398" s="52" t="n">
        <f aca="false">IF($E398="Per class",$D398*COUNTIFS('Session Tracker'!$D$5:$D$149,$A398,'Session Tracker'!$F$5:$F$149,"Next week",'Session Tracker'!$G$5:$G$149,"Mon"),$D398*SUMIFS('Session Tracker'!$J$5:$J$149,'Session Tracker'!$D$5:$D$149,$A398,'Session Tracker'!$F$5:$F$149,"Next week",'Session Tracker'!$G$5:$G$149,"Mon"))</f>
        <v>0</v>
      </c>
      <c r="I398" s="52" t="n">
        <f aca="false">IF($E398="Per class",$D398*COUNTIFS('Session Tracker'!$D$5:$D$149,$A398,'Session Tracker'!$F$5:$F$149,"Next week",'Session Tracker'!$G$5:$G$149,"Tue"),$D398*SUMIFS('Session Tracker'!$J$5:$J$149,'Session Tracker'!$D$5:$D$149,$A398,'Session Tracker'!$F$5:$F$149,"Next week",'Session Tracker'!$G$5:$G$149,"Tue"))</f>
        <v>0</v>
      </c>
      <c r="J398" s="52" t="n">
        <f aca="false">IF($E398="Per class",$D398*COUNTIFS('Session Tracker'!$D$5:$D$149,$A398,'Session Tracker'!$F$5:$F$149,"Next week",'Session Tracker'!$G$5:$G$149,"Wed"),$D398*SUMIFS('Session Tracker'!$J$5:$J$149,'Session Tracker'!$D$5:$D$149,$A398,'Session Tracker'!$F$5:$F$149,"Next week",'Session Tracker'!$G$5:$G$149,"Wed"))</f>
        <v>0</v>
      </c>
      <c r="K398" s="52" t="n">
        <f aca="false">IF($E398="Per class",$D398*COUNTIFS('Session Tracker'!$D$5:$D$149,$A398,'Session Tracker'!$F$5:$F$149,"Next week",'Session Tracker'!$G$5:$G$149,"Thu"),$D398*SUMIFS('Session Tracker'!$J$5:$J$149,'Session Tracker'!$D$5:$D$149,$A398,'Session Tracker'!$F$5:$F$149,"Next week",'Session Tracker'!$G$5:$G$149,"Thu"))</f>
        <v>0</v>
      </c>
      <c r="L398" s="52" t="n">
        <f aca="false">IF($E398="Per class",$D398*COUNTIFS('Session Tracker'!$D$5:$D$149,$A398,'Session Tracker'!$F$5:$F$149,"Next week",'Session Tracker'!$G$5:$G$149,"Fri"),$D398*SUMIFS('Session Tracker'!$J$5:$J$149,'Session Tracker'!$D$5:$D$149,$A398,'Session Tracker'!$F$5:$F$149,"Next week",'Session Tracker'!$G$5:$G$149,"Fri"))</f>
        <v>0</v>
      </c>
      <c r="M398" s="52" t="n">
        <f aca="false">IF($E398="Per class",$D398*COUNTIFS('Session Tracker'!$D$5:$D$149,$A398,'Session Tracker'!$F$5:$F$149,"Next week",'Session Tracker'!$G$5:$G$149,""),$D398*SUMIFS('Session Tracker'!$J$5:$J$149,'Session Tracker'!$D$5:$D$149,$A398,'Session Tracker'!$F$5:$F$149,"Next week",'Session Tracker'!$G$5:$G$149,""))</f>
        <v>0</v>
      </c>
    </row>
    <row r="399" customFormat="false" ht="15" hidden="false" customHeight="false" outlineLevel="0" collapsed="false">
      <c r="A399" s="53" t="s">
        <v>285</v>
      </c>
      <c r="B399" s="54"/>
      <c r="C399" s="54"/>
      <c r="D399" s="54"/>
      <c r="E399" s="54"/>
      <c r="F399" s="54"/>
      <c r="G399" s="54"/>
      <c r="H399" s="52" t="n">
        <f aca="false">IF($E399="Per class",$D399*COUNTIFS('Session Tracker'!$D$5:$D$149,$A399,'Session Tracker'!$F$5:$F$149,"Next week",'Session Tracker'!$G$5:$G$149,"Mon"),$D399*SUMIFS('Session Tracker'!$J$5:$J$149,'Session Tracker'!$D$5:$D$149,$A399,'Session Tracker'!$F$5:$F$149,"Next week",'Session Tracker'!$G$5:$G$149,"Mon"))</f>
        <v>0</v>
      </c>
      <c r="I399" s="52" t="n">
        <f aca="false">IF($E399="Per class",$D399*COUNTIFS('Session Tracker'!$D$5:$D$149,$A399,'Session Tracker'!$F$5:$F$149,"Next week",'Session Tracker'!$G$5:$G$149,"Tue"),$D399*SUMIFS('Session Tracker'!$J$5:$J$149,'Session Tracker'!$D$5:$D$149,$A399,'Session Tracker'!$F$5:$F$149,"Next week",'Session Tracker'!$G$5:$G$149,"Tue"))</f>
        <v>0</v>
      </c>
      <c r="J399" s="52" t="n">
        <f aca="false">IF($E399="Per class",$D399*COUNTIFS('Session Tracker'!$D$5:$D$149,$A399,'Session Tracker'!$F$5:$F$149,"Next week",'Session Tracker'!$G$5:$G$149,"Wed"),$D399*SUMIFS('Session Tracker'!$J$5:$J$149,'Session Tracker'!$D$5:$D$149,$A399,'Session Tracker'!$F$5:$F$149,"Next week",'Session Tracker'!$G$5:$G$149,"Wed"))</f>
        <v>0</v>
      </c>
      <c r="K399" s="52" t="n">
        <f aca="false">IF($E399="Per class",$D399*COUNTIFS('Session Tracker'!$D$5:$D$149,$A399,'Session Tracker'!$F$5:$F$149,"Next week",'Session Tracker'!$G$5:$G$149,"Thu"),$D399*SUMIFS('Session Tracker'!$J$5:$J$149,'Session Tracker'!$D$5:$D$149,$A399,'Session Tracker'!$F$5:$F$149,"Next week",'Session Tracker'!$G$5:$G$149,"Thu"))</f>
        <v>0</v>
      </c>
      <c r="L399" s="52" t="n">
        <f aca="false">IF($E399="Per class",$D399*COUNTIFS('Session Tracker'!$D$5:$D$149,$A399,'Session Tracker'!$F$5:$F$149,"Next week",'Session Tracker'!$G$5:$G$149,"Fri"),$D399*SUMIFS('Session Tracker'!$J$5:$J$149,'Session Tracker'!$D$5:$D$149,$A399,'Session Tracker'!$F$5:$F$149,"Next week",'Session Tracker'!$G$5:$G$149,"Fri"))</f>
        <v>0</v>
      </c>
      <c r="M399" s="52" t="n">
        <f aca="false">IF($E399="Per class",$D399*COUNTIFS('Session Tracker'!$D$5:$D$149,$A399,'Session Tracker'!$F$5:$F$149,"Next week",'Session Tracker'!$G$5:$G$149,""),$D399*SUMIFS('Session Tracker'!$J$5:$J$149,'Session Tracker'!$D$5:$D$149,$A399,'Session Tracker'!$F$5:$F$149,"Next week",'Session Tracker'!$G$5:$G$149,""))</f>
        <v>0</v>
      </c>
    </row>
    <row r="400" customFormat="false" ht="15" hidden="false" customHeight="false" outlineLevel="0" collapsed="false">
      <c r="A400" s="53" t="s">
        <v>285</v>
      </c>
      <c r="B400" s="54"/>
      <c r="C400" s="54"/>
      <c r="D400" s="54"/>
      <c r="E400" s="54"/>
      <c r="F400" s="54"/>
      <c r="G400" s="54"/>
      <c r="H400" s="52" t="n">
        <f aca="false">IF($E400="Per class",$D400*COUNTIFS('Session Tracker'!$D$5:$D$149,$A400,'Session Tracker'!$F$5:$F$149,"Next week",'Session Tracker'!$G$5:$G$149,"Mon"),$D400*SUMIFS('Session Tracker'!$J$5:$J$149,'Session Tracker'!$D$5:$D$149,$A400,'Session Tracker'!$F$5:$F$149,"Next week",'Session Tracker'!$G$5:$G$149,"Mon"))</f>
        <v>0</v>
      </c>
      <c r="I400" s="52" t="n">
        <f aca="false">IF($E400="Per class",$D400*COUNTIFS('Session Tracker'!$D$5:$D$149,$A400,'Session Tracker'!$F$5:$F$149,"Next week",'Session Tracker'!$G$5:$G$149,"Tue"),$D400*SUMIFS('Session Tracker'!$J$5:$J$149,'Session Tracker'!$D$5:$D$149,$A400,'Session Tracker'!$F$5:$F$149,"Next week",'Session Tracker'!$G$5:$G$149,"Tue"))</f>
        <v>0</v>
      </c>
      <c r="J400" s="52" t="n">
        <f aca="false">IF($E400="Per class",$D400*COUNTIFS('Session Tracker'!$D$5:$D$149,$A400,'Session Tracker'!$F$5:$F$149,"Next week",'Session Tracker'!$G$5:$G$149,"Wed"),$D400*SUMIFS('Session Tracker'!$J$5:$J$149,'Session Tracker'!$D$5:$D$149,$A400,'Session Tracker'!$F$5:$F$149,"Next week",'Session Tracker'!$G$5:$G$149,"Wed"))</f>
        <v>0</v>
      </c>
      <c r="K400" s="52" t="n">
        <f aca="false">IF($E400="Per class",$D400*COUNTIFS('Session Tracker'!$D$5:$D$149,$A400,'Session Tracker'!$F$5:$F$149,"Next week",'Session Tracker'!$G$5:$G$149,"Thu"),$D400*SUMIFS('Session Tracker'!$J$5:$J$149,'Session Tracker'!$D$5:$D$149,$A400,'Session Tracker'!$F$5:$F$149,"Next week",'Session Tracker'!$G$5:$G$149,"Thu"))</f>
        <v>0</v>
      </c>
      <c r="L400" s="52" t="n">
        <f aca="false">IF($E400="Per class",$D400*COUNTIFS('Session Tracker'!$D$5:$D$149,$A400,'Session Tracker'!$F$5:$F$149,"Next week",'Session Tracker'!$G$5:$G$149,"Fri"),$D400*SUMIFS('Session Tracker'!$J$5:$J$149,'Session Tracker'!$D$5:$D$149,$A400,'Session Tracker'!$F$5:$F$149,"Next week",'Session Tracker'!$G$5:$G$149,"Fri"))</f>
        <v>0</v>
      </c>
      <c r="M400" s="52" t="n">
        <f aca="false">IF($E400="Per class",$D400*COUNTIFS('Session Tracker'!$D$5:$D$149,$A400,'Session Tracker'!$F$5:$F$149,"Next week",'Session Tracker'!$G$5:$G$149,""),$D400*SUMIFS('Session Tracker'!$J$5:$J$149,'Session Tracker'!$D$5:$D$149,$A400,'Session Tracker'!$F$5:$F$149,"Next week",'Session Tracker'!$G$5:$G$149,""))</f>
        <v>0</v>
      </c>
    </row>
    <row r="402" customFormat="false" ht="19.5" hidden="false" customHeight="true" outlineLevel="0" collapsed="false">
      <c r="A402" s="64" t="s">
        <v>287</v>
      </c>
      <c r="B402" s="65" t="s">
        <v>654</v>
      </c>
      <c r="C402" s="65"/>
      <c r="D402" s="65"/>
      <c r="E402" s="65"/>
      <c r="F402" s="66" t="str">
        <f aca="false">"Status: "&amp;'Session Tracker'!F113&amp;IF('Session Tracker'!G113&lt;&gt;""," ("&amp;'Session Tracker'!G113&amp;")","")</f>
        <v>Status: Not started</v>
      </c>
      <c r="G402" s="66"/>
      <c r="H402" s="67"/>
      <c r="I402" s="67"/>
      <c r="J402" s="67"/>
      <c r="K402" s="67"/>
      <c r="L402" s="67"/>
      <c r="M402" s="67"/>
    </row>
    <row r="403" customFormat="false" ht="23.85" hidden="false" customHeight="false" outlineLevel="0" collapsed="false">
      <c r="A403" s="68" t="s">
        <v>287</v>
      </c>
      <c r="B403" s="34" t="s">
        <v>366</v>
      </c>
      <c r="C403" s="34" t="s">
        <v>367</v>
      </c>
      <c r="D403" s="32" t="n">
        <v>1</v>
      </c>
      <c r="E403" s="32" t="s">
        <v>14</v>
      </c>
      <c r="F403" s="32" t="s">
        <v>368</v>
      </c>
      <c r="G403" s="34"/>
      <c r="H403" s="52" t="n">
        <f aca="false">IF($E403="Per class",$D403*COUNTIFS('Session Tracker'!$D$5:$D$149,$A403,'Session Tracker'!$F$5:$F$149,"Next week",'Session Tracker'!$G$5:$G$149,"Mon"),$D403*SUMIFS('Session Tracker'!$J$5:$J$149,'Session Tracker'!$D$5:$D$149,$A403,'Session Tracker'!$F$5:$F$149,"Next week",'Session Tracker'!$G$5:$G$149,"Mon"))</f>
        <v>0</v>
      </c>
      <c r="I403" s="52" t="n">
        <f aca="false">IF($E403="Per class",$D403*COUNTIFS('Session Tracker'!$D$5:$D$149,$A403,'Session Tracker'!$F$5:$F$149,"Next week",'Session Tracker'!$G$5:$G$149,"Tue"),$D403*SUMIFS('Session Tracker'!$J$5:$J$149,'Session Tracker'!$D$5:$D$149,$A403,'Session Tracker'!$F$5:$F$149,"Next week",'Session Tracker'!$G$5:$G$149,"Tue"))</f>
        <v>0</v>
      </c>
      <c r="J403" s="52" t="n">
        <f aca="false">IF($E403="Per class",$D403*COUNTIFS('Session Tracker'!$D$5:$D$149,$A403,'Session Tracker'!$F$5:$F$149,"Next week",'Session Tracker'!$G$5:$G$149,"Wed"),$D403*SUMIFS('Session Tracker'!$J$5:$J$149,'Session Tracker'!$D$5:$D$149,$A403,'Session Tracker'!$F$5:$F$149,"Next week",'Session Tracker'!$G$5:$G$149,"Wed"))</f>
        <v>0</v>
      </c>
      <c r="K403" s="52" t="n">
        <f aca="false">IF($E403="Per class",$D403*COUNTIFS('Session Tracker'!$D$5:$D$149,$A403,'Session Tracker'!$F$5:$F$149,"Next week",'Session Tracker'!$G$5:$G$149,"Thu"),$D403*SUMIFS('Session Tracker'!$J$5:$J$149,'Session Tracker'!$D$5:$D$149,$A403,'Session Tracker'!$F$5:$F$149,"Next week",'Session Tracker'!$G$5:$G$149,"Thu"))</f>
        <v>0</v>
      </c>
      <c r="L403" s="52" t="n">
        <f aca="false">IF($E403="Per class",$D403*COUNTIFS('Session Tracker'!$D$5:$D$149,$A403,'Session Tracker'!$F$5:$F$149,"Next week",'Session Tracker'!$G$5:$G$149,"Fri"),$D403*SUMIFS('Session Tracker'!$J$5:$J$149,'Session Tracker'!$D$5:$D$149,$A403,'Session Tracker'!$F$5:$F$149,"Next week",'Session Tracker'!$G$5:$G$149,"Fri"))</f>
        <v>0</v>
      </c>
      <c r="M403" s="52" t="n">
        <f aca="false">IF($E403="Per class",$D403*COUNTIFS('Session Tracker'!$D$5:$D$149,$A403,'Session Tracker'!$F$5:$F$149,"Next week",'Session Tracker'!$G$5:$G$149,""),$D403*SUMIFS('Session Tracker'!$J$5:$J$149,'Session Tracker'!$D$5:$D$149,$A403,'Session Tracker'!$F$5:$F$149,"Next week",'Session Tracker'!$G$5:$G$149,""))</f>
        <v>0</v>
      </c>
    </row>
    <row r="404" customFormat="false" ht="15" hidden="false" customHeight="false" outlineLevel="0" collapsed="false">
      <c r="A404" s="68" t="s">
        <v>287</v>
      </c>
      <c r="B404" s="34" t="s">
        <v>369</v>
      </c>
      <c r="C404" s="34" t="s">
        <v>560</v>
      </c>
      <c r="D404" s="32" t="n">
        <v>1</v>
      </c>
      <c r="E404" s="32" t="s">
        <v>14</v>
      </c>
      <c r="F404" s="32" t="s">
        <v>368</v>
      </c>
      <c r="G404" s="34"/>
      <c r="H404" s="52" t="n">
        <f aca="false">IF($E404="Per class",$D404*COUNTIFS('Session Tracker'!$D$5:$D$149,$A404,'Session Tracker'!$F$5:$F$149,"Next week",'Session Tracker'!$G$5:$G$149,"Mon"),$D404*SUMIFS('Session Tracker'!$J$5:$J$149,'Session Tracker'!$D$5:$D$149,$A404,'Session Tracker'!$F$5:$F$149,"Next week",'Session Tracker'!$G$5:$G$149,"Mon"))</f>
        <v>0</v>
      </c>
      <c r="I404" s="52" t="n">
        <f aca="false">IF($E404="Per class",$D404*COUNTIFS('Session Tracker'!$D$5:$D$149,$A404,'Session Tracker'!$F$5:$F$149,"Next week",'Session Tracker'!$G$5:$G$149,"Tue"),$D404*SUMIFS('Session Tracker'!$J$5:$J$149,'Session Tracker'!$D$5:$D$149,$A404,'Session Tracker'!$F$5:$F$149,"Next week",'Session Tracker'!$G$5:$G$149,"Tue"))</f>
        <v>0</v>
      </c>
      <c r="J404" s="52" t="n">
        <f aca="false">IF($E404="Per class",$D404*COUNTIFS('Session Tracker'!$D$5:$D$149,$A404,'Session Tracker'!$F$5:$F$149,"Next week",'Session Tracker'!$G$5:$G$149,"Wed"),$D404*SUMIFS('Session Tracker'!$J$5:$J$149,'Session Tracker'!$D$5:$D$149,$A404,'Session Tracker'!$F$5:$F$149,"Next week",'Session Tracker'!$G$5:$G$149,"Wed"))</f>
        <v>0</v>
      </c>
      <c r="K404" s="52" t="n">
        <f aca="false">IF($E404="Per class",$D404*COUNTIFS('Session Tracker'!$D$5:$D$149,$A404,'Session Tracker'!$F$5:$F$149,"Next week",'Session Tracker'!$G$5:$G$149,"Thu"),$D404*SUMIFS('Session Tracker'!$J$5:$J$149,'Session Tracker'!$D$5:$D$149,$A404,'Session Tracker'!$F$5:$F$149,"Next week",'Session Tracker'!$G$5:$G$149,"Thu"))</f>
        <v>0</v>
      </c>
      <c r="L404" s="52" t="n">
        <f aca="false">IF($E404="Per class",$D404*COUNTIFS('Session Tracker'!$D$5:$D$149,$A404,'Session Tracker'!$F$5:$F$149,"Next week",'Session Tracker'!$G$5:$G$149,"Fri"),$D404*SUMIFS('Session Tracker'!$J$5:$J$149,'Session Tracker'!$D$5:$D$149,$A404,'Session Tracker'!$F$5:$F$149,"Next week",'Session Tracker'!$G$5:$G$149,"Fri"))</f>
        <v>0</v>
      </c>
      <c r="M404" s="52" t="n">
        <f aca="false">IF($E404="Per class",$D404*COUNTIFS('Session Tracker'!$D$5:$D$149,$A404,'Session Tracker'!$F$5:$F$149,"Next week",'Session Tracker'!$G$5:$G$149,""),$D404*SUMIFS('Session Tracker'!$J$5:$J$149,'Session Tracker'!$D$5:$D$149,$A404,'Session Tracker'!$F$5:$F$149,"Next week",'Session Tracker'!$G$5:$G$149,""))</f>
        <v>0</v>
      </c>
    </row>
    <row r="405" customFormat="false" ht="15" hidden="false" customHeight="false" outlineLevel="0" collapsed="false">
      <c r="A405" s="68" t="s">
        <v>287</v>
      </c>
      <c r="B405" s="34" t="s">
        <v>375</v>
      </c>
      <c r="C405" s="34" t="s">
        <v>385</v>
      </c>
      <c r="D405" s="32" t="n">
        <v>2</v>
      </c>
      <c r="E405" s="32" t="s">
        <v>14</v>
      </c>
      <c r="F405" s="32" t="s">
        <v>368</v>
      </c>
      <c r="G405" s="34"/>
      <c r="H405" s="52" t="n">
        <f aca="false">IF($E405="Per class",$D405*COUNTIFS('Session Tracker'!$D$5:$D$149,$A405,'Session Tracker'!$F$5:$F$149,"Next week",'Session Tracker'!$G$5:$G$149,"Mon"),$D405*SUMIFS('Session Tracker'!$J$5:$J$149,'Session Tracker'!$D$5:$D$149,$A405,'Session Tracker'!$F$5:$F$149,"Next week",'Session Tracker'!$G$5:$G$149,"Mon"))</f>
        <v>0</v>
      </c>
      <c r="I405" s="52" t="n">
        <f aca="false">IF($E405="Per class",$D405*COUNTIFS('Session Tracker'!$D$5:$D$149,$A405,'Session Tracker'!$F$5:$F$149,"Next week",'Session Tracker'!$G$5:$G$149,"Tue"),$D405*SUMIFS('Session Tracker'!$J$5:$J$149,'Session Tracker'!$D$5:$D$149,$A405,'Session Tracker'!$F$5:$F$149,"Next week",'Session Tracker'!$G$5:$G$149,"Tue"))</f>
        <v>0</v>
      </c>
      <c r="J405" s="52" t="n">
        <f aca="false">IF($E405="Per class",$D405*COUNTIFS('Session Tracker'!$D$5:$D$149,$A405,'Session Tracker'!$F$5:$F$149,"Next week",'Session Tracker'!$G$5:$G$149,"Wed"),$D405*SUMIFS('Session Tracker'!$J$5:$J$149,'Session Tracker'!$D$5:$D$149,$A405,'Session Tracker'!$F$5:$F$149,"Next week",'Session Tracker'!$G$5:$G$149,"Wed"))</f>
        <v>0</v>
      </c>
      <c r="K405" s="52" t="n">
        <f aca="false">IF($E405="Per class",$D405*COUNTIFS('Session Tracker'!$D$5:$D$149,$A405,'Session Tracker'!$F$5:$F$149,"Next week",'Session Tracker'!$G$5:$G$149,"Thu"),$D405*SUMIFS('Session Tracker'!$J$5:$J$149,'Session Tracker'!$D$5:$D$149,$A405,'Session Tracker'!$F$5:$F$149,"Next week",'Session Tracker'!$G$5:$G$149,"Thu"))</f>
        <v>0</v>
      </c>
      <c r="L405" s="52" t="n">
        <f aca="false">IF($E405="Per class",$D405*COUNTIFS('Session Tracker'!$D$5:$D$149,$A405,'Session Tracker'!$F$5:$F$149,"Next week",'Session Tracker'!$G$5:$G$149,"Fri"),$D405*SUMIFS('Session Tracker'!$J$5:$J$149,'Session Tracker'!$D$5:$D$149,$A405,'Session Tracker'!$F$5:$F$149,"Next week",'Session Tracker'!$G$5:$G$149,"Fri"))</f>
        <v>0</v>
      </c>
      <c r="M405" s="52" t="n">
        <f aca="false">IF($E405="Per class",$D405*COUNTIFS('Session Tracker'!$D$5:$D$149,$A405,'Session Tracker'!$F$5:$F$149,"Next week",'Session Tracker'!$G$5:$G$149,""),$D405*SUMIFS('Session Tracker'!$J$5:$J$149,'Session Tracker'!$D$5:$D$149,$A405,'Session Tracker'!$F$5:$F$149,"Next week",'Session Tracker'!$G$5:$G$149,""))</f>
        <v>0</v>
      </c>
    </row>
    <row r="406" customFormat="false" ht="15" hidden="false" customHeight="false" outlineLevel="0" collapsed="false">
      <c r="A406" s="68" t="s">
        <v>287</v>
      </c>
      <c r="B406" s="34" t="s">
        <v>375</v>
      </c>
      <c r="C406" s="34" t="s">
        <v>417</v>
      </c>
      <c r="D406" s="32" t="n">
        <v>2</v>
      </c>
      <c r="E406" s="32" t="s">
        <v>14</v>
      </c>
      <c r="F406" s="32" t="s">
        <v>373</v>
      </c>
      <c r="G406" s="34"/>
      <c r="H406" s="52" t="n">
        <f aca="false">IF($E406="Per class",$D406*COUNTIFS('Session Tracker'!$D$5:$D$149,$A406,'Session Tracker'!$F$5:$F$149,"Next week",'Session Tracker'!$G$5:$G$149,"Mon"),$D406*SUMIFS('Session Tracker'!$J$5:$J$149,'Session Tracker'!$D$5:$D$149,$A406,'Session Tracker'!$F$5:$F$149,"Next week",'Session Tracker'!$G$5:$G$149,"Mon"))</f>
        <v>0</v>
      </c>
      <c r="I406" s="52" t="n">
        <f aca="false">IF($E406="Per class",$D406*COUNTIFS('Session Tracker'!$D$5:$D$149,$A406,'Session Tracker'!$F$5:$F$149,"Next week",'Session Tracker'!$G$5:$G$149,"Tue"),$D406*SUMIFS('Session Tracker'!$J$5:$J$149,'Session Tracker'!$D$5:$D$149,$A406,'Session Tracker'!$F$5:$F$149,"Next week",'Session Tracker'!$G$5:$G$149,"Tue"))</f>
        <v>0</v>
      </c>
      <c r="J406" s="52" t="n">
        <f aca="false">IF($E406="Per class",$D406*COUNTIFS('Session Tracker'!$D$5:$D$149,$A406,'Session Tracker'!$F$5:$F$149,"Next week",'Session Tracker'!$G$5:$G$149,"Wed"),$D406*SUMIFS('Session Tracker'!$J$5:$J$149,'Session Tracker'!$D$5:$D$149,$A406,'Session Tracker'!$F$5:$F$149,"Next week",'Session Tracker'!$G$5:$G$149,"Wed"))</f>
        <v>0</v>
      </c>
      <c r="K406" s="52" t="n">
        <f aca="false">IF($E406="Per class",$D406*COUNTIFS('Session Tracker'!$D$5:$D$149,$A406,'Session Tracker'!$F$5:$F$149,"Next week",'Session Tracker'!$G$5:$G$149,"Thu"),$D406*SUMIFS('Session Tracker'!$J$5:$J$149,'Session Tracker'!$D$5:$D$149,$A406,'Session Tracker'!$F$5:$F$149,"Next week",'Session Tracker'!$G$5:$G$149,"Thu"))</f>
        <v>0</v>
      </c>
      <c r="L406" s="52" t="n">
        <f aca="false">IF($E406="Per class",$D406*COUNTIFS('Session Tracker'!$D$5:$D$149,$A406,'Session Tracker'!$F$5:$F$149,"Next week",'Session Tracker'!$G$5:$G$149,"Fri"),$D406*SUMIFS('Session Tracker'!$J$5:$J$149,'Session Tracker'!$D$5:$D$149,$A406,'Session Tracker'!$F$5:$F$149,"Next week",'Session Tracker'!$G$5:$G$149,"Fri"))</f>
        <v>0</v>
      </c>
      <c r="M406" s="52" t="n">
        <f aca="false">IF($E406="Per class",$D406*COUNTIFS('Session Tracker'!$D$5:$D$149,$A406,'Session Tracker'!$F$5:$F$149,"Next week",'Session Tracker'!$G$5:$G$149,""),$D406*SUMIFS('Session Tracker'!$J$5:$J$149,'Session Tracker'!$D$5:$D$149,$A406,'Session Tracker'!$F$5:$F$149,"Next week",'Session Tracker'!$G$5:$G$149,""))</f>
        <v>0</v>
      </c>
    </row>
    <row r="407" customFormat="false" ht="15" hidden="false" customHeight="false" outlineLevel="0" collapsed="false">
      <c r="A407" s="68" t="s">
        <v>287</v>
      </c>
      <c r="B407" s="34" t="s">
        <v>369</v>
      </c>
      <c r="C407" s="34" t="s">
        <v>550</v>
      </c>
      <c r="D407" s="32" t="n">
        <v>1</v>
      </c>
      <c r="E407" s="32" t="s">
        <v>14</v>
      </c>
      <c r="F407" s="32" t="s">
        <v>368</v>
      </c>
      <c r="G407" s="34"/>
      <c r="H407" s="52" t="n">
        <f aca="false">IF($E407="Per class",$D407*COUNTIFS('Session Tracker'!$D$5:$D$149,$A407,'Session Tracker'!$F$5:$F$149,"Next week",'Session Tracker'!$G$5:$G$149,"Mon"),$D407*SUMIFS('Session Tracker'!$J$5:$J$149,'Session Tracker'!$D$5:$D$149,$A407,'Session Tracker'!$F$5:$F$149,"Next week",'Session Tracker'!$G$5:$G$149,"Mon"))</f>
        <v>0</v>
      </c>
      <c r="I407" s="52" t="n">
        <f aca="false">IF($E407="Per class",$D407*COUNTIFS('Session Tracker'!$D$5:$D$149,$A407,'Session Tracker'!$F$5:$F$149,"Next week",'Session Tracker'!$G$5:$G$149,"Tue"),$D407*SUMIFS('Session Tracker'!$J$5:$J$149,'Session Tracker'!$D$5:$D$149,$A407,'Session Tracker'!$F$5:$F$149,"Next week",'Session Tracker'!$G$5:$G$149,"Tue"))</f>
        <v>0</v>
      </c>
      <c r="J407" s="52" t="n">
        <f aca="false">IF($E407="Per class",$D407*COUNTIFS('Session Tracker'!$D$5:$D$149,$A407,'Session Tracker'!$F$5:$F$149,"Next week",'Session Tracker'!$G$5:$G$149,"Wed"),$D407*SUMIFS('Session Tracker'!$J$5:$J$149,'Session Tracker'!$D$5:$D$149,$A407,'Session Tracker'!$F$5:$F$149,"Next week",'Session Tracker'!$G$5:$G$149,"Wed"))</f>
        <v>0</v>
      </c>
      <c r="K407" s="52" t="n">
        <f aca="false">IF($E407="Per class",$D407*COUNTIFS('Session Tracker'!$D$5:$D$149,$A407,'Session Tracker'!$F$5:$F$149,"Next week",'Session Tracker'!$G$5:$G$149,"Thu"),$D407*SUMIFS('Session Tracker'!$J$5:$J$149,'Session Tracker'!$D$5:$D$149,$A407,'Session Tracker'!$F$5:$F$149,"Next week",'Session Tracker'!$G$5:$G$149,"Thu"))</f>
        <v>0</v>
      </c>
      <c r="L407" s="52" t="n">
        <f aca="false">IF($E407="Per class",$D407*COUNTIFS('Session Tracker'!$D$5:$D$149,$A407,'Session Tracker'!$F$5:$F$149,"Next week",'Session Tracker'!$G$5:$G$149,"Fri"),$D407*SUMIFS('Session Tracker'!$J$5:$J$149,'Session Tracker'!$D$5:$D$149,$A407,'Session Tracker'!$F$5:$F$149,"Next week",'Session Tracker'!$G$5:$G$149,"Fri"))</f>
        <v>0</v>
      </c>
      <c r="M407" s="52" t="n">
        <f aca="false">IF($E407="Per class",$D407*COUNTIFS('Session Tracker'!$D$5:$D$149,$A407,'Session Tracker'!$F$5:$F$149,"Next week",'Session Tracker'!$G$5:$G$149,""),$D407*SUMIFS('Session Tracker'!$J$5:$J$149,'Session Tracker'!$D$5:$D$149,$A407,'Session Tracker'!$F$5:$F$149,"Next week",'Session Tracker'!$G$5:$G$149,""))</f>
        <v>0</v>
      </c>
    </row>
    <row r="408" customFormat="false" ht="15" hidden="false" customHeight="false" outlineLevel="0" collapsed="false">
      <c r="A408" s="68" t="s">
        <v>287</v>
      </c>
      <c r="B408" s="34" t="s">
        <v>379</v>
      </c>
      <c r="C408" s="34" t="s">
        <v>380</v>
      </c>
      <c r="D408" s="32" t="n">
        <v>1</v>
      </c>
      <c r="E408" s="32" t="s">
        <v>14</v>
      </c>
      <c r="F408" s="32" t="s">
        <v>368</v>
      </c>
      <c r="G408" s="34"/>
      <c r="H408" s="52" t="n">
        <f aca="false">IF($E408="Per class",$D408*COUNTIFS('Session Tracker'!$D$5:$D$149,$A408,'Session Tracker'!$F$5:$F$149,"Next week",'Session Tracker'!$G$5:$G$149,"Mon"),$D408*SUMIFS('Session Tracker'!$J$5:$J$149,'Session Tracker'!$D$5:$D$149,$A408,'Session Tracker'!$F$5:$F$149,"Next week",'Session Tracker'!$G$5:$G$149,"Mon"))</f>
        <v>0</v>
      </c>
      <c r="I408" s="52" t="n">
        <f aca="false">IF($E408="Per class",$D408*COUNTIFS('Session Tracker'!$D$5:$D$149,$A408,'Session Tracker'!$F$5:$F$149,"Next week",'Session Tracker'!$G$5:$G$149,"Tue"),$D408*SUMIFS('Session Tracker'!$J$5:$J$149,'Session Tracker'!$D$5:$D$149,$A408,'Session Tracker'!$F$5:$F$149,"Next week",'Session Tracker'!$G$5:$G$149,"Tue"))</f>
        <v>0</v>
      </c>
      <c r="J408" s="52" t="n">
        <f aca="false">IF($E408="Per class",$D408*COUNTIFS('Session Tracker'!$D$5:$D$149,$A408,'Session Tracker'!$F$5:$F$149,"Next week",'Session Tracker'!$G$5:$G$149,"Wed"),$D408*SUMIFS('Session Tracker'!$J$5:$J$149,'Session Tracker'!$D$5:$D$149,$A408,'Session Tracker'!$F$5:$F$149,"Next week",'Session Tracker'!$G$5:$G$149,"Wed"))</f>
        <v>0</v>
      </c>
      <c r="K408" s="52" t="n">
        <f aca="false">IF($E408="Per class",$D408*COUNTIFS('Session Tracker'!$D$5:$D$149,$A408,'Session Tracker'!$F$5:$F$149,"Next week",'Session Tracker'!$G$5:$G$149,"Thu"),$D408*SUMIFS('Session Tracker'!$J$5:$J$149,'Session Tracker'!$D$5:$D$149,$A408,'Session Tracker'!$F$5:$F$149,"Next week",'Session Tracker'!$G$5:$G$149,"Thu"))</f>
        <v>0</v>
      </c>
      <c r="L408" s="52" t="n">
        <f aca="false">IF($E408="Per class",$D408*COUNTIFS('Session Tracker'!$D$5:$D$149,$A408,'Session Tracker'!$F$5:$F$149,"Next week",'Session Tracker'!$G$5:$G$149,"Fri"),$D408*SUMIFS('Session Tracker'!$J$5:$J$149,'Session Tracker'!$D$5:$D$149,$A408,'Session Tracker'!$F$5:$F$149,"Next week",'Session Tracker'!$G$5:$G$149,"Fri"))</f>
        <v>0</v>
      </c>
      <c r="M408" s="52" t="n">
        <f aca="false">IF($E408="Per class",$D408*COUNTIFS('Session Tracker'!$D$5:$D$149,$A408,'Session Tracker'!$F$5:$F$149,"Next week",'Session Tracker'!$G$5:$G$149,""),$D408*SUMIFS('Session Tracker'!$J$5:$J$149,'Session Tracker'!$D$5:$D$149,$A408,'Session Tracker'!$F$5:$F$149,"Next week",'Session Tracker'!$G$5:$G$149,""))</f>
        <v>0</v>
      </c>
    </row>
    <row r="409" customFormat="false" ht="15" hidden="false" customHeight="false" outlineLevel="0" collapsed="false">
      <c r="A409" s="68" t="s">
        <v>287</v>
      </c>
      <c r="B409" s="34" t="s">
        <v>379</v>
      </c>
      <c r="C409" s="34" t="s">
        <v>381</v>
      </c>
      <c r="D409" s="32" t="n">
        <v>10</v>
      </c>
      <c r="E409" s="32" t="s">
        <v>14</v>
      </c>
      <c r="F409" s="32" t="s">
        <v>368</v>
      </c>
      <c r="G409" s="34"/>
      <c r="H409" s="52" t="n">
        <f aca="false">IF($E409="Per class",$D409*COUNTIFS('Session Tracker'!$D$5:$D$149,$A409,'Session Tracker'!$F$5:$F$149,"Next week",'Session Tracker'!$G$5:$G$149,"Mon"),$D409*SUMIFS('Session Tracker'!$J$5:$J$149,'Session Tracker'!$D$5:$D$149,$A409,'Session Tracker'!$F$5:$F$149,"Next week",'Session Tracker'!$G$5:$G$149,"Mon"))</f>
        <v>0</v>
      </c>
      <c r="I409" s="52" t="n">
        <f aca="false">IF($E409="Per class",$D409*COUNTIFS('Session Tracker'!$D$5:$D$149,$A409,'Session Tracker'!$F$5:$F$149,"Next week",'Session Tracker'!$G$5:$G$149,"Tue"),$D409*SUMIFS('Session Tracker'!$J$5:$J$149,'Session Tracker'!$D$5:$D$149,$A409,'Session Tracker'!$F$5:$F$149,"Next week",'Session Tracker'!$G$5:$G$149,"Tue"))</f>
        <v>0</v>
      </c>
      <c r="J409" s="52" t="n">
        <f aca="false">IF($E409="Per class",$D409*COUNTIFS('Session Tracker'!$D$5:$D$149,$A409,'Session Tracker'!$F$5:$F$149,"Next week",'Session Tracker'!$G$5:$G$149,"Wed"),$D409*SUMIFS('Session Tracker'!$J$5:$J$149,'Session Tracker'!$D$5:$D$149,$A409,'Session Tracker'!$F$5:$F$149,"Next week",'Session Tracker'!$G$5:$G$149,"Wed"))</f>
        <v>0</v>
      </c>
      <c r="K409" s="52" t="n">
        <f aca="false">IF($E409="Per class",$D409*COUNTIFS('Session Tracker'!$D$5:$D$149,$A409,'Session Tracker'!$F$5:$F$149,"Next week",'Session Tracker'!$G$5:$G$149,"Thu"),$D409*SUMIFS('Session Tracker'!$J$5:$J$149,'Session Tracker'!$D$5:$D$149,$A409,'Session Tracker'!$F$5:$F$149,"Next week",'Session Tracker'!$G$5:$G$149,"Thu"))</f>
        <v>0</v>
      </c>
      <c r="L409" s="52" t="n">
        <f aca="false">IF($E409="Per class",$D409*COUNTIFS('Session Tracker'!$D$5:$D$149,$A409,'Session Tracker'!$F$5:$F$149,"Next week",'Session Tracker'!$G$5:$G$149,"Fri"),$D409*SUMIFS('Session Tracker'!$J$5:$J$149,'Session Tracker'!$D$5:$D$149,$A409,'Session Tracker'!$F$5:$F$149,"Next week",'Session Tracker'!$G$5:$G$149,"Fri"))</f>
        <v>0</v>
      </c>
      <c r="M409" s="52" t="n">
        <f aca="false">IF($E409="Per class",$D409*COUNTIFS('Session Tracker'!$D$5:$D$149,$A409,'Session Tracker'!$F$5:$F$149,"Next week",'Session Tracker'!$G$5:$G$149,""),$D409*SUMIFS('Session Tracker'!$J$5:$J$149,'Session Tracker'!$D$5:$D$149,$A409,'Session Tracker'!$F$5:$F$149,"Next week",'Session Tracker'!$G$5:$G$149,""))</f>
        <v>0</v>
      </c>
    </row>
    <row r="410" customFormat="false" ht="15" hidden="false" customHeight="false" outlineLevel="0" collapsed="false">
      <c r="A410" s="68" t="s">
        <v>287</v>
      </c>
      <c r="B410" s="34" t="s">
        <v>379</v>
      </c>
      <c r="C410" s="34" t="s">
        <v>395</v>
      </c>
      <c r="D410" s="32" t="n">
        <v>9</v>
      </c>
      <c r="E410" s="32" t="s">
        <v>14</v>
      </c>
      <c r="F410" s="32" t="s">
        <v>368</v>
      </c>
      <c r="G410" s="34"/>
      <c r="H410" s="52" t="n">
        <f aca="false">IF($E410="Per class",$D410*COUNTIFS('Session Tracker'!$D$5:$D$149,$A410,'Session Tracker'!$F$5:$F$149,"Next week",'Session Tracker'!$G$5:$G$149,"Mon"),$D410*SUMIFS('Session Tracker'!$J$5:$J$149,'Session Tracker'!$D$5:$D$149,$A410,'Session Tracker'!$F$5:$F$149,"Next week",'Session Tracker'!$G$5:$G$149,"Mon"))</f>
        <v>0</v>
      </c>
      <c r="I410" s="52" t="n">
        <f aca="false">IF($E410="Per class",$D410*COUNTIFS('Session Tracker'!$D$5:$D$149,$A410,'Session Tracker'!$F$5:$F$149,"Next week",'Session Tracker'!$G$5:$G$149,"Tue"),$D410*SUMIFS('Session Tracker'!$J$5:$J$149,'Session Tracker'!$D$5:$D$149,$A410,'Session Tracker'!$F$5:$F$149,"Next week",'Session Tracker'!$G$5:$G$149,"Tue"))</f>
        <v>0</v>
      </c>
      <c r="J410" s="52" t="n">
        <f aca="false">IF($E410="Per class",$D410*COUNTIFS('Session Tracker'!$D$5:$D$149,$A410,'Session Tracker'!$F$5:$F$149,"Next week",'Session Tracker'!$G$5:$G$149,"Wed"),$D410*SUMIFS('Session Tracker'!$J$5:$J$149,'Session Tracker'!$D$5:$D$149,$A410,'Session Tracker'!$F$5:$F$149,"Next week",'Session Tracker'!$G$5:$G$149,"Wed"))</f>
        <v>0</v>
      </c>
      <c r="K410" s="52" t="n">
        <f aca="false">IF($E410="Per class",$D410*COUNTIFS('Session Tracker'!$D$5:$D$149,$A410,'Session Tracker'!$F$5:$F$149,"Next week",'Session Tracker'!$G$5:$G$149,"Thu"),$D410*SUMIFS('Session Tracker'!$J$5:$J$149,'Session Tracker'!$D$5:$D$149,$A410,'Session Tracker'!$F$5:$F$149,"Next week",'Session Tracker'!$G$5:$G$149,"Thu"))</f>
        <v>0</v>
      </c>
      <c r="L410" s="52" t="n">
        <f aca="false">IF($E410="Per class",$D410*COUNTIFS('Session Tracker'!$D$5:$D$149,$A410,'Session Tracker'!$F$5:$F$149,"Next week",'Session Tracker'!$G$5:$G$149,"Fri"),$D410*SUMIFS('Session Tracker'!$J$5:$J$149,'Session Tracker'!$D$5:$D$149,$A410,'Session Tracker'!$F$5:$F$149,"Next week",'Session Tracker'!$G$5:$G$149,"Fri"))</f>
        <v>0</v>
      </c>
      <c r="M410" s="52" t="n">
        <f aca="false">IF($E410="Per class",$D410*COUNTIFS('Session Tracker'!$D$5:$D$149,$A410,'Session Tracker'!$F$5:$F$149,"Next week",'Session Tracker'!$G$5:$G$149,""),$D410*SUMIFS('Session Tracker'!$J$5:$J$149,'Session Tracker'!$D$5:$D$149,$A410,'Session Tracker'!$F$5:$F$149,"Next week",'Session Tracker'!$G$5:$G$149,""))</f>
        <v>0</v>
      </c>
    </row>
    <row r="411" customFormat="false" ht="15" hidden="false" customHeight="false" outlineLevel="0" collapsed="false">
      <c r="A411" s="68" t="s">
        <v>287</v>
      </c>
      <c r="B411" s="34" t="s">
        <v>382</v>
      </c>
      <c r="C411" s="34" t="s">
        <v>383</v>
      </c>
      <c r="D411" s="32" t="n">
        <v>1</v>
      </c>
      <c r="E411" s="32" t="s">
        <v>14</v>
      </c>
      <c r="F411" s="32" t="s">
        <v>368</v>
      </c>
      <c r="G411" s="34"/>
      <c r="H411" s="52" t="n">
        <f aca="false">IF($E411="Per class",$D411*COUNTIFS('Session Tracker'!$D$5:$D$149,$A411,'Session Tracker'!$F$5:$F$149,"Next week",'Session Tracker'!$G$5:$G$149,"Mon"),$D411*SUMIFS('Session Tracker'!$J$5:$J$149,'Session Tracker'!$D$5:$D$149,$A411,'Session Tracker'!$F$5:$F$149,"Next week",'Session Tracker'!$G$5:$G$149,"Mon"))</f>
        <v>0</v>
      </c>
      <c r="I411" s="52" t="n">
        <f aca="false">IF($E411="Per class",$D411*COUNTIFS('Session Tracker'!$D$5:$D$149,$A411,'Session Tracker'!$F$5:$F$149,"Next week",'Session Tracker'!$G$5:$G$149,"Tue"),$D411*SUMIFS('Session Tracker'!$J$5:$J$149,'Session Tracker'!$D$5:$D$149,$A411,'Session Tracker'!$F$5:$F$149,"Next week",'Session Tracker'!$G$5:$G$149,"Tue"))</f>
        <v>0</v>
      </c>
      <c r="J411" s="52" t="n">
        <f aca="false">IF($E411="Per class",$D411*COUNTIFS('Session Tracker'!$D$5:$D$149,$A411,'Session Tracker'!$F$5:$F$149,"Next week",'Session Tracker'!$G$5:$G$149,"Wed"),$D411*SUMIFS('Session Tracker'!$J$5:$J$149,'Session Tracker'!$D$5:$D$149,$A411,'Session Tracker'!$F$5:$F$149,"Next week",'Session Tracker'!$G$5:$G$149,"Wed"))</f>
        <v>0</v>
      </c>
      <c r="K411" s="52" t="n">
        <f aca="false">IF($E411="Per class",$D411*COUNTIFS('Session Tracker'!$D$5:$D$149,$A411,'Session Tracker'!$F$5:$F$149,"Next week",'Session Tracker'!$G$5:$G$149,"Thu"),$D411*SUMIFS('Session Tracker'!$J$5:$J$149,'Session Tracker'!$D$5:$D$149,$A411,'Session Tracker'!$F$5:$F$149,"Next week",'Session Tracker'!$G$5:$G$149,"Thu"))</f>
        <v>0</v>
      </c>
      <c r="L411" s="52" t="n">
        <f aca="false">IF($E411="Per class",$D411*COUNTIFS('Session Tracker'!$D$5:$D$149,$A411,'Session Tracker'!$F$5:$F$149,"Next week",'Session Tracker'!$G$5:$G$149,"Fri"),$D411*SUMIFS('Session Tracker'!$J$5:$J$149,'Session Tracker'!$D$5:$D$149,$A411,'Session Tracker'!$F$5:$F$149,"Next week",'Session Tracker'!$G$5:$G$149,"Fri"))</f>
        <v>0</v>
      </c>
      <c r="M411" s="52" t="n">
        <f aca="false">IF($E411="Per class",$D411*COUNTIFS('Session Tracker'!$D$5:$D$149,$A411,'Session Tracker'!$F$5:$F$149,"Next week",'Session Tracker'!$G$5:$G$149,""),$D411*SUMIFS('Session Tracker'!$J$5:$J$149,'Session Tracker'!$D$5:$D$149,$A411,'Session Tracker'!$F$5:$F$149,"Next week",'Session Tracker'!$G$5:$G$149,""))</f>
        <v>0</v>
      </c>
    </row>
    <row r="412" customFormat="false" ht="15" hidden="false" customHeight="false" outlineLevel="0" collapsed="false">
      <c r="A412" s="68" t="s">
        <v>287</v>
      </c>
      <c r="B412" s="34" t="s">
        <v>371</v>
      </c>
      <c r="C412" s="34" t="s">
        <v>372</v>
      </c>
      <c r="D412" s="32" t="n">
        <v>1</v>
      </c>
      <c r="E412" s="32" t="s">
        <v>14</v>
      </c>
      <c r="F412" s="32" t="s">
        <v>373</v>
      </c>
      <c r="G412" s="34" t="s">
        <v>389</v>
      </c>
      <c r="H412" s="52" t="n">
        <f aca="false">IF($E412="Per class",$D412*COUNTIFS('Session Tracker'!$D$5:$D$149,$A412,'Session Tracker'!$F$5:$F$149,"Next week",'Session Tracker'!$G$5:$G$149,"Mon"),$D412*SUMIFS('Session Tracker'!$J$5:$J$149,'Session Tracker'!$D$5:$D$149,$A412,'Session Tracker'!$F$5:$F$149,"Next week",'Session Tracker'!$G$5:$G$149,"Mon"))</f>
        <v>0</v>
      </c>
      <c r="I412" s="52" t="n">
        <f aca="false">IF($E412="Per class",$D412*COUNTIFS('Session Tracker'!$D$5:$D$149,$A412,'Session Tracker'!$F$5:$F$149,"Next week",'Session Tracker'!$G$5:$G$149,"Tue"),$D412*SUMIFS('Session Tracker'!$J$5:$J$149,'Session Tracker'!$D$5:$D$149,$A412,'Session Tracker'!$F$5:$F$149,"Next week",'Session Tracker'!$G$5:$G$149,"Tue"))</f>
        <v>0</v>
      </c>
      <c r="J412" s="52" t="n">
        <f aca="false">IF($E412="Per class",$D412*COUNTIFS('Session Tracker'!$D$5:$D$149,$A412,'Session Tracker'!$F$5:$F$149,"Next week",'Session Tracker'!$G$5:$G$149,"Wed"),$D412*SUMIFS('Session Tracker'!$J$5:$J$149,'Session Tracker'!$D$5:$D$149,$A412,'Session Tracker'!$F$5:$F$149,"Next week",'Session Tracker'!$G$5:$G$149,"Wed"))</f>
        <v>0</v>
      </c>
      <c r="K412" s="52" t="n">
        <f aca="false">IF($E412="Per class",$D412*COUNTIFS('Session Tracker'!$D$5:$D$149,$A412,'Session Tracker'!$F$5:$F$149,"Next week",'Session Tracker'!$G$5:$G$149,"Thu"),$D412*SUMIFS('Session Tracker'!$J$5:$J$149,'Session Tracker'!$D$5:$D$149,$A412,'Session Tracker'!$F$5:$F$149,"Next week",'Session Tracker'!$G$5:$G$149,"Thu"))</f>
        <v>0</v>
      </c>
      <c r="L412" s="52" t="n">
        <f aca="false">IF($E412="Per class",$D412*COUNTIFS('Session Tracker'!$D$5:$D$149,$A412,'Session Tracker'!$F$5:$F$149,"Next week",'Session Tracker'!$G$5:$G$149,"Fri"),$D412*SUMIFS('Session Tracker'!$J$5:$J$149,'Session Tracker'!$D$5:$D$149,$A412,'Session Tracker'!$F$5:$F$149,"Next week",'Session Tracker'!$G$5:$G$149,"Fri"))</f>
        <v>0</v>
      </c>
      <c r="M412" s="52" t="n">
        <f aca="false">IF($E412="Per class",$D412*COUNTIFS('Session Tracker'!$D$5:$D$149,$A412,'Session Tracker'!$F$5:$F$149,"Next week",'Session Tracker'!$G$5:$G$149,""),$D412*SUMIFS('Session Tracker'!$J$5:$J$149,'Session Tracker'!$D$5:$D$149,$A412,'Session Tracker'!$F$5:$F$149,"Next week",'Session Tracker'!$G$5:$G$149,""))</f>
        <v>0</v>
      </c>
    </row>
    <row r="413" customFormat="false" ht="15" hidden="false" customHeight="false" outlineLevel="0" collapsed="false">
      <c r="A413" s="68" t="s">
        <v>287</v>
      </c>
      <c r="B413" s="34" t="s">
        <v>375</v>
      </c>
      <c r="C413" s="34" t="s">
        <v>376</v>
      </c>
      <c r="D413" s="32" t="n">
        <v>1</v>
      </c>
      <c r="E413" s="32" t="s">
        <v>14</v>
      </c>
      <c r="F413" s="32" t="s">
        <v>373</v>
      </c>
      <c r="G413" s="34" t="s">
        <v>442</v>
      </c>
      <c r="H413" s="52" t="n">
        <f aca="false">IF($E413="Per class",$D413*COUNTIFS('Session Tracker'!$D$5:$D$149,$A413,'Session Tracker'!$F$5:$F$149,"Next week",'Session Tracker'!$G$5:$G$149,"Mon"),$D413*SUMIFS('Session Tracker'!$J$5:$J$149,'Session Tracker'!$D$5:$D$149,$A413,'Session Tracker'!$F$5:$F$149,"Next week",'Session Tracker'!$G$5:$G$149,"Mon"))</f>
        <v>0</v>
      </c>
      <c r="I413" s="52" t="n">
        <f aca="false">IF($E413="Per class",$D413*COUNTIFS('Session Tracker'!$D$5:$D$149,$A413,'Session Tracker'!$F$5:$F$149,"Next week",'Session Tracker'!$G$5:$G$149,"Tue"),$D413*SUMIFS('Session Tracker'!$J$5:$J$149,'Session Tracker'!$D$5:$D$149,$A413,'Session Tracker'!$F$5:$F$149,"Next week",'Session Tracker'!$G$5:$G$149,"Tue"))</f>
        <v>0</v>
      </c>
      <c r="J413" s="52" t="n">
        <f aca="false">IF($E413="Per class",$D413*COUNTIFS('Session Tracker'!$D$5:$D$149,$A413,'Session Tracker'!$F$5:$F$149,"Next week",'Session Tracker'!$G$5:$G$149,"Wed"),$D413*SUMIFS('Session Tracker'!$J$5:$J$149,'Session Tracker'!$D$5:$D$149,$A413,'Session Tracker'!$F$5:$F$149,"Next week",'Session Tracker'!$G$5:$G$149,"Wed"))</f>
        <v>0</v>
      </c>
      <c r="K413" s="52" t="n">
        <f aca="false">IF($E413="Per class",$D413*COUNTIFS('Session Tracker'!$D$5:$D$149,$A413,'Session Tracker'!$F$5:$F$149,"Next week",'Session Tracker'!$G$5:$G$149,"Thu"),$D413*SUMIFS('Session Tracker'!$J$5:$J$149,'Session Tracker'!$D$5:$D$149,$A413,'Session Tracker'!$F$5:$F$149,"Next week",'Session Tracker'!$G$5:$G$149,"Thu"))</f>
        <v>0</v>
      </c>
      <c r="L413" s="52" t="n">
        <f aca="false">IF($E413="Per class",$D413*COUNTIFS('Session Tracker'!$D$5:$D$149,$A413,'Session Tracker'!$F$5:$F$149,"Next week",'Session Tracker'!$G$5:$G$149,"Fri"),$D413*SUMIFS('Session Tracker'!$J$5:$J$149,'Session Tracker'!$D$5:$D$149,$A413,'Session Tracker'!$F$5:$F$149,"Next week",'Session Tracker'!$G$5:$G$149,"Fri"))</f>
        <v>0</v>
      </c>
      <c r="M413" s="52" t="n">
        <f aca="false">IF($E413="Per class",$D413*COUNTIFS('Session Tracker'!$D$5:$D$149,$A413,'Session Tracker'!$F$5:$F$149,"Next week",'Session Tracker'!$G$5:$G$149,""),$D413*SUMIFS('Session Tracker'!$J$5:$J$149,'Session Tracker'!$D$5:$D$149,$A413,'Session Tracker'!$F$5:$F$149,"Next week",'Session Tracker'!$G$5:$G$149,""))</f>
        <v>0</v>
      </c>
    </row>
    <row r="414" customFormat="false" ht="15" hidden="false" customHeight="false" outlineLevel="0" collapsed="false">
      <c r="A414" s="68" t="s">
        <v>287</v>
      </c>
      <c r="B414" s="34" t="s">
        <v>377</v>
      </c>
      <c r="C414" s="34" t="s">
        <v>378</v>
      </c>
      <c r="D414" s="32" t="n">
        <v>1</v>
      </c>
      <c r="E414" s="32" t="s">
        <v>14</v>
      </c>
      <c r="F414" s="32" t="s">
        <v>368</v>
      </c>
      <c r="G414" s="34" t="s">
        <v>389</v>
      </c>
      <c r="H414" s="52" t="n">
        <f aca="false">IF($E414="Per class",$D414*COUNTIFS('Session Tracker'!$D$5:$D$149,$A414,'Session Tracker'!$F$5:$F$149,"Next week",'Session Tracker'!$G$5:$G$149,"Mon"),$D414*SUMIFS('Session Tracker'!$J$5:$J$149,'Session Tracker'!$D$5:$D$149,$A414,'Session Tracker'!$F$5:$F$149,"Next week",'Session Tracker'!$G$5:$G$149,"Mon"))</f>
        <v>0</v>
      </c>
      <c r="I414" s="52" t="n">
        <f aca="false">IF($E414="Per class",$D414*COUNTIFS('Session Tracker'!$D$5:$D$149,$A414,'Session Tracker'!$F$5:$F$149,"Next week",'Session Tracker'!$G$5:$G$149,"Tue"),$D414*SUMIFS('Session Tracker'!$J$5:$J$149,'Session Tracker'!$D$5:$D$149,$A414,'Session Tracker'!$F$5:$F$149,"Next week",'Session Tracker'!$G$5:$G$149,"Tue"))</f>
        <v>0</v>
      </c>
      <c r="J414" s="52" t="n">
        <f aca="false">IF($E414="Per class",$D414*COUNTIFS('Session Tracker'!$D$5:$D$149,$A414,'Session Tracker'!$F$5:$F$149,"Next week",'Session Tracker'!$G$5:$G$149,"Wed"),$D414*SUMIFS('Session Tracker'!$J$5:$J$149,'Session Tracker'!$D$5:$D$149,$A414,'Session Tracker'!$F$5:$F$149,"Next week",'Session Tracker'!$G$5:$G$149,"Wed"))</f>
        <v>0</v>
      </c>
      <c r="K414" s="52" t="n">
        <f aca="false">IF($E414="Per class",$D414*COUNTIFS('Session Tracker'!$D$5:$D$149,$A414,'Session Tracker'!$F$5:$F$149,"Next week",'Session Tracker'!$G$5:$G$149,"Thu"),$D414*SUMIFS('Session Tracker'!$J$5:$J$149,'Session Tracker'!$D$5:$D$149,$A414,'Session Tracker'!$F$5:$F$149,"Next week",'Session Tracker'!$G$5:$G$149,"Thu"))</f>
        <v>0</v>
      </c>
      <c r="L414" s="52" t="n">
        <f aca="false">IF($E414="Per class",$D414*COUNTIFS('Session Tracker'!$D$5:$D$149,$A414,'Session Tracker'!$F$5:$F$149,"Next week",'Session Tracker'!$G$5:$G$149,"Fri"),$D414*SUMIFS('Session Tracker'!$J$5:$J$149,'Session Tracker'!$D$5:$D$149,$A414,'Session Tracker'!$F$5:$F$149,"Next week",'Session Tracker'!$G$5:$G$149,"Fri"))</f>
        <v>0</v>
      </c>
      <c r="M414" s="52" t="n">
        <f aca="false">IF($E414="Per class",$D414*COUNTIFS('Session Tracker'!$D$5:$D$149,$A414,'Session Tracker'!$F$5:$F$149,"Next week",'Session Tracker'!$G$5:$G$149,""),$D414*SUMIFS('Session Tracker'!$J$5:$J$149,'Session Tracker'!$D$5:$D$149,$A414,'Session Tracker'!$F$5:$F$149,"Next week",'Session Tracker'!$G$5:$G$149,""))</f>
        <v>0</v>
      </c>
    </row>
    <row r="415" customFormat="false" ht="15" hidden="false" customHeight="false" outlineLevel="0" collapsed="false">
      <c r="A415" s="53" t="s">
        <v>287</v>
      </c>
      <c r="B415" s="54"/>
      <c r="C415" s="54"/>
      <c r="D415" s="54"/>
      <c r="E415" s="54"/>
      <c r="F415" s="54"/>
      <c r="G415" s="54"/>
      <c r="H415" s="52" t="n">
        <f aca="false">IF($E415="Per class",$D415*COUNTIFS('Session Tracker'!$D$5:$D$149,$A415,'Session Tracker'!$F$5:$F$149,"Next week",'Session Tracker'!$G$5:$G$149,"Mon"),$D415*SUMIFS('Session Tracker'!$J$5:$J$149,'Session Tracker'!$D$5:$D$149,$A415,'Session Tracker'!$F$5:$F$149,"Next week",'Session Tracker'!$G$5:$G$149,"Mon"))</f>
        <v>0</v>
      </c>
      <c r="I415" s="52" t="n">
        <f aca="false">IF($E415="Per class",$D415*COUNTIFS('Session Tracker'!$D$5:$D$149,$A415,'Session Tracker'!$F$5:$F$149,"Next week",'Session Tracker'!$G$5:$G$149,"Tue"),$D415*SUMIFS('Session Tracker'!$J$5:$J$149,'Session Tracker'!$D$5:$D$149,$A415,'Session Tracker'!$F$5:$F$149,"Next week",'Session Tracker'!$G$5:$G$149,"Tue"))</f>
        <v>0</v>
      </c>
      <c r="J415" s="52" t="n">
        <f aca="false">IF($E415="Per class",$D415*COUNTIFS('Session Tracker'!$D$5:$D$149,$A415,'Session Tracker'!$F$5:$F$149,"Next week",'Session Tracker'!$G$5:$G$149,"Wed"),$D415*SUMIFS('Session Tracker'!$J$5:$J$149,'Session Tracker'!$D$5:$D$149,$A415,'Session Tracker'!$F$5:$F$149,"Next week",'Session Tracker'!$G$5:$G$149,"Wed"))</f>
        <v>0</v>
      </c>
      <c r="K415" s="52" t="n">
        <f aca="false">IF($E415="Per class",$D415*COUNTIFS('Session Tracker'!$D$5:$D$149,$A415,'Session Tracker'!$F$5:$F$149,"Next week",'Session Tracker'!$G$5:$G$149,"Thu"),$D415*SUMIFS('Session Tracker'!$J$5:$J$149,'Session Tracker'!$D$5:$D$149,$A415,'Session Tracker'!$F$5:$F$149,"Next week",'Session Tracker'!$G$5:$G$149,"Thu"))</f>
        <v>0</v>
      </c>
      <c r="L415" s="52" t="n">
        <f aca="false">IF($E415="Per class",$D415*COUNTIFS('Session Tracker'!$D$5:$D$149,$A415,'Session Tracker'!$F$5:$F$149,"Next week",'Session Tracker'!$G$5:$G$149,"Fri"),$D415*SUMIFS('Session Tracker'!$J$5:$J$149,'Session Tracker'!$D$5:$D$149,$A415,'Session Tracker'!$F$5:$F$149,"Next week",'Session Tracker'!$G$5:$G$149,"Fri"))</f>
        <v>0</v>
      </c>
      <c r="M415" s="52" t="n">
        <f aca="false">IF($E415="Per class",$D415*COUNTIFS('Session Tracker'!$D$5:$D$149,$A415,'Session Tracker'!$F$5:$F$149,"Next week",'Session Tracker'!$G$5:$G$149,""),$D415*SUMIFS('Session Tracker'!$J$5:$J$149,'Session Tracker'!$D$5:$D$149,$A415,'Session Tracker'!$F$5:$F$149,"Next week",'Session Tracker'!$G$5:$G$149,""))</f>
        <v>0</v>
      </c>
    </row>
    <row r="416" customFormat="false" ht="15" hidden="false" customHeight="false" outlineLevel="0" collapsed="false">
      <c r="A416" s="53" t="s">
        <v>287</v>
      </c>
      <c r="B416" s="54"/>
      <c r="C416" s="54"/>
      <c r="D416" s="54"/>
      <c r="E416" s="54"/>
      <c r="F416" s="54"/>
      <c r="G416" s="54"/>
      <c r="H416" s="52" t="n">
        <f aca="false">IF($E416="Per class",$D416*COUNTIFS('Session Tracker'!$D$5:$D$149,$A416,'Session Tracker'!$F$5:$F$149,"Next week",'Session Tracker'!$G$5:$G$149,"Mon"),$D416*SUMIFS('Session Tracker'!$J$5:$J$149,'Session Tracker'!$D$5:$D$149,$A416,'Session Tracker'!$F$5:$F$149,"Next week",'Session Tracker'!$G$5:$G$149,"Mon"))</f>
        <v>0</v>
      </c>
      <c r="I416" s="52" t="n">
        <f aca="false">IF($E416="Per class",$D416*COUNTIFS('Session Tracker'!$D$5:$D$149,$A416,'Session Tracker'!$F$5:$F$149,"Next week",'Session Tracker'!$G$5:$G$149,"Tue"),$D416*SUMIFS('Session Tracker'!$J$5:$J$149,'Session Tracker'!$D$5:$D$149,$A416,'Session Tracker'!$F$5:$F$149,"Next week",'Session Tracker'!$G$5:$G$149,"Tue"))</f>
        <v>0</v>
      </c>
      <c r="J416" s="52" t="n">
        <f aca="false">IF($E416="Per class",$D416*COUNTIFS('Session Tracker'!$D$5:$D$149,$A416,'Session Tracker'!$F$5:$F$149,"Next week",'Session Tracker'!$G$5:$G$149,"Wed"),$D416*SUMIFS('Session Tracker'!$J$5:$J$149,'Session Tracker'!$D$5:$D$149,$A416,'Session Tracker'!$F$5:$F$149,"Next week",'Session Tracker'!$G$5:$G$149,"Wed"))</f>
        <v>0</v>
      </c>
      <c r="K416" s="52" t="n">
        <f aca="false">IF($E416="Per class",$D416*COUNTIFS('Session Tracker'!$D$5:$D$149,$A416,'Session Tracker'!$F$5:$F$149,"Next week",'Session Tracker'!$G$5:$G$149,"Thu"),$D416*SUMIFS('Session Tracker'!$J$5:$J$149,'Session Tracker'!$D$5:$D$149,$A416,'Session Tracker'!$F$5:$F$149,"Next week",'Session Tracker'!$G$5:$G$149,"Thu"))</f>
        <v>0</v>
      </c>
      <c r="L416" s="52" t="n">
        <f aca="false">IF($E416="Per class",$D416*COUNTIFS('Session Tracker'!$D$5:$D$149,$A416,'Session Tracker'!$F$5:$F$149,"Next week",'Session Tracker'!$G$5:$G$149,"Fri"),$D416*SUMIFS('Session Tracker'!$J$5:$J$149,'Session Tracker'!$D$5:$D$149,$A416,'Session Tracker'!$F$5:$F$149,"Next week",'Session Tracker'!$G$5:$G$149,"Fri"))</f>
        <v>0</v>
      </c>
      <c r="M416" s="52" t="n">
        <f aca="false">IF($E416="Per class",$D416*COUNTIFS('Session Tracker'!$D$5:$D$149,$A416,'Session Tracker'!$F$5:$F$149,"Next week",'Session Tracker'!$G$5:$G$149,""),$D416*SUMIFS('Session Tracker'!$J$5:$J$149,'Session Tracker'!$D$5:$D$149,$A416,'Session Tracker'!$F$5:$F$149,"Next week",'Session Tracker'!$G$5:$G$149,""))</f>
        <v>0</v>
      </c>
    </row>
  </sheetData>
  <mergeCells count="72">
    <mergeCell ref="B5:E5"/>
    <mergeCell ref="F5:G5"/>
    <mergeCell ref="B17:E17"/>
    <mergeCell ref="F17:G17"/>
    <mergeCell ref="B30:E30"/>
    <mergeCell ref="F30:G30"/>
    <mergeCell ref="B43:E43"/>
    <mergeCell ref="F43:G43"/>
    <mergeCell ref="B51:E51"/>
    <mergeCell ref="F51:G51"/>
    <mergeCell ref="B69:E69"/>
    <mergeCell ref="F69:G69"/>
    <mergeCell ref="B83:E83"/>
    <mergeCell ref="F83:G83"/>
    <mergeCell ref="B100:E100"/>
    <mergeCell ref="F100:G100"/>
    <mergeCell ref="B117:E117"/>
    <mergeCell ref="F117:G117"/>
    <mergeCell ref="B134:E134"/>
    <mergeCell ref="F134:G134"/>
    <mergeCell ref="B152:E152"/>
    <mergeCell ref="F152:G152"/>
    <mergeCell ref="B170:E170"/>
    <mergeCell ref="F170:G170"/>
    <mergeCell ref="B185:E185"/>
    <mergeCell ref="F185:G185"/>
    <mergeCell ref="B203:E203"/>
    <mergeCell ref="F203:G203"/>
    <mergeCell ref="B220:E220"/>
    <mergeCell ref="F220:G220"/>
    <mergeCell ref="B236:E236"/>
    <mergeCell ref="F236:G236"/>
    <mergeCell ref="B243:E243"/>
    <mergeCell ref="F243:G243"/>
    <mergeCell ref="B248:E248"/>
    <mergeCell ref="F248:G248"/>
    <mergeCell ref="B253:E253"/>
    <mergeCell ref="F253:G253"/>
    <mergeCell ref="B258:E258"/>
    <mergeCell ref="F258:G258"/>
    <mergeCell ref="B265:E265"/>
    <mergeCell ref="F265:G265"/>
    <mergeCell ref="B270:E270"/>
    <mergeCell ref="F270:G270"/>
    <mergeCell ref="B284:E284"/>
    <mergeCell ref="F284:G284"/>
    <mergeCell ref="B289:E289"/>
    <mergeCell ref="F289:G289"/>
    <mergeCell ref="B297:E297"/>
    <mergeCell ref="F297:G297"/>
    <mergeCell ref="B309:E309"/>
    <mergeCell ref="F309:G309"/>
    <mergeCell ref="B322:E322"/>
    <mergeCell ref="F322:G322"/>
    <mergeCell ref="B334:E334"/>
    <mergeCell ref="F334:G334"/>
    <mergeCell ref="B339:E339"/>
    <mergeCell ref="F339:G339"/>
    <mergeCell ref="B348:E348"/>
    <mergeCell ref="F348:G348"/>
    <mergeCell ref="B358:E358"/>
    <mergeCell ref="F358:G358"/>
    <mergeCell ref="B373:E373"/>
    <mergeCell ref="F373:G373"/>
    <mergeCell ref="B386:E386"/>
    <mergeCell ref="F386:G386"/>
    <mergeCell ref="B391:E391"/>
    <mergeCell ref="F391:G391"/>
    <mergeCell ref="B396:E396"/>
    <mergeCell ref="F396:G396"/>
    <mergeCell ref="B402:E402"/>
    <mergeCell ref="F402:G402"/>
  </mergeCells>
  <dataValidations count="1">
    <dataValidation allowBlank="true" errorStyle="stop" operator="between" showDropDown="false" showErrorMessage="false" showInputMessage="false" sqref="E5:E418" type="list">
      <formula1>"Per group,Per class"</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434A"/>
    <pageSetUpPr fitToPage="true"/>
  </sheetPr>
  <dimension ref="A1:M3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34"/>
    <col collapsed="false" customWidth="true" hidden="false" outlineLevel="0" max="4" min="4" style="0" width="6"/>
    <col collapsed="false" customWidth="true" hidden="false" outlineLevel="0" max="5" min="5" style="0" width="11"/>
    <col collapsed="false" customWidth="true" hidden="false" outlineLevel="0" max="6" min="6" style="0" width="12"/>
    <col collapsed="false" customWidth="true" hidden="false" outlineLevel="0" max="7" min="7" style="0" width="30"/>
    <col collapsed="false" customWidth="true" hidden="false" outlineLevel="0" max="12" min="8" style="0" width="7"/>
    <col collapsed="false" customWidth="true" hidden="false" outlineLevel="0" max="13" min="13" style="0" width="8"/>
  </cols>
  <sheetData>
    <row r="1" customFormat="false" ht="17.35" hidden="false" customHeight="false" outlineLevel="0" collapsed="false">
      <c r="A1" s="69" t="s">
        <v>655</v>
      </c>
    </row>
    <row r="2" customFormat="false" ht="15" hidden="false" customHeight="false" outlineLevel="0" collapsed="false">
      <c r="A2" s="2" t="s">
        <v>359</v>
      </c>
    </row>
    <row r="4" customFormat="false" ht="30" hidden="false" customHeight="true" outlineLevel="0" collapsed="false">
      <c r="A4" s="70" t="s">
        <v>45</v>
      </c>
      <c r="B4" s="70" t="s">
        <v>52</v>
      </c>
      <c r="C4" s="70" t="s">
        <v>53</v>
      </c>
      <c r="D4" s="70" t="s">
        <v>55</v>
      </c>
      <c r="E4" s="70" t="s">
        <v>61</v>
      </c>
      <c r="F4" s="70" t="s">
        <v>54</v>
      </c>
      <c r="G4" s="70" t="s">
        <v>58</v>
      </c>
      <c r="H4" s="30" t="s">
        <v>360</v>
      </c>
      <c r="I4" s="30" t="s">
        <v>361</v>
      </c>
      <c r="J4" s="30" t="s">
        <v>362</v>
      </c>
      <c r="K4" s="30" t="s">
        <v>363</v>
      </c>
      <c r="L4" s="30" t="s">
        <v>364</v>
      </c>
      <c r="M4" s="30" t="s">
        <v>22</v>
      </c>
    </row>
    <row r="5" customFormat="false" ht="19.5" hidden="false" customHeight="true" outlineLevel="0" collapsed="false">
      <c r="A5" s="71" t="s">
        <v>290</v>
      </c>
      <c r="B5" s="72" t="s">
        <v>365</v>
      </c>
      <c r="C5" s="72"/>
      <c r="D5" s="72"/>
      <c r="E5" s="72"/>
      <c r="F5" s="73" t="str">
        <f aca="false">"Status: "&amp;'Session Tracker'!F114&amp;IF('Session Tracker'!G114&lt;&gt;""," ("&amp;'Session Tracker'!G114&amp;")","")</f>
        <v>Status: Not started</v>
      </c>
      <c r="G5" s="73"/>
      <c r="H5" s="74"/>
      <c r="I5" s="74"/>
      <c r="J5" s="74"/>
      <c r="K5" s="74"/>
      <c r="L5" s="74"/>
      <c r="M5" s="74"/>
    </row>
    <row r="6" customFormat="false" ht="23.85" hidden="false" customHeight="false" outlineLevel="0" collapsed="false">
      <c r="A6" s="75" t="s">
        <v>290</v>
      </c>
      <c r="B6" s="34" t="s">
        <v>366</v>
      </c>
      <c r="C6" s="34" t="s">
        <v>367</v>
      </c>
      <c r="D6" s="32" t="n">
        <v>1</v>
      </c>
      <c r="E6" s="32" t="s">
        <v>14</v>
      </c>
      <c r="F6" s="32" t="s">
        <v>368</v>
      </c>
      <c r="G6" s="34"/>
      <c r="H6" s="52" t="n">
        <f aca="false">IF($E6="Per class",$D6*COUNTIFS('Session Tracker'!$D$5:$D$149,$A6,'Session Tracker'!$F$5:$F$149,"Next week",'Session Tracker'!$G$5:$G$149,"Mon"),$D6*SUMIFS('Session Tracker'!$J$5:$J$149,'Session Tracker'!$D$5:$D$149,$A6,'Session Tracker'!$F$5:$F$149,"Next week",'Session Tracker'!$G$5:$G$149,"Mon"))</f>
        <v>0</v>
      </c>
      <c r="I6" s="52" t="n">
        <f aca="false">IF($E6="Per class",$D6*COUNTIFS('Session Tracker'!$D$5:$D$149,$A6,'Session Tracker'!$F$5:$F$149,"Next week",'Session Tracker'!$G$5:$G$149,"Tue"),$D6*SUMIFS('Session Tracker'!$J$5:$J$149,'Session Tracker'!$D$5:$D$149,$A6,'Session Tracker'!$F$5:$F$149,"Next week",'Session Tracker'!$G$5:$G$149,"Tue"))</f>
        <v>0</v>
      </c>
      <c r="J6" s="52" t="n">
        <f aca="false">IF($E6="Per class",$D6*COUNTIFS('Session Tracker'!$D$5:$D$149,$A6,'Session Tracker'!$F$5:$F$149,"Next week",'Session Tracker'!$G$5:$G$149,"Wed"),$D6*SUMIFS('Session Tracker'!$J$5:$J$149,'Session Tracker'!$D$5:$D$149,$A6,'Session Tracker'!$F$5:$F$149,"Next week",'Session Tracker'!$G$5:$G$149,"Wed"))</f>
        <v>0</v>
      </c>
      <c r="K6" s="52" t="n">
        <f aca="false">IF($E6="Per class",$D6*COUNTIFS('Session Tracker'!$D$5:$D$149,$A6,'Session Tracker'!$F$5:$F$149,"Next week",'Session Tracker'!$G$5:$G$149,"Thu"),$D6*SUMIFS('Session Tracker'!$J$5:$J$149,'Session Tracker'!$D$5:$D$149,$A6,'Session Tracker'!$F$5:$F$149,"Next week",'Session Tracker'!$G$5:$G$149,"Thu"))</f>
        <v>0</v>
      </c>
      <c r="L6" s="52" t="n">
        <f aca="false">IF($E6="Per class",$D6*COUNTIFS('Session Tracker'!$D$5:$D$149,$A6,'Session Tracker'!$F$5:$F$149,"Next week",'Session Tracker'!$G$5:$G$149,"Fri"),$D6*SUMIFS('Session Tracker'!$J$5:$J$149,'Session Tracker'!$D$5:$D$149,$A6,'Session Tracker'!$F$5:$F$149,"Next week",'Session Tracker'!$G$5:$G$149,"Fri"))</f>
        <v>0</v>
      </c>
      <c r="M6" s="52" t="n">
        <f aca="false">IF($E6="Per class",$D6*COUNTIFS('Session Tracker'!$D$5:$D$149,$A6,'Session Tracker'!$F$5:$F$149,"Next week",'Session Tracker'!$G$5:$G$149,""),$D6*SUMIFS('Session Tracker'!$J$5:$J$149,'Session Tracker'!$D$5:$D$149,$A6,'Session Tracker'!$F$5:$F$149,"Next week",'Session Tracker'!$G$5:$G$149,""))</f>
        <v>0</v>
      </c>
    </row>
    <row r="7" customFormat="false" ht="15" hidden="false" customHeight="false" outlineLevel="0" collapsed="false">
      <c r="A7" s="75" t="s">
        <v>290</v>
      </c>
      <c r="B7" s="34" t="s">
        <v>369</v>
      </c>
      <c r="C7" s="34" t="s">
        <v>370</v>
      </c>
      <c r="D7" s="32" t="n">
        <v>1</v>
      </c>
      <c r="E7" s="32" t="s">
        <v>14</v>
      </c>
      <c r="F7" s="32" t="s">
        <v>368</v>
      </c>
      <c r="G7" s="34"/>
      <c r="H7" s="52" t="n">
        <f aca="false">IF($E7="Per class",$D7*COUNTIFS('Session Tracker'!$D$5:$D$149,$A7,'Session Tracker'!$F$5:$F$149,"Next week",'Session Tracker'!$G$5:$G$149,"Mon"),$D7*SUMIFS('Session Tracker'!$J$5:$J$149,'Session Tracker'!$D$5:$D$149,$A7,'Session Tracker'!$F$5:$F$149,"Next week",'Session Tracker'!$G$5:$G$149,"Mon"))</f>
        <v>0</v>
      </c>
      <c r="I7" s="52" t="n">
        <f aca="false">IF($E7="Per class",$D7*COUNTIFS('Session Tracker'!$D$5:$D$149,$A7,'Session Tracker'!$F$5:$F$149,"Next week",'Session Tracker'!$G$5:$G$149,"Tue"),$D7*SUMIFS('Session Tracker'!$J$5:$J$149,'Session Tracker'!$D$5:$D$149,$A7,'Session Tracker'!$F$5:$F$149,"Next week",'Session Tracker'!$G$5:$G$149,"Tue"))</f>
        <v>0</v>
      </c>
      <c r="J7" s="52" t="n">
        <f aca="false">IF($E7="Per class",$D7*COUNTIFS('Session Tracker'!$D$5:$D$149,$A7,'Session Tracker'!$F$5:$F$149,"Next week",'Session Tracker'!$G$5:$G$149,"Wed"),$D7*SUMIFS('Session Tracker'!$J$5:$J$149,'Session Tracker'!$D$5:$D$149,$A7,'Session Tracker'!$F$5:$F$149,"Next week",'Session Tracker'!$G$5:$G$149,"Wed"))</f>
        <v>0</v>
      </c>
      <c r="K7" s="52" t="n">
        <f aca="false">IF($E7="Per class",$D7*COUNTIFS('Session Tracker'!$D$5:$D$149,$A7,'Session Tracker'!$F$5:$F$149,"Next week",'Session Tracker'!$G$5:$G$149,"Thu"),$D7*SUMIFS('Session Tracker'!$J$5:$J$149,'Session Tracker'!$D$5:$D$149,$A7,'Session Tracker'!$F$5:$F$149,"Next week",'Session Tracker'!$G$5:$G$149,"Thu"))</f>
        <v>0</v>
      </c>
      <c r="L7" s="52" t="n">
        <f aca="false">IF($E7="Per class",$D7*COUNTIFS('Session Tracker'!$D$5:$D$149,$A7,'Session Tracker'!$F$5:$F$149,"Next week",'Session Tracker'!$G$5:$G$149,"Fri"),$D7*SUMIFS('Session Tracker'!$J$5:$J$149,'Session Tracker'!$D$5:$D$149,$A7,'Session Tracker'!$F$5:$F$149,"Next week",'Session Tracker'!$G$5:$G$149,"Fri"))</f>
        <v>0</v>
      </c>
      <c r="M7" s="52" t="n">
        <f aca="false">IF($E7="Per class",$D7*COUNTIFS('Session Tracker'!$D$5:$D$149,$A7,'Session Tracker'!$F$5:$F$149,"Next week",'Session Tracker'!$G$5:$G$149,""),$D7*SUMIFS('Session Tracker'!$J$5:$J$149,'Session Tracker'!$D$5:$D$149,$A7,'Session Tracker'!$F$5:$F$149,"Next week",'Session Tracker'!$G$5:$G$149,""))</f>
        <v>0</v>
      </c>
    </row>
    <row r="8" customFormat="false" ht="15" hidden="false" customHeight="false" outlineLevel="0" collapsed="false">
      <c r="A8" s="75" t="s">
        <v>290</v>
      </c>
      <c r="B8" s="34" t="s">
        <v>371</v>
      </c>
      <c r="C8" s="34" t="s">
        <v>372</v>
      </c>
      <c r="D8" s="32" t="n">
        <v>1</v>
      </c>
      <c r="E8" s="32" t="s">
        <v>14</v>
      </c>
      <c r="F8" s="32" t="s">
        <v>373</v>
      </c>
      <c r="G8" s="34" t="s">
        <v>374</v>
      </c>
      <c r="H8" s="52" t="n">
        <f aca="false">IF($E8="Per class",$D8*COUNTIFS('Session Tracker'!$D$5:$D$149,$A8,'Session Tracker'!$F$5:$F$149,"Next week",'Session Tracker'!$G$5:$G$149,"Mon"),$D8*SUMIFS('Session Tracker'!$J$5:$J$149,'Session Tracker'!$D$5:$D$149,$A8,'Session Tracker'!$F$5:$F$149,"Next week",'Session Tracker'!$G$5:$G$149,"Mon"))</f>
        <v>0</v>
      </c>
      <c r="I8" s="52" t="n">
        <f aca="false">IF($E8="Per class",$D8*COUNTIFS('Session Tracker'!$D$5:$D$149,$A8,'Session Tracker'!$F$5:$F$149,"Next week",'Session Tracker'!$G$5:$G$149,"Tue"),$D8*SUMIFS('Session Tracker'!$J$5:$J$149,'Session Tracker'!$D$5:$D$149,$A8,'Session Tracker'!$F$5:$F$149,"Next week",'Session Tracker'!$G$5:$G$149,"Tue"))</f>
        <v>0</v>
      </c>
      <c r="J8" s="52" t="n">
        <f aca="false">IF($E8="Per class",$D8*COUNTIFS('Session Tracker'!$D$5:$D$149,$A8,'Session Tracker'!$F$5:$F$149,"Next week",'Session Tracker'!$G$5:$G$149,"Wed"),$D8*SUMIFS('Session Tracker'!$J$5:$J$149,'Session Tracker'!$D$5:$D$149,$A8,'Session Tracker'!$F$5:$F$149,"Next week",'Session Tracker'!$G$5:$G$149,"Wed"))</f>
        <v>0</v>
      </c>
      <c r="K8" s="52" t="n">
        <f aca="false">IF($E8="Per class",$D8*COUNTIFS('Session Tracker'!$D$5:$D$149,$A8,'Session Tracker'!$F$5:$F$149,"Next week",'Session Tracker'!$G$5:$G$149,"Thu"),$D8*SUMIFS('Session Tracker'!$J$5:$J$149,'Session Tracker'!$D$5:$D$149,$A8,'Session Tracker'!$F$5:$F$149,"Next week",'Session Tracker'!$G$5:$G$149,"Thu"))</f>
        <v>0</v>
      </c>
      <c r="L8" s="52" t="n">
        <f aca="false">IF($E8="Per class",$D8*COUNTIFS('Session Tracker'!$D$5:$D$149,$A8,'Session Tracker'!$F$5:$F$149,"Next week",'Session Tracker'!$G$5:$G$149,"Fri"),$D8*SUMIFS('Session Tracker'!$J$5:$J$149,'Session Tracker'!$D$5:$D$149,$A8,'Session Tracker'!$F$5:$F$149,"Next week",'Session Tracker'!$G$5:$G$149,"Fri"))</f>
        <v>0</v>
      </c>
      <c r="M8" s="52" t="n">
        <f aca="false">IF($E8="Per class",$D8*COUNTIFS('Session Tracker'!$D$5:$D$149,$A8,'Session Tracker'!$F$5:$F$149,"Next week",'Session Tracker'!$G$5:$G$149,""),$D8*SUMIFS('Session Tracker'!$J$5:$J$149,'Session Tracker'!$D$5:$D$149,$A8,'Session Tracker'!$F$5:$F$149,"Next week",'Session Tracker'!$G$5:$G$149,""))</f>
        <v>0</v>
      </c>
    </row>
    <row r="9" customFormat="false" ht="15" hidden="false" customHeight="false" outlineLevel="0" collapsed="false">
      <c r="A9" s="75" t="s">
        <v>290</v>
      </c>
      <c r="B9" s="34" t="s">
        <v>375</v>
      </c>
      <c r="C9" s="34" t="s">
        <v>376</v>
      </c>
      <c r="D9" s="32" t="n">
        <v>1</v>
      </c>
      <c r="E9" s="32" t="s">
        <v>14</v>
      </c>
      <c r="F9" s="32" t="s">
        <v>373</v>
      </c>
      <c r="G9" s="34"/>
      <c r="H9" s="52" t="n">
        <f aca="false">IF($E9="Per class",$D9*COUNTIFS('Session Tracker'!$D$5:$D$149,$A9,'Session Tracker'!$F$5:$F$149,"Next week",'Session Tracker'!$G$5:$G$149,"Mon"),$D9*SUMIFS('Session Tracker'!$J$5:$J$149,'Session Tracker'!$D$5:$D$149,$A9,'Session Tracker'!$F$5:$F$149,"Next week",'Session Tracker'!$G$5:$G$149,"Mon"))</f>
        <v>0</v>
      </c>
      <c r="I9" s="52" t="n">
        <f aca="false">IF($E9="Per class",$D9*COUNTIFS('Session Tracker'!$D$5:$D$149,$A9,'Session Tracker'!$F$5:$F$149,"Next week",'Session Tracker'!$G$5:$G$149,"Tue"),$D9*SUMIFS('Session Tracker'!$J$5:$J$149,'Session Tracker'!$D$5:$D$149,$A9,'Session Tracker'!$F$5:$F$149,"Next week",'Session Tracker'!$G$5:$G$149,"Tue"))</f>
        <v>0</v>
      </c>
      <c r="J9" s="52" t="n">
        <f aca="false">IF($E9="Per class",$D9*COUNTIFS('Session Tracker'!$D$5:$D$149,$A9,'Session Tracker'!$F$5:$F$149,"Next week",'Session Tracker'!$G$5:$G$149,"Wed"),$D9*SUMIFS('Session Tracker'!$J$5:$J$149,'Session Tracker'!$D$5:$D$149,$A9,'Session Tracker'!$F$5:$F$149,"Next week",'Session Tracker'!$G$5:$G$149,"Wed"))</f>
        <v>0</v>
      </c>
      <c r="K9" s="52" t="n">
        <f aca="false">IF($E9="Per class",$D9*COUNTIFS('Session Tracker'!$D$5:$D$149,$A9,'Session Tracker'!$F$5:$F$149,"Next week",'Session Tracker'!$G$5:$G$149,"Thu"),$D9*SUMIFS('Session Tracker'!$J$5:$J$149,'Session Tracker'!$D$5:$D$149,$A9,'Session Tracker'!$F$5:$F$149,"Next week",'Session Tracker'!$G$5:$G$149,"Thu"))</f>
        <v>0</v>
      </c>
      <c r="L9" s="52" t="n">
        <f aca="false">IF($E9="Per class",$D9*COUNTIFS('Session Tracker'!$D$5:$D$149,$A9,'Session Tracker'!$F$5:$F$149,"Next week",'Session Tracker'!$G$5:$G$149,"Fri"),$D9*SUMIFS('Session Tracker'!$J$5:$J$149,'Session Tracker'!$D$5:$D$149,$A9,'Session Tracker'!$F$5:$F$149,"Next week",'Session Tracker'!$G$5:$G$149,"Fri"))</f>
        <v>0</v>
      </c>
      <c r="M9" s="52" t="n">
        <f aca="false">IF($E9="Per class",$D9*COUNTIFS('Session Tracker'!$D$5:$D$149,$A9,'Session Tracker'!$F$5:$F$149,"Next week",'Session Tracker'!$G$5:$G$149,""),$D9*SUMIFS('Session Tracker'!$J$5:$J$149,'Session Tracker'!$D$5:$D$149,$A9,'Session Tracker'!$F$5:$F$149,"Next week",'Session Tracker'!$G$5:$G$149,""))</f>
        <v>0</v>
      </c>
    </row>
    <row r="10" customFormat="false" ht="15" hidden="false" customHeight="false" outlineLevel="0" collapsed="false">
      <c r="A10" s="75" t="s">
        <v>290</v>
      </c>
      <c r="B10" s="34" t="s">
        <v>377</v>
      </c>
      <c r="C10" s="34" t="s">
        <v>378</v>
      </c>
      <c r="D10" s="32" t="n">
        <v>1</v>
      </c>
      <c r="E10" s="32" t="s">
        <v>14</v>
      </c>
      <c r="F10" s="32" t="s">
        <v>368</v>
      </c>
      <c r="G10" s="34"/>
      <c r="H10" s="52" t="n">
        <f aca="false">IF($E10="Per class",$D10*COUNTIFS('Session Tracker'!$D$5:$D$149,$A10,'Session Tracker'!$F$5:$F$149,"Next week",'Session Tracker'!$G$5:$G$149,"Mon"),$D10*SUMIFS('Session Tracker'!$J$5:$J$149,'Session Tracker'!$D$5:$D$149,$A10,'Session Tracker'!$F$5:$F$149,"Next week",'Session Tracker'!$G$5:$G$149,"Mon"))</f>
        <v>0</v>
      </c>
      <c r="I10" s="52" t="n">
        <f aca="false">IF($E10="Per class",$D10*COUNTIFS('Session Tracker'!$D$5:$D$149,$A10,'Session Tracker'!$F$5:$F$149,"Next week",'Session Tracker'!$G$5:$G$149,"Tue"),$D10*SUMIFS('Session Tracker'!$J$5:$J$149,'Session Tracker'!$D$5:$D$149,$A10,'Session Tracker'!$F$5:$F$149,"Next week",'Session Tracker'!$G$5:$G$149,"Tue"))</f>
        <v>0</v>
      </c>
      <c r="J10" s="52" t="n">
        <f aca="false">IF($E10="Per class",$D10*COUNTIFS('Session Tracker'!$D$5:$D$149,$A10,'Session Tracker'!$F$5:$F$149,"Next week",'Session Tracker'!$G$5:$G$149,"Wed"),$D10*SUMIFS('Session Tracker'!$J$5:$J$149,'Session Tracker'!$D$5:$D$149,$A10,'Session Tracker'!$F$5:$F$149,"Next week",'Session Tracker'!$G$5:$G$149,"Wed"))</f>
        <v>0</v>
      </c>
      <c r="K10" s="52" t="n">
        <f aca="false">IF($E10="Per class",$D10*COUNTIFS('Session Tracker'!$D$5:$D$149,$A10,'Session Tracker'!$F$5:$F$149,"Next week",'Session Tracker'!$G$5:$G$149,"Thu"),$D10*SUMIFS('Session Tracker'!$J$5:$J$149,'Session Tracker'!$D$5:$D$149,$A10,'Session Tracker'!$F$5:$F$149,"Next week",'Session Tracker'!$G$5:$G$149,"Thu"))</f>
        <v>0</v>
      </c>
      <c r="L10" s="52" t="n">
        <f aca="false">IF($E10="Per class",$D10*COUNTIFS('Session Tracker'!$D$5:$D$149,$A10,'Session Tracker'!$F$5:$F$149,"Next week",'Session Tracker'!$G$5:$G$149,"Fri"),$D10*SUMIFS('Session Tracker'!$J$5:$J$149,'Session Tracker'!$D$5:$D$149,$A10,'Session Tracker'!$F$5:$F$149,"Next week",'Session Tracker'!$G$5:$G$149,"Fri"))</f>
        <v>0</v>
      </c>
      <c r="M10" s="52" t="n">
        <f aca="false">IF($E10="Per class",$D10*COUNTIFS('Session Tracker'!$D$5:$D$149,$A10,'Session Tracker'!$F$5:$F$149,"Next week",'Session Tracker'!$G$5:$G$149,""),$D10*SUMIFS('Session Tracker'!$J$5:$J$149,'Session Tracker'!$D$5:$D$149,$A10,'Session Tracker'!$F$5:$F$149,"Next week",'Session Tracker'!$G$5:$G$149,""))</f>
        <v>0</v>
      </c>
    </row>
    <row r="11" customFormat="false" ht="15" hidden="false" customHeight="false" outlineLevel="0" collapsed="false">
      <c r="A11" s="75" t="s">
        <v>290</v>
      </c>
      <c r="B11" s="34" t="s">
        <v>379</v>
      </c>
      <c r="C11" s="34" t="s">
        <v>380</v>
      </c>
      <c r="D11" s="32" t="n">
        <v>1</v>
      </c>
      <c r="E11" s="32" t="s">
        <v>14</v>
      </c>
      <c r="F11" s="32" t="s">
        <v>368</v>
      </c>
      <c r="G11" s="34"/>
      <c r="H11" s="52" t="n">
        <f aca="false">IF($E11="Per class",$D11*COUNTIFS('Session Tracker'!$D$5:$D$149,$A11,'Session Tracker'!$F$5:$F$149,"Next week",'Session Tracker'!$G$5:$G$149,"Mon"),$D11*SUMIFS('Session Tracker'!$J$5:$J$149,'Session Tracker'!$D$5:$D$149,$A11,'Session Tracker'!$F$5:$F$149,"Next week",'Session Tracker'!$G$5:$G$149,"Mon"))</f>
        <v>0</v>
      </c>
      <c r="I11" s="52" t="n">
        <f aca="false">IF($E11="Per class",$D11*COUNTIFS('Session Tracker'!$D$5:$D$149,$A11,'Session Tracker'!$F$5:$F$149,"Next week",'Session Tracker'!$G$5:$G$149,"Tue"),$D11*SUMIFS('Session Tracker'!$J$5:$J$149,'Session Tracker'!$D$5:$D$149,$A11,'Session Tracker'!$F$5:$F$149,"Next week",'Session Tracker'!$G$5:$G$149,"Tue"))</f>
        <v>0</v>
      </c>
      <c r="J11" s="52" t="n">
        <f aca="false">IF($E11="Per class",$D11*COUNTIFS('Session Tracker'!$D$5:$D$149,$A11,'Session Tracker'!$F$5:$F$149,"Next week",'Session Tracker'!$G$5:$G$149,"Wed"),$D11*SUMIFS('Session Tracker'!$J$5:$J$149,'Session Tracker'!$D$5:$D$149,$A11,'Session Tracker'!$F$5:$F$149,"Next week",'Session Tracker'!$G$5:$G$149,"Wed"))</f>
        <v>0</v>
      </c>
      <c r="K11" s="52" t="n">
        <f aca="false">IF($E11="Per class",$D11*COUNTIFS('Session Tracker'!$D$5:$D$149,$A11,'Session Tracker'!$F$5:$F$149,"Next week",'Session Tracker'!$G$5:$G$149,"Thu"),$D11*SUMIFS('Session Tracker'!$J$5:$J$149,'Session Tracker'!$D$5:$D$149,$A11,'Session Tracker'!$F$5:$F$149,"Next week",'Session Tracker'!$G$5:$G$149,"Thu"))</f>
        <v>0</v>
      </c>
      <c r="L11" s="52" t="n">
        <f aca="false">IF($E11="Per class",$D11*COUNTIFS('Session Tracker'!$D$5:$D$149,$A11,'Session Tracker'!$F$5:$F$149,"Next week",'Session Tracker'!$G$5:$G$149,"Fri"),$D11*SUMIFS('Session Tracker'!$J$5:$J$149,'Session Tracker'!$D$5:$D$149,$A11,'Session Tracker'!$F$5:$F$149,"Next week",'Session Tracker'!$G$5:$G$149,"Fri"))</f>
        <v>0</v>
      </c>
      <c r="M11" s="52" t="n">
        <f aca="false">IF($E11="Per class",$D11*COUNTIFS('Session Tracker'!$D$5:$D$149,$A11,'Session Tracker'!$F$5:$F$149,"Next week",'Session Tracker'!$G$5:$G$149,""),$D11*SUMIFS('Session Tracker'!$J$5:$J$149,'Session Tracker'!$D$5:$D$149,$A11,'Session Tracker'!$F$5:$F$149,"Next week",'Session Tracker'!$G$5:$G$149,""))</f>
        <v>0</v>
      </c>
    </row>
    <row r="12" customFormat="false" ht="15" hidden="false" customHeight="false" outlineLevel="0" collapsed="false">
      <c r="A12" s="75" t="s">
        <v>290</v>
      </c>
      <c r="B12" s="34" t="s">
        <v>379</v>
      </c>
      <c r="C12" s="34" t="s">
        <v>381</v>
      </c>
      <c r="D12" s="32" t="n">
        <v>6</v>
      </c>
      <c r="E12" s="32" t="s">
        <v>14</v>
      </c>
      <c r="F12" s="32" t="s">
        <v>368</v>
      </c>
      <c r="G12" s="34"/>
      <c r="H12" s="52" t="n">
        <f aca="false">IF($E12="Per class",$D12*COUNTIFS('Session Tracker'!$D$5:$D$149,$A12,'Session Tracker'!$F$5:$F$149,"Next week",'Session Tracker'!$G$5:$G$149,"Mon"),$D12*SUMIFS('Session Tracker'!$J$5:$J$149,'Session Tracker'!$D$5:$D$149,$A12,'Session Tracker'!$F$5:$F$149,"Next week",'Session Tracker'!$G$5:$G$149,"Mon"))</f>
        <v>0</v>
      </c>
      <c r="I12" s="52" t="n">
        <f aca="false">IF($E12="Per class",$D12*COUNTIFS('Session Tracker'!$D$5:$D$149,$A12,'Session Tracker'!$F$5:$F$149,"Next week",'Session Tracker'!$G$5:$G$149,"Tue"),$D12*SUMIFS('Session Tracker'!$J$5:$J$149,'Session Tracker'!$D$5:$D$149,$A12,'Session Tracker'!$F$5:$F$149,"Next week",'Session Tracker'!$G$5:$G$149,"Tue"))</f>
        <v>0</v>
      </c>
      <c r="J12" s="52" t="n">
        <f aca="false">IF($E12="Per class",$D12*COUNTIFS('Session Tracker'!$D$5:$D$149,$A12,'Session Tracker'!$F$5:$F$149,"Next week",'Session Tracker'!$G$5:$G$149,"Wed"),$D12*SUMIFS('Session Tracker'!$J$5:$J$149,'Session Tracker'!$D$5:$D$149,$A12,'Session Tracker'!$F$5:$F$149,"Next week",'Session Tracker'!$G$5:$G$149,"Wed"))</f>
        <v>0</v>
      </c>
      <c r="K12" s="52" t="n">
        <f aca="false">IF($E12="Per class",$D12*COUNTIFS('Session Tracker'!$D$5:$D$149,$A12,'Session Tracker'!$F$5:$F$149,"Next week",'Session Tracker'!$G$5:$G$149,"Thu"),$D12*SUMIFS('Session Tracker'!$J$5:$J$149,'Session Tracker'!$D$5:$D$149,$A12,'Session Tracker'!$F$5:$F$149,"Next week",'Session Tracker'!$G$5:$G$149,"Thu"))</f>
        <v>0</v>
      </c>
      <c r="L12" s="52" t="n">
        <f aca="false">IF($E12="Per class",$D12*COUNTIFS('Session Tracker'!$D$5:$D$149,$A12,'Session Tracker'!$F$5:$F$149,"Next week",'Session Tracker'!$G$5:$G$149,"Fri"),$D12*SUMIFS('Session Tracker'!$J$5:$J$149,'Session Tracker'!$D$5:$D$149,$A12,'Session Tracker'!$F$5:$F$149,"Next week",'Session Tracker'!$G$5:$G$149,"Fri"))</f>
        <v>0</v>
      </c>
      <c r="M12" s="52" t="n">
        <f aca="false">IF($E12="Per class",$D12*COUNTIFS('Session Tracker'!$D$5:$D$149,$A12,'Session Tracker'!$F$5:$F$149,"Next week",'Session Tracker'!$G$5:$G$149,""),$D12*SUMIFS('Session Tracker'!$J$5:$J$149,'Session Tracker'!$D$5:$D$149,$A12,'Session Tracker'!$F$5:$F$149,"Next week",'Session Tracker'!$G$5:$G$149,""))</f>
        <v>0</v>
      </c>
    </row>
    <row r="13" customFormat="false" ht="15" hidden="false" customHeight="false" outlineLevel="0" collapsed="false">
      <c r="A13" s="75" t="s">
        <v>290</v>
      </c>
      <c r="B13" s="34" t="s">
        <v>382</v>
      </c>
      <c r="C13" s="34" t="s">
        <v>383</v>
      </c>
      <c r="D13" s="32" t="n">
        <v>1</v>
      </c>
      <c r="E13" s="32" t="s">
        <v>14</v>
      </c>
      <c r="F13" s="32" t="s">
        <v>368</v>
      </c>
      <c r="G13" s="34"/>
      <c r="H13" s="52" t="n">
        <f aca="false">IF($E13="Per class",$D13*COUNTIFS('Session Tracker'!$D$5:$D$149,$A13,'Session Tracker'!$F$5:$F$149,"Next week",'Session Tracker'!$G$5:$G$149,"Mon"),$D13*SUMIFS('Session Tracker'!$J$5:$J$149,'Session Tracker'!$D$5:$D$149,$A13,'Session Tracker'!$F$5:$F$149,"Next week",'Session Tracker'!$G$5:$G$149,"Mon"))</f>
        <v>0</v>
      </c>
      <c r="I13" s="52" t="n">
        <f aca="false">IF($E13="Per class",$D13*COUNTIFS('Session Tracker'!$D$5:$D$149,$A13,'Session Tracker'!$F$5:$F$149,"Next week",'Session Tracker'!$G$5:$G$149,"Tue"),$D13*SUMIFS('Session Tracker'!$J$5:$J$149,'Session Tracker'!$D$5:$D$149,$A13,'Session Tracker'!$F$5:$F$149,"Next week",'Session Tracker'!$G$5:$G$149,"Tue"))</f>
        <v>0</v>
      </c>
      <c r="J13" s="52" t="n">
        <f aca="false">IF($E13="Per class",$D13*COUNTIFS('Session Tracker'!$D$5:$D$149,$A13,'Session Tracker'!$F$5:$F$149,"Next week",'Session Tracker'!$G$5:$G$149,"Wed"),$D13*SUMIFS('Session Tracker'!$J$5:$J$149,'Session Tracker'!$D$5:$D$149,$A13,'Session Tracker'!$F$5:$F$149,"Next week",'Session Tracker'!$G$5:$G$149,"Wed"))</f>
        <v>0</v>
      </c>
      <c r="K13" s="52" t="n">
        <f aca="false">IF($E13="Per class",$D13*COUNTIFS('Session Tracker'!$D$5:$D$149,$A13,'Session Tracker'!$F$5:$F$149,"Next week",'Session Tracker'!$G$5:$G$149,"Thu"),$D13*SUMIFS('Session Tracker'!$J$5:$J$149,'Session Tracker'!$D$5:$D$149,$A13,'Session Tracker'!$F$5:$F$149,"Next week",'Session Tracker'!$G$5:$G$149,"Thu"))</f>
        <v>0</v>
      </c>
      <c r="L13" s="52" t="n">
        <f aca="false">IF($E13="Per class",$D13*COUNTIFS('Session Tracker'!$D$5:$D$149,$A13,'Session Tracker'!$F$5:$F$149,"Next week",'Session Tracker'!$G$5:$G$149,"Fri"),$D13*SUMIFS('Session Tracker'!$J$5:$J$149,'Session Tracker'!$D$5:$D$149,$A13,'Session Tracker'!$F$5:$F$149,"Next week",'Session Tracker'!$G$5:$G$149,"Fri"))</f>
        <v>0</v>
      </c>
      <c r="M13" s="52" t="n">
        <f aca="false">IF($E13="Per class",$D13*COUNTIFS('Session Tracker'!$D$5:$D$149,$A13,'Session Tracker'!$F$5:$F$149,"Next week",'Session Tracker'!$G$5:$G$149,""),$D13*SUMIFS('Session Tracker'!$J$5:$J$149,'Session Tracker'!$D$5:$D$149,$A13,'Session Tracker'!$F$5:$F$149,"Next week",'Session Tracker'!$G$5:$G$149,""))</f>
        <v>0</v>
      </c>
    </row>
    <row r="14" customFormat="false" ht="15" hidden="false" customHeight="false" outlineLevel="0" collapsed="false">
      <c r="A14" s="53" t="s">
        <v>290</v>
      </c>
      <c r="B14" s="54"/>
      <c r="C14" s="54"/>
      <c r="D14" s="54"/>
      <c r="E14" s="54"/>
      <c r="F14" s="54"/>
      <c r="G14" s="54"/>
      <c r="H14" s="52" t="n">
        <f aca="false">IF($E14="Per class",$D14*COUNTIFS('Session Tracker'!$D$5:$D$149,$A14,'Session Tracker'!$F$5:$F$149,"Next week",'Session Tracker'!$G$5:$G$149,"Mon"),$D14*SUMIFS('Session Tracker'!$J$5:$J$149,'Session Tracker'!$D$5:$D$149,$A14,'Session Tracker'!$F$5:$F$149,"Next week",'Session Tracker'!$G$5:$G$149,"Mon"))</f>
        <v>0</v>
      </c>
      <c r="I14" s="52" t="n">
        <f aca="false">IF($E14="Per class",$D14*COUNTIFS('Session Tracker'!$D$5:$D$149,$A14,'Session Tracker'!$F$5:$F$149,"Next week",'Session Tracker'!$G$5:$G$149,"Tue"),$D14*SUMIFS('Session Tracker'!$J$5:$J$149,'Session Tracker'!$D$5:$D$149,$A14,'Session Tracker'!$F$5:$F$149,"Next week",'Session Tracker'!$G$5:$G$149,"Tue"))</f>
        <v>0</v>
      </c>
      <c r="J14" s="52" t="n">
        <f aca="false">IF($E14="Per class",$D14*COUNTIFS('Session Tracker'!$D$5:$D$149,$A14,'Session Tracker'!$F$5:$F$149,"Next week",'Session Tracker'!$G$5:$G$149,"Wed"),$D14*SUMIFS('Session Tracker'!$J$5:$J$149,'Session Tracker'!$D$5:$D$149,$A14,'Session Tracker'!$F$5:$F$149,"Next week",'Session Tracker'!$G$5:$G$149,"Wed"))</f>
        <v>0</v>
      </c>
      <c r="K14" s="52" t="n">
        <f aca="false">IF($E14="Per class",$D14*COUNTIFS('Session Tracker'!$D$5:$D$149,$A14,'Session Tracker'!$F$5:$F$149,"Next week",'Session Tracker'!$G$5:$G$149,"Thu"),$D14*SUMIFS('Session Tracker'!$J$5:$J$149,'Session Tracker'!$D$5:$D$149,$A14,'Session Tracker'!$F$5:$F$149,"Next week",'Session Tracker'!$G$5:$G$149,"Thu"))</f>
        <v>0</v>
      </c>
      <c r="L14" s="52" t="n">
        <f aca="false">IF($E14="Per class",$D14*COUNTIFS('Session Tracker'!$D$5:$D$149,$A14,'Session Tracker'!$F$5:$F$149,"Next week",'Session Tracker'!$G$5:$G$149,"Fri"),$D14*SUMIFS('Session Tracker'!$J$5:$J$149,'Session Tracker'!$D$5:$D$149,$A14,'Session Tracker'!$F$5:$F$149,"Next week",'Session Tracker'!$G$5:$G$149,"Fri"))</f>
        <v>0</v>
      </c>
      <c r="M14" s="52" t="n">
        <f aca="false">IF($E14="Per class",$D14*COUNTIFS('Session Tracker'!$D$5:$D$149,$A14,'Session Tracker'!$F$5:$F$149,"Next week",'Session Tracker'!$G$5:$G$149,""),$D14*SUMIFS('Session Tracker'!$J$5:$J$149,'Session Tracker'!$D$5:$D$149,$A14,'Session Tracker'!$F$5:$F$149,"Next week",'Session Tracker'!$G$5:$G$149,""))</f>
        <v>0</v>
      </c>
    </row>
    <row r="15" customFormat="false" ht="15" hidden="false" customHeight="false" outlineLevel="0" collapsed="false">
      <c r="A15" s="53" t="s">
        <v>290</v>
      </c>
      <c r="B15" s="54"/>
      <c r="C15" s="54"/>
      <c r="D15" s="54"/>
      <c r="E15" s="54"/>
      <c r="F15" s="54"/>
      <c r="G15" s="54"/>
      <c r="H15" s="52" t="n">
        <f aca="false">IF($E15="Per class",$D15*COUNTIFS('Session Tracker'!$D$5:$D$149,$A15,'Session Tracker'!$F$5:$F$149,"Next week",'Session Tracker'!$G$5:$G$149,"Mon"),$D15*SUMIFS('Session Tracker'!$J$5:$J$149,'Session Tracker'!$D$5:$D$149,$A15,'Session Tracker'!$F$5:$F$149,"Next week",'Session Tracker'!$G$5:$G$149,"Mon"))</f>
        <v>0</v>
      </c>
      <c r="I15" s="52" t="n">
        <f aca="false">IF($E15="Per class",$D15*COUNTIFS('Session Tracker'!$D$5:$D$149,$A15,'Session Tracker'!$F$5:$F$149,"Next week",'Session Tracker'!$G$5:$G$149,"Tue"),$D15*SUMIFS('Session Tracker'!$J$5:$J$149,'Session Tracker'!$D$5:$D$149,$A15,'Session Tracker'!$F$5:$F$149,"Next week",'Session Tracker'!$G$5:$G$149,"Tue"))</f>
        <v>0</v>
      </c>
      <c r="J15" s="52" t="n">
        <f aca="false">IF($E15="Per class",$D15*COUNTIFS('Session Tracker'!$D$5:$D$149,$A15,'Session Tracker'!$F$5:$F$149,"Next week",'Session Tracker'!$G$5:$G$149,"Wed"),$D15*SUMIFS('Session Tracker'!$J$5:$J$149,'Session Tracker'!$D$5:$D$149,$A15,'Session Tracker'!$F$5:$F$149,"Next week",'Session Tracker'!$G$5:$G$149,"Wed"))</f>
        <v>0</v>
      </c>
      <c r="K15" s="52" t="n">
        <f aca="false">IF($E15="Per class",$D15*COUNTIFS('Session Tracker'!$D$5:$D$149,$A15,'Session Tracker'!$F$5:$F$149,"Next week",'Session Tracker'!$G$5:$G$149,"Thu"),$D15*SUMIFS('Session Tracker'!$J$5:$J$149,'Session Tracker'!$D$5:$D$149,$A15,'Session Tracker'!$F$5:$F$149,"Next week",'Session Tracker'!$G$5:$G$149,"Thu"))</f>
        <v>0</v>
      </c>
      <c r="L15" s="52" t="n">
        <f aca="false">IF($E15="Per class",$D15*COUNTIFS('Session Tracker'!$D$5:$D$149,$A15,'Session Tracker'!$F$5:$F$149,"Next week",'Session Tracker'!$G$5:$G$149,"Fri"),$D15*SUMIFS('Session Tracker'!$J$5:$J$149,'Session Tracker'!$D$5:$D$149,$A15,'Session Tracker'!$F$5:$F$149,"Next week",'Session Tracker'!$G$5:$G$149,"Fri"))</f>
        <v>0</v>
      </c>
      <c r="M15" s="52" t="n">
        <f aca="false">IF($E15="Per class",$D15*COUNTIFS('Session Tracker'!$D$5:$D$149,$A15,'Session Tracker'!$F$5:$F$149,"Next week",'Session Tracker'!$G$5:$G$149,""),$D15*SUMIFS('Session Tracker'!$J$5:$J$149,'Session Tracker'!$D$5:$D$149,$A15,'Session Tracker'!$F$5:$F$149,"Next week",'Session Tracker'!$G$5:$G$149,""))</f>
        <v>0</v>
      </c>
    </row>
    <row r="17" customFormat="false" ht="19.5" hidden="false" customHeight="true" outlineLevel="0" collapsed="false">
      <c r="A17" s="71" t="s">
        <v>291</v>
      </c>
      <c r="B17" s="72" t="s">
        <v>384</v>
      </c>
      <c r="C17" s="72"/>
      <c r="D17" s="72"/>
      <c r="E17" s="72"/>
      <c r="F17" s="73" t="str">
        <f aca="false">"Status: "&amp;'Session Tracker'!F115&amp;IF('Session Tracker'!G115&lt;&gt;""," ("&amp;'Session Tracker'!G115&amp;")","")</f>
        <v>Status: Not started</v>
      </c>
      <c r="G17" s="73"/>
      <c r="H17" s="74"/>
      <c r="I17" s="74"/>
      <c r="J17" s="74"/>
      <c r="K17" s="74"/>
      <c r="L17" s="74"/>
      <c r="M17" s="74"/>
    </row>
    <row r="18" customFormat="false" ht="23.85" hidden="false" customHeight="false" outlineLevel="0" collapsed="false">
      <c r="A18" s="75" t="s">
        <v>291</v>
      </c>
      <c r="B18" s="34" t="s">
        <v>366</v>
      </c>
      <c r="C18" s="34" t="s">
        <v>367</v>
      </c>
      <c r="D18" s="32" t="n">
        <v>1</v>
      </c>
      <c r="E18" s="32" t="s">
        <v>14</v>
      </c>
      <c r="F18" s="32" t="s">
        <v>368</v>
      </c>
      <c r="G18" s="34"/>
      <c r="H18" s="52" t="n">
        <f aca="false">IF($E18="Per class",$D18*COUNTIFS('Session Tracker'!$D$5:$D$149,$A18,'Session Tracker'!$F$5:$F$149,"Next week",'Session Tracker'!$G$5:$G$149,"Mon"),$D18*SUMIFS('Session Tracker'!$J$5:$J$149,'Session Tracker'!$D$5:$D$149,$A18,'Session Tracker'!$F$5:$F$149,"Next week",'Session Tracker'!$G$5:$G$149,"Mon"))</f>
        <v>0</v>
      </c>
      <c r="I18" s="52" t="n">
        <f aca="false">IF($E18="Per class",$D18*COUNTIFS('Session Tracker'!$D$5:$D$149,$A18,'Session Tracker'!$F$5:$F$149,"Next week",'Session Tracker'!$G$5:$G$149,"Tue"),$D18*SUMIFS('Session Tracker'!$J$5:$J$149,'Session Tracker'!$D$5:$D$149,$A18,'Session Tracker'!$F$5:$F$149,"Next week",'Session Tracker'!$G$5:$G$149,"Tue"))</f>
        <v>0</v>
      </c>
      <c r="J18" s="52" t="n">
        <f aca="false">IF($E18="Per class",$D18*COUNTIFS('Session Tracker'!$D$5:$D$149,$A18,'Session Tracker'!$F$5:$F$149,"Next week",'Session Tracker'!$G$5:$G$149,"Wed"),$D18*SUMIFS('Session Tracker'!$J$5:$J$149,'Session Tracker'!$D$5:$D$149,$A18,'Session Tracker'!$F$5:$F$149,"Next week",'Session Tracker'!$G$5:$G$149,"Wed"))</f>
        <v>0</v>
      </c>
      <c r="K18" s="52" t="n">
        <f aca="false">IF($E18="Per class",$D18*COUNTIFS('Session Tracker'!$D$5:$D$149,$A18,'Session Tracker'!$F$5:$F$149,"Next week",'Session Tracker'!$G$5:$G$149,"Thu"),$D18*SUMIFS('Session Tracker'!$J$5:$J$149,'Session Tracker'!$D$5:$D$149,$A18,'Session Tracker'!$F$5:$F$149,"Next week",'Session Tracker'!$G$5:$G$149,"Thu"))</f>
        <v>0</v>
      </c>
      <c r="L18" s="52" t="n">
        <f aca="false">IF($E18="Per class",$D18*COUNTIFS('Session Tracker'!$D$5:$D$149,$A18,'Session Tracker'!$F$5:$F$149,"Next week",'Session Tracker'!$G$5:$G$149,"Fri"),$D18*SUMIFS('Session Tracker'!$J$5:$J$149,'Session Tracker'!$D$5:$D$149,$A18,'Session Tracker'!$F$5:$F$149,"Next week",'Session Tracker'!$G$5:$G$149,"Fri"))</f>
        <v>0</v>
      </c>
      <c r="M18" s="52" t="n">
        <f aca="false">IF($E18="Per class",$D18*COUNTIFS('Session Tracker'!$D$5:$D$149,$A18,'Session Tracker'!$F$5:$F$149,"Next week",'Session Tracker'!$G$5:$G$149,""),$D18*SUMIFS('Session Tracker'!$J$5:$J$149,'Session Tracker'!$D$5:$D$149,$A18,'Session Tracker'!$F$5:$F$149,"Next week",'Session Tracker'!$G$5:$G$149,""))</f>
        <v>0</v>
      </c>
    </row>
    <row r="19" customFormat="false" ht="15" hidden="false" customHeight="false" outlineLevel="0" collapsed="false">
      <c r="A19" s="75" t="s">
        <v>291</v>
      </c>
      <c r="B19" s="34" t="s">
        <v>371</v>
      </c>
      <c r="C19" s="34" t="s">
        <v>372</v>
      </c>
      <c r="D19" s="32" t="n">
        <v>2</v>
      </c>
      <c r="E19" s="32" t="s">
        <v>14</v>
      </c>
      <c r="F19" s="32" t="s">
        <v>373</v>
      </c>
      <c r="G19" s="34"/>
      <c r="H19" s="52" t="n">
        <f aca="false">IF($E19="Per class",$D19*COUNTIFS('Session Tracker'!$D$5:$D$149,$A19,'Session Tracker'!$F$5:$F$149,"Next week",'Session Tracker'!$G$5:$G$149,"Mon"),$D19*SUMIFS('Session Tracker'!$J$5:$J$149,'Session Tracker'!$D$5:$D$149,$A19,'Session Tracker'!$F$5:$F$149,"Next week",'Session Tracker'!$G$5:$G$149,"Mon"))</f>
        <v>0</v>
      </c>
      <c r="I19" s="52" t="n">
        <f aca="false">IF($E19="Per class",$D19*COUNTIFS('Session Tracker'!$D$5:$D$149,$A19,'Session Tracker'!$F$5:$F$149,"Next week",'Session Tracker'!$G$5:$G$149,"Tue"),$D19*SUMIFS('Session Tracker'!$J$5:$J$149,'Session Tracker'!$D$5:$D$149,$A19,'Session Tracker'!$F$5:$F$149,"Next week",'Session Tracker'!$G$5:$G$149,"Tue"))</f>
        <v>0</v>
      </c>
      <c r="J19" s="52" t="n">
        <f aca="false">IF($E19="Per class",$D19*COUNTIFS('Session Tracker'!$D$5:$D$149,$A19,'Session Tracker'!$F$5:$F$149,"Next week",'Session Tracker'!$G$5:$G$149,"Wed"),$D19*SUMIFS('Session Tracker'!$J$5:$J$149,'Session Tracker'!$D$5:$D$149,$A19,'Session Tracker'!$F$5:$F$149,"Next week",'Session Tracker'!$G$5:$G$149,"Wed"))</f>
        <v>0</v>
      </c>
      <c r="K19" s="52" t="n">
        <f aca="false">IF($E19="Per class",$D19*COUNTIFS('Session Tracker'!$D$5:$D$149,$A19,'Session Tracker'!$F$5:$F$149,"Next week",'Session Tracker'!$G$5:$G$149,"Thu"),$D19*SUMIFS('Session Tracker'!$J$5:$J$149,'Session Tracker'!$D$5:$D$149,$A19,'Session Tracker'!$F$5:$F$149,"Next week",'Session Tracker'!$G$5:$G$149,"Thu"))</f>
        <v>0</v>
      </c>
      <c r="L19" s="52" t="n">
        <f aca="false">IF($E19="Per class",$D19*COUNTIFS('Session Tracker'!$D$5:$D$149,$A19,'Session Tracker'!$F$5:$F$149,"Next week",'Session Tracker'!$G$5:$G$149,"Fri"),$D19*SUMIFS('Session Tracker'!$J$5:$J$149,'Session Tracker'!$D$5:$D$149,$A19,'Session Tracker'!$F$5:$F$149,"Next week",'Session Tracker'!$G$5:$G$149,"Fri"))</f>
        <v>0</v>
      </c>
      <c r="M19" s="52" t="n">
        <f aca="false">IF($E19="Per class",$D19*COUNTIFS('Session Tracker'!$D$5:$D$149,$A19,'Session Tracker'!$F$5:$F$149,"Next week",'Session Tracker'!$G$5:$G$149,""),$D19*SUMIFS('Session Tracker'!$J$5:$J$149,'Session Tracker'!$D$5:$D$149,$A19,'Session Tracker'!$F$5:$F$149,"Next week",'Session Tracker'!$G$5:$G$149,""))</f>
        <v>0</v>
      </c>
    </row>
    <row r="20" customFormat="false" ht="15" hidden="false" customHeight="false" outlineLevel="0" collapsed="false">
      <c r="A20" s="75" t="s">
        <v>291</v>
      </c>
      <c r="B20" s="34" t="s">
        <v>375</v>
      </c>
      <c r="C20" s="34" t="s">
        <v>376</v>
      </c>
      <c r="D20" s="32" t="n">
        <v>2</v>
      </c>
      <c r="E20" s="32" t="s">
        <v>14</v>
      </c>
      <c r="F20" s="32" t="s">
        <v>373</v>
      </c>
      <c r="G20" s="34"/>
      <c r="H20" s="52" t="n">
        <f aca="false">IF($E20="Per class",$D20*COUNTIFS('Session Tracker'!$D$5:$D$149,$A20,'Session Tracker'!$F$5:$F$149,"Next week",'Session Tracker'!$G$5:$G$149,"Mon"),$D20*SUMIFS('Session Tracker'!$J$5:$J$149,'Session Tracker'!$D$5:$D$149,$A20,'Session Tracker'!$F$5:$F$149,"Next week",'Session Tracker'!$G$5:$G$149,"Mon"))</f>
        <v>0</v>
      </c>
      <c r="I20" s="52" t="n">
        <f aca="false">IF($E20="Per class",$D20*COUNTIFS('Session Tracker'!$D$5:$D$149,$A20,'Session Tracker'!$F$5:$F$149,"Next week",'Session Tracker'!$G$5:$G$149,"Tue"),$D20*SUMIFS('Session Tracker'!$J$5:$J$149,'Session Tracker'!$D$5:$D$149,$A20,'Session Tracker'!$F$5:$F$149,"Next week",'Session Tracker'!$G$5:$G$149,"Tue"))</f>
        <v>0</v>
      </c>
      <c r="J20" s="52" t="n">
        <f aca="false">IF($E20="Per class",$D20*COUNTIFS('Session Tracker'!$D$5:$D$149,$A20,'Session Tracker'!$F$5:$F$149,"Next week",'Session Tracker'!$G$5:$G$149,"Wed"),$D20*SUMIFS('Session Tracker'!$J$5:$J$149,'Session Tracker'!$D$5:$D$149,$A20,'Session Tracker'!$F$5:$F$149,"Next week",'Session Tracker'!$G$5:$G$149,"Wed"))</f>
        <v>0</v>
      </c>
      <c r="K20" s="52" t="n">
        <f aca="false">IF($E20="Per class",$D20*COUNTIFS('Session Tracker'!$D$5:$D$149,$A20,'Session Tracker'!$F$5:$F$149,"Next week",'Session Tracker'!$G$5:$G$149,"Thu"),$D20*SUMIFS('Session Tracker'!$J$5:$J$149,'Session Tracker'!$D$5:$D$149,$A20,'Session Tracker'!$F$5:$F$149,"Next week",'Session Tracker'!$G$5:$G$149,"Thu"))</f>
        <v>0</v>
      </c>
      <c r="L20" s="52" t="n">
        <f aca="false">IF($E20="Per class",$D20*COUNTIFS('Session Tracker'!$D$5:$D$149,$A20,'Session Tracker'!$F$5:$F$149,"Next week",'Session Tracker'!$G$5:$G$149,"Fri"),$D20*SUMIFS('Session Tracker'!$J$5:$J$149,'Session Tracker'!$D$5:$D$149,$A20,'Session Tracker'!$F$5:$F$149,"Next week",'Session Tracker'!$G$5:$G$149,"Fri"))</f>
        <v>0</v>
      </c>
      <c r="M20" s="52" t="n">
        <f aca="false">IF($E20="Per class",$D20*COUNTIFS('Session Tracker'!$D$5:$D$149,$A20,'Session Tracker'!$F$5:$F$149,"Next week",'Session Tracker'!$G$5:$G$149,""),$D20*SUMIFS('Session Tracker'!$J$5:$J$149,'Session Tracker'!$D$5:$D$149,$A20,'Session Tracker'!$F$5:$F$149,"Next week",'Session Tracker'!$G$5:$G$149,""))</f>
        <v>0</v>
      </c>
    </row>
    <row r="21" customFormat="false" ht="15" hidden="false" customHeight="false" outlineLevel="0" collapsed="false">
      <c r="A21" s="75" t="s">
        <v>291</v>
      </c>
      <c r="B21" s="34" t="s">
        <v>375</v>
      </c>
      <c r="C21" s="34" t="s">
        <v>385</v>
      </c>
      <c r="D21" s="32" t="n">
        <v>1</v>
      </c>
      <c r="E21" s="32" t="s">
        <v>14</v>
      </c>
      <c r="F21" s="32" t="s">
        <v>368</v>
      </c>
      <c r="G21" s="34" t="s">
        <v>386</v>
      </c>
      <c r="H21" s="52" t="n">
        <f aca="false">IF($E21="Per class",$D21*COUNTIFS('Session Tracker'!$D$5:$D$149,$A21,'Session Tracker'!$F$5:$F$149,"Next week",'Session Tracker'!$G$5:$G$149,"Mon"),$D21*SUMIFS('Session Tracker'!$J$5:$J$149,'Session Tracker'!$D$5:$D$149,$A21,'Session Tracker'!$F$5:$F$149,"Next week",'Session Tracker'!$G$5:$G$149,"Mon"))</f>
        <v>0</v>
      </c>
      <c r="I21" s="52" t="n">
        <f aca="false">IF($E21="Per class",$D21*COUNTIFS('Session Tracker'!$D$5:$D$149,$A21,'Session Tracker'!$F$5:$F$149,"Next week",'Session Tracker'!$G$5:$G$149,"Tue"),$D21*SUMIFS('Session Tracker'!$J$5:$J$149,'Session Tracker'!$D$5:$D$149,$A21,'Session Tracker'!$F$5:$F$149,"Next week",'Session Tracker'!$G$5:$G$149,"Tue"))</f>
        <v>0</v>
      </c>
      <c r="J21" s="52" t="n">
        <f aca="false">IF($E21="Per class",$D21*COUNTIFS('Session Tracker'!$D$5:$D$149,$A21,'Session Tracker'!$F$5:$F$149,"Next week",'Session Tracker'!$G$5:$G$149,"Wed"),$D21*SUMIFS('Session Tracker'!$J$5:$J$149,'Session Tracker'!$D$5:$D$149,$A21,'Session Tracker'!$F$5:$F$149,"Next week",'Session Tracker'!$G$5:$G$149,"Wed"))</f>
        <v>0</v>
      </c>
      <c r="K21" s="52" t="n">
        <f aca="false">IF($E21="Per class",$D21*COUNTIFS('Session Tracker'!$D$5:$D$149,$A21,'Session Tracker'!$F$5:$F$149,"Next week",'Session Tracker'!$G$5:$G$149,"Thu"),$D21*SUMIFS('Session Tracker'!$J$5:$J$149,'Session Tracker'!$D$5:$D$149,$A21,'Session Tracker'!$F$5:$F$149,"Next week",'Session Tracker'!$G$5:$G$149,"Thu"))</f>
        <v>0</v>
      </c>
      <c r="L21" s="52" t="n">
        <f aca="false">IF($E21="Per class",$D21*COUNTIFS('Session Tracker'!$D$5:$D$149,$A21,'Session Tracker'!$F$5:$F$149,"Next week",'Session Tracker'!$G$5:$G$149,"Fri"),$D21*SUMIFS('Session Tracker'!$J$5:$J$149,'Session Tracker'!$D$5:$D$149,$A21,'Session Tracker'!$F$5:$F$149,"Next week",'Session Tracker'!$G$5:$G$149,"Fri"))</f>
        <v>0</v>
      </c>
      <c r="M21" s="52" t="n">
        <f aca="false">IF($E21="Per class",$D21*COUNTIFS('Session Tracker'!$D$5:$D$149,$A21,'Session Tracker'!$F$5:$F$149,"Next week",'Session Tracker'!$G$5:$G$149,""),$D21*SUMIFS('Session Tracker'!$J$5:$J$149,'Session Tracker'!$D$5:$D$149,$A21,'Session Tracker'!$F$5:$F$149,"Next week",'Session Tracker'!$G$5:$G$149,""))</f>
        <v>0</v>
      </c>
    </row>
    <row r="22" customFormat="false" ht="15" hidden="false" customHeight="false" outlineLevel="0" collapsed="false">
      <c r="A22" s="75" t="s">
        <v>291</v>
      </c>
      <c r="B22" s="34" t="s">
        <v>375</v>
      </c>
      <c r="C22" s="34" t="s">
        <v>387</v>
      </c>
      <c r="D22" s="32" t="n">
        <v>1</v>
      </c>
      <c r="E22" s="32" t="s">
        <v>14</v>
      </c>
      <c r="F22" s="32" t="s">
        <v>368</v>
      </c>
      <c r="G22" s="34" t="s">
        <v>388</v>
      </c>
      <c r="H22" s="52" t="n">
        <f aca="false">IF($E22="Per class",$D22*COUNTIFS('Session Tracker'!$D$5:$D$149,$A22,'Session Tracker'!$F$5:$F$149,"Next week",'Session Tracker'!$G$5:$G$149,"Mon"),$D22*SUMIFS('Session Tracker'!$J$5:$J$149,'Session Tracker'!$D$5:$D$149,$A22,'Session Tracker'!$F$5:$F$149,"Next week",'Session Tracker'!$G$5:$G$149,"Mon"))</f>
        <v>0</v>
      </c>
      <c r="I22" s="52" t="n">
        <f aca="false">IF($E22="Per class",$D22*COUNTIFS('Session Tracker'!$D$5:$D$149,$A22,'Session Tracker'!$F$5:$F$149,"Next week",'Session Tracker'!$G$5:$G$149,"Tue"),$D22*SUMIFS('Session Tracker'!$J$5:$J$149,'Session Tracker'!$D$5:$D$149,$A22,'Session Tracker'!$F$5:$F$149,"Next week",'Session Tracker'!$G$5:$G$149,"Tue"))</f>
        <v>0</v>
      </c>
      <c r="J22" s="52" t="n">
        <f aca="false">IF($E22="Per class",$D22*COUNTIFS('Session Tracker'!$D$5:$D$149,$A22,'Session Tracker'!$F$5:$F$149,"Next week",'Session Tracker'!$G$5:$G$149,"Wed"),$D22*SUMIFS('Session Tracker'!$J$5:$J$149,'Session Tracker'!$D$5:$D$149,$A22,'Session Tracker'!$F$5:$F$149,"Next week",'Session Tracker'!$G$5:$G$149,"Wed"))</f>
        <v>0</v>
      </c>
      <c r="K22" s="52" t="n">
        <f aca="false">IF($E22="Per class",$D22*COUNTIFS('Session Tracker'!$D$5:$D$149,$A22,'Session Tracker'!$F$5:$F$149,"Next week",'Session Tracker'!$G$5:$G$149,"Thu"),$D22*SUMIFS('Session Tracker'!$J$5:$J$149,'Session Tracker'!$D$5:$D$149,$A22,'Session Tracker'!$F$5:$F$149,"Next week",'Session Tracker'!$G$5:$G$149,"Thu"))</f>
        <v>0</v>
      </c>
      <c r="L22" s="52" t="n">
        <f aca="false">IF($E22="Per class",$D22*COUNTIFS('Session Tracker'!$D$5:$D$149,$A22,'Session Tracker'!$F$5:$F$149,"Next week",'Session Tracker'!$G$5:$G$149,"Fri"),$D22*SUMIFS('Session Tracker'!$J$5:$J$149,'Session Tracker'!$D$5:$D$149,$A22,'Session Tracker'!$F$5:$F$149,"Next week",'Session Tracker'!$G$5:$G$149,"Fri"))</f>
        <v>0</v>
      </c>
      <c r="M22" s="52" t="n">
        <f aca="false">IF($E22="Per class",$D22*COUNTIFS('Session Tracker'!$D$5:$D$149,$A22,'Session Tracker'!$F$5:$F$149,"Next week",'Session Tracker'!$G$5:$G$149,""),$D22*SUMIFS('Session Tracker'!$J$5:$J$149,'Session Tracker'!$D$5:$D$149,$A22,'Session Tracker'!$F$5:$F$149,"Next week",'Session Tracker'!$G$5:$G$149,""))</f>
        <v>0</v>
      </c>
    </row>
    <row r="23" customFormat="false" ht="15" hidden="false" customHeight="false" outlineLevel="0" collapsed="false">
      <c r="A23" s="75" t="s">
        <v>291</v>
      </c>
      <c r="B23" s="34" t="s">
        <v>379</v>
      </c>
      <c r="C23" s="34" t="s">
        <v>380</v>
      </c>
      <c r="D23" s="32" t="n">
        <v>1</v>
      </c>
      <c r="E23" s="32" t="s">
        <v>14</v>
      </c>
      <c r="F23" s="32" t="s">
        <v>368</v>
      </c>
      <c r="G23" s="34"/>
      <c r="H23" s="52" t="n">
        <f aca="false">IF($E23="Per class",$D23*COUNTIFS('Session Tracker'!$D$5:$D$149,$A23,'Session Tracker'!$F$5:$F$149,"Next week",'Session Tracker'!$G$5:$G$149,"Mon"),$D23*SUMIFS('Session Tracker'!$J$5:$J$149,'Session Tracker'!$D$5:$D$149,$A23,'Session Tracker'!$F$5:$F$149,"Next week",'Session Tracker'!$G$5:$G$149,"Mon"))</f>
        <v>0</v>
      </c>
      <c r="I23" s="52" t="n">
        <f aca="false">IF($E23="Per class",$D23*COUNTIFS('Session Tracker'!$D$5:$D$149,$A23,'Session Tracker'!$F$5:$F$149,"Next week",'Session Tracker'!$G$5:$G$149,"Tue"),$D23*SUMIFS('Session Tracker'!$J$5:$J$149,'Session Tracker'!$D$5:$D$149,$A23,'Session Tracker'!$F$5:$F$149,"Next week",'Session Tracker'!$G$5:$G$149,"Tue"))</f>
        <v>0</v>
      </c>
      <c r="J23" s="52" t="n">
        <f aca="false">IF($E23="Per class",$D23*COUNTIFS('Session Tracker'!$D$5:$D$149,$A23,'Session Tracker'!$F$5:$F$149,"Next week",'Session Tracker'!$G$5:$G$149,"Wed"),$D23*SUMIFS('Session Tracker'!$J$5:$J$149,'Session Tracker'!$D$5:$D$149,$A23,'Session Tracker'!$F$5:$F$149,"Next week",'Session Tracker'!$G$5:$G$149,"Wed"))</f>
        <v>0</v>
      </c>
      <c r="K23" s="52" t="n">
        <f aca="false">IF($E23="Per class",$D23*COUNTIFS('Session Tracker'!$D$5:$D$149,$A23,'Session Tracker'!$F$5:$F$149,"Next week",'Session Tracker'!$G$5:$G$149,"Thu"),$D23*SUMIFS('Session Tracker'!$J$5:$J$149,'Session Tracker'!$D$5:$D$149,$A23,'Session Tracker'!$F$5:$F$149,"Next week",'Session Tracker'!$G$5:$G$149,"Thu"))</f>
        <v>0</v>
      </c>
      <c r="L23" s="52" t="n">
        <f aca="false">IF($E23="Per class",$D23*COUNTIFS('Session Tracker'!$D$5:$D$149,$A23,'Session Tracker'!$F$5:$F$149,"Next week",'Session Tracker'!$G$5:$G$149,"Fri"),$D23*SUMIFS('Session Tracker'!$J$5:$J$149,'Session Tracker'!$D$5:$D$149,$A23,'Session Tracker'!$F$5:$F$149,"Next week",'Session Tracker'!$G$5:$G$149,"Fri"))</f>
        <v>0</v>
      </c>
      <c r="M23" s="52" t="n">
        <f aca="false">IF($E23="Per class",$D23*COUNTIFS('Session Tracker'!$D$5:$D$149,$A23,'Session Tracker'!$F$5:$F$149,"Next week",'Session Tracker'!$G$5:$G$149,""),$D23*SUMIFS('Session Tracker'!$J$5:$J$149,'Session Tracker'!$D$5:$D$149,$A23,'Session Tracker'!$F$5:$F$149,"Next week",'Session Tracker'!$G$5:$G$149,""))</f>
        <v>0</v>
      </c>
    </row>
    <row r="24" customFormat="false" ht="15" hidden="false" customHeight="false" outlineLevel="0" collapsed="false">
      <c r="A24" s="75" t="s">
        <v>291</v>
      </c>
      <c r="B24" s="34" t="s">
        <v>379</v>
      </c>
      <c r="C24" s="34" t="s">
        <v>381</v>
      </c>
      <c r="D24" s="32" t="n">
        <v>8</v>
      </c>
      <c r="E24" s="32" t="s">
        <v>14</v>
      </c>
      <c r="F24" s="32" t="s">
        <v>368</v>
      </c>
      <c r="G24" s="34"/>
      <c r="H24" s="52" t="n">
        <f aca="false">IF($E24="Per class",$D24*COUNTIFS('Session Tracker'!$D$5:$D$149,$A24,'Session Tracker'!$F$5:$F$149,"Next week",'Session Tracker'!$G$5:$G$149,"Mon"),$D24*SUMIFS('Session Tracker'!$J$5:$J$149,'Session Tracker'!$D$5:$D$149,$A24,'Session Tracker'!$F$5:$F$149,"Next week",'Session Tracker'!$G$5:$G$149,"Mon"))</f>
        <v>0</v>
      </c>
      <c r="I24" s="52" t="n">
        <f aca="false">IF($E24="Per class",$D24*COUNTIFS('Session Tracker'!$D$5:$D$149,$A24,'Session Tracker'!$F$5:$F$149,"Next week",'Session Tracker'!$G$5:$G$149,"Tue"),$D24*SUMIFS('Session Tracker'!$J$5:$J$149,'Session Tracker'!$D$5:$D$149,$A24,'Session Tracker'!$F$5:$F$149,"Next week",'Session Tracker'!$G$5:$G$149,"Tue"))</f>
        <v>0</v>
      </c>
      <c r="J24" s="52" t="n">
        <f aca="false">IF($E24="Per class",$D24*COUNTIFS('Session Tracker'!$D$5:$D$149,$A24,'Session Tracker'!$F$5:$F$149,"Next week",'Session Tracker'!$G$5:$G$149,"Wed"),$D24*SUMIFS('Session Tracker'!$J$5:$J$149,'Session Tracker'!$D$5:$D$149,$A24,'Session Tracker'!$F$5:$F$149,"Next week",'Session Tracker'!$G$5:$G$149,"Wed"))</f>
        <v>0</v>
      </c>
      <c r="K24" s="52" t="n">
        <f aca="false">IF($E24="Per class",$D24*COUNTIFS('Session Tracker'!$D$5:$D$149,$A24,'Session Tracker'!$F$5:$F$149,"Next week",'Session Tracker'!$G$5:$G$149,"Thu"),$D24*SUMIFS('Session Tracker'!$J$5:$J$149,'Session Tracker'!$D$5:$D$149,$A24,'Session Tracker'!$F$5:$F$149,"Next week",'Session Tracker'!$G$5:$G$149,"Thu"))</f>
        <v>0</v>
      </c>
      <c r="L24" s="52" t="n">
        <f aca="false">IF($E24="Per class",$D24*COUNTIFS('Session Tracker'!$D$5:$D$149,$A24,'Session Tracker'!$F$5:$F$149,"Next week",'Session Tracker'!$G$5:$G$149,"Fri"),$D24*SUMIFS('Session Tracker'!$J$5:$J$149,'Session Tracker'!$D$5:$D$149,$A24,'Session Tracker'!$F$5:$F$149,"Next week",'Session Tracker'!$G$5:$G$149,"Fri"))</f>
        <v>0</v>
      </c>
      <c r="M24" s="52" t="n">
        <f aca="false">IF($E24="Per class",$D24*COUNTIFS('Session Tracker'!$D$5:$D$149,$A24,'Session Tracker'!$F$5:$F$149,"Next week",'Session Tracker'!$G$5:$G$149,""),$D24*SUMIFS('Session Tracker'!$J$5:$J$149,'Session Tracker'!$D$5:$D$149,$A24,'Session Tracker'!$F$5:$F$149,"Next week",'Session Tracker'!$G$5:$G$149,""))</f>
        <v>0</v>
      </c>
    </row>
    <row r="25" customFormat="false" ht="15" hidden="false" customHeight="false" outlineLevel="0" collapsed="false">
      <c r="A25" s="75" t="s">
        <v>291</v>
      </c>
      <c r="B25" s="34" t="s">
        <v>382</v>
      </c>
      <c r="C25" s="34" t="s">
        <v>383</v>
      </c>
      <c r="D25" s="32" t="n">
        <v>1</v>
      </c>
      <c r="E25" s="32" t="s">
        <v>14</v>
      </c>
      <c r="F25" s="32" t="s">
        <v>368</v>
      </c>
      <c r="G25" s="34"/>
      <c r="H25" s="52" t="n">
        <f aca="false">IF($E25="Per class",$D25*COUNTIFS('Session Tracker'!$D$5:$D$149,$A25,'Session Tracker'!$F$5:$F$149,"Next week",'Session Tracker'!$G$5:$G$149,"Mon"),$D25*SUMIFS('Session Tracker'!$J$5:$J$149,'Session Tracker'!$D$5:$D$149,$A25,'Session Tracker'!$F$5:$F$149,"Next week",'Session Tracker'!$G$5:$G$149,"Mon"))</f>
        <v>0</v>
      </c>
      <c r="I25" s="52" t="n">
        <f aca="false">IF($E25="Per class",$D25*COUNTIFS('Session Tracker'!$D$5:$D$149,$A25,'Session Tracker'!$F$5:$F$149,"Next week",'Session Tracker'!$G$5:$G$149,"Tue"),$D25*SUMIFS('Session Tracker'!$J$5:$J$149,'Session Tracker'!$D$5:$D$149,$A25,'Session Tracker'!$F$5:$F$149,"Next week",'Session Tracker'!$G$5:$G$149,"Tue"))</f>
        <v>0</v>
      </c>
      <c r="J25" s="52" t="n">
        <f aca="false">IF($E25="Per class",$D25*COUNTIFS('Session Tracker'!$D$5:$D$149,$A25,'Session Tracker'!$F$5:$F$149,"Next week",'Session Tracker'!$G$5:$G$149,"Wed"),$D25*SUMIFS('Session Tracker'!$J$5:$J$149,'Session Tracker'!$D$5:$D$149,$A25,'Session Tracker'!$F$5:$F$149,"Next week",'Session Tracker'!$G$5:$G$149,"Wed"))</f>
        <v>0</v>
      </c>
      <c r="K25" s="52" t="n">
        <f aca="false">IF($E25="Per class",$D25*COUNTIFS('Session Tracker'!$D$5:$D$149,$A25,'Session Tracker'!$F$5:$F$149,"Next week",'Session Tracker'!$G$5:$G$149,"Thu"),$D25*SUMIFS('Session Tracker'!$J$5:$J$149,'Session Tracker'!$D$5:$D$149,$A25,'Session Tracker'!$F$5:$F$149,"Next week",'Session Tracker'!$G$5:$G$149,"Thu"))</f>
        <v>0</v>
      </c>
      <c r="L25" s="52" t="n">
        <f aca="false">IF($E25="Per class",$D25*COUNTIFS('Session Tracker'!$D$5:$D$149,$A25,'Session Tracker'!$F$5:$F$149,"Next week",'Session Tracker'!$G$5:$G$149,"Fri"),$D25*SUMIFS('Session Tracker'!$J$5:$J$149,'Session Tracker'!$D$5:$D$149,$A25,'Session Tracker'!$F$5:$F$149,"Next week",'Session Tracker'!$G$5:$G$149,"Fri"))</f>
        <v>0</v>
      </c>
      <c r="M25" s="52" t="n">
        <f aca="false">IF($E25="Per class",$D25*COUNTIFS('Session Tracker'!$D$5:$D$149,$A25,'Session Tracker'!$F$5:$F$149,"Next week",'Session Tracker'!$G$5:$G$149,""),$D25*SUMIFS('Session Tracker'!$J$5:$J$149,'Session Tracker'!$D$5:$D$149,$A25,'Session Tracker'!$F$5:$F$149,"Next week",'Session Tracker'!$G$5:$G$149,""))</f>
        <v>0</v>
      </c>
    </row>
    <row r="26" customFormat="false" ht="15" hidden="false" customHeight="false" outlineLevel="0" collapsed="false">
      <c r="A26" s="75" t="s">
        <v>291</v>
      </c>
      <c r="B26" s="34" t="s">
        <v>377</v>
      </c>
      <c r="C26" s="34" t="s">
        <v>378</v>
      </c>
      <c r="D26" s="32" t="n">
        <v>1</v>
      </c>
      <c r="E26" s="32" t="s">
        <v>14</v>
      </c>
      <c r="F26" s="32" t="s">
        <v>368</v>
      </c>
      <c r="G26" s="34" t="s">
        <v>389</v>
      </c>
      <c r="H26" s="52" t="n">
        <f aca="false">IF($E26="Per class",$D26*COUNTIFS('Session Tracker'!$D$5:$D$149,$A26,'Session Tracker'!$F$5:$F$149,"Next week",'Session Tracker'!$G$5:$G$149,"Mon"),$D26*SUMIFS('Session Tracker'!$J$5:$J$149,'Session Tracker'!$D$5:$D$149,$A26,'Session Tracker'!$F$5:$F$149,"Next week",'Session Tracker'!$G$5:$G$149,"Mon"))</f>
        <v>0</v>
      </c>
      <c r="I26" s="52" t="n">
        <f aca="false">IF($E26="Per class",$D26*COUNTIFS('Session Tracker'!$D$5:$D$149,$A26,'Session Tracker'!$F$5:$F$149,"Next week",'Session Tracker'!$G$5:$G$149,"Tue"),$D26*SUMIFS('Session Tracker'!$J$5:$J$149,'Session Tracker'!$D$5:$D$149,$A26,'Session Tracker'!$F$5:$F$149,"Next week",'Session Tracker'!$G$5:$G$149,"Tue"))</f>
        <v>0</v>
      </c>
      <c r="J26" s="52" t="n">
        <f aca="false">IF($E26="Per class",$D26*COUNTIFS('Session Tracker'!$D$5:$D$149,$A26,'Session Tracker'!$F$5:$F$149,"Next week",'Session Tracker'!$G$5:$G$149,"Wed"),$D26*SUMIFS('Session Tracker'!$J$5:$J$149,'Session Tracker'!$D$5:$D$149,$A26,'Session Tracker'!$F$5:$F$149,"Next week",'Session Tracker'!$G$5:$G$149,"Wed"))</f>
        <v>0</v>
      </c>
      <c r="K26" s="52" t="n">
        <f aca="false">IF($E26="Per class",$D26*COUNTIFS('Session Tracker'!$D$5:$D$149,$A26,'Session Tracker'!$F$5:$F$149,"Next week",'Session Tracker'!$G$5:$G$149,"Thu"),$D26*SUMIFS('Session Tracker'!$J$5:$J$149,'Session Tracker'!$D$5:$D$149,$A26,'Session Tracker'!$F$5:$F$149,"Next week",'Session Tracker'!$G$5:$G$149,"Thu"))</f>
        <v>0</v>
      </c>
      <c r="L26" s="52" t="n">
        <f aca="false">IF($E26="Per class",$D26*COUNTIFS('Session Tracker'!$D$5:$D$149,$A26,'Session Tracker'!$F$5:$F$149,"Next week",'Session Tracker'!$G$5:$G$149,"Fri"),$D26*SUMIFS('Session Tracker'!$J$5:$J$149,'Session Tracker'!$D$5:$D$149,$A26,'Session Tracker'!$F$5:$F$149,"Next week",'Session Tracker'!$G$5:$G$149,"Fri"))</f>
        <v>0</v>
      </c>
      <c r="M26" s="52" t="n">
        <f aca="false">IF($E26="Per class",$D26*COUNTIFS('Session Tracker'!$D$5:$D$149,$A26,'Session Tracker'!$F$5:$F$149,"Next week",'Session Tracker'!$G$5:$G$149,""),$D26*SUMIFS('Session Tracker'!$J$5:$J$149,'Session Tracker'!$D$5:$D$149,$A26,'Session Tracker'!$F$5:$F$149,"Next week",'Session Tracker'!$G$5:$G$149,""))</f>
        <v>0</v>
      </c>
    </row>
    <row r="27" customFormat="false" ht="15" hidden="false" customHeight="false" outlineLevel="0" collapsed="false">
      <c r="A27" s="53" t="s">
        <v>291</v>
      </c>
      <c r="B27" s="54"/>
      <c r="C27" s="54"/>
      <c r="D27" s="54"/>
      <c r="E27" s="54"/>
      <c r="F27" s="54"/>
      <c r="G27" s="54"/>
      <c r="H27" s="52" t="n">
        <f aca="false">IF($E27="Per class",$D27*COUNTIFS('Session Tracker'!$D$5:$D$149,$A27,'Session Tracker'!$F$5:$F$149,"Next week",'Session Tracker'!$G$5:$G$149,"Mon"),$D27*SUMIFS('Session Tracker'!$J$5:$J$149,'Session Tracker'!$D$5:$D$149,$A27,'Session Tracker'!$F$5:$F$149,"Next week",'Session Tracker'!$G$5:$G$149,"Mon"))</f>
        <v>0</v>
      </c>
      <c r="I27" s="52" t="n">
        <f aca="false">IF($E27="Per class",$D27*COUNTIFS('Session Tracker'!$D$5:$D$149,$A27,'Session Tracker'!$F$5:$F$149,"Next week",'Session Tracker'!$G$5:$G$149,"Tue"),$D27*SUMIFS('Session Tracker'!$J$5:$J$149,'Session Tracker'!$D$5:$D$149,$A27,'Session Tracker'!$F$5:$F$149,"Next week",'Session Tracker'!$G$5:$G$149,"Tue"))</f>
        <v>0</v>
      </c>
      <c r="J27" s="52" t="n">
        <f aca="false">IF($E27="Per class",$D27*COUNTIFS('Session Tracker'!$D$5:$D$149,$A27,'Session Tracker'!$F$5:$F$149,"Next week",'Session Tracker'!$G$5:$G$149,"Wed"),$D27*SUMIFS('Session Tracker'!$J$5:$J$149,'Session Tracker'!$D$5:$D$149,$A27,'Session Tracker'!$F$5:$F$149,"Next week",'Session Tracker'!$G$5:$G$149,"Wed"))</f>
        <v>0</v>
      </c>
      <c r="K27" s="52" t="n">
        <f aca="false">IF($E27="Per class",$D27*COUNTIFS('Session Tracker'!$D$5:$D$149,$A27,'Session Tracker'!$F$5:$F$149,"Next week",'Session Tracker'!$G$5:$G$149,"Thu"),$D27*SUMIFS('Session Tracker'!$J$5:$J$149,'Session Tracker'!$D$5:$D$149,$A27,'Session Tracker'!$F$5:$F$149,"Next week",'Session Tracker'!$G$5:$G$149,"Thu"))</f>
        <v>0</v>
      </c>
      <c r="L27" s="52" t="n">
        <f aca="false">IF($E27="Per class",$D27*COUNTIFS('Session Tracker'!$D$5:$D$149,$A27,'Session Tracker'!$F$5:$F$149,"Next week",'Session Tracker'!$G$5:$G$149,"Fri"),$D27*SUMIFS('Session Tracker'!$J$5:$J$149,'Session Tracker'!$D$5:$D$149,$A27,'Session Tracker'!$F$5:$F$149,"Next week",'Session Tracker'!$G$5:$G$149,"Fri"))</f>
        <v>0</v>
      </c>
      <c r="M27" s="52" t="n">
        <f aca="false">IF($E27="Per class",$D27*COUNTIFS('Session Tracker'!$D$5:$D$149,$A27,'Session Tracker'!$F$5:$F$149,"Next week",'Session Tracker'!$G$5:$G$149,""),$D27*SUMIFS('Session Tracker'!$J$5:$J$149,'Session Tracker'!$D$5:$D$149,$A27,'Session Tracker'!$F$5:$F$149,"Next week",'Session Tracker'!$G$5:$G$149,""))</f>
        <v>0</v>
      </c>
    </row>
    <row r="28" customFormat="false" ht="15" hidden="false" customHeight="false" outlineLevel="0" collapsed="false">
      <c r="A28" s="53" t="s">
        <v>291</v>
      </c>
      <c r="B28" s="54"/>
      <c r="C28" s="54"/>
      <c r="D28" s="54"/>
      <c r="E28" s="54"/>
      <c r="F28" s="54"/>
      <c r="G28" s="54"/>
      <c r="H28" s="52" t="n">
        <f aca="false">IF($E28="Per class",$D28*COUNTIFS('Session Tracker'!$D$5:$D$149,$A28,'Session Tracker'!$F$5:$F$149,"Next week",'Session Tracker'!$G$5:$G$149,"Mon"),$D28*SUMIFS('Session Tracker'!$J$5:$J$149,'Session Tracker'!$D$5:$D$149,$A28,'Session Tracker'!$F$5:$F$149,"Next week",'Session Tracker'!$G$5:$G$149,"Mon"))</f>
        <v>0</v>
      </c>
      <c r="I28" s="52" t="n">
        <f aca="false">IF($E28="Per class",$D28*COUNTIFS('Session Tracker'!$D$5:$D$149,$A28,'Session Tracker'!$F$5:$F$149,"Next week",'Session Tracker'!$G$5:$G$149,"Tue"),$D28*SUMIFS('Session Tracker'!$J$5:$J$149,'Session Tracker'!$D$5:$D$149,$A28,'Session Tracker'!$F$5:$F$149,"Next week",'Session Tracker'!$G$5:$G$149,"Tue"))</f>
        <v>0</v>
      </c>
      <c r="J28" s="52" t="n">
        <f aca="false">IF($E28="Per class",$D28*COUNTIFS('Session Tracker'!$D$5:$D$149,$A28,'Session Tracker'!$F$5:$F$149,"Next week",'Session Tracker'!$G$5:$G$149,"Wed"),$D28*SUMIFS('Session Tracker'!$J$5:$J$149,'Session Tracker'!$D$5:$D$149,$A28,'Session Tracker'!$F$5:$F$149,"Next week",'Session Tracker'!$G$5:$G$149,"Wed"))</f>
        <v>0</v>
      </c>
      <c r="K28" s="52" t="n">
        <f aca="false">IF($E28="Per class",$D28*COUNTIFS('Session Tracker'!$D$5:$D$149,$A28,'Session Tracker'!$F$5:$F$149,"Next week",'Session Tracker'!$G$5:$G$149,"Thu"),$D28*SUMIFS('Session Tracker'!$J$5:$J$149,'Session Tracker'!$D$5:$D$149,$A28,'Session Tracker'!$F$5:$F$149,"Next week",'Session Tracker'!$G$5:$G$149,"Thu"))</f>
        <v>0</v>
      </c>
      <c r="L28" s="52" t="n">
        <f aca="false">IF($E28="Per class",$D28*COUNTIFS('Session Tracker'!$D$5:$D$149,$A28,'Session Tracker'!$F$5:$F$149,"Next week",'Session Tracker'!$G$5:$G$149,"Fri"),$D28*SUMIFS('Session Tracker'!$J$5:$J$149,'Session Tracker'!$D$5:$D$149,$A28,'Session Tracker'!$F$5:$F$149,"Next week",'Session Tracker'!$G$5:$G$149,"Fri"))</f>
        <v>0</v>
      </c>
      <c r="M28" s="52" t="n">
        <f aca="false">IF($E28="Per class",$D28*COUNTIFS('Session Tracker'!$D$5:$D$149,$A28,'Session Tracker'!$F$5:$F$149,"Next week",'Session Tracker'!$G$5:$G$149,""),$D28*SUMIFS('Session Tracker'!$J$5:$J$149,'Session Tracker'!$D$5:$D$149,$A28,'Session Tracker'!$F$5:$F$149,"Next week",'Session Tracker'!$G$5:$G$149,""))</f>
        <v>0</v>
      </c>
    </row>
    <row r="30" customFormat="false" ht="19.5" hidden="false" customHeight="true" outlineLevel="0" collapsed="false">
      <c r="A30" s="71" t="s">
        <v>292</v>
      </c>
      <c r="B30" s="72" t="s">
        <v>390</v>
      </c>
      <c r="C30" s="72"/>
      <c r="D30" s="72"/>
      <c r="E30" s="72"/>
      <c r="F30" s="73" t="str">
        <f aca="false">"Status: "&amp;'Session Tracker'!F116&amp;IF('Session Tracker'!G116&lt;&gt;""," ("&amp;'Session Tracker'!G116&amp;")","")</f>
        <v>Status: Not started</v>
      </c>
      <c r="G30" s="73"/>
      <c r="H30" s="74"/>
      <c r="I30" s="74"/>
      <c r="J30" s="74"/>
      <c r="K30" s="74"/>
      <c r="L30" s="74"/>
      <c r="M30" s="74"/>
    </row>
    <row r="31" customFormat="false" ht="23.85" hidden="false" customHeight="false" outlineLevel="0" collapsed="false">
      <c r="A31" s="75" t="s">
        <v>292</v>
      </c>
      <c r="B31" s="34" t="s">
        <v>366</v>
      </c>
      <c r="C31" s="34" t="s">
        <v>391</v>
      </c>
      <c r="D31" s="32" t="n">
        <v>1</v>
      </c>
      <c r="E31" s="32" t="s">
        <v>14</v>
      </c>
      <c r="F31" s="32" t="s">
        <v>368</v>
      </c>
      <c r="G31" s="34" t="s">
        <v>392</v>
      </c>
      <c r="H31" s="52" t="n">
        <f aca="false">IF($E31="Per class",$D31*COUNTIFS('Session Tracker'!$D$5:$D$149,$A31,'Session Tracker'!$F$5:$F$149,"Next week",'Session Tracker'!$G$5:$G$149,"Mon"),$D31*SUMIFS('Session Tracker'!$J$5:$J$149,'Session Tracker'!$D$5:$D$149,$A31,'Session Tracker'!$F$5:$F$149,"Next week",'Session Tracker'!$G$5:$G$149,"Mon"))</f>
        <v>0</v>
      </c>
      <c r="I31" s="52" t="n">
        <f aca="false">IF($E31="Per class",$D31*COUNTIFS('Session Tracker'!$D$5:$D$149,$A31,'Session Tracker'!$F$5:$F$149,"Next week",'Session Tracker'!$G$5:$G$149,"Tue"),$D31*SUMIFS('Session Tracker'!$J$5:$J$149,'Session Tracker'!$D$5:$D$149,$A31,'Session Tracker'!$F$5:$F$149,"Next week",'Session Tracker'!$G$5:$G$149,"Tue"))</f>
        <v>0</v>
      </c>
      <c r="J31" s="52" t="n">
        <f aca="false">IF($E31="Per class",$D31*COUNTIFS('Session Tracker'!$D$5:$D$149,$A31,'Session Tracker'!$F$5:$F$149,"Next week",'Session Tracker'!$G$5:$G$149,"Wed"),$D31*SUMIFS('Session Tracker'!$J$5:$J$149,'Session Tracker'!$D$5:$D$149,$A31,'Session Tracker'!$F$5:$F$149,"Next week",'Session Tracker'!$G$5:$G$149,"Wed"))</f>
        <v>0</v>
      </c>
      <c r="K31" s="52" t="n">
        <f aca="false">IF($E31="Per class",$D31*COUNTIFS('Session Tracker'!$D$5:$D$149,$A31,'Session Tracker'!$F$5:$F$149,"Next week",'Session Tracker'!$G$5:$G$149,"Thu"),$D31*SUMIFS('Session Tracker'!$J$5:$J$149,'Session Tracker'!$D$5:$D$149,$A31,'Session Tracker'!$F$5:$F$149,"Next week",'Session Tracker'!$G$5:$G$149,"Thu"))</f>
        <v>0</v>
      </c>
      <c r="L31" s="52" t="n">
        <f aca="false">IF($E31="Per class",$D31*COUNTIFS('Session Tracker'!$D$5:$D$149,$A31,'Session Tracker'!$F$5:$F$149,"Next week",'Session Tracker'!$G$5:$G$149,"Fri"),$D31*SUMIFS('Session Tracker'!$J$5:$J$149,'Session Tracker'!$D$5:$D$149,$A31,'Session Tracker'!$F$5:$F$149,"Next week",'Session Tracker'!$G$5:$G$149,"Fri"))</f>
        <v>0</v>
      </c>
      <c r="M31" s="52" t="n">
        <f aca="false">IF($E31="Per class",$D31*COUNTIFS('Session Tracker'!$D$5:$D$149,$A31,'Session Tracker'!$F$5:$F$149,"Next week",'Session Tracker'!$G$5:$G$149,""),$D31*SUMIFS('Session Tracker'!$J$5:$J$149,'Session Tracker'!$D$5:$D$149,$A31,'Session Tracker'!$F$5:$F$149,"Next week",'Session Tracker'!$G$5:$G$149,""))</f>
        <v>0</v>
      </c>
    </row>
    <row r="32" customFormat="false" ht="15" hidden="false" customHeight="false" outlineLevel="0" collapsed="false">
      <c r="A32" s="75" t="s">
        <v>292</v>
      </c>
      <c r="B32" s="34" t="s">
        <v>371</v>
      </c>
      <c r="C32" s="34" t="s">
        <v>372</v>
      </c>
      <c r="D32" s="32" t="n">
        <v>1</v>
      </c>
      <c r="E32" s="32" t="s">
        <v>14</v>
      </c>
      <c r="F32" s="32" t="s">
        <v>373</v>
      </c>
      <c r="G32" s="34"/>
      <c r="H32" s="52" t="n">
        <f aca="false">IF($E32="Per class",$D32*COUNTIFS('Session Tracker'!$D$5:$D$149,$A32,'Session Tracker'!$F$5:$F$149,"Next week",'Session Tracker'!$G$5:$G$149,"Mon"),$D32*SUMIFS('Session Tracker'!$J$5:$J$149,'Session Tracker'!$D$5:$D$149,$A32,'Session Tracker'!$F$5:$F$149,"Next week",'Session Tracker'!$G$5:$G$149,"Mon"))</f>
        <v>0</v>
      </c>
      <c r="I32" s="52" t="n">
        <f aca="false">IF($E32="Per class",$D32*COUNTIFS('Session Tracker'!$D$5:$D$149,$A32,'Session Tracker'!$F$5:$F$149,"Next week",'Session Tracker'!$G$5:$G$149,"Tue"),$D32*SUMIFS('Session Tracker'!$J$5:$J$149,'Session Tracker'!$D$5:$D$149,$A32,'Session Tracker'!$F$5:$F$149,"Next week",'Session Tracker'!$G$5:$G$149,"Tue"))</f>
        <v>0</v>
      </c>
      <c r="J32" s="52" t="n">
        <f aca="false">IF($E32="Per class",$D32*COUNTIFS('Session Tracker'!$D$5:$D$149,$A32,'Session Tracker'!$F$5:$F$149,"Next week",'Session Tracker'!$G$5:$G$149,"Wed"),$D32*SUMIFS('Session Tracker'!$J$5:$J$149,'Session Tracker'!$D$5:$D$149,$A32,'Session Tracker'!$F$5:$F$149,"Next week",'Session Tracker'!$G$5:$G$149,"Wed"))</f>
        <v>0</v>
      </c>
      <c r="K32" s="52" t="n">
        <f aca="false">IF($E32="Per class",$D32*COUNTIFS('Session Tracker'!$D$5:$D$149,$A32,'Session Tracker'!$F$5:$F$149,"Next week",'Session Tracker'!$G$5:$G$149,"Thu"),$D32*SUMIFS('Session Tracker'!$J$5:$J$149,'Session Tracker'!$D$5:$D$149,$A32,'Session Tracker'!$F$5:$F$149,"Next week",'Session Tracker'!$G$5:$G$149,"Thu"))</f>
        <v>0</v>
      </c>
      <c r="L32" s="52" t="n">
        <f aca="false">IF($E32="Per class",$D32*COUNTIFS('Session Tracker'!$D$5:$D$149,$A32,'Session Tracker'!$F$5:$F$149,"Next week",'Session Tracker'!$G$5:$G$149,"Fri"),$D32*SUMIFS('Session Tracker'!$J$5:$J$149,'Session Tracker'!$D$5:$D$149,$A32,'Session Tracker'!$F$5:$F$149,"Next week",'Session Tracker'!$G$5:$G$149,"Fri"))</f>
        <v>0</v>
      </c>
      <c r="M32" s="52" t="n">
        <f aca="false">IF($E32="Per class",$D32*COUNTIFS('Session Tracker'!$D$5:$D$149,$A32,'Session Tracker'!$F$5:$F$149,"Next week",'Session Tracker'!$G$5:$G$149,""),$D32*SUMIFS('Session Tracker'!$J$5:$J$149,'Session Tracker'!$D$5:$D$149,$A32,'Session Tracker'!$F$5:$F$149,"Next week",'Session Tracker'!$G$5:$G$149,""))</f>
        <v>0</v>
      </c>
    </row>
    <row r="33" customFormat="false" ht="15" hidden="false" customHeight="false" outlineLevel="0" collapsed="false">
      <c r="A33" s="75" t="s">
        <v>292</v>
      </c>
      <c r="B33" s="34" t="s">
        <v>375</v>
      </c>
      <c r="C33" s="34" t="s">
        <v>376</v>
      </c>
      <c r="D33" s="32" t="n">
        <v>1</v>
      </c>
      <c r="E33" s="32" t="s">
        <v>14</v>
      </c>
      <c r="F33" s="32" t="s">
        <v>373</v>
      </c>
      <c r="G33" s="34"/>
      <c r="H33" s="52" t="n">
        <f aca="false">IF($E33="Per class",$D33*COUNTIFS('Session Tracker'!$D$5:$D$149,$A33,'Session Tracker'!$F$5:$F$149,"Next week",'Session Tracker'!$G$5:$G$149,"Mon"),$D33*SUMIFS('Session Tracker'!$J$5:$J$149,'Session Tracker'!$D$5:$D$149,$A33,'Session Tracker'!$F$5:$F$149,"Next week",'Session Tracker'!$G$5:$G$149,"Mon"))</f>
        <v>0</v>
      </c>
      <c r="I33" s="52" t="n">
        <f aca="false">IF($E33="Per class",$D33*COUNTIFS('Session Tracker'!$D$5:$D$149,$A33,'Session Tracker'!$F$5:$F$149,"Next week",'Session Tracker'!$G$5:$G$149,"Tue"),$D33*SUMIFS('Session Tracker'!$J$5:$J$149,'Session Tracker'!$D$5:$D$149,$A33,'Session Tracker'!$F$5:$F$149,"Next week",'Session Tracker'!$G$5:$G$149,"Tue"))</f>
        <v>0</v>
      </c>
      <c r="J33" s="52" t="n">
        <f aca="false">IF($E33="Per class",$D33*COUNTIFS('Session Tracker'!$D$5:$D$149,$A33,'Session Tracker'!$F$5:$F$149,"Next week",'Session Tracker'!$G$5:$G$149,"Wed"),$D33*SUMIFS('Session Tracker'!$J$5:$J$149,'Session Tracker'!$D$5:$D$149,$A33,'Session Tracker'!$F$5:$F$149,"Next week",'Session Tracker'!$G$5:$G$149,"Wed"))</f>
        <v>0</v>
      </c>
      <c r="K33" s="52" t="n">
        <f aca="false">IF($E33="Per class",$D33*COUNTIFS('Session Tracker'!$D$5:$D$149,$A33,'Session Tracker'!$F$5:$F$149,"Next week",'Session Tracker'!$G$5:$G$149,"Thu"),$D33*SUMIFS('Session Tracker'!$J$5:$J$149,'Session Tracker'!$D$5:$D$149,$A33,'Session Tracker'!$F$5:$F$149,"Next week",'Session Tracker'!$G$5:$G$149,"Thu"))</f>
        <v>0</v>
      </c>
      <c r="L33" s="52" t="n">
        <f aca="false">IF($E33="Per class",$D33*COUNTIFS('Session Tracker'!$D$5:$D$149,$A33,'Session Tracker'!$F$5:$F$149,"Next week",'Session Tracker'!$G$5:$G$149,"Fri"),$D33*SUMIFS('Session Tracker'!$J$5:$J$149,'Session Tracker'!$D$5:$D$149,$A33,'Session Tracker'!$F$5:$F$149,"Next week",'Session Tracker'!$G$5:$G$149,"Fri"))</f>
        <v>0</v>
      </c>
      <c r="M33" s="52" t="n">
        <f aca="false">IF($E33="Per class",$D33*COUNTIFS('Session Tracker'!$D$5:$D$149,$A33,'Session Tracker'!$F$5:$F$149,"Next week",'Session Tracker'!$G$5:$G$149,""),$D33*SUMIFS('Session Tracker'!$J$5:$J$149,'Session Tracker'!$D$5:$D$149,$A33,'Session Tracker'!$F$5:$F$149,"Next week",'Session Tracker'!$G$5:$G$149,""))</f>
        <v>0</v>
      </c>
    </row>
    <row r="34" customFormat="false" ht="15" hidden="false" customHeight="false" outlineLevel="0" collapsed="false">
      <c r="A34" s="75" t="s">
        <v>292</v>
      </c>
      <c r="B34" s="34" t="s">
        <v>375</v>
      </c>
      <c r="C34" s="34" t="s">
        <v>387</v>
      </c>
      <c r="D34" s="32" t="n">
        <v>1</v>
      </c>
      <c r="E34" s="32" t="s">
        <v>14</v>
      </c>
      <c r="F34" s="32" t="s">
        <v>368</v>
      </c>
      <c r="G34" s="34" t="s">
        <v>393</v>
      </c>
      <c r="H34" s="52" t="n">
        <f aca="false">IF($E34="Per class",$D34*COUNTIFS('Session Tracker'!$D$5:$D$149,$A34,'Session Tracker'!$F$5:$F$149,"Next week",'Session Tracker'!$G$5:$G$149,"Mon"),$D34*SUMIFS('Session Tracker'!$J$5:$J$149,'Session Tracker'!$D$5:$D$149,$A34,'Session Tracker'!$F$5:$F$149,"Next week",'Session Tracker'!$G$5:$G$149,"Mon"))</f>
        <v>0</v>
      </c>
      <c r="I34" s="52" t="n">
        <f aca="false">IF($E34="Per class",$D34*COUNTIFS('Session Tracker'!$D$5:$D$149,$A34,'Session Tracker'!$F$5:$F$149,"Next week",'Session Tracker'!$G$5:$G$149,"Tue"),$D34*SUMIFS('Session Tracker'!$J$5:$J$149,'Session Tracker'!$D$5:$D$149,$A34,'Session Tracker'!$F$5:$F$149,"Next week",'Session Tracker'!$G$5:$G$149,"Tue"))</f>
        <v>0</v>
      </c>
      <c r="J34" s="52" t="n">
        <f aca="false">IF($E34="Per class",$D34*COUNTIFS('Session Tracker'!$D$5:$D$149,$A34,'Session Tracker'!$F$5:$F$149,"Next week",'Session Tracker'!$G$5:$G$149,"Wed"),$D34*SUMIFS('Session Tracker'!$J$5:$J$149,'Session Tracker'!$D$5:$D$149,$A34,'Session Tracker'!$F$5:$F$149,"Next week",'Session Tracker'!$G$5:$G$149,"Wed"))</f>
        <v>0</v>
      </c>
      <c r="K34" s="52" t="n">
        <f aca="false">IF($E34="Per class",$D34*COUNTIFS('Session Tracker'!$D$5:$D$149,$A34,'Session Tracker'!$F$5:$F$149,"Next week",'Session Tracker'!$G$5:$G$149,"Thu"),$D34*SUMIFS('Session Tracker'!$J$5:$J$149,'Session Tracker'!$D$5:$D$149,$A34,'Session Tracker'!$F$5:$F$149,"Next week",'Session Tracker'!$G$5:$G$149,"Thu"))</f>
        <v>0</v>
      </c>
      <c r="L34" s="52" t="n">
        <f aca="false">IF($E34="Per class",$D34*COUNTIFS('Session Tracker'!$D$5:$D$149,$A34,'Session Tracker'!$F$5:$F$149,"Next week",'Session Tracker'!$G$5:$G$149,"Fri"),$D34*SUMIFS('Session Tracker'!$J$5:$J$149,'Session Tracker'!$D$5:$D$149,$A34,'Session Tracker'!$F$5:$F$149,"Next week",'Session Tracker'!$G$5:$G$149,"Fri"))</f>
        <v>0</v>
      </c>
      <c r="M34" s="52" t="n">
        <f aca="false">IF($E34="Per class",$D34*COUNTIFS('Session Tracker'!$D$5:$D$149,$A34,'Session Tracker'!$F$5:$F$149,"Next week",'Session Tracker'!$G$5:$G$149,""),$D34*SUMIFS('Session Tracker'!$J$5:$J$149,'Session Tracker'!$D$5:$D$149,$A34,'Session Tracker'!$F$5:$F$149,"Next week",'Session Tracker'!$G$5:$G$149,""))</f>
        <v>0</v>
      </c>
    </row>
    <row r="35" customFormat="false" ht="15" hidden="false" customHeight="false" outlineLevel="0" collapsed="false">
      <c r="A35" s="75" t="s">
        <v>292</v>
      </c>
      <c r="B35" s="34" t="s">
        <v>379</v>
      </c>
      <c r="C35" s="34" t="s">
        <v>380</v>
      </c>
      <c r="D35" s="32" t="n">
        <v>2</v>
      </c>
      <c r="E35" s="32" t="s">
        <v>14</v>
      </c>
      <c r="F35" s="32" t="s">
        <v>368</v>
      </c>
      <c r="G35" s="34" t="s">
        <v>394</v>
      </c>
      <c r="H35" s="52" t="n">
        <f aca="false">IF($E35="Per class",$D35*COUNTIFS('Session Tracker'!$D$5:$D$149,$A35,'Session Tracker'!$F$5:$F$149,"Next week",'Session Tracker'!$G$5:$G$149,"Mon"),$D35*SUMIFS('Session Tracker'!$J$5:$J$149,'Session Tracker'!$D$5:$D$149,$A35,'Session Tracker'!$F$5:$F$149,"Next week",'Session Tracker'!$G$5:$G$149,"Mon"))</f>
        <v>0</v>
      </c>
      <c r="I35" s="52" t="n">
        <f aca="false">IF($E35="Per class",$D35*COUNTIFS('Session Tracker'!$D$5:$D$149,$A35,'Session Tracker'!$F$5:$F$149,"Next week",'Session Tracker'!$G$5:$G$149,"Tue"),$D35*SUMIFS('Session Tracker'!$J$5:$J$149,'Session Tracker'!$D$5:$D$149,$A35,'Session Tracker'!$F$5:$F$149,"Next week",'Session Tracker'!$G$5:$G$149,"Tue"))</f>
        <v>0</v>
      </c>
      <c r="J35" s="52" t="n">
        <f aca="false">IF($E35="Per class",$D35*COUNTIFS('Session Tracker'!$D$5:$D$149,$A35,'Session Tracker'!$F$5:$F$149,"Next week",'Session Tracker'!$G$5:$G$149,"Wed"),$D35*SUMIFS('Session Tracker'!$J$5:$J$149,'Session Tracker'!$D$5:$D$149,$A35,'Session Tracker'!$F$5:$F$149,"Next week",'Session Tracker'!$G$5:$G$149,"Wed"))</f>
        <v>0</v>
      </c>
      <c r="K35" s="52" t="n">
        <f aca="false">IF($E35="Per class",$D35*COUNTIFS('Session Tracker'!$D$5:$D$149,$A35,'Session Tracker'!$F$5:$F$149,"Next week",'Session Tracker'!$G$5:$G$149,"Thu"),$D35*SUMIFS('Session Tracker'!$J$5:$J$149,'Session Tracker'!$D$5:$D$149,$A35,'Session Tracker'!$F$5:$F$149,"Next week",'Session Tracker'!$G$5:$G$149,"Thu"))</f>
        <v>0</v>
      </c>
      <c r="L35" s="52" t="n">
        <f aca="false">IF($E35="Per class",$D35*COUNTIFS('Session Tracker'!$D$5:$D$149,$A35,'Session Tracker'!$F$5:$F$149,"Next week",'Session Tracker'!$G$5:$G$149,"Fri"),$D35*SUMIFS('Session Tracker'!$J$5:$J$149,'Session Tracker'!$D$5:$D$149,$A35,'Session Tracker'!$F$5:$F$149,"Next week",'Session Tracker'!$G$5:$G$149,"Fri"))</f>
        <v>0</v>
      </c>
      <c r="M35" s="52" t="n">
        <f aca="false">IF($E35="Per class",$D35*COUNTIFS('Session Tracker'!$D$5:$D$149,$A35,'Session Tracker'!$F$5:$F$149,"Next week",'Session Tracker'!$G$5:$G$149,""),$D35*SUMIFS('Session Tracker'!$J$5:$J$149,'Session Tracker'!$D$5:$D$149,$A35,'Session Tracker'!$F$5:$F$149,"Next week",'Session Tracker'!$G$5:$G$149,""))</f>
        <v>0</v>
      </c>
    </row>
    <row r="36" customFormat="false" ht="15" hidden="false" customHeight="false" outlineLevel="0" collapsed="false">
      <c r="A36" s="75" t="s">
        <v>292</v>
      </c>
      <c r="B36" s="34" t="s">
        <v>379</v>
      </c>
      <c r="C36" s="34" t="s">
        <v>381</v>
      </c>
      <c r="D36" s="32" t="n">
        <v>6</v>
      </c>
      <c r="E36" s="32" t="s">
        <v>14</v>
      </c>
      <c r="F36" s="32" t="s">
        <v>368</v>
      </c>
      <c r="G36" s="34"/>
      <c r="H36" s="52" t="n">
        <f aca="false">IF($E36="Per class",$D36*COUNTIFS('Session Tracker'!$D$5:$D$149,$A36,'Session Tracker'!$F$5:$F$149,"Next week",'Session Tracker'!$G$5:$G$149,"Mon"),$D36*SUMIFS('Session Tracker'!$J$5:$J$149,'Session Tracker'!$D$5:$D$149,$A36,'Session Tracker'!$F$5:$F$149,"Next week",'Session Tracker'!$G$5:$G$149,"Mon"))</f>
        <v>0</v>
      </c>
      <c r="I36" s="52" t="n">
        <f aca="false">IF($E36="Per class",$D36*COUNTIFS('Session Tracker'!$D$5:$D$149,$A36,'Session Tracker'!$F$5:$F$149,"Next week",'Session Tracker'!$G$5:$G$149,"Tue"),$D36*SUMIFS('Session Tracker'!$J$5:$J$149,'Session Tracker'!$D$5:$D$149,$A36,'Session Tracker'!$F$5:$F$149,"Next week",'Session Tracker'!$G$5:$G$149,"Tue"))</f>
        <v>0</v>
      </c>
      <c r="J36" s="52" t="n">
        <f aca="false">IF($E36="Per class",$D36*COUNTIFS('Session Tracker'!$D$5:$D$149,$A36,'Session Tracker'!$F$5:$F$149,"Next week",'Session Tracker'!$G$5:$G$149,"Wed"),$D36*SUMIFS('Session Tracker'!$J$5:$J$149,'Session Tracker'!$D$5:$D$149,$A36,'Session Tracker'!$F$5:$F$149,"Next week",'Session Tracker'!$G$5:$G$149,"Wed"))</f>
        <v>0</v>
      </c>
      <c r="K36" s="52" t="n">
        <f aca="false">IF($E36="Per class",$D36*COUNTIFS('Session Tracker'!$D$5:$D$149,$A36,'Session Tracker'!$F$5:$F$149,"Next week",'Session Tracker'!$G$5:$G$149,"Thu"),$D36*SUMIFS('Session Tracker'!$J$5:$J$149,'Session Tracker'!$D$5:$D$149,$A36,'Session Tracker'!$F$5:$F$149,"Next week",'Session Tracker'!$G$5:$G$149,"Thu"))</f>
        <v>0</v>
      </c>
      <c r="L36" s="52" t="n">
        <f aca="false">IF($E36="Per class",$D36*COUNTIFS('Session Tracker'!$D$5:$D$149,$A36,'Session Tracker'!$F$5:$F$149,"Next week",'Session Tracker'!$G$5:$G$149,"Fri"),$D36*SUMIFS('Session Tracker'!$J$5:$J$149,'Session Tracker'!$D$5:$D$149,$A36,'Session Tracker'!$F$5:$F$149,"Next week",'Session Tracker'!$G$5:$G$149,"Fri"))</f>
        <v>0</v>
      </c>
      <c r="M36" s="52" t="n">
        <f aca="false">IF($E36="Per class",$D36*COUNTIFS('Session Tracker'!$D$5:$D$149,$A36,'Session Tracker'!$F$5:$F$149,"Next week",'Session Tracker'!$G$5:$G$149,""),$D36*SUMIFS('Session Tracker'!$J$5:$J$149,'Session Tracker'!$D$5:$D$149,$A36,'Session Tracker'!$F$5:$F$149,"Next week",'Session Tracker'!$G$5:$G$149,""))</f>
        <v>0</v>
      </c>
    </row>
    <row r="37" customFormat="false" ht="15" hidden="false" customHeight="false" outlineLevel="0" collapsed="false">
      <c r="A37" s="75" t="s">
        <v>292</v>
      </c>
      <c r="B37" s="34" t="s">
        <v>379</v>
      </c>
      <c r="C37" s="34" t="s">
        <v>395</v>
      </c>
      <c r="D37" s="32" t="n">
        <v>4</v>
      </c>
      <c r="E37" s="32" t="s">
        <v>14</v>
      </c>
      <c r="F37" s="32" t="s">
        <v>368</v>
      </c>
      <c r="G37" s="34" t="s">
        <v>396</v>
      </c>
      <c r="H37" s="52" t="n">
        <f aca="false">IF($E37="Per class",$D37*COUNTIFS('Session Tracker'!$D$5:$D$149,$A37,'Session Tracker'!$F$5:$F$149,"Next week",'Session Tracker'!$G$5:$G$149,"Mon"),$D37*SUMIFS('Session Tracker'!$J$5:$J$149,'Session Tracker'!$D$5:$D$149,$A37,'Session Tracker'!$F$5:$F$149,"Next week",'Session Tracker'!$G$5:$G$149,"Mon"))</f>
        <v>0</v>
      </c>
      <c r="I37" s="52" t="n">
        <f aca="false">IF($E37="Per class",$D37*COUNTIFS('Session Tracker'!$D$5:$D$149,$A37,'Session Tracker'!$F$5:$F$149,"Next week",'Session Tracker'!$G$5:$G$149,"Tue"),$D37*SUMIFS('Session Tracker'!$J$5:$J$149,'Session Tracker'!$D$5:$D$149,$A37,'Session Tracker'!$F$5:$F$149,"Next week",'Session Tracker'!$G$5:$G$149,"Tue"))</f>
        <v>0</v>
      </c>
      <c r="J37" s="52" t="n">
        <f aca="false">IF($E37="Per class",$D37*COUNTIFS('Session Tracker'!$D$5:$D$149,$A37,'Session Tracker'!$F$5:$F$149,"Next week",'Session Tracker'!$G$5:$G$149,"Wed"),$D37*SUMIFS('Session Tracker'!$J$5:$J$149,'Session Tracker'!$D$5:$D$149,$A37,'Session Tracker'!$F$5:$F$149,"Next week",'Session Tracker'!$G$5:$G$149,"Wed"))</f>
        <v>0</v>
      </c>
      <c r="K37" s="52" t="n">
        <f aca="false">IF($E37="Per class",$D37*COUNTIFS('Session Tracker'!$D$5:$D$149,$A37,'Session Tracker'!$F$5:$F$149,"Next week",'Session Tracker'!$G$5:$G$149,"Thu"),$D37*SUMIFS('Session Tracker'!$J$5:$J$149,'Session Tracker'!$D$5:$D$149,$A37,'Session Tracker'!$F$5:$F$149,"Next week",'Session Tracker'!$G$5:$G$149,"Thu"))</f>
        <v>0</v>
      </c>
      <c r="L37" s="52" t="n">
        <f aca="false">IF($E37="Per class",$D37*COUNTIFS('Session Tracker'!$D$5:$D$149,$A37,'Session Tracker'!$F$5:$F$149,"Next week",'Session Tracker'!$G$5:$G$149,"Fri"),$D37*SUMIFS('Session Tracker'!$J$5:$J$149,'Session Tracker'!$D$5:$D$149,$A37,'Session Tracker'!$F$5:$F$149,"Next week",'Session Tracker'!$G$5:$G$149,"Fri"))</f>
        <v>0</v>
      </c>
      <c r="M37" s="52" t="n">
        <f aca="false">IF($E37="Per class",$D37*COUNTIFS('Session Tracker'!$D$5:$D$149,$A37,'Session Tracker'!$F$5:$F$149,"Next week",'Session Tracker'!$G$5:$G$149,""),$D37*SUMIFS('Session Tracker'!$J$5:$J$149,'Session Tracker'!$D$5:$D$149,$A37,'Session Tracker'!$F$5:$F$149,"Next week",'Session Tracker'!$G$5:$G$149,""))</f>
        <v>0</v>
      </c>
    </row>
    <row r="38" customFormat="false" ht="15" hidden="false" customHeight="false" outlineLevel="0" collapsed="false">
      <c r="A38" s="75" t="s">
        <v>292</v>
      </c>
      <c r="B38" s="34" t="s">
        <v>382</v>
      </c>
      <c r="C38" s="34" t="s">
        <v>383</v>
      </c>
      <c r="D38" s="32" t="n">
        <v>1</v>
      </c>
      <c r="E38" s="32" t="s">
        <v>14</v>
      </c>
      <c r="F38" s="32" t="s">
        <v>368</v>
      </c>
      <c r="G38" s="34"/>
      <c r="H38" s="52" t="n">
        <f aca="false">IF($E38="Per class",$D38*COUNTIFS('Session Tracker'!$D$5:$D$149,$A38,'Session Tracker'!$F$5:$F$149,"Next week",'Session Tracker'!$G$5:$G$149,"Mon"),$D38*SUMIFS('Session Tracker'!$J$5:$J$149,'Session Tracker'!$D$5:$D$149,$A38,'Session Tracker'!$F$5:$F$149,"Next week",'Session Tracker'!$G$5:$G$149,"Mon"))</f>
        <v>0</v>
      </c>
      <c r="I38" s="52" t="n">
        <f aca="false">IF($E38="Per class",$D38*COUNTIFS('Session Tracker'!$D$5:$D$149,$A38,'Session Tracker'!$F$5:$F$149,"Next week",'Session Tracker'!$G$5:$G$149,"Tue"),$D38*SUMIFS('Session Tracker'!$J$5:$J$149,'Session Tracker'!$D$5:$D$149,$A38,'Session Tracker'!$F$5:$F$149,"Next week",'Session Tracker'!$G$5:$G$149,"Tue"))</f>
        <v>0</v>
      </c>
      <c r="J38" s="52" t="n">
        <f aca="false">IF($E38="Per class",$D38*COUNTIFS('Session Tracker'!$D$5:$D$149,$A38,'Session Tracker'!$F$5:$F$149,"Next week",'Session Tracker'!$G$5:$G$149,"Wed"),$D38*SUMIFS('Session Tracker'!$J$5:$J$149,'Session Tracker'!$D$5:$D$149,$A38,'Session Tracker'!$F$5:$F$149,"Next week",'Session Tracker'!$G$5:$G$149,"Wed"))</f>
        <v>0</v>
      </c>
      <c r="K38" s="52" t="n">
        <f aca="false">IF($E38="Per class",$D38*COUNTIFS('Session Tracker'!$D$5:$D$149,$A38,'Session Tracker'!$F$5:$F$149,"Next week",'Session Tracker'!$G$5:$G$149,"Thu"),$D38*SUMIFS('Session Tracker'!$J$5:$J$149,'Session Tracker'!$D$5:$D$149,$A38,'Session Tracker'!$F$5:$F$149,"Next week",'Session Tracker'!$G$5:$G$149,"Thu"))</f>
        <v>0</v>
      </c>
      <c r="L38" s="52" t="n">
        <f aca="false">IF($E38="Per class",$D38*COUNTIFS('Session Tracker'!$D$5:$D$149,$A38,'Session Tracker'!$F$5:$F$149,"Next week",'Session Tracker'!$G$5:$G$149,"Fri"),$D38*SUMIFS('Session Tracker'!$J$5:$J$149,'Session Tracker'!$D$5:$D$149,$A38,'Session Tracker'!$F$5:$F$149,"Next week",'Session Tracker'!$G$5:$G$149,"Fri"))</f>
        <v>0</v>
      </c>
      <c r="M38" s="52" t="n">
        <f aca="false">IF($E38="Per class",$D38*COUNTIFS('Session Tracker'!$D$5:$D$149,$A38,'Session Tracker'!$F$5:$F$149,"Next week",'Session Tracker'!$G$5:$G$149,""),$D38*SUMIFS('Session Tracker'!$J$5:$J$149,'Session Tracker'!$D$5:$D$149,$A38,'Session Tracker'!$F$5:$F$149,"Next week",'Session Tracker'!$G$5:$G$149,""))</f>
        <v>0</v>
      </c>
    </row>
    <row r="39" customFormat="false" ht="15" hidden="false" customHeight="false" outlineLevel="0" collapsed="false">
      <c r="A39" s="75" t="s">
        <v>292</v>
      </c>
      <c r="B39" s="34" t="s">
        <v>382</v>
      </c>
      <c r="C39" s="34" t="s">
        <v>397</v>
      </c>
      <c r="D39" s="32" t="n">
        <v>1</v>
      </c>
      <c r="E39" s="32" t="s">
        <v>16</v>
      </c>
      <c r="F39" s="32" t="s">
        <v>368</v>
      </c>
      <c r="G39" s="34" t="s">
        <v>398</v>
      </c>
      <c r="H39" s="52" t="n">
        <f aca="false">IF($E39="Per class",$D39*COUNTIFS('Session Tracker'!$D$5:$D$149,$A39,'Session Tracker'!$F$5:$F$149,"Next week",'Session Tracker'!$G$5:$G$149,"Mon"),$D39*SUMIFS('Session Tracker'!$J$5:$J$149,'Session Tracker'!$D$5:$D$149,$A39,'Session Tracker'!$F$5:$F$149,"Next week",'Session Tracker'!$G$5:$G$149,"Mon"))</f>
        <v>0</v>
      </c>
      <c r="I39" s="52" t="n">
        <f aca="false">IF($E39="Per class",$D39*COUNTIFS('Session Tracker'!$D$5:$D$149,$A39,'Session Tracker'!$F$5:$F$149,"Next week",'Session Tracker'!$G$5:$G$149,"Tue"),$D39*SUMIFS('Session Tracker'!$J$5:$J$149,'Session Tracker'!$D$5:$D$149,$A39,'Session Tracker'!$F$5:$F$149,"Next week",'Session Tracker'!$G$5:$G$149,"Tue"))</f>
        <v>0</v>
      </c>
      <c r="J39" s="52" t="n">
        <f aca="false">IF($E39="Per class",$D39*COUNTIFS('Session Tracker'!$D$5:$D$149,$A39,'Session Tracker'!$F$5:$F$149,"Next week",'Session Tracker'!$G$5:$G$149,"Wed"),$D39*SUMIFS('Session Tracker'!$J$5:$J$149,'Session Tracker'!$D$5:$D$149,$A39,'Session Tracker'!$F$5:$F$149,"Next week",'Session Tracker'!$G$5:$G$149,"Wed"))</f>
        <v>0</v>
      </c>
      <c r="K39" s="52" t="n">
        <f aca="false">IF($E39="Per class",$D39*COUNTIFS('Session Tracker'!$D$5:$D$149,$A39,'Session Tracker'!$F$5:$F$149,"Next week",'Session Tracker'!$G$5:$G$149,"Thu"),$D39*SUMIFS('Session Tracker'!$J$5:$J$149,'Session Tracker'!$D$5:$D$149,$A39,'Session Tracker'!$F$5:$F$149,"Next week",'Session Tracker'!$G$5:$G$149,"Thu"))</f>
        <v>0</v>
      </c>
      <c r="L39" s="52" t="n">
        <f aca="false">IF($E39="Per class",$D39*COUNTIFS('Session Tracker'!$D$5:$D$149,$A39,'Session Tracker'!$F$5:$F$149,"Next week",'Session Tracker'!$G$5:$G$149,"Fri"),$D39*SUMIFS('Session Tracker'!$J$5:$J$149,'Session Tracker'!$D$5:$D$149,$A39,'Session Tracker'!$F$5:$F$149,"Next week",'Session Tracker'!$G$5:$G$149,"Fri"))</f>
        <v>0</v>
      </c>
      <c r="M39" s="52" t="n">
        <f aca="false">IF($E39="Per class",$D39*COUNTIFS('Session Tracker'!$D$5:$D$149,$A39,'Session Tracker'!$F$5:$F$149,"Next week",'Session Tracker'!$G$5:$G$149,""),$D39*SUMIFS('Session Tracker'!$J$5:$J$149,'Session Tracker'!$D$5:$D$149,$A39,'Session Tracker'!$F$5:$F$149,"Next week",'Session Tracker'!$G$5:$G$149,""))</f>
        <v>0</v>
      </c>
    </row>
    <row r="40" customFormat="false" ht="15" hidden="false" customHeight="false" outlineLevel="0" collapsed="false">
      <c r="A40" s="53" t="s">
        <v>292</v>
      </c>
      <c r="B40" s="54"/>
      <c r="C40" s="54"/>
      <c r="D40" s="54"/>
      <c r="E40" s="54"/>
      <c r="F40" s="54"/>
      <c r="G40" s="54"/>
      <c r="H40" s="52" t="n">
        <f aca="false">IF($E40="Per class",$D40*COUNTIFS('Session Tracker'!$D$5:$D$149,$A40,'Session Tracker'!$F$5:$F$149,"Next week",'Session Tracker'!$G$5:$G$149,"Mon"),$D40*SUMIFS('Session Tracker'!$J$5:$J$149,'Session Tracker'!$D$5:$D$149,$A40,'Session Tracker'!$F$5:$F$149,"Next week",'Session Tracker'!$G$5:$G$149,"Mon"))</f>
        <v>0</v>
      </c>
      <c r="I40" s="52" t="n">
        <f aca="false">IF($E40="Per class",$D40*COUNTIFS('Session Tracker'!$D$5:$D$149,$A40,'Session Tracker'!$F$5:$F$149,"Next week",'Session Tracker'!$G$5:$G$149,"Tue"),$D40*SUMIFS('Session Tracker'!$J$5:$J$149,'Session Tracker'!$D$5:$D$149,$A40,'Session Tracker'!$F$5:$F$149,"Next week",'Session Tracker'!$G$5:$G$149,"Tue"))</f>
        <v>0</v>
      </c>
      <c r="J40" s="52" t="n">
        <f aca="false">IF($E40="Per class",$D40*COUNTIFS('Session Tracker'!$D$5:$D$149,$A40,'Session Tracker'!$F$5:$F$149,"Next week",'Session Tracker'!$G$5:$G$149,"Wed"),$D40*SUMIFS('Session Tracker'!$J$5:$J$149,'Session Tracker'!$D$5:$D$149,$A40,'Session Tracker'!$F$5:$F$149,"Next week",'Session Tracker'!$G$5:$G$149,"Wed"))</f>
        <v>0</v>
      </c>
      <c r="K40" s="52" t="n">
        <f aca="false">IF($E40="Per class",$D40*COUNTIFS('Session Tracker'!$D$5:$D$149,$A40,'Session Tracker'!$F$5:$F$149,"Next week",'Session Tracker'!$G$5:$G$149,"Thu"),$D40*SUMIFS('Session Tracker'!$J$5:$J$149,'Session Tracker'!$D$5:$D$149,$A40,'Session Tracker'!$F$5:$F$149,"Next week",'Session Tracker'!$G$5:$G$149,"Thu"))</f>
        <v>0</v>
      </c>
      <c r="L40" s="52" t="n">
        <f aca="false">IF($E40="Per class",$D40*COUNTIFS('Session Tracker'!$D$5:$D$149,$A40,'Session Tracker'!$F$5:$F$149,"Next week",'Session Tracker'!$G$5:$G$149,"Fri"),$D40*SUMIFS('Session Tracker'!$J$5:$J$149,'Session Tracker'!$D$5:$D$149,$A40,'Session Tracker'!$F$5:$F$149,"Next week",'Session Tracker'!$G$5:$G$149,"Fri"))</f>
        <v>0</v>
      </c>
      <c r="M40" s="52" t="n">
        <f aca="false">IF($E40="Per class",$D40*COUNTIFS('Session Tracker'!$D$5:$D$149,$A40,'Session Tracker'!$F$5:$F$149,"Next week",'Session Tracker'!$G$5:$G$149,""),$D40*SUMIFS('Session Tracker'!$J$5:$J$149,'Session Tracker'!$D$5:$D$149,$A40,'Session Tracker'!$F$5:$F$149,"Next week",'Session Tracker'!$G$5:$G$149,""))</f>
        <v>0</v>
      </c>
    </row>
    <row r="41" customFormat="false" ht="15" hidden="false" customHeight="false" outlineLevel="0" collapsed="false">
      <c r="A41" s="53" t="s">
        <v>292</v>
      </c>
      <c r="B41" s="54"/>
      <c r="C41" s="54"/>
      <c r="D41" s="54"/>
      <c r="E41" s="54"/>
      <c r="F41" s="54"/>
      <c r="G41" s="54"/>
      <c r="H41" s="52" t="n">
        <f aca="false">IF($E41="Per class",$D41*COUNTIFS('Session Tracker'!$D$5:$D$149,$A41,'Session Tracker'!$F$5:$F$149,"Next week",'Session Tracker'!$G$5:$G$149,"Mon"),$D41*SUMIFS('Session Tracker'!$J$5:$J$149,'Session Tracker'!$D$5:$D$149,$A41,'Session Tracker'!$F$5:$F$149,"Next week",'Session Tracker'!$G$5:$G$149,"Mon"))</f>
        <v>0</v>
      </c>
      <c r="I41" s="52" t="n">
        <f aca="false">IF($E41="Per class",$D41*COUNTIFS('Session Tracker'!$D$5:$D$149,$A41,'Session Tracker'!$F$5:$F$149,"Next week",'Session Tracker'!$G$5:$G$149,"Tue"),$D41*SUMIFS('Session Tracker'!$J$5:$J$149,'Session Tracker'!$D$5:$D$149,$A41,'Session Tracker'!$F$5:$F$149,"Next week",'Session Tracker'!$G$5:$G$149,"Tue"))</f>
        <v>0</v>
      </c>
      <c r="J41" s="52" t="n">
        <f aca="false">IF($E41="Per class",$D41*COUNTIFS('Session Tracker'!$D$5:$D$149,$A41,'Session Tracker'!$F$5:$F$149,"Next week",'Session Tracker'!$G$5:$G$149,"Wed"),$D41*SUMIFS('Session Tracker'!$J$5:$J$149,'Session Tracker'!$D$5:$D$149,$A41,'Session Tracker'!$F$5:$F$149,"Next week",'Session Tracker'!$G$5:$G$149,"Wed"))</f>
        <v>0</v>
      </c>
      <c r="K41" s="52" t="n">
        <f aca="false">IF($E41="Per class",$D41*COUNTIFS('Session Tracker'!$D$5:$D$149,$A41,'Session Tracker'!$F$5:$F$149,"Next week",'Session Tracker'!$G$5:$G$149,"Thu"),$D41*SUMIFS('Session Tracker'!$J$5:$J$149,'Session Tracker'!$D$5:$D$149,$A41,'Session Tracker'!$F$5:$F$149,"Next week",'Session Tracker'!$G$5:$G$149,"Thu"))</f>
        <v>0</v>
      </c>
      <c r="L41" s="52" t="n">
        <f aca="false">IF($E41="Per class",$D41*COUNTIFS('Session Tracker'!$D$5:$D$149,$A41,'Session Tracker'!$F$5:$F$149,"Next week",'Session Tracker'!$G$5:$G$149,"Fri"),$D41*SUMIFS('Session Tracker'!$J$5:$J$149,'Session Tracker'!$D$5:$D$149,$A41,'Session Tracker'!$F$5:$F$149,"Next week",'Session Tracker'!$G$5:$G$149,"Fri"))</f>
        <v>0</v>
      </c>
      <c r="M41" s="52" t="n">
        <f aca="false">IF($E41="Per class",$D41*COUNTIFS('Session Tracker'!$D$5:$D$149,$A41,'Session Tracker'!$F$5:$F$149,"Next week",'Session Tracker'!$G$5:$G$149,""),$D41*SUMIFS('Session Tracker'!$J$5:$J$149,'Session Tracker'!$D$5:$D$149,$A41,'Session Tracker'!$F$5:$F$149,"Next week",'Session Tracker'!$G$5:$G$149,""))</f>
        <v>0</v>
      </c>
    </row>
    <row r="43" customFormat="false" ht="19.5" hidden="false" customHeight="true" outlineLevel="0" collapsed="false">
      <c r="A43" s="71" t="s">
        <v>293</v>
      </c>
      <c r="B43" s="72" t="s">
        <v>399</v>
      </c>
      <c r="C43" s="72"/>
      <c r="D43" s="72"/>
      <c r="E43" s="72"/>
      <c r="F43" s="73" t="str">
        <f aca="false">"Status: "&amp;'Session Tracker'!F117&amp;IF('Session Tracker'!G117&lt;&gt;""," ("&amp;'Session Tracker'!G117&amp;")","")</f>
        <v>Status: Not started</v>
      </c>
      <c r="G43" s="73"/>
      <c r="H43" s="74"/>
      <c r="I43" s="74"/>
      <c r="J43" s="74"/>
      <c r="K43" s="74"/>
      <c r="L43" s="74"/>
      <c r="M43" s="74"/>
    </row>
    <row r="44" customFormat="false" ht="15" hidden="false" customHeight="false" outlineLevel="0" collapsed="false">
      <c r="A44" s="75" t="s">
        <v>293</v>
      </c>
      <c r="B44" s="34" t="s">
        <v>382</v>
      </c>
      <c r="C44" s="34" t="s">
        <v>383</v>
      </c>
      <c r="D44" s="32" t="n">
        <v>1</v>
      </c>
      <c r="E44" s="32" t="s">
        <v>14</v>
      </c>
      <c r="F44" s="32" t="s">
        <v>368</v>
      </c>
      <c r="G44" s="34" t="s">
        <v>400</v>
      </c>
      <c r="H44" s="52" t="n">
        <f aca="false">IF($E44="Per class",$D44*COUNTIFS('Session Tracker'!$D$5:$D$149,$A44,'Session Tracker'!$F$5:$F$149,"Next week",'Session Tracker'!$G$5:$G$149,"Mon"),$D44*SUMIFS('Session Tracker'!$J$5:$J$149,'Session Tracker'!$D$5:$D$149,$A44,'Session Tracker'!$F$5:$F$149,"Next week",'Session Tracker'!$G$5:$G$149,"Mon"))</f>
        <v>0</v>
      </c>
      <c r="I44" s="52" t="n">
        <f aca="false">IF($E44="Per class",$D44*COUNTIFS('Session Tracker'!$D$5:$D$149,$A44,'Session Tracker'!$F$5:$F$149,"Next week",'Session Tracker'!$G$5:$G$149,"Tue"),$D44*SUMIFS('Session Tracker'!$J$5:$J$149,'Session Tracker'!$D$5:$D$149,$A44,'Session Tracker'!$F$5:$F$149,"Next week",'Session Tracker'!$G$5:$G$149,"Tue"))</f>
        <v>0</v>
      </c>
      <c r="J44" s="52" t="n">
        <f aca="false">IF($E44="Per class",$D44*COUNTIFS('Session Tracker'!$D$5:$D$149,$A44,'Session Tracker'!$F$5:$F$149,"Next week",'Session Tracker'!$G$5:$G$149,"Wed"),$D44*SUMIFS('Session Tracker'!$J$5:$J$149,'Session Tracker'!$D$5:$D$149,$A44,'Session Tracker'!$F$5:$F$149,"Next week",'Session Tracker'!$G$5:$G$149,"Wed"))</f>
        <v>0</v>
      </c>
      <c r="K44" s="52" t="n">
        <f aca="false">IF($E44="Per class",$D44*COUNTIFS('Session Tracker'!$D$5:$D$149,$A44,'Session Tracker'!$F$5:$F$149,"Next week",'Session Tracker'!$G$5:$G$149,"Thu"),$D44*SUMIFS('Session Tracker'!$J$5:$J$149,'Session Tracker'!$D$5:$D$149,$A44,'Session Tracker'!$F$5:$F$149,"Next week",'Session Tracker'!$G$5:$G$149,"Thu"))</f>
        <v>0</v>
      </c>
      <c r="L44" s="52" t="n">
        <f aca="false">IF($E44="Per class",$D44*COUNTIFS('Session Tracker'!$D$5:$D$149,$A44,'Session Tracker'!$F$5:$F$149,"Next week",'Session Tracker'!$G$5:$G$149,"Fri"),$D44*SUMIFS('Session Tracker'!$J$5:$J$149,'Session Tracker'!$D$5:$D$149,$A44,'Session Tracker'!$F$5:$F$149,"Next week",'Session Tracker'!$G$5:$G$149,"Fri"))</f>
        <v>0</v>
      </c>
      <c r="M44" s="52" t="n">
        <f aca="false">IF($E44="Per class",$D44*COUNTIFS('Session Tracker'!$D$5:$D$149,$A44,'Session Tracker'!$F$5:$F$149,"Next week",'Session Tracker'!$G$5:$G$149,""),$D44*SUMIFS('Session Tracker'!$J$5:$J$149,'Session Tracker'!$D$5:$D$149,$A44,'Session Tracker'!$F$5:$F$149,"Next week",'Session Tracker'!$G$5:$G$149,""))</f>
        <v>0</v>
      </c>
    </row>
    <row r="45" customFormat="false" ht="15" hidden="false" customHeight="false" outlineLevel="0" collapsed="false">
      <c r="A45" s="75" t="s">
        <v>293</v>
      </c>
      <c r="B45" s="34" t="s">
        <v>382</v>
      </c>
      <c r="C45" s="34" t="s">
        <v>401</v>
      </c>
      <c r="D45" s="32" t="n">
        <v>1</v>
      </c>
      <c r="E45" s="32" t="s">
        <v>16</v>
      </c>
      <c r="F45" s="32" t="s">
        <v>368</v>
      </c>
      <c r="G45" s="34"/>
      <c r="H45" s="52" t="n">
        <f aca="false">IF($E45="Per class",$D45*COUNTIFS('Session Tracker'!$D$5:$D$149,$A45,'Session Tracker'!$F$5:$F$149,"Next week",'Session Tracker'!$G$5:$G$149,"Mon"),$D45*SUMIFS('Session Tracker'!$J$5:$J$149,'Session Tracker'!$D$5:$D$149,$A45,'Session Tracker'!$F$5:$F$149,"Next week",'Session Tracker'!$G$5:$G$149,"Mon"))</f>
        <v>0</v>
      </c>
      <c r="I45" s="52" t="n">
        <f aca="false">IF($E45="Per class",$D45*COUNTIFS('Session Tracker'!$D$5:$D$149,$A45,'Session Tracker'!$F$5:$F$149,"Next week",'Session Tracker'!$G$5:$G$149,"Tue"),$D45*SUMIFS('Session Tracker'!$J$5:$J$149,'Session Tracker'!$D$5:$D$149,$A45,'Session Tracker'!$F$5:$F$149,"Next week",'Session Tracker'!$G$5:$G$149,"Tue"))</f>
        <v>0</v>
      </c>
      <c r="J45" s="52" t="n">
        <f aca="false">IF($E45="Per class",$D45*COUNTIFS('Session Tracker'!$D$5:$D$149,$A45,'Session Tracker'!$F$5:$F$149,"Next week",'Session Tracker'!$G$5:$G$149,"Wed"),$D45*SUMIFS('Session Tracker'!$J$5:$J$149,'Session Tracker'!$D$5:$D$149,$A45,'Session Tracker'!$F$5:$F$149,"Next week",'Session Tracker'!$G$5:$G$149,"Wed"))</f>
        <v>0</v>
      </c>
      <c r="K45" s="52" t="n">
        <f aca="false">IF($E45="Per class",$D45*COUNTIFS('Session Tracker'!$D$5:$D$149,$A45,'Session Tracker'!$F$5:$F$149,"Next week",'Session Tracker'!$G$5:$G$149,"Thu"),$D45*SUMIFS('Session Tracker'!$J$5:$J$149,'Session Tracker'!$D$5:$D$149,$A45,'Session Tracker'!$F$5:$F$149,"Next week",'Session Tracker'!$G$5:$G$149,"Thu"))</f>
        <v>0</v>
      </c>
      <c r="L45" s="52" t="n">
        <f aca="false">IF($E45="Per class",$D45*COUNTIFS('Session Tracker'!$D$5:$D$149,$A45,'Session Tracker'!$F$5:$F$149,"Next week",'Session Tracker'!$G$5:$G$149,"Fri"),$D45*SUMIFS('Session Tracker'!$J$5:$J$149,'Session Tracker'!$D$5:$D$149,$A45,'Session Tracker'!$F$5:$F$149,"Next week",'Session Tracker'!$G$5:$G$149,"Fri"))</f>
        <v>0</v>
      </c>
      <c r="M45" s="52" t="n">
        <f aca="false">IF($E45="Per class",$D45*COUNTIFS('Session Tracker'!$D$5:$D$149,$A45,'Session Tracker'!$F$5:$F$149,"Next week",'Session Tracker'!$G$5:$G$149,""),$D45*SUMIFS('Session Tracker'!$J$5:$J$149,'Session Tracker'!$D$5:$D$149,$A45,'Session Tracker'!$F$5:$F$149,"Next week",'Session Tracker'!$G$5:$G$149,""))</f>
        <v>0</v>
      </c>
    </row>
    <row r="46" customFormat="false" ht="15" hidden="false" customHeight="false" outlineLevel="0" collapsed="false">
      <c r="A46" s="75" t="s">
        <v>293</v>
      </c>
      <c r="B46" s="34" t="s">
        <v>382</v>
      </c>
      <c r="C46" s="34" t="s">
        <v>402</v>
      </c>
      <c r="D46" s="32" t="n">
        <v>1</v>
      </c>
      <c r="E46" s="32" t="s">
        <v>16</v>
      </c>
      <c r="F46" s="32" t="s">
        <v>373</v>
      </c>
      <c r="G46" s="34" t="s">
        <v>403</v>
      </c>
      <c r="H46" s="52" t="n">
        <f aca="false">IF($E46="Per class",$D46*COUNTIFS('Session Tracker'!$D$5:$D$149,$A46,'Session Tracker'!$F$5:$F$149,"Next week",'Session Tracker'!$G$5:$G$149,"Mon"),$D46*SUMIFS('Session Tracker'!$J$5:$J$149,'Session Tracker'!$D$5:$D$149,$A46,'Session Tracker'!$F$5:$F$149,"Next week",'Session Tracker'!$G$5:$G$149,"Mon"))</f>
        <v>0</v>
      </c>
      <c r="I46" s="52" t="n">
        <f aca="false">IF($E46="Per class",$D46*COUNTIFS('Session Tracker'!$D$5:$D$149,$A46,'Session Tracker'!$F$5:$F$149,"Next week",'Session Tracker'!$G$5:$G$149,"Tue"),$D46*SUMIFS('Session Tracker'!$J$5:$J$149,'Session Tracker'!$D$5:$D$149,$A46,'Session Tracker'!$F$5:$F$149,"Next week",'Session Tracker'!$G$5:$G$149,"Tue"))</f>
        <v>0</v>
      </c>
      <c r="J46" s="52" t="n">
        <f aca="false">IF($E46="Per class",$D46*COUNTIFS('Session Tracker'!$D$5:$D$149,$A46,'Session Tracker'!$F$5:$F$149,"Next week",'Session Tracker'!$G$5:$G$149,"Wed"),$D46*SUMIFS('Session Tracker'!$J$5:$J$149,'Session Tracker'!$D$5:$D$149,$A46,'Session Tracker'!$F$5:$F$149,"Next week",'Session Tracker'!$G$5:$G$149,"Wed"))</f>
        <v>0</v>
      </c>
      <c r="K46" s="52" t="n">
        <f aca="false">IF($E46="Per class",$D46*COUNTIFS('Session Tracker'!$D$5:$D$149,$A46,'Session Tracker'!$F$5:$F$149,"Next week",'Session Tracker'!$G$5:$G$149,"Thu"),$D46*SUMIFS('Session Tracker'!$J$5:$J$149,'Session Tracker'!$D$5:$D$149,$A46,'Session Tracker'!$F$5:$F$149,"Next week",'Session Tracker'!$G$5:$G$149,"Thu"))</f>
        <v>0</v>
      </c>
      <c r="L46" s="52" t="n">
        <f aca="false">IF($E46="Per class",$D46*COUNTIFS('Session Tracker'!$D$5:$D$149,$A46,'Session Tracker'!$F$5:$F$149,"Next week",'Session Tracker'!$G$5:$G$149,"Fri"),$D46*SUMIFS('Session Tracker'!$J$5:$J$149,'Session Tracker'!$D$5:$D$149,$A46,'Session Tracker'!$F$5:$F$149,"Next week",'Session Tracker'!$G$5:$G$149,"Fri"))</f>
        <v>0</v>
      </c>
      <c r="M46" s="52" t="n">
        <f aca="false">IF($E46="Per class",$D46*COUNTIFS('Session Tracker'!$D$5:$D$149,$A46,'Session Tracker'!$F$5:$F$149,"Next week",'Session Tracker'!$G$5:$G$149,""),$D46*SUMIFS('Session Tracker'!$J$5:$J$149,'Session Tracker'!$D$5:$D$149,$A46,'Session Tracker'!$F$5:$F$149,"Next week",'Session Tracker'!$G$5:$G$149,""))</f>
        <v>0</v>
      </c>
    </row>
    <row r="47" customFormat="false" ht="15" hidden="false" customHeight="false" outlineLevel="0" collapsed="false">
      <c r="A47" s="75" t="s">
        <v>293</v>
      </c>
      <c r="B47" s="34" t="s">
        <v>382</v>
      </c>
      <c r="C47" s="34" t="s">
        <v>404</v>
      </c>
      <c r="D47" s="32" t="n">
        <v>1</v>
      </c>
      <c r="E47" s="32" t="s">
        <v>16</v>
      </c>
      <c r="F47" s="32" t="s">
        <v>368</v>
      </c>
      <c r="G47" s="34" t="s">
        <v>405</v>
      </c>
      <c r="H47" s="52" t="n">
        <f aca="false">IF($E47="Per class",$D47*COUNTIFS('Session Tracker'!$D$5:$D$149,$A47,'Session Tracker'!$F$5:$F$149,"Next week",'Session Tracker'!$G$5:$G$149,"Mon"),$D47*SUMIFS('Session Tracker'!$J$5:$J$149,'Session Tracker'!$D$5:$D$149,$A47,'Session Tracker'!$F$5:$F$149,"Next week",'Session Tracker'!$G$5:$G$149,"Mon"))</f>
        <v>0</v>
      </c>
      <c r="I47" s="52" t="n">
        <f aca="false">IF($E47="Per class",$D47*COUNTIFS('Session Tracker'!$D$5:$D$149,$A47,'Session Tracker'!$F$5:$F$149,"Next week",'Session Tracker'!$G$5:$G$149,"Tue"),$D47*SUMIFS('Session Tracker'!$J$5:$J$149,'Session Tracker'!$D$5:$D$149,$A47,'Session Tracker'!$F$5:$F$149,"Next week",'Session Tracker'!$G$5:$G$149,"Tue"))</f>
        <v>0</v>
      </c>
      <c r="J47" s="52" t="n">
        <f aca="false">IF($E47="Per class",$D47*COUNTIFS('Session Tracker'!$D$5:$D$149,$A47,'Session Tracker'!$F$5:$F$149,"Next week",'Session Tracker'!$G$5:$G$149,"Wed"),$D47*SUMIFS('Session Tracker'!$J$5:$J$149,'Session Tracker'!$D$5:$D$149,$A47,'Session Tracker'!$F$5:$F$149,"Next week",'Session Tracker'!$G$5:$G$149,"Wed"))</f>
        <v>0</v>
      </c>
      <c r="K47" s="52" t="n">
        <f aca="false">IF($E47="Per class",$D47*COUNTIFS('Session Tracker'!$D$5:$D$149,$A47,'Session Tracker'!$F$5:$F$149,"Next week",'Session Tracker'!$G$5:$G$149,"Thu"),$D47*SUMIFS('Session Tracker'!$J$5:$J$149,'Session Tracker'!$D$5:$D$149,$A47,'Session Tracker'!$F$5:$F$149,"Next week",'Session Tracker'!$G$5:$G$149,"Thu"))</f>
        <v>0</v>
      </c>
      <c r="L47" s="52" t="n">
        <f aca="false">IF($E47="Per class",$D47*COUNTIFS('Session Tracker'!$D$5:$D$149,$A47,'Session Tracker'!$F$5:$F$149,"Next week",'Session Tracker'!$G$5:$G$149,"Fri"),$D47*SUMIFS('Session Tracker'!$J$5:$J$149,'Session Tracker'!$D$5:$D$149,$A47,'Session Tracker'!$F$5:$F$149,"Next week",'Session Tracker'!$G$5:$G$149,"Fri"))</f>
        <v>0</v>
      </c>
      <c r="M47" s="52" t="n">
        <f aca="false">IF($E47="Per class",$D47*COUNTIFS('Session Tracker'!$D$5:$D$149,$A47,'Session Tracker'!$F$5:$F$149,"Next week",'Session Tracker'!$G$5:$G$149,""),$D47*SUMIFS('Session Tracker'!$J$5:$J$149,'Session Tracker'!$D$5:$D$149,$A47,'Session Tracker'!$F$5:$F$149,"Next week",'Session Tracker'!$G$5:$G$149,""))</f>
        <v>0</v>
      </c>
    </row>
    <row r="48" customFormat="false" ht="15" hidden="false" customHeight="false" outlineLevel="0" collapsed="false">
      <c r="A48" s="53" t="s">
        <v>293</v>
      </c>
      <c r="B48" s="54"/>
      <c r="C48" s="54"/>
      <c r="D48" s="54"/>
      <c r="E48" s="54"/>
      <c r="F48" s="54"/>
      <c r="G48" s="54"/>
      <c r="H48" s="52" t="n">
        <f aca="false">IF($E48="Per class",$D48*COUNTIFS('Session Tracker'!$D$5:$D$149,$A48,'Session Tracker'!$F$5:$F$149,"Next week",'Session Tracker'!$G$5:$G$149,"Mon"),$D48*SUMIFS('Session Tracker'!$J$5:$J$149,'Session Tracker'!$D$5:$D$149,$A48,'Session Tracker'!$F$5:$F$149,"Next week",'Session Tracker'!$G$5:$G$149,"Mon"))</f>
        <v>0</v>
      </c>
      <c r="I48" s="52" t="n">
        <f aca="false">IF($E48="Per class",$D48*COUNTIFS('Session Tracker'!$D$5:$D$149,$A48,'Session Tracker'!$F$5:$F$149,"Next week",'Session Tracker'!$G$5:$G$149,"Tue"),$D48*SUMIFS('Session Tracker'!$J$5:$J$149,'Session Tracker'!$D$5:$D$149,$A48,'Session Tracker'!$F$5:$F$149,"Next week",'Session Tracker'!$G$5:$G$149,"Tue"))</f>
        <v>0</v>
      </c>
      <c r="J48" s="52" t="n">
        <f aca="false">IF($E48="Per class",$D48*COUNTIFS('Session Tracker'!$D$5:$D$149,$A48,'Session Tracker'!$F$5:$F$149,"Next week",'Session Tracker'!$G$5:$G$149,"Wed"),$D48*SUMIFS('Session Tracker'!$J$5:$J$149,'Session Tracker'!$D$5:$D$149,$A48,'Session Tracker'!$F$5:$F$149,"Next week",'Session Tracker'!$G$5:$G$149,"Wed"))</f>
        <v>0</v>
      </c>
      <c r="K48" s="52" t="n">
        <f aca="false">IF($E48="Per class",$D48*COUNTIFS('Session Tracker'!$D$5:$D$149,$A48,'Session Tracker'!$F$5:$F$149,"Next week",'Session Tracker'!$G$5:$G$149,"Thu"),$D48*SUMIFS('Session Tracker'!$J$5:$J$149,'Session Tracker'!$D$5:$D$149,$A48,'Session Tracker'!$F$5:$F$149,"Next week",'Session Tracker'!$G$5:$G$149,"Thu"))</f>
        <v>0</v>
      </c>
      <c r="L48" s="52" t="n">
        <f aca="false">IF($E48="Per class",$D48*COUNTIFS('Session Tracker'!$D$5:$D$149,$A48,'Session Tracker'!$F$5:$F$149,"Next week",'Session Tracker'!$G$5:$G$149,"Fri"),$D48*SUMIFS('Session Tracker'!$J$5:$J$149,'Session Tracker'!$D$5:$D$149,$A48,'Session Tracker'!$F$5:$F$149,"Next week",'Session Tracker'!$G$5:$G$149,"Fri"))</f>
        <v>0</v>
      </c>
      <c r="M48" s="52" t="n">
        <f aca="false">IF($E48="Per class",$D48*COUNTIFS('Session Tracker'!$D$5:$D$149,$A48,'Session Tracker'!$F$5:$F$149,"Next week",'Session Tracker'!$G$5:$G$149,""),$D48*SUMIFS('Session Tracker'!$J$5:$J$149,'Session Tracker'!$D$5:$D$149,$A48,'Session Tracker'!$F$5:$F$149,"Next week",'Session Tracker'!$G$5:$G$149,""))</f>
        <v>0</v>
      </c>
    </row>
    <row r="49" customFormat="false" ht="15" hidden="false" customHeight="false" outlineLevel="0" collapsed="false">
      <c r="A49" s="53" t="s">
        <v>293</v>
      </c>
      <c r="B49" s="54"/>
      <c r="C49" s="54"/>
      <c r="D49" s="54"/>
      <c r="E49" s="54"/>
      <c r="F49" s="54"/>
      <c r="G49" s="54"/>
      <c r="H49" s="52" t="n">
        <f aca="false">IF($E49="Per class",$D49*COUNTIFS('Session Tracker'!$D$5:$D$149,$A49,'Session Tracker'!$F$5:$F$149,"Next week",'Session Tracker'!$G$5:$G$149,"Mon"),$D49*SUMIFS('Session Tracker'!$J$5:$J$149,'Session Tracker'!$D$5:$D$149,$A49,'Session Tracker'!$F$5:$F$149,"Next week",'Session Tracker'!$G$5:$G$149,"Mon"))</f>
        <v>0</v>
      </c>
      <c r="I49" s="52" t="n">
        <f aca="false">IF($E49="Per class",$D49*COUNTIFS('Session Tracker'!$D$5:$D$149,$A49,'Session Tracker'!$F$5:$F$149,"Next week",'Session Tracker'!$G$5:$G$149,"Tue"),$D49*SUMIFS('Session Tracker'!$J$5:$J$149,'Session Tracker'!$D$5:$D$149,$A49,'Session Tracker'!$F$5:$F$149,"Next week",'Session Tracker'!$G$5:$G$149,"Tue"))</f>
        <v>0</v>
      </c>
      <c r="J49" s="52" t="n">
        <f aca="false">IF($E49="Per class",$D49*COUNTIFS('Session Tracker'!$D$5:$D$149,$A49,'Session Tracker'!$F$5:$F$149,"Next week",'Session Tracker'!$G$5:$G$149,"Wed"),$D49*SUMIFS('Session Tracker'!$J$5:$J$149,'Session Tracker'!$D$5:$D$149,$A49,'Session Tracker'!$F$5:$F$149,"Next week",'Session Tracker'!$G$5:$G$149,"Wed"))</f>
        <v>0</v>
      </c>
      <c r="K49" s="52" t="n">
        <f aca="false">IF($E49="Per class",$D49*COUNTIFS('Session Tracker'!$D$5:$D$149,$A49,'Session Tracker'!$F$5:$F$149,"Next week",'Session Tracker'!$G$5:$G$149,"Thu"),$D49*SUMIFS('Session Tracker'!$J$5:$J$149,'Session Tracker'!$D$5:$D$149,$A49,'Session Tracker'!$F$5:$F$149,"Next week",'Session Tracker'!$G$5:$G$149,"Thu"))</f>
        <v>0</v>
      </c>
      <c r="L49" s="52" t="n">
        <f aca="false">IF($E49="Per class",$D49*COUNTIFS('Session Tracker'!$D$5:$D$149,$A49,'Session Tracker'!$F$5:$F$149,"Next week",'Session Tracker'!$G$5:$G$149,"Fri"),$D49*SUMIFS('Session Tracker'!$J$5:$J$149,'Session Tracker'!$D$5:$D$149,$A49,'Session Tracker'!$F$5:$F$149,"Next week",'Session Tracker'!$G$5:$G$149,"Fri"))</f>
        <v>0</v>
      </c>
      <c r="M49" s="52" t="n">
        <f aca="false">IF($E49="Per class",$D49*COUNTIFS('Session Tracker'!$D$5:$D$149,$A49,'Session Tracker'!$F$5:$F$149,"Next week",'Session Tracker'!$G$5:$G$149,""),$D49*SUMIFS('Session Tracker'!$J$5:$J$149,'Session Tracker'!$D$5:$D$149,$A49,'Session Tracker'!$F$5:$F$149,"Next week",'Session Tracker'!$G$5:$G$149,""))</f>
        <v>0</v>
      </c>
    </row>
    <row r="51" customFormat="false" ht="19.5" hidden="false" customHeight="true" outlineLevel="0" collapsed="false">
      <c r="A51" s="71" t="s">
        <v>294</v>
      </c>
      <c r="B51" s="72" t="s">
        <v>656</v>
      </c>
      <c r="C51" s="72"/>
      <c r="D51" s="72"/>
      <c r="E51" s="72"/>
      <c r="F51" s="73" t="str">
        <f aca="false">"Status: "&amp;'Session Tracker'!F118&amp;IF('Session Tracker'!G118&lt;&gt;""," ("&amp;'Session Tracker'!G118&amp;")","")</f>
        <v>Status: Not started</v>
      </c>
      <c r="G51" s="73"/>
      <c r="H51" s="74"/>
      <c r="I51" s="74"/>
      <c r="J51" s="74"/>
      <c r="K51" s="74"/>
      <c r="L51" s="74"/>
      <c r="M51" s="74"/>
    </row>
    <row r="52" customFormat="false" ht="23.85" hidden="false" customHeight="false" outlineLevel="0" collapsed="false">
      <c r="A52" s="75" t="s">
        <v>294</v>
      </c>
      <c r="B52" s="34" t="s">
        <v>366</v>
      </c>
      <c r="C52" s="34" t="s">
        <v>391</v>
      </c>
      <c r="D52" s="32" t="n">
        <v>1</v>
      </c>
      <c r="E52" s="32" t="s">
        <v>14</v>
      </c>
      <c r="F52" s="32" t="s">
        <v>368</v>
      </c>
      <c r="G52" s="34"/>
      <c r="H52" s="52" t="n">
        <f aca="false">IF($E52="Per class",$D52*COUNTIFS('Session Tracker'!$D$5:$D$149,$A52,'Session Tracker'!$F$5:$F$149,"Next week",'Session Tracker'!$G$5:$G$149,"Mon"),$D52*SUMIFS('Session Tracker'!$J$5:$J$149,'Session Tracker'!$D$5:$D$149,$A52,'Session Tracker'!$F$5:$F$149,"Next week",'Session Tracker'!$G$5:$G$149,"Mon"))</f>
        <v>0</v>
      </c>
      <c r="I52" s="52" t="n">
        <f aca="false">IF($E52="Per class",$D52*COUNTIFS('Session Tracker'!$D$5:$D$149,$A52,'Session Tracker'!$F$5:$F$149,"Next week",'Session Tracker'!$G$5:$G$149,"Tue"),$D52*SUMIFS('Session Tracker'!$J$5:$J$149,'Session Tracker'!$D$5:$D$149,$A52,'Session Tracker'!$F$5:$F$149,"Next week",'Session Tracker'!$G$5:$G$149,"Tue"))</f>
        <v>0</v>
      </c>
      <c r="J52" s="52" t="n">
        <f aca="false">IF($E52="Per class",$D52*COUNTIFS('Session Tracker'!$D$5:$D$149,$A52,'Session Tracker'!$F$5:$F$149,"Next week",'Session Tracker'!$G$5:$G$149,"Wed"),$D52*SUMIFS('Session Tracker'!$J$5:$J$149,'Session Tracker'!$D$5:$D$149,$A52,'Session Tracker'!$F$5:$F$149,"Next week",'Session Tracker'!$G$5:$G$149,"Wed"))</f>
        <v>0</v>
      </c>
      <c r="K52" s="52" t="n">
        <f aca="false">IF($E52="Per class",$D52*COUNTIFS('Session Tracker'!$D$5:$D$149,$A52,'Session Tracker'!$F$5:$F$149,"Next week",'Session Tracker'!$G$5:$G$149,"Thu"),$D52*SUMIFS('Session Tracker'!$J$5:$J$149,'Session Tracker'!$D$5:$D$149,$A52,'Session Tracker'!$F$5:$F$149,"Next week",'Session Tracker'!$G$5:$G$149,"Thu"))</f>
        <v>0</v>
      </c>
      <c r="L52" s="52" t="n">
        <f aca="false">IF($E52="Per class",$D52*COUNTIFS('Session Tracker'!$D$5:$D$149,$A52,'Session Tracker'!$F$5:$F$149,"Next week",'Session Tracker'!$G$5:$G$149,"Fri"),$D52*SUMIFS('Session Tracker'!$J$5:$J$149,'Session Tracker'!$D$5:$D$149,$A52,'Session Tracker'!$F$5:$F$149,"Next week",'Session Tracker'!$G$5:$G$149,"Fri"))</f>
        <v>0</v>
      </c>
      <c r="M52" s="52" t="n">
        <f aca="false">IF($E52="Per class",$D52*COUNTIFS('Session Tracker'!$D$5:$D$149,$A52,'Session Tracker'!$F$5:$F$149,"Next week",'Session Tracker'!$G$5:$G$149,""),$D52*SUMIFS('Session Tracker'!$J$5:$J$149,'Session Tracker'!$D$5:$D$149,$A52,'Session Tracker'!$F$5:$F$149,"Next week",'Session Tracker'!$G$5:$G$149,""))</f>
        <v>0</v>
      </c>
    </row>
    <row r="53" customFormat="false" ht="15" hidden="false" customHeight="false" outlineLevel="0" collapsed="false">
      <c r="A53" s="75" t="s">
        <v>294</v>
      </c>
      <c r="B53" s="34" t="s">
        <v>409</v>
      </c>
      <c r="C53" s="34" t="s">
        <v>536</v>
      </c>
      <c r="D53" s="32" t="n">
        <v>1</v>
      </c>
      <c r="E53" s="32" t="s">
        <v>14</v>
      </c>
      <c r="F53" s="32" t="s">
        <v>368</v>
      </c>
      <c r="G53" s="34"/>
      <c r="H53" s="52" t="n">
        <f aca="false">IF($E53="Per class",$D53*COUNTIFS('Session Tracker'!$D$5:$D$149,$A53,'Session Tracker'!$F$5:$F$149,"Next week",'Session Tracker'!$G$5:$G$149,"Mon"),$D53*SUMIFS('Session Tracker'!$J$5:$J$149,'Session Tracker'!$D$5:$D$149,$A53,'Session Tracker'!$F$5:$F$149,"Next week",'Session Tracker'!$G$5:$G$149,"Mon"))</f>
        <v>0</v>
      </c>
      <c r="I53" s="52" t="n">
        <f aca="false">IF($E53="Per class",$D53*COUNTIFS('Session Tracker'!$D$5:$D$149,$A53,'Session Tracker'!$F$5:$F$149,"Next week",'Session Tracker'!$G$5:$G$149,"Tue"),$D53*SUMIFS('Session Tracker'!$J$5:$J$149,'Session Tracker'!$D$5:$D$149,$A53,'Session Tracker'!$F$5:$F$149,"Next week",'Session Tracker'!$G$5:$G$149,"Tue"))</f>
        <v>0</v>
      </c>
      <c r="J53" s="52" t="n">
        <f aca="false">IF($E53="Per class",$D53*COUNTIFS('Session Tracker'!$D$5:$D$149,$A53,'Session Tracker'!$F$5:$F$149,"Next week",'Session Tracker'!$G$5:$G$149,"Wed"),$D53*SUMIFS('Session Tracker'!$J$5:$J$149,'Session Tracker'!$D$5:$D$149,$A53,'Session Tracker'!$F$5:$F$149,"Next week",'Session Tracker'!$G$5:$G$149,"Wed"))</f>
        <v>0</v>
      </c>
      <c r="K53" s="52" t="n">
        <f aca="false">IF($E53="Per class",$D53*COUNTIFS('Session Tracker'!$D$5:$D$149,$A53,'Session Tracker'!$F$5:$F$149,"Next week",'Session Tracker'!$G$5:$G$149,"Thu"),$D53*SUMIFS('Session Tracker'!$J$5:$J$149,'Session Tracker'!$D$5:$D$149,$A53,'Session Tracker'!$F$5:$F$149,"Next week",'Session Tracker'!$G$5:$G$149,"Thu"))</f>
        <v>0</v>
      </c>
      <c r="L53" s="52" t="n">
        <f aca="false">IF($E53="Per class",$D53*COUNTIFS('Session Tracker'!$D$5:$D$149,$A53,'Session Tracker'!$F$5:$F$149,"Next week",'Session Tracker'!$G$5:$G$149,"Fri"),$D53*SUMIFS('Session Tracker'!$J$5:$J$149,'Session Tracker'!$D$5:$D$149,$A53,'Session Tracker'!$F$5:$F$149,"Next week",'Session Tracker'!$G$5:$G$149,"Fri"))</f>
        <v>0</v>
      </c>
      <c r="M53" s="52" t="n">
        <f aca="false">IF($E53="Per class",$D53*COUNTIFS('Session Tracker'!$D$5:$D$149,$A53,'Session Tracker'!$F$5:$F$149,"Next week",'Session Tracker'!$G$5:$G$149,""),$D53*SUMIFS('Session Tracker'!$J$5:$J$149,'Session Tracker'!$D$5:$D$149,$A53,'Session Tracker'!$F$5:$F$149,"Next week",'Session Tracker'!$G$5:$G$149,""))</f>
        <v>0</v>
      </c>
    </row>
    <row r="54" customFormat="false" ht="15" hidden="false" customHeight="false" outlineLevel="0" collapsed="false">
      <c r="A54" s="75" t="s">
        <v>294</v>
      </c>
      <c r="B54" s="34" t="s">
        <v>409</v>
      </c>
      <c r="C54" s="34" t="s">
        <v>614</v>
      </c>
      <c r="D54" s="32" t="n">
        <v>1</v>
      </c>
      <c r="E54" s="32" t="s">
        <v>14</v>
      </c>
      <c r="F54" s="32" t="s">
        <v>368</v>
      </c>
      <c r="G54" s="34"/>
      <c r="H54" s="52" t="n">
        <f aca="false">IF($E54="Per class",$D54*COUNTIFS('Session Tracker'!$D$5:$D$149,$A54,'Session Tracker'!$F$5:$F$149,"Next week",'Session Tracker'!$G$5:$G$149,"Mon"),$D54*SUMIFS('Session Tracker'!$J$5:$J$149,'Session Tracker'!$D$5:$D$149,$A54,'Session Tracker'!$F$5:$F$149,"Next week",'Session Tracker'!$G$5:$G$149,"Mon"))</f>
        <v>0</v>
      </c>
      <c r="I54" s="52" t="n">
        <f aca="false">IF($E54="Per class",$D54*COUNTIFS('Session Tracker'!$D$5:$D$149,$A54,'Session Tracker'!$F$5:$F$149,"Next week",'Session Tracker'!$G$5:$G$149,"Tue"),$D54*SUMIFS('Session Tracker'!$J$5:$J$149,'Session Tracker'!$D$5:$D$149,$A54,'Session Tracker'!$F$5:$F$149,"Next week",'Session Tracker'!$G$5:$G$149,"Tue"))</f>
        <v>0</v>
      </c>
      <c r="J54" s="52" t="n">
        <f aca="false">IF($E54="Per class",$D54*COUNTIFS('Session Tracker'!$D$5:$D$149,$A54,'Session Tracker'!$F$5:$F$149,"Next week",'Session Tracker'!$G$5:$G$149,"Wed"),$D54*SUMIFS('Session Tracker'!$J$5:$J$149,'Session Tracker'!$D$5:$D$149,$A54,'Session Tracker'!$F$5:$F$149,"Next week",'Session Tracker'!$G$5:$G$149,"Wed"))</f>
        <v>0</v>
      </c>
      <c r="K54" s="52" t="n">
        <f aca="false">IF($E54="Per class",$D54*COUNTIFS('Session Tracker'!$D$5:$D$149,$A54,'Session Tracker'!$F$5:$F$149,"Next week",'Session Tracker'!$G$5:$G$149,"Thu"),$D54*SUMIFS('Session Tracker'!$J$5:$J$149,'Session Tracker'!$D$5:$D$149,$A54,'Session Tracker'!$F$5:$F$149,"Next week",'Session Tracker'!$G$5:$G$149,"Thu"))</f>
        <v>0</v>
      </c>
      <c r="L54" s="52" t="n">
        <f aca="false">IF($E54="Per class",$D54*COUNTIFS('Session Tracker'!$D$5:$D$149,$A54,'Session Tracker'!$F$5:$F$149,"Next week",'Session Tracker'!$G$5:$G$149,"Fri"),$D54*SUMIFS('Session Tracker'!$J$5:$J$149,'Session Tracker'!$D$5:$D$149,$A54,'Session Tracker'!$F$5:$F$149,"Next week",'Session Tracker'!$G$5:$G$149,"Fri"))</f>
        <v>0</v>
      </c>
      <c r="M54" s="52" t="n">
        <f aca="false">IF($E54="Per class",$D54*COUNTIFS('Session Tracker'!$D$5:$D$149,$A54,'Session Tracker'!$F$5:$F$149,"Next week",'Session Tracker'!$G$5:$G$149,""),$D54*SUMIFS('Session Tracker'!$J$5:$J$149,'Session Tracker'!$D$5:$D$149,$A54,'Session Tracker'!$F$5:$F$149,"Next week",'Session Tracker'!$G$5:$G$149,""))</f>
        <v>0</v>
      </c>
    </row>
    <row r="55" customFormat="false" ht="15" hidden="false" customHeight="false" outlineLevel="0" collapsed="false">
      <c r="A55" s="75" t="s">
        <v>294</v>
      </c>
      <c r="B55" s="34" t="s">
        <v>409</v>
      </c>
      <c r="C55" s="34" t="s">
        <v>612</v>
      </c>
      <c r="D55" s="32" t="n">
        <v>1</v>
      </c>
      <c r="E55" s="32" t="s">
        <v>14</v>
      </c>
      <c r="F55" s="32" t="s">
        <v>368</v>
      </c>
      <c r="G55" s="34"/>
      <c r="H55" s="52" t="n">
        <f aca="false">IF($E55="Per class",$D55*COUNTIFS('Session Tracker'!$D$5:$D$149,$A55,'Session Tracker'!$F$5:$F$149,"Next week",'Session Tracker'!$G$5:$G$149,"Mon"),$D55*SUMIFS('Session Tracker'!$J$5:$J$149,'Session Tracker'!$D$5:$D$149,$A55,'Session Tracker'!$F$5:$F$149,"Next week",'Session Tracker'!$G$5:$G$149,"Mon"))</f>
        <v>0</v>
      </c>
      <c r="I55" s="52" t="n">
        <f aca="false">IF($E55="Per class",$D55*COUNTIFS('Session Tracker'!$D$5:$D$149,$A55,'Session Tracker'!$F$5:$F$149,"Next week",'Session Tracker'!$G$5:$G$149,"Tue"),$D55*SUMIFS('Session Tracker'!$J$5:$J$149,'Session Tracker'!$D$5:$D$149,$A55,'Session Tracker'!$F$5:$F$149,"Next week",'Session Tracker'!$G$5:$G$149,"Tue"))</f>
        <v>0</v>
      </c>
      <c r="J55" s="52" t="n">
        <f aca="false">IF($E55="Per class",$D55*COUNTIFS('Session Tracker'!$D$5:$D$149,$A55,'Session Tracker'!$F$5:$F$149,"Next week",'Session Tracker'!$G$5:$G$149,"Wed"),$D55*SUMIFS('Session Tracker'!$J$5:$J$149,'Session Tracker'!$D$5:$D$149,$A55,'Session Tracker'!$F$5:$F$149,"Next week",'Session Tracker'!$G$5:$G$149,"Wed"))</f>
        <v>0</v>
      </c>
      <c r="K55" s="52" t="n">
        <f aca="false">IF($E55="Per class",$D55*COUNTIFS('Session Tracker'!$D$5:$D$149,$A55,'Session Tracker'!$F$5:$F$149,"Next week",'Session Tracker'!$G$5:$G$149,"Thu"),$D55*SUMIFS('Session Tracker'!$J$5:$J$149,'Session Tracker'!$D$5:$D$149,$A55,'Session Tracker'!$F$5:$F$149,"Next week",'Session Tracker'!$G$5:$G$149,"Thu"))</f>
        <v>0</v>
      </c>
      <c r="L55" s="52" t="n">
        <f aca="false">IF($E55="Per class",$D55*COUNTIFS('Session Tracker'!$D$5:$D$149,$A55,'Session Tracker'!$F$5:$F$149,"Next week",'Session Tracker'!$G$5:$G$149,"Fri"),$D55*SUMIFS('Session Tracker'!$J$5:$J$149,'Session Tracker'!$D$5:$D$149,$A55,'Session Tracker'!$F$5:$F$149,"Next week",'Session Tracker'!$G$5:$G$149,"Fri"))</f>
        <v>0</v>
      </c>
      <c r="M55" s="52" t="n">
        <f aca="false">IF($E55="Per class",$D55*COUNTIFS('Session Tracker'!$D$5:$D$149,$A55,'Session Tracker'!$F$5:$F$149,"Next week",'Session Tracker'!$G$5:$G$149,""),$D55*SUMIFS('Session Tracker'!$J$5:$J$149,'Session Tracker'!$D$5:$D$149,$A55,'Session Tracker'!$F$5:$F$149,"Next week",'Session Tracker'!$G$5:$G$149,""))</f>
        <v>0</v>
      </c>
    </row>
    <row r="56" customFormat="false" ht="15" hidden="false" customHeight="false" outlineLevel="0" collapsed="false">
      <c r="A56" s="75" t="s">
        <v>294</v>
      </c>
      <c r="B56" s="34" t="s">
        <v>369</v>
      </c>
      <c r="C56" s="34" t="s">
        <v>430</v>
      </c>
      <c r="D56" s="32" t="n">
        <v>1</v>
      </c>
      <c r="E56" s="32" t="s">
        <v>14</v>
      </c>
      <c r="F56" s="32" t="s">
        <v>368</v>
      </c>
      <c r="G56" s="34"/>
      <c r="H56" s="52" t="n">
        <f aca="false">IF($E56="Per class",$D56*COUNTIFS('Session Tracker'!$D$5:$D$149,$A56,'Session Tracker'!$F$5:$F$149,"Next week",'Session Tracker'!$G$5:$G$149,"Mon"),$D56*SUMIFS('Session Tracker'!$J$5:$J$149,'Session Tracker'!$D$5:$D$149,$A56,'Session Tracker'!$F$5:$F$149,"Next week",'Session Tracker'!$G$5:$G$149,"Mon"))</f>
        <v>0</v>
      </c>
      <c r="I56" s="52" t="n">
        <f aca="false">IF($E56="Per class",$D56*COUNTIFS('Session Tracker'!$D$5:$D$149,$A56,'Session Tracker'!$F$5:$F$149,"Next week",'Session Tracker'!$G$5:$G$149,"Tue"),$D56*SUMIFS('Session Tracker'!$J$5:$J$149,'Session Tracker'!$D$5:$D$149,$A56,'Session Tracker'!$F$5:$F$149,"Next week",'Session Tracker'!$G$5:$G$149,"Tue"))</f>
        <v>0</v>
      </c>
      <c r="J56" s="52" t="n">
        <f aca="false">IF($E56="Per class",$D56*COUNTIFS('Session Tracker'!$D$5:$D$149,$A56,'Session Tracker'!$F$5:$F$149,"Next week",'Session Tracker'!$G$5:$G$149,"Wed"),$D56*SUMIFS('Session Tracker'!$J$5:$J$149,'Session Tracker'!$D$5:$D$149,$A56,'Session Tracker'!$F$5:$F$149,"Next week",'Session Tracker'!$G$5:$G$149,"Wed"))</f>
        <v>0</v>
      </c>
      <c r="K56" s="52" t="n">
        <f aca="false">IF($E56="Per class",$D56*COUNTIFS('Session Tracker'!$D$5:$D$149,$A56,'Session Tracker'!$F$5:$F$149,"Next week",'Session Tracker'!$G$5:$G$149,"Thu"),$D56*SUMIFS('Session Tracker'!$J$5:$J$149,'Session Tracker'!$D$5:$D$149,$A56,'Session Tracker'!$F$5:$F$149,"Next week",'Session Tracker'!$G$5:$G$149,"Thu"))</f>
        <v>0</v>
      </c>
      <c r="L56" s="52" t="n">
        <f aca="false">IF($E56="Per class",$D56*COUNTIFS('Session Tracker'!$D$5:$D$149,$A56,'Session Tracker'!$F$5:$F$149,"Next week",'Session Tracker'!$G$5:$G$149,"Fri"),$D56*SUMIFS('Session Tracker'!$J$5:$J$149,'Session Tracker'!$D$5:$D$149,$A56,'Session Tracker'!$F$5:$F$149,"Next week",'Session Tracker'!$G$5:$G$149,"Fri"))</f>
        <v>0</v>
      </c>
      <c r="M56" s="52" t="n">
        <f aca="false">IF($E56="Per class",$D56*COUNTIFS('Session Tracker'!$D$5:$D$149,$A56,'Session Tracker'!$F$5:$F$149,"Next week",'Session Tracker'!$G$5:$G$149,""),$D56*SUMIFS('Session Tracker'!$J$5:$J$149,'Session Tracker'!$D$5:$D$149,$A56,'Session Tracker'!$F$5:$F$149,"Next week",'Session Tracker'!$G$5:$G$149,""))</f>
        <v>0</v>
      </c>
    </row>
    <row r="57" customFormat="false" ht="15" hidden="false" customHeight="false" outlineLevel="0" collapsed="false">
      <c r="A57" s="75" t="s">
        <v>294</v>
      </c>
      <c r="B57" s="34" t="s">
        <v>382</v>
      </c>
      <c r="C57" s="34" t="s">
        <v>484</v>
      </c>
      <c r="D57" s="32" t="n">
        <v>1</v>
      </c>
      <c r="E57" s="32" t="s">
        <v>14</v>
      </c>
      <c r="F57" s="32" t="s">
        <v>368</v>
      </c>
      <c r="G57" s="34"/>
      <c r="H57" s="52" t="n">
        <f aca="false">IF($E57="Per class",$D57*COUNTIFS('Session Tracker'!$D$5:$D$149,$A57,'Session Tracker'!$F$5:$F$149,"Next week",'Session Tracker'!$G$5:$G$149,"Mon"),$D57*SUMIFS('Session Tracker'!$J$5:$J$149,'Session Tracker'!$D$5:$D$149,$A57,'Session Tracker'!$F$5:$F$149,"Next week",'Session Tracker'!$G$5:$G$149,"Mon"))</f>
        <v>0</v>
      </c>
      <c r="I57" s="52" t="n">
        <f aca="false">IF($E57="Per class",$D57*COUNTIFS('Session Tracker'!$D$5:$D$149,$A57,'Session Tracker'!$F$5:$F$149,"Next week",'Session Tracker'!$G$5:$G$149,"Tue"),$D57*SUMIFS('Session Tracker'!$J$5:$J$149,'Session Tracker'!$D$5:$D$149,$A57,'Session Tracker'!$F$5:$F$149,"Next week",'Session Tracker'!$G$5:$G$149,"Tue"))</f>
        <v>0</v>
      </c>
      <c r="J57" s="52" t="n">
        <f aca="false">IF($E57="Per class",$D57*COUNTIFS('Session Tracker'!$D$5:$D$149,$A57,'Session Tracker'!$F$5:$F$149,"Next week",'Session Tracker'!$G$5:$G$149,"Wed"),$D57*SUMIFS('Session Tracker'!$J$5:$J$149,'Session Tracker'!$D$5:$D$149,$A57,'Session Tracker'!$F$5:$F$149,"Next week",'Session Tracker'!$G$5:$G$149,"Wed"))</f>
        <v>0</v>
      </c>
      <c r="K57" s="52" t="n">
        <f aca="false">IF($E57="Per class",$D57*COUNTIFS('Session Tracker'!$D$5:$D$149,$A57,'Session Tracker'!$F$5:$F$149,"Next week",'Session Tracker'!$G$5:$G$149,"Thu"),$D57*SUMIFS('Session Tracker'!$J$5:$J$149,'Session Tracker'!$D$5:$D$149,$A57,'Session Tracker'!$F$5:$F$149,"Next week",'Session Tracker'!$G$5:$G$149,"Thu"))</f>
        <v>0</v>
      </c>
      <c r="L57" s="52" t="n">
        <f aca="false">IF($E57="Per class",$D57*COUNTIFS('Session Tracker'!$D$5:$D$149,$A57,'Session Tracker'!$F$5:$F$149,"Next week",'Session Tracker'!$G$5:$G$149,"Fri"),$D57*SUMIFS('Session Tracker'!$J$5:$J$149,'Session Tracker'!$D$5:$D$149,$A57,'Session Tracker'!$F$5:$F$149,"Next week",'Session Tracker'!$G$5:$G$149,"Fri"))</f>
        <v>0</v>
      </c>
      <c r="M57" s="52" t="n">
        <f aca="false">IF($E57="Per class",$D57*COUNTIFS('Session Tracker'!$D$5:$D$149,$A57,'Session Tracker'!$F$5:$F$149,"Next week",'Session Tracker'!$G$5:$G$149,""),$D57*SUMIFS('Session Tracker'!$J$5:$J$149,'Session Tracker'!$D$5:$D$149,$A57,'Session Tracker'!$F$5:$F$149,"Next week",'Session Tracker'!$G$5:$G$149,""))</f>
        <v>0</v>
      </c>
    </row>
    <row r="58" customFormat="false" ht="15" hidden="false" customHeight="false" outlineLevel="0" collapsed="false">
      <c r="A58" s="75" t="s">
        <v>294</v>
      </c>
      <c r="B58" s="34" t="s">
        <v>375</v>
      </c>
      <c r="C58" s="34" t="s">
        <v>417</v>
      </c>
      <c r="D58" s="32" t="n">
        <v>2</v>
      </c>
      <c r="E58" s="32" t="s">
        <v>14</v>
      </c>
      <c r="F58" s="32" t="s">
        <v>373</v>
      </c>
      <c r="G58" s="34" t="s">
        <v>616</v>
      </c>
      <c r="H58" s="52" t="n">
        <f aca="false">IF($E58="Per class",$D58*COUNTIFS('Session Tracker'!$D$5:$D$149,$A58,'Session Tracker'!$F$5:$F$149,"Next week",'Session Tracker'!$G$5:$G$149,"Mon"),$D58*SUMIFS('Session Tracker'!$J$5:$J$149,'Session Tracker'!$D$5:$D$149,$A58,'Session Tracker'!$F$5:$F$149,"Next week",'Session Tracker'!$G$5:$G$149,"Mon"))</f>
        <v>0</v>
      </c>
      <c r="I58" s="52" t="n">
        <f aca="false">IF($E58="Per class",$D58*COUNTIFS('Session Tracker'!$D$5:$D$149,$A58,'Session Tracker'!$F$5:$F$149,"Next week",'Session Tracker'!$G$5:$G$149,"Tue"),$D58*SUMIFS('Session Tracker'!$J$5:$J$149,'Session Tracker'!$D$5:$D$149,$A58,'Session Tracker'!$F$5:$F$149,"Next week",'Session Tracker'!$G$5:$G$149,"Tue"))</f>
        <v>0</v>
      </c>
      <c r="J58" s="52" t="n">
        <f aca="false">IF($E58="Per class",$D58*COUNTIFS('Session Tracker'!$D$5:$D$149,$A58,'Session Tracker'!$F$5:$F$149,"Next week",'Session Tracker'!$G$5:$G$149,"Wed"),$D58*SUMIFS('Session Tracker'!$J$5:$J$149,'Session Tracker'!$D$5:$D$149,$A58,'Session Tracker'!$F$5:$F$149,"Next week",'Session Tracker'!$G$5:$G$149,"Wed"))</f>
        <v>0</v>
      </c>
      <c r="K58" s="52" t="n">
        <f aca="false">IF($E58="Per class",$D58*COUNTIFS('Session Tracker'!$D$5:$D$149,$A58,'Session Tracker'!$F$5:$F$149,"Next week",'Session Tracker'!$G$5:$G$149,"Thu"),$D58*SUMIFS('Session Tracker'!$J$5:$J$149,'Session Tracker'!$D$5:$D$149,$A58,'Session Tracker'!$F$5:$F$149,"Next week",'Session Tracker'!$G$5:$G$149,"Thu"))</f>
        <v>0</v>
      </c>
      <c r="L58" s="52" t="n">
        <f aca="false">IF($E58="Per class",$D58*COUNTIFS('Session Tracker'!$D$5:$D$149,$A58,'Session Tracker'!$F$5:$F$149,"Next week",'Session Tracker'!$G$5:$G$149,"Fri"),$D58*SUMIFS('Session Tracker'!$J$5:$J$149,'Session Tracker'!$D$5:$D$149,$A58,'Session Tracker'!$F$5:$F$149,"Next week",'Session Tracker'!$G$5:$G$149,"Fri"))</f>
        <v>0</v>
      </c>
      <c r="M58" s="52" t="n">
        <f aca="false">IF($E58="Per class",$D58*COUNTIFS('Session Tracker'!$D$5:$D$149,$A58,'Session Tracker'!$F$5:$F$149,"Next week",'Session Tracker'!$G$5:$G$149,""),$D58*SUMIFS('Session Tracker'!$J$5:$J$149,'Session Tracker'!$D$5:$D$149,$A58,'Session Tracker'!$F$5:$F$149,"Next week",'Session Tracker'!$G$5:$G$149,""))</f>
        <v>0</v>
      </c>
    </row>
    <row r="59" customFormat="false" ht="15" hidden="false" customHeight="false" outlineLevel="0" collapsed="false">
      <c r="A59" s="75" t="s">
        <v>294</v>
      </c>
      <c r="B59" s="34" t="s">
        <v>379</v>
      </c>
      <c r="C59" s="34" t="s">
        <v>380</v>
      </c>
      <c r="D59" s="32" t="n">
        <v>1</v>
      </c>
      <c r="E59" s="32" t="s">
        <v>14</v>
      </c>
      <c r="F59" s="32" t="s">
        <v>368</v>
      </c>
      <c r="G59" s="34"/>
      <c r="H59" s="52" t="n">
        <f aca="false">IF($E59="Per class",$D59*COUNTIFS('Session Tracker'!$D$5:$D$149,$A59,'Session Tracker'!$F$5:$F$149,"Next week",'Session Tracker'!$G$5:$G$149,"Mon"),$D59*SUMIFS('Session Tracker'!$J$5:$J$149,'Session Tracker'!$D$5:$D$149,$A59,'Session Tracker'!$F$5:$F$149,"Next week",'Session Tracker'!$G$5:$G$149,"Mon"))</f>
        <v>0</v>
      </c>
      <c r="I59" s="52" t="n">
        <f aca="false">IF($E59="Per class",$D59*COUNTIFS('Session Tracker'!$D$5:$D$149,$A59,'Session Tracker'!$F$5:$F$149,"Next week",'Session Tracker'!$G$5:$G$149,"Tue"),$D59*SUMIFS('Session Tracker'!$J$5:$J$149,'Session Tracker'!$D$5:$D$149,$A59,'Session Tracker'!$F$5:$F$149,"Next week",'Session Tracker'!$G$5:$G$149,"Tue"))</f>
        <v>0</v>
      </c>
      <c r="J59" s="52" t="n">
        <f aca="false">IF($E59="Per class",$D59*COUNTIFS('Session Tracker'!$D$5:$D$149,$A59,'Session Tracker'!$F$5:$F$149,"Next week",'Session Tracker'!$G$5:$G$149,"Wed"),$D59*SUMIFS('Session Tracker'!$J$5:$J$149,'Session Tracker'!$D$5:$D$149,$A59,'Session Tracker'!$F$5:$F$149,"Next week",'Session Tracker'!$G$5:$G$149,"Wed"))</f>
        <v>0</v>
      </c>
      <c r="K59" s="52" t="n">
        <f aca="false">IF($E59="Per class",$D59*COUNTIFS('Session Tracker'!$D$5:$D$149,$A59,'Session Tracker'!$F$5:$F$149,"Next week",'Session Tracker'!$G$5:$G$149,"Thu"),$D59*SUMIFS('Session Tracker'!$J$5:$J$149,'Session Tracker'!$D$5:$D$149,$A59,'Session Tracker'!$F$5:$F$149,"Next week",'Session Tracker'!$G$5:$G$149,"Thu"))</f>
        <v>0</v>
      </c>
      <c r="L59" s="52" t="n">
        <f aca="false">IF($E59="Per class",$D59*COUNTIFS('Session Tracker'!$D$5:$D$149,$A59,'Session Tracker'!$F$5:$F$149,"Next week",'Session Tracker'!$G$5:$G$149,"Fri"),$D59*SUMIFS('Session Tracker'!$J$5:$J$149,'Session Tracker'!$D$5:$D$149,$A59,'Session Tracker'!$F$5:$F$149,"Next week",'Session Tracker'!$G$5:$G$149,"Fri"))</f>
        <v>0</v>
      </c>
      <c r="M59" s="52" t="n">
        <f aca="false">IF($E59="Per class",$D59*COUNTIFS('Session Tracker'!$D$5:$D$149,$A59,'Session Tracker'!$F$5:$F$149,"Next week",'Session Tracker'!$G$5:$G$149,""),$D59*SUMIFS('Session Tracker'!$J$5:$J$149,'Session Tracker'!$D$5:$D$149,$A59,'Session Tracker'!$F$5:$F$149,"Next week",'Session Tracker'!$G$5:$G$149,""))</f>
        <v>0</v>
      </c>
    </row>
    <row r="60" customFormat="false" ht="15" hidden="false" customHeight="false" outlineLevel="0" collapsed="false">
      <c r="A60" s="75" t="s">
        <v>294</v>
      </c>
      <c r="B60" s="34" t="s">
        <v>379</v>
      </c>
      <c r="C60" s="34" t="s">
        <v>381</v>
      </c>
      <c r="D60" s="32" t="n">
        <v>10</v>
      </c>
      <c r="E60" s="32" t="s">
        <v>14</v>
      </c>
      <c r="F60" s="32" t="s">
        <v>368</v>
      </c>
      <c r="G60" s="34"/>
      <c r="H60" s="52" t="n">
        <f aca="false">IF($E60="Per class",$D60*COUNTIFS('Session Tracker'!$D$5:$D$149,$A60,'Session Tracker'!$F$5:$F$149,"Next week",'Session Tracker'!$G$5:$G$149,"Mon"),$D60*SUMIFS('Session Tracker'!$J$5:$J$149,'Session Tracker'!$D$5:$D$149,$A60,'Session Tracker'!$F$5:$F$149,"Next week",'Session Tracker'!$G$5:$G$149,"Mon"))</f>
        <v>0</v>
      </c>
      <c r="I60" s="52" t="n">
        <f aca="false">IF($E60="Per class",$D60*COUNTIFS('Session Tracker'!$D$5:$D$149,$A60,'Session Tracker'!$F$5:$F$149,"Next week",'Session Tracker'!$G$5:$G$149,"Tue"),$D60*SUMIFS('Session Tracker'!$J$5:$J$149,'Session Tracker'!$D$5:$D$149,$A60,'Session Tracker'!$F$5:$F$149,"Next week",'Session Tracker'!$G$5:$G$149,"Tue"))</f>
        <v>0</v>
      </c>
      <c r="J60" s="52" t="n">
        <f aca="false">IF($E60="Per class",$D60*COUNTIFS('Session Tracker'!$D$5:$D$149,$A60,'Session Tracker'!$F$5:$F$149,"Next week",'Session Tracker'!$G$5:$G$149,"Wed"),$D60*SUMIFS('Session Tracker'!$J$5:$J$149,'Session Tracker'!$D$5:$D$149,$A60,'Session Tracker'!$F$5:$F$149,"Next week",'Session Tracker'!$G$5:$G$149,"Wed"))</f>
        <v>0</v>
      </c>
      <c r="K60" s="52" t="n">
        <f aca="false">IF($E60="Per class",$D60*COUNTIFS('Session Tracker'!$D$5:$D$149,$A60,'Session Tracker'!$F$5:$F$149,"Next week",'Session Tracker'!$G$5:$G$149,"Thu"),$D60*SUMIFS('Session Tracker'!$J$5:$J$149,'Session Tracker'!$D$5:$D$149,$A60,'Session Tracker'!$F$5:$F$149,"Next week",'Session Tracker'!$G$5:$G$149,"Thu"))</f>
        <v>0</v>
      </c>
      <c r="L60" s="52" t="n">
        <f aca="false">IF($E60="Per class",$D60*COUNTIFS('Session Tracker'!$D$5:$D$149,$A60,'Session Tracker'!$F$5:$F$149,"Next week",'Session Tracker'!$G$5:$G$149,"Fri"),$D60*SUMIFS('Session Tracker'!$J$5:$J$149,'Session Tracker'!$D$5:$D$149,$A60,'Session Tracker'!$F$5:$F$149,"Next week",'Session Tracker'!$G$5:$G$149,"Fri"))</f>
        <v>0</v>
      </c>
      <c r="M60" s="52" t="n">
        <f aca="false">IF($E60="Per class",$D60*COUNTIFS('Session Tracker'!$D$5:$D$149,$A60,'Session Tracker'!$F$5:$F$149,"Next week",'Session Tracker'!$G$5:$G$149,""),$D60*SUMIFS('Session Tracker'!$J$5:$J$149,'Session Tracker'!$D$5:$D$149,$A60,'Session Tracker'!$F$5:$F$149,"Next week",'Session Tracker'!$G$5:$G$149,""))</f>
        <v>0</v>
      </c>
    </row>
    <row r="61" customFormat="false" ht="15" hidden="false" customHeight="false" outlineLevel="0" collapsed="false">
      <c r="A61" s="75" t="s">
        <v>294</v>
      </c>
      <c r="B61" s="34" t="s">
        <v>379</v>
      </c>
      <c r="C61" s="34" t="s">
        <v>395</v>
      </c>
      <c r="D61" s="32" t="n">
        <v>4</v>
      </c>
      <c r="E61" s="32" t="s">
        <v>14</v>
      </c>
      <c r="F61" s="32" t="s">
        <v>368</v>
      </c>
      <c r="G61" s="34"/>
      <c r="H61" s="52" t="n">
        <f aca="false">IF($E61="Per class",$D61*COUNTIFS('Session Tracker'!$D$5:$D$149,$A61,'Session Tracker'!$F$5:$F$149,"Next week",'Session Tracker'!$G$5:$G$149,"Mon"),$D61*SUMIFS('Session Tracker'!$J$5:$J$149,'Session Tracker'!$D$5:$D$149,$A61,'Session Tracker'!$F$5:$F$149,"Next week",'Session Tracker'!$G$5:$G$149,"Mon"))</f>
        <v>0</v>
      </c>
      <c r="I61" s="52" t="n">
        <f aca="false">IF($E61="Per class",$D61*COUNTIFS('Session Tracker'!$D$5:$D$149,$A61,'Session Tracker'!$F$5:$F$149,"Next week",'Session Tracker'!$G$5:$G$149,"Tue"),$D61*SUMIFS('Session Tracker'!$J$5:$J$149,'Session Tracker'!$D$5:$D$149,$A61,'Session Tracker'!$F$5:$F$149,"Next week",'Session Tracker'!$G$5:$G$149,"Tue"))</f>
        <v>0</v>
      </c>
      <c r="J61" s="52" t="n">
        <f aca="false">IF($E61="Per class",$D61*COUNTIFS('Session Tracker'!$D$5:$D$149,$A61,'Session Tracker'!$F$5:$F$149,"Next week",'Session Tracker'!$G$5:$G$149,"Wed"),$D61*SUMIFS('Session Tracker'!$J$5:$J$149,'Session Tracker'!$D$5:$D$149,$A61,'Session Tracker'!$F$5:$F$149,"Next week",'Session Tracker'!$G$5:$G$149,"Wed"))</f>
        <v>0</v>
      </c>
      <c r="K61" s="52" t="n">
        <f aca="false">IF($E61="Per class",$D61*COUNTIFS('Session Tracker'!$D$5:$D$149,$A61,'Session Tracker'!$F$5:$F$149,"Next week",'Session Tracker'!$G$5:$G$149,"Thu"),$D61*SUMIFS('Session Tracker'!$J$5:$J$149,'Session Tracker'!$D$5:$D$149,$A61,'Session Tracker'!$F$5:$F$149,"Next week",'Session Tracker'!$G$5:$G$149,"Thu"))</f>
        <v>0</v>
      </c>
      <c r="L61" s="52" t="n">
        <f aca="false">IF($E61="Per class",$D61*COUNTIFS('Session Tracker'!$D$5:$D$149,$A61,'Session Tracker'!$F$5:$F$149,"Next week",'Session Tracker'!$G$5:$G$149,"Fri"),$D61*SUMIFS('Session Tracker'!$J$5:$J$149,'Session Tracker'!$D$5:$D$149,$A61,'Session Tracker'!$F$5:$F$149,"Next week",'Session Tracker'!$G$5:$G$149,"Fri"))</f>
        <v>0</v>
      </c>
      <c r="M61" s="52" t="n">
        <f aca="false">IF($E61="Per class",$D61*COUNTIFS('Session Tracker'!$D$5:$D$149,$A61,'Session Tracker'!$F$5:$F$149,"Next week",'Session Tracker'!$G$5:$G$149,""),$D61*SUMIFS('Session Tracker'!$J$5:$J$149,'Session Tracker'!$D$5:$D$149,$A61,'Session Tracker'!$F$5:$F$149,"Next week",'Session Tracker'!$G$5:$G$149,""))</f>
        <v>0</v>
      </c>
    </row>
    <row r="62" customFormat="false" ht="15" hidden="false" customHeight="false" outlineLevel="0" collapsed="false">
      <c r="A62" s="75" t="s">
        <v>294</v>
      </c>
      <c r="B62" s="34" t="s">
        <v>382</v>
      </c>
      <c r="C62" s="34" t="s">
        <v>383</v>
      </c>
      <c r="D62" s="32" t="n">
        <v>1</v>
      </c>
      <c r="E62" s="32" t="s">
        <v>14</v>
      </c>
      <c r="F62" s="32" t="s">
        <v>368</v>
      </c>
      <c r="G62" s="34"/>
      <c r="H62" s="52" t="n">
        <f aca="false">IF($E62="Per class",$D62*COUNTIFS('Session Tracker'!$D$5:$D$149,$A62,'Session Tracker'!$F$5:$F$149,"Next week",'Session Tracker'!$G$5:$G$149,"Mon"),$D62*SUMIFS('Session Tracker'!$J$5:$J$149,'Session Tracker'!$D$5:$D$149,$A62,'Session Tracker'!$F$5:$F$149,"Next week",'Session Tracker'!$G$5:$G$149,"Mon"))</f>
        <v>0</v>
      </c>
      <c r="I62" s="52" t="n">
        <f aca="false">IF($E62="Per class",$D62*COUNTIFS('Session Tracker'!$D$5:$D$149,$A62,'Session Tracker'!$F$5:$F$149,"Next week",'Session Tracker'!$G$5:$G$149,"Tue"),$D62*SUMIFS('Session Tracker'!$J$5:$J$149,'Session Tracker'!$D$5:$D$149,$A62,'Session Tracker'!$F$5:$F$149,"Next week",'Session Tracker'!$G$5:$G$149,"Tue"))</f>
        <v>0</v>
      </c>
      <c r="J62" s="52" t="n">
        <f aca="false">IF($E62="Per class",$D62*COUNTIFS('Session Tracker'!$D$5:$D$149,$A62,'Session Tracker'!$F$5:$F$149,"Next week",'Session Tracker'!$G$5:$G$149,"Wed"),$D62*SUMIFS('Session Tracker'!$J$5:$J$149,'Session Tracker'!$D$5:$D$149,$A62,'Session Tracker'!$F$5:$F$149,"Next week",'Session Tracker'!$G$5:$G$149,"Wed"))</f>
        <v>0</v>
      </c>
      <c r="K62" s="52" t="n">
        <f aca="false">IF($E62="Per class",$D62*COUNTIFS('Session Tracker'!$D$5:$D$149,$A62,'Session Tracker'!$F$5:$F$149,"Next week",'Session Tracker'!$G$5:$G$149,"Thu"),$D62*SUMIFS('Session Tracker'!$J$5:$J$149,'Session Tracker'!$D$5:$D$149,$A62,'Session Tracker'!$F$5:$F$149,"Next week",'Session Tracker'!$G$5:$G$149,"Thu"))</f>
        <v>0</v>
      </c>
      <c r="L62" s="52" t="n">
        <f aca="false">IF($E62="Per class",$D62*COUNTIFS('Session Tracker'!$D$5:$D$149,$A62,'Session Tracker'!$F$5:$F$149,"Next week",'Session Tracker'!$G$5:$G$149,"Fri"),$D62*SUMIFS('Session Tracker'!$J$5:$J$149,'Session Tracker'!$D$5:$D$149,$A62,'Session Tracker'!$F$5:$F$149,"Next week",'Session Tracker'!$G$5:$G$149,"Fri"))</f>
        <v>0</v>
      </c>
      <c r="M62" s="52" t="n">
        <f aca="false">IF($E62="Per class",$D62*COUNTIFS('Session Tracker'!$D$5:$D$149,$A62,'Session Tracker'!$F$5:$F$149,"Next week",'Session Tracker'!$G$5:$G$149,""),$D62*SUMIFS('Session Tracker'!$J$5:$J$149,'Session Tracker'!$D$5:$D$149,$A62,'Session Tracker'!$F$5:$F$149,"Next week",'Session Tracker'!$G$5:$G$149,""))</f>
        <v>0</v>
      </c>
    </row>
    <row r="63" customFormat="false" ht="15" hidden="false" customHeight="false" outlineLevel="0" collapsed="false">
      <c r="A63" s="53" t="s">
        <v>294</v>
      </c>
      <c r="B63" s="54"/>
      <c r="C63" s="54"/>
      <c r="D63" s="54"/>
      <c r="E63" s="54"/>
      <c r="F63" s="54"/>
      <c r="G63" s="54"/>
      <c r="H63" s="52" t="n">
        <f aca="false">IF($E63="Per class",$D63*COUNTIFS('Session Tracker'!$D$5:$D$149,$A63,'Session Tracker'!$F$5:$F$149,"Next week",'Session Tracker'!$G$5:$G$149,"Mon"),$D63*SUMIFS('Session Tracker'!$J$5:$J$149,'Session Tracker'!$D$5:$D$149,$A63,'Session Tracker'!$F$5:$F$149,"Next week",'Session Tracker'!$G$5:$G$149,"Mon"))</f>
        <v>0</v>
      </c>
      <c r="I63" s="52" t="n">
        <f aca="false">IF($E63="Per class",$D63*COUNTIFS('Session Tracker'!$D$5:$D$149,$A63,'Session Tracker'!$F$5:$F$149,"Next week",'Session Tracker'!$G$5:$G$149,"Tue"),$D63*SUMIFS('Session Tracker'!$J$5:$J$149,'Session Tracker'!$D$5:$D$149,$A63,'Session Tracker'!$F$5:$F$149,"Next week",'Session Tracker'!$G$5:$G$149,"Tue"))</f>
        <v>0</v>
      </c>
      <c r="J63" s="52" t="n">
        <f aca="false">IF($E63="Per class",$D63*COUNTIFS('Session Tracker'!$D$5:$D$149,$A63,'Session Tracker'!$F$5:$F$149,"Next week",'Session Tracker'!$G$5:$G$149,"Wed"),$D63*SUMIFS('Session Tracker'!$J$5:$J$149,'Session Tracker'!$D$5:$D$149,$A63,'Session Tracker'!$F$5:$F$149,"Next week",'Session Tracker'!$G$5:$G$149,"Wed"))</f>
        <v>0</v>
      </c>
      <c r="K63" s="52" t="n">
        <f aca="false">IF($E63="Per class",$D63*COUNTIFS('Session Tracker'!$D$5:$D$149,$A63,'Session Tracker'!$F$5:$F$149,"Next week",'Session Tracker'!$G$5:$G$149,"Thu"),$D63*SUMIFS('Session Tracker'!$J$5:$J$149,'Session Tracker'!$D$5:$D$149,$A63,'Session Tracker'!$F$5:$F$149,"Next week",'Session Tracker'!$G$5:$G$149,"Thu"))</f>
        <v>0</v>
      </c>
      <c r="L63" s="52" t="n">
        <f aca="false">IF($E63="Per class",$D63*COUNTIFS('Session Tracker'!$D$5:$D$149,$A63,'Session Tracker'!$F$5:$F$149,"Next week",'Session Tracker'!$G$5:$G$149,"Fri"),$D63*SUMIFS('Session Tracker'!$J$5:$J$149,'Session Tracker'!$D$5:$D$149,$A63,'Session Tracker'!$F$5:$F$149,"Next week",'Session Tracker'!$G$5:$G$149,"Fri"))</f>
        <v>0</v>
      </c>
      <c r="M63" s="52" t="n">
        <f aca="false">IF($E63="Per class",$D63*COUNTIFS('Session Tracker'!$D$5:$D$149,$A63,'Session Tracker'!$F$5:$F$149,"Next week",'Session Tracker'!$G$5:$G$149,""),$D63*SUMIFS('Session Tracker'!$J$5:$J$149,'Session Tracker'!$D$5:$D$149,$A63,'Session Tracker'!$F$5:$F$149,"Next week",'Session Tracker'!$G$5:$G$149,""))</f>
        <v>0</v>
      </c>
    </row>
    <row r="64" customFormat="false" ht="15" hidden="false" customHeight="false" outlineLevel="0" collapsed="false">
      <c r="A64" s="53" t="s">
        <v>294</v>
      </c>
      <c r="B64" s="54"/>
      <c r="C64" s="54"/>
      <c r="D64" s="54"/>
      <c r="E64" s="54"/>
      <c r="F64" s="54"/>
      <c r="G64" s="54"/>
      <c r="H64" s="52" t="n">
        <f aca="false">IF($E64="Per class",$D64*COUNTIFS('Session Tracker'!$D$5:$D$149,$A64,'Session Tracker'!$F$5:$F$149,"Next week",'Session Tracker'!$G$5:$G$149,"Mon"),$D64*SUMIFS('Session Tracker'!$J$5:$J$149,'Session Tracker'!$D$5:$D$149,$A64,'Session Tracker'!$F$5:$F$149,"Next week",'Session Tracker'!$G$5:$G$149,"Mon"))</f>
        <v>0</v>
      </c>
      <c r="I64" s="52" t="n">
        <f aca="false">IF($E64="Per class",$D64*COUNTIFS('Session Tracker'!$D$5:$D$149,$A64,'Session Tracker'!$F$5:$F$149,"Next week",'Session Tracker'!$G$5:$G$149,"Tue"),$D64*SUMIFS('Session Tracker'!$J$5:$J$149,'Session Tracker'!$D$5:$D$149,$A64,'Session Tracker'!$F$5:$F$149,"Next week",'Session Tracker'!$G$5:$G$149,"Tue"))</f>
        <v>0</v>
      </c>
      <c r="J64" s="52" t="n">
        <f aca="false">IF($E64="Per class",$D64*COUNTIFS('Session Tracker'!$D$5:$D$149,$A64,'Session Tracker'!$F$5:$F$149,"Next week",'Session Tracker'!$G$5:$G$149,"Wed"),$D64*SUMIFS('Session Tracker'!$J$5:$J$149,'Session Tracker'!$D$5:$D$149,$A64,'Session Tracker'!$F$5:$F$149,"Next week",'Session Tracker'!$G$5:$G$149,"Wed"))</f>
        <v>0</v>
      </c>
      <c r="K64" s="52" t="n">
        <f aca="false">IF($E64="Per class",$D64*COUNTIFS('Session Tracker'!$D$5:$D$149,$A64,'Session Tracker'!$F$5:$F$149,"Next week",'Session Tracker'!$G$5:$G$149,"Thu"),$D64*SUMIFS('Session Tracker'!$J$5:$J$149,'Session Tracker'!$D$5:$D$149,$A64,'Session Tracker'!$F$5:$F$149,"Next week",'Session Tracker'!$G$5:$G$149,"Thu"))</f>
        <v>0</v>
      </c>
      <c r="L64" s="52" t="n">
        <f aca="false">IF($E64="Per class",$D64*COUNTIFS('Session Tracker'!$D$5:$D$149,$A64,'Session Tracker'!$F$5:$F$149,"Next week",'Session Tracker'!$G$5:$G$149,"Fri"),$D64*SUMIFS('Session Tracker'!$J$5:$J$149,'Session Tracker'!$D$5:$D$149,$A64,'Session Tracker'!$F$5:$F$149,"Next week",'Session Tracker'!$G$5:$G$149,"Fri"))</f>
        <v>0</v>
      </c>
      <c r="M64" s="52" t="n">
        <f aca="false">IF($E64="Per class",$D64*COUNTIFS('Session Tracker'!$D$5:$D$149,$A64,'Session Tracker'!$F$5:$F$149,"Next week",'Session Tracker'!$G$5:$G$149,""),$D64*SUMIFS('Session Tracker'!$J$5:$J$149,'Session Tracker'!$D$5:$D$149,$A64,'Session Tracker'!$F$5:$F$149,"Next week",'Session Tracker'!$G$5:$G$149,""))</f>
        <v>0</v>
      </c>
    </row>
    <row r="66" customFormat="false" ht="19.5" hidden="false" customHeight="true" outlineLevel="0" collapsed="false">
      <c r="A66" s="71" t="s">
        <v>296</v>
      </c>
      <c r="B66" s="72" t="s">
        <v>657</v>
      </c>
      <c r="C66" s="72"/>
      <c r="D66" s="72"/>
      <c r="E66" s="72"/>
      <c r="F66" s="73" t="str">
        <f aca="false">"Status: "&amp;'Session Tracker'!F119&amp;IF('Session Tracker'!G119&lt;&gt;""," ("&amp;'Session Tracker'!G119&amp;")","")</f>
        <v>Status: Not started</v>
      </c>
      <c r="G66" s="73"/>
      <c r="H66" s="74"/>
      <c r="I66" s="74"/>
      <c r="J66" s="74"/>
      <c r="K66" s="74"/>
      <c r="L66" s="74"/>
      <c r="M66" s="74"/>
    </row>
    <row r="67" customFormat="false" ht="23.85" hidden="false" customHeight="false" outlineLevel="0" collapsed="false">
      <c r="A67" s="75" t="s">
        <v>296</v>
      </c>
      <c r="B67" s="34" t="s">
        <v>366</v>
      </c>
      <c r="C67" s="34" t="s">
        <v>367</v>
      </c>
      <c r="D67" s="32" t="n">
        <v>1</v>
      </c>
      <c r="E67" s="32" t="s">
        <v>14</v>
      </c>
      <c r="F67" s="32" t="s">
        <v>368</v>
      </c>
      <c r="G67" s="34"/>
      <c r="H67" s="52" t="n">
        <f aca="false">IF($E67="Per class",$D67*COUNTIFS('Session Tracker'!$D$5:$D$149,$A67,'Session Tracker'!$F$5:$F$149,"Next week",'Session Tracker'!$G$5:$G$149,"Mon"),$D67*SUMIFS('Session Tracker'!$J$5:$J$149,'Session Tracker'!$D$5:$D$149,$A67,'Session Tracker'!$F$5:$F$149,"Next week",'Session Tracker'!$G$5:$G$149,"Mon"))</f>
        <v>0</v>
      </c>
      <c r="I67" s="52" t="n">
        <f aca="false">IF($E67="Per class",$D67*COUNTIFS('Session Tracker'!$D$5:$D$149,$A67,'Session Tracker'!$F$5:$F$149,"Next week",'Session Tracker'!$G$5:$G$149,"Tue"),$D67*SUMIFS('Session Tracker'!$J$5:$J$149,'Session Tracker'!$D$5:$D$149,$A67,'Session Tracker'!$F$5:$F$149,"Next week",'Session Tracker'!$G$5:$G$149,"Tue"))</f>
        <v>0</v>
      </c>
      <c r="J67" s="52" t="n">
        <f aca="false">IF($E67="Per class",$D67*COUNTIFS('Session Tracker'!$D$5:$D$149,$A67,'Session Tracker'!$F$5:$F$149,"Next week",'Session Tracker'!$G$5:$G$149,"Wed"),$D67*SUMIFS('Session Tracker'!$J$5:$J$149,'Session Tracker'!$D$5:$D$149,$A67,'Session Tracker'!$F$5:$F$149,"Next week",'Session Tracker'!$G$5:$G$149,"Wed"))</f>
        <v>0</v>
      </c>
      <c r="K67" s="52" t="n">
        <f aca="false">IF($E67="Per class",$D67*COUNTIFS('Session Tracker'!$D$5:$D$149,$A67,'Session Tracker'!$F$5:$F$149,"Next week",'Session Tracker'!$G$5:$G$149,"Thu"),$D67*SUMIFS('Session Tracker'!$J$5:$J$149,'Session Tracker'!$D$5:$D$149,$A67,'Session Tracker'!$F$5:$F$149,"Next week",'Session Tracker'!$G$5:$G$149,"Thu"))</f>
        <v>0</v>
      </c>
      <c r="L67" s="52" t="n">
        <f aca="false">IF($E67="Per class",$D67*COUNTIFS('Session Tracker'!$D$5:$D$149,$A67,'Session Tracker'!$F$5:$F$149,"Next week",'Session Tracker'!$G$5:$G$149,"Fri"),$D67*SUMIFS('Session Tracker'!$J$5:$J$149,'Session Tracker'!$D$5:$D$149,$A67,'Session Tracker'!$F$5:$F$149,"Next week",'Session Tracker'!$G$5:$G$149,"Fri"))</f>
        <v>0</v>
      </c>
      <c r="M67" s="52" t="n">
        <f aca="false">IF($E67="Per class",$D67*COUNTIFS('Session Tracker'!$D$5:$D$149,$A67,'Session Tracker'!$F$5:$F$149,"Next week",'Session Tracker'!$G$5:$G$149,""),$D67*SUMIFS('Session Tracker'!$J$5:$J$149,'Session Tracker'!$D$5:$D$149,$A67,'Session Tracker'!$F$5:$F$149,"Next week",'Session Tracker'!$G$5:$G$149,""))</f>
        <v>0</v>
      </c>
    </row>
    <row r="68" customFormat="false" ht="15" hidden="false" customHeight="false" outlineLevel="0" collapsed="false">
      <c r="A68" s="75" t="s">
        <v>296</v>
      </c>
      <c r="B68" s="34" t="s">
        <v>447</v>
      </c>
      <c r="C68" s="34" t="s">
        <v>542</v>
      </c>
      <c r="D68" s="32" t="n">
        <v>1</v>
      </c>
      <c r="E68" s="32" t="s">
        <v>14</v>
      </c>
      <c r="F68" s="32" t="s">
        <v>368</v>
      </c>
      <c r="G68" s="34"/>
      <c r="H68" s="52" t="n">
        <f aca="false">IF($E68="Per class",$D68*COUNTIFS('Session Tracker'!$D$5:$D$149,$A68,'Session Tracker'!$F$5:$F$149,"Next week",'Session Tracker'!$G$5:$G$149,"Mon"),$D68*SUMIFS('Session Tracker'!$J$5:$J$149,'Session Tracker'!$D$5:$D$149,$A68,'Session Tracker'!$F$5:$F$149,"Next week",'Session Tracker'!$G$5:$G$149,"Mon"))</f>
        <v>0</v>
      </c>
      <c r="I68" s="52" t="n">
        <f aca="false">IF($E68="Per class",$D68*COUNTIFS('Session Tracker'!$D$5:$D$149,$A68,'Session Tracker'!$F$5:$F$149,"Next week",'Session Tracker'!$G$5:$G$149,"Tue"),$D68*SUMIFS('Session Tracker'!$J$5:$J$149,'Session Tracker'!$D$5:$D$149,$A68,'Session Tracker'!$F$5:$F$149,"Next week",'Session Tracker'!$G$5:$G$149,"Tue"))</f>
        <v>0</v>
      </c>
      <c r="J68" s="52" t="n">
        <f aca="false">IF($E68="Per class",$D68*COUNTIFS('Session Tracker'!$D$5:$D$149,$A68,'Session Tracker'!$F$5:$F$149,"Next week",'Session Tracker'!$G$5:$G$149,"Wed"),$D68*SUMIFS('Session Tracker'!$J$5:$J$149,'Session Tracker'!$D$5:$D$149,$A68,'Session Tracker'!$F$5:$F$149,"Next week",'Session Tracker'!$G$5:$G$149,"Wed"))</f>
        <v>0</v>
      </c>
      <c r="K68" s="52" t="n">
        <f aca="false">IF($E68="Per class",$D68*COUNTIFS('Session Tracker'!$D$5:$D$149,$A68,'Session Tracker'!$F$5:$F$149,"Next week",'Session Tracker'!$G$5:$G$149,"Thu"),$D68*SUMIFS('Session Tracker'!$J$5:$J$149,'Session Tracker'!$D$5:$D$149,$A68,'Session Tracker'!$F$5:$F$149,"Next week",'Session Tracker'!$G$5:$G$149,"Thu"))</f>
        <v>0</v>
      </c>
      <c r="L68" s="52" t="n">
        <f aca="false">IF($E68="Per class",$D68*COUNTIFS('Session Tracker'!$D$5:$D$149,$A68,'Session Tracker'!$F$5:$F$149,"Next week",'Session Tracker'!$G$5:$G$149,"Fri"),$D68*SUMIFS('Session Tracker'!$J$5:$J$149,'Session Tracker'!$D$5:$D$149,$A68,'Session Tracker'!$F$5:$F$149,"Next week",'Session Tracker'!$G$5:$G$149,"Fri"))</f>
        <v>0</v>
      </c>
      <c r="M68" s="52" t="n">
        <f aca="false">IF($E68="Per class",$D68*COUNTIFS('Session Tracker'!$D$5:$D$149,$A68,'Session Tracker'!$F$5:$F$149,"Next week",'Session Tracker'!$G$5:$G$149,""),$D68*SUMIFS('Session Tracker'!$J$5:$J$149,'Session Tracker'!$D$5:$D$149,$A68,'Session Tracker'!$F$5:$F$149,"Next week",'Session Tracker'!$G$5:$G$149,""))</f>
        <v>0</v>
      </c>
    </row>
    <row r="69" customFormat="false" ht="15" hidden="false" customHeight="false" outlineLevel="0" collapsed="false">
      <c r="A69" s="75" t="s">
        <v>296</v>
      </c>
      <c r="B69" s="34" t="s">
        <v>377</v>
      </c>
      <c r="C69" s="34" t="s">
        <v>532</v>
      </c>
      <c r="D69" s="32" t="n">
        <v>1</v>
      </c>
      <c r="E69" s="32" t="s">
        <v>14</v>
      </c>
      <c r="F69" s="32" t="s">
        <v>368</v>
      </c>
      <c r="G69" s="34"/>
      <c r="H69" s="52" t="n">
        <f aca="false">IF($E69="Per class",$D69*COUNTIFS('Session Tracker'!$D$5:$D$149,$A69,'Session Tracker'!$F$5:$F$149,"Next week",'Session Tracker'!$G$5:$G$149,"Mon"),$D69*SUMIFS('Session Tracker'!$J$5:$J$149,'Session Tracker'!$D$5:$D$149,$A69,'Session Tracker'!$F$5:$F$149,"Next week",'Session Tracker'!$G$5:$G$149,"Mon"))</f>
        <v>0</v>
      </c>
      <c r="I69" s="52" t="n">
        <f aca="false">IF($E69="Per class",$D69*COUNTIFS('Session Tracker'!$D$5:$D$149,$A69,'Session Tracker'!$F$5:$F$149,"Next week",'Session Tracker'!$G$5:$G$149,"Tue"),$D69*SUMIFS('Session Tracker'!$J$5:$J$149,'Session Tracker'!$D$5:$D$149,$A69,'Session Tracker'!$F$5:$F$149,"Next week",'Session Tracker'!$G$5:$G$149,"Tue"))</f>
        <v>0</v>
      </c>
      <c r="J69" s="52" t="n">
        <f aca="false">IF($E69="Per class",$D69*COUNTIFS('Session Tracker'!$D$5:$D$149,$A69,'Session Tracker'!$F$5:$F$149,"Next week",'Session Tracker'!$G$5:$G$149,"Wed"),$D69*SUMIFS('Session Tracker'!$J$5:$J$149,'Session Tracker'!$D$5:$D$149,$A69,'Session Tracker'!$F$5:$F$149,"Next week",'Session Tracker'!$G$5:$G$149,"Wed"))</f>
        <v>0</v>
      </c>
      <c r="K69" s="52" t="n">
        <f aca="false">IF($E69="Per class",$D69*COUNTIFS('Session Tracker'!$D$5:$D$149,$A69,'Session Tracker'!$F$5:$F$149,"Next week",'Session Tracker'!$G$5:$G$149,"Thu"),$D69*SUMIFS('Session Tracker'!$J$5:$J$149,'Session Tracker'!$D$5:$D$149,$A69,'Session Tracker'!$F$5:$F$149,"Next week",'Session Tracker'!$G$5:$G$149,"Thu"))</f>
        <v>0</v>
      </c>
      <c r="L69" s="52" t="n">
        <f aca="false">IF($E69="Per class",$D69*COUNTIFS('Session Tracker'!$D$5:$D$149,$A69,'Session Tracker'!$F$5:$F$149,"Next week",'Session Tracker'!$G$5:$G$149,"Fri"),$D69*SUMIFS('Session Tracker'!$J$5:$J$149,'Session Tracker'!$D$5:$D$149,$A69,'Session Tracker'!$F$5:$F$149,"Next week",'Session Tracker'!$G$5:$G$149,"Fri"))</f>
        <v>0</v>
      </c>
      <c r="M69" s="52" t="n">
        <f aca="false">IF($E69="Per class",$D69*COUNTIFS('Session Tracker'!$D$5:$D$149,$A69,'Session Tracker'!$F$5:$F$149,"Next week",'Session Tracker'!$G$5:$G$149,""),$D69*SUMIFS('Session Tracker'!$J$5:$J$149,'Session Tracker'!$D$5:$D$149,$A69,'Session Tracker'!$F$5:$F$149,"Next week",'Session Tracker'!$G$5:$G$149,""))</f>
        <v>0</v>
      </c>
    </row>
    <row r="70" customFormat="false" ht="15" hidden="false" customHeight="false" outlineLevel="0" collapsed="false">
      <c r="A70" s="75" t="s">
        <v>296</v>
      </c>
      <c r="B70" s="34" t="s">
        <v>369</v>
      </c>
      <c r="C70" s="34" t="s">
        <v>370</v>
      </c>
      <c r="D70" s="32" t="n">
        <v>3</v>
      </c>
      <c r="E70" s="32" t="s">
        <v>14</v>
      </c>
      <c r="F70" s="32" t="s">
        <v>368</v>
      </c>
      <c r="G70" s="34"/>
      <c r="H70" s="52" t="n">
        <f aca="false">IF($E70="Per class",$D70*COUNTIFS('Session Tracker'!$D$5:$D$149,$A70,'Session Tracker'!$F$5:$F$149,"Next week",'Session Tracker'!$G$5:$G$149,"Mon"),$D70*SUMIFS('Session Tracker'!$J$5:$J$149,'Session Tracker'!$D$5:$D$149,$A70,'Session Tracker'!$F$5:$F$149,"Next week",'Session Tracker'!$G$5:$G$149,"Mon"))</f>
        <v>0</v>
      </c>
      <c r="I70" s="52" t="n">
        <f aca="false">IF($E70="Per class",$D70*COUNTIFS('Session Tracker'!$D$5:$D$149,$A70,'Session Tracker'!$F$5:$F$149,"Next week",'Session Tracker'!$G$5:$G$149,"Tue"),$D70*SUMIFS('Session Tracker'!$J$5:$J$149,'Session Tracker'!$D$5:$D$149,$A70,'Session Tracker'!$F$5:$F$149,"Next week",'Session Tracker'!$G$5:$G$149,"Tue"))</f>
        <v>0</v>
      </c>
      <c r="J70" s="52" t="n">
        <f aca="false">IF($E70="Per class",$D70*COUNTIFS('Session Tracker'!$D$5:$D$149,$A70,'Session Tracker'!$F$5:$F$149,"Next week",'Session Tracker'!$G$5:$G$149,"Wed"),$D70*SUMIFS('Session Tracker'!$J$5:$J$149,'Session Tracker'!$D$5:$D$149,$A70,'Session Tracker'!$F$5:$F$149,"Next week",'Session Tracker'!$G$5:$G$149,"Wed"))</f>
        <v>0</v>
      </c>
      <c r="K70" s="52" t="n">
        <f aca="false">IF($E70="Per class",$D70*COUNTIFS('Session Tracker'!$D$5:$D$149,$A70,'Session Tracker'!$F$5:$F$149,"Next week",'Session Tracker'!$G$5:$G$149,"Thu"),$D70*SUMIFS('Session Tracker'!$J$5:$J$149,'Session Tracker'!$D$5:$D$149,$A70,'Session Tracker'!$F$5:$F$149,"Next week",'Session Tracker'!$G$5:$G$149,"Thu"))</f>
        <v>0</v>
      </c>
      <c r="L70" s="52" t="n">
        <f aca="false">IF($E70="Per class",$D70*COUNTIFS('Session Tracker'!$D$5:$D$149,$A70,'Session Tracker'!$F$5:$F$149,"Next week",'Session Tracker'!$G$5:$G$149,"Fri"),$D70*SUMIFS('Session Tracker'!$J$5:$J$149,'Session Tracker'!$D$5:$D$149,$A70,'Session Tracker'!$F$5:$F$149,"Next week",'Session Tracker'!$G$5:$G$149,"Fri"))</f>
        <v>0</v>
      </c>
      <c r="M70" s="52" t="n">
        <f aca="false">IF($E70="Per class",$D70*COUNTIFS('Session Tracker'!$D$5:$D$149,$A70,'Session Tracker'!$F$5:$F$149,"Next week",'Session Tracker'!$G$5:$G$149,""),$D70*SUMIFS('Session Tracker'!$J$5:$J$149,'Session Tracker'!$D$5:$D$149,$A70,'Session Tracker'!$F$5:$F$149,"Next week",'Session Tracker'!$G$5:$G$149,""))</f>
        <v>0</v>
      </c>
    </row>
    <row r="71" customFormat="false" ht="15" hidden="false" customHeight="false" outlineLevel="0" collapsed="false">
      <c r="A71" s="75" t="s">
        <v>296</v>
      </c>
      <c r="B71" s="34" t="s">
        <v>409</v>
      </c>
      <c r="C71" s="34" t="s">
        <v>533</v>
      </c>
      <c r="D71" s="32" t="n">
        <v>1</v>
      </c>
      <c r="E71" s="32" t="s">
        <v>14</v>
      </c>
      <c r="F71" s="32" t="s">
        <v>373</v>
      </c>
      <c r="G71" s="34"/>
      <c r="H71" s="52" t="n">
        <f aca="false">IF($E71="Per class",$D71*COUNTIFS('Session Tracker'!$D$5:$D$149,$A71,'Session Tracker'!$F$5:$F$149,"Next week",'Session Tracker'!$G$5:$G$149,"Mon"),$D71*SUMIFS('Session Tracker'!$J$5:$J$149,'Session Tracker'!$D$5:$D$149,$A71,'Session Tracker'!$F$5:$F$149,"Next week",'Session Tracker'!$G$5:$G$149,"Mon"))</f>
        <v>0</v>
      </c>
      <c r="I71" s="52" t="n">
        <f aca="false">IF($E71="Per class",$D71*COUNTIFS('Session Tracker'!$D$5:$D$149,$A71,'Session Tracker'!$F$5:$F$149,"Next week",'Session Tracker'!$G$5:$G$149,"Tue"),$D71*SUMIFS('Session Tracker'!$J$5:$J$149,'Session Tracker'!$D$5:$D$149,$A71,'Session Tracker'!$F$5:$F$149,"Next week",'Session Tracker'!$G$5:$G$149,"Tue"))</f>
        <v>0</v>
      </c>
      <c r="J71" s="52" t="n">
        <f aca="false">IF($E71="Per class",$D71*COUNTIFS('Session Tracker'!$D$5:$D$149,$A71,'Session Tracker'!$F$5:$F$149,"Next week",'Session Tracker'!$G$5:$G$149,"Wed"),$D71*SUMIFS('Session Tracker'!$J$5:$J$149,'Session Tracker'!$D$5:$D$149,$A71,'Session Tracker'!$F$5:$F$149,"Next week",'Session Tracker'!$G$5:$G$149,"Wed"))</f>
        <v>0</v>
      </c>
      <c r="K71" s="52" t="n">
        <f aca="false">IF($E71="Per class",$D71*COUNTIFS('Session Tracker'!$D$5:$D$149,$A71,'Session Tracker'!$F$5:$F$149,"Next week",'Session Tracker'!$G$5:$G$149,"Thu"),$D71*SUMIFS('Session Tracker'!$J$5:$J$149,'Session Tracker'!$D$5:$D$149,$A71,'Session Tracker'!$F$5:$F$149,"Next week",'Session Tracker'!$G$5:$G$149,"Thu"))</f>
        <v>0</v>
      </c>
      <c r="L71" s="52" t="n">
        <f aca="false">IF($E71="Per class",$D71*COUNTIFS('Session Tracker'!$D$5:$D$149,$A71,'Session Tracker'!$F$5:$F$149,"Next week",'Session Tracker'!$G$5:$G$149,"Fri"),$D71*SUMIFS('Session Tracker'!$J$5:$J$149,'Session Tracker'!$D$5:$D$149,$A71,'Session Tracker'!$F$5:$F$149,"Next week",'Session Tracker'!$G$5:$G$149,"Fri"))</f>
        <v>0</v>
      </c>
      <c r="M71" s="52" t="n">
        <f aca="false">IF($E71="Per class",$D71*COUNTIFS('Session Tracker'!$D$5:$D$149,$A71,'Session Tracker'!$F$5:$F$149,"Next week",'Session Tracker'!$G$5:$G$149,""),$D71*SUMIFS('Session Tracker'!$J$5:$J$149,'Session Tracker'!$D$5:$D$149,$A71,'Session Tracker'!$F$5:$F$149,"Next week",'Session Tracker'!$G$5:$G$149,""))</f>
        <v>0</v>
      </c>
    </row>
    <row r="72" customFormat="false" ht="15" hidden="false" customHeight="false" outlineLevel="0" collapsed="false">
      <c r="A72" s="75" t="s">
        <v>296</v>
      </c>
      <c r="B72" s="34" t="s">
        <v>382</v>
      </c>
      <c r="C72" s="34" t="s">
        <v>404</v>
      </c>
      <c r="D72" s="32" t="n">
        <v>1</v>
      </c>
      <c r="E72" s="32" t="s">
        <v>14</v>
      </c>
      <c r="F72" s="32" t="s">
        <v>368</v>
      </c>
      <c r="G72" s="34"/>
      <c r="H72" s="52" t="n">
        <f aca="false">IF($E72="Per class",$D72*COUNTIFS('Session Tracker'!$D$5:$D$149,$A72,'Session Tracker'!$F$5:$F$149,"Next week",'Session Tracker'!$G$5:$G$149,"Mon"),$D72*SUMIFS('Session Tracker'!$J$5:$J$149,'Session Tracker'!$D$5:$D$149,$A72,'Session Tracker'!$F$5:$F$149,"Next week",'Session Tracker'!$G$5:$G$149,"Mon"))</f>
        <v>0</v>
      </c>
      <c r="I72" s="52" t="n">
        <f aca="false">IF($E72="Per class",$D72*COUNTIFS('Session Tracker'!$D$5:$D$149,$A72,'Session Tracker'!$F$5:$F$149,"Next week",'Session Tracker'!$G$5:$G$149,"Tue"),$D72*SUMIFS('Session Tracker'!$J$5:$J$149,'Session Tracker'!$D$5:$D$149,$A72,'Session Tracker'!$F$5:$F$149,"Next week",'Session Tracker'!$G$5:$G$149,"Tue"))</f>
        <v>0</v>
      </c>
      <c r="J72" s="52" t="n">
        <f aca="false">IF($E72="Per class",$D72*COUNTIFS('Session Tracker'!$D$5:$D$149,$A72,'Session Tracker'!$F$5:$F$149,"Next week",'Session Tracker'!$G$5:$G$149,"Wed"),$D72*SUMIFS('Session Tracker'!$J$5:$J$149,'Session Tracker'!$D$5:$D$149,$A72,'Session Tracker'!$F$5:$F$149,"Next week",'Session Tracker'!$G$5:$G$149,"Wed"))</f>
        <v>0</v>
      </c>
      <c r="K72" s="52" t="n">
        <f aca="false">IF($E72="Per class",$D72*COUNTIFS('Session Tracker'!$D$5:$D$149,$A72,'Session Tracker'!$F$5:$F$149,"Next week",'Session Tracker'!$G$5:$G$149,"Thu"),$D72*SUMIFS('Session Tracker'!$J$5:$J$149,'Session Tracker'!$D$5:$D$149,$A72,'Session Tracker'!$F$5:$F$149,"Next week",'Session Tracker'!$G$5:$G$149,"Thu"))</f>
        <v>0</v>
      </c>
      <c r="L72" s="52" t="n">
        <f aca="false">IF($E72="Per class",$D72*COUNTIFS('Session Tracker'!$D$5:$D$149,$A72,'Session Tracker'!$F$5:$F$149,"Next week",'Session Tracker'!$G$5:$G$149,"Fri"),$D72*SUMIFS('Session Tracker'!$J$5:$J$149,'Session Tracker'!$D$5:$D$149,$A72,'Session Tracker'!$F$5:$F$149,"Next week",'Session Tracker'!$G$5:$G$149,"Fri"))</f>
        <v>0</v>
      </c>
      <c r="M72" s="52" t="n">
        <f aca="false">IF($E72="Per class",$D72*COUNTIFS('Session Tracker'!$D$5:$D$149,$A72,'Session Tracker'!$F$5:$F$149,"Next week",'Session Tracker'!$G$5:$G$149,""),$D72*SUMIFS('Session Tracker'!$J$5:$J$149,'Session Tracker'!$D$5:$D$149,$A72,'Session Tracker'!$F$5:$F$149,"Next week",'Session Tracker'!$G$5:$G$149,""))</f>
        <v>0</v>
      </c>
    </row>
    <row r="73" customFormat="false" ht="15" hidden="false" customHeight="false" outlineLevel="0" collapsed="false">
      <c r="A73" s="75" t="s">
        <v>296</v>
      </c>
      <c r="B73" s="34" t="s">
        <v>411</v>
      </c>
      <c r="C73" s="34" t="s">
        <v>440</v>
      </c>
      <c r="D73" s="32" t="n">
        <v>4</v>
      </c>
      <c r="E73" s="32" t="s">
        <v>16</v>
      </c>
      <c r="F73" s="32" t="s">
        <v>373</v>
      </c>
      <c r="G73" s="34" t="s">
        <v>658</v>
      </c>
      <c r="H73" s="52" t="n">
        <f aca="false">IF($E73="Per class",$D73*COUNTIFS('Session Tracker'!$D$5:$D$149,$A73,'Session Tracker'!$F$5:$F$149,"Next week",'Session Tracker'!$G$5:$G$149,"Mon"),$D73*SUMIFS('Session Tracker'!$J$5:$J$149,'Session Tracker'!$D$5:$D$149,$A73,'Session Tracker'!$F$5:$F$149,"Next week",'Session Tracker'!$G$5:$G$149,"Mon"))</f>
        <v>0</v>
      </c>
      <c r="I73" s="52" t="n">
        <f aca="false">IF($E73="Per class",$D73*COUNTIFS('Session Tracker'!$D$5:$D$149,$A73,'Session Tracker'!$F$5:$F$149,"Next week",'Session Tracker'!$G$5:$G$149,"Tue"),$D73*SUMIFS('Session Tracker'!$J$5:$J$149,'Session Tracker'!$D$5:$D$149,$A73,'Session Tracker'!$F$5:$F$149,"Next week",'Session Tracker'!$G$5:$G$149,"Tue"))</f>
        <v>0</v>
      </c>
      <c r="J73" s="52" t="n">
        <f aca="false">IF($E73="Per class",$D73*COUNTIFS('Session Tracker'!$D$5:$D$149,$A73,'Session Tracker'!$F$5:$F$149,"Next week",'Session Tracker'!$G$5:$G$149,"Wed"),$D73*SUMIFS('Session Tracker'!$J$5:$J$149,'Session Tracker'!$D$5:$D$149,$A73,'Session Tracker'!$F$5:$F$149,"Next week",'Session Tracker'!$G$5:$G$149,"Wed"))</f>
        <v>0</v>
      </c>
      <c r="K73" s="52" t="n">
        <f aca="false">IF($E73="Per class",$D73*COUNTIFS('Session Tracker'!$D$5:$D$149,$A73,'Session Tracker'!$F$5:$F$149,"Next week",'Session Tracker'!$G$5:$G$149,"Thu"),$D73*SUMIFS('Session Tracker'!$J$5:$J$149,'Session Tracker'!$D$5:$D$149,$A73,'Session Tracker'!$F$5:$F$149,"Next week",'Session Tracker'!$G$5:$G$149,"Thu"))</f>
        <v>0</v>
      </c>
      <c r="L73" s="52" t="n">
        <f aca="false">IF($E73="Per class",$D73*COUNTIFS('Session Tracker'!$D$5:$D$149,$A73,'Session Tracker'!$F$5:$F$149,"Next week",'Session Tracker'!$G$5:$G$149,"Fri"),$D73*SUMIFS('Session Tracker'!$J$5:$J$149,'Session Tracker'!$D$5:$D$149,$A73,'Session Tracker'!$F$5:$F$149,"Next week",'Session Tracker'!$G$5:$G$149,"Fri"))</f>
        <v>0</v>
      </c>
      <c r="M73" s="52" t="n">
        <f aca="false">IF($E73="Per class",$D73*COUNTIFS('Session Tracker'!$D$5:$D$149,$A73,'Session Tracker'!$F$5:$F$149,"Next week",'Session Tracker'!$G$5:$G$149,""),$D73*SUMIFS('Session Tracker'!$J$5:$J$149,'Session Tracker'!$D$5:$D$149,$A73,'Session Tracker'!$F$5:$F$149,"Next week",'Session Tracker'!$G$5:$G$149,""))</f>
        <v>0</v>
      </c>
    </row>
    <row r="74" customFormat="false" ht="15" hidden="false" customHeight="false" outlineLevel="0" collapsed="false">
      <c r="A74" s="75" t="s">
        <v>296</v>
      </c>
      <c r="B74" s="34" t="s">
        <v>379</v>
      </c>
      <c r="C74" s="34" t="s">
        <v>395</v>
      </c>
      <c r="D74" s="32" t="n">
        <v>14</v>
      </c>
      <c r="E74" s="32" t="s">
        <v>14</v>
      </c>
      <c r="F74" s="32" t="s">
        <v>368</v>
      </c>
      <c r="G74" s="34"/>
      <c r="H74" s="52" t="n">
        <f aca="false">IF($E74="Per class",$D74*COUNTIFS('Session Tracker'!$D$5:$D$149,$A74,'Session Tracker'!$F$5:$F$149,"Next week",'Session Tracker'!$G$5:$G$149,"Mon"),$D74*SUMIFS('Session Tracker'!$J$5:$J$149,'Session Tracker'!$D$5:$D$149,$A74,'Session Tracker'!$F$5:$F$149,"Next week",'Session Tracker'!$G$5:$G$149,"Mon"))</f>
        <v>0</v>
      </c>
      <c r="I74" s="52" t="n">
        <f aca="false">IF($E74="Per class",$D74*COUNTIFS('Session Tracker'!$D$5:$D$149,$A74,'Session Tracker'!$F$5:$F$149,"Next week",'Session Tracker'!$G$5:$G$149,"Tue"),$D74*SUMIFS('Session Tracker'!$J$5:$J$149,'Session Tracker'!$D$5:$D$149,$A74,'Session Tracker'!$F$5:$F$149,"Next week",'Session Tracker'!$G$5:$G$149,"Tue"))</f>
        <v>0</v>
      </c>
      <c r="J74" s="52" t="n">
        <f aca="false">IF($E74="Per class",$D74*COUNTIFS('Session Tracker'!$D$5:$D$149,$A74,'Session Tracker'!$F$5:$F$149,"Next week",'Session Tracker'!$G$5:$G$149,"Wed"),$D74*SUMIFS('Session Tracker'!$J$5:$J$149,'Session Tracker'!$D$5:$D$149,$A74,'Session Tracker'!$F$5:$F$149,"Next week",'Session Tracker'!$G$5:$G$149,"Wed"))</f>
        <v>0</v>
      </c>
      <c r="K74" s="52" t="n">
        <f aca="false">IF($E74="Per class",$D74*COUNTIFS('Session Tracker'!$D$5:$D$149,$A74,'Session Tracker'!$F$5:$F$149,"Next week",'Session Tracker'!$G$5:$G$149,"Thu"),$D74*SUMIFS('Session Tracker'!$J$5:$J$149,'Session Tracker'!$D$5:$D$149,$A74,'Session Tracker'!$F$5:$F$149,"Next week",'Session Tracker'!$G$5:$G$149,"Thu"))</f>
        <v>0</v>
      </c>
      <c r="L74" s="52" t="n">
        <f aca="false">IF($E74="Per class",$D74*COUNTIFS('Session Tracker'!$D$5:$D$149,$A74,'Session Tracker'!$F$5:$F$149,"Next week",'Session Tracker'!$G$5:$G$149,"Fri"),$D74*SUMIFS('Session Tracker'!$J$5:$J$149,'Session Tracker'!$D$5:$D$149,$A74,'Session Tracker'!$F$5:$F$149,"Next week",'Session Tracker'!$G$5:$G$149,"Fri"))</f>
        <v>0</v>
      </c>
      <c r="M74" s="52" t="n">
        <f aca="false">IF($E74="Per class",$D74*COUNTIFS('Session Tracker'!$D$5:$D$149,$A74,'Session Tracker'!$F$5:$F$149,"Next week",'Session Tracker'!$G$5:$G$149,""),$D74*SUMIFS('Session Tracker'!$J$5:$J$149,'Session Tracker'!$D$5:$D$149,$A74,'Session Tracker'!$F$5:$F$149,"Next week",'Session Tracker'!$G$5:$G$149,""))</f>
        <v>0</v>
      </c>
    </row>
    <row r="75" customFormat="false" ht="15" hidden="false" customHeight="false" outlineLevel="0" collapsed="false">
      <c r="A75" s="75" t="s">
        <v>296</v>
      </c>
      <c r="B75" s="34" t="s">
        <v>379</v>
      </c>
      <c r="C75" s="34" t="s">
        <v>381</v>
      </c>
      <c r="D75" s="32" t="n">
        <v>10</v>
      </c>
      <c r="E75" s="32" t="s">
        <v>14</v>
      </c>
      <c r="F75" s="32" t="s">
        <v>368</v>
      </c>
      <c r="G75" s="34"/>
      <c r="H75" s="52" t="n">
        <f aca="false">IF($E75="Per class",$D75*COUNTIFS('Session Tracker'!$D$5:$D$149,$A75,'Session Tracker'!$F$5:$F$149,"Next week",'Session Tracker'!$G$5:$G$149,"Mon"),$D75*SUMIFS('Session Tracker'!$J$5:$J$149,'Session Tracker'!$D$5:$D$149,$A75,'Session Tracker'!$F$5:$F$149,"Next week",'Session Tracker'!$G$5:$G$149,"Mon"))</f>
        <v>0</v>
      </c>
      <c r="I75" s="52" t="n">
        <f aca="false">IF($E75="Per class",$D75*COUNTIFS('Session Tracker'!$D$5:$D$149,$A75,'Session Tracker'!$F$5:$F$149,"Next week",'Session Tracker'!$G$5:$G$149,"Tue"),$D75*SUMIFS('Session Tracker'!$J$5:$J$149,'Session Tracker'!$D$5:$D$149,$A75,'Session Tracker'!$F$5:$F$149,"Next week",'Session Tracker'!$G$5:$G$149,"Tue"))</f>
        <v>0</v>
      </c>
      <c r="J75" s="52" t="n">
        <f aca="false">IF($E75="Per class",$D75*COUNTIFS('Session Tracker'!$D$5:$D$149,$A75,'Session Tracker'!$F$5:$F$149,"Next week",'Session Tracker'!$G$5:$G$149,"Wed"),$D75*SUMIFS('Session Tracker'!$J$5:$J$149,'Session Tracker'!$D$5:$D$149,$A75,'Session Tracker'!$F$5:$F$149,"Next week",'Session Tracker'!$G$5:$G$149,"Wed"))</f>
        <v>0</v>
      </c>
      <c r="K75" s="52" t="n">
        <f aca="false">IF($E75="Per class",$D75*COUNTIFS('Session Tracker'!$D$5:$D$149,$A75,'Session Tracker'!$F$5:$F$149,"Next week",'Session Tracker'!$G$5:$G$149,"Thu"),$D75*SUMIFS('Session Tracker'!$J$5:$J$149,'Session Tracker'!$D$5:$D$149,$A75,'Session Tracker'!$F$5:$F$149,"Next week",'Session Tracker'!$G$5:$G$149,"Thu"))</f>
        <v>0</v>
      </c>
      <c r="L75" s="52" t="n">
        <f aca="false">IF($E75="Per class",$D75*COUNTIFS('Session Tracker'!$D$5:$D$149,$A75,'Session Tracker'!$F$5:$F$149,"Next week",'Session Tracker'!$G$5:$G$149,"Fri"),$D75*SUMIFS('Session Tracker'!$J$5:$J$149,'Session Tracker'!$D$5:$D$149,$A75,'Session Tracker'!$F$5:$F$149,"Next week",'Session Tracker'!$G$5:$G$149,"Fri"))</f>
        <v>0</v>
      </c>
      <c r="M75" s="52" t="n">
        <f aca="false">IF($E75="Per class",$D75*COUNTIFS('Session Tracker'!$D$5:$D$149,$A75,'Session Tracker'!$F$5:$F$149,"Next week",'Session Tracker'!$G$5:$G$149,""),$D75*SUMIFS('Session Tracker'!$J$5:$J$149,'Session Tracker'!$D$5:$D$149,$A75,'Session Tracker'!$F$5:$F$149,"Next week",'Session Tracker'!$G$5:$G$149,""))</f>
        <v>0</v>
      </c>
    </row>
    <row r="76" customFormat="false" ht="15" hidden="false" customHeight="false" outlineLevel="0" collapsed="false">
      <c r="A76" s="75" t="s">
        <v>296</v>
      </c>
      <c r="B76" s="34" t="s">
        <v>382</v>
      </c>
      <c r="C76" s="34" t="s">
        <v>383</v>
      </c>
      <c r="D76" s="32" t="n">
        <v>1</v>
      </c>
      <c r="E76" s="32" t="s">
        <v>14</v>
      </c>
      <c r="F76" s="32" t="s">
        <v>368</v>
      </c>
      <c r="G76" s="34"/>
      <c r="H76" s="52" t="n">
        <f aca="false">IF($E76="Per class",$D76*COUNTIFS('Session Tracker'!$D$5:$D$149,$A76,'Session Tracker'!$F$5:$F$149,"Next week",'Session Tracker'!$G$5:$G$149,"Mon"),$D76*SUMIFS('Session Tracker'!$J$5:$J$149,'Session Tracker'!$D$5:$D$149,$A76,'Session Tracker'!$F$5:$F$149,"Next week",'Session Tracker'!$G$5:$G$149,"Mon"))</f>
        <v>0</v>
      </c>
      <c r="I76" s="52" t="n">
        <f aca="false">IF($E76="Per class",$D76*COUNTIFS('Session Tracker'!$D$5:$D$149,$A76,'Session Tracker'!$F$5:$F$149,"Next week",'Session Tracker'!$G$5:$G$149,"Tue"),$D76*SUMIFS('Session Tracker'!$J$5:$J$149,'Session Tracker'!$D$5:$D$149,$A76,'Session Tracker'!$F$5:$F$149,"Next week",'Session Tracker'!$G$5:$G$149,"Tue"))</f>
        <v>0</v>
      </c>
      <c r="J76" s="52" t="n">
        <f aca="false">IF($E76="Per class",$D76*COUNTIFS('Session Tracker'!$D$5:$D$149,$A76,'Session Tracker'!$F$5:$F$149,"Next week",'Session Tracker'!$G$5:$G$149,"Wed"),$D76*SUMIFS('Session Tracker'!$J$5:$J$149,'Session Tracker'!$D$5:$D$149,$A76,'Session Tracker'!$F$5:$F$149,"Next week",'Session Tracker'!$G$5:$G$149,"Wed"))</f>
        <v>0</v>
      </c>
      <c r="K76" s="52" t="n">
        <f aca="false">IF($E76="Per class",$D76*COUNTIFS('Session Tracker'!$D$5:$D$149,$A76,'Session Tracker'!$F$5:$F$149,"Next week",'Session Tracker'!$G$5:$G$149,"Thu"),$D76*SUMIFS('Session Tracker'!$J$5:$J$149,'Session Tracker'!$D$5:$D$149,$A76,'Session Tracker'!$F$5:$F$149,"Next week",'Session Tracker'!$G$5:$G$149,"Thu"))</f>
        <v>0</v>
      </c>
      <c r="L76" s="52" t="n">
        <f aca="false">IF($E76="Per class",$D76*COUNTIFS('Session Tracker'!$D$5:$D$149,$A76,'Session Tracker'!$F$5:$F$149,"Next week",'Session Tracker'!$G$5:$G$149,"Fri"),$D76*SUMIFS('Session Tracker'!$J$5:$J$149,'Session Tracker'!$D$5:$D$149,$A76,'Session Tracker'!$F$5:$F$149,"Next week",'Session Tracker'!$G$5:$G$149,"Fri"))</f>
        <v>0</v>
      </c>
      <c r="M76" s="52" t="n">
        <f aca="false">IF($E76="Per class",$D76*COUNTIFS('Session Tracker'!$D$5:$D$149,$A76,'Session Tracker'!$F$5:$F$149,"Next week",'Session Tracker'!$G$5:$G$149,""),$D76*SUMIFS('Session Tracker'!$J$5:$J$149,'Session Tracker'!$D$5:$D$149,$A76,'Session Tracker'!$F$5:$F$149,"Next week",'Session Tracker'!$G$5:$G$149,""))</f>
        <v>0</v>
      </c>
    </row>
    <row r="77" customFormat="false" ht="15" hidden="false" customHeight="false" outlineLevel="0" collapsed="false">
      <c r="A77" s="75" t="s">
        <v>296</v>
      </c>
      <c r="B77" s="34" t="s">
        <v>371</v>
      </c>
      <c r="C77" s="34" t="s">
        <v>372</v>
      </c>
      <c r="D77" s="32" t="n">
        <v>1</v>
      </c>
      <c r="E77" s="32" t="s">
        <v>14</v>
      </c>
      <c r="F77" s="32" t="s">
        <v>373</v>
      </c>
      <c r="G77" s="34" t="s">
        <v>389</v>
      </c>
      <c r="H77" s="52" t="n">
        <f aca="false">IF($E77="Per class",$D77*COUNTIFS('Session Tracker'!$D$5:$D$149,$A77,'Session Tracker'!$F$5:$F$149,"Next week",'Session Tracker'!$G$5:$G$149,"Mon"),$D77*SUMIFS('Session Tracker'!$J$5:$J$149,'Session Tracker'!$D$5:$D$149,$A77,'Session Tracker'!$F$5:$F$149,"Next week",'Session Tracker'!$G$5:$G$149,"Mon"))</f>
        <v>0</v>
      </c>
      <c r="I77" s="52" t="n">
        <f aca="false">IF($E77="Per class",$D77*COUNTIFS('Session Tracker'!$D$5:$D$149,$A77,'Session Tracker'!$F$5:$F$149,"Next week",'Session Tracker'!$G$5:$G$149,"Tue"),$D77*SUMIFS('Session Tracker'!$J$5:$J$149,'Session Tracker'!$D$5:$D$149,$A77,'Session Tracker'!$F$5:$F$149,"Next week",'Session Tracker'!$G$5:$G$149,"Tue"))</f>
        <v>0</v>
      </c>
      <c r="J77" s="52" t="n">
        <f aca="false">IF($E77="Per class",$D77*COUNTIFS('Session Tracker'!$D$5:$D$149,$A77,'Session Tracker'!$F$5:$F$149,"Next week",'Session Tracker'!$G$5:$G$149,"Wed"),$D77*SUMIFS('Session Tracker'!$J$5:$J$149,'Session Tracker'!$D$5:$D$149,$A77,'Session Tracker'!$F$5:$F$149,"Next week",'Session Tracker'!$G$5:$G$149,"Wed"))</f>
        <v>0</v>
      </c>
      <c r="K77" s="52" t="n">
        <f aca="false">IF($E77="Per class",$D77*COUNTIFS('Session Tracker'!$D$5:$D$149,$A77,'Session Tracker'!$F$5:$F$149,"Next week",'Session Tracker'!$G$5:$G$149,"Thu"),$D77*SUMIFS('Session Tracker'!$J$5:$J$149,'Session Tracker'!$D$5:$D$149,$A77,'Session Tracker'!$F$5:$F$149,"Next week",'Session Tracker'!$G$5:$G$149,"Thu"))</f>
        <v>0</v>
      </c>
      <c r="L77" s="52" t="n">
        <f aca="false">IF($E77="Per class",$D77*COUNTIFS('Session Tracker'!$D$5:$D$149,$A77,'Session Tracker'!$F$5:$F$149,"Next week",'Session Tracker'!$G$5:$G$149,"Fri"),$D77*SUMIFS('Session Tracker'!$J$5:$J$149,'Session Tracker'!$D$5:$D$149,$A77,'Session Tracker'!$F$5:$F$149,"Next week",'Session Tracker'!$G$5:$G$149,"Fri"))</f>
        <v>0</v>
      </c>
      <c r="M77" s="52" t="n">
        <f aca="false">IF($E77="Per class",$D77*COUNTIFS('Session Tracker'!$D$5:$D$149,$A77,'Session Tracker'!$F$5:$F$149,"Next week",'Session Tracker'!$G$5:$G$149,""),$D77*SUMIFS('Session Tracker'!$J$5:$J$149,'Session Tracker'!$D$5:$D$149,$A77,'Session Tracker'!$F$5:$F$149,"Next week",'Session Tracker'!$G$5:$G$149,""))</f>
        <v>0</v>
      </c>
    </row>
    <row r="78" customFormat="false" ht="15" hidden="false" customHeight="false" outlineLevel="0" collapsed="false">
      <c r="A78" s="75" t="s">
        <v>296</v>
      </c>
      <c r="B78" s="34" t="s">
        <v>375</v>
      </c>
      <c r="C78" s="34" t="s">
        <v>376</v>
      </c>
      <c r="D78" s="32" t="n">
        <v>1</v>
      </c>
      <c r="E78" s="32" t="s">
        <v>14</v>
      </c>
      <c r="F78" s="32" t="s">
        <v>373</v>
      </c>
      <c r="G78" s="34" t="s">
        <v>442</v>
      </c>
      <c r="H78" s="52" t="n">
        <f aca="false">IF($E78="Per class",$D78*COUNTIFS('Session Tracker'!$D$5:$D$149,$A78,'Session Tracker'!$F$5:$F$149,"Next week",'Session Tracker'!$G$5:$G$149,"Mon"),$D78*SUMIFS('Session Tracker'!$J$5:$J$149,'Session Tracker'!$D$5:$D$149,$A78,'Session Tracker'!$F$5:$F$149,"Next week",'Session Tracker'!$G$5:$G$149,"Mon"))</f>
        <v>0</v>
      </c>
      <c r="I78" s="52" t="n">
        <f aca="false">IF($E78="Per class",$D78*COUNTIFS('Session Tracker'!$D$5:$D$149,$A78,'Session Tracker'!$F$5:$F$149,"Next week",'Session Tracker'!$G$5:$G$149,"Tue"),$D78*SUMIFS('Session Tracker'!$J$5:$J$149,'Session Tracker'!$D$5:$D$149,$A78,'Session Tracker'!$F$5:$F$149,"Next week",'Session Tracker'!$G$5:$G$149,"Tue"))</f>
        <v>0</v>
      </c>
      <c r="J78" s="52" t="n">
        <f aca="false">IF($E78="Per class",$D78*COUNTIFS('Session Tracker'!$D$5:$D$149,$A78,'Session Tracker'!$F$5:$F$149,"Next week",'Session Tracker'!$G$5:$G$149,"Wed"),$D78*SUMIFS('Session Tracker'!$J$5:$J$149,'Session Tracker'!$D$5:$D$149,$A78,'Session Tracker'!$F$5:$F$149,"Next week",'Session Tracker'!$G$5:$G$149,"Wed"))</f>
        <v>0</v>
      </c>
      <c r="K78" s="52" t="n">
        <f aca="false">IF($E78="Per class",$D78*COUNTIFS('Session Tracker'!$D$5:$D$149,$A78,'Session Tracker'!$F$5:$F$149,"Next week",'Session Tracker'!$G$5:$G$149,"Thu"),$D78*SUMIFS('Session Tracker'!$J$5:$J$149,'Session Tracker'!$D$5:$D$149,$A78,'Session Tracker'!$F$5:$F$149,"Next week",'Session Tracker'!$G$5:$G$149,"Thu"))</f>
        <v>0</v>
      </c>
      <c r="L78" s="52" t="n">
        <f aca="false">IF($E78="Per class",$D78*COUNTIFS('Session Tracker'!$D$5:$D$149,$A78,'Session Tracker'!$F$5:$F$149,"Next week",'Session Tracker'!$G$5:$G$149,"Fri"),$D78*SUMIFS('Session Tracker'!$J$5:$J$149,'Session Tracker'!$D$5:$D$149,$A78,'Session Tracker'!$F$5:$F$149,"Next week",'Session Tracker'!$G$5:$G$149,"Fri"))</f>
        <v>0</v>
      </c>
      <c r="M78" s="52" t="n">
        <f aca="false">IF($E78="Per class",$D78*COUNTIFS('Session Tracker'!$D$5:$D$149,$A78,'Session Tracker'!$F$5:$F$149,"Next week",'Session Tracker'!$G$5:$G$149,""),$D78*SUMIFS('Session Tracker'!$J$5:$J$149,'Session Tracker'!$D$5:$D$149,$A78,'Session Tracker'!$F$5:$F$149,"Next week",'Session Tracker'!$G$5:$G$149,""))</f>
        <v>0</v>
      </c>
    </row>
    <row r="79" customFormat="false" ht="15" hidden="false" customHeight="false" outlineLevel="0" collapsed="false">
      <c r="A79" s="75" t="s">
        <v>296</v>
      </c>
      <c r="B79" s="34" t="s">
        <v>377</v>
      </c>
      <c r="C79" s="34" t="s">
        <v>378</v>
      </c>
      <c r="D79" s="32" t="n">
        <v>1</v>
      </c>
      <c r="E79" s="32" t="s">
        <v>14</v>
      </c>
      <c r="F79" s="32" t="s">
        <v>368</v>
      </c>
      <c r="G79" s="34" t="s">
        <v>389</v>
      </c>
      <c r="H79" s="52" t="n">
        <f aca="false">IF($E79="Per class",$D79*COUNTIFS('Session Tracker'!$D$5:$D$149,$A79,'Session Tracker'!$F$5:$F$149,"Next week",'Session Tracker'!$G$5:$G$149,"Mon"),$D79*SUMIFS('Session Tracker'!$J$5:$J$149,'Session Tracker'!$D$5:$D$149,$A79,'Session Tracker'!$F$5:$F$149,"Next week",'Session Tracker'!$G$5:$G$149,"Mon"))</f>
        <v>0</v>
      </c>
      <c r="I79" s="52" t="n">
        <f aca="false">IF($E79="Per class",$D79*COUNTIFS('Session Tracker'!$D$5:$D$149,$A79,'Session Tracker'!$F$5:$F$149,"Next week",'Session Tracker'!$G$5:$G$149,"Tue"),$D79*SUMIFS('Session Tracker'!$J$5:$J$149,'Session Tracker'!$D$5:$D$149,$A79,'Session Tracker'!$F$5:$F$149,"Next week",'Session Tracker'!$G$5:$G$149,"Tue"))</f>
        <v>0</v>
      </c>
      <c r="J79" s="52" t="n">
        <f aca="false">IF($E79="Per class",$D79*COUNTIFS('Session Tracker'!$D$5:$D$149,$A79,'Session Tracker'!$F$5:$F$149,"Next week",'Session Tracker'!$G$5:$G$149,"Wed"),$D79*SUMIFS('Session Tracker'!$J$5:$J$149,'Session Tracker'!$D$5:$D$149,$A79,'Session Tracker'!$F$5:$F$149,"Next week",'Session Tracker'!$G$5:$G$149,"Wed"))</f>
        <v>0</v>
      </c>
      <c r="K79" s="52" t="n">
        <f aca="false">IF($E79="Per class",$D79*COUNTIFS('Session Tracker'!$D$5:$D$149,$A79,'Session Tracker'!$F$5:$F$149,"Next week",'Session Tracker'!$G$5:$G$149,"Thu"),$D79*SUMIFS('Session Tracker'!$J$5:$J$149,'Session Tracker'!$D$5:$D$149,$A79,'Session Tracker'!$F$5:$F$149,"Next week",'Session Tracker'!$G$5:$G$149,"Thu"))</f>
        <v>0</v>
      </c>
      <c r="L79" s="52" t="n">
        <f aca="false">IF($E79="Per class",$D79*COUNTIFS('Session Tracker'!$D$5:$D$149,$A79,'Session Tracker'!$F$5:$F$149,"Next week",'Session Tracker'!$G$5:$G$149,"Fri"),$D79*SUMIFS('Session Tracker'!$J$5:$J$149,'Session Tracker'!$D$5:$D$149,$A79,'Session Tracker'!$F$5:$F$149,"Next week",'Session Tracker'!$G$5:$G$149,"Fri"))</f>
        <v>0</v>
      </c>
      <c r="M79" s="52" t="n">
        <f aca="false">IF($E79="Per class",$D79*COUNTIFS('Session Tracker'!$D$5:$D$149,$A79,'Session Tracker'!$F$5:$F$149,"Next week",'Session Tracker'!$G$5:$G$149,""),$D79*SUMIFS('Session Tracker'!$J$5:$J$149,'Session Tracker'!$D$5:$D$149,$A79,'Session Tracker'!$F$5:$F$149,"Next week",'Session Tracker'!$G$5:$G$149,""))</f>
        <v>0</v>
      </c>
    </row>
    <row r="80" customFormat="false" ht="15" hidden="false" customHeight="false" outlineLevel="0" collapsed="false">
      <c r="A80" s="53" t="s">
        <v>296</v>
      </c>
      <c r="B80" s="54"/>
      <c r="C80" s="54"/>
      <c r="D80" s="54"/>
      <c r="E80" s="54"/>
      <c r="F80" s="54"/>
      <c r="G80" s="54"/>
      <c r="H80" s="52" t="n">
        <f aca="false">IF($E80="Per class",$D80*COUNTIFS('Session Tracker'!$D$5:$D$149,$A80,'Session Tracker'!$F$5:$F$149,"Next week",'Session Tracker'!$G$5:$G$149,"Mon"),$D80*SUMIFS('Session Tracker'!$J$5:$J$149,'Session Tracker'!$D$5:$D$149,$A80,'Session Tracker'!$F$5:$F$149,"Next week",'Session Tracker'!$G$5:$G$149,"Mon"))</f>
        <v>0</v>
      </c>
      <c r="I80" s="52" t="n">
        <f aca="false">IF($E80="Per class",$D80*COUNTIFS('Session Tracker'!$D$5:$D$149,$A80,'Session Tracker'!$F$5:$F$149,"Next week",'Session Tracker'!$G$5:$G$149,"Tue"),$D80*SUMIFS('Session Tracker'!$J$5:$J$149,'Session Tracker'!$D$5:$D$149,$A80,'Session Tracker'!$F$5:$F$149,"Next week",'Session Tracker'!$G$5:$G$149,"Tue"))</f>
        <v>0</v>
      </c>
      <c r="J80" s="52" t="n">
        <f aca="false">IF($E80="Per class",$D80*COUNTIFS('Session Tracker'!$D$5:$D$149,$A80,'Session Tracker'!$F$5:$F$149,"Next week",'Session Tracker'!$G$5:$G$149,"Wed"),$D80*SUMIFS('Session Tracker'!$J$5:$J$149,'Session Tracker'!$D$5:$D$149,$A80,'Session Tracker'!$F$5:$F$149,"Next week",'Session Tracker'!$G$5:$G$149,"Wed"))</f>
        <v>0</v>
      </c>
      <c r="K80" s="52" t="n">
        <f aca="false">IF($E80="Per class",$D80*COUNTIFS('Session Tracker'!$D$5:$D$149,$A80,'Session Tracker'!$F$5:$F$149,"Next week",'Session Tracker'!$G$5:$G$149,"Thu"),$D80*SUMIFS('Session Tracker'!$J$5:$J$149,'Session Tracker'!$D$5:$D$149,$A80,'Session Tracker'!$F$5:$F$149,"Next week",'Session Tracker'!$G$5:$G$149,"Thu"))</f>
        <v>0</v>
      </c>
      <c r="L80" s="52" t="n">
        <f aca="false">IF($E80="Per class",$D80*COUNTIFS('Session Tracker'!$D$5:$D$149,$A80,'Session Tracker'!$F$5:$F$149,"Next week",'Session Tracker'!$G$5:$G$149,"Fri"),$D80*SUMIFS('Session Tracker'!$J$5:$J$149,'Session Tracker'!$D$5:$D$149,$A80,'Session Tracker'!$F$5:$F$149,"Next week",'Session Tracker'!$G$5:$G$149,"Fri"))</f>
        <v>0</v>
      </c>
      <c r="M80" s="52" t="n">
        <f aca="false">IF($E80="Per class",$D80*COUNTIFS('Session Tracker'!$D$5:$D$149,$A80,'Session Tracker'!$F$5:$F$149,"Next week",'Session Tracker'!$G$5:$G$149,""),$D80*SUMIFS('Session Tracker'!$J$5:$J$149,'Session Tracker'!$D$5:$D$149,$A80,'Session Tracker'!$F$5:$F$149,"Next week",'Session Tracker'!$G$5:$G$149,""))</f>
        <v>0</v>
      </c>
    </row>
    <row r="81" customFormat="false" ht="15" hidden="false" customHeight="false" outlineLevel="0" collapsed="false">
      <c r="A81" s="53" t="s">
        <v>296</v>
      </c>
      <c r="B81" s="54"/>
      <c r="C81" s="54"/>
      <c r="D81" s="54"/>
      <c r="E81" s="54"/>
      <c r="F81" s="54"/>
      <c r="G81" s="54"/>
      <c r="H81" s="52" t="n">
        <f aca="false">IF($E81="Per class",$D81*COUNTIFS('Session Tracker'!$D$5:$D$149,$A81,'Session Tracker'!$F$5:$F$149,"Next week",'Session Tracker'!$G$5:$G$149,"Mon"),$D81*SUMIFS('Session Tracker'!$J$5:$J$149,'Session Tracker'!$D$5:$D$149,$A81,'Session Tracker'!$F$5:$F$149,"Next week",'Session Tracker'!$G$5:$G$149,"Mon"))</f>
        <v>0</v>
      </c>
      <c r="I81" s="52" t="n">
        <f aca="false">IF($E81="Per class",$D81*COUNTIFS('Session Tracker'!$D$5:$D$149,$A81,'Session Tracker'!$F$5:$F$149,"Next week",'Session Tracker'!$G$5:$G$149,"Tue"),$D81*SUMIFS('Session Tracker'!$J$5:$J$149,'Session Tracker'!$D$5:$D$149,$A81,'Session Tracker'!$F$5:$F$149,"Next week",'Session Tracker'!$G$5:$G$149,"Tue"))</f>
        <v>0</v>
      </c>
      <c r="J81" s="52" t="n">
        <f aca="false">IF($E81="Per class",$D81*COUNTIFS('Session Tracker'!$D$5:$D$149,$A81,'Session Tracker'!$F$5:$F$149,"Next week",'Session Tracker'!$G$5:$G$149,"Wed"),$D81*SUMIFS('Session Tracker'!$J$5:$J$149,'Session Tracker'!$D$5:$D$149,$A81,'Session Tracker'!$F$5:$F$149,"Next week",'Session Tracker'!$G$5:$G$149,"Wed"))</f>
        <v>0</v>
      </c>
      <c r="K81" s="52" t="n">
        <f aca="false">IF($E81="Per class",$D81*COUNTIFS('Session Tracker'!$D$5:$D$149,$A81,'Session Tracker'!$F$5:$F$149,"Next week",'Session Tracker'!$G$5:$G$149,"Thu"),$D81*SUMIFS('Session Tracker'!$J$5:$J$149,'Session Tracker'!$D$5:$D$149,$A81,'Session Tracker'!$F$5:$F$149,"Next week",'Session Tracker'!$G$5:$G$149,"Thu"))</f>
        <v>0</v>
      </c>
      <c r="L81" s="52" t="n">
        <f aca="false">IF($E81="Per class",$D81*COUNTIFS('Session Tracker'!$D$5:$D$149,$A81,'Session Tracker'!$F$5:$F$149,"Next week",'Session Tracker'!$G$5:$G$149,"Fri"),$D81*SUMIFS('Session Tracker'!$J$5:$J$149,'Session Tracker'!$D$5:$D$149,$A81,'Session Tracker'!$F$5:$F$149,"Next week",'Session Tracker'!$G$5:$G$149,"Fri"))</f>
        <v>0</v>
      </c>
      <c r="M81" s="52" t="n">
        <f aca="false">IF($E81="Per class",$D81*COUNTIFS('Session Tracker'!$D$5:$D$149,$A81,'Session Tracker'!$F$5:$F$149,"Next week",'Session Tracker'!$G$5:$G$149,""),$D81*SUMIFS('Session Tracker'!$J$5:$J$149,'Session Tracker'!$D$5:$D$149,$A81,'Session Tracker'!$F$5:$F$149,"Next week",'Session Tracker'!$G$5:$G$149,""))</f>
        <v>0</v>
      </c>
    </row>
    <row r="83" customFormat="false" ht="19.5" hidden="false" customHeight="true" outlineLevel="0" collapsed="false">
      <c r="A83" s="71" t="s">
        <v>298</v>
      </c>
      <c r="B83" s="72" t="s">
        <v>659</v>
      </c>
      <c r="C83" s="72"/>
      <c r="D83" s="72"/>
      <c r="E83" s="72"/>
      <c r="F83" s="73" t="str">
        <f aca="false">"Status: "&amp;'Session Tracker'!F120&amp;IF('Session Tracker'!G120&lt;&gt;""," ("&amp;'Session Tracker'!G120&amp;")","")</f>
        <v>Status: Not started</v>
      </c>
      <c r="G83" s="73"/>
      <c r="H83" s="74"/>
      <c r="I83" s="74"/>
      <c r="J83" s="74"/>
      <c r="K83" s="74"/>
      <c r="L83" s="74"/>
      <c r="M83" s="74"/>
    </row>
    <row r="84" customFormat="false" ht="23.85" hidden="false" customHeight="false" outlineLevel="0" collapsed="false">
      <c r="A84" s="75" t="s">
        <v>298</v>
      </c>
      <c r="B84" s="34" t="s">
        <v>366</v>
      </c>
      <c r="C84" s="34" t="s">
        <v>367</v>
      </c>
      <c r="D84" s="32" t="n">
        <v>1</v>
      </c>
      <c r="E84" s="32" t="s">
        <v>14</v>
      </c>
      <c r="F84" s="32" t="s">
        <v>368</v>
      </c>
      <c r="G84" s="34"/>
      <c r="H84" s="52" t="n">
        <f aca="false">IF($E84="Per class",$D84*COUNTIFS('Session Tracker'!$D$5:$D$149,$A84,'Session Tracker'!$F$5:$F$149,"Next week",'Session Tracker'!$G$5:$G$149,"Mon"),$D84*SUMIFS('Session Tracker'!$J$5:$J$149,'Session Tracker'!$D$5:$D$149,$A84,'Session Tracker'!$F$5:$F$149,"Next week",'Session Tracker'!$G$5:$G$149,"Mon"))</f>
        <v>0</v>
      </c>
      <c r="I84" s="52" t="n">
        <f aca="false">IF($E84="Per class",$D84*COUNTIFS('Session Tracker'!$D$5:$D$149,$A84,'Session Tracker'!$F$5:$F$149,"Next week",'Session Tracker'!$G$5:$G$149,"Tue"),$D84*SUMIFS('Session Tracker'!$J$5:$J$149,'Session Tracker'!$D$5:$D$149,$A84,'Session Tracker'!$F$5:$F$149,"Next week",'Session Tracker'!$G$5:$G$149,"Tue"))</f>
        <v>0</v>
      </c>
      <c r="J84" s="52" t="n">
        <f aca="false">IF($E84="Per class",$D84*COUNTIFS('Session Tracker'!$D$5:$D$149,$A84,'Session Tracker'!$F$5:$F$149,"Next week",'Session Tracker'!$G$5:$G$149,"Wed"),$D84*SUMIFS('Session Tracker'!$J$5:$J$149,'Session Tracker'!$D$5:$D$149,$A84,'Session Tracker'!$F$5:$F$149,"Next week",'Session Tracker'!$G$5:$G$149,"Wed"))</f>
        <v>0</v>
      </c>
      <c r="K84" s="52" t="n">
        <f aca="false">IF($E84="Per class",$D84*COUNTIFS('Session Tracker'!$D$5:$D$149,$A84,'Session Tracker'!$F$5:$F$149,"Next week",'Session Tracker'!$G$5:$G$149,"Thu"),$D84*SUMIFS('Session Tracker'!$J$5:$J$149,'Session Tracker'!$D$5:$D$149,$A84,'Session Tracker'!$F$5:$F$149,"Next week",'Session Tracker'!$G$5:$G$149,"Thu"))</f>
        <v>0</v>
      </c>
      <c r="L84" s="52" t="n">
        <f aca="false">IF($E84="Per class",$D84*COUNTIFS('Session Tracker'!$D$5:$D$149,$A84,'Session Tracker'!$F$5:$F$149,"Next week",'Session Tracker'!$G$5:$G$149,"Fri"),$D84*SUMIFS('Session Tracker'!$J$5:$J$149,'Session Tracker'!$D$5:$D$149,$A84,'Session Tracker'!$F$5:$F$149,"Next week",'Session Tracker'!$G$5:$G$149,"Fri"))</f>
        <v>0</v>
      </c>
      <c r="M84" s="52" t="n">
        <f aca="false">IF($E84="Per class",$D84*COUNTIFS('Session Tracker'!$D$5:$D$149,$A84,'Session Tracker'!$F$5:$F$149,"Next week",'Session Tracker'!$G$5:$G$149,""),$D84*SUMIFS('Session Tracker'!$J$5:$J$149,'Session Tracker'!$D$5:$D$149,$A84,'Session Tracker'!$F$5:$F$149,"Next week",'Session Tracker'!$G$5:$G$149,""))</f>
        <v>0</v>
      </c>
    </row>
    <row r="85" customFormat="false" ht="15" hidden="false" customHeight="false" outlineLevel="0" collapsed="false">
      <c r="A85" s="75" t="s">
        <v>298</v>
      </c>
      <c r="B85" s="34" t="s">
        <v>377</v>
      </c>
      <c r="C85" s="34" t="s">
        <v>660</v>
      </c>
      <c r="D85" s="32" t="n">
        <v>2</v>
      </c>
      <c r="E85" s="32" t="s">
        <v>14</v>
      </c>
      <c r="F85" s="32" t="s">
        <v>368</v>
      </c>
      <c r="G85" s="34" t="s">
        <v>661</v>
      </c>
      <c r="H85" s="52" t="n">
        <f aca="false">IF($E85="Per class",$D85*COUNTIFS('Session Tracker'!$D$5:$D$149,$A85,'Session Tracker'!$F$5:$F$149,"Next week",'Session Tracker'!$G$5:$G$149,"Mon"),$D85*SUMIFS('Session Tracker'!$J$5:$J$149,'Session Tracker'!$D$5:$D$149,$A85,'Session Tracker'!$F$5:$F$149,"Next week",'Session Tracker'!$G$5:$G$149,"Mon"))</f>
        <v>0</v>
      </c>
      <c r="I85" s="52" t="n">
        <f aca="false">IF($E85="Per class",$D85*COUNTIFS('Session Tracker'!$D$5:$D$149,$A85,'Session Tracker'!$F$5:$F$149,"Next week",'Session Tracker'!$G$5:$G$149,"Tue"),$D85*SUMIFS('Session Tracker'!$J$5:$J$149,'Session Tracker'!$D$5:$D$149,$A85,'Session Tracker'!$F$5:$F$149,"Next week",'Session Tracker'!$G$5:$G$149,"Tue"))</f>
        <v>0</v>
      </c>
      <c r="J85" s="52" t="n">
        <f aca="false">IF($E85="Per class",$D85*COUNTIFS('Session Tracker'!$D$5:$D$149,$A85,'Session Tracker'!$F$5:$F$149,"Next week",'Session Tracker'!$G$5:$G$149,"Wed"),$D85*SUMIFS('Session Tracker'!$J$5:$J$149,'Session Tracker'!$D$5:$D$149,$A85,'Session Tracker'!$F$5:$F$149,"Next week",'Session Tracker'!$G$5:$G$149,"Wed"))</f>
        <v>0</v>
      </c>
      <c r="K85" s="52" t="n">
        <f aca="false">IF($E85="Per class",$D85*COUNTIFS('Session Tracker'!$D$5:$D$149,$A85,'Session Tracker'!$F$5:$F$149,"Next week",'Session Tracker'!$G$5:$G$149,"Thu"),$D85*SUMIFS('Session Tracker'!$J$5:$J$149,'Session Tracker'!$D$5:$D$149,$A85,'Session Tracker'!$F$5:$F$149,"Next week",'Session Tracker'!$G$5:$G$149,"Thu"))</f>
        <v>0</v>
      </c>
      <c r="L85" s="52" t="n">
        <f aca="false">IF($E85="Per class",$D85*COUNTIFS('Session Tracker'!$D$5:$D$149,$A85,'Session Tracker'!$F$5:$F$149,"Next week",'Session Tracker'!$G$5:$G$149,"Fri"),$D85*SUMIFS('Session Tracker'!$J$5:$J$149,'Session Tracker'!$D$5:$D$149,$A85,'Session Tracker'!$F$5:$F$149,"Next week",'Session Tracker'!$G$5:$G$149,"Fri"))</f>
        <v>0</v>
      </c>
      <c r="M85" s="52" t="n">
        <f aca="false">IF($E85="Per class",$D85*COUNTIFS('Session Tracker'!$D$5:$D$149,$A85,'Session Tracker'!$F$5:$F$149,"Next week",'Session Tracker'!$G$5:$G$149,""),$D85*SUMIFS('Session Tracker'!$J$5:$J$149,'Session Tracker'!$D$5:$D$149,$A85,'Session Tracker'!$F$5:$F$149,"Next week",'Session Tracker'!$G$5:$G$149,""))</f>
        <v>0</v>
      </c>
    </row>
    <row r="86" customFormat="false" ht="15" hidden="false" customHeight="false" outlineLevel="0" collapsed="false">
      <c r="A86" s="75" t="s">
        <v>298</v>
      </c>
      <c r="B86" s="34" t="s">
        <v>377</v>
      </c>
      <c r="C86" s="34" t="s">
        <v>439</v>
      </c>
      <c r="D86" s="32" t="n">
        <v>2</v>
      </c>
      <c r="E86" s="32" t="s">
        <v>14</v>
      </c>
      <c r="F86" s="32" t="s">
        <v>368</v>
      </c>
      <c r="G86" s="34" t="s">
        <v>662</v>
      </c>
      <c r="H86" s="52" t="n">
        <f aca="false">IF($E86="Per class",$D86*COUNTIFS('Session Tracker'!$D$5:$D$149,$A86,'Session Tracker'!$F$5:$F$149,"Next week",'Session Tracker'!$G$5:$G$149,"Mon"),$D86*SUMIFS('Session Tracker'!$J$5:$J$149,'Session Tracker'!$D$5:$D$149,$A86,'Session Tracker'!$F$5:$F$149,"Next week",'Session Tracker'!$G$5:$G$149,"Mon"))</f>
        <v>0</v>
      </c>
      <c r="I86" s="52" t="n">
        <f aca="false">IF($E86="Per class",$D86*COUNTIFS('Session Tracker'!$D$5:$D$149,$A86,'Session Tracker'!$F$5:$F$149,"Next week",'Session Tracker'!$G$5:$G$149,"Tue"),$D86*SUMIFS('Session Tracker'!$J$5:$J$149,'Session Tracker'!$D$5:$D$149,$A86,'Session Tracker'!$F$5:$F$149,"Next week",'Session Tracker'!$G$5:$G$149,"Tue"))</f>
        <v>0</v>
      </c>
      <c r="J86" s="52" t="n">
        <f aca="false">IF($E86="Per class",$D86*COUNTIFS('Session Tracker'!$D$5:$D$149,$A86,'Session Tracker'!$F$5:$F$149,"Next week",'Session Tracker'!$G$5:$G$149,"Wed"),$D86*SUMIFS('Session Tracker'!$J$5:$J$149,'Session Tracker'!$D$5:$D$149,$A86,'Session Tracker'!$F$5:$F$149,"Next week",'Session Tracker'!$G$5:$G$149,"Wed"))</f>
        <v>0</v>
      </c>
      <c r="K86" s="52" t="n">
        <f aca="false">IF($E86="Per class",$D86*COUNTIFS('Session Tracker'!$D$5:$D$149,$A86,'Session Tracker'!$F$5:$F$149,"Next week",'Session Tracker'!$G$5:$G$149,"Thu"),$D86*SUMIFS('Session Tracker'!$J$5:$J$149,'Session Tracker'!$D$5:$D$149,$A86,'Session Tracker'!$F$5:$F$149,"Next week",'Session Tracker'!$G$5:$G$149,"Thu"))</f>
        <v>0</v>
      </c>
      <c r="L86" s="52" t="n">
        <f aca="false">IF($E86="Per class",$D86*COUNTIFS('Session Tracker'!$D$5:$D$149,$A86,'Session Tracker'!$F$5:$F$149,"Next week",'Session Tracker'!$G$5:$G$149,"Fri"),$D86*SUMIFS('Session Tracker'!$J$5:$J$149,'Session Tracker'!$D$5:$D$149,$A86,'Session Tracker'!$F$5:$F$149,"Next week",'Session Tracker'!$G$5:$G$149,"Fri"))</f>
        <v>0</v>
      </c>
      <c r="M86" s="52" t="n">
        <f aca="false">IF($E86="Per class",$D86*COUNTIFS('Session Tracker'!$D$5:$D$149,$A86,'Session Tracker'!$F$5:$F$149,"Next week",'Session Tracker'!$G$5:$G$149,""),$D86*SUMIFS('Session Tracker'!$J$5:$J$149,'Session Tracker'!$D$5:$D$149,$A86,'Session Tracker'!$F$5:$F$149,"Next week",'Session Tracker'!$G$5:$G$149,""))</f>
        <v>0</v>
      </c>
    </row>
    <row r="87" customFormat="false" ht="15" hidden="false" customHeight="false" outlineLevel="0" collapsed="false">
      <c r="A87" s="75" t="s">
        <v>298</v>
      </c>
      <c r="B87" s="34" t="s">
        <v>375</v>
      </c>
      <c r="C87" s="34" t="s">
        <v>387</v>
      </c>
      <c r="D87" s="32" t="n">
        <v>4</v>
      </c>
      <c r="E87" s="32" t="s">
        <v>14</v>
      </c>
      <c r="F87" s="32" t="s">
        <v>368</v>
      </c>
      <c r="G87" s="34"/>
      <c r="H87" s="52" t="n">
        <f aca="false">IF($E87="Per class",$D87*COUNTIFS('Session Tracker'!$D$5:$D$149,$A87,'Session Tracker'!$F$5:$F$149,"Next week",'Session Tracker'!$G$5:$G$149,"Mon"),$D87*SUMIFS('Session Tracker'!$J$5:$J$149,'Session Tracker'!$D$5:$D$149,$A87,'Session Tracker'!$F$5:$F$149,"Next week",'Session Tracker'!$G$5:$G$149,"Mon"))</f>
        <v>0</v>
      </c>
      <c r="I87" s="52" t="n">
        <f aca="false">IF($E87="Per class",$D87*COUNTIFS('Session Tracker'!$D$5:$D$149,$A87,'Session Tracker'!$F$5:$F$149,"Next week",'Session Tracker'!$G$5:$G$149,"Tue"),$D87*SUMIFS('Session Tracker'!$J$5:$J$149,'Session Tracker'!$D$5:$D$149,$A87,'Session Tracker'!$F$5:$F$149,"Next week",'Session Tracker'!$G$5:$G$149,"Tue"))</f>
        <v>0</v>
      </c>
      <c r="J87" s="52" t="n">
        <f aca="false">IF($E87="Per class",$D87*COUNTIFS('Session Tracker'!$D$5:$D$149,$A87,'Session Tracker'!$F$5:$F$149,"Next week",'Session Tracker'!$G$5:$G$149,"Wed"),$D87*SUMIFS('Session Tracker'!$J$5:$J$149,'Session Tracker'!$D$5:$D$149,$A87,'Session Tracker'!$F$5:$F$149,"Next week",'Session Tracker'!$G$5:$G$149,"Wed"))</f>
        <v>0</v>
      </c>
      <c r="K87" s="52" t="n">
        <f aca="false">IF($E87="Per class",$D87*COUNTIFS('Session Tracker'!$D$5:$D$149,$A87,'Session Tracker'!$F$5:$F$149,"Next week",'Session Tracker'!$G$5:$G$149,"Thu"),$D87*SUMIFS('Session Tracker'!$J$5:$J$149,'Session Tracker'!$D$5:$D$149,$A87,'Session Tracker'!$F$5:$F$149,"Next week",'Session Tracker'!$G$5:$G$149,"Thu"))</f>
        <v>0</v>
      </c>
      <c r="L87" s="52" t="n">
        <f aca="false">IF($E87="Per class",$D87*COUNTIFS('Session Tracker'!$D$5:$D$149,$A87,'Session Tracker'!$F$5:$F$149,"Next week",'Session Tracker'!$G$5:$G$149,"Fri"),$D87*SUMIFS('Session Tracker'!$J$5:$J$149,'Session Tracker'!$D$5:$D$149,$A87,'Session Tracker'!$F$5:$F$149,"Next week",'Session Tracker'!$G$5:$G$149,"Fri"))</f>
        <v>0</v>
      </c>
      <c r="M87" s="52" t="n">
        <f aca="false">IF($E87="Per class",$D87*COUNTIFS('Session Tracker'!$D$5:$D$149,$A87,'Session Tracker'!$F$5:$F$149,"Next week",'Session Tracker'!$G$5:$G$149,""),$D87*SUMIFS('Session Tracker'!$J$5:$J$149,'Session Tracker'!$D$5:$D$149,$A87,'Session Tracker'!$F$5:$F$149,"Next week",'Session Tracker'!$G$5:$G$149,""))</f>
        <v>0</v>
      </c>
    </row>
    <row r="88" customFormat="false" ht="15" hidden="false" customHeight="false" outlineLevel="0" collapsed="false">
      <c r="A88" s="75" t="s">
        <v>298</v>
      </c>
      <c r="B88" s="34" t="s">
        <v>375</v>
      </c>
      <c r="C88" s="34" t="s">
        <v>385</v>
      </c>
      <c r="D88" s="32" t="n">
        <v>2</v>
      </c>
      <c r="E88" s="32" t="s">
        <v>14</v>
      </c>
      <c r="F88" s="32" t="s">
        <v>368</v>
      </c>
      <c r="G88" s="34"/>
      <c r="H88" s="52" t="n">
        <f aca="false">IF($E88="Per class",$D88*COUNTIFS('Session Tracker'!$D$5:$D$149,$A88,'Session Tracker'!$F$5:$F$149,"Next week",'Session Tracker'!$G$5:$G$149,"Mon"),$D88*SUMIFS('Session Tracker'!$J$5:$J$149,'Session Tracker'!$D$5:$D$149,$A88,'Session Tracker'!$F$5:$F$149,"Next week",'Session Tracker'!$G$5:$G$149,"Mon"))</f>
        <v>0</v>
      </c>
      <c r="I88" s="52" t="n">
        <f aca="false">IF($E88="Per class",$D88*COUNTIFS('Session Tracker'!$D$5:$D$149,$A88,'Session Tracker'!$F$5:$F$149,"Next week",'Session Tracker'!$G$5:$G$149,"Tue"),$D88*SUMIFS('Session Tracker'!$J$5:$J$149,'Session Tracker'!$D$5:$D$149,$A88,'Session Tracker'!$F$5:$F$149,"Next week",'Session Tracker'!$G$5:$G$149,"Tue"))</f>
        <v>0</v>
      </c>
      <c r="J88" s="52" t="n">
        <f aca="false">IF($E88="Per class",$D88*COUNTIFS('Session Tracker'!$D$5:$D$149,$A88,'Session Tracker'!$F$5:$F$149,"Next week",'Session Tracker'!$G$5:$G$149,"Wed"),$D88*SUMIFS('Session Tracker'!$J$5:$J$149,'Session Tracker'!$D$5:$D$149,$A88,'Session Tracker'!$F$5:$F$149,"Next week",'Session Tracker'!$G$5:$G$149,"Wed"))</f>
        <v>0</v>
      </c>
      <c r="K88" s="52" t="n">
        <f aca="false">IF($E88="Per class",$D88*COUNTIFS('Session Tracker'!$D$5:$D$149,$A88,'Session Tracker'!$F$5:$F$149,"Next week",'Session Tracker'!$G$5:$G$149,"Thu"),$D88*SUMIFS('Session Tracker'!$J$5:$J$149,'Session Tracker'!$D$5:$D$149,$A88,'Session Tracker'!$F$5:$F$149,"Next week",'Session Tracker'!$G$5:$G$149,"Thu"))</f>
        <v>0</v>
      </c>
      <c r="L88" s="52" t="n">
        <f aca="false">IF($E88="Per class",$D88*COUNTIFS('Session Tracker'!$D$5:$D$149,$A88,'Session Tracker'!$F$5:$F$149,"Next week",'Session Tracker'!$G$5:$G$149,"Fri"),$D88*SUMIFS('Session Tracker'!$J$5:$J$149,'Session Tracker'!$D$5:$D$149,$A88,'Session Tracker'!$F$5:$F$149,"Next week",'Session Tracker'!$G$5:$G$149,"Fri"))</f>
        <v>0</v>
      </c>
      <c r="M88" s="52" t="n">
        <f aca="false">IF($E88="Per class",$D88*COUNTIFS('Session Tracker'!$D$5:$D$149,$A88,'Session Tracker'!$F$5:$F$149,"Next week",'Session Tracker'!$G$5:$G$149,""),$D88*SUMIFS('Session Tracker'!$J$5:$J$149,'Session Tracker'!$D$5:$D$149,$A88,'Session Tracker'!$F$5:$F$149,"Next week",'Session Tracker'!$G$5:$G$149,""))</f>
        <v>0</v>
      </c>
    </row>
    <row r="89" customFormat="false" ht="15" hidden="false" customHeight="false" outlineLevel="0" collapsed="false">
      <c r="A89" s="75" t="s">
        <v>298</v>
      </c>
      <c r="B89" s="34" t="s">
        <v>375</v>
      </c>
      <c r="C89" s="34" t="s">
        <v>417</v>
      </c>
      <c r="D89" s="32" t="n">
        <v>2</v>
      </c>
      <c r="E89" s="32" t="s">
        <v>14</v>
      </c>
      <c r="F89" s="32" t="s">
        <v>373</v>
      </c>
      <c r="G89" s="34"/>
      <c r="H89" s="52" t="n">
        <f aca="false">IF($E89="Per class",$D89*COUNTIFS('Session Tracker'!$D$5:$D$149,$A89,'Session Tracker'!$F$5:$F$149,"Next week",'Session Tracker'!$G$5:$G$149,"Mon"),$D89*SUMIFS('Session Tracker'!$J$5:$J$149,'Session Tracker'!$D$5:$D$149,$A89,'Session Tracker'!$F$5:$F$149,"Next week",'Session Tracker'!$G$5:$G$149,"Mon"))</f>
        <v>0</v>
      </c>
      <c r="I89" s="52" t="n">
        <f aca="false">IF($E89="Per class",$D89*COUNTIFS('Session Tracker'!$D$5:$D$149,$A89,'Session Tracker'!$F$5:$F$149,"Next week",'Session Tracker'!$G$5:$G$149,"Tue"),$D89*SUMIFS('Session Tracker'!$J$5:$J$149,'Session Tracker'!$D$5:$D$149,$A89,'Session Tracker'!$F$5:$F$149,"Next week",'Session Tracker'!$G$5:$G$149,"Tue"))</f>
        <v>0</v>
      </c>
      <c r="J89" s="52" t="n">
        <f aca="false">IF($E89="Per class",$D89*COUNTIFS('Session Tracker'!$D$5:$D$149,$A89,'Session Tracker'!$F$5:$F$149,"Next week",'Session Tracker'!$G$5:$G$149,"Wed"),$D89*SUMIFS('Session Tracker'!$J$5:$J$149,'Session Tracker'!$D$5:$D$149,$A89,'Session Tracker'!$F$5:$F$149,"Next week",'Session Tracker'!$G$5:$G$149,"Wed"))</f>
        <v>0</v>
      </c>
      <c r="K89" s="52" t="n">
        <f aca="false">IF($E89="Per class",$D89*COUNTIFS('Session Tracker'!$D$5:$D$149,$A89,'Session Tracker'!$F$5:$F$149,"Next week",'Session Tracker'!$G$5:$G$149,"Thu"),$D89*SUMIFS('Session Tracker'!$J$5:$J$149,'Session Tracker'!$D$5:$D$149,$A89,'Session Tracker'!$F$5:$F$149,"Next week",'Session Tracker'!$G$5:$G$149,"Thu"))</f>
        <v>0</v>
      </c>
      <c r="L89" s="52" t="n">
        <f aca="false">IF($E89="Per class",$D89*COUNTIFS('Session Tracker'!$D$5:$D$149,$A89,'Session Tracker'!$F$5:$F$149,"Next week",'Session Tracker'!$G$5:$G$149,"Fri"),$D89*SUMIFS('Session Tracker'!$J$5:$J$149,'Session Tracker'!$D$5:$D$149,$A89,'Session Tracker'!$F$5:$F$149,"Next week",'Session Tracker'!$G$5:$G$149,"Fri"))</f>
        <v>0</v>
      </c>
      <c r="M89" s="52" t="n">
        <f aca="false">IF($E89="Per class",$D89*COUNTIFS('Session Tracker'!$D$5:$D$149,$A89,'Session Tracker'!$F$5:$F$149,"Next week",'Session Tracker'!$G$5:$G$149,""),$D89*SUMIFS('Session Tracker'!$J$5:$J$149,'Session Tracker'!$D$5:$D$149,$A89,'Session Tracker'!$F$5:$F$149,"Next week",'Session Tracker'!$G$5:$G$149,""))</f>
        <v>0</v>
      </c>
    </row>
    <row r="90" customFormat="false" ht="15" hidden="false" customHeight="false" outlineLevel="0" collapsed="false">
      <c r="A90" s="75" t="s">
        <v>298</v>
      </c>
      <c r="B90" s="34" t="s">
        <v>409</v>
      </c>
      <c r="C90" s="34" t="s">
        <v>615</v>
      </c>
      <c r="D90" s="32" t="n">
        <v>1</v>
      </c>
      <c r="E90" s="32" t="s">
        <v>14</v>
      </c>
      <c r="F90" s="32" t="s">
        <v>368</v>
      </c>
      <c r="G90" s="34" t="s">
        <v>663</v>
      </c>
      <c r="H90" s="52" t="n">
        <f aca="false">IF($E90="Per class",$D90*COUNTIFS('Session Tracker'!$D$5:$D$149,$A90,'Session Tracker'!$F$5:$F$149,"Next week",'Session Tracker'!$G$5:$G$149,"Mon"),$D90*SUMIFS('Session Tracker'!$J$5:$J$149,'Session Tracker'!$D$5:$D$149,$A90,'Session Tracker'!$F$5:$F$149,"Next week",'Session Tracker'!$G$5:$G$149,"Mon"))</f>
        <v>0</v>
      </c>
      <c r="I90" s="52" t="n">
        <f aca="false">IF($E90="Per class",$D90*COUNTIFS('Session Tracker'!$D$5:$D$149,$A90,'Session Tracker'!$F$5:$F$149,"Next week",'Session Tracker'!$G$5:$G$149,"Tue"),$D90*SUMIFS('Session Tracker'!$J$5:$J$149,'Session Tracker'!$D$5:$D$149,$A90,'Session Tracker'!$F$5:$F$149,"Next week",'Session Tracker'!$G$5:$G$149,"Tue"))</f>
        <v>0</v>
      </c>
      <c r="J90" s="52" t="n">
        <f aca="false">IF($E90="Per class",$D90*COUNTIFS('Session Tracker'!$D$5:$D$149,$A90,'Session Tracker'!$F$5:$F$149,"Next week",'Session Tracker'!$G$5:$G$149,"Wed"),$D90*SUMIFS('Session Tracker'!$J$5:$J$149,'Session Tracker'!$D$5:$D$149,$A90,'Session Tracker'!$F$5:$F$149,"Next week",'Session Tracker'!$G$5:$G$149,"Wed"))</f>
        <v>0</v>
      </c>
      <c r="K90" s="52" t="n">
        <f aca="false">IF($E90="Per class",$D90*COUNTIFS('Session Tracker'!$D$5:$D$149,$A90,'Session Tracker'!$F$5:$F$149,"Next week",'Session Tracker'!$G$5:$G$149,"Thu"),$D90*SUMIFS('Session Tracker'!$J$5:$J$149,'Session Tracker'!$D$5:$D$149,$A90,'Session Tracker'!$F$5:$F$149,"Next week",'Session Tracker'!$G$5:$G$149,"Thu"))</f>
        <v>0</v>
      </c>
      <c r="L90" s="52" t="n">
        <f aca="false">IF($E90="Per class",$D90*COUNTIFS('Session Tracker'!$D$5:$D$149,$A90,'Session Tracker'!$F$5:$F$149,"Next week",'Session Tracker'!$G$5:$G$149,"Fri"),$D90*SUMIFS('Session Tracker'!$J$5:$J$149,'Session Tracker'!$D$5:$D$149,$A90,'Session Tracker'!$F$5:$F$149,"Next week",'Session Tracker'!$G$5:$G$149,"Fri"))</f>
        <v>0</v>
      </c>
      <c r="M90" s="52" t="n">
        <f aca="false">IF($E90="Per class",$D90*COUNTIFS('Session Tracker'!$D$5:$D$149,$A90,'Session Tracker'!$F$5:$F$149,"Next week",'Session Tracker'!$G$5:$G$149,""),$D90*SUMIFS('Session Tracker'!$J$5:$J$149,'Session Tracker'!$D$5:$D$149,$A90,'Session Tracker'!$F$5:$F$149,"Next week",'Session Tracker'!$G$5:$G$149,""))</f>
        <v>0</v>
      </c>
    </row>
    <row r="91" customFormat="false" ht="15" hidden="false" customHeight="false" outlineLevel="0" collapsed="false">
      <c r="A91" s="75" t="s">
        <v>298</v>
      </c>
      <c r="B91" s="34" t="s">
        <v>409</v>
      </c>
      <c r="C91" s="34" t="s">
        <v>533</v>
      </c>
      <c r="D91" s="32" t="n">
        <v>1</v>
      </c>
      <c r="E91" s="32" t="s">
        <v>14</v>
      </c>
      <c r="F91" s="32" t="s">
        <v>373</v>
      </c>
      <c r="G91" s="34"/>
      <c r="H91" s="52" t="n">
        <f aca="false">IF($E91="Per class",$D91*COUNTIFS('Session Tracker'!$D$5:$D$149,$A91,'Session Tracker'!$F$5:$F$149,"Next week",'Session Tracker'!$G$5:$G$149,"Mon"),$D91*SUMIFS('Session Tracker'!$J$5:$J$149,'Session Tracker'!$D$5:$D$149,$A91,'Session Tracker'!$F$5:$F$149,"Next week",'Session Tracker'!$G$5:$G$149,"Mon"))</f>
        <v>0</v>
      </c>
      <c r="I91" s="52" t="n">
        <f aca="false">IF($E91="Per class",$D91*COUNTIFS('Session Tracker'!$D$5:$D$149,$A91,'Session Tracker'!$F$5:$F$149,"Next week",'Session Tracker'!$G$5:$G$149,"Tue"),$D91*SUMIFS('Session Tracker'!$J$5:$J$149,'Session Tracker'!$D$5:$D$149,$A91,'Session Tracker'!$F$5:$F$149,"Next week",'Session Tracker'!$G$5:$G$149,"Tue"))</f>
        <v>0</v>
      </c>
      <c r="J91" s="52" t="n">
        <f aca="false">IF($E91="Per class",$D91*COUNTIFS('Session Tracker'!$D$5:$D$149,$A91,'Session Tracker'!$F$5:$F$149,"Next week",'Session Tracker'!$G$5:$G$149,"Wed"),$D91*SUMIFS('Session Tracker'!$J$5:$J$149,'Session Tracker'!$D$5:$D$149,$A91,'Session Tracker'!$F$5:$F$149,"Next week",'Session Tracker'!$G$5:$G$149,"Wed"))</f>
        <v>0</v>
      </c>
      <c r="K91" s="52" t="n">
        <f aca="false">IF($E91="Per class",$D91*COUNTIFS('Session Tracker'!$D$5:$D$149,$A91,'Session Tracker'!$F$5:$F$149,"Next week",'Session Tracker'!$G$5:$G$149,"Thu"),$D91*SUMIFS('Session Tracker'!$J$5:$J$149,'Session Tracker'!$D$5:$D$149,$A91,'Session Tracker'!$F$5:$F$149,"Next week",'Session Tracker'!$G$5:$G$149,"Thu"))</f>
        <v>0</v>
      </c>
      <c r="L91" s="52" t="n">
        <f aca="false">IF($E91="Per class",$D91*COUNTIFS('Session Tracker'!$D$5:$D$149,$A91,'Session Tracker'!$F$5:$F$149,"Next week",'Session Tracker'!$G$5:$G$149,"Fri"),$D91*SUMIFS('Session Tracker'!$J$5:$J$149,'Session Tracker'!$D$5:$D$149,$A91,'Session Tracker'!$F$5:$F$149,"Next week",'Session Tracker'!$G$5:$G$149,"Fri"))</f>
        <v>0</v>
      </c>
      <c r="M91" s="52" t="n">
        <f aca="false">IF($E91="Per class",$D91*COUNTIFS('Session Tracker'!$D$5:$D$149,$A91,'Session Tracker'!$F$5:$F$149,"Next week",'Session Tracker'!$G$5:$G$149,""),$D91*SUMIFS('Session Tracker'!$J$5:$J$149,'Session Tracker'!$D$5:$D$149,$A91,'Session Tracker'!$F$5:$F$149,"Next week",'Session Tracker'!$G$5:$G$149,""))</f>
        <v>0</v>
      </c>
    </row>
    <row r="92" customFormat="false" ht="15" hidden="false" customHeight="false" outlineLevel="0" collapsed="false">
      <c r="A92" s="75" t="s">
        <v>298</v>
      </c>
      <c r="B92" s="34" t="s">
        <v>411</v>
      </c>
      <c r="C92" s="34" t="s">
        <v>440</v>
      </c>
      <c r="D92" s="32" t="n">
        <v>2</v>
      </c>
      <c r="E92" s="32" t="s">
        <v>14</v>
      </c>
      <c r="F92" s="32" t="s">
        <v>373</v>
      </c>
      <c r="G92" s="34" t="s">
        <v>607</v>
      </c>
      <c r="H92" s="52" t="n">
        <f aca="false">IF($E92="Per class",$D92*COUNTIFS('Session Tracker'!$D$5:$D$149,$A92,'Session Tracker'!$F$5:$F$149,"Next week",'Session Tracker'!$G$5:$G$149,"Mon"),$D92*SUMIFS('Session Tracker'!$J$5:$J$149,'Session Tracker'!$D$5:$D$149,$A92,'Session Tracker'!$F$5:$F$149,"Next week",'Session Tracker'!$G$5:$G$149,"Mon"))</f>
        <v>0</v>
      </c>
      <c r="I92" s="52" t="n">
        <f aca="false">IF($E92="Per class",$D92*COUNTIFS('Session Tracker'!$D$5:$D$149,$A92,'Session Tracker'!$F$5:$F$149,"Next week",'Session Tracker'!$G$5:$G$149,"Tue"),$D92*SUMIFS('Session Tracker'!$J$5:$J$149,'Session Tracker'!$D$5:$D$149,$A92,'Session Tracker'!$F$5:$F$149,"Next week",'Session Tracker'!$G$5:$G$149,"Tue"))</f>
        <v>0</v>
      </c>
      <c r="J92" s="52" t="n">
        <f aca="false">IF($E92="Per class",$D92*COUNTIFS('Session Tracker'!$D$5:$D$149,$A92,'Session Tracker'!$F$5:$F$149,"Next week",'Session Tracker'!$G$5:$G$149,"Wed"),$D92*SUMIFS('Session Tracker'!$J$5:$J$149,'Session Tracker'!$D$5:$D$149,$A92,'Session Tracker'!$F$5:$F$149,"Next week",'Session Tracker'!$G$5:$G$149,"Wed"))</f>
        <v>0</v>
      </c>
      <c r="K92" s="52" t="n">
        <f aca="false">IF($E92="Per class",$D92*COUNTIFS('Session Tracker'!$D$5:$D$149,$A92,'Session Tracker'!$F$5:$F$149,"Next week",'Session Tracker'!$G$5:$G$149,"Thu"),$D92*SUMIFS('Session Tracker'!$J$5:$J$149,'Session Tracker'!$D$5:$D$149,$A92,'Session Tracker'!$F$5:$F$149,"Next week",'Session Tracker'!$G$5:$G$149,"Thu"))</f>
        <v>0</v>
      </c>
      <c r="L92" s="52" t="n">
        <f aca="false">IF($E92="Per class",$D92*COUNTIFS('Session Tracker'!$D$5:$D$149,$A92,'Session Tracker'!$F$5:$F$149,"Next week",'Session Tracker'!$G$5:$G$149,"Fri"),$D92*SUMIFS('Session Tracker'!$J$5:$J$149,'Session Tracker'!$D$5:$D$149,$A92,'Session Tracker'!$F$5:$F$149,"Next week",'Session Tracker'!$G$5:$G$149,"Fri"))</f>
        <v>0</v>
      </c>
      <c r="M92" s="52" t="n">
        <f aca="false">IF($E92="Per class",$D92*COUNTIFS('Session Tracker'!$D$5:$D$149,$A92,'Session Tracker'!$F$5:$F$149,"Next week",'Session Tracker'!$G$5:$G$149,""),$D92*SUMIFS('Session Tracker'!$J$5:$J$149,'Session Tracker'!$D$5:$D$149,$A92,'Session Tracker'!$F$5:$F$149,"Next week",'Session Tracker'!$G$5:$G$149,""))</f>
        <v>0</v>
      </c>
    </row>
    <row r="93" customFormat="false" ht="15" hidden="false" customHeight="false" outlineLevel="0" collapsed="false">
      <c r="A93" s="75" t="s">
        <v>298</v>
      </c>
      <c r="B93" s="34" t="s">
        <v>379</v>
      </c>
      <c r="C93" s="34" t="s">
        <v>380</v>
      </c>
      <c r="D93" s="32" t="n">
        <v>1</v>
      </c>
      <c r="E93" s="32" t="s">
        <v>14</v>
      </c>
      <c r="F93" s="32" t="s">
        <v>368</v>
      </c>
      <c r="G93" s="34"/>
      <c r="H93" s="52" t="n">
        <f aca="false">IF($E93="Per class",$D93*COUNTIFS('Session Tracker'!$D$5:$D$149,$A93,'Session Tracker'!$F$5:$F$149,"Next week",'Session Tracker'!$G$5:$G$149,"Mon"),$D93*SUMIFS('Session Tracker'!$J$5:$J$149,'Session Tracker'!$D$5:$D$149,$A93,'Session Tracker'!$F$5:$F$149,"Next week",'Session Tracker'!$G$5:$G$149,"Mon"))</f>
        <v>0</v>
      </c>
      <c r="I93" s="52" t="n">
        <f aca="false">IF($E93="Per class",$D93*COUNTIFS('Session Tracker'!$D$5:$D$149,$A93,'Session Tracker'!$F$5:$F$149,"Next week",'Session Tracker'!$G$5:$G$149,"Tue"),$D93*SUMIFS('Session Tracker'!$J$5:$J$149,'Session Tracker'!$D$5:$D$149,$A93,'Session Tracker'!$F$5:$F$149,"Next week",'Session Tracker'!$G$5:$G$149,"Tue"))</f>
        <v>0</v>
      </c>
      <c r="J93" s="52" t="n">
        <f aca="false">IF($E93="Per class",$D93*COUNTIFS('Session Tracker'!$D$5:$D$149,$A93,'Session Tracker'!$F$5:$F$149,"Next week",'Session Tracker'!$G$5:$G$149,"Wed"),$D93*SUMIFS('Session Tracker'!$J$5:$J$149,'Session Tracker'!$D$5:$D$149,$A93,'Session Tracker'!$F$5:$F$149,"Next week",'Session Tracker'!$G$5:$G$149,"Wed"))</f>
        <v>0</v>
      </c>
      <c r="K93" s="52" t="n">
        <f aca="false">IF($E93="Per class",$D93*COUNTIFS('Session Tracker'!$D$5:$D$149,$A93,'Session Tracker'!$F$5:$F$149,"Next week",'Session Tracker'!$G$5:$G$149,"Thu"),$D93*SUMIFS('Session Tracker'!$J$5:$J$149,'Session Tracker'!$D$5:$D$149,$A93,'Session Tracker'!$F$5:$F$149,"Next week",'Session Tracker'!$G$5:$G$149,"Thu"))</f>
        <v>0</v>
      </c>
      <c r="L93" s="52" t="n">
        <f aca="false">IF($E93="Per class",$D93*COUNTIFS('Session Tracker'!$D$5:$D$149,$A93,'Session Tracker'!$F$5:$F$149,"Next week",'Session Tracker'!$G$5:$G$149,"Fri"),$D93*SUMIFS('Session Tracker'!$J$5:$J$149,'Session Tracker'!$D$5:$D$149,$A93,'Session Tracker'!$F$5:$F$149,"Next week",'Session Tracker'!$G$5:$G$149,"Fri"))</f>
        <v>0</v>
      </c>
      <c r="M93" s="52" t="n">
        <f aca="false">IF($E93="Per class",$D93*COUNTIFS('Session Tracker'!$D$5:$D$149,$A93,'Session Tracker'!$F$5:$F$149,"Next week",'Session Tracker'!$G$5:$G$149,""),$D93*SUMIFS('Session Tracker'!$J$5:$J$149,'Session Tracker'!$D$5:$D$149,$A93,'Session Tracker'!$F$5:$F$149,"Next week",'Session Tracker'!$G$5:$G$149,""))</f>
        <v>0</v>
      </c>
    </row>
    <row r="94" customFormat="false" ht="15" hidden="false" customHeight="false" outlineLevel="0" collapsed="false">
      <c r="A94" s="75" t="s">
        <v>298</v>
      </c>
      <c r="B94" s="34" t="s">
        <v>379</v>
      </c>
      <c r="C94" s="34" t="s">
        <v>381</v>
      </c>
      <c r="D94" s="32" t="n">
        <v>16</v>
      </c>
      <c r="E94" s="32" t="s">
        <v>14</v>
      </c>
      <c r="F94" s="32" t="s">
        <v>368</v>
      </c>
      <c r="G94" s="34"/>
      <c r="H94" s="52" t="n">
        <f aca="false">IF($E94="Per class",$D94*COUNTIFS('Session Tracker'!$D$5:$D$149,$A94,'Session Tracker'!$F$5:$F$149,"Next week",'Session Tracker'!$G$5:$G$149,"Mon"),$D94*SUMIFS('Session Tracker'!$J$5:$J$149,'Session Tracker'!$D$5:$D$149,$A94,'Session Tracker'!$F$5:$F$149,"Next week",'Session Tracker'!$G$5:$G$149,"Mon"))</f>
        <v>0</v>
      </c>
      <c r="I94" s="52" t="n">
        <f aca="false">IF($E94="Per class",$D94*COUNTIFS('Session Tracker'!$D$5:$D$149,$A94,'Session Tracker'!$F$5:$F$149,"Next week",'Session Tracker'!$G$5:$G$149,"Tue"),$D94*SUMIFS('Session Tracker'!$J$5:$J$149,'Session Tracker'!$D$5:$D$149,$A94,'Session Tracker'!$F$5:$F$149,"Next week",'Session Tracker'!$G$5:$G$149,"Tue"))</f>
        <v>0</v>
      </c>
      <c r="J94" s="52" t="n">
        <f aca="false">IF($E94="Per class",$D94*COUNTIFS('Session Tracker'!$D$5:$D$149,$A94,'Session Tracker'!$F$5:$F$149,"Next week",'Session Tracker'!$G$5:$G$149,"Wed"),$D94*SUMIFS('Session Tracker'!$J$5:$J$149,'Session Tracker'!$D$5:$D$149,$A94,'Session Tracker'!$F$5:$F$149,"Next week",'Session Tracker'!$G$5:$G$149,"Wed"))</f>
        <v>0</v>
      </c>
      <c r="K94" s="52" t="n">
        <f aca="false">IF($E94="Per class",$D94*COUNTIFS('Session Tracker'!$D$5:$D$149,$A94,'Session Tracker'!$F$5:$F$149,"Next week",'Session Tracker'!$G$5:$G$149,"Thu"),$D94*SUMIFS('Session Tracker'!$J$5:$J$149,'Session Tracker'!$D$5:$D$149,$A94,'Session Tracker'!$F$5:$F$149,"Next week",'Session Tracker'!$G$5:$G$149,"Thu"))</f>
        <v>0</v>
      </c>
      <c r="L94" s="52" t="n">
        <f aca="false">IF($E94="Per class",$D94*COUNTIFS('Session Tracker'!$D$5:$D$149,$A94,'Session Tracker'!$F$5:$F$149,"Next week",'Session Tracker'!$G$5:$G$149,"Fri"),$D94*SUMIFS('Session Tracker'!$J$5:$J$149,'Session Tracker'!$D$5:$D$149,$A94,'Session Tracker'!$F$5:$F$149,"Next week",'Session Tracker'!$G$5:$G$149,"Fri"))</f>
        <v>0</v>
      </c>
      <c r="M94" s="52" t="n">
        <f aca="false">IF($E94="Per class",$D94*COUNTIFS('Session Tracker'!$D$5:$D$149,$A94,'Session Tracker'!$F$5:$F$149,"Next week",'Session Tracker'!$G$5:$G$149,""),$D94*SUMIFS('Session Tracker'!$J$5:$J$149,'Session Tracker'!$D$5:$D$149,$A94,'Session Tracker'!$F$5:$F$149,"Next week",'Session Tracker'!$G$5:$G$149,""))</f>
        <v>0</v>
      </c>
    </row>
    <row r="95" customFormat="false" ht="15" hidden="false" customHeight="false" outlineLevel="0" collapsed="false">
      <c r="A95" s="75" t="s">
        <v>298</v>
      </c>
      <c r="B95" s="34" t="s">
        <v>379</v>
      </c>
      <c r="C95" s="34" t="s">
        <v>395</v>
      </c>
      <c r="D95" s="32" t="n">
        <v>6</v>
      </c>
      <c r="E95" s="32" t="s">
        <v>14</v>
      </c>
      <c r="F95" s="32" t="s">
        <v>368</v>
      </c>
      <c r="G95" s="34"/>
      <c r="H95" s="52" t="n">
        <f aca="false">IF($E95="Per class",$D95*COUNTIFS('Session Tracker'!$D$5:$D$149,$A95,'Session Tracker'!$F$5:$F$149,"Next week",'Session Tracker'!$G$5:$G$149,"Mon"),$D95*SUMIFS('Session Tracker'!$J$5:$J$149,'Session Tracker'!$D$5:$D$149,$A95,'Session Tracker'!$F$5:$F$149,"Next week",'Session Tracker'!$G$5:$G$149,"Mon"))</f>
        <v>0</v>
      </c>
      <c r="I95" s="52" t="n">
        <f aca="false">IF($E95="Per class",$D95*COUNTIFS('Session Tracker'!$D$5:$D$149,$A95,'Session Tracker'!$F$5:$F$149,"Next week",'Session Tracker'!$G$5:$G$149,"Tue"),$D95*SUMIFS('Session Tracker'!$J$5:$J$149,'Session Tracker'!$D$5:$D$149,$A95,'Session Tracker'!$F$5:$F$149,"Next week",'Session Tracker'!$G$5:$G$149,"Tue"))</f>
        <v>0</v>
      </c>
      <c r="J95" s="52" t="n">
        <f aca="false">IF($E95="Per class",$D95*COUNTIFS('Session Tracker'!$D$5:$D$149,$A95,'Session Tracker'!$F$5:$F$149,"Next week",'Session Tracker'!$G$5:$G$149,"Wed"),$D95*SUMIFS('Session Tracker'!$J$5:$J$149,'Session Tracker'!$D$5:$D$149,$A95,'Session Tracker'!$F$5:$F$149,"Next week",'Session Tracker'!$G$5:$G$149,"Wed"))</f>
        <v>0</v>
      </c>
      <c r="K95" s="52" t="n">
        <f aca="false">IF($E95="Per class",$D95*COUNTIFS('Session Tracker'!$D$5:$D$149,$A95,'Session Tracker'!$F$5:$F$149,"Next week",'Session Tracker'!$G$5:$G$149,"Thu"),$D95*SUMIFS('Session Tracker'!$J$5:$J$149,'Session Tracker'!$D$5:$D$149,$A95,'Session Tracker'!$F$5:$F$149,"Next week",'Session Tracker'!$G$5:$G$149,"Thu"))</f>
        <v>0</v>
      </c>
      <c r="L95" s="52" t="n">
        <f aca="false">IF($E95="Per class",$D95*COUNTIFS('Session Tracker'!$D$5:$D$149,$A95,'Session Tracker'!$F$5:$F$149,"Next week",'Session Tracker'!$G$5:$G$149,"Fri"),$D95*SUMIFS('Session Tracker'!$J$5:$J$149,'Session Tracker'!$D$5:$D$149,$A95,'Session Tracker'!$F$5:$F$149,"Next week",'Session Tracker'!$G$5:$G$149,"Fri"))</f>
        <v>0</v>
      </c>
      <c r="M95" s="52" t="n">
        <f aca="false">IF($E95="Per class",$D95*COUNTIFS('Session Tracker'!$D$5:$D$149,$A95,'Session Tracker'!$F$5:$F$149,"Next week",'Session Tracker'!$G$5:$G$149,""),$D95*SUMIFS('Session Tracker'!$J$5:$J$149,'Session Tracker'!$D$5:$D$149,$A95,'Session Tracker'!$F$5:$F$149,"Next week",'Session Tracker'!$G$5:$G$149,""))</f>
        <v>0</v>
      </c>
    </row>
    <row r="96" customFormat="false" ht="15" hidden="false" customHeight="false" outlineLevel="0" collapsed="false">
      <c r="A96" s="75" t="s">
        <v>298</v>
      </c>
      <c r="B96" s="34" t="s">
        <v>382</v>
      </c>
      <c r="C96" s="34" t="s">
        <v>383</v>
      </c>
      <c r="D96" s="32" t="n">
        <v>1</v>
      </c>
      <c r="E96" s="32" t="s">
        <v>14</v>
      </c>
      <c r="F96" s="32" t="s">
        <v>368</v>
      </c>
      <c r="G96" s="34"/>
      <c r="H96" s="52" t="n">
        <f aca="false">IF($E96="Per class",$D96*COUNTIFS('Session Tracker'!$D$5:$D$149,$A96,'Session Tracker'!$F$5:$F$149,"Next week",'Session Tracker'!$G$5:$G$149,"Mon"),$D96*SUMIFS('Session Tracker'!$J$5:$J$149,'Session Tracker'!$D$5:$D$149,$A96,'Session Tracker'!$F$5:$F$149,"Next week",'Session Tracker'!$G$5:$G$149,"Mon"))</f>
        <v>0</v>
      </c>
      <c r="I96" s="52" t="n">
        <f aca="false">IF($E96="Per class",$D96*COUNTIFS('Session Tracker'!$D$5:$D$149,$A96,'Session Tracker'!$F$5:$F$149,"Next week",'Session Tracker'!$G$5:$G$149,"Tue"),$D96*SUMIFS('Session Tracker'!$J$5:$J$149,'Session Tracker'!$D$5:$D$149,$A96,'Session Tracker'!$F$5:$F$149,"Next week",'Session Tracker'!$G$5:$G$149,"Tue"))</f>
        <v>0</v>
      </c>
      <c r="J96" s="52" t="n">
        <f aca="false">IF($E96="Per class",$D96*COUNTIFS('Session Tracker'!$D$5:$D$149,$A96,'Session Tracker'!$F$5:$F$149,"Next week",'Session Tracker'!$G$5:$G$149,"Wed"),$D96*SUMIFS('Session Tracker'!$J$5:$J$149,'Session Tracker'!$D$5:$D$149,$A96,'Session Tracker'!$F$5:$F$149,"Next week",'Session Tracker'!$G$5:$G$149,"Wed"))</f>
        <v>0</v>
      </c>
      <c r="K96" s="52" t="n">
        <f aca="false">IF($E96="Per class",$D96*COUNTIFS('Session Tracker'!$D$5:$D$149,$A96,'Session Tracker'!$F$5:$F$149,"Next week",'Session Tracker'!$G$5:$G$149,"Thu"),$D96*SUMIFS('Session Tracker'!$J$5:$J$149,'Session Tracker'!$D$5:$D$149,$A96,'Session Tracker'!$F$5:$F$149,"Next week",'Session Tracker'!$G$5:$G$149,"Thu"))</f>
        <v>0</v>
      </c>
      <c r="L96" s="52" t="n">
        <f aca="false">IF($E96="Per class",$D96*COUNTIFS('Session Tracker'!$D$5:$D$149,$A96,'Session Tracker'!$F$5:$F$149,"Next week",'Session Tracker'!$G$5:$G$149,"Fri"),$D96*SUMIFS('Session Tracker'!$J$5:$J$149,'Session Tracker'!$D$5:$D$149,$A96,'Session Tracker'!$F$5:$F$149,"Next week",'Session Tracker'!$G$5:$G$149,"Fri"))</f>
        <v>0</v>
      </c>
      <c r="M96" s="52" t="n">
        <f aca="false">IF($E96="Per class",$D96*COUNTIFS('Session Tracker'!$D$5:$D$149,$A96,'Session Tracker'!$F$5:$F$149,"Next week",'Session Tracker'!$G$5:$G$149,""),$D96*SUMIFS('Session Tracker'!$J$5:$J$149,'Session Tracker'!$D$5:$D$149,$A96,'Session Tracker'!$F$5:$F$149,"Next week",'Session Tracker'!$G$5:$G$149,""))</f>
        <v>0</v>
      </c>
    </row>
    <row r="97" customFormat="false" ht="15" hidden="false" customHeight="false" outlineLevel="0" collapsed="false">
      <c r="A97" s="75" t="s">
        <v>298</v>
      </c>
      <c r="B97" s="34" t="s">
        <v>371</v>
      </c>
      <c r="C97" s="34" t="s">
        <v>372</v>
      </c>
      <c r="D97" s="32" t="n">
        <v>1</v>
      </c>
      <c r="E97" s="32" t="s">
        <v>14</v>
      </c>
      <c r="F97" s="32" t="s">
        <v>373</v>
      </c>
      <c r="G97" s="34" t="s">
        <v>389</v>
      </c>
      <c r="H97" s="52" t="n">
        <f aca="false">IF($E97="Per class",$D97*COUNTIFS('Session Tracker'!$D$5:$D$149,$A97,'Session Tracker'!$F$5:$F$149,"Next week",'Session Tracker'!$G$5:$G$149,"Mon"),$D97*SUMIFS('Session Tracker'!$J$5:$J$149,'Session Tracker'!$D$5:$D$149,$A97,'Session Tracker'!$F$5:$F$149,"Next week",'Session Tracker'!$G$5:$G$149,"Mon"))</f>
        <v>0</v>
      </c>
      <c r="I97" s="52" t="n">
        <f aca="false">IF($E97="Per class",$D97*COUNTIFS('Session Tracker'!$D$5:$D$149,$A97,'Session Tracker'!$F$5:$F$149,"Next week",'Session Tracker'!$G$5:$G$149,"Tue"),$D97*SUMIFS('Session Tracker'!$J$5:$J$149,'Session Tracker'!$D$5:$D$149,$A97,'Session Tracker'!$F$5:$F$149,"Next week",'Session Tracker'!$G$5:$G$149,"Tue"))</f>
        <v>0</v>
      </c>
      <c r="J97" s="52" t="n">
        <f aca="false">IF($E97="Per class",$D97*COUNTIFS('Session Tracker'!$D$5:$D$149,$A97,'Session Tracker'!$F$5:$F$149,"Next week",'Session Tracker'!$G$5:$G$149,"Wed"),$D97*SUMIFS('Session Tracker'!$J$5:$J$149,'Session Tracker'!$D$5:$D$149,$A97,'Session Tracker'!$F$5:$F$149,"Next week",'Session Tracker'!$G$5:$G$149,"Wed"))</f>
        <v>0</v>
      </c>
      <c r="K97" s="52" t="n">
        <f aca="false">IF($E97="Per class",$D97*COUNTIFS('Session Tracker'!$D$5:$D$149,$A97,'Session Tracker'!$F$5:$F$149,"Next week",'Session Tracker'!$G$5:$G$149,"Thu"),$D97*SUMIFS('Session Tracker'!$J$5:$J$149,'Session Tracker'!$D$5:$D$149,$A97,'Session Tracker'!$F$5:$F$149,"Next week",'Session Tracker'!$G$5:$G$149,"Thu"))</f>
        <v>0</v>
      </c>
      <c r="L97" s="52" t="n">
        <f aca="false">IF($E97="Per class",$D97*COUNTIFS('Session Tracker'!$D$5:$D$149,$A97,'Session Tracker'!$F$5:$F$149,"Next week",'Session Tracker'!$G$5:$G$149,"Fri"),$D97*SUMIFS('Session Tracker'!$J$5:$J$149,'Session Tracker'!$D$5:$D$149,$A97,'Session Tracker'!$F$5:$F$149,"Next week",'Session Tracker'!$G$5:$G$149,"Fri"))</f>
        <v>0</v>
      </c>
      <c r="M97" s="52" t="n">
        <f aca="false">IF($E97="Per class",$D97*COUNTIFS('Session Tracker'!$D$5:$D$149,$A97,'Session Tracker'!$F$5:$F$149,"Next week",'Session Tracker'!$G$5:$G$149,""),$D97*SUMIFS('Session Tracker'!$J$5:$J$149,'Session Tracker'!$D$5:$D$149,$A97,'Session Tracker'!$F$5:$F$149,"Next week",'Session Tracker'!$G$5:$G$149,""))</f>
        <v>0</v>
      </c>
    </row>
    <row r="98" customFormat="false" ht="15" hidden="false" customHeight="false" outlineLevel="0" collapsed="false">
      <c r="A98" s="75" t="s">
        <v>298</v>
      </c>
      <c r="B98" s="34" t="s">
        <v>375</v>
      </c>
      <c r="C98" s="34" t="s">
        <v>376</v>
      </c>
      <c r="D98" s="32" t="n">
        <v>1</v>
      </c>
      <c r="E98" s="32" t="s">
        <v>14</v>
      </c>
      <c r="F98" s="32" t="s">
        <v>373</v>
      </c>
      <c r="G98" s="34" t="s">
        <v>442</v>
      </c>
      <c r="H98" s="52" t="n">
        <f aca="false">IF($E98="Per class",$D98*COUNTIFS('Session Tracker'!$D$5:$D$149,$A98,'Session Tracker'!$F$5:$F$149,"Next week",'Session Tracker'!$G$5:$G$149,"Mon"),$D98*SUMIFS('Session Tracker'!$J$5:$J$149,'Session Tracker'!$D$5:$D$149,$A98,'Session Tracker'!$F$5:$F$149,"Next week",'Session Tracker'!$G$5:$G$149,"Mon"))</f>
        <v>0</v>
      </c>
      <c r="I98" s="52" t="n">
        <f aca="false">IF($E98="Per class",$D98*COUNTIFS('Session Tracker'!$D$5:$D$149,$A98,'Session Tracker'!$F$5:$F$149,"Next week",'Session Tracker'!$G$5:$G$149,"Tue"),$D98*SUMIFS('Session Tracker'!$J$5:$J$149,'Session Tracker'!$D$5:$D$149,$A98,'Session Tracker'!$F$5:$F$149,"Next week",'Session Tracker'!$G$5:$G$149,"Tue"))</f>
        <v>0</v>
      </c>
      <c r="J98" s="52" t="n">
        <f aca="false">IF($E98="Per class",$D98*COUNTIFS('Session Tracker'!$D$5:$D$149,$A98,'Session Tracker'!$F$5:$F$149,"Next week",'Session Tracker'!$G$5:$G$149,"Wed"),$D98*SUMIFS('Session Tracker'!$J$5:$J$149,'Session Tracker'!$D$5:$D$149,$A98,'Session Tracker'!$F$5:$F$149,"Next week",'Session Tracker'!$G$5:$G$149,"Wed"))</f>
        <v>0</v>
      </c>
      <c r="K98" s="52" t="n">
        <f aca="false">IF($E98="Per class",$D98*COUNTIFS('Session Tracker'!$D$5:$D$149,$A98,'Session Tracker'!$F$5:$F$149,"Next week",'Session Tracker'!$G$5:$G$149,"Thu"),$D98*SUMIFS('Session Tracker'!$J$5:$J$149,'Session Tracker'!$D$5:$D$149,$A98,'Session Tracker'!$F$5:$F$149,"Next week",'Session Tracker'!$G$5:$G$149,"Thu"))</f>
        <v>0</v>
      </c>
      <c r="L98" s="52" t="n">
        <f aca="false">IF($E98="Per class",$D98*COUNTIFS('Session Tracker'!$D$5:$D$149,$A98,'Session Tracker'!$F$5:$F$149,"Next week",'Session Tracker'!$G$5:$G$149,"Fri"),$D98*SUMIFS('Session Tracker'!$J$5:$J$149,'Session Tracker'!$D$5:$D$149,$A98,'Session Tracker'!$F$5:$F$149,"Next week",'Session Tracker'!$G$5:$G$149,"Fri"))</f>
        <v>0</v>
      </c>
      <c r="M98" s="52" t="n">
        <f aca="false">IF($E98="Per class",$D98*COUNTIFS('Session Tracker'!$D$5:$D$149,$A98,'Session Tracker'!$F$5:$F$149,"Next week",'Session Tracker'!$G$5:$G$149,""),$D98*SUMIFS('Session Tracker'!$J$5:$J$149,'Session Tracker'!$D$5:$D$149,$A98,'Session Tracker'!$F$5:$F$149,"Next week",'Session Tracker'!$G$5:$G$149,""))</f>
        <v>0</v>
      </c>
    </row>
    <row r="99" customFormat="false" ht="15" hidden="false" customHeight="false" outlineLevel="0" collapsed="false">
      <c r="A99" s="75" t="s">
        <v>298</v>
      </c>
      <c r="B99" s="34" t="s">
        <v>377</v>
      </c>
      <c r="C99" s="34" t="s">
        <v>378</v>
      </c>
      <c r="D99" s="32" t="n">
        <v>1</v>
      </c>
      <c r="E99" s="32" t="s">
        <v>14</v>
      </c>
      <c r="F99" s="32" t="s">
        <v>368</v>
      </c>
      <c r="G99" s="34" t="s">
        <v>389</v>
      </c>
      <c r="H99" s="52" t="n">
        <f aca="false">IF($E99="Per class",$D99*COUNTIFS('Session Tracker'!$D$5:$D$149,$A99,'Session Tracker'!$F$5:$F$149,"Next week",'Session Tracker'!$G$5:$G$149,"Mon"),$D99*SUMIFS('Session Tracker'!$J$5:$J$149,'Session Tracker'!$D$5:$D$149,$A99,'Session Tracker'!$F$5:$F$149,"Next week",'Session Tracker'!$G$5:$G$149,"Mon"))</f>
        <v>0</v>
      </c>
      <c r="I99" s="52" t="n">
        <f aca="false">IF($E99="Per class",$D99*COUNTIFS('Session Tracker'!$D$5:$D$149,$A99,'Session Tracker'!$F$5:$F$149,"Next week",'Session Tracker'!$G$5:$G$149,"Tue"),$D99*SUMIFS('Session Tracker'!$J$5:$J$149,'Session Tracker'!$D$5:$D$149,$A99,'Session Tracker'!$F$5:$F$149,"Next week",'Session Tracker'!$G$5:$G$149,"Tue"))</f>
        <v>0</v>
      </c>
      <c r="J99" s="52" t="n">
        <f aca="false">IF($E99="Per class",$D99*COUNTIFS('Session Tracker'!$D$5:$D$149,$A99,'Session Tracker'!$F$5:$F$149,"Next week",'Session Tracker'!$G$5:$G$149,"Wed"),$D99*SUMIFS('Session Tracker'!$J$5:$J$149,'Session Tracker'!$D$5:$D$149,$A99,'Session Tracker'!$F$5:$F$149,"Next week",'Session Tracker'!$G$5:$G$149,"Wed"))</f>
        <v>0</v>
      </c>
      <c r="K99" s="52" t="n">
        <f aca="false">IF($E99="Per class",$D99*COUNTIFS('Session Tracker'!$D$5:$D$149,$A99,'Session Tracker'!$F$5:$F$149,"Next week",'Session Tracker'!$G$5:$G$149,"Thu"),$D99*SUMIFS('Session Tracker'!$J$5:$J$149,'Session Tracker'!$D$5:$D$149,$A99,'Session Tracker'!$F$5:$F$149,"Next week",'Session Tracker'!$G$5:$G$149,"Thu"))</f>
        <v>0</v>
      </c>
      <c r="L99" s="52" t="n">
        <f aca="false">IF($E99="Per class",$D99*COUNTIFS('Session Tracker'!$D$5:$D$149,$A99,'Session Tracker'!$F$5:$F$149,"Next week",'Session Tracker'!$G$5:$G$149,"Fri"),$D99*SUMIFS('Session Tracker'!$J$5:$J$149,'Session Tracker'!$D$5:$D$149,$A99,'Session Tracker'!$F$5:$F$149,"Next week",'Session Tracker'!$G$5:$G$149,"Fri"))</f>
        <v>0</v>
      </c>
      <c r="M99" s="52" t="n">
        <f aca="false">IF($E99="Per class",$D99*COUNTIFS('Session Tracker'!$D$5:$D$149,$A99,'Session Tracker'!$F$5:$F$149,"Next week",'Session Tracker'!$G$5:$G$149,""),$D99*SUMIFS('Session Tracker'!$J$5:$J$149,'Session Tracker'!$D$5:$D$149,$A99,'Session Tracker'!$F$5:$F$149,"Next week",'Session Tracker'!$G$5:$G$149,""))</f>
        <v>0</v>
      </c>
    </row>
    <row r="100" customFormat="false" ht="15" hidden="false" customHeight="false" outlineLevel="0" collapsed="false">
      <c r="A100" s="53" t="s">
        <v>298</v>
      </c>
      <c r="B100" s="54"/>
      <c r="C100" s="54"/>
      <c r="D100" s="54"/>
      <c r="E100" s="54"/>
      <c r="F100" s="54"/>
      <c r="G100" s="54"/>
      <c r="H100" s="52" t="n">
        <f aca="false">IF($E100="Per class",$D100*COUNTIFS('Session Tracker'!$D$5:$D$149,$A100,'Session Tracker'!$F$5:$F$149,"Next week",'Session Tracker'!$G$5:$G$149,"Mon"),$D100*SUMIFS('Session Tracker'!$J$5:$J$149,'Session Tracker'!$D$5:$D$149,$A100,'Session Tracker'!$F$5:$F$149,"Next week",'Session Tracker'!$G$5:$G$149,"Mon"))</f>
        <v>0</v>
      </c>
      <c r="I100" s="52" t="n">
        <f aca="false">IF($E100="Per class",$D100*COUNTIFS('Session Tracker'!$D$5:$D$149,$A100,'Session Tracker'!$F$5:$F$149,"Next week",'Session Tracker'!$G$5:$G$149,"Tue"),$D100*SUMIFS('Session Tracker'!$J$5:$J$149,'Session Tracker'!$D$5:$D$149,$A100,'Session Tracker'!$F$5:$F$149,"Next week",'Session Tracker'!$G$5:$G$149,"Tue"))</f>
        <v>0</v>
      </c>
      <c r="J100" s="52" t="n">
        <f aca="false">IF($E100="Per class",$D100*COUNTIFS('Session Tracker'!$D$5:$D$149,$A100,'Session Tracker'!$F$5:$F$149,"Next week",'Session Tracker'!$G$5:$G$149,"Wed"),$D100*SUMIFS('Session Tracker'!$J$5:$J$149,'Session Tracker'!$D$5:$D$149,$A100,'Session Tracker'!$F$5:$F$149,"Next week",'Session Tracker'!$G$5:$G$149,"Wed"))</f>
        <v>0</v>
      </c>
      <c r="K100" s="52" t="n">
        <f aca="false">IF($E100="Per class",$D100*COUNTIFS('Session Tracker'!$D$5:$D$149,$A100,'Session Tracker'!$F$5:$F$149,"Next week",'Session Tracker'!$G$5:$G$149,"Thu"),$D100*SUMIFS('Session Tracker'!$J$5:$J$149,'Session Tracker'!$D$5:$D$149,$A100,'Session Tracker'!$F$5:$F$149,"Next week",'Session Tracker'!$G$5:$G$149,"Thu"))</f>
        <v>0</v>
      </c>
      <c r="L100" s="52" t="n">
        <f aca="false">IF($E100="Per class",$D100*COUNTIFS('Session Tracker'!$D$5:$D$149,$A100,'Session Tracker'!$F$5:$F$149,"Next week",'Session Tracker'!$G$5:$G$149,"Fri"),$D100*SUMIFS('Session Tracker'!$J$5:$J$149,'Session Tracker'!$D$5:$D$149,$A100,'Session Tracker'!$F$5:$F$149,"Next week",'Session Tracker'!$G$5:$G$149,"Fri"))</f>
        <v>0</v>
      </c>
      <c r="M100" s="52" t="n">
        <f aca="false">IF($E100="Per class",$D100*COUNTIFS('Session Tracker'!$D$5:$D$149,$A100,'Session Tracker'!$F$5:$F$149,"Next week",'Session Tracker'!$G$5:$G$149,""),$D100*SUMIFS('Session Tracker'!$J$5:$J$149,'Session Tracker'!$D$5:$D$149,$A100,'Session Tracker'!$F$5:$F$149,"Next week",'Session Tracker'!$G$5:$G$149,""))</f>
        <v>0</v>
      </c>
    </row>
    <row r="101" customFormat="false" ht="15" hidden="false" customHeight="false" outlineLevel="0" collapsed="false">
      <c r="A101" s="53" t="s">
        <v>298</v>
      </c>
      <c r="B101" s="54"/>
      <c r="C101" s="54"/>
      <c r="D101" s="54"/>
      <c r="E101" s="54"/>
      <c r="F101" s="54"/>
      <c r="G101" s="54"/>
      <c r="H101" s="52" t="n">
        <f aca="false">IF($E101="Per class",$D101*COUNTIFS('Session Tracker'!$D$5:$D$149,$A101,'Session Tracker'!$F$5:$F$149,"Next week",'Session Tracker'!$G$5:$G$149,"Mon"),$D101*SUMIFS('Session Tracker'!$J$5:$J$149,'Session Tracker'!$D$5:$D$149,$A101,'Session Tracker'!$F$5:$F$149,"Next week",'Session Tracker'!$G$5:$G$149,"Mon"))</f>
        <v>0</v>
      </c>
      <c r="I101" s="52" t="n">
        <f aca="false">IF($E101="Per class",$D101*COUNTIFS('Session Tracker'!$D$5:$D$149,$A101,'Session Tracker'!$F$5:$F$149,"Next week",'Session Tracker'!$G$5:$G$149,"Tue"),$D101*SUMIFS('Session Tracker'!$J$5:$J$149,'Session Tracker'!$D$5:$D$149,$A101,'Session Tracker'!$F$5:$F$149,"Next week",'Session Tracker'!$G$5:$G$149,"Tue"))</f>
        <v>0</v>
      </c>
      <c r="J101" s="52" t="n">
        <f aca="false">IF($E101="Per class",$D101*COUNTIFS('Session Tracker'!$D$5:$D$149,$A101,'Session Tracker'!$F$5:$F$149,"Next week",'Session Tracker'!$G$5:$G$149,"Wed"),$D101*SUMIFS('Session Tracker'!$J$5:$J$149,'Session Tracker'!$D$5:$D$149,$A101,'Session Tracker'!$F$5:$F$149,"Next week",'Session Tracker'!$G$5:$G$149,"Wed"))</f>
        <v>0</v>
      </c>
      <c r="K101" s="52" t="n">
        <f aca="false">IF($E101="Per class",$D101*COUNTIFS('Session Tracker'!$D$5:$D$149,$A101,'Session Tracker'!$F$5:$F$149,"Next week",'Session Tracker'!$G$5:$G$149,"Thu"),$D101*SUMIFS('Session Tracker'!$J$5:$J$149,'Session Tracker'!$D$5:$D$149,$A101,'Session Tracker'!$F$5:$F$149,"Next week",'Session Tracker'!$G$5:$G$149,"Thu"))</f>
        <v>0</v>
      </c>
      <c r="L101" s="52" t="n">
        <f aca="false">IF($E101="Per class",$D101*COUNTIFS('Session Tracker'!$D$5:$D$149,$A101,'Session Tracker'!$F$5:$F$149,"Next week",'Session Tracker'!$G$5:$G$149,"Fri"),$D101*SUMIFS('Session Tracker'!$J$5:$J$149,'Session Tracker'!$D$5:$D$149,$A101,'Session Tracker'!$F$5:$F$149,"Next week",'Session Tracker'!$G$5:$G$149,"Fri"))</f>
        <v>0</v>
      </c>
      <c r="M101" s="52" t="n">
        <f aca="false">IF($E101="Per class",$D101*COUNTIFS('Session Tracker'!$D$5:$D$149,$A101,'Session Tracker'!$F$5:$F$149,"Next week",'Session Tracker'!$G$5:$G$149,""),$D101*SUMIFS('Session Tracker'!$J$5:$J$149,'Session Tracker'!$D$5:$D$149,$A101,'Session Tracker'!$F$5:$F$149,"Next week",'Session Tracker'!$G$5:$G$149,""))</f>
        <v>0</v>
      </c>
    </row>
    <row r="103" customFormat="false" ht="19.5" hidden="false" customHeight="true" outlineLevel="0" collapsed="false">
      <c r="A103" s="71" t="s">
        <v>300</v>
      </c>
      <c r="B103" s="72" t="s">
        <v>664</v>
      </c>
      <c r="C103" s="72"/>
      <c r="D103" s="72"/>
      <c r="E103" s="72"/>
      <c r="F103" s="73" t="str">
        <f aca="false">"Status: "&amp;'Session Tracker'!F121&amp;IF('Session Tracker'!G121&lt;&gt;""," ("&amp;'Session Tracker'!G121&amp;")","")</f>
        <v>Status: Not started</v>
      </c>
      <c r="G103" s="73"/>
      <c r="H103" s="74"/>
      <c r="I103" s="74"/>
      <c r="J103" s="74"/>
      <c r="K103" s="74"/>
      <c r="L103" s="74"/>
      <c r="M103" s="74"/>
    </row>
    <row r="104" customFormat="false" ht="23.85" hidden="false" customHeight="false" outlineLevel="0" collapsed="false">
      <c r="A104" s="75" t="s">
        <v>300</v>
      </c>
      <c r="B104" s="34" t="s">
        <v>366</v>
      </c>
      <c r="C104" s="34" t="s">
        <v>391</v>
      </c>
      <c r="D104" s="32" t="n">
        <v>1</v>
      </c>
      <c r="E104" s="32" t="s">
        <v>14</v>
      </c>
      <c r="F104" s="32" t="s">
        <v>368</v>
      </c>
      <c r="G104" s="34"/>
      <c r="H104" s="52" t="n">
        <f aca="false">IF($E104="Per class",$D104*COUNTIFS('Session Tracker'!$D$5:$D$149,$A104,'Session Tracker'!$F$5:$F$149,"Next week",'Session Tracker'!$G$5:$G$149,"Mon"),$D104*SUMIFS('Session Tracker'!$J$5:$J$149,'Session Tracker'!$D$5:$D$149,$A104,'Session Tracker'!$F$5:$F$149,"Next week",'Session Tracker'!$G$5:$G$149,"Mon"))</f>
        <v>0</v>
      </c>
      <c r="I104" s="52" t="n">
        <f aca="false">IF($E104="Per class",$D104*COUNTIFS('Session Tracker'!$D$5:$D$149,$A104,'Session Tracker'!$F$5:$F$149,"Next week",'Session Tracker'!$G$5:$G$149,"Tue"),$D104*SUMIFS('Session Tracker'!$J$5:$J$149,'Session Tracker'!$D$5:$D$149,$A104,'Session Tracker'!$F$5:$F$149,"Next week",'Session Tracker'!$G$5:$G$149,"Tue"))</f>
        <v>0</v>
      </c>
      <c r="J104" s="52" t="n">
        <f aca="false">IF($E104="Per class",$D104*COUNTIFS('Session Tracker'!$D$5:$D$149,$A104,'Session Tracker'!$F$5:$F$149,"Next week",'Session Tracker'!$G$5:$G$149,"Wed"),$D104*SUMIFS('Session Tracker'!$J$5:$J$149,'Session Tracker'!$D$5:$D$149,$A104,'Session Tracker'!$F$5:$F$149,"Next week",'Session Tracker'!$G$5:$G$149,"Wed"))</f>
        <v>0</v>
      </c>
      <c r="K104" s="52" t="n">
        <f aca="false">IF($E104="Per class",$D104*COUNTIFS('Session Tracker'!$D$5:$D$149,$A104,'Session Tracker'!$F$5:$F$149,"Next week",'Session Tracker'!$G$5:$G$149,"Thu"),$D104*SUMIFS('Session Tracker'!$J$5:$J$149,'Session Tracker'!$D$5:$D$149,$A104,'Session Tracker'!$F$5:$F$149,"Next week",'Session Tracker'!$G$5:$G$149,"Thu"))</f>
        <v>0</v>
      </c>
      <c r="L104" s="52" t="n">
        <f aca="false">IF($E104="Per class",$D104*COUNTIFS('Session Tracker'!$D$5:$D$149,$A104,'Session Tracker'!$F$5:$F$149,"Next week",'Session Tracker'!$G$5:$G$149,"Fri"),$D104*SUMIFS('Session Tracker'!$J$5:$J$149,'Session Tracker'!$D$5:$D$149,$A104,'Session Tracker'!$F$5:$F$149,"Next week",'Session Tracker'!$G$5:$G$149,"Fri"))</f>
        <v>0</v>
      </c>
      <c r="M104" s="52" t="n">
        <f aca="false">IF($E104="Per class",$D104*COUNTIFS('Session Tracker'!$D$5:$D$149,$A104,'Session Tracker'!$F$5:$F$149,"Next week",'Session Tracker'!$G$5:$G$149,""),$D104*SUMIFS('Session Tracker'!$J$5:$J$149,'Session Tracker'!$D$5:$D$149,$A104,'Session Tracker'!$F$5:$F$149,"Next week",'Session Tracker'!$G$5:$G$149,""))</f>
        <v>0</v>
      </c>
    </row>
    <row r="105" customFormat="false" ht="15" hidden="false" customHeight="false" outlineLevel="0" collapsed="false">
      <c r="A105" s="75" t="s">
        <v>300</v>
      </c>
      <c r="B105" s="34" t="s">
        <v>369</v>
      </c>
      <c r="C105" s="34" t="s">
        <v>550</v>
      </c>
      <c r="D105" s="32" t="n">
        <v>1</v>
      </c>
      <c r="E105" s="32" t="s">
        <v>14</v>
      </c>
      <c r="F105" s="32" t="s">
        <v>368</v>
      </c>
      <c r="G105" s="34"/>
      <c r="H105" s="52" t="n">
        <f aca="false">IF($E105="Per class",$D105*COUNTIFS('Session Tracker'!$D$5:$D$149,$A105,'Session Tracker'!$F$5:$F$149,"Next week",'Session Tracker'!$G$5:$G$149,"Mon"),$D105*SUMIFS('Session Tracker'!$J$5:$J$149,'Session Tracker'!$D$5:$D$149,$A105,'Session Tracker'!$F$5:$F$149,"Next week",'Session Tracker'!$G$5:$G$149,"Mon"))</f>
        <v>0</v>
      </c>
      <c r="I105" s="52" t="n">
        <f aca="false">IF($E105="Per class",$D105*COUNTIFS('Session Tracker'!$D$5:$D$149,$A105,'Session Tracker'!$F$5:$F$149,"Next week",'Session Tracker'!$G$5:$G$149,"Tue"),$D105*SUMIFS('Session Tracker'!$J$5:$J$149,'Session Tracker'!$D$5:$D$149,$A105,'Session Tracker'!$F$5:$F$149,"Next week",'Session Tracker'!$G$5:$G$149,"Tue"))</f>
        <v>0</v>
      </c>
      <c r="J105" s="52" t="n">
        <f aca="false">IF($E105="Per class",$D105*COUNTIFS('Session Tracker'!$D$5:$D$149,$A105,'Session Tracker'!$F$5:$F$149,"Next week",'Session Tracker'!$G$5:$G$149,"Wed"),$D105*SUMIFS('Session Tracker'!$J$5:$J$149,'Session Tracker'!$D$5:$D$149,$A105,'Session Tracker'!$F$5:$F$149,"Next week",'Session Tracker'!$G$5:$G$149,"Wed"))</f>
        <v>0</v>
      </c>
      <c r="K105" s="52" t="n">
        <f aca="false">IF($E105="Per class",$D105*COUNTIFS('Session Tracker'!$D$5:$D$149,$A105,'Session Tracker'!$F$5:$F$149,"Next week",'Session Tracker'!$G$5:$G$149,"Thu"),$D105*SUMIFS('Session Tracker'!$J$5:$J$149,'Session Tracker'!$D$5:$D$149,$A105,'Session Tracker'!$F$5:$F$149,"Next week",'Session Tracker'!$G$5:$G$149,"Thu"))</f>
        <v>0</v>
      </c>
      <c r="L105" s="52" t="n">
        <f aca="false">IF($E105="Per class",$D105*COUNTIFS('Session Tracker'!$D$5:$D$149,$A105,'Session Tracker'!$F$5:$F$149,"Next week",'Session Tracker'!$G$5:$G$149,"Fri"),$D105*SUMIFS('Session Tracker'!$J$5:$J$149,'Session Tracker'!$D$5:$D$149,$A105,'Session Tracker'!$F$5:$F$149,"Next week",'Session Tracker'!$G$5:$G$149,"Fri"))</f>
        <v>0</v>
      </c>
      <c r="M105" s="52" t="n">
        <f aca="false">IF($E105="Per class",$D105*COUNTIFS('Session Tracker'!$D$5:$D$149,$A105,'Session Tracker'!$F$5:$F$149,"Next week",'Session Tracker'!$G$5:$G$149,""),$D105*SUMIFS('Session Tracker'!$J$5:$J$149,'Session Tracker'!$D$5:$D$149,$A105,'Session Tracker'!$F$5:$F$149,"Next week",'Session Tracker'!$G$5:$G$149,""))</f>
        <v>0</v>
      </c>
    </row>
    <row r="106" customFormat="false" ht="15" hidden="false" customHeight="false" outlineLevel="0" collapsed="false">
      <c r="A106" s="75" t="s">
        <v>300</v>
      </c>
      <c r="B106" s="34" t="s">
        <v>377</v>
      </c>
      <c r="C106" s="34" t="s">
        <v>378</v>
      </c>
      <c r="D106" s="32" t="n">
        <v>1</v>
      </c>
      <c r="E106" s="32" t="s">
        <v>14</v>
      </c>
      <c r="F106" s="32" t="s">
        <v>368</v>
      </c>
      <c r="G106" s="34"/>
      <c r="H106" s="52" t="n">
        <f aca="false">IF($E106="Per class",$D106*COUNTIFS('Session Tracker'!$D$5:$D$149,$A106,'Session Tracker'!$F$5:$F$149,"Next week",'Session Tracker'!$G$5:$G$149,"Mon"),$D106*SUMIFS('Session Tracker'!$J$5:$J$149,'Session Tracker'!$D$5:$D$149,$A106,'Session Tracker'!$F$5:$F$149,"Next week",'Session Tracker'!$G$5:$G$149,"Mon"))</f>
        <v>0</v>
      </c>
      <c r="I106" s="52" t="n">
        <f aca="false">IF($E106="Per class",$D106*COUNTIFS('Session Tracker'!$D$5:$D$149,$A106,'Session Tracker'!$F$5:$F$149,"Next week",'Session Tracker'!$G$5:$G$149,"Tue"),$D106*SUMIFS('Session Tracker'!$J$5:$J$149,'Session Tracker'!$D$5:$D$149,$A106,'Session Tracker'!$F$5:$F$149,"Next week",'Session Tracker'!$G$5:$G$149,"Tue"))</f>
        <v>0</v>
      </c>
      <c r="J106" s="52" t="n">
        <f aca="false">IF($E106="Per class",$D106*COUNTIFS('Session Tracker'!$D$5:$D$149,$A106,'Session Tracker'!$F$5:$F$149,"Next week",'Session Tracker'!$G$5:$G$149,"Wed"),$D106*SUMIFS('Session Tracker'!$J$5:$J$149,'Session Tracker'!$D$5:$D$149,$A106,'Session Tracker'!$F$5:$F$149,"Next week",'Session Tracker'!$G$5:$G$149,"Wed"))</f>
        <v>0</v>
      </c>
      <c r="K106" s="52" t="n">
        <f aca="false">IF($E106="Per class",$D106*COUNTIFS('Session Tracker'!$D$5:$D$149,$A106,'Session Tracker'!$F$5:$F$149,"Next week",'Session Tracker'!$G$5:$G$149,"Thu"),$D106*SUMIFS('Session Tracker'!$J$5:$J$149,'Session Tracker'!$D$5:$D$149,$A106,'Session Tracker'!$F$5:$F$149,"Next week",'Session Tracker'!$G$5:$G$149,"Thu"))</f>
        <v>0</v>
      </c>
      <c r="L106" s="52" t="n">
        <f aca="false">IF($E106="Per class",$D106*COUNTIFS('Session Tracker'!$D$5:$D$149,$A106,'Session Tracker'!$F$5:$F$149,"Next week",'Session Tracker'!$G$5:$G$149,"Fri"),$D106*SUMIFS('Session Tracker'!$J$5:$J$149,'Session Tracker'!$D$5:$D$149,$A106,'Session Tracker'!$F$5:$F$149,"Next week",'Session Tracker'!$G$5:$G$149,"Fri"))</f>
        <v>0</v>
      </c>
      <c r="M106" s="52" t="n">
        <f aca="false">IF($E106="Per class",$D106*COUNTIFS('Session Tracker'!$D$5:$D$149,$A106,'Session Tracker'!$F$5:$F$149,"Next week",'Session Tracker'!$G$5:$G$149,""),$D106*SUMIFS('Session Tracker'!$J$5:$J$149,'Session Tracker'!$D$5:$D$149,$A106,'Session Tracker'!$F$5:$F$149,"Next week",'Session Tracker'!$G$5:$G$149,""))</f>
        <v>0</v>
      </c>
    </row>
    <row r="107" customFormat="false" ht="15" hidden="false" customHeight="false" outlineLevel="0" collapsed="false">
      <c r="A107" s="75" t="s">
        <v>300</v>
      </c>
      <c r="B107" s="34" t="s">
        <v>375</v>
      </c>
      <c r="C107" s="34" t="s">
        <v>385</v>
      </c>
      <c r="D107" s="32" t="n">
        <v>1</v>
      </c>
      <c r="E107" s="32" t="s">
        <v>14</v>
      </c>
      <c r="F107" s="32" t="s">
        <v>368</v>
      </c>
      <c r="G107" s="34"/>
      <c r="H107" s="52" t="n">
        <f aca="false">IF($E107="Per class",$D107*COUNTIFS('Session Tracker'!$D$5:$D$149,$A107,'Session Tracker'!$F$5:$F$149,"Next week",'Session Tracker'!$G$5:$G$149,"Mon"),$D107*SUMIFS('Session Tracker'!$J$5:$J$149,'Session Tracker'!$D$5:$D$149,$A107,'Session Tracker'!$F$5:$F$149,"Next week",'Session Tracker'!$G$5:$G$149,"Mon"))</f>
        <v>0</v>
      </c>
      <c r="I107" s="52" t="n">
        <f aca="false">IF($E107="Per class",$D107*COUNTIFS('Session Tracker'!$D$5:$D$149,$A107,'Session Tracker'!$F$5:$F$149,"Next week",'Session Tracker'!$G$5:$G$149,"Tue"),$D107*SUMIFS('Session Tracker'!$J$5:$J$149,'Session Tracker'!$D$5:$D$149,$A107,'Session Tracker'!$F$5:$F$149,"Next week",'Session Tracker'!$G$5:$G$149,"Tue"))</f>
        <v>0</v>
      </c>
      <c r="J107" s="52" t="n">
        <f aca="false">IF($E107="Per class",$D107*COUNTIFS('Session Tracker'!$D$5:$D$149,$A107,'Session Tracker'!$F$5:$F$149,"Next week",'Session Tracker'!$G$5:$G$149,"Wed"),$D107*SUMIFS('Session Tracker'!$J$5:$J$149,'Session Tracker'!$D$5:$D$149,$A107,'Session Tracker'!$F$5:$F$149,"Next week",'Session Tracker'!$G$5:$G$149,"Wed"))</f>
        <v>0</v>
      </c>
      <c r="K107" s="52" t="n">
        <f aca="false">IF($E107="Per class",$D107*COUNTIFS('Session Tracker'!$D$5:$D$149,$A107,'Session Tracker'!$F$5:$F$149,"Next week",'Session Tracker'!$G$5:$G$149,"Thu"),$D107*SUMIFS('Session Tracker'!$J$5:$J$149,'Session Tracker'!$D$5:$D$149,$A107,'Session Tracker'!$F$5:$F$149,"Next week",'Session Tracker'!$G$5:$G$149,"Thu"))</f>
        <v>0</v>
      </c>
      <c r="L107" s="52" t="n">
        <f aca="false">IF($E107="Per class",$D107*COUNTIFS('Session Tracker'!$D$5:$D$149,$A107,'Session Tracker'!$F$5:$F$149,"Next week",'Session Tracker'!$G$5:$G$149,"Fri"),$D107*SUMIFS('Session Tracker'!$J$5:$J$149,'Session Tracker'!$D$5:$D$149,$A107,'Session Tracker'!$F$5:$F$149,"Next week",'Session Tracker'!$G$5:$G$149,"Fri"))</f>
        <v>0</v>
      </c>
      <c r="M107" s="52" t="n">
        <f aca="false">IF($E107="Per class",$D107*COUNTIFS('Session Tracker'!$D$5:$D$149,$A107,'Session Tracker'!$F$5:$F$149,"Next week",'Session Tracker'!$G$5:$G$149,""),$D107*SUMIFS('Session Tracker'!$J$5:$J$149,'Session Tracker'!$D$5:$D$149,$A107,'Session Tracker'!$F$5:$F$149,"Next week",'Session Tracker'!$G$5:$G$149,""))</f>
        <v>0</v>
      </c>
    </row>
    <row r="108" customFormat="false" ht="15" hidden="false" customHeight="false" outlineLevel="0" collapsed="false">
      <c r="A108" s="75" t="s">
        <v>300</v>
      </c>
      <c r="B108" s="34" t="s">
        <v>375</v>
      </c>
      <c r="C108" s="34" t="s">
        <v>417</v>
      </c>
      <c r="D108" s="32" t="n">
        <v>1</v>
      </c>
      <c r="E108" s="32" t="s">
        <v>14</v>
      </c>
      <c r="F108" s="32" t="s">
        <v>373</v>
      </c>
      <c r="G108" s="34"/>
      <c r="H108" s="52" t="n">
        <f aca="false">IF($E108="Per class",$D108*COUNTIFS('Session Tracker'!$D$5:$D$149,$A108,'Session Tracker'!$F$5:$F$149,"Next week",'Session Tracker'!$G$5:$G$149,"Mon"),$D108*SUMIFS('Session Tracker'!$J$5:$J$149,'Session Tracker'!$D$5:$D$149,$A108,'Session Tracker'!$F$5:$F$149,"Next week",'Session Tracker'!$G$5:$G$149,"Mon"))</f>
        <v>0</v>
      </c>
      <c r="I108" s="52" t="n">
        <f aca="false">IF($E108="Per class",$D108*COUNTIFS('Session Tracker'!$D$5:$D$149,$A108,'Session Tracker'!$F$5:$F$149,"Next week",'Session Tracker'!$G$5:$G$149,"Tue"),$D108*SUMIFS('Session Tracker'!$J$5:$J$149,'Session Tracker'!$D$5:$D$149,$A108,'Session Tracker'!$F$5:$F$149,"Next week",'Session Tracker'!$G$5:$G$149,"Tue"))</f>
        <v>0</v>
      </c>
      <c r="J108" s="52" t="n">
        <f aca="false">IF($E108="Per class",$D108*COUNTIFS('Session Tracker'!$D$5:$D$149,$A108,'Session Tracker'!$F$5:$F$149,"Next week",'Session Tracker'!$G$5:$G$149,"Wed"),$D108*SUMIFS('Session Tracker'!$J$5:$J$149,'Session Tracker'!$D$5:$D$149,$A108,'Session Tracker'!$F$5:$F$149,"Next week",'Session Tracker'!$G$5:$G$149,"Wed"))</f>
        <v>0</v>
      </c>
      <c r="K108" s="52" t="n">
        <f aca="false">IF($E108="Per class",$D108*COUNTIFS('Session Tracker'!$D$5:$D$149,$A108,'Session Tracker'!$F$5:$F$149,"Next week",'Session Tracker'!$G$5:$G$149,"Thu"),$D108*SUMIFS('Session Tracker'!$J$5:$J$149,'Session Tracker'!$D$5:$D$149,$A108,'Session Tracker'!$F$5:$F$149,"Next week",'Session Tracker'!$G$5:$G$149,"Thu"))</f>
        <v>0</v>
      </c>
      <c r="L108" s="52" t="n">
        <f aca="false">IF($E108="Per class",$D108*COUNTIFS('Session Tracker'!$D$5:$D$149,$A108,'Session Tracker'!$F$5:$F$149,"Next week",'Session Tracker'!$G$5:$G$149,"Fri"),$D108*SUMIFS('Session Tracker'!$J$5:$J$149,'Session Tracker'!$D$5:$D$149,$A108,'Session Tracker'!$F$5:$F$149,"Next week",'Session Tracker'!$G$5:$G$149,"Fri"))</f>
        <v>0</v>
      </c>
      <c r="M108" s="52" t="n">
        <f aca="false">IF($E108="Per class",$D108*COUNTIFS('Session Tracker'!$D$5:$D$149,$A108,'Session Tracker'!$F$5:$F$149,"Next week",'Session Tracker'!$G$5:$G$149,""),$D108*SUMIFS('Session Tracker'!$J$5:$J$149,'Session Tracker'!$D$5:$D$149,$A108,'Session Tracker'!$F$5:$F$149,"Next week",'Session Tracker'!$G$5:$G$149,""))</f>
        <v>0</v>
      </c>
    </row>
    <row r="109" customFormat="false" ht="15" hidden="false" customHeight="false" outlineLevel="0" collapsed="false">
      <c r="A109" s="75" t="s">
        <v>300</v>
      </c>
      <c r="B109" s="34" t="s">
        <v>409</v>
      </c>
      <c r="C109" s="34" t="s">
        <v>612</v>
      </c>
      <c r="D109" s="32" t="n">
        <v>1</v>
      </c>
      <c r="E109" s="32" t="s">
        <v>14</v>
      </c>
      <c r="F109" s="32" t="s">
        <v>368</v>
      </c>
      <c r="G109" s="34" t="s">
        <v>665</v>
      </c>
      <c r="H109" s="52" t="n">
        <f aca="false">IF($E109="Per class",$D109*COUNTIFS('Session Tracker'!$D$5:$D$149,$A109,'Session Tracker'!$F$5:$F$149,"Next week",'Session Tracker'!$G$5:$G$149,"Mon"),$D109*SUMIFS('Session Tracker'!$J$5:$J$149,'Session Tracker'!$D$5:$D$149,$A109,'Session Tracker'!$F$5:$F$149,"Next week",'Session Tracker'!$G$5:$G$149,"Mon"))</f>
        <v>0</v>
      </c>
      <c r="I109" s="52" t="n">
        <f aca="false">IF($E109="Per class",$D109*COUNTIFS('Session Tracker'!$D$5:$D$149,$A109,'Session Tracker'!$F$5:$F$149,"Next week",'Session Tracker'!$G$5:$G$149,"Tue"),$D109*SUMIFS('Session Tracker'!$J$5:$J$149,'Session Tracker'!$D$5:$D$149,$A109,'Session Tracker'!$F$5:$F$149,"Next week",'Session Tracker'!$G$5:$G$149,"Tue"))</f>
        <v>0</v>
      </c>
      <c r="J109" s="52" t="n">
        <f aca="false">IF($E109="Per class",$D109*COUNTIFS('Session Tracker'!$D$5:$D$149,$A109,'Session Tracker'!$F$5:$F$149,"Next week",'Session Tracker'!$G$5:$G$149,"Wed"),$D109*SUMIFS('Session Tracker'!$J$5:$J$149,'Session Tracker'!$D$5:$D$149,$A109,'Session Tracker'!$F$5:$F$149,"Next week",'Session Tracker'!$G$5:$G$149,"Wed"))</f>
        <v>0</v>
      </c>
      <c r="K109" s="52" t="n">
        <f aca="false">IF($E109="Per class",$D109*COUNTIFS('Session Tracker'!$D$5:$D$149,$A109,'Session Tracker'!$F$5:$F$149,"Next week",'Session Tracker'!$G$5:$G$149,"Thu"),$D109*SUMIFS('Session Tracker'!$J$5:$J$149,'Session Tracker'!$D$5:$D$149,$A109,'Session Tracker'!$F$5:$F$149,"Next week",'Session Tracker'!$G$5:$G$149,"Thu"))</f>
        <v>0</v>
      </c>
      <c r="L109" s="52" t="n">
        <f aca="false">IF($E109="Per class",$D109*COUNTIFS('Session Tracker'!$D$5:$D$149,$A109,'Session Tracker'!$F$5:$F$149,"Next week",'Session Tracker'!$G$5:$G$149,"Fri"),$D109*SUMIFS('Session Tracker'!$J$5:$J$149,'Session Tracker'!$D$5:$D$149,$A109,'Session Tracker'!$F$5:$F$149,"Next week",'Session Tracker'!$G$5:$G$149,"Fri"))</f>
        <v>0</v>
      </c>
      <c r="M109" s="52" t="n">
        <f aca="false">IF($E109="Per class",$D109*COUNTIFS('Session Tracker'!$D$5:$D$149,$A109,'Session Tracker'!$F$5:$F$149,"Next week",'Session Tracker'!$G$5:$G$149,""),$D109*SUMIFS('Session Tracker'!$J$5:$J$149,'Session Tracker'!$D$5:$D$149,$A109,'Session Tracker'!$F$5:$F$149,"Next week",'Session Tracker'!$G$5:$G$149,""))</f>
        <v>0</v>
      </c>
    </row>
    <row r="110" customFormat="false" ht="15" hidden="false" customHeight="false" outlineLevel="0" collapsed="false">
      <c r="A110" s="75" t="s">
        <v>300</v>
      </c>
      <c r="B110" s="34" t="s">
        <v>379</v>
      </c>
      <c r="C110" s="34" t="s">
        <v>380</v>
      </c>
      <c r="D110" s="32" t="n">
        <v>1</v>
      </c>
      <c r="E110" s="32" t="s">
        <v>14</v>
      </c>
      <c r="F110" s="32" t="s">
        <v>368</v>
      </c>
      <c r="G110" s="34"/>
      <c r="H110" s="52" t="n">
        <f aca="false">IF($E110="Per class",$D110*COUNTIFS('Session Tracker'!$D$5:$D$149,$A110,'Session Tracker'!$F$5:$F$149,"Next week",'Session Tracker'!$G$5:$G$149,"Mon"),$D110*SUMIFS('Session Tracker'!$J$5:$J$149,'Session Tracker'!$D$5:$D$149,$A110,'Session Tracker'!$F$5:$F$149,"Next week",'Session Tracker'!$G$5:$G$149,"Mon"))</f>
        <v>0</v>
      </c>
      <c r="I110" s="52" t="n">
        <f aca="false">IF($E110="Per class",$D110*COUNTIFS('Session Tracker'!$D$5:$D$149,$A110,'Session Tracker'!$F$5:$F$149,"Next week",'Session Tracker'!$G$5:$G$149,"Tue"),$D110*SUMIFS('Session Tracker'!$J$5:$J$149,'Session Tracker'!$D$5:$D$149,$A110,'Session Tracker'!$F$5:$F$149,"Next week",'Session Tracker'!$G$5:$G$149,"Tue"))</f>
        <v>0</v>
      </c>
      <c r="J110" s="52" t="n">
        <f aca="false">IF($E110="Per class",$D110*COUNTIFS('Session Tracker'!$D$5:$D$149,$A110,'Session Tracker'!$F$5:$F$149,"Next week",'Session Tracker'!$G$5:$G$149,"Wed"),$D110*SUMIFS('Session Tracker'!$J$5:$J$149,'Session Tracker'!$D$5:$D$149,$A110,'Session Tracker'!$F$5:$F$149,"Next week",'Session Tracker'!$G$5:$G$149,"Wed"))</f>
        <v>0</v>
      </c>
      <c r="K110" s="52" t="n">
        <f aca="false">IF($E110="Per class",$D110*COUNTIFS('Session Tracker'!$D$5:$D$149,$A110,'Session Tracker'!$F$5:$F$149,"Next week",'Session Tracker'!$G$5:$G$149,"Thu"),$D110*SUMIFS('Session Tracker'!$J$5:$J$149,'Session Tracker'!$D$5:$D$149,$A110,'Session Tracker'!$F$5:$F$149,"Next week",'Session Tracker'!$G$5:$G$149,"Thu"))</f>
        <v>0</v>
      </c>
      <c r="L110" s="52" t="n">
        <f aca="false">IF($E110="Per class",$D110*COUNTIFS('Session Tracker'!$D$5:$D$149,$A110,'Session Tracker'!$F$5:$F$149,"Next week",'Session Tracker'!$G$5:$G$149,"Fri"),$D110*SUMIFS('Session Tracker'!$J$5:$J$149,'Session Tracker'!$D$5:$D$149,$A110,'Session Tracker'!$F$5:$F$149,"Next week",'Session Tracker'!$G$5:$G$149,"Fri"))</f>
        <v>0</v>
      </c>
      <c r="M110" s="52" t="n">
        <f aca="false">IF($E110="Per class",$D110*COUNTIFS('Session Tracker'!$D$5:$D$149,$A110,'Session Tracker'!$F$5:$F$149,"Next week",'Session Tracker'!$G$5:$G$149,""),$D110*SUMIFS('Session Tracker'!$J$5:$J$149,'Session Tracker'!$D$5:$D$149,$A110,'Session Tracker'!$F$5:$F$149,"Next week",'Session Tracker'!$G$5:$G$149,""))</f>
        <v>0</v>
      </c>
    </row>
    <row r="111" customFormat="false" ht="15" hidden="false" customHeight="false" outlineLevel="0" collapsed="false">
      <c r="A111" s="75" t="s">
        <v>300</v>
      </c>
      <c r="B111" s="34" t="s">
        <v>379</v>
      </c>
      <c r="C111" s="34" t="s">
        <v>381</v>
      </c>
      <c r="D111" s="32" t="n">
        <v>8</v>
      </c>
      <c r="E111" s="32" t="s">
        <v>14</v>
      </c>
      <c r="F111" s="32" t="s">
        <v>368</v>
      </c>
      <c r="G111" s="34"/>
      <c r="H111" s="52" t="n">
        <f aca="false">IF($E111="Per class",$D111*COUNTIFS('Session Tracker'!$D$5:$D$149,$A111,'Session Tracker'!$F$5:$F$149,"Next week",'Session Tracker'!$G$5:$G$149,"Mon"),$D111*SUMIFS('Session Tracker'!$J$5:$J$149,'Session Tracker'!$D$5:$D$149,$A111,'Session Tracker'!$F$5:$F$149,"Next week",'Session Tracker'!$G$5:$G$149,"Mon"))</f>
        <v>0</v>
      </c>
      <c r="I111" s="52" t="n">
        <f aca="false">IF($E111="Per class",$D111*COUNTIFS('Session Tracker'!$D$5:$D$149,$A111,'Session Tracker'!$F$5:$F$149,"Next week",'Session Tracker'!$G$5:$G$149,"Tue"),$D111*SUMIFS('Session Tracker'!$J$5:$J$149,'Session Tracker'!$D$5:$D$149,$A111,'Session Tracker'!$F$5:$F$149,"Next week",'Session Tracker'!$G$5:$G$149,"Tue"))</f>
        <v>0</v>
      </c>
      <c r="J111" s="52" t="n">
        <f aca="false">IF($E111="Per class",$D111*COUNTIFS('Session Tracker'!$D$5:$D$149,$A111,'Session Tracker'!$F$5:$F$149,"Next week",'Session Tracker'!$G$5:$G$149,"Wed"),$D111*SUMIFS('Session Tracker'!$J$5:$J$149,'Session Tracker'!$D$5:$D$149,$A111,'Session Tracker'!$F$5:$F$149,"Next week",'Session Tracker'!$G$5:$G$149,"Wed"))</f>
        <v>0</v>
      </c>
      <c r="K111" s="52" t="n">
        <f aca="false">IF($E111="Per class",$D111*COUNTIFS('Session Tracker'!$D$5:$D$149,$A111,'Session Tracker'!$F$5:$F$149,"Next week",'Session Tracker'!$G$5:$G$149,"Thu"),$D111*SUMIFS('Session Tracker'!$J$5:$J$149,'Session Tracker'!$D$5:$D$149,$A111,'Session Tracker'!$F$5:$F$149,"Next week",'Session Tracker'!$G$5:$G$149,"Thu"))</f>
        <v>0</v>
      </c>
      <c r="L111" s="52" t="n">
        <f aca="false">IF($E111="Per class",$D111*COUNTIFS('Session Tracker'!$D$5:$D$149,$A111,'Session Tracker'!$F$5:$F$149,"Next week",'Session Tracker'!$G$5:$G$149,"Fri"),$D111*SUMIFS('Session Tracker'!$J$5:$J$149,'Session Tracker'!$D$5:$D$149,$A111,'Session Tracker'!$F$5:$F$149,"Next week",'Session Tracker'!$G$5:$G$149,"Fri"))</f>
        <v>0</v>
      </c>
      <c r="M111" s="52" t="n">
        <f aca="false">IF($E111="Per class",$D111*COUNTIFS('Session Tracker'!$D$5:$D$149,$A111,'Session Tracker'!$F$5:$F$149,"Next week",'Session Tracker'!$G$5:$G$149,""),$D111*SUMIFS('Session Tracker'!$J$5:$J$149,'Session Tracker'!$D$5:$D$149,$A111,'Session Tracker'!$F$5:$F$149,"Next week",'Session Tracker'!$G$5:$G$149,""))</f>
        <v>0</v>
      </c>
    </row>
    <row r="112" customFormat="false" ht="15" hidden="false" customHeight="false" outlineLevel="0" collapsed="false">
      <c r="A112" s="75" t="s">
        <v>300</v>
      </c>
      <c r="B112" s="34" t="s">
        <v>379</v>
      </c>
      <c r="C112" s="34" t="s">
        <v>395</v>
      </c>
      <c r="D112" s="32" t="n">
        <v>6</v>
      </c>
      <c r="E112" s="32" t="s">
        <v>14</v>
      </c>
      <c r="F112" s="32" t="s">
        <v>368</v>
      </c>
      <c r="G112" s="34"/>
      <c r="H112" s="52" t="n">
        <f aca="false">IF($E112="Per class",$D112*COUNTIFS('Session Tracker'!$D$5:$D$149,$A112,'Session Tracker'!$F$5:$F$149,"Next week",'Session Tracker'!$G$5:$G$149,"Mon"),$D112*SUMIFS('Session Tracker'!$J$5:$J$149,'Session Tracker'!$D$5:$D$149,$A112,'Session Tracker'!$F$5:$F$149,"Next week",'Session Tracker'!$G$5:$G$149,"Mon"))</f>
        <v>0</v>
      </c>
      <c r="I112" s="52" t="n">
        <f aca="false">IF($E112="Per class",$D112*COUNTIFS('Session Tracker'!$D$5:$D$149,$A112,'Session Tracker'!$F$5:$F$149,"Next week",'Session Tracker'!$G$5:$G$149,"Tue"),$D112*SUMIFS('Session Tracker'!$J$5:$J$149,'Session Tracker'!$D$5:$D$149,$A112,'Session Tracker'!$F$5:$F$149,"Next week",'Session Tracker'!$G$5:$G$149,"Tue"))</f>
        <v>0</v>
      </c>
      <c r="J112" s="52" t="n">
        <f aca="false">IF($E112="Per class",$D112*COUNTIFS('Session Tracker'!$D$5:$D$149,$A112,'Session Tracker'!$F$5:$F$149,"Next week",'Session Tracker'!$G$5:$G$149,"Wed"),$D112*SUMIFS('Session Tracker'!$J$5:$J$149,'Session Tracker'!$D$5:$D$149,$A112,'Session Tracker'!$F$5:$F$149,"Next week",'Session Tracker'!$G$5:$G$149,"Wed"))</f>
        <v>0</v>
      </c>
      <c r="K112" s="52" t="n">
        <f aca="false">IF($E112="Per class",$D112*COUNTIFS('Session Tracker'!$D$5:$D$149,$A112,'Session Tracker'!$F$5:$F$149,"Next week",'Session Tracker'!$G$5:$G$149,"Thu"),$D112*SUMIFS('Session Tracker'!$J$5:$J$149,'Session Tracker'!$D$5:$D$149,$A112,'Session Tracker'!$F$5:$F$149,"Next week",'Session Tracker'!$G$5:$G$149,"Thu"))</f>
        <v>0</v>
      </c>
      <c r="L112" s="52" t="n">
        <f aca="false">IF($E112="Per class",$D112*COUNTIFS('Session Tracker'!$D$5:$D$149,$A112,'Session Tracker'!$F$5:$F$149,"Next week",'Session Tracker'!$G$5:$G$149,"Fri"),$D112*SUMIFS('Session Tracker'!$J$5:$J$149,'Session Tracker'!$D$5:$D$149,$A112,'Session Tracker'!$F$5:$F$149,"Next week",'Session Tracker'!$G$5:$G$149,"Fri"))</f>
        <v>0</v>
      </c>
      <c r="M112" s="52" t="n">
        <f aca="false">IF($E112="Per class",$D112*COUNTIFS('Session Tracker'!$D$5:$D$149,$A112,'Session Tracker'!$F$5:$F$149,"Next week",'Session Tracker'!$G$5:$G$149,""),$D112*SUMIFS('Session Tracker'!$J$5:$J$149,'Session Tracker'!$D$5:$D$149,$A112,'Session Tracker'!$F$5:$F$149,"Next week",'Session Tracker'!$G$5:$G$149,""))</f>
        <v>0</v>
      </c>
    </row>
    <row r="113" customFormat="false" ht="15" hidden="false" customHeight="false" outlineLevel="0" collapsed="false">
      <c r="A113" s="75" t="s">
        <v>300</v>
      </c>
      <c r="B113" s="34" t="s">
        <v>382</v>
      </c>
      <c r="C113" s="34" t="s">
        <v>383</v>
      </c>
      <c r="D113" s="32" t="n">
        <v>1</v>
      </c>
      <c r="E113" s="32" t="s">
        <v>14</v>
      </c>
      <c r="F113" s="32" t="s">
        <v>368</v>
      </c>
      <c r="G113" s="34"/>
      <c r="H113" s="52" t="n">
        <f aca="false">IF($E113="Per class",$D113*COUNTIFS('Session Tracker'!$D$5:$D$149,$A113,'Session Tracker'!$F$5:$F$149,"Next week",'Session Tracker'!$G$5:$G$149,"Mon"),$D113*SUMIFS('Session Tracker'!$J$5:$J$149,'Session Tracker'!$D$5:$D$149,$A113,'Session Tracker'!$F$5:$F$149,"Next week",'Session Tracker'!$G$5:$G$149,"Mon"))</f>
        <v>0</v>
      </c>
      <c r="I113" s="52" t="n">
        <f aca="false">IF($E113="Per class",$D113*COUNTIFS('Session Tracker'!$D$5:$D$149,$A113,'Session Tracker'!$F$5:$F$149,"Next week",'Session Tracker'!$G$5:$G$149,"Tue"),$D113*SUMIFS('Session Tracker'!$J$5:$J$149,'Session Tracker'!$D$5:$D$149,$A113,'Session Tracker'!$F$5:$F$149,"Next week",'Session Tracker'!$G$5:$G$149,"Tue"))</f>
        <v>0</v>
      </c>
      <c r="J113" s="52" t="n">
        <f aca="false">IF($E113="Per class",$D113*COUNTIFS('Session Tracker'!$D$5:$D$149,$A113,'Session Tracker'!$F$5:$F$149,"Next week",'Session Tracker'!$G$5:$G$149,"Wed"),$D113*SUMIFS('Session Tracker'!$J$5:$J$149,'Session Tracker'!$D$5:$D$149,$A113,'Session Tracker'!$F$5:$F$149,"Next week",'Session Tracker'!$G$5:$G$149,"Wed"))</f>
        <v>0</v>
      </c>
      <c r="K113" s="52" t="n">
        <f aca="false">IF($E113="Per class",$D113*COUNTIFS('Session Tracker'!$D$5:$D$149,$A113,'Session Tracker'!$F$5:$F$149,"Next week",'Session Tracker'!$G$5:$G$149,"Thu"),$D113*SUMIFS('Session Tracker'!$J$5:$J$149,'Session Tracker'!$D$5:$D$149,$A113,'Session Tracker'!$F$5:$F$149,"Next week",'Session Tracker'!$G$5:$G$149,"Thu"))</f>
        <v>0</v>
      </c>
      <c r="L113" s="52" t="n">
        <f aca="false">IF($E113="Per class",$D113*COUNTIFS('Session Tracker'!$D$5:$D$149,$A113,'Session Tracker'!$F$5:$F$149,"Next week",'Session Tracker'!$G$5:$G$149,"Fri"),$D113*SUMIFS('Session Tracker'!$J$5:$J$149,'Session Tracker'!$D$5:$D$149,$A113,'Session Tracker'!$F$5:$F$149,"Next week",'Session Tracker'!$G$5:$G$149,"Fri"))</f>
        <v>0</v>
      </c>
      <c r="M113" s="52" t="n">
        <f aca="false">IF($E113="Per class",$D113*COUNTIFS('Session Tracker'!$D$5:$D$149,$A113,'Session Tracker'!$F$5:$F$149,"Next week",'Session Tracker'!$G$5:$G$149,""),$D113*SUMIFS('Session Tracker'!$J$5:$J$149,'Session Tracker'!$D$5:$D$149,$A113,'Session Tracker'!$F$5:$F$149,"Next week",'Session Tracker'!$G$5:$G$149,""))</f>
        <v>0</v>
      </c>
    </row>
    <row r="114" customFormat="false" ht="15" hidden="false" customHeight="false" outlineLevel="0" collapsed="false">
      <c r="A114" s="53" t="s">
        <v>300</v>
      </c>
      <c r="B114" s="54"/>
      <c r="C114" s="54"/>
      <c r="D114" s="54"/>
      <c r="E114" s="54"/>
      <c r="F114" s="54"/>
      <c r="G114" s="54"/>
      <c r="H114" s="52" t="n">
        <f aca="false">IF($E114="Per class",$D114*COUNTIFS('Session Tracker'!$D$5:$D$149,$A114,'Session Tracker'!$F$5:$F$149,"Next week",'Session Tracker'!$G$5:$G$149,"Mon"),$D114*SUMIFS('Session Tracker'!$J$5:$J$149,'Session Tracker'!$D$5:$D$149,$A114,'Session Tracker'!$F$5:$F$149,"Next week",'Session Tracker'!$G$5:$G$149,"Mon"))</f>
        <v>0</v>
      </c>
      <c r="I114" s="52" t="n">
        <f aca="false">IF($E114="Per class",$D114*COUNTIFS('Session Tracker'!$D$5:$D$149,$A114,'Session Tracker'!$F$5:$F$149,"Next week",'Session Tracker'!$G$5:$G$149,"Tue"),$D114*SUMIFS('Session Tracker'!$J$5:$J$149,'Session Tracker'!$D$5:$D$149,$A114,'Session Tracker'!$F$5:$F$149,"Next week",'Session Tracker'!$G$5:$G$149,"Tue"))</f>
        <v>0</v>
      </c>
      <c r="J114" s="52" t="n">
        <f aca="false">IF($E114="Per class",$D114*COUNTIFS('Session Tracker'!$D$5:$D$149,$A114,'Session Tracker'!$F$5:$F$149,"Next week",'Session Tracker'!$G$5:$G$149,"Wed"),$D114*SUMIFS('Session Tracker'!$J$5:$J$149,'Session Tracker'!$D$5:$D$149,$A114,'Session Tracker'!$F$5:$F$149,"Next week",'Session Tracker'!$G$5:$G$149,"Wed"))</f>
        <v>0</v>
      </c>
      <c r="K114" s="52" t="n">
        <f aca="false">IF($E114="Per class",$D114*COUNTIFS('Session Tracker'!$D$5:$D$149,$A114,'Session Tracker'!$F$5:$F$149,"Next week",'Session Tracker'!$G$5:$G$149,"Thu"),$D114*SUMIFS('Session Tracker'!$J$5:$J$149,'Session Tracker'!$D$5:$D$149,$A114,'Session Tracker'!$F$5:$F$149,"Next week",'Session Tracker'!$G$5:$G$149,"Thu"))</f>
        <v>0</v>
      </c>
      <c r="L114" s="52" t="n">
        <f aca="false">IF($E114="Per class",$D114*COUNTIFS('Session Tracker'!$D$5:$D$149,$A114,'Session Tracker'!$F$5:$F$149,"Next week",'Session Tracker'!$G$5:$G$149,"Fri"),$D114*SUMIFS('Session Tracker'!$J$5:$J$149,'Session Tracker'!$D$5:$D$149,$A114,'Session Tracker'!$F$5:$F$149,"Next week",'Session Tracker'!$G$5:$G$149,"Fri"))</f>
        <v>0</v>
      </c>
      <c r="M114" s="52" t="n">
        <f aca="false">IF($E114="Per class",$D114*COUNTIFS('Session Tracker'!$D$5:$D$149,$A114,'Session Tracker'!$F$5:$F$149,"Next week",'Session Tracker'!$G$5:$G$149,""),$D114*SUMIFS('Session Tracker'!$J$5:$J$149,'Session Tracker'!$D$5:$D$149,$A114,'Session Tracker'!$F$5:$F$149,"Next week",'Session Tracker'!$G$5:$G$149,""))</f>
        <v>0</v>
      </c>
    </row>
    <row r="115" customFormat="false" ht="15" hidden="false" customHeight="false" outlineLevel="0" collapsed="false">
      <c r="A115" s="53" t="s">
        <v>300</v>
      </c>
      <c r="B115" s="54"/>
      <c r="C115" s="54"/>
      <c r="D115" s="54"/>
      <c r="E115" s="54"/>
      <c r="F115" s="54"/>
      <c r="G115" s="54"/>
      <c r="H115" s="52" t="n">
        <f aca="false">IF($E115="Per class",$D115*COUNTIFS('Session Tracker'!$D$5:$D$149,$A115,'Session Tracker'!$F$5:$F$149,"Next week",'Session Tracker'!$G$5:$G$149,"Mon"),$D115*SUMIFS('Session Tracker'!$J$5:$J$149,'Session Tracker'!$D$5:$D$149,$A115,'Session Tracker'!$F$5:$F$149,"Next week",'Session Tracker'!$G$5:$G$149,"Mon"))</f>
        <v>0</v>
      </c>
      <c r="I115" s="52" t="n">
        <f aca="false">IF($E115="Per class",$D115*COUNTIFS('Session Tracker'!$D$5:$D$149,$A115,'Session Tracker'!$F$5:$F$149,"Next week",'Session Tracker'!$G$5:$G$149,"Tue"),$D115*SUMIFS('Session Tracker'!$J$5:$J$149,'Session Tracker'!$D$5:$D$149,$A115,'Session Tracker'!$F$5:$F$149,"Next week",'Session Tracker'!$G$5:$G$149,"Tue"))</f>
        <v>0</v>
      </c>
      <c r="J115" s="52" t="n">
        <f aca="false">IF($E115="Per class",$D115*COUNTIFS('Session Tracker'!$D$5:$D$149,$A115,'Session Tracker'!$F$5:$F$149,"Next week",'Session Tracker'!$G$5:$G$149,"Wed"),$D115*SUMIFS('Session Tracker'!$J$5:$J$149,'Session Tracker'!$D$5:$D$149,$A115,'Session Tracker'!$F$5:$F$149,"Next week",'Session Tracker'!$G$5:$G$149,"Wed"))</f>
        <v>0</v>
      </c>
      <c r="K115" s="52" t="n">
        <f aca="false">IF($E115="Per class",$D115*COUNTIFS('Session Tracker'!$D$5:$D$149,$A115,'Session Tracker'!$F$5:$F$149,"Next week",'Session Tracker'!$G$5:$G$149,"Thu"),$D115*SUMIFS('Session Tracker'!$J$5:$J$149,'Session Tracker'!$D$5:$D$149,$A115,'Session Tracker'!$F$5:$F$149,"Next week",'Session Tracker'!$G$5:$G$149,"Thu"))</f>
        <v>0</v>
      </c>
      <c r="L115" s="52" t="n">
        <f aca="false">IF($E115="Per class",$D115*COUNTIFS('Session Tracker'!$D$5:$D$149,$A115,'Session Tracker'!$F$5:$F$149,"Next week",'Session Tracker'!$G$5:$G$149,"Fri"),$D115*SUMIFS('Session Tracker'!$J$5:$J$149,'Session Tracker'!$D$5:$D$149,$A115,'Session Tracker'!$F$5:$F$149,"Next week",'Session Tracker'!$G$5:$G$149,"Fri"))</f>
        <v>0</v>
      </c>
      <c r="M115" s="52" t="n">
        <f aca="false">IF($E115="Per class",$D115*COUNTIFS('Session Tracker'!$D$5:$D$149,$A115,'Session Tracker'!$F$5:$F$149,"Next week",'Session Tracker'!$G$5:$G$149,""),$D115*SUMIFS('Session Tracker'!$J$5:$J$149,'Session Tracker'!$D$5:$D$149,$A115,'Session Tracker'!$F$5:$F$149,"Next week",'Session Tracker'!$G$5:$G$149,""))</f>
        <v>0</v>
      </c>
    </row>
    <row r="117" customFormat="false" ht="19.5" hidden="false" customHeight="true" outlineLevel="0" collapsed="false">
      <c r="A117" s="71" t="s">
        <v>302</v>
      </c>
      <c r="B117" s="72" t="s">
        <v>666</v>
      </c>
      <c r="C117" s="72"/>
      <c r="D117" s="72"/>
      <c r="E117" s="72"/>
      <c r="F117" s="73" t="str">
        <f aca="false">"Status: "&amp;'Session Tracker'!F122&amp;IF('Session Tracker'!G122&lt;&gt;""," ("&amp;'Session Tracker'!G122&amp;")","")</f>
        <v>Status: Not started</v>
      </c>
      <c r="G117" s="73"/>
      <c r="H117" s="74"/>
      <c r="I117" s="74"/>
      <c r="J117" s="74"/>
      <c r="K117" s="74"/>
      <c r="L117" s="74"/>
      <c r="M117" s="74"/>
    </row>
    <row r="118" customFormat="false" ht="23.85" hidden="false" customHeight="false" outlineLevel="0" collapsed="false">
      <c r="A118" s="75" t="s">
        <v>302</v>
      </c>
      <c r="B118" s="34" t="s">
        <v>366</v>
      </c>
      <c r="C118" s="34" t="s">
        <v>391</v>
      </c>
      <c r="D118" s="32" t="n">
        <v>4</v>
      </c>
      <c r="E118" s="32" t="s">
        <v>14</v>
      </c>
      <c r="F118" s="32" t="s">
        <v>368</v>
      </c>
      <c r="G118" s="34" t="s">
        <v>667</v>
      </c>
      <c r="H118" s="52" t="n">
        <f aca="false">IF($E118="Per class",$D118*COUNTIFS('Session Tracker'!$D$5:$D$149,$A118,'Session Tracker'!$F$5:$F$149,"Next week",'Session Tracker'!$G$5:$G$149,"Mon"),$D118*SUMIFS('Session Tracker'!$J$5:$J$149,'Session Tracker'!$D$5:$D$149,$A118,'Session Tracker'!$F$5:$F$149,"Next week",'Session Tracker'!$G$5:$G$149,"Mon"))</f>
        <v>0</v>
      </c>
      <c r="I118" s="52" t="n">
        <f aca="false">IF($E118="Per class",$D118*COUNTIFS('Session Tracker'!$D$5:$D$149,$A118,'Session Tracker'!$F$5:$F$149,"Next week",'Session Tracker'!$G$5:$G$149,"Tue"),$D118*SUMIFS('Session Tracker'!$J$5:$J$149,'Session Tracker'!$D$5:$D$149,$A118,'Session Tracker'!$F$5:$F$149,"Next week",'Session Tracker'!$G$5:$G$149,"Tue"))</f>
        <v>0</v>
      </c>
      <c r="J118" s="52" t="n">
        <f aca="false">IF($E118="Per class",$D118*COUNTIFS('Session Tracker'!$D$5:$D$149,$A118,'Session Tracker'!$F$5:$F$149,"Next week",'Session Tracker'!$G$5:$G$149,"Wed"),$D118*SUMIFS('Session Tracker'!$J$5:$J$149,'Session Tracker'!$D$5:$D$149,$A118,'Session Tracker'!$F$5:$F$149,"Next week",'Session Tracker'!$G$5:$G$149,"Wed"))</f>
        <v>0</v>
      </c>
      <c r="K118" s="52" t="n">
        <f aca="false">IF($E118="Per class",$D118*COUNTIFS('Session Tracker'!$D$5:$D$149,$A118,'Session Tracker'!$F$5:$F$149,"Next week",'Session Tracker'!$G$5:$G$149,"Thu"),$D118*SUMIFS('Session Tracker'!$J$5:$J$149,'Session Tracker'!$D$5:$D$149,$A118,'Session Tracker'!$F$5:$F$149,"Next week",'Session Tracker'!$G$5:$G$149,"Thu"))</f>
        <v>0</v>
      </c>
      <c r="L118" s="52" t="n">
        <f aca="false">IF($E118="Per class",$D118*COUNTIFS('Session Tracker'!$D$5:$D$149,$A118,'Session Tracker'!$F$5:$F$149,"Next week",'Session Tracker'!$G$5:$G$149,"Fri"),$D118*SUMIFS('Session Tracker'!$J$5:$J$149,'Session Tracker'!$D$5:$D$149,$A118,'Session Tracker'!$F$5:$F$149,"Next week",'Session Tracker'!$G$5:$G$149,"Fri"))</f>
        <v>0</v>
      </c>
      <c r="M118" s="52" t="n">
        <f aca="false">IF($E118="Per class",$D118*COUNTIFS('Session Tracker'!$D$5:$D$149,$A118,'Session Tracker'!$F$5:$F$149,"Next week",'Session Tracker'!$G$5:$G$149,""),$D118*SUMIFS('Session Tracker'!$J$5:$J$149,'Session Tracker'!$D$5:$D$149,$A118,'Session Tracker'!$F$5:$F$149,"Next week",'Session Tracker'!$G$5:$G$149,""))</f>
        <v>0</v>
      </c>
    </row>
    <row r="119" customFormat="false" ht="15" hidden="false" customHeight="false" outlineLevel="0" collapsed="false">
      <c r="A119" s="75" t="s">
        <v>302</v>
      </c>
      <c r="B119" s="34" t="s">
        <v>369</v>
      </c>
      <c r="C119" s="34" t="s">
        <v>430</v>
      </c>
      <c r="D119" s="32" t="n">
        <v>1</v>
      </c>
      <c r="E119" s="32" t="s">
        <v>14</v>
      </c>
      <c r="F119" s="32" t="s">
        <v>368</v>
      </c>
      <c r="G119" s="34"/>
      <c r="H119" s="52" t="n">
        <f aca="false">IF($E119="Per class",$D119*COUNTIFS('Session Tracker'!$D$5:$D$149,$A119,'Session Tracker'!$F$5:$F$149,"Next week",'Session Tracker'!$G$5:$G$149,"Mon"),$D119*SUMIFS('Session Tracker'!$J$5:$J$149,'Session Tracker'!$D$5:$D$149,$A119,'Session Tracker'!$F$5:$F$149,"Next week",'Session Tracker'!$G$5:$G$149,"Mon"))</f>
        <v>0</v>
      </c>
      <c r="I119" s="52" t="n">
        <f aca="false">IF($E119="Per class",$D119*COUNTIFS('Session Tracker'!$D$5:$D$149,$A119,'Session Tracker'!$F$5:$F$149,"Next week",'Session Tracker'!$G$5:$G$149,"Tue"),$D119*SUMIFS('Session Tracker'!$J$5:$J$149,'Session Tracker'!$D$5:$D$149,$A119,'Session Tracker'!$F$5:$F$149,"Next week",'Session Tracker'!$G$5:$G$149,"Tue"))</f>
        <v>0</v>
      </c>
      <c r="J119" s="52" t="n">
        <f aca="false">IF($E119="Per class",$D119*COUNTIFS('Session Tracker'!$D$5:$D$149,$A119,'Session Tracker'!$F$5:$F$149,"Next week",'Session Tracker'!$G$5:$G$149,"Wed"),$D119*SUMIFS('Session Tracker'!$J$5:$J$149,'Session Tracker'!$D$5:$D$149,$A119,'Session Tracker'!$F$5:$F$149,"Next week",'Session Tracker'!$G$5:$G$149,"Wed"))</f>
        <v>0</v>
      </c>
      <c r="K119" s="52" t="n">
        <f aca="false">IF($E119="Per class",$D119*COUNTIFS('Session Tracker'!$D$5:$D$149,$A119,'Session Tracker'!$F$5:$F$149,"Next week",'Session Tracker'!$G$5:$G$149,"Thu"),$D119*SUMIFS('Session Tracker'!$J$5:$J$149,'Session Tracker'!$D$5:$D$149,$A119,'Session Tracker'!$F$5:$F$149,"Next week",'Session Tracker'!$G$5:$G$149,"Thu"))</f>
        <v>0</v>
      </c>
      <c r="L119" s="52" t="n">
        <f aca="false">IF($E119="Per class",$D119*COUNTIFS('Session Tracker'!$D$5:$D$149,$A119,'Session Tracker'!$F$5:$F$149,"Next week",'Session Tracker'!$G$5:$G$149,"Fri"),$D119*SUMIFS('Session Tracker'!$J$5:$J$149,'Session Tracker'!$D$5:$D$149,$A119,'Session Tracker'!$F$5:$F$149,"Next week",'Session Tracker'!$G$5:$G$149,"Fri"))</f>
        <v>0</v>
      </c>
      <c r="M119" s="52" t="n">
        <f aca="false">IF($E119="Per class",$D119*COUNTIFS('Session Tracker'!$D$5:$D$149,$A119,'Session Tracker'!$F$5:$F$149,"Next week",'Session Tracker'!$G$5:$G$149,""),$D119*SUMIFS('Session Tracker'!$J$5:$J$149,'Session Tracker'!$D$5:$D$149,$A119,'Session Tracker'!$F$5:$F$149,"Next week",'Session Tracker'!$G$5:$G$149,""))</f>
        <v>0</v>
      </c>
    </row>
    <row r="120" customFormat="false" ht="15" hidden="false" customHeight="false" outlineLevel="0" collapsed="false">
      <c r="A120" s="75" t="s">
        <v>302</v>
      </c>
      <c r="B120" s="34" t="s">
        <v>369</v>
      </c>
      <c r="C120" s="34" t="s">
        <v>428</v>
      </c>
      <c r="D120" s="32" t="n">
        <v>1</v>
      </c>
      <c r="E120" s="32" t="s">
        <v>14</v>
      </c>
      <c r="F120" s="32" t="s">
        <v>368</v>
      </c>
      <c r="G120" s="34"/>
      <c r="H120" s="52" t="n">
        <f aca="false">IF($E120="Per class",$D120*COUNTIFS('Session Tracker'!$D$5:$D$149,$A120,'Session Tracker'!$F$5:$F$149,"Next week",'Session Tracker'!$G$5:$G$149,"Mon"),$D120*SUMIFS('Session Tracker'!$J$5:$J$149,'Session Tracker'!$D$5:$D$149,$A120,'Session Tracker'!$F$5:$F$149,"Next week",'Session Tracker'!$G$5:$G$149,"Mon"))</f>
        <v>0</v>
      </c>
      <c r="I120" s="52" t="n">
        <f aca="false">IF($E120="Per class",$D120*COUNTIFS('Session Tracker'!$D$5:$D$149,$A120,'Session Tracker'!$F$5:$F$149,"Next week",'Session Tracker'!$G$5:$G$149,"Tue"),$D120*SUMIFS('Session Tracker'!$J$5:$J$149,'Session Tracker'!$D$5:$D$149,$A120,'Session Tracker'!$F$5:$F$149,"Next week",'Session Tracker'!$G$5:$G$149,"Tue"))</f>
        <v>0</v>
      </c>
      <c r="J120" s="52" t="n">
        <f aca="false">IF($E120="Per class",$D120*COUNTIFS('Session Tracker'!$D$5:$D$149,$A120,'Session Tracker'!$F$5:$F$149,"Next week",'Session Tracker'!$G$5:$G$149,"Wed"),$D120*SUMIFS('Session Tracker'!$J$5:$J$149,'Session Tracker'!$D$5:$D$149,$A120,'Session Tracker'!$F$5:$F$149,"Next week",'Session Tracker'!$G$5:$G$149,"Wed"))</f>
        <v>0</v>
      </c>
      <c r="K120" s="52" t="n">
        <f aca="false">IF($E120="Per class",$D120*COUNTIFS('Session Tracker'!$D$5:$D$149,$A120,'Session Tracker'!$F$5:$F$149,"Next week",'Session Tracker'!$G$5:$G$149,"Thu"),$D120*SUMIFS('Session Tracker'!$J$5:$J$149,'Session Tracker'!$D$5:$D$149,$A120,'Session Tracker'!$F$5:$F$149,"Next week",'Session Tracker'!$G$5:$G$149,"Thu"))</f>
        <v>0</v>
      </c>
      <c r="L120" s="52" t="n">
        <f aca="false">IF($E120="Per class",$D120*COUNTIFS('Session Tracker'!$D$5:$D$149,$A120,'Session Tracker'!$F$5:$F$149,"Next week",'Session Tracker'!$G$5:$G$149,"Fri"),$D120*SUMIFS('Session Tracker'!$J$5:$J$149,'Session Tracker'!$D$5:$D$149,$A120,'Session Tracker'!$F$5:$F$149,"Next week",'Session Tracker'!$G$5:$G$149,"Fri"))</f>
        <v>0</v>
      </c>
      <c r="M120" s="52" t="n">
        <f aca="false">IF($E120="Per class",$D120*COUNTIFS('Session Tracker'!$D$5:$D$149,$A120,'Session Tracker'!$F$5:$F$149,"Next week",'Session Tracker'!$G$5:$G$149,""),$D120*SUMIFS('Session Tracker'!$J$5:$J$149,'Session Tracker'!$D$5:$D$149,$A120,'Session Tracker'!$F$5:$F$149,"Next week",'Session Tracker'!$G$5:$G$149,""))</f>
        <v>0</v>
      </c>
    </row>
    <row r="121" customFormat="false" ht="15" hidden="false" customHeight="false" outlineLevel="0" collapsed="false">
      <c r="A121" s="75" t="s">
        <v>302</v>
      </c>
      <c r="B121" s="34" t="s">
        <v>369</v>
      </c>
      <c r="C121" s="34" t="s">
        <v>563</v>
      </c>
      <c r="D121" s="32" t="n">
        <v>1</v>
      </c>
      <c r="E121" s="32" t="s">
        <v>14</v>
      </c>
      <c r="F121" s="32" t="s">
        <v>368</v>
      </c>
      <c r="G121" s="34"/>
      <c r="H121" s="52" t="n">
        <f aca="false">IF($E121="Per class",$D121*COUNTIFS('Session Tracker'!$D$5:$D$149,$A121,'Session Tracker'!$F$5:$F$149,"Next week",'Session Tracker'!$G$5:$G$149,"Mon"),$D121*SUMIFS('Session Tracker'!$J$5:$J$149,'Session Tracker'!$D$5:$D$149,$A121,'Session Tracker'!$F$5:$F$149,"Next week",'Session Tracker'!$G$5:$G$149,"Mon"))</f>
        <v>0</v>
      </c>
      <c r="I121" s="52" t="n">
        <f aca="false">IF($E121="Per class",$D121*COUNTIFS('Session Tracker'!$D$5:$D$149,$A121,'Session Tracker'!$F$5:$F$149,"Next week",'Session Tracker'!$G$5:$G$149,"Tue"),$D121*SUMIFS('Session Tracker'!$J$5:$J$149,'Session Tracker'!$D$5:$D$149,$A121,'Session Tracker'!$F$5:$F$149,"Next week",'Session Tracker'!$G$5:$G$149,"Tue"))</f>
        <v>0</v>
      </c>
      <c r="J121" s="52" t="n">
        <f aca="false">IF($E121="Per class",$D121*COUNTIFS('Session Tracker'!$D$5:$D$149,$A121,'Session Tracker'!$F$5:$F$149,"Next week",'Session Tracker'!$G$5:$G$149,"Wed"),$D121*SUMIFS('Session Tracker'!$J$5:$J$149,'Session Tracker'!$D$5:$D$149,$A121,'Session Tracker'!$F$5:$F$149,"Next week",'Session Tracker'!$G$5:$G$149,"Wed"))</f>
        <v>0</v>
      </c>
      <c r="K121" s="52" t="n">
        <f aca="false">IF($E121="Per class",$D121*COUNTIFS('Session Tracker'!$D$5:$D$149,$A121,'Session Tracker'!$F$5:$F$149,"Next week",'Session Tracker'!$G$5:$G$149,"Thu"),$D121*SUMIFS('Session Tracker'!$J$5:$J$149,'Session Tracker'!$D$5:$D$149,$A121,'Session Tracker'!$F$5:$F$149,"Next week",'Session Tracker'!$G$5:$G$149,"Thu"))</f>
        <v>0</v>
      </c>
      <c r="L121" s="52" t="n">
        <f aca="false">IF($E121="Per class",$D121*COUNTIFS('Session Tracker'!$D$5:$D$149,$A121,'Session Tracker'!$F$5:$F$149,"Next week",'Session Tracker'!$G$5:$G$149,"Fri"),$D121*SUMIFS('Session Tracker'!$J$5:$J$149,'Session Tracker'!$D$5:$D$149,$A121,'Session Tracker'!$F$5:$F$149,"Next week",'Session Tracker'!$G$5:$G$149,"Fri"))</f>
        <v>0</v>
      </c>
      <c r="M121" s="52" t="n">
        <f aca="false">IF($E121="Per class",$D121*COUNTIFS('Session Tracker'!$D$5:$D$149,$A121,'Session Tracker'!$F$5:$F$149,"Next week",'Session Tracker'!$G$5:$G$149,""),$D121*SUMIFS('Session Tracker'!$J$5:$J$149,'Session Tracker'!$D$5:$D$149,$A121,'Session Tracker'!$F$5:$F$149,"Next week",'Session Tracker'!$G$5:$G$149,""))</f>
        <v>0</v>
      </c>
    </row>
    <row r="122" customFormat="false" ht="15" hidden="false" customHeight="false" outlineLevel="0" collapsed="false">
      <c r="A122" s="75" t="s">
        <v>302</v>
      </c>
      <c r="B122" s="34" t="s">
        <v>371</v>
      </c>
      <c r="C122" s="34" t="s">
        <v>517</v>
      </c>
      <c r="D122" s="32" t="n">
        <v>1</v>
      </c>
      <c r="E122" s="32" t="s">
        <v>14</v>
      </c>
      <c r="F122" s="32" t="s">
        <v>368</v>
      </c>
      <c r="G122" s="34"/>
      <c r="H122" s="52" t="n">
        <f aca="false">IF($E122="Per class",$D122*COUNTIFS('Session Tracker'!$D$5:$D$149,$A122,'Session Tracker'!$F$5:$F$149,"Next week",'Session Tracker'!$G$5:$G$149,"Mon"),$D122*SUMIFS('Session Tracker'!$J$5:$J$149,'Session Tracker'!$D$5:$D$149,$A122,'Session Tracker'!$F$5:$F$149,"Next week",'Session Tracker'!$G$5:$G$149,"Mon"))</f>
        <v>0</v>
      </c>
      <c r="I122" s="52" t="n">
        <f aca="false">IF($E122="Per class",$D122*COUNTIFS('Session Tracker'!$D$5:$D$149,$A122,'Session Tracker'!$F$5:$F$149,"Next week",'Session Tracker'!$G$5:$G$149,"Tue"),$D122*SUMIFS('Session Tracker'!$J$5:$J$149,'Session Tracker'!$D$5:$D$149,$A122,'Session Tracker'!$F$5:$F$149,"Next week",'Session Tracker'!$G$5:$G$149,"Tue"))</f>
        <v>0</v>
      </c>
      <c r="J122" s="52" t="n">
        <f aca="false">IF($E122="Per class",$D122*COUNTIFS('Session Tracker'!$D$5:$D$149,$A122,'Session Tracker'!$F$5:$F$149,"Next week",'Session Tracker'!$G$5:$G$149,"Wed"),$D122*SUMIFS('Session Tracker'!$J$5:$J$149,'Session Tracker'!$D$5:$D$149,$A122,'Session Tracker'!$F$5:$F$149,"Next week",'Session Tracker'!$G$5:$G$149,"Wed"))</f>
        <v>0</v>
      </c>
      <c r="K122" s="52" t="n">
        <f aca="false">IF($E122="Per class",$D122*COUNTIFS('Session Tracker'!$D$5:$D$149,$A122,'Session Tracker'!$F$5:$F$149,"Next week",'Session Tracker'!$G$5:$G$149,"Thu"),$D122*SUMIFS('Session Tracker'!$J$5:$J$149,'Session Tracker'!$D$5:$D$149,$A122,'Session Tracker'!$F$5:$F$149,"Next week",'Session Tracker'!$G$5:$G$149,"Thu"))</f>
        <v>0</v>
      </c>
      <c r="L122" s="52" t="n">
        <f aca="false">IF($E122="Per class",$D122*COUNTIFS('Session Tracker'!$D$5:$D$149,$A122,'Session Tracker'!$F$5:$F$149,"Next week",'Session Tracker'!$G$5:$G$149,"Fri"),$D122*SUMIFS('Session Tracker'!$J$5:$J$149,'Session Tracker'!$D$5:$D$149,$A122,'Session Tracker'!$F$5:$F$149,"Next week",'Session Tracker'!$G$5:$G$149,"Fri"))</f>
        <v>0</v>
      </c>
      <c r="M122" s="52" t="n">
        <f aca="false">IF($E122="Per class",$D122*COUNTIFS('Session Tracker'!$D$5:$D$149,$A122,'Session Tracker'!$F$5:$F$149,"Next week",'Session Tracker'!$G$5:$G$149,""),$D122*SUMIFS('Session Tracker'!$J$5:$J$149,'Session Tracker'!$D$5:$D$149,$A122,'Session Tracker'!$F$5:$F$149,"Next week",'Session Tracker'!$G$5:$G$149,""))</f>
        <v>0</v>
      </c>
    </row>
    <row r="123" customFormat="false" ht="15" hidden="false" customHeight="false" outlineLevel="0" collapsed="false">
      <c r="A123" s="75" t="s">
        <v>302</v>
      </c>
      <c r="B123" s="34" t="s">
        <v>379</v>
      </c>
      <c r="C123" s="34" t="s">
        <v>380</v>
      </c>
      <c r="D123" s="32" t="n">
        <v>4</v>
      </c>
      <c r="E123" s="32" t="s">
        <v>14</v>
      </c>
      <c r="F123" s="32" t="s">
        <v>368</v>
      </c>
      <c r="G123" s="34"/>
      <c r="H123" s="52" t="n">
        <f aca="false">IF($E123="Per class",$D123*COUNTIFS('Session Tracker'!$D$5:$D$149,$A123,'Session Tracker'!$F$5:$F$149,"Next week",'Session Tracker'!$G$5:$G$149,"Mon"),$D123*SUMIFS('Session Tracker'!$J$5:$J$149,'Session Tracker'!$D$5:$D$149,$A123,'Session Tracker'!$F$5:$F$149,"Next week",'Session Tracker'!$G$5:$G$149,"Mon"))</f>
        <v>0</v>
      </c>
      <c r="I123" s="52" t="n">
        <f aca="false">IF($E123="Per class",$D123*COUNTIFS('Session Tracker'!$D$5:$D$149,$A123,'Session Tracker'!$F$5:$F$149,"Next week",'Session Tracker'!$G$5:$G$149,"Tue"),$D123*SUMIFS('Session Tracker'!$J$5:$J$149,'Session Tracker'!$D$5:$D$149,$A123,'Session Tracker'!$F$5:$F$149,"Next week",'Session Tracker'!$G$5:$G$149,"Tue"))</f>
        <v>0</v>
      </c>
      <c r="J123" s="52" t="n">
        <f aca="false">IF($E123="Per class",$D123*COUNTIFS('Session Tracker'!$D$5:$D$149,$A123,'Session Tracker'!$F$5:$F$149,"Next week",'Session Tracker'!$G$5:$G$149,"Wed"),$D123*SUMIFS('Session Tracker'!$J$5:$J$149,'Session Tracker'!$D$5:$D$149,$A123,'Session Tracker'!$F$5:$F$149,"Next week",'Session Tracker'!$G$5:$G$149,"Wed"))</f>
        <v>0</v>
      </c>
      <c r="K123" s="52" t="n">
        <f aca="false">IF($E123="Per class",$D123*COUNTIFS('Session Tracker'!$D$5:$D$149,$A123,'Session Tracker'!$F$5:$F$149,"Next week",'Session Tracker'!$G$5:$G$149,"Thu"),$D123*SUMIFS('Session Tracker'!$J$5:$J$149,'Session Tracker'!$D$5:$D$149,$A123,'Session Tracker'!$F$5:$F$149,"Next week",'Session Tracker'!$G$5:$G$149,"Thu"))</f>
        <v>0</v>
      </c>
      <c r="L123" s="52" t="n">
        <f aca="false">IF($E123="Per class",$D123*COUNTIFS('Session Tracker'!$D$5:$D$149,$A123,'Session Tracker'!$F$5:$F$149,"Next week",'Session Tracker'!$G$5:$G$149,"Fri"),$D123*SUMIFS('Session Tracker'!$J$5:$J$149,'Session Tracker'!$D$5:$D$149,$A123,'Session Tracker'!$F$5:$F$149,"Next week",'Session Tracker'!$G$5:$G$149,"Fri"))</f>
        <v>0</v>
      </c>
      <c r="M123" s="52" t="n">
        <f aca="false">IF($E123="Per class",$D123*COUNTIFS('Session Tracker'!$D$5:$D$149,$A123,'Session Tracker'!$F$5:$F$149,"Next week",'Session Tracker'!$G$5:$G$149,""),$D123*SUMIFS('Session Tracker'!$J$5:$J$149,'Session Tracker'!$D$5:$D$149,$A123,'Session Tracker'!$F$5:$F$149,"Next week",'Session Tracker'!$G$5:$G$149,""))</f>
        <v>0</v>
      </c>
    </row>
    <row r="124" customFormat="false" ht="15" hidden="false" customHeight="false" outlineLevel="0" collapsed="false">
      <c r="A124" s="75" t="s">
        <v>302</v>
      </c>
      <c r="B124" s="34" t="s">
        <v>379</v>
      </c>
      <c r="C124" s="34" t="s">
        <v>381</v>
      </c>
      <c r="D124" s="32" t="n">
        <v>16</v>
      </c>
      <c r="E124" s="32" t="s">
        <v>14</v>
      </c>
      <c r="F124" s="32" t="s">
        <v>368</v>
      </c>
      <c r="G124" s="34"/>
      <c r="H124" s="52" t="n">
        <f aca="false">IF($E124="Per class",$D124*COUNTIFS('Session Tracker'!$D$5:$D$149,$A124,'Session Tracker'!$F$5:$F$149,"Next week",'Session Tracker'!$G$5:$G$149,"Mon"),$D124*SUMIFS('Session Tracker'!$J$5:$J$149,'Session Tracker'!$D$5:$D$149,$A124,'Session Tracker'!$F$5:$F$149,"Next week",'Session Tracker'!$G$5:$G$149,"Mon"))</f>
        <v>0</v>
      </c>
      <c r="I124" s="52" t="n">
        <f aca="false">IF($E124="Per class",$D124*COUNTIFS('Session Tracker'!$D$5:$D$149,$A124,'Session Tracker'!$F$5:$F$149,"Next week",'Session Tracker'!$G$5:$G$149,"Tue"),$D124*SUMIFS('Session Tracker'!$J$5:$J$149,'Session Tracker'!$D$5:$D$149,$A124,'Session Tracker'!$F$5:$F$149,"Next week",'Session Tracker'!$G$5:$G$149,"Tue"))</f>
        <v>0</v>
      </c>
      <c r="J124" s="52" t="n">
        <f aca="false">IF($E124="Per class",$D124*COUNTIFS('Session Tracker'!$D$5:$D$149,$A124,'Session Tracker'!$F$5:$F$149,"Next week",'Session Tracker'!$G$5:$G$149,"Wed"),$D124*SUMIFS('Session Tracker'!$J$5:$J$149,'Session Tracker'!$D$5:$D$149,$A124,'Session Tracker'!$F$5:$F$149,"Next week",'Session Tracker'!$G$5:$G$149,"Wed"))</f>
        <v>0</v>
      </c>
      <c r="K124" s="52" t="n">
        <f aca="false">IF($E124="Per class",$D124*COUNTIFS('Session Tracker'!$D$5:$D$149,$A124,'Session Tracker'!$F$5:$F$149,"Next week",'Session Tracker'!$G$5:$G$149,"Thu"),$D124*SUMIFS('Session Tracker'!$J$5:$J$149,'Session Tracker'!$D$5:$D$149,$A124,'Session Tracker'!$F$5:$F$149,"Next week",'Session Tracker'!$G$5:$G$149,"Thu"))</f>
        <v>0</v>
      </c>
      <c r="L124" s="52" t="n">
        <f aca="false">IF($E124="Per class",$D124*COUNTIFS('Session Tracker'!$D$5:$D$149,$A124,'Session Tracker'!$F$5:$F$149,"Next week",'Session Tracker'!$G$5:$G$149,"Fri"),$D124*SUMIFS('Session Tracker'!$J$5:$J$149,'Session Tracker'!$D$5:$D$149,$A124,'Session Tracker'!$F$5:$F$149,"Next week",'Session Tracker'!$G$5:$G$149,"Fri"))</f>
        <v>0</v>
      </c>
      <c r="M124" s="52" t="n">
        <f aca="false">IF($E124="Per class",$D124*COUNTIFS('Session Tracker'!$D$5:$D$149,$A124,'Session Tracker'!$F$5:$F$149,"Next week",'Session Tracker'!$G$5:$G$149,""),$D124*SUMIFS('Session Tracker'!$J$5:$J$149,'Session Tracker'!$D$5:$D$149,$A124,'Session Tracker'!$F$5:$F$149,"Next week",'Session Tracker'!$G$5:$G$149,""))</f>
        <v>0</v>
      </c>
    </row>
    <row r="125" customFormat="false" ht="15" hidden="false" customHeight="false" outlineLevel="0" collapsed="false">
      <c r="A125" s="75" t="s">
        <v>302</v>
      </c>
      <c r="B125" s="34" t="s">
        <v>379</v>
      </c>
      <c r="C125" s="34" t="s">
        <v>395</v>
      </c>
      <c r="D125" s="32" t="n">
        <v>8</v>
      </c>
      <c r="E125" s="32" t="s">
        <v>14</v>
      </c>
      <c r="F125" s="32" t="s">
        <v>368</v>
      </c>
      <c r="G125" s="34"/>
      <c r="H125" s="52" t="n">
        <f aca="false">IF($E125="Per class",$D125*COUNTIFS('Session Tracker'!$D$5:$D$149,$A125,'Session Tracker'!$F$5:$F$149,"Next week",'Session Tracker'!$G$5:$G$149,"Mon"),$D125*SUMIFS('Session Tracker'!$J$5:$J$149,'Session Tracker'!$D$5:$D$149,$A125,'Session Tracker'!$F$5:$F$149,"Next week",'Session Tracker'!$G$5:$G$149,"Mon"))</f>
        <v>0</v>
      </c>
      <c r="I125" s="52" t="n">
        <f aca="false">IF($E125="Per class",$D125*COUNTIFS('Session Tracker'!$D$5:$D$149,$A125,'Session Tracker'!$F$5:$F$149,"Next week",'Session Tracker'!$G$5:$G$149,"Tue"),$D125*SUMIFS('Session Tracker'!$J$5:$J$149,'Session Tracker'!$D$5:$D$149,$A125,'Session Tracker'!$F$5:$F$149,"Next week",'Session Tracker'!$G$5:$G$149,"Tue"))</f>
        <v>0</v>
      </c>
      <c r="J125" s="52" t="n">
        <f aca="false">IF($E125="Per class",$D125*COUNTIFS('Session Tracker'!$D$5:$D$149,$A125,'Session Tracker'!$F$5:$F$149,"Next week",'Session Tracker'!$G$5:$G$149,"Wed"),$D125*SUMIFS('Session Tracker'!$J$5:$J$149,'Session Tracker'!$D$5:$D$149,$A125,'Session Tracker'!$F$5:$F$149,"Next week",'Session Tracker'!$G$5:$G$149,"Wed"))</f>
        <v>0</v>
      </c>
      <c r="K125" s="52" t="n">
        <f aca="false">IF($E125="Per class",$D125*COUNTIFS('Session Tracker'!$D$5:$D$149,$A125,'Session Tracker'!$F$5:$F$149,"Next week",'Session Tracker'!$G$5:$G$149,"Thu"),$D125*SUMIFS('Session Tracker'!$J$5:$J$149,'Session Tracker'!$D$5:$D$149,$A125,'Session Tracker'!$F$5:$F$149,"Next week",'Session Tracker'!$G$5:$G$149,"Thu"))</f>
        <v>0</v>
      </c>
      <c r="L125" s="52" t="n">
        <f aca="false">IF($E125="Per class",$D125*COUNTIFS('Session Tracker'!$D$5:$D$149,$A125,'Session Tracker'!$F$5:$F$149,"Next week",'Session Tracker'!$G$5:$G$149,"Fri"),$D125*SUMIFS('Session Tracker'!$J$5:$J$149,'Session Tracker'!$D$5:$D$149,$A125,'Session Tracker'!$F$5:$F$149,"Next week",'Session Tracker'!$G$5:$G$149,"Fri"))</f>
        <v>0</v>
      </c>
      <c r="M125" s="52" t="n">
        <f aca="false">IF($E125="Per class",$D125*COUNTIFS('Session Tracker'!$D$5:$D$149,$A125,'Session Tracker'!$F$5:$F$149,"Next week",'Session Tracker'!$G$5:$G$149,""),$D125*SUMIFS('Session Tracker'!$J$5:$J$149,'Session Tracker'!$D$5:$D$149,$A125,'Session Tracker'!$F$5:$F$149,"Next week",'Session Tracker'!$G$5:$G$149,""))</f>
        <v>0</v>
      </c>
    </row>
    <row r="126" customFormat="false" ht="15" hidden="false" customHeight="false" outlineLevel="0" collapsed="false">
      <c r="A126" s="75" t="s">
        <v>302</v>
      </c>
      <c r="B126" s="34" t="s">
        <v>382</v>
      </c>
      <c r="C126" s="34" t="s">
        <v>383</v>
      </c>
      <c r="D126" s="32" t="n">
        <v>1</v>
      </c>
      <c r="E126" s="32" t="s">
        <v>14</v>
      </c>
      <c r="F126" s="32" t="s">
        <v>368</v>
      </c>
      <c r="G126" s="34"/>
      <c r="H126" s="52" t="n">
        <f aca="false">IF($E126="Per class",$D126*COUNTIFS('Session Tracker'!$D$5:$D$149,$A126,'Session Tracker'!$F$5:$F$149,"Next week",'Session Tracker'!$G$5:$G$149,"Mon"),$D126*SUMIFS('Session Tracker'!$J$5:$J$149,'Session Tracker'!$D$5:$D$149,$A126,'Session Tracker'!$F$5:$F$149,"Next week",'Session Tracker'!$G$5:$G$149,"Mon"))</f>
        <v>0</v>
      </c>
      <c r="I126" s="52" t="n">
        <f aca="false">IF($E126="Per class",$D126*COUNTIFS('Session Tracker'!$D$5:$D$149,$A126,'Session Tracker'!$F$5:$F$149,"Next week",'Session Tracker'!$G$5:$G$149,"Tue"),$D126*SUMIFS('Session Tracker'!$J$5:$J$149,'Session Tracker'!$D$5:$D$149,$A126,'Session Tracker'!$F$5:$F$149,"Next week",'Session Tracker'!$G$5:$G$149,"Tue"))</f>
        <v>0</v>
      </c>
      <c r="J126" s="52" t="n">
        <f aca="false">IF($E126="Per class",$D126*COUNTIFS('Session Tracker'!$D$5:$D$149,$A126,'Session Tracker'!$F$5:$F$149,"Next week",'Session Tracker'!$G$5:$G$149,"Wed"),$D126*SUMIFS('Session Tracker'!$J$5:$J$149,'Session Tracker'!$D$5:$D$149,$A126,'Session Tracker'!$F$5:$F$149,"Next week",'Session Tracker'!$G$5:$G$149,"Wed"))</f>
        <v>0</v>
      </c>
      <c r="K126" s="52" t="n">
        <f aca="false">IF($E126="Per class",$D126*COUNTIFS('Session Tracker'!$D$5:$D$149,$A126,'Session Tracker'!$F$5:$F$149,"Next week",'Session Tracker'!$G$5:$G$149,"Thu"),$D126*SUMIFS('Session Tracker'!$J$5:$J$149,'Session Tracker'!$D$5:$D$149,$A126,'Session Tracker'!$F$5:$F$149,"Next week",'Session Tracker'!$G$5:$G$149,"Thu"))</f>
        <v>0</v>
      </c>
      <c r="L126" s="52" t="n">
        <f aca="false">IF($E126="Per class",$D126*COUNTIFS('Session Tracker'!$D$5:$D$149,$A126,'Session Tracker'!$F$5:$F$149,"Next week",'Session Tracker'!$G$5:$G$149,"Fri"),$D126*SUMIFS('Session Tracker'!$J$5:$J$149,'Session Tracker'!$D$5:$D$149,$A126,'Session Tracker'!$F$5:$F$149,"Next week",'Session Tracker'!$G$5:$G$149,"Fri"))</f>
        <v>0</v>
      </c>
      <c r="M126" s="52" t="n">
        <f aca="false">IF($E126="Per class",$D126*COUNTIFS('Session Tracker'!$D$5:$D$149,$A126,'Session Tracker'!$F$5:$F$149,"Next week",'Session Tracker'!$G$5:$G$149,""),$D126*SUMIFS('Session Tracker'!$J$5:$J$149,'Session Tracker'!$D$5:$D$149,$A126,'Session Tracker'!$F$5:$F$149,"Next week",'Session Tracker'!$G$5:$G$149,""))</f>
        <v>0</v>
      </c>
    </row>
    <row r="127" customFormat="false" ht="15" hidden="false" customHeight="false" outlineLevel="0" collapsed="false">
      <c r="A127" s="53" t="s">
        <v>302</v>
      </c>
      <c r="B127" s="54"/>
      <c r="C127" s="54"/>
      <c r="D127" s="54"/>
      <c r="E127" s="54"/>
      <c r="F127" s="54"/>
      <c r="G127" s="54"/>
      <c r="H127" s="52" t="n">
        <f aca="false">IF($E127="Per class",$D127*COUNTIFS('Session Tracker'!$D$5:$D$149,$A127,'Session Tracker'!$F$5:$F$149,"Next week",'Session Tracker'!$G$5:$G$149,"Mon"),$D127*SUMIFS('Session Tracker'!$J$5:$J$149,'Session Tracker'!$D$5:$D$149,$A127,'Session Tracker'!$F$5:$F$149,"Next week",'Session Tracker'!$G$5:$G$149,"Mon"))</f>
        <v>0</v>
      </c>
      <c r="I127" s="52" t="n">
        <f aca="false">IF($E127="Per class",$D127*COUNTIFS('Session Tracker'!$D$5:$D$149,$A127,'Session Tracker'!$F$5:$F$149,"Next week",'Session Tracker'!$G$5:$G$149,"Tue"),$D127*SUMIFS('Session Tracker'!$J$5:$J$149,'Session Tracker'!$D$5:$D$149,$A127,'Session Tracker'!$F$5:$F$149,"Next week",'Session Tracker'!$G$5:$G$149,"Tue"))</f>
        <v>0</v>
      </c>
      <c r="J127" s="52" t="n">
        <f aca="false">IF($E127="Per class",$D127*COUNTIFS('Session Tracker'!$D$5:$D$149,$A127,'Session Tracker'!$F$5:$F$149,"Next week",'Session Tracker'!$G$5:$G$149,"Wed"),$D127*SUMIFS('Session Tracker'!$J$5:$J$149,'Session Tracker'!$D$5:$D$149,$A127,'Session Tracker'!$F$5:$F$149,"Next week",'Session Tracker'!$G$5:$G$149,"Wed"))</f>
        <v>0</v>
      </c>
      <c r="K127" s="52" t="n">
        <f aca="false">IF($E127="Per class",$D127*COUNTIFS('Session Tracker'!$D$5:$D$149,$A127,'Session Tracker'!$F$5:$F$149,"Next week",'Session Tracker'!$G$5:$G$149,"Thu"),$D127*SUMIFS('Session Tracker'!$J$5:$J$149,'Session Tracker'!$D$5:$D$149,$A127,'Session Tracker'!$F$5:$F$149,"Next week",'Session Tracker'!$G$5:$G$149,"Thu"))</f>
        <v>0</v>
      </c>
      <c r="L127" s="52" t="n">
        <f aca="false">IF($E127="Per class",$D127*COUNTIFS('Session Tracker'!$D$5:$D$149,$A127,'Session Tracker'!$F$5:$F$149,"Next week",'Session Tracker'!$G$5:$G$149,"Fri"),$D127*SUMIFS('Session Tracker'!$J$5:$J$149,'Session Tracker'!$D$5:$D$149,$A127,'Session Tracker'!$F$5:$F$149,"Next week",'Session Tracker'!$G$5:$G$149,"Fri"))</f>
        <v>0</v>
      </c>
      <c r="M127" s="52" t="n">
        <f aca="false">IF($E127="Per class",$D127*COUNTIFS('Session Tracker'!$D$5:$D$149,$A127,'Session Tracker'!$F$5:$F$149,"Next week",'Session Tracker'!$G$5:$G$149,""),$D127*SUMIFS('Session Tracker'!$J$5:$J$149,'Session Tracker'!$D$5:$D$149,$A127,'Session Tracker'!$F$5:$F$149,"Next week",'Session Tracker'!$G$5:$G$149,""))</f>
        <v>0</v>
      </c>
    </row>
    <row r="128" customFormat="false" ht="15" hidden="false" customHeight="false" outlineLevel="0" collapsed="false">
      <c r="A128" s="53" t="s">
        <v>302</v>
      </c>
      <c r="B128" s="54"/>
      <c r="C128" s="54"/>
      <c r="D128" s="54"/>
      <c r="E128" s="54"/>
      <c r="F128" s="54"/>
      <c r="G128" s="54"/>
      <c r="H128" s="52" t="n">
        <f aca="false">IF($E128="Per class",$D128*COUNTIFS('Session Tracker'!$D$5:$D$149,$A128,'Session Tracker'!$F$5:$F$149,"Next week",'Session Tracker'!$G$5:$G$149,"Mon"),$D128*SUMIFS('Session Tracker'!$J$5:$J$149,'Session Tracker'!$D$5:$D$149,$A128,'Session Tracker'!$F$5:$F$149,"Next week",'Session Tracker'!$G$5:$G$149,"Mon"))</f>
        <v>0</v>
      </c>
      <c r="I128" s="52" t="n">
        <f aca="false">IF($E128="Per class",$D128*COUNTIFS('Session Tracker'!$D$5:$D$149,$A128,'Session Tracker'!$F$5:$F$149,"Next week",'Session Tracker'!$G$5:$G$149,"Tue"),$D128*SUMIFS('Session Tracker'!$J$5:$J$149,'Session Tracker'!$D$5:$D$149,$A128,'Session Tracker'!$F$5:$F$149,"Next week",'Session Tracker'!$G$5:$G$149,"Tue"))</f>
        <v>0</v>
      </c>
      <c r="J128" s="52" t="n">
        <f aca="false">IF($E128="Per class",$D128*COUNTIFS('Session Tracker'!$D$5:$D$149,$A128,'Session Tracker'!$F$5:$F$149,"Next week",'Session Tracker'!$G$5:$G$149,"Wed"),$D128*SUMIFS('Session Tracker'!$J$5:$J$149,'Session Tracker'!$D$5:$D$149,$A128,'Session Tracker'!$F$5:$F$149,"Next week",'Session Tracker'!$G$5:$G$149,"Wed"))</f>
        <v>0</v>
      </c>
      <c r="K128" s="52" t="n">
        <f aca="false">IF($E128="Per class",$D128*COUNTIFS('Session Tracker'!$D$5:$D$149,$A128,'Session Tracker'!$F$5:$F$149,"Next week",'Session Tracker'!$G$5:$G$149,"Thu"),$D128*SUMIFS('Session Tracker'!$J$5:$J$149,'Session Tracker'!$D$5:$D$149,$A128,'Session Tracker'!$F$5:$F$149,"Next week",'Session Tracker'!$G$5:$G$149,"Thu"))</f>
        <v>0</v>
      </c>
      <c r="L128" s="52" t="n">
        <f aca="false">IF($E128="Per class",$D128*COUNTIFS('Session Tracker'!$D$5:$D$149,$A128,'Session Tracker'!$F$5:$F$149,"Next week",'Session Tracker'!$G$5:$G$149,"Fri"),$D128*SUMIFS('Session Tracker'!$J$5:$J$149,'Session Tracker'!$D$5:$D$149,$A128,'Session Tracker'!$F$5:$F$149,"Next week",'Session Tracker'!$G$5:$G$149,"Fri"))</f>
        <v>0</v>
      </c>
      <c r="M128" s="52" t="n">
        <f aca="false">IF($E128="Per class",$D128*COUNTIFS('Session Tracker'!$D$5:$D$149,$A128,'Session Tracker'!$F$5:$F$149,"Next week",'Session Tracker'!$G$5:$G$149,""),$D128*SUMIFS('Session Tracker'!$J$5:$J$149,'Session Tracker'!$D$5:$D$149,$A128,'Session Tracker'!$F$5:$F$149,"Next week",'Session Tracker'!$G$5:$G$149,""))</f>
        <v>0</v>
      </c>
    </row>
    <row r="130" customFormat="false" ht="19.5" hidden="false" customHeight="true" outlineLevel="0" collapsed="false">
      <c r="A130" s="71" t="s">
        <v>304</v>
      </c>
      <c r="B130" s="72" t="s">
        <v>668</v>
      </c>
      <c r="C130" s="72"/>
      <c r="D130" s="72"/>
      <c r="E130" s="72"/>
      <c r="F130" s="73" t="str">
        <f aca="false">"Status: "&amp;'Session Tracker'!F123&amp;IF('Session Tracker'!G123&lt;&gt;""," ("&amp;'Session Tracker'!G123&amp;")","")</f>
        <v>Status: Not started</v>
      </c>
      <c r="G130" s="73"/>
      <c r="H130" s="74"/>
      <c r="I130" s="74"/>
      <c r="J130" s="74"/>
      <c r="K130" s="74"/>
      <c r="L130" s="74"/>
      <c r="M130" s="74"/>
    </row>
    <row r="131" customFormat="false" ht="23.85" hidden="false" customHeight="false" outlineLevel="0" collapsed="false">
      <c r="A131" s="75" t="s">
        <v>304</v>
      </c>
      <c r="B131" s="34" t="s">
        <v>366</v>
      </c>
      <c r="C131" s="34" t="s">
        <v>391</v>
      </c>
      <c r="D131" s="32" t="n">
        <v>1</v>
      </c>
      <c r="E131" s="32" t="s">
        <v>14</v>
      </c>
      <c r="F131" s="32" t="s">
        <v>368</v>
      </c>
      <c r="G131" s="34"/>
      <c r="H131" s="52" t="n">
        <f aca="false">IF($E131="Per class",$D131*COUNTIFS('Session Tracker'!$D$5:$D$149,$A131,'Session Tracker'!$F$5:$F$149,"Next week",'Session Tracker'!$G$5:$G$149,"Mon"),$D131*SUMIFS('Session Tracker'!$J$5:$J$149,'Session Tracker'!$D$5:$D$149,$A131,'Session Tracker'!$F$5:$F$149,"Next week",'Session Tracker'!$G$5:$G$149,"Mon"))</f>
        <v>0</v>
      </c>
      <c r="I131" s="52" t="n">
        <f aca="false">IF($E131="Per class",$D131*COUNTIFS('Session Tracker'!$D$5:$D$149,$A131,'Session Tracker'!$F$5:$F$149,"Next week",'Session Tracker'!$G$5:$G$149,"Tue"),$D131*SUMIFS('Session Tracker'!$J$5:$J$149,'Session Tracker'!$D$5:$D$149,$A131,'Session Tracker'!$F$5:$F$149,"Next week",'Session Tracker'!$G$5:$G$149,"Tue"))</f>
        <v>0</v>
      </c>
      <c r="J131" s="52" t="n">
        <f aca="false">IF($E131="Per class",$D131*COUNTIFS('Session Tracker'!$D$5:$D$149,$A131,'Session Tracker'!$F$5:$F$149,"Next week",'Session Tracker'!$G$5:$G$149,"Wed"),$D131*SUMIFS('Session Tracker'!$J$5:$J$149,'Session Tracker'!$D$5:$D$149,$A131,'Session Tracker'!$F$5:$F$149,"Next week",'Session Tracker'!$G$5:$G$149,"Wed"))</f>
        <v>0</v>
      </c>
      <c r="K131" s="52" t="n">
        <f aca="false">IF($E131="Per class",$D131*COUNTIFS('Session Tracker'!$D$5:$D$149,$A131,'Session Tracker'!$F$5:$F$149,"Next week",'Session Tracker'!$G$5:$G$149,"Thu"),$D131*SUMIFS('Session Tracker'!$J$5:$J$149,'Session Tracker'!$D$5:$D$149,$A131,'Session Tracker'!$F$5:$F$149,"Next week",'Session Tracker'!$G$5:$G$149,"Thu"))</f>
        <v>0</v>
      </c>
      <c r="L131" s="52" t="n">
        <f aca="false">IF($E131="Per class",$D131*COUNTIFS('Session Tracker'!$D$5:$D$149,$A131,'Session Tracker'!$F$5:$F$149,"Next week",'Session Tracker'!$G$5:$G$149,"Fri"),$D131*SUMIFS('Session Tracker'!$J$5:$J$149,'Session Tracker'!$D$5:$D$149,$A131,'Session Tracker'!$F$5:$F$149,"Next week",'Session Tracker'!$G$5:$G$149,"Fri"))</f>
        <v>0</v>
      </c>
      <c r="M131" s="52" t="n">
        <f aca="false">IF($E131="Per class",$D131*COUNTIFS('Session Tracker'!$D$5:$D$149,$A131,'Session Tracker'!$F$5:$F$149,"Next week",'Session Tracker'!$G$5:$G$149,""),$D131*SUMIFS('Session Tracker'!$J$5:$J$149,'Session Tracker'!$D$5:$D$149,$A131,'Session Tracker'!$F$5:$F$149,"Next week",'Session Tracker'!$G$5:$G$149,""))</f>
        <v>0</v>
      </c>
    </row>
    <row r="132" customFormat="false" ht="15" hidden="false" customHeight="false" outlineLevel="0" collapsed="false">
      <c r="A132" s="75" t="s">
        <v>304</v>
      </c>
      <c r="B132" s="34" t="s">
        <v>377</v>
      </c>
      <c r="C132" s="34" t="s">
        <v>669</v>
      </c>
      <c r="D132" s="32" t="n">
        <v>1</v>
      </c>
      <c r="E132" s="32" t="s">
        <v>14</v>
      </c>
      <c r="F132" s="32" t="s">
        <v>368</v>
      </c>
      <c r="G132" s="34"/>
      <c r="H132" s="52" t="n">
        <f aca="false">IF($E132="Per class",$D132*COUNTIFS('Session Tracker'!$D$5:$D$149,$A132,'Session Tracker'!$F$5:$F$149,"Next week",'Session Tracker'!$G$5:$G$149,"Mon"),$D132*SUMIFS('Session Tracker'!$J$5:$J$149,'Session Tracker'!$D$5:$D$149,$A132,'Session Tracker'!$F$5:$F$149,"Next week",'Session Tracker'!$G$5:$G$149,"Mon"))</f>
        <v>0</v>
      </c>
      <c r="I132" s="52" t="n">
        <f aca="false">IF($E132="Per class",$D132*COUNTIFS('Session Tracker'!$D$5:$D$149,$A132,'Session Tracker'!$F$5:$F$149,"Next week",'Session Tracker'!$G$5:$G$149,"Tue"),$D132*SUMIFS('Session Tracker'!$J$5:$J$149,'Session Tracker'!$D$5:$D$149,$A132,'Session Tracker'!$F$5:$F$149,"Next week",'Session Tracker'!$G$5:$G$149,"Tue"))</f>
        <v>0</v>
      </c>
      <c r="J132" s="52" t="n">
        <f aca="false">IF($E132="Per class",$D132*COUNTIFS('Session Tracker'!$D$5:$D$149,$A132,'Session Tracker'!$F$5:$F$149,"Next week",'Session Tracker'!$G$5:$G$149,"Wed"),$D132*SUMIFS('Session Tracker'!$J$5:$J$149,'Session Tracker'!$D$5:$D$149,$A132,'Session Tracker'!$F$5:$F$149,"Next week",'Session Tracker'!$G$5:$G$149,"Wed"))</f>
        <v>0</v>
      </c>
      <c r="K132" s="52" t="n">
        <f aca="false">IF($E132="Per class",$D132*COUNTIFS('Session Tracker'!$D$5:$D$149,$A132,'Session Tracker'!$F$5:$F$149,"Next week",'Session Tracker'!$G$5:$G$149,"Thu"),$D132*SUMIFS('Session Tracker'!$J$5:$J$149,'Session Tracker'!$D$5:$D$149,$A132,'Session Tracker'!$F$5:$F$149,"Next week",'Session Tracker'!$G$5:$G$149,"Thu"))</f>
        <v>0</v>
      </c>
      <c r="L132" s="52" t="n">
        <f aca="false">IF($E132="Per class",$D132*COUNTIFS('Session Tracker'!$D$5:$D$149,$A132,'Session Tracker'!$F$5:$F$149,"Next week",'Session Tracker'!$G$5:$G$149,"Fri"),$D132*SUMIFS('Session Tracker'!$J$5:$J$149,'Session Tracker'!$D$5:$D$149,$A132,'Session Tracker'!$F$5:$F$149,"Next week",'Session Tracker'!$G$5:$G$149,"Fri"))</f>
        <v>0</v>
      </c>
      <c r="M132" s="52" t="n">
        <f aca="false">IF($E132="Per class",$D132*COUNTIFS('Session Tracker'!$D$5:$D$149,$A132,'Session Tracker'!$F$5:$F$149,"Next week",'Session Tracker'!$G$5:$G$149,""),$D132*SUMIFS('Session Tracker'!$J$5:$J$149,'Session Tracker'!$D$5:$D$149,$A132,'Session Tracker'!$F$5:$F$149,"Next week",'Session Tracker'!$G$5:$G$149,""))</f>
        <v>0</v>
      </c>
    </row>
    <row r="133" customFormat="false" ht="15" hidden="false" customHeight="false" outlineLevel="0" collapsed="false">
      <c r="A133" s="75" t="s">
        <v>304</v>
      </c>
      <c r="B133" s="34" t="s">
        <v>369</v>
      </c>
      <c r="C133" s="34" t="s">
        <v>437</v>
      </c>
      <c r="D133" s="32" t="n">
        <v>1</v>
      </c>
      <c r="E133" s="32" t="s">
        <v>14</v>
      </c>
      <c r="F133" s="32" t="s">
        <v>368</v>
      </c>
      <c r="G133" s="34"/>
      <c r="H133" s="52" t="n">
        <f aca="false">IF($E133="Per class",$D133*COUNTIFS('Session Tracker'!$D$5:$D$149,$A133,'Session Tracker'!$F$5:$F$149,"Next week",'Session Tracker'!$G$5:$G$149,"Mon"),$D133*SUMIFS('Session Tracker'!$J$5:$J$149,'Session Tracker'!$D$5:$D$149,$A133,'Session Tracker'!$F$5:$F$149,"Next week",'Session Tracker'!$G$5:$G$149,"Mon"))</f>
        <v>0</v>
      </c>
      <c r="I133" s="52" t="n">
        <f aca="false">IF($E133="Per class",$D133*COUNTIFS('Session Tracker'!$D$5:$D$149,$A133,'Session Tracker'!$F$5:$F$149,"Next week",'Session Tracker'!$G$5:$G$149,"Tue"),$D133*SUMIFS('Session Tracker'!$J$5:$J$149,'Session Tracker'!$D$5:$D$149,$A133,'Session Tracker'!$F$5:$F$149,"Next week",'Session Tracker'!$G$5:$G$149,"Tue"))</f>
        <v>0</v>
      </c>
      <c r="J133" s="52" t="n">
        <f aca="false">IF($E133="Per class",$D133*COUNTIFS('Session Tracker'!$D$5:$D$149,$A133,'Session Tracker'!$F$5:$F$149,"Next week",'Session Tracker'!$G$5:$G$149,"Wed"),$D133*SUMIFS('Session Tracker'!$J$5:$J$149,'Session Tracker'!$D$5:$D$149,$A133,'Session Tracker'!$F$5:$F$149,"Next week",'Session Tracker'!$G$5:$G$149,"Wed"))</f>
        <v>0</v>
      </c>
      <c r="K133" s="52" t="n">
        <f aca="false">IF($E133="Per class",$D133*COUNTIFS('Session Tracker'!$D$5:$D$149,$A133,'Session Tracker'!$F$5:$F$149,"Next week",'Session Tracker'!$G$5:$G$149,"Thu"),$D133*SUMIFS('Session Tracker'!$J$5:$J$149,'Session Tracker'!$D$5:$D$149,$A133,'Session Tracker'!$F$5:$F$149,"Next week",'Session Tracker'!$G$5:$G$149,"Thu"))</f>
        <v>0</v>
      </c>
      <c r="L133" s="52" t="n">
        <f aca="false">IF($E133="Per class",$D133*COUNTIFS('Session Tracker'!$D$5:$D$149,$A133,'Session Tracker'!$F$5:$F$149,"Next week",'Session Tracker'!$G$5:$G$149,"Fri"),$D133*SUMIFS('Session Tracker'!$J$5:$J$149,'Session Tracker'!$D$5:$D$149,$A133,'Session Tracker'!$F$5:$F$149,"Next week",'Session Tracker'!$G$5:$G$149,"Fri"))</f>
        <v>0</v>
      </c>
      <c r="M133" s="52" t="n">
        <f aca="false">IF($E133="Per class",$D133*COUNTIFS('Session Tracker'!$D$5:$D$149,$A133,'Session Tracker'!$F$5:$F$149,"Next week",'Session Tracker'!$G$5:$G$149,""),$D133*SUMIFS('Session Tracker'!$J$5:$J$149,'Session Tracker'!$D$5:$D$149,$A133,'Session Tracker'!$F$5:$F$149,"Next week",'Session Tracker'!$G$5:$G$149,""))</f>
        <v>0</v>
      </c>
    </row>
    <row r="134" customFormat="false" ht="15" hidden="false" customHeight="false" outlineLevel="0" collapsed="false">
      <c r="A134" s="75" t="s">
        <v>304</v>
      </c>
      <c r="B134" s="34" t="s">
        <v>369</v>
      </c>
      <c r="C134" s="34" t="s">
        <v>430</v>
      </c>
      <c r="D134" s="32" t="n">
        <v>1</v>
      </c>
      <c r="E134" s="32" t="s">
        <v>14</v>
      </c>
      <c r="F134" s="32" t="s">
        <v>368</v>
      </c>
      <c r="G134" s="34"/>
      <c r="H134" s="52" t="n">
        <f aca="false">IF($E134="Per class",$D134*COUNTIFS('Session Tracker'!$D$5:$D$149,$A134,'Session Tracker'!$F$5:$F$149,"Next week",'Session Tracker'!$G$5:$G$149,"Mon"),$D134*SUMIFS('Session Tracker'!$J$5:$J$149,'Session Tracker'!$D$5:$D$149,$A134,'Session Tracker'!$F$5:$F$149,"Next week",'Session Tracker'!$G$5:$G$149,"Mon"))</f>
        <v>0</v>
      </c>
      <c r="I134" s="52" t="n">
        <f aca="false">IF($E134="Per class",$D134*COUNTIFS('Session Tracker'!$D$5:$D$149,$A134,'Session Tracker'!$F$5:$F$149,"Next week",'Session Tracker'!$G$5:$G$149,"Tue"),$D134*SUMIFS('Session Tracker'!$J$5:$J$149,'Session Tracker'!$D$5:$D$149,$A134,'Session Tracker'!$F$5:$F$149,"Next week",'Session Tracker'!$G$5:$G$149,"Tue"))</f>
        <v>0</v>
      </c>
      <c r="J134" s="52" t="n">
        <f aca="false">IF($E134="Per class",$D134*COUNTIFS('Session Tracker'!$D$5:$D$149,$A134,'Session Tracker'!$F$5:$F$149,"Next week",'Session Tracker'!$G$5:$G$149,"Wed"),$D134*SUMIFS('Session Tracker'!$J$5:$J$149,'Session Tracker'!$D$5:$D$149,$A134,'Session Tracker'!$F$5:$F$149,"Next week",'Session Tracker'!$G$5:$G$149,"Wed"))</f>
        <v>0</v>
      </c>
      <c r="K134" s="52" t="n">
        <f aca="false">IF($E134="Per class",$D134*COUNTIFS('Session Tracker'!$D$5:$D$149,$A134,'Session Tracker'!$F$5:$F$149,"Next week",'Session Tracker'!$G$5:$G$149,"Thu"),$D134*SUMIFS('Session Tracker'!$J$5:$J$149,'Session Tracker'!$D$5:$D$149,$A134,'Session Tracker'!$F$5:$F$149,"Next week",'Session Tracker'!$G$5:$G$149,"Thu"))</f>
        <v>0</v>
      </c>
      <c r="L134" s="52" t="n">
        <f aca="false">IF($E134="Per class",$D134*COUNTIFS('Session Tracker'!$D$5:$D$149,$A134,'Session Tracker'!$F$5:$F$149,"Next week",'Session Tracker'!$G$5:$G$149,"Fri"),$D134*SUMIFS('Session Tracker'!$J$5:$J$149,'Session Tracker'!$D$5:$D$149,$A134,'Session Tracker'!$F$5:$F$149,"Next week",'Session Tracker'!$G$5:$G$149,"Fri"))</f>
        <v>0</v>
      </c>
      <c r="M134" s="52" t="n">
        <f aca="false">IF($E134="Per class",$D134*COUNTIFS('Session Tracker'!$D$5:$D$149,$A134,'Session Tracker'!$F$5:$F$149,"Next week",'Session Tracker'!$G$5:$G$149,""),$D134*SUMIFS('Session Tracker'!$J$5:$J$149,'Session Tracker'!$D$5:$D$149,$A134,'Session Tracker'!$F$5:$F$149,"Next week",'Session Tracker'!$G$5:$G$149,""))</f>
        <v>0</v>
      </c>
    </row>
    <row r="135" customFormat="false" ht="15" hidden="false" customHeight="false" outlineLevel="0" collapsed="false">
      <c r="A135" s="75" t="s">
        <v>304</v>
      </c>
      <c r="B135" s="34" t="s">
        <v>371</v>
      </c>
      <c r="C135" s="34" t="s">
        <v>598</v>
      </c>
      <c r="D135" s="32" t="n">
        <v>2</v>
      </c>
      <c r="E135" s="32" t="s">
        <v>14</v>
      </c>
      <c r="F135" s="32" t="s">
        <v>368</v>
      </c>
      <c r="G135" s="34"/>
      <c r="H135" s="52" t="n">
        <f aca="false">IF($E135="Per class",$D135*COUNTIFS('Session Tracker'!$D$5:$D$149,$A135,'Session Tracker'!$F$5:$F$149,"Next week",'Session Tracker'!$G$5:$G$149,"Mon"),$D135*SUMIFS('Session Tracker'!$J$5:$J$149,'Session Tracker'!$D$5:$D$149,$A135,'Session Tracker'!$F$5:$F$149,"Next week",'Session Tracker'!$G$5:$G$149,"Mon"))</f>
        <v>0</v>
      </c>
      <c r="I135" s="52" t="n">
        <f aca="false">IF($E135="Per class",$D135*COUNTIFS('Session Tracker'!$D$5:$D$149,$A135,'Session Tracker'!$F$5:$F$149,"Next week",'Session Tracker'!$G$5:$G$149,"Tue"),$D135*SUMIFS('Session Tracker'!$J$5:$J$149,'Session Tracker'!$D$5:$D$149,$A135,'Session Tracker'!$F$5:$F$149,"Next week",'Session Tracker'!$G$5:$G$149,"Tue"))</f>
        <v>0</v>
      </c>
      <c r="J135" s="52" t="n">
        <f aca="false">IF($E135="Per class",$D135*COUNTIFS('Session Tracker'!$D$5:$D$149,$A135,'Session Tracker'!$F$5:$F$149,"Next week",'Session Tracker'!$G$5:$G$149,"Wed"),$D135*SUMIFS('Session Tracker'!$J$5:$J$149,'Session Tracker'!$D$5:$D$149,$A135,'Session Tracker'!$F$5:$F$149,"Next week",'Session Tracker'!$G$5:$G$149,"Wed"))</f>
        <v>0</v>
      </c>
      <c r="K135" s="52" t="n">
        <f aca="false">IF($E135="Per class",$D135*COUNTIFS('Session Tracker'!$D$5:$D$149,$A135,'Session Tracker'!$F$5:$F$149,"Next week",'Session Tracker'!$G$5:$G$149,"Thu"),$D135*SUMIFS('Session Tracker'!$J$5:$J$149,'Session Tracker'!$D$5:$D$149,$A135,'Session Tracker'!$F$5:$F$149,"Next week",'Session Tracker'!$G$5:$G$149,"Thu"))</f>
        <v>0</v>
      </c>
      <c r="L135" s="52" t="n">
        <f aca="false">IF($E135="Per class",$D135*COUNTIFS('Session Tracker'!$D$5:$D$149,$A135,'Session Tracker'!$F$5:$F$149,"Next week",'Session Tracker'!$G$5:$G$149,"Fri"),$D135*SUMIFS('Session Tracker'!$J$5:$J$149,'Session Tracker'!$D$5:$D$149,$A135,'Session Tracker'!$F$5:$F$149,"Next week",'Session Tracker'!$G$5:$G$149,"Fri"))</f>
        <v>0</v>
      </c>
      <c r="M135" s="52" t="n">
        <f aca="false">IF($E135="Per class",$D135*COUNTIFS('Session Tracker'!$D$5:$D$149,$A135,'Session Tracker'!$F$5:$F$149,"Next week",'Session Tracker'!$G$5:$G$149,""),$D135*SUMIFS('Session Tracker'!$J$5:$J$149,'Session Tracker'!$D$5:$D$149,$A135,'Session Tracker'!$F$5:$F$149,"Next week",'Session Tracker'!$G$5:$G$149,""))</f>
        <v>0</v>
      </c>
    </row>
    <row r="136" customFormat="false" ht="15" hidden="false" customHeight="false" outlineLevel="0" collapsed="false">
      <c r="A136" s="75" t="s">
        <v>304</v>
      </c>
      <c r="B136" s="34" t="s">
        <v>371</v>
      </c>
      <c r="C136" s="34" t="s">
        <v>580</v>
      </c>
      <c r="D136" s="32" t="n">
        <v>1</v>
      </c>
      <c r="E136" s="32" t="s">
        <v>14</v>
      </c>
      <c r="F136" s="32" t="s">
        <v>368</v>
      </c>
      <c r="G136" s="34"/>
      <c r="H136" s="52" t="n">
        <f aca="false">IF($E136="Per class",$D136*COUNTIFS('Session Tracker'!$D$5:$D$149,$A136,'Session Tracker'!$F$5:$F$149,"Next week",'Session Tracker'!$G$5:$G$149,"Mon"),$D136*SUMIFS('Session Tracker'!$J$5:$J$149,'Session Tracker'!$D$5:$D$149,$A136,'Session Tracker'!$F$5:$F$149,"Next week",'Session Tracker'!$G$5:$G$149,"Mon"))</f>
        <v>0</v>
      </c>
      <c r="I136" s="52" t="n">
        <f aca="false">IF($E136="Per class",$D136*COUNTIFS('Session Tracker'!$D$5:$D$149,$A136,'Session Tracker'!$F$5:$F$149,"Next week",'Session Tracker'!$G$5:$G$149,"Tue"),$D136*SUMIFS('Session Tracker'!$J$5:$J$149,'Session Tracker'!$D$5:$D$149,$A136,'Session Tracker'!$F$5:$F$149,"Next week",'Session Tracker'!$G$5:$G$149,"Tue"))</f>
        <v>0</v>
      </c>
      <c r="J136" s="52" t="n">
        <f aca="false">IF($E136="Per class",$D136*COUNTIFS('Session Tracker'!$D$5:$D$149,$A136,'Session Tracker'!$F$5:$F$149,"Next week",'Session Tracker'!$G$5:$G$149,"Wed"),$D136*SUMIFS('Session Tracker'!$J$5:$J$149,'Session Tracker'!$D$5:$D$149,$A136,'Session Tracker'!$F$5:$F$149,"Next week",'Session Tracker'!$G$5:$G$149,"Wed"))</f>
        <v>0</v>
      </c>
      <c r="K136" s="52" t="n">
        <f aca="false">IF($E136="Per class",$D136*COUNTIFS('Session Tracker'!$D$5:$D$149,$A136,'Session Tracker'!$F$5:$F$149,"Next week",'Session Tracker'!$G$5:$G$149,"Thu"),$D136*SUMIFS('Session Tracker'!$J$5:$J$149,'Session Tracker'!$D$5:$D$149,$A136,'Session Tracker'!$F$5:$F$149,"Next week",'Session Tracker'!$G$5:$G$149,"Thu"))</f>
        <v>0</v>
      </c>
      <c r="L136" s="52" t="n">
        <f aca="false">IF($E136="Per class",$D136*COUNTIFS('Session Tracker'!$D$5:$D$149,$A136,'Session Tracker'!$F$5:$F$149,"Next week",'Session Tracker'!$G$5:$G$149,"Fri"),$D136*SUMIFS('Session Tracker'!$J$5:$J$149,'Session Tracker'!$D$5:$D$149,$A136,'Session Tracker'!$F$5:$F$149,"Next week",'Session Tracker'!$G$5:$G$149,"Fri"))</f>
        <v>0</v>
      </c>
      <c r="M136" s="52" t="n">
        <f aca="false">IF($E136="Per class",$D136*COUNTIFS('Session Tracker'!$D$5:$D$149,$A136,'Session Tracker'!$F$5:$F$149,"Next week",'Session Tracker'!$G$5:$G$149,""),$D136*SUMIFS('Session Tracker'!$J$5:$J$149,'Session Tracker'!$D$5:$D$149,$A136,'Session Tracker'!$F$5:$F$149,"Next week",'Session Tracker'!$G$5:$G$149,""))</f>
        <v>0</v>
      </c>
    </row>
    <row r="137" customFormat="false" ht="15" hidden="false" customHeight="false" outlineLevel="0" collapsed="false">
      <c r="A137" s="75" t="s">
        <v>304</v>
      </c>
      <c r="B137" s="34" t="s">
        <v>379</v>
      </c>
      <c r="C137" s="34" t="s">
        <v>380</v>
      </c>
      <c r="D137" s="32" t="n">
        <v>1</v>
      </c>
      <c r="E137" s="32" t="s">
        <v>14</v>
      </c>
      <c r="F137" s="32" t="s">
        <v>368</v>
      </c>
      <c r="G137" s="34"/>
      <c r="H137" s="52" t="n">
        <f aca="false">IF($E137="Per class",$D137*COUNTIFS('Session Tracker'!$D$5:$D$149,$A137,'Session Tracker'!$F$5:$F$149,"Next week",'Session Tracker'!$G$5:$G$149,"Mon"),$D137*SUMIFS('Session Tracker'!$J$5:$J$149,'Session Tracker'!$D$5:$D$149,$A137,'Session Tracker'!$F$5:$F$149,"Next week",'Session Tracker'!$G$5:$G$149,"Mon"))</f>
        <v>0</v>
      </c>
      <c r="I137" s="52" t="n">
        <f aca="false">IF($E137="Per class",$D137*COUNTIFS('Session Tracker'!$D$5:$D$149,$A137,'Session Tracker'!$F$5:$F$149,"Next week",'Session Tracker'!$G$5:$G$149,"Tue"),$D137*SUMIFS('Session Tracker'!$J$5:$J$149,'Session Tracker'!$D$5:$D$149,$A137,'Session Tracker'!$F$5:$F$149,"Next week",'Session Tracker'!$G$5:$G$149,"Tue"))</f>
        <v>0</v>
      </c>
      <c r="J137" s="52" t="n">
        <f aca="false">IF($E137="Per class",$D137*COUNTIFS('Session Tracker'!$D$5:$D$149,$A137,'Session Tracker'!$F$5:$F$149,"Next week",'Session Tracker'!$G$5:$G$149,"Wed"),$D137*SUMIFS('Session Tracker'!$J$5:$J$149,'Session Tracker'!$D$5:$D$149,$A137,'Session Tracker'!$F$5:$F$149,"Next week",'Session Tracker'!$G$5:$G$149,"Wed"))</f>
        <v>0</v>
      </c>
      <c r="K137" s="52" t="n">
        <f aca="false">IF($E137="Per class",$D137*COUNTIFS('Session Tracker'!$D$5:$D$149,$A137,'Session Tracker'!$F$5:$F$149,"Next week",'Session Tracker'!$G$5:$G$149,"Thu"),$D137*SUMIFS('Session Tracker'!$J$5:$J$149,'Session Tracker'!$D$5:$D$149,$A137,'Session Tracker'!$F$5:$F$149,"Next week",'Session Tracker'!$G$5:$G$149,"Thu"))</f>
        <v>0</v>
      </c>
      <c r="L137" s="52" t="n">
        <f aca="false">IF($E137="Per class",$D137*COUNTIFS('Session Tracker'!$D$5:$D$149,$A137,'Session Tracker'!$F$5:$F$149,"Next week",'Session Tracker'!$G$5:$G$149,"Fri"),$D137*SUMIFS('Session Tracker'!$J$5:$J$149,'Session Tracker'!$D$5:$D$149,$A137,'Session Tracker'!$F$5:$F$149,"Next week",'Session Tracker'!$G$5:$G$149,"Fri"))</f>
        <v>0</v>
      </c>
      <c r="M137" s="52" t="n">
        <f aca="false">IF($E137="Per class",$D137*COUNTIFS('Session Tracker'!$D$5:$D$149,$A137,'Session Tracker'!$F$5:$F$149,"Next week",'Session Tracker'!$G$5:$G$149,""),$D137*SUMIFS('Session Tracker'!$J$5:$J$149,'Session Tracker'!$D$5:$D$149,$A137,'Session Tracker'!$F$5:$F$149,"Next week",'Session Tracker'!$G$5:$G$149,""))</f>
        <v>0</v>
      </c>
    </row>
    <row r="138" customFormat="false" ht="15" hidden="false" customHeight="false" outlineLevel="0" collapsed="false">
      <c r="A138" s="75" t="s">
        <v>304</v>
      </c>
      <c r="B138" s="34" t="s">
        <v>379</v>
      </c>
      <c r="C138" s="34" t="s">
        <v>381</v>
      </c>
      <c r="D138" s="32" t="n">
        <v>10</v>
      </c>
      <c r="E138" s="32" t="s">
        <v>14</v>
      </c>
      <c r="F138" s="32" t="s">
        <v>368</v>
      </c>
      <c r="G138" s="34"/>
      <c r="H138" s="52" t="n">
        <f aca="false">IF($E138="Per class",$D138*COUNTIFS('Session Tracker'!$D$5:$D$149,$A138,'Session Tracker'!$F$5:$F$149,"Next week",'Session Tracker'!$G$5:$G$149,"Mon"),$D138*SUMIFS('Session Tracker'!$J$5:$J$149,'Session Tracker'!$D$5:$D$149,$A138,'Session Tracker'!$F$5:$F$149,"Next week",'Session Tracker'!$G$5:$G$149,"Mon"))</f>
        <v>0</v>
      </c>
      <c r="I138" s="52" t="n">
        <f aca="false">IF($E138="Per class",$D138*COUNTIFS('Session Tracker'!$D$5:$D$149,$A138,'Session Tracker'!$F$5:$F$149,"Next week",'Session Tracker'!$G$5:$G$149,"Tue"),$D138*SUMIFS('Session Tracker'!$J$5:$J$149,'Session Tracker'!$D$5:$D$149,$A138,'Session Tracker'!$F$5:$F$149,"Next week",'Session Tracker'!$G$5:$G$149,"Tue"))</f>
        <v>0</v>
      </c>
      <c r="J138" s="52" t="n">
        <f aca="false">IF($E138="Per class",$D138*COUNTIFS('Session Tracker'!$D$5:$D$149,$A138,'Session Tracker'!$F$5:$F$149,"Next week",'Session Tracker'!$G$5:$G$149,"Wed"),$D138*SUMIFS('Session Tracker'!$J$5:$J$149,'Session Tracker'!$D$5:$D$149,$A138,'Session Tracker'!$F$5:$F$149,"Next week",'Session Tracker'!$G$5:$G$149,"Wed"))</f>
        <v>0</v>
      </c>
      <c r="K138" s="52" t="n">
        <f aca="false">IF($E138="Per class",$D138*COUNTIFS('Session Tracker'!$D$5:$D$149,$A138,'Session Tracker'!$F$5:$F$149,"Next week",'Session Tracker'!$G$5:$G$149,"Thu"),$D138*SUMIFS('Session Tracker'!$J$5:$J$149,'Session Tracker'!$D$5:$D$149,$A138,'Session Tracker'!$F$5:$F$149,"Next week",'Session Tracker'!$G$5:$G$149,"Thu"))</f>
        <v>0</v>
      </c>
      <c r="L138" s="52" t="n">
        <f aca="false">IF($E138="Per class",$D138*COUNTIFS('Session Tracker'!$D$5:$D$149,$A138,'Session Tracker'!$F$5:$F$149,"Next week",'Session Tracker'!$G$5:$G$149,"Fri"),$D138*SUMIFS('Session Tracker'!$J$5:$J$149,'Session Tracker'!$D$5:$D$149,$A138,'Session Tracker'!$F$5:$F$149,"Next week",'Session Tracker'!$G$5:$G$149,"Fri"))</f>
        <v>0</v>
      </c>
      <c r="M138" s="52" t="n">
        <f aca="false">IF($E138="Per class",$D138*COUNTIFS('Session Tracker'!$D$5:$D$149,$A138,'Session Tracker'!$F$5:$F$149,"Next week",'Session Tracker'!$G$5:$G$149,""),$D138*SUMIFS('Session Tracker'!$J$5:$J$149,'Session Tracker'!$D$5:$D$149,$A138,'Session Tracker'!$F$5:$F$149,"Next week",'Session Tracker'!$G$5:$G$149,""))</f>
        <v>0</v>
      </c>
    </row>
    <row r="139" customFormat="false" ht="15" hidden="false" customHeight="false" outlineLevel="0" collapsed="false">
      <c r="A139" s="75" t="s">
        <v>304</v>
      </c>
      <c r="B139" s="34" t="s">
        <v>379</v>
      </c>
      <c r="C139" s="34" t="s">
        <v>395</v>
      </c>
      <c r="D139" s="32" t="n">
        <v>12</v>
      </c>
      <c r="E139" s="32" t="s">
        <v>14</v>
      </c>
      <c r="F139" s="32" t="s">
        <v>368</v>
      </c>
      <c r="G139" s="34"/>
      <c r="H139" s="52" t="n">
        <f aca="false">IF($E139="Per class",$D139*COUNTIFS('Session Tracker'!$D$5:$D$149,$A139,'Session Tracker'!$F$5:$F$149,"Next week",'Session Tracker'!$G$5:$G$149,"Mon"),$D139*SUMIFS('Session Tracker'!$J$5:$J$149,'Session Tracker'!$D$5:$D$149,$A139,'Session Tracker'!$F$5:$F$149,"Next week",'Session Tracker'!$G$5:$G$149,"Mon"))</f>
        <v>0</v>
      </c>
      <c r="I139" s="52" t="n">
        <f aca="false">IF($E139="Per class",$D139*COUNTIFS('Session Tracker'!$D$5:$D$149,$A139,'Session Tracker'!$F$5:$F$149,"Next week",'Session Tracker'!$G$5:$G$149,"Tue"),$D139*SUMIFS('Session Tracker'!$J$5:$J$149,'Session Tracker'!$D$5:$D$149,$A139,'Session Tracker'!$F$5:$F$149,"Next week",'Session Tracker'!$G$5:$G$149,"Tue"))</f>
        <v>0</v>
      </c>
      <c r="J139" s="52" t="n">
        <f aca="false">IF($E139="Per class",$D139*COUNTIFS('Session Tracker'!$D$5:$D$149,$A139,'Session Tracker'!$F$5:$F$149,"Next week",'Session Tracker'!$G$5:$G$149,"Wed"),$D139*SUMIFS('Session Tracker'!$J$5:$J$149,'Session Tracker'!$D$5:$D$149,$A139,'Session Tracker'!$F$5:$F$149,"Next week",'Session Tracker'!$G$5:$G$149,"Wed"))</f>
        <v>0</v>
      </c>
      <c r="K139" s="52" t="n">
        <f aca="false">IF($E139="Per class",$D139*COUNTIFS('Session Tracker'!$D$5:$D$149,$A139,'Session Tracker'!$F$5:$F$149,"Next week",'Session Tracker'!$G$5:$G$149,"Thu"),$D139*SUMIFS('Session Tracker'!$J$5:$J$149,'Session Tracker'!$D$5:$D$149,$A139,'Session Tracker'!$F$5:$F$149,"Next week",'Session Tracker'!$G$5:$G$149,"Thu"))</f>
        <v>0</v>
      </c>
      <c r="L139" s="52" t="n">
        <f aca="false">IF($E139="Per class",$D139*COUNTIFS('Session Tracker'!$D$5:$D$149,$A139,'Session Tracker'!$F$5:$F$149,"Next week",'Session Tracker'!$G$5:$G$149,"Fri"),$D139*SUMIFS('Session Tracker'!$J$5:$J$149,'Session Tracker'!$D$5:$D$149,$A139,'Session Tracker'!$F$5:$F$149,"Next week",'Session Tracker'!$G$5:$G$149,"Fri"))</f>
        <v>0</v>
      </c>
      <c r="M139" s="52" t="n">
        <f aca="false">IF($E139="Per class",$D139*COUNTIFS('Session Tracker'!$D$5:$D$149,$A139,'Session Tracker'!$F$5:$F$149,"Next week",'Session Tracker'!$G$5:$G$149,""),$D139*SUMIFS('Session Tracker'!$J$5:$J$149,'Session Tracker'!$D$5:$D$149,$A139,'Session Tracker'!$F$5:$F$149,"Next week",'Session Tracker'!$G$5:$G$149,""))</f>
        <v>0</v>
      </c>
    </row>
    <row r="140" customFormat="false" ht="15" hidden="false" customHeight="false" outlineLevel="0" collapsed="false">
      <c r="A140" s="75" t="s">
        <v>304</v>
      </c>
      <c r="B140" s="34" t="s">
        <v>382</v>
      </c>
      <c r="C140" s="34" t="s">
        <v>383</v>
      </c>
      <c r="D140" s="32" t="n">
        <v>1</v>
      </c>
      <c r="E140" s="32" t="s">
        <v>14</v>
      </c>
      <c r="F140" s="32" t="s">
        <v>368</v>
      </c>
      <c r="G140" s="34"/>
      <c r="H140" s="52" t="n">
        <f aca="false">IF($E140="Per class",$D140*COUNTIFS('Session Tracker'!$D$5:$D$149,$A140,'Session Tracker'!$F$5:$F$149,"Next week",'Session Tracker'!$G$5:$G$149,"Mon"),$D140*SUMIFS('Session Tracker'!$J$5:$J$149,'Session Tracker'!$D$5:$D$149,$A140,'Session Tracker'!$F$5:$F$149,"Next week",'Session Tracker'!$G$5:$G$149,"Mon"))</f>
        <v>0</v>
      </c>
      <c r="I140" s="52" t="n">
        <f aca="false">IF($E140="Per class",$D140*COUNTIFS('Session Tracker'!$D$5:$D$149,$A140,'Session Tracker'!$F$5:$F$149,"Next week",'Session Tracker'!$G$5:$G$149,"Tue"),$D140*SUMIFS('Session Tracker'!$J$5:$J$149,'Session Tracker'!$D$5:$D$149,$A140,'Session Tracker'!$F$5:$F$149,"Next week",'Session Tracker'!$G$5:$G$149,"Tue"))</f>
        <v>0</v>
      </c>
      <c r="J140" s="52" t="n">
        <f aca="false">IF($E140="Per class",$D140*COUNTIFS('Session Tracker'!$D$5:$D$149,$A140,'Session Tracker'!$F$5:$F$149,"Next week",'Session Tracker'!$G$5:$G$149,"Wed"),$D140*SUMIFS('Session Tracker'!$J$5:$J$149,'Session Tracker'!$D$5:$D$149,$A140,'Session Tracker'!$F$5:$F$149,"Next week",'Session Tracker'!$G$5:$G$149,"Wed"))</f>
        <v>0</v>
      </c>
      <c r="K140" s="52" t="n">
        <f aca="false">IF($E140="Per class",$D140*COUNTIFS('Session Tracker'!$D$5:$D$149,$A140,'Session Tracker'!$F$5:$F$149,"Next week",'Session Tracker'!$G$5:$G$149,"Thu"),$D140*SUMIFS('Session Tracker'!$J$5:$J$149,'Session Tracker'!$D$5:$D$149,$A140,'Session Tracker'!$F$5:$F$149,"Next week",'Session Tracker'!$G$5:$G$149,"Thu"))</f>
        <v>0</v>
      </c>
      <c r="L140" s="52" t="n">
        <f aca="false">IF($E140="Per class",$D140*COUNTIFS('Session Tracker'!$D$5:$D$149,$A140,'Session Tracker'!$F$5:$F$149,"Next week",'Session Tracker'!$G$5:$G$149,"Fri"),$D140*SUMIFS('Session Tracker'!$J$5:$J$149,'Session Tracker'!$D$5:$D$149,$A140,'Session Tracker'!$F$5:$F$149,"Next week",'Session Tracker'!$G$5:$G$149,"Fri"))</f>
        <v>0</v>
      </c>
      <c r="M140" s="52" t="n">
        <f aca="false">IF($E140="Per class",$D140*COUNTIFS('Session Tracker'!$D$5:$D$149,$A140,'Session Tracker'!$F$5:$F$149,"Next week",'Session Tracker'!$G$5:$G$149,""),$D140*SUMIFS('Session Tracker'!$J$5:$J$149,'Session Tracker'!$D$5:$D$149,$A140,'Session Tracker'!$F$5:$F$149,"Next week",'Session Tracker'!$G$5:$G$149,""))</f>
        <v>0</v>
      </c>
    </row>
    <row r="141" customFormat="false" ht="15" hidden="false" customHeight="false" outlineLevel="0" collapsed="false">
      <c r="A141" s="53" t="s">
        <v>304</v>
      </c>
      <c r="B141" s="54"/>
      <c r="C141" s="54"/>
      <c r="D141" s="54"/>
      <c r="E141" s="54"/>
      <c r="F141" s="54"/>
      <c r="G141" s="54"/>
      <c r="H141" s="52" t="n">
        <f aca="false">IF($E141="Per class",$D141*COUNTIFS('Session Tracker'!$D$5:$D$149,$A141,'Session Tracker'!$F$5:$F$149,"Next week",'Session Tracker'!$G$5:$G$149,"Mon"),$D141*SUMIFS('Session Tracker'!$J$5:$J$149,'Session Tracker'!$D$5:$D$149,$A141,'Session Tracker'!$F$5:$F$149,"Next week",'Session Tracker'!$G$5:$G$149,"Mon"))</f>
        <v>0</v>
      </c>
      <c r="I141" s="52" t="n">
        <f aca="false">IF($E141="Per class",$D141*COUNTIFS('Session Tracker'!$D$5:$D$149,$A141,'Session Tracker'!$F$5:$F$149,"Next week",'Session Tracker'!$G$5:$G$149,"Tue"),$D141*SUMIFS('Session Tracker'!$J$5:$J$149,'Session Tracker'!$D$5:$D$149,$A141,'Session Tracker'!$F$5:$F$149,"Next week",'Session Tracker'!$G$5:$G$149,"Tue"))</f>
        <v>0</v>
      </c>
      <c r="J141" s="52" t="n">
        <f aca="false">IF($E141="Per class",$D141*COUNTIFS('Session Tracker'!$D$5:$D$149,$A141,'Session Tracker'!$F$5:$F$149,"Next week",'Session Tracker'!$G$5:$G$149,"Wed"),$D141*SUMIFS('Session Tracker'!$J$5:$J$149,'Session Tracker'!$D$5:$D$149,$A141,'Session Tracker'!$F$5:$F$149,"Next week",'Session Tracker'!$G$5:$G$149,"Wed"))</f>
        <v>0</v>
      </c>
      <c r="K141" s="52" t="n">
        <f aca="false">IF($E141="Per class",$D141*COUNTIFS('Session Tracker'!$D$5:$D$149,$A141,'Session Tracker'!$F$5:$F$149,"Next week",'Session Tracker'!$G$5:$G$149,"Thu"),$D141*SUMIFS('Session Tracker'!$J$5:$J$149,'Session Tracker'!$D$5:$D$149,$A141,'Session Tracker'!$F$5:$F$149,"Next week",'Session Tracker'!$G$5:$G$149,"Thu"))</f>
        <v>0</v>
      </c>
      <c r="L141" s="52" t="n">
        <f aca="false">IF($E141="Per class",$D141*COUNTIFS('Session Tracker'!$D$5:$D$149,$A141,'Session Tracker'!$F$5:$F$149,"Next week",'Session Tracker'!$G$5:$G$149,"Fri"),$D141*SUMIFS('Session Tracker'!$J$5:$J$149,'Session Tracker'!$D$5:$D$149,$A141,'Session Tracker'!$F$5:$F$149,"Next week",'Session Tracker'!$G$5:$G$149,"Fri"))</f>
        <v>0</v>
      </c>
      <c r="M141" s="52" t="n">
        <f aca="false">IF($E141="Per class",$D141*COUNTIFS('Session Tracker'!$D$5:$D$149,$A141,'Session Tracker'!$F$5:$F$149,"Next week",'Session Tracker'!$G$5:$G$149,""),$D141*SUMIFS('Session Tracker'!$J$5:$J$149,'Session Tracker'!$D$5:$D$149,$A141,'Session Tracker'!$F$5:$F$149,"Next week",'Session Tracker'!$G$5:$G$149,""))</f>
        <v>0</v>
      </c>
    </row>
    <row r="142" customFormat="false" ht="15" hidden="false" customHeight="false" outlineLevel="0" collapsed="false">
      <c r="A142" s="53" t="s">
        <v>304</v>
      </c>
      <c r="B142" s="54"/>
      <c r="C142" s="54"/>
      <c r="D142" s="54"/>
      <c r="E142" s="54"/>
      <c r="F142" s="54"/>
      <c r="G142" s="54"/>
      <c r="H142" s="52" t="n">
        <f aca="false">IF($E142="Per class",$D142*COUNTIFS('Session Tracker'!$D$5:$D$149,$A142,'Session Tracker'!$F$5:$F$149,"Next week",'Session Tracker'!$G$5:$G$149,"Mon"),$D142*SUMIFS('Session Tracker'!$J$5:$J$149,'Session Tracker'!$D$5:$D$149,$A142,'Session Tracker'!$F$5:$F$149,"Next week",'Session Tracker'!$G$5:$G$149,"Mon"))</f>
        <v>0</v>
      </c>
      <c r="I142" s="52" t="n">
        <f aca="false">IF($E142="Per class",$D142*COUNTIFS('Session Tracker'!$D$5:$D$149,$A142,'Session Tracker'!$F$5:$F$149,"Next week",'Session Tracker'!$G$5:$G$149,"Tue"),$D142*SUMIFS('Session Tracker'!$J$5:$J$149,'Session Tracker'!$D$5:$D$149,$A142,'Session Tracker'!$F$5:$F$149,"Next week",'Session Tracker'!$G$5:$G$149,"Tue"))</f>
        <v>0</v>
      </c>
      <c r="J142" s="52" t="n">
        <f aca="false">IF($E142="Per class",$D142*COUNTIFS('Session Tracker'!$D$5:$D$149,$A142,'Session Tracker'!$F$5:$F$149,"Next week",'Session Tracker'!$G$5:$G$149,"Wed"),$D142*SUMIFS('Session Tracker'!$J$5:$J$149,'Session Tracker'!$D$5:$D$149,$A142,'Session Tracker'!$F$5:$F$149,"Next week",'Session Tracker'!$G$5:$G$149,"Wed"))</f>
        <v>0</v>
      </c>
      <c r="K142" s="52" t="n">
        <f aca="false">IF($E142="Per class",$D142*COUNTIFS('Session Tracker'!$D$5:$D$149,$A142,'Session Tracker'!$F$5:$F$149,"Next week",'Session Tracker'!$G$5:$G$149,"Thu"),$D142*SUMIFS('Session Tracker'!$J$5:$J$149,'Session Tracker'!$D$5:$D$149,$A142,'Session Tracker'!$F$5:$F$149,"Next week",'Session Tracker'!$G$5:$G$149,"Thu"))</f>
        <v>0</v>
      </c>
      <c r="L142" s="52" t="n">
        <f aca="false">IF($E142="Per class",$D142*COUNTIFS('Session Tracker'!$D$5:$D$149,$A142,'Session Tracker'!$F$5:$F$149,"Next week",'Session Tracker'!$G$5:$G$149,"Fri"),$D142*SUMIFS('Session Tracker'!$J$5:$J$149,'Session Tracker'!$D$5:$D$149,$A142,'Session Tracker'!$F$5:$F$149,"Next week",'Session Tracker'!$G$5:$G$149,"Fri"))</f>
        <v>0</v>
      </c>
      <c r="M142" s="52" t="n">
        <f aca="false">IF($E142="Per class",$D142*COUNTIFS('Session Tracker'!$D$5:$D$149,$A142,'Session Tracker'!$F$5:$F$149,"Next week",'Session Tracker'!$G$5:$G$149,""),$D142*SUMIFS('Session Tracker'!$J$5:$J$149,'Session Tracker'!$D$5:$D$149,$A142,'Session Tracker'!$F$5:$F$149,"Next week",'Session Tracker'!$G$5:$G$149,""))</f>
        <v>0</v>
      </c>
    </row>
    <row r="144" customFormat="false" ht="19.5" hidden="false" customHeight="true" outlineLevel="0" collapsed="false">
      <c r="A144" s="71" t="s">
        <v>306</v>
      </c>
      <c r="B144" s="72" t="s">
        <v>670</v>
      </c>
      <c r="C144" s="72"/>
      <c r="D144" s="72"/>
      <c r="E144" s="72"/>
      <c r="F144" s="73" t="str">
        <f aca="false">"Status: "&amp;'Session Tracker'!F124&amp;IF('Session Tracker'!G124&lt;&gt;""," ("&amp;'Session Tracker'!G124&amp;")","")</f>
        <v>Status: Not started</v>
      </c>
      <c r="G144" s="73"/>
      <c r="H144" s="74"/>
      <c r="I144" s="74"/>
      <c r="J144" s="74"/>
      <c r="K144" s="74"/>
      <c r="L144" s="74"/>
      <c r="M144" s="74"/>
    </row>
    <row r="145" customFormat="false" ht="23.85" hidden="false" customHeight="false" outlineLevel="0" collapsed="false">
      <c r="A145" s="75" t="s">
        <v>306</v>
      </c>
      <c r="B145" s="34" t="s">
        <v>366</v>
      </c>
      <c r="C145" s="34" t="s">
        <v>391</v>
      </c>
      <c r="D145" s="32" t="n">
        <v>1</v>
      </c>
      <c r="E145" s="32" t="s">
        <v>14</v>
      </c>
      <c r="F145" s="32" t="s">
        <v>368</v>
      </c>
      <c r="G145" s="34"/>
      <c r="H145" s="52" t="n">
        <f aca="false">IF($E145="Per class",$D145*COUNTIFS('Session Tracker'!$D$5:$D$149,$A145,'Session Tracker'!$F$5:$F$149,"Next week",'Session Tracker'!$G$5:$G$149,"Mon"),$D145*SUMIFS('Session Tracker'!$J$5:$J$149,'Session Tracker'!$D$5:$D$149,$A145,'Session Tracker'!$F$5:$F$149,"Next week",'Session Tracker'!$G$5:$G$149,"Mon"))</f>
        <v>0</v>
      </c>
      <c r="I145" s="52" t="n">
        <f aca="false">IF($E145="Per class",$D145*COUNTIFS('Session Tracker'!$D$5:$D$149,$A145,'Session Tracker'!$F$5:$F$149,"Next week",'Session Tracker'!$G$5:$G$149,"Tue"),$D145*SUMIFS('Session Tracker'!$J$5:$J$149,'Session Tracker'!$D$5:$D$149,$A145,'Session Tracker'!$F$5:$F$149,"Next week",'Session Tracker'!$G$5:$G$149,"Tue"))</f>
        <v>0</v>
      </c>
      <c r="J145" s="52" t="n">
        <f aca="false">IF($E145="Per class",$D145*COUNTIFS('Session Tracker'!$D$5:$D$149,$A145,'Session Tracker'!$F$5:$F$149,"Next week",'Session Tracker'!$G$5:$G$149,"Wed"),$D145*SUMIFS('Session Tracker'!$J$5:$J$149,'Session Tracker'!$D$5:$D$149,$A145,'Session Tracker'!$F$5:$F$149,"Next week",'Session Tracker'!$G$5:$G$149,"Wed"))</f>
        <v>0</v>
      </c>
      <c r="K145" s="52" t="n">
        <f aca="false">IF($E145="Per class",$D145*COUNTIFS('Session Tracker'!$D$5:$D$149,$A145,'Session Tracker'!$F$5:$F$149,"Next week",'Session Tracker'!$G$5:$G$149,"Thu"),$D145*SUMIFS('Session Tracker'!$J$5:$J$149,'Session Tracker'!$D$5:$D$149,$A145,'Session Tracker'!$F$5:$F$149,"Next week",'Session Tracker'!$G$5:$G$149,"Thu"))</f>
        <v>0</v>
      </c>
      <c r="L145" s="52" t="n">
        <f aca="false">IF($E145="Per class",$D145*COUNTIFS('Session Tracker'!$D$5:$D$149,$A145,'Session Tracker'!$F$5:$F$149,"Next week",'Session Tracker'!$G$5:$G$149,"Fri"),$D145*SUMIFS('Session Tracker'!$J$5:$J$149,'Session Tracker'!$D$5:$D$149,$A145,'Session Tracker'!$F$5:$F$149,"Next week",'Session Tracker'!$G$5:$G$149,"Fri"))</f>
        <v>0</v>
      </c>
      <c r="M145" s="52" t="n">
        <f aca="false">IF($E145="Per class",$D145*COUNTIFS('Session Tracker'!$D$5:$D$149,$A145,'Session Tracker'!$F$5:$F$149,"Next week",'Session Tracker'!$G$5:$G$149,""),$D145*SUMIFS('Session Tracker'!$J$5:$J$149,'Session Tracker'!$D$5:$D$149,$A145,'Session Tracker'!$F$5:$F$149,"Next week",'Session Tracker'!$G$5:$G$149,""))</f>
        <v>0</v>
      </c>
    </row>
    <row r="146" customFormat="false" ht="15" hidden="false" customHeight="false" outlineLevel="0" collapsed="false">
      <c r="A146" s="75" t="s">
        <v>306</v>
      </c>
      <c r="B146" s="34" t="s">
        <v>369</v>
      </c>
      <c r="C146" s="34" t="s">
        <v>370</v>
      </c>
      <c r="D146" s="32" t="n">
        <v>3</v>
      </c>
      <c r="E146" s="32" t="s">
        <v>14</v>
      </c>
      <c r="F146" s="32" t="s">
        <v>368</v>
      </c>
      <c r="G146" s="34"/>
      <c r="H146" s="52" t="n">
        <f aca="false">IF($E146="Per class",$D146*COUNTIFS('Session Tracker'!$D$5:$D$149,$A146,'Session Tracker'!$F$5:$F$149,"Next week",'Session Tracker'!$G$5:$G$149,"Mon"),$D146*SUMIFS('Session Tracker'!$J$5:$J$149,'Session Tracker'!$D$5:$D$149,$A146,'Session Tracker'!$F$5:$F$149,"Next week",'Session Tracker'!$G$5:$G$149,"Mon"))</f>
        <v>0</v>
      </c>
      <c r="I146" s="52" t="n">
        <f aca="false">IF($E146="Per class",$D146*COUNTIFS('Session Tracker'!$D$5:$D$149,$A146,'Session Tracker'!$F$5:$F$149,"Next week",'Session Tracker'!$G$5:$G$149,"Tue"),$D146*SUMIFS('Session Tracker'!$J$5:$J$149,'Session Tracker'!$D$5:$D$149,$A146,'Session Tracker'!$F$5:$F$149,"Next week",'Session Tracker'!$G$5:$G$149,"Tue"))</f>
        <v>0</v>
      </c>
      <c r="J146" s="52" t="n">
        <f aca="false">IF($E146="Per class",$D146*COUNTIFS('Session Tracker'!$D$5:$D$149,$A146,'Session Tracker'!$F$5:$F$149,"Next week",'Session Tracker'!$G$5:$G$149,"Wed"),$D146*SUMIFS('Session Tracker'!$J$5:$J$149,'Session Tracker'!$D$5:$D$149,$A146,'Session Tracker'!$F$5:$F$149,"Next week",'Session Tracker'!$G$5:$G$149,"Wed"))</f>
        <v>0</v>
      </c>
      <c r="K146" s="52" t="n">
        <f aca="false">IF($E146="Per class",$D146*COUNTIFS('Session Tracker'!$D$5:$D$149,$A146,'Session Tracker'!$F$5:$F$149,"Next week",'Session Tracker'!$G$5:$G$149,"Thu"),$D146*SUMIFS('Session Tracker'!$J$5:$J$149,'Session Tracker'!$D$5:$D$149,$A146,'Session Tracker'!$F$5:$F$149,"Next week",'Session Tracker'!$G$5:$G$149,"Thu"))</f>
        <v>0</v>
      </c>
      <c r="L146" s="52" t="n">
        <f aca="false">IF($E146="Per class",$D146*COUNTIFS('Session Tracker'!$D$5:$D$149,$A146,'Session Tracker'!$F$5:$F$149,"Next week",'Session Tracker'!$G$5:$G$149,"Fri"),$D146*SUMIFS('Session Tracker'!$J$5:$J$149,'Session Tracker'!$D$5:$D$149,$A146,'Session Tracker'!$F$5:$F$149,"Next week",'Session Tracker'!$G$5:$G$149,"Fri"))</f>
        <v>0</v>
      </c>
      <c r="M146" s="52" t="n">
        <f aca="false">IF($E146="Per class",$D146*COUNTIFS('Session Tracker'!$D$5:$D$149,$A146,'Session Tracker'!$F$5:$F$149,"Next week",'Session Tracker'!$G$5:$G$149,""),$D146*SUMIFS('Session Tracker'!$J$5:$J$149,'Session Tracker'!$D$5:$D$149,$A146,'Session Tracker'!$F$5:$F$149,"Next week",'Session Tracker'!$G$5:$G$149,""))</f>
        <v>0</v>
      </c>
    </row>
    <row r="147" customFormat="false" ht="15" hidden="false" customHeight="false" outlineLevel="0" collapsed="false">
      <c r="A147" s="75" t="s">
        <v>306</v>
      </c>
      <c r="B147" s="34" t="s">
        <v>371</v>
      </c>
      <c r="C147" s="34" t="s">
        <v>372</v>
      </c>
      <c r="D147" s="32" t="n">
        <v>6</v>
      </c>
      <c r="E147" s="32" t="s">
        <v>14</v>
      </c>
      <c r="F147" s="32" t="s">
        <v>373</v>
      </c>
      <c r="G147" s="34" t="s">
        <v>671</v>
      </c>
      <c r="H147" s="52" t="n">
        <f aca="false">IF($E147="Per class",$D147*COUNTIFS('Session Tracker'!$D$5:$D$149,$A147,'Session Tracker'!$F$5:$F$149,"Next week",'Session Tracker'!$G$5:$G$149,"Mon"),$D147*SUMIFS('Session Tracker'!$J$5:$J$149,'Session Tracker'!$D$5:$D$149,$A147,'Session Tracker'!$F$5:$F$149,"Next week",'Session Tracker'!$G$5:$G$149,"Mon"))</f>
        <v>0</v>
      </c>
      <c r="I147" s="52" t="n">
        <f aca="false">IF($E147="Per class",$D147*COUNTIFS('Session Tracker'!$D$5:$D$149,$A147,'Session Tracker'!$F$5:$F$149,"Next week",'Session Tracker'!$G$5:$G$149,"Tue"),$D147*SUMIFS('Session Tracker'!$J$5:$J$149,'Session Tracker'!$D$5:$D$149,$A147,'Session Tracker'!$F$5:$F$149,"Next week",'Session Tracker'!$G$5:$G$149,"Tue"))</f>
        <v>0</v>
      </c>
      <c r="J147" s="52" t="n">
        <f aca="false">IF($E147="Per class",$D147*COUNTIFS('Session Tracker'!$D$5:$D$149,$A147,'Session Tracker'!$F$5:$F$149,"Next week",'Session Tracker'!$G$5:$G$149,"Wed"),$D147*SUMIFS('Session Tracker'!$J$5:$J$149,'Session Tracker'!$D$5:$D$149,$A147,'Session Tracker'!$F$5:$F$149,"Next week",'Session Tracker'!$G$5:$G$149,"Wed"))</f>
        <v>0</v>
      </c>
      <c r="K147" s="52" t="n">
        <f aca="false">IF($E147="Per class",$D147*COUNTIFS('Session Tracker'!$D$5:$D$149,$A147,'Session Tracker'!$F$5:$F$149,"Next week",'Session Tracker'!$G$5:$G$149,"Thu"),$D147*SUMIFS('Session Tracker'!$J$5:$J$149,'Session Tracker'!$D$5:$D$149,$A147,'Session Tracker'!$F$5:$F$149,"Next week",'Session Tracker'!$G$5:$G$149,"Thu"))</f>
        <v>0</v>
      </c>
      <c r="L147" s="52" t="n">
        <f aca="false">IF($E147="Per class",$D147*COUNTIFS('Session Tracker'!$D$5:$D$149,$A147,'Session Tracker'!$F$5:$F$149,"Next week",'Session Tracker'!$G$5:$G$149,"Fri"),$D147*SUMIFS('Session Tracker'!$J$5:$J$149,'Session Tracker'!$D$5:$D$149,$A147,'Session Tracker'!$F$5:$F$149,"Next week",'Session Tracker'!$G$5:$G$149,"Fri"))</f>
        <v>0</v>
      </c>
      <c r="M147" s="52" t="n">
        <f aca="false">IF($E147="Per class",$D147*COUNTIFS('Session Tracker'!$D$5:$D$149,$A147,'Session Tracker'!$F$5:$F$149,"Next week",'Session Tracker'!$G$5:$G$149,""),$D147*SUMIFS('Session Tracker'!$J$5:$J$149,'Session Tracker'!$D$5:$D$149,$A147,'Session Tracker'!$F$5:$F$149,"Next week",'Session Tracker'!$G$5:$G$149,""))</f>
        <v>0</v>
      </c>
    </row>
    <row r="148" customFormat="false" ht="15" hidden="false" customHeight="false" outlineLevel="0" collapsed="false">
      <c r="A148" s="75" t="s">
        <v>306</v>
      </c>
      <c r="B148" s="34" t="s">
        <v>375</v>
      </c>
      <c r="C148" s="34" t="s">
        <v>376</v>
      </c>
      <c r="D148" s="32" t="n">
        <v>6</v>
      </c>
      <c r="E148" s="32" t="s">
        <v>14</v>
      </c>
      <c r="F148" s="32" t="s">
        <v>373</v>
      </c>
      <c r="G148" s="34"/>
      <c r="H148" s="52" t="n">
        <f aca="false">IF($E148="Per class",$D148*COUNTIFS('Session Tracker'!$D$5:$D$149,$A148,'Session Tracker'!$F$5:$F$149,"Next week",'Session Tracker'!$G$5:$G$149,"Mon"),$D148*SUMIFS('Session Tracker'!$J$5:$J$149,'Session Tracker'!$D$5:$D$149,$A148,'Session Tracker'!$F$5:$F$149,"Next week",'Session Tracker'!$G$5:$G$149,"Mon"))</f>
        <v>0</v>
      </c>
      <c r="I148" s="52" t="n">
        <f aca="false">IF($E148="Per class",$D148*COUNTIFS('Session Tracker'!$D$5:$D$149,$A148,'Session Tracker'!$F$5:$F$149,"Next week",'Session Tracker'!$G$5:$G$149,"Tue"),$D148*SUMIFS('Session Tracker'!$J$5:$J$149,'Session Tracker'!$D$5:$D$149,$A148,'Session Tracker'!$F$5:$F$149,"Next week",'Session Tracker'!$G$5:$G$149,"Tue"))</f>
        <v>0</v>
      </c>
      <c r="J148" s="52" t="n">
        <f aca="false">IF($E148="Per class",$D148*COUNTIFS('Session Tracker'!$D$5:$D$149,$A148,'Session Tracker'!$F$5:$F$149,"Next week",'Session Tracker'!$G$5:$G$149,"Wed"),$D148*SUMIFS('Session Tracker'!$J$5:$J$149,'Session Tracker'!$D$5:$D$149,$A148,'Session Tracker'!$F$5:$F$149,"Next week",'Session Tracker'!$G$5:$G$149,"Wed"))</f>
        <v>0</v>
      </c>
      <c r="K148" s="52" t="n">
        <f aca="false">IF($E148="Per class",$D148*COUNTIFS('Session Tracker'!$D$5:$D$149,$A148,'Session Tracker'!$F$5:$F$149,"Next week",'Session Tracker'!$G$5:$G$149,"Thu"),$D148*SUMIFS('Session Tracker'!$J$5:$J$149,'Session Tracker'!$D$5:$D$149,$A148,'Session Tracker'!$F$5:$F$149,"Next week",'Session Tracker'!$G$5:$G$149,"Thu"))</f>
        <v>0</v>
      </c>
      <c r="L148" s="52" t="n">
        <f aca="false">IF($E148="Per class",$D148*COUNTIFS('Session Tracker'!$D$5:$D$149,$A148,'Session Tracker'!$F$5:$F$149,"Next week",'Session Tracker'!$G$5:$G$149,"Fri"),$D148*SUMIFS('Session Tracker'!$J$5:$J$149,'Session Tracker'!$D$5:$D$149,$A148,'Session Tracker'!$F$5:$F$149,"Next week",'Session Tracker'!$G$5:$G$149,"Fri"))</f>
        <v>0</v>
      </c>
      <c r="M148" s="52" t="n">
        <f aca="false">IF($E148="Per class",$D148*COUNTIFS('Session Tracker'!$D$5:$D$149,$A148,'Session Tracker'!$F$5:$F$149,"Next week",'Session Tracker'!$G$5:$G$149,""),$D148*SUMIFS('Session Tracker'!$J$5:$J$149,'Session Tracker'!$D$5:$D$149,$A148,'Session Tracker'!$F$5:$F$149,"Next week",'Session Tracker'!$G$5:$G$149,""))</f>
        <v>0</v>
      </c>
    </row>
    <row r="149" customFormat="false" ht="15" hidden="false" customHeight="false" outlineLevel="0" collapsed="false">
      <c r="A149" s="75" t="s">
        <v>306</v>
      </c>
      <c r="B149" s="34" t="s">
        <v>375</v>
      </c>
      <c r="C149" s="34" t="s">
        <v>547</v>
      </c>
      <c r="D149" s="32" t="n">
        <v>3</v>
      </c>
      <c r="E149" s="32" t="s">
        <v>14</v>
      </c>
      <c r="F149" s="32" t="s">
        <v>373</v>
      </c>
      <c r="G149" s="34" t="s">
        <v>672</v>
      </c>
      <c r="H149" s="52" t="n">
        <f aca="false">IF($E149="Per class",$D149*COUNTIFS('Session Tracker'!$D$5:$D$149,$A149,'Session Tracker'!$F$5:$F$149,"Next week",'Session Tracker'!$G$5:$G$149,"Mon"),$D149*SUMIFS('Session Tracker'!$J$5:$J$149,'Session Tracker'!$D$5:$D$149,$A149,'Session Tracker'!$F$5:$F$149,"Next week",'Session Tracker'!$G$5:$G$149,"Mon"))</f>
        <v>0</v>
      </c>
      <c r="I149" s="52" t="n">
        <f aca="false">IF($E149="Per class",$D149*COUNTIFS('Session Tracker'!$D$5:$D$149,$A149,'Session Tracker'!$F$5:$F$149,"Next week",'Session Tracker'!$G$5:$G$149,"Tue"),$D149*SUMIFS('Session Tracker'!$J$5:$J$149,'Session Tracker'!$D$5:$D$149,$A149,'Session Tracker'!$F$5:$F$149,"Next week",'Session Tracker'!$G$5:$G$149,"Tue"))</f>
        <v>0</v>
      </c>
      <c r="J149" s="52" t="n">
        <f aca="false">IF($E149="Per class",$D149*COUNTIFS('Session Tracker'!$D$5:$D$149,$A149,'Session Tracker'!$F$5:$F$149,"Next week",'Session Tracker'!$G$5:$G$149,"Wed"),$D149*SUMIFS('Session Tracker'!$J$5:$J$149,'Session Tracker'!$D$5:$D$149,$A149,'Session Tracker'!$F$5:$F$149,"Next week",'Session Tracker'!$G$5:$G$149,"Wed"))</f>
        <v>0</v>
      </c>
      <c r="K149" s="52" t="n">
        <f aca="false">IF($E149="Per class",$D149*COUNTIFS('Session Tracker'!$D$5:$D$149,$A149,'Session Tracker'!$F$5:$F$149,"Next week",'Session Tracker'!$G$5:$G$149,"Thu"),$D149*SUMIFS('Session Tracker'!$J$5:$J$149,'Session Tracker'!$D$5:$D$149,$A149,'Session Tracker'!$F$5:$F$149,"Next week",'Session Tracker'!$G$5:$G$149,"Thu"))</f>
        <v>0</v>
      </c>
      <c r="L149" s="52" t="n">
        <f aca="false">IF($E149="Per class",$D149*COUNTIFS('Session Tracker'!$D$5:$D$149,$A149,'Session Tracker'!$F$5:$F$149,"Next week",'Session Tracker'!$G$5:$G$149,"Fri"),$D149*SUMIFS('Session Tracker'!$J$5:$J$149,'Session Tracker'!$D$5:$D$149,$A149,'Session Tracker'!$F$5:$F$149,"Next week",'Session Tracker'!$G$5:$G$149,"Fri"))</f>
        <v>0</v>
      </c>
      <c r="M149" s="52" t="n">
        <f aca="false">IF($E149="Per class",$D149*COUNTIFS('Session Tracker'!$D$5:$D$149,$A149,'Session Tracker'!$F$5:$F$149,"Next week",'Session Tracker'!$G$5:$G$149,""),$D149*SUMIFS('Session Tracker'!$J$5:$J$149,'Session Tracker'!$D$5:$D$149,$A149,'Session Tracker'!$F$5:$F$149,"Next week",'Session Tracker'!$G$5:$G$149,""))</f>
        <v>0</v>
      </c>
    </row>
    <row r="150" customFormat="false" ht="15" hidden="false" customHeight="false" outlineLevel="0" collapsed="false">
      <c r="A150" s="75" t="s">
        <v>306</v>
      </c>
      <c r="B150" s="34" t="s">
        <v>375</v>
      </c>
      <c r="C150" s="34" t="s">
        <v>417</v>
      </c>
      <c r="D150" s="32" t="n">
        <v>3</v>
      </c>
      <c r="E150" s="32" t="s">
        <v>14</v>
      </c>
      <c r="F150" s="32" t="s">
        <v>373</v>
      </c>
      <c r="G150" s="34" t="s">
        <v>672</v>
      </c>
      <c r="H150" s="52" t="n">
        <f aca="false">IF($E150="Per class",$D150*COUNTIFS('Session Tracker'!$D$5:$D$149,$A150,'Session Tracker'!$F$5:$F$149,"Next week",'Session Tracker'!$G$5:$G$149,"Mon"),$D150*SUMIFS('Session Tracker'!$J$5:$J$149,'Session Tracker'!$D$5:$D$149,$A150,'Session Tracker'!$F$5:$F$149,"Next week",'Session Tracker'!$G$5:$G$149,"Mon"))</f>
        <v>0</v>
      </c>
      <c r="I150" s="52" t="n">
        <f aca="false">IF($E150="Per class",$D150*COUNTIFS('Session Tracker'!$D$5:$D$149,$A150,'Session Tracker'!$F$5:$F$149,"Next week",'Session Tracker'!$G$5:$G$149,"Tue"),$D150*SUMIFS('Session Tracker'!$J$5:$J$149,'Session Tracker'!$D$5:$D$149,$A150,'Session Tracker'!$F$5:$F$149,"Next week",'Session Tracker'!$G$5:$G$149,"Tue"))</f>
        <v>0</v>
      </c>
      <c r="J150" s="52" t="n">
        <f aca="false">IF($E150="Per class",$D150*COUNTIFS('Session Tracker'!$D$5:$D$149,$A150,'Session Tracker'!$F$5:$F$149,"Next week",'Session Tracker'!$G$5:$G$149,"Wed"),$D150*SUMIFS('Session Tracker'!$J$5:$J$149,'Session Tracker'!$D$5:$D$149,$A150,'Session Tracker'!$F$5:$F$149,"Next week",'Session Tracker'!$G$5:$G$149,"Wed"))</f>
        <v>0</v>
      </c>
      <c r="K150" s="52" t="n">
        <f aca="false">IF($E150="Per class",$D150*COUNTIFS('Session Tracker'!$D$5:$D$149,$A150,'Session Tracker'!$F$5:$F$149,"Next week",'Session Tracker'!$G$5:$G$149,"Thu"),$D150*SUMIFS('Session Tracker'!$J$5:$J$149,'Session Tracker'!$D$5:$D$149,$A150,'Session Tracker'!$F$5:$F$149,"Next week",'Session Tracker'!$G$5:$G$149,"Thu"))</f>
        <v>0</v>
      </c>
      <c r="L150" s="52" t="n">
        <f aca="false">IF($E150="Per class",$D150*COUNTIFS('Session Tracker'!$D$5:$D$149,$A150,'Session Tracker'!$F$5:$F$149,"Next week",'Session Tracker'!$G$5:$G$149,"Fri"),$D150*SUMIFS('Session Tracker'!$J$5:$J$149,'Session Tracker'!$D$5:$D$149,$A150,'Session Tracker'!$F$5:$F$149,"Next week",'Session Tracker'!$G$5:$G$149,"Fri"))</f>
        <v>0</v>
      </c>
      <c r="M150" s="52" t="n">
        <f aca="false">IF($E150="Per class",$D150*COUNTIFS('Session Tracker'!$D$5:$D$149,$A150,'Session Tracker'!$F$5:$F$149,"Next week",'Session Tracker'!$G$5:$G$149,""),$D150*SUMIFS('Session Tracker'!$J$5:$J$149,'Session Tracker'!$D$5:$D$149,$A150,'Session Tracker'!$F$5:$F$149,"Next week",'Session Tracker'!$G$5:$G$149,""))</f>
        <v>0</v>
      </c>
    </row>
    <row r="151" customFormat="false" ht="15" hidden="false" customHeight="false" outlineLevel="0" collapsed="false">
      <c r="A151" s="75" t="s">
        <v>306</v>
      </c>
      <c r="B151" s="34" t="s">
        <v>411</v>
      </c>
      <c r="C151" s="34" t="s">
        <v>440</v>
      </c>
      <c r="D151" s="32" t="n">
        <v>2</v>
      </c>
      <c r="E151" s="32" t="s">
        <v>14</v>
      </c>
      <c r="F151" s="32" t="s">
        <v>373</v>
      </c>
      <c r="G151" s="34" t="s">
        <v>673</v>
      </c>
      <c r="H151" s="52" t="n">
        <f aca="false">IF($E151="Per class",$D151*COUNTIFS('Session Tracker'!$D$5:$D$149,$A151,'Session Tracker'!$F$5:$F$149,"Next week",'Session Tracker'!$G$5:$G$149,"Mon"),$D151*SUMIFS('Session Tracker'!$J$5:$J$149,'Session Tracker'!$D$5:$D$149,$A151,'Session Tracker'!$F$5:$F$149,"Next week",'Session Tracker'!$G$5:$G$149,"Mon"))</f>
        <v>0</v>
      </c>
      <c r="I151" s="52" t="n">
        <f aca="false">IF($E151="Per class",$D151*COUNTIFS('Session Tracker'!$D$5:$D$149,$A151,'Session Tracker'!$F$5:$F$149,"Next week",'Session Tracker'!$G$5:$G$149,"Tue"),$D151*SUMIFS('Session Tracker'!$J$5:$J$149,'Session Tracker'!$D$5:$D$149,$A151,'Session Tracker'!$F$5:$F$149,"Next week",'Session Tracker'!$G$5:$G$149,"Tue"))</f>
        <v>0</v>
      </c>
      <c r="J151" s="52" t="n">
        <f aca="false">IF($E151="Per class",$D151*COUNTIFS('Session Tracker'!$D$5:$D$149,$A151,'Session Tracker'!$F$5:$F$149,"Next week",'Session Tracker'!$G$5:$G$149,"Wed"),$D151*SUMIFS('Session Tracker'!$J$5:$J$149,'Session Tracker'!$D$5:$D$149,$A151,'Session Tracker'!$F$5:$F$149,"Next week",'Session Tracker'!$G$5:$G$149,"Wed"))</f>
        <v>0</v>
      </c>
      <c r="K151" s="52" t="n">
        <f aca="false">IF($E151="Per class",$D151*COUNTIFS('Session Tracker'!$D$5:$D$149,$A151,'Session Tracker'!$F$5:$F$149,"Next week",'Session Tracker'!$G$5:$G$149,"Thu"),$D151*SUMIFS('Session Tracker'!$J$5:$J$149,'Session Tracker'!$D$5:$D$149,$A151,'Session Tracker'!$F$5:$F$149,"Next week",'Session Tracker'!$G$5:$G$149,"Thu"))</f>
        <v>0</v>
      </c>
      <c r="L151" s="52" t="n">
        <f aca="false">IF($E151="Per class",$D151*COUNTIFS('Session Tracker'!$D$5:$D$149,$A151,'Session Tracker'!$F$5:$F$149,"Next week",'Session Tracker'!$G$5:$G$149,"Fri"),$D151*SUMIFS('Session Tracker'!$J$5:$J$149,'Session Tracker'!$D$5:$D$149,$A151,'Session Tracker'!$F$5:$F$149,"Next week",'Session Tracker'!$G$5:$G$149,"Fri"))</f>
        <v>0</v>
      </c>
      <c r="M151" s="52" t="n">
        <f aca="false">IF($E151="Per class",$D151*COUNTIFS('Session Tracker'!$D$5:$D$149,$A151,'Session Tracker'!$F$5:$F$149,"Next week",'Session Tracker'!$G$5:$G$149,""),$D151*SUMIFS('Session Tracker'!$J$5:$J$149,'Session Tracker'!$D$5:$D$149,$A151,'Session Tracker'!$F$5:$F$149,"Next week",'Session Tracker'!$G$5:$G$149,""))</f>
        <v>0</v>
      </c>
    </row>
    <row r="152" customFormat="false" ht="15" hidden="false" customHeight="false" outlineLevel="0" collapsed="false">
      <c r="A152" s="75" t="s">
        <v>306</v>
      </c>
      <c r="B152" s="34" t="s">
        <v>379</v>
      </c>
      <c r="C152" s="34" t="s">
        <v>380</v>
      </c>
      <c r="D152" s="32" t="n">
        <v>1</v>
      </c>
      <c r="E152" s="32" t="s">
        <v>14</v>
      </c>
      <c r="F152" s="32" t="s">
        <v>368</v>
      </c>
      <c r="G152" s="34"/>
      <c r="H152" s="52" t="n">
        <f aca="false">IF($E152="Per class",$D152*COUNTIFS('Session Tracker'!$D$5:$D$149,$A152,'Session Tracker'!$F$5:$F$149,"Next week",'Session Tracker'!$G$5:$G$149,"Mon"),$D152*SUMIFS('Session Tracker'!$J$5:$J$149,'Session Tracker'!$D$5:$D$149,$A152,'Session Tracker'!$F$5:$F$149,"Next week",'Session Tracker'!$G$5:$G$149,"Mon"))</f>
        <v>0</v>
      </c>
      <c r="I152" s="52" t="n">
        <f aca="false">IF($E152="Per class",$D152*COUNTIFS('Session Tracker'!$D$5:$D$149,$A152,'Session Tracker'!$F$5:$F$149,"Next week",'Session Tracker'!$G$5:$G$149,"Tue"),$D152*SUMIFS('Session Tracker'!$J$5:$J$149,'Session Tracker'!$D$5:$D$149,$A152,'Session Tracker'!$F$5:$F$149,"Next week",'Session Tracker'!$G$5:$G$149,"Tue"))</f>
        <v>0</v>
      </c>
      <c r="J152" s="52" t="n">
        <f aca="false">IF($E152="Per class",$D152*COUNTIFS('Session Tracker'!$D$5:$D$149,$A152,'Session Tracker'!$F$5:$F$149,"Next week",'Session Tracker'!$G$5:$G$149,"Wed"),$D152*SUMIFS('Session Tracker'!$J$5:$J$149,'Session Tracker'!$D$5:$D$149,$A152,'Session Tracker'!$F$5:$F$149,"Next week",'Session Tracker'!$G$5:$G$149,"Wed"))</f>
        <v>0</v>
      </c>
      <c r="K152" s="52" t="n">
        <f aca="false">IF($E152="Per class",$D152*COUNTIFS('Session Tracker'!$D$5:$D$149,$A152,'Session Tracker'!$F$5:$F$149,"Next week",'Session Tracker'!$G$5:$G$149,"Thu"),$D152*SUMIFS('Session Tracker'!$J$5:$J$149,'Session Tracker'!$D$5:$D$149,$A152,'Session Tracker'!$F$5:$F$149,"Next week",'Session Tracker'!$G$5:$G$149,"Thu"))</f>
        <v>0</v>
      </c>
      <c r="L152" s="52" t="n">
        <f aca="false">IF($E152="Per class",$D152*COUNTIFS('Session Tracker'!$D$5:$D$149,$A152,'Session Tracker'!$F$5:$F$149,"Next week",'Session Tracker'!$G$5:$G$149,"Fri"),$D152*SUMIFS('Session Tracker'!$J$5:$J$149,'Session Tracker'!$D$5:$D$149,$A152,'Session Tracker'!$F$5:$F$149,"Next week",'Session Tracker'!$G$5:$G$149,"Fri"))</f>
        <v>0</v>
      </c>
      <c r="M152" s="52" t="n">
        <f aca="false">IF($E152="Per class",$D152*COUNTIFS('Session Tracker'!$D$5:$D$149,$A152,'Session Tracker'!$F$5:$F$149,"Next week",'Session Tracker'!$G$5:$G$149,""),$D152*SUMIFS('Session Tracker'!$J$5:$J$149,'Session Tracker'!$D$5:$D$149,$A152,'Session Tracker'!$F$5:$F$149,"Next week",'Session Tracker'!$G$5:$G$149,""))</f>
        <v>0</v>
      </c>
    </row>
    <row r="153" customFormat="false" ht="15" hidden="false" customHeight="false" outlineLevel="0" collapsed="false">
      <c r="A153" s="75" t="s">
        <v>306</v>
      </c>
      <c r="B153" s="34" t="s">
        <v>379</v>
      </c>
      <c r="C153" s="34" t="s">
        <v>381</v>
      </c>
      <c r="D153" s="32" t="n">
        <v>20</v>
      </c>
      <c r="E153" s="32" t="s">
        <v>14</v>
      </c>
      <c r="F153" s="32" t="s">
        <v>368</v>
      </c>
      <c r="G153" s="34"/>
      <c r="H153" s="52" t="n">
        <f aca="false">IF($E153="Per class",$D153*COUNTIFS('Session Tracker'!$D$5:$D$149,$A153,'Session Tracker'!$F$5:$F$149,"Next week",'Session Tracker'!$G$5:$G$149,"Mon"),$D153*SUMIFS('Session Tracker'!$J$5:$J$149,'Session Tracker'!$D$5:$D$149,$A153,'Session Tracker'!$F$5:$F$149,"Next week",'Session Tracker'!$G$5:$G$149,"Mon"))</f>
        <v>0</v>
      </c>
      <c r="I153" s="52" t="n">
        <f aca="false">IF($E153="Per class",$D153*COUNTIFS('Session Tracker'!$D$5:$D$149,$A153,'Session Tracker'!$F$5:$F$149,"Next week",'Session Tracker'!$G$5:$G$149,"Tue"),$D153*SUMIFS('Session Tracker'!$J$5:$J$149,'Session Tracker'!$D$5:$D$149,$A153,'Session Tracker'!$F$5:$F$149,"Next week",'Session Tracker'!$G$5:$G$149,"Tue"))</f>
        <v>0</v>
      </c>
      <c r="J153" s="52" t="n">
        <f aca="false">IF($E153="Per class",$D153*COUNTIFS('Session Tracker'!$D$5:$D$149,$A153,'Session Tracker'!$F$5:$F$149,"Next week",'Session Tracker'!$G$5:$G$149,"Wed"),$D153*SUMIFS('Session Tracker'!$J$5:$J$149,'Session Tracker'!$D$5:$D$149,$A153,'Session Tracker'!$F$5:$F$149,"Next week",'Session Tracker'!$G$5:$G$149,"Wed"))</f>
        <v>0</v>
      </c>
      <c r="K153" s="52" t="n">
        <f aca="false">IF($E153="Per class",$D153*COUNTIFS('Session Tracker'!$D$5:$D$149,$A153,'Session Tracker'!$F$5:$F$149,"Next week",'Session Tracker'!$G$5:$G$149,"Thu"),$D153*SUMIFS('Session Tracker'!$J$5:$J$149,'Session Tracker'!$D$5:$D$149,$A153,'Session Tracker'!$F$5:$F$149,"Next week",'Session Tracker'!$G$5:$G$149,"Thu"))</f>
        <v>0</v>
      </c>
      <c r="L153" s="52" t="n">
        <f aca="false">IF($E153="Per class",$D153*COUNTIFS('Session Tracker'!$D$5:$D$149,$A153,'Session Tracker'!$F$5:$F$149,"Next week",'Session Tracker'!$G$5:$G$149,"Fri"),$D153*SUMIFS('Session Tracker'!$J$5:$J$149,'Session Tracker'!$D$5:$D$149,$A153,'Session Tracker'!$F$5:$F$149,"Next week",'Session Tracker'!$G$5:$G$149,"Fri"))</f>
        <v>0</v>
      </c>
      <c r="M153" s="52" t="n">
        <f aca="false">IF($E153="Per class",$D153*COUNTIFS('Session Tracker'!$D$5:$D$149,$A153,'Session Tracker'!$F$5:$F$149,"Next week",'Session Tracker'!$G$5:$G$149,""),$D153*SUMIFS('Session Tracker'!$J$5:$J$149,'Session Tracker'!$D$5:$D$149,$A153,'Session Tracker'!$F$5:$F$149,"Next week",'Session Tracker'!$G$5:$G$149,""))</f>
        <v>0</v>
      </c>
    </row>
    <row r="154" customFormat="false" ht="15" hidden="false" customHeight="false" outlineLevel="0" collapsed="false">
      <c r="A154" s="75" t="s">
        <v>306</v>
      </c>
      <c r="B154" s="34" t="s">
        <v>379</v>
      </c>
      <c r="C154" s="34" t="s">
        <v>395</v>
      </c>
      <c r="D154" s="32" t="n">
        <v>12</v>
      </c>
      <c r="E154" s="32" t="s">
        <v>14</v>
      </c>
      <c r="F154" s="32" t="s">
        <v>368</v>
      </c>
      <c r="G154" s="34"/>
      <c r="H154" s="52" t="n">
        <f aca="false">IF($E154="Per class",$D154*COUNTIFS('Session Tracker'!$D$5:$D$149,$A154,'Session Tracker'!$F$5:$F$149,"Next week",'Session Tracker'!$G$5:$G$149,"Mon"),$D154*SUMIFS('Session Tracker'!$J$5:$J$149,'Session Tracker'!$D$5:$D$149,$A154,'Session Tracker'!$F$5:$F$149,"Next week",'Session Tracker'!$G$5:$G$149,"Mon"))</f>
        <v>0</v>
      </c>
      <c r="I154" s="52" t="n">
        <f aca="false">IF($E154="Per class",$D154*COUNTIFS('Session Tracker'!$D$5:$D$149,$A154,'Session Tracker'!$F$5:$F$149,"Next week",'Session Tracker'!$G$5:$G$149,"Tue"),$D154*SUMIFS('Session Tracker'!$J$5:$J$149,'Session Tracker'!$D$5:$D$149,$A154,'Session Tracker'!$F$5:$F$149,"Next week",'Session Tracker'!$G$5:$G$149,"Tue"))</f>
        <v>0</v>
      </c>
      <c r="J154" s="52" t="n">
        <f aca="false">IF($E154="Per class",$D154*COUNTIFS('Session Tracker'!$D$5:$D$149,$A154,'Session Tracker'!$F$5:$F$149,"Next week",'Session Tracker'!$G$5:$G$149,"Wed"),$D154*SUMIFS('Session Tracker'!$J$5:$J$149,'Session Tracker'!$D$5:$D$149,$A154,'Session Tracker'!$F$5:$F$149,"Next week",'Session Tracker'!$G$5:$G$149,"Wed"))</f>
        <v>0</v>
      </c>
      <c r="K154" s="52" t="n">
        <f aca="false">IF($E154="Per class",$D154*COUNTIFS('Session Tracker'!$D$5:$D$149,$A154,'Session Tracker'!$F$5:$F$149,"Next week",'Session Tracker'!$G$5:$G$149,"Thu"),$D154*SUMIFS('Session Tracker'!$J$5:$J$149,'Session Tracker'!$D$5:$D$149,$A154,'Session Tracker'!$F$5:$F$149,"Next week",'Session Tracker'!$G$5:$G$149,"Thu"))</f>
        <v>0</v>
      </c>
      <c r="L154" s="52" t="n">
        <f aca="false">IF($E154="Per class",$D154*COUNTIFS('Session Tracker'!$D$5:$D$149,$A154,'Session Tracker'!$F$5:$F$149,"Next week",'Session Tracker'!$G$5:$G$149,"Fri"),$D154*SUMIFS('Session Tracker'!$J$5:$J$149,'Session Tracker'!$D$5:$D$149,$A154,'Session Tracker'!$F$5:$F$149,"Next week",'Session Tracker'!$G$5:$G$149,"Fri"))</f>
        <v>0</v>
      </c>
      <c r="M154" s="52" t="n">
        <f aca="false">IF($E154="Per class",$D154*COUNTIFS('Session Tracker'!$D$5:$D$149,$A154,'Session Tracker'!$F$5:$F$149,"Next week",'Session Tracker'!$G$5:$G$149,""),$D154*SUMIFS('Session Tracker'!$J$5:$J$149,'Session Tracker'!$D$5:$D$149,$A154,'Session Tracker'!$F$5:$F$149,"Next week",'Session Tracker'!$G$5:$G$149,""))</f>
        <v>0</v>
      </c>
    </row>
    <row r="155" customFormat="false" ht="15" hidden="false" customHeight="false" outlineLevel="0" collapsed="false">
      <c r="A155" s="75" t="s">
        <v>306</v>
      </c>
      <c r="B155" s="34" t="s">
        <v>382</v>
      </c>
      <c r="C155" s="34" t="s">
        <v>383</v>
      </c>
      <c r="D155" s="32" t="n">
        <v>1</v>
      </c>
      <c r="E155" s="32" t="s">
        <v>14</v>
      </c>
      <c r="F155" s="32" t="s">
        <v>368</v>
      </c>
      <c r="G155" s="34"/>
      <c r="H155" s="52" t="n">
        <f aca="false">IF($E155="Per class",$D155*COUNTIFS('Session Tracker'!$D$5:$D$149,$A155,'Session Tracker'!$F$5:$F$149,"Next week",'Session Tracker'!$G$5:$G$149,"Mon"),$D155*SUMIFS('Session Tracker'!$J$5:$J$149,'Session Tracker'!$D$5:$D$149,$A155,'Session Tracker'!$F$5:$F$149,"Next week",'Session Tracker'!$G$5:$G$149,"Mon"))</f>
        <v>0</v>
      </c>
      <c r="I155" s="52" t="n">
        <f aca="false">IF($E155="Per class",$D155*COUNTIFS('Session Tracker'!$D$5:$D$149,$A155,'Session Tracker'!$F$5:$F$149,"Next week",'Session Tracker'!$G$5:$G$149,"Tue"),$D155*SUMIFS('Session Tracker'!$J$5:$J$149,'Session Tracker'!$D$5:$D$149,$A155,'Session Tracker'!$F$5:$F$149,"Next week",'Session Tracker'!$G$5:$G$149,"Tue"))</f>
        <v>0</v>
      </c>
      <c r="J155" s="52" t="n">
        <f aca="false">IF($E155="Per class",$D155*COUNTIFS('Session Tracker'!$D$5:$D$149,$A155,'Session Tracker'!$F$5:$F$149,"Next week",'Session Tracker'!$G$5:$G$149,"Wed"),$D155*SUMIFS('Session Tracker'!$J$5:$J$149,'Session Tracker'!$D$5:$D$149,$A155,'Session Tracker'!$F$5:$F$149,"Next week",'Session Tracker'!$G$5:$G$149,"Wed"))</f>
        <v>0</v>
      </c>
      <c r="K155" s="52" t="n">
        <f aca="false">IF($E155="Per class",$D155*COUNTIFS('Session Tracker'!$D$5:$D$149,$A155,'Session Tracker'!$F$5:$F$149,"Next week",'Session Tracker'!$G$5:$G$149,"Thu"),$D155*SUMIFS('Session Tracker'!$J$5:$J$149,'Session Tracker'!$D$5:$D$149,$A155,'Session Tracker'!$F$5:$F$149,"Next week",'Session Tracker'!$G$5:$G$149,"Thu"))</f>
        <v>0</v>
      </c>
      <c r="L155" s="52" t="n">
        <f aca="false">IF($E155="Per class",$D155*COUNTIFS('Session Tracker'!$D$5:$D$149,$A155,'Session Tracker'!$F$5:$F$149,"Next week",'Session Tracker'!$G$5:$G$149,"Fri"),$D155*SUMIFS('Session Tracker'!$J$5:$J$149,'Session Tracker'!$D$5:$D$149,$A155,'Session Tracker'!$F$5:$F$149,"Next week",'Session Tracker'!$G$5:$G$149,"Fri"))</f>
        <v>0</v>
      </c>
      <c r="M155" s="52" t="n">
        <f aca="false">IF($E155="Per class",$D155*COUNTIFS('Session Tracker'!$D$5:$D$149,$A155,'Session Tracker'!$F$5:$F$149,"Next week",'Session Tracker'!$G$5:$G$149,""),$D155*SUMIFS('Session Tracker'!$J$5:$J$149,'Session Tracker'!$D$5:$D$149,$A155,'Session Tracker'!$F$5:$F$149,"Next week",'Session Tracker'!$G$5:$G$149,""))</f>
        <v>0</v>
      </c>
    </row>
    <row r="156" customFormat="false" ht="15" hidden="false" customHeight="false" outlineLevel="0" collapsed="false">
      <c r="A156" s="53" t="s">
        <v>306</v>
      </c>
      <c r="B156" s="54"/>
      <c r="C156" s="54"/>
      <c r="D156" s="54"/>
      <c r="E156" s="54"/>
      <c r="F156" s="54"/>
      <c r="G156" s="54"/>
      <c r="H156" s="52" t="n">
        <f aca="false">IF($E156="Per class",$D156*COUNTIFS('Session Tracker'!$D$5:$D$149,$A156,'Session Tracker'!$F$5:$F$149,"Next week",'Session Tracker'!$G$5:$G$149,"Mon"),$D156*SUMIFS('Session Tracker'!$J$5:$J$149,'Session Tracker'!$D$5:$D$149,$A156,'Session Tracker'!$F$5:$F$149,"Next week",'Session Tracker'!$G$5:$G$149,"Mon"))</f>
        <v>0</v>
      </c>
      <c r="I156" s="52" t="n">
        <f aca="false">IF($E156="Per class",$D156*COUNTIFS('Session Tracker'!$D$5:$D$149,$A156,'Session Tracker'!$F$5:$F$149,"Next week",'Session Tracker'!$G$5:$G$149,"Tue"),$D156*SUMIFS('Session Tracker'!$J$5:$J$149,'Session Tracker'!$D$5:$D$149,$A156,'Session Tracker'!$F$5:$F$149,"Next week",'Session Tracker'!$G$5:$G$149,"Tue"))</f>
        <v>0</v>
      </c>
      <c r="J156" s="52" t="n">
        <f aca="false">IF($E156="Per class",$D156*COUNTIFS('Session Tracker'!$D$5:$D$149,$A156,'Session Tracker'!$F$5:$F$149,"Next week",'Session Tracker'!$G$5:$G$149,"Wed"),$D156*SUMIFS('Session Tracker'!$J$5:$J$149,'Session Tracker'!$D$5:$D$149,$A156,'Session Tracker'!$F$5:$F$149,"Next week",'Session Tracker'!$G$5:$G$149,"Wed"))</f>
        <v>0</v>
      </c>
      <c r="K156" s="52" t="n">
        <f aca="false">IF($E156="Per class",$D156*COUNTIFS('Session Tracker'!$D$5:$D$149,$A156,'Session Tracker'!$F$5:$F$149,"Next week",'Session Tracker'!$G$5:$G$149,"Thu"),$D156*SUMIFS('Session Tracker'!$J$5:$J$149,'Session Tracker'!$D$5:$D$149,$A156,'Session Tracker'!$F$5:$F$149,"Next week",'Session Tracker'!$G$5:$G$149,"Thu"))</f>
        <v>0</v>
      </c>
      <c r="L156" s="52" t="n">
        <f aca="false">IF($E156="Per class",$D156*COUNTIFS('Session Tracker'!$D$5:$D$149,$A156,'Session Tracker'!$F$5:$F$149,"Next week",'Session Tracker'!$G$5:$G$149,"Fri"),$D156*SUMIFS('Session Tracker'!$J$5:$J$149,'Session Tracker'!$D$5:$D$149,$A156,'Session Tracker'!$F$5:$F$149,"Next week",'Session Tracker'!$G$5:$G$149,"Fri"))</f>
        <v>0</v>
      </c>
      <c r="M156" s="52" t="n">
        <f aca="false">IF($E156="Per class",$D156*COUNTIFS('Session Tracker'!$D$5:$D$149,$A156,'Session Tracker'!$F$5:$F$149,"Next week",'Session Tracker'!$G$5:$G$149,""),$D156*SUMIFS('Session Tracker'!$J$5:$J$149,'Session Tracker'!$D$5:$D$149,$A156,'Session Tracker'!$F$5:$F$149,"Next week",'Session Tracker'!$G$5:$G$149,""))</f>
        <v>0</v>
      </c>
    </row>
    <row r="157" customFormat="false" ht="15" hidden="false" customHeight="false" outlineLevel="0" collapsed="false">
      <c r="A157" s="53" t="s">
        <v>306</v>
      </c>
      <c r="B157" s="54"/>
      <c r="C157" s="54"/>
      <c r="D157" s="54"/>
      <c r="E157" s="54"/>
      <c r="F157" s="54"/>
      <c r="G157" s="54"/>
      <c r="H157" s="52" t="n">
        <f aca="false">IF($E157="Per class",$D157*COUNTIFS('Session Tracker'!$D$5:$D$149,$A157,'Session Tracker'!$F$5:$F$149,"Next week",'Session Tracker'!$G$5:$G$149,"Mon"),$D157*SUMIFS('Session Tracker'!$J$5:$J$149,'Session Tracker'!$D$5:$D$149,$A157,'Session Tracker'!$F$5:$F$149,"Next week",'Session Tracker'!$G$5:$G$149,"Mon"))</f>
        <v>0</v>
      </c>
      <c r="I157" s="52" t="n">
        <f aca="false">IF($E157="Per class",$D157*COUNTIFS('Session Tracker'!$D$5:$D$149,$A157,'Session Tracker'!$F$5:$F$149,"Next week",'Session Tracker'!$G$5:$G$149,"Tue"),$D157*SUMIFS('Session Tracker'!$J$5:$J$149,'Session Tracker'!$D$5:$D$149,$A157,'Session Tracker'!$F$5:$F$149,"Next week",'Session Tracker'!$G$5:$G$149,"Tue"))</f>
        <v>0</v>
      </c>
      <c r="J157" s="52" t="n">
        <f aca="false">IF($E157="Per class",$D157*COUNTIFS('Session Tracker'!$D$5:$D$149,$A157,'Session Tracker'!$F$5:$F$149,"Next week",'Session Tracker'!$G$5:$G$149,"Wed"),$D157*SUMIFS('Session Tracker'!$J$5:$J$149,'Session Tracker'!$D$5:$D$149,$A157,'Session Tracker'!$F$5:$F$149,"Next week",'Session Tracker'!$G$5:$G$149,"Wed"))</f>
        <v>0</v>
      </c>
      <c r="K157" s="52" t="n">
        <f aca="false">IF($E157="Per class",$D157*COUNTIFS('Session Tracker'!$D$5:$D$149,$A157,'Session Tracker'!$F$5:$F$149,"Next week",'Session Tracker'!$G$5:$G$149,"Thu"),$D157*SUMIFS('Session Tracker'!$J$5:$J$149,'Session Tracker'!$D$5:$D$149,$A157,'Session Tracker'!$F$5:$F$149,"Next week",'Session Tracker'!$G$5:$G$149,"Thu"))</f>
        <v>0</v>
      </c>
      <c r="L157" s="52" t="n">
        <f aca="false">IF($E157="Per class",$D157*COUNTIFS('Session Tracker'!$D$5:$D$149,$A157,'Session Tracker'!$F$5:$F$149,"Next week",'Session Tracker'!$G$5:$G$149,"Fri"),$D157*SUMIFS('Session Tracker'!$J$5:$J$149,'Session Tracker'!$D$5:$D$149,$A157,'Session Tracker'!$F$5:$F$149,"Next week",'Session Tracker'!$G$5:$G$149,"Fri"))</f>
        <v>0</v>
      </c>
      <c r="M157" s="52" t="n">
        <f aca="false">IF($E157="Per class",$D157*COUNTIFS('Session Tracker'!$D$5:$D$149,$A157,'Session Tracker'!$F$5:$F$149,"Next week",'Session Tracker'!$G$5:$G$149,""),$D157*SUMIFS('Session Tracker'!$J$5:$J$149,'Session Tracker'!$D$5:$D$149,$A157,'Session Tracker'!$F$5:$F$149,"Next week",'Session Tracker'!$G$5:$G$149,""))</f>
        <v>0</v>
      </c>
    </row>
    <row r="159" customFormat="false" ht="19.5" hidden="false" customHeight="true" outlineLevel="0" collapsed="false">
      <c r="A159" s="71" t="s">
        <v>308</v>
      </c>
      <c r="B159" s="72" t="s">
        <v>674</v>
      </c>
      <c r="C159" s="72"/>
      <c r="D159" s="72"/>
      <c r="E159" s="72"/>
      <c r="F159" s="73" t="str">
        <f aca="false">"Status: "&amp;'Session Tracker'!F125&amp;IF('Session Tracker'!G125&lt;&gt;""," ("&amp;'Session Tracker'!G125&amp;")","")</f>
        <v>Status: Not started</v>
      </c>
      <c r="G159" s="73"/>
      <c r="H159" s="74"/>
      <c r="I159" s="74"/>
      <c r="J159" s="74"/>
      <c r="K159" s="74"/>
      <c r="L159" s="74"/>
      <c r="M159" s="74"/>
    </row>
    <row r="160" customFormat="false" ht="23.85" hidden="false" customHeight="false" outlineLevel="0" collapsed="false">
      <c r="A160" s="75" t="s">
        <v>308</v>
      </c>
      <c r="B160" s="34" t="s">
        <v>366</v>
      </c>
      <c r="C160" s="34" t="s">
        <v>391</v>
      </c>
      <c r="D160" s="32" t="n">
        <v>1</v>
      </c>
      <c r="E160" s="32" t="s">
        <v>14</v>
      </c>
      <c r="F160" s="32" t="s">
        <v>368</v>
      </c>
      <c r="G160" s="34"/>
      <c r="H160" s="52" t="n">
        <f aca="false">IF($E160="Per class",$D160*COUNTIFS('Session Tracker'!$D$5:$D$149,$A160,'Session Tracker'!$F$5:$F$149,"Next week",'Session Tracker'!$G$5:$G$149,"Mon"),$D160*SUMIFS('Session Tracker'!$J$5:$J$149,'Session Tracker'!$D$5:$D$149,$A160,'Session Tracker'!$F$5:$F$149,"Next week",'Session Tracker'!$G$5:$G$149,"Mon"))</f>
        <v>0</v>
      </c>
      <c r="I160" s="52" t="n">
        <f aca="false">IF($E160="Per class",$D160*COUNTIFS('Session Tracker'!$D$5:$D$149,$A160,'Session Tracker'!$F$5:$F$149,"Next week",'Session Tracker'!$G$5:$G$149,"Tue"),$D160*SUMIFS('Session Tracker'!$J$5:$J$149,'Session Tracker'!$D$5:$D$149,$A160,'Session Tracker'!$F$5:$F$149,"Next week",'Session Tracker'!$G$5:$G$149,"Tue"))</f>
        <v>0</v>
      </c>
      <c r="J160" s="52" t="n">
        <f aca="false">IF($E160="Per class",$D160*COUNTIFS('Session Tracker'!$D$5:$D$149,$A160,'Session Tracker'!$F$5:$F$149,"Next week",'Session Tracker'!$G$5:$G$149,"Wed"),$D160*SUMIFS('Session Tracker'!$J$5:$J$149,'Session Tracker'!$D$5:$D$149,$A160,'Session Tracker'!$F$5:$F$149,"Next week",'Session Tracker'!$G$5:$G$149,"Wed"))</f>
        <v>0</v>
      </c>
      <c r="K160" s="52" t="n">
        <f aca="false">IF($E160="Per class",$D160*COUNTIFS('Session Tracker'!$D$5:$D$149,$A160,'Session Tracker'!$F$5:$F$149,"Next week",'Session Tracker'!$G$5:$G$149,"Thu"),$D160*SUMIFS('Session Tracker'!$J$5:$J$149,'Session Tracker'!$D$5:$D$149,$A160,'Session Tracker'!$F$5:$F$149,"Next week",'Session Tracker'!$G$5:$G$149,"Thu"))</f>
        <v>0</v>
      </c>
      <c r="L160" s="52" t="n">
        <f aca="false">IF($E160="Per class",$D160*COUNTIFS('Session Tracker'!$D$5:$D$149,$A160,'Session Tracker'!$F$5:$F$149,"Next week",'Session Tracker'!$G$5:$G$149,"Fri"),$D160*SUMIFS('Session Tracker'!$J$5:$J$149,'Session Tracker'!$D$5:$D$149,$A160,'Session Tracker'!$F$5:$F$149,"Next week",'Session Tracker'!$G$5:$G$149,"Fri"))</f>
        <v>0</v>
      </c>
      <c r="M160" s="52" t="n">
        <f aca="false">IF($E160="Per class",$D160*COUNTIFS('Session Tracker'!$D$5:$D$149,$A160,'Session Tracker'!$F$5:$F$149,"Next week",'Session Tracker'!$G$5:$G$149,""),$D160*SUMIFS('Session Tracker'!$J$5:$J$149,'Session Tracker'!$D$5:$D$149,$A160,'Session Tracker'!$F$5:$F$149,"Next week",'Session Tracker'!$G$5:$G$149,""))</f>
        <v>0</v>
      </c>
    </row>
    <row r="161" customFormat="false" ht="15" hidden="false" customHeight="false" outlineLevel="0" collapsed="false">
      <c r="A161" s="75" t="s">
        <v>308</v>
      </c>
      <c r="B161" s="34" t="s">
        <v>586</v>
      </c>
      <c r="C161" s="34" t="s">
        <v>610</v>
      </c>
      <c r="D161" s="32" t="n">
        <v>1</v>
      </c>
      <c r="E161" s="32" t="s">
        <v>14</v>
      </c>
      <c r="F161" s="32" t="s">
        <v>368</v>
      </c>
      <c r="G161" s="34"/>
      <c r="H161" s="52" t="n">
        <f aca="false">IF($E161="Per class",$D161*COUNTIFS('Session Tracker'!$D$5:$D$149,$A161,'Session Tracker'!$F$5:$F$149,"Next week",'Session Tracker'!$G$5:$G$149,"Mon"),$D161*SUMIFS('Session Tracker'!$J$5:$J$149,'Session Tracker'!$D$5:$D$149,$A161,'Session Tracker'!$F$5:$F$149,"Next week",'Session Tracker'!$G$5:$G$149,"Mon"))</f>
        <v>0</v>
      </c>
      <c r="I161" s="52" t="n">
        <f aca="false">IF($E161="Per class",$D161*COUNTIFS('Session Tracker'!$D$5:$D$149,$A161,'Session Tracker'!$F$5:$F$149,"Next week",'Session Tracker'!$G$5:$G$149,"Tue"),$D161*SUMIFS('Session Tracker'!$J$5:$J$149,'Session Tracker'!$D$5:$D$149,$A161,'Session Tracker'!$F$5:$F$149,"Next week",'Session Tracker'!$G$5:$G$149,"Tue"))</f>
        <v>0</v>
      </c>
      <c r="J161" s="52" t="n">
        <f aca="false">IF($E161="Per class",$D161*COUNTIFS('Session Tracker'!$D$5:$D$149,$A161,'Session Tracker'!$F$5:$F$149,"Next week",'Session Tracker'!$G$5:$G$149,"Wed"),$D161*SUMIFS('Session Tracker'!$J$5:$J$149,'Session Tracker'!$D$5:$D$149,$A161,'Session Tracker'!$F$5:$F$149,"Next week",'Session Tracker'!$G$5:$G$149,"Wed"))</f>
        <v>0</v>
      </c>
      <c r="K161" s="52" t="n">
        <f aca="false">IF($E161="Per class",$D161*COUNTIFS('Session Tracker'!$D$5:$D$149,$A161,'Session Tracker'!$F$5:$F$149,"Next week",'Session Tracker'!$G$5:$G$149,"Thu"),$D161*SUMIFS('Session Tracker'!$J$5:$J$149,'Session Tracker'!$D$5:$D$149,$A161,'Session Tracker'!$F$5:$F$149,"Next week",'Session Tracker'!$G$5:$G$149,"Thu"))</f>
        <v>0</v>
      </c>
      <c r="L161" s="52" t="n">
        <f aca="false">IF($E161="Per class",$D161*COUNTIFS('Session Tracker'!$D$5:$D$149,$A161,'Session Tracker'!$F$5:$F$149,"Next week",'Session Tracker'!$G$5:$G$149,"Fri"),$D161*SUMIFS('Session Tracker'!$J$5:$J$149,'Session Tracker'!$D$5:$D$149,$A161,'Session Tracker'!$F$5:$F$149,"Next week",'Session Tracker'!$G$5:$G$149,"Fri"))</f>
        <v>0</v>
      </c>
      <c r="M161" s="52" t="n">
        <f aca="false">IF($E161="Per class",$D161*COUNTIFS('Session Tracker'!$D$5:$D$149,$A161,'Session Tracker'!$F$5:$F$149,"Next week",'Session Tracker'!$G$5:$G$149,""),$D161*SUMIFS('Session Tracker'!$J$5:$J$149,'Session Tracker'!$D$5:$D$149,$A161,'Session Tracker'!$F$5:$F$149,"Next week",'Session Tracker'!$G$5:$G$149,""))</f>
        <v>0</v>
      </c>
    </row>
    <row r="162" customFormat="false" ht="15" hidden="false" customHeight="false" outlineLevel="0" collapsed="false">
      <c r="A162" s="75" t="s">
        <v>308</v>
      </c>
      <c r="B162" s="34" t="s">
        <v>586</v>
      </c>
      <c r="C162" s="34" t="s">
        <v>587</v>
      </c>
      <c r="D162" s="32" t="n">
        <v>1</v>
      </c>
      <c r="E162" s="32" t="s">
        <v>14</v>
      </c>
      <c r="F162" s="32" t="s">
        <v>368</v>
      </c>
      <c r="G162" s="34"/>
      <c r="H162" s="52" t="n">
        <f aca="false">IF($E162="Per class",$D162*COUNTIFS('Session Tracker'!$D$5:$D$149,$A162,'Session Tracker'!$F$5:$F$149,"Next week",'Session Tracker'!$G$5:$G$149,"Mon"),$D162*SUMIFS('Session Tracker'!$J$5:$J$149,'Session Tracker'!$D$5:$D$149,$A162,'Session Tracker'!$F$5:$F$149,"Next week",'Session Tracker'!$G$5:$G$149,"Mon"))</f>
        <v>0</v>
      </c>
      <c r="I162" s="52" t="n">
        <f aca="false">IF($E162="Per class",$D162*COUNTIFS('Session Tracker'!$D$5:$D$149,$A162,'Session Tracker'!$F$5:$F$149,"Next week",'Session Tracker'!$G$5:$G$149,"Tue"),$D162*SUMIFS('Session Tracker'!$J$5:$J$149,'Session Tracker'!$D$5:$D$149,$A162,'Session Tracker'!$F$5:$F$149,"Next week",'Session Tracker'!$G$5:$G$149,"Tue"))</f>
        <v>0</v>
      </c>
      <c r="J162" s="52" t="n">
        <f aca="false">IF($E162="Per class",$D162*COUNTIFS('Session Tracker'!$D$5:$D$149,$A162,'Session Tracker'!$F$5:$F$149,"Next week",'Session Tracker'!$G$5:$G$149,"Wed"),$D162*SUMIFS('Session Tracker'!$J$5:$J$149,'Session Tracker'!$D$5:$D$149,$A162,'Session Tracker'!$F$5:$F$149,"Next week",'Session Tracker'!$G$5:$G$149,"Wed"))</f>
        <v>0</v>
      </c>
      <c r="K162" s="52" t="n">
        <f aca="false">IF($E162="Per class",$D162*COUNTIFS('Session Tracker'!$D$5:$D$149,$A162,'Session Tracker'!$F$5:$F$149,"Next week",'Session Tracker'!$G$5:$G$149,"Thu"),$D162*SUMIFS('Session Tracker'!$J$5:$J$149,'Session Tracker'!$D$5:$D$149,$A162,'Session Tracker'!$F$5:$F$149,"Next week",'Session Tracker'!$G$5:$G$149,"Thu"))</f>
        <v>0</v>
      </c>
      <c r="L162" s="52" t="n">
        <f aca="false">IF($E162="Per class",$D162*COUNTIFS('Session Tracker'!$D$5:$D$149,$A162,'Session Tracker'!$F$5:$F$149,"Next week",'Session Tracker'!$G$5:$G$149,"Fri"),$D162*SUMIFS('Session Tracker'!$J$5:$J$149,'Session Tracker'!$D$5:$D$149,$A162,'Session Tracker'!$F$5:$F$149,"Next week",'Session Tracker'!$G$5:$G$149,"Fri"))</f>
        <v>0</v>
      </c>
      <c r="M162" s="52" t="n">
        <f aca="false">IF($E162="Per class",$D162*COUNTIFS('Session Tracker'!$D$5:$D$149,$A162,'Session Tracker'!$F$5:$F$149,"Next week",'Session Tracker'!$G$5:$G$149,""),$D162*SUMIFS('Session Tracker'!$J$5:$J$149,'Session Tracker'!$D$5:$D$149,$A162,'Session Tracker'!$F$5:$F$149,"Next week",'Session Tracker'!$G$5:$G$149,""))</f>
        <v>0</v>
      </c>
    </row>
    <row r="163" customFormat="false" ht="15" hidden="false" customHeight="false" outlineLevel="0" collapsed="false">
      <c r="A163" s="75" t="s">
        <v>308</v>
      </c>
      <c r="B163" s="34" t="s">
        <v>377</v>
      </c>
      <c r="C163" s="34" t="s">
        <v>439</v>
      </c>
      <c r="D163" s="32" t="n">
        <v>1</v>
      </c>
      <c r="E163" s="32" t="s">
        <v>14</v>
      </c>
      <c r="F163" s="32" t="s">
        <v>368</v>
      </c>
      <c r="G163" s="34"/>
      <c r="H163" s="52" t="n">
        <f aca="false">IF($E163="Per class",$D163*COUNTIFS('Session Tracker'!$D$5:$D$149,$A163,'Session Tracker'!$F$5:$F$149,"Next week",'Session Tracker'!$G$5:$G$149,"Mon"),$D163*SUMIFS('Session Tracker'!$J$5:$J$149,'Session Tracker'!$D$5:$D$149,$A163,'Session Tracker'!$F$5:$F$149,"Next week",'Session Tracker'!$G$5:$G$149,"Mon"))</f>
        <v>0</v>
      </c>
      <c r="I163" s="52" t="n">
        <f aca="false">IF($E163="Per class",$D163*COUNTIFS('Session Tracker'!$D$5:$D$149,$A163,'Session Tracker'!$F$5:$F$149,"Next week",'Session Tracker'!$G$5:$G$149,"Tue"),$D163*SUMIFS('Session Tracker'!$J$5:$J$149,'Session Tracker'!$D$5:$D$149,$A163,'Session Tracker'!$F$5:$F$149,"Next week",'Session Tracker'!$G$5:$G$149,"Tue"))</f>
        <v>0</v>
      </c>
      <c r="J163" s="52" t="n">
        <f aca="false">IF($E163="Per class",$D163*COUNTIFS('Session Tracker'!$D$5:$D$149,$A163,'Session Tracker'!$F$5:$F$149,"Next week",'Session Tracker'!$G$5:$G$149,"Wed"),$D163*SUMIFS('Session Tracker'!$J$5:$J$149,'Session Tracker'!$D$5:$D$149,$A163,'Session Tracker'!$F$5:$F$149,"Next week",'Session Tracker'!$G$5:$G$149,"Wed"))</f>
        <v>0</v>
      </c>
      <c r="K163" s="52" t="n">
        <f aca="false">IF($E163="Per class",$D163*COUNTIFS('Session Tracker'!$D$5:$D$149,$A163,'Session Tracker'!$F$5:$F$149,"Next week",'Session Tracker'!$G$5:$G$149,"Thu"),$D163*SUMIFS('Session Tracker'!$J$5:$J$149,'Session Tracker'!$D$5:$D$149,$A163,'Session Tracker'!$F$5:$F$149,"Next week",'Session Tracker'!$G$5:$G$149,"Thu"))</f>
        <v>0</v>
      </c>
      <c r="L163" s="52" t="n">
        <f aca="false">IF($E163="Per class",$D163*COUNTIFS('Session Tracker'!$D$5:$D$149,$A163,'Session Tracker'!$F$5:$F$149,"Next week",'Session Tracker'!$G$5:$G$149,"Fri"),$D163*SUMIFS('Session Tracker'!$J$5:$J$149,'Session Tracker'!$D$5:$D$149,$A163,'Session Tracker'!$F$5:$F$149,"Next week",'Session Tracker'!$G$5:$G$149,"Fri"))</f>
        <v>0</v>
      </c>
      <c r="M163" s="52" t="n">
        <f aca="false">IF($E163="Per class",$D163*COUNTIFS('Session Tracker'!$D$5:$D$149,$A163,'Session Tracker'!$F$5:$F$149,"Next week",'Session Tracker'!$G$5:$G$149,""),$D163*SUMIFS('Session Tracker'!$J$5:$J$149,'Session Tracker'!$D$5:$D$149,$A163,'Session Tracker'!$F$5:$F$149,"Next week",'Session Tracker'!$G$5:$G$149,""))</f>
        <v>0</v>
      </c>
    </row>
    <row r="164" customFormat="false" ht="15" hidden="false" customHeight="false" outlineLevel="0" collapsed="false">
      <c r="A164" s="75" t="s">
        <v>308</v>
      </c>
      <c r="B164" s="34" t="s">
        <v>369</v>
      </c>
      <c r="C164" s="34" t="s">
        <v>437</v>
      </c>
      <c r="D164" s="32" t="n">
        <v>1</v>
      </c>
      <c r="E164" s="32" t="s">
        <v>14</v>
      </c>
      <c r="F164" s="32" t="s">
        <v>368</v>
      </c>
      <c r="G164" s="34"/>
      <c r="H164" s="52" t="n">
        <f aca="false">IF($E164="Per class",$D164*COUNTIFS('Session Tracker'!$D$5:$D$149,$A164,'Session Tracker'!$F$5:$F$149,"Next week",'Session Tracker'!$G$5:$G$149,"Mon"),$D164*SUMIFS('Session Tracker'!$J$5:$J$149,'Session Tracker'!$D$5:$D$149,$A164,'Session Tracker'!$F$5:$F$149,"Next week",'Session Tracker'!$G$5:$G$149,"Mon"))</f>
        <v>0</v>
      </c>
      <c r="I164" s="52" t="n">
        <f aca="false">IF($E164="Per class",$D164*COUNTIFS('Session Tracker'!$D$5:$D$149,$A164,'Session Tracker'!$F$5:$F$149,"Next week",'Session Tracker'!$G$5:$G$149,"Tue"),$D164*SUMIFS('Session Tracker'!$J$5:$J$149,'Session Tracker'!$D$5:$D$149,$A164,'Session Tracker'!$F$5:$F$149,"Next week",'Session Tracker'!$G$5:$G$149,"Tue"))</f>
        <v>0</v>
      </c>
      <c r="J164" s="52" t="n">
        <f aca="false">IF($E164="Per class",$D164*COUNTIFS('Session Tracker'!$D$5:$D$149,$A164,'Session Tracker'!$F$5:$F$149,"Next week",'Session Tracker'!$G$5:$G$149,"Wed"),$D164*SUMIFS('Session Tracker'!$J$5:$J$149,'Session Tracker'!$D$5:$D$149,$A164,'Session Tracker'!$F$5:$F$149,"Next week",'Session Tracker'!$G$5:$G$149,"Wed"))</f>
        <v>0</v>
      </c>
      <c r="K164" s="52" t="n">
        <f aca="false">IF($E164="Per class",$D164*COUNTIFS('Session Tracker'!$D$5:$D$149,$A164,'Session Tracker'!$F$5:$F$149,"Next week",'Session Tracker'!$G$5:$G$149,"Thu"),$D164*SUMIFS('Session Tracker'!$J$5:$J$149,'Session Tracker'!$D$5:$D$149,$A164,'Session Tracker'!$F$5:$F$149,"Next week",'Session Tracker'!$G$5:$G$149,"Thu"))</f>
        <v>0</v>
      </c>
      <c r="L164" s="52" t="n">
        <f aca="false">IF($E164="Per class",$D164*COUNTIFS('Session Tracker'!$D$5:$D$149,$A164,'Session Tracker'!$F$5:$F$149,"Next week",'Session Tracker'!$G$5:$G$149,"Fri"),$D164*SUMIFS('Session Tracker'!$J$5:$J$149,'Session Tracker'!$D$5:$D$149,$A164,'Session Tracker'!$F$5:$F$149,"Next week",'Session Tracker'!$G$5:$G$149,"Fri"))</f>
        <v>0</v>
      </c>
      <c r="M164" s="52" t="n">
        <f aca="false">IF($E164="Per class",$D164*COUNTIFS('Session Tracker'!$D$5:$D$149,$A164,'Session Tracker'!$F$5:$F$149,"Next week",'Session Tracker'!$G$5:$G$149,""),$D164*SUMIFS('Session Tracker'!$J$5:$J$149,'Session Tracker'!$D$5:$D$149,$A164,'Session Tracker'!$F$5:$F$149,"Next week",'Session Tracker'!$G$5:$G$149,""))</f>
        <v>0</v>
      </c>
    </row>
    <row r="165" customFormat="false" ht="15" hidden="false" customHeight="false" outlineLevel="0" collapsed="false">
      <c r="A165" s="75" t="s">
        <v>308</v>
      </c>
      <c r="B165" s="34" t="s">
        <v>377</v>
      </c>
      <c r="C165" s="34" t="s">
        <v>378</v>
      </c>
      <c r="D165" s="32" t="n">
        <v>1</v>
      </c>
      <c r="E165" s="32" t="s">
        <v>14</v>
      </c>
      <c r="F165" s="32" t="s">
        <v>368</v>
      </c>
      <c r="G165" s="34"/>
      <c r="H165" s="52" t="n">
        <f aca="false">IF($E165="Per class",$D165*COUNTIFS('Session Tracker'!$D$5:$D$149,$A165,'Session Tracker'!$F$5:$F$149,"Next week",'Session Tracker'!$G$5:$G$149,"Mon"),$D165*SUMIFS('Session Tracker'!$J$5:$J$149,'Session Tracker'!$D$5:$D$149,$A165,'Session Tracker'!$F$5:$F$149,"Next week",'Session Tracker'!$G$5:$G$149,"Mon"))</f>
        <v>0</v>
      </c>
      <c r="I165" s="52" t="n">
        <f aca="false">IF($E165="Per class",$D165*COUNTIFS('Session Tracker'!$D$5:$D$149,$A165,'Session Tracker'!$F$5:$F$149,"Next week",'Session Tracker'!$G$5:$G$149,"Tue"),$D165*SUMIFS('Session Tracker'!$J$5:$J$149,'Session Tracker'!$D$5:$D$149,$A165,'Session Tracker'!$F$5:$F$149,"Next week",'Session Tracker'!$G$5:$G$149,"Tue"))</f>
        <v>0</v>
      </c>
      <c r="J165" s="52" t="n">
        <f aca="false">IF($E165="Per class",$D165*COUNTIFS('Session Tracker'!$D$5:$D$149,$A165,'Session Tracker'!$F$5:$F$149,"Next week",'Session Tracker'!$G$5:$G$149,"Wed"),$D165*SUMIFS('Session Tracker'!$J$5:$J$149,'Session Tracker'!$D$5:$D$149,$A165,'Session Tracker'!$F$5:$F$149,"Next week",'Session Tracker'!$G$5:$G$149,"Wed"))</f>
        <v>0</v>
      </c>
      <c r="K165" s="52" t="n">
        <f aca="false">IF($E165="Per class",$D165*COUNTIFS('Session Tracker'!$D$5:$D$149,$A165,'Session Tracker'!$F$5:$F$149,"Next week",'Session Tracker'!$G$5:$G$149,"Thu"),$D165*SUMIFS('Session Tracker'!$J$5:$J$149,'Session Tracker'!$D$5:$D$149,$A165,'Session Tracker'!$F$5:$F$149,"Next week",'Session Tracker'!$G$5:$G$149,"Thu"))</f>
        <v>0</v>
      </c>
      <c r="L165" s="52" t="n">
        <f aca="false">IF($E165="Per class",$D165*COUNTIFS('Session Tracker'!$D$5:$D$149,$A165,'Session Tracker'!$F$5:$F$149,"Next week",'Session Tracker'!$G$5:$G$149,"Fri"),$D165*SUMIFS('Session Tracker'!$J$5:$J$149,'Session Tracker'!$D$5:$D$149,$A165,'Session Tracker'!$F$5:$F$149,"Next week",'Session Tracker'!$G$5:$G$149,"Fri"))</f>
        <v>0</v>
      </c>
      <c r="M165" s="52" t="n">
        <f aca="false">IF($E165="Per class",$D165*COUNTIFS('Session Tracker'!$D$5:$D$149,$A165,'Session Tracker'!$F$5:$F$149,"Next week",'Session Tracker'!$G$5:$G$149,""),$D165*SUMIFS('Session Tracker'!$J$5:$J$149,'Session Tracker'!$D$5:$D$149,$A165,'Session Tracker'!$F$5:$F$149,"Next week",'Session Tracker'!$G$5:$G$149,""))</f>
        <v>0</v>
      </c>
    </row>
    <row r="166" customFormat="false" ht="15" hidden="false" customHeight="false" outlineLevel="0" collapsed="false">
      <c r="A166" s="75" t="s">
        <v>308</v>
      </c>
      <c r="B166" s="34" t="s">
        <v>371</v>
      </c>
      <c r="C166" s="34" t="s">
        <v>517</v>
      </c>
      <c r="D166" s="32" t="n">
        <v>1</v>
      </c>
      <c r="E166" s="32" t="s">
        <v>14</v>
      </c>
      <c r="F166" s="32" t="s">
        <v>368</v>
      </c>
      <c r="G166" s="34"/>
      <c r="H166" s="52" t="n">
        <f aca="false">IF($E166="Per class",$D166*COUNTIFS('Session Tracker'!$D$5:$D$149,$A166,'Session Tracker'!$F$5:$F$149,"Next week",'Session Tracker'!$G$5:$G$149,"Mon"),$D166*SUMIFS('Session Tracker'!$J$5:$J$149,'Session Tracker'!$D$5:$D$149,$A166,'Session Tracker'!$F$5:$F$149,"Next week",'Session Tracker'!$G$5:$G$149,"Mon"))</f>
        <v>0</v>
      </c>
      <c r="I166" s="52" t="n">
        <f aca="false">IF($E166="Per class",$D166*COUNTIFS('Session Tracker'!$D$5:$D$149,$A166,'Session Tracker'!$F$5:$F$149,"Next week",'Session Tracker'!$G$5:$G$149,"Tue"),$D166*SUMIFS('Session Tracker'!$J$5:$J$149,'Session Tracker'!$D$5:$D$149,$A166,'Session Tracker'!$F$5:$F$149,"Next week",'Session Tracker'!$G$5:$G$149,"Tue"))</f>
        <v>0</v>
      </c>
      <c r="J166" s="52" t="n">
        <f aca="false">IF($E166="Per class",$D166*COUNTIFS('Session Tracker'!$D$5:$D$149,$A166,'Session Tracker'!$F$5:$F$149,"Next week",'Session Tracker'!$G$5:$G$149,"Wed"),$D166*SUMIFS('Session Tracker'!$J$5:$J$149,'Session Tracker'!$D$5:$D$149,$A166,'Session Tracker'!$F$5:$F$149,"Next week",'Session Tracker'!$G$5:$G$149,"Wed"))</f>
        <v>0</v>
      </c>
      <c r="K166" s="52" t="n">
        <f aca="false">IF($E166="Per class",$D166*COUNTIFS('Session Tracker'!$D$5:$D$149,$A166,'Session Tracker'!$F$5:$F$149,"Next week",'Session Tracker'!$G$5:$G$149,"Thu"),$D166*SUMIFS('Session Tracker'!$J$5:$J$149,'Session Tracker'!$D$5:$D$149,$A166,'Session Tracker'!$F$5:$F$149,"Next week",'Session Tracker'!$G$5:$G$149,"Thu"))</f>
        <v>0</v>
      </c>
      <c r="L166" s="52" t="n">
        <f aca="false">IF($E166="Per class",$D166*COUNTIFS('Session Tracker'!$D$5:$D$149,$A166,'Session Tracker'!$F$5:$F$149,"Next week",'Session Tracker'!$G$5:$G$149,"Fri"),$D166*SUMIFS('Session Tracker'!$J$5:$J$149,'Session Tracker'!$D$5:$D$149,$A166,'Session Tracker'!$F$5:$F$149,"Next week",'Session Tracker'!$G$5:$G$149,"Fri"))</f>
        <v>0</v>
      </c>
      <c r="M166" s="52" t="n">
        <f aca="false">IF($E166="Per class",$D166*COUNTIFS('Session Tracker'!$D$5:$D$149,$A166,'Session Tracker'!$F$5:$F$149,"Next week",'Session Tracker'!$G$5:$G$149,""),$D166*SUMIFS('Session Tracker'!$J$5:$J$149,'Session Tracker'!$D$5:$D$149,$A166,'Session Tracker'!$F$5:$F$149,"Next week",'Session Tracker'!$G$5:$G$149,""))</f>
        <v>0</v>
      </c>
    </row>
    <row r="167" customFormat="false" ht="15" hidden="false" customHeight="false" outlineLevel="0" collapsed="false">
      <c r="A167" s="75" t="s">
        <v>308</v>
      </c>
      <c r="B167" s="34" t="s">
        <v>379</v>
      </c>
      <c r="C167" s="34" t="s">
        <v>380</v>
      </c>
      <c r="D167" s="32" t="n">
        <v>1</v>
      </c>
      <c r="E167" s="32" t="s">
        <v>14</v>
      </c>
      <c r="F167" s="32" t="s">
        <v>368</v>
      </c>
      <c r="G167" s="34"/>
      <c r="H167" s="52" t="n">
        <f aca="false">IF($E167="Per class",$D167*COUNTIFS('Session Tracker'!$D$5:$D$149,$A167,'Session Tracker'!$F$5:$F$149,"Next week",'Session Tracker'!$G$5:$G$149,"Mon"),$D167*SUMIFS('Session Tracker'!$J$5:$J$149,'Session Tracker'!$D$5:$D$149,$A167,'Session Tracker'!$F$5:$F$149,"Next week",'Session Tracker'!$G$5:$G$149,"Mon"))</f>
        <v>0</v>
      </c>
      <c r="I167" s="52" t="n">
        <f aca="false">IF($E167="Per class",$D167*COUNTIFS('Session Tracker'!$D$5:$D$149,$A167,'Session Tracker'!$F$5:$F$149,"Next week",'Session Tracker'!$G$5:$G$149,"Tue"),$D167*SUMIFS('Session Tracker'!$J$5:$J$149,'Session Tracker'!$D$5:$D$149,$A167,'Session Tracker'!$F$5:$F$149,"Next week",'Session Tracker'!$G$5:$G$149,"Tue"))</f>
        <v>0</v>
      </c>
      <c r="J167" s="52" t="n">
        <f aca="false">IF($E167="Per class",$D167*COUNTIFS('Session Tracker'!$D$5:$D$149,$A167,'Session Tracker'!$F$5:$F$149,"Next week",'Session Tracker'!$G$5:$G$149,"Wed"),$D167*SUMIFS('Session Tracker'!$J$5:$J$149,'Session Tracker'!$D$5:$D$149,$A167,'Session Tracker'!$F$5:$F$149,"Next week",'Session Tracker'!$G$5:$G$149,"Wed"))</f>
        <v>0</v>
      </c>
      <c r="K167" s="52" t="n">
        <f aca="false">IF($E167="Per class",$D167*COUNTIFS('Session Tracker'!$D$5:$D$149,$A167,'Session Tracker'!$F$5:$F$149,"Next week",'Session Tracker'!$G$5:$G$149,"Thu"),$D167*SUMIFS('Session Tracker'!$J$5:$J$149,'Session Tracker'!$D$5:$D$149,$A167,'Session Tracker'!$F$5:$F$149,"Next week",'Session Tracker'!$G$5:$G$149,"Thu"))</f>
        <v>0</v>
      </c>
      <c r="L167" s="52" t="n">
        <f aca="false">IF($E167="Per class",$D167*COUNTIFS('Session Tracker'!$D$5:$D$149,$A167,'Session Tracker'!$F$5:$F$149,"Next week",'Session Tracker'!$G$5:$G$149,"Fri"),$D167*SUMIFS('Session Tracker'!$J$5:$J$149,'Session Tracker'!$D$5:$D$149,$A167,'Session Tracker'!$F$5:$F$149,"Next week",'Session Tracker'!$G$5:$G$149,"Fri"))</f>
        <v>0</v>
      </c>
      <c r="M167" s="52" t="n">
        <f aca="false">IF($E167="Per class",$D167*COUNTIFS('Session Tracker'!$D$5:$D$149,$A167,'Session Tracker'!$F$5:$F$149,"Next week",'Session Tracker'!$G$5:$G$149,""),$D167*SUMIFS('Session Tracker'!$J$5:$J$149,'Session Tracker'!$D$5:$D$149,$A167,'Session Tracker'!$F$5:$F$149,"Next week",'Session Tracker'!$G$5:$G$149,""))</f>
        <v>0</v>
      </c>
    </row>
    <row r="168" customFormat="false" ht="15" hidden="false" customHeight="false" outlineLevel="0" collapsed="false">
      <c r="A168" s="75" t="s">
        <v>308</v>
      </c>
      <c r="B168" s="34" t="s">
        <v>379</v>
      </c>
      <c r="C168" s="34" t="s">
        <v>381</v>
      </c>
      <c r="D168" s="32" t="n">
        <v>12</v>
      </c>
      <c r="E168" s="32" t="s">
        <v>14</v>
      </c>
      <c r="F168" s="32" t="s">
        <v>368</v>
      </c>
      <c r="G168" s="34"/>
      <c r="H168" s="52" t="n">
        <f aca="false">IF($E168="Per class",$D168*COUNTIFS('Session Tracker'!$D$5:$D$149,$A168,'Session Tracker'!$F$5:$F$149,"Next week",'Session Tracker'!$G$5:$G$149,"Mon"),$D168*SUMIFS('Session Tracker'!$J$5:$J$149,'Session Tracker'!$D$5:$D$149,$A168,'Session Tracker'!$F$5:$F$149,"Next week",'Session Tracker'!$G$5:$G$149,"Mon"))</f>
        <v>0</v>
      </c>
      <c r="I168" s="52" t="n">
        <f aca="false">IF($E168="Per class",$D168*COUNTIFS('Session Tracker'!$D$5:$D$149,$A168,'Session Tracker'!$F$5:$F$149,"Next week",'Session Tracker'!$G$5:$G$149,"Tue"),$D168*SUMIFS('Session Tracker'!$J$5:$J$149,'Session Tracker'!$D$5:$D$149,$A168,'Session Tracker'!$F$5:$F$149,"Next week",'Session Tracker'!$G$5:$G$149,"Tue"))</f>
        <v>0</v>
      </c>
      <c r="J168" s="52" t="n">
        <f aca="false">IF($E168="Per class",$D168*COUNTIFS('Session Tracker'!$D$5:$D$149,$A168,'Session Tracker'!$F$5:$F$149,"Next week",'Session Tracker'!$G$5:$G$149,"Wed"),$D168*SUMIFS('Session Tracker'!$J$5:$J$149,'Session Tracker'!$D$5:$D$149,$A168,'Session Tracker'!$F$5:$F$149,"Next week",'Session Tracker'!$G$5:$G$149,"Wed"))</f>
        <v>0</v>
      </c>
      <c r="K168" s="52" t="n">
        <f aca="false">IF($E168="Per class",$D168*COUNTIFS('Session Tracker'!$D$5:$D$149,$A168,'Session Tracker'!$F$5:$F$149,"Next week",'Session Tracker'!$G$5:$G$149,"Thu"),$D168*SUMIFS('Session Tracker'!$J$5:$J$149,'Session Tracker'!$D$5:$D$149,$A168,'Session Tracker'!$F$5:$F$149,"Next week",'Session Tracker'!$G$5:$G$149,"Thu"))</f>
        <v>0</v>
      </c>
      <c r="L168" s="52" t="n">
        <f aca="false">IF($E168="Per class",$D168*COUNTIFS('Session Tracker'!$D$5:$D$149,$A168,'Session Tracker'!$F$5:$F$149,"Next week",'Session Tracker'!$G$5:$G$149,"Fri"),$D168*SUMIFS('Session Tracker'!$J$5:$J$149,'Session Tracker'!$D$5:$D$149,$A168,'Session Tracker'!$F$5:$F$149,"Next week",'Session Tracker'!$G$5:$G$149,"Fri"))</f>
        <v>0</v>
      </c>
      <c r="M168" s="52" t="n">
        <f aca="false">IF($E168="Per class",$D168*COUNTIFS('Session Tracker'!$D$5:$D$149,$A168,'Session Tracker'!$F$5:$F$149,"Next week",'Session Tracker'!$G$5:$G$149,""),$D168*SUMIFS('Session Tracker'!$J$5:$J$149,'Session Tracker'!$D$5:$D$149,$A168,'Session Tracker'!$F$5:$F$149,"Next week",'Session Tracker'!$G$5:$G$149,""))</f>
        <v>0</v>
      </c>
    </row>
    <row r="169" customFormat="false" ht="15" hidden="false" customHeight="false" outlineLevel="0" collapsed="false">
      <c r="A169" s="75" t="s">
        <v>308</v>
      </c>
      <c r="B169" s="34" t="s">
        <v>379</v>
      </c>
      <c r="C169" s="34" t="s">
        <v>395</v>
      </c>
      <c r="D169" s="32" t="n">
        <v>14</v>
      </c>
      <c r="E169" s="32" t="s">
        <v>14</v>
      </c>
      <c r="F169" s="32" t="s">
        <v>368</v>
      </c>
      <c r="G169" s="34"/>
      <c r="H169" s="52" t="n">
        <f aca="false">IF($E169="Per class",$D169*COUNTIFS('Session Tracker'!$D$5:$D$149,$A169,'Session Tracker'!$F$5:$F$149,"Next week",'Session Tracker'!$G$5:$G$149,"Mon"),$D169*SUMIFS('Session Tracker'!$J$5:$J$149,'Session Tracker'!$D$5:$D$149,$A169,'Session Tracker'!$F$5:$F$149,"Next week",'Session Tracker'!$G$5:$G$149,"Mon"))</f>
        <v>0</v>
      </c>
      <c r="I169" s="52" t="n">
        <f aca="false">IF($E169="Per class",$D169*COUNTIFS('Session Tracker'!$D$5:$D$149,$A169,'Session Tracker'!$F$5:$F$149,"Next week",'Session Tracker'!$G$5:$G$149,"Tue"),$D169*SUMIFS('Session Tracker'!$J$5:$J$149,'Session Tracker'!$D$5:$D$149,$A169,'Session Tracker'!$F$5:$F$149,"Next week",'Session Tracker'!$G$5:$G$149,"Tue"))</f>
        <v>0</v>
      </c>
      <c r="J169" s="52" t="n">
        <f aca="false">IF($E169="Per class",$D169*COUNTIFS('Session Tracker'!$D$5:$D$149,$A169,'Session Tracker'!$F$5:$F$149,"Next week",'Session Tracker'!$G$5:$G$149,"Wed"),$D169*SUMIFS('Session Tracker'!$J$5:$J$149,'Session Tracker'!$D$5:$D$149,$A169,'Session Tracker'!$F$5:$F$149,"Next week",'Session Tracker'!$G$5:$G$149,"Wed"))</f>
        <v>0</v>
      </c>
      <c r="K169" s="52" t="n">
        <f aca="false">IF($E169="Per class",$D169*COUNTIFS('Session Tracker'!$D$5:$D$149,$A169,'Session Tracker'!$F$5:$F$149,"Next week",'Session Tracker'!$G$5:$G$149,"Thu"),$D169*SUMIFS('Session Tracker'!$J$5:$J$149,'Session Tracker'!$D$5:$D$149,$A169,'Session Tracker'!$F$5:$F$149,"Next week",'Session Tracker'!$G$5:$G$149,"Thu"))</f>
        <v>0</v>
      </c>
      <c r="L169" s="52" t="n">
        <f aca="false">IF($E169="Per class",$D169*COUNTIFS('Session Tracker'!$D$5:$D$149,$A169,'Session Tracker'!$F$5:$F$149,"Next week",'Session Tracker'!$G$5:$G$149,"Fri"),$D169*SUMIFS('Session Tracker'!$J$5:$J$149,'Session Tracker'!$D$5:$D$149,$A169,'Session Tracker'!$F$5:$F$149,"Next week",'Session Tracker'!$G$5:$G$149,"Fri"))</f>
        <v>0</v>
      </c>
      <c r="M169" s="52" t="n">
        <f aca="false">IF($E169="Per class",$D169*COUNTIFS('Session Tracker'!$D$5:$D$149,$A169,'Session Tracker'!$F$5:$F$149,"Next week",'Session Tracker'!$G$5:$G$149,""),$D169*SUMIFS('Session Tracker'!$J$5:$J$149,'Session Tracker'!$D$5:$D$149,$A169,'Session Tracker'!$F$5:$F$149,"Next week",'Session Tracker'!$G$5:$G$149,""))</f>
        <v>0</v>
      </c>
    </row>
    <row r="170" customFormat="false" ht="15" hidden="false" customHeight="false" outlineLevel="0" collapsed="false">
      <c r="A170" s="75" t="s">
        <v>308</v>
      </c>
      <c r="B170" s="34" t="s">
        <v>382</v>
      </c>
      <c r="C170" s="34" t="s">
        <v>383</v>
      </c>
      <c r="D170" s="32" t="n">
        <v>1</v>
      </c>
      <c r="E170" s="32" t="s">
        <v>14</v>
      </c>
      <c r="F170" s="32" t="s">
        <v>368</v>
      </c>
      <c r="G170" s="34"/>
      <c r="H170" s="52" t="n">
        <f aca="false">IF($E170="Per class",$D170*COUNTIFS('Session Tracker'!$D$5:$D$149,$A170,'Session Tracker'!$F$5:$F$149,"Next week",'Session Tracker'!$G$5:$G$149,"Mon"),$D170*SUMIFS('Session Tracker'!$J$5:$J$149,'Session Tracker'!$D$5:$D$149,$A170,'Session Tracker'!$F$5:$F$149,"Next week",'Session Tracker'!$G$5:$G$149,"Mon"))</f>
        <v>0</v>
      </c>
      <c r="I170" s="52" t="n">
        <f aca="false">IF($E170="Per class",$D170*COUNTIFS('Session Tracker'!$D$5:$D$149,$A170,'Session Tracker'!$F$5:$F$149,"Next week",'Session Tracker'!$G$5:$G$149,"Tue"),$D170*SUMIFS('Session Tracker'!$J$5:$J$149,'Session Tracker'!$D$5:$D$149,$A170,'Session Tracker'!$F$5:$F$149,"Next week",'Session Tracker'!$G$5:$G$149,"Tue"))</f>
        <v>0</v>
      </c>
      <c r="J170" s="52" t="n">
        <f aca="false">IF($E170="Per class",$D170*COUNTIFS('Session Tracker'!$D$5:$D$149,$A170,'Session Tracker'!$F$5:$F$149,"Next week",'Session Tracker'!$G$5:$G$149,"Wed"),$D170*SUMIFS('Session Tracker'!$J$5:$J$149,'Session Tracker'!$D$5:$D$149,$A170,'Session Tracker'!$F$5:$F$149,"Next week",'Session Tracker'!$G$5:$G$149,"Wed"))</f>
        <v>0</v>
      </c>
      <c r="K170" s="52" t="n">
        <f aca="false">IF($E170="Per class",$D170*COUNTIFS('Session Tracker'!$D$5:$D$149,$A170,'Session Tracker'!$F$5:$F$149,"Next week",'Session Tracker'!$G$5:$G$149,"Thu"),$D170*SUMIFS('Session Tracker'!$J$5:$J$149,'Session Tracker'!$D$5:$D$149,$A170,'Session Tracker'!$F$5:$F$149,"Next week",'Session Tracker'!$G$5:$G$149,"Thu"))</f>
        <v>0</v>
      </c>
      <c r="L170" s="52" t="n">
        <f aca="false">IF($E170="Per class",$D170*COUNTIFS('Session Tracker'!$D$5:$D$149,$A170,'Session Tracker'!$F$5:$F$149,"Next week",'Session Tracker'!$G$5:$G$149,"Fri"),$D170*SUMIFS('Session Tracker'!$J$5:$J$149,'Session Tracker'!$D$5:$D$149,$A170,'Session Tracker'!$F$5:$F$149,"Next week",'Session Tracker'!$G$5:$G$149,"Fri"))</f>
        <v>0</v>
      </c>
      <c r="M170" s="52" t="n">
        <f aca="false">IF($E170="Per class",$D170*COUNTIFS('Session Tracker'!$D$5:$D$149,$A170,'Session Tracker'!$F$5:$F$149,"Next week",'Session Tracker'!$G$5:$G$149,""),$D170*SUMIFS('Session Tracker'!$J$5:$J$149,'Session Tracker'!$D$5:$D$149,$A170,'Session Tracker'!$F$5:$F$149,"Next week",'Session Tracker'!$G$5:$G$149,""))</f>
        <v>0</v>
      </c>
    </row>
    <row r="171" customFormat="false" ht="15" hidden="false" customHeight="false" outlineLevel="0" collapsed="false">
      <c r="A171" s="53" t="s">
        <v>308</v>
      </c>
      <c r="B171" s="54"/>
      <c r="C171" s="54"/>
      <c r="D171" s="54"/>
      <c r="E171" s="54"/>
      <c r="F171" s="54"/>
      <c r="G171" s="54"/>
      <c r="H171" s="52" t="n">
        <f aca="false">IF($E171="Per class",$D171*COUNTIFS('Session Tracker'!$D$5:$D$149,$A171,'Session Tracker'!$F$5:$F$149,"Next week",'Session Tracker'!$G$5:$G$149,"Mon"),$D171*SUMIFS('Session Tracker'!$J$5:$J$149,'Session Tracker'!$D$5:$D$149,$A171,'Session Tracker'!$F$5:$F$149,"Next week",'Session Tracker'!$G$5:$G$149,"Mon"))</f>
        <v>0</v>
      </c>
      <c r="I171" s="52" t="n">
        <f aca="false">IF($E171="Per class",$D171*COUNTIFS('Session Tracker'!$D$5:$D$149,$A171,'Session Tracker'!$F$5:$F$149,"Next week",'Session Tracker'!$G$5:$G$149,"Tue"),$D171*SUMIFS('Session Tracker'!$J$5:$J$149,'Session Tracker'!$D$5:$D$149,$A171,'Session Tracker'!$F$5:$F$149,"Next week",'Session Tracker'!$G$5:$G$149,"Tue"))</f>
        <v>0</v>
      </c>
      <c r="J171" s="52" t="n">
        <f aca="false">IF($E171="Per class",$D171*COUNTIFS('Session Tracker'!$D$5:$D$149,$A171,'Session Tracker'!$F$5:$F$149,"Next week",'Session Tracker'!$G$5:$G$149,"Wed"),$D171*SUMIFS('Session Tracker'!$J$5:$J$149,'Session Tracker'!$D$5:$D$149,$A171,'Session Tracker'!$F$5:$F$149,"Next week",'Session Tracker'!$G$5:$G$149,"Wed"))</f>
        <v>0</v>
      </c>
      <c r="K171" s="52" t="n">
        <f aca="false">IF($E171="Per class",$D171*COUNTIFS('Session Tracker'!$D$5:$D$149,$A171,'Session Tracker'!$F$5:$F$149,"Next week",'Session Tracker'!$G$5:$G$149,"Thu"),$D171*SUMIFS('Session Tracker'!$J$5:$J$149,'Session Tracker'!$D$5:$D$149,$A171,'Session Tracker'!$F$5:$F$149,"Next week",'Session Tracker'!$G$5:$G$149,"Thu"))</f>
        <v>0</v>
      </c>
      <c r="L171" s="52" t="n">
        <f aca="false">IF($E171="Per class",$D171*COUNTIFS('Session Tracker'!$D$5:$D$149,$A171,'Session Tracker'!$F$5:$F$149,"Next week",'Session Tracker'!$G$5:$G$149,"Fri"),$D171*SUMIFS('Session Tracker'!$J$5:$J$149,'Session Tracker'!$D$5:$D$149,$A171,'Session Tracker'!$F$5:$F$149,"Next week",'Session Tracker'!$G$5:$G$149,"Fri"))</f>
        <v>0</v>
      </c>
      <c r="M171" s="52" t="n">
        <f aca="false">IF($E171="Per class",$D171*COUNTIFS('Session Tracker'!$D$5:$D$149,$A171,'Session Tracker'!$F$5:$F$149,"Next week",'Session Tracker'!$G$5:$G$149,""),$D171*SUMIFS('Session Tracker'!$J$5:$J$149,'Session Tracker'!$D$5:$D$149,$A171,'Session Tracker'!$F$5:$F$149,"Next week",'Session Tracker'!$G$5:$G$149,""))</f>
        <v>0</v>
      </c>
    </row>
    <row r="172" customFormat="false" ht="15" hidden="false" customHeight="false" outlineLevel="0" collapsed="false">
      <c r="A172" s="53" t="s">
        <v>308</v>
      </c>
      <c r="B172" s="54"/>
      <c r="C172" s="54"/>
      <c r="D172" s="54"/>
      <c r="E172" s="54"/>
      <c r="F172" s="54"/>
      <c r="G172" s="54"/>
      <c r="H172" s="52" t="n">
        <f aca="false">IF($E172="Per class",$D172*COUNTIFS('Session Tracker'!$D$5:$D$149,$A172,'Session Tracker'!$F$5:$F$149,"Next week",'Session Tracker'!$G$5:$G$149,"Mon"),$D172*SUMIFS('Session Tracker'!$J$5:$J$149,'Session Tracker'!$D$5:$D$149,$A172,'Session Tracker'!$F$5:$F$149,"Next week",'Session Tracker'!$G$5:$G$149,"Mon"))</f>
        <v>0</v>
      </c>
      <c r="I172" s="52" t="n">
        <f aca="false">IF($E172="Per class",$D172*COUNTIFS('Session Tracker'!$D$5:$D$149,$A172,'Session Tracker'!$F$5:$F$149,"Next week",'Session Tracker'!$G$5:$G$149,"Tue"),$D172*SUMIFS('Session Tracker'!$J$5:$J$149,'Session Tracker'!$D$5:$D$149,$A172,'Session Tracker'!$F$5:$F$149,"Next week",'Session Tracker'!$G$5:$G$149,"Tue"))</f>
        <v>0</v>
      </c>
      <c r="J172" s="52" t="n">
        <f aca="false">IF($E172="Per class",$D172*COUNTIFS('Session Tracker'!$D$5:$D$149,$A172,'Session Tracker'!$F$5:$F$149,"Next week",'Session Tracker'!$G$5:$G$149,"Wed"),$D172*SUMIFS('Session Tracker'!$J$5:$J$149,'Session Tracker'!$D$5:$D$149,$A172,'Session Tracker'!$F$5:$F$149,"Next week",'Session Tracker'!$G$5:$G$149,"Wed"))</f>
        <v>0</v>
      </c>
      <c r="K172" s="52" t="n">
        <f aca="false">IF($E172="Per class",$D172*COUNTIFS('Session Tracker'!$D$5:$D$149,$A172,'Session Tracker'!$F$5:$F$149,"Next week",'Session Tracker'!$G$5:$G$149,"Thu"),$D172*SUMIFS('Session Tracker'!$J$5:$J$149,'Session Tracker'!$D$5:$D$149,$A172,'Session Tracker'!$F$5:$F$149,"Next week",'Session Tracker'!$G$5:$G$149,"Thu"))</f>
        <v>0</v>
      </c>
      <c r="L172" s="52" t="n">
        <f aca="false">IF($E172="Per class",$D172*COUNTIFS('Session Tracker'!$D$5:$D$149,$A172,'Session Tracker'!$F$5:$F$149,"Next week",'Session Tracker'!$G$5:$G$149,"Fri"),$D172*SUMIFS('Session Tracker'!$J$5:$J$149,'Session Tracker'!$D$5:$D$149,$A172,'Session Tracker'!$F$5:$F$149,"Next week",'Session Tracker'!$G$5:$G$149,"Fri"))</f>
        <v>0</v>
      </c>
      <c r="M172" s="52" t="n">
        <f aca="false">IF($E172="Per class",$D172*COUNTIFS('Session Tracker'!$D$5:$D$149,$A172,'Session Tracker'!$F$5:$F$149,"Next week",'Session Tracker'!$G$5:$G$149,""),$D172*SUMIFS('Session Tracker'!$J$5:$J$149,'Session Tracker'!$D$5:$D$149,$A172,'Session Tracker'!$F$5:$F$149,"Next week",'Session Tracker'!$G$5:$G$149,""))</f>
        <v>0</v>
      </c>
    </row>
    <row r="174" customFormat="false" ht="19.5" hidden="false" customHeight="true" outlineLevel="0" collapsed="false">
      <c r="A174" s="71" t="s">
        <v>310</v>
      </c>
      <c r="B174" s="72" t="s">
        <v>675</v>
      </c>
      <c r="C174" s="72"/>
      <c r="D174" s="72"/>
      <c r="E174" s="72"/>
      <c r="F174" s="73" t="str">
        <f aca="false">"Status: "&amp;'Session Tracker'!F126&amp;IF('Session Tracker'!G126&lt;&gt;""," ("&amp;'Session Tracker'!G126&amp;")","")</f>
        <v>Status: Not started</v>
      </c>
      <c r="G174" s="73"/>
      <c r="H174" s="74"/>
      <c r="I174" s="74"/>
      <c r="J174" s="74"/>
      <c r="K174" s="74"/>
      <c r="L174" s="74"/>
      <c r="M174" s="74"/>
    </row>
    <row r="175" customFormat="false" ht="23.85" hidden="false" customHeight="false" outlineLevel="0" collapsed="false">
      <c r="A175" s="75" t="s">
        <v>310</v>
      </c>
      <c r="B175" s="34" t="s">
        <v>366</v>
      </c>
      <c r="C175" s="34" t="s">
        <v>391</v>
      </c>
      <c r="D175" s="32" t="n">
        <v>1</v>
      </c>
      <c r="E175" s="32" t="s">
        <v>14</v>
      </c>
      <c r="F175" s="32" t="s">
        <v>368</v>
      </c>
      <c r="G175" s="34"/>
      <c r="H175" s="52" t="n">
        <f aca="false">IF($E175="Per class",$D175*COUNTIFS('Session Tracker'!$D$5:$D$149,$A175,'Session Tracker'!$F$5:$F$149,"Next week",'Session Tracker'!$G$5:$G$149,"Mon"),$D175*SUMIFS('Session Tracker'!$J$5:$J$149,'Session Tracker'!$D$5:$D$149,$A175,'Session Tracker'!$F$5:$F$149,"Next week",'Session Tracker'!$G$5:$G$149,"Mon"))</f>
        <v>0</v>
      </c>
      <c r="I175" s="52" t="n">
        <f aca="false">IF($E175="Per class",$D175*COUNTIFS('Session Tracker'!$D$5:$D$149,$A175,'Session Tracker'!$F$5:$F$149,"Next week",'Session Tracker'!$G$5:$G$149,"Tue"),$D175*SUMIFS('Session Tracker'!$J$5:$J$149,'Session Tracker'!$D$5:$D$149,$A175,'Session Tracker'!$F$5:$F$149,"Next week",'Session Tracker'!$G$5:$G$149,"Tue"))</f>
        <v>0</v>
      </c>
      <c r="J175" s="52" t="n">
        <f aca="false">IF($E175="Per class",$D175*COUNTIFS('Session Tracker'!$D$5:$D$149,$A175,'Session Tracker'!$F$5:$F$149,"Next week",'Session Tracker'!$G$5:$G$149,"Wed"),$D175*SUMIFS('Session Tracker'!$J$5:$J$149,'Session Tracker'!$D$5:$D$149,$A175,'Session Tracker'!$F$5:$F$149,"Next week",'Session Tracker'!$G$5:$G$149,"Wed"))</f>
        <v>0</v>
      </c>
      <c r="K175" s="52" t="n">
        <f aca="false">IF($E175="Per class",$D175*COUNTIFS('Session Tracker'!$D$5:$D$149,$A175,'Session Tracker'!$F$5:$F$149,"Next week",'Session Tracker'!$G$5:$G$149,"Thu"),$D175*SUMIFS('Session Tracker'!$J$5:$J$149,'Session Tracker'!$D$5:$D$149,$A175,'Session Tracker'!$F$5:$F$149,"Next week",'Session Tracker'!$G$5:$G$149,"Thu"))</f>
        <v>0</v>
      </c>
      <c r="L175" s="52" t="n">
        <f aca="false">IF($E175="Per class",$D175*COUNTIFS('Session Tracker'!$D$5:$D$149,$A175,'Session Tracker'!$F$5:$F$149,"Next week",'Session Tracker'!$G$5:$G$149,"Fri"),$D175*SUMIFS('Session Tracker'!$J$5:$J$149,'Session Tracker'!$D$5:$D$149,$A175,'Session Tracker'!$F$5:$F$149,"Next week",'Session Tracker'!$G$5:$G$149,"Fri"))</f>
        <v>0</v>
      </c>
      <c r="M175" s="52" t="n">
        <f aca="false">IF($E175="Per class",$D175*COUNTIFS('Session Tracker'!$D$5:$D$149,$A175,'Session Tracker'!$F$5:$F$149,"Next week",'Session Tracker'!$G$5:$G$149,""),$D175*SUMIFS('Session Tracker'!$J$5:$J$149,'Session Tracker'!$D$5:$D$149,$A175,'Session Tracker'!$F$5:$F$149,"Next week",'Session Tracker'!$G$5:$G$149,""))</f>
        <v>0</v>
      </c>
    </row>
    <row r="176" customFormat="false" ht="15" hidden="false" customHeight="false" outlineLevel="0" collapsed="false">
      <c r="A176" s="75" t="s">
        <v>310</v>
      </c>
      <c r="B176" s="34" t="s">
        <v>369</v>
      </c>
      <c r="C176" s="34" t="s">
        <v>430</v>
      </c>
      <c r="D176" s="32" t="n">
        <v>1</v>
      </c>
      <c r="E176" s="32" t="s">
        <v>14</v>
      </c>
      <c r="F176" s="32" t="s">
        <v>368</v>
      </c>
      <c r="G176" s="34"/>
      <c r="H176" s="52" t="n">
        <f aca="false">IF($E176="Per class",$D176*COUNTIFS('Session Tracker'!$D$5:$D$149,$A176,'Session Tracker'!$F$5:$F$149,"Next week",'Session Tracker'!$G$5:$G$149,"Mon"),$D176*SUMIFS('Session Tracker'!$J$5:$J$149,'Session Tracker'!$D$5:$D$149,$A176,'Session Tracker'!$F$5:$F$149,"Next week",'Session Tracker'!$G$5:$G$149,"Mon"))</f>
        <v>0</v>
      </c>
      <c r="I176" s="52" t="n">
        <f aca="false">IF($E176="Per class",$D176*COUNTIFS('Session Tracker'!$D$5:$D$149,$A176,'Session Tracker'!$F$5:$F$149,"Next week",'Session Tracker'!$G$5:$G$149,"Tue"),$D176*SUMIFS('Session Tracker'!$J$5:$J$149,'Session Tracker'!$D$5:$D$149,$A176,'Session Tracker'!$F$5:$F$149,"Next week",'Session Tracker'!$G$5:$G$149,"Tue"))</f>
        <v>0</v>
      </c>
      <c r="J176" s="52" t="n">
        <f aca="false">IF($E176="Per class",$D176*COUNTIFS('Session Tracker'!$D$5:$D$149,$A176,'Session Tracker'!$F$5:$F$149,"Next week",'Session Tracker'!$G$5:$G$149,"Wed"),$D176*SUMIFS('Session Tracker'!$J$5:$J$149,'Session Tracker'!$D$5:$D$149,$A176,'Session Tracker'!$F$5:$F$149,"Next week",'Session Tracker'!$G$5:$G$149,"Wed"))</f>
        <v>0</v>
      </c>
      <c r="K176" s="52" t="n">
        <f aca="false">IF($E176="Per class",$D176*COUNTIFS('Session Tracker'!$D$5:$D$149,$A176,'Session Tracker'!$F$5:$F$149,"Next week",'Session Tracker'!$G$5:$G$149,"Thu"),$D176*SUMIFS('Session Tracker'!$J$5:$J$149,'Session Tracker'!$D$5:$D$149,$A176,'Session Tracker'!$F$5:$F$149,"Next week",'Session Tracker'!$G$5:$G$149,"Thu"))</f>
        <v>0</v>
      </c>
      <c r="L176" s="52" t="n">
        <f aca="false">IF($E176="Per class",$D176*COUNTIFS('Session Tracker'!$D$5:$D$149,$A176,'Session Tracker'!$F$5:$F$149,"Next week",'Session Tracker'!$G$5:$G$149,"Fri"),$D176*SUMIFS('Session Tracker'!$J$5:$J$149,'Session Tracker'!$D$5:$D$149,$A176,'Session Tracker'!$F$5:$F$149,"Next week",'Session Tracker'!$G$5:$G$149,"Fri"))</f>
        <v>0</v>
      </c>
      <c r="M176" s="52" t="n">
        <f aca="false">IF($E176="Per class",$D176*COUNTIFS('Session Tracker'!$D$5:$D$149,$A176,'Session Tracker'!$F$5:$F$149,"Next week",'Session Tracker'!$G$5:$G$149,""),$D176*SUMIFS('Session Tracker'!$J$5:$J$149,'Session Tracker'!$D$5:$D$149,$A176,'Session Tracker'!$F$5:$F$149,"Next week",'Session Tracker'!$G$5:$G$149,""))</f>
        <v>0</v>
      </c>
    </row>
    <row r="177" customFormat="false" ht="15" hidden="false" customHeight="false" outlineLevel="0" collapsed="false">
      <c r="A177" s="75" t="s">
        <v>310</v>
      </c>
      <c r="B177" s="34" t="s">
        <v>369</v>
      </c>
      <c r="C177" s="34" t="s">
        <v>428</v>
      </c>
      <c r="D177" s="32" t="n">
        <v>1</v>
      </c>
      <c r="E177" s="32" t="s">
        <v>14</v>
      </c>
      <c r="F177" s="32" t="s">
        <v>368</v>
      </c>
      <c r="G177" s="34"/>
      <c r="H177" s="52" t="n">
        <f aca="false">IF($E177="Per class",$D177*COUNTIFS('Session Tracker'!$D$5:$D$149,$A177,'Session Tracker'!$F$5:$F$149,"Next week",'Session Tracker'!$G$5:$G$149,"Mon"),$D177*SUMIFS('Session Tracker'!$J$5:$J$149,'Session Tracker'!$D$5:$D$149,$A177,'Session Tracker'!$F$5:$F$149,"Next week",'Session Tracker'!$G$5:$G$149,"Mon"))</f>
        <v>0</v>
      </c>
      <c r="I177" s="52" t="n">
        <f aca="false">IF($E177="Per class",$D177*COUNTIFS('Session Tracker'!$D$5:$D$149,$A177,'Session Tracker'!$F$5:$F$149,"Next week",'Session Tracker'!$G$5:$G$149,"Tue"),$D177*SUMIFS('Session Tracker'!$J$5:$J$149,'Session Tracker'!$D$5:$D$149,$A177,'Session Tracker'!$F$5:$F$149,"Next week",'Session Tracker'!$G$5:$G$149,"Tue"))</f>
        <v>0</v>
      </c>
      <c r="J177" s="52" t="n">
        <f aca="false">IF($E177="Per class",$D177*COUNTIFS('Session Tracker'!$D$5:$D$149,$A177,'Session Tracker'!$F$5:$F$149,"Next week",'Session Tracker'!$G$5:$G$149,"Wed"),$D177*SUMIFS('Session Tracker'!$J$5:$J$149,'Session Tracker'!$D$5:$D$149,$A177,'Session Tracker'!$F$5:$F$149,"Next week",'Session Tracker'!$G$5:$G$149,"Wed"))</f>
        <v>0</v>
      </c>
      <c r="K177" s="52" t="n">
        <f aca="false">IF($E177="Per class",$D177*COUNTIFS('Session Tracker'!$D$5:$D$149,$A177,'Session Tracker'!$F$5:$F$149,"Next week",'Session Tracker'!$G$5:$G$149,"Thu"),$D177*SUMIFS('Session Tracker'!$J$5:$J$149,'Session Tracker'!$D$5:$D$149,$A177,'Session Tracker'!$F$5:$F$149,"Next week",'Session Tracker'!$G$5:$G$149,"Thu"))</f>
        <v>0</v>
      </c>
      <c r="L177" s="52" t="n">
        <f aca="false">IF($E177="Per class",$D177*COUNTIFS('Session Tracker'!$D$5:$D$149,$A177,'Session Tracker'!$F$5:$F$149,"Next week",'Session Tracker'!$G$5:$G$149,"Fri"),$D177*SUMIFS('Session Tracker'!$J$5:$J$149,'Session Tracker'!$D$5:$D$149,$A177,'Session Tracker'!$F$5:$F$149,"Next week",'Session Tracker'!$G$5:$G$149,"Fri"))</f>
        <v>0</v>
      </c>
      <c r="M177" s="52" t="n">
        <f aca="false">IF($E177="Per class",$D177*COUNTIFS('Session Tracker'!$D$5:$D$149,$A177,'Session Tracker'!$F$5:$F$149,"Next week",'Session Tracker'!$G$5:$G$149,""),$D177*SUMIFS('Session Tracker'!$J$5:$J$149,'Session Tracker'!$D$5:$D$149,$A177,'Session Tracker'!$F$5:$F$149,"Next week",'Session Tracker'!$G$5:$G$149,""))</f>
        <v>0</v>
      </c>
    </row>
    <row r="178" customFormat="false" ht="15" hidden="false" customHeight="false" outlineLevel="0" collapsed="false">
      <c r="A178" s="75" t="s">
        <v>310</v>
      </c>
      <c r="B178" s="34" t="s">
        <v>369</v>
      </c>
      <c r="C178" s="34" t="s">
        <v>563</v>
      </c>
      <c r="D178" s="32" t="n">
        <v>1</v>
      </c>
      <c r="E178" s="32" t="s">
        <v>14</v>
      </c>
      <c r="F178" s="32" t="s">
        <v>368</v>
      </c>
      <c r="G178" s="34"/>
      <c r="H178" s="52" t="n">
        <f aca="false">IF($E178="Per class",$D178*COUNTIFS('Session Tracker'!$D$5:$D$149,$A178,'Session Tracker'!$F$5:$F$149,"Next week",'Session Tracker'!$G$5:$G$149,"Mon"),$D178*SUMIFS('Session Tracker'!$J$5:$J$149,'Session Tracker'!$D$5:$D$149,$A178,'Session Tracker'!$F$5:$F$149,"Next week",'Session Tracker'!$G$5:$G$149,"Mon"))</f>
        <v>0</v>
      </c>
      <c r="I178" s="52" t="n">
        <f aca="false">IF($E178="Per class",$D178*COUNTIFS('Session Tracker'!$D$5:$D$149,$A178,'Session Tracker'!$F$5:$F$149,"Next week",'Session Tracker'!$G$5:$G$149,"Tue"),$D178*SUMIFS('Session Tracker'!$J$5:$J$149,'Session Tracker'!$D$5:$D$149,$A178,'Session Tracker'!$F$5:$F$149,"Next week",'Session Tracker'!$G$5:$G$149,"Tue"))</f>
        <v>0</v>
      </c>
      <c r="J178" s="52" t="n">
        <f aca="false">IF($E178="Per class",$D178*COUNTIFS('Session Tracker'!$D$5:$D$149,$A178,'Session Tracker'!$F$5:$F$149,"Next week",'Session Tracker'!$G$5:$G$149,"Wed"),$D178*SUMIFS('Session Tracker'!$J$5:$J$149,'Session Tracker'!$D$5:$D$149,$A178,'Session Tracker'!$F$5:$F$149,"Next week",'Session Tracker'!$G$5:$G$149,"Wed"))</f>
        <v>0</v>
      </c>
      <c r="K178" s="52" t="n">
        <f aca="false">IF($E178="Per class",$D178*COUNTIFS('Session Tracker'!$D$5:$D$149,$A178,'Session Tracker'!$F$5:$F$149,"Next week",'Session Tracker'!$G$5:$G$149,"Thu"),$D178*SUMIFS('Session Tracker'!$J$5:$J$149,'Session Tracker'!$D$5:$D$149,$A178,'Session Tracker'!$F$5:$F$149,"Next week",'Session Tracker'!$G$5:$G$149,"Thu"))</f>
        <v>0</v>
      </c>
      <c r="L178" s="52" t="n">
        <f aca="false">IF($E178="Per class",$D178*COUNTIFS('Session Tracker'!$D$5:$D$149,$A178,'Session Tracker'!$F$5:$F$149,"Next week",'Session Tracker'!$G$5:$G$149,"Fri"),$D178*SUMIFS('Session Tracker'!$J$5:$J$149,'Session Tracker'!$D$5:$D$149,$A178,'Session Tracker'!$F$5:$F$149,"Next week",'Session Tracker'!$G$5:$G$149,"Fri"))</f>
        <v>0</v>
      </c>
      <c r="M178" s="52" t="n">
        <f aca="false">IF($E178="Per class",$D178*COUNTIFS('Session Tracker'!$D$5:$D$149,$A178,'Session Tracker'!$F$5:$F$149,"Next week",'Session Tracker'!$G$5:$G$149,""),$D178*SUMIFS('Session Tracker'!$J$5:$J$149,'Session Tracker'!$D$5:$D$149,$A178,'Session Tracker'!$F$5:$F$149,"Next week",'Session Tracker'!$G$5:$G$149,""))</f>
        <v>0</v>
      </c>
    </row>
    <row r="179" customFormat="false" ht="15" hidden="false" customHeight="false" outlineLevel="0" collapsed="false">
      <c r="A179" s="75" t="s">
        <v>310</v>
      </c>
      <c r="B179" s="34" t="s">
        <v>379</v>
      </c>
      <c r="C179" s="34" t="s">
        <v>380</v>
      </c>
      <c r="D179" s="32" t="n">
        <v>1</v>
      </c>
      <c r="E179" s="32" t="s">
        <v>14</v>
      </c>
      <c r="F179" s="32" t="s">
        <v>368</v>
      </c>
      <c r="G179" s="34"/>
      <c r="H179" s="52" t="n">
        <f aca="false">IF($E179="Per class",$D179*COUNTIFS('Session Tracker'!$D$5:$D$149,$A179,'Session Tracker'!$F$5:$F$149,"Next week",'Session Tracker'!$G$5:$G$149,"Mon"),$D179*SUMIFS('Session Tracker'!$J$5:$J$149,'Session Tracker'!$D$5:$D$149,$A179,'Session Tracker'!$F$5:$F$149,"Next week",'Session Tracker'!$G$5:$G$149,"Mon"))</f>
        <v>0</v>
      </c>
      <c r="I179" s="52" t="n">
        <f aca="false">IF($E179="Per class",$D179*COUNTIFS('Session Tracker'!$D$5:$D$149,$A179,'Session Tracker'!$F$5:$F$149,"Next week",'Session Tracker'!$G$5:$G$149,"Tue"),$D179*SUMIFS('Session Tracker'!$J$5:$J$149,'Session Tracker'!$D$5:$D$149,$A179,'Session Tracker'!$F$5:$F$149,"Next week",'Session Tracker'!$G$5:$G$149,"Tue"))</f>
        <v>0</v>
      </c>
      <c r="J179" s="52" t="n">
        <f aca="false">IF($E179="Per class",$D179*COUNTIFS('Session Tracker'!$D$5:$D$149,$A179,'Session Tracker'!$F$5:$F$149,"Next week",'Session Tracker'!$G$5:$G$149,"Wed"),$D179*SUMIFS('Session Tracker'!$J$5:$J$149,'Session Tracker'!$D$5:$D$149,$A179,'Session Tracker'!$F$5:$F$149,"Next week",'Session Tracker'!$G$5:$G$149,"Wed"))</f>
        <v>0</v>
      </c>
      <c r="K179" s="52" t="n">
        <f aca="false">IF($E179="Per class",$D179*COUNTIFS('Session Tracker'!$D$5:$D$149,$A179,'Session Tracker'!$F$5:$F$149,"Next week",'Session Tracker'!$G$5:$G$149,"Thu"),$D179*SUMIFS('Session Tracker'!$J$5:$J$149,'Session Tracker'!$D$5:$D$149,$A179,'Session Tracker'!$F$5:$F$149,"Next week",'Session Tracker'!$G$5:$G$149,"Thu"))</f>
        <v>0</v>
      </c>
      <c r="L179" s="52" t="n">
        <f aca="false">IF($E179="Per class",$D179*COUNTIFS('Session Tracker'!$D$5:$D$149,$A179,'Session Tracker'!$F$5:$F$149,"Next week",'Session Tracker'!$G$5:$G$149,"Fri"),$D179*SUMIFS('Session Tracker'!$J$5:$J$149,'Session Tracker'!$D$5:$D$149,$A179,'Session Tracker'!$F$5:$F$149,"Next week",'Session Tracker'!$G$5:$G$149,"Fri"))</f>
        <v>0</v>
      </c>
      <c r="M179" s="52" t="n">
        <f aca="false">IF($E179="Per class",$D179*COUNTIFS('Session Tracker'!$D$5:$D$149,$A179,'Session Tracker'!$F$5:$F$149,"Next week",'Session Tracker'!$G$5:$G$149,""),$D179*SUMIFS('Session Tracker'!$J$5:$J$149,'Session Tracker'!$D$5:$D$149,$A179,'Session Tracker'!$F$5:$F$149,"Next week",'Session Tracker'!$G$5:$G$149,""))</f>
        <v>0</v>
      </c>
    </row>
    <row r="180" customFormat="false" ht="15" hidden="false" customHeight="false" outlineLevel="0" collapsed="false">
      <c r="A180" s="75" t="s">
        <v>310</v>
      </c>
      <c r="B180" s="34" t="s">
        <v>379</v>
      </c>
      <c r="C180" s="34" t="s">
        <v>381</v>
      </c>
      <c r="D180" s="32" t="n">
        <v>8</v>
      </c>
      <c r="E180" s="32" t="s">
        <v>14</v>
      </c>
      <c r="F180" s="32" t="s">
        <v>368</v>
      </c>
      <c r="G180" s="34"/>
      <c r="H180" s="52" t="n">
        <f aca="false">IF($E180="Per class",$D180*COUNTIFS('Session Tracker'!$D$5:$D$149,$A180,'Session Tracker'!$F$5:$F$149,"Next week",'Session Tracker'!$G$5:$G$149,"Mon"),$D180*SUMIFS('Session Tracker'!$J$5:$J$149,'Session Tracker'!$D$5:$D$149,$A180,'Session Tracker'!$F$5:$F$149,"Next week",'Session Tracker'!$G$5:$G$149,"Mon"))</f>
        <v>0</v>
      </c>
      <c r="I180" s="52" t="n">
        <f aca="false">IF($E180="Per class",$D180*COUNTIFS('Session Tracker'!$D$5:$D$149,$A180,'Session Tracker'!$F$5:$F$149,"Next week",'Session Tracker'!$G$5:$G$149,"Tue"),$D180*SUMIFS('Session Tracker'!$J$5:$J$149,'Session Tracker'!$D$5:$D$149,$A180,'Session Tracker'!$F$5:$F$149,"Next week",'Session Tracker'!$G$5:$G$149,"Tue"))</f>
        <v>0</v>
      </c>
      <c r="J180" s="52" t="n">
        <f aca="false">IF($E180="Per class",$D180*COUNTIFS('Session Tracker'!$D$5:$D$149,$A180,'Session Tracker'!$F$5:$F$149,"Next week",'Session Tracker'!$G$5:$G$149,"Wed"),$D180*SUMIFS('Session Tracker'!$J$5:$J$149,'Session Tracker'!$D$5:$D$149,$A180,'Session Tracker'!$F$5:$F$149,"Next week",'Session Tracker'!$G$5:$G$149,"Wed"))</f>
        <v>0</v>
      </c>
      <c r="K180" s="52" t="n">
        <f aca="false">IF($E180="Per class",$D180*COUNTIFS('Session Tracker'!$D$5:$D$149,$A180,'Session Tracker'!$F$5:$F$149,"Next week",'Session Tracker'!$G$5:$G$149,"Thu"),$D180*SUMIFS('Session Tracker'!$J$5:$J$149,'Session Tracker'!$D$5:$D$149,$A180,'Session Tracker'!$F$5:$F$149,"Next week",'Session Tracker'!$G$5:$G$149,"Thu"))</f>
        <v>0</v>
      </c>
      <c r="L180" s="52" t="n">
        <f aca="false">IF($E180="Per class",$D180*COUNTIFS('Session Tracker'!$D$5:$D$149,$A180,'Session Tracker'!$F$5:$F$149,"Next week",'Session Tracker'!$G$5:$G$149,"Fri"),$D180*SUMIFS('Session Tracker'!$J$5:$J$149,'Session Tracker'!$D$5:$D$149,$A180,'Session Tracker'!$F$5:$F$149,"Next week",'Session Tracker'!$G$5:$G$149,"Fri"))</f>
        <v>0</v>
      </c>
      <c r="M180" s="52" t="n">
        <f aca="false">IF($E180="Per class",$D180*COUNTIFS('Session Tracker'!$D$5:$D$149,$A180,'Session Tracker'!$F$5:$F$149,"Next week",'Session Tracker'!$G$5:$G$149,""),$D180*SUMIFS('Session Tracker'!$J$5:$J$149,'Session Tracker'!$D$5:$D$149,$A180,'Session Tracker'!$F$5:$F$149,"Next week",'Session Tracker'!$G$5:$G$149,""))</f>
        <v>0</v>
      </c>
    </row>
    <row r="181" customFormat="false" ht="15" hidden="false" customHeight="false" outlineLevel="0" collapsed="false">
      <c r="A181" s="75" t="s">
        <v>310</v>
      </c>
      <c r="B181" s="34" t="s">
        <v>379</v>
      </c>
      <c r="C181" s="34" t="s">
        <v>395</v>
      </c>
      <c r="D181" s="32" t="n">
        <v>6</v>
      </c>
      <c r="E181" s="32" t="s">
        <v>14</v>
      </c>
      <c r="F181" s="32" t="s">
        <v>368</v>
      </c>
      <c r="G181" s="34"/>
      <c r="H181" s="52" t="n">
        <f aca="false">IF($E181="Per class",$D181*COUNTIFS('Session Tracker'!$D$5:$D$149,$A181,'Session Tracker'!$F$5:$F$149,"Next week",'Session Tracker'!$G$5:$G$149,"Mon"),$D181*SUMIFS('Session Tracker'!$J$5:$J$149,'Session Tracker'!$D$5:$D$149,$A181,'Session Tracker'!$F$5:$F$149,"Next week",'Session Tracker'!$G$5:$G$149,"Mon"))</f>
        <v>0</v>
      </c>
      <c r="I181" s="52" t="n">
        <f aca="false">IF($E181="Per class",$D181*COUNTIFS('Session Tracker'!$D$5:$D$149,$A181,'Session Tracker'!$F$5:$F$149,"Next week",'Session Tracker'!$G$5:$G$149,"Tue"),$D181*SUMIFS('Session Tracker'!$J$5:$J$149,'Session Tracker'!$D$5:$D$149,$A181,'Session Tracker'!$F$5:$F$149,"Next week",'Session Tracker'!$G$5:$G$149,"Tue"))</f>
        <v>0</v>
      </c>
      <c r="J181" s="52" t="n">
        <f aca="false">IF($E181="Per class",$D181*COUNTIFS('Session Tracker'!$D$5:$D$149,$A181,'Session Tracker'!$F$5:$F$149,"Next week",'Session Tracker'!$G$5:$G$149,"Wed"),$D181*SUMIFS('Session Tracker'!$J$5:$J$149,'Session Tracker'!$D$5:$D$149,$A181,'Session Tracker'!$F$5:$F$149,"Next week",'Session Tracker'!$G$5:$G$149,"Wed"))</f>
        <v>0</v>
      </c>
      <c r="K181" s="52" t="n">
        <f aca="false">IF($E181="Per class",$D181*COUNTIFS('Session Tracker'!$D$5:$D$149,$A181,'Session Tracker'!$F$5:$F$149,"Next week",'Session Tracker'!$G$5:$G$149,"Thu"),$D181*SUMIFS('Session Tracker'!$J$5:$J$149,'Session Tracker'!$D$5:$D$149,$A181,'Session Tracker'!$F$5:$F$149,"Next week",'Session Tracker'!$G$5:$G$149,"Thu"))</f>
        <v>0</v>
      </c>
      <c r="L181" s="52" t="n">
        <f aca="false">IF($E181="Per class",$D181*COUNTIFS('Session Tracker'!$D$5:$D$149,$A181,'Session Tracker'!$F$5:$F$149,"Next week",'Session Tracker'!$G$5:$G$149,"Fri"),$D181*SUMIFS('Session Tracker'!$J$5:$J$149,'Session Tracker'!$D$5:$D$149,$A181,'Session Tracker'!$F$5:$F$149,"Next week",'Session Tracker'!$G$5:$G$149,"Fri"))</f>
        <v>0</v>
      </c>
      <c r="M181" s="52" t="n">
        <f aca="false">IF($E181="Per class",$D181*COUNTIFS('Session Tracker'!$D$5:$D$149,$A181,'Session Tracker'!$F$5:$F$149,"Next week",'Session Tracker'!$G$5:$G$149,""),$D181*SUMIFS('Session Tracker'!$J$5:$J$149,'Session Tracker'!$D$5:$D$149,$A181,'Session Tracker'!$F$5:$F$149,"Next week",'Session Tracker'!$G$5:$G$149,""))</f>
        <v>0</v>
      </c>
    </row>
    <row r="182" customFormat="false" ht="15" hidden="false" customHeight="false" outlineLevel="0" collapsed="false">
      <c r="A182" s="75" t="s">
        <v>310</v>
      </c>
      <c r="B182" s="34" t="s">
        <v>382</v>
      </c>
      <c r="C182" s="34" t="s">
        <v>383</v>
      </c>
      <c r="D182" s="32" t="n">
        <v>1</v>
      </c>
      <c r="E182" s="32" t="s">
        <v>14</v>
      </c>
      <c r="F182" s="32" t="s">
        <v>368</v>
      </c>
      <c r="G182" s="34"/>
      <c r="H182" s="52" t="n">
        <f aca="false">IF($E182="Per class",$D182*COUNTIFS('Session Tracker'!$D$5:$D$149,$A182,'Session Tracker'!$F$5:$F$149,"Next week",'Session Tracker'!$G$5:$G$149,"Mon"),$D182*SUMIFS('Session Tracker'!$J$5:$J$149,'Session Tracker'!$D$5:$D$149,$A182,'Session Tracker'!$F$5:$F$149,"Next week",'Session Tracker'!$G$5:$G$149,"Mon"))</f>
        <v>0</v>
      </c>
      <c r="I182" s="52" t="n">
        <f aca="false">IF($E182="Per class",$D182*COUNTIFS('Session Tracker'!$D$5:$D$149,$A182,'Session Tracker'!$F$5:$F$149,"Next week",'Session Tracker'!$G$5:$G$149,"Tue"),$D182*SUMIFS('Session Tracker'!$J$5:$J$149,'Session Tracker'!$D$5:$D$149,$A182,'Session Tracker'!$F$5:$F$149,"Next week",'Session Tracker'!$G$5:$G$149,"Tue"))</f>
        <v>0</v>
      </c>
      <c r="J182" s="52" t="n">
        <f aca="false">IF($E182="Per class",$D182*COUNTIFS('Session Tracker'!$D$5:$D$149,$A182,'Session Tracker'!$F$5:$F$149,"Next week",'Session Tracker'!$G$5:$G$149,"Wed"),$D182*SUMIFS('Session Tracker'!$J$5:$J$149,'Session Tracker'!$D$5:$D$149,$A182,'Session Tracker'!$F$5:$F$149,"Next week",'Session Tracker'!$G$5:$G$149,"Wed"))</f>
        <v>0</v>
      </c>
      <c r="K182" s="52" t="n">
        <f aca="false">IF($E182="Per class",$D182*COUNTIFS('Session Tracker'!$D$5:$D$149,$A182,'Session Tracker'!$F$5:$F$149,"Next week",'Session Tracker'!$G$5:$G$149,"Thu"),$D182*SUMIFS('Session Tracker'!$J$5:$J$149,'Session Tracker'!$D$5:$D$149,$A182,'Session Tracker'!$F$5:$F$149,"Next week",'Session Tracker'!$G$5:$G$149,"Thu"))</f>
        <v>0</v>
      </c>
      <c r="L182" s="52" t="n">
        <f aca="false">IF($E182="Per class",$D182*COUNTIFS('Session Tracker'!$D$5:$D$149,$A182,'Session Tracker'!$F$5:$F$149,"Next week",'Session Tracker'!$G$5:$G$149,"Fri"),$D182*SUMIFS('Session Tracker'!$J$5:$J$149,'Session Tracker'!$D$5:$D$149,$A182,'Session Tracker'!$F$5:$F$149,"Next week",'Session Tracker'!$G$5:$G$149,"Fri"))</f>
        <v>0</v>
      </c>
      <c r="M182" s="52" t="n">
        <f aca="false">IF($E182="Per class",$D182*COUNTIFS('Session Tracker'!$D$5:$D$149,$A182,'Session Tracker'!$F$5:$F$149,"Next week",'Session Tracker'!$G$5:$G$149,""),$D182*SUMIFS('Session Tracker'!$J$5:$J$149,'Session Tracker'!$D$5:$D$149,$A182,'Session Tracker'!$F$5:$F$149,"Next week",'Session Tracker'!$G$5:$G$149,""))</f>
        <v>0</v>
      </c>
    </row>
    <row r="183" customFormat="false" ht="15" hidden="false" customHeight="false" outlineLevel="0" collapsed="false">
      <c r="A183" s="53" t="s">
        <v>310</v>
      </c>
      <c r="B183" s="54"/>
      <c r="C183" s="54"/>
      <c r="D183" s="54"/>
      <c r="E183" s="54"/>
      <c r="F183" s="54"/>
      <c r="G183" s="54"/>
      <c r="H183" s="52" t="n">
        <f aca="false">IF($E183="Per class",$D183*COUNTIFS('Session Tracker'!$D$5:$D$149,$A183,'Session Tracker'!$F$5:$F$149,"Next week",'Session Tracker'!$G$5:$G$149,"Mon"),$D183*SUMIFS('Session Tracker'!$J$5:$J$149,'Session Tracker'!$D$5:$D$149,$A183,'Session Tracker'!$F$5:$F$149,"Next week",'Session Tracker'!$G$5:$G$149,"Mon"))</f>
        <v>0</v>
      </c>
      <c r="I183" s="52" t="n">
        <f aca="false">IF($E183="Per class",$D183*COUNTIFS('Session Tracker'!$D$5:$D$149,$A183,'Session Tracker'!$F$5:$F$149,"Next week",'Session Tracker'!$G$5:$G$149,"Tue"),$D183*SUMIFS('Session Tracker'!$J$5:$J$149,'Session Tracker'!$D$5:$D$149,$A183,'Session Tracker'!$F$5:$F$149,"Next week",'Session Tracker'!$G$5:$G$149,"Tue"))</f>
        <v>0</v>
      </c>
      <c r="J183" s="52" t="n">
        <f aca="false">IF($E183="Per class",$D183*COUNTIFS('Session Tracker'!$D$5:$D$149,$A183,'Session Tracker'!$F$5:$F$149,"Next week",'Session Tracker'!$G$5:$G$149,"Wed"),$D183*SUMIFS('Session Tracker'!$J$5:$J$149,'Session Tracker'!$D$5:$D$149,$A183,'Session Tracker'!$F$5:$F$149,"Next week",'Session Tracker'!$G$5:$G$149,"Wed"))</f>
        <v>0</v>
      </c>
      <c r="K183" s="52" t="n">
        <f aca="false">IF($E183="Per class",$D183*COUNTIFS('Session Tracker'!$D$5:$D$149,$A183,'Session Tracker'!$F$5:$F$149,"Next week",'Session Tracker'!$G$5:$G$149,"Thu"),$D183*SUMIFS('Session Tracker'!$J$5:$J$149,'Session Tracker'!$D$5:$D$149,$A183,'Session Tracker'!$F$5:$F$149,"Next week",'Session Tracker'!$G$5:$G$149,"Thu"))</f>
        <v>0</v>
      </c>
      <c r="L183" s="52" t="n">
        <f aca="false">IF($E183="Per class",$D183*COUNTIFS('Session Tracker'!$D$5:$D$149,$A183,'Session Tracker'!$F$5:$F$149,"Next week",'Session Tracker'!$G$5:$G$149,"Fri"),$D183*SUMIFS('Session Tracker'!$J$5:$J$149,'Session Tracker'!$D$5:$D$149,$A183,'Session Tracker'!$F$5:$F$149,"Next week",'Session Tracker'!$G$5:$G$149,"Fri"))</f>
        <v>0</v>
      </c>
      <c r="M183" s="52" t="n">
        <f aca="false">IF($E183="Per class",$D183*COUNTIFS('Session Tracker'!$D$5:$D$149,$A183,'Session Tracker'!$F$5:$F$149,"Next week",'Session Tracker'!$G$5:$G$149,""),$D183*SUMIFS('Session Tracker'!$J$5:$J$149,'Session Tracker'!$D$5:$D$149,$A183,'Session Tracker'!$F$5:$F$149,"Next week",'Session Tracker'!$G$5:$G$149,""))</f>
        <v>0</v>
      </c>
    </row>
    <row r="184" customFormat="false" ht="15" hidden="false" customHeight="false" outlineLevel="0" collapsed="false">
      <c r="A184" s="53" t="s">
        <v>310</v>
      </c>
      <c r="B184" s="54"/>
      <c r="C184" s="54"/>
      <c r="D184" s="54"/>
      <c r="E184" s="54"/>
      <c r="F184" s="54"/>
      <c r="G184" s="54"/>
      <c r="H184" s="52" t="n">
        <f aca="false">IF($E184="Per class",$D184*COUNTIFS('Session Tracker'!$D$5:$D$149,$A184,'Session Tracker'!$F$5:$F$149,"Next week",'Session Tracker'!$G$5:$G$149,"Mon"),$D184*SUMIFS('Session Tracker'!$J$5:$J$149,'Session Tracker'!$D$5:$D$149,$A184,'Session Tracker'!$F$5:$F$149,"Next week",'Session Tracker'!$G$5:$G$149,"Mon"))</f>
        <v>0</v>
      </c>
      <c r="I184" s="52" t="n">
        <f aca="false">IF($E184="Per class",$D184*COUNTIFS('Session Tracker'!$D$5:$D$149,$A184,'Session Tracker'!$F$5:$F$149,"Next week",'Session Tracker'!$G$5:$G$149,"Tue"),$D184*SUMIFS('Session Tracker'!$J$5:$J$149,'Session Tracker'!$D$5:$D$149,$A184,'Session Tracker'!$F$5:$F$149,"Next week",'Session Tracker'!$G$5:$G$149,"Tue"))</f>
        <v>0</v>
      </c>
      <c r="J184" s="52" t="n">
        <f aca="false">IF($E184="Per class",$D184*COUNTIFS('Session Tracker'!$D$5:$D$149,$A184,'Session Tracker'!$F$5:$F$149,"Next week",'Session Tracker'!$G$5:$G$149,"Wed"),$D184*SUMIFS('Session Tracker'!$J$5:$J$149,'Session Tracker'!$D$5:$D$149,$A184,'Session Tracker'!$F$5:$F$149,"Next week",'Session Tracker'!$G$5:$G$149,"Wed"))</f>
        <v>0</v>
      </c>
      <c r="K184" s="52" t="n">
        <f aca="false">IF($E184="Per class",$D184*COUNTIFS('Session Tracker'!$D$5:$D$149,$A184,'Session Tracker'!$F$5:$F$149,"Next week",'Session Tracker'!$G$5:$G$149,"Thu"),$D184*SUMIFS('Session Tracker'!$J$5:$J$149,'Session Tracker'!$D$5:$D$149,$A184,'Session Tracker'!$F$5:$F$149,"Next week",'Session Tracker'!$G$5:$G$149,"Thu"))</f>
        <v>0</v>
      </c>
      <c r="L184" s="52" t="n">
        <f aca="false">IF($E184="Per class",$D184*COUNTIFS('Session Tracker'!$D$5:$D$149,$A184,'Session Tracker'!$F$5:$F$149,"Next week",'Session Tracker'!$G$5:$G$149,"Fri"),$D184*SUMIFS('Session Tracker'!$J$5:$J$149,'Session Tracker'!$D$5:$D$149,$A184,'Session Tracker'!$F$5:$F$149,"Next week",'Session Tracker'!$G$5:$G$149,"Fri"))</f>
        <v>0</v>
      </c>
      <c r="M184" s="52" t="n">
        <f aca="false">IF($E184="Per class",$D184*COUNTIFS('Session Tracker'!$D$5:$D$149,$A184,'Session Tracker'!$F$5:$F$149,"Next week",'Session Tracker'!$G$5:$G$149,""),$D184*SUMIFS('Session Tracker'!$J$5:$J$149,'Session Tracker'!$D$5:$D$149,$A184,'Session Tracker'!$F$5:$F$149,"Next week",'Session Tracker'!$G$5:$G$149,""))</f>
        <v>0</v>
      </c>
    </row>
    <row r="186" customFormat="false" ht="19.5" hidden="false" customHeight="true" outlineLevel="0" collapsed="false">
      <c r="A186" s="71" t="s">
        <v>312</v>
      </c>
      <c r="B186" s="72" t="s">
        <v>676</v>
      </c>
      <c r="C186" s="72"/>
      <c r="D186" s="72"/>
      <c r="E186" s="72"/>
      <c r="F186" s="73" t="str">
        <f aca="false">"Status: "&amp;'Session Tracker'!F127&amp;IF('Session Tracker'!G127&lt;&gt;""," ("&amp;'Session Tracker'!G127&amp;")","")</f>
        <v>Status: Not started</v>
      </c>
      <c r="G186" s="73"/>
      <c r="H186" s="74"/>
      <c r="I186" s="74"/>
      <c r="J186" s="74"/>
      <c r="K186" s="74"/>
      <c r="L186" s="74"/>
      <c r="M186" s="74"/>
    </row>
    <row r="187" customFormat="false" ht="23.85" hidden="false" customHeight="false" outlineLevel="0" collapsed="false">
      <c r="A187" s="75" t="s">
        <v>312</v>
      </c>
      <c r="B187" s="34" t="s">
        <v>366</v>
      </c>
      <c r="C187" s="34" t="s">
        <v>391</v>
      </c>
      <c r="D187" s="32" t="n">
        <v>1</v>
      </c>
      <c r="E187" s="32" t="s">
        <v>14</v>
      </c>
      <c r="F187" s="32" t="s">
        <v>368</v>
      </c>
      <c r="G187" s="34"/>
      <c r="H187" s="52" t="n">
        <f aca="false">IF($E187="Per class",$D187*COUNTIFS('Session Tracker'!$D$5:$D$149,$A187,'Session Tracker'!$F$5:$F$149,"Next week",'Session Tracker'!$G$5:$G$149,"Mon"),$D187*SUMIFS('Session Tracker'!$J$5:$J$149,'Session Tracker'!$D$5:$D$149,$A187,'Session Tracker'!$F$5:$F$149,"Next week",'Session Tracker'!$G$5:$G$149,"Mon"))</f>
        <v>0</v>
      </c>
      <c r="I187" s="52" t="n">
        <f aca="false">IF($E187="Per class",$D187*COUNTIFS('Session Tracker'!$D$5:$D$149,$A187,'Session Tracker'!$F$5:$F$149,"Next week",'Session Tracker'!$G$5:$G$149,"Tue"),$D187*SUMIFS('Session Tracker'!$J$5:$J$149,'Session Tracker'!$D$5:$D$149,$A187,'Session Tracker'!$F$5:$F$149,"Next week",'Session Tracker'!$G$5:$G$149,"Tue"))</f>
        <v>0</v>
      </c>
      <c r="J187" s="52" t="n">
        <f aca="false">IF($E187="Per class",$D187*COUNTIFS('Session Tracker'!$D$5:$D$149,$A187,'Session Tracker'!$F$5:$F$149,"Next week",'Session Tracker'!$G$5:$G$149,"Wed"),$D187*SUMIFS('Session Tracker'!$J$5:$J$149,'Session Tracker'!$D$5:$D$149,$A187,'Session Tracker'!$F$5:$F$149,"Next week",'Session Tracker'!$G$5:$G$149,"Wed"))</f>
        <v>0</v>
      </c>
      <c r="K187" s="52" t="n">
        <f aca="false">IF($E187="Per class",$D187*COUNTIFS('Session Tracker'!$D$5:$D$149,$A187,'Session Tracker'!$F$5:$F$149,"Next week",'Session Tracker'!$G$5:$G$149,"Thu"),$D187*SUMIFS('Session Tracker'!$J$5:$J$149,'Session Tracker'!$D$5:$D$149,$A187,'Session Tracker'!$F$5:$F$149,"Next week",'Session Tracker'!$G$5:$G$149,"Thu"))</f>
        <v>0</v>
      </c>
      <c r="L187" s="52" t="n">
        <f aca="false">IF($E187="Per class",$D187*COUNTIFS('Session Tracker'!$D$5:$D$149,$A187,'Session Tracker'!$F$5:$F$149,"Next week",'Session Tracker'!$G$5:$G$149,"Fri"),$D187*SUMIFS('Session Tracker'!$J$5:$J$149,'Session Tracker'!$D$5:$D$149,$A187,'Session Tracker'!$F$5:$F$149,"Next week",'Session Tracker'!$G$5:$G$149,"Fri"))</f>
        <v>0</v>
      </c>
      <c r="M187" s="52" t="n">
        <f aca="false">IF($E187="Per class",$D187*COUNTIFS('Session Tracker'!$D$5:$D$149,$A187,'Session Tracker'!$F$5:$F$149,"Next week",'Session Tracker'!$G$5:$G$149,""),$D187*SUMIFS('Session Tracker'!$J$5:$J$149,'Session Tracker'!$D$5:$D$149,$A187,'Session Tracker'!$F$5:$F$149,"Next week",'Session Tracker'!$G$5:$G$149,""))</f>
        <v>0</v>
      </c>
    </row>
    <row r="188" customFormat="false" ht="15" hidden="false" customHeight="false" outlineLevel="0" collapsed="false">
      <c r="A188" s="75" t="s">
        <v>312</v>
      </c>
      <c r="B188" s="34" t="s">
        <v>369</v>
      </c>
      <c r="C188" s="34" t="s">
        <v>430</v>
      </c>
      <c r="D188" s="32" t="n">
        <v>1</v>
      </c>
      <c r="E188" s="32" t="s">
        <v>14</v>
      </c>
      <c r="F188" s="32" t="s">
        <v>368</v>
      </c>
      <c r="G188" s="34"/>
      <c r="H188" s="52" t="n">
        <f aca="false">IF($E188="Per class",$D188*COUNTIFS('Session Tracker'!$D$5:$D$149,$A188,'Session Tracker'!$F$5:$F$149,"Next week",'Session Tracker'!$G$5:$G$149,"Mon"),$D188*SUMIFS('Session Tracker'!$J$5:$J$149,'Session Tracker'!$D$5:$D$149,$A188,'Session Tracker'!$F$5:$F$149,"Next week",'Session Tracker'!$G$5:$G$149,"Mon"))</f>
        <v>0</v>
      </c>
      <c r="I188" s="52" t="n">
        <f aca="false">IF($E188="Per class",$D188*COUNTIFS('Session Tracker'!$D$5:$D$149,$A188,'Session Tracker'!$F$5:$F$149,"Next week",'Session Tracker'!$G$5:$G$149,"Tue"),$D188*SUMIFS('Session Tracker'!$J$5:$J$149,'Session Tracker'!$D$5:$D$149,$A188,'Session Tracker'!$F$5:$F$149,"Next week",'Session Tracker'!$G$5:$G$149,"Tue"))</f>
        <v>0</v>
      </c>
      <c r="J188" s="52" t="n">
        <f aca="false">IF($E188="Per class",$D188*COUNTIFS('Session Tracker'!$D$5:$D$149,$A188,'Session Tracker'!$F$5:$F$149,"Next week",'Session Tracker'!$G$5:$G$149,"Wed"),$D188*SUMIFS('Session Tracker'!$J$5:$J$149,'Session Tracker'!$D$5:$D$149,$A188,'Session Tracker'!$F$5:$F$149,"Next week",'Session Tracker'!$G$5:$G$149,"Wed"))</f>
        <v>0</v>
      </c>
      <c r="K188" s="52" t="n">
        <f aca="false">IF($E188="Per class",$D188*COUNTIFS('Session Tracker'!$D$5:$D$149,$A188,'Session Tracker'!$F$5:$F$149,"Next week",'Session Tracker'!$G$5:$G$149,"Thu"),$D188*SUMIFS('Session Tracker'!$J$5:$J$149,'Session Tracker'!$D$5:$D$149,$A188,'Session Tracker'!$F$5:$F$149,"Next week",'Session Tracker'!$G$5:$G$149,"Thu"))</f>
        <v>0</v>
      </c>
      <c r="L188" s="52" t="n">
        <f aca="false">IF($E188="Per class",$D188*COUNTIFS('Session Tracker'!$D$5:$D$149,$A188,'Session Tracker'!$F$5:$F$149,"Next week",'Session Tracker'!$G$5:$G$149,"Fri"),$D188*SUMIFS('Session Tracker'!$J$5:$J$149,'Session Tracker'!$D$5:$D$149,$A188,'Session Tracker'!$F$5:$F$149,"Next week",'Session Tracker'!$G$5:$G$149,"Fri"))</f>
        <v>0</v>
      </c>
      <c r="M188" s="52" t="n">
        <f aca="false">IF($E188="Per class",$D188*COUNTIFS('Session Tracker'!$D$5:$D$149,$A188,'Session Tracker'!$F$5:$F$149,"Next week",'Session Tracker'!$G$5:$G$149,""),$D188*SUMIFS('Session Tracker'!$J$5:$J$149,'Session Tracker'!$D$5:$D$149,$A188,'Session Tracker'!$F$5:$F$149,"Next week",'Session Tracker'!$G$5:$G$149,""))</f>
        <v>0</v>
      </c>
    </row>
    <row r="189" customFormat="false" ht="15" hidden="false" customHeight="false" outlineLevel="0" collapsed="false">
      <c r="A189" s="75" t="s">
        <v>312</v>
      </c>
      <c r="B189" s="34" t="s">
        <v>369</v>
      </c>
      <c r="C189" s="34" t="s">
        <v>428</v>
      </c>
      <c r="D189" s="32" t="n">
        <v>1</v>
      </c>
      <c r="E189" s="32" t="s">
        <v>14</v>
      </c>
      <c r="F189" s="32" t="s">
        <v>368</v>
      </c>
      <c r="G189" s="34"/>
      <c r="H189" s="52" t="n">
        <f aca="false">IF($E189="Per class",$D189*COUNTIFS('Session Tracker'!$D$5:$D$149,$A189,'Session Tracker'!$F$5:$F$149,"Next week",'Session Tracker'!$G$5:$G$149,"Mon"),$D189*SUMIFS('Session Tracker'!$J$5:$J$149,'Session Tracker'!$D$5:$D$149,$A189,'Session Tracker'!$F$5:$F$149,"Next week",'Session Tracker'!$G$5:$G$149,"Mon"))</f>
        <v>0</v>
      </c>
      <c r="I189" s="52" t="n">
        <f aca="false">IF($E189="Per class",$D189*COUNTIFS('Session Tracker'!$D$5:$D$149,$A189,'Session Tracker'!$F$5:$F$149,"Next week",'Session Tracker'!$G$5:$G$149,"Tue"),$D189*SUMIFS('Session Tracker'!$J$5:$J$149,'Session Tracker'!$D$5:$D$149,$A189,'Session Tracker'!$F$5:$F$149,"Next week",'Session Tracker'!$G$5:$G$149,"Tue"))</f>
        <v>0</v>
      </c>
      <c r="J189" s="52" t="n">
        <f aca="false">IF($E189="Per class",$D189*COUNTIFS('Session Tracker'!$D$5:$D$149,$A189,'Session Tracker'!$F$5:$F$149,"Next week",'Session Tracker'!$G$5:$G$149,"Wed"),$D189*SUMIFS('Session Tracker'!$J$5:$J$149,'Session Tracker'!$D$5:$D$149,$A189,'Session Tracker'!$F$5:$F$149,"Next week",'Session Tracker'!$G$5:$G$149,"Wed"))</f>
        <v>0</v>
      </c>
      <c r="K189" s="52" t="n">
        <f aca="false">IF($E189="Per class",$D189*COUNTIFS('Session Tracker'!$D$5:$D$149,$A189,'Session Tracker'!$F$5:$F$149,"Next week",'Session Tracker'!$G$5:$G$149,"Thu"),$D189*SUMIFS('Session Tracker'!$J$5:$J$149,'Session Tracker'!$D$5:$D$149,$A189,'Session Tracker'!$F$5:$F$149,"Next week",'Session Tracker'!$G$5:$G$149,"Thu"))</f>
        <v>0</v>
      </c>
      <c r="L189" s="52" t="n">
        <f aca="false">IF($E189="Per class",$D189*COUNTIFS('Session Tracker'!$D$5:$D$149,$A189,'Session Tracker'!$F$5:$F$149,"Next week",'Session Tracker'!$G$5:$G$149,"Fri"),$D189*SUMIFS('Session Tracker'!$J$5:$J$149,'Session Tracker'!$D$5:$D$149,$A189,'Session Tracker'!$F$5:$F$149,"Next week",'Session Tracker'!$G$5:$G$149,"Fri"))</f>
        <v>0</v>
      </c>
      <c r="M189" s="52" t="n">
        <f aca="false">IF($E189="Per class",$D189*COUNTIFS('Session Tracker'!$D$5:$D$149,$A189,'Session Tracker'!$F$5:$F$149,"Next week",'Session Tracker'!$G$5:$G$149,""),$D189*SUMIFS('Session Tracker'!$J$5:$J$149,'Session Tracker'!$D$5:$D$149,$A189,'Session Tracker'!$F$5:$F$149,"Next week",'Session Tracker'!$G$5:$G$149,""))</f>
        <v>0</v>
      </c>
    </row>
    <row r="190" customFormat="false" ht="15" hidden="false" customHeight="false" outlineLevel="0" collapsed="false">
      <c r="A190" s="75" t="s">
        <v>312</v>
      </c>
      <c r="B190" s="34" t="s">
        <v>369</v>
      </c>
      <c r="C190" s="34" t="s">
        <v>523</v>
      </c>
      <c r="D190" s="32" t="n">
        <v>1</v>
      </c>
      <c r="E190" s="32" t="s">
        <v>14</v>
      </c>
      <c r="F190" s="32" t="s">
        <v>368</v>
      </c>
      <c r="G190" s="34"/>
      <c r="H190" s="52" t="n">
        <f aca="false">IF($E190="Per class",$D190*COUNTIFS('Session Tracker'!$D$5:$D$149,$A190,'Session Tracker'!$F$5:$F$149,"Next week",'Session Tracker'!$G$5:$G$149,"Mon"),$D190*SUMIFS('Session Tracker'!$J$5:$J$149,'Session Tracker'!$D$5:$D$149,$A190,'Session Tracker'!$F$5:$F$149,"Next week",'Session Tracker'!$G$5:$G$149,"Mon"))</f>
        <v>0</v>
      </c>
      <c r="I190" s="52" t="n">
        <f aca="false">IF($E190="Per class",$D190*COUNTIFS('Session Tracker'!$D$5:$D$149,$A190,'Session Tracker'!$F$5:$F$149,"Next week",'Session Tracker'!$G$5:$G$149,"Tue"),$D190*SUMIFS('Session Tracker'!$J$5:$J$149,'Session Tracker'!$D$5:$D$149,$A190,'Session Tracker'!$F$5:$F$149,"Next week",'Session Tracker'!$G$5:$G$149,"Tue"))</f>
        <v>0</v>
      </c>
      <c r="J190" s="52" t="n">
        <f aca="false">IF($E190="Per class",$D190*COUNTIFS('Session Tracker'!$D$5:$D$149,$A190,'Session Tracker'!$F$5:$F$149,"Next week",'Session Tracker'!$G$5:$G$149,"Wed"),$D190*SUMIFS('Session Tracker'!$J$5:$J$149,'Session Tracker'!$D$5:$D$149,$A190,'Session Tracker'!$F$5:$F$149,"Next week",'Session Tracker'!$G$5:$G$149,"Wed"))</f>
        <v>0</v>
      </c>
      <c r="K190" s="52" t="n">
        <f aca="false">IF($E190="Per class",$D190*COUNTIFS('Session Tracker'!$D$5:$D$149,$A190,'Session Tracker'!$F$5:$F$149,"Next week",'Session Tracker'!$G$5:$G$149,"Thu"),$D190*SUMIFS('Session Tracker'!$J$5:$J$149,'Session Tracker'!$D$5:$D$149,$A190,'Session Tracker'!$F$5:$F$149,"Next week",'Session Tracker'!$G$5:$G$149,"Thu"))</f>
        <v>0</v>
      </c>
      <c r="L190" s="52" t="n">
        <f aca="false">IF($E190="Per class",$D190*COUNTIFS('Session Tracker'!$D$5:$D$149,$A190,'Session Tracker'!$F$5:$F$149,"Next week",'Session Tracker'!$G$5:$G$149,"Fri"),$D190*SUMIFS('Session Tracker'!$J$5:$J$149,'Session Tracker'!$D$5:$D$149,$A190,'Session Tracker'!$F$5:$F$149,"Next week",'Session Tracker'!$G$5:$G$149,"Fri"))</f>
        <v>0</v>
      </c>
      <c r="M190" s="52" t="n">
        <f aca="false">IF($E190="Per class",$D190*COUNTIFS('Session Tracker'!$D$5:$D$149,$A190,'Session Tracker'!$F$5:$F$149,"Next week",'Session Tracker'!$G$5:$G$149,""),$D190*SUMIFS('Session Tracker'!$J$5:$J$149,'Session Tracker'!$D$5:$D$149,$A190,'Session Tracker'!$F$5:$F$149,"Next week",'Session Tracker'!$G$5:$G$149,""))</f>
        <v>0</v>
      </c>
    </row>
    <row r="191" customFormat="false" ht="15" hidden="false" customHeight="false" outlineLevel="0" collapsed="false">
      <c r="A191" s="75" t="s">
        <v>312</v>
      </c>
      <c r="B191" s="34" t="s">
        <v>379</v>
      </c>
      <c r="C191" s="34" t="s">
        <v>380</v>
      </c>
      <c r="D191" s="32" t="n">
        <v>1</v>
      </c>
      <c r="E191" s="32" t="s">
        <v>14</v>
      </c>
      <c r="F191" s="32" t="s">
        <v>368</v>
      </c>
      <c r="G191" s="34"/>
      <c r="H191" s="52" t="n">
        <f aca="false">IF($E191="Per class",$D191*COUNTIFS('Session Tracker'!$D$5:$D$149,$A191,'Session Tracker'!$F$5:$F$149,"Next week",'Session Tracker'!$G$5:$G$149,"Mon"),$D191*SUMIFS('Session Tracker'!$J$5:$J$149,'Session Tracker'!$D$5:$D$149,$A191,'Session Tracker'!$F$5:$F$149,"Next week",'Session Tracker'!$G$5:$G$149,"Mon"))</f>
        <v>0</v>
      </c>
      <c r="I191" s="52" t="n">
        <f aca="false">IF($E191="Per class",$D191*COUNTIFS('Session Tracker'!$D$5:$D$149,$A191,'Session Tracker'!$F$5:$F$149,"Next week",'Session Tracker'!$G$5:$G$149,"Tue"),$D191*SUMIFS('Session Tracker'!$J$5:$J$149,'Session Tracker'!$D$5:$D$149,$A191,'Session Tracker'!$F$5:$F$149,"Next week",'Session Tracker'!$G$5:$G$149,"Tue"))</f>
        <v>0</v>
      </c>
      <c r="J191" s="52" t="n">
        <f aca="false">IF($E191="Per class",$D191*COUNTIFS('Session Tracker'!$D$5:$D$149,$A191,'Session Tracker'!$F$5:$F$149,"Next week",'Session Tracker'!$G$5:$G$149,"Wed"),$D191*SUMIFS('Session Tracker'!$J$5:$J$149,'Session Tracker'!$D$5:$D$149,$A191,'Session Tracker'!$F$5:$F$149,"Next week",'Session Tracker'!$G$5:$G$149,"Wed"))</f>
        <v>0</v>
      </c>
      <c r="K191" s="52" t="n">
        <f aca="false">IF($E191="Per class",$D191*COUNTIFS('Session Tracker'!$D$5:$D$149,$A191,'Session Tracker'!$F$5:$F$149,"Next week",'Session Tracker'!$G$5:$G$149,"Thu"),$D191*SUMIFS('Session Tracker'!$J$5:$J$149,'Session Tracker'!$D$5:$D$149,$A191,'Session Tracker'!$F$5:$F$149,"Next week",'Session Tracker'!$G$5:$G$149,"Thu"))</f>
        <v>0</v>
      </c>
      <c r="L191" s="52" t="n">
        <f aca="false">IF($E191="Per class",$D191*COUNTIFS('Session Tracker'!$D$5:$D$149,$A191,'Session Tracker'!$F$5:$F$149,"Next week",'Session Tracker'!$G$5:$G$149,"Fri"),$D191*SUMIFS('Session Tracker'!$J$5:$J$149,'Session Tracker'!$D$5:$D$149,$A191,'Session Tracker'!$F$5:$F$149,"Next week",'Session Tracker'!$G$5:$G$149,"Fri"))</f>
        <v>0</v>
      </c>
      <c r="M191" s="52" t="n">
        <f aca="false">IF($E191="Per class",$D191*COUNTIFS('Session Tracker'!$D$5:$D$149,$A191,'Session Tracker'!$F$5:$F$149,"Next week",'Session Tracker'!$G$5:$G$149,""),$D191*SUMIFS('Session Tracker'!$J$5:$J$149,'Session Tracker'!$D$5:$D$149,$A191,'Session Tracker'!$F$5:$F$149,"Next week",'Session Tracker'!$G$5:$G$149,""))</f>
        <v>0</v>
      </c>
    </row>
    <row r="192" customFormat="false" ht="15" hidden="false" customHeight="false" outlineLevel="0" collapsed="false">
      <c r="A192" s="75" t="s">
        <v>312</v>
      </c>
      <c r="B192" s="34" t="s">
        <v>379</v>
      </c>
      <c r="C192" s="34" t="s">
        <v>381</v>
      </c>
      <c r="D192" s="32" t="n">
        <v>8</v>
      </c>
      <c r="E192" s="32" t="s">
        <v>14</v>
      </c>
      <c r="F192" s="32" t="s">
        <v>368</v>
      </c>
      <c r="G192" s="34"/>
      <c r="H192" s="52" t="n">
        <f aca="false">IF($E192="Per class",$D192*COUNTIFS('Session Tracker'!$D$5:$D$149,$A192,'Session Tracker'!$F$5:$F$149,"Next week",'Session Tracker'!$G$5:$G$149,"Mon"),$D192*SUMIFS('Session Tracker'!$J$5:$J$149,'Session Tracker'!$D$5:$D$149,$A192,'Session Tracker'!$F$5:$F$149,"Next week",'Session Tracker'!$G$5:$G$149,"Mon"))</f>
        <v>0</v>
      </c>
      <c r="I192" s="52" t="n">
        <f aca="false">IF($E192="Per class",$D192*COUNTIFS('Session Tracker'!$D$5:$D$149,$A192,'Session Tracker'!$F$5:$F$149,"Next week",'Session Tracker'!$G$5:$G$149,"Tue"),$D192*SUMIFS('Session Tracker'!$J$5:$J$149,'Session Tracker'!$D$5:$D$149,$A192,'Session Tracker'!$F$5:$F$149,"Next week",'Session Tracker'!$G$5:$G$149,"Tue"))</f>
        <v>0</v>
      </c>
      <c r="J192" s="52" t="n">
        <f aca="false">IF($E192="Per class",$D192*COUNTIFS('Session Tracker'!$D$5:$D$149,$A192,'Session Tracker'!$F$5:$F$149,"Next week",'Session Tracker'!$G$5:$G$149,"Wed"),$D192*SUMIFS('Session Tracker'!$J$5:$J$149,'Session Tracker'!$D$5:$D$149,$A192,'Session Tracker'!$F$5:$F$149,"Next week",'Session Tracker'!$G$5:$G$149,"Wed"))</f>
        <v>0</v>
      </c>
      <c r="K192" s="52" t="n">
        <f aca="false">IF($E192="Per class",$D192*COUNTIFS('Session Tracker'!$D$5:$D$149,$A192,'Session Tracker'!$F$5:$F$149,"Next week",'Session Tracker'!$G$5:$G$149,"Thu"),$D192*SUMIFS('Session Tracker'!$J$5:$J$149,'Session Tracker'!$D$5:$D$149,$A192,'Session Tracker'!$F$5:$F$149,"Next week",'Session Tracker'!$G$5:$G$149,"Thu"))</f>
        <v>0</v>
      </c>
      <c r="L192" s="52" t="n">
        <f aca="false">IF($E192="Per class",$D192*COUNTIFS('Session Tracker'!$D$5:$D$149,$A192,'Session Tracker'!$F$5:$F$149,"Next week",'Session Tracker'!$G$5:$G$149,"Fri"),$D192*SUMIFS('Session Tracker'!$J$5:$J$149,'Session Tracker'!$D$5:$D$149,$A192,'Session Tracker'!$F$5:$F$149,"Next week",'Session Tracker'!$G$5:$G$149,"Fri"))</f>
        <v>0</v>
      </c>
      <c r="M192" s="52" t="n">
        <f aca="false">IF($E192="Per class",$D192*COUNTIFS('Session Tracker'!$D$5:$D$149,$A192,'Session Tracker'!$F$5:$F$149,"Next week",'Session Tracker'!$G$5:$G$149,""),$D192*SUMIFS('Session Tracker'!$J$5:$J$149,'Session Tracker'!$D$5:$D$149,$A192,'Session Tracker'!$F$5:$F$149,"Next week",'Session Tracker'!$G$5:$G$149,""))</f>
        <v>0</v>
      </c>
    </row>
    <row r="193" customFormat="false" ht="15" hidden="false" customHeight="false" outlineLevel="0" collapsed="false">
      <c r="A193" s="75" t="s">
        <v>312</v>
      </c>
      <c r="B193" s="34" t="s">
        <v>379</v>
      </c>
      <c r="C193" s="34" t="s">
        <v>395</v>
      </c>
      <c r="D193" s="32" t="n">
        <v>6</v>
      </c>
      <c r="E193" s="32" t="s">
        <v>14</v>
      </c>
      <c r="F193" s="32" t="s">
        <v>368</v>
      </c>
      <c r="G193" s="34"/>
      <c r="H193" s="52" t="n">
        <f aca="false">IF($E193="Per class",$D193*COUNTIFS('Session Tracker'!$D$5:$D$149,$A193,'Session Tracker'!$F$5:$F$149,"Next week",'Session Tracker'!$G$5:$G$149,"Mon"),$D193*SUMIFS('Session Tracker'!$J$5:$J$149,'Session Tracker'!$D$5:$D$149,$A193,'Session Tracker'!$F$5:$F$149,"Next week",'Session Tracker'!$G$5:$G$149,"Mon"))</f>
        <v>0</v>
      </c>
      <c r="I193" s="52" t="n">
        <f aca="false">IF($E193="Per class",$D193*COUNTIFS('Session Tracker'!$D$5:$D$149,$A193,'Session Tracker'!$F$5:$F$149,"Next week",'Session Tracker'!$G$5:$G$149,"Tue"),$D193*SUMIFS('Session Tracker'!$J$5:$J$149,'Session Tracker'!$D$5:$D$149,$A193,'Session Tracker'!$F$5:$F$149,"Next week",'Session Tracker'!$G$5:$G$149,"Tue"))</f>
        <v>0</v>
      </c>
      <c r="J193" s="52" t="n">
        <f aca="false">IF($E193="Per class",$D193*COUNTIFS('Session Tracker'!$D$5:$D$149,$A193,'Session Tracker'!$F$5:$F$149,"Next week",'Session Tracker'!$G$5:$G$149,"Wed"),$D193*SUMIFS('Session Tracker'!$J$5:$J$149,'Session Tracker'!$D$5:$D$149,$A193,'Session Tracker'!$F$5:$F$149,"Next week",'Session Tracker'!$G$5:$G$149,"Wed"))</f>
        <v>0</v>
      </c>
      <c r="K193" s="52" t="n">
        <f aca="false">IF($E193="Per class",$D193*COUNTIFS('Session Tracker'!$D$5:$D$149,$A193,'Session Tracker'!$F$5:$F$149,"Next week",'Session Tracker'!$G$5:$G$149,"Thu"),$D193*SUMIFS('Session Tracker'!$J$5:$J$149,'Session Tracker'!$D$5:$D$149,$A193,'Session Tracker'!$F$5:$F$149,"Next week",'Session Tracker'!$G$5:$G$149,"Thu"))</f>
        <v>0</v>
      </c>
      <c r="L193" s="52" t="n">
        <f aca="false">IF($E193="Per class",$D193*COUNTIFS('Session Tracker'!$D$5:$D$149,$A193,'Session Tracker'!$F$5:$F$149,"Next week",'Session Tracker'!$G$5:$G$149,"Fri"),$D193*SUMIFS('Session Tracker'!$J$5:$J$149,'Session Tracker'!$D$5:$D$149,$A193,'Session Tracker'!$F$5:$F$149,"Next week",'Session Tracker'!$G$5:$G$149,"Fri"))</f>
        <v>0</v>
      </c>
      <c r="M193" s="52" t="n">
        <f aca="false">IF($E193="Per class",$D193*COUNTIFS('Session Tracker'!$D$5:$D$149,$A193,'Session Tracker'!$F$5:$F$149,"Next week",'Session Tracker'!$G$5:$G$149,""),$D193*SUMIFS('Session Tracker'!$J$5:$J$149,'Session Tracker'!$D$5:$D$149,$A193,'Session Tracker'!$F$5:$F$149,"Next week",'Session Tracker'!$G$5:$G$149,""))</f>
        <v>0</v>
      </c>
    </row>
    <row r="194" customFormat="false" ht="15" hidden="false" customHeight="false" outlineLevel="0" collapsed="false">
      <c r="A194" s="75" t="s">
        <v>312</v>
      </c>
      <c r="B194" s="34" t="s">
        <v>382</v>
      </c>
      <c r="C194" s="34" t="s">
        <v>383</v>
      </c>
      <c r="D194" s="32" t="n">
        <v>1</v>
      </c>
      <c r="E194" s="32" t="s">
        <v>14</v>
      </c>
      <c r="F194" s="32" t="s">
        <v>368</v>
      </c>
      <c r="G194" s="34"/>
      <c r="H194" s="52" t="n">
        <f aca="false">IF($E194="Per class",$D194*COUNTIFS('Session Tracker'!$D$5:$D$149,$A194,'Session Tracker'!$F$5:$F$149,"Next week",'Session Tracker'!$G$5:$G$149,"Mon"),$D194*SUMIFS('Session Tracker'!$J$5:$J$149,'Session Tracker'!$D$5:$D$149,$A194,'Session Tracker'!$F$5:$F$149,"Next week",'Session Tracker'!$G$5:$G$149,"Mon"))</f>
        <v>0</v>
      </c>
      <c r="I194" s="52" t="n">
        <f aca="false">IF($E194="Per class",$D194*COUNTIFS('Session Tracker'!$D$5:$D$149,$A194,'Session Tracker'!$F$5:$F$149,"Next week",'Session Tracker'!$G$5:$G$149,"Tue"),$D194*SUMIFS('Session Tracker'!$J$5:$J$149,'Session Tracker'!$D$5:$D$149,$A194,'Session Tracker'!$F$5:$F$149,"Next week",'Session Tracker'!$G$5:$G$149,"Tue"))</f>
        <v>0</v>
      </c>
      <c r="J194" s="52" t="n">
        <f aca="false">IF($E194="Per class",$D194*COUNTIFS('Session Tracker'!$D$5:$D$149,$A194,'Session Tracker'!$F$5:$F$149,"Next week",'Session Tracker'!$G$5:$G$149,"Wed"),$D194*SUMIFS('Session Tracker'!$J$5:$J$149,'Session Tracker'!$D$5:$D$149,$A194,'Session Tracker'!$F$5:$F$149,"Next week",'Session Tracker'!$G$5:$G$149,"Wed"))</f>
        <v>0</v>
      </c>
      <c r="K194" s="52" t="n">
        <f aca="false">IF($E194="Per class",$D194*COUNTIFS('Session Tracker'!$D$5:$D$149,$A194,'Session Tracker'!$F$5:$F$149,"Next week",'Session Tracker'!$G$5:$G$149,"Thu"),$D194*SUMIFS('Session Tracker'!$J$5:$J$149,'Session Tracker'!$D$5:$D$149,$A194,'Session Tracker'!$F$5:$F$149,"Next week",'Session Tracker'!$G$5:$G$149,"Thu"))</f>
        <v>0</v>
      </c>
      <c r="L194" s="52" t="n">
        <f aca="false">IF($E194="Per class",$D194*COUNTIFS('Session Tracker'!$D$5:$D$149,$A194,'Session Tracker'!$F$5:$F$149,"Next week",'Session Tracker'!$G$5:$G$149,"Fri"),$D194*SUMIFS('Session Tracker'!$J$5:$J$149,'Session Tracker'!$D$5:$D$149,$A194,'Session Tracker'!$F$5:$F$149,"Next week",'Session Tracker'!$G$5:$G$149,"Fri"))</f>
        <v>0</v>
      </c>
      <c r="M194" s="52" t="n">
        <f aca="false">IF($E194="Per class",$D194*COUNTIFS('Session Tracker'!$D$5:$D$149,$A194,'Session Tracker'!$F$5:$F$149,"Next week",'Session Tracker'!$G$5:$G$149,""),$D194*SUMIFS('Session Tracker'!$J$5:$J$149,'Session Tracker'!$D$5:$D$149,$A194,'Session Tracker'!$F$5:$F$149,"Next week",'Session Tracker'!$G$5:$G$149,""))</f>
        <v>0</v>
      </c>
    </row>
    <row r="195" customFormat="false" ht="15" hidden="false" customHeight="false" outlineLevel="0" collapsed="false">
      <c r="A195" s="53" t="s">
        <v>312</v>
      </c>
      <c r="B195" s="54"/>
      <c r="C195" s="54"/>
      <c r="D195" s="54"/>
      <c r="E195" s="54"/>
      <c r="F195" s="54"/>
      <c r="G195" s="54"/>
      <c r="H195" s="52" t="n">
        <f aca="false">IF($E195="Per class",$D195*COUNTIFS('Session Tracker'!$D$5:$D$149,$A195,'Session Tracker'!$F$5:$F$149,"Next week",'Session Tracker'!$G$5:$G$149,"Mon"),$D195*SUMIFS('Session Tracker'!$J$5:$J$149,'Session Tracker'!$D$5:$D$149,$A195,'Session Tracker'!$F$5:$F$149,"Next week",'Session Tracker'!$G$5:$G$149,"Mon"))</f>
        <v>0</v>
      </c>
      <c r="I195" s="52" t="n">
        <f aca="false">IF($E195="Per class",$D195*COUNTIFS('Session Tracker'!$D$5:$D$149,$A195,'Session Tracker'!$F$5:$F$149,"Next week",'Session Tracker'!$G$5:$G$149,"Tue"),$D195*SUMIFS('Session Tracker'!$J$5:$J$149,'Session Tracker'!$D$5:$D$149,$A195,'Session Tracker'!$F$5:$F$149,"Next week",'Session Tracker'!$G$5:$G$149,"Tue"))</f>
        <v>0</v>
      </c>
      <c r="J195" s="52" t="n">
        <f aca="false">IF($E195="Per class",$D195*COUNTIFS('Session Tracker'!$D$5:$D$149,$A195,'Session Tracker'!$F$5:$F$149,"Next week",'Session Tracker'!$G$5:$G$149,"Wed"),$D195*SUMIFS('Session Tracker'!$J$5:$J$149,'Session Tracker'!$D$5:$D$149,$A195,'Session Tracker'!$F$5:$F$149,"Next week",'Session Tracker'!$G$5:$G$149,"Wed"))</f>
        <v>0</v>
      </c>
      <c r="K195" s="52" t="n">
        <f aca="false">IF($E195="Per class",$D195*COUNTIFS('Session Tracker'!$D$5:$D$149,$A195,'Session Tracker'!$F$5:$F$149,"Next week",'Session Tracker'!$G$5:$G$149,"Thu"),$D195*SUMIFS('Session Tracker'!$J$5:$J$149,'Session Tracker'!$D$5:$D$149,$A195,'Session Tracker'!$F$5:$F$149,"Next week",'Session Tracker'!$G$5:$G$149,"Thu"))</f>
        <v>0</v>
      </c>
      <c r="L195" s="52" t="n">
        <f aca="false">IF($E195="Per class",$D195*COUNTIFS('Session Tracker'!$D$5:$D$149,$A195,'Session Tracker'!$F$5:$F$149,"Next week",'Session Tracker'!$G$5:$G$149,"Fri"),$D195*SUMIFS('Session Tracker'!$J$5:$J$149,'Session Tracker'!$D$5:$D$149,$A195,'Session Tracker'!$F$5:$F$149,"Next week",'Session Tracker'!$G$5:$G$149,"Fri"))</f>
        <v>0</v>
      </c>
      <c r="M195" s="52" t="n">
        <f aca="false">IF($E195="Per class",$D195*COUNTIFS('Session Tracker'!$D$5:$D$149,$A195,'Session Tracker'!$F$5:$F$149,"Next week",'Session Tracker'!$G$5:$G$149,""),$D195*SUMIFS('Session Tracker'!$J$5:$J$149,'Session Tracker'!$D$5:$D$149,$A195,'Session Tracker'!$F$5:$F$149,"Next week",'Session Tracker'!$G$5:$G$149,""))</f>
        <v>0</v>
      </c>
    </row>
    <row r="196" customFormat="false" ht="15" hidden="false" customHeight="false" outlineLevel="0" collapsed="false">
      <c r="A196" s="53" t="s">
        <v>312</v>
      </c>
      <c r="B196" s="54"/>
      <c r="C196" s="54"/>
      <c r="D196" s="54"/>
      <c r="E196" s="54"/>
      <c r="F196" s="54"/>
      <c r="G196" s="54"/>
      <c r="H196" s="52" t="n">
        <f aca="false">IF($E196="Per class",$D196*COUNTIFS('Session Tracker'!$D$5:$D$149,$A196,'Session Tracker'!$F$5:$F$149,"Next week",'Session Tracker'!$G$5:$G$149,"Mon"),$D196*SUMIFS('Session Tracker'!$J$5:$J$149,'Session Tracker'!$D$5:$D$149,$A196,'Session Tracker'!$F$5:$F$149,"Next week",'Session Tracker'!$G$5:$G$149,"Mon"))</f>
        <v>0</v>
      </c>
      <c r="I196" s="52" t="n">
        <f aca="false">IF($E196="Per class",$D196*COUNTIFS('Session Tracker'!$D$5:$D$149,$A196,'Session Tracker'!$F$5:$F$149,"Next week",'Session Tracker'!$G$5:$G$149,"Tue"),$D196*SUMIFS('Session Tracker'!$J$5:$J$149,'Session Tracker'!$D$5:$D$149,$A196,'Session Tracker'!$F$5:$F$149,"Next week",'Session Tracker'!$G$5:$G$149,"Tue"))</f>
        <v>0</v>
      </c>
      <c r="J196" s="52" t="n">
        <f aca="false">IF($E196="Per class",$D196*COUNTIFS('Session Tracker'!$D$5:$D$149,$A196,'Session Tracker'!$F$5:$F$149,"Next week",'Session Tracker'!$G$5:$G$149,"Wed"),$D196*SUMIFS('Session Tracker'!$J$5:$J$149,'Session Tracker'!$D$5:$D$149,$A196,'Session Tracker'!$F$5:$F$149,"Next week",'Session Tracker'!$G$5:$G$149,"Wed"))</f>
        <v>0</v>
      </c>
      <c r="K196" s="52" t="n">
        <f aca="false">IF($E196="Per class",$D196*COUNTIFS('Session Tracker'!$D$5:$D$149,$A196,'Session Tracker'!$F$5:$F$149,"Next week",'Session Tracker'!$G$5:$G$149,"Thu"),$D196*SUMIFS('Session Tracker'!$J$5:$J$149,'Session Tracker'!$D$5:$D$149,$A196,'Session Tracker'!$F$5:$F$149,"Next week",'Session Tracker'!$G$5:$G$149,"Thu"))</f>
        <v>0</v>
      </c>
      <c r="L196" s="52" t="n">
        <f aca="false">IF($E196="Per class",$D196*COUNTIFS('Session Tracker'!$D$5:$D$149,$A196,'Session Tracker'!$F$5:$F$149,"Next week",'Session Tracker'!$G$5:$G$149,"Fri"),$D196*SUMIFS('Session Tracker'!$J$5:$J$149,'Session Tracker'!$D$5:$D$149,$A196,'Session Tracker'!$F$5:$F$149,"Next week",'Session Tracker'!$G$5:$G$149,"Fri"))</f>
        <v>0</v>
      </c>
      <c r="M196" s="52" t="n">
        <f aca="false">IF($E196="Per class",$D196*COUNTIFS('Session Tracker'!$D$5:$D$149,$A196,'Session Tracker'!$F$5:$F$149,"Next week",'Session Tracker'!$G$5:$G$149,""),$D196*SUMIFS('Session Tracker'!$J$5:$J$149,'Session Tracker'!$D$5:$D$149,$A196,'Session Tracker'!$F$5:$F$149,"Next week",'Session Tracker'!$G$5:$G$149,""))</f>
        <v>0</v>
      </c>
    </row>
    <row r="198" customFormat="false" ht="19.5" hidden="false" customHeight="true" outlineLevel="0" collapsed="false">
      <c r="A198" s="71" t="s">
        <v>314</v>
      </c>
      <c r="B198" s="72" t="s">
        <v>677</v>
      </c>
      <c r="C198" s="72"/>
      <c r="D198" s="72"/>
      <c r="E198" s="72"/>
      <c r="F198" s="73" t="str">
        <f aca="false">"Status: "&amp;'Session Tracker'!F128&amp;IF('Session Tracker'!G128&lt;&gt;""," ("&amp;'Session Tracker'!G128&amp;")","")</f>
        <v>Status: Not started</v>
      </c>
      <c r="G198" s="73"/>
      <c r="H198" s="74"/>
      <c r="I198" s="74"/>
      <c r="J198" s="74"/>
      <c r="K198" s="74"/>
      <c r="L198" s="74"/>
      <c r="M198" s="74"/>
    </row>
    <row r="199" customFormat="false" ht="15" hidden="false" customHeight="false" outlineLevel="0" collapsed="false">
      <c r="A199" s="75" t="s">
        <v>314</v>
      </c>
      <c r="B199" s="34" t="s">
        <v>382</v>
      </c>
      <c r="C199" s="34" t="s">
        <v>383</v>
      </c>
      <c r="D199" s="32" t="n">
        <v>1</v>
      </c>
      <c r="E199" s="32" t="s">
        <v>14</v>
      </c>
      <c r="F199" s="32" t="s">
        <v>368</v>
      </c>
      <c r="G199" s="34"/>
      <c r="H199" s="52" t="n">
        <f aca="false">IF($E199="Per class",$D199*COUNTIFS('Session Tracker'!$D$5:$D$149,$A199,'Session Tracker'!$F$5:$F$149,"Next week",'Session Tracker'!$G$5:$G$149,"Mon"),$D199*SUMIFS('Session Tracker'!$J$5:$J$149,'Session Tracker'!$D$5:$D$149,$A199,'Session Tracker'!$F$5:$F$149,"Next week",'Session Tracker'!$G$5:$G$149,"Mon"))</f>
        <v>0</v>
      </c>
      <c r="I199" s="52" t="n">
        <f aca="false">IF($E199="Per class",$D199*COUNTIFS('Session Tracker'!$D$5:$D$149,$A199,'Session Tracker'!$F$5:$F$149,"Next week",'Session Tracker'!$G$5:$G$149,"Tue"),$D199*SUMIFS('Session Tracker'!$J$5:$J$149,'Session Tracker'!$D$5:$D$149,$A199,'Session Tracker'!$F$5:$F$149,"Next week",'Session Tracker'!$G$5:$G$149,"Tue"))</f>
        <v>0</v>
      </c>
      <c r="J199" s="52" t="n">
        <f aca="false">IF($E199="Per class",$D199*COUNTIFS('Session Tracker'!$D$5:$D$149,$A199,'Session Tracker'!$F$5:$F$149,"Next week",'Session Tracker'!$G$5:$G$149,"Wed"),$D199*SUMIFS('Session Tracker'!$J$5:$J$149,'Session Tracker'!$D$5:$D$149,$A199,'Session Tracker'!$F$5:$F$149,"Next week",'Session Tracker'!$G$5:$G$149,"Wed"))</f>
        <v>0</v>
      </c>
      <c r="K199" s="52" t="n">
        <f aca="false">IF($E199="Per class",$D199*COUNTIFS('Session Tracker'!$D$5:$D$149,$A199,'Session Tracker'!$F$5:$F$149,"Next week",'Session Tracker'!$G$5:$G$149,"Thu"),$D199*SUMIFS('Session Tracker'!$J$5:$J$149,'Session Tracker'!$D$5:$D$149,$A199,'Session Tracker'!$F$5:$F$149,"Next week",'Session Tracker'!$G$5:$G$149,"Thu"))</f>
        <v>0</v>
      </c>
      <c r="L199" s="52" t="n">
        <f aca="false">IF($E199="Per class",$D199*COUNTIFS('Session Tracker'!$D$5:$D$149,$A199,'Session Tracker'!$F$5:$F$149,"Next week",'Session Tracker'!$G$5:$G$149,"Fri"),$D199*SUMIFS('Session Tracker'!$J$5:$J$149,'Session Tracker'!$D$5:$D$149,$A199,'Session Tracker'!$F$5:$F$149,"Next week",'Session Tracker'!$G$5:$G$149,"Fri"))</f>
        <v>0</v>
      </c>
      <c r="M199" s="52" t="n">
        <f aca="false">IF($E199="Per class",$D199*COUNTIFS('Session Tracker'!$D$5:$D$149,$A199,'Session Tracker'!$F$5:$F$149,"Next week",'Session Tracker'!$G$5:$G$149,""),$D199*SUMIFS('Session Tracker'!$J$5:$J$149,'Session Tracker'!$D$5:$D$149,$A199,'Session Tracker'!$F$5:$F$149,"Next week",'Session Tracker'!$G$5:$G$149,""))</f>
        <v>0</v>
      </c>
    </row>
    <row r="200" customFormat="false" ht="15" hidden="false" customHeight="false" outlineLevel="0" collapsed="false">
      <c r="A200" s="53" t="s">
        <v>314</v>
      </c>
      <c r="B200" s="54"/>
      <c r="C200" s="54"/>
      <c r="D200" s="54"/>
      <c r="E200" s="54"/>
      <c r="F200" s="54"/>
      <c r="G200" s="54"/>
      <c r="H200" s="52" t="n">
        <f aca="false">IF($E200="Per class",$D200*COUNTIFS('Session Tracker'!$D$5:$D$149,$A200,'Session Tracker'!$F$5:$F$149,"Next week",'Session Tracker'!$G$5:$G$149,"Mon"),$D200*SUMIFS('Session Tracker'!$J$5:$J$149,'Session Tracker'!$D$5:$D$149,$A200,'Session Tracker'!$F$5:$F$149,"Next week",'Session Tracker'!$G$5:$G$149,"Mon"))</f>
        <v>0</v>
      </c>
      <c r="I200" s="52" t="n">
        <f aca="false">IF($E200="Per class",$D200*COUNTIFS('Session Tracker'!$D$5:$D$149,$A200,'Session Tracker'!$F$5:$F$149,"Next week",'Session Tracker'!$G$5:$G$149,"Tue"),$D200*SUMIFS('Session Tracker'!$J$5:$J$149,'Session Tracker'!$D$5:$D$149,$A200,'Session Tracker'!$F$5:$F$149,"Next week",'Session Tracker'!$G$5:$G$149,"Tue"))</f>
        <v>0</v>
      </c>
      <c r="J200" s="52" t="n">
        <f aca="false">IF($E200="Per class",$D200*COUNTIFS('Session Tracker'!$D$5:$D$149,$A200,'Session Tracker'!$F$5:$F$149,"Next week",'Session Tracker'!$G$5:$G$149,"Wed"),$D200*SUMIFS('Session Tracker'!$J$5:$J$149,'Session Tracker'!$D$5:$D$149,$A200,'Session Tracker'!$F$5:$F$149,"Next week",'Session Tracker'!$G$5:$G$149,"Wed"))</f>
        <v>0</v>
      </c>
      <c r="K200" s="52" t="n">
        <f aca="false">IF($E200="Per class",$D200*COUNTIFS('Session Tracker'!$D$5:$D$149,$A200,'Session Tracker'!$F$5:$F$149,"Next week",'Session Tracker'!$G$5:$G$149,"Thu"),$D200*SUMIFS('Session Tracker'!$J$5:$J$149,'Session Tracker'!$D$5:$D$149,$A200,'Session Tracker'!$F$5:$F$149,"Next week",'Session Tracker'!$G$5:$G$149,"Thu"))</f>
        <v>0</v>
      </c>
      <c r="L200" s="52" t="n">
        <f aca="false">IF($E200="Per class",$D200*COUNTIFS('Session Tracker'!$D$5:$D$149,$A200,'Session Tracker'!$F$5:$F$149,"Next week",'Session Tracker'!$G$5:$G$149,"Fri"),$D200*SUMIFS('Session Tracker'!$J$5:$J$149,'Session Tracker'!$D$5:$D$149,$A200,'Session Tracker'!$F$5:$F$149,"Next week",'Session Tracker'!$G$5:$G$149,"Fri"))</f>
        <v>0</v>
      </c>
      <c r="M200" s="52" t="n">
        <f aca="false">IF($E200="Per class",$D200*COUNTIFS('Session Tracker'!$D$5:$D$149,$A200,'Session Tracker'!$F$5:$F$149,"Next week",'Session Tracker'!$G$5:$G$149,""),$D200*SUMIFS('Session Tracker'!$J$5:$J$149,'Session Tracker'!$D$5:$D$149,$A200,'Session Tracker'!$F$5:$F$149,"Next week",'Session Tracker'!$G$5:$G$149,""))</f>
        <v>0</v>
      </c>
    </row>
    <row r="201" customFormat="false" ht="15" hidden="false" customHeight="false" outlineLevel="0" collapsed="false">
      <c r="A201" s="53" t="s">
        <v>314</v>
      </c>
      <c r="B201" s="54"/>
      <c r="C201" s="54"/>
      <c r="D201" s="54"/>
      <c r="E201" s="54"/>
      <c r="F201" s="54"/>
      <c r="G201" s="54"/>
      <c r="H201" s="52" t="n">
        <f aca="false">IF($E201="Per class",$D201*COUNTIFS('Session Tracker'!$D$5:$D$149,$A201,'Session Tracker'!$F$5:$F$149,"Next week",'Session Tracker'!$G$5:$G$149,"Mon"),$D201*SUMIFS('Session Tracker'!$J$5:$J$149,'Session Tracker'!$D$5:$D$149,$A201,'Session Tracker'!$F$5:$F$149,"Next week",'Session Tracker'!$G$5:$G$149,"Mon"))</f>
        <v>0</v>
      </c>
      <c r="I201" s="52" t="n">
        <f aca="false">IF($E201="Per class",$D201*COUNTIFS('Session Tracker'!$D$5:$D$149,$A201,'Session Tracker'!$F$5:$F$149,"Next week",'Session Tracker'!$G$5:$G$149,"Tue"),$D201*SUMIFS('Session Tracker'!$J$5:$J$149,'Session Tracker'!$D$5:$D$149,$A201,'Session Tracker'!$F$5:$F$149,"Next week",'Session Tracker'!$G$5:$G$149,"Tue"))</f>
        <v>0</v>
      </c>
      <c r="J201" s="52" t="n">
        <f aca="false">IF($E201="Per class",$D201*COUNTIFS('Session Tracker'!$D$5:$D$149,$A201,'Session Tracker'!$F$5:$F$149,"Next week",'Session Tracker'!$G$5:$G$149,"Wed"),$D201*SUMIFS('Session Tracker'!$J$5:$J$149,'Session Tracker'!$D$5:$D$149,$A201,'Session Tracker'!$F$5:$F$149,"Next week",'Session Tracker'!$G$5:$G$149,"Wed"))</f>
        <v>0</v>
      </c>
      <c r="K201" s="52" t="n">
        <f aca="false">IF($E201="Per class",$D201*COUNTIFS('Session Tracker'!$D$5:$D$149,$A201,'Session Tracker'!$F$5:$F$149,"Next week",'Session Tracker'!$G$5:$G$149,"Thu"),$D201*SUMIFS('Session Tracker'!$J$5:$J$149,'Session Tracker'!$D$5:$D$149,$A201,'Session Tracker'!$F$5:$F$149,"Next week",'Session Tracker'!$G$5:$G$149,"Thu"))</f>
        <v>0</v>
      </c>
      <c r="L201" s="52" t="n">
        <f aca="false">IF($E201="Per class",$D201*COUNTIFS('Session Tracker'!$D$5:$D$149,$A201,'Session Tracker'!$F$5:$F$149,"Next week",'Session Tracker'!$G$5:$G$149,"Fri"),$D201*SUMIFS('Session Tracker'!$J$5:$J$149,'Session Tracker'!$D$5:$D$149,$A201,'Session Tracker'!$F$5:$F$149,"Next week",'Session Tracker'!$G$5:$G$149,"Fri"))</f>
        <v>0</v>
      </c>
      <c r="M201" s="52" t="n">
        <f aca="false">IF($E201="Per class",$D201*COUNTIFS('Session Tracker'!$D$5:$D$149,$A201,'Session Tracker'!$F$5:$F$149,"Next week",'Session Tracker'!$G$5:$G$149,""),$D201*SUMIFS('Session Tracker'!$J$5:$J$149,'Session Tracker'!$D$5:$D$149,$A201,'Session Tracker'!$F$5:$F$149,"Next week",'Session Tracker'!$G$5:$G$149,""))</f>
        <v>0</v>
      </c>
    </row>
    <row r="203" customFormat="false" ht="19.5" hidden="false" customHeight="true" outlineLevel="0" collapsed="false">
      <c r="A203" s="71" t="s">
        <v>316</v>
      </c>
      <c r="B203" s="72" t="s">
        <v>678</v>
      </c>
      <c r="C203" s="72"/>
      <c r="D203" s="72"/>
      <c r="E203" s="72"/>
      <c r="F203" s="73" t="str">
        <f aca="false">"Status: "&amp;'Session Tracker'!F129&amp;IF('Session Tracker'!G129&lt;&gt;""," ("&amp;'Session Tracker'!G129&amp;")","")</f>
        <v>Status: Not started</v>
      </c>
      <c r="G203" s="73"/>
      <c r="H203" s="74"/>
      <c r="I203" s="74"/>
      <c r="J203" s="74"/>
      <c r="K203" s="74"/>
      <c r="L203" s="74"/>
      <c r="M203" s="74"/>
    </row>
    <row r="204" customFormat="false" ht="23.85" hidden="false" customHeight="false" outlineLevel="0" collapsed="false">
      <c r="A204" s="75" t="s">
        <v>316</v>
      </c>
      <c r="B204" s="34" t="s">
        <v>366</v>
      </c>
      <c r="C204" s="34" t="s">
        <v>391</v>
      </c>
      <c r="D204" s="32" t="n">
        <v>1</v>
      </c>
      <c r="E204" s="32" t="s">
        <v>14</v>
      </c>
      <c r="F204" s="32" t="s">
        <v>368</v>
      </c>
      <c r="G204" s="34"/>
      <c r="H204" s="52" t="n">
        <f aca="false">IF($E204="Per class",$D204*COUNTIFS('Session Tracker'!$D$5:$D$149,$A204,'Session Tracker'!$F$5:$F$149,"Next week",'Session Tracker'!$G$5:$G$149,"Mon"),$D204*SUMIFS('Session Tracker'!$J$5:$J$149,'Session Tracker'!$D$5:$D$149,$A204,'Session Tracker'!$F$5:$F$149,"Next week",'Session Tracker'!$G$5:$G$149,"Mon"))</f>
        <v>0</v>
      </c>
      <c r="I204" s="52" t="n">
        <f aca="false">IF($E204="Per class",$D204*COUNTIFS('Session Tracker'!$D$5:$D$149,$A204,'Session Tracker'!$F$5:$F$149,"Next week",'Session Tracker'!$G$5:$G$149,"Tue"),$D204*SUMIFS('Session Tracker'!$J$5:$J$149,'Session Tracker'!$D$5:$D$149,$A204,'Session Tracker'!$F$5:$F$149,"Next week",'Session Tracker'!$G$5:$G$149,"Tue"))</f>
        <v>0</v>
      </c>
      <c r="J204" s="52" t="n">
        <f aca="false">IF($E204="Per class",$D204*COUNTIFS('Session Tracker'!$D$5:$D$149,$A204,'Session Tracker'!$F$5:$F$149,"Next week",'Session Tracker'!$G$5:$G$149,"Wed"),$D204*SUMIFS('Session Tracker'!$J$5:$J$149,'Session Tracker'!$D$5:$D$149,$A204,'Session Tracker'!$F$5:$F$149,"Next week",'Session Tracker'!$G$5:$G$149,"Wed"))</f>
        <v>0</v>
      </c>
      <c r="K204" s="52" t="n">
        <f aca="false">IF($E204="Per class",$D204*COUNTIFS('Session Tracker'!$D$5:$D$149,$A204,'Session Tracker'!$F$5:$F$149,"Next week",'Session Tracker'!$G$5:$G$149,"Thu"),$D204*SUMIFS('Session Tracker'!$J$5:$J$149,'Session Tracker'!$D$5:$D$149,$A204,'Session Tracker'!$F$5:$F$149,"Next week",'Session Tracker'!$G$5:$G$149,"Thu"))</f>
        <v>0</v>
      </c>
      <c r="L204" s="52" t="n">
        <f aca="false">IF($E204="Per class",$D204*COUNTIFS('Session Tracker'!$D$5:$D$149,$A204,'Session Tracker'!$F$5:$F$149,"Next week",'Session Tracker'!$G$5:$G$149,"Fri"),$D204*SUMIFS('Session Tracker'!$J$5:$J$149,'Session Tracker'!$D$5:$D$149,$A204,'Session Tracker'!$F$5:$F$149,"Next week",'Session Tracker'!$G$5:$G$149,"Fri"))</f>
        <v>0</v>
      </c>
      <c r="M204" s="52" t="n">
        <f aca="false">IF($E204="Per class",$D204*COUNTIFS('Session Tracker'!$D$5:$D$149,$A204,'Session Tracker'!$F$5:$F$149,"Next week",'Session Tracker'!$G$5:$G$149,""),$D204*SUMIFS('Session Tracker'!$J$5:$J$149,'Session Tracker'!$D$5:$D$149,$A204,'Session Tracker'!$F$5:$F$149,"Next week",'Session Tracker'!$G$5:$G$149,""))</f>
        <v>0</v>
      </c>
    </row>
    <row r="205" customFormat="false" ht="15" hidden="false" customHeight="false" outlineLevel="0" collapsed="false">
      <c r="A205" s="75" t="s">
        <v>316</v>
      </c>
      <c r="B205" s="34" t="s">
        <v>377</v>
      </c>
      <c r="C205" s="34" t="s">
        <v>597</v>
      </c>
      <c r="D205" s="32" t="n">
        <v>1</v>
      </c>
      <c r="E205" s="32" t="s">
        <v>14</v>
      </c>
      <c r="F205" s="32" t="s">
        <v>368</v>
      </c>
      <c r="G205" s="34"/>
      <c r="H205" s="52" t="n">
        <f aca="false">IF($E205="Per class",$D205*COUNTIFS('Session Tracker'!$D$5:$D$149,$A205,'Session Tracker'!$F$5:$F$149,"Next week",'Session Tracker'!$G$5:$G$149,"Mon"),$D205*SUMIFS('Session Tracker'!$J$5:$J$149,'Session Tracker'!$D$5:$D$149,$A205,'Session Tracker'!$F$5:$F$149,"Next week",'Session Tracker'!$G$5:$G$149,"Mon"))</f>
        <v>0</v>
      </c>
      <c r="I205" s="52" t="n">
        <f aca="false">IF($E205="Per class",$D205*COUNTIFS('Session Tracker'!$D$5:$D$149,$A205,'Session Tracker'!$F$5:$F$149,"Next week",'Session Tracker'!$G$5:$G$149,"Tue"),$D205*SUMIFS('Session Tracker'!$J$5:$J$149,'Session Tracker'!$D$5:$D$149,$A205,'Session Tracker'!$F$5:$F$149,"Next week",'Session Tracker'!$G$5:$G$149,"Tue"))</f>
        <v>0</v>
      </c>
      <c r="J205" s="52" t="n">
        <f aca="false">IF($E205="Per class",$D205*COUNTIFS('Session Tracker'!$D$5:$D$149,$A205,'Session Tracker'!$F$5:$F$149,"Next week",'Session Tracker'!$G$5:$G$149,"Wed"),$D205*SUMIFS('Session Tracker'!$J$5:$J$149,'Session Tracker'!$D$5:$D$149,$A205,'Session Tracker'!$F$5:$F$149,"Next week",'Session Tracker'!$G$5:$G$149,"Wed"))</f>
        <v>0</v>
      </c>
      <c r="K205" s="52" t="n">
        <f aca="false">IF($E205="Per class",$D205*COUNTIFS('Session Tracker'!$D$5:$D$149,$A205,'Session Tracker'!$F$5:$F$149,"Next week",'Session Tracker'!$G$5:$G$149,"Thu"),$D205*SUMIFS('Session Tracker'!$J$5:$J$149,'Session Tracker'!$D$5:$D$149,$A205,'Session Tracker'!$F$5:$F$149,"Next week",'Session Tracker'!$G$5:$G$149,"Thu"))</f>
        <v>0</v>
      </c>
      <c r="L205" s="52" t="n">
        <f aca="false">IF($E205="Per class",$D205*COUNTIFS('Session Tracker'!$D$5:$D$149,$A205,'Session Tracker'!$F$5:$F$149,"Next week",'Session Tracker'!$G$5:$G$149,"Fri"),$D205*SUMIFS('Session Tracker'!$J$5:$J$149,'Session Tracker'!$D$5:$D$149,$A205,'Session Tracker'!$F$5:$F$149,"Next week",'Session Tracker'!$G$5:$G$149,"Fri"))</f>
        <v>0</v>
      </c>
      <c r="M205" s="52" t="n">
        <f aca="false">IF($E205="Per class",$D205*COUNTIFS('Session Tracker'!$D$5:$D$149,$A205,'Session Tracker'!$F$5:$F$149,"Next week",'Session Tracker'!$G$5:$G$149,""),$D205*SUMIFS('Session Tracker'!$J$5:$J$149,'Session Tracker'!$D$5:$D$149,$A205,'Session Tracker'!$F$5:$F$149,"Next week",'Session Tracker'!$G$5:$G$149,""))</f>
        <v>0</v>
      </c>
    </row>
    <row r="206" customFormat="false" ht="15" hidden="false" customHeight="false" outlineLevel="0" collapsed="false">
      <c r="A206" s="75" t="s">
        <v>316</v>
      </c>
      <c r="B206" s="34" t="s">
        <v>371</v>
      </c>
      <c r="C206" s="34" t="s">
        <v>598</v>
      </c>
      <c r="D206" s="32" t="n">
        <v>1</v>
      </c>
      <c r="E206" s="32" t="s">
        <v>14</v>
      </c>
      <c r="F206" s="32" t="s">
        <v>368</v>
      </c>
      <c r="G206" s="34"/>
      <c r="H206" s="52" t="n">
        <f aca="false">IF($E206="Per class",$D206*COUNTIFS('Session Tracker'!$D$5:$D$149,$A206,'Session Tracker'!$F$5:$F$149,"Next week",'Session Tracker'!$G$5:$G$149,"Mon"),$D206*SUMIFS('Session Tracker'!$J$5:$J$149,'Session Tracker'!$D$5:$D$149,$A206,'Session Tracker'!$F$5:$F$149,"Next week",'Session Tracker'!$G$5:$G$149,"Mon"))</f>
        <v>0</v>
      </c>
      <c r="I206" s="52" t="n">
        <f aca="false">IF($E206="Per class",$D206*COUNTIFS('Session Tracker'!$D$5:$D$149,$A206,'Session Tracker'!$F$5:$F$149,"Next week",'Session Tracker'!$G$5:$G$149,"Tue"),$D206*SUMIFS('Session Tracker'!$J$5:$J$149,'Session Tracker'!$D$5:$D$149,$A206,'Session Tracker'!$F$5:$F$149,"Next week",'Session Tracker'!$G$5:$G$149,"Tue"))</f>
        <v>0</v>
      </c>
      <c r="J206" s="52" t="n">
        <f aca="false">IF($E206="Per class",$D206*COUNTIFS('Session Tracker'!$D$5:$D$149,$A206,'Session Tracker'!$F$5:$F$149,"Next week",'Session Tracker'!$G$5:$G$149,"Wed"),$D206*SUMIFS('Session Tracker'!$J$5:$J$149,'Session Tracker'!$D$5:$D$149,$A206,'Session Tracker'!$F$5:$F$149,"Next week",'Session Tracker'!$G$5:$G$149,"Wed"))</f>
        <v>0</v>
      </c>
      <c r="K206" s="52" t="n">
        <f aca="false">IF($E206="Per class",$D206*COUNTIFS('Session Tracker'!$D$5:$D$149,$A206,'Session Tracker'!$F$5:$F$149,"Next week",'Session Tracker'!$G$5:$G$149,"Thu"),$D206*SUMIFS('Session Tracker'!$J$5:$J$149,'Session Tracker'!$D$5:$D$149,$A206,'Session Tracker'!$F$5:$F$149,"Next week",'Session Tracker'!$G$5:$G$149,"Thu"))</f>
        <v>0</v>
      </c>
      <c r="L206" s="52" t="n">
        <f aca="false">IF($E206="Per class",$D206*COUNTIFS('Session Tracker'!$D$5:$D$149,$A206,'Session Tracker'!$F$5:$F$149,"Next week",'Session Tracker'!$G$5:$G$149,"Fri"),$D206*SUMIFS('Session Tracker'!$J$5:$J$149,'Session Tracker'!$D$5:$D$149,$A206,'Session Tracker'!$F$5:$F$149,"Next week",'Session Tracker'!$G$5:$G$149,"Fri"))</f>
        <v>0</v>
      </c>
      <c r="M206" s="52" t="n">
        <f aca="false">IF($E206="Per class",$D206*COUNTIFS('Session Tracker'!$D$5:$D$149,$A206,'Session Tracker'!$F$5:$F$149,"Next week",'Session Tracker'!$G$5:$G$149,""),$D206*SUMIFS('Session Tracker'!$J$5:$J$149,'Session Tracker'!$D$5:$D$149,$A206,'Session Tracker'!$F$5:$F$149,"Next week",'Session Tracker'!$G$5:$G$149,""))</f>
        <v>0</v>
      </c>
    </row>
    <row r="207" customFormat="false" ht="15" hidden="false" customHeight="false" outlineLevel="0" collapsed="false">
      <c r="A207" s="75" t="s">
        <v>316</v>
      </c>
      <c r="B207" s="34" t="s">
        <v>371</v>
      </c>
      <c r="C207" s="34" t="s">
        <v>372</v>
      </c>
      <c r="D207" s="32" t="n">
        <v>2</v>
      </c>
      <c r="E207" s="32" t="s">
        <v>14</v>
      </c>
      <c r="F207" s="32" t="s">
        <v>373</v>
      </c>
      <c r="G207" s="34"/>
      <c r="H207" s="52" t="n">
        <f aca="false">IF($E207="Per class",$D207*COUNTIFS('Session Tracker'!$D$5:$D$149,$A207,'Session Tracker'!$F$5:$F$149,"Next week",'Session Tracker'!$G$5:$G$149,"Mon"),$D207*SUMIFS('Session Tracker'!$J$5:$J$149,'Session Tracker'!$D$5:$D$149,$A207,'Session Tracker'!$F$5:$F$149,"Next week",'Session Tracker'!$G$5:$G$149,"Mon"))</f>
        <v>0</v>
      </c>
      <c r="I207" s="52" t="n">
        <f aca="false">IF($E207="Per class",$D207*COUNTIFS('Session Tracker'!$D$5:$D$149,$A207,'Session Tracker'!$F$5:$F$149,"Next week",'Session Tracker'!$G$5:$G$149,"Tue"),$D207*SUMIFS('Session Tracker'!$J$5:$J$149,'Session Tracker'!$D$5:$D$149,$A207,'Session Tracker'!$F$5:$F$149,"Next week",'Session Tracker'!$G$5:$G$149,"Tue"))</f>
        <v>0</v>
      </c>
      <c r="J207" s="52" t="n">
        <f aca="false">IF($E207="Per class",$D207*COUNTIFS('Session Tracker'!$D$5:$D$149,$A207,'Session Tracker'!$F$5:$F$149,"Next week",'Session Tracker'!$G$5:$G$149,"Wed"),$D207*SUMIFS('Session Tracker'!$J$5:$J$149,'Session Tracker'!$D$5:$D$149,$A207,'Session Tracker'!$F$5:$F$149,"Next week",'Session Tracker'!$G$5:$G$149,"Wed"))</f>
        <v>0</v>
      </c>
      <c r="K207" s="52" t="n">
        <f aca="false">IF($E207="Per class",$D207*COUNTIFS('Session Tracker'!$D$5:$D$149,$A207,'Session Tracker'!$F$5:$F$149,"Next week",'Session Tracker'!$G$5:$G$149,"Thu"),$D207*SUMIFS('Session Tracker'!$J$5:$J$149,'Session Tracker'!$D$5:$D$149,$A207,'Session Tracker'!$F$5:$F$149,"Next week",'Session Tracker'!$G$5:$G$149,"Thu"))</f>
        <v>0</v>
      </c>
      <c r="L207" s="52" t="n">
        <f aca="false">IF($E207="Per class",$D207*COUNTIFS('Session Tracker'!$D$5:$D$149,$A207,'Session Tracker'!$F$5:$F$149,"Next week",'Session Tracker'!$G$5:$G$149,"Fri"),$D207*SUMIFS('Session Tracker'!$J$5:$J$149,'Session Tracker'!$D$5:$D$149,$A207,'Session Tracker'!$F$5:$F$149,"Next week",'Session Tracker'!$G$5:$G$149,"Fri"))</f>
        <v>0</v>
      </c>
      <c r="M207" s="52" t="n">
        <f aca="false">IF($E207="Per class",$D207*COUNTIFS('Session Tracker'!$D$5:$D$149,$A207,'Session Tracker'!$F$5:$F$149,"Next week",'Session Tracker'!$G$5:$G$149,""),$D207*SUMIFS('Session Tracker'!$J$5:$J$149,'Session Tracker'!$D$5:$D$149,$A207,'Session Tracker'!$F$5:$F$149,"Next week",'Session Tracker'!$G$5:$G$149,""))</f>
        <v>0</v>
      </c>
    </row>
    <row r="208" customFormat="false" ht="15" hidden="false" customHeight="false" outlineLevel="0" collapsed="false">
      <c r="A208" s="75" t="s">
        <v>316</v>
      </c>
      <c r="B208" s="34" t="s">
        <v>375</v>
      </c>
      <c r="C208" s="34" t="s">
        <v>376</v>
      </c>
      <c r="D208" s="32" t="n">
        <v>2</v>
      </c>
      <c r="E208" s="32" t="s">
        <v>14</v>
      </c>
      <c r="F208" s="32" t="s">
        <v>373</v>
      </c>
      <c r="G208" s="34"/>
      <c r="H208" s="52" t="n">
        <f aca="false">IF($E208="Per class",$D208*COUNTIFS('Session Tracker'!$D$5:$D$149,$A208,'Session Tracker'!$F$5:$F$149,"Next week",'Session Tracker'!$G$5:$G$149,"Mon"),$D208*SUMIFS('Session Tracker'!$J$5:$J$149,'Session Tracker'!$D$5:$D$149,$A208,'Session Tracker'!$F$5:$F$149,"Next week",'Session Tracker'!$G$5:$G$149,"Mon"))</f>
        <v>0</v>
      </c>
      <c r="I208" s="52" t="n">
        <f aca="false">IF($E208="Per class",$D208*COUNTIFS('Session Tracker'!$D$5:$D$149,$A208,'Session Tracker'!$F$5:$F$149,"Next week",'Session Tracker'!$G$5:$G$149,"Tue"),$D208*SUMIFS('Session Tracker'!$J$5:$J$149,'Session Tracker'!$D$5:$D$149,$A208,'Session Tracker'!$F$5:$F$149,"Next week",'Session Tracker'!$G$5:$G$149,"Tue"))</f>
        <v>0</v>
      </c>
      <c r="J208" s="52" t="n">
        <f aca="false">IF($E208="Per class",$D208*COUNTIFS('Session Tracker'!$D$5:$D$149,$A208,'Session Tracker'!$F$5:$F$149,"Next week",'Session Tracker'!$G$5:$G$149,"Wed"),$D208*SUMIFS('Session Tracker'!$J$5:$J$149,'Session Tracker'!$D$5:$D$149,$A208,'Session Tracker'!$F$5:$F$149,"Next week",'Session Tracker'!$G$5:$G$149,"Wed"))</f>
        <v>0</v>
      </c>
      <c r="K208" s="52" t="n">
        <f aca="false">IF($E208="Per class",$D208*COUNTIFS('Session Tracker'!$D$5:$D$149,$A208,'Session Tracker'!$F$5:$F$149,"Next week",'Session Tracker'!$G$5:$G$149,"Thu"),$D208*SUMIFS('Session Tracker'!$J$5:$J$149,'Session Tracker'!$D$5:$D$149,$A208,'Session Tracker'!$F$5:$F$149,"Next week",'Session Tracker'!$G$5:$G$149,"Thu"))</f>
        <v>0</v>
      </c>
      <c r="L208" s="52" t="n">
        <f aca="false">IF($E208="Per class",$D208*COUNTIFS('Session Tracker'!$D$5:$D$149,$A208,'Session Tracker'!$F$5:$F$149,"Next week",'Session Tracker'!$G$5:$G$149,"Fri"),$D208*SUMIFS('Session Tracker'!$J$5:$J$149,'Session Tracker'!$D$5:$D$149,$A208,'Session Tracker'!$F$5:$F$149,"Next week",'Session Tracker'!$G$5:$G$149,"Fri"))</f>
        <v>0</v>
      </c>
      <c r="M208" s="52" t="n">
        <f aca="false">IF($E208="Per class",$D208*COUNTIFS('Session Tracker'!$D$5:$D$149,$A208,'Session Tracker'!$F$5:$F$149,"Next week",'Session Tracker'!$G$5:$G$149,""),$D208*SUMIFS('Session Tracker'!$J$5:$J$149,'Session Tracker'!$D$5:$D$149,$A208,'Session Tracker'!$F$5:$F$149,"Next week",'Session Tracker'!$G$5:$G$149,""))</f>
        <v>0</v>
      </c>
    </row>
    <row r="209" customFormat="false" ht="15" hidden="false" customHeight="false" outlineLevel="0" collapsed="false">
      <c r="A209" s="75" t="s">
        <v>316</v>
      </c>
      <c r="B209" s="34" t="s">
        <v>369</v>
      </c>
      <c r="C209" s="34" t="s">
        <v>430</v>
      </c>
      <c r="D209" s="32" t="n">
        <v>1</v>
      </c>
      <c r="E209" s="32" t="s">
        <v>14</v>
      </c>
      <c r="F209" s="32" t="s">
        <v>368</v>
      </c>
      <c r="G209" s="34"/>
      <c r="H209" s="52" t="n">
        <f aca="false">IF($E209="Per class",$D209*COUNTIFS('Session Tracker'!$D$5:$D$149,$A209,'Session Tracker'!$F$5:$F$149,"Next week",'Session Tracker'!$G$5:$G$149,"Mon"),$D209*SUMIFS('Session Tracker'!$J$5:$J$149,'Session Tracker'!$D$5:$D$149,$A209,'Session Tracker'!$F$5:$F$149,"Next week",'Session Tracker'!$G$5:$G$149,"Mon"))</f>
        <v>0</v>
      </c>
      <c r="I209" s="52" t="n">
        <f aca="false">IF($E209="Per class",$D209*COUNTIFS('Session Tracker'!$D$5:$D$149,$A209,'Session Tracker'!$F$5:$F$149,"Next week",'Session Tracker'!$G$5:$G$149,"Tue"),$D209*SUMIFS('Session Tracker'!$J$5:$J$149,'Session Tracker'!$D$5:$D$149,$A209,'Session Tracker'!$F$5:$F$149,"Next week",'Session Tracker'!$G$5:$G$149,"Tue"))</f>
        <v>0</v>
      </c>
      <c r="J209" s="52" t="n">
        <f aca="false">IF($E209="Per class",$D209*COUNTIFS('Session Tracker'!$D$5:$D$149,$A209,'Session Tracker'!$F$5:$F$149,"Next week",'Session Tracker'!$G$5:$G$149,"Wed"),$D209*SUMIFS('Session Tracker'!$J$5:$J$149,'Session Tracker'!$D$5:$D$149,$A209,'Session Tracker'!$F$5:$F$149,"Next week",'Session Tracker'!$G$5:$G$149,"Wed"))</f>
        <v>0</v>
      </c>
      <c r="K209" s="52" t="n">
        <f aca="false">IF($E209="Per class",$D209*COUNTIFS('Session Tracker'!$D$5:$D$149,$A209,'Session Tracker'!$F$5:$F$149,"Next week",'Session Tracker'!$G$5:$G$149,"Thu"),$D209*SUMIFS('Session Tracker'!$J$5:$J$149,'Session Tracker'!$D$5:$D$149,$A209,'Session Tracker'!$F$5:$F$149,"Next week",'Session Tracker'!$G$5:$G$149,"Thu"))</f>
        <v>0</v>
      </c>
      <c r="L209" s="52" t="n">
        <f aca="false">IF($E209="Per class",$D209*COUNTIFS('Session Tracker'!$D$5:$D$149,$A209,'Session Tracker'!$F$5:$F$149,"Next week",'Session Tracker'!$G$5:$G$149,"Fri"),$D209*SUMIFS('Session Tracker'!$J$5:$J$149,'Session Tracker'!$D$5:$D$149,$A209,'Session Tracker'!$F$5:$F$149,"Next week",'Session Tracker'!$G$5:$G$149,"Fri"))</f>
        <v>0</v>
      </c>
      <c r="M209" s="52" t="n">
        <f aca="false">IF($E209="Per class",$D209*COUNTIFS('Session Tracker'!$D$5:$D$149,$A209,'Session Tracker'!$F$5:$F$149,"Next week",'Session Tracker'!$G$5:$G$149,""),$D209*SUMIFS('Session Tracker'!$J$5:$J$149,'Session Tracker'!$D$5:$D$149,$A209,'Session Tracker'!$F$5:$F$149,"Next week",'Session Tracker'!$G$5:$G$149,""))</f>
        <v>0</v>
      </c>
    </row>
    <row r="210" customFormat="false" ht="15" hidden="false" customHeight="false" outlineLevel="0" collapsed="false">
      <c r="A210" s="75" t="s">
        <v>316</v>
      </c>
      <c r="B210" s="34" t="s">
        <v>379</v>
      </c>
      <c r="C210" s="34" t="s">
        <v>380</v>
      </c>
      <c r="D210" s="32" t="n">
        <v>1</v>
      </c>
      <c r="E210" s="32" t="s">
        <v>14</v>
      </c>
      <c r="F210" s="32" t="s">
        <v>368</v>
      </c>
      <c r="G210" s="34"/>
      <c r="H210" s="52" t="n">
        <f aca="false">IF($E210="Per class",$D210*COUNTIFS('Session Tracker'!$D$5:$D$149,$A210,'Session Tracker'!$F$5:$F$149,"Next week",'Session Tracker'!$G$5:$G$149,"Mon"),$D210*SUMIFS('Session Tracker'!$J$5:$J$149,'Session Tracker'!$D$5:$D$149,$A210,'Session Tracker'!$F$5:$F$149,"Next week",'Session Tracker'!$G$5:$G$149,"Mon"))</f>
        <v>0</v>
      </c>
      <c r="I210" s="52" t="n">
        <f aca="false">IF($E210="Per class",$D210*COUNTIFS('Session Tracker'!$D$5:$D$149,$A210,'Session Tracker'!$F$5:$F$149,"Next week",'Session Tracker'!$G$5:$G$149,"Tue"),$D210*SUMIFS('Session Tracker'!$J$5:$J$149,'Session Tracker'!$D$5:$D$149,$A210,'Session Tracker'!$F$5:$F$149,"Next week",'Session Tracker'!$G$5:$G$149,"Tue"))</f>
        <v>0</v>
      </c>
      <c r="J210" s="52" t="n">
        <f aca="false">IF($E210="Per class",$D210*COUNTIFS('Session Tracker'!$D$5:$D$149,$A210,'Session Tracker'!$F$5:$F$149,"Next week",'Session Tracker'!$G$5:$G$149,"Wed"),$D210*SUMIFS('Session Tracker'!$J$5:$J$149,'Session Tracker'!$D$5:$D$149,$A210,'Session Tracker'!$F$5:$F$149,"Next week",'Session Tracker'!$G$5:$G$149,"Wed"))</f>
        <v>0</v>
      </c>
      <c r="K210" s="52" t="n">
        <f aca="false">IF($E210="Per class",$D210*COUNTIFS('Session Tracker'!$D$5:$D$149,$A210,'Session Tracker'!$F$5:$F$149,"Next week",'Session Tracker'!$G$5:$G$149,"Thu"),$D210*SUMIFS('Session Tracker'!$J$5:$J$149,'Session Tracker'!$D$5:$D$149,$A210,'Session Tracker'!$F$5:$F$149,"Next week",'Session Tracker'!$G$5:$G$149,"Thu"))</f>
        <v>0</v>
      </c>
      <c r="L210" s="52" t="n">
        <f aca="false">IF($E210="Per class",$D210*COUNTIFS('Session Tracker'!$D$5:$D$149,$A210,'Session Tracker'!$F$5:$F$149,"Next week",'Session Tracker'!$G$5:$G$149,"Fri"),$D210*SUMIFS('Session Tracker'!$J$5:$J$149,'Session Tracker'!$D$5:$D$149,$A210,'Session Tracker'!$F$5:$F$149,"Next week",'Session Tracker'!$G$5:$G$149,"Fri"))</f>
        <v>0</v>
      </c>
      <c r="M210" s="52" t="n">
        <f aca="false">IF($E210="Per class",$D210*COUNTIFS('Session Tracker'!$D$5:$D$149,$A210,'Session Tracker'!$F$5:$F$149,"Next week",'Session Tracker'!$G$5:$G$149,""),$D210*SUMIFS('Session Tracker'!$J$5:$J$149,'Session Tracker'!$D$5:$D$149,$A210,'Session Tracker'!$F$5:$F$149,"Next week",'Session Tracker'!$G$5:$G$149,""))</f>
        <v>0</v>
      </c>
    </row>
    <row r="211" customFormat="false" ht="15" hidden="false" customHeight="false" outlineLevel="0" collapsed="false">
      <c r="A211" s="75" t="s">
        <v>316</v>
      </c>
      <c r="B211" s="34" t="s">
        <v>379</v>
      </c>
      <c r="C211" s="34" t="s">
        <v>381</v>
      </c>
      <c r="D211" s="32" t="n">
        <v>8</v>
      </c>
      <c r="E211" s="32" t="s">
        <v>14</v>
      </c>
      <c r="F211" s="32" t="s">
        <v>368</v>
      </c>
      <c r="G211" s="34"/>
      <c r="H211" s="52" t="n">
        <f aca="false">IF($E211="Per class",$D211*COUNTIFS('Session Tracker'!$D$5:$D$149,$A211,'Session Tracker'!$F$5:$F$149,"Next week",'Session Tracker'!$G$5:$G$149,"Mon"),$D211*SUMIFS('Session Tracker'!$J$5:$J$149,'Session Tracker'!$D$5:$D$149,$A211,'Session Tracker'!$F$5:$F$149,"Next week",'Session Tracker'!$G$5:$G$149,"Mon"))</f>
        <v>0</v>
      </c>
      <c r="I211" s="52" t="n">
        <f aca="false">IF($E211="Per class",$D211*COUNTIFS('Session Tracker'!$D$5:$D$149,$A211,'Session Tracker'!$F$5:$F$149,"Next week",'Session Tracker'!$G$5:$G$149,"Tue"),$D211*SUMIFS('Session Tracker'!$J$5:$J$149,'Session Tracker'!$D$5:$D$149,$A211,'Session Tracker'!$F$5:$F$149,"Next week",'Session Tracker'!$G$5:$G$149,"Tue"))</f>
        <v>0</v>
      </c>
      <c r="J211" s="52" t="n">
        <f aca="false">IF($E211="Per class",$D211*COUNTIFS('Session Tracker'!$D$5:$D$149,$A211,'Session Tracker'!$F$5:$F$149,"Next week",'Session Tracker'!$G$5:$G$149,"Wed"),$D211*SUMIFS('Session Tracker'!$J$5:$J$149,'Session Tracker'!$D$5:$D$149,$A211,'Session Tracker'!$F$5:$F$149,"Next week",'Session Tracker'!$G$5:$G$149,"Wed"))</f>
        <v>0</v>
      </c>
      <c r="K211" s="52" t="n">
        <f aca="false">IF($E211="Per class",$D211*COUNTIFS('Session Tracker'!$D$5:$D$149,$A211,'Session Tracker'!$F$5:$F$149,"Next week",'Session Tracker'!$G$5:$G$149,"Thu"),$D211*SUMIFS('Session Tracker'!$J$5:$J$149,'Session Tracker'!$D$5:$D$149,$A211,'Session Tracker'!$F$5:$F$149,"Next week",'Session Tracker'!$G$5:$G$149,"Thu"))</f>
        <v>0</v>
      </c>
      <c r="L211" s="52" t="n">
        <f aca="false">IF($E211="Per class",$D211*COUNTIFS('Session Tracker'!$D$5:$D$149,$A211,'Session Tracker'!$F$5:$F$149,"Next week",'Session Tracker'!$G$5:$G$149,"Fri"),$D211*SUMIFS('Session Tracker'!$J$5:$J$149,'Session Tracker'!$D$5:$D$149,$A211,'Session Tracker'!$F$5:$F$149,"Next week",'Session Tracker'!$G$5:$G$149,"Fri"))</f>
        <v>0</v>
      </c>
      <c r="M211" s="52" t="n">
        <f aca="false">IF($E211="Per class",$D211*COUNTIFS('Session Tracker'!$D$5:$D$149,$A211,'Session Tracker'!$F$5:$F$149,"Next week",'Session Tracker'!$G$5:$G$149,""),$D211*SUMIFS('Session Tracker'!$J$5:$J$149,'Session Tracker'!$D$5:$D$149,$A211,'Session Tracker'!$F$5:$F$149,"Next week",'Session Tracker'!$G$5:$G$149,""))</f>
        <v>0</v>
      </c>
    </row>
    <row r="212" customFormat="false" ht="15" hidden="false" customHeight="false" outlineLevel="0" collapsed="false">
      <c r="A212" s="75" t="s">
        <v>316</v>
      </c>
      <c r="B212" s="34" t="s">
        <v>379</v>
      </c>
      <c r="C212" s="34" t="s">
        <v>395</v>
      </c>
      <c r="D212" s="32" t="n">
        <v>6</v>
      </c>
      <c r="E212" s="32" t="s">
        <v>14</v>
      </c>
      <c r="F212" s="32" t="s">
        <v>368</v>
      </c>
      <c r="G212" s="34"/>
      <c r="H212" s="52" t="n">
        <f aca="false">IF($E212="Per class",$D212*COUNTIFS('Session Tracker'!$D$5:$D$149,$A212,'Session Tracker'!$F$5:$F$149,"Next week",'Session Tracker'!$G$5:$G$149,"Mon"),$D212*SUMIFS('Session Tracker'!$J$5:$J$149,'Session Tracker'!$D$5:$D$149,$A212,'Session Tracker'!$F$5:$F$149,"Next week",'Session Tracker'!$G$5:$G$149,"Mon"))</f>
        <v>0</v>
      </c>
      <c r="I212" s="52" t="n">
        <f aca="false">IF($E212="Per class",$D212*COUNTIFS('Session Tracker'!$D$5:$D$149,$A212,'Session Tracker'!$F$5:$F$149,"Next week",'Session Tracker'!$G$5:$G$149,"Tue"),$D212*SUMIFS('Session Tracker'!$J$5:$J$149,'Session Tracker'!$D$5:$D$149,$A212,'Session Tracker'!$F$5:$F$149,"Next week",'Session Tracker'!$G$5:$G$149,"Tue"))</f>
        <v>0</v>
      </c>
      <c r="J212" s="52" t="n">
        <f aca="false">IF($E212="Per class",$D212*COUNTIFS('Session Tracker'!$D$5:$D$149,$A212,'Session Tracker'!$F$5:$F$149,"Next week",'Session Tracker'!$G$5:$G$149,"Wed"),$D212*SUMIFS('Session Tracker'!$J$5:$J$149,'Session Tracker'!$D$5:$D$149,$A212,'Session Tracker'!$F$5:$F$149,"Next week",'Session Tracker'!$G$5:$G$149,"Wed"))</f>
        <v>0</v>
      </c>
      <c r="K212" s="52" t="n">
        <f aca="false">IF($E212="Per class",$D212*COUNTIFS('Session Tracker'!$D$5:$D$149,$A212,'Session Tracker'!$F$5:$F$149,"Next week",'Session Tracker'!$G$5:$G$149,"Thu"),$D212*SUMIFS('Session Tracker'!$J$5:$J$149,'Session Tracker'!$D$5:$D$149,$A212,'Session Tracker'!$F$5:$F$149,"Next week",'Session Tracker'!$G$5:$G$149,"Thu"))</f>
        <v>0</v>
      </c>
      <c r="L212" s="52" t="n">
        <f aca="false">IF($E212="Per class",$D212*COUNTIFS('Session Tracker'!$D$5:$D$149,$A212,'Session Tracker'!$F$5:$F$149,"Next week",'Session Tracker'!$G$5:$G$149,"Fri"),$D212*SUMIFS('Session Tracker'!$J$5:$J$149,'Session Tracker'!$D$5:$D$149,$A212,'Session Tracker'!$F$5:$F$149,"Next week",'Session Tracker'!$G$5:$G$149,"Fri"))</f>
        <v>0</v>
      </c>
      <c r="M212" s="52" t="n">
        <f aca="false">IF($E212="Per class",$D212*COUNTIFS('Session Tracker'!$D$5:$D$149,$A212,'Session Tracker'!$F$5:$F$149,"Next week",'Session Tracker'!$G$5:$G$149,""),$D212*SUMIFS('Session Tracker'!$J$5:$J$149,'Session Tracker'!$D$5:$D$149,$A212,'Session Tracker'!$F$5:$F$149,"Next week",'Session Tracker'!$G$5:$G$149,""))</f>
        <v>0</v>
      </c>
    </row>
    <row r="213" customFormat="false" ht="15" hidden="false" customHeight="false" outlineLevel="0" collapsed="false">
      <c r="A213" s="75" t="s">
        <v>316</v>
      </c>
      <c r="B213" s="34" t="s">
        <v>382</v>
      </c>
      <c r="C213" s="34" t="s">
        <v>383</v>
      </c>
      <c r="D213" s="32" t="n">
        <v>1</v>
      </c>
      <c r="E213" s="32" t="s">
        <v>14</v>
      </c>
      <c r="F213" s="32" t="s">
        <v>368</v>
      </c>
      <c r="G213" s="34"/>
      <c r="H213" s="52" t="n">
        <f aca="false">IF($E213="Per class",$D213*COUNTIFS('Session Tracker'!$D$5:$D$149,$A213,'Session Tracker'!$F$5:$F$149,"Next week",'Session Tracker'!$G$5:$G$149,"Mon"),$D213*SUMIFS('Session Tracker'!$J$5:$J$149,'Session Tracker'!$D$5:$D$149,$A213,'Session Tracker'!$F$5:$F$149,"Next week",'Session Tracker'!$G$5:$G$149,"Mon"))</f>
        <v>0</v>
      </c>
      <c r="I213" s="52" t="n">
        <f aca="false">IF($E213="Per class",$D213*COUNTIFS('Session Tracker'!$D$5:$D$149,$A213,'Session Tracker'!$F$5:$F$149,"Next week",'Session Tracker'!$G$5:$G$149,"Tue"),$D213*SUMIFS('Session Tracker'!$J$5:$J$149,'Session Tracker'!$D$5:$D$149,$A213,'Session Tracker'!$F$5:$F$149,"Next week",'Session Tracker'!$G$5:$G$149,"Tue"))</f>
        <v>0</v>
      </c>
      <c r="J213" s="52" t="n">
        <f aca="false">IF($E213="Per class",$D213*COUNTIFS('Session Tracker'!$D$5:$D$149,$A213,'Session Tracker'!$F$5:$F$149,"Next week",'Session Tracker'!$G$5:$G$149,"Wed"),$D213*SUMIFS('Session Tracker'!$J$5:$J$149,'Session Tracker'!$D$5:$D$149,$A213,'Session Tracker'!$F$5:$F$149,"Next week",'Session Tracker'!$G$5:$G$149,"Wed"))</f>
        <v>0</v>
      </c>
      <c r="K213" s="52" t="n">
        <f aca="false">IF($E213="Per class",$D213*COUNTIFS('Session Tracker'!$D$5:$D$149,$A213,'Session Tracker'!$F$5:$F$149,"Next week",'Session Tracker'!$G$5:$G$149,"Thu"),$D213*SUMIFS('Session Tracker'!$J$5:$J$149,'Session Tracker'!$D$5:$D$149,$A213,'Session Tracker'!$F$5:$F$149,"Next week",'Session Tracker'!$G$5:$G$149,"Thu"))</f>
        <v>0</v>
      </c>
      <c r="L213" s="52" t="n">
        <f aca="false">IF($E213="Per class",$D213*COUNTIFS('Session Tracker'!$D$5:$D$149,$A213,'Session Tracker'!$F$5:$F$149,"Next week",'Session Tracker'!$G$5:$G$149,"Fri"),$D213*SUMIFS('Session Tracker'!$J$5:$J$149,'Session Tracker'!$D$5:$D$149,$A213,'Session Tracker'!$F$5:$F$149,"Next week",'Session Tracker'!$G$5:$G$149,"Fri"))</f>
        <v>0</v>
      </c>
      <c r="M213" s="52" t="n">
        <f aca="false">IF($E213="Per class",$D213*COUNTIFS('Session Tracker'!$D$5:$D$149,$A213,'Session Tracker'!$F$5:$F$149,"Next week",'Session Tracker'!$G$5:$G$149,""),$D213*SUMIFS('Session Tracker'!$J$5:$J$149,'Session Tracker'!$D$5:$D$149,$A213,'Session Tracker'!$F$5:$F$149,"Next week",'Session Tracker'!$G$5:$G$149,""))</f>
        <v>0</v>
      </c>
    </row>
    <row r="214" customFormat="false" ht="15" hidden="false" customHeight="false" outlineLevel="0" collapsed="false">
      <c r="A214" s="53" t="s">
        <v>316</v>
      </c>
      <c r="B214" s="54"/>
      <c r="C214" s="54"/>
      <c r="D214" s="54"/>
      <c r="E214" s="54"/>
      <c r="F214" s="54"/>
      <c r="G214" s="54"/>
      <c r="H214" s="52" t="n">
        <f aca="false">IF($E214="Per class",$D214*COUNTIFS('Session Tracker'!$D$5:$D$149,$A214,'Session Tracker'!$F$5:$F$149,"Next week",'Session Tracker'!$G$5:$G$149,"Mon"),$D214*SUMIFS('Session Tracker'!$J$5:$J$149,'Session Tracker'!$D$5:$D$149,$A214,'Session Tracker'!$F$5:$F$149,"Next week",'Session Tracker'!$G$5:$G$149,"Mon"))</f>
        <v>0</v>
      </c>
      <c r="I214" s="52" t="n">
        <f aca="false">IF($E214="Per class",$D214*COUNTIFS('Session Tracker'!$D$5:$D$149,$A214,'Session Tracker'!$F$5:$F$149,"Next week",'Session Tracker'!$G$5:$G$149,"Tue"),$D214*SUMIFS('Session Tracker'!$J$5:$J$149,'Session Tracker'!$D$5:$D$149,$A214,'Session Tracker'!$F$5:$F$149,"Next week",'Session Tracker'!$G$5:$G$149,"Tue"))</f>
        <v>0</v>
      </c>
      <c r="J214" s="52" t="n">
        <f aca="false">IF($E214="Per class",$D214*COUNTIFS('Session Tracker'!$D$5:$D$149,$A214,'Session Tracker'!$F$5:$F$149,"Next week",'Session Tracker'!$G$5:$G$149,"Wed"),$D214*SUMIFS('Session Tracker'!$J$5:$J$149,'Session Tracker'!$D$5:$D$149,$A214,'Session Tracker'!$F$5:$F$149,"Next week",'Session Tracker'!$G$5:$G$149,"Wed"))</f>
        <v>0</v>
      </c>
      <c r="K214" s="52" t="n">
        <f aca="false">IF($E214="Per class",$D214*COUNTIFS('Session Tracker'!$D$5:$D$149,$A214,'Session Tracker'!$F$5:$F$149,"Next week",'Session Tracker'!$G$5:$G$149,"Thu"),$D214*SUMIFS('Session Tracker'!$J$5:$J$149,'Session Tracker'!$D$5:$D$149,$A214,'Session Tracker'!$F$5:$F$149,"Next week",'Session Tracker'!$G$5:$G$149,"Thu"))</f>
        <v>0</v>
      </c>
      <c r="L214" s="52" t="n">
        <f aca="false">IF($E214="Per class",$D214*COUNTIFS('Session Tracker'!$D$5:$D$149,$A214,'Session Tracker'!$F$5:$F$149,"Next week",'Session Tracker'!$G$5:$G$149,"Fri"),$D214*SUMIFS('Session Tracker'!$J$5:$J$149,'Session Tracker'!$D$5:$D$149,$A214,'Session Tracker'!$F$5:$F$149,"Next week",'Session Tracker'!$G$5:$G$149,"Fri"))</f>
        <v>0</v>
      </c>
      <c r="M214" s="52" t="n">
        <f aca="false">IF($E214="Per class",$D214*COUNTIFS('Session Tracker'!$D$5:$D$149,$A214,'Session Tracker'!$F$5:$F$149,"Next week",'Session Tracker'!$G$5:$G$149,""),$D214*SUMIFS('Session Tracker'!$J$5:$J$149,'Session Tracker'!$D$5:$D$149,$A214,'Session Tracker'!$F$5:$F$149,"Next week",'Session Tracker'!$G$5:$G$149,""))</f>
        <v>0</v>
      </c>
    </row>
    <row r="215" customFormat="false" ht="15" hidden="false" customHeight="false" outlineLevel="0" collapsed="false">
      <c r="A215" s="53" t="s">
        <v>316</v>
      </c>
      <c r="B215" s="54"/>
      <c r="C215" s="54"/>
      <c r="D215" s="54"/>
      <c r="E215" s="54"/>
      <c r="F215" s="54"/>
      <c r="G215" s="54"/>
      <c r="H215" s="52" t="n">
        <f aca="false">IF($E215="Per class",$D215*COUNTIFS('Session Tracker'!$D$5:$D$149,$A215,'Session Tracker'!$F$5:$F$149,"Next week",'Session Tracker'!$G$5:$G$149,"Mon"),$D215*SUMIFS('Session Tracker'!$J$5:$J$149,'Session Tracker'!$D$5:$D$149,$A215,'Session Tracker'!$F$5:$F$149,"Next week",'Session Tracker'!$G$5:$G$149,"Mon"))</f>
        <v>0</v>
      </c>
      <c r="I215" s="52" t="n">
        <f aca="false">IF($E215="Per class",$D215*COUNTIFS('Session Tracker'!$D$5:$D$149,$A215,'Session Tracker'!$F$5:$F$149,"Next week",'Session Tracker'!$G$5:$G$149,"Tue"),$D215*SUMIFS('Session Tracker'!$J$5:$J$149,'Session Tracker'!$D$5:$D$149,$A215,'Session Tracker'!$F$5:$F$149,"Next week",'Session Tracker'!$G$5:$G$149,"Tue"))</f>
        <v>0</v>
      </c>
      <c r="J215" s="52" t="n">
        <f aca="false">IF($E215="Per class",$D215*COUNTIFS('Session Tracker'!$D$5:$D$149,$A215,'Session Tracker'!$F$5:$F$149,"Next week",'Session Tracker'!$G$5:$G$149,"Wed"),$D215*SUMIFS('Session Tracker'!$J$5:$J$149,'Session Tracker'!$D$5:$D$149,$A215,'Session Tracker'!$F$5:$F$149,"Next week",'Session Tracker'!$G$5:$G$149,"Wed"))</f>
        <v>0</v>
      </c>
      <c r="K215" s="52" t="n">
        <f aca="false">IF($E215="Per class",$D215*COUNTIFS('Session Tracker'!$D$5:$D$149,$A215,'Session Tracker'!$F$5:$F$149,"Next week",'Session Tracker'!$G$5:$G$149,"Thu"),$D215*SUMIFS('Session Tracker'!$J$5:$J$149,'Session Tracker'!$D$5:$D$149,$A215,'Session Tracker'!$F$5:$F$149,"Next week",'Session Tracker'!$G$5:$G$149,"Thu"))</f>
        <v>0</v>
      </c>
      <c r="L215" s="52" t="n">
        <f aca="false">IF($E215="Per class",$D215*COUNTIFS('Session Tracker'!$D$5:$D$149,$A215,'Session Tracker'!$F$5:$F$149,"Next week",'Session Tracker'!$G$5:$G$149,"Fri"),$D215*SUMIFS('Session Tracker'!$J$5:$J$149,'Session Tracker'!$D$5:$D$149,$A215,'Session Tracker'!$F$5:$F$149,"Next week",'Session Tracker'!$G$5:$G$149,"Fri"))</f>
        <v>0</v>
      </c>
      <c r="M215" s="52" t="n">
        <f aca="false">IF($E215="Per class",$D215*COUNTIFS('Session Tracker'!$D$5:$D$149,$A215,'Session Tracker'!$F$5:$F$149,"Next week",'Session Tracker'!$G$5:$G$149,""),$D215*SUMIFS('Session Tracker'!$J$5:$J$149,'Session Tracker'!$D$5:$D$149,$A215,'Session Tracker'!$F$5:$F$149,"Next week",'Session Tracker'!$G$5:$G$149,""))</f>
        <v>0</v>
      </c>
    </row>
    <row r="217" customFormat="false" ht="19.5" hidden="false" customHeight="true" outlineLevel="0" collapsed="false">
      <c r="A217" s="71" t="s">
        <v>318</v>
      </c>
      <c r="B217" s="72" t="s">
        <v>679</v>
      </c>
      <c r="C217" s="72"/>
      <c r="D217" s="72"/>
      <c r="E217" s="72"/>
      <c r="F217" s="73" t="str">
        <f aca="false">"Status: "&amp;'Session Tracker'!F130&amp;IF('Session Tracker'!G130&lt;&gt;""," ("&amp;'Session Tracker'!G130&amp;")","")</f>
        <v>Status: Not started</v>
      </c>
      <c r="G217" s="73"/>
      <c r="H217" s="74"/>
      <c r="I217" s="74"/>
      <c r="J217" s="74"/>
      <c r="K217" s="74"/>
      <c r="L217" s="74"/>
      <c r="M217" s="74"/>
    </row>
    <row r="218" customFormat="false" ht="15" hidden="false" customHeight="false" outlineLevel="0" collapsed="false">
      <c r="A218" s="75" t="s">
        <v>318</v>
      </c>
      <c r="B218" s="34" t="s">
        <v>382</v>
      </c>
      <c r="C218" s="34" t="s">
        <v>383</v>
      </c>
      <c r="D218" s="32" t="n">
        <v>1</v>
      </c>
      <c r="E218" s="32" t="s">
        <v>14</v>
      </c>
      <c r="F218" s="32" t="s">
        <v>368</v>
      </c>
      <c r="G218" s="34"/>
      <c r="H218" s="52" t="n">
        <f aca="false">IF($E218="Per class",$D218*COUNTIFS('Session Tracker'!$D$5:$D$149,$A218,'Session Tracker'!$F$5:$F$149,"Next week",'Session Tracker'!$G$5:$G$149,"Mon"),$D218*SUMIFS('Session Tracker'!$J$5:$J$149,'Session Tracker'!$D$5:$D$149,$A218,'Session Tracker'!$F$5:$F$149,"Next week",'Session Tracker'!$G$5:$G$149,"Mon"))</f>
        <v>0</v>
      </c>
      <c r="I218" s="52" t="n">
        <f aca="false">IF($E218="Per class",$D218*COUNTIFS('Session Tracker'!$D$5:$D$149,$A218,'Session Tracker'!$F$5:$F$149,"Next week",'Session Tracker'!$G$5:$G$149,"Tue"),$D218*SUMIFS('Session Tracker'!$J$5:$J$149,'Session Tracker'!$D$5:$D$149,$A218,'Session Tracker'!$F$5:$F$149,"Next week",'Session Tracker'!$G$5:$G$149,"Tue"))</f>
        <v>0</v>
      </c>
      <c r="J218" s="52" t="n">
        <f aca="false">IF($E218="Per class",$D218*COUNTIFS('Session Tracker'!$D$5:$D$149,$A218,'Session Tracker'!$F$5:$F$149,"Next week",'Session Tracker'!$G$5:$G$149,"Wed"),$D218*SUMIFS('Session Tracker'!$J$5:$J$149,'Session Tracker'!$D$5:$D$149,$A218,'Session Tracker'!$F$5:$F$149,"Next week",'Session Tracker'!$G$5:$G$149,"Wed"))</f>
        <v>0</v>
      </c>
      <c r="K218" s="52" t="n">
        <f aca="false">IF($E218="Per class",$D218*COUNTIFS('Session Tracker'!$D$5:$D$149,$A218,'Session Tracker'!$F$5:$F$149,"Next week",'Session Tracker'!$G$5:$G$149,"Thu"),$D218*SUMIFS('Session Tracker'!$J$5:$J$149,'Session Tracker'!$D$5:$D$149,$A218,'Session Tracker'!$F$5:$F$149,"Next week",'Session Tracker'!$G$5:$G$149,"Thu"))</f>
        <v>0</v>
      </c>
      <c r="L218" s="52" t="n">
        <f aca="false">IF($E218="Per class",$D218*COUNTIFS('Session Tracker'!$D$5:$D$149,$A218,'Session Tracker'!$F$5:$F$149,"Next week",'Session Tracker'!$G$5:$G$149,"Fri"),$D218*SUMIFS('Session Tracker'!$J$5:$J$149,'Session Tracker'!$D$5:$D$149,$A218,'Session Tracker'!$F$5:$F$149,"Next week",'Session Tracker'!$G$5:$G$149,"Fri"))</f>
        <v>0</v>
      </c>
      <c r="M218" s="52" t="n">
        <f aca="false">IF($E218="Per class",$D218*COUNTIFS('Session Tracker'!$D$5:$D$149,$A218,'Session Tracker'!$F$5:$F$149,"Next week",'Session Tracker'!$G$5:$G$149,""),$D218*SUMIFS('Session Tracker'!$J$5:$J$149,'Session Tracker'!$D$5:$D$149,$A218,'Session Tracker'!$F$5:$F$149,"Next week",'Session Tracker'!$G$5:$G$149,""))</f>
        <v>0</v>
      </c>
    </row>
    <row r="219" customFormat="false" ht="15" hidden="false" customHeight="false" outlineLevel="0" collapsed="false">
      <c r="A219" s="53" t="s">
        <v>318</v>
      </c>
      <c r="B219" s="54"/>
      <c r="C219" s="54"/>
      <c r="D219" s="54"/>
      <c r="E219" s="54"/>
      <c r="F219" s="54"/>
      <c r="G219" s="54"/>
      <c r="H219" s="52" t="n">
        <f aca="false">IF($E219="Per class",$D219*COUNTIFS('Session Tracker'!$D$5:$D$149,$A219,'Session Tracker'!$F$5:$F$149,"Next week",'Session Tracker'!$G$5:$G$149,"Mon"),$D219*SUMIFS('Session Tracker'!$J$5:$J$149,'Session Tracker'!$D$5:$D$149,$A219,'Session Tracker'!$F$5:$F$149,"Next week",'Session Tracker'!$G$5:$G$149,"Mon"))</f>
        <v>0</v>
      </c>
      <c r="I219" s="52" t="n">
        <f aca="false">IF($E219="Per class",$D219*COUNTIFS('Session Tracker'!$D$5:$D$149,$A219,'Session Tracker'!$F$5:$F$149,"Next week",'Session Tracker'!$G$5:$G$149,"Tue"),$D219*SUMIFS('Session Tracker'!$J$5:$J$149,'Session Tracker'!$D$5:$D$149,$A219,'Session Tracker'!$F$5:$F$149,"Next week",'Session Tracker'!$G$5:$G$149,"Tue"))</f>
        <v>0</v>
      </c>
      <c r="J219" s="52" t="n">
        <f aca="false">IF($E219="Per class",$D219*COUNTIFS('Session Tracker'!$D$5:$D$149,$A219,'Session Tracker'!$F$5:$F$149,"Next week",'Session Tracker'!$G$5:$G$149,"Wed"),$D219*SUMIFS('Session Tracker'!$J$5:$J$149,'Session Tracker'!$D$5:$D$149,$A219,'Session Tracker'!$F$5:$F$149,"Next week",'Session Tracker'!$G$5:$G$149,"Wed"))</f>
        <v>0</v>
      </c>
      <c r="K219" s="52" t="n">
        <f aca="false">IF($E219="Per class",$D219*COUNTIFS('Session Tracker'!$D$5:$D$149,$A219,'Session Tracker'!$F$5:$F$149,"Next week",'Session Tracker'!$G$5:$G$149,"Thu"),$D219*SUMIFS('Session Tracker'!$J$5:$J$149,'Session Tracker'!$D$5:$D$149,$A219,'Session Tracker'!$F$5:$F$149,"Next week",'Session Tracker'!$G$5:$G$149,"Thu"))</f>
        <v>0</v>
      </c>
      <c r="L219" s="52" t="n">
        <f aca="false">IF($E219="Per class",$D219*COUNTIFS('Session Tracker'!$D$5:$D$149,$A219,'Session Tracker'!$F$5:$F$149,"Next week",'Session Tracker'!$G$5:$G$149,"Fri"),$D219*SUMIFS('Session Tracker'!$J$5:$J$149,'Session Tracker'!$D$5:$D$149,$A219,'Session Tracker'!$F$5:$F$149,"Next week",'Session Tracker'!$G$5:$G$149,"Fri"))</f>
        <v>0</v>
      </c>
      <c r="M219" s="52" t="n">
        <f aca="false">IF($E219="Per class",$D219*COUNTIFS('Session Tracker'!$D$5:$D$149,$A219,'Session Tracker'!$F$5:$F$149,"Next week",'Session Tracker'!$G$5:$G$149,""),$D219*SUMIFS('Session Tracker'!$J$5:$J$149,'Session Tracker'!$D$5:$D$149,$A219,'Session Tracker'!$F$5:$F$149,"Next week",'Session Tracker'!$G$5:$G$149,""))</f>
        <v>0</v>
      </c>
    </row>
    <row r="220" customFormat="false" ht="15" hidden="false" customHeight="false" outlineLevel="0" collapsed="false">
      <c r="A220" s="53" t="s">
        <v>318</v>
      </c>
      <c r="B220" s="54"/>
      <c r="C220" s="54"/>
      <c r="D220" s="54"/>
      <c r="E220" s="54"/>
      <c r="F220" s="54"/>
      <c r="G220" s="54"/>
      <c r="H220" s="52" t="n">
        <f aca="false">IF($E220="Per class",$D220*COUNTIFS('Session Tracker'!$D$5:$D$149,$A220,'Session Tracker'!$F$5:$F$149,"Next week",'Session Tracker'!$G$5:$G$149,"Mon"),$D220*SUMIFS('Session Tracker'!$J$5:$J$149,'Session Tracker'!$D$5:$D$149,$A220,'Session Tracker'!$F$5:$F$149,"Next week",'Session Tracker'!$G$5:$G$149,"Mon"))</f>
        <v>0</v>
      </c>
      <c r="I220" s="52" t="n">
        <f aca="false">IF($E220="Per class",$D220*COUNTIFS('Session Tracker'!$D$5:$D$149,$A220,'Session Tracker'!$F$5:$F$149,"Next week",'Session Tracker'!$G$5:$G$149,"Tue"),$D220*SUMIFS('Session Tracker'!$J$5:$J$149,'Session Tracker'!$D$5:$D$149,$A220,'Session Tracker'!$F$5:$F$149,"Next week",'Session Tracker'!$G$5:$G$149,"Tue"))</f>
        <v>0</v>
      </c>
      <c r="J220" s="52" t="n">
        <f aca="false">IF($E220="Per class",$D220*COUNTIFS('Session Tracker'!$D$5:$D$149,$A220,'Session Tracker'!$F$5:$F$149,"Next week",'Session Tracker'!$G$5:$G$149,"Wed"),$D220*SUMIFS('Session Tracker'!$J$5:$J$149,'Session Tracker'!$D$5:$D$149,$A220,'Session Tracker'!$F$5:$F$149,"Next week",'Session Tracker'!$G$5:$G$149,"Wed"))</f>
        <v>0</v>
      </c>
      <c r="K220" s="52" t="n">
        <f aca="false">IF($E220="Per class",$D220*COUNTIFS('Session Tracker'!$D$5:$D$149,$A220,'Session Tracker'!$F$5:$F$149,"Next week",'Session Tracker'!$G$5:$G$149,"Thu"),$D220*SUMIFS('Session Tracker'!$J$5:$J$149,'Session Tracker'!$D$5:$D$149,$A220,'Session Tracker'!$F$5:$F$149,"Next week",'Session Tracker'!$G$5:$G$149,"Thu"))</f>
        <v>0</v>
      </c>
      <c r="L220" s="52" t="n">
        <f aca="false">IF($E220="Per class",$D220*COUNTIFS('Session Tracker'!$D$5:$D$149,$A220,'Session Tracker'!$F$5:$F$149,"Next week",'Session Tracker'!$G$5:$G$149,"Fri"),$D220*SUMIFS('Session Tracker'!$J$5:$J$149,'Session Tracker'!$D$5:$D$149,$A220,'Session Tracker'!$F$5:$F$149,"Next week",'Session Tracker'!$G$5:$G$149,"Fri"))</f>
        <v>0</v>
      </c>
      <c r="M220" s="52" t="n">
        <f aca="false">IF($E220="Per class",$D220*COUNTIFS('Session Tracker'!$D$5:$D$149,$A220,'Session Tracker'!$F$5:$F$149,"Next week",'Session Tracker'!$G$5:$G$149,""),$D220*SUMIFS('Session Tracker'!$J$5:$J$149,'Session Tracker'!$D$5:$D$149,$A220,'Session Tracker'!$F$5:$F$149,"Next week",'Session Tracker'!$G$5:$G$149,""))</f>
        <v>0</v>
      </c>
    </row>
    <row r="222" customFormat="false" ht="19.5" hidden="false" customHeight="true" outlineLevel="0" collapsed="false">
      <c r="A222" s="71" t="s">
        <v>320</v>
      </c>
      <c r="B222" s="72" t="s">
        <v>680</v>
      </c>
      <c r="C222" s="72"/>
      <c r="D222" s="72"/>
      <c r="E222" s="72"/>
      <c r="F222" s="73" t="str">
        <f aca="false">"Status: "&amp;'Session Tracker'!F131&amp;IF('Session Tracker'!G131&lt;&gt;""," ("&amp;'Session Tracker'!G131&amp;")","")</f>
        <v>Status: Not started</v>
      </c>
      <c r="G222" s="73"/>
      <c r="H222" s="74"/>
      <c r="I222" s="74"/>
      <c r="J222" s="74"/>
      <c r="K222" s="74"/>
      <c r="L222" s="74"/>
      <c r="M222" s="74"/>
    </row>
    <row r="223" customFormat="false" ht="23.85" hidden="false" customHeight="false" outlineLevel="0" collapsed="false">
      <c r="A223" s="75" t="s">
        <v>320</v>
      </c>
      <c r="B223" s="34" t="s">
        <v>366</v>
      </c>
      <c r="C223" s="34" t="s">
        <v>367</v>
      </c>
      <c r="D223" s="32" t="n">
        <v>1</v>
      </c>
      <c r="E223" s="32" t="s">
        <v>14</v>
      </c>
      <c r="F223" s="32" t="s">
        <v>368</v>
      </c>
      <c r="G223" s="34"/>
      <c r="H223" s="52" t="n">
        <f aca="false">IF($E223="Per class",$D223*COUNTIFS('Session Tracker'!$D$5:$D$149,$A223,'Session Tracker'!$F$5:$F$149,"Next week",'Session Tracker'!$G$5:$G$149,"Mon"),$D223*SUMIFS('Session Tracker'!$J$5:$J$149,'Session Tracker'!$D$5:$D$149,$A223,'Session Tracker'!$F$5:$F$149,"Next week",'Session Tracker'!$G$5:$G$149,"Mon"))</f>
        <v>0</v>
      </c>
      <c r="I223" s="52" t="n">
        <f aca="false">IF($E223="Per class",$D223*COUNTIFS('Session Tracker'!$D$5:$D$149,$A223,'Session Tracker'!$F$5:$F$149,"Next week",'Session Tracker'!$G$5:$G$149,"Tue"),$D223*SUMIFS('Session Tracker'!$J$5:$J$149,'Session Tracker'!$D$5:$D$149,$A223,'Session Tracker'!$F$5:$F$149,"Next week",'Session Tracker'!$G$5:$G$149,"Tue"))</f>
        <v>0</v>
      </c>
      <c r="J223" s="52" t="n">
        <f aca="false">IF($E223="Per class",$D223*COUNTIFS('Session Tracker'!$D$5:$D$149,$A223,'Session Tracker'!$F$5:$F$149,"Next week",'Session Tracker'!$G$5:$G$149,"Wed"),$D223*SUMIFS('Session Tracker'!$J$5:$J$149,'Session Tracker'!$D$5:$D$149,$A223,'Session Tracker'!$F$5:$F$149,"Next week",'Session Tracker'!$G$5:$G$149,"Wed"))</f>
        <v>0</v>
      </c>
      <c r="K223" s="52" t="n">
        <f aca="false">IF($E223="Per class",$D223*COUNTIFS('Session Tracker'!$D$5:$D$149,$A223,'Session Tracker'!$F$5:$F$149,"Next week",'Session Tracker'!$G$5:$G$149,"Thu"),$D223*SUMIFS('Session Tracker'!$J$5:$J$149,'Session Tracker'!$D$5:$D$149,$A223,'Session Tracker'!$F$5:$F$149,"Next week",'Session Tracker'!$G$5:$G$149,"Thu"))</f>
        <v>0</v>
      </c>
      <c r="L223" s="52" t="n">
        <f aca="false">IF($E223="Per class",$D223*COUNTIFS('Session Tracker'!$D$5:$D$149,$A223,'Session Tracker'!$F$5:$F$149,"Next week",'Session Tracker'!$G$5:$G$149,"Fri"),$D223*SUMIFS('Session Tracker'!$J$5:$J$149,'Session Tracker'!$D$5:$D$149,$A223,'Session Tracker'!$F$5:$F$149,"Next week",'Session Tracker'!$G$5:$G$149,"Fri"))</f>
        <v>0</v>
      </c>
      <c r="M223" s="52" t="n">
        <f aca="false">IF($E223="Per class",$D223*COUNTIFS('Session Tracker'!$D$5:$D$149,$A223,'Session Tracker'!$F$5:$F$149,"Next week",'Session Tracker'!$G$5:$G$149,""),$D223*SUMIFS('Session Tracker'!$J$5:$J$149,'Session Tracker'!$D$5:$D$149,$A223,'Session Tracker'!$F$5:$F$149,"Next week",'Session Tracker'!$G$5:$G$149,""))</f>
        <v>0</v>
      </c>
    </row>
    <row r="224" customFormat="false" ht="15" hidden="false" customHeight="false" outlineLevel="0" collapsed="false">
      <c r="A224" s="75" t="s">
        <v>320</v>
      </c>
      <c r="B224" s="34" t="s">
        <v>447</v>
      </c>
      <c r="C224" s="34" t="s">
        <v>542</v>
      </c>
      <c r="D224" s="32" t="n">
        <v>1</v>
      </c>
      <c r="E224" s="32" t="s">
        <v>14</v>
      </c>
      <c r="F224" s="32" t="s">
        <v>368</v>
      </c>
      <c r="G224" s="34"/>
      <c r="H224" s="52" t="n">
        <f aca="false">IF($E224="Per class",$D224*COUNTIFS('Session Tracker'!$D$5:$D$149,$A224,'Session Tracker'!$F$5:$F$149,"Next week",'Session Tracker'!$G$5:$G$149,"Mon"),$D224*SUMIFS('Session Tracker'!$J$5:$J$149,'Session Tracker'!$D$5:$D$149,$A224,'Session Tracker'!$F$5:$F$149,"Next week",'Session Tracker'!$G$5:$G$149,"Mon"))</f>
        <v>0</v>
      </c>
      <c r="I224" s="52" t="n">
        <f aca="false">IF($E224="Per class",$D224*COUNTIFS('Session Tracker'!$D$5:$D$149,$A224,'Session Tracker'!$F$5:$F$149,"Next week",'Session Tracker'!$G$5:$G$149,"Tue"),$D224*SUMIFS('Session Tracker'!$J$5:$J$149,'Session Tracker'!$D$5:$D$149,$A224,'Session Tracker'!$F$5:$F$149,"Next week",'Session Tracker'!$G$5:$G$149,"Tue"))</f>
        <v>0</v>
      </c>
      <c r="J224" s="52" t="n">
        <f aca="false">IF($E224="Per class",$D224*COUNTIFS('Session Tracker'!$D$5:$D$149,$A224,'Session Tracker'!$F$5:$F$149,"Next week",'Session Tracker'!$G$5:$G$149,"Wed"),$D224*SUMIFS('Session Tracker'!$J$5:$J$149,'Session Tracker'!$D$5:$D$149,$A224,'Session Tracker'!$F$5:$F$149,"Next week",'Session Tracker'!$G$5:$G$149,"Wed"))</f>
        <v>0</v>
      </c>
      <c r="K224" s="52" t="n">
        <f aca="false">IF($E224="Per class",$D224*COUNTIFS('Session Tracker'!$D$5:$D$149,$A224,'Session Tracker'!$F$5:$F$149,"Next week",'Session Tracker'!$G$5:$G$149,"Thu"),$D224*SUMIFS('Session Tracker'!$J$5:$J$149,'Session Tracker'!$D$5:$D$149,$A224,'Session Tracker'!$F$5:$F$149,"Next week",'Session Tracker'!$G$5:$G$149,"Thu"))</f>
        <v>0</v>
      </c>
      <c r="L224" s="52" t="n">
        <f aca="false">IF($E224="Per class",$D224*COUNTIFS('Session Tracker'!$D$5:$D$149,$A224,'Session Tracker'!$F$5:$F$149,"Next week",'Session Tracker'!$G$5:$G$149,"Fri"),$D224*SUMIFS('Session Tracker'!$J$5:$J$149,'Session Tracker'!$D$5:$D$149,$A224,'Session Tracker'!$F$5:$F$149,"Next week",'Session Tracker'!$G$5:$G$149,"Fri"))</f>
        <v>0</v>
      </c>
      <c r="M224" s="52" t="n">
        <f aca="false">IF($E224="Per class",$D224*COUNTIFS('Session Tracker'!$D$5:$D$149,$A224,'Session Tracker'!$F$5:$F$149,"Next week",'Session Tracker'!$G$5:$G$149,""),$D224*SUMIFS('Session Tracker'!$J$5:$J$149,'Session Tracker'!$D$5:$D$149,$A224,'Session Tracker'!$F$5:$F$149,"Next week",'Session Tracker'!$G$5:$G$149,""))</f>
        <v>0</v>
      </c>
    </row>
    <row r="225" customFormat="false" ht="15" hidden="false" customHeight="false" outlineLevel="0" collapsed="false">
      <c r="A225" s="75" t="s">
        <v>320</v>
      </c>
      <c r="B225" s="34" t="s">
        <v>377</v>
      </c>
      <c r="C225" s="34" t="s">
        <v>532</v>
      </c>
      <c r="D225" s="32" t="n">
        <v>1</v>
      </c>
      <c r="E225" s="32" t="s">
        <v>14</v>
      </c>
      <c r="F225" s="32" t="s">
        <v>368</v>
      </c>
      <c r="G225" s="34"/>
      <c r="H225" s="52" t="n">
        <f aca="false">IF($E225="Per class",$D225*COUNTIFS('Session Tracker'!$D$5:$D$149,$A225,'Session Tracker'!$F$5:$F$149,"Next week",'Session Tracker'!$G$5:$G$149,"Mon"),$D225*SUMIFS('Session Tracker'!$J$5:$J$149,'Session Tracker'!$D$5:$D$149,$A225,'Session Tracker'!$F$5:$F$149,"Next week",'Session Tracker'!$G$5:$G$149,"Mon"))</f>
        <v>0</v>
      </c>
      <c r="I225" s="52" t="n">
        <f aca="false">IF($E225="Per class",$D225*COUNTIFS('Session Tracker'!$D$5:$D$149,$A225,'Session Tracker'!$F$5:$F$149,"Next week",'Session Tracker'!$G$5:$G$149,"Tue"),$D225*SUMIFS('Session Tracker'!$J$5:$J$149,'Session Tracker'!$D$5:$D$149,$A225,'Session Tracker'!$F$5:$F$149,"Next week",'Session Tracker'!$G$5:$G$149,"Tue"))</f>
        <v>0</v>
      </c>
      <c r="J225" s="52" t="n">
        <f aca="false">IF($E225="Per class",$D225*COUNTIFS('Session Tracker'!$D$5:$D$149,$A225,'Session Tracker'!$F$5:$F$149,"Next week",'Session Tracker'!$G$5:$G$149,"Wed"),$D225*SUMIFS('Session Tracker'!$J$5:$J$149,'Session Tracker'!$D$5:$D$149,$A225,'Session Tracker'!$F$5:$F$149,"Next week",'Session Tracker'!$G$5:$G$149,"Wed"))</f>
        <v>0</v>
      </c>
      <c r="K225" s="52" t="n">
        <f aca="false">IF($E225="Per class",$D225*COUNTIFS('Session Tracker'!$D$5:$D$149,$A225,'Session Tracker'!$F$5:$F$149,"Next week",'Session Tracker'!$G$5:$G$149,"Thu"),$D225*SUMIFS('Session Tracker'!$J$5:$J$149,'Session Tracker'!$D$5:$D$149,$A225,'Session Tracker'!$F$5:$F$149,"Next week",'Session Tracker'!$G$5:$G$149,"Thu"))</f>
        <v>0</v>
      </c>
      <c r="L225" s="52" t="n">
        <f aca="false">IF($E225="Per class",$D225*COUNTIFS('Session Tracker'!$D$5:$D$149,$A225,'Session Tracker'!$F$5:$F$149,"Next week",'Session Tracker'!$G$5:$G$149,"Fri"),$D225*SUMIFS('Session Tracker'!$J$5:$J$149,'Session Tracker'!$D$5:$D$149,$A225,'Session Tracker'!$F$5:$F$149,"Next week",'Session Tracker'!$G$5:$G$149,"Fri"))</f>
        <v>0</v>
      </c>
      <c r="M225" s="52" t="n">
        <f aca="false">IF($E225="Per class",$D225*COUNTIFS('Session Tracker'!$D$5:$D$149,$A225,'Session Tracker'!$F$5:$F$149,"Next week",'Session Tracker'!$G$5:$G$149,""),$D225*SUMIFS('Session Tracker'!$J$5:$J$149,'Session Tracker'!$D$5:$D$149,$A225,'Session Tracker'!$F$5:$F$149,"Next week",'Session Tracker'!$G$5:$G$149,""))</f>
        <v>0</v>
      </c>
    </row>
    <row r="226" customFormat="false" ht="15" hidden="false" customHeight="false" outlineLevel="0" collapsed="false">
      <c r="A226" s="75" t="s">
        <v>320</v>
      </c>
      <c r="B226" s="34" t="s">
        <v>369</v>
      </c>
      <c r="C226" s="34" t="s">
        <v>526</v>
      </c>
      <c r="D226" s="32" t="n">
        <v>3</v>
      </c>
      <c r="E226" s="32" t="s">
        <v>14</v>
      </c>
      <c r="F226" s="32" t="s">
        <v>368</v>
      </c>
      <c r="G226" s="34"/>
      <c r="H226" s="52" t="n">
        <f aca="false">IF($E226="Per class",$D226*COUNTIFS('Session Tracker'!$D$5:$D$149,$A226,'Session Tracker'!$F$5:$F$149,"Next week",'Session Tracker'!$G$5:$G$149,"Mon"),$D226*SUMIFS('Session Tracker'!$J$5:$J$149,'Session Tracker'!$D$5:$D$149,$A226,'Session Tracker'!$F$5:$F$149,"Next week",'Session Tracker'!$G$5:$G$149,"Mon"))</f>
        <v>0</v>
      </c>
      <c r="I226" s="52" t="n">
        <f aca="false">IF($E226="Per class",$D226*COUNTIFS('Session Tracker'!$D$5:$D$149,$A226,'Session Tracker'!$F$5:$F$149,"Next week",'Session Tracker'!$G$5:$G$149,"Tue"),$D226*SUMIFS('Session Tracker'!$J$5:$J$149,'Session Tracker'!$D$5:$D$149,$A226,'Session Tracker'!$F$5:$F$149,"Next week",'Session Tracker'!$G$5:$G$149,"Tue"))</f>
        <v>0</v>
      </c>
      <c r="J226" s="52" t="n">
        <f aca="false">IF($E226="Per class",$D226*COUNTIFS('Session Tracker'!$D$5:$D$149,$A226,'Session Tracker'!$F$5:$F$149,"Next week",'Session Tracker'!$G$5:$G$149,"Wed"),$D226*SUMIFS('Session Tracker'!$J$5:$J$149,'Session Tracker'!$D$5:$D$149,$A226,'Session Tracker'!$F$5:$F$149,"Next week",'Session Tracker'!$G$5:$G$149,"Wed"))</f>
        <v>0</v>
      </c>
      <c r="K226" s="52" t="n">
        <f aca="false">IF($E226="Per class",$D226*COUNTIFS('Session Tracker'!$D$5:$D$149,$A226,'Session Tracker'!$F$5:$F$149,"Next week",'Session Tracker'!$G$5:$G$149,"Thu"),$D226*SUMIFS('Session Tracker'!$J$5:$J$149,'Session Tracker'!$D$5:$D$149,$A226,'Session Tracker'!$F$5:$F$149,"Next week",'Session Tracker'!$G$5:$G$149,"Thu"))</f>
        <v>0</v>
      </c>
      <c r="L226" s="52" t="n">
        <f aca="false">IF($E226="Per class",$D226*COUNTIFS('Session Tracker'!$D$5:$D$149,$A226,'Session Tracker'!$F$5:$F$149,"Next week",'Session Tracker'!$G$5:$G$149,"Fri"),$D226*SUMIFS('Session Tracker'!$J$5:$J$149,'Session Tracker'!$D$5:$D$149,$A226,'Session Tracker'!$F$5:$F$149,"Next week",'Session Tracker'!$G$5:$G$149,"Fri"))</f>
        <v>0</v>
      </c>
      <c r="M226" s="52" t="n">
        <f aca="false">IF($E226="Per class",$D226*COUNTIFS('Session Tracker'!$D$5:$D$149,$A226,'Session Tracker'!$F$5:$F$149,"Next week",'Session Tracker'!$G$5:$G$149,""),$D226*SUMIFS('Session Tracker'!$J$5:$J$149,'Session Tracker'!$D$5:$D$149,$A226,'Session Tracker'!$F$5:$F$149,"Next week",'Session Tracker'!$G$5:$G$149,""))</f>
        <v>0</v>
      </c>
    </row>
    <row r="227" customFormat="false" ht="15" hidden="false" customHeight="false" outlineLevel="0" collapsed="false">
      <c r="A227" s="75" t="s">
        <v>320</v>
      </c>
      <c r="B227" s="34" t="s">
        <v>377</v>
      </c>
      <c r="C227" s="34" t="s">
        <v>439</v>
      </c>
      <c r="D227" s="32" t="n">
        <v>1</v>
      </c>
      <c r="E227" s="32" t="s">
        <v>14</v>
      </c>
      <c r="F227" s="32" t="s">
        <v>368</v>
      </c>
      <c r="G227" s="34"/>
      <c r="H227" s="52" t="n">
        <f aca="false">IF($E227="Per class",$D227*COUNTIFS('Session Tracker'!$D$5:$D$149,$A227,'Session Tracker'!$F$5:$F$149,"Next week",'Session Tracker'!$G$5:$G$149,"Mon"),$D227*SUMIFS('Session Tracker'!$J$5:$J$149,'Session Tracker'!$D$5:$D$149,$A227,'Session Tracker'!$F$5:$F$149,"Next week",'Session Tracker'!$G$5:$G$149,"Mon"))</f>
        <v>0</v>
      </c>
      <c r="I227" s="52" t="n">
        <f aca="false">IF($E227="Per class",$D227*COUNTIFS('Session Tracker'!$D$5:$D$149,$A227,'Session Tracker'!$F$5:$F$149,"Next week",'Session Tracker'!$G$5:$G$149,"Tue"),$D227*SUMIFS('Session Tracker'!$J$5:$J$149,'Session Tracker'!$D$5:$D$149,$A227,'Session Tracker'!$F$5:$F$149,"Next week",'Session Tracker'!$G$5:$G$149,"Tue"))</f>
        <v>0</v>
      </c>
      <c r="J227" s="52" t="n">
        <f aca="false">IF($E227="Per class",$D227*COUNTIFS('Session Tracker'!$D$5:$D$149,$A227,'Session Tracker'!$F$5:$F$149,"Next week",'Session Tracker'!$G$5:$G$149,"Wed"),$D227*SUMIFS('Session Tracker'!$J$5:$J$149,'Session Tracker'!$D$5:$D$149,$A227,'Session Tracker'!$F$5:$F$149,"Next week",'Session Tracker'!$G$5:$G$149,"Wed"))</f>
        <v>0</v>
      </c>
      <c r="K227" s="52" t="n">
        <f aca="false">IF($E227="Per class",$D227*COUNTIFS('Session Tracker'!$D$5:$D$149,$A227,'Session Tracker'!$F$5:$F$149,"Next week",'Session Tracker'!$G$5:$G$149,"Thu"),$D227*SUMIFS('Session Tracker'!$J$5:$J$149,'Session Tracker'!$D$5:$D$149,$A227,'Session Tracker'!$F$5:$F$149,"Next week",'Session Tracker'!$G$5:$G$149,"Thu"))</f>
        <v>0</v>
      </c>
      <c r="L227" s="52" t="n">
        <f aca="false">IF($E227="Per class",$D227*COUNTIFS('Session Tracker'!$D$5:$D$149,$A227,'Session Tracker'!$F$5:$F$149,"Next week",'Session Tracker'!$G$5:$G$149,"Fri"),$D227*SUMIFS('Session Tracker'!$J$5:$J$149,'Session Tracker'!$D$5:$D$149,$A227,'Session Tracker'!$F$5:$F$149,"Next week",'Session Tracker'!$G$5:$G$149,"Fri"))</f>
        <v>0</v>
      </c>
      <c r="M227" s="52" t="n">
        <f aca="false">IF($E227="Per class",$D227*COUNTIFS('Session Tracker'!$D$5:$D$149,$A227,'Session Tracker'!$F$5:$F$149,"Next week",'Session Tracker'!$G$5:$G$149,""),$D227*SUMIFS('Session Tracker'!$J$5:$J$149,'Session Tracker'!$D$5:$D$149,$A227,'Session Tracker'!$F$5:$F$149,"Next week",'Session Tracker'!$G$5:$G$149,""))</f>
        <v>0</v>
      </c>
    </row>
    <row r="228" customFormat="false" ht="15" hidden="false" customHeight="false" outlineLevel="0" collapsed="false">
      <c r="A228" s="75" t="s">
        <v>320</v>
      </c>
      <c r="B228" s="34" t="s">
        <v>377</v>
      </c>
      <c r="C228" s="34" t="s">
        <v>597</v>
      </c>
      <c r="D228" s="32" t="n">
        <v>1</v>
      </c>
      <c r="E228" s="32" t="s">
        <v>14</v>
      </c>
      <c r="F228" s="32" t="s">
        <v>368</v>
      </c>
      <c r="G228" s="34"/>
      <c r="H228" s="52" t="n">
        <f aca="false">IF($E228="Per class",$D228*COUNTIFS('Session Tracker'!$D$5:$D$149,$A228,'Session Tracker'!$F$5:$F$149,"Next week",'Session Tracker'!$G$5:$G$149,"Mon"),$D228*SUMIFS('Session Tracker'!$J$5:$J$149,'Session Tracker'!$D$5:$D$149,$A228,'Session Tracker'!$F$5:$F$149,"Next week",'Session Tracker'!$G$5:$G$149,"Mon"))</f>
        <v>0</v>
      </c>
      <c r="I228" s="52" t="n">
        <f aca="false">IF($E228="Per class",$D228*COUNTIFS('Session Tracker'!$D$5:$D$149,$A228,'Session Tracker'!$F$5:$F$149,"Next week",'Session Tracker'!$G$5:$G$149,"Tue"),$D228*SUMIFS('Session Tracker'!$J$5:$J$149,'Session Tracker'!$D$5:$D$149,$A228,'Session Tracker'!$F$5:$F$149,"Next week",'Session Tracker'!$G$5:$G$149,"Tue"))</f>
        <v>0</v>
      </c>
      <c r="J228" s="52" t="n">
        <f aca="false">IF($E228="Per class",$D228*COUNTIFS('Session Tracker'!$D$5:$D$149,$A228,'Session Tracker'!$F$5:$F$149,"Next week",'Session Tracker'!$G$5:$G$149,"Wed"),$D228*SUMIFS('Session Tracker'!$J$5:$J$149,'Session Tracker'!$D$5:$D$149,$A228,'Session Tracker'!$F$5:$F$149,"Next week",'Session Tracker'!$G$5:$G$149,"Wed"))</f>
        <v>0</v>
      </c>
      <c r="K228" s="52" t="n">
        <f aca="false">IF($E228="Per class",$D228*COUNTIFS('Session Tracker'!$D$5:$D$149,$A228,'Session Tracker'!$F$5:$F$149,"Next week",'Session Tracker'!$G$5:$G$149,"Thu"),$D228*SUMIFS('Session Tracker'!$J$5:$J$149,'Session Tracker'!$D$5:$D$149,$A228,'Session Tracker'!$F$5:$F$149,"Next week",'Session Tracker'!$G$5:$G$149,"Thu"))</f>
        <v>0</v>
      </c>
      <c r="L228" s="52" t="n">
        <f aca="false">IF($E228="Per class",$D228*COUNTIFS('Session Tracker'!$D$5:$D$149,$A228,'Session Tracker'!$F$5:$F$149,"Next week",'Session Tracker'!$G$5:$G$149,"Fri"),$D228*SUMIFS('Session Tracker'!$J$5:$J$149,'Session Tracker'!$D$5:$D$149,$A228,'Session Tracker'!$F$5:$F$149,"Next week",'Session Tracker'!$G$5:$G$149,"Fri"))</f>
        <v>0</v>
      </c>
      <c r="M228" s="52" t="n">
        <f aca="false">IF($E228="Per class",$D228*COUNTIFS('Session Tracker'!$D$5:$D$149,$A228,'Session Tracker'!$F$5:$F$149,"Next week",'Session Tracker'!$G$5:$G$149,""),$D228*SUMIFS('Session Tracker'!$J$5:$J$149,'Session Tracker'!$D$5:$D$149,$A228,'Session Tracker'!$F$5:$F$149,"Next week",'Session Tracker'!$G$5:$G$149,""))</f>
        <v>0</v>
      </c>
    </row>
    <row r="229" customFormat="false" ht="15" hidden="false" customHeight="false" outlineLevel="0" collapsed="false">
      <c r="A229" s="75" t="s">
        <v>320</v>
      </c>
      <c r="B229" s="34" t="s">
        <v>371</v>
      </c>
      <c r="C229" s="34" t="s">
        <v>580</v>
      </c>
      <c r="D229" s="32" t="n">
        <v>1</v>
      </c>
      <c r="E229" s="32" t="s">
        <v>14</v>
      </c>
      <c r="F229" s="32" t="s">
        <v>368</v>
      </c>
      <c r="G229" s="34"/>
      <c r="H229" s="52" t="n">
        <f aca="false">IF($E229="Per class",$D229*COUNTIFS('Session Tracker'!$D$5:$D$149,$A229,'Session Tracker'!$F$5:$F$149,"Next week",'Session Tracker'!$G$5:$G$149,"Mon"),$D229*SUMIFS('Session Tracker'!$J$5:$J$149,'Session Tracker'!$D$5:$D$149,$A229,'Session Tracker'!$F$5:$F$149,"Next week",'Session Tracker'!$G$5:$G$149,"Mon"))</f>
        <v>0</v>
      </c>
      <c r="I229" s="52" t="n">
        <f aca="false">IF($E229="Per class",$D229*COUNTIFS('Session Tracker'!$D$5:$D$149,$A229,'Session Tracker'!$F$5:$F$149,"Next week",'Session Tracker'!$G$5:$G$149,"Tue"),$D229*SUMIFS('Session Tracker'!$J$5:$J$149,'Session Tracker'!$D$5:$D$149,$A229,'Session Tracker'!$F$5:$F$149,"Next week",'Session Tracker'!$G$5:$G$149,"Tue"))</f>
        <v>0</v>
      </c>
      <c r="J229" s="52" t="n">
        <f aca="false">IF($E229="Per class",$D229*COUNTIFS('Session Tracker'!$D$5:$D$149,$A229,'Session Tracker'!$F$5:$F$149,"Next week",'Session Tracker'!$G$5:$G$149,"Wed"),$D229*SUMIFS('Session Tracker'!$J$5:$J$149,'Session Tracker'!$D$5:$D$149,$A229,'Session Tracker'!$F$5:$F$149,"Next week",'Session Tracker'!$G$5:$G$149,"Wed"))</f>
        <v>0</v>
      </c>
      <c r="K229" s="52" t="n">
        <f aca="false">IF($E229="Per class",$D229*COUNTIFS('Session Tracker'!$D$5:$D$149,$A229,'Session Tracker'!$F$5:$F$149,"Next week",'Session Tracker'!$G$5:$G$149,"Thu"),$D229*SUMIFS('Session Tracker'!$J$5:$J$149,'Session Tracker'!$D$5:$D$149,$A229,'Session Tracker'!$F$5:$F$149,"Next week",'Session Tracker'!$G$5:$G$149,"Thu"))</f>
        <v>0</v>
      </c>
      <c r="L229" s="52" t="n">
        <f aca="false">IF($E229="Per class",$D229*COUNTIFS('Session Tracker'!$D$5:$D$149,$A229,'Session Tracker'!$F$5:$F$149,"Next week",'Session Tracker'!$G$5:$G$149,"Fri"),$D229*SUMIFS('Session Tracker'!$J$5:$J$149,'Session Tracker'!$D$5:$D$149,$A229,'Session Tracker'!$F$5:$F$149,"Next week",'Session Tracker'!$G$5:$G$149,"Fri"))</f>
        <v>0</v>
      </c>
      <c r="M229" s="52" t="n">
        <f aca="false">IF($E229="Per class",$D229*COUNTIFS('Session Tracker'!$D$5:$D$149,$A229,'Session Tracker'!$F$5:$F$149,"Next week",'Session Tracker'!$G$5:$G$149,""),$D229*SUMIFS('Session Tracker'!$J$5:$J$149,'Session Tracker'!$D$5:$D$149,$A229,'Session Tracker'!$F$5:$F$149,"Next week",'Session Tracker'!$G$5:$G$149,""))</f>
        <v>0</v>
      </c>
    </row>
    <row r="230" customFormat="false" ht="15" hidden="false" customHeight="false" outlineLevel="0" collapsed="false">
      <c r="A230" s="75" t="s">
        <v>320</v>
      </c>
      <c r="B230" s="34" t="s">
        <v>409</v>
      </c>
      <c r="C230" s="34" t="s">
        <v>533</v>
      </c>
      <c r="D230" s="32" t="n">
        <v>1</v>
      </c>
      <c r="E230" s="32" t="s">
        <v>14</v>
      </c>
      <c r="F230" s="32" t="s">
        <v>373</v>
      </c>
      <c r="G230" s="34"/>
      <c r="H230" s="52" t="n">
        <f aca="false">IF($E230="Per class",$D230*COUNTIFS('Session Tracker'!$D$5:$D$149,$A230,'Session Tracker'!$F$5:$F$149,"Next week",'Session Tracker'!$G$5:$G$149,"Mon"),$D230*SUMIFS('Session Tracker'!$J$5:$J$149,'Session Tracker'!$D$5:$D$149,$A230,'Session Tracker'!$F$5:$F$149,"Next week",'Session Tracker'!$G$5:$G$149,"Mon"))</f>
        <v>0</v>
      </c>
      <c r="I230" s="52" t="n">
        <f aca="false">IF($E230="Per class",$D230*COUNTIFS('Session Tracker'!$D$5:$D$149,$A230,'Session Tracker'!$F$5:$F$149,"Next week",'Session Tracker'!$G$5:$G$149,"Tue"),$D230*SUMIFS('Session Tracker'!$J$5:$J$149,'Session Tracker'!$D$5:$D$149,$A230,'Session Tracker'!$F$5:$F$149,"Next week",'Session Tracker'!$G$5:$G$149,"Tue"))</f>
        <v>0</v>
      </c>
      <c r="J230" s="52" t="n">
        <f aca="false">IF($E230="Per class",$D230*COUNTIFS('Session Tracker'!$D$5:$D$149,$A230,'Session Tracker'!$F$5:$F$149,"Next week",'Session Tracker'!$G$5:$G$149,"Wed"),$D230*SUMIFS('Session Tracker'!$J$5:$J$149,'Session Tracker'!$D$5:$D$149,$A230,'Session Tracker'!$F$5:$F$149,"Next week",'Session Tracker'!$G$5:$G$149,"Wed"))</f>
        <v>0</v>
      </c>
      <c r="K230" s="52" t="n">
        <f aca="false">IF($E230="Per class",$D230*COUNTIFS('Session Tracker'!$D$5:$D$149,$A230,'Session Tracker'!$F$5:$F$149,"Next week",'Session Tracker'!$G$5:$G$149,"Thu"),$D230*SUMIFS('Session Tracker'!$J$5:$J$149,'Session Tracker'!$D$5:$D$149,$A230,'Session Tracker'!$F$5:$F$149,"Next week",'Session Tracker'!$G$5:$G$149,"Thu"))</f>
        <v>0</v>
      </c>
      <c r="L230" s="52" t="n">
        <f aca="false">IF($E230="Per class",$D230*COUNTIFS('Session Tracker'!$D$5:$D$149,$A230,'Session Tracker'!$F$5:$F$149,"Next week",'Session Tracker'!$G$5:$G$149,"Fri"),$D230*SUMIFS('Session Tracker'!$J$5:$J$149,'Session Tracker'!$D$5:$D$149,$A230,'Session Tracker'!$F$5:$F$149,"Next week",'Session Tracker'!$G$5:$G$149,"Fri"))</f>
        <v>0</v>
      </c>
      <c r="M230" s="52" t="n">
        <f aca="false">IF($E230="Per class",$D230*COUNTIFS('Session Tracker'!$D$5:$D$149,$A230,'Session Tracker'!$F$5:$F$149,"Next week",'Session Tracker'!$G$5:$G$149,""),$D230*SUMIFS('Session Tracker'!$J$5:$J$149,'Session Tracker'!$D$5:$D$149,$A230,'Session Tracker'!$F$5:$F$149,"Next week",'Session Tracker'!$G$5:$G$149,""))</f>
        <v>0</v>
      </c>
    </row>
    <row r="231" customFormat="false" ht="15" hidden="false" customHeight="false" outlineLevel="0" collapsed="false">
      <c r="A231" s="75" t="s">
        <v>320</v>
      </c>
      <c r="B231" s="34" t="s">
        <v>419</v>
      </c>
      <c r="C231" s="34" t="s">
        <v>529</v>
      </c>
      <c r="D231" s="32" t="n">
        <v>1</v>
      </c>
      <c r="E231" s="32" t="s">
        <v>16</v>
      </c>
      <c r="F231" s="32" t="s">
        <v>373</v>
      </c>
      <c r="G231" s="34" t="s">
        <v>496</v>
      </c>
      <c r="H231" s="52" t="n">
        <f aca="false">IF($E231="Per class",$D231*COUNTIFS('Session Tracker'!$D$5:$D$149,$A231,'Session Tracker'!$F$5:$F$149,"Next week",'Session Tracker'!$G$5:$G$149,"Mon"),$D231*SUMIFS('Session Tracker'!$J$5:$J$149,'Session Tracker'!$D$5:$D$149,$A231,'Session Tracker'!$F$5:$F$149,"Next week",'Session Tracker'!$G$5:$G$149,"Mon"))</f>
        <v>0</v>
      </c>
      <c r="I231" s="52" t="n">
        <f aca="false">IF($E231="Per class",$D231*COUNTIFS('Session Tracker'!$D$5:$D$149,$A231,'Session Tracker'!$F$5:$F$149,"Next week",'Session Tracker'!$G$5:$G$149,"Tue"),$D231*SUMIFS('Session Tracker'!$J$5:$J$149,'Session Tracker'!$D$5:$D$149,$A231,'Session Tracker'!$F$5:$F$149,"Next week",'Session Tracker'!$G$5:$G$149,"Tue"))</f>
        <v>0</v>
      </c>
      <c r="J231" s="52" t="n">
        <f aca="false">IF($E231="Per class",$D231*COUNTIFS('Session Tracker'!$D$5:$D$149,$A231,'Session Tracker'!$F$5:$F$149,"Next week",'Session Tracker'!$G$5:$G$149,"Wed"),$D231*SUMIFS('Session Tracker'!$J$5:$J$149,'Session Tracker'!$D$5:$D$149,$A231,'Session Tracker'!$F$5:$F$149,"Next week",'Session Tracker'!$G$5:$G$149,"Wed"))</f>
        <v>0</v>
      </c>
      <c r="K231" s="52" t="n">
        <f aca="false">IF($E231="Per class",$D231*COUNTIFS('Session Tracker'!$D$5:$D$149,$A231,'Session Tracker'!$F$5:$F$149,"Next week",'Session Tracker'!$G$5:$G$149,"Thu"),$D231*SUMIFS('Session Tracker'!$J$5:$J$149,'Session Tracker'!$D$5:$D$149,$A231,'Session Tracker'!$F$5:$F$149,"Next week",'Session Tracker'!$G$5:$G$149,"Thu"))</f>
        <v>0</v>
      </c>
      <c r="L231" s="52" t="n">
        <f aca="false">IF($E231="Per class",$D231*COUNTIFS('Session Tracker'!$D$5:$D$149,$A231,'Session Tracker'!$F$5:$F$149,"Next week",'Session Tracker'!$G$5:$G$149,"Fri"),$D231*SUMIFS('Session Tracker'!$J$5:$J$149,'Session Tracker'!$D$5:$D$149,$A231,'Session Tracker'!$F$5:$F$149,"Next week",'Session Tracker'!$G$5:$G$149,"Fri"))</f>
        <v>0</v>
      </c>
      <c r="M231" s="52" t="n">
        <f aca="false">IF($E231="Per class",$D231*COUNTIFS('Session Tracker'!$D$5:$D$149,$A231,'Session Tracker'!$F$5:$F$149,"Next week",'Session Tracker'!$G$5:$G$149,""),$D231*SUMIFS('Session Tracker'!$J$5:$J$149,'Session Tracker'!$D$5:$D$149,$A231,'Session Tracker'!$F$5:$F$149,"Next week",'Session Tracker'!$G$5:$G$149,""))</f>
        <v>0</v>
      </c>
    </row>
    <row r="232" customFormat="false" ht="15" hidden="false" customHeight="false" outlineLevel="0" collapsed="false">
      <c r="A232" s="75" t="s">
        <v>320</v>
      </c>
      <c r="B232" s="34" t="s">
        <v>379</v>
      </c>
      <c r="C232" s="34" t="s">
        <v>395</v>
      </c>
      <c r="D232" s="32" t="n">
        <v>14</v>
      </c>
      <c r="E232" s="32" t="s">
        <v>14</v>
      </c>
      <c r="F232" s="32" t="s">
        <v>368</v>
      </c>
      <c r="G232" s="34"/>
      <c r="H232" s="52" t="n">
        <f aca="false">IF($E232="Per class",$D232*COUNTIFS('Session Tracker'!$D$5:$D$149,$A232,'Session Tracker'!$F$5:$F$149,"Next week",'Session Tracker'!$G$5:$G$149,"Mon"),$D232*SUMIFS('Session Tracker'!$J$5:$J$149,'Session Tracker'!$D$5:$D$149,$A232,'Session Tracker'!$F$5:$F$149,"Next week",'Session Tracker'!$G$5:$G$149,"Mon"))</f>
        <v>0</v>
      </c>
      <c r="I232" s="52" t="n">
        <f aca="false">IF($E232="Per class",$D232*COUNTIFS('Session Tracker'!$D$5:$D$149,$A232,'Session Tracker'!$F$5:$F$149,"Next week",'Session Tracker'!$G$5:$G$149,"Tue"),$D232*SUMIFS('Session Tracker'!$J$5:$J$149,'Session Tracker'!$D$5:$D$149,$A232,'Session Tracker'!$F$5:$F$149,"Next week",'Session Tracker'!$G$5:$G$149,"Tue"))</f>
        <v>0</v>
      </c>
      <c r="J232" s="52" t="n">
        <f aca="false">IF($E232="Per class",$D232*COUNTIFS('Session Tracker'!$D$5:$D$149,$A232,'Session Tracker'!$F$5:$F$149,"Next week",'Session Tracker'!$G$5:$G$149,"Wed"),$D232*SUMIFS('Session Tracker'!$J$5:$J$149,'Session Tracker'!$D$5:$D$149,$A232,'Session Tracker'!$F$5:$F$149,"Next week",'Session Tracker'!$G$5:$G$149,"Wed"))</f>
        <v>0</v>
      </c>
      <c r="K232" s="52" t="n">
        <f aca="false">IF($E232="Per class",$D232*COUNTIFS('Session Tracker'!$D$5:$D$149,$A232,'Session Tracker'!$F$5:$F$149,"Next week",'Session Tracker'!$G$5:$G$149,"Thu"),$D232*SUMIFS('Session Tracker'!$J$5:$J$149,'Session Tracker'!$D$5:$D$149,$A232,'Session Tracker'!$F$5:$F$149,"Next week",'Session Tracker'!$G$5:$G$149,"Thu"))</f>
        <v>0</v>
      </c>
      <c r="L232" s="52" t="n">
        <f aca="false">IF($E232="Per class",$D232*COUNTIFS('Session Tracker'!$D$5:$D$149,$A232,'Session Tracker'!$F$5:$F$149,"Next week",'Session Tracker'!$G$5:$G$149,"Fri"),$D232*SUMIFS('Session Tracker'!$J$5:$J$149,'Session Tracker'!$D$5:$D$149,$A232,'Session Tracker'!$F$5:$F$149,"Next week",'Session Tracker'!$G$5:$G$149,"Fri"))</f>
        <v>0</v>
      </c>
      <c r="M232" s="52" t="n">
        <f aca="false">IF($E232="Per class",$D232*COUNTIFS('Session Tracker'!$D$5:$D$149,$A232,'Session Tracker'!$F$5:$F$149,"Next week",'Session Tracker'!$G$5:$G$149,""),$D232*SUMIFS('Session Tracker'!$J$5:$J$149,'Session Tracker'!$D$5:$D$149,$A232,'Session Tracker'!$F$5:$F$149,"Next week",'Session Tracker'!$G$5:$G$149,""))</f>
        <v>0</v>
      </c>
    </row>
    <row r="233" customFormat="false" ht="15" hidden="false" customHeight="false" outlineLevel="0" collapsed="false">
      <c r="A233" s="75" t="s">
        <v>320</v>
      </c>
      <c r="B233" s="34" t="s">
        <v>379</v>
      </c>
      <c r="C233" s="34" t="s">
        <v>381</v>
      </c>
      <c r="D233" s="32" t="n">
        <v>10</v>
      </c>
      <c r="E233" s="32" t="s">
        <v>14</v>
      </c>
      <c r="F233" s="32" t="s">
        <v>368</v>
      </c>
      <c r="G233" s="34"/>
      <c r="H233" s="52" t="n">
        <f aca="false">IF($E233="Per class",$D233*COUNTIFS('Session Tracker'!$D$5:$D$149,$A233,'Session Tracker'!$F$5:$F$149,"Next week",'Session Tracker'!$G$5:$G$149,"Mon"),$D233*SUMIFS('Session Tracker'!$J$5:$J$149,'Session Tracker'!$D$5:$D$149,$A233,'Session Tracker'!$F$5:$F$149,"Next week",'Session Tracker'!$G$5:$G$149,"Mon"))</f>
        <v>0</v>
      </c>
      <c r="I233" s="52" t="n">
        <f aca="false">IF($E233="Per class",$D233*COUNTIFS('Session Tracker'!$D$5:$D$149,$A233,'Session Tracker'!$F$5:$F$149,"Next week",'Session Tracker'!$G$5:$G$149,"Tue"),$D233*SUMIFS('Session Tracker'!$J$5:$J$149,'Session Tracker'!$D$5:$D$149,$A233,'Session Tracker'!$F$5:$F$149,"Next week",'Session Tracker'!$G$5:$G$149,"Tue"))</f>
        <v>0</v>
      </c>
      <c r="J233" s="52" t="n">
        <f aca="false">IF($E233="Per class",$D233*COUNTIFS('Session Tracker'!$D$5:$D$149,$A233,'Session Tracker'!$F$5:$F$149,"Next week",'Session Tracker'!$G$5:$G$149,"Wed"),$D233*SUMIFS('Session Tracker'!$J$5:$J$149,'Session Tracker'!$D$5:$D$149,$A233,'Session Tracker'!$F$5:$F$149,"Next week",'Session Tracker'!$G$5:$G$149,"Wed"))</f>
        <v>0</v>
      </c>
      <c r="K233" s="52" t="n">
        <f aca="false">IF($E233="Per class",$D233*COUNTIFS('Session Tracker'!$D$5:$D$149,$A233,'Session Tracker'!$F$5:$F$149,"Next week",'Session Tracker'!$G$5:$G$149,"Thu"),$D233*SUMIFS('Session Tracker'!$J$5:$J$149,'Session Tracker'!$D$5:$D$149,$A233,'Session Tracker'!$F$5:$F$149,"Next week",'Session Tracker'!$G$5:$G$149,"Thu"))</f>
        <v>0</v>
      </c>
      <c r="L233" s="52" t="n">
        <f aca="false">IF($E233="Per class",$D233*COUNTIFS('Session Tracker'!$D$5:$D$149,$A233,'Session Tracker'!$F$5:$F$149,"Next week",'Session Tracker'!$G$5:$G$149,"Fri"),$D233*SUMIFS('Session Tracker'!$J$5:$J$149,'Session Tracker'!$D$5:$D$149,$A233,'Session Tracker'!$F$5:$F$149,"Next week",'Session Tracker'!$G$5:$G$149,"Fri"))</f>
        <v>0</v>
      </c>
      <c r="M233" s="52" t="n">
        <f aca="false">IF($E233="Per class",$D233*COUNTIFS('Session Tracker'!$D$5:$D$149,$A233,'Session Tracker'!$F$5:$F$149,"Next week",'Session Tracker'!$G$5:$G$149,""),$D233*SUMIFS('Session Tracker'!$J$5:$J$149,'Session Tracker'!$D$5:$D$149,$A233,'Session Tracker'!$F$5:$F$149,"Next week",'Session Tracker'!$G$5:$G$149,""))</f>
        <v>0</v>
      </c>
    </row>
    <row r="234" customFormat="false" ht="15" hidden="false" customHeight="false" outlineLevel="0" collapsed="false">
      <c r="A234" s="75" t="s">
        <v>320</v>
      </c>
      <c r="B234" s="34" t="s">
        <v>382</v>
      </c>
      <c r="C234" s="34" t="s">
        <v>383</v>
      </c>
      <c r="D234" s="32" t="n">
        <v>1</v>
      </c>
      <c r="E234" s="32" t="s">
        <v>14</v>
      </c>
      <c r="F234" s="32" t="s">
        <v>368</v>
      </c>
      <c r="G234" s="34"/>
      <c r="H234" s="52" t="n">
        <f aca="false">IF($E234="Per class",$D234*COUNTIFS('Session Tracker'!$D$5:$D$149,$A234,'Session Tracker'!$F$5:$F$149,"Next week",'Session Tracker'!$G$5:$G$149,"Mon"),$D234*SUMIFS('Session Tracker'!$J$5:$J$149,'Session Tracker'!$D$5:$D$149,$A234,'Session Tracker'!$F$5:$F$149,"Next week",'Session Tracker'!$G$5:$G$149,"Mon"))</f>
        <v>0</v>
      </c>
      <c r="I234" s="52" t="n">
        <f aca="false">IF($E234="Per class",$D234*COUNTIFS('Session Tracker'!$D$5:$D$149,$A234,'Session Tracker'!$F$5:$F$149,"Next week",'Session Tracker'!$G$5:$G$149,"Tue"),$D234*SUMIFS('Session Tracker'!$J$5:$J$149,'Session Tracker'!$D$5:$D$149,$A234,'Session Tracker'!$F$5:$F$149,"Next week",'Session Tracker'!$G$5:$G$149,"Tue"))</f>
        <v>0</v>
      </c>
      <c r="J234" s="52" t="n">
        <f aca="false">IF($E234="Per class",$D234*COUNTIFS('Session Tracker'!$D$5:$D$149,$A234,'Session Tracker'!$F$5:$F$149,"Next week",'Session Tracker'!$G$5:$G$149,"Wed"),$D234*SUMIFS('Session Tracker'!$J$5:$J$149,'Session Tracker'!$D$5:$D$149,$A234,'Session Tracker'!$F$5:$F$149,"Next week",'Session Tracker'!$G$5:$G$149,"Wed"))</f>
        <v>0</v>
      </c>
      <c r="K234" s="52" t="n">
        <f aca="false">IF($E234="Per class",$D234*COUNTIFS('Session Tracker'!$D$5:$D$149,$A234,'Session Tracker'!$F$5:$F$149,"Next week",'Session Tracker'!$G$5:$G$149,"Thu"),$D234*SUMIFS('Session Tracker'!$J$5:$J$149,'Session Tracker'!$D$5:$D$149,$A234,'Session Tracker'!$F$5:$F$149,"Next week",'Session Tracker'!$G$5:$G$149,"Thu"))</f>
        <v>0</v>
      </c>
      <c r="L234" s="52" t="n">
        <f aca="false">IF($E234="Per class",$D234*COUNTIFS('Session Tracker'!$D$5:$D$149,$A234,'Session Tracker'!$F$5:$F$149,"Next week",'Session Tracker'!$G$5:$G$149,"Fri"),$D234*SUMIFS('Session Tracker'!$J$5:$J$149,'Session Tracker'!$D$5:$D$149,$A234,'Session Tracker'!$F$5:$F$149,"Next week",'Session Tracker'!$G$5:$G$149,"Fri"))</f>
        <v>0</v>
      </c>
      <c r="M234" s="52" t="n">
        <f aca="false">IF($E234="Per class",$D234*COUNTIFS('Session Tracker'!$D$5:$D$149,$A234,'Session Tracker'!$F$5:$F$149,"Next week",'Session Tracker'!$G$5:$G$149,""),$D234*SUMIFS('Session Tracker'!$J$5:$J$149,'Session Tracker'!$D$5:$D$149,$A234,'Session Tracker'!$F$5:$F$149,"Next week",'Session Tracker'!$G$5:$G$149,""))</f>
        <v>0</v>
      </c>
    </row>
    <row r="235" customFormat="false" ht="15" hidden="false" customHeight="false" outlineLevel="0" collapsed="false">
      <c r="A235" s="75" t="s">
        <v>320</v>
      </c>
      <c r="B235" s="34" t="s">
        <v>371</v>
      </c>
      <c r="C235" s="34" t="s">
        <v>372</v>
      </c>
      <c r="D235" s="32" t="n">
        <v>1</v>
      </c>
      <c r="E235" s="32" t="s">
        <v>14</v>
      </c>
      <c r="F235" s="32" t="s">
        <v>373</v>
      </c>
      <c r="G235" s="34" t="s">
        <v>389</v>
      </c>
      <c r="H235" s="52" t="n">
        <f aca="false">IF($E235="Per class",$D235*COUNTIFS('Session Tracker'!$D$5:$D$149,$A235,'Session Tracker'!$F$5:$F$149,"Next week",'Session Tracker'!$G$5:$G$149,"Mon"),$D235*SUMIFS('Session Tracker'!$J$5:$J$149,'Session Tracker'!$D$5:$D$149,$A235,'Session Tracker'!$F$5:$F$149,"Next week",'Session Tracker'!$G$5:$G$149,"Mon"))</f>
        <v>0</v>
      </c>
      <c r="I235" s="52" t="n">
        <f aca="false">IF($E235="Per class",$D235*COUNTIFS('Session Tracker'!$D$5:$D$149,$A235,'Session Tracker'!$F$5:$F$149,"Next week",'Session Tracker'!$G$5:$G$149,"Tue"),$D235*SUMIFS('Session Tracker'!$J$5:$J$149,'Session Tracker'!$D$5:$D$149,$A235,'Session Tracker'!$F$5:$F$149,"Next week",'Session Tracker'!$G$5:$G$149,"Tue"))</f>
        <v>0</v>
      </c>
      <c r="J235" s="52" t="n">
        <f aca="false">IF($E235="Per class",$D235*COUNTIFS('Session Tracker'!$D$5:$D$149,$A235,'Session Tracker'!$F$5:$F$149,"Next week",'Session Tracker'!$G$5:$G$149,"Wed"),$D235*SUMIFS('Session Tracker'!$J$5:$J$149,'Session Tracker'!$D$5:$D$149,$A235,'Session Tracker'!$F$5:$F$149,"Next week",'Session Tracker'!$G$5:$G$149,"Wed"))</f>
        <v>0</v>
      </c>
      <c r="K235" s="52" t="n">
        <f aca="false">IF($E235="Per class",$D235*COUNTIFS('Session Tracker'!$D$5:$D$149,$A235,'Session Tracker'!$F$5:$F$149,"Next week",'Session Tracker'!$G$5:$G$149,"Thu"),$D235*SUMIFS('Session Tracker'!$J$5:$J$149,'Session Tracker'!$D$5:$D$149,$A235,'Session Tracker'!$F$5:$F$149,"Next week",'Session Tracker'!$G$5:$G$149,"Thu"))</f>
        <v>0</v>
      </c>
      <c r="L235" s="52" t="n">
        <f aca="false">IF($E235="Per class",$D235*COUNTIFS('Session Tracker'!$D$5:$D$149,$A235,'Session Tracker'!$F$5:$F$149,"Next week",'Session Tracker'!$G$5:$G$149,"Fri"),$D235*SUMIFS('Session Tracker'!$J$5:$J$149,'Session Tracker'!$D$5:$D$149,$A235,'Session Tracker'!$F$5:$F$149,"Next week",'Session Tracker'!$G$5:$G$149,"Fri"))</f>
        <v>0</v>
      </c>
      <c r="M235" s="52" t="n">
        <f aca="false">IF($E235="Per class",$D235*COUNTIFS('Session Tracker'!$D$5:$D$149,$A235,'Session Tracker'!$F$5:$F$149,"Next week",'Session Tracker'!$G$5:$G$149,""),$D235*SUMIFS('Session Tracker'!$J$5:$J$149,'Session Tracker'!$D$5:$D$149,$A235,'Session Tracker'!$F$5:$F$149,"Next week",'Session Tracker'!$G$5:$G$149,""))</f>
        <v>0</v>
      </c>
    </row>
    <row r="236" customFormat="false" ht="15" hidden="false" customHeight="false" outlineLevel="0" collapsed="false">
      <c r="A236" s="75" t="s">
        <v>320</v>
      </c>
      <c r="B236" s="34" t="s">
        <v>375</v>
      </c>
      <c r="C236" s="34" t="s">
        <v>376</v>
      </c>
      <c r="D236" s="32" t="n">
        <v>1</v>
      </c>
      <c r="E236" s="32" t="s">
        <v>14</v>
      </c>
      <c r="F236" s="32" t="s">
        <v>373</v>
      </c>
      <c r="G236" s="34" t="s">
        <v>442</v>
      </c>
      <c r="H236" s="52" t="n">
        <f aca="false">IF($E236="Per class",$D236*COUNTIFS('Session Tracker'!$D$5:$D$149,$A236,'Session Tracker'!$F$5:$F$149,"Next week",'Session Tracker'!$G$5:$G$149,"Mon"),$D236*SUMIFS('Session Tracker'!$J$5:$J$149,'Session Tracker'!$D$5:$D$149,$A236,'Session Tracker'!$F$5:$F$149,"Next week",'Session Tracker'!$G$5:$G$149,"Mon"))</f>
        <v>0</v>
      </c>
      <c r="I236" s="52" t="n">
        <f aca="false">IF($E236="Per class",$D236*COUNTIFS('Session Tracker'!$D$5:$D$149,$A236,'Session Tracker'!$F$5:$F$149,"Next week",'Session Tracker'!$G$5:$G$149,"Tue"),$D236*SUMIFS('Session Tracker'!$J$5:$J$149,'Session Tracker'!$D$5:$D$149,$A236,'Session Tracker'!$F$5:$F$149,"Next week",'Session Tracker'!$G$5:$G$149,"Tue"))</f>
        <v>0</v>
      </c>
      <c r="J236" s="52" t="n">
        <f aca="false">IF($E236="Per class",$D236*COUNTIFS('Session Tracker'!$D$5:$D$149,$A236,'Session Tracker'!$F$5:$F$149,"Next week",'Session Tracker'!$G$5:$G$149,"Wed"),$D236*SUMIFS('Session Tracker'!$J$5:$J$149,'Session Tracker'!$D$5:$D$149,$A236,'Session Tracker'!$F$5:$F$149,"Next week",'Session Tracker'!$G$5:$G$149,"Wed"))</f>
        <v>0</v>
      </c>
      <c r="K236" s="52" t="n">
        <f aca="false">IF($E236="Per class",$D236*COUNTIFS('Session Tracker'!$D$5:$D$149,$A236,'Session Tracker'!$F$5:$F$149,"Next week",'Session Tracker'!$G$5:$G$149,"Thu"),$D236*SUMIFS('Session Tracker'!$J$5:$J$149,'Session Tracker'!$D$5:$D$149,$A236,'Session Tracker'!$F$5:$F$149,"Next week",'Session Tracker'!$G$5:$G$149,"Thu"))</f>
        <v>0</v>
      </c>
      <c r="L236" s="52" t="n">
        <f aca="false">IF($E236="Per class",$D236*COUNTIFS('Session Tracker'!$D$5:$D$149,$A236,'Session Tracker'!$F$5:$F$149,"Next week",'Session Tracker'!$G$5:$G$149,"Fri"),$D236*SUMIFS('Session Tracker'!$J$5:$J$149,'Session Tracker'!$D$5:$D$149,$A236,'Session Tracker'!$F$5:$F$149,"Next week",'Session Tracker'!$G$5:$G$149,"Fri"))</f>
        <v>0</v>
      </c>
      <c r="M236" s="52" t="n">
        <f aca="false">IF($E236="Per class",$D236*COUNTIFS('Session Tracker'!$D$5:$D$149,$A236,'Session Tracker'!$F$5:$F$149,"Next week",'Session Tracker'!$G$5:$G$149,""),$D236*SUMIFS('Session Tracker'!$J$5:$J$149,'Session Tracker'!$D$5:$D$149,$A236,'Session Tracker'!$F$5:$F$149,"Next week",'Session Tracker'!$G$5:$G$149,""))</f>
        <v>0</v>
      </c>
    </row>
    <row r="237" customFormat="false" ht="15" hidden="false" customHeight="false" outlineLevel="0" collapsed="false">
      <c r="A237" s="75" t="s">
        <v>320</v>
      </c>
      <c r="B237" s="34" t="s">
        <v>377</v>
      </c>
      <c r="C237" s="34" t="s">
        <v>378</v>
      </c>
      <c r="D237" s="32" t="n">
        <v>1</v>
      </c>
      <c r="E237" s="32" t="s">
        <v>14</v>
      </c>
      <c r="F237" s="32" t="s">
        <v>368</v>
      </c>
      <c r="G237" s="34" t="s">
        <v>389</v>
      </c>
      <c r="H237" s="52" t="n">
        <f aca="false">IF($E237="Per class",$D237*COUNTIFS('Session Tracker'!$D$5:$D$149,$A237,'Session Tracker'!$F$5:$F$149,"Next week",'Session Tracker'!$G$5:$G$149,"Mon"),$D237*SUMIFS('Session Tracker'!$J$5:$J$149,'Session Tracker'!$D$5:$D$149,$A237,'Session Tracker'!$F$5:$F$149,"Next week",'Session Tracker'!$G$5:$G$149,"Mon"))</f>
        <v>0</v>
      </c>
      <c r="I237" s="52" t="n">
        <f aca="false">IF($E237="Per class",$D237*COUNTIFS('Session Tracker'!$D$5:$D$149,$A237,'Session Tracker'!$F$5:$F$149,"Next week",'Session Tracker'!$G$5:$G$149,"Tue"),$D237*SUMIFS('Session Tracker'!$J$5:$J$149,'Session Tracker'!$D$5:$D$149,$A237,'Session Tracker'!$F$5:$F$149,"Next week",'Session Tracker'!$G$5:$G$149,"Tue"))</f>
        <v>0</v>
      </c>
      <c r="J237" s="52" t="n">
        <f aca="false">IF($E237="Per class",$D237*COUNTIFS('Session Tracker'!$D$5:$D$149,$A237,'Session Tracker'!$F$5:$F$149,"Next week",'Session Tracker'!$G$5:$G$149,"Wed"),$D237*SUMIFS('Session Tracker'!$J$5:$J$149,'Session Tracker'!$D$5:$D$149,$A237,'Session Tracker'!$F$5:$F$149,"Next week",'Session Tracker'!$G$5:$G$149,"Wed"))</f>
        <v>0</v>
      </c>
      <c r="K237" s="52" t="n">
        <f aca="false">IF($E237="Per class",$D237*COUNTIFS('Session Tracker'!$D$5:$D$149,$A237,'Session Tracker'!$F$5:$F$149,"Next week",'Session Tracker'!$G$5:$G$149,"Thu"),$D237*SUMIFS('Session Tracker'!$J$5:$J$149,'Session Tracker'!$D$5:$D$149,$A237,'Session Tracker'!$F$5:$F$149,"Next week",'Session Tracker'!$G$5:$G$149,"Thu"))</f>
        <v>0</v>
      </c>
      <c r="L237" s="52" t="n">
        <f aca="false">IF($E237="Per class",$D237*COUNTIFS('Session Tracker'!$D$5:$D$149,$A237,'Session Tracker'!$F$5:$F$149,"Next week",'Session Tracker'!$G$5:$G$149,"Fri"),$D237*SUMIFS('Session Tracker'!$J$5:$J$149,'Session Tracker'!$D$5:$D$149,$A237,'Session Tracker'!$F$5:$F$149,"Next week",'Session Tracker'!$G$5:$G$149,"Fri"))</f>
        <v>0</v>
      </c>
      <c r="M237" s="52" t="n">
        <f aca="false">IF($E237="Per class",$D237*COUNTIFS('Session Tracker'!$D$5:$D$149,$A237,'Session Tracker'!$F$5:$F$149,"Next week",'Session Tracker'!$G$5:$G$149,""),$D237*SUMIFS('Session Tracker'!$J$5:$J$149,'Session Tracker'!$D$5:$D$149,$A237,'Session Tracker'!$F$5:$F$149,"Next week",'Session Tracker'!$G$5:$G$149,""))</f>
        <v>0</v>
      </c>
    </row>
    <row r="238" customFormat="false" ht="15" hidden="false" customHeight="false" outlineLevel="0" collapsed="false">
      <c r="A238" s="53" t="s">
        <v>320</v>
      </c>
      <c r="B238" s="54"/>
      <c r="C238" s="54"/>
      <c r="D238" s="54"/>
      <c r="E238" s="54"/>
      <c r="F238" s="54"/>
      <c r="G238" s="54"/>
      <c r="H238" s="52" t="n">
        <f aca="false">IF($E238="Per class",$D238*COUNTIFS('Session Tracker'!$D$5:$D$149,$A238,'Session Tracker'!$F$5:$F$149,"Next week",'Session Tracker'!$G$5:$G$149,"Mon"),$D238*SUMIFS('Session Tracker'!$J$5:$J$149,'Session Tracker'!$D$5:$D$149,$A238,'Session Tracker'!$F$5:$F$149,"Next week",'Session Tracker'!$G$5:$G$149,"Mon"))</f>
        <v>0</v>
      </c>
      <c r="I238" s="52" t="n">
        <f aca="false">IF($E238="Per class",$D238*COUNTIFS('Session Tracker'!$D$5:$D$149,$A238,'Session Tracker'!$F$5:$F$149,"Next week",'Session Tracker'!$G$5:$G$149,"Tue"),$D238*SUMIFS('Session Tracker'!$J$5:$J$149,'Session Tracker'!$D$5:$D$149,$A238,'Session Tracker'!$F$5:$F$149,"Next week",'Session Tracker'!$G$5:$G$149,"Tue"))</f>
        <v>0</v>
      </c>
      <c r="J238" s="52" t="n">
        <f aca="false">IF($E238="Per class",$D238*COUNTIFS('Session Tracker'!$D$5:$D$149,$A238,'Session Tracker'!$F$5:$F$149,"Next week",'Session Tracker'!$G$5:$G$149,"Wed"),$D238*SUMIFS('Session Tracker'!$J$5:$J$149,'Session Tracker'!$D$5:$D$149,$A238,'Session Tracker'!$F$5:$F$149,"Next week",'Session Tracker'!$G$5:$G$149,"Wed"))</f>
        <v>0</v>
      </c>
      <c r="K238" s="52" t="n">
        <f aca="false">IF($E238="Per class",$D238*COUNTIFS('Session Tracker'!$D$5:$D$149,$A238,'Session Tracker'!$F$5:$F$149,"Next week",'Session Tracker'!$G$5:$G$149,"Thu"),$D238*SUMIFS('Session Tracker'!$J$5:$J$149,'Session Tracker'!$D$5:$D$149,$A238,'Session Tracker'!$F$5:$F$149,"Next week",'Session Tracker'!$G$5:$G$149,"Thu"))</f>
        <v>0</v>
      </c>
      <c r="L238" s="52" t="n">
        <f aca="false">IF($E238="Per class",$D238*COUNTIFS('Session Tracker'!$D$5:$D$149,$A238,'Session Tracker'!$F$5:$F$149,"Next week",'Session Tracker'!$G$5:$G$149,"Fri"),$D238*SUMIFS('Session Tracker'!$J$5:$J$149,'Session Tracker'!$D$5:$D$149,$A238,'Session Tracker'!$F$5:$F$149,"Next week",'Session Tracker'!$G$5:$G$149,"Fri"))</f>
        <v>0</v>
      </c>
      <c r="M238" s="52" t="n">
        <f aca="false">IF($E238="Per class",$D238*COUNTIFS('Session Tracker'!$D$5:$D$149,$A238,'Session Tracker'!$F$5:$F$149,"Next week",'Session Tracker'!$G$5:$G$149,""),$D238*SUMIFS('Session Tracker'!$J$5:$J$149,'Session Tracker'!$D$5:$D$149,$A238,'Session Tracker'!$F$5:$F$149,"Next week",'Session Tracker'!$G$5:$G$149,""))</f>
        <v>0</v>
      </c>
    </row>
    <row r="239" customFormat="false" ht="15" hidden="false" customHeight="false" outlineLevel="0" collapsed="false">
      <c r="A239" s="53" t="s">
        <v>320</v>
      </c>
      <c r="B239" s="54"/>
      <c r="C239" s="54"/>
      <c r="D239" s="54"/>
      <c r="E239" s="54"/>
      <c r="F239" s="54"/>
      <c r="G239" s="54"/>
      <c r="H239" s="52" t="n">
        <f aca="false">IF($E239="Per class",$D239*COUNTIFS('Session Tracker'!$D$5:$D$149,$A239,'Session Tracker'!$F$5:$F$149,"Next week",'Session Tracker'!$G$5:$G$149,"Mon"),$D239*SUMIFS('Session Tracker'!$J$5:$J$149,'Session Tracker'!$D$5:$D$149,$A239,'Session Tracker'!$F$5:$F$149,"Next week",'Session Tracker'!$G$5:$G$149,"Mon"))</f>
        <v>0</v>
      </c>
      <c r="I239" s="52" t="n">
        <f aca="false">IF($E239="Per class",$D239*COUNTIFS('Session Tracker'!$D$5:$D$149,$A239,'Session Tracker'!$F$5:$F$149,"Next week",'Session Tracker'!$G$5:$G$149,"Tue"),$D239*SUMIFS('Session Tracker'!$J$5:$J$149,'Session Tracker'!$D$5:$D$149,$A239,'Session Tracker'!$F$5:$F$149,"Next week",'Session Tracker'!$G$5:$G$149,"Tue"))</f>
        <v>0</v>
      </c>
      <c r="J239" s="52" t="n">
        <f aca="false">IF($E239="Per class",$D239*COUNTIFS('Session Tracker'!$D$5:$D$149,$A239,'Session Tracker'!$F$5:$F$149,"Next week",'Session Tracker'!$G$5:$G$149,"Wed"),$D239*SUMIFS('Session Tracker'!$J$5:$J$149,'Session Tracker'!$D$5:$D$149,$A239,'Session Tracker'!$F$5:$F$149,"Next week",'Session Tracker'!$G$5:$G$149,"Wed"))</f>
        <v>0</v>
      </c>
      <c r="K239" s="52" t="n">
        <f aca="false">IF($E239="Per class",$D239*COUNTIFS('Session Tracker'!$D$5:$D$149,$A239,'Session Tracker'!$F$5:$F$149,"Next week",'Session Tracker'!$G$5:$G$149,"Thu"),$D239*SUMIFS('Session Tracker'!$J$5:$J$149,'Session Tracker'!$D$5:$D$149,$A239,'Session Tracker'!$F$5:$F$149,"Next week",'Session Tracker'!$G$5:$G$149,"Thu"))</f>
        <v>0</v>
      </c>
      <c r="L239" s="52" t="n">
        <f aca="false">IF($E239="Per class",$D239*COUNTIFS('Session Tracker'!$D$5:$D$149,$A239,'Session Tracker'!$F$5:$F$149,"Next week",'Session Tracker'!$G$5:$G$149,"Fri"),$D239*SUMIFS('Session Tracker'!$J$5:$J$149,'Session Tracker'!$D$5:$D$149,$A239,'Session Tracker'!$F$5:$F$149,"Next week",'Session Tracker'!$G$5:$G$149,"Fri"))</f>
        <v>0</v>
      </c>
      <c r="M239" s="52" t="n">
        <f aca="false">IF($E239="Per class",$D239*COUNTIFS('Session Tracker'!$D$5:$D$149,$A239,'Session Tracker'!$F$5:$F$149,"Next week",'Session Tracker'!$G$5:$G$149,""),$D239*SUMIFS('Session Tracker'!$J$5:$J$149,'Session Tracker'!$D$5:$D$149,$A239,'Session Tracker'!$F$5:$F$149,"Next week",'Session Tracker'!$G$5:$G$149,""))</f>
        <v>0</v>
      </c>
    </row>
    <row r="241" customFormat="false" ht="19.5" hidden="false" customHeight="true" outlineLevel="0" collapsed="false">
      <c r="A241" s="71" t="s">
        <v>322</v>
      </c>
      <c r="B241" s="72" t="s">
        <v>681</v>
      </c>
      <c r="C241" s="72"/>
      <c r="D241" s="72"/>
      <c r="E241" s="72"/>
      <c r="F241" s="73" t="str">
        <f aca="false">"Status: "&amp;'Session Tracker'!F132&amp;IF('Session Tracker'!G132&lt;&gt;""," ("&amp;'Session Tracker'!G132&amp;")","")</f>
        <v>Status: Not started</v>
      </c>
      <c r="G241" s="73"/>
      <c r="H241" s="74"/>
      <c r="I241" s="74"/>
      <c r="J241" s="74"/>
      <c r="K241" s="74"/>
      <c r="L241" s="74"/>
      <c r="M241" s="74"/>
    </row>
    <row r="242" customFormat="false" ht="15" hidden="false" customHeight="false" outlineLevel="0" collapsed="false">
      <c r="A242" s="75" t="s">
        <v>322</v>
      </c>
      <c r="B242" s="34" t="s">
        <v>382</v>
      </c>
      <c r="C242" s="34" t="s">
        <v>383</v>
      </c>
      <c r="D242" s="32" t="n">
        <v>1</v>
      </c>
      <c r="E242" s="32" t="s">
        <v>14</v>
      </c>
      <c r="F242" s="32" t="s">
        <v>368</v>
      </c>
      <c r="G242" s="34"/>
      <c r="H242" s="52" t="n">
        <f aca="false">IF($E242="Per class",$D242*COUNTIFS('Session Tracker'!$D$5:$D$149,$A242,'Session Tracker'!$F$5:$F$149,"Next week",'Session Tracker'!$G$5:$G$149,"Mon"),$D242*SUMIFS('Session Tracker'!$J$5:$J$149,'Session Tracker'!$D$5:$D$149,$A242,'Session Tracker'!$F$5:$F$149,"Next week",'Session Tracker'!$G$5:$G$149,"Mon"))</f>
        <v>0</v>
      </c>
      <c r="I242" s="52" t="n">
        <f aca="false">IF($E242="Per class",$D242*COUNTIFS('Session Tracker'!$D$5:$D$149,$A242,'Session Tracker'!$F$5:$F$149,"Next week",'Session Tracker'!$G$5:$G$149,"Tue"),$D242*SUMIFS('Session Tracker'!$J$5:$J$149,'Session Tracker'!$D$5:$D$149,$A242,'Session Tracker'!$F$5:$F$149,"Next week",'Session Tracker'!$G$5:$G$149,"Tue"))</f>
        <v>0</v>
      </c>
      <c r="J242" s="52" t="n">
        <f aca="false">IF($E242="Per class",$D242*COUNTIFS('Session Tracker'!$D$5:$D$149,$A242,'Session Tracker'!$F$5:$F$149,"Next week",'Session Tracker'!$G$5:$G$149,"Wed"),$D242*SUMIFS('Session Tracker'!$J$5:$J$149,'Session Tracker'!$D$5:$D$149,$A242,'Session Tracker'!$F$5:$F$149,"Next week",'Session Tracker'!$G$5:$G$149,"Wed"))</f>
        <v>0</v>
      </c>
      <c r="K242" s="52" t="n">
        <f aca="false">IF($E242="Per class",$D242*COUNTIFS('Session Tracker'!$D$5:$D$149,$A242,'Session Tracker'!$F$5:$F$149,"Next week",'Session Tracker'!$G$5:$G$149,"Thu"),$D242*SUMIFS('Session Tracker'!$J$5:$J$149,'Session Tracker'!$D$5:$D$149,$A242,'Session Tracker'!$F$5:$F$149,"Next week",'Session Tracker'!$G$5:$G$149,"Thu"))</f>
        <v>0</v>
      </c>
      <c r="L242" s="52" t="n">
        <f aca="false">IF($E242="Per class",$D242*COUNTIFS('Session Tracker'!$D$5:$D$149,$A242,'Session Tracker'!$F$5:$F$149,"Next week",'Session Tracker'!$G$5:$G$149,"Fri"),$D242*SUMIFS('Session Tracker'!$J$5:$J$149,'Session Tracker'!$D$5:$D$149,$A242,'Session Tracker'!$F$5:$F$149,"Next week",'Session Tracker'!$G$5:$G$149,"Fri"))</f>
        <v>0</v>
      </c>
      <c r="M242" s="52" t="n">
        <f aca="false">IF($E242="Per class",$D242*COUNTIFS('Session Tracker'!$D$5:$D$149,$A242,'Session Tracker'!$F$5:$F$149,"Next week",'Session Tracker'!$G$5:$G$149,""),$D242*SUMIFS('Session Tracker'!$J$5:$J$149,'Session Tracker'!$D$5:$D$149,$A242,'Session Tracker'!$F$5:$F$149,"Next week",'Session Tracker'!$G$5:$G$149,""))</f>
        <v>0</v>
      </c>
    </row>
    <row r="243" customFormat="false" ht="15" hidden="false" customHeight="false" outlineLevel="0" collapsed="false">
      <c r="A243" s="75" t="s">
        <v>322</v>
      </c>
      <c r="B243" s="34" t="s">
        <v>382</v>
      </c>
      <c r="C243" s="34" t="s">
        <v>401</v>
      </c>
      <c r="D243" s="32" t="n">
        <v>1</v>
      </c>
      <c r="E243" s="32" t="s">
        <v>16</v>
      </c>
      <c r="F243" s="32" t="s">
        <v>368</v>
      </c>
      <c r="G243" s="34"/>
      <c r="H243" s="52" t="n">
        <f aca="false">IF($E243="Per class",$D243*COUNTIFS('Session Tracker'!$D$5:$D$149,$A243,'Session Tracker'!$F$5:$F$149,"Next week",'Session Tracker'!$G$5:$G$149,"Mon"),$D243*SUMIFS('Session Tracker'!$J$5:$J$149,'Session Tracker'!$D$5:$D$149,$A243,'Session Tracker'!$F$5:$F$149,"Next week",'Session Tracker'!$G$5:$G$149,"Mon"))</f>
        <v>0</v>
      </c>
      <c r="I243" s="52" t="n">
        <f aca="false">IF($E243="Per class",$D243*COUNTIFS('Session Tracker'!$D$5:$D$149,$A243,'Session Tracker'!$F$5:$F$149,"Next week",'Session Tracker'!$G$5:$G$149,"Tue"),$D243*SUMIFS('Session Tracker'!$J$5:$J$149,'Session Tracker'!$D$5:$D$149,$A243,'Session Tracker'!$F$5:$F$149,"Next week",'Session Tracker'!$G$5:$G$149,"Tue"))</f>
        <v>0</v>
      </c>
      <c r="J243" s="52" t="n">
        <f aca="false">IF($E243="Per class",$D243*COUNTIFS('Session Tracker'!$D$5:$D$149,$A243,'Session Tracker'!$F$5:$F$149,"Next week",'Session Tracker'!$G$5:$G$149,"Wed"),$D243*SUMIFS('Session Tracker'!$J$5:$J$149,'Session Tracker'!$D$5:$D$149,$A243,'Session Tracker'!$F$5:$F$149,"Next week",'Session Tracker'!$G$5:$G$149,"Wed"))</f>
        <v>0</v>
      </c>
      <c r="K243" s="52" t="n">
        <f aca="false">IF($E243="Per class",$D243*COUNTIFS('Session Tracker'!$D$5:$D$149,$A243,'Session Tracker'!$F$5:$F$149,"Next week",'Session Tracker'!$G$5:$G$149,"Thu"),$D243*SUMIFS('Session Tracker'!$J$5:$J$149,'Session Tracker'!$D$5:$D$149,$A243,'Session Tracker'!$F$5:$F$149,"Next week",'Session Tracker'!$G$5:$G$149,"Thu"))</f>
        <v>0</v>
      </c>
      <c r="L243" s="52" t="n">
        <f aca="false">IF($E243="Per class",$D243*COUNTIFS('Session Tracker'!$D$5:$D$149,$A243,'Session Tracker'!$F$5:$F$149,"Next week",'Session Tracker'!$G$5:$G$149,"Fri"),$D243*SUMIFS('Session Tracker'!$J$5:$J$149,'Session Tracker'!$D$5:$D$149,$A243,'Session Tracker'!$F$5:$F$149,"Next week",'Session Tracker'!$G$5:$G$149,"Fri"))</f>
        <v>0</v>
      </c>
      <c r="M243" s="52" t="n">
        <f aca="false">IF($E243="Per class",$D243*COUNTIFS('Session Tracker'!$D$5:$D$149,$A243,'Session Tracker'!$F$5:$F$149,"Next week",'Session Tracker'!$G$5:$G$149,""),$D243*SUMIFS('Session Tracker'!$J$5:$J$149,'Session Tracker'!$D$5:$D$149,$A243,'Session Tracker'!$F$5:$F$149,"Next week",'Session Tracker'!$G$5:$G$149,""))</f>
        <v>0</v>
      </c>
    </row>
    <row r="244" customFormat="false" ht="15" hidden="false" customHeight="false" outlineLevel="0" collapsed="false">
      <c r="A244" s="75" t="s">
        <v>322</v>
      </c>
      <c r="B244" s="34" t="s">
        <v>382</v>
      </c>
      <c r="C244" s="34" t="s">
        <v>402</v>
      </c>
      <c r="D244" s="32" t="n">
        <v>1</v>
      </c>
      <c r="E244" s="32" t="s">
        <v>16</v>
      </c>
      <c r="F244" s="32" t="s">
        <v>373</v>
      </c>
      <c r="G244" s="34"/>
      <c r="H244" s="52" t="n">
        <f aca="false">IF($E244="Per class",$D244*COUNTIFS('Session Tracker'!$D$5:$D$149,$A244,'Session Tracker'!$F$5:$F$149,"Next week",'Session Tracker'!$G$5:$G$149,"Mon"),$D244*SUMIFS('Session Tracker'!$J$5:$J$149,'Session Tracker'!$D$5:$D$149,$A244,'Session Tracker'!$F$5:$F$149,"Next week",'Session Tracker'!$G$5:$G$149,"Mon"))</f>
        <v>0</v>
      </c>
      <c r="I244" s="52" t="n">
        <f aca="false">IF($E244="Per class",$D244*COUNTIFS('Session Tracker'!$D$5:$D$149,$A244,'Session Tracker'!$F$5:$F$149,"Next week",'Session Tracker'!$G$5:$G$149,"Tue"),$D244*SUMIFS('Session Tracker'!$J$5:$J$149,'Session Tracker'!$D$5:$D$149,$A244,'Session Tracker'!$F$5:$F$149,"Next week",'Session Tracker'!$G$5:$G$149,"Tue"))</f>
        <v>0</v>
      </c>
      <c r="J244" s="52" t="n">
        <f aca="false">IF($E244="Per class",$D244*COUNTIFS('Session Tracker'!$D$5:$D$149,$A244,'Session Tracker'!$F$5:$F$149,"Next week",'Session Tracker'!$G$5:$G$149,"Wed"),$D244*SUMIFS('Session Tracker'!$J$5:$J$149,'Session Tracker'!$D$5:$D$149,$A244,'Session Tracker'!$F$5:$F$149,"Next week",'Session Tracker'!$G$5:$G$149,"Wed"))</f>
        <v>0</v>
      </c>
      <c r="K244" s="52" t="n">
        <f aca="false">IF($E244="Per class",$D244*COUNTIFS('Session Tracker'!$D$5:$D$149,$A244,'Session Tracker'!$F$5:$F$149,"Next week",'Session Tracker'!$G$5:$G$149,"Thu"),$D244*SUMIFS('Session Tracker'!$J$5:$J$149,'Session Tracker'!$D$5:$D$149,$A244,'Session Tracker'!$F$5:$F$149,"Next week",'Session Tracker'!$G$5:$G$149,"Thu"))</f>
        <v>0</v>
      </c>
      <c r="L244" s="52" t="n">
        <f aca="false">IF($E244="Per class",$D244*COUNTIFS('Session Tracker'!$D$5:$D$149,$A244,'Session Tracker'!$F$5:$F$149,"Next week",'Session Tracker'!$G$5:$G$149,"Fri"),$D244*SUMIFS('Session Tracker'!$J$5:$J$149,'Session Tracker'!$D$5:$D$149,$A244,'Session Tracker'!$F$5:$F$149,"Next week",'Session Tracker'!$G$5:$G$149,"Fri"))</f>
        <v>0</v>
      </c>
      <c r="M244" s="52" t="n">
        <f aca="false">IF($E244="Per class",$D244*COUNTIFS('Session Tracker'!$D$5:$D$149,$A244,'Session Tracker'!$F$5:$F$149,"Next week",'Session Tracker'!$G$5:$G$149,""),$D244*SUMIFS('Session Tracker'!$J$5:$J$149,'Session Tracker'!$D$5:$D$149,$A244,'Session Tracker'!$F$5:$F$149,"Next week",'Session Tracker'!$G$5:$G$149,""))</f>
        <v>0</v>
      </c>
    </row>
    <row r="245" customFormat="false" ht="15" hidden="false" customHeight="false" outlineLevel="0" collapsed="false">
      <c r="A245" s="53" t="s">
        <v>322</v>
      </c>
      <c r="B245" s="54"/>
      <c r="C245" s="54"/>
      <c r="D245" s="54"/>
      <c r="E245" s="54"/>
      <c r="F245" s="54"/>
      <c r="G245" s="54"/>
      <c r="H245" s="52" t="n">
        <f aca="false">IF($E245="Per class",$D245*COUNTIFS('Session Tracker'!$D$5:$D$149,$A245,'Session Tracker'!$F$5:$F$149,"Next week",'Session Tracker'!$G$5:$G$149,"Mon"),$D245*SUMIFS('Session Tracker'!$J$5:$J$149,'Session Tracker'!$D$5:$D$149,$A245,'Session Tracker'!$F$5:$F$149,"Next week",'Session Tracker'!$G$5:$G$149,"Mon"))</f>
        <v>0</v>
      </c>
      <c r="I245" s="52" t="n">
        <f aca="false">IF($E245="Per class",$D245*COUNTIFS('Session Tracker'!$D$5:$D$149,$A245,'Session Tracker'!$F$5:$F$149,"Next week",'Session Tracker'!$G$5:$G$149,"Tue"),$D245*SUMIFS('Session Tracker'!$J$5:$J$149,'Session Tracker'!$D$5:$D$149,$A245,'Session Tracker'!$F$5:$F$149,"Next week",'Session Tracker'!$G$5:$G$149,"Tue"))</f>
        <v>0</v>
      </c>
      <c r="J245" s="52" t="n">
        <f aca="false">IF($E245="Per class",$D245*COUNTIFS('Session Tracker'!$D$5:$D$149,$A245,'Session Tracker'!$F$5:$F$149,"Next week",'Session Tracker'!$G$5:$G$149,"Wed"),$D245*SUMIFS('Session Tracker'!$J$5:$J$149,'Session Tracker'!$D$5:$D$149,$A245,'Session Tracker'!$F$5:$F$149,"Next week",'Session Tracker'!$G$5:$G$149,"Wed"))</f>
        <v>0</v>
      </c>
      <c r="K245" s="52" t="n">
        <f aca="false">IF($E245="Per class",$D245*COUNTIFS('Session Tracker'!$D$5:$D$149,$A245,'Session Tracker'!$F$5:$F$149,"Next week",'Session Tracker'!$G$5:$G$149,"Thu"),$D245*SUMIFS('Session Tracker'!$J$5:$J$149,'Session Tracker'!$D$5:$D$149,$A245,'Session Tracker'!$F$5:$F$149,"Next week",'Session Tracker'!$G$5:$G$149,"Thu"))</f>
        <v>0</v>
      </c>
      <c r="L245" s="52" t="n">
        <f aca="false">IF($E245="Per class",$D245*COUNTIFS('Session Tracker'!$D$5:$D$149,$A245,'Session Tracker'!$F$5:$F$149,"Next week",'Session Tracker'!$G$5:$G$149,"Fri"),$D245*SUMIFS('Session Tracker'!$J$5:$J$149,'Session Tracker'!$D$5:$D$149,$A245,'Session Tracker'!$F$5:$F$149,"Next week",'Session Tracker'!$G$5:$G$149,"Fri"))</f>
        <v>0</v>
      </c>
      <c r="M245" s="52" t="n">
        <f aca="false">IF($E245="Per class",$D245*COUNTIFS('Session Tracker'!$D$5:$D$149,$A245,'Session Tracker'!$F$5:$F$149,"Next week",'Session Tracker'!$G$5:$G$149,""),$D245*SUMIFS('Session Tracker'!$J$5:$J$149,'Session Tracker'!$D$5:$D$149,$A245,'Session Tracker'!$F$5:$F$149,"Next week",'Session Tracker'!$G$5:$G$149,""))</f>
        <v>0</v>
      </c>
    </row>
    <row r="246" customFormat="false" ht="15" hidden="false" customHeight="false" outlineLevel="0" collapsed="false">
      <c r="A246" s="53" t="s">
        <v>322</v>
      </c>
      <c r="B246" s="54"/>
      <c r="C246" s="54"/>
      <c r="D246" s="54"/>
      <c r="E246" s="54"/>
      <c r="F246" s="54"/>
      <c r="G246" s="54"/>
      <c r="H246" s="52" t="n">
        <f aca="false">IF($E246="Per class",$D246*COUNTIFS('Session Tracker'!$D$5:$D$149,$A246,'Session Tracker'!$F$5:$F$149,"Next week",'Session Tracker'!$G$5:$G$149,"Mon"),$D246*SUMIFS('Session Tracker'!$J$5:$J$149,'Session Tracker'!$D$5:$D$149,$A246,'Session Tracker'!$F$5:$F$149,"Next week",'Session Tracker'!$G$5:$G$149,"Mon"))</f>
        <v>0</v>
      </c>
      <c r="I246" s="52" t="n">
        <f aca="false">IF($E246="Per class",$D246*COUNTIFS('Session Tracker'!$D$5:$D$149,$A246,'Session Tracker'!$F$5:$F$149,"Next week",'Session Tracker'!$G$5:$G$149,"Tue"),$D246*SUMIFS('Session Tracker'!$J$5:$J$149,'Session Tracker'!$D$5:$D$149,$A246,'Session Tracker'!$F$5:$F$149,"Next week",'Session Tracker'!$G$5:$G$149,"Tue"))</f>
        <v>0</v>
      </c>
      <c r="J246" s="52" t="n">
        <f aca="false">IF($E246="Per class",$D246*COUNTIFS('Session Tracker'!$D$5:$D$149,$A246,'Session Tracker'!$F$5:$F$149,"Next week",'Session Tracker'!$G$5:$G$149,"Wed"),$D246*SUMIFS('Session Tracker'!$J$5:$J$149,'Session Tracker'!$D$5:$D$149,$A246,'Session Tracker'!$F$5:$F$149,"Next week",'Session Tracker'!$G$5:$G$149,"Wed"))</f>
        <v>0</v>
      </c>
      <c r="K246" s="52" t="n">
        <f aca="false">IF($E246="Per class",$D246*COUNTIFS('Session Tracker'!$D$5:$D$149,$A246,'Session Tracker'!$F$5:$F$149,"Next week",'Session Tracker'!$G$5:$G$149,"Thu"),$D246*SUMIFS('Session Tracker'!$J$5:$J$149,'Session Tracker'!$D$5:$D$149,$A246,'Session Tracker'!$F$5:$F$149,"Next week",'Session Tracker'!$G$5:$G$149,"Thu"))</f>
        <v>0</v>
      </c>
      <c r="L246" s="52" t="n">
        <f aca="false">IF($E246="Per class",$D246*COUNTIFS('Session Tracker'!$D$5:$D$149,$A246,'Session Tracker'!$F$5:$F$149,"Next week",'Session Tracker'!$G$5:$G$149,"Fri"),$D246*SUMIFS('Session Tracker'!$J$5:$J$149,'Session Tracker'!$D$5:$D$149,$A246,'Session Tracker'!$F$5:$F$149,"Next week",'Session Tracker'!$G$5:$G$149,"Fri"))</f>
        <v>0</v>
      </c>
      <c r="M246" s="52" t="n">
        <f aca="false">IF($E246="Per class",$D246*COUNTIFS('Session Tracker'!$D$5:$D$149,$A246,'Session Tracker'!$F$5:$F$149,"Next week",'Session Tracker'!$G$5:$G$149,""),$D246*SUMIFS('Session Tracker'!$J$5:$J$149,'Session Tracker'!$D$5:$D$149,$A246,'Session Tracker'!$F$5:$F$149,"Next week",'Session Tracker'!$G$5:$G$149,""))</f>
        <v>0</v>
      </c>
    </row>
    <row r="248" customFormat="false" ht="19.5" hidden="false" customHeight="true" outlineLevel="0" collapsed="false">
      <c r="A248" s="71" t="s">
        <v>324</v>
      </c>
      <c r="B248" s="72" t="s">
        <v>682</v>
      </c>
      <c r="C248" s="72"/>
      <c r="D248" s="72"/>
      <c r="E248" s="72"/>
      <c r="F248" s="73" t="str">
        <f aca="false">"Status: "&amp;'Session Tracker'!F133&amp;IF('Session Tracker'!G133&lt;&gt;""," ("&amp;'Session Tracker'!G133&amp;")","")</f>
        <v>Status: Not started</v>
      </c>
      <c r="G248" s="73"/>
      <c r="H248" s="74"/>
      <c r="I248" s="74"/>
      <c r="J248" s="74"/>
      <c r="K248" s="74"/>
      <c r="L248" s="74"/>
      <c r="M248" s="74"/>
    </row>
    <row r="249" customFormat="false" ht="23.85" hidden="false" customHeight="false" outlineLevel="0" collapsed="false">
      <c r="A249" s="75" t="s">
        <v>324</v>
      </c>
      <c r="B249" s="34" t="s">
        <v>366</v>
      </c>
      <c r="C249" s="34" t="s">
        <v>367</v>
      </c>
      <c r="D249" s="32" t="n">
        <v>1</v>
      </c>
      <c r="E249" s="32" t="s">
        <v>14</v>
      </c>
      <c r="F249" s="32" t="s">
        <v>368</v>
      </c>
      <c r="G249" s="34"/>
      <c r="H249" s="52" t="n">
        <f aca="false">IF($E249="Per class",$D249*COUNTIFS('Session Tracker'!$D$5:$D$149,$A249,'Session Tracker'!$F$5:$F$149,"Next week",'Session Tracker'!$G$5:$G$149,"Mon"),$D249*SUMIFS('Session Tracker'!$J$5:$J$149,'Session Tracker'!$D$5:$D$149,$A249,'Session Tracker'!$F$5:$F$149,"Next week",'Session Tracker'!$G$5:$G$149,"Mon"))</f>
        <v>0</v>
      </c>
      <c r="I249" s="52" t="n">
        <f aca="false">IF($E249="Per class",$D249*COUNTIFS('Session Tracker'!$D$5:$D$149,$A249,'Session Tracker'!$F$5:$F$149,"Next week",'Session Tracker'!$G$5:$G$149,"Tue"),$D249*SUMIFS('Session Tracker'!$J$5:$J$149,'Session Tracker'!$D$5:$D$149,$A249,'Session Tracker'!$F$5:$F$149,"Next week",'Session Tracker'!$G$5:$G$149,"Tue"))</f>
        <v>0</v>
      </c>
      <c r="J249" s="52" t="n">
        <f aca="false">IF($E249="Per class",$D249*COUNTIFS('Session Tracker'!$D$5:$D$149,$A249,'Session Tracker'!$F$5:$F$149,"Next week",'Session Tracker'!$G$5:$G$149,"Wed"),$D249*SUMIFS('Session Tracker'!$J$5:$J$149,'Session Tracker'!$D$5:$D$149,$A249,'Session Tracker'!$F$5:$F$149,"Next week",'Session Tracker'!$G$5:$G$149,"Wed"))</f>
        <v>0</v>
      </c>
      <c r="K249" s="52" t="n">
        <f aca="false">IF($E249="Per class",$D249*COUNTIFS('Session Tracker'!$D$5:$D$149,$A249,'Session Tracker'!$F$5:$F$149,"Next week",'Session Tracker'!$G$5:$G$149,"Thu"),$D249*SUMIFS('Session Tracker'!$J$5:$J$149,'Session Tracker'!$D$5:$D$149,$A249,'Session Tracker'!$F$5:$F$149,"Next week",'Session Tracker'!$G$5:$G$149,"Thu"))</f>
        <v>0</v>
      </c>
      <c r="L249" s="52" t="n">
        <f aca="false">IF($E249="Per class",$D249*COUNTIFS('Session Tracker'!$D$5:$D$149,$A249,'Session Tracker'!$F$5:$F$149,"Next week",'Session Tracker'!$G$5:$G$149,"Fri"),$D249*SUMIFS('Session Tracker'!$J$5:$J$149,'Session Tracker'!$D$5:$D$149,$A249,'Session Tracker'!$F$5:$F$149,"Next week",'Session Tracker'!$G$5:$G$149,"Fri"))</f>
        <v>0</v>
      </c>
      <c r="M249" s="52" t="n">
        <f aca="false">IF($E249="Per class",$D249*COUNTIFS('Session Tracker'!$D$5:$D$149,$A249,'Session Tracker'!$F$5:$F$149,"Next week",'Session Tracker'!$G$5:$G$149,""),$D249*SUMIFS('Session Tracker'!$J$5:$J$149,'Session Tracker'!$D$5:$D$149,$A249,'Session Tracker'!$F$5:$F$149,"Next week",'Session Tracker'!$G$5:$G$149,""))</f>
        <v>0</v>
      </c>
    </row>
    <row r="250" customFormat="false" ht="15" hidden="false" customHeight="false" outlineLevel="0" collapsed="false">
      <c r="A250" s="75" t="s">
        <v>324</v>
      </c>
      <c r="B250" s="34" t="s">
        <v>369</v>
      </c>
      <c r="C250" s="34" t="s">
        <v>560</v>
      </c>
      <c r="D250" s="32" t="n">
        <v>1</v>
      </c>
      <c r="E250" s="32" t="s">
        <v>14</v>
      </c>
      <c r="F250" s="32" t="s">
        <v>368</v>
      </c>
      <c r="G250" s="34"/>
      <c r="H250" s="52" t="n">
        <f aca="false">IF($E250="Per class",$D250*COUNTIFS('Session Tracker'!$D$5:$D$149,$A250,'Session Tracker'!$F$5:$F$149,"Next week",'Session Tracker'!$G$5:$G$149,"Mon"),$D250*SUMIFS('Session Tracker'!$J$5:$J$149,'Session Tracker'!$D$5:$D$149,$A250,'Session Tracker'!$F$5:$F$149,"Next week",'Session Tracker'!$G$5:$G$149,"Mon"))</f>
        <v>0</v>
      </c>
      <c r="I250" s="52" t="n">
        <f aca="false">IF($E250="Per class",$D250*COUNTIFS('Session Tracker'!$D$5:$D$149,$A250,'Session Tracker'!$F$5:$F$149,"Next week",'Session Tracker'!$G$5:$G$149,"Tue"),$D250*SUMIFS('Session Tracker'!$J$5:$J$149,'Session Tracker'!$D$5:$D$149,$A250,'Session Tracker'!$F$5:$F$149,"Next week",'Session Tracker'!$G$5:$G$149,"Tue"))</f>
        <v>0</v>
      </c>
      <c r="J250" s="52" t="n">
        <f aca="false">IF($E250="Per class",$D250*COUNTIFS('Session Tracker'!$D$5:$D$149,$A250,'Session Tracker'!$F$5:$F$149,"Next week",'Session Tracker'!$G$5:$G$149,"Wed"),$D250*SUMIFS('Session Tracker'!$J$5:$J$149,'Session Tracker'!$D$5:$D$149,$A250,'Session Tracker'!$F$5:$F$149,"Next week",'Session Tracker'!$G$5:$G$149,"Wed"))</f>
        <v>0</v>
      </c>
      <c r="K250" s="52" t="n">
        <f aca="false">IF($E250="Per class",$D250*COUNTIFS('Session Tracker'!$D$5:$D$149,$A250,'Session Tracker'!$F$5:$F$149,"Next week",'Session Tracker'!$G$5:$G$149,"Thu"),$D250*SUMIFS('Session Tracker'!$J$5:$J$149,'Session Tracker'!$D$5:$D$149,$A250,'Session Tracker'!$F$5:$F$149,"Next week",'Session Tracker'!$G$5:$G$149,"Thu"))</f>
        <v>0</v>
      </c>
      <c r="L250" s="52" t="n">
        <f aca="false">IF($E250="Per class",$D250*COUNTIFS('Session Tracker'!$D$5:$D$149,$A250,'Session Tracker'!$F$5:$F$149,"Next week",'Session Tracker'!$G$5:$G$149,"Fri"),$D250*SUMIFS('Session Tracker'!$J$5:$J$149,'Session Tracker'!$D$5:$D$149,$A250,'Session Tracker'!$F$5:$F$149,"Next week",'Session Tracker'!$G$5:$G$149,"Fri"))</f>
        <v>0</v>
      </c>
      <c r="M250" s="52" t="n">
        <f aca="false">IF($E250="Per class",$D250*COUNTIFS('Session Tracker'!$D$5:$D$149,$A250,'Session Tracker'!$F$5:$F$149,"Next week",'Session Tracker'!$G$5:$G$149,""),$D250*SUMIFS('Session Tracker'!$J$5:$J$149,'Session Tracker'!$D$5:$D$149,$A250,'Session Tracker'!$F$5:$F$149,"Next week",'Session Tracker'!$G$5:$G$149,""))</f>
        <v>0</v>
      </c>
    </row>
    <row r="251" customFormat="false" ht="15" hidden="false" customHeight="false" outlineLevel="0" collapsed="false">
      <c r="A251" s="75" t="s">
        <v>324</v>
      </c>
      <c r="B251" s="34" t="s">
        <v>375</v>
      </c>
      <c r="C251" s="34" t="s">
        <v>385</v>
      </c>
      <c r="D251" s="32" t="n">
        <v>2</v>
      </c>
      <c r="E251" s="32" t="s">
        <v>14</v>
      </c>
      <c r="F251" s="32" t="s">
        <v>368</v>
      </c>
      <c r="G251" s="34"/>
      <c r="H251" s="52" t="n">
        <f aca="false">IF($E251="Per class",$D251*COUNTIFS('Session Tracker'!$D$5:$D$149,$A251,'Session Tracker'!$F$5:$F$149,"Next week",'Session Tracker'!$G$5:$G$149,"Mon"),$D251*SUMIFS('Session Tracker'!$J$5:$J$149,'Session Tracker'!$D$5:$D$149,$A251,'Session Tracker'!$F$5:$F$149,"Next week",'Session Tracker'!$G$5:$G$149,"Mon"))</f>
        <v>0</v>
      </c>
      <c r="I251" s="52" t="n">
        <f aca="false">IF($E251="Per class",$D251*COUNTIFS('Session Tracker'!$D$5:$D$149,$A251,'Session Tracker'!$F$5:$F$149,"Next week",'Session Tracker'!$G$5:$G$149,"Tue"),$D251*SUMIFS('Session Tracker'!$J$5:$J$149,'Session Tracker'!$D$5:$D$149,$A251,'Session Tracker'!$F$5:$F$149,"Next week",'Session Tracker'!$G$5:$G$149,"Tue"))</f>
        <v>0</v>
      </c>
      <c r="J251" s="52" t="n">
        <f aca="false">IF($E251="Per class",$D251*COUNTIFS('Session Tracker'!$D$5:$D$149,$A251,'Session Tracker'!$F$5:$F$149,"Next week",'Session Tracker'!$G$5:$G$149,"Wed"),$D251*SUMIFS('Session Tracker'!$J$5:$J$149,'Session Tracker'!$D$5:$D$149,$A251,'Session Tracker'!$F$5:$F$149,"Next week",'Session Tracker'!$G$5:$G$149,"Wed"))</f>
        <v>0</v>
      </c>
      <c r="K251" s="52" t="n">
        <f aca="false">IF($E251="Per class",$D251*COUNTIFS('Session Tracker'!$D$5:$D$149,$A251,'Session Tracker'!$F$5:$F$149,"Next week",'Session Tracker'!$G$5:$G$149,"Thu"),$D251*SUMIFS('Session Tracker'!$J$5:$J$149,'Session Tracker'!$D$5:$D$149,$A251,'Session Tracker'!$F$5:$F$149,"Next week",'Session Tracker'!$G$5:$G$149,"Thu"))</f>
        <v>0</v>
      </c>
      <c r="L251" s="52" t="n">
        <f aca="false">IF($E251="Per class",$D251*COUNTIFS('Session Tracker'!$D$5:$D$149,$A251,'Session Tracker'!$F$5:$F$149,"Next week",'Session Tracker'!$G$5:$G$149,"Fri"),$D251*SUMIFS('Session Tracker'!$J$5:$J$149,'Session Tracker'!$D$5:$D$149,$A251,'Session Tracker'!$F$5:$F$149,"Next week",'Session Tracker'!$G$5:$G$149,"Fri"))</f>
        <v>0</v>
      </c>
      <c r="M251" s="52" t="n">
        <f aca="false">IF($E251="Per class",$D251*COUNTIFS('Session Tracker'!$D$5:$D$149,$A251,'Session Tracker'!$F$5:$F$149,"Next week",'Session Tracker'!$G$5:$G$149,""),$D251*SUMIFS('Session Tracker'!$J$5:$J$149,'Session Tracker'!$D$5:$D$149,$A251,'Session Tracker'!$F$5:$F$149,"Next week",'Session Tracker'!$G$5:$G$149,""))</f>
        <v>0</v>
      </c>
    </row>
    <row r="252" customFormat="false" ht="15" hidden="false" customHeight="false" outlineLevel="0" collapsed="false">
      <c r="A252" s="75" t="s">
        <v>324</v>
      </c>
      <c r="B252" s="34" t="s">
        <v>375</v>
      </c>
      <c r="C252" s="34" t="s">
        <v>417</v>
      </c>
      <c r="D252" s="32" t="n">
        <v>2</v>
      </c>
      <c r="E252" s="32" t="s">
        <v>14</v>
      </c>
      <c r="F252" s="32" t="s">
        <v>373</v>
      </c>
      <c r="G252" s="34"/>
      <c r="H252" s="52" t="n">
        <f aca="false">IF($E252="Per class",$D252*COUNTIFS('Session Tracker'!$D$5:$D$149,$A252,'Session Tracker'!$F$5:$F$149,"Next week",'Session Tracker'!$G$5:$G$149,"Mon"),$D252*SUMIFS('Session Tracker'!$J$5:$J$149,'Session Tracker'!$D$5:$D$149,$A252,'Session Tracker'!$F$5:$F$149,"Next week",'Session Tracker'!$G$5:$G$149,"Mon"))</f>
        <v>0</v>
      </c>
      <c r="I252" s="52" t="n">
        <f aca="false">IF($E252="Per class",$D252*COUNTIFS('Session Tracker'!$D$5:$D$149,$A252,'Session Tracker'!$F$5:$F$149,"Next week",'Session Tracker'!$G$5:$G$149,"Tue"),$D252*SUMIFS('Session Tracker'!$J$5:$J$149,'Session Tracker'!$D$5:$D$149,$A252,'Session Tracker'!$F$5:$F$149,"Next week",'Session Tracker'!$G$5:$G$149,"Tue"))</f>
        <v>0</v>
      </c>
      <c r="J252" s="52" t="n">
        <f aca="false">IF($E252="Per class",$D252*COUNTIFS('Session Tracker'!$D$5:$D$149,$A252,'Session Tracker'!$F$5:$F$149,"Next week",'Session Tracker'!$G$5:$G$149,"Wed"),$D252*SUMIFS('Session Tracker'!$J$5:$J$149,'Session Tracker'!$D$5:$D$149,$A252,'Session Tracker'!$F$5:$F$149,"Next week",'Session Tracker'!$G$5:$G$149,"Wed"))</f>
        <v>0</v>
      </c>
      <c r="K252" s="52" t="n">
        <f aca="false">IF($E252="Per class",$D252*COUNTIFS('Session Tracker'!$D$5:$D$149,$A252,'Session Tracker'!$F$5:$F$149,"Next week",'Session Tracker'!$G$5:$G$149,"Thu"),$D252*SUMIFS('Session Tracker'!$J$5:$J$149,'Session Tracker'!$D$5:$D$149,$A252,'Session Tracker'!$F$5:$F$149,"Next week",'Session Tracker'!$G$5:$G$149,"Thu"))</f>
        <v>0</v>
      </c>
      <c r="L252" s="52" t="n">
        <f aca="false">IF($E252="Per class",$D252*COUNTIFS('Session Tracker'!$D$5:$D$149,$A252,'Session Tracker'!$F$5:$F$149,"Next week",'Session Tracker'!$G$5:$G$149,"Fri"),$D252*SUMIFS('Session Tracker'!$J$5:$J$149,'Session Tracker'!$D$5:$D$149,$A252,'Session Tracker'!$F$5:$F$149,"Next week",'Session Tracker'!$G$5:$G$149,"Fri"))</f>
        <v>0</v>
      </c>
      <c r="M252" s="52" t="n">
        <f aca="false">IF($E252="Per class",$D252*COUNTIFS('Session Tracker'!$D$5:$D$149,$A252,'Session Tracker'!$F$5:$F$149,"Next week",'Session Tracker'!$G$5:$G$149,""),$D252*SUMIFS('Session Tracker'!$J$5:$J$149,'Session Tracker'!$D$5:$D$149,$A252,'Session Tracker'!$F$5:$F$149,"Next week",'Session Tracker'!$G$5:$G$149,""))</f>
        <v>0</v>
      </c>
    </row>
    <row r="253" customFormat="false" ht="15" hidden="false" customHeight="false" outlineLevel="0" collapsed="false">
      <c r="A253" s="75" t="s">
        <v>324</v>
      </c>
      <c r="B253" s="34" t="s">
        <v>379</v>
      </c>
      <c r="C253" s="34" t="s">
        <v>380</v>
      </c>
      <c r="D253" s="32" t="n">
        <v>1</v>
      </c>
      <c r="E253" s="32" t="s">
        <v>14</v>
      </c>
      <c r="F253" s="32" t="s">
        <v>368</v>
      </c>
      <c r="G253" s="34"/>
      <c r="H253" s="52" t="n">
        <f aca="false">IF($E253="Per class",$D253*COUNTIFS('Session Tracker'!$D$5:$D$149,$A253,'Session Tracker'!$F$5:$F$149,"Next week",'Session Tracker'!$G$5:$G$149,"Mon"),$D253*SUMIFS('Session Tracker'!$J$5:$J$149,'Session Tracker'!$D$5:$D$149,$A253,'Session Tracker'!$F$5:$F$149,"Next week",'Session Tracker'!$G$5:$G$149,"Mon"))</f>
        <v>0</v>
      </c>
      <c r="I253" s="52" t="n">
        <f aca="false">IF($E253="Per class",$D253*COUNTIFS('Session Tracker'!$D$5:$D$149,$A253,'Session Tracker'!$F$5:$F$149,"Next week",'Session Tracker'!$G$5:$G$149,"Tue"),$D253*SUMIFS('Session Tracker'!$J$5:$J$149,'Session Tracker'!$D$5:$D$149,$A253,'Session Tracker'!$F$5:$F$149,"Next week",'Session Tracker'!$G$5:$G$149,"Tue"))</f>
        <v>0</v>
      </c>
      <c r="J253" s="52" t="n">
        <f aca="false">IF($E253="Per class",$D253*COUNTIFS('Session Tracker'!$D$5:$D$149,$A253,'Session Tracker'!$F$5:$F$149,"Next week",'Session Tracker'!$G$5:$G$149,"Wed"),$D253*SUMIFS('Session Tracker'!$J$5:$J$149,'Session Tracker'!$D$5:$D$149,$A253,'Session Tracker'!$F$5:$F$149,"Next week",'Session Tracker'!$G$5:$G$149,"Wed"))</f>
        <v>0</v>
      </c>
      <c r="K253" s="52" t="n">
        <f aca="false">IF($E253="Per class",$D253*COUNTIFS('Session Tracker'!$D$5:$D$149,$A253,'Session Tracker'!$F$5:$F$149,"Next week",'Session Tracker'!$G$5:$G$149,"Thu"),$D253*SUMIFS('Session Tracker'!$J$5:$J$149,'Session Tracker'!$D$5:$D$149,$A253,'Session Tracker'!$F$5:$F$149,"Next week",'Session Tracker'!$G$5:$G$149,"Thu"))</f>
        <v>0</v>
      </c>
      <c r="L253" s="52" t="n">
        <f aca="false">IF($E253="Per class",$D253*COUNTIFS('Session Tracker'!$D$5:$D$149,$A253,'Session Tracker'!$F$5:$F$149,"Next week",'Session Tracker'!$G$5:$G$149,"Fri"),$D253*SUMIFS('Session Tracker'!$J$5:$J$149,'Session Tracker'!$D$5:$D$149,$A253,'Session Tracker'!$F$5:$F$149,"Next week",'Session Tracker'!$G$5:$G$149,"Fri"))</f>
        <v>0</v>
      </c>
      <c r="M253" s="52" t="n">
        <f aca="false">IF($E253="Per class",$D253*COUNTIFS('Session Tracker'!$D$5:$D$149,$A253,'Session Tracker'!$F$5:$F$149,"Next week",'Session Tracker'!$G$5:$G$149,""),$D253*SUMIFS('Session Tracker'!$J$5:$J$149,'Session Tracker'!$D$5:$D$149,$A253,'Session Tracker'!$F$5:$F$149,"Next week",'Session Tracker'!$G$5:$G$149,""))</f>
        <v>0</v>
      </c>
    </row>
    <row r="254" customFormat="false" ht="15" hidden="false" customHeight="false" outlineLevel="0" collapsed="false">
      <c r="A254" s="75" t="s">
        <v>324</v>
      </c>
      <c r="B254" s="34" t="s">
        <v>379</v>
      </c>
      <c r="C254" s="34" t="s">
        <v>381</v>
      </c>
      <c r="D254" s="32" t="n">
        <v>8</v>
      </c>
      <c r="E254" s="32" t="s">
        <v>14</v>
      </c>
      <c r="F254" s="32" t="s">
        <v>368</v>
      </c>
      <c r="G254" s="34"/>
      <c r="H254" s="52" t="n">
        <f aca="false">IF($E254="Per class",$D254*COUNTIFS('Session Tracker'!$D$5:$D$149,$A254,'Session Tracker'!$F$5:$F$149,"Next week",'Session Tracker'!$G$5:$G$149,"Mon"),$D254*SUMIFS('Session Tracker'!$J$5:$J$149,'Session Tracker'!$D$5:$D$149,$A254,'Session Tracker'!$F$5:$F$149,"Next week",'Session Tracker'!$G$5:$G$149,"Mon"))</f>
        <v>0</v>
      </c>
      <c r="I254" s="52" t="n">
        <f aca="false">IF($E254="Per class",$D254*COUNTIFS('Session Tracker'!$D$5:$D$149,$A254,'Session Tracker'!$F$5:$F$149,"Next week",'Session Tracker'!$G$5:$G$149,"Tue"),$D254*SUMIFS('Session Tracker'!$J$5:$J$149,'Session Tracker'!$D$5:$D$149,$A254,'Session Tracker'!$F$5:$F$149,"Next week",'Session Tracker'!$G$5:$G$149,"Tue"))</f>
        <v>0</v>
      </c>
      <c r="J254" s="52" t="n">
        <f aca="false">IF($E254="Per class",$D254*COUNTIFS('Session Tracker'!$D$5:$D$149,$A254,'Session Tracker'!$F$5:$F$149,"Next week",'Session Tracker'!$G$5:$G$149,"Wed"),$D254*SUMIFS('Session Tracker'!$J$5:$J$149,'Session Tracker'!$D$5:$D$149,$A254,'Session Tracker'!$F$5:$F$149,"Next week",'Session Tracker'!$G$5:$G$149,"Wed"))</f>
        <v>0</v>
      </c>
      <c r="K254" s="52" t="n">
        <f aca="false">IF($E254="Per class",$D254*COUNTIFS('Session Tracker'!$D$5:$D$149,$A254,'Session Tracker'!$F$5:$F$149,"Next week",'Session Tracker'!$G$5:$G$149,"Thu"),$D254*SUMIFS('Session Tracker'!$J$5:$J$149,'Session Tracker'!$D$5:$D$149,$A254,'Session Tracker'!$F$5:$F$149,"Next week",'Session Tracker'!$G$5:$G$149,"Thu"))</f>
        <v>0</v>
      </c>
      <c r="L254" s="52" t="n">
        <f aca="false">IF($E254="Per class",$D254*COUNTIFS('Session Tracker'!$D$5:$D$149,$A254,'Session Tracker'!$F$5:$F$149,"Next week",'Session Tracker'!$G$5:$G$149,"Fri"),$D254*SUMIFS('Session Tracker'!$J$5:$J$149,'Session Tracker'!$D$5:$D$149,$A254,'Session Tracker'!$F$5:$F$149,"Next week",'Session Tracker'!$G$5:$G$149,"Fri"))</f>
        <v>0</v>
      </c>
      <c r="M254" s="52" t="n">
        <f aca="false">IF($E254="Per class",$D254*COUNTIFS('Session Tracker'!$D$5:$D$149,$A254,'Session Tracker'!$F$5:$F$149,"Next week",'Session Tracker'!$G$5:$G$149,""),$D254*SUMIFS('Session Tracker'!$J$5:$J$149,'Session Tracker'!$D$5:$D$149,$A254,'Session Tracker'!$F$5:$F$149,"Next week",'Session Tracker'!$G$5:$G$149,""))</f>
        <v>0</v>
      </c>
    </row>
    <row r="255" customFormat="false" ht="15" hidden="false" customHeight="false" outlineLevel="0" collapsed="false">
      <c r="A255" s="75" t="s">
        <v>324</v>
      </c>
      <c r="B255" s="34" t="s">
        <v>379</v>
      </c>
      <c r="C255" s="34" t="s">
        <v>395</v>
      </c>
      <c r="D255" s="32" t="n">
        <v>5</v>
      </c>
      <c r="E255" s="32" t="s">
        <v>14</v>
      </c>
      <c r="F255" s="32" t="s">
        <v>368</v>
      </c>
      <c r="G255" s="34"/>
      <c r="H255" s="52" t="n">
        <f aca="false">IF($E255="Per class",$D255*COUNTIFS('Session Tracker'!$D$5:$D$149,$A255,'Session Tracker'!$F$5:$F$149,"Next week",'Session Tracker'!$G$5:$G$149,"Mon"),$D255*SUMIFS('Session Tracker'!$J$5:$J$149,'Session Tracker'!$D$5:$D$149,$A255,'Session Tracker'!$F$5:$F$149,"Next week",'Session Tracker'!$G$5:$G$149,"Mon"))</f>
        <v>0</v>
      </c>
      <c r="I255" s="52" t="n">
        <f aca="false">IF($E255="Per class",$D255*COUNTIFS('Session Tracker'!$D$5:$D$149,$A255,'Session Tracker'!$F$5:$F$149,"Next week",'Session Tracker'!$G$5:$G$149,"Tue"),$D255*SUMIFS('Session Tracker'!$J$5:$J$149,'Session Tracker'!$D$5:$D$149,$A255,'Session Tracker'!$F$5:$F$149,"Next week",'Session Tracker'!$G$5:$G$149,"Tue"))</f>
        <v>0</v>
      </c>
      <c r="J255" s="52" t="n">
        <f aca="false">IF($E255="Per class",$D255*COUNTIFS('Session Tracker'!$D$5:$D$149,$A255,'Session Tracker'!$F$5:$F$149,"Next week",'Session Tracker'!$G$5:$G$149,"Wed"),$D255*SUMIFS('Session Tracker'!$J$5:$J$149,'Session Tracker'!$D$5:$D$149,$A255,'Session Tracker'!$F$5:$F$149,"Next week",'Session Tracker'!$G$5:$G$149,"Wed"))</f>
        <v>0</v>
      </c>
      <c r="K255" s="52" t="n">
        <f aca="false">IF($E255="Per class",$D255*COUNTIFS('Session Tracker'!$D$5:$D$149,$A255,'Session Tracker'!$F$5:$F$149,"Next week",'Session Tracker'!$G$5:$G$149,"Thu"),$D255*SUMIFS('Session Tracker'!$J$5:$J$149,'Session Tracker'!$D$5:$D$149,$A255,'Session Tracker'!$F$5:$F$149,"Next week",'Session Tracker'!$G$5:$G$149,"Thu"))</f>
        <v>0</v>
      </c>
      <c r="L255" s="52" t="n">
        <f aca="false">IF($E255="Per class",$D255*COUNTIFS('Session Tracker'!$D$5:$D$149,$A255,'Session Tracker'!$F$5:$F$149,"Next week",'Session Tracker'!$G$5:$G$149,"Fri"),$D255*SUMIFS('Session Tracker'!$J$5:$J$149,'Session Tracker'!$D$5:$D$149,$A255,'Session Tracker'!$F$5:$F$149,"Next week",'Session Tracker'!$G$5:$G$149,"Fri"))</f>
        <v>0</v>
      </c>
      <c r="M255" s="52" t="n">
        <f aca="false">IF($E255="Per class",$D255*COUNTIFS('Session Tracker'!$D$5:$D$149,$A255,'Session Tracker'!$F$5:$F$149,"Next week",'Session Tracker'!$G$5:$G$149,""),$D255*SUMIFS('Session Tracker'!$J$5:$J$149,'Session Tracker'!$D$5:$D$149,$A255,'Session Tracker'!$F$5:$F$149,"Next week",'Session Tracker'!$G$5:$G$149,""))</f>
        <v>0</v>
      </c>
    </row>
    <row r="256" customFormat="false" ht="15" hidden="false" customHeight="false" outlineLevel="0" collapsed="false">
      <c r="A256" s="75" t="s">
        <v>324</v>
      </c>
      <c r="B256" s="34" t="s">
        <v>382</v>
      </c>
      <c r="C256" s="34" t="s">
        <v>383</v>
      </c>
      <c r="D256" s="32" t="n">
        <v>1</v>
      </c>
      <c r="E256" s="32" t="s">
        <v>14</v>
      </c>
      <c r="F256" s="32" t="s">
        <v>368</v>
      </c>
      <c r="G256" s="34"/>
      <c r="H256" s="52" t="n">
        <f aca="false">IF($E256="Per class",$D256*COUNTIFS('Session Tracker'!$D$5:$D$149,$A256,'Session Tracker'!$F$5:$F$149,"Next week",'Session Tracker'!$G$5:$G$149,"Mon"),$D256*SUMIFS('Session Tracker'!$J$5:$J$149,'Session Tracker'!$D$5:$D$149,$A256,'Session Tracker'!$F$5:$F$149,"Next week",'Session Tracker'!$G$5:$G$149,"Mon"))</f>
        <v>0</v>
      </c>
      <c r="I256" s="52" t="n">
        <f aca="false">IF($E256="Per class",$D256*COUNTIFS('Session Tracker'!$D$5:$D$149,$A256,'Session Tracker'!$F$5:$F$149,"Next week",'Session Tracker'!$G$5:$G$149,"Tue"),$D256*SUMIFS('Session Tracker'!$J$5:$J$149,'Session Tracker'!$D$5:$D$149,$A256,'Session Tracker'!$F$5:$F$149,"Next week",'Session Tracker'!$G$5:$G$149,"Tue"))</f>
        <v>0</v>
      </c>
      <c r="J256" s="52" t="n">
        <f aca="false">IF($E256="Per class",$D256*COUNTIFS('Session Tracker'!$D$5:$D$149,$A256,'Session Tracker'!$F$5:$F$149,"Next week",'Session Tracker'!$G$5:$G$149,"Wed"),$D256*SUMIFS('Session Tracker'!$J$5:$J$149,'Session Tracker'!$D$5:$D$149,$A256,'Session Tracker'!$F$5:$F$149,"Next week",'Session Tracker'!$G$5:$G$149,"Wed"))</f>
        <v>0</v>
      </c>
      <c r="K256" s="52" t="n">
        <f aca="false">IF($E256="Per class",$D256*COUNTIFS('Session Tracker'!$D$5:$D$149,$A256,'Session Tracker'!$F$5:$F$149,"Next week",'Session Tracker'!$G$5:$G$149,"Thu"),$D256*SUMIFS('Session Tracker'!$J$5:$J$149,'Session Tracker'!$D$5:$D$149,$A256,'Session Tracker'!$F$5:$F$149,"Next week",'Session Tracker'!$G$5:$G$149,"Thu"))</f>
        <v>0</v>
      </c>
      <c r="L256" s="52" t="n">
        <f aca="false">IF($E256="Per class",$D256*COUNTIFS('Session Tracker'!$D$5:$D$149,$A256,'Session Tracker'!$F$5:$F$149,"Next week",'Session Tracker'!$G$5:$G$149,"Fri"),$D256*SUMIFS('Session Tracker'!$J$5:$J$149,'Session Tracker'!$D$5:$D$149,$A256,'Session Tracker'!$F$5:$F$149,"Next week",'Session Tracker'!$G$5:$G$149,"Fri"))</f>
        <v>0</v>
      </c>
      <c r="M256" s="52" t="n">
        <f aca="false">IF($E256="Per class",$D256*COUNTIFS('Session Tracker'!$D$5:$D$149,$A256,'Session Tracker'!$F$5:$F$149,"Next week",'Session Tracker'!$G$5:$G$149,""),$D256*SUMIFS('Session Tracker'!$J$5:$J$149,'Session Tracker'!$D$5:$D$149,$A256,'Session Tracker'!$F$5:$F$149,"Next week",'Session Tracker'!$G$5:$G$149,""))</f>
        <v>0</v>
      </c>
    </row>
    <row r="257" customFormat="false" ht="15" hidden="false" customHeight="false" outlineLevel="0" collapsed="false">
      <c r="A257" s="75" t="s">
        <v>324</v>
      </c>
      <c r="B257" s="34" t="s">
        <v>371</v>
      </c>
      <c r="C257" s="34" t="s">
        <v>372</v>
      </c>
      <c r="D257" s="32" t="n">
        <v>1</v>
      </c>
      <c r="E257" s="32" t="s">
        <v>14</v>
      </c>
      <c r="F257" s="32" t="s">
        <v>373</v>
      </c>
      <c r="G257" s="34" t="s">
        <v>389</v>
      </c>
      <c r="H257" s="52" t="n">
        <f aca="false">IF($E257="Per class",$D257*COUNTIFS('Session Tracker'!$D$5:$D$149,$A257,'Session Tracker'!$F$5:$F$149,"Next week",'Session Tracker'!$G$5:$G$149,"Mon"),$D257*SUMIFS('Session Tracker'!$J$5:$J$149,'Session Tracker'!$D$5:$D$149,$A257,'Session Tracker'!$F$5:$F$149,"Next week",'Session Tracker'!$G$5:$G$149,"Mon"))</f>
        <v>0</v>
      </c>
      <c r="I257" s="52" t="n">
        <f aca="false">IF($E257="Per class",$D257*COUNTIFS('Session Tracker'!$D$5:$D$149,$A257,'Session Tracker'!$F$5:$F$149,"Next week",'Session Tracker'!$G$5:$G$149,"Tue"),$D257*SUMIFS('Session Tracker'!$J$5:$J$149,'Session Tracker'!$D$5:$D$149,$A257,'Session Tracker'!$F$5:$F$149,"Next week",'Session Tracker'!$G$5:$G$149,"Tue"))</f>
        <v>0</v>
      </c>
      <c r="J257" s="52" t="n">
        <f aca="false">IF($E257="Per class",$D257*COUNTIFS('Session Tracker'!$D$5:$D$149,$A257,'Session Tracker'!$F$5:$F$149,"Next week",'Session Tracker'!$G$5:$G$149,"Wed"),$D257*SUMIFS('Session Tracker'!$J$5:$J$149,'Session Tracker'!$D$5:$D$149,$A257,'Session Tracker'!$F$5:$F$149,"Next week",'Session Tracker'!$G$5:$G$149,"Wed"))</f>
        <v>0</v>
      </c>
      <c r="K257" s="52" t="n">
        <f aca="false">IF($E257="Per class",$D257*COUNTIFS('Session Tracker'!$D$5:$D$149,$A257,'Session Tracker'!$F$5:$F$149,"Next week",'Session Tracker'!$G$5:$G$149,"Thu"),$D257*SUMIFS('Session Tracker'!$J$5:$J$149,'Session Tracker'!$D$5:$D$149,$A257,'Session Tracker'!$F$5:$F$149,"Next week",'Session Tracker'!$G$5:$G$149,"Thu"))</f>
        <v>0</v>
      </c>
      <c r="L257" s="52" t="n">
        <f aca="false">IF($E257="Per class",$D257*COUNTIFS('Session Tracker'!$D$5:$D$149,$A257,'Session Tracker'!$F$5:$F$149,"Next week",'Session Tracker'!$G$5:$G$149,"Fri"),$D257*SUMIFS('Session Tracker'!$J$5:$J$149,'Session Tracker'!$D$5:$D$149,$A257,'Session Tracker'!$F$5:$F$149,"Next week",'Session Tracker'!$G$5:$G$149,"Fri"))</f>
        <v>0</v>
      </c>
      <c r="M257" s="52" t="n">
        <f aca="false">IF($E257="Per class",$D257*COUNTIFS('Session Tracker'!$D$5:$D$149,$A257,'Session Tracker'!$F$5:$F$149,"Next week",'Session Tracker'!$G$5:$G$149,""),$D257*SUMIFS('Session Tracker'!$J$5:$J$149,'Session Tracker'!$D$5:$D$149,$A257,'Session Tracker'!$F$5:$F$149,"Next week",'Session Tracker'!$G$5:$G$149,""))</f>
        <v>0</v>
      </c>
    </row>
    <row r="258" customFormat="false" ht="15" hidden="false" customHeight="false" outlineLevel="0" collapsed="false">
      <c r="A258" s="75" t="s">
        <v>324</v>
      </c>
      <c r="B258" s="34" t="s">
        <v>375</v>
      </c>
      <c r="C258" s="34" t="s">
        <v>376</v>
      </c>
      <c r="D258" s="32" t="n">
        <v>1</v>
      </c>
      <c r="E258" s="32" t="s">
        <v>14</v>
      </c>
      <c r="F258" s="32" t="s">
        <v>373</v>
      </c>
      <c r="G258" s="34" t="s">
        <v>442</v>
      </c>
      <c r="H258" s="52" t="n">
        <f aca="false">IF($E258="Per class",$D258*COUNTIFS('Session Tracker'!$D$5:$D$149,$A258,'Session Tracker'!$F$5:$F$149,"Next week",'Session Tracker'!$G$5:$G$149,"Mon"),$D258*SUMIFS('Session Tracker'!$J$5:$J$149,'Session Tracker'!$D$5:$D$149,$A258,'Session Tracker'!$F$5:$F$149,"Next week",'Session Tracker'!$G$5:$G$149,"Mon"))</f>
        <v>0</v>
      </c>
      <c r="I258" s="52" t="n">
        <f aca="false">IF($E258="Per class",$D258*COUNTIFS('Session Tracker'!$D$5:$D$149,$A258,'Session Tracker'!$F$5:$F$149,"Next week",'Session Tracker'!$G$5:$G$149,"Tue"),$D258*SUMIFS('Session Tracker'!$J$5:$J$149,'Session Tracker'!$D$5:$D$149,$A258,'Session Tracker'!$F$5:$F$149,"Next week",'Session Tracker'!$G$5:$G$149,"Tue"))</f>
        <v>0</v>
      </c>
      <c r="J258" s="52" t="n">
        <f aca="false">IF($E258="Per class",$D258*COUNTIFS('Session Tracker'!$D$5:$D$149,$A258,'Session Tracker'!$F$5:$F$149,"Next week",'Session Tracker'!$G$5:$G$149,"Wed"),$D258*SUMIFS('Session Tracker'!$J$5:$J$149,'Session Tracker'!$D$5:$D$149,$A258,'Session Tracker'!$F$5:$F$149,"Next week",'Session Tracker'!$G$5:$G$149,"Wed"))</f>
        <v>0</v>
      </c>
      <c r="K258" s="52" t="n">
        <f aca="false">IF($E258="Per class",$D258*COUNTIFS('Session Tracker'!$D$5:$D$149,$A258,'Session Tracker'!$F$5:$F$149,"Next week",'Session Tracker'!$G$5:$G$149,"Thu"),$D258*SUMIFS('Session Tracker'!$J$5:$J$149,'Session Tracker'!$D$5:$D$149,$A258,'Session Tracker'!$F$5:$F$149,"Next week",'Session Tracker'!$G$5:$G$149,"Thu"))</f>
        <v>0</v>
      </c>
      <c r="L258" s="52" t="n">
        <f aca="false">IF($E258="Per class",$D258*COUNTIFS('Session Tracker'!$D$5:$D$149,$A258,'Session Tracker'!$F$5:$F$149,"Next week",'Session Tracker'!$G$5:$G$149,"Fri"),$D258*SUMIFS('Session Tracker'!$J$5:$J$149,'Session Tracker'!$D$5:$D$149,$A258,'Session Tracker'!$F$5:$F$149,"Next week",'Session Tracker'!$G$5:$G$149,"Fri"))</f>
        <v>0</v>
      </c>
      <c r="M258" s="52" t="n">
        <f aca="false">IF($E258="Per class",$D258*COUNTIFS('Session Tracker'!$D$5:$D$149,$A258,'Session Tracker'!$F$5:$F$149,"Next week",'Session Tracker'!$G$5:$G$149,""),$D258*SUMIFS('Session Tracker'!$J$5:$J$149,'Session Tracker'!$D$5:$D$149,$A258,'Session Tracker'!$F$5:$F$149,"Next week",'Session Tracker'!$G$5:$G$149,""))</f>
        <v>0</v>
      </c>
    </row>
    <row r="259" customFormat="false" ht="15" hidden="false" customHeight="false" outlineLevel="0" collapsed="false">
      <c r="A259" s="75" t="s">
        <v>324</v>
      </c>
      <c r="B259" s="34" t="s">
        <v>377</v>
      </c>
      <c r="C259" s="34" t="s">
        <v>378</v>
      </c>
      <c r="D259" s="32" t="n">
        <v>1</v>
      </c>
      <c r="E259" s="32" t="s">
        <v>14</v>
      </c>
      <c r="F259" s="32" t="s">
        <v>368</v>
      </c>
      <c r="G259" s="34" t="s">
        <v>389</v>
      </c>
      <c r="H259" s="52" t="n">
        <f aca="false">IF($E259="Per class",$D259*COUNTIFS('Session Tracker'!$D$5:$D$149,$A259,'Session Tracker'!$F$5:$F$149,"Next week",'Session Tracker'!$G$5:$G$149,"Mon"),$D259*SUMIFS('Session Tracker'!$J$5:$J$149,'Session Tracker'!$D$5:$D$149,$A259,'Session Tracker'!$F$5:$F$149,"Next week",'Session Tracker'!$G$5:$G$149,"Mon"))</f>
        <v>0</v>
      </c>
      <c r="I259" s="52" t="n">
        <f aca="false">IF($E259="Per class",$D259*COUNTIFS('Session Tracker'!$D$5:$D$149,$A259,'Session Tracker'!$F$5:$F$149,"Next week",'Session Tracker'!$G$5:$G$149,"Tue"),$D259*SUMIFS('Session Tracker'!$J$5:$J$149,'Session Tracker'!$D$5:$D$149,$A259,'Session Tracker'!$F$5:$F$149,"Next week",'Session Tracker'!$G$5:$G$149,"Tue"))</f>
        <v>0</v>
      </c>
      <c r="J259" s="52" t="n">
        <f aca="false">IF($E259="Per class",$D259*COUNTIFS('Session Tracker'!$D$5:$D$149,$A259,'Session Tracker'!$F$5:$F$149,"Next week",'Session Tracker'!$G$5:$G$149,"Wed"),$D259*SUMIFS('Session Tracker'!$J$5:$J$149,'Session Tracker'!$D$5:$D$149,$A259,'Session Tracker'!$F$5:$F$149,"Next week",'Session Tracker'!$G$5:$G$149,"Wed"))</f>
        <v>0</v>
      </c>
      <c r="K259" s="52" t="n">
        <f aca="false">IF($E259="Per class",$D259*COUNTIFS('Session Tracker'!$D$5:$D$149,$A259,'Session Tracker'!$F$5:$F$149,"Next week",'Session Tracker'!$G$5:$G$149,"Thu"),$D259*SUMIFS('Session Tracker'!$J$5:$J$149,'Session Tracker'!$D$5:$D$149,$A259,'Session Tracker'!$F$5:$F$149,"Next week",'Session Tracker'!$G$5:$G$149,"Thu"))</f>
        <v>0</v>
      </c>
      <c r="L259" s="52" t="n">
        <f aca="false">IF($E259="Per class",$D259*COUNTIFS('Session Tracker'!$D$5:$D$149,$A259,'Session Tracker'!$F$5:$F$149,"Next week",'Session Tracker'!$G$5:$G$149,"Fri"),$D259*SUMIFS('Session Tracker'!$J$5:$J$149,'Session Tracker'!$D$5:$D$149,$A259,'Session Tracker'!$F$5:$F$149,"Next week",'Session Tracker'!$G$5:$G$149,"Fri"))</f>
        <v>0</v>
      </c>
      <c r="M259" s="52" t="n">
        <f aca="false">IF($E259="Per class",$D259*COUNTIFS('Session Tracker'!$D$5:$D$149,$A259,'Session Tracker'!$F$5:$F$149,"Next week",'Session Tracker'!$G$5:$G$149,""),$D259*SUMIFS('Session Tracker'!$J$5:$J$149,'Session Tracker'!$D$5:$D$149,$A259,'Session Tracker'!$F$5:$F$149,"Next week",'Session Tracker'!$G$5:$G$149,""))</f>
        <v>0</v>
      </c>
    </row>
    <row r="260" customFormat="false" ht="15" hidden="false" customHeight="false" outlineLevel="0" collapsed="false">
      <c r="A260" s="53" t="s">
        <v>324</v>
      </c>
      <c r="B260" s="54"/>
      <c r="C260" s="54"/>
      <c r="D260" s="54"/>
      <c r="E260" s="54"/>
      <c r="F260" s="54"/>
      <c r="G260" s="54"/>
      <c r="H260" s="52" t="n">
        <f aca="false">IF($E260="Per class",$D260*COUNTIFS('Session Tracker'!$D$5:$D$149,$A260,'Session Tracker'!$F$5:$F$149,"Next week",'Session Tracker'!$G$5:$G$149,"Mon"),$D260*SUMIFS('Session Tracker'!$J$5:$J$149,'Session Tracker'!$D$5:$D$149,$A260,'Session Tracker'!$F$5:$F$149,"Next week",'Session Tracker'!$G$5:$G$149,"Mon"))</f>
        <v>0</v>
      </c>
      <c r="I260" s="52" t="n">
        <f aca="false">IF($E260="Per class",$D260*COUNTIFS('Session Tracker'!$D$5:$D$149,$A260,'Session Tracker'!$F$5:$F$149,"Next week",'Session Tracker'!$G$5:$G$149,"Tue"),$D260*SUMIFS('Session Tracker'!$J$5:$J$149,'Session Tracker'!$D$5:$D$149,$A260,'Session Tracker'!$F$5:$F$149,"Next week",'Session Tracker'!$G$5:$G$149,"Tue"))</f>
        <v>0</v>
      </c>
      <c r="J260" s="52" t="n">
        <f aca="false">IF($E260="Per class",$D260*COUNTIFS('Session Tracker'!$D$5:$D$149,$A260,'Session Tracker'!$F$5:$F$149,"Next week",'Session Tracker'!$G$5:$G$149,"Wed"),$D260*SUMIFS('Session Tracker'!$J$5:$J$149,'Session Tracker'!$D$5:$D$149,$A260,'Session Tracker'!$F$5:$F$149,"Next week",'Session Tracker'!$G$5:$G$149,"Wed"))</f>
        <v>0</v>
      </c>
      <c r="K260" s="52" t="n">
        <f aca="false">IF($E260="Per class",$D260*COUNTIFS('Session Tracker'!$D$5:$D$149,$A260,'Session Tracker'!$F$5:$F$149,"Next week",'Session Tracker'!$G$5:$G$149,"Thu"),$D260*SUMIFS('Session Tracker'!$J$5:$J$149,'Session Tracker'!$D$5:$D$149,$A260,'Session Tracker'!$F$5:$F$149,"Next week",'Session Tracker'!$G$5:$G$149,"Thu"))</f>
        <v>0</v>
      </c>
      <c r="L260" s="52" t="n">
        <f aca="false">IF($E260="Per class",$D260*COUNTIFS('Session Tracker'!$D$5:$D$149,$A260,'Session Tracker'!$F$5:$F$149,"Next week",'Session Tracker'!$G$5:$G$149,"Fri"),$D260*SUMIFS('Session Tracker'!$J$5:$J$149,'Session Tracker'!$D$5:$D$149,$A260,'Session Tracker'!$F$5:$F$149,"Next week",'Session Tracker'!$G$5:$G$149,"Fri"))</f>
        <v>0</v>
      </c>
      <c r="M260" s="52" t="n">
        <f aca="false">IF($E260="Per class",$D260*COUNTIFS('Session Tracker'!$D$5:$D$149,$A260,'Session Tracker'!$F$5:$F$149,"Next week",'Session Tracker'!$G$5:$G$149,""),$D260*SUMIFS('Session Tracker'!$J$5:$J$149,'Session Tracker'!$D$5:$D$149,$A260,'Session Tracker'!$F$5:$F$149,"Next week",'Session Tracker'!$G$5:$G$149,""))</f>
        <v>0</v>
      </c>
    </row>
    <row r="261" customFormat="false" ht="15" hidden="false" customHeight="false" outlineLevel="0" collapsed="false">
      <c r="A261" s="53" t="s">
        <v>324</v>
      </c>
      <c r="B261" s="54"/>
      <c r="C261" s="54"/>
      <c r="D261" s="54"/>
      <c r="E261" s="54"/>
      <c r="F261" s="54"/>
      <c r="G261" s="54"/>
      <c r="H261" s="52" t="n">
        <f aca="false">IF($E261="Per class",$D261*COUNTIFS('Session Tracker'!$D$5:$D$149,$A261,'Session Tracker'!$F$5:$F$149,"Next week",'Session Tracker'!$G$5:$G$149,"Mon"),$D261*SUMIFS('Session Tracker'!$J$5:$J$149,'Session Tracker'!$D$5:$D$149,$A261,'Session Tracker'!$F$5:$F$149,"Next week",'Session Tracker'!$G$5:$G$149,"Mon"))</f>
        <v>0</v>
      </c>
      <c r="I261" s="52" t="n">
        <f aca="false">IF($E261="Per class",$D261*COUNTIFS('Session Tracker'!$D$5:$D$149,$A261,'Session Tracker'!$F$5:$F$149,"Next week",'Session Tracker'!$G$5:$G$149,"Tue"),$D261*SUMIFS('Session Tracker'!$J$5:$J$149,'Session Tracker'!$D$5:$D$149,$A261,'Session Tracker'!$F$5:$F$149,"Next week",'Session Tracker'!$G$5:$G$149,"Tue"))</f>
        <v>0</v>
      </c>
      <c r="J261" s="52" t="n">
        <f aca="false">IF($E261="Per class",$D261*COUNTIFS('Session Tracker'!$D$5:$D$149,$A261,'Session Tracker'!$F$5:$F$149,"Next week",'Session Tracker'!$G$5:$G$149,"Wed"),$D261*SUMIFS('Session Tracker'!$J$5:$J$149,'Session Tracker'!$D$5:$D$149,$A261,'Session Tracker'!$F$5:$F$149,"Next week",'Session Tracker'!$G$5:$G$149,"Wed"))</f>
        <v>0</v>
      </c>
      <c r="K261" s="52" t="n">
        <f aca="false">IF($E261="Per class",$D261*COUNTIFS('Session Tracker'!$D$5:$D$149,$A261,'Session Tracker'!$F$5:$F$149,"Next week",'Session Tracker'!$G$5:$G$149,"Thu"),$D261*SUMIFS('Session Tracker'!$J$5:$J$149,'Session Tracker'!$D$5:$D$149,$A261,'Session Tracker'!$F$5:$F$149,"Next week",'Session Tracker'!$G$5:$G$149,"Thu"))</f>
        <v>0</v>
      </c>
      <c r="L261" s="52" t="n">
        <f aca="false">IF($E261="Per class",$D261*COUNTIFS('Session Tracker'!$D$5:$D$149,$A261,'Session Tracker'!$F$5:$F$149,"Next week",'Session Tracker'!$G$5:$G$149,"Fri"),$D261*SUMIFS('Session Tracker'!$J$5:$J$149,'Session Tracker'!$D$5:$D$149,$A261,'Session Tracker'!$F$5:$F$149,"Next week",'Session Tracker'!$G$5:$G$149,"Fri"))</f>
        <v>0</v>
      </c>
      <c r="M261" s="52" t="n">
        <f aca="false">IF($E261="Per class",$D261*COUNTIFS('Session Tracker'!$D$5:$D$149,$A261,'Session Tracker'!$F$5:$F$149,"Next week",'Session Tracker'!$G$5:$G$149,""),$D261*SUMIFS('Session Tracker'!$J$5:$J$149,'Session Tracker'!$D$5:$D$149,$A261,'Session Tracker'!$F$5:$F$149,"Next week",'Session Tracker'!$G$5:$G$149,""))</f>
        <v>0</v>
      </c>
    </row>
    <row r="263" customFormat="false" ht="19.5" hidden="false" customHeight="true" outlineLevel="0" collapsed="false">
      <c r="A263" s="71" t="s">
        <v>326</v>
      </c>
      <c r="B263" s="72" t="s">
        <v>683</v>
      </c>
      <c r="C263" s="72"/>
      <c r="D263" s="72"/>
      <c r="E263" s="72"/>
      <c r="F263" s="73" t="str">
        <f aca="false">"Status: "&amp;'Session Tracker'!F134&amp;IF('Session Tracker'!G134&lt;&gt;""," ("&amp;'Session Tracker'!G134&amp;")","")</f>
        <v>Status: Not started</v>
      </c>
      <c r="G263" s="73"/>
      <c r="H263" s="74"/>
      <c r="I263" s="74"/>
      <c r="J263" s="74"/>
      <c r="K263" s="74"/>
      <c r="L263" s="74"/>
      <c r="M263" s="74"/>
    </row>
    <row r="264" customFormat="false" ht="15" hidden="false" customHeight="false" outlineLevel="0" collapsed="false">
      <c r="A264" s="75" t="s">
        <v>326</v>
      </c>
      <c r="B264" s="34" t="s">
        <v>382</v>
      </c>
      <c r="C264" s="34" t="s">
        <v>383</v>
      </c>
      <c r="D264" s="32" t="n">
        <v>1</v>
      </c>
      <c r="E264" s="32" t="s">
        <v>14</v>
      </c>
      <c r="F264" s="32" t="s">
        <v>368</v>
      </c>
      <c r="G264" s="34"/>
      <c r="H264" s="52" t="n">
        <f aca="false">IF($E264="Per class",$D264*COUNTIFS('Session Tracker'!$D$5:$D$149,$A264,'Session Tracker'!$F$5:$F$149,"Next week",'Session Tracker'!$G$5:$G$149,"Mon"),$D264*SUMIFS('Session Tracker'!$J$5:$J$149,'Session Tracker'!$D$5:$D$149,$A264,'Session Tracker'!$F$5:$F$149,"Next week",'Session Tracker'!$G$5:$G$149,"Mon"))</f>
        <v>0</v>
      </c>
      <c r="I264" s="52" t="n">
        <f aca="false">IF($E264="Per class",$D264*COUNTIFS('Session Tracker'!$D$5:$D$149,$A264,'Session Tracker'!$F$5:$F$149,"Next week",'Session Tracker'!$G$5:$G$149,"Tue"),$D264*SUMIFS('Session Tracker'!$J$5:$J$149,'Session Tracker'!$D$5:$D$149,$A264,'Session Tracker'!$F$5:$F$149,"Next week",'Session Tracker'!$G$5:$G$149,"Tue"))</f>
        <v>0</v>
      </c>
      <c r="J264" s="52" t="n">
        <f aca="false">IF($E264="Per class",$D264*COUNTIFS('Session Tracker'!$D$5:$D$149,$A264,'Session Tracker'!$F$5:$F$149,"Next week",'Session Tracker'!$G$5:$G$149,"Wed"),$D264*SUMIFS('Session Tracker'!$J$5:$J$149,'Session Tracker'!$D$5:$D$149,$A264,'Session Tracker'!$F$5:$F$149,"Next week",'Session Tracker'!$G$5:$G$149,"Wed"))</f>
        <v>0</v>
      </c>
      <c r="K264" s="52" t="n">
        <f aca="false">IF($E264="Per class",$D264*COUNTIFS('Session Tracker'!$D$5:$D$149,$A264,'Session Tracker'!$F$5:$F$149,"Next week",'Session Tracker'!$G$5:$G$149,"Thu"),$D264*SUMIFS('Session Tracker'!$J$5:$J$149,'Session Tracker'!$D$5:$D$149,$A264,'Session Tracker'!$F$5:$F$149,"Next week",'Session Tracker'!$G$5:$G$149,"Thu"))</f>
        <v>0</v>
      </c>
      <c r="L264" s="52" t="n">
        <f aca="false">IF($E264="Per class",$D264*COUNTIFS('Session Tracker'!$D$5:$D$149,$A264,'Session Tracker'!$F$5:$F$149,"Next week",'Session Tracker'!$G$5:$G$149,"Fri"),$D264*SUMIFS('Session Tracker'!$J$5:$J$149,'Session Tracker'!$D$5:$D$149,$A264,'Session Tracker'!$F$5:$F$149,"Next week",'Session Tracker'!$G$5:$G$149,"Fri"))</f>
        <v>0</v>
      </c>
      <c r="M264" s="52" t="n">
        <f aca="false">IF($E264="Per class",$D264*COUNTIFS('Session Tracker'!$D$5:$D$149,$A264,'Session Tracker'!$F$5:$F$149,"Next week",'Session Tracker'!$G$5:$G$149,""),$D264*SUMIFS('Session Tracker'!$J$5:$J$149,'Session Tracker'!$D$5:$D$149,$A264,'Session Tracker'!$F$5:$F$149,"Next week",'Session Tracker'!$G$5:$G$149,""))</f>
        <v>0</v>
      </c>
    </row>
    <row r="265" customFormat="false" ht="15" hidden="false" customHeight="false" outlineLevel="0" collapsed="false">
      <c r="A265" s="75" t="s">
        <v>326</v>
      </c>
      <c r="B265" s="34" t="s">
        <v>382</v>
      </c>
      <c r="C265" s="34" t="s">
        <v>490</v>
      </c>
      <c r="D265" s="32" t="n">
        <v>1</v>
      </c>
      <c r="E265" s="32" t="s">
        <v>14</v>
      </c>
      <c r="F265" s="32" t="s">
        <v>368</v>
      </c>
      <c r="G265" s="34" t="s">
        <v>491</v>
      </c>
      <c r="H265" s="52" t="n">
        <f aca="false">IF($E265="Per class",$D265*COUNTIFS('Session Tracker'!$D$5:$D$149,$A265,'Session Tracker'!$F$5:$F$149,"Next week",'Session Tracker'!$G$5:$G$149,"Mon"),$D265*SUMIFS('Session Tracker'!$J$5:$J$149,'Session Tracker'!$D$5:$D$149,$A265,'Session Tracker'!$F$5:$F$149,"Next week",'Session Tracker'!$G$5:$G$149,"Mon"))</f>
        <v>0</v>
      </c>
      <c r="I265" s="52" t="n">
        <f aca="false">IF($E265="Per class",$D265*COUNTIFS('Session Tracker'!$D$5:$D$149,$A265,'Session Tracker'!$F$5:$F$149,"Next week",'Session Tracker'!$G$5:$G$149,"Tue"),$D265*SUMIFS('Session Tracker'!$J$5:$J$149,'Session Tracker'!$D$5:$D$149,$A265,'Session Tracker'!$F$5:$F$149,"Next week",'Session Tracker'!$G$5:$G$149,"Tue"))</f>
        <v>0</v>
      </c>
      <c r="J265" s="52" t="n">
        <f aca="false">IF($E265="Per class",$D265*COUNTIFS('Session Tracker'!$D$5:$D$149,$A265,'Session Tracker'!$F$5:$F$149,"Next week",'Session Tracker'!$G$5:$G$149,"Wed"),$D265*SUMIFS('Session Tracker'!$J$5:$J$149,'Session Tracker'!$D$5:$D$149,$A265,'Session Tracker'!$F$5:$F$149,"Next week",'Session Tracker'!$G$5:$G$149,"Wed"))</f>
        <v>0</v>
      </c>
      <c r="K265" s="52" t="n">
        <f aca="false">IF($E265="Per class",$D265*COUNTIFS('Session Tracker'!$D$5:$D$149,$A265,'Session Tracker'!$F$5:$F$149,"Next week",'Session Tracker'!$G$5:$G$149,"Thu"),$D265*SUMIFS('Session Tracker'!$J$5:$J$149,'Session Tracker'!$D$5:$D$149,$A265,'Session Tracker'!$F$5:$F$149,"Next week",'Session Tracker'!$G$5:$G$149,"Thu"))</f>
        <v>0</v>
      </c>
      <c r="L265" s="52" t="n">
        <f aca="false">IF($E265="Per class",$D265*COUNTIFS('Session Tracker'!$D$5:$D$149,$A265,'Session Tracker'!$F$5:$F$149,"Next week",'Session Tracker'!$G$5:$G$149,"Fri"),$D265*SUMIFS('Session Tracker'!$J$5:$J$149,'Session Tracker'!$D$5:$D$149,$A265,'Session Tracker'!$F$5:$F$149,"Next week",'Session Tracker'!$G$5:$G$149,"Fri"))</f>
        <v>0</v>
      </c>
      <c r="M265" s="52" t="n">
        <f aca="false">IF($E265="Per class",$D265*COUNTIFS('Session Tracker'!$D$5:$D$149,$A265,'Session Tracker'!$F$5:$F$149,"Next week",'Session Tracker'!$G$5:$G$149,""),$D265*SUMIFS('Session Tracker'!$J$5:$J$149,'Session Tracker'!$D$5:$D$149,$A265,'Session Tracker'!$F$5:$F$149,"Next week",'Session Tracker'!$G$5:$G$149,""))</f>
        <v>0</v>
      </c>
    </row>
    <row r="266" customFormat="false" ht="15" hidden="false" customHeight="false" outlineLevel="0" collapsed="false">
      <c r="A266" s="53" t="s">
        <v>326</v>
      </c>
      <c r="B266" s="54"/>
      <c r="C266" s="54"/>
      <c r="D266" s="54"/>
      <c r="E266" s="54"/>
      <c r="F266" s="54"/>
      <c r="G266" s="54"/>
      <c r="H266" s="52" t="n">
        <f aca="false">IF($E266="Per class",$D266*COUNTIFS('Session Tracker'!$D$5:$D$149,$A266,'Session Tracker'!$F$5:$F$149,"Next week",'Session Tracker'!$G$5:$G$149,"Mon"),$D266*SUMIFS('Session Tracker'!$J$5:$J$149,'Session Tracker'!$D$5:$D$149,$A266,'Session Tracker'!$F$5:$F$149,"Next week",'Session Tracker'!$G$5:$G$149,"Mon"))</f>
        <v>0</v>
      </c>
      <c r="I266" s="52" t="n">
        <f aca="false">IF($E266="Per class",$D266*COUNTIFS('Session Tracker'!$D$5:$D$149,$A266,'Session Tracker'!$F$5:$F$149,"Next week",'Session Tracker'!$G$5:$G$149,"Tue"),$D266*SUMIFS('Session Tracker'!$J$5:$J$149,'Session Tracker'!$D$5:$D$149,$A266,'Session Tracker'!$F$5:$F$149,"Next week",'Session Tracker'!$G$5:$G$149,"Tue"))</f>
        <v>0</v>
      </c>
      <c r="J266" s="52" t="n">
        <f aca="false">IF($E266="Per class",$D266*COUNTIFS('Session Tracker'!$D$5:$D$149,$A266,'Session Tracker'!$F$5:$F$149,"Next week",'Session Tracker'!$G$5:$G$149,"Wed"),$D266*SUMIFS('Session Tracker'!$J$5:$J$149,'Session Tracker'!$D$5:$D$149,$A266,'Session Tracker'!$F$5:$F$149,"Next week",'Session Tracker'!$G$5:$G$149,"Wed"))</f>
        <v>0</v>
      </c>
      <c r="K266" s="52" t="n">
        <f aca="false">IF($E266="Per class",$D266*COUNTIFS('Session Tracker'!$D$5:$D$149,$A266,'Session Tracker'!$F$5:$F$149,"Next week",'Session Tracker'!$G$5:$G$149,"Thu"),$D266*SUMIFS('Session Tracker'!$J$5:$J$149,'Session Tracker'!$D$5:$D$149,$A266,'Session Tracker'!$F$5:$F$149,"Next week",'Session Tracker'!$G$5:$G$149,"Thu"))</f>
        <v>0</v>
      </c>
      <c r="L266" s="52" t="n">
        <f aca="false">IF($E266="Per class",$D266*COUNTIFS('Session Tracker'!$D$5:$D$149,$A266,'Session Tracker'!$F$5:$F$149,"Next week",'Session Tracker'!$G$5:$G$149,"Fri"),$D266*SUMIFS('Session Tracker'!$J$5:$J$149,'Session Tracker'!$D$5:$D$149,$A266,'Session Tracker'!$F$5:$F$149,"Next week",'Session Tracker'!$G$5:$G$149,"Fri"))</f>
        <v>0</v>
      </c>
      <c r="M266" s="52" t="n">
        <f aca="false">IF($E266="Per class",$D266*COUNTIFS('Session Tracker'!$D$5:$D$149,$A266,'Session Tracker'!$F$5:$F$149,"Next week",'Session Tracker'!$G$5:$G$149,""),$D266*SUMIFS('Session Tracker'!$J$5:$J$149,'Session Tracker'!$D$5:$D$149,$A266,'Session Tracker'!$F$5:$F$149,"Next week",'Session Tracker'!$G$5:$G$149,""))</f>
        <v>0</v>
      </c>
    </row>
    <row r="267" customFormat="false" ht="15" hidden="false" customHeight="false" outlineLevel="0" collapsed="false">
      <c r="A267" s="53" t="s">
        <v>326</v>
      </c>
      <c r="B267" s="54"/>
      <c r="C267" s="54"/>
      <c r="D267" s="54"/>
      <c r="E267" s="54"/>
      <c r="F267" s="54"/>
      <c r="G267" s="54"/>
      <c r="H267" s="52" t="n">
        <f aca="false">IF($E267="Per class",$D267*COUNTIFS('Session Tracker'!$D$5:$D$149,$A267,'Session Tracker'!$F$5:$F$149,"Next week",'Session Tracker'!$G$5:$G$149,"Mon"),$D267*SUMIFS('Session Tracker'!$J$5:$J$149,'Session Tracker'!$D$5:$D$149,$A267,'Session Tracker'!$F$5:$F$149,"Next week",'Session Tracker'!$G$5:$G$149,"Mon"))</f>
        <v>0</v>
      </c>
      <c r="I267" s="52" t="n">
        <f aca="false">IF($E267="Per class",$D267*COUNTIFS('Session Tracker'!$D$5:$D$149,$A267,'Session Tracker'!$F$5:$F$149,"Next week",'Session Tracker'!$G$5:$G$149,"Tue"),$D267*SUMIFS('Session Tracker'!$J$5:$J$149,'Session Tracker'!$D$5:$D$149,$A267,'Session Tracker'!$F$5:$F$149,"Next week",'Session Tracker'!$G$5:$G$149,"Tue"))</f>
        <v>0</v>
      </c>
      <c r="J267" s="52" t="n">
        <f aca="false">IF($E267="Per class",$D267*COUNTIFS('Session Tracker'!$D$5:$D$149,$A267,'Session Tracker'!$F$5:$F$149,"Next week",'Session Tracker'!$G$5:$G$149,"Wed"),$D267*SUMIFS('Session Tracker'!$J$5:$J$149,'Session Tracker'!$D$5:$D$149,$A267,'Session Tracker'!$F$5:$F$149,"Next week",'Session Tracker'!$G$5:$G$149,"Wed"))</f>
        <v>0</v>
      </c>
      <c r="K267" s="52" t="n">
        <f aca="false">IF($E267="Per class",$D267*COUNTIFS('Session Tracker'!$D$5:$D$149,$A267,'Session Tracker'!$F$5:$F$149,"Next week",'Session Tracker'!$G$5:$G$149,"Thu"),$D267*SUMIFS('Session Tracker'!$J$5:$J$149,'Session Tracker'!$D$5:$D$149,$A267,'Session Tracker'!$F$5:$F$149,"Next week",'Session Tracker'!$G$5:$G$149,"Thu"))</f>
        <v>0</v>
      </c>
      <c r="L267" s="52" t="n">
        <f aca="false">IF($E267="Per class",$D267*COUNTIFS('Session Tracker'!$D$5:$D$149,$A267,'Session Tracker'!$F$5:$F$149,"Next week",'Session Tracker'!$G$5:$G$149,"Fri"),$D267*SUMIFS('Session Tracker'!$J$5:$J$149,'Session Tracker'!$D$5:$D$149,$A267,'Session Tracker'!$F$5:$F$149,"Next week",'Session Tracker'!$G$5:$G$149,"Fri"))</f>
        <v>0</v>
      </c>
      <c r="M267" s="52" t="n">
        <f aca="false">IF($E267="Per class",$D267*COUNTIFS('Session Tracker'!$D$5:$D$149,$A267,'Session Tracker'!$F$5:$F$149,"Next week",'Session Tracker'!$G$5:$G$149,""),$D267*SUMIFS('Session Tracker'!$J$5:$J$149,'Session Tracker'!$D$5:$D$149,$A267,'Session Tracker'!$F$5:$F$149,"Next week",'Session Tracker'!$G$5:$G$149,""))</f>
        <v>0</v>
      </c>
    </row>
    <row r="269" customFormat="false" ht="19.5" hidden="false" customHeight="true" outlineLevel="0" collapsed="false">
      <c r="A269" s="71" t="s">
        <v>328</v>
      </c>
      <c r="B269" s="72" t="s">
        <v>684</v>
      </c>
      <c r="C269" s="72"/>
      <c r="D269" s="72"/>
      <c r="E269" s="72"/>
      <c r="F269" s="73" t="str">
        <f aca="false">"Status: "&amp;'Session Tracker'!F135&amp;IF('Session Tracker'!G135&lt;&gt;""," ("&amp;'Session Tracker'!G135&amp;")","")</f>
        <v>Status: Not started</v>
      </c>
      <c r="G269" s="73"/>
      <c r="H269" s="74"/>
      <c r="I269" s="74"/>
      <c r="J269" s="74"/>
      <c r="K269" s="74"/>
      <c r="L269" s="74"/>
      <c r="M269" s="74"/>
    </row>
    <row r="270" customFormat="false" ht="15" hidden="false" customHeight="false" outlineLevel="0" collapsed="false">
      <c r="A270" s="75" t="s">
        <v>328</v>
      </c>
      <c r="B270" s="34" t="s">
        <v>447</v>
      </c>
      <c r="C270" s="34" t="s">
        <v>469</v>
      </c>
      <c r="D270" s="32" t="n">
        <v>1</v>
      </c>
      <c r="E270" s="32" t="s">
        <v>14</v>
      </c>
      <c r="F270" s="32" t="s">
        <v>368</v>
      </c>
      <c r="G270" s="34" t="s">
        <v>470</v>
      </c>
      <c r="H270" s="52" t="n">
        <f aca="false">IF($E270="Per class",$D270*COUNTIFS('Session Tracker'!$D$5:$D$149,$A270,'Session Tracker'!$F$5:$F$149,"Next week",'Session Tracker'!$G$5:$G$149,"Mon"),$D270*SUMIFS('Session Tracker'!$J$5:$J$149,'Session Tracker'!$D$5:$D$149,$A270,'Session Tracker'!$F$5:$F$149,"Next week",'Session Tracker'!$G$5:$G$149,"Mon"))</f>
        <v>0</v>
      </c>
      <c r="I270" s="52" t="n">
        <f aca="false">IF($E270="Per class",$D270*COUNTIFS('Session Tracker'!$D$5:$D$149,$A270,'Session Tracker'!$F$5:$F$149,"Next week",'Session Tracker'!$G$5:$G$149,"Tue"),$D270*SUMIFS('Session Tracker'!$J$5:$J$149,'Session Tracker'!$D$5:$D$149,$A270,'Session Tracker'!$F$5:$F$149,"Next week",'Session Tracker'!$G$5:$G$149,"Tue"))</f>
        <v>0</v>
      </c>
      <c r="J270" s="52" t="n">
        <f aca="false">IF($E270="Per class",$D270*COUNTIFS('Session Tracker'!$D$5:$D$149,$A270,'Session Tracker'!$F$5:$F$149,"Next week",'Session Tracker'!$G$5:$G$149,"Wed"),$D270*SUMIFS('Session Tracker'!$J$5:$J$149,'Session Tracker'!$D$5:$D$149,$A270,'Session Tracker'!$F$5:$F$149,"Next week",'Session Tracker'!$G$5:$G$149,"Wed"))</f>
        <v>0</v>
      </c>
      <c r="K270" s="52" t="n">
        <f aca="false">IF($E270="Per class",$D270*COUNTIFS('Session Tracker'!$D$5:$D$149,$A270,'Session Tracker'!$F$5:$F$149,"Next week",'Session Tracker'!$G$5:$G$149,"Thu"),$D270*SUMIFS('Session Tracker'!$J$5:$J$149,'Session Tracker'!$D$5:$D$149,$A270,'Session Tracker'!$F$5:$F$149,"Next week",'Session Tracker'!$G$5:$G$149,"Thu"))</f>
        <v>0</v>
      </c>
      <c r="L270" s="52" t="n">
        <f aca="false">IF($E270="Per class",$D270*COUNTIFS('Session Tracker'!$D$5:$D$149,$A270,'Session Tracker'!$F$5:$F$149,"Next week",'Session Tracker'!$G$5:$G$149,"Fri"),$D270*SUMIFS('Session Tracker'!$J$5:$J$149,'Session Tracker'!$D$5:$D$149,$A270,'Session Tracker'!$F$5:$F$149,"Next week",'Session Tracker'!$G$5:$G$149,"Fri"))</f>
        <v>0</v>
      </c>
      <c r="M270" s="52" t="n">
        <f aca="false">IF($E270="Per class",$D270*COUNTIFS('Session Tracker'!$D$5:$D$149,$A270,'Session Tracker'!$F$5:$F$149,"Next week",'Session Tracker'!$G$5:$G$149,""),$D270*SUMIFS('Session Tracker'!$J$5:$J$149,'Session Tracker'!$D$5:$D$149,$A270,'Session Tracker'!$F$5:$F$149,"Next week",'Session Tracker'!$G$5:$G$149,""))</f>
        <v>0</v>
      </c>
    </row>
    <row r="271" customFormat="false" ht="23.85" hidden="false" customHeight="false" outlineLevel="0" collapsed="false">
      <c r="A271" s="75" t="s">
        <v>328</v>
      </c>
      <c r="B271" s="34" t="s">
        <v>366</v>
      </c>
      <c r="C271" s="34" t="s">
        <v>634</v>
      </c>
      <c r="D271" s="32" t="n">
        <v>1</v>
      </c>
      <c r="E271" s="32" t="s">
        <v>14</v>
      </c>
      <c r="F271" s="32" t="s">
        <v>368</v>
      </c>
      <c r="G271" s="34" t="s">
        <v>635</v>
      </c>
      <c r="H271" s="52" t="n">
        <f aca="false">IF($E271="Per class",$D271*COUNTIFS('Session Tracker'!$D$5:$D$149,$A271,'Session Tracker'!$F$5:$F$149,"Next week",'Session Tracker'!$G$5:$G$149,"Mon"),$D271*SUMIFS('Session Tracker'!$J$5:$J$149,'Session Tracker'!$D$5:$D$149,$A271,'Session Tracker'!$F$5:$F$149,"Next week",'Session Tracker'!$G$5:$G$149,"Mon"))</f>
        <v>0</v>
      </c>
      <c r="I271" s="52" t="n">
        <f aca="false">IF($E271="Per class",$D271*COUNTIFS('Session Tracker'!$D$5:$D$149,$A271,'Session Tracker'!$F$5:$F$149,"Next week",'Session Tracker'!$G$5:$G$149,"Tue"),$D271*SUMIFS('Session Tracker'!$J$5:$J$149,'Session Tracker'!$D$5:$D$149,$A271,'Session Tracker'!$F$5:$F$149,"Next week",'Session Tracker'!$G$5:$G$149,"Tue"))</f>
        <v>0</v>
      </c>
      <c r="J271" s="52" t="n">
        <f aca="false">IF($E271="Per class",$D271*COUNTIFS('Session Tracker'!$D$5:$D$149,$A271,'Session Tracker'!$F$5:$F$149,"Next week",'Session Tracker'!$G$5:$G$149,"Wed"),$D271*SUMIFS('Session Tracker'!$J$5:$J$149,'Session Tracker'!$D$5:$D$149,$A271,'Session Tracker'!$F$5:$F$149,"Next week",'Session Tracker'!$G$5:$G$149,"Wed"))</f>
        <v>0</v>
      </c>
      <c r="K271" s="52" t="n">
        <f aca="false">IF($E271="Per class",$D271*COUNTIFS('Session Tracker'!$D$5:$D$149,$A271,'Session Tracker'!$F$5:$F$149,"Next week",'Session Tracker'!$G$5:$G$149,"Thu"),$D271*SUMIFS('Session Tracker'!$J$5:$J$149,'Session Tracker'!$D$5:$D$149,$A271,'Session Tracker'!$F$5:$F$149,"Next week",'Session Tracker'!$G$5:$G$149,"Thu"))</f>
        <v>0</v>
      </c>
      <c r="L271" s="52" t="n">
        <f aca="false">IF($E271="Per class",$D271*COUNTIFS('Session Tracker'!$D$5:$D$149,$A271,'Session Tracker'!$F$5:$F$149,"Next week",'Session Tracker'!$G$5:$G$149,"Fri"),$D271*SUMIFS('Session Tracker'!$J$5:$J$149,'Session Tracker'!$D$5:$D$149,$A271,'Session Tracker'!$F$5:$F$149,"Next week",'Session Tracker'!$G$5:$G$149,"Fri"))</f>
        <v>0</v>
      </c>
      <c r="M271" s="52" t="n">
        <f aca="false">IF($E271="Per class",$D271*COUNTIFS('Session Tracker'!$D$5:$D$149,$A271,'Session Tracker'!$F$5:$F$149,"Next week",'Session Tracker'!$G$5:$G$149,""),$D271*SUMIFS('Session Tracker'!$J$5:$J$149,'Session Tracker'!$D$5:$D$149,$A271,'Session Tracker'!$F$5:$F$149,"Next week",'Session Tracker'!$G$5:$G$149,""))</f>
        <v>0</v>
      </c>
    </row>
    <row r="272" customFormat="false" ht="23.85" hidden="false" customHeight="false" outlineLevel="0" collapsed="false">
      <c r="A272" s="75" t="s">
        <v>328</v>
      </c>
      <c r="B272" s="34" t="s">
        <v>366</v>
      </c>
      <c r="C272" s="34" t="s">
        <v>391</v>
      </c>
      <c r="D272" s="32" t="n">
        <v>1</v>
      </c>
      <c r="E272" s="32" t="s">
        <v>14</v>
      </c>
      <c r="F272" s="32" t="s">
        <v>368</v>
      </c>
      <c r="G272" s="34"/>
      <c r="H272" s="52" t="n">
        <f aca="false">IF($E272="Per class",$D272*COUNTIFS('Session Tracker'!$D$5:$D$149,$A272,'Session Tracker'!$F$5:$F$149,"Next week",'Session Tracker'!$G$5:$G$149,"Mon"),$D272*SUMIFS('Session Tracker'!$J$5:$J$149,'Session Tracker'!$D$5:$D$149,$A272,'Session Tracker'!$F$5:$F$149,"Next week",'Session Tracker'!$G$5:$G$149,"Mon"))</f>
        <v>0</v>
      </c>
      <c r="I272" s="52" t="n">
        <f aca="false">IF($E272="Per class",$D272*COUNTIFS('Session Tracker'!$D$5:$D$149,$A272,'Session Tracker'!$F$5:$F$149,"Next week",'Session Tracker'!$G$5:$G$149,"Tue"),$D272*SUMIFS('Session Tracker'!$J$5:$J$149,'Session Tracker'!$D$5:$D$149,$A272,'Session Tracker'!$F$5:$F$149,"Next week",'Session Tracker'!$G$5:$G$149,"Tue"))</f>
        <v>0</v>
      </c>
      <c r="J272" s="52" t="n">
        <f aca="false">IF($E272="Per class",$D272*COUNTIFS('Session Tracker'!$D$5:$D$149,$A272,'Session Tracker'!$F$5:$F$149,"Next week",'Session Tracker'!$G$5:$G$149,"Wed"),$D272*SUMIFS('Session Tracker'!$J$5:$J$149,'Session Tracker'!$D$5:$D$149,$A272,'Session Tracker'!$F$5:$F$149,"Next week",'Session Tracker'!$G$5:$G$149,"Wed"))</f>
        <v>0</v>
      </c>
      <c r="K272" s="52" t="n">
        <f aca="false">IF($E272="Per class",$D272*COUNTIFS('Session Tracker'!$D$5:$D$149,$A272,'Session Tracker'!$F$5:$F$149,"Next week",'Session Tracker'!$G$5:$G$149,"Thu"),$D272*SUMIFS('Session Tracker'!$J$5:$J$149,'Session Tracker'!$D$5:$D$149,$A272,'Session Tracker'!$F$5:$F$149,"Next week",'Session Tracker'!$G$5:$G$149,"Thu"))</f>
        <v>0</v>
      </c>
      <c r="L272" s="52" t="n">
        <f aca="false">IF($E272="Per class",$D272*COUNTIFS('Session Tracker'!$D$5:$D$149,$A272,'Session Tracker'!$F$5:$F$149,"Next week",'Session Tracker'!$G$5:$G$149,"Fri"),$D272*SUMIFS('Session Tracker'!$J$5:$J$149,'Session Tracker'!$D$5:$D$149,$A272,'Session Tracker'!$F$5:$F$149,"Next week",'Session Tracker'!$G$5:$G$149,"Fri"))</f>
        <v>0</v>
      </c>
      <c r="M272" s="52" t="n">
        <f aca="false">IF($E272="Per class",$D272*COUNTIFS('Session Tracker'!$D$5:$D$149,$A272,'Session Tracker'!$F$5:$F$149,"Next week",'Session Tracker'!$G$5:$G$149,""),$D272*SUMIFS('Session Tracker'!$J$5:$J$149,'Session Tracker'!$D$5:$D$149,$A272,'Session Tracker'!$F$5:$F$149,"Next week",'Session Tracker'!$G$5:$G$149,""))</f>
        <v>0</v>
      </c>
    </row>
    <row r="273" customFormat="false" ht="15" hidden="false" customHeight="false" outlineLevel="0" collapsed="false">
      <c r="A273" s="75" t="s">
        <v>328</v>
      </c>
      <c r="B273" s="34" t="s">
        <v>379</v>
      </c>
      <c r="C273" s="34" t="s">
        <v>395</v>
      </c>
      <c r="D273" s="32" t="n">
        <v>8</v>
      </c>
      <c r="E273" s="32" t="s">
        <v>14</v>
      </c>
      <c r="F273" s="32" t="s">
        <v>368</v>
      </c>
      <c r="G273" s="34"/>
      <c r="H273" s="52" t="n">
        <f aca="false">IF($E273="Per class",$D273*COUNTIFS('Session Tracker'!$D$5:$D$149,$A273,'Session Tracker'!$F$5:$F$149,"Next week",'Session Tracker'!$G$5:$G$149,"Mon"),$D273*SUMIFS('Session Tracker'!$J$5:$J$149,'Session Tracker'!$D$5:$D$149,$A273,'Session Tracker'!$F$5:$F$149,"Next week",'Session Tracker'!$G$5:$G$149,"Mon"))</f>
        <v>0</v>
      </c>
      <c r="I273" s="52" t="n">
        <f aca="false">IF($E273="Per class",$D273*COUNTIFS('Session Tracker'!$D$5:$D$149,$A273,'Session Tracker'!$F$5:$F$149,"Next week",'Session Tracker'!$G$5:$G$149,"Tue"),$D273*SUMIFS('Session Tracker'!$J$5:$J$149,'Session Tracker'!$D$5:$D$149,$A273,'Session Tracker'!$F$5:$F$149,"Next week",'Session Tracker'!$G$5:$G$149,"Tue"))</f>
        <v>0</v>
      </c>
      <c r="J273" s="52" t="n">
        <f aca="false">IF($E273="Per class",$D273*COUNTIFS('Session Tracker'!$D$5:$D$149,$A273,'Session Tracker'!$F$5:$F$149,"Next week",'Session Tracker'!$G$5:$G$149,"Wed"),$D273*SUMIFS('Session Tracker'!$J$5:$J$149,'Session Tracker'!$D$5:$D$149,$A273,'Session Tracker'!$F$5:$F$149,"Next week",'Session Tracker'!$G$5:$G$149,"Wed"))</f>
        <v>0</v>
      </c>
      <c r="K273" s="52" t="n">
        <f aca="false">IF($E273="Per class",$D273*COUNTIFS('Session Tracker'!$D$5:$D$149,$A273,'Session Tracker'!$F$5:$F$149,"Next week",'Session Tracker'!$G$5:$G$149,"Thu"),$D273*SUMIFS('Session Tracker'!$J$5:$J$149,'Session Tracker'!$D$5:$D$149,$A273,'Session Tracker'!$F$5:$F$149,"Next week",'Session Tracker'!$G$5:$G$149,"Thu"))</f>
        <v>0</v>
      </c>
      <c r="L273" s="52" t="n">
        <f aca="false">IF($E273="Per class",$D273*COUNTIFS('Session Tracker'!$D$5:$D$149,$A273,'Session Tracker'!$F$5:$F$149,"Next week",'Session Tracker'!$G$5:$G$149,"Fri"),$D273*SUMIFS('Session Tracker'!$J$5:$J$149,'Session Tracker'!$D$5:$D$149,$A273,'Session Tracker'!$F$5:$F$149,"Next week",'Session Tracker'!$G$5:$G$149,"Fri"))</f>
        <v>0</v>
      </c>
      <c r="M273" s="52" t="n">
        <f aca="false">IF($E273="Per class",$D273*COUNTIFS('Session Tracker'!$D$5:$D$149,$A273,'Session Tracker'!$F$5:$F$149,"Next week",'Session Tracker'!$G$5:$G$149,""),$D273*SUMIFS('Session Tracker'!$J$5:$J$149,'Session Tracker'!$D$5:$D$149,$A273,'Session Tracker'!$F$5:$F$149,"Next week",'Session Tracker'!$G$5:$G$149,""))</f>
        <v>0</v>
      </c>
    </row>
    <row r="274" customFormat="false" ht="15" hidden="false" customHeight="false" outlineLevel="0" collapsed="false">
      <c r="A274" s="75" t="s">
        <v>328</v>
      </c>
      <c r="B274" s="34" t="s">
        <v>382</v>
      </c>
      <c r="C274" s="34" t="s">
        <v>383</v>
      </c>
      <c r="D274" s="32" t="n">
        <v>1</v>
      </c>
      <c r="E274" s="32" t="s">
        <v>14</v>
      </c>
      <c r="F274" s="32" t="s">
        <v>368</v>
      </c>
      <c r="G274" s="34"/>
      <c r="H274" s="52" t="n">
        <f aca="false">IF($E274="Per class",$D274*COUNTIFS('Session Tracker'!$D$5:$D$149,$A274,'Session Tracker'!$F$5:$F$149,"Next week",'Session Tracker'!$G$5:$G$149,"Mon"),$D274*SUMIFS('Session Tracker'!$J$5:$J$149,'Session Tracker'!$D$5:$D$149,$A274,'Session Tracker'!$F$5:$F$149,"Next week",'Session Tracker'!$G$5:$G$149,"Mon"))</f>
        <v>0</v>
      </c>
      <c r="I274" s="52" t="n">
        <f aca="false">IF($E274="Per class",$D274*COUNTIFS('Session Tracker'!$D$5:$D$149,$A274,'Session Tracker'!$F$5:$F$149,"Next week",'Session Tracker'!$G$5:$G$149,"Tue"),$D274*SUMIFS('Session Tracker'!$J$5:$J$149,'Session Tracker'!$D$5:$D$149,$A274,'Session Tracker'!$F$5:$F$149,"Next week",'Session Tracker'!$G$5:$G$149,"Tue"))</f>
        <v>0</v>
      </c>
      <c r="J274" s="52" t="n">
        <f aca="false">IF($E274="Per class",$D274*COUNTIFS('Session Tracker'!$D$5:$D$149,$A274,'Session Tracker'!$F$5:$F$149,"Next week",'Session Tracker'!$G$5:$G$149,"Wed"),$D274*SUMIFS('Session Tracker'!$J$5:$J$149,'Session Tracker'!$D$5:$D$149,$A274,'Session Tracker'!$F$5:$F$149,"Next week",'Session Tracker'!$G$5:$G$149,"Wed"))</f>
        <v>0</v>
      </c>
      <c r="K274" s="52" t="n">
        <f aca="false">IF($E274="Per class",$D274*COUNTIFS('Session Tracker'!$D$5:$D$149,$A274,'Session Tracker'!$F$5:$F$149,"Next week",'Session Tracker'!$G$5:$G$149,"Thu"),$D274*SUMIFS('Session Tracker'!$J$5:$J$149,'Session Tracker'!$D$5:$D$149,$A274,'Session Tracker'!$F$5:$F$149,"Next week",'Session Tracker'!$G$5:$G$149,"Thu"))</f>
        <v>0</v>
      </c>
      <c r="L274" s="52" t="n">
        <f aca="false">IF($E274="Per class",$D274*COUNTIFS('Session Tracker'!$D$5:$D$149,$A274,'Session Tracker'!$F$5:$F$149,"Next week",'Session Tracker'!$G$5:$G$149,"Fri"),$D274*SUMIFS('Session Tracker'!$J$5:$J$149,'Session Tracker'!$D$5:$D$149,$A274,'Session Tracker'!$F$5:$F$149,"Next week",'Session Tracker'!$G$5:$G$149,"Fri"))</f>
        <v>0</v>
      </c>
      <c r="M274" s="52" t="n">
        <f aca="false">IF($E274="Per class",$D274*COUNTIFS('Session Tracker'!$D$5:$D$149,$A274,'Session Tracker'!$F$5:$F$149,"Next week",'Session Tracker'!$G$5:$G$149,""),$D274*SUMIFS('Session Tracker'!$J$5:$J$149,'Session Tracker'!$D$5:$D$149,$A274,'Session Tracker'!$F$5:$F$149,"Next week",'Session Tracker'!$G$5:$G$149,""))</f>
        <v>0</v>
      </c>
    </row>
    <row r="275" customFormat="false" ht="15" hidden="false" customHeight="false" outlineLevel="0" collapsed="false">
      <c r="A275" s="53" t="s">
        <v>328</v>
      </c>
      <c r="B275" s="54"/>
      <c r="C275" s="54"/>
      <c r="D275" s="54"/>
      <c r="E275" s="54"/>
      <c r="F275" s="54"/>
      <c r="G275" s="54"/>
      <c r="H275" s="52" t="n">
        <f aca="false">IF($E275="Per class",$D275*COUNTIFS('Session Tracker'!$D$5:$D$149,$A275,'Session Tracker'!$F$5:$F$149,"Next week",'Session Tracker'!$G$5:$G$149,"Mon"),$D275*SUMIFS('Session Tracker'!$J$5:$J$149,'Session Tracker'!$D$5:$D$149,$A275,'Session Tracker'!$F$5:$F$149,"Next week",'Session Tracker'!$G$5:$G$149,"Mon"))</f>
        <v>0</v>
      </c>
      <c r="I275" s="52" t="n">
        <f aca="false">IF($E275="Per class",$D275*COUNTIFS('Session Tracker'!$D$5:$D$149,$A275,'Session Tracker'!$F$5:$F$149,"Next week",'Session Tracker'!$G$5:$G$149,"Tue"),$D275*SUMIFS('Session Tracker'!$J$5:$J$149,'Session Tracker'!$D$5:$D$149,$A275,'Session Tracker'!$F$5:$F$149,"Next week",'Session Tracker'!$G$5:$G$149,"Tue"))</f>
        <v>0</v>
      </c>
      <c r="J275" s="52" t="n">
        <f aca="false">IF($E275="Per class",$D275*COUNTIFS('Session Tracker'!$D$5:$D$149,$A275,'Session Tracker'!$F$5:$F$149,"Next week",'Session Tracker'!$G$5:$G$149,"Wed"),$D275*SUMIFS('Session Tracker'!$J$5:$J$149,'Session Tracker'!$D$5:$D$149,$A275,'Session Tracker'!$F$5:$F$149,"Next week",'Session Tracker'!$G$5:$G$149,"Wed"))</f>
        <v>0</v>
      </c>
      <c r="K275" s="52" t="n">
        <f aca="false">IF($E275="Per class",$D275*COUNTIFS('Session Tracker'!$D$5:$D$149,$A275,'Session Tracker'!$F$5:$F$149,"Next week",'Session Tracker'!$G$5:$G$149,"Thu"),$D275*SUMIFS('Session Tracker'!$J$5:$J$149,'Session Tracker'!$D$5:$D$149,$A275,'Session Tracker'!$F$5:$F$149,"Next week",'Session Tracker'!$G$5:$G$149,"Thu"))</f>
        <v>0</v>
      </c>
      <c r="L275" s="52" t="n">
        <f aca="false">IF($E275="Per class",$D275*COUNTIFS('Session Tracker'!$D$5:$D$149,$A275,'Session Tracker'!$F$5:$F$149,"Next week",'Session Tracker'!$G$5:$G$149,"Fri"),$D275*SUMIFS('Session Tracker'!$J$5:$J$149,'Session Tracker'!$D$5:$D$149,$A275,'Session Tracker'!$F$5:$F$149,"Next week",'Session Tracker'!$G$5:$G$149,"Fri"))</f>
        <v>0</v>
      </c>
      <c r="M275" s="52" t="n">
        <f aca="false">IF($E275="Per class",$D275*COUNTIFS('Session Tracker'!$D$5:$D$149,$A275,'Session Tracker'!$F$5:$F$149,"Next week",'Session Tracker'!$G$5:$G$149,""),$D275*SUMIFS('Session Tracker'!$J$5:$J$149,'Session Tracker'!$D$5:$D$149,$A275,'Session Tracker'!$F$5:$F$149,"Next week",'Session Tracker'!$G$5:$G$149,""))</f>
        <v>0</v>
      </c>
    </row>
    <row r="276" customFormat="false" ht="15" hidden="false" customHeight="false" outlineLevel="0" collapsed="false">
      <c r="A276" s="53" t="s">
        <v>328</v>
      </c>
      <c r="B276" s="54"/>
      <c r="C276" s="54"/>
      <c r="D276" s="54"/>
      <c r="E276" s="54"/>
      <c r="F276" s="54"/>
      <c r="G276" s="54"/>
      <c r="H276" s="52" t="n">
        <f aca="false">IF($E276="Per class",$D276*COUNTIFS('Session Tracker'!$D$5:$D$149,$A276,'Session Tracker'!$F$5:$F$149,"Next week",'Session Tracker'!$G$5:$G$149,"Mon"),$D276*SUMIFS('Session Tracker'!$J$5:$J$149,'Session Tracker'!$D$5:$D$149,$A276,'Session Tracker'!$F$5:$F$149,"Next week",'Session Tracker'!$G$5:$G$149,"Mon"))</f>
        <v>0</v>
      </c>
      <c r="I276" s="52" t="n">
        <f aca="false">IF($E276="Per class",$D276*COUNTIFS('Session Tracker'!$D$5:$D$149,$A276,'Session Tracker'!$F$5:$F$149,"Next week",'Session Tracker'!$G$5:$G$149,"Tue"),$D276*SUMIFS('Session Tracker'!$J$5:$J$149,'Session Tracker'!$D$5:$D$149,$A276,'Session Tracker'!$F$5:$F$149,"Next week",'Session Tracker'!$G$5:$G$149,"Tue"))</f>
        <v>0</v>
      </c>
      <c r="J276" s="52" t="n">
        <f aca="false">IF($E276="Per class",$D276*COUNTIFS('Session Tracker'!$D$5:$D$149,$A276,'Session Tracker'!$F$5:$F$149,"Next week",'Session Tracker'!$G$5:$G$149,"Wed"),$D276*SUMIFS('Session Tracker'!$J$5:$J$149,'Session Tracker'!$D$5:$D$149,$A276,'Session Tracker'!$F$5:$F$149,"Next week",'Session Tracker'!$G$5:$G$149,"Wed"))</f>
        <v>0</v>
      </c>
      <c r="K276" s="52" t="n">
        <f aca="false">IF($E276="Per class",$D276*COUNTIFS('Session Tracker'!$D$5:$D$149,$A276,'Session Tracker'!$F$5:$F$149,"Next week",'Session Tracker'!$G$5:$G$149,"Thu"),$D276*SUMIFS('Session Tracker'!$J$5:$J$149,'Session Tracker'!$D$5:$D$149,$A276,'Session Tracker'!$F$5:$F$149,"Next week",'Session Tracker'!$G$5:$G$149,"Thu"))</f>
        <v>0</v>
      </c>
      <c r="L276" s="52" t="n">
        <f aca="false">IF($E276="Per class",$D276*COUNTIFS('Session Tracker'!$D$5:$D$149,$A276,'Session Tracker'!$F$5:$F$149,"Next week",'Session Tracker'!$G$5:$G$149,"Fri"),$D276*SUMIFS('Session Tracker'!$J$5:$J$149,'Session Tracker'!$D$5:$D$149,$A276,'Session Tracker'!$F$5:$F$149,"Next week",'Session Tracker'!$G$5:$G$149,"Fri"))</f>
        <v>0</v>
      </c>
      <c r="M276" s="52" t="n">
        <f aca="false">IF($E276="Per class",$D276*COUNTIFS('Session Tracker'!$D$5:$D$149,$A276,'Session Tracker'!$F$5:$F$149,"Next week",'Session Tracker'!$G$5:$G$149,""),$D276*SUMIFS('Session Tracker'!$J$5:$J$149,'Session Tracker'!$D$5:$D$149,$A276,'Session Tracker'!$F$5:$F$149,"Next week",'Session Tracker'!$G$5:$G$149,""))</f>
        <v>0</v>
      </c>
    </row>
    <row r="278" customFormat="false" ht="19.5" hidden="false" customHeight="true" outlineLevel="0" collapsed="false">
      <c r="A278" s="71" t="s">
        <v>330</v>
      </c>
      <c r="B278" s="72" t="s">
        <v>685</v>
      </c>
      <c r="C278" s="72"/>
      <c r="D278" s="72"/>
      <c r="E278" s="72"/>
      <c r="F278" s="73" t="str">
        <f aca="false">"Status: "&amp;'Session Tracker'!F136&amp;IF('Session Tracker'!G136&lt;&gt;""," ("&amp;'Session Tracker'!G136&amp;")","")</f>
        <v>Status: Not started</v>
      </c>
      <c r="G278" s="73"/>
      <c r="H278" s="74"/>
      <c r="I278" s="74"/>
      <c r="J278" s="74"/>
      <c r="K278" s="74"/>
      <c r="L278" s="74"/>
      <c r="M278" s="74"/>
    </row>
    <row r="279" customFormat="false" ht="23.85" hidden="false" customHeight="false" outlineLevel="0" collapsed="false">
      <c r="A279" s="75" t="s">
        <v>330</v>
      </c>
      <c r="B279" s="34" t="s">
        <v>366</v>
      </c>
      <c r="C279" s="34" t="s">
        <v>391</v>
      </c>
      <c r="D279" s="32" t="n">
        <v>1</v>
      </c>
      <c r="E279" s="32" t="s">
        <v>14</v>
      </c>
      <c r="F279" s="32" t="s">
        <v>368</v>
      </c>
      <c r="G279" s="34"/>
      <c r="H279" s="52" t="n">
        <f aca="false">IF($E279="Per class",$D279*COUNTIFS('Session Tracker'!$D$5:$D$149,$A279,'Session Tracker'!$F$5:$F$149,"Next week",'Session Tracker'!$G$5:$G$149,"Mon"),$D279*SUMIFS('Session Tracker'!$J$5:$J$149,'Session Tracker'!$D$5:$D$149,$A279,'Session Tracker'!$F$5:$F$149,"Next week",'Session Tracker'!$G$5:$G$149,"Mon"))</f>
        <v>0</v>
      </c>
      <c r="I279" s="52" t="n">
        <f aca="false">IF($E279="Per class",$D279*COUNTIFS('Session Tracker'!$D$5:$D$149,$A279,'Session Tracker'!$F$5:$F$149,"Next week",'Session Tracker'!$G$5:$G$149,"Tue"),$D279*SUMIFS('Session Tracker'!$J$5:$J$149,'Session Tracker'!$D$5:$D$149,$A279,'Session Tracker'!$F$5:$F$149,"Next week",'Session Tracker'!$G$5:$G$149,"Tue"))</f>
        <v>0</v>
      </c>
      <c r="J279" s="52" t="n">
        <f aca="false">IF($E279="Per class",$D279*COUNTIFS('Session Tracker'!$D$5:$D$149,$A279,'Session Tracker'!$F$5:$F$149,"Next week",'Session Tracker'!$G$5:$G$149,"Wed"),$D279*SUMIFS('Session Tracker'!$J$5:$J$149,'Session Tracker'!$D$5:$D$149,$A279,'Session Tracker'!$F$5:$F$149,"Next week",'Session Tracker'!$G$5:$G$149,"Wed"))</f>
        <v>0</v>
      </c>
      <c r="K279" s="52" t="n">
        <f aca="false">IF($E279="Per class",$D279*COUNTIFS('Session Tracker'!$D$5:$D$149,$A279,'Session Tracker'!$F$5:$F$149,"Next week",'Session Tracker'!$G$5:$G$149,"Thu"),$D279*SUMIFS('Session Tracker'!$J$5:$J$149,'Session Tracker'!$D$5:$D$149,$A279,'Session Tracker'!$F$5:$F$149,"Next week",'Session Tracker'!$G$5:$G$149,"Thu"))</f>
        <v>0</v>
      </c>
      <c r="L279" s="52" t="n">
        <f aca="false">IF($E279="Per class",$D279*COUNTIFS('Session Tracker'!$D$5:$D$149,$A279,'Session Tracker'!$F$5:$F$149,"Next week",'Session Tracker'!$G$5:$G$149,"Fri"),$D279*SUMIFS('Session Tracker'!$J$5:$J$149,'Session Tracker'!$D$5:$D$149,$A279,'Session Tracker'!$F$5:$F$149,"Next week",'Session Tracker'!$G$5:$G$149,"Fri"))</f>
        <v>0</v>
      </c>
      <c r="M279" s="52" t="n">
        <f aca="false">IF($E279="Per class",$D279*COUNTIFS('Session Tracker'!$D$5:$D$149,$A279,'Session Tracker'!$F$5:$F$149,"Next week",'Session Tracker'!$G$5:$G$149,""),$D279*SUMIFS('Session Tracker'!$J$5:$J$149,'Session Tracker'!$D$5:$D$149,$A279,'Session Tracker'!$F$5:$F$149,"Next week",'Session Tracker'!$G$5:$G$149,""))</f>
        <v>0</v>
      </c>
    </row>
    <row r="280" customFormat="false" ht="15" hidden="false" customHeight="false" outlineLevel="0" collapsed="false">
      <c r="A280" s="75" t="s">
        <v>330</v>
      </c>
      <c r="B280" s="34" t="s">
        <v>369</v>
      </c>
      <c r="C280" s="34" t="s">
        <v>550</v>
      </c>
      <c r="D280" s="32" t="n">
        <v>1</v>
      </c>
      <c r="E280" s="32" t="s">
        <v>14</v>
      </c>
      <c r="F280" s="32" t="s">
        <v>368</v>
      </c>
      <c r="G280" s="34"/>
      <c r="H280" s="52" t="n">
        <f aca="false">IF($E280="Per class",$D280*COUNTIFS('Session Tracker'!$D$5:$D$149,$A280,'Session Tracker'!$F$5:$F$149,"Next week",'Session Tracker'!$G$5:$G$149,"Mon"),$D280*SUMIFS('Session Tracker'!$J$5:$J$149,'Session Tracker'!$D$5:$D$149,$A280,'Session Tracker'!$F$5:$F$149,"Next week",'Session Tracker'!$G$5:$G$149,"Mon"))</f>
        <v>0</v>
      </c>
      <c r="I280" s="52" t="n">
        <f aca="false">IF($E280="Per class",$D280*COUNTIFS('Session Tracker'!$D$5:$D$149,$A280,'Session Tracker'!$F$5:$F$149,"Next week",'Session Tracker'!$G$5:$G$149,"Tue"),$D280*SUMIFS('Session Tracker'!$J$5:$J$149,'Session Tracker'!$D$5:$D$149,$A280,'Session Tracker'!$F$5:$F$149,"Next week",'Session Tracker'!$G$5:$G$149,"Tue"))</f>
        <v>0</v>
      </c>
      <c r="J280" s="52" t="n">
        <f aca="false">IF($E280="Per class",$D280*COUNTIFS('Session Tracker'!$D$5:$D$149,$A280,'Session Tracker'!$F$5:$F$149,"Next week",'Session Tracker'!$G$5:$G$149,"Wed"),$D280*SUMIFS('Session Tracker'!$J$5:$J$149,'Session Tracker'!$D$5:$D$149,$A280,'Session Tracker'!$F$5:$F$149,"Next week",'Session Tracker'!$G$5:$G$149,"Wed"))</f>
        <v>0</v>
      </c>
      <c r="K280" s="52" t="n">
        <f aca="false">IF($E280="Per class",$D280*COUNTIFS('Session Tracker'!$D$5:$D$149,$A280,'Session Tracker'!$F$5:$F$149,"Next week",'Session Tracker'!$G$5:$G$149,"Thu"),$D280*SUMIFS('Session Tracker'!$J$5:$J$149,'Session Tracker'!$D$5:$D$149,$A280,'Session Tracker'!$F$5:$F$149,"Next week",'Session Tracker'!$G$5:$G$149,"Thu"))</f>
        <v>0</v>
      </c>
      <c r="L280" s="52" t="n">
        <f aca="false">IF($E280="Per class",$D280*COUNTIFS('Session Tracker'!$D$5:$D$149,$A280,'Session Tracker'!$F$5:$F$149,"Next week",'Session Tracker'!$G$5:$G$149,"Fri"),$D280*SUMIFS('Session Tracker'!$J$5:$J$149,'Session Tracker'!$D$5:$D$149,$A280,'Session Tracker'!$F$5:$F$149,"Next week",'Session Tracker'!$G$5:$G$149,"Fri"))</f>
        <v>0</v>
      </c>
      <c r="M280" s="52" t="n">
        <f aca="false">IF($E280="Per class",$D280*COUNTIFS('Session Tracker'!$D$5:$D$149,$A280,'Session Tracker'!$F$5:$F$149,"Next week",'Session Tracker'!$G$5:$G$149,""),$D280*SUMIFS('Session Tracker'!$J$5:$J$149,'Session Tracker'!$D$5:$D$149,$A280,'Session Tracker'!$F$5:$F$149,"Next week",'Session Tracker'!$G$5:$G$149,""))</f>
        <v>0</v>
      </c>
    </row>
    <row r="281" customFormat="false" ht="15" hidden="false" customHeight="false" outlineLevel="0" collapsed="false">
      <c r="A281" s="75" t="s">
        <v>330</v>
      </c>
      <c r="B281" s="34" t="s">
        <v>379</v>
      </c>
      <c r="C281" s="34" t="s">
        <v>380</v>
      </c>
      <c r="D281" s="32" t="n">
        <v>1</v>
      </c>
      <c r="E281" s="32" t="s">
        <v>14</v>
      </c>
      <c r="F281" s="32" t="s">
        <v>368</v>
      </c>
      <c r="G281" s="34"/>
      <c r="H281" s="52" t="n">
        <f aca="false">IF($E281="Per class",$D281*COUNTIFS('Session Tracker'!$D$5:$D$149,$A281,'Session Tracker'!$F$5:$F$149,"Next week",'Session Tracker'!$G$5:$G$149,"Mon"),$D281*SUMIFS('Session Tracker'!$J$5:$J$149,'Session Tracker'!$D$5:$D$149,$A281,'Session Tracker'!$F$5:$F$149,"Next week",'Session Tracker'!$G$5:$G$149,"Mon"))</f>
        <v>0</v>
      </c>
      <c r="I281" s="52" t="n">
        <f aca="false">IF($E281="Per class",$D281*COUNTIFS('Session Tracker'!$D$5:$D$149,$A281,'Session Tracker'!$F$5:$F$149,"Next week",'Session Tracker'!$G$5:$G$149,"Tue"),$D281*SUMIFS('Session Tracker'!$J$5:$J$149,'Session Tracker'!$D$5:$D$149,$A281,'Session Tracker'!$F$5:$F$149,"Next week",'Session Tracker'!$G$5:$G$149,"Tue"))</f>
        <v>0</v>
      </c>
      <c r="J281" s="52" t="n">
        <f aca="false">IF($E281="Per class",$D281*COUNTIFS('Session Tracker'!$D$5:$D$149,$A281,'Session Tracker'!$F$5:$F$149,"Next week",'Session Tracker'!$G$5:$G$149,"Wed"),$D281*SUMIFS('Session Tracker'!$J$5:$J$149,'Session Tracker'!$D$5:$D$149,$A281,'Session Tracker'!$F$5:$F$149,"Next week",'Session Tracker'!$G$5:$G$149,"Wed"))</f>
        <v>0</v>
      </c>
      <c r="K281" s="52" t="n">
        <f aca="false">IF($E281="Per class",$D281*COUNTIFS('Session Tracker'!$D$5:$D$149,$A281,'Session Tracker'!$F$5:$F$149,"Next week",'Session Tracker'!$G$5:$G$149,"Thu"),$D281*SUMIFS('Session Tracker'!$J$5:$J$149,'Session Tracker'!$D$5:$D$149,$A281,'Session Tracker'!$F$5:$F$149,"Next week",'Session Tracker'!$G$5:$G$149,"Thu"))</f>
        <v>0</v>
      </c>
      <c r="L281" s="52" t="n">
        <f aca="false">IF($E281="Per class",$D281*COUNTIFS('Session Tracker'!$D$5:$D$149,$A281,'Session Tracker'!$F$5:$F$149,"Next week",'Session Tracker'!$G$5:$G$149,"Fri"),$D281*SUMIFS('Session Tracker'!$J$5:$J$149,'Session Tracker'!$D$5:$D$149,$A281,'Session Tracker'!$F$5:$F$149,"Next week",'Session Tracker'!$G$5:$G$149,"Fri"))</f>
        <v>0</v>
      </c>
      <c r="M281" s="52" t="n">
        <f aca="false">IF($E281="Per class",$D281*COUNTIFS('Session Tracker'!$D$5:$D$149,$A281,'Session Tracker'!$F$5:$F$149,"Next week",'Session Tracker'!$G$5:$G$149,""),$D281*SUMIFS('Session Tracker'!$J$5:$J$149,'Session Tracker'!$D$5:$D$149,$A281,'Session Tracker'!$F$5:$F$149,"Next week",'Session Tracker'!$G$5:$G$149,""))</f>
        <v>0</v>
      </c>
    </row>
    <row r="282" customFormat="false" ht="15" hidden="false" customHeight="false" outlineLevel="0" collapsed="false">
      <c r="A282" s="75" t="s">
        <v>330</v>
      </c>
      <c r="B282" s="34" t="s">
        <v>379</v>
      </c>
      <c r="C282" s="34" t="s">
        <v>381</v>
      </c>
      <c r="D282" s="32" t="n">
        <v>4</v>
      </c>
      <c r="E282" s="32" t="s">
        <v>14</v>
      </c>
      <c r="F282" s="32" t="s">
        <v>368</v>
      </c>
      <c r="G282" s="34"/>
      <c r="H282" s="52" t="n">
        <f aca="false">IF($E282="Per class",$D282*COUNTIFS('Session Tracker'!$D$5:$D$149,$A282,'Session Tracker'!$F$5:$F$149,"Next week",'Session Tracker'!$G$5:$G$149,"Mon"),$D282*SUMIFS('Session Tracker'!$J$5:$J$149,'Session Tracker'!$D$5:$D$149,$A282,'Session Tracker'!$F$5:$F$149,"Next week",'Session Tracker'!$G$5:$G$149,"Mon"))</f>
        <v>0</v>
      </c>
      <c r="I282" s="52" t="n">
        <f aca="false">IF($E282="Per class",$D282*COUNTIFS('Session Tracker'!$D$5:$D$149,$A282,'Session Tracker'!$F$5:$F$149,"Next week",'Session Tracker'!$G$5:$G$149,"Tue"),$D282*SUMIFS('Session Tracker'!$J$5:$J$149,'Session Tracker'!$D$5:$D$149,$A282,'Session Tracker'!$F$5:$F$149,"Next week",'Session Tracker'!$G$5:$G$149,"Tue"))</f>
        <v>0</v>
      </c>
      <c r="J282" s="52" t="n">
        <f aca="false">IF($E282="Per class",$D282*COUNTIFS('Session Tracker'!$D$5:$D$149,$A282,'Session Tracker'!$F$5:$F$149,"Next week",'Session Tracker'!$G$5:$G$149,"Wed"),$D282*SUMIFS('Session Tracker'!$J$5:$J$149,'Session Tracker'!$D$5:$D$149,$A282,'Session Tracker'!$F$5:$F$149,"Next week",'Session Tracker'!$G$5:$G$149,"Wed"))</f>
        <v>0</v>
      </c>
      <c r="K282" s="52" t="n">
        <f aca="false">IF($E282="Per class",$D282*COUNTIFS('Session Tracker'!$D$5:$D$149,$A282,'Session Tracker'!$F$5:$F$149,"Next week",'Session Tracker'!$G$5:$G$149,"Thu"),$D282*SUMIFS('Session Tracker'!$J$5:$J$149,'Session Tracker'!$D$5:$D$149,$A282,'Session Tracker'!$F$5:$F$149,"Next week",'Session Tracker'!$G$5:$G$149,"Thu"))</f>
        <v>0</v>
      </c>
      <c r="L282" s="52" t="n">
        <f aca="false">IF($E282="Per class",$D282*COUNTIFS('Session Tracker'!$D$5:$D$149,$A282,'Session Tracker'!$F$5:$F$149,"Next week",'Session Tracker'!$G$5:$G$149,"Fri"),$D282*SUMIFS('Session Tracker'!$J$5:$J$149,'Session Tracker'!$D$5:$D$149,$A282,'Session Tracker'!$F$5:$F$149,"Next week",'Session Tracker'!$G$5:$G$149,"Fri"))</f>
        <v>0</v>
      </c>
      <c r="M282" s="52" t="n">
        <f aca="false">IF($E282="Per class",$D282*COUNTIFS('Session Tracker'!$D$5:$D$149,$A282,'Session Tracker'!$F$5:$F$149,"Next week",'Session Tracker'!$G$5:$G$149,""),$D282*SUMIFS('Session Tracker'!$J$5:$J$149,'Session Tracker'!$D$5:$D$149,$A282,'Session Tracker'!$F$5:$F$149,"Next week",'Session Tracker'!$G$5:$G$149,""))</f>
        <v>0</v>
      </c>
    </row>
    <row r="283" customFormat="false" ht="15" hidden="false" customHeight="false" outlineLevel="0" collapsed="false">
      <c r="A283" s="75" t="s">
        <v>330</v>
      </c>
      <c r="B283" s="34" t="s">
        <v>382</v>
      </c>
      <c r="C283" s="34" t="s">
        <v>383</v>
      </c>
      <c r="D283" s="32" t="n">
        <v>1</v>
      </c>
      <c r="E283" s="32" t="s">
        <v>14</v>
      </c>
      <c r="F283" s="32" t="s">
        <v>368</v>
      </c>
      <c r="G283" s="34"/>
      <c r="H283" s="52" t="n">
        <f aca="false">IF($E283="Per class",$D283*COUNTIFS('Session Tracker'!$D$5:$D$149,$A283,'Session Tracker'!$F$5:$F$149,"Next week",'Session Tracker'!$G$5:$G$149,"Mon"),$D283*SUMIFS('Session Tracker'!$J$5:$J$149,'Session Tracker'!$D$5:$D$149,$A283,'Session Tracker'!$F$5:$F$149,"Next week",'Session Tracker'!$G$5:$G$149,"Mon"))</f>
        <v>0</v>
      </c>
      <c r="I283" s="52" t="n">
        <f aca="false">IF($E283="Per class",$D283*COUNTIFS('Session Tracker'!$D$5:$D$149,$A283,'Session Tracker'!$F$5:$F$149,"Next week",'Session Tracker'!$G$5:$G$149,"Tue"),$D283*SUMIFS('Session Tracker'!$J$5:$J$149,'Session Tracker'!$D$5:$D$149,$A283,'Session Tracker'!$F$5:$F$149,"Next week",'Session Tracker'!$G$5:$G$149,"Tue"))</f>
        <v>0</v>
      </c>
      <c r="J283" s="52" t="n">
        <f aca="false">IF($E283="Per class",$D283*COUNTIFS('Session Tracker'!$D$5:$D$149,$A283,'Session Tracker'!$F$5:$F$149,"Next week",'Session Tracker'!$G$5:$G$149,"Wed"),$D283*SUMIFS('Session Tracker'!$J$5:$J$149,'Session Tracker'!$D$5:$D$149,$A283,'Session Tracker'!$F$5:$F$149,"Next week",'Session Tracker'!$G$5:$G$149,"Wed"))</f>
        <v>0</v>
      </c>
      <c r="K283" s="52" t="n">
        <f aca="false">IF($E283="Per class",$D283*COUNTIFS('Session Tracker'!$D$5:$D$149,$A283,'Session Tracker'!$F$5:$F$149,"Next week",'Session Tracker'!$G$5:$G$149,"Thu"),$D283*SUMIFS('Session Tracker'!$J$5:$J$149,'Session Tracker'!$D$5:$D$149,$A283,'Session Tracker'!$F$5:$F$149,"Next week",'Session Tracker'!$G$5:$G$149,"Thu"))</f>
        <v>0</v>
      </c>
      <c r="L283" s="52" t="n">
        <f aca="false">IF($E283="Per class",$D283*COUNTIFS('Session Tracker'!$D$5:$D$149,$A283,'Session Tracker'!$F$5:$F$149,"Next week",'Session Tracker'!$G$5:$G$149,"Fri"),$D283*SUMIFS('Session Tracker'!$J$5:$J$149,'Session Tracker'!$D$5:$D$149,$A283,'Session Tracker'!$F$5:$F$149,"Next week",'Session Tracker'!$G$5:$G$149,"Fri"))</f>
        <v>0</v>
      </c>
      <c r="M283" s="52" t="n">
        <f aca="false">IF($E283="Per class",$D283*COUNTIFS('Session Tracker'!$D$5:$D$149,$A283,'Session Tracker'!$F$5:$F$149,"Next week",'Session Tracker'!$G$5:$G$149,""),$D283*SUMIFS('Session Tracker'!$J$5:$J$149,'Session Tracker'!$D$5:$D$149,$A283,'Session Tracker'!$F$5:$F$149,"Next week",'Session Tracker'!$G$5:$G$149,""))</f>
        <v>0</v>
      </c>
    </row>
    <row r="284" customFormat="false" ht="15" hidden="false" customHeight="false" outlineLevel="0" collapsed="false">
      <c r="A284" s="53" t="s">
        <v>330</v>
      </c>
      <c r="B284" s="54"/>
      <c r="C284" s="54"/>
      <c r="D284" s="54"/>
      <c r="E284" s="54"/>
      <c r="F284" s="54"/>
      <c r="G284" s="54"/>
      <c r="H284" s="52" t="n">
        <f aca="false">IF($E284="Per class",$D284*COUNTIFS('Session Tracker'!$D$5:$D$149,$A284,'Session Tracker'!$F$5:$F$149,"Next week",'Session Tracker'!$G$5:$G$149,"Mon"),$D284*SUMIFS('Session Tracker'!$J$5:$J$149,'Session Tracker'!$D$5:$D$149,$A284,'Session Tracker'!$F$5:$F$149,"Next week",'Session Tracker'!$G$5:$G$149,"Mon"))</f>
        <v>0</v>
      </c>
      <c r="I284" s="52" t="n">
        <f aca="false">IF($E284="Per class",$D284*COUNTIFS('Session Tracker'!$D$5:$D$149,$A284,'Session Tracker'!$F$5:$F$149,"Next week",'Session Tracker'!$G$5:$G$149,"Tue"),$D284*SUMIFS('Session Tracker'!$J$5:$J$149,'Session Tracker'!$D$5:$D$149,$A284,'Session Tracker'!$F$5:$F$149,"Next week",'Session Tracker'!$G$5:$G$149,"Tue"))</f>
        <v>0</v>
      </c>
      <c r="J284" s="52" t="n">
        <f aca="false">IF($E284="Per class",$D284*COUNTIFS('Session Tracker'!$D$5:$D$149,$A284,'Session Tracker'!$F$5:$F$149,"Next week",'Session Tracker'!$G$5:$G$149,"Wed"),$D284*SUMIFS('Session Tracker'!$J$5:$J$149,'Session Tracker'!$D$5:$D$149,$A284,'Session Tracker'!$F$5:$F$149,"Next week",'Session Tracker'!$G$5:$G$149,"Wed"))</f>
        <v>0</v>
      </c>
      <c r="K284" s="52" t="n">
        <f aca="false">IF($E284="Per class",$D284*COUNTIFS('Session Tracker'!$D$5:$D$149,$A284,'Session Tracker'!$F$5:$F$149,"Next week",'Session Tracker'!$G$5:$G$149,"Thu"),$D284*SUMIFS('Session Tracker'!$J$5:$J$149,'Session Tracker'!$D$5:$D$149,$A284,'Session Tracker'!$F$5:$F$149,"Next week",'Session Tracker'!$G$5:$G$149,"Thu"))</f>
        <v>0</v>
      </c>
      <c r="L284" s="52" t="n">
        <f aca="false">IF($E284="Per class",$D284*COUNTIFS('Session Tracker'!$D$5:$D$149,$A284,'Session Tracker'!$F$5:$F$149,"Next week",'Session Tracker'!$G$5:$G$149,"Fri"),$D284*SUMIFS('Session Tracker'!$J$5:$J$149,'Session Tracker'!$D$5:$D$149,$A284,'Session Tracker'!$F$5:$F$149,"Next week",'Session Tracker'!$G$5:$G$149,"Fri"))</f>
        <v>0</v>
      </c>
      <c r="M284" s="52" t="n">
        <f aca="false">IF($E284="Per class",$D284*COUNTIFS('Session Tracker'!$D$5:$D$149,$A284,'Session Tracker'!$F$5:$F$149,"Next week",'Session Tracker'!$G$5:$G$149,""),$D284*SUMIFS('Session Tracker'!$J$5:$J$149,'Session Tracker'!$D$5:$D$149,$A284,'Session Tracker'!$F$5:$F$149,"Next week",'Session Tracker'!$G$5:$G$149,""))</f>
        <v>0</v>
      </c>
    </row>
    <row r="285" customFormat="false" ht="15" hidden="false" customHeight="false" outlineLevel="0" collapsed="false">
      <c r="A285" s="53" t="s">
        <v>330</v>
      </c>
      <c r="B285" s="54"/>
      <c r="C285" s="54"/>
      <c r="D285" s="54"/>
      <c r="E285" s="54"/>
      <c r="F285" s="54"/>
      <c r="G285" s="54"/>
      <c r="H285" s="52" t="n">
        <f aca="false">IF($E285="Per class",$D285*COUNTIFS('Session Tracker'!$D$5:$D$149,$A285,'Session Tracker'!$F$5:$F$149,"Next week",'Session Tracker'!$G$5:$G$149,"Mon"),$D285*SUMIFS('Session Tracker'!$J$5:$J$149,'Session Tracker'!$D$5:$D$149,$A285,'Session Tracker'!$F$5:$F$149,"Next week",'Session Tracker'!$G$5:$G$149,"Mon"))</f>
        <v>0</v>
      </c>
      <c r="I285" s="52" t="n">
        <f aca="false">IF($E285="Per class",$D285*COUNTIFS('Session Tracker'!$D$5:$D$149,$A285,'Session Tracker'!$F$5:$F$149,"Next week",'Session Tracker'!$G$5:$G$149,"Tue"),$D285*SUMIFS('Session Tracker'!$J$5:$J$149,'Session Tracker'!$D$5:$D$149,$A285,'Session Tracker'!$F$5:$F$149,"Next week",'Session Tracker'!$G$5:$G$149,"Tue"))</f>
        <v>0</v>
      </c>
      <c r="J285" s="52" t="n">
        <f aca="false">IF($E285="Per class",$D285*COUNTIFS('Session Tracker'!$D$5:$D$149,$A285,'Session Tracker'!$F$5:$F$149,"Next week",'Session Tracker'!$G$5:$G$149,"Wed"),$D285*SUMIFS('Session Tracker'!$J$5:$J$149,'Session Tracker'!$D$5:$D$149,$A285,'Session Tracker'!$F$5:$F$149,"Next week",'Session Tracker'!$G$5:$G$149,"Wed"))</f>
        <v>0</v>
      </c>
      <c r="K285" s="52" t="n">
        <f aca="false">IF($E285="Per class",$D285*COUNTIFS('Session Tracker'!$D$5:$D$149,$A285,'Session Tracker'!$F$5:$F$149,"Next week",'Session Tracker'!$G$5:$G$149,"Thu"),$D285*SUMIFS('Session Tracker'!$J$5:$J$149,'Session Tracker'!$D$5:$D$149,$A285,'Session Tracker'!$F$5:$F$149,"Next week",'Session Tracker'!$G$5:$G$149,"Thu"))</f>
        <v>0</v>
      </c>
      <c r="L285" s="52" t="n">
        <f aca="false">IF($E285="Per class",$D285*COUNTIFS('Session Tracker'!$D$5:$D$149,$A285,'Session Tracker'!$F$5:$F$149,"Next week",'Session Tracker'!$G$5:$G$149,"Fri"),$D285*SUMIFS('Session Tracker'!$J$5:$J$149,'Session Tracker'!$D$5:$D$149,$A285,'Session Tracker'!$F$5:$F$149,"Next week",'Session Tracker'!$G$5:$G$149,"Fri"))</f>
        <v>0</v>
      </c>
      <c r="M285" s="52" t="n">
        <f aca="false">IF($E285="Per class",$D285*COUNTIFS('Session Tracker'!$D$5:$D$149,$A285,'Session Tracker'!$F$5:$F$149,"Next week",'Session Tracker'!$G$5:$G$149,""),$D285*SUMIFS('Session Tracker'!$J$5:$J$149,'Session Tracker'!$D$5:$D$149,$A285,'Session Tracker'!$F$5:$F$149,"Next week",'Session Tracker'!$G$5:$G$149,""))</f>
        <v>0</v>
      </c>
    </row>
    <row r="287" customFormat="false" ht="19.5" hidden="false" customHeight="true" outlineLevel="0" collapsed="false">
      <c r="A287" s="71" t="s">
        <v>332</v>
      </c>
      <c r="B287" s="72" t="s">
        <v>686</v>
      </c>
      <c r="C287" s="72"/>
      <c r="D287" s="72"/>
      <c r="E287" s="72"/>
      <c r="F287" s="73" t="str">
        <f aca="false">"Status: "&amp;'Session Tracker'!F137&amp;IF('Session Tracker'!G137&lt;&gt;""," ("&amp;'Session Tracker'!G137&amp;")","")</f>
        <v>Status: Not started</v>
      </c>
      <c r="G287" s="73"/>
      <c r="H287" s="74"/>
      <c r="I287" s="74"/>
      <c r="J287" s="74"/>
      <c r="K287" s="74"/>
      <c r="L287" s="74"/>
      <c r="M287" s="74"/>
    </row>
    <row r="288" customFormat="false" ht="15" hidden="false" customHeight="false" outlineLevel="0" collapsed="false">
      <c r="A288" s="75" t="s">
        <v>332</v>
      </c>
      <c r="B288" s="34" t="s">
        <v>382</v>
      </c>
      <c r="C288" s="34" t="s">
        <v>383</v>
      </c>
      <c r="D288" s="32" t="n">
        <v>1</v>
      </c>
      <c r="E288" s="32" t="s">
        <v>14</v>
      </c>
      <c r="F288" s="32" t="s">
        <v>368</v>
      </c>
      <c r="G288" s="34"/>
      <c r="H288" s="52" t="n">
        <f aca="false">IF($E288="Per class",$D288*COUNTIFS('Session Tracker'!$D$5:$D$149,$A288,'Session Tracker'!$F$5:$F$149,"Next week",'Session Tracker'!$G$5:$G$149,"Mon"),$D288*SUMIFS('Session Tracker'!$J$5:$J$149,'Session Tracker'!$D$5:$D$149,$A288,'Session Tracker'!$F$5:$F$149,"Next week",'Session Tracker'!$G$5:$G$149,"Mon"))</f>
        <v>0</v>
      </c>
      <c r="I288" s="52" t="n">
        <f aca="false">IF($E288="Per class",$D288*COUNTIFS('Session Tracker'!$D$5:$D$149,$A288,'Session Tracker'!$F$5:$F$149,"Next week",'Session Tracker'!$G$5:$G$149,"Tue"),$D288*SUMIFS('Session Tracker'!$J$5:$J$149,'Session Tracker'!$D$5:$D$149,$A288,'Session Tracker'!$F$5:$F$149,"Next week",'Session Tracker'!$G$5:$G$149,"Tue"))</f>
        <v>0</v>
      </c>
      <c r="J288" s="52" t="n">
        <f aca="false">IF($E288="Per class",$D288*COUNTIFS('Session Tracker'!$D$5:$D$149,$A288,'Session Tracker'!$F$5:$F$149,"Next week",'Session Tracker'!$G$5:$G$149,"Wed"),$D288*SUMIFS('Session Tracker'!$J$5:$J$149,'Session Tracker'!$D$5:$D$149,$A288,'Session Tracker'!$F$5:$F$149,"Next week",'Session Tracker'!$G$5:$G$149,"Wed"))</f>
        <v>0</v>
      </c>
      <c r="K288" s="52" t="n">
        <f aca="false">IF($E288="Per class",$D288*COUNTIFS('Session Tracker'!$D$5:$D$149,$A288,'Session Tracker'!$F$5:$F$149,"Next week",'Session Tracker'!$G$5:$G$149,"Thu"),$D288*SUMIFS('Session Tracker'!$J$5:$J$149,'Session Tracker'!$D$5:$D$149,$A288,'Session Tracker'!$F$5:$F$149,"Next week",'Session Tracker'!$G$5:$G$149,"Thu"))</f>
        <v>0</v>
      </c>
      <c r="L288" s="52" t="n">
        <f aca="false">IF($E288="Per class",$D288*COUNTIFS('Session Tracker'!$D$5:$D$149,$A288,'Session Tracker'!$F$5:$F$149,"Next week",'Session Tracker'!$G$5:$G$149,"Fri"),$D288*SUMIFS('Session Tracker'!$J$5:$J$149,'Session Tracker'!$D$5:$D$149,$A288,'Session Tracker'!$F$5:$F$149,"Next week",'Session Tracker'!$G$5:$G$149,"Fri"))</f>
        <v>0</v>
      </c>
      <c r="M288" s="52" t="n">
        <f aca="false">IF($E288="Per class",$D288*COUNTIFS('Session Tracker'!$D$5:$D$149,$A288,'Session Tracker'!$F$5:$F$149,"Next week",'Session Tracker'!$G$5:$G$149,""),$D288*SUMIFS('Session Tracker'!$J$5:$J$149,'Session Tracker'!$D$5:$D$149,$A288,'Session Tracker'!$F$5:$F$149,"Next week",'Session Tracker'!$G$5:$G$149,""))</f>
        <v>0</v>
      </c>
    </row>
    <row r="289" customFormat="false" ht="15" hidden="false" customHeight="false" outlineLevel="0" collapsed="false">
      <c r="A289" s="53" t="s">
        <v>332</v>
      </c>
      <c r="B289" s="54"/>
      <c r="C289" s="54"/>
      <c r="D289" s="54"/>
      <c r="E289" s="54"/>
      <c r="F289" s="54"/>
      <c r="G289" s="54"/>
      <c r="H289" s="52" t="n">
        <f aca="false">IF($E289="Per class",$D289*COUNTIFS('Session Tracker'!$D$5:$D$149,$A289,'Session Tracker'!$F$5:$F$149,"Next week",'Session Tracker'!$G$5:$G$149,"Mon"),$D289*SUMIFS('Session Tracker'!$J$5:$J$149,'Session Tracker'!$D$5:$D$149,$A289,'Session Tracker'!$F$5:$F$149,"Next week",'Session Tracker'!$G$5:$G$149,"Mon"))</f>
        <v>0</v>
      </c>
      <c r="I289" s="52" t="n">
        <f aca="false">IF($E289="Per class",$D289*COUNTIFS('Session Tracker'!$D$5:$D$149,$A289,'Session Tracker'!$F$5:$F$149,"Next week",'Session Tracker'!$G$5:$G$149,"Tue"),$D289*SUMIFS('Session Tracker'!$J$5:$J$149,'Session Tracker'!$D$5:$D$149,$A289,'Session Tracker'!$F$5:$F$149,"Next week",'Session Tracker'!$G$5:$G$149,"Tue"))</f>
        <v>0</v>
      </c>
      <c r="J289" s="52" t="n">
        <f aca="false">IF($E289="Per class",$D289*COUNTIFS('Session Tracker'!$D$5:$D$149,$A289,'Session Tracker'!$F$5:$F$149,"Next week",'Session Tracker'!$G$5:$G$149,"Wed"),$D289*SUMIFS('Session Tracker'!$J$5:$J$149,'Session Tracker'!$D$5:$D$149,$A289,'Session Tracker'!$F$5:$F$149,"Next week",'Session Tracker'!$G$5:$G$149,"Wed"))</f>
        <v>0</v>
      </c>
      <c r="K289" s="52" t="n">
        <f aca="false">IF($E289="Per class",$D289*COUNTIFS('Session Tracker'!$D$5:$D$149,$A289,'Session Tracker'!$F$5:$F$149,"Next week",'Session Tracker'!$G$5:$G$149,"Thu"),$D289*SUMIFS('Session Tracker'!$J$5:$J$149,'Session Tracker'!$D$5:$D$149,$A289,'Session Tracker'!$F$5:$F$149,"Next week",'Session Tracker'!$G$5:$G$149,"Thu"))</f>
        <v>0</v>
      </c>
      <c r="L289" s="52" t="n">
        <f aca="false">IF($E289="Per class",$D289*COUNTIFS('Session Tracker'!$D$5:$D$149,$A289,'Session Tracker'!$F$5:$F$149,"Next week",'Session Tracker'!$G$5:$G$149,"Fri"),$D289*SUMIFS('Session Tracker'!$J$5:$J$149,'Session Tracker'!$D$5:$D$149,$A289,'Session Tracker'!$F$5:$F$149,"Next week",'Session Tracker'!$G$5:$G$149,"Fri"))</f>
        <v>0</v>
      </c>
      <c r="M289" s="52" t="n">
        <f aca="false">IF($E289="Per class",$D289*COUNTIFS('Session Tracker'!$D$5:$D$149,$A289,'Session Tracker'!$F$5:$F$149,"Next week",'Session Tracker'!$G$5:$G$149,""),$D289*SUMIFS('Session Tracker'!$J$5:$J$149,'Session Tracker'!$D$5:$D$149,$A289,'Session Tracker'!$F$5:$F$149,"Next week",'Session Tracker'!$G$5:$G$149,""))</f>
        <v>0</v>
      </c>
    </row>
    <row r="290" customFormat="false" ht="15" hidden="false" customHeight="false" outlineLevel="0" collapsed="false">
      <c r="A290" s="53" t="s">
        <v>332</v>
      </c>
      <c r="B290" s="54"/>
      <c r="C290" s="54"/>
      <c r="D290" s="54"/>
      <c r="E290" s="54"/>
      <c r="F290" s="54"/>
      <c r="G290" s="54"/>
      <c r="H290" s="52" t="n">
        <f aca="false">IF($E290="Per class",$D290*COUNTIFS('Session Tracker'!$D$5:$D$149,$A290,'Session Tracker'!$F$5:$F$149,"Next week",'Session Tracker'!$G$5:$G$149,"Mon"),$D290*SUMIFS('Session Tracker'!$J$5:$J$149,'Session Tracker'!$D$5:$D$149,$A290,'Session Tracker'!$F$5:$F$149,"Next week",'Session Tracker'!$G$5:$G$149,"Mon"))</f>
        <v>0</v>
      </c>
      <c r="I290" s="52" t="n">
        <f aca="false">IF($E290="Per class",$D290*COUNTIFS('Session Tracker'!$D$5:$D$149,$A290,'Session Tracker'!$F$5:$F$149,"Next week",'Session Tracker'!$G$5:$G$149,"Tue"),$D290*SUMIFS('Session Tracker'!$J$5:$J$149,'Session Tracker'!$D$5:$D$149,$A290,'Session Tracker'!$F$5:$F$149,"Next week",'Session Tracker'!$G$5:$G$149,"Tue"))</f>
        <v>0</v>
      </c>
      <c r="J290" s="52" t="n">
        <f aca="false">IF($E290="Per class",$D290*COUNTIFS('Session Tracker'!$D$5:$D$149,$A290,'Session Tracker'!$F$5:$F$149,"Next week",'Session Tracker'!$G$5:$G$149,"Wed"),$D290*SUMIFS('Session Tracker'!$J$5:$J$149,'Session Tracker'!$D$5:$D$149,$A290,'Session Tracker'!$F$5:$F$149,"Next week",'Session Tracker'!$G$5:$G$149,"Wed"))</f>
        <v>0</v>
      </c>
      <c r="K290" s="52" t="n">
        <f aca="false">IF($E290="Per class",$D290*COUNTIFS('Session Tracker'!$D$5:$D$149,$A290,'Session Tracker'!$F$5:$F$149,"Next week",'Session Tracker'!$G$5:$G$149,"Thu"),$D290*SUMIFS('Session Tracker'!$J$5:$J$149,'Session Tracker'!$D$5:$D$149,$A290,'Session Tracker'!$F$5:$F$149,"Next week",'Session Tracker'!$G$5:$G$149,"Thu"))</f>
        <v>0</v>
      </c>
      <c r="L290" s="52" t="n">
        <f aca="false">IF($E290="Per class",$D290*COUNTIFS('Session Tracker'!$D$5:$D$149,$A290,'Session Tracker'!$F$5:$F$149,"Next week",'Session Tracker'!$G$5:$G$149,"Fri"),$D290*SUMIFS('Session Tracker'!$J$5:$J$149,'Session Tracker'!$D$5:$D$149,$A290,'Session Tracker'!$F$5:$F$149,"Next week",'Session Tracker'!$G$5:$G$149,"Fri"))</f>
        <v>0</v>
      </c>
      <c r="M290" s="52" t="n">
        <f aca="false">IF($E290="Per class",$D290*COUNTIFS('Session Tracker'!$D$5:$D$149,$A290,'Session Tracker'!$F$5:$F$149,"Next week",'Session Tracker'!$G$5:$G$149,""),$D290*SUMIFS('Session Tracker'!$J$5:$J$149,'Session Tracker'!$D$5:$D$149,$A290,'Session Tracker'!$F$5:$F$149,"Next week",'Session Tracker'!$G$5:$G$149,""))</f>
        <v>0</v>
      </c>
    </row>
    <row r="292" customFormat="false" ht="19.5" hidden="false" customHeight="true" outlineLevel="0" collapsed="false">
      <c r="A292" s="71" t="s">
        <v>334</v>
      </c>
      <c r="B292" s="72" t="s">
        <v>687</v>
      </c>
      <c r="C292" s="72"/>
      <c r="D292" s="72"/>
      <c r="E292" s="72"/>
      <c r="F292" s="73" t="str">
        <f aca="false">"Status: "&amp;'Session Tracker'!F138&amp;IF('Session Tracker'!G138&lt;&gt;""," ("&amp;'Session Tracker'!G138&amp;")","")</f>
        <v>Status: Not started</v>
      </c>
      <c r="G292" s="73"/>
      <c r="H292" s="74"/>
      <c r="I292" s="74"/>
      <c r="J292" s="74"/>
      <c r="K292" s="74"/>
      <c r="L292" s="74"/>
      <c r="M292" s="74"/>
    </row>
    <row r="293" customFormat="false" ht="15" hidden="false" customHeight="false" outlineLevel="0" collapsed="false">
      <c r="A293" s="75" t="s">
        <v>334</v>
      </c>
      <c r="B293" s="34" t="s">
        <v>382</v>
      </c>
      <c r="C293" s="34" t="s">
        <v>383</v>
      </c>
      <c r="D293" s="32" t="n">
        <v>1</v>
      </c>
      <c r="E293" s="32" t="s">
        <v>14</v>
      </c>
      <c r="F293" s="32" t="s">
        <v>368</v>
      </c>
      <c r="G293" s="34"/>
      <c r="H293" s="52" t="n">
        <f aca="false">IF($E293="Per class",$D293*COUNTIFS('Session Tracker'!$D$5:$D$149,$A293,'Session Tracker'!$F$5:$F$149,"Next week",'Session Tracker'!$G$5:$G$149,"Mon"),$D293*SUMIFS('Session Tracker'!$J$5:$J$149,'Session Tracker'!$D$5:$D$149,$A293,'Session Tracker'!$F$5:$F$149,"Next week",'Session Tracker'!$G$5:$G$149,"Mon"))</f>
        <v>0</v>
      </c>
      <c r="I293" s="52" t="n">
        <f aca="false">IF($E293="Per class",$D293*COUNTIFS('Session Tracker'!$D$5:$D$149,$A293,'Session Tracker'!$F$5:$F$149,"Next week",'Session Tracker'!$G$5:$G$149,"Tue"),$D293*SUMIFS('Session Tracker'!$J$5:$J$149,'Session Tracker'!$D$5:$D$149,$A293,'Session Tracker'!$F$5:$F$149,"Next week",'Session Tracker'!$G$5:$G$149,"Tue"))</f>
        <v>0</v>
      </c>
      <c r="J293" s="52" t="n">
        <f aca="false">IF($E293="Per class",$D293*COUNTIFS('Session Tracker'!$D$5:$D$149,$A293,'Session Tracker'!$F$5:$F$149,"Next week",'Session Tracker'!$G$5:$G$149,"Wed"),$D293*SUMIFS('Session Tracker'!$J$5:$J$149,'Session Tracker'!$D$5:$D$149,$A293,'Session Tracker'!$F$5:$F$149,"Next week",'Session Tracker'!$G$5:$G$149,"Wed"))</f>
        <v>0</v>
      </c>
      <c r="K293" s="52" t="n">
        <f aca="false">IF($E293="Per class",$D293*COUNTIFS('Session Tracker'!$D$5:$D$149,$A293,'Session Tracker'!$F$5:$F$149,"Next week",'Session Tracker'!$G$5:$G$149,"Thu"),$D293*SUMIFS('Session Tracker'!$J$5:$J$149,'Session Tracker'!$D$5:$D$149,$A293,'Session Tracker'!$F$5:$F$149,"Next week",'Session Tracker'!$G$5:$G$149,"Thu"))</f>
        <v>0</v>
      </c>
      <c r="L293" s="52" t="n">
        <f aca="false">IF($E293="Per class",$D293*COUNTIFS('Session Tracker'!$D$5:$D$149,$A293,'Session Tracker'!$F$5:$F$149,"Next week",'Session Tracker'!$G$5:$G$149,"Fri"),$D293*SUMIFS('Session Tracker'!$J$5:$J$149,'Session Tracker'!$D$5:$D$149,$A293,'Session Tracker'!$F$5:$F$149,"Next week",'Session Tracker'!$G$5:$G$149,"Fri"))</f>
        <v>0</v>
      </c>
      <c r="M293" s="52" t="n">
        <f aca="false">IF($E293="Per class",$D293*COUNTIFS('Session Tracker'!$D$5:$D$149,$A293,'Session Tracker'!$F$5:$F$149,"Next week",'Session Tracker'!$G$5:$G$149,""),$D293*SUMIFS('Session Tracker'!$J$5:$J$149,'Session Tracker'!$D$5:$D$149,$A293,'Session Tracker'!$F$5:$F$149,"Next week",'Session Tracker'!$G$5:$G$149,""))</f>
        <v>0</v>
      </c>
    </row>
    <row r="294" customFormat="false" ht="15" hidden="false" customHeight="false" outlineLevel="0" collapsed="false">
      <c r="A294" s="53" t="s">
        <v>334</v>
      </c>
      <c r="B294" s="54"/>
      <c r="C294" s="54"/>
      <c r="D294" s="54"/>
      <c r="E294" s="54"/>
      <c r="F294" s="54"/>
      <c r="G294" s="54"/>
      <c r="H294" s="52" t="n">
        <f aca="false">IF($E294="Per class",$D294*COUNTIFS('Session Tracker'!$D$5:$D$149,$A294,'Session Tracker'!$F$5:$F$149,"Next week",'Session Tracker'!$G$5:$G$149,"Mon"),$D294*SUMIFS('Session Tracker'!$J$5:$J$149,'Session Tracker'!$D$5:$D$149,$A294,'Session Tracker'!$F$5:$F$149,"Next week",'Session Tracker'!$G$5:$G$149,"Mon"))</f>
        <v>0</v>
      </c>
      <c r="I294" s="52" t="n">
        <f aca="false">IF($E294="Per class",$D294*COUNTIFS('Session Tracker'!$D$5:$D$149,$A294,'Session Tracker'!$F$5:$F$149,"Next week",'Session Tracker'!$G$5:$G$149,"Tue"),$D294*SUMIFS('Session Tracker'!$J$5:$J$149,'Session Tracker'!$D$5:$D$149,$A294,'Session Tracker'!$F$5:$F$149,"Next week",'Session Tracker'!$G$5:$G$149,"Tue"))</f>
        <v>0</v>
      </c>
      <c r="J294" s="52" t="n">
        <f aca="false">IF($E294="Per class",$D294*COUNTIFS('Session Tracker'!$D$5:$D$149,$A294,'Session Tracker'!$F$5:$F$149,"Next week",'Session Tracker'!$G$5:$G$149,"Wed"),$D294*SUMIFS('Session Tracker'!$J$5:$J$149,'Session Tracker'!$D$5:$D$149,$A294,'Session Tracker'!$F$5:$F$149,"Next week",'Session Tracker'!$G$5:$G$149,"Wed"))</f>
        <v>0</v>
      </c>
      <c r="K294" s="52" t="n">
        <f aca="false">IF($E294="Per class",$D294*COUNTIFS('Session Tracker'!$D$5:$D$149,$A294,'Session Tracker'!$F$5:$F$149,"Next week",'Session Tracker'!$G$5:$G$149,"Thu"),$D294*SUMIFS('Session Tracker'!$J$5:$J$149,'Session Tracker'!$D$5:$D$149,$A294,'Session Tracker'!$F$5:$F$149,"Next week",'Session Tracker'!$G$5:$G$149,"Thu"))</f>
        <v>0</v>
      </c>
      <c r="L294" s="52" t="n">
        <f aca="false">IF($E294="Per class",$D294*COUNTIFS('Session Tracker'!$D$5:$D$149,$A294,'Session Tracker'!$F$5:$F$149,"Next week",'Session Tracker'!$G$5:$G$149,"Fri"),$D294*SUMIFS('Session Tracker'!$J$5:$J$149,'Session Tracker'!$D$5:$D$149,$A294,'Session Tracker'!$F$5:$F$149,"Next week",'Session Tracker'!$G$5:$G$149,"Fri"))</f>
        <v>0</v>
      </c>
      <c r="M294" s="52" t="n">
        <f aca="false">IF($E294="Per class",$D294*COUNTIFS('Session Tracker'!$D$5:$D$149,$A294,'Session Tracker'!$F$5:$F$149,"Next week",'Session Tracker'!$G$5:$G$149,""),$D294*SUMIFS('Session Tracker'!$J$5:$J$149,'Session Tracker'!$D$5:$D$149,$A294,'Session Tracker'!$F$5:$F$149,"Next week",'Session Tracker'!$G$5:$G$149,""))</f>
        <v>0</v>
      </c>
    </row>
    <row r="295" customFormat="false" ht="15" hidden="false" customHeight="false" outlineLevel="0" collapsed="false">
      <c r="A295" s="53" t="s">
        <v>334</v>
      </c>
      <c r="B295" s="54"/>
      <c r="C295" s="54"/>
      <c r="D295" s="54"/>
      <c r="E295" s="54"/>
      <c r="F295" s="54"/>
      <c r="G295" s="54"/>
      <c r="H295" s="52" t="n">
        <f aca="false">IF($E295="Per class",$D295*COUNTIFS('Session Tracker'!$D$5:$D$149,$A295,'Session Tracker'!$F$5:$F$149,"Next week",'Session Tracker'!$G$5:$G$149,"Mon"),$D295*SUMIFS('Session Tracker'!$J$5:$J$149,'Session Tracker'!$D$5:$D$149,$A295,'Session Tracker'!$F$5:$F$149,"Next week",'Session Tracker'!$G$5:$G$149,"Mon"))</f>
        <v>0</v>
      </c>
      <c r="I295" s="52" t="n">
        <f aca="false">IF($E295="Per class",$D295*COUNTIFS('Session Tracker'!$D$5:$D$149,$A295,'Session Tracker'!$F$5:$F$149,"Next week",'Session Tracker'!$G$5:$G$149,"Tue"),$D295*SUMIFS('Session Tracker'!$J$5:$J$149,'Session Tracker'!$D$5:$D$149,$A295,'Session Tracker'!$F$5:$F$149,"Next week",'Session Tracker'!$G$5:$G$149,"Tue"))</f>
        <v>0</v>
      </c>
      <c r="J295" s="52" t="n">
        <f aca="false">IF($E295="Per class",$D295*COUNTIFS('Session Tracker'!$D$5:$D$149,$A295,'Session Tracker'!$F$5:$F$149,"Next week",'Session Tracker'!$G$5:$G$149,"Wed"),$D295*SUMIFS('Session Tracker'!$J$5:$J$149,'Session Tracker'!$D$5:$D$149,$A295,'Session Tracker'!$F$5:$F$149,"Next week",'Session Tracker'!$G$5:$G$149,"Wed"))</f>
        <v>0</v>
      </c>
      <c r="K295" s="52" t="n">
        <f aca="false">IF($E295="Per class",$D295*COUNTIFS('Session Tracker'!$D$5:$D$149,$A295,'Session Tracker'!$F$5:$F$149,"Next week",'Session Tracker'!$G$5:$G$149,"Thu"),$D295*SUMIFS('Session Tracker'!$J$5:$J$149,'Session Tracker'!$D$5:$D$149,$A295,'Session Tracker'!$F$5:$F$149,"Next week",'Session Tracker'!$G$5:$G$149,"Thu"))</f>
        <v>0</v>
      </c>
      <c r="L295" s="52" t="n">
        <f aca="false">IF($E295="Per class",$D295*COUNTIFS('Session Tracker'!$D$5:$D$149,$A295,'Session Tracker'!$F$5:$F$149,"Next week",'Session Tracker'!$G$5:$G$149,"Fri"),$D295*SUMIFS('Session Tracker'!$J$5:$J$149,'Session Tracker'!$D$5:$D$149,$A295,'Session Tracker'!$F$5:$F$149,"Next week",'Session Tracker'!$G$5:$G$149,"Fri"))</f>
        <v>0</v>
      </c>
      <c r="M295" s="52" t="n">
        <f aca="false">IF($E295="Per class",$D295*COUNTIFS('Session Tracker'!$D$5:$D$149,$A295,'Session Tracker'!$F$5:$F$149,"Next week",'Session Tracker'!$G$5:$G$149,""),$D295*SUMIFS('Session Tracker'!$J$5:$J$149,'Session Tracker'!$D$5:$D$149,$A295,'Session Tracker'!$F$5:$F$149,"Next week",'Session Tracker'!$G$5:$G$149,""))</f>
        <v>0</v>
      </c>
    </row>
    <row r="297" customFormat="false" ht="19.5" hidden="false" customHeight="true" outlineLevel="0" collapsed="false">
      <c r="A297" s="71" t="s">
        <v>336</v>
      </c>
      <c r="B297" s="72" t="s">
        <v>688</v>
      </c>
      <c r="C297" s="72"/>
      <c r="D297" s="72"/>
      <c r="E297" s="72"/>
      <c r="F297" s="73" t="str">
        <f aca="false">"Status: "&amp;'Session Tracker'!F139&amp;IF('Session Tracker'!G139&lt;&gt;""," ("&amp;'Session Tracker'!G139&amp;")","")</f>
        <v>Status: Not started</v>
      </c>
      <c r="G297" s="73"/>
      <c r="H297" s="74"/>
      <c r="I297" s="74"/>
      <c r="J297" s="74"/>
      <c r="K297" s="74"/>
      <c r="L297" s="74"/>
      <c r="M297" s="74"/>
    </row>
    <row r="298" customFormat="false" ht="15" hidden="false" customHeight="false" outlineLevel="0" collapsed="false">
      <c r="A298" s="75" t="s">
        <v>336</v>
      </c>
      <c r="B298" s="34" t="s">
        <v>382</v>
      </c>
      <c r="C298" s="34" t="s">
        <v>383</v>
      </c>
      <c r="D298" s="32" t="n">
        <v>1</v>
      </c>
      <c r="E298" s="32" t="s">
        <v>14</v>
      </c>
      <c r="F298" s="32" t="s">
        <v>368</v>
      </c>
      <c r="G298" s="34"/>
      <c r="H298" s="52" t="n">
        <f aca="false">IF($E298="Per class",$D298*COUNTIFS('Session Tracker'!$D$5:$D$149,$A298,'Session Tracker'!$F$5:$F$149,"Next week",'Session Tracker'!$G$5:$G$149,"Mon"),$D298*SUMIFS('Session Tracker'!$J$5:$J$149,'Session Tracker'!$D$5:$D$149,$A298,'Session Tracker'!$F$5:$F$149,"Next week",'Session Tracker'!$G$5:$G$149,"Mon"))</f>
        <v>0</v>
      </c>
      <c r="I298" s="52" t="n">
        <f aca="false">IF($E298="Per class",$D298*COUNTIFS('Session Tracker'!$D$5:$D$149,$A298,'Session Tracker'!$F$5:$F$149,"Next week",'Session Tracker'!$G$5:$G$149,"Tue"),$D298*SUMIFS('Session Tracker'!$J$5:$J$149,'Session Tracker'!$D$5:$D$149,$A298,'Session Tracker'!$F$5:$F$149,"Next week",'Session Tracker'!$G$5:$G$149,"Tue"))</f>
        <v>0</v>
      </c>
      <c r="J298" s="52" t="n">
        <f aca="false">IF($E298="Per class",$D298*COUNTIFS('Session Tracker'!$D$5:$D$149,$A298,'Session Tracker'!$F$5:$F$149,"Next week",'Session Tracker'!$G$5:$G$149,"Wed"),$D298*SUMIFS('Session Tracker'!$J$5:$J$149,'Session Tracker'!$D$5:$D$149,$A298,'Session Tracker'!$F$5:$F$149,"Next week",'Session Tracker'!$G$5:$G$149,"Wed"))</f>
        <v>0</v>
      </c>
      <c r="K298" s="52" t="n">
        <f aca="false">IF($E298="Per class",$D298*COUNTIFS('Session Tracker'!$D$5:$D$149,$A298,'Session Tracker'!$F$5:$F$149,"Next week",'Session Tracker'!$G$5:$G$149,"Thu"),$D298*SUMIFS('Session Tracker'!$J$5:$J$149,'Session Tracker'!$D$5:$D$149,$A298,'Session Tracker'!$F$5:$F$149,"Next week",'Session Tracker'!$G$5:$G$149,"Thu"))</f>
        <v>0</v>
      </c>
      <c r="L298" s="52" t="n">
        <f aca="false">IF($E298="Per class",$D298*COUNTIFS('Session Tracker'!$D$5:$D$149,$A298,'Session Tracker'!$F$5:$F$149,"Next week",'Session Tracker'!$G$5:$G$149,"Fri"),$D298*SUMIFS('Session Tracker'!$J$5:$J$149,'Session Tracker'!$D$5:$D$149,$A298,'Session Tracker'!$F$5:$F$149,"Next week",'Session Tracker'!$G$5:$G$149,"Fri"))</f>
        <v>0</v>
      </c>
      <c r="M298" s="52" t="n">
        <f aca="false">IF($E298="Per class",$D298*COUNTIFS('Session Tracker'!$D$5:$D$149,$A298,'Session Tracker'!$F$5:$F$149,"Next week",'Session Tracker'!$G$5:$G$149,""),$D298*SUMIFS('Session Tracker'!$J$5:$J$149,'Session Tracker'!$D$5:$D$149,$A298,'Session Tracker'!$F$5:$F$149,"Next week",'Session Tracker'!$G$5:$G$149,""))</f>
        <v>0</v>
      </c>
    </row>
    <row r="299" customFormat="false" ht="15" hidden="false" customHeight="false" outlineLevel="0" collapsed="false">
      <c r="A299" s="53" t="s">
        <v>336</v>
      </c>
      <c r="B299" s="54"/>
      <c r="C299" s="54"/>
      <c r="D299" s="54"/>
      <c r="E299" s="54"/>
      <c r="F299" s="54"/>
      <c r="G299" s="54"/>
      <c r="H299" s="52" t="n">
        <f aca="false">IF($E299="Per class",$D299*COUNTIFS('Session Tracker'!$D$5:$D$149,$A299,'Session Tracker'!$F$5:$F$149,"Next week",'Session Tracker'!$G$5:$G$149,"Mon"),$D299*SUMIFS('Session Tracker'!$J$5:$J$149,'Session Tracker'!$D$5:$D$149,$A299,'Session Tracker'!$F$5:$F$149,"Next week",'Session Tracker'!$G$5:$G$149,"Mon"))</f>
        <v>0</v>
      </c>
      <c r="I299" s="52" t="n">
        <f aca="false">IF($E299="Per class",$D299*COUNTIFS('Session Tracker'!$D$5:$D$149,$A299,'Session Tracker'!$F$5:$F$149,"Next week",'Session Tracker'!$G$5:$G$149,"Tue"),$D299*SUMIFS('Session Tracker'!$J$5:$J$149,'Session Tracker'!$D$5:$D$149,$A299,'Session Tracker'!$F$5:$F$149,"Next week",'Session Tracker'!$G$5:$G$149,"Tue"))</f>
        <v>0</v>
      </c>
      <c r="J299" s="52" t="n">
        <f aca="false">IF($E299="Per class",$D299*COUNTIFS('Session Tracker'!$D$5:$D$149,$A299,'Session Tracker'!$F$5:$F$149,"Next week",'Session Tracker'!$G$5:$G$149,"Wed"),$D299*SUMIFS('Session Tracker'!$J$5:$J$149,'Session Tracker'!$D$5:$D$149,$A299,'Session Tracker'!$F$5:$F$149,"Next week",'Session Tracker'!$G$5:$G$149,"Wed"))</f>
        <v>0</v>
      </c>
      <c r="K299" s="52" t="n">
        <f aca="false">IF($E299="Per class",$D299*COUNTIFS('Session Tracker'!$D$5:$D$149,$A299,'Session Tracker'!$F$5:$F$149,"Next week",'Session Tracker'!$G$5:$G$149,"Thu"),$D299*SUMIFS('Session Tracker'!$J$5:$J$149,'Session Tracker'!$D$5:$D$149,$A299,'Session Tracker'!$F$5:$F$149,"Next week",'Session Tracker'!$G$5:$G$149,"Thu"))</f>
        <v>0</v>
      </c>
      <c r="L299" s="52" t="n">
        <f aca="false">IF($E299="Per class",$D299*COUNTIFS('Session Tracker'!$D$5:$D$149,$A299,'Session Tracker'!$F$5:$F$149,"Next week",'Session Tracker'!$G$5:$G$149,"Fri"),$D299*SUMIFS('Session Tracker'!$J$5:$J$149,'Session Tracker'!$D$5:$D$149,$A299,'Session Tracker'!$F$5:$F$149,"Next week",'Session Tracker'!$G$5:$G$149,"Fri"))</f>
        <v>0</v>
      </c>
      <c r="M299" s="52" t="n">
        <f aca="false">IF($E299="Per class",$D299*COUNTIFS('Session Tracker'!$D$5:$D$149,$A299,'Session Tracker'!$F$5:$F$149,"Next week",'Session Tracker'!$G$5:$G$149,""),$D299*SUMIFS('Session Tracker'!$J$5:$J$149,'Session Tracker'!$D$5:$D$149,$A299,'Session Tracker'!$F$5:$F$149,"Next week",'Session Tracker'!$G$5:$G$149,""))</f>
        <v>0</v>
      </c>
    </row>
    <row r="300" customFormat="false" ht="15" hidden="false" customHeight="false" outlineLevel="0" collapsed="false">
      <c r="A300" s="53" t="s">
        <v>336</v>
      </c>
      <c r="B300" s="54"/>
      <c r="C300" s="54"/>
      <c r="D300" s="54"/>
      <c r="E300" s="54"/>
      <c r="F300" s="54"/>
      <c r="G300" s="54"/>
      <c r="H300" s="52" t="n">
        <f aca="false">IF($E300="Per class",$D300*COUNTIFS('Session Tracker'!$D$5:$D$149,$A300,'Session Tracker'!$F$5:$F$149,"Next week",'Session Tracker'!$G$5:$G$149,"Mon"),$D300*SUMIFS('Session Tracker'!$J$5:$J$149,'Session Tracker'!$D$5:$D$149,$A300,'Session Tracker'!$F$5:$F$149,"Next week",'Session Tracker'!$G$5:$G$149,"Mon"))</f>
        <v>0</v>
      </c>
      <c r="I300" s="52" t="n">
        <f aca="false">IF($E300="Per class",$D300*COUNTIFS('Session Tracker'!$D$5:$D$149,$A300,'Session Tracker'!$F$5:$F$149,"Next week",'Session Tracker'!$G$5:$G$149,"Tue"),$D300*SUMIFS('Session Tracker'!$J$5:$J$149,'Session Tracker'!$D$5:$D$149,$A300,'Session Tracker'!$F$5:$F$149,"Next week",'Session Tracker'!$G$5:$G$149,"Tue"))</f>
        <v>0</v>
      </c>
      <c r="J300" s="52" t="n">
        <f aca="false">IF($E300="Per class",$D300*COUNTIFS('Session Tracker'!$D$5:$D$149,$A300,'Session Tracker'!$F$5:$F$149,"Next week",'Session Tracker'!$G$5:$G$149,"Wed"),$D300*SUMIFS('Session Tracker'!$J$5:$J$149,'Session Tracker'!$D$5:$D$149,$A300,'Session Tracker'!$F$5:$F$149,"Next week",'Session Tracker'!$G$5:$G$149,"Wed"))</f>
        <v>0</v>
      </c>
      <c r="K300" s="52" t="n">
        <f aca="false">IF($E300="Per class",$D300*COUNTIFS('Session Tracker'!$D$5:$D$149,$A300,'Session Tracker'!$F$5:$F$149,"Next week",'Session Tracker'!$G$5:$G$149,"Thu"),$D300*SUMIFS('Session Tracker'!$J$5:$J$149,'Session Tracker'!$D$5:$D$149,$A300,'Session Tracker'!$F$5:$F$149,"Next week",'Session Tracker'!$G$5:$G$149,"Thu"))</f>
        <v>0</v>
      </c>
      <c r="L300" s="52" t="n">
        <f aca="false">IF($E300="Per class",$D300*COUNTIFS('Session Tracker'!$D$5:$D$149,$A300,'Session Tracker'!$F$5:$F$149,"Next week",'Session Tracker'!$G$5:$G$149,"Fri"),$D300*SUMIFS('Session Tracker'!$J$5:$J$149,'Session Tracker'!$D$5:$D$149,$A300,'Session Tracker'!$F$5:$F$149,"Next week",'Session Tracker'!$G$5:$G$149,"Fri"))</f>
        <v>0</v>
      </c>
      <c r="M300" s="52" t="n">
        <f aca="false">IF($E300="Per class",$D300*COUNTIFS('Session Tracker'!$D$5:$D$149,$A300,'Session Tracker'!$F$5:$F$149,"Next week",'Session Tracker'!$G$5:$G$149,""),$D300*SUMIFS('Session Tracker'!$J$5:$J$149,'Session Tracker'!$D$5:$D$149,$A300,'Session Tracker'!$F$5:$F$149,"Next week",'Session Tracker'!$G$5:$G$149,""))</f>
        <v>0</v>
      </c>
    </row>
    <row r="302" customFormat="false" ht="19.5" hidden="false" customHeight="true" outlineLevel="0" collapsed="false">
      <c r="A302" s="71" t="s">
        <v>338</v>
      </c>
      <c r="B302" s="72" t="s">
        <v>689</v>
      </c>
      <c r="C302" s="72"/>
      <c r="D302" s="72"/>
      <c r="E302" s="72"/>
      <c r="F302" s="73" t="str">
        <f aca="false">"Status: "&amp;'Session Tracker'!F140&amp;IF('Session Tracker'!G140&lt;&gt;""," ("&amp;'Session Tracker'!G140&amp;")","")</f>
        <v>Status: Not started</v>
      </c>
      <c r="G302" s="73"/>
      <c r="H302" s="74"/>
      <c r="I302" s="74"/>
      <c r="J302" s="74"/>
      <c r="K302" s="74"/>
      <c r="L302" s="74"/>
      <c r="M302" s="74"/>
    </row>
    <row r="303" customFormat="false" ht="23.85" hidden="false" customHeight="false" outlineLevel="0" collapsed="false">
      <c r="A303" s="75" t="s">
        <v>338</v>
      </c>
      <c r="B303" s="34" t="s">
        <v>366</v>
      </c>
      <c r="C303" s="34" t="s">
        <v>391</v>
      </c>
      <c r="D303" s="32" t="n">
        <v>1</v>
      </c>
      <c r="E303" s="32" t="s">
        <v>14</v>
      </c>
      <c r="F303" s="32" t="s">
        <v>368</v>
      </c>
      <c r="G303" s="34"/>
      <c r="H303" s="52" t="n">
        <f aca="false">IF($E303="Per class",$D303*COUNTIFS('Session Tracker'!$D$5:$D$149,$A303,'Session Tracker'!$F$5:$F$149,"Next week",'Session Tracker'!$G$5:$G$149,"Mon"),$D303*SUMIFS('Session Tracker'!$J$5:$J$149,'Session Tracker'!$D$5:$D$149,$A303,'Session Tracker'!$F$5:$F$149,"Next week",'Session Tracker'!$G$5:$G$149,"Mon"))</f>
        <v>0</v>
      </c>
      <c r="I303" s="52" t="n">
        <f aca="false">IF($E303="Per class",$D303*COUNTIFS('Session Tracker'!$D$5:$D$149,$A303,'Session Tracker'!$F$5:$F$149,"Next week",'Session Tracker'!$G$5:$G$149,"Tue"),$D303*SUMIFS('Session Tracker'!$J$5:$J$149,'Session Tracker'!$D$5:$D$149,$A303,'Session Tracker'!$F$5:$F$149,"Next week",'Session Tracker'!$G$5:$G$149,"Tue"))</f>
        <v>0</v>
      </c>
      <c r="J303" s="52" t="n">
        <f aca="false">IF($E303="Per class",$D303*COUNTIFS('Session Tracker'!$D$5:$D$149,$A303,'Session Tracker'!$F$5:$F$149,"Next week",'Session Tracker'!$G$5:$G$149,"Wed"),$D303*SUMIFS('Session Tracker'!$J$5:$J$149,'Session Tracker'!$D$5:$D$149,$A303,'Session Tracker'!$F$5:$F$149,"Next week",'Session Tracker'!$G$5:$G$149,"Wed"))</f>
        <v>0</v>
      </c>
      <c r="K303" s="52" t="n">
        <f aca="false">IF($E303="Per class",$D303*COUNTIFS('Session Tracker'!$D$5:$D$149,$A303,'Session Tracker'!$F$5:$F$149,"Next week",'Session Tracker'!$G$5:$G$149,"Thu"),$D303*SUMIFS('Session Tracker'!$J$5:$J$149,'Session Tracker'!$D$5:$D$149,$A303,'Session Tracker'!$F$5:$F$149,"Next week",'Session Tracker'!$G$5:$G$149,"Thu"))</f>
        <v>0</v>
      </c>
      <c r="L303" s="52" t="n">
        <f aca="false">IF($E303="Per class",$D303*COUNTIFS('Session Tracker'!$D$5:$D$149,$A303,'Session Tracker'!$F$5:$F$149,"Next week",'Session Tracker'!$G$5:$G$149,"Fri"),$D303*SUMIFS('Session Tracker'!$J$5:$J$149,'Session Tracker'!$D$5:$D$149,$A303,'Session Tracker'!$F$5:$F$149,"Next week",'Session Tracker'!$G$5:$G$149,"Fri"))</f>
        <v>0</v>
      </c>
      <c r="M303" s="52" t="n">
        <f aca="false">IF($E303="Per class",$D303*COUNTIFS('Session Tracker'!$D$5:$D$149,$A303,'Session Tracker'!$F$5:$F$149,"Next week",'Session Tracker'!$G$5:$G$149,""),$D303*SUMIFS('Session Tracker'!$J$5:$J$149,'Session Tracker'!$D$5:$D$149,$A303,'Session Tracker'!$F$5:$F$149,"Next week",'Session Tracker'!$G$5:$G$149,""))</f>
        <v>0</v>
      </c>
    </row>
    <row r="304" customFormat="false" ht="15" hidden="false" customHeight="false" outlineLevel="0" collapsed="false">
      <c r="A304" s="75" t="s">
        <v>338</v>
      </c>
      <c r="B304" s="34" t="s">
        <v>409</v>
      </c>
      <c r="C304" s="34" t="s">
        <v>536</v>
      </c>
      <c r="D304" s="32" t="n">
        <v>1</v>
      </c>
      <c r="E304" s="32" t="s">
        <v>14</v>
      </c>
      <c r="F304" s="32" t="s">
        <v>368</v>
      </c>
      <c r="G304" s="34"/>
      <c r="H304" s="52" t="n">
        <f aca="false">IF($E304="Per class",$D304*COUNTIFS('Session Tracker'!$D$5:$D$149,$A304,'Session Tracker'!$F$5:$F$149,"Next week",'Session Tracker'!$G$5:$G$149,"Mon"),$D304*SUMIFS('Session Tracker'!$J$5:$J$149,'Session Tracker'!$D$5:$D$149,$A304,'Session Tracker'!$F$5:$F$149,"Next week",'Session Tracker'!$G$5:$G$149,"Mon"))</f>
        <v>0</v>
      </c>
      <c r="I304" s="52" t="n">
        <f aca="false">IF($E304="Per class",$D304*COUNTIFS('Session Tracker'!$D$5:$D$149,$A304,'Session Tracker'!$F$5:$F$149,"Next week",'Session Tracker'!$G$5:$G$149,"Tue"),$D304*SUMIFS('Session Tracker'!$J$5:$J$149,'Session Tracker'!$D$5:$D$149,$A304,'Session Tracker'!$F$5:$F$149,"Next week",'Session Tracker'!$G$5:$G$149,"Tue"))</f>
        <v>0</v>
      </c>
      <c r="J304" s="52" t="n">
        <f aca="false">IF($E304="Per class",$D304*COUNTIFS('Session Tracker'!$D$5:$D$149,$A304,'Session Tracker'!$F$5:$F$149,"Next week",'Session Tracker'!$G$5:$G$149,"Wed"),$D304*SUMIFS('Session Tracker'!$J$5:$J$149,'Session Tracker'!$D$5:$D$149,$A304,'Session Tracker'!$F$5:$F$149,"Next week",'Session Tracker'!$G$5:$G$149,"Wed"))</f>
        <v>0</v>
      </c>
      <c r="K304" s="52" t="n">
        <f aca="false">IF($E304="Per class",$D304*COUNTIFS('Session Tracker'!$D$5:$D$149,$A304,'Session Tracker'!$F$5:$F$149,"Next week",'Session Tracker'!$G$5:$G$149,"Thu"),$D304*SUMIFS('Session Tracker'!$J$5:$J$149,'Session Tracker'!$D$5:$D$149,$A304,'Session Tracker'!$F$5:$F$149,"Next week",'Session Tracker'!$G$5:$G$149,"Thu"))</f>
        <v>0</v>
      </c>
      <c r="L304" s="52" t="n">
        <f aca="false">IF($E304="Per class",$D304*COUNTIFS('Session Tracker'!$D$5:$D$149,$A304,'Session Tracker'!$F$5:$F$149,"Next week",'Session Tracker'!$G$5:$G$149,"Fri"),$D304*SUMIFS('Session Tracker'!$J$5:$J$149,'Session Tracker'!$D$5:$D$149,$A304,'Session Tracker'!$F$5:$F$149,"Next week",'Session Tracker'!$G$5:$G$149,"Fri"))</f>
        <v>0</v>
      </c>
      <c r="M304" s="52" t="n">
        <f aca="false">IF($E304="Per class",$D304*COUNTIFS('Session Tracker'!$D$5:$D$149,$A304,'Session Tracker'!$F$5:$F$149,"Next week",'Session Tracker'!$G$5:$G$149,""),$D304*SUMIFS('Session Tracker'!$J$5:$J$149,'Session Tracker'!$D$5:$D$149,$A304,'Session Tracker'!$F$5:$F$149,"Next week",'Session Tracker'!$G$5:$G$149,""))</f>
        <v>0</v>
      </c>
    </row>
    <row r="305" customFormat="false" ht="15" hidden="false" customHeight="false" outlineLevel="0" collapsed="false">
      <c r="A305" s="75" t="s">
        <v>338</v>
      </c>
      <c r="B305" s="34" t="s">
        <v>409</v>
      </c>
      <c r="C305" s="34" t="s">
        <v>612</v>
      </c>
      <c r="D305" s="32" t="n">
        <v>1</v>
      </c>
      <c r="E305" s="32" t="s">
        <v>14</v>
      </c>
      <c r="F305" s="32" t="s">
        <v>368</v>
      </c>
      <c r="G305" s="34" t="s">
        <v>690</v>
      </c>
      <c r="H305" s="52" t="n">
        <f aca="false">IF($E305="Per class",$D305*COUNTIFS('Session Tracker'!$D$5:$D$149,$A305,'Session Tracker'!$F$5:$F$149,"Next week",'Session Tracker'!$G$5:$G$149,"Mon"),$D305*SUMIFS('Session Tracker'!$J$5:$J$149,'Session Tracker'!$D$5:$D$149,$A305,'Session Tracker'!$F$5:$F$149,"Next week",'Session Tracker'!$G$5:$G$149,"Mon"))</f>
        <v>0</v>
      </c>
      <c r="I305" s="52" t="n">
        <f aca="false">IF($E305="Per class",$D305*COUNTIFS('Session Tracker'!$D$5:$D$149,$A305,'Session Tracker'!$F$5:$F$149,"Next week",'Session Tracker'!$G$5:$G$149,"Tue"),$D305*SUMIFS('Session Tracker'!$J$5:$J$149,'Session Tracker'!$D$5:$D$149,$A305,'Session Tracker'!$F$5:$F$149,"Next week",'Session Tracker'!$G$5:$G$149,"Tue"))</f>
        <v>0</v>
      </c>
      <c r="J305" s="52" t="n">
        <f aca="false">IF($E305="Per class",$D305*COUNTIFS('Session Tracker'!$D$5:$D$149,$A305,'Session Tracker'!$F$5:$F$149,"Next week",'Session Tracker'!$G$5:$G$149,"Wed"),$D305*SUMIFS('Session Tracker'!$J$5:$J$149,'Session Tracker'!$D$5:$D$149,$A305,'Session Tracker'!$F$5:$F$149,"Next week",'Session Tracker'!$G$5:$G$149,"Wed"))</f>
        <v>0</v>
      </c>
      <c r="K305" s="52" t="n">
        <f aca="false">IF($E305="Per class",$D305*COUNTIFS('Session Tracker'!$D$5:$D$149,$A305,'Session Tracker'!$F$5:$F$149,"Next week",'Session Tracker'!$G$5:$G$149,"Thu"),$D305*SUMIFS('Session Tracker'!$J$5:$J$149,'Session Tracker'!$D$5:$D$149,$A305,'Session Tracker'!$F$5:$F$149,"Next week",'Session Tracker'!$G$5:$G$149,"Thu"))</f>
        <v>0</v>
      </c>
      <c r="L305" s="52" t="n">
        <f aca="false">IF($E305="Per class",$D305*COUNTIFS('Session Tracker'!$D$5:$D$149,$A305,'Session Tracker'!$F$5:$F$149,"Next week",'Session Tracker'!$G$5:$G$149,"Fri"),$D305*SUMIFS('Session Tracker'!$J$5:$J$149,'Session Tracker'!$D$5:$D$149,$A305,'Session Tracker'!$F$5:$F$149,"Next week",'Session Tracker'!$G$5:$G$149,"Fri"))</f>
        <v>0</v>
      </c>
      <c r="M305" s="52" t="n">
        <f aca="false">IF($E305="Per class",$D305*COUNTIFS('Session Tracker'!$D$5:$D$149,$A305,'Session Tracker'!$F$5:$F$149,"Next week",'Session Tracker'!$G$5:$G$149,""),$D305*SUMIFS('Session Tracker'!$J$5:$J$149,'Session Tracker'!$D$5:$D$149,$A305,'Session Tracker'!$F$5:$F$149,"Next week",'Session Tracker'!$G$5:$G$149,""))</f>
        <v>0</v>
      </c>
    </row>
    <row r="306" customFormat="false" ht="15" hidden="false" customHeight="false" outlineLevel="0" collapsed="false">
      <c r="A306" s="75" t="s">
        <v>338</v>
      </c>
      <c r="B306" s="34" t="s">
        <v>409</v>
      </c>
      <c r="C306" s="34" t="s">
        <v>614</v>
      </c>
      <c r="D306" s="32" t="n">
        <v>1</v>
      </c>
      <c r="E306" s="32" t="s">
        <v>14</v>
      </c>
      <c r="F306" s="32" t="s">
        <v>368</v>
      </c>
      <c r="G306" s="34"/>
      <c r="H306" s="52" t="n">
        <f aca="false">IF($E306="Per class",$D306*COUNTIFS('Session Tracker'!$D$5:$D$149,$A306,'Session Tracker'!$F$5:$F$149,"Next week",'Session Tracker'!$G$5:$G$149,"Mon"),$D306*SUMIFS('Session Tracker'!$J$5:$J$149,'Session Tracker'!$D$5:$D$149,$A306,'Session Tracker'!$F$5:$F$149,"Next week",'Session Tracker'!$G$5:$G$149,"Mon"))</f>
        <v>0</v>
      </c>
      <c r="I306" s="52" t="n">
        <f aca="false">IF($E306="Per class",$D306*COUNTIFS('Session Tracker'!$D$5:$D$149,$A306,'Session Tracker'!$F$5:$F$149,"Next week",'Session Tracker'!$G$5:$G$149,"Tue"),$D306*SUMIFS('Session Tracker'!$J$5:$J$149,'Session Tracker'!$D$5:$D$149,$A306,'Session Tracker'!$F$5:$F$149,"Next week",'Session Tracker'!$G$5:$G$149,"Tue"))</f>
        <v>0</v>
      </c>
      <c r="J306" s="52" t="n">
        <f aca="false">IF($E306="Per class",$D306*COUNTIFS('Session Tracker'!$D$5:$D$149,$A306,'Session Tracker'!$F$5:$F$149,"Next week",'Session Tracker'!$G$5:$G$149,"Wed"),$D306*SUMIFS('Session Tracker'!$J$5:$J$149,'Session Tracker'!$D$5:$D$149,$A306,'Session Tracker'!$F$5:$F$149,"Next week",'Session Tracker'!$G$5:$G$149,"Wed"))</f>
        <v>0</v>
      </c>
      <c r="K306" s="52" t="n">
        <f aca="false">IF($E306="Per class",$D306*COUNTIFS('Session Tracker'!$D$5:$D$149,$A306,'Session Tracker'!$F$5:$F$149,"Next week",'Session Tracker'!$G$5:$G$149,"Thu"),$D306*SUMIFS('Session Tracker'!$J$5:$J$149,'Session Tracker'!$D$5:$D$149,$A306,'Session Tracker'!$F$5:$F$149,"Next week",'Session Tracker'!$G$5:$G$149,"Thu"))</f>
        <v>0</v>
      </c>
      <c r="L306" s="52" t="n">
        <f aca="false">IF($E306="Per class",$D306*COUNTIFS('Session Tracker'!$D$5:$D$149,$A306,'Session Tracker'!$F$5:$F$149,"Next week",'Session Tracker'!$G$5:$G$149,"Fri"),$D306*SUMIFS('Session Tracker'!$J$5:$J$149,'Session Tracker'!$D$5:$D$149,$A306,'Session Tracker'!$F$5:$F$149,"Next week",'Session Tracker'!$G$5:$G$149,"Fri"))</f>
        <v>0</v>
      </c>
      <c r="M306" s="52" t="n">
        <f aca="false">IF($E306="Per class",$D306*COUNTIFS('Session Tracker'!$D$5:$D$149,$A306,'Session Tracker'!$F$5:$F$149,"Next week",'Session Tracker'!$G$5:$G$149,""),$D306*SUMIFS('Session Tracker'!$J$5:$J$149,'Session Tracker'!$D$5:$D$149,$A306,'Session Tracker'!$F$5:$F$149,"Next week",'Session Tracker'!$G$5:$G$149,""))</f>
        <v>0</v>
      </c>
    </row>
    <row r="307" customFormat="false" ht="15" hidden="false" customHeight="false" outlineLevel="0" collapsed="false">
      <c r="A307" s="75" t="s">
        <v>338</v>
      </c>
      <c r="B307" s="34" t="s">
        <v>377</v>
      </c>
      <c r="C307" s="34" t="s">
        <v>669</v>
      </c>
      <c r="D307" s="32" t="n">
        <v>1</v>
      </c>
      <c r="E307" s="32" t="s">
        <v>14</v>
      </c>
      <c r="F307" s="32" t="s">
        <v>368</v>
      </c>
      <c r="G307" s="34"/>
      <c r="H307" s="52" t="n">
        <f aca="false">IF($E307="Per class",$D307*COUNTIFS('Session Tracker'!$D$5:$D$149,$A307,'Session Tracker'!$F$5:$F$149,"Next week",'Session Tracker'!$G$5:$G$149,"Mon"),$D307*SUMIFS('Session Tracker'!$J$5:$J$149,'Session Tracker'!$D$5:$D$149,$A307,'Session Tracker'!$F$5:$F$149,"Next week",'Session Tracker'!$G$5:$G$149,"Mon"))</f>
        <v>0</v>
      </c>
      <c r="I307" s="52" t="n">
        <f aca="false">IF($E307="Per class",$D307*COUNTIFS('Session Tracker'!$D$5:$D$149,$A307,'Session Tracker'!$F$5:$F$149,"Next week",'Session Tracker'!$G$5:$G$149,"Tue"),$D307*SUMIFS('Session Tracker'!$J$5:$J$149,'Session Tracker'!$D$5:$D$149,$A307,'Session Tracker'!$F$5:$F$149,"Next week",'Session Tracker'!$G$5:$G$149,"Tue"))</f>
        <v>0</v>
      </c>
      <c r="J307" s="52" t="n">
        <f aca="false">IF($E307="Per class",$D307*COUNTIFS('Session Tracker'!$D$5:$D$149,$A307,'Session Tracker'!$F$5:$F$149,"Next week",'Session Tracker'!$G$5:$G$149,"Wed"),$D307*SUMIFS('Session Tracker'!$J$5:$J$149,'Session Tracker'!$D$5:$D$149,$A307,'Session Tracker'!$F$5:$F$149,"Next week",'Session Tracker'!$G$5:$G$149,"Wed"))</f>
        <v>0</v>
      </c>
      <c r="K307" s="52" t="n">
        <f aca="false">IF($E307="Per class",$D307*COUNTIFS('Session Tracker'!$D$5:$D$149,$A307,'Session Tracker'!$F$5:$F$149,"Next week",'Session Tracker'!$G$5:$G$149,"Thu"),$D307*SUMIFS('Session Tracker'!$J$5:$J$149,'Session Tracker'!$D$5:$D$149,$A307,'Session Tracker'!$F$5:$F$149,"Next week",'Session Tracker'!$G$5:$G$149,"Thu"))</f>
        <v>0</v>
      </c>
      <c r="L307" s="52" t="n">
        <f aca="false">IF($E307="Per class",$D307*COUNTIFS('Session Tracker'!$D$5:$D$149,$A307,'Session Tracker'!$F$5:$F$149,"Next week",'Session Tracker'!$G$5:$G$149,"Fri"),$D307*SUMIFS('Session Tracker'!$J$5:$J$149,'Session Tracker'!$D$5:$D$149,$A307,'Session Tracker'!$F$5:$F$149,"Next week",'Session Tracker'!$G$5:$G$149,"Fri"))</f>
        <v>0</v>
      </c>
      <c r="M307" s="52" t="n">
        <f aca="false">IF($E307="Per class",$D307*COUNTIFS('Session Tracker'!$D$5:$D$149,$A307,'Session Tracker'!$F$5:$F$149,"Next week",'Session Tracker'!$G$5:$G$149,""),$D307*SUMIFS('Session Tracker'!$J$5:$J$149,'Session Tracker'!$D$5:$D$149,$A307,'Session Tracker'!$F$5:$F$149,"Next week",'Session Tracker'!$G$5:$G$149,""))</f>
        <v>0</v>
      </c>
    </row>
    <row r="308" customFormat="false" ht="15" hidden="false" customHeight="false" outlineLevel="0" collapsed="false">
      <c r="A308" s="75" t="s">
        <v>338</v>
      </c>
      <c r="B308" s="34" t="s">
        <v>371</v>
      </c>
      <c r="C308" s="34" t="s">
        <v>598</v>
      </c>
      <c r="D308" s="32" t="n">
        <v>2</v>
      </c>
      <c r="E308" s="32" t="s">
        <v>14</v>
      </c>
      <c r="F308" s="32" t="s">
        <v>368</v>
      </c>
      <c r="G308" s="34"/>
      <c r="H308" s="52" t="n">
        <f aca="false">IF($E308="Per class",$D308*COUNTIFS('Session Tracker'!$D$5:$D$149,$A308,'Session Tracker'!$F$5:$F$149,"Next week",'Session Tracker'!$G$5:$G$149,"Mon"),$D308*SUMIFS('Session Tracker'!$J$5:$J$149,'Session Tracker'!$D$5:$D$149,$A308,'Session Tracker'!$F$5:$F$149,"Next week",'Session Tracker'!$G$5:$G$149,"Mon"))</f>
        <v>0</v>
      </c>
      <c r="I308" s="52" t="n">
        <f aca="false">IF($E308="Per class",$D308*COUNTIFS('Session Tracker'!$D$5:$D$149,$A308,'Session Tracker'!$F$5:$F$149,"Next week",'Session Tracker'!$G$5:$G$149,"Tue"),$D308*SUMIFS('Session Tracker'!$J$5:$J$149,'Session Tracker'!$D$5:$D$149,$A308,'Session Tracker'!$F$5:$F$149,"Next week",'Session Tracker'!$G$5:$G$149,"Tue"))</f>
        <v>0</v>
      </c>
      <c r="J308" s="52" t="n">
        <f aca="false">IF($E308="Per class",$D308*COUNTIFS('Session Tracker'!$D$5:$D$149,$A308,'Session Tracker'!$F$5:$F$149,"Next week",'Session Tracker'!$G$5:$G$149,"Wed"),$D308*SUMIFS('Session Tracker'!$J$5:$J$149,'Session Tracker'!$D$5:$D$149,$A308,'Session Tracker'!$F$5:$F$149,"Next week",'Session Tracker'!$G$5:$G$149,"Wed"))</f>
        <v>0</v>
      </c>
      <c r="K308" s="52" t="n">
        <f aca="false">IF($E308="Per class",$D308*COUNTIFS('Session Tracker'!$D$5:$D$149,$A308,'Session Tracker'!$F$5:$F$149,"Next week",'Session Tracker'!$G$5:$G$149,"Thu"),$D308*SUMIFS('Session Tracker'!$J$5:$J$149,'Session Tracker'!$D$5:$D$149,$A308,'Session Tracker'!$F$5:$F$149,"Next week",'Session Tracker'!$G$5:$G$149,"Thu"))</f>
        <v>0</v>
      </c>
      <c r="L308" s="52" t="n">
        <f aca="false">IF($E308="Per class",$D308*COUNTIFS('Session Tracker'!$D$5:$D$149,$A308,'Session Tracker'!$F$5:$F$149,"Next week",'Session Tracker'!$G$5:$G$149,"Fri"),$D308*SUMIFS('Session Tracker'!$J$5:$J$149,'Session Tracker'!$D$5:$D$149,$A308,'Session Tracker'!$F$5:$F$149,"Next week",'Session Tracker'!$G$5:$G$149,"Fri"))</f>
        <v>0</v>
      </c>
      <c r="M308" s="52" t="n">
        <f aca="false">IF($E308="Per class",$D308*COUNTIFS('Session Tracker'!$D$5:$D$149,$A308,'Session Tracker'!$F$5:$F$149,"Next week",'Session Tracker'!$G$5:$G$149,""),$D308*SUMIFS('Session Tracker'!$J$5:$J$149,'Session Tracker'!$D$5:$D$149,$A308,'Session Tracker'!$F$5:$F$149,"Next week",'Session Tracker'!$G$5:$G$149,""))</f>
        <v>0</v>
      </c>
    </row>
    <row r="309" customFormat="false" ht="15" hidden="false" customHeight="false" outlineLevel="0" collapsed="false">
      <c r="A309" s="75" t="s">
        <v>338</v>
      </c>
      <c r="B309" s="34" t="s">
        <v>375</v>
      </c>
      <c r="C309" s="34" t="s">
        <v>417</v>
      </c>
      <c r="D309" s="32" t="n">
        <v>2</v>
      </c>
      <c r="E309" s="32" t="s">
        <v>14</v>
      </c>
      <c r="F309" s="32" t="s">
        <v>373</v>
      </c>
      <c r="G309" s="34" t="s">
        <v>616</v>
      </c>
      <c r="H309" s="52" t="n">
        <f aca="false">IF($E309="Per class",$D309*COUNTIFS('Session Tracker'!$D$5:$D$149,$A309,'Session Tracker'!$F$5:$F$149,"Next week",'Session Tracker'!$G$5:$G$149,"Mon"),$D309*SUMIFS('Session Tracker'!$J$5:$J$149,'Session Tracker'!$D$5:$D$149,$A309,'Session Tracker'!$F$5:$F$149,"Next week",'Session Tracker'!$G$5:$G$149,"Mon"))</f>
        <v>0</v>
      </c>
      <c r="I309" s="52" t="n">
        <f aca="false">IF($E309="Per class",$D309*COUNTIFS('Session Tracker'!$D$5:$D$149,$A309,'Session Tracker'!$F$5:$F$149,"Next week",'Session Tracker'!$G$5:$G$149,"Tue"),$D309*SUMIFS('Session Tracker'!$J$5:$J$149,'Session Tracker'!$D$5:$D$149,$A309,'Session Tracker'!$F$5:$F$149,"Next week",'Session Tracker'!$G$5:$G$149,"Tue"))</f>
        <v>0</v>
      </c>
      <c r="J309" s="52" t="n">
        <f aca="false">IF($E309="Per class",$D309*COUNTIFS('Session Tracker'!$D$5:$D$149,$A309,'Session Tracker'!$F$5:$F$149,"Next week",'Session Tracker'!$G$5:$G$149,"Wed"),$D309*SUMIFS('Session Tracker'!$J$5:$J$149,'Session Tracker'!$D$5:$D$149,$A309,'Session Tracker'!$F$5:$F$149,"Next week",'Session Tracker'!$G$5:$G$149,"Wed"))</f>
        <v>0</v>
      </c>
      <c r="K309" s="52" t="n">
        <f aca="false">IF($E309="Per class",$D309*COUNTIFS('Session Tracker'!$D$5:$D$149,$A309,'Session Tracker'!$F$5:$F$149,"Next week",'Session Tracker'!$G$5:$G$149,"Thu"),$D309*SUMIFS('Session Tracker'!$J$5:$J$149,'Session Tracker'!$D$5:$D$149,$A309,'Session Tracker'!$F$5:$F$149,"Next week",'Session Tracker'!$G$5:$G$149,"Thu"))</f>
        <v>0</v>
      </c>
      <c r="L309" s="52" t="n">
        <f aca="false">IF($E309="Per class",$D309*COUNTIFS('Session Tracker'!$D$5:$D$149,$A309,'Session Tracker'!$F$5:$F$149,"Next week",'Session Tracker'!$G$5:$G$149,"Fri"),$D309*SUMIFS('Session Tracker'!$J$5:$J$149,'Session Tracker'!$D$5:$D$149,$A309,'Session Tracker'!$F$5:$F$149,"Next week",'Session Tracker'!$G$5:$G$149,"Fri"))</f>
        <v>0</v>
      </c>
      <c r="M309" s="52" t="n">
        <f aca="false">IF($E309="Per class",$D309*COUNTIFS('Session Tracker'!$D$5:$D$149,$A309,'Session Tracker'!$F$5:$F$149,"Next week",'Session Tracker'!$G$5:$G$149,""),$D309*SUMIFS('Session Tracker'!$J$5:$J$149,'Session Tracker'!$D$5:$D$149,$A309,'Session Tracker'!$F$5:$F$149,"Next week",'Session Tracker'!$G$5:$G$149,""))</f>
        <v>0</v>
      </c>
    </row>
    <row r="310" customFormat="false" ht="15" hidden="false" customHeight="false" outlineLevel="0" collapsed="false">
      <c r="A310" s="75" t="s">
        <v>338</v>
      </c>
      <c r="B310" s="34" t="s">
        <v>379</v>
      </c>
      <c r="C310" s="34" t="s">
        <v>380</v>
      </c>
      <c r="D310" s="32" t="n">
        <v>1</v>
      </c>
      <c r="E310" s="32" t="s">
        <v>14</v>
      </c>
      <c r="F310" s="32" t="s">
        <v>368</v>
      </c>
      <c r="G310" s="34"/>
      <c r="H310" s="52" t="n">
        <f aca="false">IF($E310="Per class",$D310*COUNTIFS('Session Tracker'!$D$5:$D$149,$A310,'Session Tracker'!$F$5:$F$149,"Next week",'Session Tracker'!$G$5:$G$149,"Mon"),$D310*SUMIFS('Session Tracker'!$J$5:$J$149,'Session Tracker'!$D$5:$D$149,$A310,'Session Tracker'!$F$5:$F$149,"Next week",'Session Tracker'!$G$5:$G$149,"Mon"))</f>
        <v>0</v>
      </c>
      <c r="I310" s="52" t="n">
        <f aca="false">IF($E310="Per class",$D310*COUNTIFS('Session Tracker'!$D$5:$D$149,$A310,'Session Tracker'!$F$5:$F$149,"Next week",'Session Tracker'!$G$5:$G$149,"Tue"),$D310*SUMIFS('Session Tracker'!$J$5:$J$149,'Session Tracker'!$D$5:$D$149,$A310,'Session Tracker'!$F$5:$F$149,"Next week",'Session Tracker'!$G$5:$G$149,"Tue"))</f>
        <v>0</v>
      </c>
      <c r="J310" s="52" t="n">
        <f aca="false">IF($E310="Per class",$D310*COUNTIFS('Session Tracker'!$D$5:$D$149,$A310,'Session Tracker'!$F$5:$F$149,"Next week",'Session Tracker'!$G$5:$G$149,"Wed"),$D310*SUMIFS('Session Tracker'!$J$5:$J$149,'Session Tracker'!$D$5:$D$149,$A310,'Session Tracker'!$F$5:$F$149,"Next week",'Session Tracker'!$G$5:$G$149,"Wed"))</f>
        <v>0</v>
      </c>
      <c r="K310" s="52" t="n">
        <f aca="false">IF($E310="Per class",$D310*COUNTIFS('Session Tracker'!$D$5:$D$149,$A310,'Session Tracker'!$F$5:$F$149,"Next week",'Session Tracker'!$G$5:$G$149,"Thu"),$D310*SUMIFS('Session Tracker'!$J$5:$J$149,'Session Tracker'!$D$5:$D$149,$A310,'Session Tracker'!$F$5:$F$149,"Next week",'Session Tracker'!$G$5:$G$149,"Thu"))</f>
        <v>0</v>
      </c>
      <c r="L310" s="52" t="n">
        <f aca="false">IF($E310="Per class",$D310*COUNTIFS('Session Tracker'!$D$5:$D$149,$A310,'Session Tracker'!$F$5:$F$149,"Next week",'Session Tracker'!$G$5:$G$149,"Fri"),$D310*SUMIFS('Session Tracker'!$J$5:$J$149,'Session Tracker'!$D$5:$D$149,$A310,'Session Tracker'!$F$5:$F$149,"Next week",'Session Tracker'!$G$5:$G$149,"Fri"))</f>
        <v>0</v>
      </c>
      <c r="M310" s="52" t="n">
        <f aca="false">IF($E310="Per class",$D310*COUNTIFS('Session Tracker'!$D$5:$D$149,$A310,'Session Tracker'!$F$5:$F$149,"Next week",'Session Tracker'!$G$5:$G$149,""),$D310*SUMIFS('Session Tracker'!$J$5:$J$149,'Session Tracker'!$D$5:$D$149,$A310,'Session Tracker'!$F$5:$F$149,"Next week",'Session Tracker'!$G$5:$G$149,""))</f>
        <v>0</v>
      </c>
    </row>
    <row r="311" customFormat="false" ht="15" hidden="false" customHeight="false" outlineLevel="0" collapsed="false">
      <c r="A311" s="75" t="s">
        <v>338</v>
      </c>
      <c r="B311" s="34" t="s">
        <v>379</v>
      </c>
      <c r="C311" s="34" t="s">
        <v>381</v>
      </c>
      <c r="D311" s="32" t="n">
        <v>12</v>
      </c>
      <c r="E311" s="32" t="s">
        <v>14</v>
      </c>
      <c r="F311" s="32" t="s">
        <v>368</v>
      </c>
      <c r="G311" s="34"/>
      <c r="H311" s="52" t="n">
        <f aca="false">IF($E311="Per class",$D311*COUNTIFS('Session Tracker'!$D$5:$D$149,$A311,'Session Tracker'!$F$5:$F$149,"Next week",'Session Tracker'!$G$5:$G$149,"Mon"),$D311*SUMIFS('Session Tracker'!$J$5:$J$149,'Session Tracker'!$D$5:$D$149,$A311,'Session Tracker'!$F$5:$F$149,"Next week",'Session Tracker'!$G$5:$G$149,"Mon"))</f>
        <v>0</v>
      </c>
      <c r="I311" s="52" t="n">
        <f aca="false">IF($E311="Per class",$D311*COUNTIFS('Session Tracker'!$D$5:$D$149,$A311,'Session Tracker'!$F$5:$F$149,"Next week",'Session Tracker'!$G$5:$G$149,"Tue"),$D311*SUMIFS('Session Tracker'!$J$5:$J$149,'Session Tracker'!$D$5:$D$149,$A311,'Session Tracker'!$F$5:$F$149,"Next week",'Session Tracker'!$G$5:$G$149,"Tue"))</f>
        <v>0</v>
      </c>
      <c r="J311" s="52" t="n">
        <f aca="false">IF($E311="Per class",$D311*COUNTIFS('Session Tracker'!$D$5:$D$149,$A311,'Session Tracker'!$F$5:$F$149,"Next week",'Session Tracker'!$G$5:$G$149,"Wed"),$D311*SUMIFS('Session Tracker'!$J$5:$J$149,'Session Tracker'!$D$5:$D$149,$A311,'Session Tracker'!$F$5:$F$149,"Next week",'Session Tracker'!$G$5:$G$149,"Wed"))</f>
        <v>0</v>
      </c>
      <c r="K311" s="52" t="n">
        <f aca="false">IF($E311="Per class",$D311*COUNTIFS('Session Tracker'!$D$5:$D$149,$A311,'Session Tracker'!$F$5:$F$149,"Next week",'Session Tracker'!$G$5:$G$149,"Thu"),$D311*SUMIFS('Session Tracker'!$J$5:$J$149,'Session Tracker'!$D$5:$D$149,$A311,'Session Tracker'!$F$5:$F$149,"Next week",'Session Tracker'!$G$5:$G$149,"Thu"))</f>
        <v>0</v>
      </c>
      <c r="L311" s="52" t="n">
        <f aca="false">IF($E311="Per class",$D311*COUNTIFS('Session Tracker'!$D$5:$D$149,$A311,'Session Tracker'!$F$5:$F$149,"Next week",'Session Tracker'!$G$5:$G$149,"Fri"),$D311*SUMIFS('Session Tracker'!$J$5:$J$149,'Session Tracker'!$D$5:$D$149,$A311,'Session Tracker'!$F$5:$F$149,"Next week",'Session Tracker'!$G$5:$G$149,"Fri"))</f>
        <v>0</v>
      </c>
      <c r="M311" s="52" t="n">
        <f aca="false">IF($E311="Per class",$D311*COUNTIFS('Session Tracker'!$D$5:$D$149,$A311,'Session Tracker'!$F$5:$F$149,"Next week",'Session Tracker'!$G$5:$G$149,""),$D311*SUMIFS('Session Tracker'!$J$5:$J$149,'Session Tracker'!$D$5:$D$149,$A311,'Session Tracker'!$F$5:$F$149,"Next week",'Session Tracker'!$G$5:$G$149,""))</f>
        <v>0</v>
      </c>
    </row>
    <row r="312" customFormat="false" ht="15" hidden="false" customHeight="false" outlineLevel="0" collapsed="false">
      <c r="A312" s="75" t="s">
        <v>338</v>
      </c>
      <c r="B312" s="34" t="s">
        <v>382</v>
      </c>
      <c r="C312" s="34" t="s">
        <v>383</v>
      </c>
      <c r="D312" s="32" t="n">
        <v>1</v>
      </c>
      <c r="E312" s="32" t="s">
        <v>14</v>
      </c>
      <c r="F312" s="32" t="s">
        <v>368</v>
      </c>
      <c r="G312" s="34"/>
      <c r="H312" s="52" t="n">
        <f aca="false">IF($E312="Per class",$D312*COUNTIFS('Session Tracker'!$D$5:$D$149,$A312,'Session Tracker'!$F$5:$F$149,"Next week",'Session Tracker'!$G$5:$G$149,"Mon"),$D312*SUMIFS('Session Tracker'!$J$5:$J$149,'Session Tracker'!$D$5:$D$149,$A312,'Session Tracker'!$F$5:$F$149,"Next week",'Session Tracker'!$G$5:$G$149,"Mon"))</f>
        <v>0</v>
      </c>
      <c r="I312" s="52" t="n">
        <f aca="false">IF($E312="Per class",$D312*COUNTIFS('Session Tracker'!$D$5:$D$149,$A312,'Session Tracker'!$F$5:$F$149,"Next week",'Session Tracker'!$G$5:$G$149,"Tue"),$D312*SUMIFS('Session Tracker'!$J$5:$J$149,'Session Tracker'!$D$5:$D$149,$A312,'Session Tracker'!$F$5:$F$149,"Next week",'Session Tracker'!$G$5:$G$149,"Tue"))</f>
        <v>0</v>
      </c>
      <c r="J312" s="52" t="n">
        <f aca="false">IF($E312="Per class",$D312*COUNTIFS('Session Tracker'!$D$5:$D$149,$A312,'Session Tracker'!$F$5:$F$149,"Next week",'Session Tracker'!$G$5:$G$149,"Wed"),$D312*SUMIFS('Session Tracker'!$J$5:$J$149,'Session Tracker'!$D$5:$D$149,$A312,'Session Tracker'!$F$5:$F$149,"Next week",'Session Tracker'!$G$5:$G$149,"Wed"))</f>
        <v>0</v>
      </c>
      <c r="K312" s="52" t="n">
        <f aca="false">IF($E312="Per class",$D312*COUNTIFS('Session Tracker'!$D$5:$D$149,$A312,'Session Tracker'!$F$5:$F$149,"Next week",'Session Tracker'!$G$5:$G$149,"Thu"),$D312*SUMIFS('Session Tracker'!$J$5:$J$149,'Session Tracker'!$D$5:$D$149,$A312,'Session Tracker'!$F$5:$F$149,"Next week",'Session Tracker'!$G$5:$G$149,"Thu"))</f>
        <v>0</v>
      </c>
      <c r="L312" s="52" t="n">
        <f aca="false">IF($E312="Per class",$D312*COUNTIFS('Session Tracker'!$D$5:$D$149,$A312,'Session Tracker'!$F$5:$F$149,"Next week",'Session Tracker'!$G$5:$G$149,"Fri"),$D312*SUMIFS('Session Tracker'!$J$5:$J$149,'Session Tracker'!$D$5:$D$149,$A312,'Session Tracker'!$F$5:$F$149,"Next week",'Session Tracker'!$G$5:$G$149,"Fri"))</f>
        <v>0</v>
      </c>
      <c r="M312" s="52" t="n">
        <f aca="false">IF($E312="Per class",$D312*COUNTIFS('Session Tracker'!$D$5:$D$149,$A312,'Session Tracker'!$F$5:$F$149,"Next week",'Session Tracker'!$G$5:$G$149,""),$D312*SUMIFS('Session Tracker'!$J$5:$J$149,'Session Tracker'!$D$5:$D$149,$A312,'Session Tracker'!$F$5:$F$149,"Next week",'Session Tracker'!$G$5:$G$149,""))</f>
        <v>0</v>
      </c>
    </row>
    <row r="313" customFormat="false" ht="15" hidden="false" customHeight="false" outlineLevel="0" collapsed="false">
      <c r="A313" s="53" t="s">
        <v>338</v>
      </c>
      <c r="B313" s="54"/>
      <c r="C313" s="54"/>
      <c r="D313" s="54"/>
      <c r="E313" s="54"/>
      <c r="F313" s="54"/>
      <c r="G313" s="54"/>
      <c r="H313" s="52" t="n">
        <f aca="false">IF($E313="Per class",$D313*COUNTIFS('Session Tracker'!$D$5:$D$149,$A313,'Session Tracker'!$F$5:$F$149,"Next week",'Session Tracker'!$G$5:$G$149,"Mon"),$D313*SUMIFS('Session Tracker'!$J$5:$J$149,'Session Tracker'!$D$5:$D$149,$A313,'Session Tracker'!$F$5:$F$149,"Next week",'Session Tracker'!$G$5:$G$149,"Mon"))</f>
        <v>0</v>
      </c>
      <c r="I313" s="52" t="n">
        <f aca="false">IF($E313="Per class",$D313*COUNTIFS('Session Tracker'!$D$5:$D$149,$A313,'Session Tracker'!$F$5:$F$149,"Next week",'Session Tracker'!$G$5:$G$149,"Tue"),$D313*SUMIFS('Session Tracker'!$J$5:$J$149,'Session Tracker'!$D$5:$D$149,$A313,'Session Tracker'!$F$5:$F$149,"Next week",'Session Tracker'!$G$5:$G$149,"Tue"))</f>
        <v>0</v>
      </c>
      <c r="J313" s="52" t="n">
        <f aca="false">IF($E313="Per class",$D313*COUNTIFS('Session Tracker'!$D$5:$D$149,$A313,'Session Tracker'!$F$5:$F$149,"Next week",'Session Tracker'!$G$5:$G$149,"Wed"),$D313*SUMIFS('Session Tracker'!$J$5:$J$149,'Session Tracker'!$D$5:$D$149,$A313,'Session Tracker'!$F$5:$F$149,"Next week",'Session Tracker'!$G$5:$G$149,"Wed"))</f>
        <v>0</v>
      </c>
      <c r="K313" s="52" t="n">
        <f aca="false">IF($E313="Per class",$D313*COUNTIFS('Session Tracker'!$D$5:$D$149,$A313,'Session Tracker'!$F$5:$F$149,"Next week",'Session Tracker'!$G$5:$G$149,"Thu"),$D313*SUMIFS('Session Tracker'!$J$5:$J$149,'Session Tracker'!$D$5:$D$149,$A313,'Session Tracker'!$F$5:$F$149,"Next week",'Session Tracker'!$G$5:$G$149,"Thu"))</f>
        <v>0</v>
      </c>
      <c r="L313" s="52" t="n">
        <f aca="false">IF($E313="Per class",$D313*COUNTIFS('Session Tracker'!$D$5:$D$149,$A313,'Session Tracker'!$F$5:$F$149,"Next week",'Session Tracker'!$G$5:$G$149,"Fri"),$D313*SUMIFS('Session Tracker'!$J$5:$J$149,'Session Tracker'!$D$5:$D$149,$A313,'Session Tracker'!$F$5:$F$149,"Next week",'Session Tracker'!$G$5:$G$149,"Fri"))</f>
        <v>0</v>
      </c>
      <c r="M313" s="52" t="n">
        <f aca="false">IF($E313="Per class",$D313*COUNTIFS('Session Tracker'!$D$5:$D$149,$A313,'Session Tracker'!$F$5:$F$149,"Next week",'Session Tracker'!$G$5:$G$149,""),$D313*SUMIFS('Session Tracker'!$J$5:$J$149,'Session Tracker'!$D$5:$D$149,$A313,'Session Tracker'!$F$5:$F$149,"Next week",'Session Tracker'!$G$5:$G$149,""))</f>
        <v>0</v>
      </c>
    </row>
    <row r="314" customFormat="false" ht="15" hidden="false" customHeight="false" outlineLevel="0" collapsed="false">
      <c r="A314" s="53" t="s">
        <v>338</v>
      </c>
      <c r="B314" s="54"/>
      <c r="C314" s="54"/>
      <c r="D314" s="54"/>
      <c r="E314" s="54"/>
      <c r="F314" s="54"/>
      <c r="G314" s="54"/>
      <c r="H314" s="52" t="n">
        <f aca="false">IF($E314="Per class",$D314*COUNTIFS('Session Tracker'!$D$5:$D$149,$A314,'Session Tracker'!$F$5:$F$149,"Next week",'Session Tracker'!$G$5:$G$149,"Mon"),$D314*SUMIFS('Session Tracker'!$J$5:$J$149,'Session Tracker'!$D$5:$D$149,$A314,'Session Tracker'!$F$5:$F$149,"Next week",'Session Tracker'!$G$5:$G$149,"Mon"))</f>
        <v>0</v>
      </c>
      <c r="I314" s="52" t="n">
        <f aca="false">IF($E314="Per class",$D314*COUNTIFS('Session Tracker'!$D$5:$D$149,$A314,'Session Tracker'!$F$5:$F$149,"Next week",'Session Tracker'!$G$5:$G$149,"Tue"),$D314*SUMIFS('Session Tracker'!$J$5:$J$149,'Session Tracker'!$D$5:$D$149,$A314,'Session Tracker'!$F$5:$F$149,"Next week",'Session Tracker'!$G$5:$G$149,"Tue"))</f>
        <v>0</v>
      </c>
      <c r="J314" s="52" t="n">
        <f aca="false">IF($E314="Per class",$D314*COUNTIFS('Session Tracker'!$D$5:$D$149,$A314,'Session Tracker'!$F$5:$F$149,"Next week",'Session Tracker'!$G$5:$G$149,"Wed"),$D314*SUMIFS('Session Tracker'!$J$5:$J$149,'Session Tracker'!$D$5:$D$149,$A314,'Session Tracker'!$F$5:$F$149,"Next week",'Session Tracker'!$G$5:$G$149,"Wed"))</f>
        <v>0</v>
      </c>
      <c r="K314" s="52" t="n">
        <f aca="false">IF($E314="Per class",$D314*COUNTIFS('Session Tracker'!$D$5:$D$149,$A314,'Session Tracker'!$F$5:$F$149,"Next week",'Session Tracker'!$G$5:$G$149,"Thu"),$D314*SUMIFS('Session Tracker'!$J$5:$J$149,'Session Tracker'!$D$5:$D$149,$A314,'Session Tracker'!$F$5:$F$149,"Next week",'Session Tracker'!$G$5:$G$149,"Thu"))</f>
        <v>0</v>
      </c>
      <c r="L314" s="52" t="n">
        <f aca="false">IF($E314="Per class",$D314*COUNTIFS('Session Tracker'!$D$5:$D$149,$A314,'Session Tracker'!$F$5:$F$149,"Next week",'Session Tracker'!$G$5:$G$149,"Fri"),$D314*SUMIFS('Session Tracker'!$J$5:$J$149,'Session Tracker'!$D$5:$D$149,$A314,'Session Tracker'!$F$5:$F$149,"Next week",'Session Tracker'!$G$5:$G$149,"Fri"))</f>
        <v>0</v>
      </c>
      <c r="M314" s="52" t="n">
        <f aca="false">IF($E314="Per class",$D314*COUNTIFS('Session Tracker'!$D$5:$D$149,$A314,'Session Tracker'!$F$5:$F$149,"Next week",'Session Tracker'!$G$5:$G$149,""),$D314*SUMIFS('Session Tracker'!$J$5:$J$149,'Session Tracker'!$D$5:$D$149,$A314,'Session Tracker'!$F$5:$F$149,"Next week",'Session Tracker'!$G$5:$G$149,""))</f>
        <v>0</v>
      </c>
    </row>
    <row r="316" customFormat="false" ht="19.5" hidden="false" customHeight="true" outlineLevel="0" collapsed="false">
      <c r="A316" s="71" t="s">
        <v>340</v>
      </c>
      <c r="B316" s="72" t="s">
        <v>691</v>
      </c>
      <c r="C316" s="72"/>
      <c r="D316" s="72"/>
      <c r="E316" s="72"/>
      <c r="F316" s="73" t="str">
        <f aca="false">"Status: "&amp;'Session Tracker'!F141&amp;IF('Session Tracker'!G141&lt;&gt;""," ("&amp;'Session Tracker'!G141&amp;")","")</f>
        <v>Status: Not started</v>
      </c>
      <c r="G316" s="73"/>
      <c r="H316" s="74"/>
      <c r="I316" s="74"/>
      <c r="J316" s="74"/>
      <c r="K316" s="74"/>
      <c r="L316" s="74"/>
      <c r="M316" s="74"/>
    </row>
    <row r="317" customFormat="false" ht="15" hidden="false" customHeight="false" outlineLevel="0" collapsed="false">
      <c r="A317" s="75" t="s">
        <v>340</v>
      </c>
      <c r="B317" s="34" t="s">
        <v>382</v>
      </c>
      <c r="C317" s="34" t="s">
        <v>383</v>
      </c>
      <c r="D317" s="32" t="n">
        <v>1</v>
      </c>
      <c r="E317" s="32" t="s">
        <v>14</v>
      </c>
      <c r="F317" s="32" t="s">
        <v>368</v>
      </c>
      <c r="G317" s="34"/>
      <c r="H317" s="52" t="n">
        <f aca="false">IF($E317="Per class",$D317*COUNTIFS('Session Tracker'!$D$5:$D$149,$A317,'Session Tracker'!$F$5:$F$149,"Next week",'Session Tracker'!$G$5:$G$149,"Mon"),$D317*SUMIFS('Session Tracker'!$J$5:$J$149,'Session Tracker'!$D$5:$D$149,$A317,'Session Tracker'!$F$5:$F$149,"Next week",'Session Tracker'!$G$5:$G$149,"Mon"))</f>
        <v>0</v>
      </c>
      <c r="I317" s="52" t="n">
        <f aca="false">IF($E317="Per class",$D317*COUNTIFS('Session Tracker'!$D$5:$D$149,$A317,'Session Tracker'!$F$5:$F$149,"Next week",'Session Tracker'!$G$5:$G$149,"Tue"),$D317*SUMIFS('Session Tracker'!$J$5:$J$149,'Session Tracker'!$D$5:$D$149,$A317,'Session Tracker'!$F$5:$F$149,"Next week",'Session Tracker'!$G$5:$G$149,"Tue"))</f>
        <v>0</v>
      </c>
      <c r="J317" s="52" t="n">
        <f aca="false">IF($E317="Per class",$D317*COUNTIFS('Session Tracker'!$D$5:$D$149,$A317,'Session Tracker'!$F$5:$F$149,"Next week",'Session Tracker'!$G$5:$G$149,"Wed"),$D317*SUMIFS('Session Tracker'!$J$5:$J$149,'Session Tracker'!$D$5:$D$149,$A317,'Session Tracker'!$F$5:$F$149,"Next week",'Session Tracker'!$G$5:$G$149,"Wed"))</f>
        <v>0</v>
      </c>
      <c r="K317" s="52" t="n">
        <f aca="false">IF($E317="Per class",$D317*COUNTIFS('Session Tracker'!$D$5:$D$149,$A317,'Session Tracker'!$F$5:$F$149,"Next week",'Session Tracker'!$G$5:$G$149,"Thu"),$D317*SUMIFS('Session Tracker'!$J$5:$J$149,'Session Tracker'!$D$5:$D$149,$A317,'Session Tracker'!$F$5:$F$149,"Next week",'Session Tracker'!$G$5:$G$149,"Thu"))</f>
        <v>0</v>
      </c>
      <c r="L317" s="52" t="n">
        <f aca="false">IF($E317="Per class",$D317*COUNTIFS('Session Tracker'!$D$5:$D$149,$A317,'Session Tracker'!$F$5:$F$149,"Next week",'Session Tracker'!$G$5:$G$149,"Fri"),$D317*SUMIFS('Session Tracker'!$J$5:$J$149,'Session Tracker'!$D$5:$D$149,$A317,'Session Tracker'!$F$5:$F$149,"Next week",'Session Tracker'!$G$5:$G$149,"Fri"))</f>
        <v>0</v>
      </c>
      <c r="M317" s="52" t="n">
        <f aca="false">IF($E317="Per class",$D317*COUNTIFS('Session Tracker'!$D$5:$D$149,$A317,'Session Tracker'!$F$5:$F$149,"Next week",'Session Tracker'!$G$5:$G$149,""),$D317*SUMIFS('Session Tracker'!$J$5:$J$149,'Session Tracker'!$D$5:$D$149,$A317,'Session Tracker'!$F$5:$F$149,"Next week",'Session Tracker'!$G$5:$G$149,""))</f>
        <v>0</v>
      </c>
    </row>
    <row r="318" customFormat="false" ht="15" hidden="false" customHeight="false" outlineLevel="0" collapsed="false">
      <c r="A318" s="53" t="s">
        <v>340</v>
      </c>
      <c r="B318" s="54"/>
      <c r="C318" s="54"/>
      <c r="D318" s="54"/>
      <c r="E318" s="54"/>
      <c r="F318" s="54"/>
      <c r="G318" s="54"/>
      <c r="H318" s="52" t="n">
        <f aca="false">IF($E318="Per class",$D318*COUNTIFS('Session Tracker'!$D$5:$D$149,$A318,'Session Tracker'!$F$5:$F$149,"Next week",'Session Tracker'!$G$5:$G$149,"Mon"),$D318*SUMIFS('Session Tracker'!$J$5:$J$149,'Session Tracker'!$D$5:$D$149,$A318,'Session Tracker'!$F$5:$F$149,"Next week",'Session Tracker'!$G$5:$G$149,"Mon"))</f>
        <v>0</v>
      </c>
      <c r="I318" s="52" t="n">
        <f aca="false">IF($E318="Per class",$D318*COUNTIFS('Session Tracker'!$D$5:$D$149,$A318,'Session Tracker'!$F$5:$F$149,"Next week",'Session Tracker'!$G$5:$G$149,"Tue"),$D318*SUMIFS('Session Tracker'!$J$5:$J$149,'Session Tracker'!$D$5:$D$149,$A318,'Session Tracker'!$F$5:$F$149,"Next week",'Session Tracker'!$G$5:$G$149,"Tue"))</f>
        <v>0</v>
      </c>
      <c r="J318" s="52" t="n">
        <f aca="false">IF($E318="Per class",$D318*COUNTIFS('Session Tracker'!$D$5:$D$149,$A318,'Session Tracker'!$F$5:$F$149,"Next week",'Session Tracker'!$G$5:$G$149,"Wed"),$D318*SUMIFS('Session Tracker'!$J$5:$J$149,'Session Tracker'!$D$5:$D$149,$A318,'Session Tracker'!$F$5:$F$149,"Next week",'Session Tracker'!$G$5:$G$149,"Wed"))</f>
        <v>0</v>
      </c>
      <c r="K318" s="52" t="n">
        <f aca="false">IF($E318="Per class",$D318*COUNTIFS('Session Tracker'!$D$5:$D$149,$A318,'Session Tracker'!$F$5:$F$149,"Next week",'Session Tracker'!$G$5:$G$149,"Thu"),$D318*SUMIFS('Session Tracker'!$J$5:$J$149,'Session Tracker'!$D$5:$D$149,$A318,'Session Tracker'!$F$5:$F$149,"Next week",'Session Tracker'!$G$5:$G$149,"Thu"))</f>
        <v>0</v>
      </c>
      <c r="L318" s="52" t="n">
        <f aca="false">IF($E318="Per class",$D318*COUNTIFS('Session Tracker'!$D$5:$D$149,$A318,'Session Tracker'!$F$5:$F$149,"Next week",'Session Tracker'!$G$5:$G$149,"Fri"),$D318*SUMIFS('Session Tracker'!$J$5:$J$149,'Session Tracker'!$D$5:$D$149,$A318,'Session Tracker'!$F$5:$F$149,"Next week",'Session Tracker'!$G$5:$G$149,"Fri"))</f>
        <v>0</v>
      </c>
      <c r="M318" s="52" t="n">
        <f aca="false">IF($E318="Per class",$D318*COUNTIFS('Session Tracker'!$D$5:$D$149,$A318,'Session Tracker'!$F$5:$F$149,"Next week",'Session Tracker'!$G$5:$G$149,""),$D318*SUMIFS('Session Tracker'!$J$5:$J$149,'Session Tracker'!$D$5:$D$149,$A318,'Session Tracker'!$F$5:$F$149,"Next week",'Session Tracker'!$G$5:$G$149,""))</f>
        <v>0</v>
      </c>
    </row>
    <row r="319" customFormat="false" ht="15" hidden="false" customHeight="false" outlineLevel="0" collapsed="false">
      <c r="A319" s="53" t="s">
        <v>340</v>
      </c>
      <c r="B319" s="54"/>
      <c r="C319" s="54"/>
      <c r="D319" s="54"/>
      <c r="E319" s="54"/>
      <c r="F319" s="54"/>
      <c r="G319" s="54"/>
      <c r="H319" s="52" t="n">
        <f aca="false">IF($E319="Per class",$D319*COUNTIFS('Session Tracker'!$D$5:$D$149,$A319,'Session Tracker'!$F$5:$F$149,"Next week",'Session Tracker'!$G$5:$G$149,"Mon"),$D319*SUMIFS('Session Tracker'!$J$5:$J$149,'Session Tracker'!$D$5:$D$149,$A319,'Session Tracker'!$F$5:$F$149,"Next week",'Session Tracker'!$G$5:$G$149,"Mon"))</f>
        <v>0</v>
      </c>
      <c r="I319" s="52" t="n">
        <f aca="false">IF($E319="Per class",$D319*COUNTIFS('Session Tracker'!$D$5:$D$149,$A319,'Session Tracker'!$F$5:$F$149,"Next week",'Session Tracker'!$G$5:$G$149,"Tue"),$D319*SUMIFS('Session Tracker'!$J$5:$J$149,'Session Tracker'!$D$5:$D$149,$A319,'Session Tracker'!$F$5:$F$149,"Next week",'Session Tracker'!$G$5:$G$149,"Tue"))</f>
        <v>0</v>
      </c>
      <c r="J319" s="52" t="n">
        <f aca="false">IF($E319="Per class",$D319*COUNTIFS('Session Tracker'!$D$5:$D$149,$A319,'Session Tracker'!$F$5:$F$149,"Next week",'Session Tracker'!$G$5:$G$149,"Wed"),$D319*SUMIFS('Session Tracker'!$J$5:$J$149,'Session Tracker'!$D$5:$D$149,$A319,'Session Tracker'!$F$5:$F$149,"Next week",'Session Tracker'!$G$5:$G$149,"Wed"))</f>
        <v>0</v>
      </c>
      <c r="K319" s="52" t="n">
        <f aca="false">IF($E319="Per class",$D319*COUNTIFS('Session Tracker'!$D$5:$D$149,$A319,'Session Tracker'!$F$5:$F$149,"Next week",'Session Tracker'!$G$5:$G$149,"Thu"),$D319*SUMIFS('Session Tracker'!$J$5:$J$149,'Session Tracker'!$D$5:$D$149,$A319,'Session Tracker'!$F$5:$F$149,"Next week",'Session Tracker'!$G$5:$G$149,"Thu"))</f>
        <v>0</v>
      </c>
      <c r="L319" s="52" t="n">
        <f aca="false">IF($E319="Per class",$D319*COUNTIFS('Session Tracker'!$D$5:$D$149,$A319,'Session Tracker'!$F$5:$F$149,"Next week",'Session Tracker'!$G$5:$G$149,"Fri"),$D319*SUMIFS('Session Tracker'!$J$5:$J$149,'Session Tracker'!$D$5:$D$149,$A319,'Session Tracker'!$F$5:$F$149,"Next week",'Session Tracker'!$G$5:$G$149,"Fri"))</f>
        <v>0</v>
      </c>
      <c r="M319" s="52" t="n">
        <f aca="false">IF($E319="Per class",$D319*COUNTIFS('Session Tracker'!$D$5:$D$149,$A319,'Session Tracker'!$F$5:$F$149,"Next week",'Session Tracker'!$G$5:$G$149,""),$D319*SUMIFS('Session Tracker'!$J$5:$J$149,'Session Tracker'!$D$5:$D$149,$A319,'Session Tracker'!$F$5:$F$149,"Next week",'Session Tracker'!$G$5:$G$149,""))</f>
        <v>0</v>
      </c>
    </row>
    <row r="321" customFormat="false" ht="19.5" hidden="false" customHeight="true" outlineLevel="0" collapsed="false">
      <c r="A321" s="71" t="s">
        <v>342</v>
      </c>
      <c r="B321" s="72" t="s">
        <v>692</v>
      </c>
      <c r="C321" s="72"/>
      <c r="D321" s="72"/>
      <c r="E321" s="72"/>
      <c r="F321" s="73" t="str">
        <f aca="false">"Status: "&amp;'Session Tracker'!F142&amp;IF('Session Tracker'!G142&lt;&gt;""," ("&amp;'Session Tracker'!G142&amp;")","")</f>
        <v>Status: Not started</v>
      </c>
      <c r="G321" s="73"/>
      <c r="H321" s="74"/>
      <c r="I321" s="74"/>
      <c r="J321" s="74"/>
      <c r="K321" s="74"/>
      <c r="L321" s="74"/>
      <c r="M321" s="74"/>
    </row>
    <row r="322" customFormat="false" ht="23.85" hidden="false" customHeight="false" outlineLevel="0" collapsed="false">
      <c r="A322" s="75" t="s">
        <v>342</v>
      </c>
      <c r="B322" s="34" t="s">
        <v>366</v>
      </c>
      <c r="C322" s="34" t="s">
        <v>367</v>
      </c>
      <c r="D322" s="32" t="n">
        <v>1</v>
      </c>
      <c r="E322" s="32" t="s">
        <v>14</v>
      </c>
      <c r="F322" s="32" t="s">
        <v>368</v>
      </c>
      <c r="G322" s="34"/>
      <c r="H322" s="52" t="n">
        <f aca="false">IF($E322="Per class",$D322*COUNTIFS('Session Tracker'!$D$5:$D$149,$A322,'Session Tracker'!$F$5:$F$149,"Next week",'Session Tracker'!$G$5:$G$149,"Mon"),$D322*SUMIFS('Session Tracker'!$J$5:$J$149,'Session Tracker'!$D$5:$D$149,$A322,'Session Tracker'!$F$5:$F$149,"Next week",'Session Tracker'!$G$5:$G$149,"Mon"))</f>
        <v>0</v>
      </c>
      <c r="I322" s="52" t="n">
        <f aca="false">IF($E322="Per class",$D322*COUNTIFS('Session Tracker'!$D$5:$D$149,$A322,'Session Tracker'!$F$5:$F$149,"Next week",'Session Tracker'!$G$5:$G$149,"Tue"),$D322*SUMIFS('Session Tracker'!$J$5:$J$149,'Session Tracker'!$D$5:$D$149,$A322,'Session Tracker'!$F$5:$F$149,"Next week",'Session Tracker'!$G$5:$G$149,"Tue"))</f>
        <v>0</v>
      </c>
      <c r="J322" s="52" t="n">
        <f aca="false">IF($E322="Per class",$D322*COUNTIFS('Session Tracker'!$D$5:$D$149,$A322,'Session Tracker'!$F$5:$F$149,"Next week",'Session Tracker'!$G$5:$G$149,"Wed"),$D322*SUMIFS('Session Tracker'!$J$5:$J$149,'Session Tracker'!$D$5:$D$149,$A322,'Session Tracker'!$F$5:$F$149,"Next week",'Session Tracker'!$G$5:$G$149,"Wed"))</f>
        <v>0</v>
      </c>
      <c r="K322" s="52" t="n">
        <f aca="false">IF($E322="Per class",$D322*COUNTIFS('Session Tracker'!$D$5:$D$149,$A322,'Session Tracker'!$F$5:$F$149,"Next week",'Session Tracker'!$G$5:$G$149,"Thu"),$D322*SUMIFS('Session Tracker'!$J$5:$J$149,'Session Tracker'!$D$5:$D$149,$A322,'Session Tracker'!$F$5:$F$149,"Next week",'Session Tracker'!$G$5:$G$149,"Thu"))</f>
        <v>0</v>
      </c>
      <c r="L322" s="52" t="n">
        <f aca="false">IF($E322="Per class",$D322*COUNTIFS('Session Tracker'!$D$5:$D$149,$A322,'Session Tracker'!$F$5:$F$149,"Next week",'Session Tracker'!$G$5:$G$149,"Fri"),$D322*SUMIFS('Session Tracker'!$J$5:$J$149,'Session Tracker'!$D$5:$D$149,$A322,'Session Tracker'!$F$5:$F$149,"Next week",'Session Tracker'!$G$5:$G$149,"Fri"))</f>
        <v>0</v>
      </c>
      <c r="M322" s="52" t="n">
        <f aca="false">IF($E322="Per class",$D322*COUNTIFS('Session Tracker'!$D$5:$D$149,$A322,'Session Tracker'!$F$5:$F$149,"Next week",'Session Tracker'!$G$5:$G$149,""),$D322*SUMIFS('Session Tracker'!$J$5:$J$149,'Session Tracker'!$D$5:$D$149,$A322,'Session Tracker'!$F$5:$F$149,"Next week",'Session Tracker'!$G$5:$G$149,""))</f>
        <v>0</v>
      </c>
    </row>
    <row r="323" customFormat="false" ht="15" hidden="false" customHeight="false" outlineLevel="0" collapsed="false">
      <c r="A323" s="75" t="s">
        <v>342</v>
      </c>
      <c r="B323" s="34" t="s">
        <v>377</v>
      </c>
      <c r="C323" s="34" t="s">
        <v>660</v>
      </c>
      <c r="D323" s="32" t="n">
        <v>2</v>
      </c>
      <c r="E323" s="32" t="s">
        <v>14</v>
      </c>
      <c r="F323" s="32" t="s">
        <v>368</v>
      </c>
      <c r="G323" s="34"/>
      <c r="H323" s="52" t="n">
        <f aca="false">IF($E323="Per class",$D323*COUNTIFS('Session Tracker'!$D$5:$D$149,$A323,'Session Tracker'!$F$5:$F$149,"Next week",'Session Tracker'!$G$5:$G$149,"Mon"),$D323*SUMIFS('Session Tracker'!$J$5:$J$149,'Session Tracker'!$D$5:$D$149,$A323,'Session Tracker'!$F$5:$F$149,"Next week",'Session Tracker'!$G$5:$G$149,"Mon"))</f>
        <v>0</v>
      </c>
      <c r="I323" s="52" t="n">
        <f aca="false">IF($E323="Per class",$D323*COUNTIFS('Session Tracker'!$D$5:$D$149,$A323,'Session Tracker'!$F$5:$F$149,"Next week",'Session Tracker'!$G$5:$G$149,"Tue"),$D323*SUMIFS('Session Tracker'!$J$5:$J$149,'Session Tracker'!$D$5:$D$149,$A323,'Session Tracker'!$F$5:$F$149,"Next week",'Session Tracker'!$G$5:$G$149,"Tue"))</f>
        <v>0</v>
      </c>
      <c r="J323" s="52" t="n">
        <f aca="false">IF($E323="Per class",$D323*COUNTIFS('Session Tracker'!$D$5:$D$149,$A323,'Session Tracker'!$F$5:$F$149,"Next week",'Session Tracker'!$G$5:$G$149,"Wed"),$D323*SUMIFS('Session Tracker'!$J$5:$J$149,'Session Tracker'!$D$5:$D$149,$A323,'Session Tracker'!$F$5:$F$149,"Next week",'Session Tracker'!$G$5:$G$149,"Wed"))</f>
        <v>0</v>
      </c>
      <c r="K323" s="52" t="n">
        <f aca="false">IF($E323="Per class",$D323*COUNTIFS('Session Tracker'!$D$5:$D$149,$A323,'Session Tracker'!$F$5:$F$149,"Next week",'Session Tracker'!$G$5:$G$149,"Thu"),$D323*SUMIFS('Session Tracker'!$J$5:$J$149,'Session Tracker'!$D$5:$D$149,$A323,'Session Tracker'!$F$5:$F$149,"Next week",'Session Tracker'!$G$5:$G$149,"Thu"))</f>
        <v>0</v>
      </c>
      <c r="L323" s="52" t="n">
        <f aca="false">IF($E323="Per class",$D323*COUNTIFS('Session Tracker'!$D$5:$D$149,$A323,'Session Tracker'!$F$5:$F$149,"Next week",'Session Tracker'!$G$5:$G$149,"Fri"),$D323*SUMIFS('Session Tracker'!$J$5:$J$149,'Session Tracker'!$D$5:$D$149,$A323,'Session Tracker'!$F$5:$F$149,"Next week",'Session Tracker'!$G$5:$G$149,"Fri"))</f>
        <v>0</v>
      </c>
      <c r="M323" s="52" t="n">
        <f aca="false">IF($E323="Per class",$D323*COUNTIFS('Session Tracker'!$D$5:$D$149,$A323,'Session Tracker'!$F$5:$F$149,"Next week",'Session Tracker'!$G$5:$G$149,""),$D323*SUMIFS('Session Tracker'!$J$5:$J$149,'Session Tracker'!$D$5:$D$149,$A323,'Session Tracker'!$F$5:$F$149,"Next week",'Session Tracker'!$G$5:$G$149,""))</f>
        <v>0</v>
      </c>
    </row>
    <row r="324" customFormat="false" ht="15" hidden="false" customHeight="false" outlineLevel="0" collapsed="false">
      <c r="A324" s="75" t="s">
        <v>342</v>
      </c>
      <c r="B324" s="34" t="s">
        <v>411</v>
      </c>
      <c r="C324" s="34" t="s">
        <v>440</v>
      </c>
      <c r="D324" s="32" t="n">
        <v>1</v>
      </c>
      <c r="E324" s="32" t="s">
        <v>14</v>
      </c>
      <c r="F324" s="32" t="s">
        <v>373</v>
      </c>
      <c r="G324" s="34" t="s">
        <v>693</v>
      </c>
      <c r="H324" s="52" t="n">
        <f aca="false">IF($E324="Per class",$D324*COUNTIFS('Session Tracker'!$D$5:$D$149,$A324,'Session Tracker'!$F$5:$F$149,"Next week",'Session Tracker'!$G$5:$G$149,"Mon"),$D324*SUMIFS('Session Tracker'!$J$5:$J$149,'Session Tracker'!$D$5:$D$149,$A324,'Session Tracker'!$F$5:$F$149,"Next week",'Session Tracker'!$G$5:$G$149,"Mon"))</f>
        <v>0</v>
      </c>
      <c r="I324" s="52" t="n">
        <f aca="false">IF($E324="Per class",$D324*COUNTIFS('Session Tracker'!$D$5:$D$149,$A324,'Session Tracker'!$F$5:$F$149,"Next week",'Session Tracker'!$G$5:$G$149,"Tue"),$D324*SUMIFS('Session Tracker'!$J$5:$J$149,'Session Tracker'!$D$5:$D$149,$A324,'Session Tracker'!$F$5:$F$149,"Next week",'Session Tracker'!$G$5:$G$149,"Tue"))</f>
        <v>0</v>
      </c>
      <c r="J324" s="52" t="n">
        <f aca="false">IF($E324="Per class",$D324*COUNTIFS('Session Tracker'!$D$5:$D$149,$A324,'Session Tracker'!$F$5:$F$149,"Next week",'Session Tracker'!$G$5:$G$149,"Wed"),$D324*SUMIFS('Session Tracker'!$J$5:$J$149,'Session Tracker'!$D$5:$D$149,$A324,'Session Tracker'!$F$5:$F$149,"Next week",'Session Tracker'!$G$5:$G$149,"Wed"))</f>
        <v>0</v>
      </c>
      <c r="K324" s="52" t="n">
        <f aca="false">IF($E324="Per class",$D324*COUNTIFS('Session Tracker'!$D$5:$D$149,$A324,'Session Tracker'!$F$5:$F$149,"Next week",'Session Tracker'!$G$5:$G$149,"Thu"),$D324*SUMIFS('Session Tracker'!$J$5:$J$149,'Session Tracker'!$D$5:$D$149,$A324,'Session Tracker'!$F$5:$F$149,"Next week",'Session Tracker'!$G$5:$G$149,"Thu"))</f>
        <v>0</v>
      </c>
      <c r="L324" s="52" t="n">
        <f aca="false">IF($E324="Per class",$D324*COUNTIFS('Session Tracker'!$D$5:$D$149,$A324,'Session Tracker'!$F$5:$F$149,"Next week",'Session Tracker'!$G$5:$G$149,"Fri"),$D324*SUMIFS('Session Tracker'!$J$5:$J$149,'Session Tracker'!$D$5:$D$149,$A324,'Session Tracker'!$F$5:$F$149,"Next week",'Session Tracker'!$G$5:$G$149,"Fri"))</f>
        <v>0</v>
      </c>
      <c r="M324" s="52" t="n">
        <f aca="false">IF($E324="Per class",$D324*COUNTIFS('Session Tracker'!$D$5:$D$149,$A324,'Session Tracker'!$F$5:$F$149,"Next week",'Session Tracker'!$G$5:$G$149,""),$D324*SUMIFS('Session Tracker'!$J$5:$J$149,'Session Tracker'!$D$5:$D$149,$A324,'Session Tracker'!$F$5:$F$149,"Next week",'Session Tracker'!$G$5:$G$149,""))</f>
        <v>0</v>
      </c>
    </row>
    <row r="325" customFormat="false" ht="15" hidden="false" customHeight="false" outlineLevel="0" collapsed="false">
      <c r="A325" s="75" t="s">
        <v>342</v>
      </c>
      <c r="B325" s="34" t="s">
        <v>409</v>
      </c>
      <c r="C325" s="34" t="s">
        <v>533</v>
      </c>
      <c r="D325" s="32" t="n">
        <v>1</v>
      </c>
      <c r="E325" s="32" t="s">
        <v>14</v>
      </c>
      <c r="F325" s="32" t="s">
        <v>373</v>
      </c>
      <c r="G325" s="34" t="s">
        <v>608</v>
      </c>
      <c r="H325" s="52" t="n">
        <f aca="false">IF($E325="Per class",$D325*COUNTIFS('Session Tracker'!$D$5:$D$149,$A325,'Session Tracker'!$F$5:$F$149,"Next week",'Session Tracker'!$G$5:$G$149,"Mon"),$D325*SUMIFS('Session Tracker'!$J$5:$J$149,'Session Tracker'!$D$5:$D$149,$A325,'Session Tracker'!$F$5:$F$149,"Next week",'Session Tracker'!$G$5:$G$149,"Mon"))</f>
        <v>0</v>
      </c>
      <c r="I325" s="52" t="n">
        <f aca="false">IF($E325="Per class",$D325*COUNTIFS('Session Tracker'!$D$5:$D$149,$A325,'Session Tracker'!$F$5:$F$149,"Next week",'Session Tracker'!$G$5:$G$149,"Tue"),$D325*SUMIFS('Session Tracker'!$J$5:$J$149,'Session Tracker'!$D$5:$D$149,$A325,'Session Tracker'!$F$5:$F$149,"Next week",'Session Tracker'!$G$5:$G$149,"Tue"))</f>
        <v>0</v>
      </c>
      <c r="J325" s="52" t="n">
        <f aca="false">IF($E325="Per class",$D325*COUNTIFS('Session Tracker'!$D$5:$D$149,$A325,'Session Tracker'!$F$5:$F$149,"Next week",'Session Tracker'!$G$5:$G$149,"Wed"),$D325*SUMIFS('Session Tracker'!$J$5:$J$149,'Session Tracker'!$D$5:$D$149,$A325,'Session Tracker'!$F$5:$F$149,"Next week",'Session Tracker'!$G$5:$G$149,"Wed"))</f>
        <v>0</v>
      </c>
      <c r="K325" s="52" t="n">
        <f aca="false">IF($E325="Per class",$D325*COUNTIFS('Session Tracker'!$D$5:$D$149,$A325,'Session Tracker'!$F$5:$F$149,"Next week",'Session Tracker'!$G$5:$G$149,"Thu"),$D325*SUMIFS('Session Tracker'!$J$5:$J$149,'Session Tracker'!$D$5:$D$149,$A325,'Session Tracker'!$F$5:$F$149,"Next week",'Session Tracker'!$G$5:$G$149,"Thu"))</f>
        <v>0</v>
      </c>
      <c r="L325" s="52" t="n">
        <f aca="false">IF($E325="Per class",$D325*COUNTIFS('Session Tracker'!$D$5:$D$149,$A325,'Session Tracker'!$F$5:$F$149,"Next week",'Session Tracker'!$G$5:$G$149,"Fri"),$D325*SUMIFS('Session Tracker'!$J$5:$J$149,'Session Tracker'!$D$5:$D$149,$A325,'Session Tracker'!$F$5:$F$149,"Next week",'Session Tracker'!$G$5:$G$149,"Fri"))</f>
        <v>0</v>
      </c>
      <c r="M325" s="52" t="n">
        <f aca="false">IF($E325="Per class",$D325*COUNTIFS('Session Tracker'!$D$5:$D$149,$A325,'Session Tracker'!$F$5:$F$149,"Next week",'Session Tracker'!$G$5:$G$149,""),$D325*SUMIFS('Session Tracker'!$J$5:$J$149,'Session Tracker'!$D$5:$D$149,$A325,'Session Tracker'!$F$5:$F$149,"Next week",'Session Tracker'!$G$5:$G$149,""))</f>
        <v>0</v>
      </c>
    </row>
    <row r="326" customFormat="false" ht="15" hidden="false" customHeight="false" outlineLevel="0" collapsed="false">
      <c r="A326" s="75" t="s">
        <v>342</v>
      </c>
      <c r="B326" s="34" t="s">
        <v>379</v>
      </c>
      <c r="C326" s="34" t="s">
        <v>380</v>
      </c>
      <c r="D326" s="32" t="n">
        <v>1</v>
      </c>
      <c r="E326" s="32" t="s">
        <v>14</v>
      </c>
      <c r="F326" s="32" t="s">
        <v>368</v>
      </c>
      <c r="G326" s="34"/>
      <c r="H326" s="52" t="n">
        <f aca="false">IF($E326="Per class",$D326*COUNTIFS('Session Tracker'!$D$5:$D$149,$A326,'Session Tracker'!$F$5:$F$149,"Next week",'Session Tracker'!$G$5:$G$149,"Mon"),$D326*SUMIFS('Session Tracker'!$J$5:$J$149,'Session Tracker'!$D$5:$D$149,$A326,'Session Tracker'!$F$5:$F$149,"Next week",'Session Tracker'!$G$5:$G$149,"Mon"))</f>
        <v>0</v>
      </c>
      <c r="I326" s="52" t="n">
        <f aca="false">IF($E326="Per class",$D326*COUNTIFS('Session Tracker'!$D$5:$D$149,$A326,'Session Tracker'!$F$5:$F$149,"Next week",'Session Tracker'!$G$5:$G$149,"Tue"),$D326*SUMIFS('Session Tracker'!$J$5:$J$149,'Session Tracker'!$D$5:$D$149,$A326,'Session Tracker'!$F$5:$F$149,"Next week",'Session Tracker'!$G$5:$G$149,"Tue"))</f>
        <v>0</v>
      </c>
      <c r="J326" s="52" t="n">
        <f aca="false">IF($E326="Per class",$D326*COUNTIFS('Session Tracker'!$D$5:$D$149,$A326,'Session Tracker'!$F$5:$F$149,"Next week",'Session Tracker'!$G$5:$G$149,"Wed"),$D326*SUMIFS('Session Tracker'!$J$5:$J$149,'Session Tracker'!$D$5:$D$149,$A326,'Session Tracker'!$F$5:$F$149,"Next week",'Session Tracker'!$G$5:$G$149,"Wed"))</f>
        <v>0</v>
      </c>
      <c r="K326" s="52" t="n">
        <f aca="false">IF($E326="Per class",$D326*COUNTIFS('Session Tracker'!$D$5:$D$149,$A326,'Session Tracker'!$F$5:$F$149,"Next week",'Session Tracker'!$G$5:$G$149,"Thu"),$D326*SUMIFS('Session Tracker'!$J$5:$J$149,'Session Tracker'!$D$5:$D$149,$A326,'Session Tracker'!$F$5:$F$149,"Next week",'Session Tracker'!$G$5:$G$149,"Thu"))</f>
        <v>0</v>
      </c>
      <c r="L326" s="52" t="n">
        <f aca="false">IF($E326="Per class",$D326*COUNTIFS('Session Tracker'!$D$5:$D$149,$A326,'Session Tracker'!$F$5:$F$149,"Next week",'Session Tracker'!$G$5:$G$149,"Fri"),$D326*SUMIFS('Session Tracker'!$J$5:$J$149,'Session Tracker'!$D$5:$D$149,$A326,'Session Tracker'!$F$5:$F$149,"Next week",'Session Tracker'!$G$5:$G$149,"Fri"))</f>
        <v>0</v>
      </c>
      <c r="M326" s="52" t="n">
        <f aca="false">IF($E326="Per class",$D326*COUNTIFS('Session Tracker'!$D$5:$D$149,$A326,'Session Tracker'!$F$5:$F$149,"Next week",'Session Tracker'!$G$5:$G$149,""),$D326*SUMIFS('Session Tracker'!$J$5:$J$149,'Session Tracker'!$D$5:$D$149,$A326,'Session Tracker'!$F$5:$F$149,"Next week",'Session Tracker'!$G$5:$G$149,""))</f>
        <v>0</v>
      </c>
    </row>
    <row r="327" customFormat="false" ht="15" hidden="false" customHeight="false" outlineLevel="0" collapsed="false">
      <c r="A327" s="75" t="s">
        <v>342</v>
      </c>
      <c r="B327" s="34" t="s">
        <v>379</v>
      </c>
      <c r="C327" s="34" t="s">
        <v>381</v>
      </c>
      <c r="D327" s="32" t="n">
        <v>8</v>
      </c>
      <c r="E327" s="32" t="s">
        <v>14</v>
      </c>
      <c r="F327" s="32" t="s">
        <v>368</v>
      </c>
      <c r="G327" s="34"/>
      <c r="H327" s="52" t="n">
        <f aca="false">IF($E327="Per class",$D327*COUNTIFS('Session Tracker'!$D$5:$D$149,$A327,'Session Tracker'!$F$5:$F$149,"Next week",'Session Tracker'!$G$5:$G$149,"Mon"),$D327*SUMIFS('Session Tracker'!$J$5:$J$149,'Session Tracker'!$D$5:$D$149,$A327,'Session Tracker'!$F$5:$F$149,"Next week",'Session Tracker'!$G$5:$G$149,"Mon"))</f>
        <v>0</v>
      </c>
      <c r="I327" s="52" t="n">
        <f aca="false">IF($E327="Per class",$D327*COUNTIFS('Session Tracker'!$D$5:$D$149,$A327,'Session Tracker'!$F$5:$F$149,"Next week",'Session Tracker'!$G$5:$G$149,"Tue"),$D327*SUMIFS('Session Tracker'!$J$5:$J$149,'Session Tracker'!$D$5:$D$149,$A327,'Session Tracker'!$F$5:$F$149,"Next week",'Session Tracker'!$G$5:$G$149,"Tue"))</f>
        <v>0</v>
      </c>
      <c r="J327" s="52" t="n">
        <f aca="false">IF($E327="Per class",$D327*COUNTIFS('Session Tracker'!$D$5:$D$149,$A327,'Session Tracker'!$F$5:$F$149,"Next week",'Session Tracker'!$G$5:$G$149,"Wed"),$D327*SUMIFS('Session Tracker'!$J$5:$J$149,'Session Tracker'!$D$5:$D$149,$A327,'Session Tracker'!$F$5:$F$149,"Next week",'Session Tracker'!$G$5:$G$149,"Wed"))</f>
        <v>0</v>
      </c>
      <c r="K327" s="52" t="n">
        <f aca="false">IF($E327="Per class",$D327*COUNTIFS('Session Tracker'!$D$5:$D$149,$A327,'Session Tracker'!$F$5:$F$149,"Next week",'Session Tracker'!$G$5:$G$149,"Thu"),$D327*SUMIFS('Session Tracker'!$J$5:$J$149,'Session Tracker'!$D$5:$D$149,$A327,'Session Tracker'!$F$5:$F$149,"Next week",'Session Tracker'!$G$5:$G$149,"Thu"))</f>
        <v>0</v>
      </c>
      <c r="L327" s="52" t="n">
        <f aca="false">IF($E327="Per class",$D327*COUNTIFS('Session Tracker'!$D$5:$D$149,$A327,'Session Tracker'!$F$5:$F$149,"Next week",'Session Tracker'!$G$5:$G$149,"Fri"),$D327*SUMIFS('Session Tracker'!$J$5:$J$149,'Session Tracker'!$D$5:$D$149,$A327,'Session Tracker'!$F$5:$F$149,"Next week",'Session Tracker'!$G$5:$G$149,"Fri"))</f>
        <v>0</v>
      </c>
      <c r="M327" s="52" t="n">
        <f aca="false">IF($E327="Per class",$D327*COUNTIFS('Session Tracker'!$D$5:$D$149,$A327,'Session Tracker'!$F$5:$F$149,"Next week",'Session Tracker'!$G$5:$G$149,""),$D327*SUMIFS('Session Tracker'!$J$5:$J$149,'Session Tracker'!$D$5:$D$149,$A327,'Session Tracker'!$F$5:$F$149,"Next week",'Session Tracker'!$G$5:$G$149,""))</f>
        <v>0</v>
      </c>
    </row>
    <row r="328" customFormat="false" ht="15" hidden="false" customHeight="false" outlineLevel="0" collapsed="false">
      <c r="A328" s="75" t="s">
        <v>342</v>
      </c>
      <c r="B328" s="34" t="s">
        <v>382</v>
      </c>
      <c r="C328" s="34" t="s">
        <v>383</v>
      </c>
      <c r="D328" s="32" t="n">
        <v>1</v>
      </c>
      <c r="E328" s="32" t="s">
        <v>14</v>
      </c>
      <c r="F328" s="32" t="s">
        <v>368</v>
      </c>
      <c r="G328" s="34"/>
      <c r="H328" s="52" t="n">
        <f aca="false">IF($E328="Per class",$D328*COUNTIFS('Session Tracker'!$D$5:$D$149,$A328,'Session Tracker'!$F$5:$F$149,"Next week",'Session Tracker'!$G$5:$G$149,"Mon"),$D328*SUMIFS('Session Tracker'!$J$5:$J$149,'Session Tracker'!$D$5:$D$149,$A328,'Session Tracker'!$F$5:$F$149,"Next week",'Session Tracker'!$G$5:$G$149,"Mon"))</f>
        <v>0</v>
      </c>
      <c r="I328" s="52" t="n">
        <f aca="false">IF($E328="Per class",$D328*COUNTIFS('Session Tracker'!$D$5:$D$149,$A328,'Session Tracker'!$F$5:$F$149,"Next week",'Session Tracker'!$G$5:$G$149,"Tue"),$D328*SUMIFS('Session Tracker'!$J$5:$J$149,'Session Tracker'!$D$5:$D$149,$A328,'Session Tracker'!$F$5:$F$149,"Next week",'Session Tracker'!$G$5:$G$149,"Tue"))</f>
        <v>0</v>
      </c>
      <c r="J328" s="52" t="n">
        <f aca="false">IF($E328="Per class",$D328*COUNTIFS('Session Tracker'!$D$5:$D$149,$A328,'Session Tracker'!$F$5:$F$149,"Next week",'Session Tracker'!$G$5:$G$149,"Wed"),$D328*SUMIFS('Session Tracker'!$J$5:$J$149,'Session Tracker'!$D$5:$D$149,$A328,'Session Tracker'!$F$5:$F$149,"Next week",'Session Tracker'!$G$5:$G$149,"Wed"))</f>
        <v>0</v>
      </c>
      <c r="K328" s="52" t="n">
        <f aca="false">IF($E328="Per class",$D328*COUNTIFS('Session Tracker'!$D$5:$D$149,$A328,'Session Tracker'!$F$5:$F$149,"Next week",'Session Tracker'!$G$5:$G$149,"Thu"),$D328*SUMIFS('Session Tracker'!$J$5:$J$149,'Session Tracker'!$D$5:$D$149,$A328,'Session Tracker'!$F$5:$F$149,"Next week",'Session Tracker'!$G$5:$G$149,"Thu"))</f>
        <v>0</v>
      </c>
      <c r="L328" s="52" t="n">
        <f aca="false">IF($E328="Per class",$D328*COUNTIFS('Session Tracker'!$D$5:$D$149,$A328,'Session Tracker'!$F$5:$F$149,"Next week",'Session Tracker'!$G$5:$G$149,"Fri"),$D328*SUMIFS('Session Tracker'!$J$5:$J$149,'Session Tracker'!$D$5:$D$149,$A328,'Session Tracker'!$F$5:$F$149,"Next week",'Session Tracker'!$G$5:$G$149,"Fri"))</f>
        <v>0</v>
      </c>
      <c r="M328" s="52" t="n">
        <f aca="false">IF($E328="Per class",$D328*COUNTIFS('Session Tracker'!$D$5:$D$149,$A328,'Session Tracker'!$F$5:$F$149,"Next week",'Session Tracker'!$G$5:$G$149,""),$D328*SUMIFS('Session Tracker'!$J$5:$J$149,'Session Tracker'!$D$5:$D$149,$A328,'Session Tracker'!$F$5:$F$149,"Next week",'Session Tracker'!$G$5:$G$149,""))</f>
        <v>0</v>
      </c>
    </row>
    <row r="329" customFormat="false" ht="15" hidden="false" customHeight="false" outlineLevel="0" collapsed="false">
      <c r="A329" s="75" t="s">
        <v>342</v>
      </c>
      <c r="B329" s="34" t="s">
        <v>371</v>
      </c>
      <c r="C329" s="34" t="s">
        <v>372</v>
      </c>
      <c r="D329" s="32" t="n">
        <v>1</v>
      </c>
      <c r="E329" s="32" t="s">
        <v>14</v>
      </c>
      <c r="F329" s="32" t="s">
        <v>373</v>
      </c>
      <c r="G329" s="34" t="s">
        <v>389</v>
      </c>
      <c r="H329" s="52" t="n">
        <f aca="false">IF($E329="Per class",$D329*COUNTIFS('Session Tracker'!$D$5:$D$149,$A329,'Session Tracker'!$F$5:$F$149,"Next week",'Session Tracker'!$G$5:$G$149,"Mon"),$D329*SUMIFS('Session Tracker'!$J$5:$J$149,'Session Tracker'!$D$5:$D$149,$A329,'Session Tracker'!$F$5:$F$149,"Next week",'Session Tracker'!$G$5:$G$149,"Mon"))</f>
        <v>0</v>
      </c>
      <c r="I329" s="52" t="n">
        <f aca="false">IF($E329="Per class",$D329*COUNTIFS('Session Tracker'!$D$5:$D$149,$A329,'Session Tracker'!$F$5:$F$149,"Next week",'Session Tracker'!$G$5:$G$149,"Tue"),$D329*SUMIFS('Session Tracker'!$J$5:$J$149,'Session Tracker'!$D$5:$D$149,$A329,'Session Tracker'!$F$5:$F$149,"Next week",'Session Tracker'!$G$5:$G$149,"Tue"))</f>
        <v>0</v>
      </c>
      <c r="J329" s="52" t="n">
        <f aca="false">IF($E329="Per class",$D329*COUNTIFS('Session Tracker'!$D$5:$D$149,$A329,'Session Tracker'!$F$5:$F$149,"Next week",'Session Tracker'!$G$5:$G$149,"Wed"),$D329*SUMIFS('Session Tracker'!$J$5:$J$149,'Session Tracker'!$D$5:$D$149,$A329,'Session Tracker'!$F$5:$F$149,"Next week",'Session Tracker'!$G$5:$G$149,"Wed"))</f>
        <v>0</v>
      </c>
      <c r="K329" s="52" t="n">
        <f aca="false">IF($E329="Per class",$D329*COUNTIFS('Session Tracker'!$D$5:$D$149,$A329,'Session Tracker'!$F$5:$F$149,"Next week",'Session Tracker'!$G$5:$G$149,"Thu"),$D329*SUMIFS('Session Tracker'!$J$5:$J$149,'Session Tracker'!$D$5:$D$149,$A329,'Session Tracker'!$F$5:$F$149,"Next week",'Session Tracker'!$G$5:$G$149,"Thu"))</f>
        <v>0</v>
      </c>
      <c r="L329" s="52" t="n">
        <f aca="false">IF($E329="Per class",$D329*COUNTIFS('Session Tracker'!$D$5:$D$149,$A329,'Session Tracker'!$F$5:$F$149,"Next week",'Session Tracker'!$G$5:$G$149,"Fri"),$D329*SUMIFS('Session Tracker'!$J$5:$J$149,'Session Tracker'!$D$5:$D$149,$A329,'Session Tracker'!$F$5:$F$149,"Next week",'Session Tracker'!$G$5:$G$149,"Fri"))</f>
        <v>0</v>
      </c>
      <c r="M329" s="52" t="n">
        <f aca="false">IF($E329="Per class",$D329*COUNTIFS('Session Tracker'!$D$5:$D$149,$A329,'Session Tracker'!$F$5:$F$149,"Next week",'Session Tracker'!$G$5:$G$149,""),$D329*SUMIFS('Session Tracker'!$J$5:$J$149,'Session Tracker'!$D$5:$D$149,$A329,'Session Tracker'!$F$5:$F$149,"Next week",'Session Tracker'!$G$5:$G$149,""))</f>
        <v>0</v>
      </c>
    </row>
    <row r="330" customFormat="false" ht="15" hidden="false" customHeight="false" outlineLevel="0" collapsed="false">
      <c r="A330" s="75" t="s">
        <v>342</v>
      </c>
      <c r="B330" s="34" t="s">
        <v>375</v>
      </c>
      <c r="C330" s="34" t="s">
        <v>376</v>
      </c>
      <c r="D330" s="32" t="n">
        <v>1</v>
      </c>
      <c r="E330" s="32" t="s">
        <v>14</v>
      </c>
      <c r="F330" s="32" t="s">
        <v>373</v>
      </c>
      <c r="G330" s="34" t="s">
        <v>442</v>
      </c>
      <c r="H330" s="52" t="n">
        <f aca="false">IF($E330="Per class",$D330*COUNTIFS('Session Tracker'!$D$5:$D$149,$A330,'Session Tracker'!$F$5:$F$149,"Next week",'Session Tracker'!$G$5:$G$149,"Mon"),$D330*SUMIFS('Session Tracker'!$J$5:$J$149,'Session Tracker'!$D$5:$D$149,$A330,'Session Tracker'!$F$5:$F$149,"Next week",'Session Tracker'!$G$5:$G$149,"Mon"))</f>
        <v>0</v>
      </c>
      <c r="I330" s="52" t="n">
        <f aca="false">IF($E330="Per class",$D330*COUNTIFS('Session Tracker'!$D$5:$D$149,$A330,'Session Tracker'!$F$5:$F$149,"Next week",'Session Tracker'!$G$5:$G$149,"Tue"),$D330*SUMIFS('Session Tracker'!$J$5:$J$149,'Session Tracker'!$D$5:$D$149,$A330,'Session Tracker'!$F$5:$F$149,"Next week",'Session Tracker'!$G$5:$G$149,"Tue"))</f>
        <v>0</v>
      </c>
      <c r="J330" s="52" t="n">
        <f aca="false">IF($E330="Per class",$D330*COUNTIFS('Session Tracker'!$D$5:$D$149,$A330,'Session Tracker'!$F$5:$F$149,"Next week",'Session Tracker'!$G$5:$G$149,"Wed"),$D330*SUMIFS('Session Tracker'!$J$5:$J$149,'Session Tracker'!$D$5:$D$149,$A330,'Session Tracker'!$F$5:$F$149,"Next week",'Session Tracker'!$G$5:$G$149,"Wed"))</f>
        <v>0</v>
      </c>
      <c r="K330" s="52" t="n">
        <f aca="false">IF($E330="Per class",$D330*COUNTIFS('Session Tracker'!$D$5:$D$149,$A330,'Session Tracker'!$F$5:$F$149,"Next week",'Session Tracker'!$G$5:$G$149,"Thu"),$D330*SUMIFS('Session Tracker'!$J$5:$J$149,'Session Tracker'!$D$5:$D$149,$A330,'Session Tracker'!$F$5:$F$149,"Next week",'Session Tracker'!$G$5:$G$149,"Thu"))</f>
        <v>0</v>
      </c>
      <c r="L330" s="52" t="n">
        <f aca="false">IF($E330="Per class",$D330*COUNTIFS('Session Tracker'!$D$5:$D$149,$A330,'Session Tracker'!$F$5:$F$149,"Next week",'Session Tracker'!$G$5:$G$149,"Fri"),$D330*SUMIFS('Session Tracker'!$J$5:$J$149,'Session Tracker'!$D$5:$D$149,$A330,'Session Tracker'!$F$5:$F$149,"Next week",'Session Tracker'!$G$5:$G$149,"Fri"))</f>
        <v>0</v>
      </c>
      <c r="M330" s="52" t="n">
        <f aca="false">IF($E330="Per class",$D330*COUNTIFS('Session Tracker'!$D$5:$D$149,$A330,'Session Tracker'!$F$5:$F$149,"Next week",'Session Tracker'!$G$5:$G$149,""),$D330*SUMIFS('Session Tracker'!$J$5:$J$149,'Session Tracker'!$D$5:$D$149,$A330,'Session Tracker'!$F$5:$F$149,"Next week",'Session Tracker'!$G$5:$G$149,""))</f>
        <v>0</v>
      </c>
    </row>
    <row r="331" customFormat="false" ht="15" hidden="false" customHeight="false" outlineLevel="0" collapsed="false">
      <c r="A331" s="75" t="s">
        <v>342</v>
      </c>
      <c r="B331" s="34" t="s">
        <v>377</v>
      </c>
      <c r="C331" s="34" t="s">
        <v>378</v>
      </c>
      <c r="D331" s="32" t="n">
        <v>1</v>
      </c>
      <c r="E331" s="32" t="s">
        <v>14</v>
      </c>
      <c r="F331" s="32" t="s">
        <v>368</v>
      </c>
      <c r="G331" s="34" t="s">
        <v>389</v>
      </c>
      <c r="H331" s="52" t="n">
        <f aca="false">IF($E331="Per class",$D331*COUNTIFS('Session Tracker'!$D$5:$D$149,$A331,'Session Tracker'!$F$5:$F$149,"Next week",'Session Tracker'!$G$5:$G$149,"Mon"),$D331*SUMIFS('Session Tracker'!$J$5:$J$149,'Session Tracker'!$D$5:$D$149,$A331,'Session Tracker'!$F$5:$F$149,"Next week",'Session Tracker'!$G$5:$G$149,"Mon"))</f>
        <v>0</v>
      </c>
      <c r="I331" s="52" t="n">
        <f aca="false">IF($E331="Per class",$D331*COUNTIFS('Session Tracker'!$D$5:$D$149,$A331,'Session Tracker'!$F$5:$F$149,"Next week",'Session Tracker'!$G$5:$G$149,"Tue"),$D331*SUMIFS('Session Tracker'!$J$5:$J$149,'Session Tracker'!$D$5:$D$149,$A331,'Session Tracker'!$F$5:$F$149,"Next week",'Session Tracker'!$G$5:$G$149,"Tue"))</f>
        <v>0</v>
      </c>
      <c r="J331" s="52" t="n">
        <f aca="false">IF($E331="Per class",$D331*COUNTIFS('Session Tracker'!$D$5:$D$149,$A331,'Session Tracker'!$F$5:$F$149,"Next week",'Session Tracker'!$G$5:$G$149,"Wed"),$D331*SUMIFS('Session Tracker'!$J$5:$J$149,'Session Tracker'!$D$5:$D$149,$A331,'Session Tracker'!$F$5:$F$149,"Next week",'Session Tracker'!$G$5:$G$149,"Wed"))</f>
        <v>0</v>
      </c>
      <c r="K331" s="52" t="n">
        <f aca="false">IF($E331="Per class",$D331*COUNTIFS('Session Tracker'!$D$5:$D$149,$A331,'Session Tracker'!$F$5:$F$149,"Next week",'Session Tracker'!$G$5:$G$149,"Thu"),$D331*SUMIFS('Session Tracker'!$J$5:$J$149,'Session Tracker'!$D$5:$D$149,$A331,'Session Tracker'!$F$5:$F$149,"Next week",'Session Tracker'!$G$5:$G$149,"Thu"))</f>
        <v>0</v>
      </c>
      <c r="L331" s="52" t="n">
        <f aca="false">IF($E331="Per class",$D331*COUNTIFS('Session Tracker'!$D$5:$D$149,$A331,'Session Tracker'!$F$5:$F$149,"Next week",'Session Tracker'!$G$5:$G$149,"Fri"),$D331*SUMIFS('Session Tracker'!$J$5:$J$149,'Session Tracker'!$D$5:$D$149,$A331,'Session Tracker'!$F$5:$F$149,"Next week",'Session Tracker'!$G$5:$G$149,"Fri"))</f>
        <v>0</v>
      </c>
      <c r="M331" s="52" t="n">
        <f aca="false">IF($E331="Per class",$D331*COUNTIFS('Session Tracker'!$D$5:$D$149,$A331,'Session Tracker'!$F$5:$F$149,"Next week",'Session Tracker'!$G$5:$G$149,""),$D331*SUMIFS('Session Tracker'!$J$5:$J$149,'Session Tracker'!$D$5:$D$149,$A331,'Session Tracker'!$F$5:$F$149,"Next week",'Session Tracker'!$G$5:$G$149,""))</f>
        <v>0</v>
      </c>
    </row>
    <row r="332" customFormat="false" ht="15" hidden="false" customHeight="false" outlineLevel="0" collapsed="false">
      <c r="A332" s="53" t="s">
        <v>342</v>
      </c>
      <c r="B332" s="54"/>
      <c r="C332" s="54"/>
      <c r="D332" s="54"/>
      <c r="E332" s="54"/>
      <c r="F332" s="54"/>
      <c r="G332" s="54"/>
      <c r="H332" s="52" t="n">
        <f aca="false">IF($E332="Per class",$D332*COUNTIFS('Session Tracker'!$D$5:$D$149,$A332,'Session Tracker'!$F$5:$F$149,"Next week",'Session Tracker'!$G$5:$G$149,"Mon"),$D332*SUMIFS('Session Tracker'!$J$5:$J$149,'Session Tracker'!$D$5:$D$149,$A332,'Session Tracker'!$F$5:$F$149,"Next week",'Session Tracker'!$G$5:$G$149,"Mon"))</f>
        <v>0</v>
      </c>
      <c r="I332" s="52" t="n">
        <f aca="false">IF($E332="Per class",$D332*COUNTIFS('Session Tracker'!$D$5:$D$149,$A332,'Session Tracker'!$F$5:$F$149,"Next week",'Session Tracker'!$G$5:$G$149,"Tue"),$D332*SUMIFS('Session Tracker'!$J$5:$J$149,'Session Tracker'!$D$5:$D$149,$A332,'Session Tracker'!$F$5:$F$149,"Next week",'Session Tracker'!$G$5:$G$149,"Tue"))</f>
        <v>0</v>
      </c>
      <c r="J332" s="52" t="n">
        <f aca="false">IF($E332="Per class",$D332*COUNTIFS('Session Tracker'!$D$5:$D$149,$A332,'Session Tracker'!$F$5:$F$149,"Next week",'Session Tracker'!$G$5:$G$149,"Wed"),$D332*SUMIFS('Session Tracker'!$J$5:$J$149,'Session Tracker'!$D$5:$D$149,$A332,'Session Tracker'!$F$5:$F$149,"Next week",'Session Tracker'!$G$5:$G$149,"Wed"))</f>
        <v>0</v>
      </c>
      <c r="K332" s="52" t="n">
        <f aca="false">IF($E332="Per class",$D332*COUNTIFS('Session Tracker'!$D$5:$D$149,$A332,'Session Tracker'!$F$5:$F$149,"Next week",'Session Tracker'!$G$5:$G$149,"Thu"),$D332*SUMIFS('Session Tracker'!$J$5:$J$149,'Session Tracker'!$D$5:$D$149,$A332,'Session Tracker'!$F$5:$F$149,"Next week",'Session Tracker'!$G$5:$G$149,"Thu"))</f>
        <v>0</v>
      </c>
      <c r="L332" s="52" t="n">
        <f aca="false">IF($E332="Per class",$D332*COUNTIFS('Session Tracker'!$D$5:$D$149,$A332,'Session Tracker'!$F$5:$F$149,"Next week",'Session Tracker'!$G$5:$G$149,"Fri"),$D332*SUMIFS('Session Tracker'!$J$5:$J$149,'Session Tracker'!$D$5:$D$149,$A332,'Session Tracker'!$F$5:$F$149,"Next week",'Session Tracker'!$G$5:$G$149,"Fri"))</f>
        <v>0</v>
      </c>
      <c r="M332" s="52" t="n">
        <f aca="false">IF($E332="Per class",$D332*COUNTIFS('Session Tracker'!$D$5:$D$149,$A332,'Session Tracker'!$F$5:$F$149,"Next week",'Session Tracker'!$G$5:$G$149,""),$D332*SUMIFS('Session Tracker'!$J$5:$J$149,'Session Tracker'!$D$5:$D$149,$A332,'Session Tracker'!$F$5:$F$149,"Next week",'Session Tracker'!$G$5:$G$149,""))</f>
        <v>0</v>
      </c>
    </row>
    <row r="333" customFormat="false" ht="15" hidden="false" customHeight="false" outlineLevel="0" collapsed="false">
      <c r="A333" s="53" t="s">
        <v>342</v>
      </c>
      <c r="B333" s="54"/>
      <c r="C333" s="54"/>
      <c r="D333" s="54"/>
      <c r="E333" s="54"/>
      <c r="F333" s="54"/>
      <c r="G333" s="54"/>
      <c r="H333" s="52" t="n">
        <f aca="false">IF($E333="Per class",$D333*COUNTIFS('Session Tracker'!$D$5:$D$149,$A333,'Session Tracker'!$F$5:$F$149,"Next week",'Session Tracker'!$G$5:$G$149,"Mon"),$D333*SUMIFS('Session Tracker'!$J$5:$J$149,'Session Tracker'!$D$5:$D$149,$A333,'Session Tracker'!$F$5:$F$149,"Next week",'Session Tracker'!$G$5:$G$149,"Mon"))</f>
        <v>0</v>
      </c>
      <c r="I333" s="52" t="n">
        <f aca="false">IF($E333="Per class",$D333*COUNTIFS('Session Tracker'!$D$5:$D$149,$A333,'Session Tracker'!$F$5:$F$149,"Next week",'Session Tracker'!$G$5:$G$149,"Tue"),$D333*SUMIFS('Session Tracker'!$J$5:$J$149,'Session Tracker'!$D$5:$D$149,$A333,'Session Tracker'!$F$5:$F$149,"Next week",'Session Tracker'!$G$5:$G$149,"Tue"))</f>
        <v>0</v>
      </c>
      <c r="J333" s="52" t="n">
        <f aca="false">IF($E333="Per class",$D333*COUNTIFS('Session Tracker'!$D$5:$D$149,$A333,'Session Tracker'!$F$5:$F$149,"Next week",'Session Tracker'!$G$5:$G$149,"Wed"),$D333*SUMIFS('Session Tracker'!$J$5:$J$149,'Session Tracker'!$D$5:$D$149,$A333,'Session Tracker'!$F$5:$F$149,"Next week",'Session Tracker'!$G$5:$G$149,"Wed"))</f>
        <v>0</v>
      </c>
      <c r="K333" s="52" t="n">
        <f aca="false">IF($E333="Per class",$D333*COUNTIFS('Session Tracker'!$D$5:$D$149,$A333,'Session Tracker'!$F$5:$F$149,"Next week",'Session Tracker'!$G$5:$G$149,"Thu"),$D333*SUMIFS('Session Tracker'!$J$5:$J$149,'Session Tracker'!$D$5:$D$149,$A333,'Session Tracker'!$F$5:$F$149,"Next week",'Session Tracker'!$G$5:$G$149,"Thu"))</f>
        <v>0</v>
      </c>
      <c r="L333" s="52" t="n">
        <f aca="false">IF($E333="Per class",$D333*COUNTIFS('Session Tracker'!$D$5:$D$149,$A333,'Session Tracker'!$F$5:$F$149,"Next week",'Session Tracker'!$G$5:$G$149,"Fri"),$D333*SUMIFS('Session Tracker'!$J$5:$J$149,'Session Tracker'!$D$5:$D$149,$A333,'Session Tracker'!$F$5:$F$149,"Next week",'Session Tracker'!$G$5:$G$149,"Fri"))</f>
        <v>0</v>
      </c>
      <c r="M333" s="52" t="n">
        <f aca="false">IF($E333="Per class",$D333*COUNTIFS('Session Tracker'!$D$5:$D$149,$A333,'Session Tracker'!$F$5:$F$149,"Next week",'Session Tracker'!$G$5:$G$149,""),$D333*SUMIFS('Session Tracker'!$J$5:$J$149,'Session Tracker'!$D$5:$D$149,$A333,'Session Tracker'!$F$5:$F$149,"Next week",'Session Tracker'!$G$5:$G$149,""))</f>
        <v>0</v>
      </c>
    </row>
    <row r="335" customFormat="false" ht="19.5" hidden="false" customHeight="true" outlineLevel="0" collapsed="false">
      <c r="A335" s="71" t="s">
        <v>344</v>
      </c>
      <c r="B335" s="72" t="s">
        <v>694</v>
      </c>
      <c r="C335" s="72"/>
      <c r="D335" s="72"/>
      <c r="E335" s="72"/>
      <c r="F335" s="73" t="str">
        <f aca="false">"Status: "&amp;'Session Tracker'!F143&amp;IF('Session Tracker'!G143&lt;&gt;""," ("&amp;'Session Tracker'!G143&amp;")","")</f>
        <v>Status: Not started</v>
      </c>
      <c r="G335" s="73"/>
      <c r="H335" s="74"/>
      <c r="I335" s="74"/>
      <c r="J335" s="74"/>
      <c r="K335" s="74"/>
      <c r="L335" s="74"/>
      <c r="M335" s="74"/>
    </row>
    <row r="336" customFormat="false" ht="23.85" hidden="false" customHeight="false" outlineLevel="0" collapsed="false">
      <c r="A336" s="75" t="s">
        <v>344</v>
      </c>
      <c r="B336" s="34" t="s">
        <v>447</v>
      </c>
      <c r="C336" s="34" t="s">
        <v>469</v>
      </c>
      <c r="D336" s="32" t="n">
        <v>1</v>
      </c>
      <c r="E336" s="32" t="s">
        <v>14</v>
      </c>
      <c r="F336" s="32" t="s">
        <v>368</v>
      </c>
      <c r="G336" s="34" t="s">
        <v>695</v>
      </c>
      <c r="H336" s="52" t="n">
        <f aca="false">IF($E336="Per class",$D336*COUNTIFS('Session Tracker'!$D$5:$D$149,$A336,'Session Tracker'!$F$5:$F$149,"Next week",'Session Tracker'!$G$5:$G$149,"Mon"),$D336*SUMIFS('Session Tracker'!$J$5:$J$149,'Session Tracker'!$D$5:$D$149,$A336,'Session Tracker'!$F$5:$F$149,"Next week",'Session Tracker'!$G$5:$G$149,"Mon"))</f>
        <v>0</v>
      </c>
      <c r="I336" s="52" t="n">
        <f aca="false">IF($E336="Per class",$D336*COUNTIFS('Session Tracker'!$D$5:$D$149,$A336,'Session Tracker'!$F$5:$F$149,"Next week",'Session Tracker'!$G$5:$G$149,"Tue"),$D336*SUMIFS('Session Tracker'!$J$5:$J$149,'Session Tracker'!$D$5:$D$149,$A336,'Session Tracker'!$F$5:$F$149,"Next week",'Session Tracker'!$G$5:$G$149,"Tue"))</f>
        <v>0</v>
      </c>
      <c r="J336" s="52" t="n">
        <f aca="false">IF($E336="Per class",$D336*COUNTIFS('Session Tracker'!$D$5:$D$149,$A336,'Session Tracker'!$F$5:$F$149,"Next week",'Session Tracker'!$G$5:$G$149,"Wed"),$D336*SUMIFS('Session Tracker'!$J$5:$J$149,'Session Tracker'!$D$5:$D$149,$A336,'Session Tracker'!$F$5:$F$149,"Next week",'Session Tracker'!$G$5:$G$149,"Wed"))</f>
        <v>0</v>
      </c>
      <c r="K336" s="52" t="n">
        <f aca="false">IF($E336="Per class",$D336*COUNTIFS('Session Tracker'!$D$5:$D$149,$A336,'Session Tracker'!$F$5:$F$149,"Next week",'Session Tracker'!$G$5:$G$149,"Thu"),$D336*SUMIFS('Session Tracker'!$J$5:$J$149,'Session Tracker'!$D$5:$D$149,$A336,'Session Tracker'!$F$5:$F$149,"Next week",'Session Tracker'!$G$5:$G$149,"Thu"))</f>
        <v>0</v>
      </c>
      <c r="L336" s="52" t="n">
        <f aca="false">IF($E336="Per class",$D336*COUNTIFS('Session Tracker'!$D$5:$D$149,$A336,'Session Tracker'!$F$5:$F$149,"Next week",'Session Tracker'!$G$5:$G$149,"Fri"),$D336*SUMIFS('Session Tracker'!$J$5:$J$149,'Session Tracker'!$D$5:$D$149,$A336,'Session Tracker'!$F$5:$F$149,"Next week",'Session Tracker'!$G$5:$G$149,"Fri"))</f>
        <v>0</v>
      </c>
      <c r="M336" s="52" t="n">
        <f aca="false">IF($E336="Per class",$D336*COUNTIFS('Session Tracker'!$D$5:$D$149,$A336,'Session Tracker'!$F$5:$F$149,"Next week",'Session Tracker'!$G$5:$G$149,""),$D336*SUMIFS('Session Tracker'!$J$5:$J$149,'Session Tracker'!$D$5:$D$149,$A336,'Session Tracker'!$F$5:$F$149,"Next week",'Session Tracker'!$G$5:$G$149,""))</f>
        <v>0</v>
      </c>
    </row>
    <row r="337" customFormat="false" ht="23.85" hidden="false" customHeight="false" outlineLevel="0" collapsed="false">
      <c r="A337" s="75" t="s">
        <v>344</v>
      </c>
      <c r="B337" s="34" t="s">
        <v>366</v>
      </c>
      <c r="C337" s="34" t="s">
        <v>391</v>
      </c>
      <c r="D337" s="32" t="n">
        <v>2</v>
      </c>
      <c r="E337" s="32" t="s">
        <v>14</v>
      </c>
      <c r="F337" s="32" t="s">
        <v>368</v>
      </c>
      <c r="G337" s="34"/>
      <c r="H337" s="52" t="n">
        <f aca="false">IF($E337="Per class",$D337*COUNTIFS('Session Tracker'!$D$5:$D$149,$A337,'Session Tracker'!$F$5:$F$149,"Next week",'Session Tracker'!$G$5:$G$149,"Mon"),$D337*SUMIFS('Session Tracker'!$J$5:$J$149,'Session Tracker'!$D$5:$D$149,$A337,'Session Tracker'!$F$5:$F$149,"Next week",'Session Tracker'!$G$5:$G$149,"Mon"))</f>
        <v>0</v>
      </c>
      <c r="I337" s="52" t="n">
        <f aca="false">IF($E337="Per class",$D337*COUNTIFS('Session Tracker'!$D$5:$D$149,$A337,'Session Tracker'!$F$5:$F$149,"Next week",'Session Tracker'!$G$5:$G$149,"Tue"),$D337*SUMIFS('Session Tracker'!$J$5:$J$149,'Session Tracker'!$D$5:$D$149,$A337,'Session Tracker'!$F$5:$F$149,"Next week",'Session Tracker'!$G$5:$G$149,"Tue"))</f>
        <v>0</v>
      </c>
      <c r="J337" s="52" t="n">
        <f aca="false">IF($E337="Per class",$D337*COUNTIFS('Session Tracker'!$D$5:$D$149,$A337,'Session Tracker'!$F$5:$F$149,"Next week",'Session Tracker'!$G$5:$G$149,"Wed"),$D337*SUMIFS('Session Tracker'!$J$5:$J$149,'Session Tracker'!$D$5:$D$149,$A337,'Session Tracker'!$F$5:$F$149,"Next week",'Session Tracker'!$G$5:$G$149,"Wed"))</f>
        <v>0</v>
      </c>
      <c r="K337" s="52" t="n">
        <f aca="false">IF($E337="Per class",$D337*COUNTIFS('Session Tracker'!$D$5:$D$149,$A337,'Session Tracker'!$F$5:$F$149,"Next week",'Session Tracker'!$G$5:$G$149,"Thu"),$D337*SUMIFS('Session Tracker'!$J$5:$J$149,'Session Tracker'!$D$5:$D$149,$A337,'Session Tracker'!$F$5:$F$149,"Next week",'Session Tracker'!$G$5:$G$149,"Thu"))</f>
        <v>0</v>
      </c>
      <c r="L337" s="52" t="n">
        <f aca="false">IF($E337="Per class",$D337*COUNTIFS('Session Tracker'!$D$5:$D$149,$A337,'Session Tracker'!$F$5:$F$149,"Next week",'Session Tracker'!$G$5:$G$149,"Fri"),$D337*SUMIFS('Session Tracker'!$J$5:$J$149,'Session Tracker'!$D$5:$D$149,$A337,'Session Tracker'!$F$5:$F$149,"Next week",'Session Tracker'!$G$5:$G$149,"Fri"))</f>
        <v>0</v>
      </c>
      <c r="M337" s="52" t="n">
        <f aca="false">IF($E337="Per class",$D337*COUNTIFS('Session Tracker'!$D$5:$D$149,$A337,'Session Tracker'!$F$5:$F$149,"Next week",'Session Tracker'!$G$5:$G$149,""),$D337*SUMIFS('Session Tracker'!$J$5:$J$149,'Session Tracker'!$D$5:$D$149,$A337,'Session Tracker'!$F$5:$F$149,"Next week",'Session Tracker'!$G$5:$G$149,""))</f>
        <v>0</v>
      </c>
    </row>
    <row r="338" customFormat="false" ht="15" hidden="false" customHeight="false" outlineLevel="0" collapsed="false">
      <c r="A338" s="75" t="s">
        <v>344</v>
      </c>
      <c r="B338" s="34" t="s">
        <v>369</v>
      </c>
      <c r="C338" s="34" t="s">
        <v>370</v>
      </c>
      <c r="D338" s="32" t="n">
        <v>1</v>
      </c>
      <c r="E338" s="32" t="s">
        <v>14</v>
      </c>
      <c r="F338" s="32" t="s">
        <v>368</v>
      </c>
      <c r="G338" s="34"/>
      <c r="H338" s="52" t="n">
        <f aca="false">IF($E338="Per class",$D338*COUNTIFS('Session Tracker'!$D$5:$D$149,$A338,'Session Tracker'!$F$5:$F$149,"Next week",'Session Tracker'!$G$5:$G$149,"Mon"),$D338*SUMIFS('Session Tracker'!$J$5:$J$149,'Session Tracker'!$D$5:$D$149,$A338,'Session Tracker'!$F$5:$F$149,"Next week",'Session Tracker'!$G$5:$G$149,"Mon"))</f>
        <v>0</v>
      </c>
      <c r="I338" s="52" t="n">
        <f aca="false">IF($E338="Per class",$D338*COUNTIFS('Session Tracker'!$D$5:$D$149,$A338,'Session Tracker'!$F$5:$F$149,"Next week",'Session Tracker'!$G$5:$G$149,"Tue"),$D338*SUMIFS('Session Tracker'!$J$5:$J$149,'Session Tracker'!$D$5:$D$149,$A338,'Session Tracker'!$F$5:$F$149,"Next week",'Session Tracker'!$G$5:$G$149,"Tue"))</f>
        <v>0</v>
      </c>
      <c r="J338" s="52" t="n">
        <f aca="false">IF($E338="Per class",$D338*COUNTIFS('Session Tracker'!$D$5:$D$149,$A338,'Session Tracker'!$F$5:$F$149,"Next week",'Session Tracker'!$G$5:$G$149,"Wed"),$D338*SUMIFS('Session Tracker'!$J$5:$J$149,'Session Tracker'!$D$5:$D$149,$A338,'Session Tracker'!$F$5:$F$149,"Next week",'Session Tracker'!$G$5:$G$149,"Wed"))</f>
        <v>0</v>
      </c>
      <c r="K338" s="52" t="n">
        <f aca="false">IF($E338="Per class",$D338*COUNTIFS('Session Tracker'!$D$5:$D$149,$A338,'Session Tracker'!$F$5:$F$149,"Next week",'Session Tracker'!$G$5:$G$149,"Thu"),$D338*SUMIFS('Session Tracker'!$J$5:$J$149,'Session Tracker'!$D$5:$D$149,$A338,'Session Tracker'!$F$5:$F$149,"Next week",'Session Tracker'!$G$5:$G$149,"Thu"))</f>
        <v>0</v>
      </c>
      <c r="L338" s="52" t="n">
        <f aca="false">IF($E338="Per class",$D338*COUNTIFS('Session Tracker'!$D$5:$D$149,$A338,'Session Tracker'!$F$5:$F$149,"Next week",'Session Tracker'!$G$5:$G$149,"Fri"),$D338*SUMIFS('Session Tracker'!$J$5:$J$149,'Session Tracker'!$D$5:$D$149,$A338,'Session Tracker'!$F$5:$F$149,"Next week",'Session Tracker'!$G$5:$G$149,"Fri"))</f>
        <v>0</v>
      </c>
      <c r="M338" s="52" t="n">
        <f aca="false">IF($E338="Per class",$D338*COUNTIFS('Session Tracker'!$D$5:$D$149,$A338,'Session Tracker'!$F$5:$F$149,"Next week",'Session Tracker'!$G$5:$G$149,""),$D338*SUMIFS('Session Tracker'!$J$5:$J$149,'Session Tracker'!$D$5:$D$149,$A338,'Session Tracker'!$F$5:$F$149,"Next week",'Session Tracker'!$G$5:$G$149,""))</f>
        <v>0</v>
      </c>
    </row>
    <row r="339" customFormat="false" ht="15" hidden="false" customHeight="false" outlineLevel="0" collapsed="false">
      <c r="A339" s="75" t="s">
        <v>344</v>
      </c>
      <c r="B339" s="34" t="s">
        <v>379</v>
      </c>
      <c r="C339" s="34" t="s">
        <v>395</v>
      </c>
      <c r="D339" s="32" t="n">
        <v>12</v>
      </c>
      <c r="E339" s="32" t="s">
        <v>14</v>
      </c>
      <c r="F339" s="32" t="s">
        <v>368</v>
      </c>
      <c r="G339" s="34"/>
      <c r="H339" s="52" t="n">
        <f aca="false">IF($E339="Per class",$D339*COUNTIFS('Session Tracker'!$D$5:$D$149,$A339,'Session Tracker'!$F$5:$F$149,"Next week",'Session Tracker'!$G$5:$G$149,"Mon"),$D339*SUMIFS('Session Tracker'!$J$5:$J$149,'Session Tracker'!$D$5:$D$149,$A339,'Session Tracker'!$F$5:$F$149,"Next week",'Session Tracker'!$G$5:$G$149,"Mon"))</f>
        <v>0</v>
      </c>
      <c r="I339" s="52" t="n">
        <f aca="false">IF($E339="Per class",$D339*COUNTIFS('Session Tracker'!$D$5:$D$149,$A339,'Session Tracker'!$F$5:$F$149,"Next week",'Session Tracker'!$G$5:$G$149,"Tue"),$D339*SUMIFS('Session Tracker'!$J$5:$J$149,'Session Tracker'!$D$5:$D$149,$A339,'Session Tracker'!$F$5:$F$149,"Next week",'Session Tracker'!$G$5:$G$149,"Tue"))</f>
        <v>0</v>
      </c>
      <c r="J339" s="52" t="n">
        <f aca="false">IF($E339="Per class",$D339*COUNTIFS('Session Tracker'!$D$5:$D$149,$A339,'Session Tracker'!$F$5:$F$149,"Next week",'Session Tracker'!$G$5:$G$149,"Wed"),$D339*SUMIFS('Session Tracker'!$J$5:$J$149,'Session Tracker'!$D$5:$D$149,$A339,'Session Tracker'!$F$5:$F$149,"Next week",'Session Tracker'!$G$5:$G$149,"Wed"))</f>
        <v>0</v>
      </c>
      <c r="K339" s="52" t="n">
        <f aca="false">IF($E339="Per class",$D339*COUNTIFS('Session Tracker'!$D$5:$D$149,$A339,'Session Tracker'!$F$5:$F$149,"Next week",'Session Tracker'!$G$5:$G$149,"Thu"),$D339*SUMIFS('Session Tracker'!$J$5:$J$149,'Session Tracker'!$D$5:$D$149,$A339,'Session Tracker'!$F$5:$F$149,"Next week",'Session Tracker'!$G$5:$G$149,"Thu"))</f>
        <v>0</v>
      </c>
      <c r="L339" s="52" t="n">
        <f aca="false">IF($E339="Per class",$D339*COUNTIFS('Session Tracker'!$D$5:$D$149,$A339,'Session Tracker'!$F$5:$F$149,"Next week",'Session Tracker'!$G$5:$G$149,"Fri"),$D339*SUMIFS('Session Tracker'!$J$5:$J$149,'Session Tracker'!$D$5:$D$149,$A339,'Session Tracker'!$F$5:$F$149,"Next week",'Session Tracker'!$G$5:$G$149,"Fri"))</f>
        <v>0</v>
      </c>
      <c r="M339" s="52" t="n">
        <f aca="false">IF($E339="Per class",$D339*COUNTIFS('Session Tracker'!$D$5:$D$149,$A339,'Session Tracker'!$F$5:$F$149,"Next week",'Session Tracker'!$G$5:$G$149,""),$D339*SUMIFS('Session Tracker'!$J$5:$J$149,'Session Tracker'!$D$5:$D$149,$A339,'Session Tracker'!$F$5:$F$149,"Next week",'Session Tracker'!$G$5:$G$149,""))</f>
        <v>0</v>
      </c>
    </row>
    <row r="340" customFormat="false" ht="15" hidden="false" customHeight="false" outlineLevel="0" collapsed="false">
      <c r="A340" s="75" t="s">
        <v>344</v>
      </c>
      <c r="B340" s="34" t="s">
        <v>382</v>
      </c>
      <c r="C340" s="34" t="s">
        <v>383</v>
      </c>
      <c r="D340" s="32" t="n">
        <v>1</v>
      </c>
      <c r="E340" s="32" t="s">
        <v>14</v>
      </c>
      <c r="F340" s="32" t="s">
        <v>368</v>
      </c>
      <c r="G340" s="34"/>
      <c r="H340" s="52" t="n">
        <f aca="false">IF($E340="Per class",$D340*COUNTIFS('Session Tracker'!$D$5:$D$149,$A340,'Session Tracker'!$F$5:$F$149,"Next week",'Session Tracker'!$G$5:$G$149,"Mon"),$D340*SUMIFS('Session Tracker'!$J$5:$J$149,'Session Tracker'!$D$5:$D$149,$A340,'Session Tracker'!$F$5:$F$149,"Next week",'Session Tracker'!$G$5:$G$149,"Mon"))</f>
        <v>0</v>
      </c>
      <c r="I340" s="52" t="n">
        <f aca="false">IF($E340="Per class",$D340*COUNTIFS('Session Tracker'!$D$5:$D$149,$A340,'Session Tracker'!$F$5:$F$149,"Next week",'Session Tracker'!$G$5:$G$149,"Tue"),$D340*SUMIFS('Session Tracker'!$J$5:$J$149,'Session Tracker'!$D$5:$D$149,$A340,'Session Tracker'!$F$5:$F$149,"Next week",'Session Tracker'!$G$5:$G$149,"Tue"))</f>
        <v>0</v>
      </c>
      <c r="J340" s="52" t="n">
        <f aca="false">IF($E340="Per class",$D340*COUNTIFS('Session Tracker'!$D$5:$D$149,$A340,'Session Tracker'!$F$5:$F$149,"Next week",'Session Tracker'!$G$5:$G$149,"Wed"),$D340*SUMIFS('Session Tracker'!$J$5:$J$149,'Session Tracker'!$D$5:$D$149,$A340,'Session Tracker'!$F$5:$F$149,"Next week",'Session Tracker'!$G$5:$G$149,"Wed"))</f>
        <v>0</v>
      </c>
      <c r="K340" s="52" t="n">
        <f aca="false">IF($E340="Per class",$D340*COUNTIFS('Session Tracker'!$D$5:$D$149,$A340,'Session Tracker'!$F$5:$F$149,"Next week",'Session Tracker'!$G$5:$G$149,"Thu"),$D340*SUMIFS('Session Tracker'!$J$5:$J$149,'Session Tracker'!$D$5:$D$149,$A340,'Session Tracker'!$F$5:$F$149,"Next week",'Session Tracker'!$G$5:$G$149,"Thu"))</f>
        <v>0</v>
      </c>
      <c r="L340" s="52" t="n">
        <f aca="false">IF($E340="Per class",$D340*COUNTIFS('Session Tracker'!$D$5:$D$149,$A340,'Session Tracker'!$F$5:$F$149,"Next week",'Session Tracker'!$G$5:$G$149,"Fri"),$D340*SUMIFS('Session Tracker'!$J$5:$J$149,'Session Tracker'!$D$5:$D$149,$A340,'Session Tracker'!$F$5:$F$149,"Next week",'Session Tracker'!$G$5:$G$149,"Fri"))</f>
        <v>0</v>
      </c>
      <c r="M340" s="52" t="n">
        <f aca="false">IF($E340="Per class",$D340*COUNTIFS('Session Tracker'!$D$5:$D$149,$A340,'Session Tracker'!$F$5:$F$149,"Next week",'Session Tracker'!$G$5:$G$149,""),$D340*SUMIFS('Session Tracker'!$J$5:$J$149,'Session Tracker'!$D$5:$D$149,$A340,'Session Tracker'!$F$5:$F$149,"Next week",'Session Tracker'!$G$5:$G$149,""))</f>
        <v>0</v>
      </c>
    </row>
    <row r="341" customFormat="false" ht="15" hidden="false" customHeight="false" outlineLevel="0" collapsed="false">
      <c r="A341" s="53" t="s">
        <v>344</v>
      </c>
      <c r="B341" s="54"/>
      <c r="C341" s="54"/>
      <c r="D341" s="54"/>
      <c r="E341" s="54"/>
      <c r="F341" s="54"/>
      <c r="G341" s="54"/>
      <c r="H341" s="52" t="n">
        <f aca="false">IF($E341="Per class",$D341*COUNTIFS('Session Tracker'!$D$5:$D$149,$A341,'Session Tracker'!$F$5:$F$149,"Next week",'Session Tracker'!$G$5:$G$149,"Mon"),$D341*SUMIFS('Session Tracker'!$J$5:$J$149,'Session Tracker'!$D$5:$D$149,$A341,'Session Tracker'!$F$5:$F$149,"Next week",'Session Tracker'!$G$5:$G$149,"Mon"))</f>
        <v>0</v>
      </c>
      <c r="I341" s="52" t="n">
        <f aca="false">IF($E341="Per class",$D341*COUNTIFS('Session Tracker'!$D$5:$D$149,$A341,'Session Tracker'!$F$5:$F$149,"Next week",'Session Tracker'!$G$5:$G$149,"Tue"),$D341*SUMIFS('Session Tracker'!$J$5:$J$149,'Session Tracker'!$D$5:$D$149,$A341,'Session Tracker'!$F$5:$F$149,"Next week",'Session Tracker'!$G$5:$G$149,"Tue"))</f>
        <v>0</v>
      </c>
      <c r="J341" s="52" t="n">
        <f aca="false">IF($E341="Per class",$D341*COUNTIFS('Session Tracker'!$D$5:$D$149,$A341,'Session Tracker'!$F$5:$F$149,"Next week",'Session Tracker'!$G$5:$G$149,"Wed"),$D341*SUMIFS('Session Tracker'!$J$5:$J$149,'Session Tracker'!$D$5:$D$149,$A341,'Session Tracker'!$F$5:$F$149,"Next week",'Session Tracker'!$G$5:$G$149,"Wed"))</f>
        <v>0</v>
      </c>
      <c r="K341" s="52" t="n">
        <f aca="false">IF($E341="Per class",$D341*COUNTIFS('Session Tracker'!$D$5:$D$149,$A341,'Session Tracker'!$F$5:$F$149,"Next week",'Session Tracker'!$G$5:$G$149,"Thu"),$D341*SUMIFS('Session Tracker'!$J$5:$J$149,'Session Tracker'!$D$5:$D$149,$A341,'Session Tracker'!$F$5:$F$149,"Next week",'Session Tracker'!$G$5:$G$149,"Thu"))</f>
        <v>0</v>
      </c>
      <c r="L341" s="52" t="n">
        <f aca="false">IF($E341="Per class",$D341*COUNTIFS('Session Tracker'!$D$5:$D$149,$A341,'Session Tracker'!$F$5:$F$149,"Next week",'Session Tracker'!$G$5:$G$149,"Fri"),$D341*SUMIFS('Session Tracker'!$J$5:$J$149,'Session Tracker'!$D$5:$D$149,$A341,'Session Tracker'!$F$5:$F$149,"Next week",'Session Tracker'!$G$5:$G$149,"Fri"))</f>
        <v>0</v>
      </c>
      <c r="M341" s="52" t="n">
        <f aca="false">IF($E341="Per class",$D341*COUNTIFS('Session Tracker'!$D$5:$D$149,$A341,'Session Tracker'!$F$5:$F$149,"Next week",'Session Tracker'!$G$5:$G$149,""),$D341*SUMIFS('Session Tracker'!$J$5:$J$149,'Session Tracker'!$D$5:$D$149,$A341,'Session Tracker'!$F$5:$F$149,"Next week",'Session Tracker'!$G$5:$G$149,""))</f>
        <v>0</v>
      </c>
    </row>
    <row r="342" customFormat="false" ht="15" hidden="false" customHeight="false" outlineLevel="0" collapsed="false">
      <c r="A342" s="53" t="s">
        <v>344</v>
      </c>
      <c r="B342" s="54"/>
      <c r="C342" s="54"/>
      <c r="D342" s="54"/>
      <c r="E342" s="54"/>
      <c r="F342" s="54"/>
      <c r="G342" s="54"/>
      <c r="H342" s="52" t="n">
        <f aca="false">IF($E342="Per class",$D342*COUNTIFS('Session Tracker'!$D$5:$D$149,$A342,'Session Tracker'!$F$5:$F$149,"Next week",'Session Tracker'!$G$5:$G$149,"Mon"),$D342*SUMIFS('Session Tracker'!$J$5:$J$149,'Session Tracker'!$D$5:$D$149,$A342,'Session Tracker'!$F$5:$F$149,"Next week",'Session Tracker'!$G$5:$G$149,"Mon"))</f>
        <v>0</v>
      </c>
      <c r="I342" s="52" t="n">
        <f aca="false">IF($E342="Per class",$D342*COUNTIFS('Session Tracker'!$D$5:$D$149,$A342,'Session Tracker'!$F$5:$F$149,"Next week",'Session Tracker'!$G$5:$G$149,"Tue"),$D342*SUMIFS('Session Tracker'!$J$5:$J$149,'Session Tracker'!$D$5:$D$149,$A342,'Session Tracker'!$F$5:$F$149,"Next week",'Session Tracker'!$G$5:$G$149,"Tue"))</f>
        <v>0</v>
      </c>
      <c r="J342" s="52" t="n">
        <f aca="false">IF($E342="Per class",$D342*COUNTIFS('Session Tracker'!$D$5:$D$149,$A342,'Session Tracker'!$F$5:$F$149,"Next week",'Session Tracker'!$G$5:$G$149,"Wed"),$D342*SUMIFS('Session Tracker'!$J$5:$J$149,'Session Tracker'!$D$5:$D$149,$A342,'Session Tracker'!$F$5:$F$149,"Next week",'Session Tracker'!$G$5:$G$149,"Wed"))</f>
        <v>0</v>
      </c>
      <c r="K342" s="52" t="n">
        <f aca="false">IF($E342="Per class",$D342*COUNTIFS('Session Tracker'!$D$5:$D$149,$A342,'Session Tracker'!$F$5:$F$149,"Next week",'Session Tracker'!$G$5:$G$149,"Thu"),$D342*SUMIFS('Session Tracker'!$J$5:$J$149,'Session Tracker'!$D$5:$D$149,$A342,'Session Tracker'!$F$5:$F$149,"Next week",'Session Tracker'!$G$5:$G$149,"Thu"))</f>
        <v>0</v>
      </c>
      <c r="L342" s="52" t="n">
        <f aca="false">IF($E342="Per class",$D342*COUNTIFS('Session Tracker'!$D$5:$D$149,$A342,'Session Tracker'!$F$5:$F$149,"Next week",'Session Tracker'!$G$5:$G$149,"Fri"),$D342*SUMIFS('Session Tracker'!$J$5:$J$149,'Session Tracker'!$D$5:$D$149,$A342,'Session Tracker'!$F$5:$F$149,"Next week",'Session Tracker'!$G$5:$G$149,"Fri"))</f>
        <v>0</v>
      </c>
      <c r="M342" s="52" t="n">
        <f aca="false">IF($E342="Per class",$D342*COUNTIFS('Session Tracker'!$D$5:$D$149,$A342,'Session Tracker'!$F$5:$F$149,"Next week",'Session Tracker'!$G$5:$G$149,""),$D342*SUMIFS('Session Tracker'!$J$5:$J$149,'Session Tracker'!$D$5:$D$149,$A342,'Session Tracker'!$F$5:$F$149,"Next week",'Session Tracker'!$G$5:$G$149,""))</f>
        <v>0</v>
      </c>
    </row>
    <row r="344" customFormat="false" ht="19.5" hidden="false" customHeight="true" outlineLevel="0" collapsed="false">
      <c r="A344" s="71" t="s">
        <v>346</v>
      </c>
      <c r="B344" s="72" t="s">
        <v>696</v>
      </c>
      <c r="C344" s="72"/>
      <c r="D344" s="72"/>
      <c r="E344" s="72"/>
      <c r="F344" s="73" t="str">
        <f aca="false">"Status: "&amp;'Session Tracker'!F144&amp;IF('Session Tracker'!G144&lt;&gt;""," ("&amp;'Session Tracker'!G144&amp;")","")</f>
        <v>Status: Not started</v>
      </c>
      <c r="G344" s="73"/>
      <c r="H344" s="74"/>
      <c r="I344" s="74"/>
      <c r="J344" s="74"/>
      <c r="K344" s="74"/>
      <c r="L344" s="74"/>
      <c r="M344" s="74"/>
    </row>
    <row r="345" customFormat="false" ht="15" hidden="false" customHeight="false" outlineLevel="0" collapsed="false">
      <c r="A345" s="75" t="s">
        <v>346</v>
      </c>
      <c r="B345" s="34" t="s">
        <v>382</v>
      </c>
      <c r="C345" s="34" t="s">
        <v>401</v>
      </c>
      <c r="D345" s="32" t="n">
        <v>1</v>
      </c>
      <c r="E345" s="32" t="s">
        <v>16</v>
      </c>
      <c r="F345" s="32" t="s">
        <v>368</v>
      </c>
      <c r="G345" s="34"/>
      <c r="H345" s="52" t="n">
        <f aca="false">IF($E345="Per class",$D345*COUNTIFS('Session Tracker'!$D$5:$D$149,$A345,'Session Tracker'!$F$5:$F$149,"Next week",'Session Tracker'!$G$5:$G$149,"Mon"),$D345*SUMIFS('Session Tracker'!$J$5:$J$149,'Session Tracker'!$D$5:$D$149,$A345,'Session Tracker'!$F$5:$F$149,"Next week",'Session Tracker'!$G$5:$G$149,"Mon"))</f>
        <v>0</v>
      </c>
      <c r="I345" s="52" t="n">
        <f aca="false">IF($E345="Per class",$D345*COUNTIFS('Session Tracker'!$D$5:$D$149,$A345,'Session Tracker'!$F$5:$F$149,"Next week",'Session Tracker'!$G$5:$G$149,"Tue"),$D345*SUMIFS('Session Tracker'!$J$5:$J$149,'Session Tracker'!$D$5:$D$149,$A345,'Session Tracker'!$F$5:$F$149,"Next week",'Session Tracker'!$G$5:$G$149,"Tue"))</f>
        <v>0</v>
      </c>
      <c r="J345" s="52" t="n">
        <f aca="false">IF($E345="Per class",$D345*COUNTIFS('Session Tracker'!$D$5:$D$149,$A345,'Session Tracker'!$F$5:$F$149,"Next week",'Session Tracker'!$G$5:$G$149,"Wed"),$D345*SUMIFS('Session Tracker'!$J$5:$J$149,'Session Tracker'!$D$5:$D$149,$A345,'Session Tracker'!$F$5:$F$149,"Next week",'Session Tracker'!$G$5:$G$149,"Wed"))</f>
        <v>0</v>
      </c>
      <c r="K345" s="52" t="n">
        <f aca="false">IF($E345="Per class",$D345*COUNTIFS('Session Tracker'!$D$5:$D$149,$A345,'Session Tracker'!$F$5:$F$149,"Next week",'Session Tracker'!$G$5:$G$149,"Thu"),$D345*SUMIFS('Session Tracker'!$J$5:$J$149,'Session Tracker'!$D$5:$D$149,$A345,'Session Tracker'!$F$5:$F$149,"Next week",'Session Tracker'!$G$5:$G$149,"Thu"))</f>
        <v>0</v>
      </c>
      <c r="L345" s="52" t="n">
        <f aca="false">IF($E345="Per class",$D345*COUNTIFS('Session Tracker'!$D$5:$D$149,$A345,'Session Tracker'!$F$5:$F$149,"Next week",'Session Tracker'!$G$5:$G$149,"Fri"),$D345*SUMIFS('Session Tracker'!$J$5:$J$149,'Session Tracker'!$D$5:$D$149,$A345,'Session Tracker'!$F$5:$F$149,"Next week",'Session Tracker'!$G$5:$G$149,"Fri"))</f>
        <v>0</v>
      </c>
      <c r="M345" s="52" t="n">
        <f aca="false">IF($E345="Per class",$D345*COUNTIFS('Session Tracker'!$D$5:$D$149,$A345,'Session Tracker'!$F$5:$F$149,"Next week",'Session Tracker'!$G$5:$G$149,""),$D345*SUMIFS('Session Tracker'!$J$5:$J$149,'Session Tracker'!$D$5:$D$149,$A345,'Session Tracker'!$F$5:$F$149,"Next week",'Session Tracker'!$G$5:$G$149,""))</f>
        <v>0</v>
      </c>
    </row>
    <row r="346" customFormat="false" ht="15" hidden="false" customHeight="false" outlineLevel="0" collapsed="false">
      <c r="A346" s="75" t="s">
        <v>346</v>
      </c>
      <c r="B346" s="34" t="s">
        <v>382</v>
      </c>
      <c r="C346" s="34" t="s">
        <v>402</v>
      </c>
      <c r="D346" s="32" t="n">
        <v>1</v>
      </c>
      <c r="E346" s="32" t="s">
        <v>16</v>
      </c>
      <c r="F346" s="32" t="s">
        <v>373</v>
      </c>
      <c r="G346" s="34"/>
      <c r="H346" s="52" t="n">
        <f aca="false">IF($E346="Per class",$D346*COUNTIFS('Session Tracker'!$D$5:$D$149,$A346,'Session Tracker'!$F$5:$F$149,"Next week",'Session Tracker'!$G$5:$G$149,"Mon"),$D346*SUMIFS('Session Tracker'!$J$5:$J$149,'Session Tracker'!$D$5:$D$149,$A346,'Session Tracker'!$F$5:$F$149,"Next week",'Session Tracker'!$G$5:$G$149,"Mon"))</f>
        <v>0</v>
      </c>
      <c r="I346" s="52" t="n">
        <f aca="false">IF($E346="Per class",$D346*COUNTIFS('Session Tracker'!$D$5:$D$149,$A346,'Session Tracker'!$F$5:$F$149,"Next week",'Session Tracker'!$G$5:$G$149,"Tue"),$D346*SUMIFS('Session Tracker'!$J$5:$J$149,'Session Tracker'!$D$5:$D$149,$A346,'Session Tracker'!$F$5:$F$149,"Next week",'Session Tracker'!$G$5:$G$149,"Tue"))</f>
        <v>0</v>
      </c>
      <c r="J346" s="52" t="n">
        <f aca="false">IF($E346="Per class",$D346*COUNTIFS('Session Tracker'!$D$5:$D$149,$A346,'Session Tracker'!$F$5:$F$149,"Next week",'Session Tracker'!$G$5:$G$149,"Wed"),$D346*SUMIFS('Session Tracker'!$J$5:$J$149,'Session Tracker'!$D$5:$D$149,$A346,'Session Tracker'!$F$5:$F$149,"Next week",'Session Tracker'!$G$5:$G$149,"Wed"))</f>
        <v>0</v>
      </c>
      <c r="K346" s="52" t="n">
        <f aca="false">IF($E346="Per class",$D346*COUNTIFS('Session Tracker'!$D$5:$D$149,$A346,'Session Tracker'!$F$5:$F$149,"Next week",'Session Tracker'!$G$5:$G$149,"Thu"),$D346*SUMIFS('Session Tracker'!$J$5:$J$149,'Session Tracker'!$D$5:$D$149,$A346,'Session Tracker'!$F$5:$F$149,"Next week",'Session Tracker'!$G$5:$G$149,"Thu"))</f>
        <v>0</v>
      </c>
      <c r="L346" s="52" t="n">
        <f aca="false">IF($E346="Per class",$D346*COUNTIFS('Session Tracker'!$D$5:$D$149,$A346,'Session Tracker'!$F$5:$F$149,"Next week",'Session Tracker'!$G$5:$G$149,"Fri"),$D346*SUMIFS('Session Tracker'!$J$5:$J$149,'Session Tracker'!$D$5:$D$149,$A346,'Session Tracker'!$F$5:$F$149,"Next week",'Session Tracker'!$G$5:$G$149,"Fri"))</f>
        <v>0</v>
      </c>
      <c r="M346" s="52" t="n">
        <f aca="false">IF($E346="Per class",$D346*COUNTIFS('Session Tracker'!$D$5:$D$149,$A346,'Session Tracker'!$F$5:$F$149,"Next week",'Session Tracker'!$G$5:$G$149,""),$D346*SUMIFS('Session Tracker'!$J$5:$J$149,'Session Tracker'!$D$5:$D$149,$A346,'Session Tracker'!$F$5:$F$149,"Next week",'Session Tracker'!$G$5:$G$149,""))</f>
        <v>0</v>
      </c>
    </row>
    <row r="347" customFormat="false" ht="15" hidden="false" customHeight="false" outlineLevel="0" collapsed="false">
      <c r="A347" s="75" t="s">
        <v>346</v>
      </c>
      <c r="B347" s="34" t="s">
        <v>377</v>
      </c>
      <c r="C347" s="34" t="s">
        <v>483</v>
      </c>
      <c r="D347" s="32" t="n">
        <v>1</v>
      </c>
      <c r="E347" s="32" t="s">
        <v>14</v>
      </c>
      <c r="F347" s="32" t="s">
        <v>368</v>
      </c>
      <c r="G347" s="34"/>
      <c r="H347" s="52" t="n">
        <f aca="false">IF($E347="Per class",$D347*COUNTIFS('Session Tracker'!$D$5:$D$149,$A347,'Session Tracker'!$F$5:$F$149,"Next week",'Session Tracker'!$G$5:$G$149,"Mon"),$D347*SUMIFS('Session Tracker'!$J$5:$J$149,'Session Tracker'!$D$5:$D$149,$A347,'Session Tracker'!$F$5:$F$149,"Next week",'Session Tracker'!$G$5:$G$149,"Mon"))</f>
        <v>0</v>
      </c>
      <c r="I347" s="52" t="n">
        <f aca="false">IF($E347="Per class",$D347*COUNTIFS('Session Tracker'!$D$5:$D$149,$A347,'Session Tracker'!$F$5:$F$149,"Next week",'Session Tracker'!$G$5:$G$149,"Tue"),$D347*SUMIFS('Session Tracker'!$J$5:$J$149,'Session Tracker'!$D$5:$D$149,$A347,'Session Tracker'!$F$5:$F$149,"Next week",'Session Tracker'!$G$5:$G$149,"Tue"))</f>
        <v>0</v>
      </c>
      <c r="J347" s="52" t="n">
        <f aca="false">IF($E347="Per class",$D347*COUNTIFS('Session Tracker'!$D$5:$D$149,$A347,'Session Tracker'!$F$5:$F$149,"Next week",'Session Tracker'!$G$5:$G$149,"Wed"),$D347*SUMIFS('Session Tracker'!$J$5:$J$149,'Session Tracker'!$D$5:$D$149,$A347,'Session Tracker'!$F$5:$F$149,"Next week",'Session Tracker'!$G$5:$G$149,"Wed"))</f>
        <v>0</v>
      </c>
      <c r="K347" s="52" t="n">
        <f aca="false">IF($E347="Per class",$D347*COUNTIFS('Session Tracker'!$D$5:$D$149,$A347,'Session Tracker'!$F$5:$F$149,"Next week",'Session Tracker'!$G$5:$G$149,"Thu"),$D347*SUMIFS('Session Tracker'!$J$5:$J$149,'Session Tracker'!$D$5:$D$149,$A347,'Session Tracker'!$F$5:$F$149,"Next week",'Session Tracker'!$G$5:$G$149,"Thu"))</f>
        <v>0</v>
      </c>
      <c r="L347" s="52" t="n">
        <f aca="false">IF($E347="Per class",$D347*COUNTIFS('Session Tracker'!$D$5:$D$149,$A347,'Session Tracker'!$F$5:$F$149,"Next week",'Session Tracker'!$G$5:$G$149,"Fri"),$D347*SUMIFS('Session Tracker'!$J$5:$J$149,'Session Tracker'!$D$5:$D$149,$A347,'Session Tracker'!$F$5:$F$149,"Next week",'Session Tracker'!$G$5:$G$149,"Fri"))</f>
        <v>0</v>
      </c>
      <c r="M347" s="52" t="n">
        <f aca="false">IF($E347="Per class",$D347*COUNTIFS('Session Tracker'!$D$5:$D$149,$A347,'Session Tracker'!$F$5:$F$149,"Next week",'Session Tracker'!$G$5:$G$149,""),$D347*SUMIFS('Session Tracker'!$J$5:$J$149,'Session Tracker'!$D$5:$D$149,$A347,'Session Tracker'!$F$5:$F$149,"Next week",'Session Tracker'!$G$5:$G$149,""))</f>
        <v>0</v>
      </c>
    </row>
    <row r="348" customFormat="false" ht="15" hidden="false" customHeight="false" outlineLevel="0" collapsed="false">
      <c r="A348" s="75" t="s">
        <v>346</v>
      </c>
      <c r="B348" s="34" t="s">
        <v>409</v>
      </c>
      <c r="C348" s="34" t="s">
        <v>533</v>
      </c>
      <c r="D348" s="32" t="n">
        <v>1</v>
      </c>
      <c r="E348" s="32" t="s">
        <v>14</v>
      </c>
      <c r="F348" s="32" t="s">
        <v>373</v>
      </c>
      <c r="G348" s="34"/>
      <c r="H348" s="52" t="n">
        <f aca="false">IF($E348="Per class",$D348*COUNTIFS('Session Tracker'!$D$5:$D$149,$A348,'Session Tracker'!$F$5:$F$149,"Next week",'Session Tracker'!$G$5:$G$149,"Mon"),$D348*SUMIFS('Session Tracker'!$J$5:$J$149,'Session Tracker'!$D$5:$D$149,$A348,'Session Tracker'!$F$5:$F$149,"Next week",'Session Tracker'!$G$5:$G$149,"Mon"))</f>
        <v>0</v>
      </c>
      <c r="I348" s="52" t="n">
        <f aca="false">IF($E348="Per class",$D348*COUNTIFS('Session Tracker'!$D$5:$D$149,$A348,'Session Tracker'!$F$5:$F$149,"Next week",'Session Tracker'!$G$5:$G$149,"Tue"),$D348*SUMIFS('Session Tracker'!$J$5:$J$149,'Session Tracker'!$D$5:$D$149,$A348,'Session Tracker'!$F$5:$F$149,"Next week",'Session Tracker'!$G$5:$G$149,"Tue"))</f>
        <v>0</v>
      </c>
      <c r="J348" s="52" t="n">
        <f aca="false">IF($E348="Per class",$D348*COUNTIFS('Session Tracker'!$D$5:$D$149,$A348,'Session Tracker'!$F$5:$F$149,"Next week",'Session Tracker'!$G$5:$G$149,"Wed"),$D348*SUMIFS('Session Tracker'!$J$5:$J$149,'Session Tracker'!$D$5:$D$149,$A348,'Session Tracker'!$F$5:$F$149,"Next week",'Session Tracker'!$G$5:$G$149,"Wed"))</f>
        <v>0</v>
      </c>
      <c r="K348" s="52" t="n">
        <f aca="false">IF($E348="Per class",$D348*COUNTIFS('Session Tracker'!$D$5:$D$149,$A348,'Session Tracker'!$F$5:$F$149,"Next week",'Session Tracker'!$G$5:$G$149,"Thu"),$D348*SUMIFS('Session Tracker'!$J$5:$J$149,'Session Tracker'!$D$5:$D$149,$A348,'Session Tracker'!$F$5:$F$149,"Next week",'Session Tracker'!$G$5:$G$149,"Thu"))</f>
        <v>0</v>
      </c>
      <c r="L348" s="52" t="n">
        <f aca="false">IF($E348="Per class",$D348*COUNTIFS('Session Tracker'!$D$5:$D$149,$A348,'Session Tracker'!$F$5:$F$149,"Next week",'Session Tracker'!$G$5:$G$149,"Fri"),$D348*SUMIFS('Session Tracker'!$J$5:$J$149,'Session Tracker'!$D$5:$D$149,$A348,'Session Tracker'!$F$5:$F$149,"Next week",'Session Tracker'!$G$5:$G$149,"Fri"))</f>
        <v>0</v>
      </c>
      <c r="M348" s="52" t="n">
        <f aca="false">IF($E348="Per class",$D348*COUNTIFS('Session Tracker'!$D$5:$D$149,$A348,'Session Tracker'!$F$5:$F$149,"Next week",'Session Tracker'!$G$5:$G$149,""),$D348*SUMIFS('Session Tracker'!$J$5:$J$149,'Session Tracker'!$D$5:$D$149,$A348,'Session Tracker'!$F$5:$F$149,"Next week",'Session Tracker'!$G$5:$G$149,""))</f>
        <v>0</v>
      </c>
    </row>
    <row r="349" customFormat="false" ht="15" hidden="false" customHeight="false" outlineLevel="0" collapsed="false">
      <c r="A349" s="75" t="s">
        <v>346</v>
      </c>
      <c r="B349" s="34" t="s">
        <v>411</v>
      </c>
      <c r="C349" s="34" t="s">
        <v>493</v>
      </c>
      <c r="D349" s="32" t="n">
        <v>2</v>
      </c>
      <c r="E349" s="32" t="s">
        <v>14</v>
      </c>
      <c r="F349" s="32" t="s">
        <v>373</v>
      </c>
      <c r="G349" s="34" t="s">
        <v>697</v>
      </c>
      <c r="H349" s="52" t="n">
        <f aca="false">IF($E349="Per class",$D349*COUNTIFS('Session Tracker'!$D$5:$D$149,$A349,'Session Tracker'!$F$5:$F$149,"Next week",'Session Tracker'!$G$5:$G$149,"Mon"),$D349*SUMIFS('Session Tracker'!$J$5:$J$149,'Session Tracker'!$D$5:$D$149,$A349,'Session Tracker'!$F$5:$F$149,"Next week",'Session Tracker'!$G$5:$G$149,"Mon"))</f>
        <v>0</v>
      </c>
      <c r="I349" s="52" t="n">
        <f aca="false">IF($E349="Per class",$D349*COUNTIFS('Session Tracker'!$D$5:$D$149,$A349,'Session Tracker'!$F$5:$F$149,"Next week",'Session Tracker'!$G$5:$G$149,"Tue"),$D349*SUMIFS('Session Tracker'!$J$5:$J$149,'Session Tracker'!$D$5:$D$149,$A349,'Session Tracker'!$F$5:$F$149,"Next week",'Session Tracker'!$G$5:$G$149,"Tue"))</f>
        <v>0</v>
      </c>
      <c r="J349" s="52" t="n">
        <f aca="false">IF($E349="Per class",$D349*COUNTIFS('Session Tracker'!$D$5:$D$149,$A349,'Session Tracker'!$F$5:$F$149,"Next week",'Session Tracker'!$G$5:$G$149,"Wed"),$D349*SUMIFS('Session Tracker'!$J$5:$J$149,'Session Tracker'!$D$5:$D$149,$A349,'Session Tracker'!$F$5:$F$149,"Next week",'Session Tracker'!$G$5:$G$149,"Wed"))</f>
        <v>0</v>
      </c>
      <c r="K349" s="52" t="n">
        <f aca="false">IF($E349="Per class",$D349*COUNTIFS('Session Tracker'!$D$5:$D$149,$A349,'Session Tracker'!$F$5:$F$149,"Next week",'Session Tracker'!$G$5:$G$149,"Thu"),$D349*SUMIFS('Session Tracker'!$J$5:$J$149,'Session Tracker'!$D$5:$D$149,$A349,'Session Tracker'!$F$5:$F$149,"Next week",'Session Tracker'!$G$5:$G$149,"Thu"))</f>
        <v>0</v>
      </c>
      <c r="L349" s="52" t="n">
        <f aca="false">IF($E349="Per class",$D349*COUNTIFS('Session Tracker'!$D$5:$D$149,$A349,'Session Tracker'!$F$5:$F$149,"Next week",'Session Tracker'!$G$5:$G$149,"Fri"),$D349*SUMIFS('Session Tracker'!$J$5:$J$149,'Session Tracker'!$D$5:$D$149,$A349,'Session Tracker'!$F$5:$F$149,"Next week",'Session Tracker'!$G$5:$G$149,"Fri"))</f>
        <v>0</v>
      </c>
      <c r="M349" s="52" t="n">
        <f aca="false">IF($E349="Per class",$D349*COUNTIFS('Session Tracker'!$D$5:$D$149,$A349,'Session Tracker'!$F$5:$F$149,"Next week",'Session Tracker'!$G$5:$G$149,""),$D349*SUMIFS('Session Tracker'!$J$5:$J$149,'Session Tracker'!$D$5:$D$149,$A349,'Session Tracker'!$F$5:$F$149,"Next week",'Session Tracker'!$G$5:$G$149,""))</f>
        <v>0</v>
      </c>
    </row>
    <row r="350" customFormat="false" ht="15" hidden="false" customHeight="false" outlineLevel="0" collapsed="false">
      <c r="A350" s="53" t="s">
        <v>346</v>
      </c>
      <c r="B350" s="54"/>
      <c r="C350" s="54"/>
      <c r="D350" s="54"/>
      <c r="E350" s="54"/>
      <c r="F350" s="54"/>
      <c r="G350" s="54"/>
      <c r="H350" s="52" t="n">
        <f aca="false">IF($E350="Per class",$D350*COUNTIFS('Session Tracker'!$D$5:$D$149,$A350,'Session Tracker'!$F$5:$F$149,"Next week",'Session Tracker'!$G$5:$G$149,"Mon"),$D350*SUMIFS('Session Tracker'!$J$5:$J$149,'Session Tracker'!$D$5:$D$149,$A350,'Session Tracker'!$F$5:$F$149,"Next week",'Session Tracker'!$G$5:$G$149,"Mon"))</f>
        <v>0</v>
      </c>
      <c r="I350" s="52" t="n">
        <f aca="false">IF($E350="Per class",$D350*COUNTIFS('Session Tracker'!$D$5:$D$149,$A350,'Session Tracker'!$F$5:$F$149,"Next week",'Session Tracker'!$G$5:$G$149,"Tue"),$D350*SUMIFS('Session Tracker'!$J$5:$J$149,'Session Tracker'!$D$5:$D$149,$A350,'Session Tracker'!$F$5:$F$149,"Next week",'Session Tracker'!$G$5:$G$149,"Tue"))</f>
        <v>0</v>
      </c>
      <c r="J350" s="52" t="n">
        <f aca="false">IF($E350="Per class",$D350*COUNTIFS('Session Tracker'!$D$5:$D$149,$A350,'Session Tracker'!$F$5:$F$149,"Next week",'Session Tracker'!$G$5:$G$149,"Wed"),$D350*SUMIFS('Session Tracker'!$J$5:$J$149,'Session Tracker'!$D$5:$D$149,$A350,'Session Tracker'!$F$5:$F$149,"Next week",'Session Tracker'!$G$5:$G$149,"Wed"))</f>
        <v>0</v>
      </c>
      <c r="K350" s="52" t="n">
        <f aca="false">IF($E350="Per class",$D350*COUNTIFS('Session Tracker'!$D$5:$D$149,$A350,'Session Tracker'!$F$5:$F$149,"Next week",'Session Tracker'!$G$5:$G$149,"Thu"),$D350*SUMIFS('Session Tracker'!$J$5:$J$149,'Session Tracker'!$D$5:$D$149,$A350,'Session Tracker'!$F$5:$F$149,"Next week",'Session Tracker'!$G$5:$G$149,"Thu"))</f>
        <v>0</v>
      </c>
      <c r="L350" s="52" t="n">
        <f aca="false">IF($E350="Per class",$D350*COUNTIFS('Session Tracker'!$D$5:$D$149,$A350,'Session Tracker'!$F$5:$F$149,"Next week",'Session Tracker'!$G$5:$G$149,"Fri"),$D350*SUMIFS('Session Tracker'!$J$5:$J$149,'Session Tracker'!$D$5:$D$149,$A350,'Session Tracker'!$F$5:$F$149,"Next week",'Session Tracker'!$G$5:$G$149,"Fri"))</f>
        <v>0</v>
      </c>
      <c r="M350" s="52" t="n">
        <f aca="false">IF($E350="Per class",$D350*COUNTIFS('Session Tracker'!$D$5:$D$149,$A350,'Session Tracker'!$F$5:$F$149,"Next week",'Session Tracker'!$G$5:$G$149,""),$D350*SUMIFS('Session Tracker'!$J$5:$J$149,'Session Tracker'!$D$5:$D$149,$A350,'Session Tracker'!$F$5:$F$149,"Next week",'Session Tracker'!$G$5:$G$149,""))</f>
        <v>0</v>
      </c>
    </row>
    <row r="351" customFormat="false" ht="15" hidden="false" customHeight="false" outlineLevel="0" collapsed="false">
      <c r="A351" s="53" t="s">
        <v>346</v>
      </c>
      <c r="B351" s="54"/>
      <c r="C351" s="54"/>
      <c r="D351" s="54"/>
      <c r="E351" s="54"/>
      <c r="F351" s="54"/>
      <c r="G351" s="54"/>
      <c r="H351" s="52" t="n">
        <f aca="false">IF($E351="Per class",$D351*COUNTIFS('Session Tracker'!$D$5:$D$149,$A351,'Session Tracker'!$F$5:$F$149,"Next week",'Session Tracker'!$G$5:$G$149,"Mon"),$D351*SUMIFS('Session Tracker'!$J$5:$J$149,'Session Tracker'!$D$5:$D$149,$A351,'Session Tracker'!$F$5:$F$149,"Next week",'Session Tracker'!$G$5:$G$149,"Mon"))</f>
        <v>0</v>
      </c>
      <c r="I351" s="52" t="n">
        <f aca="false">IF($E351="Per class",$D351*COUNTIFS('Session Tracker'!$D$5:$D$149,$A351,'Session Tracker'!$F$5:$F$149,"Next week",'Session Tracker'!$G$5:$G$149,"Tue"),$D351*SUMIFS('Session Tracker'!$J$5:$J$149,'Session Tracker'!$D$5:$D$149,$A351,'Session Tracker'!$F$5:$F$149,"Next week",'Session Tracker'!$G$5:$G$149,"Tue"))</f>
        <v>0</v>
      </c>
      <c r="J351" s="52" t="n">
        <f aca="false">IF($E351="Per class",$D351*COUNTIFS('Session Tracker'!$D$5:$D$149,$A351,'Session Tracker'!$F$5:$F$149,"Next week",'Session Tracker'!$G$5:$G$149,"Wed"),$D351*SUMIFS('Session Tracker'!$J$5:$J$149,'Session Tracker'!$D$5:$D$149,$A351,'Session Tracker'!$F$5:$F$149,"Next week",'Session Tracker'!$G$5:$G$149,"Wed"))</f>
        <v>0</v>
      </c>
      <c r="K351" s="52" t="n">
        <f aca="false">IF($E351="Per class",$D351*COUNTIFS('Session Tracker'!$D$5:$D$149,$A351,'Session Tracker'!$F$5:$F$149,"Next week",'Session Tracker'!$G$5:$G$149,"Thu"),$D351*SUMIFS('Session Tracker'!$J$5:$J$149,'Session Tracker'!$D$5:$D$149,$A351,'Session Tracker'!$F$5:$F$149,"Next week",'Session Tracker'!$G$5:$G$149,"Thu"))</f>
        <v>0</v>
      </c>
      <c r="L351" s="52" t="n">
        <f aca="false">IF($E351="Per class",$D351*COUNTIFS('Session Tracker'!$D$5:$D$149,$A351,'Session Tracker'!$F$5:$F$149,"Next week",'Session Tracker'!$G$5:$G$149,"Fri"),$D351*SUMIFS('Session Tracker'!$J$5:$J$149,'Session Tracker'!$D$5:$D$149,$A351,'Session Tracker'!$F$5:$F$149,"Next week",'Session Tracker'!$G$5:$G$149,"Fri"))</f>
        <v>0</v>
      </c>
      <c r="M351" s="52" t="n">
        <f aca="false">IF($E351="Per class",$D351*COUNTIFS('Session Tracker'!$D$5:$D$149,$A351,'Session Tracker'!$F$5:$F$149,"Next week",'Session Tracker'!$G$5:$G$149,""),$D351*SUMIFS('Session Tracker'!$J$5:$J$149,'Session Tracker'!$D$5:$D$149,$A351,'Session Tracker'!$F$5:$F$149,"Next week",'Session Tracker'!$G$5:$G$149,""))</f>
        <v>0</v>
      </c>
    </row>
    <row r="353" customFormat="false" ht="19.5" hidden="false" customHeight="true" outlineLevel="0" collapsed="false">
      <c r="A353" s="71" t="s">
        <v>348</v>
      </c>
      <c r="B353" s="72" t="s">
        <v>698</v>
      </c>
      <c r="C353" s="72"/>
      <c r="D353" s="72"/>
      <c r="E353" s="72"/>
      <c r="F353" s="73" t="str">
        <f aca="false">"Status: "&amp;'Session Tracker'!F145&amp;IF('Session Tracker'!G145&lt;&gt;""," ("&amp;'Session Tracker'!G145&amp;")","")</f>
        <v>Status: Not started</v>
      </c>
      <c r="G353" s="73"/>
      <c r="H353" s="74"/>
      <c r="I353" s="74"/>
      <c r="J353" s="74"/>
      <c r="K353" s="74"/>
      <c r="L353" s="74"/>
      <c r="M353" s="74"/>
    </row>
    <row r="354" customFormat="false" ht="23.85" hidden="false" customHeight="false" outlineLevel="0" collapsed="false">
      <c r="A354" s="75" t="s">
        <v>348</v>
      </c>
      <c r="B354" s="34" t="s">
        <v>366</v>
      </c>
      <c r="C354" s="34" t="s">
        <v>367</v>
      </c>
      <c r="D354" s="32" t="n">
        <v>1</v>
      </c>
      <c r="E354" s="32" t="s">
        <v>14</v>
      </c>
      <c r="F354" s="32" t="s">
        <v>368</v>
      </c>
      <c r="G354" s="34"/>
      <c r="H354" s="52" t="n">
        <f aca="false">IF($E354="Per class",$D354*COUNTIFS('Session Tracker'!$D$5:$D$149,$A354,'Session Tracker'!$F$5:$F$149,"Next week",'Session Tracker'!$G$5:$G$149,"Mon"),$D354*SUMIFS('Session Tracker'!$J$5:$J$149,'Session Tracker'!$D$5:$D$149,$A354,'Session Tracker'!$F$5:$F$149,"Next week",'Session Tracker'!$G$5:$G$149,"Mon"))</f>
        <v>0</v>
      </c>
      <c r="I354" s="52" t="n">
        <f aca="false">IF($E354="Per class",$D354*COUNTIFS('Session Tracker'!$D$5:$D$149,$A354,'Session Tracker'!$F$5:$F$149,"Next week",'Session Tracker'!$G$5:$G$149,"Tue"),$D354*SUMIFS('Session Tracker'!$J$5:$J$149,'Session Tracker'!$D$5:$D$149,$A354,'Session Tracker'!$F$5:$F$149,"Next week",'Session Tracker'!$G$5:$G$149,"Tue"))</f>
        <v>0</v>
      </c>
      <c r="J354" s="52" t="n">
        <f aca="false">IF($E354="Per class",$D354*COUNTIFS('Session Tracker'!$D$5:$D$149,$A354,'Session Tracker'!$F$5:$F$149,"Next week",'Session Tracker'!$G$5:$G$149,"Wed"),$D354*SUMIFS('Session Tracker'!$J$5:$J$149,'Session Tracker'!$D$5:$D$149,$A354,'Session Tracker'!$F$5:$F$149,"Next week",'Session Tracker'!$G$5:$G$149,"Wed"))</f>
        <v>0</v>
      </c>
      <c r="K354" s="52" t="n">
        <f aca="false">IF($E354="Per class",$D354*COUNTIFS('Session Tracker'!$D$5:$D$149,$A354,'Session Tracker'!$F$5:$F$149,"Next week",'Session Tracker'!$G$5:$G$149,"Thu"),$D354*SUMIFS('Session Tracker'!$J$5:$J$149,'Session Tracker'!$D$5:$D$149,$A354,'Session Tracker'!$F$5:$F$149,"Next week",'Session Tracker'!$G$5:$G$149,"Thu"))</f>
        <v>0</v>
      </c>
      <c r="L354" s="52" t="n">
        <f aca="false">IF($E354="Per class",$D354*COUNTIFS('Session Tracker'!$D$5:$D$149,$A354,'Session Tracker'!$F$5:$F$149,"Next week",'Session Tracker'!$G$5:$G$149,"Fri"),$D354*SUMIFS('Session Tracker'!$J$5:$J$149,'Session Tracker'!$D$5:$D$149,$A354,'Session Tracker'!$F$5:$F$149,"Next week",'Session Tracker'!$G$5:$G$149,"Fri"))</f>
        <v>0</v>
      </c>
      <c r="M354" s="52" t="n">
        <f aca="false">IF($E354="Per class",$D354*COUNTIFS('Session Tracker'!$D$5:$D$149,$A354,'Session Tracker'!$F$5:$F$149,"Next week",'Session Tracker'!$G$5:$G$149,""),$D354*SUMIFS('Session Tracker'!$J$5:$J$149,'Session Tracker'!$D$5:$D$149,$A354,'Session Tracker'!$F$5:$F$149,"Next week",'Session Tracker'!$G$5:$G$149,""))</f>
        <v>0</v>
      </c>
    </row>
    <row r="355" customFormat="false" ht="15" hidden="false" customHeight="false" outlineLevel="0" collapsed="false">
      <c r="A355" s="75" t="s">
        <v>348</v>
      </c>
      <c r="B355" s="34" t="s">
        <v>369</v>
      </c>
      <c r="C355" s="34" t="s">
        <v>370</v>
      </c>
      <c r="D355" s="32" t="n">
        <v>2</v>
      </c>
      <c r="E355" s="32" t="s">
        <v>14</v>
      </c>
      <c r="F355" s="32" t="s">
        <v>368</v>
      </c>
      <c r="G355" s="34"/>
      <c r="H355" s="52" t="n">
        <f aca="false">IF($E355="Per class",$D355*COUNTIFS('Session Tracker'!$D$5:$D$149,$A355,'Session Tracker'!$F$5:$F$149,"Next week",'Session Tracker'!$G$5:$G$149,"Mon"),$D355*SUMIFS('Session Tracker'!$J$5:$J$149,'Session Tracker'!$D$5:$D$149,$A355,'Session Tracker'!$F$5:$F$149,"Next week",'Session Tracker'!$G$5:$G$149,"Mon"))</f>
        <v>0</v>
      </c>
      <c r="I355" s="52" t="n">
        <f aca="false">IF($E355="Per class",$D355*COUNTIFS('Session Tracker'!$D$5:$D$149,$A355,'Session Tracker'!$F$5:$F$149,"Next week",'Session Tracker'!$G$5:$G$149,"Tue"),$D355*SUMIFS('Session Tracker'!$J$5:$J$149,'Session Tracker'!$D$5:$D$149,$A355,'Session Tracker'!$F$5:$F$149,"Next week",'Session Tracker'!$G$5:$G$149,"Tue"))</f>
        <v>0</v>
      </c>
      <c r="J355" s="52" t="n">
        <f aca="false">IF($E355="Per class",$D355*COUNTIFS('Session Tracker'!$D$5:$D$149,$A355,'Session Tracker'!$F$5:$F$149,"Next week",'Session Tracker'!$G$5:$G$149,"Wed"),$D355*SUMIFS('Session Tracker'!$J$5:$J$149,'Session Tracker'!$D$5:$D$149,$A355,'Session Tracker'!$F$5:$F$149,"Next week",'Session Tracker'!$G$5:$G$149,"Wed"))</f>
        <v>0</v>
      </c>
      <c r="K355" s="52" t="n">
        <f aca="false">IF($E355="Per class",$D355*COUNTIFS('Session Tracker'!$D$5:$D$149,$A355,'Session Tracker'!$F$5:$F$149,"Next week",'Session Tracker'!$G$5:$G$149,"Thu"),$D355*SUMIFS('Session Tracker'!$J$5:$J$149,'Session Tracker'!$D$5:$D$149,$A355,'Session Tracker'!$F$5:$F$149,"Next week",'Session Tracker'!$G$5:$G$149,"Thu"))</f>
        <v>0</v>
      </c>
      <c r="L355" s="52" t="n">
        <f aca="false">IF($E355="Per class",$D355*COUNTIFS('Session Tracker'!$D$5:$D$149,$A355,'Session Tracker'!$F$5:$F$149,"Next week",'Session Tracker'!$G$5:$G$149,"Fri"),$D355*SUMIFS('Session Tracker'!$J$5:$J$149,'Session Tracker'!$D$5:$D$149,$A355,'Session Tracker'!$F$5:$F$149,"Next week",'Session Tracker'!$G$5:$G$149,"Fri"))</f>
        <v>0</v>
      </c>
      <c r="M355" s="52" t="n">
        <f aca="false">IF($E355="Per class",$D355*COUNTIFS('Session Tracker'!$D$5:$D$149,$A355,'Session Tracker'!$F$5:$F$149,"Next week",'Session Tracker'!$G$5:$G$149,""),$D355*SUMIFS('Session Tracker'!$J$5:$J$149,'Session Tracker'!$D$5:$D$149,$A355,'Session Tracker'!$F$5:$F$149,"Next week",'Session Tracker'!$G$5:$G$149,""))</f>
        <v>0</v>
      </c>
    </row>
    <row r="356" customFormat="false" ht="15" hidden="false" customHeight="false" outlineLevel="0" collapsed="false">
      <c r="A356" s="75" t="s">
        <v>348</v>
      </c>
      <c r="B356" s="34" t="s">
        <v>377</v>
      </c>
      <c r="C356" s="34" t="s">
        <v>638</v>
      </c>
      <c r="D356" s="32" t="n">
        <v>1</v>
      </c>
      <c r="E356" s="32" t="s">
        <v>14</v>
      </c>
      <c r="F356" s="32" t="s">
        <v>368</v>
      </c>
      <c r="G356" s="34"/>
      <c r="H356" s="52" t="n">
        <f aca="false">IF($E356="Per class",$D356*COUNTIFS('Session Tracker'!$D$5:$D$149,$A356,'Session Tracker'!$F$5:$F$149,"Next week",'Session Tracker'!$G$5:$G$149,"Mon"),$D356*SUMIFS('Session Tracker'!$J$5:$J$149,'Session Tracker'!$D$5:$D$149,$A356,'Session Tracker'!$F$5:$F$149,"Next week",'Session Tracker'!$G$5:$G$149,"Mon"))</f>
        <v>0</v>
      </c>
      <c r="I356" s="52" t="n">
        <f aca="false">IF($E356="Per class",$D356*COUNTIFS('Session Tracker'!$D$5:$D$149,$A356,'Session Tracker'!$F$5:$F$149,"Next week",'Session Tracker'!$G$5:$G$149,"Tue"),$D356*SUMIFS('Session Tracker'!$J$5:$J$149,'Session Tracker'!$D$5:$D$149,$A356,'Session Tracker'!$F$5:$F$149,"Next week",'Session Tracker'!$G$5:$G$149,"Tue"))</f>
        <v>0</v>
      </c>
      <c r="J356" s="52" t="n">
        <f aca="false">IF($E356="Per class",$D356*COUNTIFS('Session Tracker'!$D$5:$D$149,$A356,'Session Tracker'!$F$5:$F$149,"Next week",'Session Tracker'!$G$5:$G$149,"Wed"),$D356*SUMIFS('Session Tracker'!$J$5:$J$149,'Session Tracker'!$D$5:$D$149,$A356,'Session Tracker'!$F$5:$F$149,"Next week",'Session Tracker'!$G$5:$G$149,"Wed"))</f>
        <v>0</v>
      </c>
      <c r="K356" s="52" t="n">
        <f aca="false">IF($E356="Per class",$D356*COUNTIFS('Session Tracker'!$D$5:$D$149,$A356,'Session Tracker'!$F$5:$F$149,"Next week",'Session Tracker'!$G$5:$G$149,"Thu"),$D356*SUMIFS('Session Tracker'!$J$5:$J$149,'Session Tracker'!$D$5:$D$149,$A356,'Session Tracker'!$F$5:$F$149,"Next week",'Session Tracker'!$G$5:$G$149,"Thu"))</f>
        <v>0</v>
      </c>
      <c r="L356" s="52" t="n">
        <f aca="false">IF($E356="Per class",$D356*COUNTIFS('Session Tracker'!$D$5:$D$149,$A356,'Session Tracker'!$F$5:$F$149,"Next week",'Session Tracker'!$G$5:$G$149,"Fri"),$D356*SUMIFS('Session Tracker'!$J$5:$J$149,'Session Tracker'!$D$5:$D$149,$A356,'Session Tracker'!$F$5:$F$149,"Next week",'Session Tracker'!$G$5:$G$149,"Fri"))</f>
        <v>0</v>
      </c>
      <c r="M356" s="52" t="n">
        <f aca="false">IF($E356="Per class",$D356*COUNTIFS('Session Tracker'!$D$5:$D$149,$A356,'Session Tracker'!$F$5:$F$149,"Next week",'Session Tracker'!$G$5:$G$149,""),$D356*SUMIFS('Session Tracker'!$J$5:$J$149,'Session Tracker'!$D$5:$D$149,$A356,'Session Tracker'!$F$5:$F$149,"Next week",'Session Tracker'!$G$5:$G$149,""))</f>
        <v>0</v>
      </c>
    </row>
    <row r="357" customFormat="false" ht="15" hidden="false" customHeight="false" outlineLevel="0" collapsed="false">
      <c r="A357" s="75" t="s">
        <v>348</v>
      </c>
      <c r="B357" s="34" t="s">
        <v>377</v>
      </c>
      <c r="C357" s="34" t="s">
        <v>378</v>
      </c>
      <c r="D357" s="32" t="n">
        <v>1</v>
      </c>
      <c r="E357" s="32" t="s">
        <v>14</v>
      </c>
      <c r="F357" s="32" t="s">
        <v>368</v>
      </c>
      <c r="G357" s="34"/>
      <c r="H357" s="52" t="n">
        <f aca="false">IF($E357="Per class",$D357*COUNTIFS('Session Tracker'!$D$5:$D$149,$A357,'Session Tracker'!$F$5:$F$149,"Next week",'Session Tracker'!$G$5:$G$149,"Mon"),$D357*SUMIFS('Session Tracker'!$J$5:$J$149,'Session Tracker'!$D$5:$D$149,$A357,'Session Tracker'!$F$5:$F$149,"Next week",'Session Tracker'!$G$5:$G$149,"Mon"))</f>
        <v>0</v>
      </c>
      <c r="I357" s="52" t="n">
        <f aca="false">IF($E357="Per class",$D357*COUNTIFS('Session Tracker'!$D$5:$D$149,$A357,'Session Tracker'!$F$5:$F$149,"Next week",'Session Tracker'!$G$5:$G$149,"Tue"),$D357*SUMIFS('Session Tracker'!$J$5:$J$149,'Session Tracker'!$D$5:$D$149,$A357,'Session Tracker'!$F$5:$F$149,"Next week",'Session Tracker'!$G$5:$G$149,"Tue"))</f>
        <v>0</v>
      </c>
      <c r="J357" s="52" t="n">
        <f aca="false">IF($E357="Per class",$D357*COUNTIFS('Session Tracker'!$D$5:$D$149,$A357,'Session Tracker'!$F$5:$F$149,"Next week",'Session Tracker'!$G$5:$G$149,"Wed"),$D357*SUMIFS('Session Tracker'!$J$5:$J$149,'Session Tracker'!$D$5:$D$149,$A357,'Session Tracker'!$F$5:$F$149,"Next week",'Session Tracker'!$G$5:$G$149,"Wed"))</f>
        <v>0</v>
      </c>
      <c r="K357" s="52" t="n">
        <f aca="false">IF($E357="Per class",$D357*COUNTIFS('Session Tracker'!$D$5:$D$149,$A357,'Session Tracker'!$F$5:$F$149,"Next week",'Session Tracker'!$G$5:$G$149,"Thu"),$D357*SUMIFS('Session Tracker'!$J$5:$J$149,'Session Tracker'!$D$5:$D$149,$A357,'Session Tracker'!$F$5:$F$149,"Next week",'Session Tracker'!$G$5:$G$149,"Thu"))</f>
        <v>0</v>
      </c>
      <c r="L357" s="52" t="n">
        <f aca="false">IF($E357="Per class",$D357*COUNTIFS('Session Tracker'!$D$5:$D$149,$A357,'Session Tracker'!$F$5:$F$149,"Next week",'Session Tracker'!$G$5:$G$149,"Fri"),$D357*SUMIFS('Session Tracker'!$J$5:$J$149,'Session Tracker'!$D$5:$D$149,$A357,'Session Tracker'!$F$5:$F$149,"Next week",'Session Tracker'!$G$5:$G$149,"Fri"))</f>
        <v>0</v>
      </c>
      <c r="M357" s="52" t="n">
        <f aca="false">IF($E357="Per class",$D357*COUNTIFS('Session Tracker'!$D$5:$D$149,$A357,'Session Tracker'!$F$5:$F$149,"Next week",'Session Tracker'!$G$5:$G$149,""),$D357*SUMIFS('Session Tracker'!$J$5:$J$149,'Session Tracker'!$D$5:$D$149,$A357,'Session Tracker'!$F$5:$F$149,"Next week",'Session Tracker'!$G$5:$G$149,""))</f>
        <v>0</v>
      </c>
    </row>
    <row r="358" customFormat="false" ht="15" hidden="false" customHeight="false" outlineLevel="0" collapsed="false">
      <c r="A358" s="75" t="s">
        <v>348</v>
      </c>
      <c r="B358" s="34" t="s">
        <v>409</v>
      </c>
      <c r="C358" s="34" t="s">
        <v>533</v>
      </c>
      <c r="D358" s="32" t="n">
        <v>1</v>
      </c>
      <c r="E358" s="32" t="s">
        <v>14</v>
      </c>
      <c r="F358" s="32" t="s">
        <v>373</v>
      </c>
      <c r="G358" s="34"/>
      <c r="H358" s="52" t="n">
        <f aca="false">IF($E358="Per class",$D358*COUNTIFS('Session Tracker'!$D$5:$D$149,$A358,'Session Tracker'!$F$5:$F$149,"Next week",'Session Tracker'!$G$5:$G$149,"Mon"),$D358*SUMIFS('Session Tracker'!$J$5:$J$149,'Session Tracker'!$D$5:$D$149,$A358,'Session Tracker'!$F$5:$F$149,"Next week",'Session Tracker'!$G$5:$G$149,"Mon"))</f>
        <v>0</v>
      </c>
      <c r="I358" s="52" t="n">
        <f aca="false">IF($E358="Per class",$D358*COUNTIFS('Session Tracker'!$D$5:$D$149,$A358,'Session Tracker'!$F$5:$F$149,"Next week",'Session Tracker'!$G$5:$G$149,"Tue"),$D358*SUMIFS('Session Tracker'!$J$5:$J$149,'Session Tracker'!$D$5:$D$149,$A358,'Session Tracker'!$F$5:$F$149,"Next week",'Session Tracker'!$G$5:$G$149,"Tue"))</f>
        <v>0</v>
      </c>
      <c r="J358" s="52" t="n">
        <f aca="false">IF($E358="Per class",$D358*COUNTIFS('Session Tracker'!$D$5:$D$149,$A358,'Session Tracker'!$F$5:$F$149,"Next week",'Session Tracker'!$G$5:$G$149,"Wed"),$D358*SUMIFS('Session Tracker'!$J$5:$J$149,'Session Tracker'!$D$5:$D$149,$A358,'Session Tracker'!$F$5:$F$149,"Next week",'Session Tracker'!$G$5:$G$149,"Wed"))</f>
        <v>0</v>
      </c>
      <c r="K358" s="52" t="n">
        <f aca="false">IF($E358="Per class",$D358*COUNTIFS('Session Tracker'!$D$5:$D$149,$A358,'Session Tracker'!$F$5:$F$149,"Next week",'Session Tracker'!$G$5:$G$149,"Thu"),$D358*SUMIFS('Session Tracker'!$J$5:$J$149,'Session Tracker'!$D$5:$D$149,$A358,'Session Tracker'!$F$5:$F$149,"Next week",'Session Tracker'!$G$5:$G$149,"Thu"))</f>
        <v>0</v>
      </c>
      <c r="L358" s="52" t="n">
        <f aca="false">IF($E358="Per class",$D358*COUNTIFS('Session Tracker'!$D$5:$D$149,$A358,'Session Tracker'!$F$5:$F$149,"Next week",'Session Tracker'!$G$5:$G$149,"Fri"),$D358*SUMIFS('Session Tracker'!$J$5:$J$149,'Session Tracker'!$D$5:$D$149,$A358,'Session Tracker'!$F$5:$F$149,"Next week",'Session Tracker'!$G$5:$G$149,"Fri"))</f>
        <v>0</v>
      </c>
      <c r="M358" s="52" t="n">
        <f aca="false">IF($E358="Per class",$D358*COUNTIFS('Session Tracker'!$D$5:$D$149,$A358,'Session Tracker'!$F$5:$F$149,"Next week",'Session Tracker'!$G$5:$G$149,""),$D358*SUMIFS('Session Tracker'!$J$5:$J$149,'Session Tracker'!$D$5:$D$149,$A358,'Session Tracker'!$F$5:$F$149,"Next week",'Session Tracker'!$G$5:$G$149,""))</f>
        <v>0</v>
      </c>
    </row>
    <row r="359" customFormat="false" ht="15" hidden="false" customHeight="false" outlineLevel="0" collapsed="false">
      <c r="A359" s="75" t="s">
        <v>348</v>
      </c>
      <c r="B359" s="34" t="s">
        <v>379</v>
      </c>
      <c r="C359" s="34" t="s">
        <v>395</v>
      </c>
      <c r="D359" s="32" t="n">
        <v>12</v>
      </c>
      <c r="E359" s="32" t="s">
        <v>14</v>
      </c>
      <c r="F359" s="32" t="s">
        <v>368</v>
      </c>
      <c r="G359" s="34"/>
      <c r="H359" s="52" t="n">
        <f aca="false">IF($E359="Per class",$D359*COUNTIFS('Session Tracker'!$D$5:$D$149,$A359,'Session Tracker'!$F$5:$F$149,"Next week",'Session Tracker'!$G$5:$G$149,"Mon"),$D359*SUMIFS('Session Tracker'!$J$5:$J$149,'Session Tracker'!$D$5:$D$149,$A359,'Session Tracker'!$F$5:$F$149,"Next week",'Session Tracker'!$G$5:$G$149,"Mon"))</f>
        <v>0</v>
      </c>
      <c r="I359" s="52" t="n">
        <f aca="false">IF($E359="Per class",$D359*COUNTIFS('Session Tracker'!$D$5:$D$149,$A359,'Session Tracker'!$F$5:$F$149,"Next week",'Session Tracker'!$G$5:$G$149,"Tue"),$D359*SUMIFS('Session Tracker'!$J$5:$J$149,'Session Tracker'!$D$5:$D$149,$A359,'Session Tracker'!$F$5:$F$149,"Next week",'Session Tracker'!$G$5:$G$149,"Tue"))</f>
        <v>0</v>
      </c>
      <c r="J359" s="52" t="n">
        <f aca="false">IF($E359="Per class",$D359*COUNTIFS('Session Tracker'!$D$5:$D$149,$A359,'Session Tracker'!$F$5:$F$149,"Next week",'Session Tracker'!$G$5:$G$149,"Wed"),$D359*SUMIFS('Session Tracker'!$J$5:$J$149,'Session Tracker'!$D$5:$D$149,$A359,'Session Tracker'!$F$5:$F$149,"Next week",'Session Tracker'!$G$5:$G$149,"Wed"))</f>
        <v>0</v>
      </c>
      <c r="K359" s="52" t="n">
        <f aca="false">IF($E359="Per class",$D359*COUNTIFS('Session Tracker'!$D$5:$D$149,$A359,'Session Tracker'!$F$5:$F$149,"Next week",'Session Tracker'!$G$5:$G$149,"Thu"),$D359*SUMIFS('Session Tracker'!$J$5:$J$149,'Session Tracker'!$D$5:$D$149,$A359,'Session Tracker'!$F$5:$F$149,"Next week",'Session Tracker'!$G$5:$G$149,"Thu"))</f>
        <v>0</v>
      </c>
      <c r="L359" s="52" t="n">
        <f aca="false">IF($E359="Per class",$D359*COUNTIFS('Session Tracker'!$D$5:$D$149,$A359,'Session Tracker'!$F$5:$F$149,"Next week",'Session Tracker'!$G$5:$G$149,"Fri"),$D359*SUMIFS('Session Tracker'!$J$5:$J$149,'Session Tracker'!$D$5:$D$149,$A359,'Session Tracker'!$F$5:$F$149,"Next week",'Session Tracker'!$G$5:$G$149,"Fri"))</f>
        <v>0</v>
      </c>
      <c r="M359" s="52" t="n">
        <f aca="false">IF($E359="Per class",$D359*COUNTIFS('Session Tracker'!$D$5:$D$149,$A359,'Session Tracker'!$F$5:$F$149,"Next week",'Session Tracker'!$G$5:$G$149,""),$D359*SUMIFS('Session Tracker'!$J$5:$J$149,'Session Tracker'!$D$5:$D$149,$A359,'Session Tracker'!$F$5:$F$149,"Next week",'Session Tracker'!$G$5:$G$149,""))</f>
        <v>0</v>
      </c>
    </row>
    <row r="360" customFormat="false" ht="15" hidden="false" customHeight="false" outlineLevel="0" collapsed="false">
      <c r="A360" s="75" t="s">
        <v>348</v>
      </c>
      <c r="B360" s="34" t="s">
        <v>382</v>
      </c>
      <c r="C360" s="34" t="s">
        <v>383</v>
      </c>
      <c r="D360" s="32" t="n">
        <v>1</v>
      </c>
      <c r="E360" s="32" t="s">
        <v>14</v>
      </c>
      <c r="F360" s="32" t="s">
        <v>368</v>
      </c>
      <c r="G360" s="34"/>
      <c r="H360" s="52" t="n">
        <f aca="false">IF($E360="Per class",$D360*COUNTIFS('Session Tracker'!$D$5:$D$149,$A360,'Session Tracker'!$F$5:$F$149,"Next week",'Session Tracker'!$G$5:$G$149,"Mon"),$D360*SUMIFS('Session Tracker'!$J$5:$J$149,'Session Tracker'!$D$5:$D$149,$A360,'Session Tracker'!$F$5:$F$149,"Next week",'Session Tracker'!$G$5:$G$149,"Mon"))</f>
        <v>0</v>
      </c>
      <c r="I360" s="52" t="n">
        <f aca="false">IF($E360="Per class",$D360*COUNTIFS('Session Tracker'!$D$5:$D$149,$A360,'Session Tracker'!$F$5:$F$149,"Next week",'Session Tracker'!$G$5:$G$149,"Tue"),$D360*SUMIFS('Session Tracker'!$J$5:$J$149,'Session Tracker'!$D$5:$D$149,$A360,'Session Tracker'!$F$5:$F$149,"Next week",'Session Tracker'!$G$5:$G$149,"Tue"))</f>
        <v>0</v>
      </c>
      <c r="J360" s="52" t="n">
        <f aca="false">IF($E360="Per class",$D360*COUNTIFS('Session Tracker'!$D$5:$D$149,$A360,'Session Tracker'!$F$5:$F$149,"Next week",'Session Tracker'!$G$5:$G$149,"Wed"),$D360*SUMIFS('Session Tracker'!$J$5:$J$149,'Session Tracker'!$D$5:$D$149,$A360,'Session Tracker'!$F$5:$F$149,"Next week",'Session Tracker'!$G$5:$G$149,"Wed"))</f>
        <v>0</v>
      </c>
      <c r="K360" s="52" t="n">
        <f aca="false">IF($E360="Per class",$D360*COUNTIFS('Session Tracker'!$D$5:$D$149,$A360,'Session Tracker'!$F$5:$F$149,"Next week",'Session Tracker'!$G$5:$G$149,"Thu"),$D360*SUMIFS('Session Tracker'!$J$5:$J$149,'Session Tracker'!$D$5:$D$149,$A360,'Session Tracker'!$F$5:$F$149,"Next week",'Session Tracker'!$G$5:$G$149,"Thu"))</f>
        <v>0</v>
      </c>
      <c r="L360" s="52" t="n">
        <f aca="false">IF($E360="Per class",$D360*COUNTIFS('Session Tracker'!$D$5:$D$149,$A360,'Session Tracker'!$F$5:$F$149,"Next week",'Session Tracker'!$G$5:$G$149,"Fri"),$D360*SUMIFS('Session Tracker'!$J$5:$J$149,'Session Tracker'!$D$5:$D$149,$A360,'Session Tracker'!$F$5:$F$149,"Next week",'Session Tracker'!$G$5:$G$149,"Fri"))</f>
        <v>0</v>
      </c>
      <c r="M360" s="52" t="n">
        <f aca="false">IF($E360="Per class",$D360*COUNTIFS('Session Tracker'!$D$5:$D$149,$A360,'Session Tracker'!$F$5:$F$149,"Next week",'Session Tracker'!$G$5:$G$149,""),$D360*SUMIFS('Session Tracker'!$J$5:$J$149,'Session Tracker'!$D$5:$D$149,$A360,'Session Tracker'!$F$5:$F$149,"Next week",'Session Tracker'!$G$5:$G$149,""))</f>
        <v>0</v>
      </c>
    </row>
    <row r="361" customFormat="false" ht="15" hidden="false" customHeight="false" outlineLevel="0" collapsed="false">
      <c r="A361" s="75" t="s">
        <v>348</v>
      </c>
      <c r="B361" s="34" t="s">
        <v>371</v>
      </c>
      <c r="C361" s="34" t="s">
        <v>372</v>
      </c>
      <c r="D361" s="32" t="n">
        <v>1</v>
      </c>
      <c r="E361" s="32" t="s">
        <v>14</v>
      </c>
      <c r="F361" s="32" t="s">
        <v>373</v>
      </c>
      <c r="G361" s="34" t="s">
        <v>389</v>
      </c>
      <c r="H361" s="52" t="n">
        <f aca="false">IF($E361="Per class",$D361*COUNTIFS('Session Tracker'!$D$5:$D$149,$A361,'Session Tracker'!$F$5:$F$149,"Next week",'Session Tracker'!$G$5:$G$149,"Mon"),$D361*SUMIFS('Session Tracker'!$J$5:$J$149,'Session Tracker'!$D$5:$D$149,$A361,'Session Tracker'!$F$5:$F$149,"Next week",'Session Tracker'!$G$5:$G$149,"Mon"))</f>
        <v>0</v>
      </c>
      <c r="I361" s="52" t="n">
        <f aca="false">IF($E361="Per class",$D361*COUNTIFS('Session Tracker'!$D$5:$D$149,$A361,'Session Tracker'!$F$5:$F$149,"Next week",'Session Tracker'!$G$5:$G$149,"Tue"),$D361*SUMIFS('Session Tracker'!$J$5:$J$149,'Session Tracker'!$D$5:$D$149,$A361,'Session Tracker'!$F$5:$F$149,"Next week",'Session Tracker'!$G$5:$G$149,"Tue"))</f>
        <v>0</v>
      </c>
      <c r="J361" s="52" t="n">
        <f aca="false">IF($E361="Per class",$D361*COUNTIFS('Session Tracker'!$D$5:$D$149,$A361,'Session Tracker'!$F$5:$F$149,"Next week",'Session Tracker'!$G$5:$G$149,"Wed"),$D361*SUMIFS('Session Tracker'!$J$5:$J$149,'Session Tracker'!$D$5:$D$149,$A361,'Session Tracker'!$F$5:$F$149,"Next week",'Session Tracker'!$G$5:$G$149,"Wed"))</f>
        <v>0</v>
      </c>
      <c r="K361" s="52" t="n">
        <f aca="false">IF($E361="Per class",$D361*COUNTIFS('Session Tracker'!$D$5:$D$149,$A361,'Session Tracker'!$F$5:$F$149,"Next week",'Session Tracker'!$G$5:$G$149,"Thu"),$D361*SUMIFS('Session Tracker'!$J$5:$J$149,'Session Tracker'!$D$5:$D$149,$A361,'Session Tracker'!$F$5:$F$149,"Next week",'Session Tracker'!$G$5:$G$149,"Thu"))</f>
        <v>0</v>
      </c>
      <c r="L361" s="52" t="n">
        <f aca="false">IF($E361="Per class",$D361*COUNTIFS('Session Tracker'!$D$5:$D$149,$A361,'Session Tracker'!$F$5:$F$149,"Next week",'Session Tracker'!$G$5:$G$149,"Fri"),$D361*SUMIFS('Session Tracker'!$J$5:$J$149,'Session Tracker'!$D$5:$D$149,$A361,'Session Tracker'!$F$5:$F$149,"Next week",'Session Tracker'!$G$5:$G$149,"Fri"))</f>
        <v>0</v>
      </c>
      <c r="M361" s="52" t="n">
        <f aca="false">IF($E361="Per class",$D361*COUNTIFS('Session Tracker'!$D$5:$D$149,$A361,'Session Tracker'!$F$5:$F$149,"Next week",'Session Tracker'!$G$5:$G$149,""),$D361*SUMIFS('Session Tracker'!$J$5:$J$149,'Session Tracker'!$D$5:$D$149,$A361,'Session Tracker'!$F$5:$F$149,"Next week",'Session Tracker'!$G$5:$G$149,""))</f>
        <v>0</v>
      </c>
    </row>
    <row r="362" customFormat="false" ht="15" hidden="false" customHeight="false" outlineLevel="0" collapsed="false">
      <c r="A362" s="75" t="s">
        <v>348</v>
      </c>
      <c r="B362" s="34" t="s">
        <v>375</v>
      </c>
      <c r="C362" s="34" t="s">
        <v>376</v>
      </c>
      <c r="D362" s="32" t="n">
        <v>1</v>
      </c>
      <c r="E362" s="32" t="s">
        <v>14</v>
      </c>
      <c r="F362" s="32" t="s">
        <v>373</v>
      </c>
      <c r="G362" s="34" t="s">
        <v>442</v>
      </c>
      <c r="H362" s="52" t="n">
        <f aca="false">IF($E362="Per class",$D362*COUNTIFS('Session Tracker'!$D$5:$D$149,$A362,'Session Tracker'!$F$5:$F$149,"Next week",'Session Tracker'!$G$5:$G$149,"Mon"),$D362*SUMIFS('Session Tracker'!$J$5:$J$149,'Session Tracker'!$D$5:$D$149,$A362,'Session Tracker'!$F$5:$F$149,"Next week",'Session Tracker'!$G$5:$G$149,"Mon"))</f>
        <v>0</v>
      </c>
      <c r="I362" s="52" t="n">
        <f aca="false">IF($E362="Per class",$D362*COUNTIFS('Session Tracker'!$D$5:$D$149,$A362,'Session Tracker'!$F$5:$F$149,"Next week",'Session Tracker'!$G$5:$G$149,"Tue"),$D362*SUMIFS('Session Tracker'!$J$5:$J$149,'Session Tracker'!$D$5:$D$149,$A362,'Session Tracker'!$F$5:$F$149,"Next week",'Session Tracker'!$G$5:$G$149,"Tue"))</f>
        <v>0</v>
      </c>
      <c r="J362" s="52" t="n">
        <f aca="false">IF($E362="Per class",$D362*COUNTIFS('Session Tracker'!$D$5:$D$149,$A362,'Session Tracker'!$F$5:$F$149,"Next week",'Session Tracker'!$G$5:$G$149,"Wed"),$D362*SUMIFS('Session Tracker'!$J$5:$J$149,'Session Tracker'!$D$5:$D$149,$A362,'Session Tracker'!$F$5:$F$149,"Next week",'Session Tracker'!$G$5:$G$149,"Wed"))</f>
        <v>0</v>
      </c>
      <c r="K362" s="52" t="n">
        <f aca="false">IF($E362="Per class",$D362*COUNTIFS('Session Tracker'!$D$5:$D$149,$A362,'Session Tracker'!$F$5:$F$149,"Next week",'Session Tracker'!$G$5:$G$149,"Thu"),$D362*SUMIFS('Session Tracker'!$J$5:$J$149,'Session Tracker'!$D$5:$D$149,$A362,'Session Tracker'!$F$5:$F$149,"Next week",'Session Tracker'!$G$5:$G$149,"Thu"))</f>
        <v>0</v>
      </c>
      <c r="L362" s="52" t="n">
        <f aca="false">IF($E362="Per class",$D362*COUNTIFS('Session Tracker'!$D$5:$D$149,$A362,'Session Tracker'!$F$5:$F$149,"Next week",'Session Tracker'!$G$5:$G$149,"Fri"),$D362*SUMIFS('Session Tracker'!$J$5:$J$149,'Session Tracker'!$D$5:$D$149,$A362,'Session Tracker'!$F$5:$F$149,"Next week",'Session Tracker'!$G$5:$G$149,"Fri"))</f>
        <v>0</v>
      </c>
      <c r="M362" s="52" t="n">
        <f aca="false">IF($E362="Per class",$D362*COUNTIFS('Session Tracker'!$D$5:$D$149,$A362,'Session Tracker'!$F$5:$F$149,"Next week",'Session Tracker'!$G$5:$G$149,""),$D362*SUMIFS('Session Tracker'!$J$5:$J$149,'Session Tracker'!$D$5:$D$149,$A362,'Session Tracker'!$F$5:$F$149,"Next week",'Session Tracker'!$G$5:$G$149,""))</f>
        <v>0</v>
      </c>
    </row>
    <row r="363" customFormat="false" ht="15" hidden="false" customHeight="false" outlineLevel="0" collapsed="false">
      <c r="A363" s="53" t="s">
        <v>348</v>
      </c>
      <c r="B363" s="54"/>
      <c r="C363" s="54"/>
      <c r="D363" s="54"/>
      <c r="E363" s="54"/>
      <c r="F363" s="54"/>
      <c r="G363" s="54"/>
      <c r="H363" s="52" t="n">
        <f aca="false">IF($E363="Per class",$D363*COUNTIFS('Session Tracker'!$D$5:$D$149,$A363,'Session Tracker'!$F$5:$F$149,"Next week",'Session Tracker'!$G$5:$G$149,"Mon"),$D363*SUMIFS('Session Tracker'!$J$5:$J$149,'Session Tracker'!$D$5:$D$149,$A363,'Session Tracker'!$F$5:$F$149,"Next week",'Session Tracker'!$G$5:$G$149,"Mon"))</f>
        <v>0</v>
      </c>
      <c r="I363" s="52" t="n">
        <f aca="false">IF($E363="Per class",$D363*COUNTIFS('Session Tracker'!$D$5:$D$149,$A363,'Session Tracker'!$F$5:$F$149,"Next week",'Session Tracker'!$G$5:$G$149,"Tue"),$D363*SUMIFS('Session Tracker'!$J$5:$J$149,'Session Tracker'!$D$5:$D$149,$A363,'Session Tracker'!$F$5:$F$149,"Next week",'Session Tracker'!$G$5:$G$149,"Tue"))</f>
        <v>0</v>
      </c>
      <c r="J363" s="52" t="n">
        <f aca="false">IF($E363="Per class",$D363*COUNTIFS('Session Tracker'!$D$5:$D$149,$A363,'Session Tracker'!$F$5:$F$149,"Next week",'Session Tracker'!$G$5:$G$149,"Wed"),$D363*SUMIFS('Session Tracker'!$J$5:$J$149,'Session Tracker'!$D$5:$D$149,$A363,'Session Tracker'!$F$5:$F$149,"Next week",'Session Tracker'!$G$5:$G$149,"Wed"))</f>
        <v>0</v>
      </c>
      <c r="K363" s="52" t="n">
        <f aca="false">IF($E363="Per class",$D363*COUNTIFS('Session Tracker'!$D$5:$D$149,$A363,'Session Tracker'!$F$5:$F$149,"Next week",'Session Tracker'!$G$5:$G$149,"Thu"),$D363*SUMIFS('Session Tracker'!$J$5:$J$149,'Session Tracker'!$D$5:$D$149,$A363,'Session Tracker'!$F$5:$F$149,"Next week",'Session Tracker'!$G$5:$G$149,"Thu"))</f>
        <v>0</v>
      </c>
      <c r="L363" s="52" t="n">
        <f aca="false">IF($E363="Per class",$D363*COUNTIFS('Session Tracker'!$D$5:$D$149,$A363,'Session Tracker'!$F$5:$F$149,"Next week",'Session Tracker'!$G$5:$G$149,"Fri"),$D363*SUMIFS('Session Tracker'!$J$5:$J$149,'Session Tracker'!$D$5:$D$149,$A363,'Session Tracker'!$F$5:$F$149,"Next week",'Session Tracker'!$G$5:$G$149,"Fri"))</f>
        <v>0</v>
      </c>
      <c r="M363" s="52" t="n">
        <f aca="false">IF($E363="Per class",$D363*COUNTIFS('Session Tracker'!$D$5:$D$149,$A363,'Session Tracker'!$F$5:$F$149,"Next week",'Session Tracker'!$G$5:$G$149,""),$D363*SUMIFS('Session Tracker'!$J$5:$J$149,'Session Tracker'!$D$5:$D$149,$A363,'Session Tracker'!$F$5:$F$149,"Next week",'Session Tracker'!$G$5:$G$149,""))</f>
        <v>0</v>
      </c>
    </row>
    <row r="364" customFormat="false" ht="15" hidden="false" customHeight="false" outlineLevel="0" collapsed="false">
      <c r="A364" s="53" t="s">
        <v>348</v>
      </c>
      <c r="B364" s="54"/>
      <c r="C364" s="54"/>
      <c r="D364" s="54"/>
      <c r="E364" s="54"/>
      <c r="F364" s="54"/>
      <c r="G364" s="54"/>
      <c r="H364" s="52" t="n">
        <f aca="false">IF($E364="Per class",$D364*COUNTIFS('Session Tracker'!$D$5:$D$149,$A364,'Session Tracker'!$F$5:$F$149,"Next week",'Session Tracker'!$G$5:$G$149,"Mon"),$D364*SUMIFS('Session Tracker'!$J$5:$J$149,'Session Tracker'!$D$5:$D$149,$A364,'Session Tracker'!$F$5:$F$149,"Next week",'Session Tracker'!$G$5:$G$149,"Mon"))</f>
        <v>0</v>
      </c>
      <c r="I364" s="52" t="n">
        <f aca="false">IF($E364="Per class",$D364*COUNTIFS('Session Tracker'!$D$5:$D$149,$A364,'Session Tracker'!$F$5:$F$149,"Next week",'Session Tracker'!$G$5:$G$149,"Tue"),$D364*SUMIFS('Session Tracker'!$J$5:$J$149,'Session Tracker'!$D$5:$D$149,$A364,'Session Tracker'!$F$5:$F$149,"Next week",'Session Tracker'!$G$5:$G$149,"Tue"))</f>
        <v>0</v>
      </c>
      <c r="J364" s="52" t="n">
        <f aca="false">IF($E364="Per class",$D364*COUNTIFS('Session Tracker'!$D$5:$D$149,$A364,'Session Tracker'!$F$5:$F$149,"Next week",'Session Tracker'!$G$5:$G$149,"Wed"),$D364*SUMIFS('Session Tracker'!$J$5:$J$149,'Session Tracker'!$D$5:$D$149,$A364,'Session Tracker'!$F$5:$F$149,"Next week",'Session Tracker'!$G$5:$G$149,"Wed"))</f>
        <v>0</v>
      </c>
      <c r="K364" s="52" t="n">
        <f aca="false">IF($E364="Per class",$D364*COUNTIFS('Session Tracker'!$D$5:$D$149,$A364,'Session Tracker'!$F$5:$F$149,"Next week",'Session Tracker'!$G$5:$G$149,"Thu"),$D364*SUMIFS('Session Tracker'!$J$5:$J$149,'Session Tracker'!$D$5:$D$149,$A364,'Session Tracker'!$F$5:$F$149,"Next week",'Session Tracker'!$G$5:$G$149,"Thu"))</f>
        <v>0</v>
      </c>
      <c r="L364" s="52" t="n">
        <f aca="false">IF($E364="Per class",$D364*COUNTIFS('Session Tracker'!$D$5:$D$149,$A364,'Session Tracker'!$F$5:$F$149,"Next week",'Session Tracker'!$G$5:$G$149,"Fri"),$D364*SUMIFS('Session Tracker'!$J$5:$J$149,'Session Tracker'!$D$5:$D$149,$A364,'Session Tracker'!$F$5:$F$149,"Next week",'Session Tracker'!$G$5:$G$149,"Fri"))</f>
        <v>0</v>
      </c>
      <c r="M364" s="52" t="n">
        <f aca="false">IF($E364="Per class",$D364*COUNTIFS('Session Tracker'!$D$5:$D$149,$A364,'Session Tracker'!$F$5:$F$149,"Next week",'Session Tracker'!$G$5:$G$149,""),$D364*SUMIFS('Session Tracker'!$J$5:$J$149,'Session Tracker'!$D$5:$D$149,$A364,'Session Tracker'!$F$5:$F$149,"Next week",'Session Tracker'!$G$5:$G$149,""))</f>
        <v>0</v>
      </c>
    </row>
    <row r="366" customFormat="false" ht="19.5" hidden="false" customHeight="true" outlineLevel="0" collapsed="false">
      <c r="A366" s="71" t="s">
        <v>350</v>
      </c>
      <c r="B366" s="72" t="s">
        <v>699</v>
      </c>
      <c r="C366" s="72"/>
      <c r="D366" s="72"/>
      <c r="E366" s="72"/>
      <c r="F366" s="73" t="str">
        <f aca="false">"Status: "&amp;'Session Tracker'!F146&amp;IF('Session Tracker'!G146&lt;&gt;""," ("&amp;'Session Tracker'!G146&amp;")","")</f>
        <v>Status: Not started</v>
      </c>
      <c r="G366" s="73"/>
      <c r="H366" s="74"/>
      <c r="I366" s="74"/>
      <c r="J366" s="74"/>
      <c r="K366" s="74"/>
      <c r="L366" s="74"/>
      <c r="M366" s="74"/>
    </row>
    <row r="367" customFormat="false" ht="15" hidden="false" customHeight="false" outlineLevel="0" collapsed="false">
      <c r="A367" s="75" t="s">
        <v>350</v>
      </c>
      <c r="B367" s="34" t="s">
        <v>382</v>
      </c>
      <c r="C367" s="34" t="s">
        <v>383</v>
      </c>
      <c r="D367" s="32" t="n">
        <v>1</v>
      </c>
      <c r="E367" s="32" t="s">
        <v>14</v>
      </c>
      <c r="F367" s="32" t="s">
        <v>368</v>
      </c>
      <c r="G367" s="34"/>
      <c r="H367" s="52" t="n">
        <f aca="false">IF($E367="Per class",$D367*COUNTIFS('Session Tracker'!$D$5:$D$149,$A367,'Session Tracker'!$F$5:$F$149,"Next week",'Session Tracker'!$G$5:$G$149,"Mon"),$D367*SUMIFS('Session Tracker'!$J$5:$J$149,'Session Tracker'!$D$5:$D$149,$A367,'Session Tracker'!$F$5:$F$149,"Next week",'Session Tracker'!$G$5:$G$149,"Mon"))</f>
        <v>0</v>
      </c>
      <c r="I367" s="52" t="n">
        <f aca="false">IF($E367="Per class",$D367*COUNTIFS('Session Tracker'!$D$5:$D$149,$A367,'Session Tracker'!$F$5:$F$149,"Next week",'Session Tracker'!$G$5:$G$149,"Tue"),$D367*SUMIFS('Session Tracker'!$J$5:$J$149,'Session Tracker'!$D$5:$D$149,$A367,'Session Tracker'!$F$5:$F$149,"Next week",'Session Tracker'!$G$5:$G$149,"Tue"))</f>
        <v>0</v>
      </c>
      <c r="J367" s="52" t="n">
        <f aca="false">IF($E367="Per class",$D367*COUNTIFS('Session Tracker'!$D$5:$D$149,$A367,'Session Tracker'!$F$5:$F$149,"Next week",'Session Tracker'!$G$5:$G$149,"Wed"),$D367*SUMIFS('Session Tracker'!$J$5:$J$149,'Session Tracker'!$D$5:$D$149,$A367,'Session Tracker'!$F$5:$F$149,"Next week",'Session Tracker'!$G$5:$G$149,"Wed"))</f>
        <v>0</v>
      </c>
      <c r="K367" s="52" t="n">
        <f aca="false">IF($E367="Per class",$D367*COUNTIFS('Session Tracker'!$D$5:$D$149,$A367,'Session Tracker'!$F$5:$F$149,"Next week",'Session Tracker'!$G$5:$G$149,"Thu"),$D367*SUMIFS('Session Tracker'!$J$5:$J$149,'Session Tracker'!$D$5:$D$149,$A367,'Session Tracker'!$F$5:$F$149,"Next week",'Session Tracker'!$G$5:$G$149,"Thu"))</f>
        <v>0</v>
      </c>
      <c r="L367" s="52" t="n">
        <f aca="false">IF($E367="Per class",$D367*COUNTIFS('Session Tracker'!$D$5:$D$149,$A367,'Session Tracker'!$F$5:$F$149,"Next week",'Session Tracker'!$G$5:$G$149,"Fri"),$D367*SUMIFS('Session Tracker'!$J$5:$J$149,'Session Tracker'!$D$5:$D$149,$A367,'Session Tracker'!$F$5:$F$149,"Next week",'Session Tracker'!$G$5:$G$149,"Fri"))</f>
        <v>0</v>
      </c>
      <c r="M367" s="52" t="n">
        <f aca="false">IF($E367="Per class",$D367*COUNTIFS('Session Tracker'!$D$5:$D$149,$A367,'Session Tracker'!$F$5:$F$149,"Next week",'Session Tracker'!$G$5:$G$149,""),$D367*SUMIFS('Session Tracker'!$J$5:$J$149,'Session Tracker'!$D$5:$D$149,$A367,'Session Tracker'!$F$5:$F$149,"Next week",'Session Tracker'!$G$5:$G$149,""))</f>
        <v>0</v>
      </c>
    </row>
    <row r="368" customFormat="false" ht="15" hidden="false" customHeight="false" outlineLevel="0" collapsed="false">
      <c r="A368" s="53" t="s">
        <v>350</v>
      </c>
      <c r="B368" s="54"/>
      <c r="C368" s="54"/>
      <c r="D368" s="54"/>
      <c r="E368" s="54"/>
      <c r="F368" s="54"/>
      <c r="G368" s="54"/>
      <c r="H368" s="52" t="n">
        <f aca="false">IF($E368="Per class",$D368*COUNTIFS('Session Tracker'!$D$5:$D$149,$A368,'Session Tracker'!$F$5:$F$149,"Next week",'Session Tracker'!$G$5:$G$149,"Mon"),$D368*SUMIFS('Session Tracker'!$J$5:$J$149,'Session Tracker'!$D$5:$D$149,$A368,'Session Tracker'!$F$5:$F$149,"Next week",'Session Tracker'!$G$5:$G$149,"Mon"))</f>
        <v>0</v>
      </c>
      <c r="I368" s="52" t="n">
        <f aca="false">IF($E368="Per class",$D368*COUNTIFS('Session Tracker'!$D$5:$D$149,$A368,'Session Tracker'!$F$5:$F$149,"Next week",'Session Tracker'!$G$5:$G$149,"Tue"),$D368*SUMIFS('Session Tracker'!$J$5:$J$149,'Session Tracker'!$D$5:$D$149,$A368,'Session Tracker'!$F$5:$F$149,"Next week",'Session Tracker'!$G$5:$G$149,"Tue"))</f>
        <v>0</v>
      </c>
      <c r="J368" s="52" t="n">
        <f aca="false">IF($E368="Per class",$D368*COUNTIFS('Session Tracker'!$D$5:$D$149,$A368,'Session Tracker'!$F$5:$F$149,"Next week",'Session Tracker'!$G$5:$G$149,"Wed"),$D368*SUMIFS('Session Tracker'!$J$5:$J$149,'Session Tracker'!$D$5:$D$149,$A368,'Session Tracker'!$F$5:$F$149,"Next week",'Session Tracker'!$G$5:$G$149,"Wed"))</f>
        <v>0</v>
      </c>
      <c r="K368" s="52" t="n">
        <f aca="false">IF($E368="Per class",$D368*COUNTIFS('Session Tracker'!$D$5:$D$149,$A368,'Session Tracker'!$F$5:$F$149,"Next week",'Session Tracker'!$G$5:$G$149,"Thu"),$D368*SUMIFS('Session Tracker'!$J$5:$J$149,'Session Tracker'!$D$5:$D$149,$A368,'Session Tracker'!$F$5:$F$149,"Next week",'Session Tracker'!$G$5:$G$149,"Thu"))</f>
        <v>0</v>
      </c>
      <c r="L368" s="52" t="n">
        <f aca="false">IF($E368="Per class",$D368*COUNTIFS('Session Tracker'!$D$5:$D$149,$A368,'Session Tracker'!$F$5:$F$149,"Next week",'Session Tracker'!$G$5:$G$149,"Fri"),$D368*SUMIFS('Session Tracker'!$J$5:$J$149,'Session Tracker'!$D$5:$D$149,$A368,'Session Tracker'!$F$5:$F$149,"Next week",'Session Tracker'!$G$5:$G$149,"Fri"))</f>
        <v>0</v>
      </c>
      <c r="M368" s="52" t="n">
        <f aca="false">IF($E368="Per class",$D368*COUNTIFS('Session Tracker'!$D$5:$D$149,$A368,'Session Tracker'!$F$5:$F$149,"Next week",'Session Tracker'!$G$5:$G$149,""),$D368*SUMIFS('Session Tracker'!$J$5:$J$149,'Session Tracker'!$D$5:$D$149,$A368,'Session Tracker'!$F$5:$F$149,"Next week",'Session Tracker'!$G$5:$G$149,""))</f>
        <v>0</v>
      </c>
    </row>
    <row r="369" customFormat="false" ht="15" hidden="false" customHeight="false" outlineLevel="0" collapsed="false">
      <c r="A369" s="53" t="s">
        <v>350</v>
      </c>
      <c r="B369" s="54"/>
      <c r="C369" s="54"/>
      <c r="D369" s="54"/>
      <c r="E369" s="54"/>
      <c r="F369" s="54"/>
      <c r="G369" s="54"/>
      <c r="H369" s="52" t="n">
        <f aca="false">IF($E369="Per class",$D369*COUNTIFS('Session Tracker'!$D$5:$D$149,$A369,'Session Tracker'!$F$5:$F$149,"Next week",'Session Tracker'!$G$5:$G$149,"Mon"),$D369*SUMIFS('Session Tracker'!$J$5:$J$149,'Session Tracker'!$D$5:$D$149,$A369,'Session Tracker'!$F$5:$F$149,"Next week",'Session Tracker'!$G$5:$G$149,"Mon"))</f>
        <v>0</v>
      </c>
      <c r="I369" s="52" t="n">
        <f aca="false">IF($E369="Per class",$D369*COUNTIFS('Session Tracker'!$D$5:$D$149,$A369,'Session Tracker'!$F$5:$F$149,"Next week",'Session Tracker'!$G$5:$G$149,"Tue"),$D369*SUMIFS('Session Tracker'!$J$5:$J$149,'Session Tracker'!$D$5:$D$149,$A369,'Session Tracker'!$F$5:$F$149,"Next week",'Session Tracker'!$G$5:$G$149,"Tue"))</f>
        <v>0</v>
      </c>
      <c r="J369" s="52" t="n">
        <f aca="false">IF($E369="Per class",$D369*COUNTIFS('Session Tracker'!$D$5:$D$149,$A369,'Session Tracker'!$F$5:$F$149,"Next week",'Session Tracker'!$G$5:$G$149,"Wed"),$D369*SUMIFS('Session Tracker'!$J$5:$J$149,'Session Tracker'!$D$5:$D$149,$A369,'Session Tracker'!$F$5:$F$149,"Next week",'Session Tracker'!$G$5:$G$149,"Wed"))</f>
        <v>0</v>
      </c>
      <c r="K369" s="52" t="n">
        <f aca="false">IF($E369="Per class",$D369*COUNTIFS('Session Tracker'!$D$5:$D$149,$A369,'Session Tracker'!$F$5:$F$149,"Next week",'Session Tracker'!$G$5:$G$149,"Thu"),$D369*SUMIFS('Session Tracker'!$J$5:$J$149,'Session Tracker'!$D$5:$D$149,$A369,'Session Tracker'!$F$5:$F$149,"Next week",'Session Tracker'!$G$5:$G$149,"Thu"))</f>
        <v>0</v>
      </c>
      <c r="L369" s="52" t="n">
        <f aca="false">IF($E369="Per class",$D369*COUNTIFS('Session Tracker'!$D$5:$D$149,$A369,'Session Tracker'!$F$5:$F$149,"Next week",'Session Tracker'!$G$5:$G$149,"Fri"),$D369*SUMIFS('Session Tracker'!$J$5:$J$149,'Session Tracker'!$D$5:$D$149,$A369,'Session Tracker'!$F$5:$F$149,"Next week",'Session Tracker'!$G$5:$G$149,"Fri"))</f>
        <v>0</v>
      </c>
      <c r="M369" s="52" t="n">
        <f aca="false">IF($E369="Per class",$D369*COUNTIFS('Session Tracker'!$D$5:$D$149,$A369,'Session Tracker'!$F$5:$F$149,"Next week",'Session Tracker'!$G$5:$G$149,""),$D369*SUMIFS('Session Tracker'!$J$5:$J$149,'Session Tracker'!$D$5:$D$149,$A369,'Session Tracker'!$F$5:$F$149,"Next week",'Session Tracker'!$G$5:$G$149,""))</f>
        <v>0</v>
      </c>
    </row>
    <row r="371" customFormat="false" ht="19.5" hidden="false" customHeight="true" outlineLevel="0" collapsed="false">
      <c r="A371" s="71" t="s">
        <v>352</v>
      </c>
      <c r="B371" s="72" t="s">
        <v>700</v>
      </c>
      <c r="C371" s="72"/>
      <c r="D371" s="72"/>
      <c r="E371" s="72"/>
      <c r="F371" s="73" t="str">
        <f aca="false">"Status: "&amp;'Session Tracker'!F147&amp;IF('Session Tracker'!G147&lt;&gt;""," ("&amp;'Session Tracker'!G147&amp;")","")</f>
        <v>Status: Not started</v>
      </c>
      <c r="G371" s="73"/>
      <c r="H371" s="74"/>
      <c r="I371" s="74"/>
      <c r="J371" s="74"/>
      <c r="K371" s="74"/>
      <c r="L371" s="74"/>
      <c r="M371" s="74"/>
    </row>
    <row r="372" customFormat="false" ht="15" hidden="false" customHeight="false" outlineLevel="0" collapsed="false">
      <c r="A372" s="75" t="s">
        <v>352</v>
      </c>
      <c r="B372" s="34" t="s">
        <v>382</v>
      </c>
      <c r="C372" s="34" t="s">
        <v>383</v>
      </c>
      <c r="D372" s="32" t="n">
        <v>1</v>
      </c>
      <c r="E372" s="32" t="s">
        <v>14</v>
      </c>
      <c r="F372" s="32" t="s">
        <v>368</v>
      </c>
      <c r="G372" s="34"/>
      <c r="H372" s="52" t="n">
        <f aca="false">IF($E372="Per class",$D372*COUNTIFS('Session Tracker'!$D$5:$D$149,$A372,'Session Tracker'!$F$5:$F$149,"Next week",'Session Tracker'!$G$5:$G$149,"Mon"),$D372*SUMIFS('Session Tracker'!$J$5:$J$149,'Session Tracker'!$D$5:$D$149,$A372,'Session Tracker'!$F$5:$F$149,"Next week",'Session Tracker'!$G$5:$G$149,"Mon"))</f>
        <v>0</v>
      </c>
      <c r="I372" s="52" t="n">
        <f aca="false">IF($E372="Per class",$D372*COUNTIFS('Session Tracker'!$D$5:$D$149,$A372,'Session Tracker'!$F$5:$F$149,"Next week",'Session Tracker'!$G$5:$G$149,"Tue"),$D372*SUMIFS('Session Tracker'!$J$5:$J$149,'Session Tracker'!$D$5:$D$149,$A372,'Session Tracker'!$F$5:$F$149,"Next week",'Session Tracker'!$G$5:$G$149,"Tue"))</f>
        <v>0</v>
      </c>
      <c r="J372" s="52" t="n">
        <f aca="false">IF($E372="Per class",$D372*COUNTIFS('Session Tracker'!$D$5:$D$149,$A372,'Session Tracker'!$F$5:$F$149,"Next week",'Session Tracker'!$G$5:$G$149,"Wed"),$D372*SUMIFS('Session Tracker'!$J$5:$J$149,'Session Tracker'!$D$5:$D$149,$A372,'Session Tracker'!$F$5:$F$149,"Next week",'Session Tracker'!$G$5:$G$149,"Wed"))</f>
        <v>0</v>
      </c>
      <c r="K372" s="52" t="n">
        <f aca="false">IF($E372="Per class",$D372*COUNTIFS('Session Tracker'!$D$5:$D$149,$A372,'Session Tracker'!$F$5:$F$149,"Next week",'Session Tracker'!$G$5:$G$149,"Thu"),$D372*SUMIFS('Session Tracker'!$J$5:$J$149,'Session Tracker'!$D$5:$D$149,$A372,'Session Tracker'!$F$5:$F$149,"Next week",'Session Tracker'!$G$5:$G$149,"Thu"))</f>
        <v>0</v>
      </c>
      <c r="L372" s="52" t="n">
        <f aca="false">IF($E372="Per class",$D372*COUNTIFS('Session Tracker'!$D$5:$D$149,$A372,'Session Tracker'!$F$5:$F$149,"Next week",'Session Tracker'!$G$5:$G$149,"Fri"),$D372*SUMIFS('Session Tracker'!$J$5:$J$149,'Session Tracker'!$D$5:$D$149,$A372,'Session Tracker'!$F$5:$F$149,"Next week",'Session Tracker'!$G$5:$G$149,"Fri"))</f>
        <v>0</v>
      </c>
      <c r="M372" s="52" t="n">
        <f aca="false">IF($E372="Per class",$D372*COUNTIFS('Session Tracker'!$D$5:$D$149,$A372,'Session Tracker'!$F$5:$F$149,"Next week",'Session Tracker'!$G$5:$G$149,""),$D372*SUMIFS('Session Tracker'!$J$5:$J$149,'Session Tracker'!$D$5:$D$149,$A372,'Session Tracker'!$F$5:$F$149,"Next week",'Session Tracker'!$G$5:$G$149,""))</f>
        <v>0</v>
      </c>
    </row>
    <row r="373" customFormat="false" ht="15" hidden="false" customHeight="false" outlineLevel="0" collapsed="false">
      <c r="A373" s="53" t="s">
        <v>352</v>
      </c>
      <c r="B373" s="54"/>
      <c r="C373" s="54"/>
      <c r="D373" s="54"/>
      <c r="E373" s="54"/>
      <c r="F373" s="54"/>
      <c r="G373" s="54"/>
      <c r="H373" s="52" t="n">
        <f aca="false">IF($E373="Per class",$D373*COUNTIFS('Session Tracker'!$D$5:$D$149,$A373,'Session Tracker'!$F$5:$F$149,"Next week",'Session Tracker'!$G$5:$G$149,"Mon"),$D373*SUMIFS('Session Tracker'!$J$5:$J$149,'Session Tracker'!$D$5:$D$149,$A373,'Session Tracker'!$F$5:$F$149,"Next week",'Session Tracker'!$G$5:$G$149,"Mon"))</f>
        <v>0</v>
      </c>
      <c r="I373" s="52" t="n">
        <f aca="false">IF($E373="Per class",$D373*COUNTIFS('Session Tracker'!$D$5:$D$149,$A373,'Session Tracker'!$F$5:$F$149,"Next week",'Session Tracker'!$G$5:$G$149,"Tue"),$D373*SUMIFS('Session Tracker'!$J$5:$J$149,'Session Tracker'!$D$5:$D$149,$A373,'Session Tracker'!$F$5:$F$149,"Next week",'Session Tracker'!$G$5:$G$149,"Tue"))</f>
        <v>0</v>
      </c>
      <c r="J373" s="52" t="n">
        <f aca="false">IF($E373="Per class",$D373*COUNTIFS('Session Tracker'!$D$5:$D$149,$A373,'Session Tracker'!$F$5:$F$149,"Next week",'Session Tracker'!$G$5:$G$149,"Wed"),$D373*SUMIFS('Session Tracker'!$J$5:$J$149,'Session Tracker'!$D$5:$D$149,$A373,'Session Tracker'!$F$5:$F$149,"Next week",'Session Tracker'!$G$5:$G$149,"Wed"))</f>
        <v>0</v>
      </c>
      <c r="K373" s="52" t="n">
        <f aca="false">IF($E373="Per class",$D373*COUNTIFS('Session Tracker'!$D$5:$D$149,$A373,'Session Tracker'!$F$5:$F$149,"Next week",'Session Tracker'!$G$5:$G$149,"Thu"),$D373*SUMIFS('Session Tracker'!$J$5:$J$149,'Session Tracker'!$D$5:$D$149,$A373,'Session Tracker'!$F$5:$F$149,"Next week",'Session Tracker'!$G$5:$G$149,"Thu"))</f>
        <v>0</v>
      </c>
      <c r="L373" s="52" t="n">
        <f aca="false">IF($E373="Per class",$D373*COUNTIFS('Session Tracker'!$D$5:$D$149,$A373,'Session Tracker'!$F$5:$F$149,"Next week",'Session Tracker'!$G$5:$G$149,"Fri"),$D373*SUMIFS('Session Tracker'!$J$5:$J$149,'Session Tracker'!$D$5:$D$149,$A373,'Session Tracker'!$F$5:$F$149,"Next week",'Session Tracker'!$G$5:$G$149,"Fri"))</f>
        <v>0</v>
      </c>
      <c r="M373" s="52" t="n">
        <f aca="false">IF($E373="Per class",$D373*COUNTIFS('Session Tracker'!$D$5:$D$149,$A373,'Session Tracker'!$F$5:$F$149,"Next week",'Session Tracker'!$G$5:$G$149,""),$D373*SUMIFS('Session Tracker'!$J$5:$J$149,'Session Tracker'!$D$5:$D$149,$A373,'Session Tracker'!$F$5:$F$149,"Next week",'Session Tracker'!$G$5:$G$149,""))</f>
        <v>0</v>
      </c>
    </row>
    <row r="374" customFormat="false" ht="15" hidden="false" customHeight="false" outlineLevel="0" collapsed="false">
      <c r="A374" s="53" t="s">
        <v>352</v>
      </c>
      <c r="B374" s="54"/>
      <c r="C374" s="54"/>
      <c r="D374" s="54"/>
      <c r="E374" s="54"/>
      <c r="F374" s="54"/>
      <c r="G374" s="54"/>
      <c r="H374" s="52" t="n">
        <f aca="false">IF($E374="Per class",$D374*COUNTIFS('Session Tracker'!$D$5:$D$149,$A374,'Session Tracker'!$F$5:$F$149,"Next week",'Session Tracker'!$G$5:$G$149,"Mon"),$D374*SUMIFS('Session Tracker'!$J$5:$J$149,'Session Tracker'!$D$5:$D$149,$A374,'Session Tracker'!$F$5:$F$149,"Next week",'Session Tracker'!$G$5:$G$149,"Mon"))</f>
        <v>0</v>
      </c>
      <c r="I374" s="52" t="n">
        <f aca="false">IF($E374="Per class",$D374*COUNTIFS('Session Tracker'!$D$5:$D$149,$A374,'Session Tracker'!$F$5:$F$149,"Next week",'Session Tracker'!$G$5:$G$149,"Tue"),$D374*SUMIFS('Session Tracker'!$J$5:$J$149,'Session Tracker'!$D$5:$D$149,$A374,'Session Tracker'!$F$5:$F$149,"Next week",'Session Tracker'!$G$5:$G$149,"Tue"))</f>
        <v>0</v>
      </c>
      <c r="J374" s="52" t="n">
        <f aca="false">IF($E374="Per class",$D374*COUNTIFS('Session Tracker'!$D$5:$D$149,$A374,'Session Tracker'!$F$5:$F$149,"Next week",'Session Tracker'!$G$5:$G$149,"Wed"),$D374*SUMIFS('Session Tracker'!$J$5:$J$149,'Session Tracker'!$D$5:$D$149,$A374,'Session Tracker'!$F$5:$F$149,"Next week",'Session Tracker'!$G$5:$G$149,"Wed"))</f>
        <v>0</v>
      </c>
      <c r="K374" s="52" t="n">
        <f aca="false">IF($E374="Per class",$D374*COUNTIFS('Session Tracker'!$D$5:$D$149,$A374,'Session Tracker'!$F$5:$F$149,"Next week",'Session Tracker'!$G$5:$G$149,"Thu"),$D374*SUMIFS('Session Tracker'!$J$5:$J$149,'Session Tracker'!$D$5:$D$149,$A374,'Session Tracker'!$F$5:$F$149,"Next week",'Session Tracker'!$G$5:$G$149,"Thu"))</f>
        <v>0</v>
      </c>
      <c r="L374" s="52" t="n">
        <f aca="false">IF($E374="Per class",$D374*COUNTIFS('Session Tracker'!$D$5:$D$149,$A374,'Session Tracker'!$F$5:$F$149,"Next week",'Session Tracker'!$G$5:$G$149,"Fri"),$D374*SUMIFS('Session Tracker'!$J$5:$J$149,'Session Tracker'!$D$5:$D$149,$A374,'Session Tracker'!$F$5:$F$149,"Next week",'Session Tracker'!$G$5:$G$149,"Fri"))</f>
        <v>0</v>
      </c>
      <c r="M374" s="52" t="n">
        <f aca="false">IF($E374="Per class",$D374*COUNTIFS('Session Tracker'!$D$5:$D$149,$A374,'Session Tracker'!$F$5:$F$149,"Next week",'Session Tracker'!$G$5:$G$149,""),$D374*SUMIFS('Session Tracker'!$J$5:$J$149,'Session Tracker'!$D$5:$D$149,$A374,'Session Tracker'!$F$5:$F$149,"Next week",'Session Tracker'!$G$5:$G$149,""))</f>
        <v>0</v>
      </c>
    </row>
    <row r="376" customFormat="false" ht="19.5" hidden="false" customHeight="true" outlineLevel="0" collapsed="false">
      <c r="A376" s="71" t="s">
        <v>354</v>
      </c>
      <c r="B376" s="72" t="s">
        <v>701</v>
      </c>
      <c r="C376" s="72"/>
      <c r="D376" s="72"/>
      <c r="E376" s="72"/>
      <c r="F376" s="73" t="str">
        <f aca="false">"Status: "&amp;'Session Tracker'!F148&amp;IF('Session Tracker'!G148&lt;&gt;""," ("&amp;'Session Tracker'!G148&amp;")","")</f>
        <v>Status: Not started</v>
      </c>
      <c r="G376" s="73"/>
      <c r="H376" s="74"/>
      <c r="I376" s="74"/>
      <c r="J376" s="74"/>
      <c r="K376" s="74"/>
      <c r="L376" s="74"/>
      <c r="M376" s="74"/>
    </row>
    <row r="377" customFormat="false" ht="15" hidden="false" customHeight="false" outlineLevel="0" collapsed="false">
      <c r="A377" s="75" t="s">
        <v>354</v>
      </c>
      <c r="B377" s="34" t="s">
        <v>382</v>
      </c>
      <c r="C377" s="34" t="s">
        <v>383</v>
      </c>
      <c r="D377" s="32" t="n">
        <v>1</v>
      </c>
      <c r="E377" s="32" t="s">
        <v>14</v>
      </c>
      <c r="F377" s="32" t="s">
        <v>368</v>
      </c>
      <c r="G377" s="34"/>
      <c r="H377" s="52" t="n">
        <f aca="false">IF($E377="Per class",$D377*COUNTIFS('Session Tracker'!$D$5:$D$149,$A377,'Session Tracker'!$F$5:$F$149,"Next week",'Session Tracker'!$G$5:$G$149,"Mon"),$D377*SUMIFS('Session Tracker'!$J$5:$J$149,'Session Tracker'!$D$5:$D$149,$A377,'Session Tracker'!$F$5:$F$149,"Next week",'Session Tracker'!$G$5:$G$149,"Mon"))</f>
        <v>0</v>
      </c>
      <c r="I377" s="52" t="n">
        <f aca="false">IF($E377="Per class",$D377*COUNTIFS('Session Tracker'!$D$5:$D$149,$A377,'Session Tracker'!$F$5:$F$149,"Next week",'Session Tracker'!$G$5:$G$149,"Tue"),$D377*SUMIFS('Session Tracker'!$J$5:$J$149,'Session Tracker'!$D$5:$D$149,$A377,'Session Tracker'!$F$5:$F$149,"Next week",'Session Tracker'!$G$5:$G$149,"Tue"))</f>
        <v>0</v>
      </c>
      <c r="J377" s="52" t="n">
        <f aca="false">IF($E377="Per class",$D377*COUNTIFS('Session Tracker'!$D$5:$D$149,$A377,'Session Tracker'!$F$5:$F$149,"Next week",'Session Tracker'!$G$5:$G$149,"Wed"),$D377*SUMIFS('Session Tracker'!$J$5:$J$149,'Session Tracker'!$D$5:$D$149,$A377,'Session Tracker'!$F$5:$F$149,"Next week",'Session Tracker'!$G$5:$G$149,"Wed"))</f>
        <v>0</v>
      </c>
      <c r="K377" s="52" t="n">
        <f aca="false">IF($E377="Per class",$D377*COUNTIFS('Session Tracker'!$D$5:$D$149,$A377,'Session Tracker'!$F$5:$F$149,"Next week",'Session Tracker'!$G$5:$G$149,"Thu"),$D377*SUMIFS('Session Tracker'!$J$5:$J$149,'Session Tracker'!$D$5:$D$149,$A377,'Session Tracker'!$F$5:$F$149,"Next week",'Session Tracker'!$G$5:$G$149,"Thu"))</f>
        <v>0</v>
      </c>
      <c r="L377" s="52" t="n">
        <f aca="false">IF($E377="Per class",$D377*COUNTIFS('Session Tracker'!$D$5:$D$149,$A377,'Session Tracker'!$F$5:$F$149,"Next week",'Session Tracker'!$G$5:$G$149,"Fri"),$D377*SUMIFS('Session Tracker'!$J$5:$J$149,'Session Tracker'!$D$5:$D$149,$A377,'Session Tracker'!$F$5:$F$149,"Next week",'Session Tracker'!$G$5:$G$149,"Fri"))</f>
        <v>0</v>
      </c>
      <c r="M377" s="52" t="n">
        <f aca="false">IF($E377="Per class",$D377*COUNTIFS('Session Tracker'!$D$5:$D$149,$A377,'Session Tracker'!$F$5:$F$149,"Next week",'Session Tracker'!$G$5:$G$149,""),$D377*SUMIFS('Session Tracker'!$J$5:$J$149,'Session Tracker'!$D$5:$D$149,$A377,'Session Tracker'!$F$5:$F$149,"Next week",'Session Tracker'!$G$5:$G$149,""))</f>
        <v>0</v>
      </c>
    </row>
    <row r="378" customFormat="false" ht="15" hidden="false" customHeight="false" outlineLevel="0" collapsed="false">
      <c r="A378" s="53" t="s">
        <v>354</v>
      </c>
      <c r="B378" s="54"/>
      <c r="C378" s="54"/>
      <c r="D378" s="54"/>
      <c r="E378" s="54"/>
      <c r="F378" s="54"/>
      <c r="G378" s="54"/>
      <c r="H378" s="52" t="n">
        <f aca="false">IF($E378="Per class",$D378*COUNTIFS('Session Tracker'!$D$5:$D$149,$A378,'Session Tracker'!$F$5:$F$149,"Next week",'Session Tracker'!$G$5:$G$149,"Mon"),$D378*SUMIFS('Session Tracker'!$J$5:$J$149,'Session Tracker'!$D$5:$D$149,$A378,'Session Tracker'!$F$5:$F$149,"Next week",'Session Tracker'!$G$5:$G$149,"Mon"))</f>
        <v>0</v>
      </c>
      <c r="I378" s="52" t="n">
        <f aca="false">IF($E378="Per class",$D378*COUNTIFS('Session Tracker'!$D$5:$D$149,$A378,'Session Tracker'!$F$5:$F$149,"Next week",'Session Tracker'!$G$5:$G$149,"Tue"),$D378*SUMIFS('Session Tracker'!$J$5:$J$149,'Session Tracker'!$D$5:$D$149,$A378,'Session Tracker'!$F$5:$F$149,"Next week",'Session Tracker'!$G$5:$G$149,"Tue"))</f>
        <v>0</v>
      </c>
      <c r="J378" s="52" t="n">
        <f aca="false">IF($E378="Per class",$D378*COUNTIFS('Session Tracker'!$D$5:$D$149,$A378,'Session Tracker'!$F$5:$F$149,"Next week",'Session Tracker'!$G$5:$G$149,"Wed"),$D378*SUMIFS('Session Tracker'!$J$5:$J$149,'Session Tracker'!$D$5:$D$149,$A378,'Session Tracker'!$F$5:$F$149,"Next week",'Session Tracker'!$G$5:$G$149,"Wed"))</f>
        <v>0</v>
      </c>
      <c r="K378" s="52" t="n">
        <f aca="false">IF($E378="Per class",$D378*COUNTIFS('Session Tracker'!$D$5:$D$149,$A378,'Session Tracker'!$F$5:$F$149,"Next week",'Session Tracker'!$G$5:$G$149,"Thu"),$D378*SUMIFS('Session Tracker'!$J$5:$J$149,'Session Tracker'!$D$5:$D$149,$A378,'Session Tracker'!$F$5:$F$149,"Next week",'Session Tracker'!$G$5:$G$149,"Thu"))</f>
        <v>0</v>
      </c>
      <c r="L378" s="52" t="n">
        <f aca="false">IF($E378="Per class",$D378*COUNTIFS('Session Tracker'!$D$5:$D$149,$A378,'Session Tracker'!$F$5:$F$149,"Next week",'Session Tracker'!$G$5:$G$149,"Fri"),$D378*SUMIFS('Session Tracker'!$J$5:$J$149,'Session Tracker'!$D$5:$D$149,$A378,'Session Tracker'!$F$5:$F$149,"Next week",'Session Tracker'!$G$5:$G$149,"Fri"))</f>
        <v>0</v>
      </c>
      <c r="M378" s="52" t="n">
        <f aca="false">IF($E378="Per class",$D378*COUNTIFS('Session Tracker'!$D$5:$D$149,$A378,'Session Tracker'!$F$5:$F$149,"Next week",'Session Tracker'!$G$5:$G$149,""),$D378*SUMIFS('Session Tracker'!$J$5:$J$149,'Session Tracker'!$D$5:$D$149,$A378,'Session Tracker'!$F$5:$F$149,"Next week",'Session Tracker'!$G$5:$G$149,""))</f>
        <v>0</v>
      </c>
    </row>
    <row r="379" customFormat="false" ht="15" hidden="false" customHeight="false" outlineLevel="0" collapsed="false">
      <c r="A379" s="53" t="s">
        <v>354</v>
      </c>
      <c r="B379" s="54"/>
      <c r="C379" s="54"/>
      <c r="D379" s="54"/>
      <c r="E379" s="54"/>
      <c r="F379" s="54"/>
      <c r="G379" s="54"/>
      <c r="H379" s="52" t="n">
        <f aca="false">IF($E379="Per class",$D379*COUNTIFS('Session Tracker'!$D$5:$D$149,$A379,'Session Tracker'!$F$5:$F$149,"Next week",'Session Tracker'!$G$5:$G$149,"Mon"),$D379*SUMIFS('Session Tracker'!$J$5:$J$149,'Session Tracker'!$D$5:$D$149,$A379,'Session Tracker'!$F$5:$F$149,"Next week",'Session Tracker'!$G$5:$G$149,"Mon"))</f>
        <v>0</v>
      </c>
      <c r="I379" s="52" t="n">
        <f aca="false">IF($E379="Per class",$D379*COUNTIFS('Session Tracker'!$D$5:$D$149,$A379,'Session Tracker'!$F$5:$F$149,"Next week",'Session Tracker'!$G$5:$G$149,"Tue"),$D379*SUMIFS('Session Tracker'!$J$5:$J$149,'Session Tracker'!$D$5:$D$149,$A379,'Session Tracker'!$F$5:$F$149,"Next week",'Session Tracker'!$G$5:$G$149,"Tue"))</f>
        <v>0</v>
      </c>
      <c r="J379" s="52" t="n">
        <f aca="false">IF($E379="Per class",$D379*COUNTIFS('Session Tracker'!$D$5:$D$149,$A379,'Session Tracker'!$F$5:$F$149,"Next week",'Session Tracker'!$G$5:$G$149,"Wed"),$D379*SUMIFS('Session Tracker'!$J$5:$J$149,'Session Tracker'!$D$5:$D$149,$A379,'Session Tracker'!$F$5:$F$149,"Next week",'Session Tracker'!$G$5:$G$149,"Wed"))</f>
        <v>0</v>
      </c>
      <c r="K379" s="52" t="n">
        <f aca="false">IF($E379="Per class",$D379*COUNTIFS('Session Tracker'!$D$5:$D$149,$A379,'Session Tracker'!$F$5:$F$149,"Next week",'Session Tracker'!$G$5:$G$149,"Thu"),$D379*SUMIFS('Session Tracker'!$J$5:$J$149,'Session Tracker'!$D$5:$D$149,$A379,'Session Tracker'!$F$5:$F$149,"Next week",'Session Tracker'!$G$5:$G$149,"Thu"))</f>
        <v>0</v>
      </c>
      <c r="L379" s="52" t="n">
        <f aca="false">IF($E379="Per class",$D379*COUNTIFS('Session Tracker'!$D$5:$D$149,$A379,'Session Tracker'!$F$5:$F$149,"Next week",'Session Tracker'!$G$5:$G$149,"Fri"),$D379*SUMIFS('Session Tracker'!$J$5:$J$149,'Session Tracker'!$D$5:$D$149,$A379,'Session Tracker'!$F$5:$F$149,"Next week",'Session Tracker'!$G$5:$G$149,"Fri"))</f>
        <v>0</v>
      </c>
      <c r="M379" s="52" t="n">
        <f aca="false">IF($E379="Per class",$D379*COUNTIFS('Session Tracker'!$D$5:$D$149,$A379,'Session Tracker'!$F$5:$F$149,"Next week",'Session Tracker'!$G$5:$G$149,""),$D379*SUMIFS('Session Tracker'!$J$5:$J$149,'Session Tracker'!$D$5:$D$149,$A379,'Session Tracker'!$F$5:$F$149,"Next week",'Session Tracker'!$G$5:$G$149,""))</f>
        <v>0</v>
      </c>
    </row>
    <row r="381" customFormat="false" ht="19.5" hidden="false" customHeight="true" outlineLevel="0" collapsed="false">
      <c r="A381" s="71" t="s">
        <v>356</v>
      </c>
      <c r="B381" s="72" t="s">
        <v>702</v>
      </c>
      <c r="C381" s="72"/>
      <c r="D381" s="72"/>
      <c r="E381" s="72"/>
      <c r="F381" s="73" t="str">
        <f aca="false">"Status: "&amp;'Session Tracker'!F149&amp;IF('Session Tracker'!G149&lt;&gt;""," ("&amp;'Session Tracker'!G149&amp;")","")</f>
        <v>Status: Not started</v>
      </c>
      <c r="G381" s="73"/>
      <c r="H381" s="74"/>
      <c r="I381" s="74"/>
      <c r="J381" s="74"/>
      <c r="K381" s="74"/>
      <c r="L381" s="74"/>
      <c r="M381" s="74"/>
    </row>
    <row r="382" customFormat="false" ht="15" hidden="false" customHeight="false" outlineLevel="0" collapsed="false">
      <c r="A382" s="75" t="s">
        <v>356</v>
      </c>
      <c r="B382" s="34" t="s">
        <v>382</v>
      </c>
      <c r="C382" s="34" t="s">
        <v>383</v>
      </c>
      <c r="D382" s="32" t="n">
        <v>1</v>
      </c>
      <c r="E382" s="32" t="s">
        <v>14</v>
      </c>
      <c r="F382" s="32" t="s">
        <v>368</v>
      </c>
      <c r="G382" s="34"/>
      <c r="H382" s="52" t="n">
        <f aca="false">IF($E382="Per class",$D382*COUNTIFS('Session Tracker'!$D$5:$D$149,$A382,'Session Tracker'!$F$5:$F$149,"Next week",'Session Tracker'!$G$5:$G$149,"Mon"),$D382*SUMIFS('Session Tracker'!$J$5:$J$149,'Session Tracker'!$D$5:$D$149,$A382,'Session Tracker'!$F$5:$F$149,"Next week",'Session Tracker'!$G$5:$G$149,"Mon"))</f>
        <v>0</v>
      </c>
      <c r="I382" s="52" t="n">
        <f aca="false">IF($E382="Per class",$D382*COUNTIFS('Session Tracker'!$D$5:$D$149,$A382,'Session Tracker'!$F$5:$F$149,"Next week",'Session Tracker'!$G$5:$G$149,"Tue"),$D382*SUMIFS('Session Tracker'!$J$5:$J$149,'Session Tracker'!$D$5:$D$149,$A382,'Session Tracker'!$F$5:$F$149,"Next week",'Session Tracker'!$G$5:$G$149,"Tue"))</f>
        <v>0</v>
      </c>
      <c r="J382" s="52" t="n">
        <f aca="false">IF($E382="Per class",$D382*COUNTIFS('Session Tracker'!$D$5:$D$149,$A382,'Session Tracker'!$F$5:$F$149,"Next week",'Session Tracker'!$G$5:$G$149,"Wed"),$D382*SUMIFS('Session Tracker'!$J$5:$J$149,'Session Tracker'!$D$5:$D$149,$A382,'Session Tracker'!$F$5:$F$149,"Next week",'Session Tracker'!$G$5:$G$149,"Wed"))</f>
        <v>0</v>
      </c>
      <c r="K382" s="52" t="n">
        <f aca="false">IF($E382="Per class",$D382*COUNTIFS('Session Tracker'!$D$5:$D$149,$A382,'Session Tracker'!$F$5:$F$149,"Next week",'Session Tracker'!$G$5:$G$149,"Thu"),$D382*SUMIFS('Session Tracker'!$J$5:$J$149,'Session Tracker'!$D$5:$D$149,$A382,'Session Tracker'!$F$5:$F$149,"Next week",'Session Tracker'!$G$5:$G$149,"Thu"))</f>
        <v>0</v>
      </c>
      <c r="L382" s="52" t="n">
        <f aca="false">IF($E382="Per class",$D382*COUNTIFS('Session Tracker'!$D$5:$D$149,$A382,'Session Tracker'!$F$5:$F$149,"Next week",'Session Tracker'!$G$5:$G$149,"Fri"),$D382*SUMIFS('Session Tracker'!$J$5:$J$149,'Session Tracker'!$D$5:$D$149,$A382,'Session Tracker'!$F$5:$F$149,"Next week",'Session Tracker'!$G$5:$G$149,"Fri"))</f>
        <v>0</v>
      </c>
      <c r="M382" s="52" t="n">
        <f aca="false">IF($E382="Per class",$D382*COUNTIFS('Session Tracker'!$D$5:$D$149,$A382,'Session Tracker'!$F$5:$F$149,"Next week",'Session Tracker'!$G$5:$G$149,""),$D382*SUMIFS('Session Tracker'!$J$5:$J$149,'Session Tracker'!$D$5:$D$149,$A382,'Session Tracker'!$F$5:$F$149,"Next week",'Session Tracker'!$G$5:$G$149,""))</f>
        <v>0</v>
      </c>
    </row>
    <row r="383" customFormat="false" ht="15" hidden="false" customHeight="false" outlineLevel="0" collapsed="false">
      <c r="A383" s="53" t="s">
        <v>356</v>
      </c>
      <c r="B383" s="54"/>
      <c r="C383" s="54"/>
      <c r="D383" s="54"/>
      <c r="E383" s="54"/>
      <c r="F383" s="54"/>
      <c r="G383" s="54"/>
      <c r="H383" s="52" t="n">
        <f aca="false">IF($E383="Per class",$D383*COUNTIFS('Session Tracker'!$D$5:$D$149,$A383,'Session Tracker'!$F$5:$F$149,"Next week",'Session Tracker'!$G$5:$G$149,"Mon"),$D383*SUMIFS('Session Tracker'!$J$5:$J$149,'Session Tracker'!$D$5:$D$149,$A383,'Session Tracker'!$F$5:$F$149,"Next week",'Session Tracker'!$G$5:$G$149,"Mon"))</f>
        <v>0</v>
      </c>
      <c r="I383" s="52" t="n">
        <f aca="false">IF($E383="Per class",$D383*COUNTIFS('Session Tracker'!$D$5:$D$149,$A383,'Session Tracker'!$F$5:$F$149,"Next week",'Session Tracker'!$G$5:$G$149,"Tue"),$D383*SUMIFS('Session Tracker'!$J$5:$J$149,'Session Tracker'!$D$5:$D$149,$A383,'Session Tracker'!$F$5:$F$149,"Next week",'Session Tracker'!$G$5:$G$149,"Tue"))</f>
        <v>0</v>
      </c>
      <c r="J383" s="52" t="n">
        <f aca="false">IF($E383="Per class",$D383*COUNTIFS('Session Tracker'!$D$5:$D$149,$A383,'Session Tracker'!$F$5:$F$149,"Next week",'Session Tracker'!$G$5:$G$149,"Wed"),$D383*SUMIFS('Session Tracker'!$J$5:$J$149,'Session Tracker'!$D$5:$D$149,$A383,'Session Tracker'!$F$5:$F$149,"Next week",'Session Tracker'!$G$5:$G$149,"Wed"))</f>
        <v>0</v>
      </c>
      <c r="K383" s="52" t="n">
        <f aca="false">IF($E383="Per class",$D383*COUNTIFS('Session Tracker'!$D$5:$D$149,$A383,'Session Tracker'!$F$5:$F$149,"Next week",'Session Tracker'!$G$5:$G$149,"Thu"),$D383*SUMIFS('Session Tracker'!$J$5:$J$149,'Session Tracker'!$D$5:$D$149,$A383,'Session Tracker'!$F$5:$F$149,"Next week",'Session Tracker'!$G$5:$G$149,"Thu"))</f>
        <v>0</v>
      </c>
      <c r="L383" s="52" t="n">
        <f aca="false">IF($E383="Per class",$D383*COUNTIFS('Session Tracker'!$D$5:$D$149,$A383,'Session Tracker'!$F$5:$F$149,"Next week",'Session Tracker'!$G$5:$G$149,"Fri"),$D383*SUMIFS('Session Tracker'!$J$5:$J$149,'Session Tracker'!$D$5:$D$149,$A383,'Session Tracker'!$F$5:$F$149,"Next week",'Session Tracker'!$G$5:$G$149,"Fri"))</f>
        <v>0</v>
      </c>
      <c r="M383" s="52" t="n">
        <f aca="false">IF($E383="Per class",$D383*COUNTIFS('Session Tracker'!$D$5:$D$149,$A383,'Session Tracker'!$F$5:$F$149,"Next week",'Session Tracker'!$G$5:$G$149,""),$D383*SUMIFS('Session Tracker'!$J$5:$J$149,'Session Tracker'!$D$5:$D$149,$A383,'Session Tracker'!$F$5:$F$149,"Next week",'Session Tracker'!$G$5:$G$149,""))</f>
        <v>0</v>
      </c>
    </row>
    <row r="384" customFormat="false" ht="15" hidden="false" customHeight="false" outlineLevel="0" collapsed="false">
      <c r="A384" s="53" t="s">
        <v>356</v>
      </c>
      <c r="B384" s="54"/>
      <c r="C384" s="54"/>
      <c r="D384" s="54"/>
      <c r="E384" s="54"/>
      <c r="F384" s="54"/>
      <c r="G384" s="54"/>
      <c r="H384" s="52" t="n">
        <f aca="false">IF($E384="Per class",$D384*COUNTIFS('Session Tracker'!$D$5:$D$149,$A384,'Session Tracker'!$F$5:$F$149,"Next week",'Session Tracker'!$G$5:$G$149,"Mon"),$D384*SUMIFS('Session Tracker'!$J$5:$J$149,'Session Tracker'!$D$5:$D$149,$A384,'Session Tracker'!$F$5:$F$149,"Next week",'Session Tracker'!$G$5:$G$149,"Mon"))</f>
        <v>0</v>
      </c>
      <c r="I384" s="52" t="n">
        <f aca="false">IF($E384="Per class",$D384*COUNTIFS('Session Tracker'!$D$5:$D$149,$A384,'Session Tracker'!$F$5:$F$149,"Next week",'Session Tracker'!$G$5:$G$149,"Tue"),$D384*SUMIFS('Session Tracker'!$J$5:$J$149,'Session Tracker'!$D$5:$D$149,$A384,'Session Tracker'!$F$5:$F$149,"Next week",'Session Tracker'!$G$5:$G$149,"Tue"))</f>
        <v>0</v>
      </c>
      <c r="J384" s="52" t="n">
        <f aca="false">IF($E384="Per class",$D384*COUNTIFS('Session Tracker'!$D$5:$D$149,$A384,'Session Tracker'!$F$5:$F$149,"Next week",'Session Tracker'!$G$5:$G$149,"Wed"),$D384*SUMIFS('Session Tracker'!$J$5:$J$149,'Session Tracker'!$D$5:$D$149,$A384,'Session Tracker'!$F$5:$F$149,"Next week",'Session Tracker'!$G$5:$G$149,"Wed"))</f>
        <v>0</v>
      </c>
      <c r="K384" s="52" t="n">
        <f aca="false">IF($E384="Per class",$D384*COUNTIFS('Session Tracker'!$D$5:$D$149,$A384,'Session Tracker'!$F$5:$F$149,"Next week",'Session Tracker'!$G$5:$G$149,"Thu"),$D384*SUMIFS('Session Tracker'!$J$5:$J$149,'Session Tracker'!$D$5:$D$149,$A384,'Session Tracker'!$F$5:$F$149,"Next week",'Session Tracker'!$G$5:$G$149,"Thu"))</f>
        <v>0</v>
      </c>
      <c r="L384" s="52" t="n">
        <f aca="false">IF($E384="Per class",$D384*COUNTIFS('Session Tracker'!$D$5:$D$149,$A384,'Session Tracker'!$F$5:$F$149,"Next week",'Session Tracker'!$G$5:$G$149,"Fri"),$D384*SUMIFS('Session Tracker'!$J$5:$J$149,'Session Tracker'!$D$5:$D$149,$A384,'Session Tracker'!$F$5:$F$149,"Next week",'Session Tracker'!$G$5:$G$149,"Fri"))</f>
        <v>0</v>
      </c>
      <c r="M384" s="52" t="n">
        <f aca="false">IF($E384="Per class",$D384*COUNTIFS('Session Tracker'!$D$5:$D$149,$A384,'Session Tracker'!$F$5:$F$149,"Next week",'Session Tracker'!$G$5:$G$149,""),$D384*SUMIFS('Session Tracker'!$J$5:$J$149,'Session Tracker'!$D$5:$D$149,$A384,'Session Tracker'!$F$5:$F$149,"Next week",'Session Tracker'!$G$5:$G$149,""))</f>
        <v>0</v>
      </c>
    </row>
  </sheetData>
  <mergeCells count="72">
    <mergeCell ref="B5:E5"/>
    <mergeCell ref="F5:G5"/>
    <mergeCell ref="B17:E17"/>
    <mergeCell ref="F17:G17"/>
    <mergeCell ref="B30:E30"/>
    <mergeCell ref="F30:G30"/>
    <mergeCell ref="B43:E43"/>
    <mergeCell ref="F43:G43"/>
    <mergeCell ref="B51:E51"/>
    <mergeCell ref="F51:G51"/>
    <mergeCell ref="B66:E66"/>
    <mergeCell ref="F66:G66"/>
    <mergeCell ref="B83:E83"/>
    <mergeCell ref="F83:G83"/>
    <mergeCell ref="B103:E103"/>
    <mergeCell ref="F103:G103"/>
    <mergeCell ref="B117:E117"/>
    <mergeCell ref="F117:G117"/>
    <mergeCell ref="B130:E130"/>
    <mergeCell ref="F130:G130"/>
    <mergeCell ref="B144:E144"/>
    <mergeCell ref="F144:G144"/>
    <mergeCell ref="B159:E159"/>
    <mergeCell ref="F159:G159"/>
    <mergeCell ref="B174:E174"/>
    <mergeCell ref="F174:G174"/>
    <mergeCell ref="B186:E186"/>
    <mergeCell ref="F186:G186"/>
    <mergeCell ref="B198:E198"/>
    <mergeCell ref="F198:G198"/>
    <mergeCell ref="B203:E203"/>
    <mergeCell ref="F203:G203"/>
    <mergeCell ref="B217:E217"/>
    <mergeCell ref="F217:G217"/>
    <mergeCell ref="B222:E222"/>
    <mergeCell ref="F222:G222"/>
    <mergeCell ref="B241:E241"/>
    <mergeCell ref="F241:G241"/>
    <mergeCell ref="B248:E248"/>
    <mergeCell ref="F248:G248"/>
    <mergeCell ref="B263:E263"/>
    <mergeCell ref="F263:G263"/>
    <mergeCell ref="B269:E269"/>
    <mergeCell ref="F269:G269"/>
    <mergeCell ref="B278:E278"/>
    <mergeCell ref="F278:G278"/>
    <mergeCell ref="B287:E287"/>
    <mergeCell ref="F287:G287"/>
    <mergeCell ref="B292:E292"/>
    <mergeCell ref="F292:G292"/>
    <mergeCell ref="B297:E297"/>
    <mergeCell ref="F297:G297"/>
    <mergeCell ref="B302:E302"/>
    <mergeCell ref="F302:G302"/>
    <mergeCell ref="B316:E316"/>
    <mergeCell ref="F316:G316"/>
    <mergeCell ref="B321:E321"/>
    <mergeCell ref="F321:G321"/>
    <mergeCell ref="B335:E335"/>
    <mergeCell ref="F335:G335"/>
    <mergeCell ref="B344:E344"/>
    <mergeCell ref="F344:G344"/>
    <mergeCell ref="B353:E353"/>
    <mergeCell ref="F353:G353"/>
    <mergeCell ref="B366:E366"/>
    <mergeCell ref="F366:G366"/>
    <mergeCell ref="B371:E371"/>
    <mergeCell ref="F371:G371"/>
    <mergeCell ref="B376:E376"/>
    <mergeCell ref="F376:G376"/>
    <mergeCell ref="B381:E381"/>
    <mergeCell ref="F381:G381"/>
  </mergeCells>
  <dataValidations count="1">
    <dataValidation allowBlank="true" errorStyle="stop" operator="between" showDropDown="false" showErrorMessage="false" showInputMessage="false" sqref="E5:E386" type="list">
      <formula1>"Per group,Per class"</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N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40"/>
    <col collapsed="false" customWidth="true" hidden="false" outlineLevel="0" max="4" min="4" style="0" width="11"/>
    <col collapsed="false" customWidth="true" hidden="false" outlineLevel="0" max="10" min="5" style="0" width="7"/>
    <col collapsed="false" customWidth="true" hidden="false" outlineLevel="0" max="13" min="11" style="0" width="9"/>
    <col collapsed="false" customWidth="true" hidden="false" outlineLevel="0" max="14" min="14" style="0" width="8"/>
  </cols>
  <sheetData>
    <row r="1" customFormat="false" ht="15" hidden="false" customHeight="false" outlineLevel="0" collapsed="false">
      <c r="A1" s="2" t="s">
        <v>703</v>
      </c>
    </row>
    <row r="2" customFormat="false" ht="23.85" hidden="false" customHeight="false" outlineLevel="0" collapsed="false">
      <c r="A2" s="76" t="s">
        <v>52</v>
      </c>
      <c r="B2" s="76" t="s">
        <v>53</v>
      </c>
      <c r="C2" s="76" t="s">
        <v>704</v>
      </c>
      <c r="D2" s="76" t="s">
        <v>54</v>
      </c>
      <c r="E2" s="76" t="s">
        <v>705</v>
      </c>
      <c r="F2" s="76" t="s">
        <v>706</v>
      </c>
      <c r="G2" s="76" t="s">
        <v>707</v>
      </c>
      <c r="H2" s="76" t="s">
        <v>708</v>
      </c>
      <c r="I2" s="76" t="s">
        <v>709</v>
      </c>
      <c r="J2" s="76" t="s">
        <v>710</v>
      </c>
      <c r="K2" s="76" t="s">
        <v>711</v>
      </c>
      <c r="L2" s="76" t="s">
        <v>712</v>
      </c>
      <c r="M2" s="76" t="s">
        <v>713</v>
      </c>
      <c r="N2" s="76" t="s">
        <v>714</v>
      </c>
    </row>
    <row r="3" customFormat="false" ht="15" hidden="false" customHeight="false" outlineLevel="0" collapsed="false">
      <c r="A3" s="77" t="s">
        <v>366</v>
      </c>
      <c r="B3" s="77" t="s">
        <v>367</v>
      </c>
      <c r="C3" s="77" t="s">
        <v>715</v>
      </c>
      <c r="D3" s="77" t="s">
        <v>368</v>
      </c>
      <c r="E3" s="77" t="n">
        <f aca="false">SUMIF('Little Explorers Kits'!$C$5:$C$358,$B3,'Little Explorers Kits'!H$5:H$358)+SUMIF('Junior Makers Kits'!$C$5:$C$440,$B3,'Junior Makers Kits'!H$5:H$440)+SUMIF('Young Innovators Kits'!$C$5:$C$418,$B3,'Young Innovators Kits'!H$5:H$418)+SUMIF('Tech Leaders Kits'!$C$5:$C$386,$B3,'Tech Leaders Kits'!H$5:H$386)</f>
        <v>0</v>
      </c>
      <c r="F3" s="77" t="n">
        <f aca="false">SUMIF('Little Explorers Kits'!$C$5:$C$358,$B3,'Little Explorers Kits'!I$5:I$358)+SUMIF('Junior Makers Kits'!$C$5:$C$440,$B3,'Junior Makers Kits'!I$5:I$440)+SUMIF('Young Innovators Kits'!$C$5:$C$418,$B3,'Young Innovators Kits'!I$5:I$418)+SUMIF('Tech Leaders Kits'!$C$5:$C$386,$B3,'Tech Leaders Kits'!I$5:I$386)</f>
        <v>0</v>
      </c>
      <c r="G3" s="77" t="n">
        <f aca="false">SUMIF('Little Explorers Kits'!$C$5:$C$358,$B3,'Little Explorers Kits'!J$5:J$358)+SUMIF('Junior Makers Kits'!$C$5:$C$440,$B3,'Junior Makers Kits'!J$5:J$440)+SUMIF('Young Innovators Kits'!$C$5:$C$418,$B3,'Young Innovators Kits'!J$5:J$418)+SUMIF('Tech Leaders Kits'!$C$5:$C$386,$B3,'Tech Leaders Kits'!J$5:J$386)</f>
        <v>0</v>
      </c>
      <c r="H3" s="77" t="n">
        <f aca="false">SUMIF('Little Explorers Kits'!$C$5:$C$358,$B3,'Little Explorers Kits'!K$5:K$358)+SUMIF('Junior Makers Kits'!$C$5:$C$440,$B3,'Junior Makers Kits'!K$5:K$440)+SUMIF('Young Innovators Kits'!$C$5:$C$418,$B3,'Young Innovators Kits'!K$5:K$418)+SUMIF('Tech Leaders Kits'!$C$5:$C$386,$B3,'Tech Leaders Kits'!K$5:K$386)</f>
        <v>0</v>
      </c>
      <c r="I3" s="77" t="n">
        <f aca="false">SUMIF('Little Explorers Kits'!$C$5:$C$358,$B3,'Little Explorers Kits'!L$5:L$358)+SUMIF('Junior Makers Kits'!$C$5:$C$440,$B3,'Junior Makers Kits'!L$5:L$440)+SUMIF('Young Innovators Kits'!$C$5:$C$418,$B3,'Young Innovators Kits'!L$5:L$418)+SUMIF('Tech Leaders Kits'!$C$5:$C$386,$B3,'Tech Leaders Kits'!L$5:L$386)</f>
        <v>0</v>
      </c>
      <c r="J3" s="77" t="n">
        <f aca="false">SUMIF('Little Explorers Kits'!$C$5:$C$358,$B3,'Little Explorers Kits'!M$5:M$358)+SUMIF('Junior Makers Kits'!$C$5:$C$440,$B3,'Junior Makers Kits'!M$5:M$440)+SUMIF('Young Innovators Kits'!$C$5:$C$418,$B3,'Young Innovators Kits'!M$5:M$418)+SUMIF('Tech Leaders Kits'!$C$5:$C$386,$B3,'Tech Leaders Kits'!M$5:M$386)</f>
        <v>0</v>
      </c>
      <c r="K3" s="77" t="n">
        <f aca="false">SUM(E3:J3)</f>
        <v>0</v>
      </c>
      <c r="L3" s="77" t="n">
        <f aca="false">MAX(E3:I3)+J3</f>
        <v>0</v>
      </c>
      <c r="M3" s="23" t="n">
        <f aca="false">IF(D3="Reusable",L3,K3)</f>
        <v>0</v>
      </c>
      <c r="N3" s="77" t="str">
        <f aca="false">IF(M3&gt;0,COUNTIF($M$3:M3,"&gt;0"),"")</f>
        <v/>
      </c>
    </row>
    <row r="4" customFormat="false" ht="15" hidden="false" customHeight="false" outlineLevel="0" collapsed="false">
      <c r="A4" s="77" t="s">
        <v>366</v>
      </c>
      <c r="B4" s="77" t="s">
        <v>391</v>
      </c>
      <c r="C4" s="77" t="s">
        <v>716</v>
      </c>
      <c r="D4" s="77" t="s">
        <v>368</v>
      </c>
      <c r="E4" s="77" t="n">
        <f aca="false">SUMIF('Little Explorers Kits'!$C$5:$C$358,$B4,'Little Explorers Kits'!H$5:H$358)+SUMIF('Junior Makers Kits'!$C$5:$C$440,$B4,'Junior Makers Kits'!H$5:H$440)+SUMIF('Young Innovators Kits'!$C$5:$C$418,$B4,'Young Innovators Kits'!H$5:H$418)+SUMIF('Tech Leaders Kits'!$C$5:$C$386,$B4,'Tech Leaders Kits'!H$5:H$386)</f>
        <v>0</v>
      </c>
      <c r="F4" s="77" t="n">
        <f aca="false">SUMIF('Little Explorers Kits'!$C$5:$C$358,$B4,'Little Explorers Kits'!I$5:I$358)+SUMIF('Junior Makers Kits'!$C$5:$C$440,$B4,'Junior Makers Kits'!I$5:I$440)+SUMIF('Young Innovators Kits'!$C$5:$C$418,$B4,'Young Innovators Kits'!I$5:I$418)+SUMIF('Tech Leaders Kits'!$C$5:$C$386,$B4,'Tech Leaders Kits'!I$5:I$386)</f>
        <v>0</v>
      </c>
      <c r="G4" s="77" t="n">
        <f aca="false">SUMIF('Little Explorers Kits'!$C$5:$C$358,$B4,'Little Explorers Kits'!J$5:J$358)+SUMIF('Junior Makers Kits'!$C$5:$C$440,$B4,'Junior Makers Kits'!J$5:J$440)+SUMIF('Young Innovators Kits'!$C$5:$C$418,$B4,'Young Innovators Kits'!J$5:J$418)+SUMIF('Tech Leaders Kits'!$C$5:$C$386,$B4,'Tech Leaders Kits'!J$5:J$386)</f>
        <v>0</v>
      </c>
      <c r="H4" s="77" t="n">
        <f aca="false">SUMIF('Little Explorers Kits'!$C$5:$C$358,$B4,'Little Explorers Kits'!K$5:K$358)+SUMIF('Junior Makers Kits'!$C$5:$C$440,$B4,'Junior Makers Kits'!K$5:K$440)+SUMIF('Young Innovators Kits'!$C$5:$C$418,$B4,'Young Innovators Kits'!K$5:K$418)+SUMIF('Tech Leaders Kits'!$C$5:$C$386,$B4,'Tech Leaders Kits'!K$5:K$386)</f>
        <v>0</v>
      </c>
      <c r="I4" s="77" t="n">
        <f aca="false">SUMIF('Little Explorers Kits'!$C$5:$C$358,$B4,'Little Explorers Kits'!L$5:L$358)+SUMIF('Junior Makers Kits'!$C$5:$C$440,$B4,'Junior Makers Kits'!L$5:L$440)+SUMIF('Young Innovators Kits'!$C$5:$C$418,$B4,'Young Innovators Kits'!L$5:L$418)+SUMIF('Tech Leaders Kits'!$C$5:$C$386,$B4,'Tech Leaders Kits'!L$5:L$386)</f>
        <v>0</v>
      </c>
      <c r="J4" s="77" t="n">
        <f aca="false">SUMIF('Little Explorers Kits'!$C$5:$C$358,$B4,'Little Explorers Kits'!M$5:M$358)+SUMIF('Junior Makers Kits'!$C$5:$C$440,$B4,'Junior Makers Kits'!M$5:M$440)+SUMIF('Young Innovators Kits'!$C$5:$C$418,$B4,'Young Innovators Kits'!M$5:M$418)+SUMIF('Tech Leaders Kits'!$C$5:$C$386,$B4,'Tech Leaders Kits'!M$5:M$386)</f>
        <v>0</v>
      </c>
      <c r="K4" s="77" t="n">
        <f aca="false">SUM(E4:J4)</f>
        <v>0</v>
      </c>
      <c r="L4" s="77" t="n">
        <f aca="false">MAX(E4:I4)+J4</f>
        <v>0</v>
      </c>
      <c r="M4" s="23" t="n">
        <f aca="false">IF(D4="Reusable",L4,K4)</f>
        <v>0</v>
      </c>
      <c r="N4" s="77" t="str">
        <f aca="false">IF(M4&gt;0,COUNTIF($M$3:M4,"&gt;0"),"")</f>
        <v/>
      </c>
    </row>
    <row r="5" customFormat="false" ht="15" hidden="false" customHeight="false" outlineLevel="0" collapsed="false">
      <c r="A5" s="77" t="s">
        <v>366</v>
      </c>
      <c r="B5" s="77" t="s">
        <v>634</v>
      </c>
      <c r="C5" s="77" t="s">
        <v>717</v>
      </c>
      <c r="D5" s="77" t="s">
        <v>368</v>
      </c>
      <c r="E5" s="77" t="n">
        <f aca="false">SUMIF('Little Explorers Kits'!$C$5:$C$358,$B5,'Little Explorers Kits'!H$5:H$358)+SUMIF('Junior Makers Kits'!$C$5:$C$440,$B5,'Junior Makers Kits'!H$5:H$440)+SUMIF('Young Innovators Kits'!$C$5:$C$418,$B5,'Young Innovators Kits'!H$5:H$418)+SUMIF('Tech Leaders Kits'!$C$5:$C$386,$B5,'Tech Leaders Kits'!H$5:H$386)</f>
        <v>0</v>
      </c>
      <c r="F5" s="77" t="n">
        <f aca="false">SUMIF('Little Explorers Kits'!$C$5:$C$358,$B5,'Little Explorers Kits'!I$5:I$358)+SUMIF('Junior Makers Kits'!$C$5:$C$440,$B5,'Junior Makers Kits'!I$5:I$440)+SUMIF('Young Innovators Kits'!$C$5:$C$418,$B5,'Young Innovators Kits'!I$5:I$418)+SUMIF('Tech Leaders Kits'!$C$5:$C$386,$B5,'Tech Leaders Kits'!I$5:I$386)</f>
        <v>0</v>
      </c>
      <c r="G5" s="77" t="n">
        <f aca="false">SUMIF('Little Explorers Kits'!$C$5:$C$358,$B5,'Little Explorers Kits'!J$5:J$358)+SUMIF('Junior Makers Kits'!$C$5:$C$440,$B5,'Junior Makers Kits'!J$5:J$440)+SUMIF('Young Innovators Kits'!$C$5:$C$418,$B5,'Young Innovators Kits'!J$5:J$418)+SUMIF('Tech Leaders Kits'!$C$5:$C$386,$B5,'Tech Leaders Kits'!J$5:J$386)</f>
        <v>0</v>
      </c>
      <c r="H5" s="77" t="n">
        <f aca="false">SUMIF('Little Explorers Kits'!$C$5:$C$358,$B5,'Little Explorers Kits'!K$5:K$358)+SUMIF('Junior Makers Kits'!$C$5:$C$440,$B5,'Junior Makers Kits'!K$5:K$440)+SUMIF('Young Innovators Kits'!$C$5:$C$418,$B5,'Young Innovators Kits'!K$5:K$418)+SUMIF('Tech Leaders Kits'!$C$5:$C$386,$B5,'Tech Leaders Kits'!K$5:K$386)</f>
        <v>0</v>
      </c>
      <c r="I5" s="77" t="n">
        <f aca="false">SUMIF('Little Explorers Kits'!$C$5:$C$358,$B5,'Little Explorers Kits'!L$5:L$358)+SUMIF('Junior Makers Kits'!$C$5:$C$440,$B5,'Junior Makers Kits'!L$5:L$440)+SUMIF('Young Innovators Kits'!$C$5:$C$418,$B5,'Young Innovators Kits'!L$5:L$418)+SUMIF('Tech Leaders Kits'!$C$5:$C$386,$B5,'Tech Leaders Kits'!L$5:L$386)</f>
        <v>0</v>
      </c>
      <c r="J5" s="77" t="n">
        <f aca="false">SUMIF('Little Explorers Kits'!$C$5:$C$358,$B5,'Little Explorers Kits'!M$5:M$358)+SUMIF('Junior Makers Kits'!$C$5:$C$440,$B5,'Junior Makers Kits'!M$5:M$440)+SUMIF('Young Innovators Kits'!$C$5:$C$418,$B5,'Young Innovators Kits'!M$5:M$418)+SUMIF('Tech Leaders Kits'!$C$5:$C$386,$B5,'Tech Leaders Kits'!M$5:M$386)</f>
        <v>0</v>
      </c>
      <c r="K5" s="77" t="n">
        <f aca="false">SUM(E5:J5)</f>
        <v>0</v>
      </c>
      <c r="L5" s="77" t="n">
        <f aca="false">MAX(E5:I5)+J5</f>
        <v>0</v>
      </c>
      <c r="M5" s="23" t="n">
        <f aca="false">IF(D5="Reusable",L5,K5)</f>
        <v>0</v>
      </c>
      <c r="N5" s="77" t="str">
        <f aca="false">IF(M5&gt;0,COUNTIF($M$3:M5,"&gt;0"),"")</f>
        <v/>
      </c>
    </row>
    <row r="6" customFormat="false" ht="15" hidden="false" customHeight="false" outlineLevel="0" collapsed="false">
      <c r="A6" s="77" t="s">
        <v>366</v>
      </c>
      <c r="B6" s="77" t="s">
        <v>453</v>
      </c>
      <c r="C6" s="77" t="s">
        <v>718</v>
      </c>
      <c r="D6" s="77" t="s">
        <v>368</v>
      </c>
      <c r="E6" s="77" t="n">
        <f aca="false">SUMIF('Little Explorers Kits'!$C$5:$C$358,$B6,'Little Explorers Kits'!H$5:H$358)+SUMIF('Junior Makers Kits'!$C$5:$C$440,$B6,'Junior Makers Kits'!H$5:H$440)+SUMIF('Young Innovators Kits'!$C$5:$C$418,$B6,'Young Innovators Kits'!H$5:H$418)+SUMIF('Tech Leaders Kits'!$C$5:$C$386,$B6,'Tech Leaders Kits'!H$5:H$386)</f>
        <v>0</v>
      </c>
      <c r="F6" s="77" t="n">
        <f aca="false">SUMIF('Little Explorers Kits'!$C$5:$C$358,$B6,'Little Explorers Kits'!I$5:I$358)+SUMIF('Junior Makers Kits'!$C$5:$C$440,$B6,'Junior Makers Kits'!I$5:I$440)+SUMIF('Young Innovators Kits'!$C$5:$C$418,$B6,'Young Innovators Kits'!I$5:I$418)+SUMIF('Tech Leaders Kits'!$C$5:$C$386,$B6,'Tech Leaders Kits'!I$5:I$386)</f>
        <v>0</v>
      </c>
      <c r="G6" s="77" t="n">
        <f aca="false">SUMIF('Little Explorers Kits'!$C$5:$C$358,$B6,'Little Explorers Kits'!J$5:J$358)+SUMIF('Junior Makers Kits'!$C$5:$C$440,$B6,'Junior Makers Kits'!J$5:J$440)+SUMIF('Young Innovators Kits'!$C$5:$C$418,$B6,'Young Innovators Kits'!J$5:J$418)+SUMIF('Tech Leaders Kits'!$C$5:$C$386,$B6,'Tech Leaders Kits'!J$5:J$386)</f>
        <v>0</v>
      </c>
      <c r="H6" s="77" t="n">
        <f aca="false">SUMIF('Little Explorers Kits'!$C$5:$C$358,$B6,'Little Explorers Kits'!K$5:K$358)+SUMIF('Junior Makers Kits'!$C$5:$C$440,$B6,'Junior Makers Kits'!K$5:K$440)+SUMIF('Young Innovators Kits'!$C$5:$C$418,$B6,'Young Innovators Kits'!K$5:K$418)+SUMIF('Tech Leaders Kits'!$C$5:$C$386,$B6,'Tech Leaders Kits'!K$5:K$386)</f>
        <v>0</v>
      </c>
      <c r="I6" s="77" t="n">
        <f aca="false">SUMIF('Little Explorers Kits'!$C$5:$C$358,$B6,'Little Explorers Kits'!L$5:L$358)+SUMIF('Junior Makers Kits'!$C$5:$C$440,$B6,'Junior Makers Kits'!L$5:L$440)+SUMIF('Young Innovators Kits'!$C$5:$C$418,$B6,'Young Innovators Kits'!L$5:L$418)+SUMIF('Tech Leaders Kits'!$C$5:$C$386,$B6,'Tech Leaders Kits'!L$5:L$386)</f>
        <v>0</v>
      </c>
      <c r="J6" s="77" t="n">
        <f aca="false">SUMIF('Little Explorers Kits'!$C$5:$C$358,$B6,'Little Explorers Kits'!M$5:M$358)+SUMIF('Junior Makers Kits'!$C$5:$C$440,$B6,'Junior Makers Kits'!M$5:M$440)+SUMIF('Young Innovators Kits'!$C$5:$C$418,$B6,'Young Innovators Kits'!M$5:M$418)+SUMIF('Tech Leaders Kits'!$C$5:$C$386,$B6,'Tech Leaders Kits'!M$5:M$386)</f>
        <v>0</v>
      </c>
      <c r="K6" s="77" t="n">
        <f aca="false">SUM(E6:J6)</f>
        <v>0</v>
      </c>
      <c r="L6" s="77" t="n">
        <f aca="false">MAX(E6:I6)+J6</f>
        <v>0</v>
      </c>
      <c r="M6" s="23" t="n">
        <f aca="false">IF(D6="Reusable",L6,K6)</f>
        <v>0</v>
      </c>
      <c r="N6" s="77" t="str">
        <f aca="false">IF(M6&gt;0,COUNTIF($M$3:M6,"&gt;0"),"")</f>
        <v/>
      </c>
    </row>
    <row r="7" customFormat="false" ht="15" hidden="false" customHeight="false" outlineLevel="0" collapsed="false">
      <c r="A7" s="77" t="s">
        <v>447</v>
      </c>
      <c r="B7" s="77" t="s">
        <v>542</v>
      </c>
      <c r="C7" s="77" t="s">
        <v>719</v>
      </c>
      <c r="D7" s="77" t="s">
        <v>368</v>
      </c>
      <c r="E7" s="77" t="n">
        <f aca="false">SUMIF('Little Explorers Kits'!$C$5:$C$358,$B7,'Little Explorers Kits'!H$5:H$358)+SUMIF('Junior Makers Kits'!$C$5:$C$440,$B7,'Junior Makers Kits'!H$5:H$440)+SUMIF('Young Innovators Kits'!$C$5:$C$418,$B7,'Young Innovators Kits'!H$5:H$418)+SUMIF('Tech Leaders Kits'!$C$5:$C$386,$B7,'Tech Leaders Kits'!H$5:H$386)</f>
        <v>0</v>
      </c>
      <c r="F7" s="77" t="n">
        <f aca="false">SUMIF('Little Explorers Kits'!$C$5:$C$358,$B7,'Little Explorers Kits'!I$5:I$358)+SUMIF('Junior Makers Kits'!$C$5:$C$440,$B7,'Junior Makers Kits'!I$5:I$440)+SUMIF('Young Innovators Kits'!$C$5:$C$418,$B7,'Young Innovators Kits'!I$5:I$418)+SUMIF('Tech Leaders Kits'!$C$5:$C$386,$B7,'Tech Leaders Kits'!I$5:I$386)</f>
        <v>0</v>
      </c>
      <c r="G7" s="77" t="n">
        <f aca="false">SUMIF('Little Explorers Kits'!$C$5:$C$358,$B7,'Little Explorers Kits'!J$5:J$358)+SUMIF('Junior Makers Kits'!$C$5:$C$440,$B7,'Junior Makers Kits'!J$5:J$440)+SUMIF('Young Innovators Kits'!$C$5:$C$418,$B7,'Young Innovators Kits'!J$5:J$418)+SUMIF('Tech Leaders Kits'!$C$5:$C$386,$B7,'Tech Leaders Kits'!J$5:J$386)</f>
        <v>0</v>
      </c>
      <c r="H7" s="77" t="n">
        <f aca="false">SUMIF('Little Explorers Kits'!$C$5:$C$358,$B7,'Little Explorers Kits'!K$5:K$358)+SUMIF('Junior Makers Kits'!$C$5:$C$440,$B7,'Junior Makers Kits'!K$5:K$440)+SUMIF('Young Innovators Kits'!$C$5:$C$418,$B7,'Young Innovators Kits'!K$5:K$418)+SUMIF('Tech Leaders Kits'!$C$5:$C$386,$B7,'Tech Leaders Kits'!K$5:K$386)</f>
        <v>0</v>
      </c>
      <c r="I7" s="77" t="n">
        <f aca="false">SUMIF('Little Explorers Kits'!$C$5:$C$358,$B7,'Little Explorers Kits'!L$5:L$358)+SUMIF('Junior Makers Kits'!$C$5:$C$440,$B7,'Junior Makers Kits'!L$5:L$440)+SUMIF('Young Innovators Kits'!$C$5:$C$418,$B7,'Young Innovators Kits'!L$5:L$418)+SUMIF('Tech Leaders Kits'!$C$5:$C$386,$B7,'Tech Leaders Kits'!L$5:L$386)</f>
        <v>0</v>
      </c>
      <c r="J7" s="77" t="n">
        <f aca="false">SUMIF('Little Explorers Kits'!$C$5:$C$358,$B7,'Little Explorers Kits'!M$5:M$358)+SUMIF('Junior Makers Kits'!$C$5:$C$440,$B7,'Junior Makers Kits'!M$5:M$440)+SUMIF('Young Innovators Kits'!$C$5:$C$418,$B7,'Young Innovators Kits'!M$5:M$418)+SUMIF('Tech Leaders Kits'!$C$5:$C$386,$B7,'Tech Leaders Kits'!M$5:M$386)</f>
        <v>0</v>
      </c>
      <c r="K7" s="77" t="n">
        <f aca="false">SUM(E7:J7)</f>
        <v>0</v>
      </c>
      <c r="L7" s="77" t="n">
        <f aca="false">MAX(E7:I7)+J7</f>
        <v>0</v>
      </c>
      <c r="M7" s="23" t="n">
        <f aca="false">IF(D7="Reusable",L7,K7)</f>
        <v>0</v>
      </c>
      <c r="N7" s="77" t="str">
        <f aca="false">IF(M7&gt;0,COUNTIF($M$3:M7,"&gt;0"),"")</f>
        <v/>
      </c>
    </row>
    <row r="8" customFormat="false" ht="15" hidden="false" customHeight="false" outlineLevel="0" collapsed="false">
      <c r="A8" s="77" t="s">
        <v>447</v>
      </c>
      <c r="B8" s="77" t="s">
        <v>469</v>
      </c>
      <c r="C8" s="77" t="s">
        <v>720</v>
      </c>
      <c r="D8" s="77" t="s">
        <v>368</v>
      </c>
      <c r="E8" s="77" t="n">
        <f aca="false">SUMIF('Little Explorers Kits'!$C$5:$C$358,$B8,'Little Explorers Kits'!H$5:H$358)+SUMIF('Junior Makers Kits'!$C$5:$C$440,$B8,'Junior Makers Kits'!H$5:H$440)+SUMIF('Young Innovators Kits'!$C$5:$C$418,$B8,'Young Innovators Kits'!H$5:H$418)+SUMIF('Tech Leaders Kits'!$C$5:$C$386,$B8,'Tech Leaders Kits'!H$5:H$386)</f>
        <v>0</v>
      </c>
      <c r="F8" s="77" t="n">
        <f aca="false">SUMIF('Little Explorers Kits'!$C$5:$C$358,$B8,'Little Explorers Kits'!I$5:I$358)+SUMIF('Junior Makers Kits'!$C$5:$C$440,$B8,'Junior Makers Kits'!I$5:I$440)+SUMIF('Young Innovators Kits'!$C$5:$C$418,$B8,'Young Innovators Kits'!I$5:I$418)+SUMIF('Tech Leaders Kits'!$C$5:$C$386,$B8,'Tech Leaders Kits'!I$5:I$386)</f>
        <v>0</v>
      </c>
      <c r="G8" s="77" t="n">
        <f aca="false">SUMIF('Little Explorers Kits'!$C$5:$C$358,$B8,'Little Explorers Kits'!J$5:J$358)+SUMIF('Junior Makers Kits'!$C$5:$C$440,$B8,'Junior Makers Kits'!J$5:J$440)+SUMIF('Young Innovators Kits'!$C$5:$C$418,$B8,'Young Innovators Kits'!J$5:J$418)+SUMIF('Tech Leaders Kits'!$C$5:$C$386,$B8,'Tech Leaders Kits'!J$5:J$386)</f>
        <v>0</v>
      </c>
      <c r="H8" s="77" t="n">
        <f aca="false">SUMIF('Little Explorers Kits'!$C$5:$C$358,$B8,'Little Explorers Kits'!K$5:K$358)+SUMIF('Junior Makers Kits'!$C$5:$C$440,$B8,'Junior Makers Kits'!K$5:K$440)+SUMIF('Young Innovators Kits'!$C$5:$C$418,$B8,'Young Innovators Kits'!K$5:K$418)+SUMIF('Tech Leaders Kits'!$C$5:$C$386,$B8,'Tech Leaders Kits'!K$5:K$386)</f>
        <v>0</v>
      </c>
      <c r="I8" s="77" t="n">
        <f aca="false">SUMIF('Little Explorers Kits'!$C$5:$C$358,$B8,'Little Explorers Kits'!L$5:L$358)+SUMIF('Junior Makers Kits'!$C$5:$C$440,$B8,'Junior Makers Kits'!L$5:L$440)+SUMIF('Young Innovators Kits'!$C$5:$C$418,$B8,'Young Innovators Kits'!L$5:L$418)+SUMIF('Tech Leaders Kits'!$C$5:$C$386,$B8,'Tech Leaders Kits'!L$5:L$386)</f>
        <v>0</v>
      </c>
      <c r="J8" s="77" t="n">
        <f aca="false">SUMIF('Little Explorers Kits'!$C$5:$C$358,$B8,'Little Explorers Kits'!M$5:M$358)+SUMIF('Junior Makers Kits'!$C$5:$C$440,$B8,'Junior Makers Kits'!M$5:M$440)+SUMIF('Young Innovators Kits'!$C$5:$C$418,$B8,'Young Innovators Kits'!M$5:M$418)+SUMIF('Tech Leaders Kits'!$C$5:$C$386,$B8,'Tech Leaders Kits'!M$5:M$386)</f>
        <v>0</v>
      </c>
      <c r="K8" s="77" t="n">
        <f aca="false">SUM(E8:J8)</f>
        <v>0</v>
      </c>
      <c r="L8" s="77" t="n">
        <f aca="false">MAX(E8:I8)+J8</f>
        <v>0</v>
      </c>
      <c r="M8" s="23" t="n">
        <f aca="false">IF(D8="Reusable",L8,K8)</f>
        <v>0</v>
      </c>
      <c r="N8" s="77" t="str">
        <f aca="false">IF(M8&gt;0,COUNTIF($M$3:M8,"&gt;0"),"")</f>
        <v/>
      </c>
    </row>
    <row r="9" customFormat="false" ht="15" hidden="false" customHeight="false" outlineLevel="0" collapsed="false">
      <c r="A9" s="77" t="s">
        <v>447</v>
      </c>
      <c r="B9" s="77" t="s">
        <v>448</v>
      </c>
      <c r="C9" s="77" t="s">
        <v>721</v>
      </c>
      <c r="D9" s="77" t="s">
        <v>373</v>
      </c>
      <c r="E9" s="77" t="n">
        <f aca="false">SUMIF('Little Explorers Kits'!$C$5:$C$358,$B9,'Little Explorers Kits'!H$5:H$358)+SUMIF('Junior Makers Kits'!$C$5:$C$440,$B9,'Junior Makers Kits'!H$5:H$440)+SUMIF('Young Innovators Kits'!$C$5:$C$418,$B9,'Young Innovators Kits'!H$5:H$418)+SUMIF('Tech Leaders Kits'!$C$5:$C$386,$B9,'Tech Leaders Kits'!H$5:H$386)</f>
        <v>0</v>
      </c>
      <c r="F9" s="77" t="n">
        <f aca="false">SUMIF('Little Explorers Kits'!$C$5:$C$358,$B9,'Little Explorers Kits'!I$5:I$358)+SUMIF('Junior Makers Kits'!$C$5:$C$440,$B9,'Junior Makers Kits'!I$5:I$440)+SUMIF('Young Innovators Kits'!$C$5:$C$418,$B9,'Young Innovators Kits'!I$5:I$418)+SUMIF('Tech Leaders Kits'!$C$5:$C$386,$B9,'Tech Leaders Kits'!I$5:I$386)</f>
        <v>0</v>
      </c>
      <c r="G9" s="77" t="n">
        <f aca="false">SUMIF('Little Explorers Kits'!$C$5:$C$358,$B9,'Little Explorers Kits'!J$5:J$358)+SUMIF('Junior Makers Kits'!$C$5:$C$440,$B9,'Junior Makers Kits'!J$5:J$440)+SUMIF('Young Innovators Kits'!$C$5:$C$418,$B9,'Young Innovators Kits'!J$5:J$418)+SUMIF('Tech Leaders Kits'!$C$5:$C$386,$B9,'Tech Leaders Kits'!J$5:J$386)</f>
        <v>0</v>
      </c>
      <c r="H9" s="77" t="n">
        <f aca="false">SUMIF('Little Explorers Kits'!$C$5:$C$358,$B9,'Little Explorers Kits'!K$5:K$358)+SUMIF('Junior Makers Kits'!$C$5:$C$440,$B9,'Junior Makers Kits'!K$5:K$440)+SUMIF('Young Innovators Kits'!$C$5:$C$418,$B9,'Young Innovators Kits'!K$5:K$418)+SUMIF('Tech Leaders Kits'!$C$5:$C$386,$B9,'Tech Leaders Kits'!K$5:K$386)</f>
        <v>0</v>
      </c>
      <c r="I9" s="77" t="n">
        <f aca="false">SUMIF('Little Explorers Kits'!$C$5:$C$358,$B9,'Little Explorers Kits'!L$5:L$358)+SUMIF('Junior Makers Kits'!$C$5:$C$440,$B9,'Junior Makers Kits'!L$5:L$440)+SUMIF('Young Innovators Kits'!$C$5:$C$418,$B9,'Young Innovators Kits'!L$5:L$418)+SUMIF('Tech Leaders Kits'!$C$5:$C$386,$B9,'Tech Leaders Kits'!L$5:L$386)</f>
        <v>0</v>
      </c>
      <c r="J9" s="77" t="n">
        <f aca="false">SUMIF('Little Explorers Kits'!$C$5:$C$358,$B9,'Little Explorers Kits'!M$5:M$358)+SUMIF('Junior Makers Kits'!$C$5:$C$440,$B9,'Junior Makers Kits'!M$5:M$440)+SUMIF('Young Innovators Kits'!$C$5:$C$418,$B9,'Young Innovators Kits'!M$5:M$418)+SUMIF('Tech Leaders Kits'!$C$5:$C$386,$B9,'Tech Leaders Kits'!M$5:M$386)</f>
        <v>0</v>
      </c>
      <c r="K9" s="77" t="n">
        <f aca="false">SUM(E9:J9)</f>
        <v>0</v>
      </c>
      <c r="L9" s="77" t="n">
        <f aca="false">MAX(E9:I9)+J9</f>
        <v>0</v>
      </c>
      <c r="M9" s="23" t="n">
        <f aca="false">IF(D9="Reusable",L9,K9)</f>
        <v>0</v>
      </c>
      <c r="N9" s="77" t="str">
        <f aca="false">IF(M9&gt;0,COUNTIF($M$3:M9,"&gt;0"),"")</f>
        <v/>
      </c>
    </row>
    <row r="10" customFormat="false" ht="15" hidden="false" customHeight="false" outlineLevel="0" collapsed="false">
      <c r="A10" s="77" t="s">
        <v>369</v>
      </c>
      <c r="B10" s="77" t="s">
        <v>479</v>
      </c>
      <c r="C10" s="77" t="s">
        <v>722</v>
      </c>
      <c r="D10" s="77" t="s">
        <v>368</v>
      </c>
      <c r="E10" s="77" t="n">
        <f aca="false">SUMIF('Little Explorers Kits'!$C$5:$C$358,$B10,'Little Explorers Kits'!H$5:H$358)+SUMIF('Junior Makers Kits'!$C$5:$C$440,$B10,'Junior Makers Kits'!H$5:H$440)+SUMIF('Young Innovators Kits'!$C$5:$C$418,$B10,'Young Innovators Kits'!H$5:H$418)+SUMIF('Tech Leaders Kits'!$C$5:$C$386,$B10,'Tech Leaders Kits'!H$5:H$386)</f>
        <v>0</v>
      </c>
      <c r="F10" s="77" t="n">
        <f aca="false">SUMIF('Little Explorers Kits'!$C$5:$C$358,$B10,'Little Explorers Kits'!I$5:I$358)+SUMIF('Junior Makers Kits'!$C$5:$C$440,$B10,'Junior Makers Kits'!I$5:I$440)+SUMIF('Young Innovators Kits'!$C$5:$C$418,$B10,'Young Innovators Kits'!I$5:I$418)+SUMIF('Tech Leaders Kits'!$C$5:$C$386,$B10,'Tech Leaders Kits'!I$5:I$386)</f>
        <v>0</v>
      </c>
      <c r="G10" s="77" t="n">
        <f aca="false">SUMIF('Little Explorers Kits'!$C$5:$C$358,$B10,'Little Explorers Kits'!J$5:J$358)+SUMIF('Junior Makers Kits'!$C$5:$C$440,$B10,'Junior Makers Kits'!J$5:J$440)+SUMIF('Young Innovators Kits'!$C$5:$C$418,$B10,'Young Innovators Kits'!J$5:J$418)+SUMIF('Tech Leaders Kits'!$C$5:$C$386,$B10,'Tech Leaders Kits'!J$5:J$386)</f>
        <v>0</v>
      </c>
      <c r="H10" s="77" t="n">
        <f aca="false">SUMIF('Little Explorers Kits'!$C$5:$C$358,$B10,'Little Explorers Kits'!K$5:K$358)+SUMIF('Junior Makers Kits'!$C$5:$C$440,$B10,'Junior Makers Kits'!K$5:K$440)+SUMIF('Young Innovators Kits'!$C$5:$C$418,$B10,'Young Innovators Kits'!K$5:K$418)+SUMIF('Tech Leaders Kits'!$C$5:$C$386,$B10,'Tech Leaders Kits'!K$5:K$386)</f>
        <v>0</v>
      </c>
      <c r="I10" s="77" t="n">
        <f aca="false">SUMIF('Little Explorers Kits'!$C$5:$C$358,$B10,'Little Explorers Kits'!L$5:L$358)+SUMIF('Junior Makers Kits'!$C$5:$C$440,$B10,'Junior Makers Kits'!L$5:L$440)+SUMIF('Young Innovators Kits'!$C$5:$C$418,$B10,'Young Innovators Kits'!L$5:L$418)+SUMIF('Tech Leaders Kits'!$C$5:$C$386,$B10,'Tech Leaders Kits'!L$5:L$386)</f>
        <v>0</v>
      </c>
      <c r="J10" s="77" t="n">
        <f aca="false">SUMIF('Little Explorers Kits'!$C$5:$C$358,$B10,'Little Explorers Kits'!M$5:M$358)+SUMIF('Junior Makers Kits'!$C$5:$C$440,$B10,'Junior Makers Kits'!M$5:M$440)+SUMIF('Young Innovators Kits'!$C$5:$C$418,$B10,'Young Innovators Kits'!M$5:M$418)+SUMIF('Tech Leaders Kits'!$C$5:$C$386,$B10,'Tech Leaders Kits'!M$5:M$386)</f>
        <v>0</v>
      </c>
      <c r="K10" s="77" t="n">
        <f aca="false">SUM(E10:J10)</f>
        <v>0</v>
      </c>
      <c r="L10" s="77" t="n">
        <f aca="false">MAX(E10:I10)+J10</f>
        <v>0</v>
      </c>
      <c r="M10" s="23" t="n">
        <f aca="false">IF(D10="Reusable",L10,K10)</f>
        <v>0</v>
      </c>
      <c r="N10" s="77" t="str">
        <f aca="false">IF(M10&gt;0,COUNTIF($M$3:M10,"&gt;0"),"")</f>
        <v/>
      </c>
    </row>
    <row r="11" customFormat="false" ht="15" hidden="false" customHeight="false" outlineLevel="0" collapsed="false">
      <c r="A11" s="77" t="s">
        <v>369</v>
      </c>
      <c r="B11" s="77" t="s">
        <v>649</v>
      </c>
      <c r="C11" s="77" t="s">
        <v>723</v>
      </c>
      <c r="D11" s="77" t="s">
        <v>368</v>
      </c>
      <c r="E11" s="77" t="n">
        <f aca="false">SUMIF('Little Explorers Kits'!$C$5:$C$358,$B11,'Little Explorers Kits'!H$5:H$358)+SUMIF('Junior Makers Kits'!$C$5:$C$440,$B11,'Junior Makers Kits'!H$5:H$440)+SUMIF('Young Innovators Kits'!$C$5:$C$418,$B11,'Young Innovators Kits'!H$5:H$418)+SUMIF('Tech Leaders Kits'!$C$5:$C$386,$B11,'Tech Leaders Kits'!H$5:H$386)</f>
        <v>0</v>
      </c>
      <c r="F11" s="77" t="n">
        <f aca="false">SUMIF('Little Explorers Kits'!$C$5:$C$358,$B11,'Little Explorers Kits'!I$5:I$358)+SUMIF('Junior Makers Kits'!$C$5:$C$440,$B11,'Junior Makers Kits'!I$5:I$440)+SUMIF('Young Innovators Kits'!$C$5:$C$418,$B11,'Young Innovators Kits'!I$5:I$418)+SUMIF('Tech Leaders Kits'!$C$5:$C$386,$B11,'Tech Leaders Kits'!I$5:I$386)</f>
        <v>0</v>
      </c>
      <c r="G11" s="77" t="n">
        <f aca="false">SUMIF('Little Explorers Kits'!$C$5:$C$358,$B11,'Little Explorers Kits'!J$5:J$358)+SUMIF('Junior Makers Kits'!$C$5:$C$440,$B11,'Junior Makers Kits'!J$5:J$440)+SUMIF('Young Innovators Kits'!$C$5:$C$418,$B11,'Young Innovators Kits'!J$5:J$418)+SUMIF('Tech Leaders Kits'!$C$5:$C$386,$B11,'Tech Leaders Kits'!J$5:J$386)</f>
        <v>0</v>
      </c>
      <c r="H11" s="77" t="n">
        <f aca="false">SUMIF('Little Explorers Kits'!$C$5:$C$358,$B11,'Little Explorers Kits'!K$5:K$358)+SUMIF('Junior Makers Kits'!$C$5:$C$440,$B11,'Junior Makers Kits'!K$5:K$440)+SUMIF('Young Innovators Kits'!$C$5:$C$418,$B11,'Young Innovators Kits'!K$5:K$418)+SUMIF('Tech Leaders Kits'!$C$5:$C$386,$B11,'Tech Leaders Kits'!K$5:K$386)</f>
        <v>0</v>
      </c>
      <c r="I11" s="77" t="n">
        <f aca="false">SUMIF('Little Explorers Kits'!$C$5:$C$358,$B11,'Little Explorers Kits'!L$5:L$358)+SUMIF('Junior Makers Kits'!$C$5:$C$440,$B11,'Junior Makers Kits'!L$5:L$440)+SUMIF('Young Innovators Kits'!$C$5:$C$418,$B11,'Young Innovators Kits'!L$5:L$418)+SUMIF('Tech Leaders Kits'!$C$5:$C$386,$B11,'Tech Leaders Kits'!L$5:L$386)</f>
        <v>0</v>
      </c>
      <c r="J11" s="77" t="n">
        <f aca="false">SUMIF('Little Explorers Kits'!$C$5:$C$358,$B11,'Little Explorers Kits'!M$5:M$358)+SUMIF('Junior Makers Kits'!$C$5:$C$440,$B11,'Junior Makers Kits'!M$5:M$440)+SUMIF('Young Innovators Kits'!$C$5:$C$418,$B11,'Young Innovators Kits'!M$5:M$418)+SUMIF('Tech Leaders Kits'!$C$5:$C$386,$B11,'Tech Leaders Kits'!M$5:M$386)</f>
        <v>0</v>
      </c>
      <c r="K11" s="77" t="n">
        <f aca="false">SUM(E11:J11)</f>
        <v>0</v>
      </c>
      <c r="L11" s="77" t="n">
        <f aca="false">MAX(E11:I11)+J11</f>
        <v>0</v>
      </c>
      <c r="M11" s="23" t="n">
        <f aca="false">IF(D11="Reusable",L11,K11)</f>
        <v>0</v>
      </c>
      <c r="N11" s="77" t="str">
        <f aca="false">IF(M11&gt;0,COUNTIF($M$3:M11,"&gt;0"),"")</f>
        <v/>
      </c>
    </row>
    <row r="12" customFormat="false" ht="15" hidden="false" customHeight="false" outlineLevel="0" collapsed="false">
      <c r="A12" s="77" t="s">
        <v>369</v>
      </c>
      <c r="B12" s="77" t="s">
        <v>430</v>
      </c>
      <c r="C12" s="77" t="s">
        <v>724</v>
      </c>
      <c r="D12" s="77" t="s">
        <v>368</v>
      </c>
      <c r="E12" s="77" t="n">
        <f aca="false">SUMIF('Little Explorers Kits'!$C$5:$C$358,$B12,'Little Explorers Kits'!H$5:H$358)+SUMIF('Junior Makers Kits'!$C$5:$C$440,$B12,'Junior Makers Kits'!H$5:H$440)+SUMIF('Young Innovators Kits'!$C$5:$C$418,$B12,'Young Innovators Kits'!H$5:H$418)+SUMIF('Tech Leaders Kits'!$C$5:$C$386,$B12,'Tech Leaders Kits'!H$5:H$386)</f>
        <v>0</v>
      </c>
      <c r="F12" s="77" t="n">
        <f aca="false">SUMIF('Little Explorers Kits'!$C$5:$C$358,$B12,'Little Explorers Kits'!I$5:I$358)+SUMIF('Junior Makers Kits'!$C$5:$C$440,$B12,'Junior Makers Kits'!I$5:I$440)+SUMIF('Young Innovators Kits'!$C$5:$C$418,$B12,'Young Innovators Kits'!I$5:I$418)+SUMIF('Tech Leaders Kits'!$C$5:$C$386,$B12,'Tech Leaders Kits'!I$5:I$386)</f>
        <v>0</v>
      </c>
      <c r="G12" s="77" t="n">
        <f aca="false">SUMIF('Little Explorers Kits'!$C$5:$C$358,$B12,'Little Explorers Kits'!J$5:J$358)+SUMIF('Junior Makers Kits'!$C$5:$C$440,$B12,'Junior Makers Kits'!J$5:J$440)+SUMIF('Young Innovators Kits'!$C$5:$C$418,$B12,'Young Innovators Kits'!J$5:J$418)+SUMIF('Tech Leaders Kits'!$C$5:$C$386,$B12,'Tech Leaders Kits'!J$5:J$386)</f>
        <v>0</v>
      </c>
      <c r="H12" s="77" t="n">
        <f aca="false">SUMIF('Little Explorers Kits'!$C$5:$C$358,$B12,'Little Explorers Kits'!K$5:K$358)+SUMIF('Junior Makers Kits'!$C$5:$C$440,$B12,'Junior Makers Kits'!K$5:K$440)+SUMIF('Young Innovators Kits'!$C$5:$C$418,$B12,'Young Innovators Kits'!K$5:K$418)+SUMIF('Tech Leaders Kits'!$C$5:$C$386,$B12,'Tech Leaders Kits'!K$5:K$386)</f>
        <v>0</v>
      </c>
      <c r="I12" s="77" t="n">
        <f aca="false">SUMIF('Little Explorers Kits'!$C$5:$C$358,$B12,'Little Explorers Kits'!L$5:L$358)+SUMIF('Junior Makers Kits'!$C$5:$C$440,$B12,'Junior Makers Kits'!L$5:L$440)+SUMIF('Young Innovators Kits'!$C$5:$C$418,$B12,'Young Innovators Kits'!L$5:L$418)+SUMIF('Tech Leaders Kits'!$C$5:$C$386,$B12,'Tech Leaders Kits'!L$5:L$386)</f>
        <v>0</v>
      </c>
      <c r="J12" s="77" t="n">
        <f aca="false">SUMIF('Little Explorers Kits'!$C$5:$C$358,$B12,'Little Explorers Kits'!M$5:M$358)+SUMIF('Junior Makers Kits'!$C$5:$C$440,$B12,'Junior Makers Kits'!M$5:M$440)+SUMIF('Young Innovators Kits'!$C$5:$C$418,$B12,'Young Innovators Kits'!M$5:M$418)+SUMIF('Tech Leaders Kits'!$C$5:$C$386,$B12,'Tech Leaders Kits'!M$5:M$386)</f>
        <v>0</v>
      </c>
      <c r="K12" s="77" t="n">
        <f aca="false">SUM(E12:J12)</f>
        <v>0</v>
      </c>
      <c r="L12" s="77" t="n">
        <f aca="false">MAX(E12:I12)+J12</f>
        <v>0</v>
      </c>
      <c r="M12" s="23" t="n">
        <f aca="false">IF(D12="Reusable",L12,K12)</f>
        <v>0</v>
      </c>
      <c r="N12" s="77" t="str">
        <f aca="false">IF(M12&gt;0,COUNTIF($M$3:M12,"&gt;0"),"")</f>
        <v/>
      </c>
    </row>
    <row r="13" customFormat="false" ht="15" hidden="false" customHeight="false" outlineLevel="0" collapsed="false">
      <c r="A13" s="77" t="s">
        <v>369</v>
      </c>
      <c r="B13" s="77" t="s">
        <v>526</v>
      </c>
      <c r="C13" s="77" t="s">
        <v>725</v>
      </c>
      <c r="D13" s="77" t="s">
        <v>368</v>
      </c>
      <c r="E13" s="77" t="n">
        <f aca="false">SUMIF('Little Explorers Kits'!$C$5:$C$358,$B13,'Little Explorers Kits'!H$5:H$358)+SUMIF('Junior Makers Kits'!$C$5:$C$440,$B13,'Junior Makers Kits'!H$5:H$440)+SUMIF('Young Innovators Kits'!$C$5:$C$418,$B13,'Young Innovators Kits'!H$5:H$418)+SUMIF('Tech Leaders Kits'!$C$5:$C$386,$B13,'Tech Leaders Kits'!H$5:H$386)</f>
        <v>0</v>
      </c>
      <c r="F13" s="77" t="n">
        <f aca="false">SUMIF('Little Explorers Kits'!$C$5:$C$358,$B13,'Little Explorers Kits'!I$5:I$358)+SUMIF('Junior Makers Kits'!$C$5:$C$440,$B13,'Junior Makers Kits'!I$5:I$440)+SUMIF('Young Innovators Kits'!$C$5:$C$418,$B13,'Young Innovators Kits'!I$5:I$418)+SUMIF('Tech Leaders Kits'!$C$5:$C$386,$B13,'Tech Leaders Kits'!I$5:I$386)</f>
        <v>0</v>
      </c>
      <c r="G13" s="77" t="n">
        <f aca="false">SUMIF('Little Explorers Kits'!$C$5:$C$358,$B13,'Little Explorers Kits'!J$5:J$358)+SUMIF('Junior Makers Kits'!$C$5:$C$440,$B13,'Junior Makers Kits'!J$5:J$440)+SUMIF('Young Innovators Kits'!$C$5:$C$418,$B13,'Young Innovators Kits'!J$5:J$418)+SUMIF('Tech Leaders Kits'!$C$5:$C$386,$B13,'Tech Leaders Kits'!J$5:J$386)</f>
        <v>0</v>
      </c>
      <c r="H13" s="77" t="n">
        <f aca="false">SUMIF('Little Explorers Kits'!$C$5:$C$358,$B13,'Little Explorers Kits'!K$5:K$358)+SUMIF('Junior Makers Kits'!$C$5:$C$440,$B13,'Junior Makers Kits'!K$5:K$440)+SUMIF('Young Innovators Kits'!$C$5:$C$418,$B13,'Young Innovators Kits'!K$5:K$418)+SUMIF('Tech Leaders Kits'!$C$5:$C$386,$B13,'Tech Leaders Kits'!K$5:K$386)</f>
        <v>0</v>
      </c>
      <c r="I13" s="77" t="n">
        <f aca="false">SUMIF('Little Explorers Kits'!$C$5:$C$358,$B13,'Little Explorers Kits'!L$5:L$358)+SUMIF('Junior Makers Kits'!$C$5:$C$440,$B13,'Junior Makers Kits'!L$5:L$440)+SUMIF('Young Innovators Kits'!$C$5:$C$418,$B13,'Young Innovators Kits'!L$5:L$418)+SUMIF('Tech Leaders Kits'!$C$5:$C$386,$B13,'Tech Leaders Kits'!L$5:L$386)</f>
        <v>0</v>
      </c>
      <c r="J13" s="77" t="n">
        <f aca="false">SUMIF('Little Explorers Kits'!$C$5:$C$358,$B13,'Little Explorers Kits'!M$5:M$358)+SUMIF('Junior Makers Kits'!$C$5:$C$440,$B13,'Junior Makers Kits'!M$5:M$440)+SUMIF('Young Innovators Kits'!$C$5:$C$418,$B13,'Young Innovators Kits'!M$5:M$418)+SUMIF('Tech Leaders Kits'!$C$5:$C$386,$B13,'Tech Leaders Kits'!M$5:M$386)</f>
        <v>0</v>
      </c>
      <c r="K13" s="77" t="n">
        <f aca="false">SUM(E13:J13)</f>
        <v>0</v>
      </c>
      <c r="L13" s="77" t="n">
        <f aca="false">MAX(E13:I13)+J13</f>
        <v>0</v>
      </c>
      <c r="M13" s="23" t="n">
        <f aca="false">IF(D13="Reusable",L13,K13)</f>
        <v>0</v>
      </c>
      <c r="N13" s="77" t="str">
        <f aca="false">IF(M13&gt;0,COUNTIF($M$3:M13,"&gt;0"),"")</f>
        <v/>
      </c>
    </row>
    <row r="14" customFormat="false" ht="15" hidden="false" customHeight="false" outlineLevel="0" collapsed="false">
      <c r="A14" s="77" t="s">
        <v>369</v>
      </c>
      <c r="B14" s="77" t="s">
        <v>543</v>
      </c>
      <c r="C14" s="77" t="s">
        <v>726</v>
      </c>
      <c r="D14" s="77" t="s">
        <v>368</v>
      </c>
      <c r="E14" s="77" t="n">
        <f aca="false">SUMIF('Little Explorers Kits'!$C$5:$C$358,$B14,'Little Explorers Kits'!H$5:H$358)+SUMIF('Junior Makers Kits'!$C$5:$C$440,$B14,'Junior Makers Kits'!H$5:H$440)+SUMIF('Young Innovators Kits'!$C$5:$C$418,$B14,'Young Innovators Kits'!H$5:H$418)+SUMIF('Tech Leaders Kits'!$C$5:$C$386,$B14,'Tech Leaders Kits'!H$5:H$386)</f>
        <v>0</v>
      </c>
      <c r="F14" s="77" t="n">
        <f aca="false">SUMIF('Little Explorers Kits'!$C$5:$C$358,$B14,'Little Explorers Kits'!I$5:I$358)+SUMIF('Junior Makers Kits'!$C$5:$C$440,$B14,'Junior Makers Kits'!I$5:I$440)+SUMIF('Young Innovators Kits'!$C$5:$C$418,$B14,'Young Innovators Kits'!I$5:I$418)+SUMIF('Tech Leaders Kits'!$C$5:$C$386,$B14,'Tech Leaders Kits'!I$5:I$386)</f>
        <v>0</v>
      </c>
      <c r="G14" s="77" t="n">
        <f aca="false">SUMIF('Little Explorers Kits'!$C$5:$C$358,$B14,'Little Explorers Kits'!J$5:J$358)+SUMIF('Junior Makers Kits'!$C$5:$C$440,$B14,'Junior Makers Kits'!J$5:J$440)+SUMIF('Young Innovators Kits'!$C$5:$C$418,$B14,'Young Innovators Kits'!J$5:J$418)+SUMIF('Tech Leaders Kits'!$C$5:$C$386,$B14,'Tech Leaders Kits'!J$5:J$386)</f>
        <v>0</v>
      </c>
      <c r="H14" s="77" t="n">
        <f aca="false">SUMIF('Little Explorers Kits'!$C$5:$C$358,$B14,'Little Explorers Kits'!K$5:K$358)+SUMIF('Junior Makers Kits'!$C$5:$C$440,$B14,'Junior Makers Kits'!K$5:K$440)+SUMIF('Young Innovators Kits'!$C$5:$C$418,$B14,'Young Innovators Kits'!K$5:K$418)+SUMIF('Tech Leaders Kits'!$C$5:$C$386,$B14,'Tech Leaders Kits'!K$5:K$386)</f>
        <v>0</v>
      </c>
      <c r="I14" s="77" t="n">
        <f aca="false">SUMIF('Little Explorers Kits'!$C$5:$C$358,$B14,'Little Explorers Kits'!L$5:L$358)+SUMIF('Junior Makers Kits'!$C$5:$C$440,$B14,'Junior Makers Kits'!L$5:L$440)+SUMIF('Young Innovators Kits'!$C$5:$C$418,$B14,'Young Innovators Kits'!L$5:L$418)+SUMIF('Tech Leaders Kits'!$C$5:$C$386,$B14,'Tech Leaders Kits'!L$5:L$386)</f>
        <v>0</v>
      </c>
      <c r="J14" s="77" t="n">
        <f aca="false">SUMIF('Little Explorers Kits'!$C$5:$C$358,$B14,'Little Explorers Kits'!M$5:M$358)+SUMIF('Junior Makers Kits'!$C$5:$C$440,$B14,'Junior Makers Kits'!M$5:M$440)+SUMIF('Young Innovators Kits'!$C$5:$C$418,$B14,'Young Innovators Kits'!M$5:M$418)+SUMIF('Tech Leaders Kits'!$C$5:$C$386,$B14,'Tech Leaders Kits'!M$5:M$386)</f>
        <v>0</v>
      </c>
      <c r="K14" s="77" t="n">
        <f aca="false">SUM(E14:J14)</f>
        <v>0</v>
      </c>
      <c r="L14" s="77" t="n">
        <f aca="false">MAX(E14:I14)+J14</f>
        <v>0</v>
      </c>
      <c r="M14" s="23" t="n">
        <f aca="false">IF(D14="Reusable",L14,K14)</f>
        <v>0</v>
      </c>
      <c r="N14" s="77" t="str">
        <f aca="false">IF(M14&gt;0,COUNTIF($M$3:M14,"&gt;0"),"")</f>
        <v/>
      </c>
    </row>
    <row r="15" customFormat="false" ht="15" hidden="false" customHeight="false" outlineLevel="0" collapsed="false">
      <c r="A15" s="77" t="s">
        <v>369</v>
      </c>
      <c r="B15" s="77" t="s">
        <v>560</v>
      </c>
      <c r="C15" s="77" t="s">
        <v>727</v>
      </c>
      <c r="D15" s="77" t="s">
        <v>368</v>
      </c>
      <c r="E15" s="77" t="n">
        <f aca="false">SUMIF('Little Explorers Kits'!$C$5:$C$358,$B15,'Little Explorers Kits'!H$5:H$358)+SUMIF('Junior Makers Kits'!$C$5:$C$440,$B15,'Junior Makers Kits'!H$5:H$440)+SUMIF('Young Innovators Kits'!$C$5:$C$418,$B15,'Young Innovators Kits'!H$5:H$418)+SUMIF('Tech Leaders Kits'!$C$5:$C$386,$B15,'Tech Leaders Kits'!H$5:H$386)</f>
        <v>0</v>
      </c>
      <c r="F15" s="77" t="n">
        <f aca="false">SUMIF('Little Explorers Kits'!$C$5:$C$358,$B15,'Little Explorers Kits'!I$5:I$358)+SUMIF('Junior Makers Kits'!$C$5:$C$440,$B15,'Junior Makers Kits'!I$5:I$440)+SUMIF('Young Innovators Kits'!$C$5:$C$418,$B15,'Young Innovators Kits'!I$5:I$418)+SUMIF('Tech Leaders Kits'!$C$5:$C$386,$B15,'Tech Leaders Kits'!I$5:I$386)</f>
        <v>0</v>
      </c>
      <c r="G15" s="77" t="n">
        <f aca="false">SUMIF('Little Explorers Kits'!$C$5:$C$358,$B15,'Little Explorers Kits'!J$5:J$358)+SUMIF('Junior Makers Kits'!$C$5:$C$440,$B15,'Junior Makers Kits'!J$5:J$440)+SUMIF('Young Innovators Kits'!$C$5:$C$418,$B15,'Young Innovators Kits'!J$5:J$418)+SUMIF('Tech Leaders Kits'!$C$5:$C$386,$B15,'Tech Leaders Kits'!J$5:J$386)</f>
        <v>0</v>
      </c>
      <c r="H15" s="77" t="n">
        <f aca="false">SUMIF('Little Explorers Kits'!$C$5:$C$358,$B15,'Little Explorers Kits'!K$5:K$358)+SUMIF('Junior Makers Kits'!$C$5:$C$440,$B15,'Junior Makers Kits'!K$5:K$440)+SUMIF('Young Innovators Kits'!$C$5:$C$418,$B15,'Young Innovators Kits'!K$5:K$418)+SUMIF('Tech Leaders Kits'!$C$5:$C$386,$B15,'Tech Leaders Kits'!K$5:K$386)</f>
        <v>0</v>
      </c>
      <c r="I15" s="77" t="n">
        <f aca="false">SUMIF('Little Explorers Kits'!$C$5:$C$358,$B15,'Little Explorers Kits'!L$5:L$358)+SUMIF('Junior Makers Kits'!$C$5:$C$440,$B15,'Junior Makers Kits'!L$5:L$440)+SUMIF('Young Innovators Kits'!$C$5:$C$418,$B15,'Young Innovators Kits'!L$5:L$418)+SUMIF('Tech Leaders Kits'!$C$5:$C$386,$B15,'Tech Leaders Kits'!L$5:L$386)</f>
        <v>0</v>
      </c>
      <c r="J15" s="77" t="n">
        <f aca="false">SUMIF('Little Explorers Kits'!$C$5:$C$358,$B15,'Little Explorers Kits'!M$5:M$358)+SUMIF('Junior Makers Kits'!$C$5:$C$440,$B15,'Junior Makers Kits'!M$5:M$440)+SUMIF('Young Innovators Kits'!$C$5:$C$418,$B15,'Young Innovators Kits'!M$5:M$418)+SUMIF('Tech Leaders Kits'!$C$5:$C$386,$B15,'Tech Leaders Kits'!M$5:M$386)</f>
        <v>0</v>
      </c>
      <c r="K15" s="77" t="n">
        <f aca="false">SUM(E15:J15)</f>
        <v>0</v>
      </c>
      <c r="L15" s="77" t="n">
        <f aca="false">MAX(E15:I15)+J15</f>
        <v>0</v>
      </c>
      <c r="M15" s="23" t="n">
        <f aca="false">IF(D15="Reusable",L15,K15)</f>
        <v>0</v>
      </c>
      <c r="N15" s="77" t="str">
        <f aca="false">IF(M15&gt;0,COUNTIF($M$3:M15,"&gt;0"),"")</f>
        <v/>
      </c>
    </row>
    <row r="16" customFormat="false" ht="15" hidden="false" customHeight="false" outlineLevel="0" collapsed="false">
      <c r="A16" s="77" t="s">
        <v>369</v>
      </c>
      <c r="B16" s="77" t="s">
        <v>428</v>
      </c>
      <c r="C16" s="77" t="s">
        <v>728</v>
      </c>
      <c r="D16" s="77" t="s">
        <v>368</v>
      </c>
      <c r="E16" s="77" t="n">
        <f aca="false">SUMIF('Little Explorers Kits'!$C$5:$C$358,$B16,'Little Explorers Kits'!H$5:H$358)+SUMIF('Junior Makers Kits'!$C$5:$C$440,$B16,'Junior Makers Kits'!H$5:H$440)+SUMIF('Young Innovators Kits'!$C$5:$C$418,$B16,'Young Innovators Kits'!H$5:H$418)+SUMIF('Tech Leaders Kits'!$C$5:$C$386,$B16,'Tech Leaders Kits'!H$5:H$386)</f>
        <v>0</v>
      </c>
      <c r="F16" s="77" t="n">
        <f aca="false">SUMIF('Little Explorers Kits'!$C$5:$C$358,$B16,'Little Explorers Kits'!I$5:I$358)+SUMIF('Junior Makers Kits'!$C$5:$C$440,$B16,'Junior Makers Kits'!I$5:I$440)+SUMIF('Young Innovators Kits'!$C$5:$C$418,$B16,'Young Innovators Kits'!I$5:I$418)+SUMIF('Tech Leaders Kits'!$C$5:$C$386,$B16,'Tech Leaders Kits'!I$5:I$386)</f>
        <v>0</v>
      </c>
      <c r="G16" s="77" t="n">
        <f aca="false">SUMIF('Little Explorers Kits'!$C$5:$C$358,$B16,'Little Explorers Kits'!J$5:J$358)+SUMIF('Junior Makers Kits'!$C$5:$C$440,$B16,'Junior Makers Kits'!J$5:J$440)+SUMIF('Young Innovators Kits'!$C$5:$C$418,$B16,'Young Innovators Kits'!J$5:J$418)+SUMIF('Tech Leaders Kits'!$C$5:$C$386,$B16,'Tech Leaders Kits'!J$5:J$386)</f>
        <v>0</v>
      </c>
      <c r="H16" s="77" t="n">
        <f aca="false">SUMIF('Little Explorers Kits'!$C$5:$C$358,$B16,'Little Explorers Kits'!K$5:K$358)+SUMIF('Junior Makers Kits'!$C$5:$C$440,$B16,'Junior Makers Kits'!K$5:K$440)+SUMIF('Young Innovators Kits'!$C$5:$C$418,$B16,'Young Innovators Kits'!K$5:K$418)+SUMIF('Tech Leaders Kits'!$C$5:$C$386,$B16,'Tech Leaders Kits'!K$5:K$386)</f>
        <v>0</v>
      </c>
      <c r="I16" s="77" t="n">
        <f aca="false">SUMIF('Little Explorers Kits'!$C$5:$C$358,$B16,'Little Explorers Kits'!L$5:L$358)+SUMIF('Junior Makers Kits'!$C$5:$C$440,$B16,'Junior Makers Kits'!L$5:L$440)+SUMIF('Young Innovators Kits'!$C$5:$C$418,$B16,'Young Innovators Kits'!L$5:L$418)+SUMIF('Tech Leaders Kits'!$C$5:$C$386,$B16,'Tech Leaders Kits'!L$5:L$386)</f>
        <v>0</v>
      </c>
      <c r="J16" s="77" t="n">
        <f aca="false">SUMIF('Little Explorers Kits'!$C$5:$C$358,$B16,'Little Explorers Kits'!M$5:M$358)+SUMIF('Junior Makers Kits'!$C$5:$C$440,$B16,'Junior Makers Kits'!M$5:M$440)+SUMIF('Young Innovators Kits'!$C$5:$C$418,$B16,'Young Innovators Kits'!M$5:M$418)+SUMIF('Tech Leaders Kits'!$C$5:$C$386,$B16,'Tech Leaders Kits'!M$5:M$386)</f>
        <v>0</v>
      </c>
      <c r="K16" s="77" t="n">
        <f aca="false">SUM(E16:J16)</f>
        <v>0</v>
      </c>
      <c r="L16" s="77" t="n">
        <f aca="false">MAX(E16:I16)+J16</f>
        <v>0</v>
      </c>
      <c r="M16" s="23" t="n">
        <f aca="false">IF(D16="Reusable",L16,K16)</f>
        <v>0</v>
      </c>
      <c r="N16" s="77" t="str">
        <f aca="false">IF(M16&gt;0,COUNTIF($M$3:M16,"&gt;0"),"")</f>
        <v/>
      </c>
    </row>
    <row r="17" customFormat="false" ht="15" hidden="false" customHeight="false" outlineLevel="0" collapsed="false">
      <c r="A17" s="77" t="s">
        <v>369</v>
      </c>
      <c r="B17" s="77" t="s">
        <v>575</v>
      </c>
      <c r="C17" s="77" t="s">
        <v>729</v>
      </c>
      <c r="D17" s="77" t="s">
        <v>368</v>
      </c>
      <c r="E17" s="77" t="n">
        <f aca="false">SUMIF('Little Explorers Kits'!$C$5:$C$358,$B17,'Little Explorers Kits'!H$5:H$358)+SUMIF('Junior Makers Kits'!$C$5:$C$440,$B17,'Junior Makers Kits'!H$5:H$440)+SUMIF('Young Innovators Kits'!$C$5:$C$418,$B17,'Young Innovators Kits'!H$5:H$418)+SUMIF('Tech Leaders Kits'!$C$5:$C$386,$B17,'Tech Leaders Kits'!H$5:H$386)</f>
        <v>0</v>
      </c>
      <c r="F17" s="77" t="n">
        <f aca="false">SUMIF('Little Explorers Kits'!$C$5:$C$358,$B17,'Little Explorers Kits'!I$5:I$358)+SUMIF('Junior Makers Kits'!$C$5:$C$440,$B17,'Junior Makers Kits'!I$5:I$440)+SUMIF('Young Innovators Kits'!$C$5:$C$418,$B17,'Young Innovators Kits'!I$5:I$418)+SUMIF('Tech Leaders Kits'!$C$5:$C$386,$B17,'Tech Leaders Kits'!I$5:I$386)</f>
        <v>0</v>
      </c>
      <c r="G17" s="77" t="n">
        <f aca="false">SUMIF('Little Explorers Kits'!$C$5:$C$358,$B17,'Little Explorers Kits'!J$5:J$358)+SUMIF('Junior Makers Kits'!$C$5:$C$440,$B17,'Junior Makers Kits'!J$5:J$440)+SUMIF('Young Innovators Kits'!$C$5:$C$418,$B17,'Young Innovators Kits'!J$5:J$418)+SUMIF('Tech Leaders Kits'!$C$5:$C$386,$B17,'Tech Leaders Kits'!J$5:J$386)</f>
        <v>0</v>
      </c>
      <c r="H17" s="77" t="n">
        <f aca="false">SUMIF('Little Explorers Kits'!$C$5:$C$358,$B17,'Little Explorers Kits'!K$5:K$358)+SUMIF('Junior Makers Kits'!$C$5:$C$440,$B17,'Junior Makers Kits'!K$5:K$440)+SUMIF('Young Innovators Kits'!$C$5:$C$418,$B17,'Young Innovators Kits'!K$5:K$418)+SUMIF('Tech Leaders Kits'!$C$5:$C$386,$B17,'Tech Leaders Kits'!K$5:K$386)</f>
        <v>0</v>
      </c>
      <c r="I17" s="77" t="n">
        <f aca="false">SUMIF('Little Explorers Kits'!$C$5:$C$358,$B17,'Little Explorers Kits'!L$5:L$358)+SUMIF('Junior Makers Kits'!$C$5:$C$440,$B17,'Junior Makers Kits'!L$5:L$440)+SUMIF('Young Innovators Kits'!$C$5:$C$418,$B17,'Young Innovators Kits'!L$5:L$418)+SUMIF('Tech Leaders Kits'!$C$5:$C$386,$B17,'Tech Leaders Kits'!L$5:L$386)</f>
        <v>0</v>
      </c>
      <c r="J17" s="77" t="n">
        <f aca="false">SUMIF('Little Explorers Kits'!$C$5:$C$358,$B17,'Little Explorers Kits'!M$5:M$358)+SUMIF('Junior Makers Kits'!$C$5:$C$440,$B17,'Junior Makers Kits'!M$5:M$440)+SUMIF('Young Innovators Kits'!$C$5:$C$418,$B17,'Young Innovators Kits'!M$5:M$418)+SUMIF('Tech Leaders Kits'!$C$5:$C$386,$B17,'Tech Leaders Kits'!M$5:M$386)</f>
        <v>0</v>
      </c>
      <c r="K17" s="77" t="n">
        <f aca="false">SUM(E17:J17)</f>
        <v>0</v>
      </c>
      <c r="L17" s="77" t="n">
        <f aca="false">MAX(E17:I17)+J17</f>
        <v>0</v>
      </c>
      <c r="M17" s="23" t="n">
        <f aca="false">IF(D17="Reusable",L17,K17)</f>
        <v>0</v>
      </c>
      <c r="N17" s="77" t="str">
        <f aca="false">IF(M17&gt;0,COUNTIF($M$3:M17,"&gt;0"),"")</f>
        <v/>
      </c>
    </row>
    <row r="18" customFormat="false" ht="15" hidden="false" customHeight="false" outlineLevel="0" collapsed="false">
      <c r="A18" s="77" t="s">
        <v>369</v>
      </c>
      <c r="B18" s="77" t="s">
        <v>550</v>
      </c>
      <c r="C18" s="77" t="s">
        <v>730</v>
      </c>
      <c r="D18" s="77" t="s">
        <v>368</v>
      </c>
      <c r="E18" s="77" t="n">
        <f aca="false">SUMIF('Little Explorers Kits'!$C$5:$C$358,$B18,'Little Explorers Kits'!H$5:H$358)+SUMIF('Junior Makers Kits'!$C$5:$C$440,$B18,'Junior Makers Kits'!H$5:H$440)+SUMIF('Young Innovators Kits'!$C$5:$C$418,$B18,'Young Innovators Kits'!H$5:H$418)+SUMIF('Tech Leaders Kits'!$C$5:$C$386,$B18,'Tech Leaders Kits'!H$5:H$386)</f>
        <v>0</v>
      </c>
      <c r="F18" s="77" t="n">
        <f aca="false">SUMIF('Little Explorers Kits'!$C$5:$C$358,$B18,'Little Explorers Kits'!I$5:I$358)+SUMIF('Junior Makers Kits'!$C$5:$C$440,$B18,'Junior Makers Kits'!I$5:I$440)+SUMIF('Young Innovators Kits'!$C$5:$C$418,$B18,'Young Innovators Kits'!I$5:I$418)+SUMIF('Tech Leaders Kits'!$C$5:$C$386,$B18,'Tech Leaders Kits'!I$5:I$386)</f>
        <v>0</v>
      </c>
      <c r="G18" s="77" t="n">
        <f aca="false">SUMIF('Little Explorers Kits'!$C$5:$C$358,$B18,'Little Explorers Kits'!J$5:J$358)+SUMIF('Junior Makers Kits'!$C$5:$C$440,$B18,'Junior Makers Kits'!J$5:J$440)+SUMIF('Young Innovators Kits'!$C$5:$C$418,$B18,'Young Innovators Kits'!J$5:J$418)+SUMIF('Tech Leaders Kits'!$C$5:$C$386,$B18,'Tech Leaders Kits'!J$5:J$386)</f>
        <v>0</v>
      </c>
      <c r="H18" s="77" t="n">
        <f aca="false">SUMIF('Little Explorers Kits'!$C$5:$C$358,$B18,'Little Explorers Kits'!K$5:K$358)+SUMIF('Junior Makers Kits'!$C$5:$C$440,$B18,'Junior Makers Kits'!K$5:K$440)+SUMIF('Young Innovators Kits'!$C$5:$C$418,$B18,'Young Innovators Kits'!K$5:K$418)+SUMIF('Tech Leaders Kits'!$C$5:$C$386,$B18,'Tech Leaders Kits'!K$5:K$386)</f>
        <v>0</v>
      </c>
      <c r="I18" s="77" t="n">
        <f aca="false">SUMIF('Little Explorers Kits'!$C$5:$C$358,$B18,'Little Explorers Kits'!L$5:L$358)+SUMIF('Junior Makers Kits'!$C$5:$C$440,$B18,'Junior Makers Kits'!L$5:L$440)+SUMIF('Young Innovators Kits'!$C$5:$C$418,$B18,'Young Innovators Kits'!L$5:L$418)+SUMIF('Tech Leaders Kits'!$C$5:$C$386,$B18,'Tech Leaders Kits'!L$5:L$386)</f>
        <v>0</v>
      </c>
      <c r="J18" s="77" t="n">
        <f aca="false">SUMIF('Little Explorers Kits'!$C$5:$C$358,$B18,'Little Explorers Kits'!M$5:M$358)+SUMIF('Junior Makers Kits'!$C$5:$C$440,$B18,'Junior Makers Kits'!M$5:M$440)+SUMIF('Young Innovators Kits'!$C$5:$C$418,$B18,'Young Innovators Kits'!M$5:M$418)+SUMIF('Tech Leaders Kits'!$C$5:$C$386,$B18,'Tech Leaders Kits'!M$5:M$386)</f>
        <v>0</v>
      </c>
      <c r="K18" s="77" t="n">
        <f aca="false">SUM(E18:J18)</f>
        <v>0</v>
      </c>
      <c r="L18" s="77" t="n">
        <f aca="false">MAX(E18:I18)+J18</f>
        <v>0</v>
      </c>
      <c r="M18" s="23" t="n">
        <f aca="false">IF(D18="Reusable",L18,K18)</f>
        <v>0</v>
      </c>
      <c r="N18" s="77" t="str">
        <f aca="false">IF(M18&gt;0,COUNTIF($M$3:M18,"&gt;0"),"")</f>
        <v/>
      </c>
    </row>
    <row r="19" customFormat="false" ht="15" hidden="false" customHeight="false" outlineLevel="0" collapsed="false">
      <c r="A19" s="77" t="s">
        <v>369</v>
      </c>
      <c r="B19" s="77" t="s">
        <v>527</v>
      </c>
      <c r="C19" s="77" t="s">
        <v>731</v>
      </c>
      <c r="D19" s="77" t="s">
        <v>368</v>
      </c>
      <c r="E19" s="77" t="n">
        <f aca="false">SUMIF('Little Explorers Kits'!$C$5:$C$358,$B19,'Little Explorers Kits'!H$5:H$358)+SUMIF('Junior Makers Kits'!$C$5:$C$440,$B19,'Junior Makers Kits'!H$5:H$440)+SUMIF('Young Innovators Kits'!$C$5:$C$418,$B19,'Young Innovators Kits'!H$5:H$418)+SUMIF('Tech Leaders Kits'!$C$5:$C$386,$B19,'Tech Leaders Kits'!H$5:H$386)</f>
        <v>0</v>
      </c>
      <c r="F19" s="77" t="n">
        <f aca="false">SUMIF('Little Explorers Kits'!$C$5:$C$358,$B19,'Little Explorers Kits'!I$5:I$358)+SUMIF('Junior Makers Kits'!$C$5:$C$440,$B19,'Junior Makers Kits'!I$5:I$440)+SUMIF('Young Innovators Kits'!$C$5:$C$418,$B19,'Young Innovators Kits'!I$5:I$418)+SUMIF('Tech Leaders Kits'!$C$5:$C$386,$B19,'Tech Leaders Kits'!I$5:I$386)</f>
        <v>0</v>
      </c>
      <c r="G19" s="77" t="n">
        <f aca="false">SUMIF('Little Explorers Kits'!$C$5:$C$358,$B19,'Little Explorers Kits'!J$5:J$358)+SUMIF('Junior Makers Kits'!$C$5:$C$440,$B19,'Junior Makers Kits'!J$5:J$440)+SUMIF('Young Innovators Kits'!$C$5:$C$418,$B19,'Young Innovators Kits'!J$5:J$418)+SUMIF('Tech Leaders Kits'!$C$5:$C$386,$B19,'Tech Leaders Kits'!J$5:J$386)</f>
        <v>0</v>
      </c>
      <c r="H19" s="77" t="n">
        <f aca="false">SUMIF('Little Explorers Kits'!$C$5:$C$358,$B19,'Little Explorers Kits'!K$5:K$358)+SUMIF('Junior Makers Kits'!$C$5:$C$440,$B19,'Junior Makers Kits'!K$5:K$440)+SUMIF('Young Innovators Kits'!$C$5:$C$418,$B19,'Young Innovators Kits'!K$5:K$418)+SUMIF('Tech Leaders Kits'!$C$5:$C$386,$B19,'Tech Leaders Kits'!K$5:K$386)</f>
        <v>0</v>
      </c>
      <c r="I19" s="77" t="n">
        <f aca="false">SUMIF('Little Explorers Kits'!$C$5:$C$358,$B19,'Little Explorers Kits'!L$5:L$358)+SUMIF('Junior Makers Kits'!$C$5:$C$440,$B19,'Junior Makers Kits'!L$5:L$440)+SUMIF('Young Innovators Kits'!$C$5:$C$418,$B19,'Young Innovators Kits'!L$5:L$418)+SUMIF('Tech Leaders Kits'!$C$5:$C$386,$B19,'Tech Leaders Kits'!L$5:L$386)</f>
        <v>0</v>
      </c>
      <c r="J19" s="77" t="n">
        <f aca="false">SUMIF('Little Explorers Kits'!$C$5:$C$358,$B19,'Little Explorers Kits'!M$5:M$358)+SUMIF('Junior Makers Kits'!$C$5:$C$440,$B19,'Junior Makers Kits'!M$5:M$440)+SUMIF('Young Innovators Kits'!$C$5:$C$418,$B19,'Young Innovators Kits'!M$5:M$418)+SUMIF('Tech Leaders Kits'!$C$5:$C$386,$B19,'Tech Leaders Kits'!M$5:M$386)</f>
        <v>0</v>
      </c>
      <c r="K19" s="77" t="n">
        <f aca="false">SUM(E19:J19)</f>
        <v>0</v>
      </c>
      <c r="L19" s="77" t="n">
        <f aca="false">MAX(E19:I19)+J19</f>
        <v>0</v>
      </c>
      <c r="M19" s="23" t="n">
        <f aca="false">IF(D19="Reusable",L19,K19)</f>
        <v>0</v>
      </c>
      <c r="N19" s="77" t="str">
        <f aca="false">IF(M19&gt;0,COUNTIF($M$3:M19,"&gt;0"),"")</f>
        <v/>
      </c>
    </row>
    <row r="20" customFormat="false" ht="15" hidden="false" customHeight="false" outlineLevel="0" collapsed="false">
      <c r="A20" s="77" t="s">
        <v>369</v>
      </c>
      <c r="B20" s="77" t="s">
        <v>437</v>
      </c>
      <c r="C20" s="77" t="s">
        <v>732</v>
      </c>
      <c r="D20" s="77" t="s">
        <v>368</v>
      </c>
      <c r="E20" s="77" t="n">
        <f aca="false">SUMIF('Little Explorers Kits'!$C$5:$C$358,$B20,'Little Explorers Kits'!H$5:H$358)+SUMIF('Junior Makers Kits'!$C$5:$C$440,$B20,'Junior Makers Kits'!H$5:H$440)+SUMIF('Young Innovators Kits'!$C$5:$C$418,$B20,'Young Innovators Kits'!H$5:H$418)+SUMIF('Tech Leaders Kits'!$C$5:$C$386,$B20,'Tech Leaders Kits'!H$5:H$386)</f>
        <v>0</v>
      </c>
      <c r="F20" s="77" t="n">
        <f aca="false">SUMIF('Little Explorers Kits'!$C$5:$C$358,$B20,'Little Explorers Kits'!I$5:I$358)+SUMIF('Junior Makers Kits'!$C$5:$C$440,$B20,'Junior Makers Kits'!I$5:I$440)+SUMIF('Young Innovators Kits'!$C$5:$C$418,$B20,'Young Innovators Kits'!I$5:I$418)+SUMIF('Tech Leaders Kits'!$C$5:$C$386,$B20,'Tech Leaders Kits'!I$5:I$386)</f>
        <v>0</v>
      </c>
      <c r="G20" s="77" t="n">
        <f aca="false">SUMIF('Little Explorers Kits'!$C$5:$C$358,$B20,'Little Explorers Kits'!J$5:J$358)+SUMIF('Junior Makers Kits'!$C$5:$C$440,$B20,'Junior Makers Kits'!J$5:J$440)+SUMIF('Young Innovators Kits'!$C$5:$C$418,$B20,'Young Innovators Kits'!J$5:J$418)+SUMIF('Tech Leaders Kits'!$C$5:$C$386,$B20,'Tech Leaders Kits'!J$5:J$386)</f>
        <v>0</v>
      </c>
      <c r="H20" s="77" t="n">
        <f aca="false">SUMIF('Little Explorers Kits'!$C$5:$C$358,$B20,'Little Explorers Kits'!K$5:K$358)+SUMIF('Junior Makers Kits'!$C$5:$C$440,$B20,'Junior Makers Kits'!K$5:K$440)+SUMIF('Young Innovators Kits'!$C$5:$C$418,$B20,'Young Innovators Kits'!K$5:K$418)+SUMIF('Tech Leaders Kits'!$C$5:$C$386,$B20,'Tech Leaders Kits'!K$5:K$386)</f>
        <v>0</v>
      </c>
      <c r="I20" s="77" t="n">
        <f aca="false">SUMIF('Little Explorers Kits'!$C$5:$C$358,$B20,'Little Explorers Kits'!L$5:L$358)+SUMIF('Junior Makers Kits'!$C$5:$C$440,$B20,'Junior Makers Kits'!L$5:L$440)+SUMIF('Young Innovators Kits'!$C$5:$C$418,$B20,'Young Innovators Kits'!L$5:L$418)+SUMIF('Tech Leaders Kits'!$C$5:$C$386,$B20,'Tech Leaders Kits'!L$5:L$386)</f>
        <v>0</v>
      </c>
      <c r="J20" s="77" t="n">
        <f aca="false">SUMIF('Little Explorers Kits'!$C$5:$C$358,$B20,'Little Explorers Kits'!M$5:M$358)+SUMIF('Junior Makers Kits'!$C$5:$C$440,$B20,'Junior Makers Kits'!M$5:M$440)+SUMIF('Young Innovators Kits'!$C$5:$C$418,$B20,'Young Innovators Kits'!M$5:M$418)+SUMIF('Tech Leaders Kits'!$C$5:$C$386,$B20,'Tech Leaders Kits'!M$5:M$386)</f>
        <v>0</v>
      </c>
      <c r="K20" s="77" t="n">
        <f aca="false">SUM(E20:J20)</f>
        <v>0</v>
      </c>
      <c r="L20" s="77" t="n">
        <f aca="false">MAX(E20:I20)+J20</f>
        <v>0</v>
      </c>
      <c r="M20" s="23" t="n">
        <f aca="false">IF(D20="Reusable",L20,K20)</f>
        <v>0</v>
      </c>
      <c r="N20" s="77" t="str">
        <f aca="false">IF(M20&gt;0,COUNTIF($M$3:M20,"&gt;0"),"")</f>
        <v/>
      </c>
    </row>
    <row r="21" customFormat="false" ht="15" hidden="false" customHeight="false" outlineLevel="0" collapsed="false">
      <c r="A21" s="77" t="s">
        <v>369</v>
      </c>
      <c r="B21" s="77" t="s">
        <v>595</v>
      </c>
      <c r="C21" s="77" t="s">
        <v>733</v>
      </c>
      <c r="D21" s="77" t="s">
        <v>368</v>
      </c>
      <c r="E21" s="77" t="n">
        <f aca="false">SUMIF('Little Explorers Kits'!$C$5:$C$358,$B21,'Little Explorers Kits'!H$5:H$358)+SUMIF('Junior Makers Kits'!$C$5:$C$440,$B21,'Junior Makers Kits'!H$5:H$440)+SUMIF('Young Innovators Kits'!$C$5:$C$418,$B21,'Young Innovators Kits'!H$5:H$418)+SUMIF('Tech Leaders Kits'!$C$5:$C$386,$B21,'Tech Leaders Kits'!H$5:H$386)</f>
        <v>0</v>
      </c>
      <c r="F21" s="77" t="n">
        <f aca="false">SUMIF('Little Explorers Kits'!$C$5:$C$358,$B21,'Little Explorers Kits'!I$5:I$358)+SUMIF('Junior Makers Kits'!$C$5:$C$440,$B21,'Junior Makers Kits'!I$5:I$440)+SUMIF('Young Innovators Kits'!$C$5:$C$418,$B21,'Young Innovators Kits'!I$5:I$418)+SUMIF('Tech Leaders Kits'!$C$5:$C$386,$B21,'Tech Leaders Kits'!I$5:I$386)</f>
        <v>0</v>
      </c>
      <c r="G21" s="77" t="n">
        <f aca="false">SUMIF('Little Explorers Kits'!$C$5:$C$358,$B21,'Little Explorers Kits'!J$5:J$358)+SUMIF('Junior Makers Kits'!$C$5:$C$440,$B21,'Junior Makers Kits'!J$5:J$440)+SUMIF('Young Innovators Kits'!$C$5:$C$418,$B21,'Young Innovators Kits'!J$5:J$418)+SUMIF('Tech Leaders Kits'!$C$5:$C$386,$B21,'Tech Leaders Kits'!J$5:J$386)</f>
        <v>0</v>
      </c>
      <c r="H21" s="77" t="n">
        <f aca="false">SUMIF('Little Explorers Kits'!$C$5:$C$358,$B21,'Little Explorers Kits'!K$5:K$358)+SUMIF('Junior Makers Kits'!$C$5:$C$440,$B21,'Junior Makers Kits'!K$5:K$440)+SUMIF('Young Innovators Kits'!$C$5:$C$418,$B21,'Young Innovators Kits'!K$5:K$418)+SUMIF('Tech Leaders Kits'!$C$5:$C$386,$B21,'Tech Leaders Kits'!K$5:K$386)</f>
        <v>0</v>
      </c>
      <c r="I21" s="77" t="n">
        <f aca="false">SUMIF('Little Explorers Kits'!$C$5:$C$358,$B21,'Little Explorers Kits'!L$5:L$358)+SUMIF('Junior Makers Kits'!$C$5:$C$440,$B21,'Junior Makers Kits'!L$5:L$440)+SUMIF('Young Innovators Kits'!$C$5:$C$418,$B21,'Young Innovators Kits'!L$5:L$418)+SUMIF('Tech Leaders Kits'!$C$5:$C$386,$B21,'Tech Leaders Kits'!L$5:L$386)</f>
        <v>0</v>
      </c>
      <c r="J21" s="77" t="n">
        <f aca="false">SUMIF('Little Explorers Kits'!$C$5:$C$358,$B21,'Little Explorers Kits'!M$5:M$358)+SUMIF('Junior Makers Kits'!$C$5:$C$440,$B21,'Junior Makers Kits'!M$5:M$440)+SUMIF('Young Innovators Kits'!$C$5:$C$418,$B21,'Young Innovators Kits'!M$5:M$418)+SUMIF('Tech Leaders Kits'!$C$5:$C$386,$B21,'Tech Leaders Kits'!M$5:M$386)</f>
        <v>0</v>
      </c>
      <c r="K21" s="77" t="n">
        <f aca="false">SUM(E21:J21)</f>
        <v>0</v>
      </c>
      <c r="L21" s="77" t="n">
        <f aca="false">MAX(E21:I21)+J21</f>
        <v>0</v>
      </c>
      <c r="M21" s="23" t="n">
        <f aca="false">IF(D21="Reusable",L21,K21)</f>
        <v>0</v>
      </c>
      <c r="N21" s="77" t="str">
        <f aca="false">IF(M21&gt;0,COUNTIF($M$3:M21,"&gt;0"),"")</f>
        <v/>
      </c>
    </row>
    <row r="22" customFormat="false" ht="15" hidden="false" customHeight="false" outlineLevel="0" collapsed="false">
      <c r="A22" s="77" t="s">
        <v>369</v>
      </c>
      <c r="B22" s="77" t="s">
        <v>523</v>
      </c>
      <c r="C22" s="77" t="s">
        <v>734</v>
      </c>
      <c r="D22" s="77" t="s">
        <v>368</v>
      </c>
      <c r="E22" s="77" t="n">
        <f aca="false">SUMIF('Little Explorers Kits'!$C$5:$C$358,$B22,'Little Explorers Kits'!H$5:H$358)+SUMIF('Junior Makers Kits'!$C$5:$C$440,$B22,'Junior Makers Kits'!H$5:H$440)+SUMIF('Young Innovators Kits'!$C$5:$C$418,$B22,'Young Innovators Kits'!H$5:H$418)+SUMIF('Tech Leaders Kits'!$C$5:$C$386,$B22,'Tech Leaders Kits'!H$5:H$386)</f>
        <v>0</v>
      </c>
      <c r="F22" s="77" t="n">
        <f aca="false">SUMIF('Little Explorers Kits'!$C$5:$C$358,$B22,'Little Explorers Kits'!I$5:I$358)+SUMIF('Junior Makers Kits'!$C$5:$C$440,$B22,'Junior Makers Kits'!I$5:I$440)+SUMIF('Young Innovators Kits'!$C$5:$C$418,$B22,'Young Innovators Kits'!I$5:I$418)+SUMIF('Tech Leaders Kits'!$C$5:$C$386,$B22,'Tech Leaders Kits'!I$5:I$386)</f>
        <v>0</v>
      </c>
      <c r="G22" s="77" t="n">
        <f aca="false">SUMIF('Little Explorers Kits'!$C$5:$C$358,$B22,'Little Explorers Kits'!J$5:J$358)+SUMIF('Junior Makers Kits'!$C$5:$C$440,$B22,'Junior Makers Kits'!J$5:J$440)+SUMIF('Young Innovators Kits'!$C$5:$C$418,$B22,'Young Innovators Kits'!J$5:J$418)+SUMIF('Tech Leaders Kits'!$C$5:$C$386,$B22,'Tech Leaders Kits'!J$5:J$386)</f>
        <v>0</v>
      </c>
      <c r="H22" s="77" t="n">
        <f aca="false">SUMIF('Little Explorers Kits'!$C$5:$C$358,$B22,'Little Explorers Kits'!K$5:K$358)+SUMIF('Junior Makers Kits'!$C$5:$C$440,$B22,'Junior Makers Kits'!K$5:K$440)+SUMIF('Young Innovators Kits'!$C$5:$C$418,$B22,'Young Innovators Kits'!K$5:K$418)+SUMIF('Tech Leaders Kits'!$C$5:$C$386,$B22,'Tech Leaders Kits'!K$5:K$386)</f>
        <v>0</v>
      </c>
      <c r="I22" s="77" t="n">
        <f aca="false">SUMIF('Little Explorers Kits'!$C$5:$C$358,$B22,'Little Explorers Kits'!L$5:L$358)+SUMIF('Junior Makers Kits'!$C$5:$C$440,$B22,'Junior Makers Kits'!L$5:L$440)+SUMIF('Young Innovators Kits'!$C$5:$C$418,$B22,'Young Innovators Kits'!L$5:L$418)+SUMIF('Tech Leaders Kits'!$C$5:$C$386,$B22,'Tech Leaders Kits'!L$5:L$386)</f>
        <v>0</v>
      </c>
      <c r="J22" s="77" t="n">
        <f aca="false">SUMIF('Little Explorers Kits'!$C$5:$C$358,$B22,'Little Explorers Kits'!M$5:M$358)+SUMIF('Junior Makers Kits'!$C$5:$C$440,$B22,'Junior Makers Kits'!M$5:M$440)+SUMIF('Young Innovators Kits'!$C$5:$C$418,$B22,'Young Innovators Kits'!M$5:M$418)+SUMIF('Tech Leaders Kits'!$C$5:$C$386,$B22,'Tech Leaders Kits'!M$5:M$386)</f>
        <v>0</v>
      </c>
      <c r="K22" s="77" t="n">
        <f aca="false">SUM(E22:J22)</f>
        <v>0</v>
      </c>
      <c r="L22" s="77" t="n">
        <f aca="false">MAX(E22:I22)+J22</f>
        <v>0</v>
      </c>
      <c r="M22" s="23" t="n">
        <f aca="false">IF(D22="Reusable",L22,K22)</f>
        <v>0</v>
      </c>
      <c r="N22" s="77" t="str">
        <f aca="false">IF(M22&gt;0,COUNTIF($M$3:M22,"&gt;0"),"")</f>
        <v/>
      </c>
    </row>
    <row r="23" customFormat="false" ht="15" hidden="false" customHeight="false" outlineLevel="0" collapsed="false">
      <c r="A23" s="77" t="s">
        <v>369</v>
      </c>
      <c r="B23" s="77" t="s">
        <v>433</v>
      </c>
      <c r="C23" s="77" t="s">
        <v>735</v>
      </c>
      <c r="D23" s="77" t="s">
        <v>368</v>
      </c>
      <c r="E23" s="77" t="n">
        <f aca="false">SUMIF('Little Explorers Kits'!$C$5:$C$358,$B23,'Little Explorers Kits'!H$5:H$358)+SUMIF('Junior Makers Kits'!$C$5:$C$440,$B23,'Junior Makers Kits'!H$5:H$440)+SUMIF('Young Innovators Kits'!$C$5:$C$418,$B23,'Young Innovators Kits'!H$5:H$418)+SUMIF('Tech Leaders Kits'!$C$5:$C$386,$B23,'Tech Leaders Kits'!H$5:H$386)</f>
        <v>0</v>
      </c>
      <c r="F23" s="77" t="n">
        <f aca="false">SUMIF('Little Explorers Kits'!$C$5:$C$358,$B23,'Little Explorers Kits'!I$5:I$358)+SUMIF('Junior Makers Kits'!$C$5:$C$440,$B23,'Junior Makers Kits'!I$5:I$440)+SUMIF('Young Innovators Kits'!$C$5:$C$418,$B23,'Young Innovators Kits'!I$5:I$418)+SUMIF('Tech Leaders Kits'!$C$5:$C$386,$B23,'Tech Leaders Kits'!I$5:I$386)</f>
        <v>0</v>
      </c>
      <c r="G23" s="77" t="n">
        <f aca="false">SUMIF('Little Explorers Kits'!$C$5:$C$358,$B23,'Little Explorers Kits'!J$5:J$358)+SUMIF('Junior Makers Kits'!$C$5:$C$440,$B23,'Junior Makers Kits'!J$5:J$440)+SUMIF('Young Innovators Kits'!$C$5:$C$418,$B23,'Young Innovators Kits'!J$5:J$418)+SUMIF('Tech Leaders Kits'!$C$5:$C$386,$B23,'Tech Leaders Kits'!J$5:J$386)</f>
        <v>0</v>
      </c>
      <c r="H23" s="77" t="n">
        <f aca="false">SUMIF('Little Explorers Kits'!$C$5:$C$358,$B23,'Little Explorers Kits'!K$5:K$358)+SUMIF('Junior Makers Kits'!$C$5:$C$440,$B23,'Junior Makers Kits'!K$5:K$440)+SUMIF('Young Innovators Kits'!$C$5:$C$418,$B23,'Young Innovators Kits'!K$5:K$418)+SUMIF('Tech Leaders Kits'!$C$5:$C$386,$B23,'Tech Leaders Kits'!K$5:K$386)</f>
        <v>0</v>
      </c>
      <c r="I23" s="77" t="n">
        <f aca="false">SUMIF('Little Explorers Kits'!$C$5:$C$358,$B23,'Little Explorers Kits'!L$5:L$358)+SUMIF('Junior Makers Kits'!$C$5:$C$440,$B23,'Junior Makers Kits'!L$5:L$440)+SUMIF('Young Innovators Kits'!$C$5:$C$418,$B23,'Young Innovators Kits'!L$5:L$418)+SUMIF('Tech Leaders Kits'!$C$5:$C$386,$B23,'Tech Leaders Kits'!L$5:L$386)</f>
        <v>0</v>
      </c>
      <c r="J23" s="77" t="n">
        <f aca="false">SUMIF('Little Explorers Kits'!$C$5:$C$358,$B23,'Little Explorers Kits'!M$5:M$358)+SUMIF('Junior Makers Kits'!$C$5:$C$440,$B23,'Junior Makers Kits'!M$5:M$440)+SUMIF('Young Innovators Kits'!$C$5:$C$418,$B23,'Young Innovators Kits'!M$5:M$418)+SUMIF('Tech Leaders Kits'!$C$5:$C$386,$B23,'Tech Leaders Kits'!M$5:M$386)</f>
        <v>0</v>
      </c>
      <c r="K23" s="77" t="n">
        <f aca="false">SUM(E23:J23)</f>
        <v>0</v>
      </c>
      <c r="L23" s="77" t="n">
        <f aca="false">MAX(E23:I23)+J23</f>
        <v>0</v>
      </c>
      <c r="M23" s="23" t="n">
        <f aca="false">IF(D23="Reusable",L23,K23)</f>
        <v>0</v>
      </c>
      <c r="N23" s="77" t="str">
        <f aca="false">IF(M23&gt;0,COUNTIF($M$3:M23,"&gt;0"),"")</f>
        <v/>
      </c>
    </row>
    <row r="24" customFormat="false" ht="15" hidden="false" customHeight="false" outlineLevel="0" collapsed="false">
      <c r="A24" s="77" t="s">
        <v>369</v>
      </c>
      <c r="B24" s="77" t="s">
        <v>563</v>
      </c>
      <c r="C24" s="77" t="s">
        <v>736</v>
      </c>
      <c r="D24" s="77" t="s">
        <v>368</v>
      </c>
      <c r="E24" s="77" t="n">
        <f aca="false">SUMIF('Little Explorers Kits'!$C$5:$C$358,$B24,'Little Explorers Kits'!H$5:H$358)+SUMIF('Junior Makers Kits'!$C$5:$C$440,$B24,'Junior Makers Kits'!H$5:H$440)+SUMIF('Young Innovators Kits'!$C$5:$C$418,$B24,'Young Innovators Kits'!H$5:H$418)+SUMIF('Tech Leaders Kits'!$C$5:$C$386,$B24,'Tech Leaders Kits'!H$5:H$386)</f>
        <v>0</v>
      </c>
      <c r="F24" s="77" t="n">
        <f aca="false">SUMIF('Little Explorers Kits'!$C$5:$C$358,$B24,'Little Explorers Kits'!I$5:I$358)+SUMIF('Junior Makers Kits'!$C$5:$C$440,$B24,'Junior Makers Kits'!I$5:I$440)+SUMIF('Young Innovators Kits'!$C$5:$C$418,$B24,'Young Innovators Kits'!I$5:I$418)+SUMIF('Tech Leaders Kits'!$C$5:$C$386,$B24,'Tech Leaders Kits'!I$5:I$386)</f>
        <v>0</v>
      </c>
      <c r="G24" s="77" t="n">
        <f aca="false">SUMIF('Little Explorers Kits'!$C$5:$C$358,$B24,'Little Explorers Kits'!J$5:J$358)+SUMIF('Junior Makers Kits'!$C$5:$C$440,$B24,'Junior Makers Kits'!J$5:J$440)+SUMIF('Young Innovators Kits'!$C$5:$C$418,$B24,'Young Innovators Kits'!J$5:J$418)+SUMIF('Tech Leaders Kits'!$C$5:$C$386,$B24,'Tech Leaders Kits'!J$5:J$386)</f>
        <v>0</v>
      </c>
      <c r="H24" s="77" t="n">
        <f aca="false">SUMIF('Little Explorers Kits'!$C$5:$C$358,$B24,'Little Explorers Kits'!K$5:K$358)+SUMIF('Junior Makers Kits'!$C$5:$C$440,$B24,'Junior Makers Kits'!K$5:K$440)+SUMIF('Young Innovators Kits'!$C$5:$C$418,$B24,'Young Innovators Kits'!K$5:K$418)+SUMIF('Tech Leaders Kits'!$C$5:$C$386,$B24,'Tech Leaders Kits'!K$5:K$386)</f>
        <v>0</v>
      </c>
      <c r="I24" s="77" t="n">
        <f aca="false">SUMIF('Little Explorers Kits'!$C$5:$C$358,$B24,'Little Explorers Kits'!L$5:L$358)+SUMIF('Junior Makers Kits'!$C$5:$C$440,$B24,'Junior Makers Kits'!L$5:L$440)+SUMIF('Young Innovators Kits'!$C$5:$C$418,$B24,'Young Innovators Kits'!L$5:L$418)+SUMIF('Tech Leaders Kits'!$C$5:$C$386,$B24,'Tech Leaders Kits'!L$5:L$386)</f>
        <v>0</v>
      </c>
      <c r="J24" s="77" t="n">
        <f aca="false">SUMIF('Little Explorers Kits'!$C$5:$C$358,$B24,'Little Explorers Kits'!M$5:M$358)+SUMIF('Junior Makers Kits'!$C$5:$C$440,$B24,'Junior Makers Kits'!M$5:M$440)+SUMIF('Young Innovators Kits'!$C$5:$C$418,$B24,'Young Innovators Kits'!M$5:M$418)+SUMIF('Tech Leaders Kits'!$C$5:$C$386,$B24,'Tech Leaders Kits'!M$5:M$386)</f>
        <v>0</v>
      </c>
      <c r="K24" s="77" t="n">
        <f aca="false">SUM(E24:J24)</f>
        <v>0</v>
      </c>
      <c r="L24" s="77" t="n">
        <f aca="false">MAX(E24:I24)+J24</f>
        <v>0</v>
      </c>
      <c r="M24" s="23" t="n">
        <f aca="false">IF(D24="Reusable",L24,K24)</f>
        <v>0</v>
      </c>
      <c r="N24" s="77" t="str">
        <f aca="false">IF(M24&gt;0,COUNTIF($M$3:M24,"&gt;0"),"")</f>
        <v/>
      </c>
    </row>
    <row r="25" customFormat="false" ht="15" hidden="false" customHeight="false" outlineLevel="0" collapsed="false">
      <c r="A25" s="77" t="s">
        <v>369</v>
      </c>
      <c r="B25" s="77" t="s">
        <v>370</v>
      </c>
      <c r="C25" s="77" t="s">
        <v>737</v>
      </c>
      <c r="D25" s="77" t="s">
        <v>368</v>
      </c>
      <c r="E25" s="77" t="n">
        <f aca="false">SUMIF('Little Explorers Kits'!$C$5:$C$358,$B25,'Little Explorers Kits'!H$5:H$358)+SUMIF('Junior Makers Kits'!$C$5:$C$440,$B25,'Junior Makers Kits'!H$5:H$440)+SUMIF('Young Innovators Kits'!$C$5:$C$418,$B25,'Young Innovators Kits'!H$5:H$418)+SUMIF('Tech Leaders Kits'!$C$5:$C$386,$B25,'Tech Leaders Kits'!H$5:H$386)</f>
        <v>0</v>
      </c>
      <c r="F25" s="77" t="n">
        <f aca="false">SUMIF('Little Explorers Kits'!$C$5:$C$358,$B25,'Little Explorers Kits'!I$5:I$358)+SUMIF('Junior Makers Kits'!$C$5:$C$440,$B25,'Junior Makers Kits'!I$5:I$440)+SUMIF('Young Innovators Kits'!$C$5:$C$418,$B25,'Young Innovators Kits'!I$5:I$418)+SUMIF('Tech Leaders Kits'!$C$5:$C$386,$B25,'Tech Leaders Kits'!I$5:I$386)</f>
        <v>0</v>
      </c>
      <c r="G25" s="77" t="n">
        <f aca="false">SUMIF('Little Explorers Kits'!$C$5:$C$358,$B25,'Little Explorers Kits'!J$5:J$358)+SUMIF('Junior Makers Kits'!$C$5:$C$440,$B25,'Junior Makers Kits'!J$5:J$440)+SUMIF('Young Innovators Kits'!$C$5:$C$418,$B25,'Young Innovators Kits'!J$5:J$418)+SUMIF('Tech Leaders Kits'!$C$5:$C$386,$B25,'Tech Leaders Kits'!J$5:J$386)</f>
        <v>0</v>
      </c>
      <c r="H25" s="77" t="n">
        <f aca="false">SUMIF('Little Explorers Kits'!$C$5:$C$358,$B25,'Little Explorers Kits'!K$5:K$358)+SUMIF('Junior Makers Kits'!$C$5:$C$440,$B25,'Junior Makers Kits'!K$5:K$440)+SUMIF('Young Innovators Kits'!$C$5:$C$418,$B25,'Young Innovators Kits'!K$5:K$418)+SUMIF('Tech Leaders Kits'!$C$5:$C$386,$B25,'Tech Leaders Kits'!K$5:K$386)</f>
        <v>0</v>
      </c>
      <c r="I25" s="77" t="n">
        <f aca="false">SUMIF('Little Explorers Kits'!$C$5:$C$358,$B25,'Little Explorers Kits'!L$5:L$358)+SUMIF('Junior Makers Kits'!$C$5:$C$440,$B25,'Junior Makers Kits'!L$5:L$440)+SUMIF('Young Innovators Kits'!$C$5:$C$418,$B25,'Young Innovators Kits'!L$5:L$418)+SUMIF('Tech Leaders Kits'!$C$5:$C$386,$B25,'Tech Leaders Kits'!L$5:L$386)</f>
        <v>0</v>
      </c>
      <c r="J25" s="77" t="n">
        <f aca="false">SUMIF('Little Explorers Kits'!$C$5:$C$358,$B25,'Little Explorers Kits'!M$5:M$358)+SUMIF('Junior Makers Kits'!$C$5:$C$440,$B25,'Junior Makers Kits'!M$5:M$440)+SUMIF('Young Innovators Kits'!$C$5:$C$418,$B25,'Young Innovators Kits'!M$5:M$418)+SUMIF('Tech Leaders Kits'!$C$5:$C$386,$B25,'Tech Leaders Kits'!M$5:M$386)</f>
        <v>0</v>
      </c>
      <c r="K25" s="77" t="n">
        <f aca="false">SUM(E25:J25)</f>
        <v>0</v>
      </c>
      <c r="L25" s="77" t="n">
        <f aca="false">MAX(E25:I25)+J25</f>
        <v>0</v>
      </c>
      <c r="M25" s="23" t="n">
        <f aca="false">IF(D25="Reusable",L25,K25)</f>
        <v>0</v>
      </c>
      <c r="N25" s="77" t="str">
        <f aca="false">IF(M25&gt;0,COUNTIF($M$3:M25,"&gt;0"),"")</f>
        <v/>
      </c>
    </row>
    <row r="26" customFormat="false" ht="15" hidden="false" customHeight="false" outlineLevel="0" collapsed="false">
      <c r="A26" s="77" t="s">
        <v>586</v>
      </c>
      <c r="B26" s="77" t="s">
        <v>587</v>
      </c>
      <c r="C26" s="77" t="s">
        <v>738</v>
      </c>
      <c r="D26" s="77" t="s">
        <v>368</v>
      </c>
      <c r="E26" s="77" t="n">
        <f aca="false">SUMIF('Little Explorers Kits'!$C$5:$C$358,$B26,'Little Explorers Kits'!H$5:H$358)+SUMIF('Junior Makers Kits'!$C$5:$C$440,$B26,'Junior Makers Kits'!H$5:H$440)+SUMIF('Young Innovators Kits'!$C$5:$C$418,$B26,'Young Innovators Kits'!H$5:H$418)+SUMIF('Tech Leaders Kits'!$C$5:$C$386,$B26,'Tech Leaders Kits'!H$5:H$386)</f>
        <v>0</v>
      </c>
      <c r="F26" s="77" t="n">
        <f aca="false">SUMIF('Little Explorers Kits'!$C$5:$C$358,$B26,'Little Explorers Kits'!I$5:I$358)+SUMIF('Junior Makers Kits'!$C$5:$C$440,$B26,'Junior Makers Kits'!I$5:I$440)+SUMIF('Young Innovators Kits'!$C$5:$C$418,$B26,'Young Innovators Kits'!I$5:I$418)+SUMIF('Tech Leaders Kits'!$C$5:$C$386,$B26,'Tech Leaders Kits'!I$5:I$386)</f>
        <v>0</v>
      </c>
      <c r="G26" s="77" t="n">
        <f aca="false">SUMIF('Little Explorers Kits'!$C$5:$C$358,$B26,'Little Explorers Kits'!J$5:J$358)+SUMIF('Junior Makers Kits'!$C$5:$C$440,$B26,'Junior Makers Kits'!J$5:J$440)+SUMIF('Young Innovators Kits'!$C$5:$C$418,$B26,'Young Innovators Kits'!J$5:J$418)+SUMIF('Tech Leaders Kits'!$C$5:$C$386,$B26,'Tech Leaders Kits'!J$5:J$386)</f>
        <v>0</v>
      </c>
      <c r="H26" s="77" t="n">
        <f aca="false">SUMIF('Little Explorers Kits'!$C$5:$C$358,$B26,'Little Explorers Kits'!K$5:K$358)+SUMIF('Junior Makers Kits'!$C$5:$C$440,$B26,'Junior Makers Kits'!K$5:K$440)+SUMIF('Young Innovators Kits'!$C$5:$C$418,$B26,'Young Innovators Kits'!K$5:K$418)+SUMIF('Tech Leaders Kits'!$C$5:$C$386,$B26,'Tech Leaders Kits'!K$5:K$386)</f>
        <v>0</v>
      </c>
      <c r="I26" s="77" t="n">
        <f aca="false">SUMIF('Little Explorers Kits'!$C$5:$C$358,$B26,'Little Explorers Kits'!L$5:L$358)+SUMIF('Junior Makers Kits'!$C$5:$C$440,$B26,'Junior Makers Kits'!L$5:L$440)+SUMIF('Young Innovators Kits'!$C$5:$C$418,$B26,'Young Innovators Kits'!L$5:L$418)+SUMIF('Tech Leaders Kits'!$C$5:$C$386,$B26,'Tech Leaders Kits'!L$5:L$386)</f>
        <v>0</v>
      </c>
      <c r="J26" s="77" t="n">
        <f aca="false">SUMIF('Little Explorers Kits'!$C$5:$C$358,$B26,'Little Explorers Kits'!M$5:M$358)+SUMIF('Junior Makers Kits'!$C$5:$C$440,$B26,'Junior Makers Kits'!M$5:M$440)+SUMIF('Young Innovators Kits'!$C$5:$C$418,$B26,'Young Innovators Kits'!M$5:M$418)+SUMIF('Tech Leaders Kits'!$C$5:$C$386,$B26,'Tech Leaders Kits'!M$5:M$386)</f>
        <v>0</v>
      </c>
      <c r="K26" s="77" t="n">
        <f aca="false">SUM(E26:J26)</f>
        <v>0</v>
      </c>
      <c r="L26" s="77" t="n">
        <f aca="false">MAX(E26:I26)+J26</f>
        <v>0</v>
      </c>
      <c r="M26" s="23" t="n">
        <f aca="false">IF(D26="Reusable",L26,K26)</f>
        <v>0</v>
      </c>
      <c r="N26" s="77" t="str">
        <f aca="false">IF(M26&gt;0,COUNTIF($M$3:M26,"&gt;0"),"")</f>
        <v/>
      </c>
    </row>
    <row r="27" customFormat="false" ht="15" hidden="false" customHeight="false" outlineLevel="0" collapsed="false">
      <c r="A27" s="77" t="s">
        <v>586</v>
      </c>
      <c r="B27" s="77" t="s">
        <v>610</v>
      </c>
      <c r="C27" s="77" t="s">
        <v>739</v>
      </c>
      <c r="D27" s="77" t="s">
        <v>368</v>
      </c>
      <c r="E27" s="77" t="n">
        <f aca="false">SUMIF('Little Explorers Kits'!$C$5:$C$358,$B27,'Little Explorers Kits'!H$5:H$358)+SUMIF('Junior Makers Kits'!$C$5:$C$440,$B27,'Junior Makers Kits'!H$5:H$440)+SUMIF('Young Innovators Kits'!$C$5:$C$418,$B27,'Young Innovators Kits'!H$5:H$418)+SUMIF('Tech Leaders Kits'!$C$5:$C$386,$B27,'Tech Leaders Kits'!H$5:H$386)</f>
        <v>0</v>
      </c>
      <c r="F27" s="77" t="n">
        <f aca="false">SUMIF('Little Explorers Kits'!$C$5:$C$358,$B27,'Little Explorers Kits'!I$5:I$358)+SUMIF('Junior Makers Kits'!$C$5:$C$440,$B27,'Junior Makers Kits'!I$5:I$440)+SUMIF('Young Innovators Kits'!$C$5:$C$418,$B27,'Young Innovators Kits'!I$5:I$418)+SUMIF('Tech Leaders Kits'!$C$5:$C$386,$B27,'Tech Leaders Kits'!I$5:I$386)</f>
        <v>0</v>
      </c>
      <c r="G27" s="77" t="n">
        <f aca="false">SUMIF('Little Explorers Kits'!$C$5:$C$358,$B27,'Little Explorers Kits'!J$5:J$358)+SUMIF('Junior Makers Kits'!$C$5:$C$440,$B27,'Junior Makers Kits'!J$5:J$440)+SUMIF('Young Innovators Kits'!$C$5:$C$418,$B27,'Young Innovators Kits'!J$5:J$418)+SUMIF('Tech Leaders Kits'!$C$5:$C$386,$B27,'Tech Leaders Kits'!J$5:J$386)</f>
        <v>0</v>
      </c>
      <c r="H27" s="77" t="n">
        <f aca="false">SUMIF('Little Explorers Kits'!$C$5:$C$358,$B27,'Little Explorers Kits'!K$5:K$358)+SUMIF('Junior Makers Kits'!$C$5:$C$440,$B27,'Junior Makers Kits'!K$5:K$440)+SUMIF('Young Innovators Kits'!$C$5:$C$418,$B27,'Young Innovators Kits'!K$5:K$418)+SUMIF('Tech Leaders Kits'!$C$5:$C$386,$B27,'Tech Leaders Kits'!K$5:K$386)</f>
        <v>0</v>
      </c>
      <c r="I27" s="77" t="n">
        <f aca="false">SUMIF('Little Explorers Kits'!$C$5:$C$358,$B27,'Little Explorers Kits'!L$5:L$358)+SUMIF('Junior Makers Kits'!$C$5:$C$440,$B27,'Junior Makers Kits'!L$5:L$440)+SUMIF('Young Innovators Kits'!$C$5:$C$418,$B27,'Young Innovators Kits'!L$5:L$418)+SUMIF('Tech Leaders Kits'!$C$5:$C$386,$B27,'Tech Leaders Kits'!L$5:L$386)</f>
        <v>0</v>
      </c>
      <c r="J27" s="77" t="n">
        <f aca="false">SUMIF('Little Explorers Kits'!$C$5:$C$358,$B27,'Little Explorers Kits'!M$5:M$358)+SUMIF('Junior Makers Kits'!$C$5:$C$440,$B27,'Junior Makers Kits'!M$5:M$440)+SUMIF('Young Innovators Kits'!$C$5:$C$418,$B27,'Young Innovators Kits'!M$5:M$418)+SUMIF('Tech Leaders Kits'!$C$5:$C$386,$B27,'Tech Leaders Kits'!M$5:M$386)</f>
        <v>0</v>
      </c>
      <c r="K27" s="77" t="n">
        <f aca="false">SUM(E27:J27)</f>
        <v>0</v>
      </c>
      <c r="L27" s="77" t="n">
        <f aca="false">MAX(E27:I27)+J27</f>
        <v>0</v>
      </c>
      <c r="M27" s="23" t="n">
        <f aca="false">IF(D27="Reusable",L27,K27)</f>
        <v>0</v>
      </c>
      <c r="N27" s="77" t="str">
        <f aca="false">IF(M27&gt;0,COUNTIF($M$3:M27,"&gt;0"),"")</f>
        <v/>
      </c>
    </row>
    <row r="28" customFormat="false" ht="15" hidden="false" customHeight="false" outlineLevel="0" collapsed="false">
      <c r="A28" s="77" t="s">
        <v>545</v>
      </c>
      <c r="B28" s="77" t="s">
        <v>546</v>
      </c>
      <c r="C28" s="77" t="s">
        <v>740</v>
      </c>
      <c r="D28" s="77" t="s">
        <v>368</v>
      </c>
      <c r="E28" s="77" t="n">
        <f aca="false">SUMIF('Little Explorers Kits'!$C$5:$C$358,$B28,'Little Explorers Kits'!H$5:H$358)+SUMIF('Junior Makers Kits'!$C$5:$C$440,$B28,'Junior Makers Kits'!H$5:H$440)+SUMIF('Young Innovators Kits'!$C$5:$C$418,$B28,'Young Innovators Kits'!H$5:H$418)+SUMIF('Tech Leaders Kits'!$C$5:$C$386,$B28,'Tech Leaders Kits'!H$5:H$386)</f>
        <v>0</v>
      </c>
      <c r="F28" s="77" t="n">
        <f aca="false">SUMIF('Little Explorers Kits'!$C$5:$C$358,$B28,'Little Explorers Kits'!I$5:I$358)+SUMIF('Junior Makers Kits'!$C$5:$C$440,$B28,'Junior Makers Kits'!I$5:I$440)+SUMIF('Young Innovators Kits'!$C$5:$C$418,$B28,'Young Innovators Kits'!I$5:I$418)+SUMIF('Tech Leaders Kits'!$C$5:$C$386,$B28,'Tech Leaders Kits'!I$5:I$386)</f>
        <v>0</v>
      </c>
      <c r="G28" s="77" t="n">
        <f aca="false">SUMIF('Little Explorers Kits'!$C$5:$C$358,$B28,'Little Explorers Kits'!J$5:J$358)+SUMIF('Junior Makers Kits'!$C$5:$C$440,$B28,'Junior Makers Kits'!J$5:J$440)+SUMIF('Young Innovators Kits'!$C$5:$C$418,$B28,'Young Innovators Kits'!J$5:J$418)+SUMIF('Tech Leaders Kits'!$C$5:$C$386,$B28,'Tech Leaders Kits'!J$5:J$386)</f>
        <v>0</v>
      </c>
      <c r="H28" s="77" t="n">
        <f aca="false">SUMIF('Little Explorers Kits'!$C$5:$C$358,$B28,'Little Explorers Kits'!K$5:K$358)+SUMIF('Junior Makers Kits'!$C$5:$C$440,$B28,'Junior Makers Kits'!K$5:K$440)+SUMIF('Young Innovators Kits'!$C$5:$C$418,$B28,'Young Innovators Kits'!K$5:K$418)+SUMIF('Tech Leaders Kits'!$C$5:$C$386,$B28,'Tech Leaders Kits'!K$5:K$386)</f>
        <v>0</v>
      </c>
      <c r="I28" s="77" t="n">
        <f aca="false">SUMIF('Little Explorers Kits'!$C$5:$C$358,$B28,'Little Explorers Kits'!L$5:L$358)+SUMIF('Junior Makers Kits'!$C$5:$C$440,$B28,'Junior Makers Kits'!L$5:L$440)+SUMIF('Young Innovators Kits'!$C$5:$C$418,$B28,'Young Innovators Kits'!L$5:L$418)+SUMIF('Tech Leaders Kits'!$C$5:$C$386,$B28,'Tech Leaders Kits'!L$5:L$386)</f>
        <v>0</v>
      </c>
      <c r="J28" s="77" t="n">
        <f aca="false">SUMIF('Little Explorers Kits'!$C$5:$C$358,$B28,'Little Explorers Kits'!M$5:M$358)+SUMIF('Junior Makers Kits'!$C$5:$C$440,$B28,'Junior Makers Kits'!M$5:M$440)+SUMIF('Young Innovators Kits'!$C$5:$C$418,$B28,'Young Innovators Kits'!M$5:M$418)+SUMIF('Tech Leaders Kits'!$C$5:$C$386,$B28,'Tech Leaders Kits'!M$5:M$386)</f>
        <v>0</v>
      </c>
      <c r="K28" s="77" t="n">
        <f aca="false">SUM(E28:J28)</f>
        <v>0</v>
      </c>
      <c r="L28" s="77" t="n">
        <f aca="false">MAX(E28:I28)+J28</f>
        <v>0</v>
      </c>
      <c r="M28" s="23" t="n">
        <f aca="false">IF(D28="Reusable",L28,K28)</f>
        <v>0</v>
      </c>
      <c r="N28" s="77" t="str">
        <f aca="false">IF(M28&gt;0,COUNTIF($M$3:M28,"&gt;0"),"")</f>
        <v/>
      </c>
    </row>
    <row r="29" customFormat="false" ht="15" hidden="false" customHeight="false" outlineLevel="0" collapsed="false">
      <c r="A29" s="77" t="s">
        <v>545</v>
      </c>
      <c r="B29" s="77" t="s">
        <v>619</v>
      </c>
      <c r="C29" s="77" t="s">
        <v>741</v>
      </c>
      <c r="D29" s="77" t="s">
        <v>368</v>
      </c>
      <c r="E29" s="77" t="n">
        <f aca="false">SUMIF('Little Explorers Kits'!$C$5:$C$358,$B29,'Little Explorers Kits'!H$5:H$358)+SUMIF('Junior Makers Kits'!$C$5:$C$440,$B29,'Junior Makers Kits'!H$5:H$440)+SUMIF('Young Innovators Kits'!$C$5:$C$418,$B29,'Young Innovators Kits'!H$5:H$418)+SUMIF('Tech Leaders Kits'!$C$5:$C$386,$B29,'Tech Leaders Kits'!H$5:H$386)</f>
        <v>0</v>
      </c>
      <c r="F29" s="77" t="n">
        <f aca="false">SUMIF('Little Explorers Kits'!$C$5:$C$358,$B29,'Little Explorers Kits'!I$5:I$358)+SUMIF('Junior Makers Kits'!$C$5:$C$440,$B29,'Junior Makers Kits'!I$5:I$440)+SUMIF('Young Innovators Kits'!$C$5:$C$418,$B29,'Young Innovators Kits'!I$5:I$418)+SUMIF('Tech Leaders Kits'!$C$5:$C$386,$B29,'Tech Leaders Kits'!I$5:I$386)</f>
        <v>0</v>
      </c>
      <c r="G29" s="77" t="n">
        <f aca="false">SUMIF('Little Explorers Kits'!$C$5:$C$358,$B29,'Little Explorers Kits'!J$5:J$358)+SUMIF('Junior Makers Kits'!$C$5:$C$440,$B29,'Junior Makers Kits'!J$5:J$440)+SUMIF('Young Innovators Kits'!$C$5:$C$418,$B29,'Young Innovators Kits'!J$5:J$418)+SUMIF('Tech Leaders Kits'!$C$5:$C$386,$B29,'Tech Leaders Kits'!J$5:J$386)</f>
        <v>0</v>
      </c>
      <c r="H29" s="77" t="n">
        <f aca="false">SUMIF('Little Explorers Kits'!$C$5:$C$358,$B29,'Little Explorers Kits'!K$5:K$358)+SUMIF('Junior Makers Kits'!$C$5:$C$440,$B29,'Junior Makers Kits'!K$5:K$440)+SUMIF('Young Innovators Kits'!$C$5:$C$418,$B29,'Young Innovators Kits'!K$5:K$418)+SUMIF('Tech Leaders Kits'!$C$5:$C$386,$B29,'Tech Leaders Kits'!K$5:K$386)</f>
        <v>0</v>
      </c>
      <c r="I29" s="77" t="n">
        <f aca="false">SUMIF('Little Explorers Kits'!$C$5:$C$358,$B29,'Little Explorers Kits'!L$5:L$358)+SUMIF('Junior Makers Kits'!$C$5:$C$440,$B29,'Junior Makers Kits'!L$5:L$440)+SUMIF('Young Innovators Kits'!$C$5:$C$418,$B29,'Young Innovators Kits'!L$5:L$418)+SUMIF('Tech Leaders Kits'!$C$5:$C$386,$B29,'Tech Leaders Kits'!L$5:L$386)</f>
        <v>0</v>
      </c>
      <c r="J29" s="77" t="n">
        <f aca="false">SUMIF('Little Explorers Kits'!$C$5:$C$358,$B29,'Little Explorers Kits'!M$5:M$358)+SUMIF('Junior Makers Kits'!$C$5:$C$440,$B29,'Junior Makers Kits'!M$5:M$440)+SUMIF('Young Innovators Kits'!$C$5:$C$418,$B29,'Young Innovators Kits'!M$5:M$418)+SUMIF('Tech Leaders Kits'!$C$5:$C$386,$B29,'Tech Leaders Kits'!M$5:M$386)</f>
        <v>0</v>
      </c>
      <c r="K29" s="77" t="n">
        <f aca="false">SUM(E29:J29)</f>
        <v>0</v>
      </c>
      <c r="L29" s="77" t="n">
        <f aca="false">MAX(E29:I29)+J29</f>
        <v>0</v>
      </c>
      <c r="M29" s="23" t="n">
        <f aca="false">IF(D29="Reusable",L29,K29)</f>
        <v>0</v>
      </c>
      <c r="N29" s="77" t="str">
        <f aca="false">IF(M29&gt;0,COUNTIF($M$3:M29,"&gt;0"),"")</f>
        <v/>
      </c>
    </row>
    <row r="30" customFormat="false" ht="15" hidden="false" customHeight="false" outlineLevel="0" collapsed="false">
      <c r="A30" s="77" t="s">
        <v>377</v>
      </c>
      <c r="B30" s="77" t="s">
        <v>378</v>
      </c>
      <c r="C30" s="77" t="s">
        <v>742</v>
      </c>
      <c r="D30" s="77" t="s">
        <v>368</v>
      </c>
      <c r="E30" s="77" t="n">
        <f aca="false">SUMIF('Little Explorers Kits'!$C$5:$C$358,$B30,'Little Explorers Kits'!H$5:H$358)+SUMIF('Junior Makers Kits'!$C$5:$C$440,$B30,'Junior Makers Kits'!H$5:H$440)+SUMIF('Young Innovators Kits'!$C$5:$C$418,$B30,'Young Innovators Kits'!H$5:H$418)+SUMIF('Tech Leaders Kits'!$C$5:$C$386,$B30,'Tech Leaders Kits'!H$5:H$386)</f>
        <v>0</v>
      </c>
      <c r="F30" s="77" t="n">
        <f aca="false">SUMIF('Little Explorers Kits'!$C$5:$C$358,$B30,'Little Explorers Kits'!I$5:I$358)+SUMIF('Junior Makers Kits'!$C$5:$C$440,$B30,'Junior Makers Kits'!I$5:I$440)+SUMIF('Young Innovators Kits'!$C$5:$C$418,$B30,'Young Innovators Kits'!I$5:I$418)+SUMIF('Tech Leaders Kits'!$C$5:$C$386,$B30,'Tech Leaders Kits'!I$5:I$386)</f>
        <v>0</v>
      </c>
      <c r="G30" s="77" t="n">
        <f aca="false">SUMIF('Little Explorers Kits'!$C$5:$C$358,$B30,'Little Explorers Kits'!J$5:J$358)+SUMIF('Junior Makers Kits'!$C$5:$C$440,$B30,'Junior Makers Kits'!J$5:J$440)+SUMIF('Young Innovators Kits'!$C$5:$C$418,$B30,'Young Innovators Kits'!J$5:J$418)+SUMIF('Tech Leaders Kits'!$C$5:$C$386,$B30,'Tech Leaders Kits'!J$5:J$386)</f>
        <v>0</v>
      </c>
      <c r="H30" s="77" t="n">
        <f aca="false">SUMIF('Little Explorers Kits'!$C$5:$C$358,$B30,'Little Explorers Kits'!K$5:K$358)+SUMIF('Junior Makers Kits'!$C$5:$C$440,$B30,'Junior Makers Kits'!K$5:K$440)+SUMIF('Young Innovators Kits'!$C$5:$C$418,$B30,'Young Innovators Kits'!K$5:K$418)+SUMIF('Tech Leaders Kits'!$C$5:$C$386,$B30,'Tech Leaders Kits'!K$5:K$386)</f>
        <v>0</v>
      </c>
      <c r="I30" s="77" t="n">
        <f aca="false">SUMIF('Little Explorers Kits'!$C$5:$C$358,$B30,'Little Explorers Kits'!L$5:L$358)+SUMIF('Junior Makers Kits'!$C$5:$C$440,$B30,'Junior Makers Kits'!L$5:L$440)+SUMIF('Young Innovators Kits'!$C$5:$C$418,$B30,'Young Innovators Kits'!L$5:L$418)+SUMIF('Tech Leaders Kits'!$C$5:$C$386,$B30,'Tech Leaders Kits'!L$5:L$386)</f>
        <v>0</v>
      </c>
      <c r="J30" s="77" t="n">
        <f aca="false">SUMIF('Little Explorers Kits'!$C$5:$C$358,$B30,'Little Explorers Kits'!M$5:M$358)+SUMIF('Junior Makers Kits'!$C$5:$C$440,$B30,'Junior Makers Kits'!M$5:M$440)+SUMIF('Young Innovators Kits'!$C$5:$C$418,$B30,'Young Innovators Kits'!M$5:M$418)+SUMIF('Tech Leaders Kits'!$C$5:$C$386,$B30,'Tech Leaders Kits'!M$5:M$386)</f>
        <v>0</v>
      </c>
      <c r="K30" s="77" t="n">
        <f aca="false">SUM(E30:J30)</f>
        <v>0</v>
      </c>
      <c r="L30" s="77" t="n">
        <f aca="false">MAX(E30:I30)+J30</f>
        <v>0</v>
      </c>
      <c r="M30" s="23" t="n">
        <f aca="false">IF(D30="Reusable",L30,K30)</f>
        <v>0</v>
      </c>
      <c r="N30" s="77" t="str">
        <f aca="false">IF(M30&gt;0,COUNTIF($M$3:M30,"&gt;0"),"")</f>
        <v/>
      </c>
    </row>
    <row r="31" customFormat="false" ht="15" hidden="false" customHeight="false" outlineLevel="0" collapsed="false">
      <c r="A31" s="77" t="s">
        <v>377</v>
      </c>
      <c r="B31" s="77" t="s">
        <v>483</v>
      </c>
      <c r="C31" s="77" t="s">
        <v>743</v>
      </c>
      <c r="D31" s="77" t="s">
        <v>368</v>
      </c>
      <c r="E31" s="77" t="n">
        <f aca="false">SUMIF('Little Explorers Kits'!$C$5:$C$358,$B31,'Little Explorers Kits'!H$5:H$358)+SUMIF('Junior Makers Kits'!$C$5:$C$440,$B31,'Junior Makers Kits'!H$5:H$440)+SUMIF('Young Innovators Kits'!$C$5:$C$418,$B31,'Young Innovators Kits'!H$5:H$418)+SUMIF('Tech Leaders Kits'!$C$5:$C$386,$B31,'Tech Leaders Kits'!H$5:H$386)</f>
        <v>0</v>
      </c>
      <c r="F31" s="77" t="n">
        <f aca="false">SUMIF('Little Explorers Kits'!$C$5:$C$358,$B31,'Little Explorers Kits'!I$5:I$358)+SUMIF('Junior Makers Kits'!$C$5:$C$440,$B31,'Junior Makers Kits'!I$5:I$440)+SUMIF('Young Innovators Kits'!$C$5:$C$418,$B31,'Young Innovators Kits'!I$5:I$418)+SUMIF('Tech Leaders Kits'!$C$5:$C$386,$B31,'Tech Leaders Kits'!I$5:I$386)</f>
        <v>0</v>
      </c>
      <c r="G31" s="77" t="n">
        <f aca="false">SUMIF('Little Explorers Kits'!$C$5:$C$358,$B31,'Little Explorers Kits'!J$5:J$358)+SUMIF('Junior Makers Kits'!$C$5:$C$440,$B31,'Junior Makers Kits'!J$5:J$440)+SUMIF('Young Innovators Kits'!$C$5:$C$418,$B31,'Young Innovators Kits'!J$5:J$418)+SUMIF('Tech Leaders Kits'!$C$5:$C$386,$B31,'Tech Leaders Kits'!J$5:J$386)</f>
        <v>0</v>
      </c>
      <c r="H31" s="77" t="n">
        <f aca="false">SUMIF('Little Explorers Kits'!$C$5:$C$358,$B31,'Little Explorers Kits'!K$5:K$358)+SUMIF('Junior Makers Kits'!$C$5:$C$440,$B31,'Junior Makers Kits'!K$5:K$440)+SUMIF('Young Innovators Kits'!$C$5:$C$418,$B31,'Young Innovators Kits'!K$5:K$418)+SUMIF('Tech Leaders Kits'!$C$5:$C$386,$B31,'Tech Leaders Kits'!K$5:K$386)</f>
        <v>0</v>
      </c>
      <c r="I31" s="77" t="n">
        <f aca="false">SUMIF('Little Explorers Kits'!$C$5:$C$358,$B31,'Little Explorers Kits'!L$5:L$358)+SUMIF('Junior Makers Kits'!$C$5:$C$440,$B31,'Junior Makers Kits'!L$5:L$440)+SUMIF('Young Innovators Kits'!$C$5:$C$418,$B31,'Young Innovators Kits'!L$5:L$418)+SUMIF('Tech Leaders Kits'!$C$5:$C$386,$B31,'Tech Leaders Kits'!L$5:L$386)</f>
        <v>0</v>
      </c>
      <c r="J31" s="77" t="n">
        <f aca="false">SUMIF('Little Explorers Kits'!$C$5:$C$358,$B31,'Little Explorers Kits'!M$5:M$358)+SUMIF('Junior Makers Kits'!$C$5:$C$440,$B31,'Junior Makers Kits'!M$5:M$440)+SUMIF('Young Innovators Kits'!$C$5:$C$418,$B31,'Young Innovators Kits'!M$5:M$418)+SUMIF('Tech Leaders Kits'!$C$5:$C$386,$B31,'Tech Leaders Kits'!M$5:M$386)</f>
        <v>0</v>
      </c>
      <c r="K31" s="77" t="n">
        <f aca="false">SUM(E31:J31)</f>
        <v>0</v>
      </c>
      <c r="L31" s="77" t="n">
        <f aca="false">MAX(E31:I31)+J31</f>
        <v>0</v>
      </c>
      <c r="M31" s="23" t="n">
        <f aca="false">IF(D31="Reusable",L31,K31)</f>
        <v>0</v>
      </c>
      <c r="N31" s="77" t="str">
        <f aca="false">IF(M31&gt;0,COUNTIF($M$3:M31,"&gt;0"),"")</f>
        <v/>
      </c>
    </row>
    <row r="32" customFormat="false" ht="15" hidden="false" customHeight="false" outlineLevel="0" collapsed="false">
      <c r="A32" s="77" t="s">
        <v>377</v>
      </c>
      <c r="B32" s="77" t="s">
        <v>532</v>
      </c>
      <c r="C32" s="77" t="s">
        <v>744</v>
      </c>
      <c r="D32" s="77" t="s">
        <v>368</v>
      </c>
      <c r="E32" s="77" t="n">
        <f aca="false">SUMIF('Little Explorers Kits'!$C$5:$C$358,$B32,'Little Explorers Kits'!H$5:H$358)+SUMIF('Junior Makers Kits'!$C$5:$C$440,$B32,'Junior Makers Kits'!H$5:H$440)+SUMIF('Young Innovators Kits'!$C$5:$C$418,$B32,'Young Innovators Kits'!H$5:H$418)+SUMIF('Tech Leaders Kits'!$C$5:$C$386,$B32,'Tech Leaders Kits'!H$5:H$386)</f>
        <v>0</v>
      </c>
      <c r="F32" s="77" t="n">
        <f aca="false">SUMIF('Little Explorers Kits'!$C$5:$C$358,$B32,'Little Explorers Kits'!I$5:I$358)+SUMIF('Junior Makers Kits'!$C$5:$C$440,$B32,'Junior Makers Kits'!I$5:I$440)+SUMIF('Young Innovators Kits'!$C$5:$C$418,$B32,'Young Innovators Kits'!I$5:I$418)+SUMIF('Tech Leaders Kits'!$C$5:$C$386,$B32,'Tech Leaders Kits'!I$5:I$386)</f>
        <v>0</v>
      </c>
      <c r="G32" s="77" t="n">
        <f aca="false">SUMIF('Little Explorers Kits'!$C$5:$C$358,$B32,'Little Explorers Kits'!J$5:J$358)+SUMIF('Junior Makers Kits'!$C$5:$C$440,$B32,'Junior Makers Kits'!J$5:J$440)+SUMIF('Young Innovators Kits'!$C$5:$C$418,$B32,'Young Innovators Kits'!J$5:J$418)+SUMIF('Tech Leaders Kits'!$C$5:$C$386,$B32,'Tech Leaders Kits'!J$5:J$386)</f>
        <v>0</v>
      </c>
      <c r="H32" s="77" t="n">
        <f aca="false">SUMIF('Little Explorers Kits'!$C$5:$C$358,$B32,'Little Explorers Kits'!K$5:K$358)+SUMIF('Junior Makers Kits'!$C$5:$C$440,$B32,'Junior Makers Kits'!K$5:K$440)+SUMIF('Young Innovators Kits'!$C$5:$C$418,$B32,'Young Innovators Kits'!K$5:K$418)+SUMIF('Tech Leaders Kits'!$C$5:$C$386,$B32,'Tech Leaders Kits'!K$5:K$386)</f>
        <v>0</v>
      </c>
      <c r="I32" s="77" t="n">
        <f aca="false">SUMIF('Little Explorers Kits'!$C$5:$C$358,$B32,'Little Explorers Kits'!L$5:L$358)+SUMIF('Junior Makers Kits'!$C$5:$C$440,$B32,'Junior Makers Kits'!L$5:L$440)+SUMIF('Young Innovators Kits'!$C$5:$C$418,$B32,'Young Innovators Kits'!L$5:L$418)+SUMIF('Tech Leaders Kits'!$C$5:$C$386,$B32,'Tech Leaders Kits'!L$5:L$386)</f>
        <v>0</v>
      </c>
      <c r="J32" s="77" t="n">
        <f aca="false">SUMIF('Little Explorers Kits'!$C$5:$C$358,$B32,'Little Explorers Kits'!M$5:M$358)+SUMIF('Junior Makers Kits'!$C$5:$C$440,$B32,'Junior Makers Kits'!M$5:M$440)+SUMIF('Young Innovators Kits'!$C$5:$C$418,$B32,'Young Innovators Kits'!M$5:M$418)+SUMIF('Tech Leaders Kits'!$C$5:$C$386,$B32,'Tech Leaders Kits'!M$5:M$386)</f>
        <v>0</v>
      </c>
      <c r="K32" s="77" t="n">
        <f aca="false">SUM(E32:J32)</f>
        <v>0</v>
      </c>
      <c r="L32" s="77" t="n">
        <f aca="false">MAX(E32:I32)+J32</f>
        <v>0</v>
      </c>
      <c r="M32" s="23" t="n">
        <f aca="false">IF(D32="Reusable",L32,K32)</f>
        <v>0</v>
      </c>
      <c r="N32" s="77" t="str">
        <f aca="false">IF(M32&gt;0,COUNTIF($M$3:M32,"&gt;0"),"")</f>
        <v/>
      </c>
    </row>
    <row r="33" customFormat="false" ht="15" hidden="false" customHeight="false" outlineLevel="0" collapsed="false">
      <c r="A33" s="77" t="s">
        <v>377</v>
      </c>
      <c r="B33" s="77" t="s">
        <v>622</v>
      </c>
      <c r="C33" s="77" t="s">
        <v>745</v>
      </c>
      <c r="D33" s="77" t="s">
        <v>368</v>
      </c>
      <c r="E33" s="77" t="n">
        <f aca="false">SUMIF('Little Explorers Kits'!$C$5:$C$358,$B33,'Little Explorers Kits'!H$5:H$358)+SUMIF('Junior Makers Kits'!$C$5:$C$440,$B33,'Junior Makers Kits'!H$5:H$440)+SUMIF('Young Innovators Kits'!$C$5:$C$418,$B33,'Young Innovators Kits'!H$5:H$418)+SUMIF('Tech Leaders Kits'!$C$5:$C$386,$B33,'Tech Leaders Kits'!H$5:H$386)</f>
        <v>0</v>
      </c>
      <c r="F33" s="77" t="n">
        <f aca="false">SUMIF('Little Explorers Kits'!$C$5:$C$358,$B33,'Little Explorers Kits'!I$5:I$358)+SUMIF('Junior Makers Kits'!$C$5:$C$440,$B33,'Junior Makers Kits'!I$5:I$440)+SUMIF('Young Innovators Kits'!$C$5:$C$418,$B33,'Young Innovators Kits'!I$5:I$418)+SUMIF('Tech Leaders Kits'!$C$5:$C$386,$B33,'Tech Leaders Kits'!I$5:I$386)</f>
        <v>0</v>
      </c>
      <c r="G33" s="77" t="n">
        <f aca="false">SUMIF('Little Explorers Kits'!$C$5:$C$358,$B33,'Little Explorers Kits'!J$5:J$358)+SUMIF('Junior Makers Kits'!$C$5:$C$440,$B33,'Junior Makers Kits'!J$5:J$440)+SUMIF('Young Innovators Kits'!$C$5:$C$418,$B33,'Young Innovators Kits'!J$5:J$418)+SUMIF('Tech Leaders Kits'!$C$5:$C$386,$B33,'Tech Leaders Kits'!J$5:J$386)</f>
        <v>0</v>
      </c>
      <c r="H33" s="77" t="n">
        <f aca="false">SUMIF('Little Explorers Kits'!$C$5:$C$358,$B33,'Little Explorers Kits'!K$5:K$358)+SUMIF('Junior Makers Kits'!$C$5:$C$440,$B33,'Junior Makers Kits'!K$5:K$440)+SUMIF('Young Innovators Kits'!$C$5:$C$418,$B33,'Young Innovators Kits'!K$5:K$418)+SUMIF('Tech Leaders Kits'!$C$5:$C$386,$B33,'Tech Leaders Kits'!K$5:K$386)</f>
        <v>0</v>
      </c>
      <c r="I33" s="77" t="n">
        <f aca="false">SUMIF('Little Explorers Kits'!$C$5:$C$358,$B33,'Little Explorers Kits'!L$5:L$358)+SUMIF('Junior Makers Kits'!$C$5:$C$440,$B33,'Junior Makers Kits'!L$5:L$440)+SUMIF('Young Innovators Kits'!$C$5:$C$418,$B33,'Young Innovators Kits'!L$5:L$418)+SUMIF('Tech Leaders Kits'!$C$5:$C$386,$B33,'Tech Leaders Kits'!L$5:L$386)</f>
        <v>0</v>
      </c>
      <c r="J33" s="77" t="n">
        <f aca="false">SUMIF('Little Explorers Kits'!$C$5:$C$358,$B33,'Little Explorers Kits'!M$5:M$358)+SUMIF('Junior Makers Kits'!$C$5:$C$440,$B33,'Junior Makers Kits'!M$5:M$440)+SUMIF('Young Innovators Kits'!$C$5:$C$418,$B33,'Young Innovators Kits'!M$5:M$418)+SUMIF('Tech Leaders Kits'!$C$5:$C$386,$B33,'Tech Leaders Kits'!M$5:M$386)</f>
        <v>0</v>
      </c>
      <c r="K33" s="77" t="n">
        <f aca="false">SUM(E33:J33)</f>
        <v>0</v>
      </c>
      <c r="L33" s="77" t="n">
        <f aca="false">MAX(E33:I33)+J33</f>
        <v>0</v>
      </c>
      <c r="M33" s="23" t="n">
        <f aca="false">IF(D33="Reusable",L33,K33)</f>
        <v>0</v>
      </c>
      <c r="N33" s="77" t="str">
        <f aca="false">IF(M33&gt;0,COUNTIF($M$3:M33,"&gt;0"),"")</f>
        <v/>
      </c>
    </row>
    <row r="34" customFormat="false" ht="15" hidden="false" customHeight="false" outlineLevel="0" collapsed="false">
      <c r="A34" s="77" t="s">
        <v>377</v>
      </c>
      <c r="B34" s="77" t="s">
        <v>477</v>
      </c>
      <c r="C34" s="77" t="s">
        <v>746</v>
      </c>
      <c r="D34" s="77" t="s">
        <v>368</v>
      </c>
      <c r="E34" s="77" t="n">
        <f aca="false">SUMIF('Little Explorers Kits'!$C$5:$C$358,$B34,'Little Explorers Kits'!H$5:H$358)+SUMIF('Junior Makers Kits'!$C$5:$C$440,$B34,'Junior Makers Kits'!H$5:H$440)+SUMIF('Young Innovators Kits'!$C$5:$C$418,$B34,'Young Innovators Kits'!H$5:H$418)+SUMIF('Tech Leaders Kits'!$C$5:$C$386,$B34,'Tech Leaders Kits'!H$5:H$386)</f>
        <v>0</v>
      </c>
      <c r="F34" s="77" t="n">
        <f aca="false">SUMIF('Little Explorers Kits'!$C$5:$C$358,$B34,'Little Explorers Kits'!I$5:I$358)+SUMIF('Junior Makers Kits'!$C$5:$C$440,$B34,'Junior Makers Kits'!I$5:I$440)+SUMIF('Young Innovators Kits'!$C$5:$C$418,$B34,'Young Innovators Kits'!I$5:I$418)+SUMIF('Tech Leaders Kits'!$C$5:$C$386,$B34,'Tech Leaders Kits'!I$5:I$386)</f>
        <v>0</v>
      </c>
      <c r="G34" s="77" t="n">
        <f aca="false">SUMIF('Little Explorers Kits'!$C$5:$C$358,$B34,'Little Explorers Kits'!J$5:J$358)+SUMIF('Junior Makers Kits'!$C$5:$C$440,$B34,'Junior Makers Kits'!J$5:J$440)+SUMIF('Young Innovators Kits'!$C$5:$C$418,$B34,'Young Innovators Kits'!J$5:J$418)+SUMIF('Tech Leaders Kits'!$C$5:$C$386,$B34,'Tech Leaders Kits'!J$5:J$386)</f>
        <v>0</v>
      </c>
      <c r="H34" s="77" t="n">
        <f aca="false">SUMIF('Little Explorers Kits'!$C$5:$C$358,$B34,'Little Explorers Kits'!K$5:K$358)+SUMIF('Junior Makers Kits'!$C$5:$C$440,$B34,'Junior Makers Kits'!K$5:K$440)+SUMIF('Young Innovators Kits'!$C$5:$C$418,$B34,'Young Innovators Kits'!K$5:K$418)+SUMIF('Tech Leaders Kits'!$C$5:$C$386,$B34,'Tech Leaders Kits'!K$5:K$386)</f>
        <v>0</v>
      </c>
      <c r="I34" s="77" t="n">
        <f aca="false">SUMIF('Little Explorers Kits'!$C$5:$C$358,$B34,'Little Explorers Kits'!L$5:L$358)+SUMIF('Junior Makers Kits'!$C$5:$C$440,$B34,'Junior Makers Kits'!L$5:L$440)+SUMIF('Young Innovators Kits'!$C$5:$C$418,$B34,'Young Innovators Kits'!L$5:L$418)+SUMIF('Tech Leaders Kits'!$C$5:$C$386,$B34,'Tech Leaders Kits'!L$5:L$386)</f>
        <v>0</v>
      </c>
      <c r="J34" s="77" t="n">
        <f aca="false">SUMIF('Little Explorers Kits'!$C$5:$C$358,$B34,'Little Explorers Kits'!M$5:M$358)+SUMIF('Junior Makers Kits'!$C$5:$C$440,$B34,'Junior Makers Kits'!M$5:M$440)+SUMIF('Young Innovators Kits'!$C$5:$C$418,$B34,'Young Innovators Kits'!M$5:M$418)+SUMIF('Tech Leaders Kits'!$C$5:$C$386,$B34,'Tech Leaders Kits'!M$5:M$386)</f>
        <v>0</v>
      </c>
      <c r="K34" s="77" t="n">
        <f aca="false">SUM(E34:J34)</f>
        <v>0</v>
      </c>
      <c r="L34" s="77" t="n">
        <f aca="false">MAX(E34:I34)+J34</f>
        <v>0</v>
      </c>
      <c r="M34" s="23" t="n">
        <f aca="false">IF(D34="Reusable",L34,K34)</f>
        <v>0</v>
      </c>
      <c r="N34" s="77" t="str">
        <f aca="false">IF(M34&gt;0,COUNTIF($M$3:M34,"&gt;0"),"")</f>
        <v/>
      </c>
    </row>
    <row r="35" customFormat="false" ht="15" hidden="false" customHeight="false" outlineLevel="0" collapsed="false">
      <c r="A35" s="77" t="s">
        <v>377</v>
      </c>
      <c r="B35" s="77" t="s">
        <v>597</v>
      </c>
      <c r="C35" s="77" t="s">
        <v>747</v>
      </c>
      <c r="D35" s="77" t="s">
        <v>368</v>
      </c>
      <c r="E35" s="77" t="n">
        <f aca="false">SUMIF('Little Explorers Kits'!$C$5:$C$358,$B35,'Little Explorers Kits'!H$5:H$358)+SUMIF('Junior Makers Kits'!$C$5:$C$440,$B35,'Junior Makers Kits'!H$5:H$440)+SUMIF('Young Innovators Kits'!$C$5:$C$418,$B35,'Young Innovators Kits'!H$5:H$418)+SUMIF('Tech Leaders Kits'!$C$5:$C$386,$B35,'Tech Leaders Kits'!H$5:H$386)</f>
        <v>0</v>
      </c>
      <c r="F35" s="77" t="n">
        <f aca="false">SUMIF('Little Explorers Kits'!$C$5:$C$358,$B35,'Little Explorers Kits'!I$5:I$358)+SUMIF('Junior Makers Kits'!$C$5:$C$440,$B35,'Junior Makers Kits'!I$5:I$440)+SUMIF('Young Innovators Kits'!$C$5:$C$418,$B35,'Young Innovators Kits'!I$5:I$418)+SUMIF('Tech Leaders Kits'!$C$5:$C$386,$B35,'Tech Leaders Kits'!I$5:I$386)</f>
        <v>0</v>
      </c>
      <c r="G35" s="77" t="n">
        <f aca="false">SUMIF('Little Explorers Kits'!$C$5:$C$358,$B35,'Little Explorers Kits'!J$5:J$358)+SUMIF('Junior Makers Kits'!$C$5:$C$440,$B35,'Junior Makers Kits'!J$5:J$440)+SUMIF('Young Innovators Kits'!$C$5:$C$418,$B35,'Young Innovators Kits'!J$5:J$418)+SUMIF('Tech Leaders Kits'!$C$5:$C$386,$B35,'Tech Leaders Kits'!J$5:J$386)</f>
        <v>0</v>
      </c>
      <c r="H35" s="77" t="n">
        <f aca="false">SUMIF('Little Explorers Kits'!$C$5:$C$358,$B35,'Little Explorers Kits'!K$5:K$358)+SUMIF('Junior Makers Kits'!$C$5:$C$440,$B35,'Junior Makers Kits'!K$5:K$440)+SUMIF('Young Innovators Kits'!$C$5:$C$418,$B35,'Young Innovators Kits'!K$5:K$418)+SUMIF('Tech Leaders Kits'!$C$5:$C$386,$B35,'Tech Leaders Kits'!K$5:K$386)</f>
        <v>0</v>
      </c>
      <c r="I35" s="77" t="n">
        <f aca="false">SUMIF('Little Explorers Kits'!$C$5:$C$358,$B35,'Little Explorers Kits'!L$5:L$358)+SUMIF('Junior Makers Kits'!$C$5:$C$440,$B35,'Junior Makers Kits'!L$5:L$440)+SUMIF('Young Innovators Kits'!$C$5:$C$418,$B35,'Young Innovators Kits'!L$5:L$418)+SUMIF('Tech Leaders Kits'!$C$5:$C$386,$B35,'Tech Leaders Kits'!L$5:L$386)</f>
        <v>0</v>
      </c>
      <c r="J35" s="77" t="n">
        <f aca="false">SUMIF('Little Explorers Kits'!$C$5:$C$358,$B35,'Little Explorers Kits'!M$5:M$358)+SUMIF('Junior Makers Kits'!$C$5:$C$440,$B35,'Junior Makers Kits'!M$5:M$440)+SUMIF('Young Innovators Kits'!$C$5:$C$418,$B35,'Young Innovators Kits'!M$5:M$418)+SUMIF('Tech Leaders Kits'!$C$5:$C$386,$B35,'Tech Leaders Kits'!M$5:M$386)</f>
        <v>0</v>
      </c>
      <c r="K35" s="77" t="n">
        <f aca="false">SUM(E35:J35)</f>
        <v>0</v>
      </c>
      <c r="L35" s="77" t="n">
        <f aca="false">MAX(E35:I35)+J35</f>
        <v>0</v>
      </c>
      <c r="M35" s="23" t="n">
        <f aca="false">IF(D35="Reusable",L35,K35)</f>
        <v>0</v>
      </c>
      <c r="N35" s="77" t="str">
        <f aca="false">IF(M35&gt;0,COUNTIF($M$3:M35,"&gt;0"),"")</f>
        <v/>
      </c>
    </row>
    <row r="36" customFormat="false" ht="15" hidden="false" customHeight="false" outlineLevel="0" collapsed="false">
      <c r="A36" s="77" t="s">
        <v>377</v>
      </c>
      <c r="B36" s="77" t="s">
        <v>669</v>
      </c>
      <c r="C36" s="77" t="s">
        <v>748</v>
      </c>
      <c r="D36" s="77" t="s">
        <v>368</v>
      </c>
      <c r="E36" s="77" t="n">
        <f aca="false">SUMIF('Little Explorers Kits'!$C$5:$C$358,$B36,'Little Explorers Kits'!H$5:H$358)+SUMIF('Junior Makers Kits'!$C$5:$C$440,$B36,'Junior Makers Kits'!H$5:H$440)+SUMIF('Young Innovators Kits'!$C$5:$C$418,$B36,'Young Innovators Kits'!H$5:H$418)+SUMIF('Tech Leaders Kits'!$C$5:$C$386,$B36,'Tech Leaders Kits'!H$5:H$386)</f>
        <v>0</v>
      </c>
      <c r="F36" s="77" t="n">
        <f aca="false">SUMIF('Little Explorers Kits'!$C$5:$C$358,$B36,'Little Explorers Kits'!I$5:I$358)+SUMIF('Junior Makers Kits'!$C$5:$C$440,$B36,'Junior Makers Kits'!I$5:I$440)+SUMIF('Young Innovators Kits'!$C$5:$C$418,$B36,'Young Innovators Kits'!I$5:I$418)+SUMIF('Tech Leaders Kits'!$C$5:$C$386,$B36,'Tech Leaders Kits'!I$5:I$386)</f>
        <v>0</v>
      </c>
      <c r="G36" s="77" t="n">
        <f aca="false">SUMIF('Little Explorers Kits'!$C$5:$C$358,$B36,'Little Explorers Kits'!J$5:J$358)+SUMIF('Junior Makers Kits'!$C$5:$C$440,$B36,'Junior Makers Kits'!J$5:J$440)+SUMIF('Young Innovators Kits'!$C$5:$C$418,$B36,'Young Innovators Kits'!J$5:J$418)+SUMIF('Tech Leaders Kits'!$C$5:$C$386,$B36,'Tech Leaders Kits'!J$5:J$386)</f>
        <v>0</v>
      </c>
      <c r="H36" s="77" t="n">
        <f aca="false">SUMIF('Little Explorers Kits'!$C$5:$C$358,$B36,'Little Explorers Kits'!K$5:K$358)+SUMIF('Junior Makers Kits'!$C$5:$C$440,$B36,'Junior Makers Kits'!K$5:K$440)+SUMIF('Young Innovators Kits'!$C$5:$C$418,$B36,'Young Innovators Kits'!K$5:K$418)+SUMIF('Tech Leaders Kits'!$C$5:$C$386,$B36,'Tech Leaders Kits'!K$5:K$386)</f>
        <v>0</v>
      </c>
      <c r="I36" s="77" t="n">
        <f aca="false">SUMIF('Little Explorers Kits'!$C$5:$C$358,$B36,'Little Explorers Kits'!L$5:L$358)+SUMIF('Junior Makers Kits'!$C$5:$C$440,$B36,'Junior Makers Kits'!L$5:L$440)+SUMIF('Young Innovators Kits'!$C$5:$C$418,$B36,'Young Innovators Kits'!L$5:L$418)+SUMIF('Tech Leaders Kits'!$C$5:$C$386,$B36,'Tech Leaders Kits'!L$5:L$386)</f>
        <v>0</v>
      </c>
      <c r="J36" s="77" t="n">
        <f aca="false">SUMIF('Little Explorers Kits'!$C$5:$C$358,$B36,'Little Explorers Kits'!M$5:M$358)+SUMIF('Junior Makers Kits'!$C$5:$C$440,$B36,'Junior Makers Kits'!M$5:M$440)+SUMIF('Young Innovators Kits'!$C$5:$C$418,$B36,'Young Innovators Kits'!M$5:M$418)+SUMIF('Tech Leaders Kits'!$C$5:$C$386,$B36,'Tech Leaders Kits'!M$5:M$386)</f>
        <v>0</v>
      </c>
      <c r="K36" s="77" t="n">
        <f aca="false">SUM(E36:J36)</f>
        <v>0</v>
      </c>
      <c r="L36" s="77" t="n">
        <f aca="false">MAX(E36:I36)+J36</f>
        <v>0</v>
      </c>
      <c r="M36" s="23" t="n">
        <f aca="false">IF(D36="Reusable",L36,K36)</f>
        <v>0</v>
      </c>
      <c r="N36" s="77" t="str">
        <f aca="false">IF(M36&gt;0,COUNTIF($M$3:M36,"&gt;0"),"")</f>
        <v/>
      </c>
    </row>
    <row r="37" customFormat="false" ht="15" hidden="false" customHeight="false" outlineLevel="0" collapsed="false">
      <c r="A37" s="77" t="s">
        <v>377</v>
      </c>
      <c r="B37" s="77" t="s">
        <v>660</v>
      </c>
      <c r="C37" s="77" t="s">
        <v>749</v>
      </c>
      <c r="D37" s="77" t="s">
        <v>368</v>
      </c>
      <c r="E37" s="77" t="n">
        <f aca="false">SUMIF('Little Explorers Kits'!$C$5:$C$358,$B37,'Little Explorers Kits'!H$5:H$358)+SUMIF('Junior Makers Kits'!$C$5:$C$440,$B37,'Junior Makers Kits'!H$5:H$440)+SUMIF('Young Innovators Kits'!$C$5:$C$418,$B37,'Young Innovators Kits'!H$5:H$418)+SUMIF('Tech Leaders Kits'!$C$5:$C$386,$B37,'Tech Leaders Kits'!H$5:H$386)</f>
        <v>0</v>
      </c>
      <c r="F37" s="77" t="n">
        <f aca="false">SUMIF('Little Explorers Kits'!$C$5:$C$358,$B37,'Little Explorers Kits'!I$5:I$358)+SUMIF('Junior Makers Kits'!$C$5:$C$440,$B37,'Junior Makers Kits'!I$5:I$440)+SUMIF('Young Innovators Kits'!$C$5:$C$418,$B37,'Young Innovators Kits'!I$5:I$418)+SUMIF('Tech Leaders Kits'!$C$5:$C$386,$B37,'Tech Leaders Kits'!I$5:I$386)</f>
        <v>0</v>
      </c>
      <c r="G37" s="77" t="n">
        <f aca="false">SUMIF('Little Explorers Kits'!$C$5:$C$358,$B37,'Little Explorers Kits'!J$5:J$358)+SUMIF('Junior Makers Kits'!$C$5:$C$440,$B37,'Junior Makers Kits'!J$5:J$440)+SUMIF('Young Innovators Kits'!$C$5:$C$418,$B37,'Young Innovators Kits'!J$5:J$418)+SUMIF('Tech Leaders Kits'!$C$5:$C$386,$B37,'Tech Leaders Kits'!J$5:J$386)</f>
        <v>0</v>
      </c>
      <c r="H37" s="77" t="n">
        <f aca="false">SUMIF('Little Explorers Kits'!$C$5:$C$358,$B37,'Little Explorers Kits'!K$5:K$358)+SUMIF('Junior Makers Kits'!$C$5:$C$440,$B37,'Junior Makers Kits'!K$5:K$440)+SUMIF('Young Innovators Kits'!$C$5:$C$418,$B37,'Young Innovators Kits'!K$5:K$418)+SUMIF('Tech Leaders Kits'!$C$5:$C$386,$B37,'Tech Leaders Kits'!K$5:K$386)</f>
        <v>0</v>
      </c>
      <c r="I37" s="77" t="n">
        <f aca="false">SUMIF('Little Explorers Kits'!$C$5:$C$358,$B37,'Little Explorers Kits'!L$5:L$358)+SUMIF('Junior Makers Kits'!$C$5:$C$440,$B37,'Junior Makers Kits'!L$5:L$440)+SUMIF('Young Innovators Kits'!$C$5:$C$418,$B37,'Young Innovators Kits'!L$5:L$418)+SUMIF('Tech Leaders Kits'!$C$5:$C$386,$B37,'Tech Leaders Kits'!L$5:L$386)</f>
        <v>0</v>
      </c>
      <c r="J37" s="77" t="n">
        <f aca="false">SUMIF('Little Explorers Kits'!$C$5:$C$358,$B37,'Little Explorers Kits'!M$5:M$358)+SUMIF('Junior Makers Kits'!$C$5:$C$440,$B37,'Junior Makers Kits'!M$5:M$440)+SUMIF('Young Innovators Kits'!$C$5:$C$418,$B37,'Young Innovators Kits'!M$5:M$418)+SUMIF('Tech Leaders Kits'!$C$5:$C$386,$B37,'Tech Leaders Kits'!M$5:M$386)</f>
        <v>0</v>
      </c>
      <c r="K37" s="77" t="n">
        <f aca="false">SUM(E37:J37)</f>
        <v>0</v>
      </c>
      <c r="L37" s="77" t="n">
        <f aca="false">MAX(E37:I37)+J37</f>
        <v>0</v>
      </c>
      <c r="M37" s="23" t="n">
        <f aca="false">IF(D37="Reusable",L37,K37)</f>
        <v>0</v>
      </c>
      <c r="N37" s="77" t="str">
        <f aca="false">IF(M37&gt;0,COUNTIF($M$3:M37,"&gt;0"),"")</f>
        <v/>
      </c>
    </row>
    <row r="38" customFormat="false" ht="15" hidden="false" customHeight="false" outlineLevel="0" collapsed="false">
      <c r="A38" s="77" t="s">
        <v>377</v>
      </c>
      <c r="B38" s="77" t="s">
        <v>439</v>
      </c>
      <c r="C38" s="77" t="s">
        <v>750</v>
      </c>
      <c r="D38" s="77" t="s">
        <v>368</v>
      </c>
      <c r="E38" s="77" t="n">
        <f aca="false">SUMIF('Little Explorers Kits'!$C$5:$C$358,$B38,'Little Explorers Kits'!H$5:H$358)+SUMIF('Junior Makers Kits'!$C$5:$C$440,$B38,'Junior Makers Kits'!H$5:H$440)+SUMIF('Young Innovators Kits'!$C$5:$C$418,$B38,'Young Innovators Kits'!H$5:H$418)+SUMIF('Tech Leaders Kits'!$C$5:$C$386,$B38,'Tech Leaders Kits'!H$5:H$386)</f>
        <v>0</v>
      </c>
      <c r="F38" s="77" t="n">
        <f aca="false">SUMIF('Little Explorers Kits'!$C$5:$C$358,$B38,'Little Explorers Kits'!I$5:I$358)+SUMIF('Junior Makers Kits'!$C$5:$C$440,$B38,'Junior Makers Kits'!I$5:I$440)+SUMIF('Young Innovators Kits'!$C$5:$C$418,$B38,'Young Innovators Kits'!I$5:I$418)+SUMIF('Tech Leaders Kits'!$C$5:$C$386,$B38,'Tech Leaders Kits'!I$5:I$386)</f>
        <v>0</v>
      </c>
      <c r="G38" s="77" t="n">
        <f aca="false">SUMIF('Little Explorers Kits'!$C$5:$C$358,$B38,'Little Explorers Kits'!J$5:J$358)+SUMIF('Junior Makers Kits'!$C$5:$C$440,$B38,'Junior Makers Kits'!J$5:J$440)+SUMIF('Young Innovators Kits'!$C$5:$C$418,$B38,'Young Innovators Kits'!J$5:J$418)+SUMIF('Tech Leaders Kits'!$C$5:$C$386,$B38,'Tech Leaders Kits'!J$5:J$386)</f>
        <v>0</v>
      </c>
      <c r="H38" s="77" t="n">
        <f aca="false">SUMIF('Little Explorers Kits'!$C$5:$C$358,$B38,'Little Explorers Kits'!K$5:K$358)+SUMIF('Junior Makers Kits'!$C$5:$C$440,$B38,'Junior Makers Kits'!K$5:K$440)+SUMIF('Young Innovators Kits'!$C$5:$C$418,$B38,'Young Innovators Kits'!K$5:K$418)+SUMIF('Tech Leaders Kits'!$C$5:$C$386,$B38,'Tech Leaders Kits'!K$5:K$386)</f>
        <v>0</v>
      </c>
      <c r="I38" s="77" t="n">
        <f aca="false">SUMIF('Little Explorers Kits'!$C$5:$C$358,$B38,'Little Explorers Kits'!L$5:L$358)+SUMIF('Junior Makers Kits'!$C$5:$C$440,$B38,'Junior Makers Kits'!L$5:L$440)+SUMIF('Young Innovators Kits'!$C$5:$C$418,$B38,'Young Innovators Kits'!L$5:L$418)+SUMIF('Tech Leaders Kits'!$C$5:$C$386,$B38,'Tech Leaders Kits'!L$5:L$386)</f>
        <v>0</v>
      </c>
      <c r="J38" s="77" t="n">
        <f aca="false">SUMIF('Little Explorers Kits'!$C$5:$C$358,$B38,'Little Explorers Kits'!M$5:M$358)+SUMIF('Junior Makers Kits'!$C$5:$C$440,$B38,'Junior Makers Kits'!M$5:M$440)+SUMIF('Young Innovators Kits'!$C$5:$C$418,$B38,'Young Innovators Kits'!M$5:M$418)+SUMIF('Tech Leaders Kits'!$C$5:$C$386,$B38,'Tech Leaders Kits'!M$5:M$386)</f>
        <v>0</v>
      </c>
      <c r="K38" s="77" t="n">
        <f aca="false">SUM(E38:J38)</f>
        <v>0</v>
      </c>
      <c r="L38" s="77" t="n">
        <f aca="false">MAX(E38:I38)+J38</f>
        <v>0</v>
      </c>
      <c r="M38" s="23" t="n">
        <f aca="false">IF(D38="Reusable",L38,K38)</f>
        <v>0</v>
      </c>
      <c r="N38" s="77" t="str">
        <f aca="false">IF(M38&gt;0,COUNTIF($M$3:M38,"&gt;0"),"")</f>
        <v/>
      </c>
    </row>
    <row r="39" customFormat="false" ht="15" hidden="false" customHeight="false" outlineLevel="0" collapsed="false">
      <c r="A39" s="77" t="s">
        <v>377</v>
      </c>
      <c r="B39" s="77" t="s">
        <v>600</v>
      </c>
      <c r="C39" s="77" t="s">
        <v>751</v>
      </c>
      <c r="D39" s="77" t="s">
        <v>368</v>
      </c>
      <c r="E39" s="77" t="n">
        <f aca="false">SUMIF('Little Explorers Kits'!$C$5:$C$358,$B39,'Little Explorers Kits'!H$5:H$358)+SUMIF('Junior Makers Kits'!$C$5:$C$440,$B39,'Junior Makers Kits'!H$5:H$440)+SUMIF('Young Innovators Kits'!$C$5:$C$418,$B39,'Young Innovators Kits'!H$5:H$418)+SUMIF('Tech Leaders Kits'!$C$5:$C$386,$B39,'Tech Leaders Kits'!H$5:H$386)</f>
        <v>0</v>
      </c>
      <c r="F39" s="77" t="n">
        <f aca="false">SUMIF('Little Explorers Kits'!$C$5:$C$358,$B39,'Little Explorers Kits'!I$5:I$358)+SUMIF('Junior Makers Kits'!$C$5:$C$440,$B39,'Junior Makers Kits'!I$5:I$440)+SUMIF('Young Innovators Kits'!$C$5:$C$418,$B39,'Young Innovators Kits'!I$5:I$418)+SUMIF('Tech Leaders Kits'!$C$5:$C$386,$B39,'Tech Leaders Kits'!I$5:I$386)</f>
        <v>0</v>
      </c>
      <c r="G39" s="77" t="n">
        <f aca="false">SUMIF('Little Explorers Kits'!$C$5:$C$358,$B39,'Little Explorers Kits'!J$5:J$358)+SUMIF('Junior Makers Kits'!$C$5:$C$440,$B39,'Junior Makers Kits'!J$5:J$440)+SUMIF('Young Innovators Kits'!$C$5:$C$418,$B39,'Young Innovators Kits'!J$5:J$418)+SUMIF('Tech Leaders Kits'!$C$5:$C$386,$B39,'Tech Leaders Kits'!J$5:J$386)</f>
        <v>0</v>
      </c>
      <c r="H39" s="77" t="n">
        <f aca="false">SUMIF('Little Explorers Kits'!$C$5:$C$358,$B39,'Little Explorers Kits'!K$5:K$358)+SUMIF('Junior Makers Kits'!$C$5:$C$440,$B39,'Junior Makers Kits'!K$5:K$440)+SUMIF('Young Innovators Kits'!$C$5:$C$418,$B39,'Young Innovators Kits'!K$5:K$418)+SUMIF('Tech Leaders Kits'!$C$5:$C$386,$B39,'Tech Leaders Kits'!K$5:K$386)</f>
        <v>0</v>
      </c>
      <c r="I39" s="77" t="n">
        <f aca="false">SUMIF('Little Explorers Kits'!$C$5:$C$358,$B39,'Little Explorers Kits'!L$5:L$358)+SUMIF('Junior Makers Kits'!$C$5:$C$440,$B39,'Junior Makers Kits'!L$5:L$440)+SUMIF('Young Innovators Kits'!$C$5:$C$418,$B39,'Young Innovators Kits'!L$5:L$418)+SUMIF('Tech Leaders Kits'!$C$5:$C$386,$B39,'Tech Leaders Kits'!L$5:L$386)</f>
        <v>0</v>
      </c>
      <c r="J39" s="77" t="n">
        <f aca="false">SUMIF('Little Explorers Kits'!$C$5:$C$358,$B39,'Little Explorers Kits'!M$5:M$358)+SUMIF('Junior Makers Kits'!$C$5:$C$440,$B39,'Junior Makers Kits'!M$5:M$440)+SUMIF('Young Innovators Kits'!$C$5:$C$418,$B39,'Young Innovators Kits'!M$5:M$418)+SUMIF('Tech Leaders Kits'!$C$5:$C$386,$B39,'Tech Leaders Kits'!M$5:M$386)</f>
        <v>0</v>
      </c>
      <c r="K39" s="77" t="n">
        <f aca="false">SUM(E39:J39)</f>
        <v>0</v>
      </c>
      <c r="L39" s="77" t="n">
        <f aca="false">MAX(E39:I39)+J39</f>
        <v>0</v>
      </c>
      <c r="M39" s="23" t="n">
        <f aca="false">IF(D39="Reusable",L39,K39)</f>
        <v>0</v>
      </c>
      <c r="N39" s="77" t="str">
        <f aca="false">IF(M39&gt;0,COUNTIF($M$3:M39,"&gt;0"),"")</f>
        <v/>
      </c>
    </row>
    <row r="40" customFormat="false" ht="15" hidden="false" customHeight="false" outlineLevel="0" collapsed="false">
      <c r="A40" s="77" t="s">
        <v>377</v>
      </c>
      <c r="B40" s="77" t="s">
        <v>638</v>
      </c>
      <c r="C40" s="77" t="s">
        <v>752</v>
      </c>
      <c r="D40" s="77" t="s">
        <v>368</v>
      </c>
      <c r="E40" s="77" t="n">
        <f aca="false">SUMIF('Little Explorers Kits'!$C$5:$C$358,$B40,'Little Explorers Kits'!H$5:H$358)+SUMIF('Junior Makers Kits'!$C$5:$C$440,$B40,'Junior Makers Kits'!H$5:H$440)+SUMIF('Young Innovators Kits'!$C$5:$C$418,$B40,'Young Innovators Kits'!H$5:H$418)+SUMIF('Tech Leaders Kits'!$C$5:$C$386,$B40,'Tech Leaders Kits'!H$5:H$386)</f>
        <v>0</v>
      </c>
      <c r="F40" s="77" t="n">
        <f aca="false">SUMIF('Little Explorers Kits'!$C$5:$C$358,$B40,'Little Explorers Kits'!I$5:I$358)+SUMIF('Junior Makers Kits'!$C$5:$C$440,$B40,'Junior Makers Kits'!I$5:I$440)+SUMIF('Young Innovators Kits'!$C$5:$C$418,$B40,'Young Innovators Kits'!I$5:I$418)+SUMIF('Tech Leaders Kits'!$C$5:$C$386,$B40,'Tech Leaders Kits'!I$5:I$386)</f>
        <v>0</v>
      </c>
      <c r="G40" s="77" t="n">
        <f aca="false">SUMIF('Little Explorers Kits'!$C$5:$C$358,$B40,'Little Explorers Kits'!J$5:J$358)+SUMIF('Junior Makers Kits'!$C$5:$C$440,$B40,'Junior Makers Kits'!J$5:J$440)+SUMIF('Young Innovators Kits'!$C$5:$C$418,$B40,'Young Innovators Kits'!J$5:J$418)+SUMIF('Tech Leaders Kits'!$C$5:$C$386,$B40,'Tech Leaders Kits'!J$5:J$386)</f>
        <v>0</v>
      </c>
      <c r="H40" s="77" t="n">
        <f aca="false">SUMIF('Little Explorers Kits'!$C$5:$C$358,$B40,'Little Explorers Kits'!K$5:K$358)+SUMIF('Junior Makers Kits'!$C$5:$C$440,$B40,'Junior Makers Kits'!K$5:K$440)+SUMIF('Young Innovators Kits'!$C$5:$C$418,$B40,'Young Innovators Kits'!K$5:K$418)+SUMIF('Tech Leaders Kits'!$C$5:$C$386,$B40,'Tech Leaders Kits'!K$5:K$386)</f>
        <v>0</v>
      </c>
      <c r="I40" s="77" t="n">
        <f aca="false">SUMIF('Little Explorers Kits'!$C$5:$C$358,$B40,'Little Explorers Kits'!L$5:L$358)+SUMIF('Junior Makers Kits'!$C$5:$C$440,$B40,'Junior Makers Kits'!L$5:L$440)+SUMIF('Young Innovators Kits'!$C$5:$C$418,$B40,'Young Innovators Kits'!L$5:L$418)+SUMIF('Tech Leaders Kits'!$C$5:$C$386,$B40,'Tech Leaders Kits'!L$5:L$386)</f>
        <v>0</v>
      </c>
      <c r="J40" s="77" t="n">
        <f aca="false">SUMIF('Little Explorers Kits'!$C$5:$C$358,$B40,'Little Explorers Kits'!M$5:M$358)+SUMIF('Junior Makers Kits'!$C$5:$C$440,$B40,'Junior Makers Kits'!M$5:M$440)+SUMIF('Young Innovators Kits'!$C$5:$C$418,$B40,'Young Innovators Kits'!M$5:M$418)+SUMIF('Tech Leaders Kits'!$C$5:$C$386,$B40,'Tech Leaders Kits'!M$5:M$386)</f>
        <v>0</v>
      </c>
      <c r="K40" s="77" t="n">
        <f aca="false">SUM(E40:J40)</f>
        <v>0</v>
      </c>
      <c r="L40" s="77" t="n">
        <f aca="false">MAX(E40:I40)+J40</f>
        <v>0</v>
      </c>
      <c r="M40" s="23" t="n">
        <f aca="false">IF(D40="Reusable",L40,K40)</f>
        <v>0</v>
      </c>
      <c r="N40" s="77" t="str">
        <f aca="false">IF(M40&gt;0,COUNTIF($M$3:M40,"&gt;0"),"")</f>
        <v/>
      </c>
    </row>
    <row r="41" customFormat="false" ht="15" hidden="false" customHeight="false" outlineLevel="0" collapsed="false">
      <c r="A41" s="77" t="s">
        <v>371</v>
      </c>
      <c r="B41" s="77" t="s">
        <v>580</v>
      </c>
      <c r="C41" s="77" t="s">
        <v>753</v>
      </c>
      <c r="D41" s="77" t="s">
        <v>368</v>
      </c>
      <c r="E41" s="77" t="n">
        <f aca="false">SUMIF('Little Explorers Kits'!$C$5:$C$358,$B41,'Little Explorers Kits'!H$5:H$358)+SUMIF('Junior Makers Kits'!$C$5:$C$440,$B41,'Junior Makers Kits'!H$5:H$440)+SUMIF('Young Innovators Kits'!$C$5:$C$418,$B41,'Young Innovators Kits'!H$5:H$418)+SUMIF('Tech Leaders Kits'!$C$5:$C$386,$B41,'Tech Leaders Kits'!H$5:H$386)</f>
        <v>0</v>
      </c>
      <c r="F41" s="77" t="n">
        <f aca="false">SUMIF('Little Explorers Kits'!$C$5:$C$358,$B41,'Little Explorers Kits'!I$5:I$358)+SUMIF('Junior Makers Kits'!$C$5:$C$440,$B41,'Junior Makers Kits'!I$5:I$440)+SUMIF('Young Innovators Kits'!$C$5:$C$418,$B41,'Young Innovators Kits'!I$5:I$418)+SUMIF('Tech Leaders Kits'!$C$5:$C$386,$B41,'Tech Leaders Kits'!I$5:I$386)</f>
        <v>0</v>
      </c>
      <c r="G41" s="77" t="n">
        <f aca="false">SUMIF('Little Explorers Kits'!$C$5:$C$358,$B41,'Little Explorers Kits'!J$5:J$358)+SUMIF('Junior Makers Kits'!$C$5:$C$440,$B41,'Junior Makers Kits'!J$5:J$440)+SUMIF('Young Innovators Kits'!$C$5:$C$418,$B41,'Young Innovators Kits'!J$5:J$418)+SUMIF('Tech Leaders Kits'!$C$5:$C$386,$B41,'Tech Leaders Kits'!J$5:J$386)</f>
        <v>0</v>
      </c>
      <c r="H41" s="77" t="n">
        <f aca="false">SUMIF('Little Explorers Kits'!$C$5:$C$358,$B41,'Little Explorers Kits'!K$5:K$358)+SUMIF('Junior Makers Kits'!$C$5:$C$440,$B41,'Junior Makers Kits'!K$5:K$440)+SUMIF('Young Innovators Kits'!$C$5:$C$418,$B41,'Young Innovators Kits'!K$5:K$418)+SUMIF('Tech Leaders Kits'!$C$5:$C$386,$B41,'Tech Leaders Kits'!K$5:K$386)</f>
        <v>0</v>
      </c>
      <c r="I41" s="77" t="n">
        <f aca="false">SUMIF('Little Explorers Kits'!$C$5:$C$358,$B41,'Little Explorers Kits'!L$5:L$358)+SUMIF('Junior Makers Kits'!$C$5:$C$440,$B41,'Junior Makers Kits'!L$5:L$440)+SUMIF('Young Innovators Kits'!$C$5:$C$418,$B41,'Young Innovators Kits'!L$5:L$418)+SUMIF('Tech Leaders Kits'!$C$5:$C$386,$B41,'Tech Leaders Kits'!L$5:L$386)</f>
        <v>0</v>
      </c>
      <c r="J41" s="77" t="n">
        <f aca="false">SUMIF('Little Explorers Kits'!$C$5:$C$358,$B41,'Little Explorers Kits'!M$5:M$358)+SUMIF('Junior Makers Kits'!$C$5:$C$440,$B41,'Junior Makers Kits'!M$5:M$440)+SUMIF('Young Innovators Kits'!$C$5:$C$418,$B41,'Young Innovators Kits'!M$5:M$418)+SUMIF('Tech Leaders Kits'!$C$5:$C$386,$B41,'Tech Leaders Kits'!M$5:M$386)</f>
        <v>0</v>
      </c>
      <c r="K41" s="77" t="n">
        <f aca="false">SUM(E41:J41)</f>
        <v>0</v>
      </c>
      <c r="L41" s="77" t="n">
        <f aca="false">MAX(E41:I41)+J41</f>
        <v>0</v>
      </c>
      <c r="M41" s="23" t="n">
        <f aca="false">IF(D41="Reusable",L41,K41)</f>
        <v>0</v>
      </c>
      <c r="N41" s="77" t="str">
        <f aca="false">IF(M41&gt;0,COUNTIF($M$3:M41,"&gt;0"),"")</f>
        <v/>
      </c>
    </row>
    <row r="42" customFormat="false" ht="15" hidden="false" customHeight="false" outlineLevel="0" collapsed="false">
      <c r="A42" s="77" t="s">
        <v>371</v>
      </c>
      <c r="B42" s="77" t="s">
        <v>372</v>
      </c>
      <c r="C42" s="77" t="s">
        <v>754</v>
      </c>
      <c r="D42" s="77" t="s">
        <v>373</v>
      </c>
      <c r="E42" s="77" t="n">
        <f aca="false">SUMIF('Little Explorers Kits'!$C$5:$C$358,$B42,'Little Explorers Kits'!H$5:H$358)+SUMIF('Junior Makers Kits'!$C$5:$C$440,$B42,'Junior Makers Kits'!H$5:H$440)+SUMIF('Young Innovators Kits'!$C$5:$C$418,$B42,'Young Innovators Kits'!H$5:H$418)+SUMIF('Tech Leaders Kits'!$C$5:$C$386,$B42,'Tech Leaders Kits'!H$5:H$386)</f>
        <v>0</v>
      </c>
      <c r="F42" s="77" t="n">
        <f aca="false">SUMIF('Little Explorers Kits'!$C$5:$C$358,$B42,'Little Explorers Kits'!I$5:I$358)+SUMIF('Junior Makers Kits'!$C$5:$C$440,$B42,'Junior Makers Kits'!I$5:I$440)+SUMIF('Young Innovators Kits'!$C$5:$C$418,$B42,'Young Innovators Kits'!I$5:I$418)+SUMIF('Tech Leaders Kits'!$C$5:$C$386,$B42,'Tech Leaders Kits'!I$5:I$386)</f>
        <v>0</v>
      </c>
      <c r="G42" s="77" t="n">
        <f aca="false">SUMIF('Little Explorers Kits'!$C$5:$C$358,$B42,'Little Explorers Kits'!J$5:J$358)+SUMIF('Junior Makers Kits'!$C$5:$C$440,$B42,'Junior Makers Kits'!J$5:J$440)+SUMIF('Young Innovators Kits'!$C$5:$C$418,$B42,'Young Innovators Kits'!J$5:J$418)+SUMIF('Tech Leaders Kits'!$C$5:$C$386,$B42,'Tech Leaders Kits'!J$5:J$386)</f>
        <v>0</v>
      </c>
      <c r="H42" s="77" t="n">
        <f aca="false">SUMIF('Little Explorers Kits'!$C$5:$C$358,$B42,'Little Explorers Kits'!K$5:K$358)+SUMIF('Junior Makers Kits'!$C$5:$C$440,$B42,'Junior Makers Kits'!K$5:K$440)+SUMIF('Young Innovators Kits'!$C$5:$C$418,$B42,'Young Innovators Kits'!K$5:K$418)+SUMIF('Tech Leaders Kits'!$C$5:$C$386,$B42,'Tech Leaders Kits'!K$5:K$386)</f>
        <v>0</v>
      </c>
      <c r="I42" s="77" t="n">
        <f aca="false">SUMIF('Little Explorers Kits'!$C$5:$C$358,$B42,'Little Explorers Kits'!L$5:L$358)+SUMIF('Junior Makers Kits'!$C$5:$C$440,$B42,'Junior Makers Kits'!L$5:L$440)+SUMIF('Young Innovators Kits'!$C$5:$C$418,$B42,'Young Innovators Kits'!L$5:L$418)+SUMIF('Tech Leaders Kits'!$C$5:$C$386,$B42,'Tech Leaders Kits'!L$5:L$386)</f>
        <v>0</v>
      </c>
      <c r="J42" s="77" t="n">
        <f aca="false">SUMIF('Little Explorers Kits'!$C$5:$C$358,$B42,'Little Explorers Kits'!M$5:M$358)+SUMIF('Junior Makers Kits'!$C$5:$C$440,$B42,'Junior Makers Kits'!M$5:M$440)+SUMIF('Young Innovators Kits'!$C$5:$C$418,$B42,'Young Innovators Kits'!M$5:M$418)+SUMIF('Tech Leaders Kits'!$C$5:$C$386,$B42,'Tech Leaders Kits'!M$5:M$386)</f>
        <v>0</v>
      </c>
      <c r="K42" s="77" t="n">
        <f aca="false">SUM(E42:J42)</f>
        <v>0</v>
      </c>
      <c r="L42" s="77" t="n">
        <f aca="false">MAX(E42:I42)+J42</f>
        <v>0</v>
      </c>
      <c r="M42" s="23" t="n">
        <f aca="false">IF(D42="Reusable",L42,K42)</f>
        <v>0</v>
      </c>
      <c r="N42" s="77" t="str">
        <f aca="false">IF(M42&gt;0,COUNTIF($M$3:M42,"&gt;0"),"")</f>
        <v/>
      </c>
    </row>
    <row r="43" customFormat="false" ht="15" hidden="false" customHeight="false" outlineLevel="0" collapsed="false">
      <c r="A43" s="77" t="s">
        <v>371</v>
      </c>
      <c r="B43" s="77" t="s">
        <v>598</v>
      </c>
      <c r="C43" s="77" t="s">
        <v>755</v>
      </c>
      <c r="D43" s="77" t="s">
        <v>368</v>
      </c>
      <c r="E43" s="77" t="n">
        <f aca="false">SUMIF('Little Explorers Kits'!$C$5:$C$358,$B43,'Little Explorers Kits'!H$5:H$358)+SUMIF('Junior Makers Kits'!$C$5:$C$440,$B43,'Junior Makers Kits'!H$5:H$440)+SUMIF('Young Innovators Kits'!$C$5:$C$418,$B43,'Young Innovators Kits'!H$5:H$418)+SUMIF('Tech Leaders Kits'!$C$5:$C$386,$B43,'Tech Leaders Kits'!H$5:H$386)</f>
        <v>0</v>
      </c>
      <c r="F43" s="77" t="n">
        <f aca="false">SUMIF('Little Explorers Kits'!$C$5:$C$358,$B43,'Little Explorers Kits'!I$5:I$358)+SUMIF('Junior Makers Kits'!$C$5:$C$440,$B43,'Junior Makers Kits'!I$5:I$440)+SUMIF('Young Innovators Kits'!$C$5:$C$418,$B43,'Young Innovators Kits'!I$5:I$418)+SUMIF('Tech Leaders Kits'!$C$5:$C$386,$B43,'Tech Leaders Kits'!I$5:I$386)</f>
        <v>0</v>
      </c>
      <c r="G43" s="77" t="n">
        <f aca="false">SUMIF('Little Explorers Kits'!$C$5:$C$358,$B43,'Little Explorers Kits'!J$5:J$358)+SUMIF('Junior Makers Kits'!$C$5:$C$440,$B43,'Junior Makers Kits'!J$5:J$440)+SUMIF('Young Innovators Kits'!$C$5:$C$418,$B43,'Young Innovators Kits'!J$5:J$418)+SUMIF('Tech Leaders Kits'!$C$5:$C$386,$B43,'Tech Leaders Kits'!J$5:J$386)</f>
        <v>0</v>
      </c>
      <c r="H43" s="77" t="n">
        <f aca="false">SUMIF('Little Explorers Kits'!$C$5:$C$358,$B43,'Little Explorers Kits'!K$5:K$358)+SUMIF('Junior Makers Kits'!$C$5:$C$440,$B43,'Junior Makers Kits'!K$5:K$440)+SUMIF('Young Innovators Kits'!$C$5:$C$418,$B43,'Young Innovators Kits'!K$5:K$418)+SUMIF('Tech Leaders Kits'!$C$5:$C$386,$B43,'Tech Leaders Kits'!K$5:K$386)</f>
        <v>0</v>
      </c>
      <c r="I43" s="77" t="n">
        <f aca="false">SUMIF('Little Explorers Kits'!$C$5:$C$358,$B43,'Little Explorers Kits'!L$5:L$358)+SUMIF('Junior Makers Kits'!$C$5:$C$440,$B43,'Junior Makers Kits'!L$5:L$440)+SUMIF('Young Innovators Kits'!$C$5:$C$418,$B43,'Young Innovators Kits'!L$5:L$418)+SUMIF('Tech Leaders Kits'!$C$5:$C$386,$B43,'Tech Leaders Kits'!L$5:L$386)</f>
        <v>0</v>
      </c>
      <c r="J43" s="77" t="n">
        <f aca="false">SUMIF('Little Explorers Kits'!$C$5:$C$358,$B43,'Little Explorers Kits'!M$5:M$358)+SUMIF('Junior Makers Kits'!$C$5:$C$440,$B43,'Junior Makers Kits'!M$5:M$440)+SUMIF('Young Innovators Kits'!$C$5:$C$418,$B43,'Young Innovators Kits'!M$5:M$418)+SUMIF('Tech Leaders Kits'!$C$5:$C$386,$B43,'Tech Leaders Kits'!M$5:M$386)</f>
        <v>0</v>
      </c>
      <c r="K43" s="77" t="n">
        <f aca="false">SUM(E43:J43)</f>
        <v>0</v>
      </c>
      <c r="L43" s="77" t="n">
        <f aca="false">MAX(E43:I43)+J43</f>
        <v>0</v>
      </c>
      <c r="M43" s="23" t="n">
        <f aca="false">IF(D43="Reusable",L43,K43)</f>
        <v>0</v>
      </c>
      <c r="N43" s="77" t="str">
        <f aca="false">IF(M43&gt;0,COUNTIF($M$3:M43,"&gt;0"),"")</f>
        <v/>
      </c>
    </row>
    <row r="44" customFormat="false" ht="15" hidden="false" customHeight="false" outlineLevel="0" collapsed="false">
      <c r="A44" s="77" t="s">
        <v>371</v>
      </c>
      <c r="B44" s="77" t="s">
        <v>568</v>
      </c>
      <c r="C44" s="77" t="s">
        <v>756</v>
      </c>
      <c r="D44" s="77" t="s">
        <v>368</v>
      </c>
      <c r="E44" s="77" t="n">
        <f aca="false">SUMIF('Little Explorers Kits'!$C$5:$C$358,$B44,'Little Explorers Kits'!H$5:H$358)+SUMIF('Junior Makers Kits'!$C$5:$C$440,$B44,'Junior Makers Kits'!H$5:H$440)+SUMIF('Young Innovators Kits'!$C$5:$C$418,$B44,'Young Innovators Kits'!H$5:H$418)+SUMIF('Tech Leaders Kits'!$C$5:$C$386,$B44,'Tech Leaders Kits'!H$5:H$386)</f>
        <v>0</v>
      </c>
      <c r="F44" s="77" t="n">
        <f aca="false">SUMIF('Little Explorers Kits'!$C$5:$C$358,$B44,'Little Explorers Kits'!I$5:I$358)+SUMIF('Junior Makers Kits'!$C$5:$C$440,$B44,'Junior Makers Kits'!I$5:I$440)+SUMIF('Young Innovators Kits'!$C$5:$C$418,$B44,'Young Innovators Kits'!I$5:I$418)+SUMIF('Tech Leaders Kits'!$C$5:$C$386,$B44,'Tech Leaders Kits'!I$5:I$386)</f>
        <v>0</v>
      </c>
      <c r="G44" s="77" t="n">
        <f aca="false">SUMIF('Little Explorers Kits'!$C$5:$C$358,$B44,'Little Explorers Kits'!J$5:J$358)+SUMIF('Junior Makers Kits'!$C$5:$C$440,$B44,'Junior Makers Kits'!J$5:J$440)+SUMIF('Young Innovators Kits'!$C$5:$C$418,$B44,'Young Innovators Kits'!J$5:J$418)+SUMIF('Tech Leaders Kits'!$C$5:$C$386,$B44,'Tech Leaders Kits'!J$5:J$386)</f>
        <v>0</v>
      </c>
      <c r="H44" s="77" t="n">
        <f aca="false">SUMIF('Little Explorers Kits'!$C$5:$C$358,$B44,'Little Explorers Kits'!K$5:K$358)+SUMIF('Junior Makers Kits'!$C$5:$C$440,$B44,'Junior Makers Kits'!K$5:K$440)+SUMIF('Young Innovators Kits'!$C$5:$C$418,$B44,'Young Innovators Kits'!K$5:K$418)+SUMIF('Tech Leaders Kits'!$C$5:$C$386,$B44,'Tech Leaders Kits'!K$5:K$386)</f>
        <v>0</v>
      </c>
      <c r="I44" s="77" t="n">
        <f aca="false">SUMIF('Little Explorers Kits'!$C$5:$C$358,$B44,'Little Explorers Kits'!L$5:L$358)+SUMIF('Junior Makers Kits'!$C$5:$C$440,$B44,'Junior Makers Kits'!L$5:L$440)+SUMIF('Young Innovators Kits'!$C$5:$C$418,$B44,'Young Innovators Kits'!L$5:L$418)+SUMIF('Tech Leaders Kits'!$C$5:$C$386,$B44,'Tech Leaders Kits'!L$5:L$386)</f>
        <v>0</v>
      </c>
      <c r="J44" s="77" t="n">
        <f aca="false">SUMIF('Little Explorers Kits'!$C$5:$C$358,$B44,'Little Explorers Kits'!M$5:M$358)+SUMIF('Junior Makers Kits'!$C$5:$C$440,$B44,'Junior Makers Kits'!M$5:M$440)+SUMIF('Young Innovators Kits'!$C$5:$C$418,$B44,'Young Innovators Kits'!M$5:M$418)+SUMIF('Tech Leaders Kits'!$C$5:$C$386,$B44,'Tech Leaders Kits'!M$5:M$386)</f>
        <v>0</v>
      </c>
      <c r="K44" s="77" t="n">
        <f aca="false">SUM(E44:J44)</f>
        <v>0</v>
      </c>
      <c r="L44" s="77" t="n">
        <f aca="false">MAX(E44:I44)+J44</f>
        <v>0</v>
      </c>
      <c r="M44" s="23" t="n">
        <f aca="false">IF(D44="Reusable",L44,K44)</f>
        <v>0</v>
      </c>
      <c r="N44" s="77" t="str">
        <f aca="false">IF(M44&gt;0,COUNTIF($M$3:M44,"&gt;0"),"")</f>
        <v/>
      </c>
    </row>
    <row r="45" customFormat="false" ht="15" hidden="false" customHeight="false" outlineLevel="0" collapsed="false">
      <c r="A45" s="77" t="s">
        <v>371</v>
      </c>
      <c r="B45" s="77" t="s">
        <v>517</v>
      </c>
      <c r="C45" s="77" t="s">
        <v>757</v>
      </c>
      <c r="D45" s="77" t="s">
        <v>368</v>
      </c>
      <c r="E45" s="77" t="n">
        <f aca="false">SUMIF('Little Explorers Kits'!$C$5:$C$358,$B45,'Little Explorers Kits'!H$5:H$358)+SUMIF('Junior Makers Kits'!$C$5:$C$440,$B45,'Junior Makers Kits'!H$5:H$440)+SUMIF('Young Innovators Kits'!$C$5:$C$418,$B45,'Young Innovators Kits'!H$5:H$418)+SUMIF('Tech Leaders Kits'!$C$5:$C$386,$B45,'Tech Leaders Kits'!H$5:H$386)</f>
        <v>0</v>
      </c>
      <c r="F45" s="77" t="n">
        <f aca="false">SUMIF('Little Explorers Kits'!$C$5:$C$358,$B45,'Little Explorers Kits'!I$5:I$358)+SUMIF('Junior Makers Kits'!$C$5:$C$440,$B45,'Junior Makers Kits'!I$5:I$440)+SUMIF('Young Innovators Kits'!$C$5:$C$418,$B45,'Young Innovators Kits'!I$5:I$418)+SUMIF('Tech Leaders Kits'!$C$5:$C$386,$B45,'Tech Leaders Kits'!I$5:I$386)</f>
        <v>0</v>
      </c>
      <c r="G45" s="77" t="n">
        <f aca="false">SUMIF('Little Explorers Kits'!$C$5:$C$358,$B45,'Little Explorers Kits'!J$5:J$358)+SUMIF('Junior Makers Kits'!$C$5:$C$440,$B45,'Junior Makers Kits'!J$5:J$440)+SUMIF('Young Innovators Kits'!$C$5:$C$418,$B45,'Young Innovators Kits'!J$5:J$418)+SUMIF('Tech Leaders Kits'!$C$5:$C$386,$B45,'Tech Leaders Kits'!J$5:J$386)</f>
        <v>0</v>
      </c>
      <c r="H45" s="77" t="n">
        <f aca="false">SUMIF('Little Explorers Kits'!$C$5:$C$358,$B45,'Little Explorers Kits'!K$5:K$358)+SUMIF('Junior Makers Kits'!$C$5:$C$440,$B45,'Junior Makers Kits'!K$5:K$440)+SUMIF('Young Innovators Kits'!$C$5:$C$418,$B45,'Young Innovators Kits'!K$5:K$418)+SUMIF('Tech Leaders Kits'!$C$5:$C$386,$B45,'Tech Leaders Kits'!K$5:K$386)</f>
        <v>0</v>
      </c>
      <c r="I45" s="77" t="n">
        <f aca="false">SUMIF('Little Explorers Kits'!$C$5:$C$358,$B45,'Little Explorers Kits'!L$5:L$358)+SUMIF('Junior Makers Kits'!$C$5:$C$440,$B45,'Junior Makers Kits'!L$5:L$440)+SUMIF('Young Innovators Kits'!$C$5:$C$418,$B45,'Young Innovators Kits'!L$5:L$418)+SUMIF('Tech Leaders Kits'!$C$5:$C$386,$B45,'Tech Leaders Kits'!L$5:L$386)</f>
        <v>0</v>
      </c>
      <c r="J45" s="77" t="n">
        <f aca="false">SUMIF('Little Explorers Kits'!$C$5:$C$358,$B45,'Little Explorers Kits'!M$5:M$358)+SUMIF('Junior Makers Kits'!$C$5:$C$440,$B45,'Junior Makers Kits'!M$5:M$440)+SUMIF('Young Innovators Kits'!$C$5:$C$418,$B45,'Young Innovators Kits'!M$5:M$418)+SUMIF('Tech Leaders Kits'!$C$5:$C$386,$B45,'Tech Leaders Kits'!M$5:M$386)</f>
        <v>0</v>
      </c>
      <c r="K45" s="77" t="n">
        <f aca="false">SUM(E45:J45)</f>
        <v>0</v>
      </c>
      <c r="L45" s="77" t="n">
        <f aca="false">MAX(E45:I45)+J45</f>
        <v>0</v>
      </c>
      <c r="M45" s="23" t="n">
        <f aca="false">IF(D45="Reusable",L45,K45)</f>
        <v>0</v>
      </c>
      <c r="N45" s="77" t="str">
        <f aca="false">IF(M45&gt;0,COUNTIF($M$3:M45,"&gt;0"),"")</f>
        <v/>
      </c>
    </row>
    <row r="46" customFormat="false" ht="15" hidden="false" customHeight="false" outlineLevel="0" collapsed="false">
      <c r="A46" s="77" t="s">
        <v>371</v>
      </c>
      <c r="B46" s="77" t="s">
        <v>480</v>
      </c>
      <c r="C46" s="77" t="s">
        <v>758</v>
      </c>
      <c r="D46" s="77" t="s">
        <v>368</v>
      </c>
      <c r="E46" s="77" t="n">
        <f aca="false">SUMIF('Little Explorers Kits'!$C$5:$C$358,$B46,'Little Explorers Kits'!H$5:H$358)+SUMIF('Junior Makers Kits'!$C$5:$C$440,$B46,'Junior Makers Kits'!H$5:H$440)+SUMIF('Young Innovators Kits'!$C$5:$C$418,$B46,'Young Innovators Kits'!H$5:H$418)+SUMIF('Tech Leaders Kits'!$C$5:$C$386,$B46,'Tech Leaders Kits'!H$5:H$386)</f>
        <v>0</v>
      </c>
      <c r="F46" s="77" t="n">
        <f aca="false">SUMIF('Little Explorers Kits'!$C$5:$C$358,$B46,'Little Explorers Kits'!I$5:I$358)+SUMIF('Junior Makers Kits'!$C$5:$C$440,$B46,'Junior Makers Kits'!I$5:I$440)+SUMIF('Young Innovators Kits'!$C$5:$C$418,$B46,'Young Innovators Kits'!I$5:I$418)+SUMIF('Tech Leaders Kits'!$C$5:$C$386,$B46,'Tech Leaders Kits'!I$5:I$386)</f>
        <v>0</v>
      </c>
      <c r="G46" s="77" t="n">
        <f aca="false">SUMIF('Little Explorers Kits'!$C$5:$C$358,$B46,'Little Explorers Kits'!J$5:J$358)+SUMIF('Junior Makers Kits'!$C$5:$C$440,$B46,'Junior Makers Kits'!J$5:J$440)+SUMIF('Young Innovators Kits'!$C$5:$C$418,$B46,'Young Innovators Kits'!J$5:J$418)+SUMIF('Tech Leaders Kits'!$C$5:$C$386,$B46,'Tech Leaders Kits'!J$5:J$386)</f>
        <v>0</v>
      </c>
      <c r="H46" s="77" t="n">
        <f aca="false">SUMIF('Little Explorers Kits'!$C$5:$C$358,$B46,'Little Explorers Kits'!K$5:K$358)+SUMIF('Junior Makers Kits'!$C$5:$C$440,$B46,'Junior Makers Kits'!K$5:K$440)+SUMIF('Young Innovators Kits'!$C$5:$C$418,$B46,'Young Innovators Kits'!K$5:K$418)+SUMIF('Tech Leaders Kits'!$C$5:$C$386,$B46,'Tech Leaders Kits'!K$5:K$386)</f>
        <v>0</v>
      </c>
      <c r="I46" s="77" t="n">
        <f aca="false">SUMIF('Little Explorers Kits'!$C$5:$C$358,$B46,'Little Explorers Kits'!L$5:L$358)+SUMIF('Junior Makers Kits'!$C$5:$C$440,$B46,'Junior Makers Kits'!L$5:L$440)+SUMIF('Young Innovators Kits'!$C$5:$C$418,$B46,'Young Innovators Kits'!L$5:L$418)+SUMIF('Tech Leaders Kits'!$C$5:$C$386,$B46,'Tech Leaders Kits'!L$5:L$386)</f>
        <v>0</v>
      </c>
      <c r="J46" s="77" t="n">
        <f aca="false">SUMIF('Little Explorers Kits'!$C$5:$C$358,$B46,'Little Explorers Kits'!M$5:M$358)+SUMIF('Junior Makers Kits'!$C$5:$C$440,$B46,'Junior Makers Kits'!M$5:M$440)+SUMIF('Young Innovators Kits'!$C$5:$C$418,$B46,'Young Innovators Kits'!M$5:M$418)+SUMIF('Tech Leaders Kits'!$C$5:$C$386,$B46,'Tech Leaders Kits'!M$5:M$386)</f>
        <v>0</v>
      </c>
      <c r="K46" s="77" t="n">
        <f aca="false">SUM(E46:J46)</f>
        <v>0</v>
      </c>
      <c r="L46" s="77" t="n">
        <f aca="false">MAX(E46:I46)+J46</f>
        <v>0</v>
      </c>
      <c r="M46" s="23" t="n">
        <f aca="false">IF(D46="Reusable",L46,K46)</f>
        <v>0</v>
      </c>
      <c r="N46" s="77" t="str">
        <f aca="false">IF(M46&gt;0,COUNTIF($M$3:M46,"&gt;0"),"")</f>
        <v/>
      </c>
    </row>
    <row r="47" customFormat="false" ht="15" hidden="false" customHeight="false" outlineLevel="0" collapsed="false">
      <c r="A47" s="77" t="s">
        <v>371</v>
      </c>
      <c r="B47" s="77" t="s">
        <v>474</v>
      </c>
      <c r="C47" s="77" t="s">
        <v>759</v>
      </c>
      <c r="D47" s="77" t="s">
        <v>368</v>
      </c>
      <c r="E47" s="77" t="n">
        <f aca="false">SUMIF('Little Explorers Kits'!$C$5:$C$358,$B47,'Little Explorers Kits'!H$5:H$358)+SUMIF('Junior Makers Kits'!$C$5:$C$440,$B47,'Junior Makers Kits'!H$5:H$440)+SUMIF('Young Innovators Kits'!$C$5:$C$418,$B47,'Young Innovators Kits'!H$5:H$418)+SUMIF('Tech Leaders Kits'!$C$5:$C$386,$B47,'Tech Leaders Kits'!H$5:H$386)</f>
        <v>0</v>
      </c>
      <c r="F47" s="77" t="n">
        <f aca="false">SUMIF('Little Explorers Kits'!$C$5:$C$358,$B47,'Little Explorers Kits'!I$5:I$358)+SUMIF('Junior Makers Kits'!$C$5:$C$440,$B47,'Junior Makers Kits'!I$5:I$440)+SUMIF('Young Innovators Kits'!$C$5:$C$418,$B47,'Young Innovators Kits'!I$5:I$418)+SUMIF('Tech Leaders Kits'!$C$5:$C$386,$B47,'Tech Leaders Kits'!I$5:I$386)</f>
        <v>0</v>
      </c>
      <c r="G47" s="77" t="n">
        <f aca="false">SUMIF('Little Explorers Kits'!$C$5:$C$358,$B47,'Little Explorers Kits'!J$5:J$358)+SUMIF('Junior Makers Kits'!$C$5:$C$440,$B47,'Junior Makers Kits'!J$5:J$440)+SUMIF('Young Innovators Kits'!$C$5:$C$418,$B47,'Young Innovators Kits'!J$5:J$418)+SUMIF('Tech Leaders Kits'!$C$5:$C$386,$B47,'Tech Leaders Kits'!J$5:J$386)</f>
        <v>0</v>
      </c>
      <c r="H47" s="77" t="n">
        <f aca="false">SUMIF('Little Explorers Kits'!$C$5:$C$358,$B47,'Little Explorers Kits'!K$5:K$358)+SUMIF('Junior Makers Kits'!$C$5:$C$440,$B47,'Junior Makers Kits'!K$5:K$440)+SUMIF('Young Innovators Kits'!$C$5:$C$418,$B47,'Young Innovators Kits'!K$5:K$418)+SUMIF('Tech Leaders Kits'!$C$5:$C$386,$B47,'Tech Leaders Kits'!K$5:K$386)</f>
        <v>0</v>
      </c>
      <c r="I47" s="77" t="n">
        <f aca="false">SUMIF('Little Explorers Kits'!$C$5:$C$358,$B47,'Little Explorers Kits'!L$5:L$358)+SUMIF('Junior Makers Kits'!$C$5:$C$440,$B47,'Junior Makers Kits'!L$5:L$440)+SUMIF('Young Innovators Kits'!$C$5:$C$418,$B47,'Young Innovators Kits'!L$5:L$418)+SUMIF('Tech Leaders Kits'!$C$5:$C$386,$B47,'Tech Leaders Kits'!L$5:L$386)</f>
        <v>0</v>
      </c>
      <c r="J47" s="77" t="n">
        <f aca="false">SUMIF('Little Explorers Kits'!$C$5:$C$358,$B47,'Little Explorers Kits'!M$5:M$358)+SUMIF('Junior Makers Kits'!$C$5:$C$440,$B47,'Junior Makers Kits'!M$5:M$440)+SUMIF('Young Innovators Kits'!$C$5:$C$418,$B47,'Young Innovators Kits'!M$5:M$418)+SUMIF('Tech Leaders Kits'!$C$5:$C$386,$B47,'Tech Leaders Kits'!M$5:M$386)</f>
        <v>0</v>
      </c>
      <c r="K47" s="77" t="n">
        <f aca="false">SUM(E47:J47)</f>
        <v>0</v>
      </c>
      <c r="L47" s="77" t="n">
        <f aca="false">MAX(E47:I47)+J47</f>
        <v>0</v>
      </c>
      <c r="M47" s="23" t="n">
        <f aca="false">IF(D47="Reusable",L47,K47)</f>
        <v>0</v>
      </c>
      <c r="N47" s="77" t="str">
        <f aca="false">IF(M47&gt;0,COUNTIF($M$3:M47,"&gt;0"),"")</f>
        <v/>
      </c>
    </row>
    <row r="48" customFormat="false" ht="15" hidden="false" customHeight="false" outlineLevel="0" collapsed="false">
      <c r="A48" s="77" t="s">
        <v>371</v>
      </c>
      <c r="B48" s="77" t="s">
        <v>562</v>
      </c>
      <c r="C48" s="77" t="s">
        <v>760</v>
      </c>
      <c r="D48" s="77" t="s">
        <v>368</v>
      </c>
      <c r="E48" s="77" t="n">
        <f aca="false">SUMIF('Little Explorers Kits'!$C$5:$C$358,$B48,'Little Explorers Kits'!H$5:H$358)+SUMIF('Junior Makers Kits'!$C$5:$C$440,$B48,'Junior Makers Kits'!H$5:H$440)+SUMIF('Young Innovators Kits'!$C$5:$C$418,$B48,'Young Innovators Kits'!H$5:H$418)+SUMIF('Tech Leaders Kits'!$C$5:$C$386,$B48,'Tech Leaders Kits'!H$5:H$386)</f>
        <v>0</v>
      </c>
      <c r="F48" s="77" t="n">
        <f aca="false">SUMIF('Little Explorers Kits'!$C$5:$C$358,$B48,'Little Explorers Kits'!I$5:I$358)+SUMIF('Junior Makers Kits'!$C$5:$C$440,$B48,'Junior Makers Kits'!I$5:I$440)+SUMIF('Young Innovators Kits'!$C$5:$C$418,$B48,'Young Innovators Kits'!I$5:I$418)+SUMIF('Tech Leaders Kits'!$C$5:$C$386,$B48,'Tech Leaders Kits'!I$5:I$386)</f>
        <v>0</v>
      </c>
      <c r="G48" s="77" t="n">
        <f aca="false">SUMIF('Little Explorers Kits'!$C$5:$C$358,$B48,'Little Explorers Kits'!J$5:J$358)+SUMIF('Junior Makers Kits'!$C$5:$C$440,$B48,'Junior Makers Kits'!J$5:J$440)+SUMIF('Young Innovators Kits'!$C$5:$C$418,$B48,'Young Innovators Kits'!J$5:J$418)+SUMIF('Tech Leaders Kits'!$C$5:$C$386,$B48,'Tech Leaders Kits'!J$5:J$386)</f>
        <v>0</v>
      </c>
      <c r="H48" s="77" t="n">
        <f aca="false">SUMIF('Little Explorers Kits'!$C$5:$C$358,$B48,'Little Explorers Kits'!K$5:K$358)+SUMIF('Junior Makers Kits'!$C$5:$C$440,$B48,'Junior Makers Kits'!K$5:K$440)+SUMIF('Young Innovators Kits'!$C$5:$C$418,$B48,'Young Innovators Kits'!K$5:K$418)+SUMIF('Tech Leaders Kits'!$C$5:$C$386,$B48,'Tech Leaders Kits'!K$5:K$386)</f>
        <v>0</v>
      </c>
      <c r="I48" s="77" t="n">
        <f aca="false">SUMIF('Little Explorers Kits'!$C$5:$C$358,$B48,'Little Explorers Kits'!L$5:L$358)+SUMIF('Junior Makers Kits'!$C$5:$C$440,$B48,'Junior Makers Kits'!L$5:L$440)+SUMIF('Young Innovators Kits'!$C$5:$C$418,$B48,'Young Innovators Kits'!L$5:L$418)+SUMIF('Tech Leaders Kits'!$C$5:$C$386,$B48,'Tech Leaders Kits'!L$5:L$386)</f>
        <v>0</v>
      </c>
      <c r="J48" s="77" t="n">
        <f aca="false">SUMIF('Little Explorers Kits'!$C$5:$C$358,$B48,'Little Explorers Kits'!M$5:M$358)+SUMIF('Junior Makers Kits'!$C$5:$C$440,$B48,'Junior Makers Kits'!M$5:M$440)+SUMIF('Young Innovators Kits'!$C$5:$C$418,$B48,'Young Innovators Kits'!M$5:M$418)+SUMIF('Tech Leaders Kits'!$C$5:$C$386,$B48,'Tech Leaders Kits'!M$5:M$386)</f>
        <v>0</v>
      </c>
      <c r="K48" s="77" t="n">
        <f aca="false">SUM(E48:J48)</f>
        <v>0</v>
      </c>
      <c r="L48" s="77" t="n">
        <f aca="false">MAX(E48:I48)+J48</f>
        <v>0</v>
      </c>
      <c r="M48" s="23" t="n">
        <f aca="false">IF(D48="Reusable",L48,K48)</f>
        <v>0</v>
      </c>
      <c r="N48" s="77" t="str">
        <f aca="false">IF(M48&gt;0,COUNTIF($M$3:M48,"&gt;0"),"")</f>
        <v/>
      </c>
    </row>
    <row r="49" customFormat="false" ht="15" hidden="false" customHeight="false" outlineLevel="0" collapsed="false">
      <c r="A49" s="77" t="s">
        <v>375</v>
      </c>
      <c r="B49" s="77" t="s">
        <v>591</v>
      </c>
      <c r="C49" s="77" t="s">
        <v>761</v>
      </c>
      <c r="D49" s="77" t="s">
        <v>373</v>
      </c>
      <c r="E49" s="77" t="n">
        <f aca="false">SUMIF('Little Explorers Kits'!$C$5:$C$358,$B49,'Little Explorers Kits'!H$5:H$358)+SUMIF('Junior Makers Kits'!$C$5:$C$440,$B49,'Junior Makers Kits'!H$5:H$440)+SUMIF('Young Innovators Kits'!$C$5:$C$418,$B49,'Young Innovators Kits'!H$5:H$418)+SUMIF('Tech Leaders Kits'!$C$5:$C$386,$B49,'Tech Leaders Kits'!H$5:H$386)</f>
        <v>0</v>
      </c>
      <c r="F49" s="77" t="n">
        <f aca="false">SUMIF('Little Explorers Kits'!$C$5:$C$358,$B49,'Little Explorers Kits'!I$5:I$358)+SUMIF('Junior Makers Kits'!$C$5:$C$440,$B49,'Junior Makers Kits'!I$5:I$440)+SUMIF('Young Innovators Kits'!$C$5:$C$418,$B49,'Young Innovators Kits'!I$5:I$418)+SUMIF('Tech Leaders Kits'!$C$5:$C$386,$B49,'Tech Leaders Kits'!I$5:I$386)</f>
        <v>0</v>
      </c>
      <c r="G49" s="77" t="n">
        <f aca="false">SUMIF('Little Explorers Kits'!$C$5:$C$358,$B49,'Little Explorers Kits'!J$5:J$358)+SUMIF('Junior Makers Kits'!$C$5:$C$440,$B49,'Junior Makers Kits'!J$5:J$440)+SUMIF('Young Innovators Kits'!$C$5:$C$418,$B49,'Young Innovators Kits'!J$5:J$418)+SUMIF('Tech Leaders Kits'!$C$5:$C$386,$B49,'Tech Leaders Kits'!J$5:J$386)</f>
        <v>0</v>
      </c>
      <c r="H49" s="77" t="n">
        <f aca="false">SUMIF('Little Explorers Kits'!$C$5:$C$358,$B49,'Little Explorers Kits'!K$5:K$358)+SUMIF('Junior Makers Kits'!$C$5:$C$440,$B49,'Junior Makers Kits'!K$5:K$440)+SUMIF('Young Innovators Kits'!$C$5:$C$418,$B49,'Young Innovators Kits'!K$5:K$418)+SUMIF('Tech Leaders Kits'!$C$5:$C$386,$B49,'Tech Leaders Kits'!K$5:K$386)</f>
        <v>0</v>
      </c>
      <c r="I49" s="77" t="n">
        <f aca="false">SUMIF('Little Explorers Kits'!$C$5:$C$358,$B49,'Little Explorers Kits'!L$5:L$358)+SUMIF('Junior Makers Kits'!$C$5:$C$440,$B49,'Junior Makers Kits'!L$5:L$440)+SUMIF('Young Innovators Kits'!$C$5:$C$418,$B49,'Young Innovators Kits'!L$5:L$418)+SUMIF('Tech Leaders Kits'!$C$5:$C$386,$B49,'Tech Leaders Kits'!L$5:L$386)</f>
        <v>0</v>
      </c>
      <c r="J49" s="77" t="n">
        <f aca="false">SUMIF('Little Explorers Kits'!$C$5:$C$358,$B49,'Little Explorers Kits'!M$5:M$358)+SUMIF('Junior Makers Kits'!$C$5:$C$440,$B49,'Junior Makers Kits'!M$5:M$440)+SUMIF('Young Innovators Kits'!$C$5:$C$418,$B49,'Young Innovators Kits'!M$5:M$418)+SUMIF('Tech Leaders Kits'!$C$5:$C$386,$B49,'Tech Leaders Kits'!M$5:M$386)</f>
        <v>0</v>
      </c>
      <c r="K49" s="77" t="n">
        <f aca="false">SUM(E49:J49)</f>
        <v>0</v>
      </c>
      <c r="L49" s="77" t="n">
        <f aca="false">MAX(E49:I49)+J49</f>
        <v>0</v>
      </c>
      <c r="M49" s="23" t="n">
        <f aca="false">IF(D49="Reusable",L49,K49)</f>
        <v>0</v>
      </c>
      <c r="N49" s="77" t="str">
        <f aca="false">IF(M49&gt;0,COUNTIF($M$3:M49,"&gt;0"),"")</f>
        <v/>
      </c>
    </row>
    <row r="50" customFormat="false" ht="15" hidden="false" customHeight="false" outlineLevel="0" collapsed="false">
      <c r="A50" s="77" t="s">
        <v>375</v>
      </c>
      <c r="B50" s="77" t="s">
        <v>593</v>
      </c>
      <c r="C50" s="77" t="s">
        <v>762</v>
      </c>
      <c r="D50" s="77" t="s">
        <v>373</v>
      </c>
      <c r="E50" s="77" t="n">
        <f aca="false">SUMIF('Little Explorers Kits'!$C$5:$C$358,$B50,'Little Explorers Kits'!H$5:H$358)+SUMIF('Junior Makers Kits'!$C$5:$C$440,$B50,'Junior Makers Kits'!H$5:H$440)+SUMIF('Young Innovators Kits'!$C$5:$C$418,$B50,'Young Innovators Kits'!H$5:H$418)+SUMIF('Tech Leaders Kits'!$C$5:$C$386,$B50,'Tech Leaders Kits'!H$5:H$386)</f>
        <v>0</v>
      </c>
      <c r="F50" s="77" t="n">
        <f aca="false">SUMIF('Little Explorers Kits'!$C$5:$C$358,$B50,'Little Explorers Kits'!I$5:I$358)+SUMIF('Junior Makers Kits'!$C$5:$C$440,$B50,'Junior Makers Kits'!I$5:I$440)+SUMIF('Young Innovators Kits'!$C$5:$C$418,$B50,'Young Innovators Kits'!I$5:I$418)+SUMIF('Tech Leaders Kits'!$C$5:$C$386,$B50,'Tech Leaders Kits'!I$5:I$386)</f>
        <v>0</v>
      </c>
      <c r="G50" s="77" t="n">
        <f aca="false">SUMIF('Little Explorers Kits'!$C$5:$C$358,$B50,'Little Explorers Kits'!J$5:J$358)+SUMIF('Junior Makers Kits'!$C$5:$C$440,$B50,'Junior Makers Kits'!J$5:J$440)+SUMIF('Young Innovators Kits'!$C$5:$C$418,$B50,'Young Innovators Kits'!J$5:J$418)+SUMIF('Tech Leaders Kits'!$C$5:$C$386,$B50,'Tech Leaders Kits'!J$5:J$386)</f>
        <v>0</v>
      </c>
      <c r="H50" s="77" t="n">
        <f aca="false">SUMIF('Little Explorers Kits'!$C$5:$C$358,$B50,'Little Explorers Kits'!K$5:K$358)+SUMIF('Junior Makers Kits'!$C$5:$C$440,$B50,'Junior Makers Kits'!K$5:K$440)+SUMIF('Young Innovators Kits'!$C$5:$C$418,$B50,'Young Innovators Kits'!K$5:K$418)+SUMIF('Tech Leaders Kits'!$C$5:$C$386,$B50,'Tech Leaders Kits'!K$5:K$386)</f>
        <v>0</v>
      </c>
      <c r="I50" s="77" t="n">
        <f aca="false">SUMIF('Little Explorers Kits'!$C$5:$C$358,$B50,'Little Explorers Kits'!L$5:L$358)+SUMIF('Junior Makers Kits'!$C$5:$C$440,$B50,'Junior Makers Kits'!L$5:L$440)+SUMIF('Young Innovators Kits'!$C$5:$C$418,$B50,'Young Innovators Kits'!L$5:L$418)+SUMIF('Tech Leaders Kits'!$C$5:$C$386,$B50,'Tech Leaders Kits'!L$5:L$386)</f>
        <v>0</v>
      </c>
      <c r="J50" s="77" t="n">
        <f aca="false">SUMIF('Little Explorers Kits'!$C$5:$C$358,$B50,'Little Explorers Kits'!M$5:M$358)+SUMIF('Junior Makers Kits'!$C$5:$C$440,$B50,'Junior Makers Kits'!M$5:M$440)+SUMIF('Young Innovators Kits'!$C$5:$C$418,$B50,'Young Innovators Kits'!M$5:M$418)+SUMIF('Tech Leaders Kits'!$C$5:$C$386,$B50,'Tech Leaders Kits'!M$5:M$386)</f>
        <v>0</v>
      </c>
      <c r="K50" s="77" t="n">
        <f aca="false">SUM(E50:J50)</f>
        <v>0</v>
      </c>
      <c r="L50" s="77" t="n">
        <f aca="false">MAX(E50:I50)+J50</f>
        <v>0</v>
      </c>
      <c r="M50" s="23" t="n">
        <f aca="false">IF(D50="Reusable",L50,K50)</f>
        <v>0</v>
      </c>
      <c r="N50" s="77" t="str">
        <f aca="false">IF(M50&gt;0,COUNTIF($M$3:M50,"&gt;0"),"")</f>
        <v/>
      </c>
    </row>
    <row r="51" customFormat="false" ht="15" hidden="false" customHeight="false" outlineLevel="0" collapsed="false">
      <c r="A51" s="77" t="s">
        <v>375</v>
      </c>
      <c r="B51" s="77" t="s">
        <v>592</v>
      </c>
      <c r="C51" s="77" t="s">
        <v>763</v>
      </c>
      <c r="D51" s="77" t="s">
        <v>373</v>
      </c>
      <c r="E51" s="77" t="n">
        <f aca="false">SUMIF('Little Explorers Kits'!$C$5:$C$358,$B51,'Little Explorers Kits'!H$5:H$358)+SUMIF('Junior Makers Kits'!$C$5:$C$440,$B51,'Junior Makers Kits'!H$5:H$440)+SUMIF('Young Innovators Kits'!$C$5:$C$418,$B51,'Young Innovators Kits'!H$5:H$418)+SUMIF('Tech Leaders Kits'!$C$5:$C$386,$B51,'Tech Leaders Kits'!H$5:H$386)</f>
        <v>0</v>
      </c>
      <c r="F51" s="77" t="n">
        <f aca="false">SUMIF('Little Explorers Kits'!$C$5:$C$358,$B51,'Little Explorers Kits'!I$5:I$358)+SUMIF('Junior Makers Kits'!$C$5:$C$440,$B51,'Junior Makers Kits'!I$5:I$440)+SUMIF('Young Innovators Kits'!$C$5:$C$418,$B51,'Young Innovators Kits'!I$5:I$418)+SUMIF('Tech Leaders Kits'!$C$5:$C$386,$B51,'Tech Leaders Kits'!I$5:I$386)</f>
        <v>0</v>
      </c>
      <c r="G51" s="77" t="n">
        <f aca="false">SUMIF('Little Explorers Kits'!$C$5:$C$358,$B51,'Little Explorers Kits'!J$5:J$358)+SUMIF('Junior Makers Kits'!$C$5:$C$440,$B51,'Junior Makers Kits'!J$5:J$440)+SUMIF('Young Innovators Kits'!$C$5:$C$418,$B51,'Young Innovators Kits'!J$5:J$418)+SUMIF('Tech Leaders Kits'!$C$5:$C$386,$B51,'Tech Leaders Kits'!J$5:J$386)</f>
        <v>0</v>
      </c>
      <c r="H51" s="77" t="n">
        <f aca="false">SUMIF('Little Explorers Kits'!$C$5:$C$358,$B51,'Little Explorers Kits'!K$5:K$358)+SUMIF('Junior Makers Kits'!$C$5:$C$440,$B51,'Junior Makers Kits'!K$5:K$440)+SUMIF('Young Innovators Kits'!$C$5:$C$418,$B51,'Young Innovators Kits'!K$5:K$418)+SUMIF('Tech Leaders Kits'!$C$5:$C$386,$B51,'Tech Leaders Kits'!K$5:K$386)</f>
        <v>0</v>
      </c>
      <c r="I51" s="77" t="n">
        <f aca="false">SUMIF('Little Explorers Kits'!$C$5:$C$358,$B51,'Little Explorers Kits'!L$5:L$358)+SUMIF('Junior Makers Kits'!$C$5:$C$440,$B51,'Junior Makers Kits'!L$5:L$440)+SUMIF('Young Innovators Kits'!$C$5:$C$418,$B51,'Young Innovators Kits'!L$5:L$418)+SUMIF('Tech Leaders Kits'!$C$5:$C$386,$B51,'Tech Leaders Kits'!L$5:L$386)</f>
        <v>0</v>
      </c>
      <c r="J51" s="77" t="n">
        <f aca="false">SUMIF('Little Explorers Kits'!$C$5:$C$358,$B51,'Little Explorers Kits'!M$5:M$358)+SUMIF('Junior Makers Kits'!$C$5:$C$440,$B51,'Junior Makers Kits'!M$5:M$440)+SUMIF('Young Innovators Kits'!$C$5:$C$418,$B51,'Young Innovators Kits'!M$5:M$418)+SUMIF('Tech Leaders Kits'!$C$5:$C$386,$B51,'Tech Leaders Kits'!M$5:M$386)</f>
        <v>0</v>
      </c>
      <c r="K51" s="77" t="n">
        <f aca="false">SUM(E51:J51)</f>
        <v>0</v>
      </c>
      <c r="L51" s="77" t="n">
        <f aca="false">MAX(E51:I51)+J51</f>
        <v>0</v>
      </c>
      <c r="M51" s="23" t="n">
        <f aca="false">IF(D51="Reusable",L51,K51)</f>
        <v>0</v>
      </c>
      <c r="N51" s="77" t="str">
        <f aca="false">IF(M51&gt;0,COUNTIF($M$3:M51,"&gt;0"),"")</f>
        <v/>
      </c>
    </row>
    <row r="52" customFormat="false" ht="15" hidden="false" customHeight="false" outlineLevel="0" collapsed="false">
      <c r="A52" s="77" t="s">
        <v>375</v>
      </c>
      <c r="B52" s="77" t="s">
        <v>564</v>
      </c>
      <c r="C52" s="77" t="s">
        <v>764</v>
      </c>
      <c r="D52" s="77" t="s">
        <v>373</v>
      </c>
      <c r="E52" s="77" t="n">
        <f aca="false">SUMIF('Little Explorers Kits'!$C$5:$C$358,$B52,'Little Explorers Kits'!H$5:H$358)+SUMIF('Junior Makers Kits'!$C$5:$C$440,$B52,'Junior Makers Kits'!H$5:H$440)+SUMIF('Young Innovators Kits'!$C$5:$C$418,$B52,'Young Innovators Kits'!H$5:H$418)+SUMIF('Tech Leaders Kits'!$C$5:$C$386,$B52,'Tech Leaders Kits'!H$5:H$386)</f>
        <v>0</v>
      </c>
      <c r="F52" s="77" t="n">
        <f aca="false">SUMIF('Little Explorers Kits'!$C$5:$C$358,$B52,'Little Explorers Kits'!I$5:I$358)+SUMIF('Junior Makers Kits'!$C$5:$C$440,$B52,'Junior Makers Kits'!I$5:I$440)+SUMIF('Young Innovators Kits'!$C$5:$C$418,$B52,'Young Innovators Kits'!I$5:I$418)+SUMIF('Tech Leaders Kits'!$C$5:$C$386,$B52,'Tech Leaders Kits'!I$5:I$386)</f>
        <v>0</v>
      </c>
      <c r="G52" s="77" t="n">
        <f aca="false">SUMIF('Little Explorers Kits'!$C$5:$C$358,$B52,'Little Explorers Kits'!J$5:J$358)+SUMIF('Junior Makers Kits'!$C$5:$C$440,$B52,'Junior Makers Kits'!J$5:J$440)+SUMIF('Young Innovators Kits'!$C$5:$C$418,$B52,'Young Innovators Kits'!J$5:J$418)+SUMIF('Tech Leaders Kits'!$C$5:$C$386,$B52,'Tech Leaders Kits'!J$5:J$386)</f>
        <v>0</v>
      </c>
      <c r="H52" s="77" t="n">
        <f aca="false">SUMIF('Little Explorers Kits'!$C$5:$C$358,$B52,'Little Explorers Kits'!K$5:K$358)+SUMIF('Junior Makers Kits'!$C$5:$C$440,$B52,'Junior Makers Kits'!K$5:K$440)+SUMIF('Young Innovators Kits'!$C$5:$C$418,$B52,'Young Innovators Kits'!K$5:K$418)+SUMIF('Tech Leaders Kits'!$C$5:$C$386,$B52,'Tech Leaders Kits'!K$5:K$386)</f>
        <v>0</v>
      </c>
      <c r="I52" s="77" t="n">
        <f aca="false">SUMIF('Little Explorers Kits'!$C$5:$C$358,$B52,'Little Explorers Kits'!L$5:L$358)+SUMIF('Junior Makers Kits'!$C$5:$C$440,$B52,'Junior Makers Kits'!L$5:L$440)+SUMIF('Young Innovators Kits'!$C$5:$C$418,$B52,'Young Innovators Kits'!L$5:L$418)+SUMIF('Tech Leaders Kits'!$C$5:$C$386,$B52,'Tech Leaders Kits'!L$5:L$386)</f>
        <v>0</v>
      </c>
      <c r="J52" s="77" t="n">
        <f aca="false">SUMIF('Little Explorers Kits'!$C$5:$C$358,$B52,'Little Explorers Kits'!M$5:M$358)+SUMIF('Junior Makers Kits'!$C$5:$C$440,$B52,'Junior Makers Kits'!M$5:M$440)+SUMIF('Young Innovators Kits'!$C$5:$C$418,$B52,'Young Innovators Kits'!M$5:M$418)+SUMIF('Tech Leaders Kits'!$C$5:$C$386,$B52,'Tech Leaders Kits'!M$5:M$386)</f>
        <v>0</v>
      </c>
      <c r="K52" s="77" t="n">
        <f aca="false">SUM(E52:J52)</f>
        <v>0</v>
      </c>
      <c r="L52" s="77" t="n">
        <f aca="false">MAX(E52:I52)+J52</f>
        <v>0</v>
      </c>
      <c r="M52" s="23" t="n">
        <f aca="false">IF(D52="Reusable",L52,K52)</f>
        <v>0</v>
      </c>
      <c r="N52" s="77" t="str">
        <f aca="false">IF(M52&gt;0,COUNTIF($M$3:M52,"&gt;0"),"")</f>
        <v/>
      </c>
    </row>
    <row r="53" customFormat="false" ht="15" hidden="false" customHeight="false" outlineLevel="0" collapsed="false">
      <c r="A53" s="77" t="s">
        <v>375</v>
      </c>
      <c r="B53" s="77" t="s">
        <v>387</v>
      </c>
      <c r="C53" s="77" t="s">
        <v>765</v>
      </c>
      <c r="D53" s="77" t="s">
        <v>368</v>
      </c>
      <c r="E53" s="77" t="n">
        <f aca="false">SUMIF('Little Explorers Kits'!$C$5:$C$358,$B53,'Little Explorers Kits'!H$5:H$358)+SUMIF('Junior Makers Kits'!$C$5:$C$440,$B53,'Junior Makers Kits'!H$5:H$440)+SUMIF('Young Innovators Kits'!$C$5:$C$418,$B53,'Young Innovators Kits'!H$5:H$418)+SUMIF('Tech Leaders Kits'!$C$5:$C$386,$B53,'Tech Leaders Kits'!H$5:H$386)</f>
        <v>0</v>
      </c>
      <c r="F53" s="77" t="n">
        <f aca="false">SUMIF('Little Explorers Kits'!$C$5:$C$358,$B53,'Little Explorers Kits'!I$5:I$358)+SUMIF('Junior Makers Kits'!$C$5:$C$440,$B53,'Junior Makers Kits'!I$5:I$440)+SUMIF('Young Innovators Kits'!$C$5:$C$418,$B53,'Young Innovators Kits'!I$5:I$418)+SUMIF('Tech Leaders Kits'!$C$5:$C$386,$B53,'Tech Leaders Kits'!I$5:I$386)</f>
        <v>0</v>
      </c>
      <c r="G53" s="77" t="n">
        <f aca="false">SUMIF('Little Explorers Kits'!$C$5:$C$358,$B53,'Little Explorers Kits'!J$5:J$358)+SUMIF('Junior Makers Kits'!$C$5:$C$440,$B53,'Junior Makers Kits'!J$5:J$440)+SUMIF('Young Innovators Kits'!$C$5:$C$418,$B53,'Young Innovators Kits'!J$5:J$418)+SUMIF('Tech Leaders Kits'!$C$5:$C$386,$B53,'Tech Leaders Kits'!J$5:J$386)</f>
        <v>0</v>
      </c>
      <c r="H53" s="77" t="n">
        <f aca="false">SUMIF('Little Explorers Kits'!$C$5:$C$358,$B53,'Little Explorers Kits'!K$5:K$358)+SUMIF('Junior Makers Kits'!$C$5:$C$440,$B53,'Junior Makers Kits'!K$5:K$440)+SUMIF('Young Innovators Kits'!$C$5:$C$418,$B53,'Young Innovators Kits'!K$5:K$418)+SUMIF('Tech Leaders Kits'!$C$5:$C$386,$B53,'Tech Leaders Kits'!K$5:K$386)</f>
        <v>0</v>
      </c>
      <c r="I53" s="77" t="n">
        <f aca="false">SUMIF('Little Explorers Kits'!$C$5:$C$358,$B53,'Little Explorers Kits'!L$5:L$358)+SUMIF('Junior Makers Kits'!$C$5:$C$440,$B53,'Junior Makers Kits'!L$5:L$440)+SUMIF('Young Innovators Kits'!$C$5:$C$418,$B53,'Young Innovators Kits'!L$5:L$418)+SUMIF('Tech Leaders Kits'!$C$5:$C$386,$B53,'Tech Leaders Kits'!L$5:L$386)</f>
        <v>0</v>
      </c>
      <c r="J53" s="77" t="n">
        <f aca="false">SUMIF('Little Explorers Kits'!$C$5:$C$358,$B53,'Little Explorers Kits'!M$5:M$358)+SUMIF('Junior Makers Kits'!$C$5:$C$440,$B53,'Junior Makers Kits'!M$5:M$440)+SUMIF('Young Innovators Kits'!$C$5:$C$418,$B53,'Young Innovators Kits'!M$5:M$418)+SUMIF('Tech Leaders Kits'!$C$5:$C$386,$B53,'Tech Leaders Kits'!M$5:M$386)</f>
        <v>0</v>
      </c>
      <c r="K53" s="77" t="n">
        <f aca="false">SUM(E53:J53)</f>
        <v>0</v>
      </c>
      <c r="L53" s="77" t="n">
        <f aca="false">MAX(E53:I53)+J53</f>
        <v>0</v>
      </c>
      <c r="M53" s="23" t="n">
        <f aca="false">IF(D53="Reusable",L53,K53)</f>
        <v>0</v>
      </c>
      <c r="N53" s="77" t="str">
        <f aca="false">IF(M53&gt;0,COUNTIF($M$3:M53,"&gt;0"),"")</f>
        <v/>
      </c>
    </row>
    <row r="54" customFormat="false" ht="15" hidden="false" customHeight="false" outlineLevel="0" collapsed="false">
      <c r="A54" s="77" t="s">
        <v>375</v>
      </c>
      <c r="B54" s="77" t="s">
        <v>385</v>
      </c>
      <c r="C54" s="77" t="s">
        <v>766</v>
      </c>
      <c r="D54" s="77" t="s">
        <v>368</v>
      </c>
      <c r="E54" s="77" t="n">
        <f aca="false">SUMIF('Little Explorers Kits'!$C$5:$C$358,$B54,'Little Explorers Kits'!H$5:H$358)+SUMIF('Junior Makers Kits'!$C$5:$C$440,$B54,'Junior Makers Kits'!H$5:H$440)+SUMIF('Young Innovators Kits'!$C$5:$C$418,$B54,'Young Innovators Kits'!H$5:H$418)+SUMIF('Tech Leaders Kits'!$C$5:$C$386,$B54,'Tech Leaders Kits'!H$5:H$386)</f>
        <v>0</v>
      </c>
      <c r="F54" s="77" t="n">
        <f aca="false">SUMIF('Little Explorers Kits'!$C$5:$C$358,$B54,'Little Explorers Kits'!I$5:I$358)+SUMIF('Junior Makers Kits'!$C$5:$C$440,$B54,'Junior Makers Kits'!I$5:I$440)+SUMIF('Young Innovators Kits'!$C$5:$C$418,$B54,'Young Innovators Kits'!I$5:I$418)+SUMIF('Tech Leaders Kits'!$C$5:$C$386,$B54,'Tech Leaders Kits'!I$5:I$386)</f>
        <v>0</v>
      </c>
      <c r="G54" s="77" t="n">
        <f aca="false">SUMIF('Little Explorers Kits'!$C$5:$C$358,$B54,'Little Explorers Kits'!J$5:J$358)+SUMIF('Junior Makers Kits'!$C$5:$C$440,$B54,'Junior Makers Kits'!J$5:J$440)+SUMIF('Young Innovators Kits'!$C$5:$C$418,$B54,'Young Innovators Kits'!J$5:J$418)+SUMIF('Tech Leaders Kits'!$C$5:$C$386,$B54,'Tech Leaders Kits'!J$5:J$386)</f>
        <v>0</v>
      </c>
      <c r="H54" s="77" t="n">
        <f aca="false">SUMIF('Little Explorers Kits'!$C$5:$C$358,$B54,'Little Explorers Kits'!K$5:K$358)+SUMIF('Junior Makers Kits'!$C$5:$C$440,$B54,'Junior Makers Kits'!K$5:K$440)+SUMIF('Young Innovators Kits'!$C$5:$C$418,$B54,'Young Innovators Kits'!K$5:K$418)+SUMIF('Tech Leaders Kits'!$C$5:$C$386,$B54,'Tech Leaders Kits'!K$5:K$386)</f>
        <v>0</v>
      </c>
      <c r="I54" s="77" t="n">
        <f aca="false">SUMIF('Little Explorers Kits'!$C$5:$C$358,$B54,'Little Explorers Kits'!L$5:L$358)+SUMIF('Junior Makers Kits'!$C$5:$C$440,$B54,'Junior Makers Kits'!L$5:L$440)+SUMIF('Young Innovators Kits'!$C$5:$C$418,$B54,'Young Innovators Kits'!L$5:L$418)+SUMIF('Tech Leaders Kits'!$C$5:$C$386,$B54,'Tech Leaders Kits'!L$5:L$386)</f>
        <v>0</v>
      </c>
      <c r="J54" s="77" t="n">
        <f aca="false">SUMIF('Little Explorers Kits'!$C$5:$C$358,$B54,'Little Explorers Kits'!M$5:M$358)+SUMIF('Junior Makers Kits'!$C$5:$C$440,$B54,'Junior Makers Kits'!M$5:M$440)+SUMIF('Young Innovators Kits'!$C$5:$C$418,$B54,'Young Innovators Kits'!M$5:M$418)+SUMIF('Tech Leaders Kits'!$C$5:$C$386,$B54,'Tech Leaders Kits'!M$5:M$386)</f>
        <v>0</v>
      </c>
      <c r="K54" s="77" t="n">
        <f aca="false">SUM(E54:J54)</f>
        <v>0</v>
      </c>
      <c r="L54" s="77" t="n">
        <f aca="false">MAX(E54:I54)+J54</f>
        <v>0</v>
      </c>
      <c r="M54" s="23" t="n">
        <f aca="false">IF(D54="Reusable",L54,K54)</f>
        <v>0</v>
      </c>
      <c r="N54" s="77" t="str">
        <f aca="false">IF(M54&gt;0,COUNTIF($M$3:M54,"&gt;0"),"")</f>
        <v/>
      </c>
    </row>
    <row r="55" customFormat="false" ht="15" hidden="false" customHeight="false" outlineLevel="0" collapsed="false">
      <c r="A55" s="77" t="s">
        <v>375</v>
      </c>
      <c r="B55" s="77" t="s">
        <v>417</v>
      </c>
      <c r="C55" s="77" t="s">
        <v>767</v>
      </c>
      <c r="D55" s="77" t="s">
        <v>373</v>
      </c>
      <c r="E55" s="77" t="n">
        <f aca="false">SUMIF('Little Explorers Kits'!$C$5:$C$358,$B55,'Little Explorers Kits'!H$5:H$358)+SUMIF('Junior Makers Kits'!$C$5:$C$440,$B55,'Junior Makers Kits'!H$5:H$440)+SUMIF('Young Innovators Kits'!$C$5:$C$418,$B55,'Young Innovators Kits'!H$5:H$418)+SUMIF('Tech Leaders Kits'!$C$5:$C$386,$B55,'Tech Leaders Kits'!H$5:H$386)</f>
        <v>0</v>
      </c>
      <c r="F55" s="77" t="n">
        <f aca="false">SUMIF('Little Explorers Kits'!$C$5:$C$358,$B55,'Little Explorers Kits'!I$5:I$358)+SUMIF('Junior Makers Kits'!$C$5:$C$440,$B55,'Junior Makers Kits'!I$5:I$440)+SUMIF('Young Innovators Kits'!$C$5:$C$418,$B55,'Young Innovators Kits'!I$5:I$418)+SUMIF('Tech Leaders Kits'!$C$5:$C$386,$B55,'Tech Leaders Kits'!I$5:I$386)</f>
        <v>0</v>
      </c>
      <c r="G55" s="77" t="n">
        <f aca="false">SUMIF('Little Explorers Kits'!$C$5:$C$358,$B55,'Little Explorers Kits'!J$5:J$358)+SUMIF('Junior Makers Kits'!$C$5:$C$440,$B55,'Junior Makers Kits'!J$5:J$440)+SUMIF('Young Innovators Kits'!$C$5:$C$418,$B55,'Young Innovators Kits'!J$5:J$418)+SUMIF('Tech Leaders Kits'!$C$5:$C$386,$B55,'Tech Leaders Kits'!J$5:J$386)</f>
        <v>0</v>
      </c>
      <c r="H55" s="77" t="n">
        <f aca="false">SUMIF('Little Explorers Kits'!$C$5:$C$358,$B55,'Little Explorers Kits'!K$5:K$358)+SUMIF('Junior Makers Kits'!$C$5:$C$440,$B55,'Junior Makers Kits'!K$5:K$440)+SUMIF('Young Innovators Kits'!$C$5:$C$418,$B55,'Young Innovators Kits'!K$5:K$418)+SUMIF('Tech Leaders Kits'!$C$5:$C$386,$B55,'Tech Leaders Kits'!K$5:K$386)</f>
        <v>0</v>
      </c>
      <c r="I55" s="77" t="n">
        <f aca="false">SUMIF('Little Explorers Kits'!$C$5:$C$358,$B55,'Little Explorers Kits'!L$5:L$358)+SUMIF('Junior Makers Kits'!$C$5:$C$440,$B55,'Junior Makers Kits'!L$5:L$440)+SUMIF('Young Innovators Kits'!$C$5:$C$418,$B55,'Young Innovators Kits'!L$5:L$418)+SUMIF('Tech Leaders Kits'!$C$5:$C$386,$B55,'Tech Leaders Kits'!L$5:L$386)</f>
        <v>0</v>
      </c>
      <c r="J55" s="77" t="n">
        <f aca="false">SUMIF('Little Explorers Kits'!$C$5:$C$358,$B55,'Little Explorers Kits'!M$5:M$358)+SUMIF('Junior Makers Kits'!$C$5:$C$440,$B55,'Junior Makers Kits'!M$5:M$440)+SUMIF('Young Innovators Kits'!$C$5:$C$418,$B55,'Young Innovators Kits'!M$5:M$418)+SUMIF('Tech Leaders Kits'!$C$5:$C$386,$B55,'Tech Leaders Kits'!M$5:M$386)</f>
        <v>0</v>
      </c>
      <c r="K55" s="77" t="n">
        <f aca="false">SUM(E55:J55)</f>
        <v>0</v>
      </c>
      <c r="L55" s="77" t="n">
        <f aca="false">MAX(E55:I55)+J55</f>
        <v>0</v>
      </c>
      <c r="M55" s="23" t="n">
        <f aca="false">IF(D55="Reusable",L55,K55)</f>
        <v>0</v>
      </c>
      <c r="N55" s="77" t="str">
        <f aca="false">IF(M55&gt;0,COUNTIF($M$3:M55,"&gt;0"),"")</f>
        <v/>
      </c>
    </row>
    <row r="56" customFormat="false" ht="15" hidden="false" customHeight="false" outlineLevel="0" collapsed="false">
      <c r="A56" s="77" t="s">
        <v>375</v>
      </c>
      <c r="B56" s="77" t="s">
        <v>547</v>
      </c>
      <c r="C56" s="77" t="s">
        <v>768</v>
      </c>
      <c r="D56" s="77" t="s">
        <v>373</v>
      </c>
      <c r="E56" s="77" t="n">
        <f aca="false">SUMIF('Little Explorers Kits'!$C$5:$C$358,$B56,'Little Explorers Kits'!H$5:H$358)+SUMIF('Junior Makers Kits'!$C$5:$C$440,$B56,'Junior Makers Kits'!H$5:H$440)+SUMIF('Young Innovators Kits'!$C$5:$C$418,$B56,'Young Innovators Kits'!H$5:H$418)+SUMIF('Tech Leaders Kits'!$C$5:$C$386,$B56,'Tech Leaders Kits'!H$5:H$386)</f>
        <v>0</v>
      </c>
      <c r="F56" s="77" t="n">
        <f aca="false">SUMIF('Little Explorers Kits'!$C$5:$C$358,$B56,'Little Explorers Kits'!I$5:I$358)+SUMIF('Junior Makers Kits'!$C$5:$C$440,$B56,'Junior Makers Kits'!I$5:I$440)+SUMIF('Young Innovators Kits'!$C$5:$C$418,$B56,'Young Innovators Kits'!I$5:I$418)+SUMIF('Tech Leaders Kits'!$C$5:$C$386,$B56,'Tech Leaders Kits'!I$5:I$386)</f>
        <v>0</v>
      </c>
      <c r="G56" s="77" t="n">
        <f aca="false">SUMIF('Little Explorers Kits'!$C$5:$C$358,$B56,'Little Explorers Kits'!J$5:J$358)+SUMIF('Junior Makers Kits'!$C$5:$C$440,$B56,'Junior Makers Kits'!J$5:J$440)+SUMIF('Young Innovators Kits'!$C$5:$C$418,$B56,'Young Innovators Kits'!J$5:J$418)+SUMIF('Tech Leaders Kits'!$C$5:$C$386,$B56,'Tech Leaders Kits'!J$5:J$386)</f>
        <v>0</v>
      </c>
      <c r="H56" s="77" t="n">
        <f aca="false">SUMIF('Little Explorers Kits'!$C$5:$C$358,$B56,'Little Explorers Kits'!K$5:K$358)+SUMIF('Junior Makers Kits'!$C$5:$C$440,$B56,'Junior Makers Kits'!K$5:K$440)+SUMIF('Young Innovators Kits'!$C$5:$C$418,$B56,'Young Innovators Kits'!K$5:K$418)+SUMIF('Tech Leaders Kits'!$C$5:$C$386,$B56,'Tech Leaders Kits'!K$5:K$386)</f>
        <v>0</v>
      </c>
      <c r="I56" s="77" t="n">
        <f aca="false">SUMIF('Little Explorers Kits'!$C$5:$C$358,$B56,'Little Explorers Kits'!L$5:L$358)+SUMIF('Junior Makers Kits'!$C$5:$C$440,$B56,'Junior Makers Kits'!L$5:L$440)+SUMIF('Young Innovators Kits'!$C$5:$C$418,$B56,'Young Innovators Kits'!L$5:L$418)+SUMIF('Tech Leaders Kits'!$C$5:$C$386,$B56,'Tech Leaders Kits'!L$5:L$386)</f>
        <v>0</v>
      </c>
      <c r="J56" s="77" t="n">
        <f aca="false">SUMIF('Little Explorers Kits'!$C$5:$C$358,$B56,'Little Explorers Kits'!M$5:M$358)+SUMIF('Junior Makers Kits'!$C$5:$C$440,$B56,'Junior Makers Kits'!M$5:M$440)+SUMIF('Young Innovators Kits'!$C$5:$C$418,$B56,'Young Innovators Kits'!M$5:M$418)+SUMIF('Tech Leaders Kits'!$C$5:$C$386,$B56,'Tech Leaders Kits'!M$5:M$386)</f>
        <v>0</v>
      </c>
      <c r="K56" s="77" t="n">
        <f aca="false">SUM(E56:J56)</f>
        <v>0</v>
      </c>
      <c r="L56" s="77" t="n">
        <f aca="false">MAX(E56:I56)+J56</f>
        <v>0</v>
      </c>
      <c r="M56" s="23" t="n">
        <f aca="false">IF(D56="Reusable",L56,K56)</f>
        <v>0</v>
      </c>
      <c r="N56" s="77" t="str">
        <f aca="false">IF(M56&gt;0,COUNTIF($M$3:M56,"&gt;0"),"")</f>
        <v/>
      </c>
    </row>
    <row r="57" customFormat="false" ht="15" hidden="false" customHeight="false" outlineLevel="0" collapsed="false">
      <c r="A57" s="77" t="s">
        <v>375</v>
      </c>
      <c r="B57" s="77" t="s">
        <v>376</v>
      </c>
      <c r="C57" s="77" t="s">
        <v>769</v>
      </c>
      <c r="D57" s="77" t="s">
        <v>373</v>
      </c>
      <c r="E57" s="77" t="n">
        <f aca="false">SUMIF('Little Explorers Kits'!$C$5:$C$358,$B57,'Little Explorers Kits'!H$5:H$358)+SUMIF('Junior Makers Kits'!$C$5:$C$440,$B57,'Junior Makers Kits'!H$5:H$440)+SUMIF('Young Innovators Kits'!$C$5:$C$418,$B57,'Young Innovators Kits'!H$5:H$418)+SUMIF('Tech Leaders Kits'!$C$5:$C$386,$B57,'Tech Leaders Kits'!H$5:H$386)</f>
        <v>0</v>
      </c>
      <c r="F57" s="77" t="n">
        <f aca="false">SUMIF('Little Explorers Kits'!$C$5:$C$358,$B57,'Little Explorers Kits'!I$5:I$358)+SUMIF('Junior Makers Kits'!$C$5:$C$440,$B57,'Junior Makers Kits'!I$5:I$440)+SUMIF('Young Innovators Kits'!$C$5:$C$418,$B57,'Young Innovators Kits'!I$5:I$418)+SUMIF('Tech Leaders Kits'!$C$5:$C$386,$B57,'Tech Leaders Kits'!I$5:I$386)</f>
        <v>0</v>
      </c>
      <c r="G57" s="77" t="n">
        <f aca="false">SUMIF('Little Explorers Kits'!$C$5:$C$358,$B57,'Little Explorers Kits'!J$5:J$358)+SUMIF('Junior Makers Kits'!$C$5:$C$440,$B57,'Junior Makers Kits'!J$5:J$440)+SUMIF('Young Innovators Kits'!$C$5:$C$418,$B57,'Young Innovators Kits'!J$5:J$418)+SUMIF('Tech Leaders Kits'!$C$5:$C$386,$B57,'Tech Leaders Kits'!J$5:J$386)</f>
        <v>0</v>
      </c>
      <c r="H57" s="77" t="n">
        <f aca="false">SUMIF('Little Explorers Kits'!$C$5:$C$358,$B57,'Little Explorers Kits'!K$5:K$358)+SUMIF('Junior Makers Kits'!$C$5:$C$440,$B57,'Junior Makers Kits'!K$5:K$440)+SUMIF('Young Innovators Kits'!$C$5:$C$418,$B57,'Young Innovators Kits'!K$5:K$418)+SUMIF('Tech Leaders Kits'!$C$5:$C$386,$B57,'Tech Leaders Kits'!K$5:K$386)</f>
        <v>0</v>
      </c>
      <c r="I57" s="77" t="n">
        <f aca="false">SUMIF('Little Explorers Kits'!$C$5:$C$358,$B57,'Little Explorers Kits'!L$5:L$358)+SUMIF('Junior Makers Kits'!$C$5:$C$440,$B57,'Junior Makers Kits'!L$5:L$440)+SUMIF('Young Innovators Kits'!$C$5:$C$418,$B57,'Young Innovators Kits'!L$5:L$418)+SUMIF('Tech Leaders Kits'!$C$5:$C$386,$B57,'Tech Leaders Kits'!L$5:L$386)</f>
        <v>0</v>
      </c>
      <c r="J57" s="77" t="n">
        <f aca="false">SUMIF('Little Explorers Kits'!$C$5:$C$358,$B57,'Little Explorers Kits'!M$5:M$358)+SUMIF('Junior Makers Kits'!$C$5:$C$440,$B57,'Junior Makers Kits'!M$5:M$440)+SUMIF('Young Innovators Kits'!$C$5:$C$418,$B57,'Young Innovators Kits'!M$5:M$418)+SUMIF('Tech Leaders Kits'!$C$5:$C$386,$B57,'Tech Leaders Kits'!M$5:M$386)</f>
        <v>0</v>
      </c>
      <c r="K57" s="77" t="n">
        <f aca="false">SUM(E57:J57)</f>
        <v>0</v>
      </c>
      <c r="L57" s="77" t="n">
        <f aca="false">MAX(E57:I57)+J57</f>
        <v>0</v>
      </c>
      <c r="M57" s="23" t="n">
        <f aca="false">IF(D57="Reusable",L57,K57)</f>
        <v>0</v>
      </c>
      <c r="N57" s="77" t="str">
        <f aca="false">IF(M57&gt;0,COUNTIF($M$3:M57,"&gt;0"),"")</f>
        <v/>
      </c>
    </row>
    <row r="58" customFormat="false" ht="15" hidden="false" customHeight="false" outlineLevel="0" collapsed="false">
      <c r="A58" s="77" t="s">
        <v>375</v>
      </c>
      <c r="B58" s="77" t="s">
        <v>511</v>
      </c>
      <c r="C58" s="77" t="s">
        <v>770</v>
      </c>
      <c r="D58" s="77" t="s">
        <v>368</v>
      </c>
      <c r="E58" s="77" t="n">
        <f aca="false">SUMIF('Little Explorers Kits'!$C$5:$C$358,$B58,'Little Explorers Kits'!H$5:H$358)+SUMIF('Junior Makers Kits'!$C$5:$C$440,$B58,'Junior Makers Kits'!H$5:H$440)+SUMIF('Young Innovators Kits'!$C$5:$C$418,$B58,'Young Innovators Kits'!H$5:H$418)+SUMIF('Tech Leaders Kits'!$C$5:$C$386,$B58,'Tech Leaders Kits'!H$5:H$386)</f>
        <v>0</v>
      </c>
      <c r="F58" s="77" t="n">
        <f aca="false">SUMIF('Little Explorers Kits'!$C$5:$C$358,$B58,'Little Explorers Kits'!I$5:I$358)+SUMIF('Junior Makers Kits'!$C$5:$C$440,$B58,'Junior Makers Kits'!I$5:I$440)+SUMIF('Young Innovators Kits'!$C$5:$C$418,$B58,'Young Innovators Kits'!I$5:I$418)+SUMIF('Tech Leaders Kits'!$C$5:$C$386,$B58,'Tech Leaders Kits'!I$5:I$386)</f>
        <v>0</v>
      </c>
      <c r="G58" s="77" t="n">
        <f aca="false">SUMIF('Little Explorers Kits'!$C$5:$C$358,$B58,'Little Explorers Kits'!J$5:J$358)+SUMIF('Junior Makers Kits'!$C$5:$C$440,$B58,'Junior Makers Kits'!J$5:J$440)+SUMIF('Young Innovators Kits'!$C$5:$C$418,$B58,'Young Innovators Kits'!J$5:J$418)+SUMIF('Tech Leaders Kits'!$C$5:$C$386,$B58,'Tech Leaders Kits'!J$5:J$386)</f>
        <v>0</v>
      </c>
      <c r="H58" s="77" t="n">
        <f aca="false">SUMIF('Little Explorers Kits'!$C$5:$C$358,$B58,'Little Explorers Kits'!K$5:K$358)+SUMIF('Junior Makers Kits'!$C$5:$C$440,$B58,'Junior Makers Kits'!K$5:K$440)+SUMIF('Young Innovators Kits'!$C$5:$C$418,$B58,'Young Innovators Kits'!K$5:K$418)+SUMIF('Tech Leaders Kits'!$C$5:$C$386,$B58,'Tech Leaders Kits'!K$5:K$386)</f>
        <v>0</v>
      </c>
      <c r="I58" s="77" t="n">
        <f aca="false">SUMIF('Little Explorers Kits'!$C$5:$C$358,$B58,'Little Explorers Kits'!L$5:L$358)+SUMIF('Junior Makers Kits'!$C$5:$C$440,$B58,'Junior Makers Kits'!L$5:L$440)+SUMIF('Young Innovators Kits'!$C$5:$C$418,$B58,'Young Innovators Kits'!L$5:L$418)+SUMIF('Tech Leaders Kits'!$C$5:$C$386,$B58,'Tech Leaders Kits'!L$5:L$386)</f>
        <v>0</v>
      </c>
      <c r="J58" s="77" t="n">
        <f aca="false">SUMIF('Little Explorers Kits'!$C$5:$C$358,$B58,'Little Explorers Kits'!M$5:M$358)+SUMIF('Junior Makers Kits'!$C$5:$C$440,$B58,'Junior Makers Kits'!M$5:M$440)+SUMIF('Young Innovators Kits'!$C$5:$C$418,$B58,'Young Innovators Kits'!M$5:M$418)+SUMIF('Tech Leaders Kits'!$C$5:$C$386,$B58,'Tech Leaders Kits'!M$5:M$386)</f>
        <v>0</v>
      </c>
      <c r="K58" s="77" t="n">
        <f aca="false">SUM(E58:J58)</f>
        <v>0</v>
      </c>
      <c r="L58" s="77" t="n">
        <f aca="false">MAX(E58:I58)+J58</f>
        <v>0</v>
      </c>
      <c r="M58" s="23" t="n">
        <f aca="false">IF(D58="Reusable",L58,K58)</f>
        <v>0</v>
      </c>
      <c r="N58" s="77" t="str">
        <f aca="false">IF(M58&gt;0,COUNTIF($M$3:M58,"&gt;0"),"")</f>
        <v/>
      </c>
    </row>
    <row r="59" customFormat="false" ht="15" hidden="false" customHeight="false" outlineLevel="0" collapsed="false">
      <c r="A59" s="77" t="s">
        <v>409</v>
      </c>
      <c r="B59" s="77" t="s">
        <v>612</v>
      </c>
      <c r="C59" s="77" t="s">
        <v>771</v>
      </c>
      <c r="D59" s="77" t="s">
        <v>368</v>
      </c>
      <c r="E59" s="77" t="n">
        <f aca="false">SUMIF('Little Explorers Kits'!$C$5:$C$358,$B59,'Little Explorers Kits'!H$5:H$358)+SUMIF('Junior Makers Kits'!$C$5:$C$440,$B59,'Junior Makers Kits'!H$5:H$440)+SUMIF('Young Innovators Kits'!$C$5:$C$418,$B59,'Young Innovators Kits'!H$5:H$418)+SUMIF('Tech Leaders Kits'!$C$5:$C$386,$B59,'Tech Leaders Kits'!H$5:H$386)</f>
        <v>0</v>
      </c>
      <c r="F59" s="77" t="n">
        <f aca="false">SUMIF('Little Explorers Kits'!$C$5:$C$358,$B59,'Little Explorers Kits'!I$5:I$358)+SUMIF('Junior Makers Kits'!$C$5:$C$440,$B59,'Junior Makers Kits'!I$5:I$440)+SUMIF('Young Innovators Kits'!$C$5:$C$418,$B59,'Young Innovators Kits'!I$5:I$418)+SUMIF('Tech Leaders Kits'!$C$5:$C$386,$B59,'Tech Leaders Kits'!I$5:I$386)</f>
        <v>0</v>
      </c>
      <c r="G59" s="77" t="n">
        <f aca="false">SUMIF('Little Explorers Kits'!$C$5:$C$358,$B59,'Little Explorers Kits'!J$5:J$358)+SUMIF('Junior Makers Kits'!$C$5:$C$440,$B59,'Junior Makers Kits'!J$5:J$440)+SUMIF('Young Innovators Kits'!$C$5:$C$418,$B59,'Young Innovators Kits'!J$5:J$418)+SUMIF('Tech Leaders Kits'!$C$5:$C$386,$B59,'Tech Leaders Kits'!J$5:J$386)</f>
        <v>0</v>
      </c>
      <c r="H59" s="77" t="n">
        <f aca="false">SUMIF('Little Explorers Kits'!$C$5:$C$358,$B59,'Little Explorers Kits'!K$5:K$358)+SUMIF('Junior Makers Kits'!$C$5:$C$440,$B59,'Junior Makers Kits'!K$5:K$440)+SUMIF('Young Innovators Kits'!$C$5:$C$418,$B59,'Young Innovators Kits'!K$5:K$418)+SUMIF('Tech Leaders Kits'!$C$5:$C$386,$B59,'Tech Leaders Kits'!K$5:K$386)</f>
        <v>0</v>
      </c>
      <c r="I59" s="77" t="n">
        <f aca="false">SUMIF('Little Explorers Kits'!$C$5:$C$358,$B59,'Little Explorers Kits'!L$5:L$358)+SUMIF('Junior Makers Kits'!$C$5:$C$440,$B59,'Junior Makers Kits'!L$5:L$440)+SUMIF('Young Innovators Kits'!$C$5:$C$418,$B59,'Young Innovators Kits'!L$5:L$418)+SUMIF('Tech Leaders Kits'!$C$5:$C$386,$B59,'Tech Leaders Kits'!L$5:L$386)</f>
        <v>0</v>
      </c>
      <c r="J59" s="77" t="n">
        <f aca="false">SUMIF('Little Explorers Kits'!$C$5:$C$358,$B59,'Little Explorers Kits'!M$5:M$358)+SUMIF('Junior Makers Kits'!$C$5:$C$440,$B59,'Junior Makers Kits'!M$5:M$440)+SUMIF('Young Innovators Kits'!$C$5:$C$418,$B59,'Young Innovators Kits'!M$5:M$418)+SUMIF('Tech Leaders Kits'!$C$5:$C$386,$B59,'Tech Leaders Kits'!M$5:M$386)</f>
        <v>0</v>
      </c>
      <c r="K59" s="77" t="n">
        <f aca="false">SUM(E59:J59)</f>
        <v>0</v>
      </c>
      <c r="L59" s="77" t="n">
        <f aca="false">MAX(E59:I59)+J59</f>
        <v>0</v>
      </c>
      <c r="M59" s="23" t="n">
        <f aca="false">IF(D59="Reusable",L59,K59)</f>
        <v>0</v>
      </c>
      <c r="N59" s="77" t="str">
        <f aca="false">IF(M59&gt;0,COUNTIF($M$3:M59,"&gt;0"),"")</f>
        <v/>
      </c>
    </row>
    <row r="60" customFormat="false" ht="15" hidden="false" customHeight="false" outlineLevel="0" collapsed="false">
      <c r="A60" s="77" t="s">
        <v>409</v>
      </c>
      <c r="B60" s="77" t="s">
        <v>510</v>
      </c>
      <c r="C60" s="77" t="s">
        <v>772</v>
      </c>
      <c r="D60" s="77" t="s">
        <v>373</v>
      </c>
      <c r="E60" s="77" t="n">
        <f aca="false">SUMIF('Little Explorers Kits'!$C$5:$C$358,$B60,'Little Explorers Kits'!H$5:H$358)+SUMIF('Junior Makers Kits'!$C$5:$C$440,$B60,'Junior Makers Kits'!H$5:H$440)+SUMIF('Young Innovators Kits'!$C$5:$C$418,$B60,'Young Innovators Kits'!H$5:H$418)+SUMIF('Tech Leaders Kits'!$C$5:$C$386,$B60,'Tech Leaders Kits'!H$5:H$386)</f>
        <v>0</v>
      </c>
      <c r="F60" s="77" t="n">
        <f aca="false">SUMIF('Little Explorers Kits'!$C$5:$C$358,$B60,'Little Explorers Kits'!I$5:I$358)+SUMIF('Junior Makers Kits'!$C$5:$C$440,$B60,'Junior Makers Kits'!I$5:I$440)+SUMIF('Young Innovators Kits'!$C$5:$C$418,$B60,'Young Innovators Kits'!I$5:I$418)+SUMIF('Tech Leaders Kits'!$C$5:$C$386,$B60,'Tech Leaders Kits'!I$5:I$386)</f>
        <v>0</v>
      </c>
      <c r="G60" s="77" t="n">
        <f aca="false">SUMIF('Little Explorers Kits'!$C$5:$C$358,$B60,'Little Explorers Kits'!J$5:J$358)+SUMIF('Junior Makers Kits'!$C$5:$C$440,$B60,'Junior Makers Kits'!J$5:J$440)+SUMIF('Young Innovators Kits'!$C$5:$C$418,$B60,'Young Innovators Kits'!J$5:J$418)+SUMIF('Tech Leaders Kits'!$C$5:$C$386,$B60,'Tech Leaders Kits'!J$5:J$386)</f>
        <v>0</v>
      </c>
      <c r="H60" s="77" t="n">
        <f aca="false">SUMIF('Little Explorers Kits'!$C$5:$C$358,$B60,'Little Explorers Kits'!K$5:K$358)+SUMIF('Junior Makers Kits'!$C$5:$C$440,$B60,'Junior Makers Kits'!K$5:K$440)+SUMIF('Young Innovators Kits'!$C$5:$C$418,$B60,'Young Innovators Kits'!K$5:K$418)+SUMIF('Tech Leaders Kits'!$C$5:$C$386,$B60,'Tech Leaders Kits'!K$5:K$386)</f>
        <v>0</v>
      </c>
      <c r="I60" s="77" t="n">
        <f aca="false">SUMIF('Little Explorers Kits'!$C$5:$C$358,$B60,'Little Explorers Kits'!L$5:L$358)+SUMIF('Junior Makers Kits'!$C$5:$C$440,$B60,'Junior Makers Kits'!L$5:L$440)+SUMIF('Young Innovators Kits'!$C$5:$C$418,$B60,'Young Innovators Kits'!L$5:L$418)+SUMIF('Tech Leaders Kits'!$C$5:$C$386,$B60,'Tech Leaders Kits'!L$5:L$386)</f>
        <v>0</v>
      </c>
      <c r="J60" s="77" t="n">
        <f aca="false">SUMIF('Little Explorers Kits'!$C$5:$C$358,$B60,'Little Explorers Kits'!M$5:M$358)+SUMIF('Junior Makers Kits'!$C$5:$C$440,$B60,'Junior Makers Kits'!M$5:M$440)+SUMIF('Young Innovators Kits'!$C$5:$C$418,$B60,'Young Innovators Kits'!M$5:M$418)+SUMIF('Tech Leaders Kits'!$C$5:$C$386,$B60,'Tech Leaders Kits'!M$5:M$386)</f>
        <v>0</v>
      </c>
      <c r="K60" s="77" t="n">
        <f aca="false">SUM(E60:J60)</f>
        <v>0</v>
      </c>
      <c r="L60" s="77" t="n">
        <f aca="false">MAX(E60:I60)+J60</f>
        <v>0</v>
      </c>
      <c r="M60" s="23" t="n">
        <f aca="false">IF(D60="Reusable",L60,K60)</f>
        <v>0</v>
      </c>
      <c r="N60" s="77" t="str">
        <f aca="false">IF(M60&gt;0,COUNTIF($M$3:M60,"&gt;0"),"")</f>
        <v/>
      </c>
    </row>
    <row r="61" customFormat="false" ht="15" hidden="false" customHeight="false" outlineLevel="0" collapsed="false">
      <c r="A61" s="77" t="s">
        <v>409</v>
      </c>
      <c r="B61" s="77" t="s">
        <v>533</v>
      </c>
      <c r="C61" s="77" t="s">
        <v>773</v>
      </c>
      <c r="D61" s="77" t="s">
        <v>373</v>
      </c>
      <c r="E61" s="77" t="n">
        <f aca="false">SUMIF('Little Explorers Kits'!$C$5:$C$358,$B61,'Little Explorers Kits'!H$5:H$358)+SUMIF('Junior Makers Kits'!$C$5:$C$440,$B61,'Junior Makers Kits'!H$5:H$440)+SUMIF('Young Innovators Kits'!$C$5:$C$418,$B61,'Young Innovators Kits'!H$5:H$418)+SUMIF('Tech Leaders Kits'!$C$5:$C$386,$B61,'Tech Leaders Kits'!H$5:H$386)</f>
        <v>0</v>
      </c>
      <c r="F61" s="77" t="n">
        <f aca="false">SUMIF('Little Explorers Kits'!$C$5:$C$358,$B61,'Little Explorers Kits'!I$5:I$358)+SUMIF('Junior Makers Kits'!$C$5:$C$440,$B61,'Junior Makers Kits'!I$5:I$440)+SUMIF('Young Innovators Kits'!$C$5:$C$418,$B61,'Young Innovators Kits'!I$5:I$418)+SUMIF('Tech Leaders Kits'!$C$5:$C$386,$B61,'Tech Leaders Kits'!I$5:I$386)</f>
        <v>0</v>
      </c>
      <c r="G61" s="77" t="n">
        <f aca="false">SUMIF('Little Explorers Kits'!$C$5:$C$358,$B61,'Little Explorers Kits'!J$5:J$358)+SUMIF('Junior Makers Kits'!$C$5:$C$440,$B61,'Junior Makers Kits'!J$5:J$440)+SUMIF('Young Innovators Kits'!$C$5:$C$418,$B61,'Young Innovators Kits'!J$5:J$418)+SUMIF('Tech Leaders Kits'!$C$5:$C$386,$B61,'Tech Leaders Kits'!J$5:J$386)</f>
        <v>0</v>
      </c>
      <c r="H61" s="77" t="n">
        <f aca="false">SUMIF('Little Explorers Kits'!$C$5:$C$358,$B61,'Little Explorers Kits'!K$5:K$358)+SUMIF('Junior Makers Kits'!$C$5:$C$440,$B61,'Junior Makers Kits'!K$5:K$440)+SUMIF('Young Innovators Kits'!$C$5:$C$418,$B61,'Young Innovators Kits'!K$5:K$418)+SUMIF('Tech Leaders Kits'!$C$5:$C$386,$B61,'Tech Leaders Kits'!K$5:K$386)</f>
        <v>0</v>
      </c>
      <c r="I61" s="77" t="n">
        <f aca="false">SUMIF('Little Explorers Kits'!$C$5:$C$358,$B61,'Little Explorers Kits'!L$5:L$358)+SUMIF('Junior Makers Kits'!$C$5:$C$440,$B61,'Junior Makers Kits'!L$5:L$440)+SUMIF('Young Innovators Kits'!$C$5:$C$418,$B61,'Young Innovators Kits'!L$5:L$418)+SUMIF('Tech Leaders Kits'!$C$5:$C$386,$B61,'Tech Leaders Kits'!L$5:L$386)</f>
        <v>0</v>
      </c>
      <c r="J61" s="77" t="n">
        <f aca="false">SUMIF('Little Explorers Kits'!$C$5:$C$358,$B61,'Little Explorers Kits'!M$5:M$358)+SUMIF('Junior Makers Kits'!$C$5:$C$440,$B61,'Junior Makers Kits'!M$5:M$440)+SUMIF('Young Innovators Kits'!$C$5:$C$418,$B61,'Young Innovators Kits'!M$5:M$418)+SUMIF('Tech Leaders Kits'!$C$5:$C$386,$B61,'Tech Leaders Kits'!M$5:M$386)</f>
        <v>0</v>
      </c>
      <c r="K61" s="77" t="n">
        <f aca="false">SUM(E61:J61)</f>
        <v>0</v>
      </c>
      <c r="L61" s="77" t="n">
        <f aca="false">MAX(E61:I61)+J61</f>
        <v>0</v>
      </c>
      <c r="M61" s="23" t="n">
        <f aca="false">IF(D61="Reusable",L61,K61)</f>
        <v>0</v>
      </c>
      <c r="N61" s="77" t="str">
        <f aca="false">IF(M61&gt;0,COUNTIF($M$3:M61,"&gt;0"),"")</f>
        <v/>
      </c>
    </row>
    <row r="62" customFormat="false" ht="15" hidden="false" customHeight="false" outlineLevel="0" collapsed="false">
      <c r="A62" s="77" t="s">
        <v>409</v>
      </c>
      <c r="B62" s="77" t="s">
        <v>515</v>
      </c>
      <c r="C62" s="77" t="s">
        <v>774</v>
      </c>
      <c r="D62" s="77" t="s">
        <v>373</v>
      </c>
      <c r="E62" s="77" t="n">
        <f aca="false">SUMIF('Little Explorers Kits'!$C$5:$C$358,$B62,'Little Explorers Kits'!H$5:H$358)+SUMIF('Junior Makers Kits'!$C$5:$C$440,$B62,'Junior Makers Kits'!H$5:H$440)+SUMIF('Young Innovators Kits'!$C$5:$C$418,$B62,'Young Innovators Kits'!H$5:H$418)+SUMIF('Tech Leaders Kits'!$C$5:$C$386,$B62,'Tech Leaders Kits'!H$5:H$386)</f>
        <v>0</v>
      </c>
      <c r="F62" s="77" t="n">
        <f aca="false">SUMIF('Little Explorers Kits'!$C$5:$C$358,$B62,'Little Explorers Kits'!I$5:I$358)+SUMIF('Junior Makers Kits'!$C$5:$C$440,$B62,'Junior Makers Kits'!I$5:I$440)+SUMIF('Young Innovators Kits'!$C$5:$C$418,$B62,'Young Innovators Kits'!I$5:I$418)+SUMIF('Tech Leaders Kits'!$C$5:$C$386,$B62,'Tech Leaders Kits'!I$5:I$386)</f>
        <v>0</v>
      </c>
      <c r="G62" s="77" t="n">
        <f aca="false">SUMIF('Little Explorers Kits'!$C$5:$C$358,$B62,'Little Explorers Kits'!J$5:J$358)+SUMIF('Junior Makers Kits'!$C$5:$C$440,$B62,'Junior Makers Kits'!J$5:J$440)+SUMIF('Young Innovators Kits'!$C$5:$C$418,$B62,'Young Innovators Kits'!J$5:J$418)+SUMIF('Tech Leaders Kits'!$C$5:$C$386,$B62,'Tech Leaders Kits'!J$5:J$386)</f>
        <v>0</v>
      </c>
      <c r="H62" s="77" t="n">
        <f aca="false">SUMIF('Little Explorers Kits'!$C$5:$C$358,$B62,'Little Explorers Kits'!K$5:K$358)+SUMIF('Junior Makers Kits'!$C$5:$C$440,$B62,'Junior Makers Kits'!K$5:K$440)+SUMIF('Young Innovators Kits'!$C$5:$C$418,$B62,'Young Innovators Kits'!K$5:K$418)+SUMIF('Tech Leaders Kits'!$C$5:$C$386,$B62,'Tech Leaders Kits'!K$5:K$386)</f>
        <v>0</v>
      </c>
      <c r="I62" s="77" t="n">
        <f aca="false">SUMIF('Little Explorers Kits'!$C$5:$C$358,$B62,'Little Explorers Kits'!L$5:L$358)+SUMIF('Junior Makers Kits'!$C$5:$C$440,$B62,'Junior Makers Kits'!L$5:L$440)+SUMIF('Young Innovators Kits'!$C$5:$C$418,$B62,'Young Innovators Kits'!L$5:L$418)+SUMIF('Tech Leaders Kits'!$C$5:$C$386,$B62,'Tech Leaders Kits'!L$5:L$386)</f>
        <v>0</v>
      </c>
      <c r="J62" s="77" t="n">
        <f aca="false">SUMIF('Little Explorers Kits'!$C$5:$C$358,$B62,'Little Explorers Kits'!M$5:M$358)+SUMIF('Junior Makers Kits'!$C$5:$C$440,$B62,'Junior Makers Kits'!M$5:M$440)+SUMIF('Young Innovators Kits'!$C$5:$C$418,$B62,'Young Innovators Kits'!M$5:M$418)+SUMIF('Tech Leaders Kits'!$C$5:$C$386,$B62,'Tech Leaders Kits'!M$5:M$386)</f>
        <v>0</v>
      </c>
      <c r="K62" s="77" t="n">
        <f aca="false">SUM(E62:J62)</f>
        <v>0</v>
      </c>
      <c r="L62" s="77" t="n">
        <f aca="false">MAX(E62:I62)+J62</f>
        <v>0</v>
      </c>
      <c r="M62" s="23" t="n">
        <f aca="false">IF(D62="Reusable",L62,K62)</f>
        <v>0</v>
      </c>
      <c r="N62" s="77" t="str">
        <f aca="false">IF(M62&gt;0,COUNTIF($M$3:M62,"&gt;0"),"")</f>
        <v/>
      </c>
    </row>
    <row r="63" customFormat="false" ht="15" hidden="false" customHeight="false" outlineLevel="0" collapsed="false">
      <c r="A63" s="77" t="s">
        <v>409</v>
      </c>
      <c r="B63" s="77" t="s">
        <v>410</v>
      </c>
      <c r="C63" s="77" t="s">
        <v>775</v>
      </c>
      <c r="D63" s="77" t="s">
        <v>373</v>
      </c>
      <c r="E63" s="77" t="n">
        <f aca="false">SUMIF('Little Explorers Kits'!$C$5:$C$358,$B63,'Little Explorers Kits'!H$5:H$358)+SUMIF('Junior Makers Kits'!$C$5:$C$440,$B63,'Junior Makers Kits'!H$5:H$440)+SUMIF('Young Innovators Kits'!$C$5:$C$418,$B63,'Young Innovators Kits'!H$5:H$418)+SUMIF('Tech Leaders Kits'!$C$5:$C$386,$B63,'Tech Leaders Kits'!H$5:H$386)</f>
        <v>0</v>
      </c>
      <c r="F63" s="77" t="n">
        <f aca="false">SUMIF('Little Explorers Kits'!$C$5:$C$358,$B63,'Little Explorers Kits'!I$5:I$358)+SUMIF('Junior Makers Kits'!$C$5:$C$440,$B63,'Junior Makers Kits'!I$5:I$440)+SUMIF('Young Innovators Kits'!$C$5:$C$418,$B63,'Young Innovators Kits'!I$5:I$418)+SUMIF('Tech Leaders Kits'!$C$5:$C$386,$B63,'Tech Leaders Kits'!I$5:I$386)</f>
        <v>0</v>
      </c>
      <c r="G63" s="77" t="n">
        <f aca="false">SUMIF('Little Explorers Kits'!$C$5:$C$358,$B63,'Little Explorers Kits'!J$5:J$358)+SUMIF('Junior Makers Kits'!$C$5:$C$440,$B63,'Junior Makers Kits'!J$5:J$440)+SUMIF('Young Innovators Kits'!$C$5:$C$418,$B63,'Young Innovators Kits'!J$5:J$418)+SUMIF('Tech Leaders Kits'!$C$5:$C$386,$B63,'Tech Leaders Kits'!J$5:J$386)</f>
        <v>0</v>
      </c>
      <c r="H63" s="77" t="n">
        <f aca="false">SUMIF('Little Explorers Kits'!$C$5:$C$358,$B63,'Little Explorers Kits'!K$5:K$358)+SUMIF('Junior Makers Kits'!$C$5:$C$440,$B63,'Junior Makers Kits'!K$5:K$440)+SUMIF('Young Innovators Kits'!$C$5:$C$418,$B63,'Young Innovators Kits'!K$5:K$418)+SUMIF('Tech Leaders Kits'!$C$5:$C$386,$B63,'Tech Leaders Kits'!K$5:K$386)</f>
        <v>0</v>
      </c>
      <c r="I63" s="77" t="n">
        <f aca="false">SUMIF('Little Explorers Kits'!$C$5:$C$358,$B63,'Little Explorers Kits'!L$5:L$358)+SUMIF('Junior Makers Kits'!$C$5:$C$440,$B63,'Junior Makers Kits'!L$5:L$440)+SUMIF('Young Innovators Kits'!$C$5:$C$418,$B63,'Young Innovators Kits'!L$5:L$418)+SUMIF('Tech Leaders Kits'!$C$5:$C$386,$B63,'Tech Leaders Kits'!L$5:L$386)</f>
        <v>0</v>
      </c>
      <c r="J63" s="77" t="n">
        <f aca="false">SUMIF('Little Explorers Kits'!$C$5:$C$358,$B63,'Little Explorers Kits'!M$5:M$358)+SUMIF('Junior Makers Kits'!$C$5:$C$440,$B63,'Junior Makers Kits'!M$5:M$440)+SUMIF('Young Innovators Kits'!$C$5:$C$418,$B63,'Young Innovators Kits'!M$5:M$418)+SUMIF('Tech Leaders Kits'!$C$5:$C$386,$B63,'Tech Leaders Kits'!M$5:M$386)</f>
        <v>0</v>
      </c>
      <c r="K63" s="77" t="n">
        <f aca="false">SUM(E63:J63)</f>
        <v>0</v>
      </c>
      <c r="L63" s="77" t="n">
        <f aca="false">MAX(E63:I63)+J63</f>
        <v>0</v>
      </c>
      <c r="M63" s="23" t="n">
        <f aca="false">IF(D63="Reusable",L63,K63)</f>
        <v>0</v>
      </c>
      <c r="N63" s="77" t="str">
        <f aca="false">IF(M63&gt;0,COUNTIF($M$3:M63,"&gt;0"),"")</f>
        <v/>
      </c>
    </row>
    <row r="64" customFormat="false" ht="15" hidden="false" customHeight="false" outlineLevel="0" collapsed="false">
      <c r="A64" s="77" t="s">
        <v>409</v>
      </c>
      <c r="B64" s="77" t="s">
        <v>615</v>
      </c>
      <c r="C64" s="77" t="s">
        <v>776</v>
      </c>
      <c r="D64" s="77" t="s">
        <v>368</v>
      </c>
      <c r="E64" s="77" t="n">
        <f aca="false">SUMIF('Little Explorers Kits'!$C$5:$C$358,$B64,'Little Explorers Kits'!H$5:H$358)+SUMIF('Junior Makers Kits'!$C$5:$C$440,$B64,'Junior Makers Kits'!H$5:H$440)+SUMIF('Young Innovators Kits'!$C$5:$C$418,$B64,'Young Innovators Kits'!H$5:H$418)+SUMIF('Tech Leaders Kits'!$C$5:$C$386,$B64,'Tech Leaders Kits'!H$5:H$386)</f>
        <v>0</v>
      </c>
      <c r="F64" s="77" t="n">
        <f aca="false">SUMIF('Little Explorers Kits'!$C$5:$C$358,$B64,'Little Explorers Kits'!I$5:I$358)+SUMIF('Junior Makers Kits'!$C$5:$C$440,$B64,'Junior Makers Kits'!I$5:I$440)+SUMIF('Young Innovators Kits'!$C$5:$C$418,$B64,'Young Innovators Kits'!I$5:I$418)+SUMIF('Tech Leaders Kits'!$C$5:$C$386,$B64,'Tech Leaders Kits'!I$5:I$386)</f>
        <v>0</v>
      </c>
      <c r="G64" s="77" t="n">
        <f aca="false">SUMIF('Little Explorers Kits'!$C$5:$C$358,$B64,'Little Explorers Kits'!J$5:J$358)+SUMIF('Junior Makers Kits'!$C$5:$C$440,$B64,'Junior Makers Kits'!J$5:J$440)+SUMIF('Young Innovators Kits'!$C$5:$C$418,$B64,'Young Innovators Kits'!J$5:J$418)+SUMIF('Tech Leaders Kits'!$C$5:$C$386,$B64,'Tech Leaders Kits'!J$5:J$386)</f>
        <v>0</v>
      </c>
      <c r="H64" s="77" t="n">
        <f aca="false">SUMIF('Little Explorers Kits'!$C$5:$C$358,$B64,'Little Explorers Kits'!K$5:K$358)+SUMIF('Junior Makers Kits'!$C$5:$C$440,$B64,'Junior Makers Kits'!K$5:K$440)+SUMIF('Young Innovators Kits'!$C$5:$C$418,$B64,'Young Innovators Kits'!K$5:K$418)+SUMIF('Tech Leaders Kits'!$C$5:$C$386,$B64,'Tech Leaders Kits'!K$5:K$386)</f>
        <v>0</v>
      </c>
      <c r="I64" s="77" t="n">
        <f aca="false">SUMIF('Little Explorers Kits'!$C$5:$C$358,$B64,'Little Explorers Kits'!L$5:L$358)+SUMIF('Junior Makers Kits'!$C$5:$C$440,$B64,'Junior Makers Kits'!L$5:L$440)+SUMIF('Young Innovators Kits'!$C$5:$C$418,$B64,'Young Innovators Kits'!L$5:L$418)+SUMIF('Tech Leaders Kits'!$C$5:$C$386,$B64,'Tech Leaders Kits'!L$5:L$386)</f>
        <v>0</v>
      </c>
      <c r="J64" s="77" t="n">
        <f aca="false">SUMIF('Little Explorers Kits'!$C$5:$C$358,$B64,'Little Explorers Kits'!M$5:M$358)+SUMIF('Junior Makers Kits'!$C$5:$C$440,$B64,'Junior Makers Kits'!M$5:M$440)+SUMIF('Young Innovators Kits'!$C$5:$C$418,$B64,'Young Innovators Kits'!M$5:M$418)+SUMIF('Tech Leaders Kits'!$C$5:$C$386,$B64,'Tech Leaders Kits'!M$5:M$386)</f>
        <v>0</v>
      </c>
      <c r="K64" s="77" t="n">
        <f aca="false">SUM(E64:J64)</f>
        <v>0</v>
      </c>
      <c r="L64" s="77" t="n">
        <f aca="false">MAX(E64:I64)+J64</f>
        <v>0</v>
      </c>
      <c r="M64" s="23" t="n">
        <f aca="false">IF(D64="Reusable",L64,K64)</f>
        <v>0</v>
      </c>
      <c r="N64" s="77" t="str">
        <f aca="false">IF(M64&gt;0,COUNTIF($M$3:M64,"&gt;0"),"")</f>
        <v/>
      </c>
    </row>
    <row r="65" customFormat="false" ht="15" hidden="false" customHeight="false" outlineLevel="0" collapsed="false">
      <c r="A65" s="77" t="s">
        <v>409</v>
      </c>
      <c r="B65" s="77" t="s">
        <v>536</v>
      </c>
      <c r="C65" s="77" t="s">
        <v>777</v>
      </c>
      <c r="D65" s="77" t="s">
        <v>368</v>
      </c>
      <c r="E65" s="77" t="n">
        <f aca="false">SUMIF('Little Explorers Kits'!$C$5:$C$358,$B65,'Little Explorers Kits'!H$5:H$358)+SUMIF('Junior Makers Kits'!$C$5:$C$440,$B65,'Junior Makers Kits'!H$5:H$440)+SUMIF('Young Innovators Kits'!$C$5:$C$418,$B65,'Young Innovators Kits'!H$5:H$418)+SUMIF('Tech Leaders Kits'!$C$5:$C$386,$B65,'Tech Leaders Kits'!H$5:H$386)</f>
        <v>0</v>
      </c>
      <c r="F65" s="77" t="n">
        <f aca="false">SUMIF('Little Explorers Kits'!$C$5:$C$358,$B65,'Little Explorers Kits'!I$5:I$358)+SUMIF('Junior Makers Kits'!$C$5:$C$440,$B65,'Junior Makers Kits'!I$5:I$440)+SUMIF('Young Innovators Kits'!$C$5:$C$418,$B65,'Young Innovators Kits'!I$5:I$418)+SUMIF('Tech Leaders Kits'!$C$5:$C$386,$B65,'Tech Leaders Kits'!I$5:I$386)</f>
        <v>0</v>
      </c>
      <c r="G65" s="77" t="n">
        <f aca="false">SUMIF('Little Explorers Kits'!$C$5:$C$358,$B65,'Little Explorers Kits'!J$5:J$358)+SUMIF('Junior Makers Kits'!$C$5:$C$440,$B65,'Junior Makers Kits'!J$5:J$440)+SUMIF('Young Innovators Kits'!$C$5:$C$418,$B65,'Young Innovators Kits'!J$5:J$418)+SUMIF('Tech Leaders Kits'!$C$5:$C$386,$B65,'Tech Leaders Kits'!J$5:J$386)</f>
        <v>0</v>
      </c>
      <c r="H65" s="77" t="n">
        <f aca="false">SUMIF('Little Explorers Kits'!$C$5:$C$358,$B65,'Little Explorers Kits'!K$5:K$358)+SUMIF('Junior Makers Kits'!$C$5:$C$440,$B65,'Junior Makers Kits'!K$5:K$440)+SUMIF('Young Innovators Kits'!$C$5:$C$418,$B65,'Young Innovators Kits'!K$5:K$418)+SUMIF('Tech Leaders Kits'!$C$5:$C$386,$B65,'Tech Leaders Kits'!K$5:K$386)</f>
        <v>0</v>
      </c>
      <c r="I65" s="77" t="n">
        <f aca="false">SUMIF('Little Explorers Kits'!$C$5:$C$358,$B65,'Little Explorers Kits'!L$5:L$358)+SUMIF('Junior Makers Kits'!$C$5:$C$440,$B65,'Junior Makers Kits'!L$5:L$440)+SUMIF('Young Innovators Kits'!$C$5:$C$418,$B65,'Young Innovators Kits'!L$5:L$418)+SUMIF('Tech Leaders Kits'!$C$5:$C$386,$B65,'Tech Leaders Kits'!L$5:L$386)</f>
        <v>0</v>
      </c>
      <c r="J65" s="77" t="n">
        <f aca="false">SUMIF('Little Explorers Kits'!$C$5:$C$358,$B65,'Little Explorers Kits'!M$5:M$358)+SUMIF('Junior Makers Kits'!$C$5:$C$440,$B65,'Junior Makers Kits'!M$5:M$440)+SUMIF('Young Innovators Kits'!$C$5:$C$418,$B65,'Young Innovators Kits'!M$5:M$418)+SUMIF('Tech Leaders Kits'!$C$5:$C$386,$B65,'Tech Leaders Kits'!M$5:M$386)</f>
        <v>0</v>
      </c>
      <c r="K65" s="77" t="n">
        <f aca="false">SUM(E65:J65)</f>
        <v>0</v>
      </c>
      <c r="L65" s="77" t="n">
        <f aca="false">MAX(E65:I65)+J65</f>
        <v>0</v>
      </c>
      <c r="M65" s="23" t="n">
        <f aca="false">IF(D65="Reusable",L65,K65)</f>
        <v>0</v>
      </c>
      <c r="N65" s="77" t="str">
        <f aca="false">IF(M65&gt;0,COUNTIF($M$3:M65,"&gt;0"),"")</f>
        <v/>
      </c>
    </row>
    <row r="66" customFormat="false" ht="15" hidden="false" customHeight="false" outlineLevel="0" collapsed="false">
      <c r="A66" s="77" t="s">
        <v>409</v>
      </c>
      <c r="B66" s="77" t="s">
        <v>614</v>
      </c>
      <c r="C66" s="77" t="s">
        <v>778</v>
      </c>
      <c r="D66" s="77" t="s">
        <v>368</v>
      </c>
      <c r="E66" s="77" t="n">
        <f aca="false">SUMIF('Little Explorers Kits'!$C$5:$C$358,$B66,'Little Explorers Kits'!H$5:H$358)+SUMIF('Junior Makers Kits'!$C$5:$C$440,$B66,'Junior Makers Kits'!H$5:H$440)+SUMIF('Young Innovators Kits'!$C$5:$C$418,$B66,'Young Innovators Kits'!H$5:H$418)+SUMIF('Tech Leaders Kits'!$C$5:$C$386,$B66,'Tech Leaders Kits'!H$5:H$386)</f>
        <v>0</v>
      </c>
      <c r="F66" s="77" t="n">
        <f aca="false">SUMIF('Little Explorers Kits'!$C$5:$C$358,$B66,'Little Explorers Kits'!I$5:I$358)+SUMIF('Junior Makers Kits'!$C$5:$C$440,$B66,'Junior Makers Kits'!I$5:I$440)+SUMIF('Young Innovators Kits'!$C$5:$C$418,$B66,'Young Innovators Kits'!I$5:I$418)+SUMIF('Tech Leaders Kits'!$C$5:$C$386,$B66,'Tech Leaders Kits'!I$5:I$386)</f>
        <v>0</v>
      </c>
      <c r="G66" s="77" t="n">
        <f aca="false">SUMIF('Little Explorers Kits'!$C$5:$C$358,$B66,'Little Explorers Kits'!J$5:J$358)+SUMIF('Junior Makers Kits'!$C$5:$C$440,$B66,'Junior Makers Kits'!J$5:J$440)+SUMIF('Young Innovators Kits'!$C$5:$C$418,$B66,'Young Innovators Kits'!J$5:J$418)+SUMIF('Tech Leaders Kits'!$C$5:$C$386,$B66,'Tech Leaders Kits'!J$5:J$386)</f>
        <v>0</v>
      </c>
      <c r="H66" s="77" t="n">
        <f aca="false">SUMIF('Little Explorers Kits'!$C$5:$C$358,$B66,'Little Explorers Kits'!K$5:K$358)+SUMIF('Junior Makers Kits'!$C$5:$C$440,$B66,'Junior Makers Kits'!K$5:K$440)+SUMIF('Young Innovators Kits'!$C$5:$C$418,$B66,'Young Innovators Kits'!K$5:K$418)+SUMIF('Tech Leaders Kits'!$C$5:$C$386,$B66,'Tech Leaders Kits'!K$5:K$386)</f>
        <v>0</v>
      </c>
      <c r="I66" s="77" t="n">
        <f aca="false">SUMIF('Little Explorers Kits'!$C$5:$C$358,$B66,'Little Explorers Kits'!L$5:L$358)+SUMIF('Junior Makers Kits'!$C$5:$C$440,$B66,'Junior Makers Kits'!L$5:L$440)+SUMIF('Young Innovators Kits'!$C$5:$C$418,$B66,'Young Innovators Kits'!L$5:L$418)+SUMIF('Tech Leaders Kits'!$C$5:$C$386,$B66,'Tech Leaders Kits'!L$5:L$386)</f>
        <v>0</v>
      </c>
      <c r="J66" s="77" t="n">
        <f aca="false">SUMIF('Little Explorers Kits'!$C$5:$C$358,$B66,'Little Explorers Kits'!M$5:M$358)+SUMIF('Junior Makers Kits'!$C$5:$C$440,$B66,'Junior Makers Kits'!M$5:M$440)+SUMIF('Young Innovators Kits'!$C$5:$C$418,$B66,'Young Innovators Kits'!M$5:M$418)+SUMIF('Tech Leaders Kits'!$C$5:$C$386,$B66,'Tech Leaders Kits'!M$5:M$386)</f>
        <v>0</v>
      </c>
      <c r="K66" s="77" t="n">
        <f aca="false">SUM(E66:J66)</f>
        <v>0</v>
      </c>
      <c r="L66" s="77" t="n">
        <f aca="false">MAX(E66:I66)+J66</f>
        <v>0</v>
      </c>
      <c r="M66" s="23" t="n">
        <f aca="false">IF(D66="Reusable",L66,K66)</f>
        <v>0</v>
      </c>
      <c r="N66" s="77" t="str">
        <f aca="false">IF(M66&gt;0,COUNTIF($M$3:M66,"&gt;0"),"")</f>
        <v/>
      </c>
    </row>
    <row r="67" customFormat="false" ht="15" hidden="false" customHeight="false" outlineLevel="0" collapsed="false">
      <c r="A67" s="77" t="s">
        <v>379</v>
      </c>
      <c r="B67" s="77" t="s">
        <v>423</v>
      </c>
      <c r="C67" s="77" t="s">
        <v>779</v>
      </c>
      <c r="D67" s="77" t="s">
        <v>368</v>
      </c>
      <c r="E67" s="77" t="n">
        <f aca="false">SUMIF('Little Explorers Kits'!$C$5:$C$358,$B67,'Little Explorers Kits'!H$5:H$358)+SUMIF('Junior Makers Kits'!$C$5:$C$440,$B67,'Junior Makers Kits'!H$5:H$440)+SUMIF('Young Innovators Kits'!$C$5:$C$418,$B67,'Young Innovators Kits'!H$5:H$418)+SUMIF('Tech Leaders Kits'!$C$5:$C$386,$B67,'Tech Leaders Kits'!H$5:H$386)</f>
        <v>0</v>
      </c>
      <c r="F67" s="77" t="n">
        <f aca="false">SUMIF('Little Explorers Kits'!$C$5:$C$358,$B67,'Little Explorers Kits'!I$5:I$358)+SUMIF('Junior Makers Kits'!$C$5:$C$440,$B67,'Junior Makers Kits'!I$5:I$440)+SUMIF('Young Innovators Kits'!$C$5:$C$418,$B67,'Young Innovators Kits'!I$5:I$418)+SUMIF('Tech Leaders Kits'!$C$5:$C$386,$B67,'Tech Leaders Kits'!I$5:I$386)</f>
        <v>0</v>
      </c>
      <c r="G67" s="77" t="n">
        <f aca="false">SUMIF('Little Explorers Kits'!$C$5:$C$358,$B67,'Little Explorers Kits'!J$5:J$358)+SUMIF('Junior Makers Kits'!$C$5:$C$440,$B67,'Junior Makers Kits'!J$5:J$440)+SUMIF('Young Innovators Kits'!$C$5:$C$418,$B67,'Young Innovators Kits'!J$5:J$418)+SUMIF('Tech Leaders Kits'!$C$5:$C$386,$B67,'Tech Leaders Kits'!J$5:J$386)</f>
        <v>0</v>
      </c>
      <c r="H67" s="77" t="n">
        <f aca="false">SUMIF('Little Explorers Kits'!$C$5:$C$358,$B67,'Little Explorers Kits'!K$5:K$358)+SUMIF('Junior Makers Kits'!$C$5:$C$440,$B67,'Junior Makers Kits'!K$5:K$440)+SUMIF('Young Innovators Kits'!$C$5:$C$418,$B67,'Young Innovators Kits'!K$5:K$418)+SUMIF('Tech Leaders Kits'!$C$5:$C$386,$B67,'Tech Leaders Kits'!K$5:K$386)</f>
        <v>0</v>
      </c>
      <c r="I67" s="77" t="n">
        <f aca="false">SUMIF('Little Explorers Kits'!$C$5:$C$358,$B67,'Little Explorers Kits'!L$5:L$358)+SUMIF('Junior Makers Kits'!$C$5:$C$440,$B67,'Junior Makers Kits'!L$5:L$440)+SUMIF('Young Innovators Kits'!$C$5:$C$418,$B67,'Young Innovators Kits'!L$5:L$418)+SUMIF('Tech Leaders Kits'!$C$5:$C$386,$B67,'Tech Leaders Kits'!L$5:L$386)</f>
        <v>0</v>
      </c>
      <c r="J67" s="77" t="n">
        <f aca="false">SUMIF('Little Explorers Kits'!$C$5:$C$358,$B67,'Little Explorers Kits'!M$5:M$358)+SUMIF('Junior Makers Kits'!$C$5:$C$440,$B67,'Junior Makers Kits'!M$5:M$440)+SUMIF('Young Innovators Kits'!$C$5:$C$418,$B67,'Young Innovators Kits'!M$5:M$418)+SUMIF('Tech Leaders Kits'!$C$5:$C$386,$B67,'Tech Leaders Kits'!M$5:M$386)</f>
        <v>0</v>
      </c>
      <c r="K67" s="77" t="n">
        <f aca="false">SUM(E67:J67)</f>
        <v>0</v>
      </c>
      <c r="L67" s="77" t="n">
        <f aca="false">MAX(E67:I67)+J67</f>
        <v>0</v>
      </c>
      <c r="M67" s="23" t="n">
        <f aca="false">IF(D67="Reusable",L67,K67)</f>
        <v>0</v>
      </c>
      <c r="N67" s="77" t="str">
        <f aca="false">IF(M67&gt;0,COUNTIF($M$3:M67,"&gt;0"),"")</f>
        <v/>
      </c>
    </row>
    <row r="68" customFormat="false" ht="15" hidden="false" customHeight="false" outlineLevel="0" collapsed="false">
      <c r="A68" s="77" t="s">
        <v>379</v>
      </c>
      <c r="B68" s="77" t="s">
        <v>455</v>
      </c>
      <c r="C68" s="77" t="s">
        <v>780</v>
      </c>
      <c r="D68" s="77" t="s">
        <v>373</v>
      </c>
      <c r="E68" s="77" t="n">
        <f aca="false">SUMIF('Little Explorers Kits'!$C$5:$C$358,$B68,'Little Explorers Kits'!H$5:H$358)+SUMIF('Junior Makers Kits'!$C$5:$C$440,$B68,'Junior Makers Kits'!H$5:H$440)+SUMIF('Young Innovators Kits'!$C$5:$C$418,$B68,'Young Innovators Kits'!H$5:H$418)+SUMIF('Tech Leaders Kits'!$C$5:$C$386,$B68,'Tech Leaders Kits'!H$5:H$386)</f>
        <v>0</v>
      </c>
      <c r="F68" s="77" t="n">
        <f aca="false">SUMIF('Little Explorers Kits'!$C$5:$C$358,$B68,'Little Explorers Kits'!I$5:I$358)+SUMIF('Junior Makers Kits'!$C$5:$C$440,$B68,'Junior Makers Kits'!I$5:I$440)+SUMIF('Young Innovators Kits'!$C$5:$C$418,$B68,'Young Innovators Kits'!I$5:I$418)+SUMIF('Tech Leaders Kits'!$C$5:$C$386,$B68,'Tech Leaders Kits'!I$5:I$386)</f>
        <v>0</v>
      </c>
      <c r="G68" s="77" t="n">
        <f aca="false">SUMIF('Little Explorers Kits'!$C$5:$C$358,$B68,'Little Explorers Kits'!J$5:J$358)+SUMIF('Junior Makers Kits'!$C$5:$C$440,$B68,'Junior Makers Kits'!J$5:J$440)+SUMIF('Young Innovators Kits'!$C$5:$C$418,$B68,'Young Innovators Kits'!J$5:J$418)+SUMIF('Tech Leaders Kits'!$C$5:$C$386,$B68,'Tech Leaders Kits'!J$5:J$386)</f>
        <v>0</v>
      </c>
      <c r="H68" s="77" t="n">
        <f aca="false">SUMIF('Little Explorers Kits'!$C$5:$C$358,$B68,'Little Explorers Kits'!K$5:K$358)+SUMIF('Junior Makers Kits'!$C$5:$C$440,$B68,'Junior Makers Kits'!K$5:K$440)+SUMIF('Young Innovators Kits'!$C$5:$C$418,$B68,'Young Innovators Kits'!K$5:K$418)+SUMIF('Tech Leaders Kits'!$C$5:$C$386,$B68,'Tech Leaders Kits'!K$5:K$386)</f>
        <v>0</v>
      </c>
      <c r="I68" s="77" t="n">
        <f aca="false">SUMIF('Little Explorers Kits'!$C$5:$C$358,$B68,'Little Explorers Kits'!L$5:L$358)+SUMIF('Junior Makers Kits'!$C$5:$C$440,$B68,'Junior Makers Kits'!L$5:L$440)+SUMIF('Young Innovators Kits'!$C$5:$C$418,$B68,'Young Innovators Kits'!L$5:L$418)+SUMIF('Tech Leaders Kits'!$C$5:$C$386,$B68,'Tech Leaders Kits'!L$5:L$386)</f>
        <v>0</v>
      </c>
      <c r="J68" s="77" t="n">
        <f aca="false">SUMIF('Little Explorers Kits'!$C$5:$C$358,$B68,'Little Explorers Kits'!M$5:M$358)+SUMIF('Junior Makers Kits'!$C$5:$C$440,$B68,'Junior Makers Kits'!M$5:M$440)+SUMIF('Young Innovators Kits'!$C$5:$C$418,$B68,'Young Innovators Kits'!M$5:M$418)+SUMIF('Tech Leaders Kits'!$C$5:$C$386,$B68,'Tech Leaders Kits'!M$5:M$386)</f>
        <v>0</v>
      </c>
      <c r="K68" s="77" t="n">
        <f aca="false">SUM(E68:J68)</f>
        <v>0</v>
      </c>
      <c r="L68" s="77" t="n">
        <f aca="false">MAX(E68:I68)+J68</f>
        <v>0</v>
      </c>
      <c r="M68" s="23" t="n">
        <f aca="false">IF(D68="Reusable",L68,K68)</f>
        <v>0</v>
      </c>
      <c r="N68" s="77" t="str">
        <f aca="false">IF(M68&gt;0,COUNTIF($M$3:M68,"&gt;0"),"")</f>
        <v/>
      </c>
    </row>
    <row r="69" customFormat="false" ht="15" hidden="false" customHeight="false" outlineLevel="0" collapsed="false">
      <c r="A69" s="77" t="s">
        <v>379</v>
      </c>
      <c r="B69" s="77" t="s">
        <v>380</v>
      </c>
      <c r="C69" s="77" t="s">
        <v>781</v>
      </c>
      <c r="D69" s="77" t="s">
        <v>368</v>
      </c>
      <c r="E69" s="77" t="n">
        <f aca="false">SUMIF('Little Explorers Kits'!$C$5:$C$358,$B69,'Little Explorers Kits'!H$5:H$358)+SUMIF('Junior Makers Kits'!$C$5:$C$440,$B69,'Junior Makers Kits'!H$5:H$440)+SUMIF('Young Innovators Kits'!$C$5:$C$418,$B69,'Young Innovators Kits'!H$5:H$418)+SUMIF('Tech Leaders Kits'!$C$5:$C$386,$B69,'Tech Leaders Kits'!H$5:H$386)</f>
        <v>0</v>
      </c>
      <c r="F69" s="77" t="n">
        <f aca="false">SUMIF('Little Explorers Kits'!$C$5:$C$358,$B69,'Little Explorers Kits'!I$5:I$358)+SUMIF('Junior Makers Kits'!$C$5:$C$440,$B69,'Junior Makers Kits'!I$5:I$440)+SUMIF('Young Innovators Kits'!$C$5:$C$418,$B69,'Young Innovators Kits'!I$5:I$418)+SUMIF('Tech Leaders Kits'!$C$5:$C$386,$B69,'Tech Leaders Kits'!I$5:I$386)</f>
        <v>0</v>
      </c>
      <c r="G69" s="77" t="n">
        <f aca="false">SUMIF('Little Explorers Kits'!$C$5:$C$358,$B69,'Little Explorers Kits'!J$5:J$358)+SUMIF('Junior Makers Kits'!$C$5:$C$440,$B69,'Junior Makers Kits'!J$5:J$440)+SUMIF('Young Innovators Kits'!$C$5:$C$418,$B69,'Young Innovators Kits'!J$5:J$418)+SUMIF('Tech Leaders Kits'!$C$5:$C$386,$B69,'Tech Leaders Kits'!J$5:J$386)</f>
        <v>0</v>
      </c>
      <c r="H69" s="77" t="n">
        <f aca="false">SUMIF('Little Explorers Kits'!$C$5:$C$358,$B69,'Little Explorers Kits'!K$5:K$358)+SUMIF('Junior Makers Kits'!$C$5:$C$440,$B69,'Junior Makers Kits'!K$5:K$440)+SUMIF('Young Innovators Kits'!$C$5:$C$418,$B69,'Young Innovators Kits'!K$5:K$418)+SUMIF('Tech Leaders Kits'!$C$5:$C$386,$B69,'Tech Leaders Kits'!K$5:K$386)</f>
        <v>0</v>
      </c>
      <c r="I69" s="77" t="n">
        <f aca="false">SUMIF('Little Explorers Kits'!$C$5:$C$358,$B69,'Little Explorers Kits'!L$5:L$358)+SUMIF('Junior Makers Kits'!$C$5:$C$440,$B69,'Junior Makers Kits'!L$5:L$440)+SUMIF('Young Innovators Kits'!$C$5:$C$418,$B69,'Young Innovators Kits'!L$5:L$418)+SUMIF('Tech Leaders Kits'!$C$5:$C$386,$B69,'Tech Leaders Kits'!L$5:L$386)</f>
        <v>0</v>
      </c>
      <c r="J69" s="77" t="n">
        <f aca="false">SUMIF('Little Explorers Kits'!$C$5:$C$358,$B69,'Little Explorers Kits'!M$5:M$358)+SUMIF('Junior Makers Kits'!$C$5:$C$440,$B69,'Junior Makers Kits'!M$5:M$440)+SUMIF('Young Innovators Kits'!$C$5:$C$418,$B69,'Young Innovators Kits'!M$5:M$418)+SUMIF('Tech Leaders Kits'!$C$5:$C$386,$B69,'Tech Leaders Kits'!M$5:M$386)</f>
        <v>0</v>
      </c>
      <c r="K69" s="77" t="n">
        <f aca="false">SUM(E69:J69)</f>
        <v>0</v>
      </c>
      <c r="L69" s="77" t="n">
        <f aca="false">MAX(E69:I69)+J69</f>
        <v>0</v>
      </c>
      <c r="M69" s="23" t="n">
        <f aca="false">IF(D69="Reusable",L69,K69)</f>
        <v>0</v>
      </c>
      <c r="N69" s="77" t="str">
        <f aca="false">IF(M69&gt;0,COUNTIF($M$3:M69,"&gt;0"),"")</f>
        <v/>
      </c>
    </row>
    <row r="70" customFormat="false" ht="15" hidden="false" customHeight="false" outlineLevel="0" collapsed="false">
      <c r="A70" s="77" t="s">
        <v>379</v>
      </c>
      <c r="B70" s="77" t="s">
        <v>407</v>
      </c>
      <c r="C70" s="77" t="s">
        <v>782</v>
      </c>
      <c r="D70" s="77" t="s">
        <v>373</v>
      </c>
      <c r="E70" s="77" t="n">
        <f aca="false">SUMIF('Little Explorers Kits'!$C$5:$C$358,$B70,'Little Explorers Kits'!H$5:H$358)+SUMIF('Junior Makers Kits'!$C$5:$C$440,$B70,'Junior Makers Kits'!H$5:H$440)+SUMIF('Young Innovators Kits'!$C$5:$C$418,$B70,'Young Innovators Kits'!H$5:H$418)+SUMIF('Tech Leaders Kits'!$C$5:$C$386,$B70,'Tech Leaders Kits'!H$5:H$386)</f>
        <v>0</v>
      </c>
      <c r="F70" s="77" t="n">
        <f aca="false">SUMIF('Little Explorers Kits'!$C$5:$C$358,$B70,'Little Explorers Kits'!I$5:I$358)+SUMIF('Junior Makers Kits'!$C$5:$C$440,$B70,'Junior Makers Kits'!I$5:I$440)+SUMIF('Young Innovators Kits'!$C$5:$C$418,$B70,'Young Innovators Kits'!I$5:I$418)+SUMIF('Tech Leaders Kits'!$C$5:$C$386,$B70,'Tech Leaders Kits'!I$5:I$386)</f>
        <v>0</v>
      </c>
      <c r="G70" s="77" t="n">
        <f aca="false">SUMIF('Little Explorers Kits'!$C$5:$C$358,$B70,'Little Explorers Kits'!J$5:J$358)+SUMIF('Junior Makers Kits'!$C$5:$C$440,$B70,'Junior Makers Kits'!J$5:J$440)+SUMIF('Young Innovators Kits'!$C$5:$C$418,$B70,'Young Innovators Kits'!J$5:J$418)+SUMIF('Tech Leaders Kits'!$C$5:$C$386,$B70,'Tech Leaders Kits'!J$5:J$386)</f>
        <v>0</v>
      </c>
      <c r="H70" s="77" t="n">
        <f aca="false">SUMIF('Little Explorers Kits'!$C$5:$C$358,$B70,'Little Explorers Kits'!K$5:K$358)+SUMIF('Junior Makers Kits'!$C$5:$C$440,$B70,'Junior Makers Kits'!K$5:K$440)+SUMIF('Young Innovators Kits'!$C$5:$C$418,$B70,'Young Innovators Kits'!K$5:K$418)+SUMIF('Tech Leaders Kits'!$C$5:$C$386,$B70,'Tech Leaders Kits'!K$5:K$386)</f>
        <v>0</v>
      </c>
      <c r="I70" s="77" t="n">
        <f aca="false">SUMIF('Little Explorers Kits'!$C$5:$C$358,$B70,'Little Explorers Kits'!L$5:L$358)+SUMIF('Junior Makers Kits'!$C$5:$C$440,$B70,'Junior Makers Kits'!L$5:L$440)+SUMIF('Young Innovators Kits'!$C$5:$C$418,$B70,'Young Innovators Kits'!L$5:L$418)+SUMIF('Tech Leaders Kits'!$C$5:$C$386,$B70,'Tech Leaders Kits'!L$5:L$386)</f>
        <v>0</v>
      </c>
      <c r="J70" s="77" t="n">
        <f aca="false">SUMIF('Little Explorers Kits'!$C$5:$C$358,$B70,'Little Explorers Kits'!M$5:M$358)+SUMIF('Junior Makers Kits'!$C$5:$C$440,$B70,'Junior Makers Kits'!M$5:M$440)+SUMIF('Young Innovators Kits'!$C$5:$C$418,$B70,'Young Innovators Kits'!M$5:M$418)+SUMIF('Tech Leaders Kits'!$C$5:$C$386,$B70,'Tech Leaders Kits'!M$5:M$386)</f>
        <v>0</v>
      </c>
      <c r="K70" s="77" t="n">
        <f aca="false">SUM(E70:J70)</f>
        <v>0</v>
      </c>
      <c r="L70" s="77" t="n">
        <f aca="false">MAX(E70:I70)+J70</f>
        <v>0</v>
      </c>
      <c r="M70" s="23" t="n">
        <f aca="false">IF(D70="Reusable",L70,K70)</f>
        <v>0</v>
      </c>
      <c r="N70" s="77" t="str">
        <f aca="false">IF(M70&gt;0,COUNTIF($M$3:M70,"&gt;0"),"")</f>
        <v/>
      </c>
    </row>
    <row r="71" customFormat="false" ht="15" hidden="false" customHeight="false" outlineLevel="0" collapsed="false">
      <c r="A71" s="77" t="s">
        <v>379</v>
      </c>
      <c r="B71" s="77" t="s">
        <v>395</v>
      </c>
      <c r="C71" s="77" t="s">
        <v>783</v>
      </c>
      <c r="D71" s="77" t="s">
        <v>368</v>
      </c>
      <c r="E71" s="77" t="n">
        <f aca="false">SUMIF('Little Explorers Kits'!$C$5:$C$358,$B71,'Little Explorers Kits'!H$5:H$358)+SUMIF('Junior Makers Kits'!$C$5:$C$440,$B71,'Junior Makers Kits'!H$5:H$440)+SUMIF('Young Innovators Kits'!$C$5:$C$418,$B71,'Young Innovators Kits'!H$5:H$418)+SUMIF('Tech Leaders Kits'!$C$5:$C$386,$B71,'Tech Leaders Kits'!H$5:H$386)</f>
        <v>0</v>
      </c>
      <c r="F71" s="77" t="n">
        <f aca="false">SUMIF('Little Explorers Kits'!$C$5:$C$358,$B71,'Little Explorers Kits'!I$5:I$358)+SUMIF('Junior Makers Kits'!$C$5:$C$440,$B71,'Junior Makers Kits'!I$5:I$440)+SUMIF('Young Innovators Kits'!$C$5:$C$418,$B71,'Young Innovators Kits'!I$5:I$418)+SUMIF('Tech Leaders Kits'!$C$5:$C$386,$B71,'Tech Leaders Kits'!I$5:I$386)</f>
        <v>0</v>
      </c>
      <c r="G71" s="77" t="n">
        <f aca="false">SUMIF('Little Explorers Kits'!$C$5:$C$358,$B71,'Little Explorers Kits'!J$5:J$358)+SUMIF('Junior Makers Kits'!$C$5:$C$440,$B71,'Junior Makers Kits'!J$5:J$440)+SUMIF('Young Innovators Kits'!$C$5:$C$418,$B71,'Young Innovators Kits'!J$5:J$418)+SUMIF('Tech Leaders Kits'!$C$5:$C$386,$B71,'Tech Leaders Kits'!J$5:J$386)</f>
        <v>0</v>
      </c>
      <c r="H71" s="77" t="n">
        <f aca="false">SUMIF('Little Explorers Kits'!$C$5:$C$358,$B71,'Little Explorers Kits'!K$5:K$358)+SUMIF('Junior Makers Kits'!$C$5:$C$440,$B71,'Junior Makers Kits'!K$5:K$440)+SUMIF('Young Innovators Kits'!$C$5:$C$418,$B71,'Young Innovators Kits'!K$5:K$418)+SUMIF('Tech Leaders Kits'!$C$5:$C$386,$B71,'Tech Leaders Kits'!K$5:K$386)</f>
        <v>0</v>
      </c>
      <c r="I71" s="77" t="n">
        <f aca="false">SUMIF('Little Explorers Kits'!$C$5:$C$358,$B71,'Little Explorers Kits'!L$5:L$358)+SUMIF('Junior Makers Kits'!$C$5:$C$440,$B71,'Junior Makers Kits'!L$5:L$440)+SUMIF('Young Innovators Kits'!$C$5:$C$418,$B71,'Young Innovators Kits'!L$5:L$418)+SUMIF('Tech Leaders Kits'!$C$5:$C$386,$B71,'Tech Leaders Kits'!L$5:L$386)</f>
        <v>0</v>
      </c>
      <c r="J71" s="77" t="n">
        <f aca="false">SUMIF('Little Explorers Kits'!$C$5:$C$358,$B71,'Little Explorers Kits'!M$5:M$358)+SUMIF('Junior Makers Kits'!$C$5:$C$440,$B71,'Junior Makers Kits'!M$5:M$440)+SUMIF('Young Innovators Kits'!$C$5:$C$418,$B71,'Young Innovators Kits'!M$5:M$418)+SUMIF('Tech Leaders Kits'!$C$5:$C$386,$B71,'Tech Leaders Kits'!M$5:M$386)</f>
        <v>0</v>
      </c>
      <c r="K71" s="77" t="n">
        <f aca="false">SUM(E71:J71)</f>
        <v>0</v>
      </c>
      <c r="L71" s="77" t="n">
        <f aca="false">MAX(E71:I71)+J71</f>
        <v>0</v>
      </c>
      <c r="M71" s="23" t="n">
        <f aca="false">IF(D71="Reusable",L71,K71)</f>
        <v>0</v>
      </c>
      <c r="N71" s="77" t="str">
        <f aca="false">IF(M71&gt;0,COUNTIF($M$3:M71,"&gt;0"),"")</f>
        <v/>
      </c>
    </row>
    <row r="72" customFormat="false" ht="15" hidden="false" customHeight="false" outlineLevel="0" collapsed="false">
      <c r="A72" s="77" t="s">
        <v>379</v>
      </c>
      <c r="B72" s="77" t="s">
        <v>381</v>
      </c>
      <c r="C72" s="77" t="s">
        <v>784</v>
      </c>
      <c r="D72" s="77" t="s">
        <v>368</v>
      </c>
      <c r="E72" s="77" t="n">
        <f aca="false">SUMIF('Little Explorers Kits'!$C$5:$C$358,$B72,'Little Explorers Kits'!H$5:H$358)+SUMIF('Junior Makers Kits'!$C$5:$C$440,$B72,'Junior Makers Kits'!H$5:H$440)+SUMIF('Young Innovators Kits'!$C$5:$C$418,$B72,'Young Innovators Kits'!H$5:H$418)+SUMIF('Tech Leaders Kits'!$C$5:$C$386,$B72,'Tech Leaders Kits'!H$5:H$386)</f>
        <v>0</v>
      </c>
      <c r="F72" s="77" t="n">
        <f aca="false">SUMIF('Little Explorers Kits'!$C$5:$C$358,$B72,'Little Explorers Kits'!I$5:I$358)+SUMIF('Junior Makers Kits'!$C$5:$C$440,$B72,'Junior Makers Kits'!I$5:I$440)+SUMIF('Young Innovators Kits'!$C$5:$C$418,$B72,'Young Innovators Kits'!I$5:I$418)+SUMIF('Tech Leaders Kits'!$C$5:$C$386,$B72,'Tech Leaders Kits'!I$5:I$386)</f>
        <v>0</v>
      </c>
      <c r="G72" s="77" t="n">
        <f aca="false">SUMIF('Little Explorers Kits'!$C$5:$C$358,$B72,'Little Explorers Kits'!J$5:J$358)+SUMIF('Junior Makers Kits'!$C$5:$C$440,$B72,'Junior Makers Kits'!J$5:J$440)+SUMIF('Young Innovators Kits'!$C$5:$C$418,$B72,'Young Innovators Kits'!J$5:J$418)+SUMIF('Tech Leaders Kits'!$C$5:$C$386,$B72,'Tech Leaders Kits'!J$5:J$386)</f>
        <v>0</v>
      </c>
      <c r="H72" s="77" t="n">
        <f aca="false">SUMIF('Little Explorers Kits'!$C$5:$C$358,$B72,'Little Explorers Kits'!K$5:K$358)+SUMIF('Junior Makers Kits'!$C$5:$C$440,$B72,'Junior Makers Kits'!K$5:K$440)+SUMIF('Young Innovators Kits'!$C$5:$C$418,$B72,'Young Innovators Kits'!K$5:K$418)+SUMIF('Tech Leaders Kits'!$C$5:$C$386,$B72,'Tech Leaders Kits'!K$5:K$386)</f>
        <v>0</v>
      </c>
      <c r="I72" s="77" t="n">
        <f aca="false">SUMIF('Little Explorers Kits'!$C$5:$C$358,$B72,'Little Explorers Kits'!L$5:L$358)+SUMIF('Junior Makers Kits'!$C$5:$C$440,$B72,'Junior Makers Kits'!L$5:L$440)+SUMIF('Young Innovators Kits'!$C$5:$C$418,$B72,'Young Innovators Kits'!L$5:L$418)+SUMIF('Tech Leaders Kits'!$C$5:$C$386,$B72,'Tech Leaders Kits'!L$5:L$386)</f>
        <v>0</v>
      </c>
      <c r="J72" s="77" t="n">
        <f aca="false">SUMIF('Little Explorers Kits'!$C$5:$C$358,$B72,'Little Explorers Kits'!M$5:M$358)+SUMIF('Junior Makers Kits'!$C$5:$C$440,$B72,'Junior Makers Kits'!M$5:M$440)+SUMIF('Young Innovators Kits'!$C$5:$C$418,$B72,'Young Innovators Kits'!M$5:M$418)+SUMIF('Tech Leaders Kits'!$C$5:$C$386,$B72,'Tech Leaders Kits'!M$5:M$386)</f>
        <v>0</v>
      </c>
      <c r="K72" s="77" t="n">
        <f aca="false">SUM(E72:J72)</f>
        <v>0</v>
      </c>
      <c r="L72" s="77" t="n">
        <f aca="false">MAX(E72:I72)+J72</f>
        <v>0</v>
      </c>
      <c r="M72" s="23" t="n">
        <f aca="false">IF(D72="Reusable",L72,K72)</f>
        <v>0</v>
      </c>
      <c r="N72" s="77" t="str">
        <f aca="false">IF(M72&gt;0,COUNTIF($M$3:M72,"&gt;0"),"")</f>
        <v/>
      </c>
    </row>
    <row r="73" customFormat="false" ht="15" hidden="false" customHeight="false" outlineLevel="0" collapsed="false">
      <c r="A73" s="77" t="s">
        <v>382</v>
      </c>
      <c r="B73" s="77" t="s">
        <v>401</v>
      </c>
      <c r="C73" s="77" t="s">
        <v>785</v>
      </c>
      <c r="D73" s="77" t="s">
        <v>368</v>
      </c>
      <c r="E73" s="77" t="n">
        <f aca="false">SUMIF('Little Explorers Kits'!$C$5:$C$358,$B73,'Little Explorers Kits'!H$5:H$358)+SUMIF('Junior Makers Kits'!$C$5:$C$440,$B73,'Junior Makers Kits'!H$5:H$440)+SUMIF('Young Innovators Kits'!$C$5:$C$418,$B73,'Young Innovators Kits'!H$5:H$418)+SUMIF('Tech Leaders Kits'!$C$5:$C$386,$B73,'Tech Leaders Kits'!H$5:H$386)</f>
        <v>0</v>
      </c>
      <c r="F73" s="77" t="n">
        <f aca="false">SUMIF('Little Explorers Kits'!$C$5:$C$358,$B73,'Little Explorers Kits'!I$5:I$358)+SUMIF('Junior Makers Kits'!$C$5:$C$440,$B73,'Junior Makers Kits'!I$5:I$440)+SUMIF('Young Innovators Kits'!$C$5:$C$418,$B73,'Young Innovators Kits'!I$5:I$418)+SUMIF('Tech Leaders Kits'!$C$5:$C$386,$B73,'Tech Leaders Kits'!I$5:I$386)</f>
        <v>0</v>
      </c>
      <c r="G73" s="77" t="n">
        <f aca="false">SUMIF('Little Explorers Kits'!$C$5:$C$358,$B73,'Little Explorers Kits'!J$5:J$358)+SUMIF('Junior Makers Kits'!$C$5:$C$440,$B73,'Junior Makers Kits'!J$5:J$440)+SUMIF('Young Innovators Kits'!$C$5:$C$418,$B73,'Young Innovators Kits'!J$5:J$418)+SUMIF('Tech Leaders Kits'!$C$5:$C$386,$B73,'Tech Leaders Kits'!J$5:J$386)</f>
        <v>0</v>
      </c>
      <c r="H73" s="77" t="n">
        <f aca="false">SUMIF('Little Explorers Kits'!$C$5:$C$358,$B73,'Little Explorers Kits'!K$5:K$358)+SUMIF('Junior Makers Kits'!$C$5:$C$440,$B73,'Junior Makers Kits'!K$5:K$440)+SUMIF('Young Innovators Kits'!$C$5:$C$418,$B73,'Young Innovators Kits'!K$5:K$418)+SUMIF('Tech Leaders Kits'!$C$5:$C$386,$B73,'Tech Leaders Kits'!K$5:K$386)</f>
        <v>0</v>
      </c>
      <c r="I73" s="77" t="n">
        <f aca="false">SUMIF('Little Explorers Kits'!$C$5:$C$358,$B73,'Little Explorers Kits'!L$5:L$358)+SUMIF('Junior Makers Kits'!$C$5:$C$440,$B73,'Junior Makers Kits'!L$5:L$440)+SUMIF('Young Innovators Kits'!$C$5:$C$418,$B73,'Young Innovators Kits'!L$5:L$418)+SUMIF('Tech Leaders Kits'!$C$5:$C$386,$B73,'Tech Leaders Kits'!L$5:L$386)</f>
        <v>0</v>
      </c>
      <c r="J73" s="77" t="n">
        <f aca="false">SUMIF('Little Explorers Kits'!$C$5:$C$358,$B73,'Little Explorers Kits'!M$5:M$358)+SUMIF('Junior Makers Kits'!$C$5:$C$440,$B73,'Junior Makers Kits'!M$5:M$440)+SUMIF('Young Innovators Kits'!$C$5:$C$418,$B73,'Young Innovators Kits'!M$5:M$418)+SUMIF('Tech Leaders Kits'!$C$5:$C$386,$B73,'Tech Leaders Kits'!M$5:M$386)</f>
        <v>0</v>
      </c>
      <c r="K73" s="77" t="n">
        <f aca="false">SUM(E73:J73)</f>
        <v>0</v>
      </c>
      <c r="L73" s="77" t="n">
        <f aca="false">MAX(E73:I73)+J73</f>
        <v>0</v>
      </c>
      <c r="M73" s="23" t="n">
        <f aca="false">IF(D73="Reusable",L73,K73)</f>
        <v>0</v>
      </c>
      <c r="N73" s="77" t="str">
        <f aca="false">IF(M73&gt;0,COUNTIF($M$3:M73,"&gt;0"),"")</f>
        <v/>
      </c>
    </row>
    <row r="74" customFormat="false" ht="15" hidden="false" customHeight="false" outlineLevel="0" collapsed="false">
      <c r="A74" s="77" t="s">
        <v>382</v>
      </c>
      <c r="B74" s="77" t="s">
        <v>397</v>
      </c>
      <c r="C74" s="77" t="s">
        <v>786</v>
      </c>
      <c r="D74" s="77" t="s">
        <v>368</v>
      </c>
      <c r="E74" s="77" t="n">
        <f aca="false">SUMIF('Little Explorers Kits'!$C$5:$C$358,$B74,'Little Explorers Kits'!H$5:H$358)+SUMIF('Junior Makers Kits'!$C$5:$C$440,$B74,'Junior Makers Kits'!H$5:H$440)+SUMIF('Young Innovators Kits'!$C$5:$C$418,$B74,'Young Innovators Kits'!H$5:H$418)+SUMIF('Tech Leaders Kits'!$C$5:$C$386,$B74,'Tech Leaders Kits'!H$5:H$386)</f>
        <v>0</v>
      </c>
      <c r="F74" s="77" t="n">
        <f aca="false">SUMIF('Little Explorers Kits'!$C$5:$C$358,$B74,'Little Explorers Kits'!I$5:I$358)+SUMIF('Junior Makers Kits'!$C$5:$C$440,$B74,'Junior Makers Kits'!I$5:I$440)+SUMIF('Young Innovators Kits'!$C$5:$C$418,$B74,'Young Innovators Kits'!I$5:I$418)+SUMIF('Tech Leaders Kits'!$C$5:$C$386,$B74,'Tech Leaders Kits'!I$5:I$386)</f>
        <v>0</v>
      </c>
      <c r="G74" s="77" t="n">
        <f aca="false">SUMIF('Little Explorers Kits'!$C$5:$C$358,$B74,'Little Explorers Kits'!J$5:J$358)+SUMIF('Junior Makers Kits'!$C$5:$C$440,$B74,'Junior Makers Kits'!J$5:J$440)+SUMIF('Young Innovators Kits'!$C$5:$C$418,$B74,'Young Innovators Kits'!J$5:J$418)+SUMIF('Tech Leaders Kits'!$C$5:$C$386,$B74,'Tech Leaders Kits'!J$5:J$386)</f>
        <v>0</v>
      </c>
      <c r="H74" s="77" t="n">
        <f aca="false">SUMIF('Little Explorers Kits'!$C$5:$C$358,$B74,'Little Explorers Kits'!K$5:K$358)+SUMIF('Junior Makers Kits'!$C$5:$C$440,$B74,'Junior Makers Kits'!K$5:K$440)+SUMIF('Young Innovators Kits'!$C$5:$C$418,$B74,'Young Innovators Kits'!K$5:K$418)+SUMIF('Tech Leaders Kits'!$C$5:$C$386,$B74,'Tech Leaders Kits'!K$5:K$386)</f>
        <v>0</v>
      </c>
      <c r="I74" s="77" t="n">
        <f aca="false">SUMIF('Little Explorers Kits'!$C$5:$C$358,$B74,'Little Explorers Kits'!L$5:L$358)+SUMIF('Junior Makers Kits'!$C$5:$C$440,$B74,'Junior Makers Kits'!L$5:L$440)+SUMIF('Young Innovators Kits'!$C$5:$C$418,$B74,'Young Innovators Kits'!L$5:L$418)+SUMIF('Tech Leaders Kits'!$C$5:$C$386,$B74,'Tech Leaders Kits'!L$5:L$386)</f>
        <v>0</v>
      </c>
      <c r="J74" s="77" t="n">
        <f aca="false">SUMIF('Little Explorers Kits'!$C$5:$C$358,$B74,'Little Explorers Kits'!M$5:M$358)+SUMIF('Junior Makers Kits'!$C$5:$C$440,$B74,'Junior Makers Kits'!M$5:M$440)+SUMIF('Young Innovators Kits'!$C$5:$C$418,$B74,'Young Innovators Kits'!M$5:M$418)+SUMIF('Tech Leaders Kits'!$C$5:$C$386,$B74,'Tech Leaders Kits'!M$5:M$386)</f>
        <v>0</v>
      </c>
      <c r="K74" s="77" t="n">
        <f aca="false">SUM(E74:J74)</f>
        <v>0</v>
      </c>
      <c r="L74" s="77" t="n">
        <f aca="false">MAX(E74:I74)+J74</f>
        <v>0</v>
      </c>
      <c r="M74" s="23" t="n">
        <f aca="false">IF(D74="Reusable",L74,K74)</f>
        <v>0</v>
      </c>
      <c r="N74" s="77" t="str">
        <f aca="false">IF(M74&gt;0,COUNTIF($M$3:M74,"&gt;0"),"")</f>
        <v/>
      </c>
    </row>
    <row r="75" customFormat="false" ht="15" hidden="false" customHeight="false" outlineLevel="0" collapsed="false">
      <c r="A75" s="77" t="s">
        <v>382</v>
      </c>
      <c r="B75" s="77" t="s">
        <v>484</v>
      </c>
      <c r="C75" s="77" t="s">
        <v>484</v>
      </c>
      <c r="D75" s="77" t="s">
        <v>368</v>
      </c>
      <c r="E75" s="77" t="n">
        <f aca="false">SUMIF('Little Explorers Kits'!$C$5:$C$358,$B75,'Little Explorers Kits'!H$5:H$358)+SUMIF('Junior Makers Kits'!$C$5:$C$440,$B75,'Junior Makers Kits'!H$5:H$440)+SUMIF('Young Innovators Kits'!$C$5:$C$418,$B75,'Young Innovators Kits'!H$5:H$418)+SUMIF('Tech Leaders Kits'!$C$5:$C$386,$B75,'Tech Leaders Kits'!H$5:H$386)</f>
        <v>0</v>
      </c>
      <c r="F75" s="77" t="n">
        <f aca="false">SUMIF('Little Explorers Kits'!$C$5:$C$358,$B75,'Little Explorers Kits'!I$5:I$358)+SUMIF('Junior Makers Kits'!$C$5:$C$440,$B75,'Junior Makers Kits'!I$5:I$440)+SUMIF('Young Innovators Kits'!$C$5:$C$418,$B75,'Young Innovators Kits'!I$5:I$418)+SUMIF('Tech Leaders Kits'!$C$5:$C$386,$B75,'Tech Leaders Kits'!I$5:I$386)</f>
        <v>0</v>
      </c>
      <c r="G75" s="77" t="n">
        <f aca="false">SUMIF('Little Explorers Kits'!$C$5:$C$358,$B75,'Little Explorers Kits'!J$5:J$358)+SUMIF('Junior Makers Kits'!$C$5:$C$440,$B75,'Junior Makers Kits'!J$5:J$440)+SUMIF('Young Innovators Kits'!$C$5:$C$418,$B75,'Young Innovators Kits'!J$5:J$418)+SUMIF('Tech Leaders Kits'!$C$5:$C$386,$B75,'Tech Leaders Kits'!J$5:J$386)</f>
        <v>0</v>
      </c>
      <c r="H75" s="77" t="n">
        <f aca="false">SUMIF('Little Explorers Kits'!$C$5:$C$358,$B75,'Little Explorers Kits'!K$5:K$358)+SUMIF('Junior Makers Kits'!$C$5:$C$440,$B75,'Junior Makers Kits'!K$5:K$440)+SUMIF('Young Innovators Kits'!$C$5:$C$418,$B75,'Young Innovators Kits'!K$5:K$418)+SUMIF('Tech Leaders Kits'!$C$5:$C$386,$B75,'Tech Leaders Kits'!K$5:K$386)</f>
        <v>0</v>
      </c>
      <c r="I75" s="77" t="n">
        <f aca="false">SUMIF('Little Explorers Kits'!$C$5:$C$358,$B75,'Little Explorers Kits'!L$5:L$358)+SUMIF('Junior Makers Kits'!$C$5:$C$440,$B75,'Junior Makers Kits'!L$5:L$440)+SUMIF('Young Innovators Kits'!$C$5:$C$418,$B75,'Young Innovators Kits'!L$5:L$418)+SUMIF('Tech Leaders Kits'!$C$5:$C$386,$B75,'Tech Leaders Kits'!L$5:L$386)</f>
        <v>0</v>
      </c>
      <c r="J75" s="77" t="n">
        <f aca="false">SUMIF('Little Explorers Kits'!$C$5:$C$358,$B75,'Little Explorers Kits'!M$5:M$358)+SUMIF('Junior Makers Kits'!$C$5:$C$440,$B75,'Junior Makers Kits'!M$5:M$440)+SUMIF('Young Innovators Kits'!$C$5:$C$418,$B75,'Young Innovators Kits'!M$5:M$418)+SUMIF('Tech Leaders Kits'!$C$5:$C$386,$B75,'Tech Leaders Kits'!M$5:M$386)</f>
        <v>0</v>
      </c>
      <c r="K75" s="77" t="n">
        <f aca="false">SUM(E75:J75)</f>
        <v>0</v>
      </c>
      <c r="L75" s="77" t="n">
        <f aca="false">MAX(E75:I75)+J75</f>
        <v>0</v>
      </c>
      <c r="M75" s="23" t="n">
        <f aca="false">IF(D75="Reusable",L75,K75)</f>
        <v>0</v>
      </c>
      <c r="N75" s="77" t="str">
        <f aca="false">IF(M75&gt;0,COUNTIF($M$3:M75,"&gt;0"),"")</f>
        <v/>
      </c>
    </row>
    <row r="76" customFormat="false" ht="15" hidden="false" customHeight="false" outlineLevel="0" collapsed="false">
      <c r="A76" s="77" t="s">
        <v>382</v>
      </c>
      <c r="B76" s="77" t="s">
        <v>495</v>
      </c>
      <c r="C76" s="77" t="s">
        <v>787</v>
      </c>
      <c r="D76" s="77" t="s">
        <v>368</v>
      </c>
      <c r="E76" s="77" t="n">
        <f aca="false">SUMIF('Little Explorers Kits'!$C$5:$C$358,$B76,'Little Explorers Kits'!H$5:H$358)+SUMIF('Junior Makers Kits'!$C$5:$C$440,$B76,'Junior Makers Kits'!H$5:H$440)+SUMIF('Young Innovators Kits'!$C$5:$C$418,$B76,'Young Innovators Kits'!H$5:H$418)+SUMIF('Tech Leaders Kits'!$C$5:$C$386,$B76,'Tech Leaders Kits'!H$5:H$386)</f>
        <v>0</v>
      </c>
      <c r="F76" s="77" t="n">
        <f aca="false">SUMIF('Little Explorers Kits'!$C$5:$C$358,$B76,'Little Explorers Kits'!I$5:I$358)+SUMIF('Junior Makers Kits'!$C$5:$C$440,$B76,'Junior Makers Kits'!I$5:I$440)+SUMIF('Young Innovators Kits'!$C$5:$C$418,$B76,'Young Innovators Kits'!I$5:I$418)+SUMIF('Tech Leaders Kits'!$C$5:$C$386,$B76,'Tech Leaders Kits'!I$5:I$386)</f>
        <v>0</v>
      </c>
      <c r="G76" s="77" t="n">
        <f aca="false">SUMIF('Little Explorers Kits'!$C$5:$C$358,$B76,'Little Explorers Kits'!J$5:J$358)+SUMIF('Junior Makers Kits'!$C$5:$C$440,$B76,'Junior Makers Kits'!J$5:J$440)+SUMIF('Young Innovators Kits'!$C$5:$C$418,$B76,'Young Innovators Kits'!J$5:J$418)+SUMIF('Tech Leaders Kits'!$C$5:$C$386,$B76,'Tech Leaders Kits'!J$5:J$386)</f>
        <v>0</v>
      </c>
      <c r="H76" s="77" t="n">
        <f aca="false">SUMIF('Little Explorers Kits'!$C$5:$C$358,$B76,'Little Explorers Kits'!K$5:K$358)+SUMIF('Junior Makers Kits'!$C$5:$C$440,$B76,'Junior Makers Kits'!K$5:K$440)+SUMIF('Young Innovators Kits'!$C$5:$C$418,$B76,'Young Innovators Kits'!K$5:K$418)+SUMIF('Tech Leaders Kits'!$C$5:$C$386,$B76,'Tech Leaders Kits'!K$5:K$386)</f>
        <v>0</v>
      </c>
      <c r="I76" s="77" t="n">
        <f aca="false">SUMIF('Little Explorers Kits'!$C$5:$C$358,$B76,'Little Explorers Kits'!L$5:L$358)+SUMIF('Junior Makers Kits'!$C$5:$C$440,$B76,'Junior Makers Kits'!L$5:L$440)+SUMIF('Young Innovators Kits'!$C$5:$C$418,$B76,'Young Innovators Kits'!L$5:L$418)+SUMIF('Tech Leaders Kits'!$C$5:$C$386,$B76,'Tech Leaders Kits'!L$5:L$386)</f>
        <v>0</v>
      </c>
      <c r="J76" s="77" t="n">
        <f aca="false">SUMIF('Little Explorers Kits'!$C$5:$C$358,$B76,'Little Explorers Kits'!M$5:M$358)+SUMIF('Junior Makers Kits'!$C$5:$C$440,$B76,'Junior Makers Kits'!M$5:M$440)+SUMIF('Young Innovators Kits'!$C$5:$C$418,$B76,'Young Innovators Kits'!M$5:M$418)+SUMIF('Tech Leaders Kits'!$C$5:$C$386,$B76,'Tech Leaders Kits'!M$5:M$386)</f>
        <v>0</v>
      </c>
      <c r="K76" s="77" t="n">
        <f aca="false">SUM(E76:J76)</f>
        <v>0</v>
      </c>
      <c r="L76" s="77" t="n">
        <f aca="false">MAX(E76:I76)+J76</f>
        <v>0</v>
      </c>
      <c r="M76" s="23" t="n">
        <f aca="false">IF(D76="Reusable",L76,K76)</f>
        <v>0</v>
      </c>
      <c r="N76" s="77" t="str">
        <f aca="false">IF(M76&gt;0,COUNTIF($M$3:M76,"&gt;0"),"")</f>
        <v/>
      </c>
    </row>
    <row r="77" customFormat="false" ht="15" hidden="false" customHeight="false" outlineLevel="0" collapsed="false">
      <c r="A77" s="77" t="s">
        <v>382</v>
      </c>
      <c r="B77" s="77" t="s">
        <v>383</v>
      </c>
      <c r="C77" s="77" t="s">
        <v>788</v>
      </c>
      <c r="D77" s="77" t="s">
        <v>368</v>
      </c>
      <c r="E77" s="77" t="n">
        <f aca="false">SUMIF('Little Explorers Kits'!$C$5:$C$358,$B77,'Little Explorers Kits'!H$5:H$358)+SUMIF('Junior Makers Kits'!$C$5:$C$440,$B77,'Junior Makers Kits'!H$5:H$440)+SUMIF('Young Innovators Kits'!$C$5:$C$418,$B77,'Young Innovators Kits'!H$5:H$418)+SUMIF('Tech Leaders Kits'!$C$5:$C$386,$B77,'Tech Leaders Kits'!H$5:H$386)</f>
        <v>0</v>
      </c>
      <c r="F77" s="77" t="n">
        <f aca="false">SUMIF('Little Explorers Kits'!$C$5:$C$358,$B77,'Little Explorers Kits'!I$5:I$358)+SUMIF('Junior Makers Kits'!$C$5:$C$440,$B77,'Junior Makers Kits'!I$5:I$440)+SUMIF('Young Innovators Kits'!$C$5:$C$418,$B77,'Young Innovators Kits'!I$5:I$418)+SUMIF('Tech Leaders Kits'!$C$5:$C$386,$B77,'Tech Leaders Kits'!I$5:I$386)</f>
        <v>0</v>
      </c>
      <c r="G77" s="77" t="n">
        <f aca="false">SUMIF('Little Explorers Kits'!$C$5:$C$358,$B77,'Little Explorers Kits'!J$5:J$358)+SUMIF('Junior Makers Kits'!$C$5:$C$440,$B77,'Junior Makers Kits'!J$5:J$440)+SUMIF('Young Innovators Kits'!$C$5:$C$418,$B77,'Young Innovators Kits'!J$5:J$418)+SUMIF('Tech Leaders Kits'!$C$5:$C$386,$B77,'Tech Leaders Kits'!J$5:J$386)</f>
        <v>0</v>
      </c>
      <c r="H77" s="77" t="n">
        <f aca="false">SUMIF('Little Explorers Kits'!$C$5:$C$358,$B77,'Little Explorers Kits'!K$5:K$358)+SUMIF('Junior Makers Kits'!$C$5:$C$440,$B77,'Junior Makers Kits'!K$5:K$440)+SUMIF('Young Innovators Kits'!$C$5:$C$418,$B77,'Young Innovators Kits'!K$5:K$418)+SUMIF('Tech Leaders Kits'!$C$5:$C$386,$B77,'Tech Leaders Kits'!K$5:K$386)</f>
        <v>0</v>
      </c>
      <c r="I77" s="77" t="n">
        <f aca="false">SUMIF('Little Explorers Kits'!$C$5:$C$358,$B77,'Little Explorers Kits'!L$5:L$358)+SUMIF('Junior Makers Kits'!$C$5:$C$440,$B77,'Junior Makers Kits'!L$5:L$440)+SUMIF('Young Innovators Kits'!$C$5:$C$418,$B77,'Young Innovators Kits'!L$5:L$418)+SUMIF('Tech Leaders Kits'!$C$5:$C$386,$B77,'Tech Leaders Kits'!L$5:L$386)</f>
        <v>0</v>
      </c>
      <c r="J77" s="77" t="n">
        <f aca="false">SUMIF('Little Explorers Kits'!$C$5:$C$358,$B77,'Little Explorers Kits'!M$5:M$358)+SUMIF('Junior Makers Kits'!$C$5:$C$440,$B77,'Junior Makers Kits'!M$5:M$440)+SUMIF('Young Innovators Kits'!$C$5:$C$418,$B77,'Young Innovators Kits'!M$5:M$418)+SUMIF('Tech Leaders Kits'!$C$5:$C$386,$B77,'Tech Leaders Kits'!M$5:M$386)</f>
        <v>0</v>
      </c>
      <c r="K77" s="77" t="n">
        <f aca="false">SUM(E77:J77)</f>
        <v>0</v>
      </c>
      <c r="L77" s="77" t="n">
        <f aca="false">MAX(E77:I77)+J77</f>
        <v>0</v>
      </c>
      <c r="M77" s="23" t="n">
        <f aca="false">IF(D77="Reusable",L77,K77)</f>
        <v>0</v>
      </c>
      <c r="N77" s="77" t="str">
        <f aca="false">IF(M77&gt;0,COUNTIF($M$3:M77,"&gt;0"),"")</f>
        <v/>
      </c>
    </row>
    <row r="78" customFormat="false" ht="15" hidden="false" customHeight="false" outlineLevel="0" collapsed="false">
      <c r="A78" s="77" t="s">
        <v>382</v>
      </c>
      <c r="B78" s="77" t="s">
        <v>402</v>
      </c>
      <c r="C78" s="77" t="s">
        <v>789</v>
      </c>
      <c r="D78" s="77" t="s">
        <v>373</v>
      </c>
      <c r="E78" s="77" t="n">
        <f aca="false">SUMIF('Little Explorers Kits'!$C$5:$C$358,$B78,'Little Explorers Kits'!H$5:H$358)+SUMIF('Junior Makers Kits'!$C$5:$C$440,$B78,'Junior Makers Kits'!H$5:H$440)+SUMIF('Young Innovators Kits'!$C$5:$C$418,$B78,'Young Innovators Kits'!H$5:H$418)+SUMIF('Tech Leaders Kits'!$C$5:$C$386,$B78,'Tech Leaders Kits'!H$5:H$386)</f>
        <v>0</v>
      </c>
      <c r="F78" s="77" t="n">
        <f aca="false">SUMIF('Little Explorers Kits'!$C$5:$C$358,$B78,'Little Explorers Kits'!I$5:I$358)+SUMIF('Junior Makers Kits'!$C$5:$C$440,$B78,'Junior Makers Kits'!I$5:I$440)+SUMIF('Young Innovators Kits'!$C$5:$C$418,$B78,'Young Innovators Kits'!I$5:I$418)+SUMIF('Tech Leaders Kits'!$C$5:$C$386,$B78,'Tech Leaders Kits'!I$5:I$386)</f>
        <v>0</v>
      </c>
      <c r="G78" s="77" t="n">
        <f aca="false">SUMIF('Little Explorers Kits'!$C$5:$C$358,$B78,'Little Explorers Kits'!J$5:J$358)+SUMIF('Junior Makers Kits'!$C$5:$C$440,$B78,'Junior Makers Kits'!J$5:J$440)+SUMIF('Young Innovators Kits'!$C$5:$C$418,$B78,'Young Innovators Kits'!J$5:J$418)+SUMIF('Tech Leaders Kits'!$C$5:$C$386,$B78,'Tech Leaders Kits'!J$5:J$386)</f>
        <v>0</v>
      </c>
      <c r="H78" s="77" t="n">
        <f aca="false">SUMIF('Little Explorers Kits'!$C$5:$C$358,$B78,'Little Explorers Kits'!K$5:K$358)+SUMIF('Junior Makers Kits'!$C$5:$C$440,$B78,'Junior Makers Kits'!K$5:K$440)+SUMIF('Young Innovators Kits'!$C$5:$C$418,$B78,'Young Innovators Kits'!K$5:K$418)+SUMIF('Tech Leaders Kits'!$C$5:$C$386,$B78,'Tech Leaders Kits'!K$5:K$386)</f>
        <v>0</v>
      </c>
      <c r="I78" s="77" t="n">
        <f aca="false">SUMIF('Little Explorers Kits'!$C$5:$C$358,$B78,'Little Explorers Kits'!L$5:L$358)+SUMIF('Junior Makers Kits'!$C$5:$C$440,$B78,'Junior Makers Kits'!L$5:L$440)+SUMIF('Young Innovators Kits'!$C$5:$C$418,$B78,'Young Innovators Kits'!L$5:L$418)+SUMIF('Tech Leaders Kits'!$C$5:$C$386,$B78,'Tech Leaders Kits'!L$5:L$386)</f>
        <v>0</v>
      </c>
      <c r="J78" s="77" t="n">
        <f aca="false">SUMIF('Little Explorers Kits'!$C$5:$C$358,$B78,'Little Explorers Kits'!M$5:M$358)+SUMIF('Junior Makers Kits'!$C$5:$C$440,$B78,'Junior Makers Kits'!M$5:M$440)+SUMIF('Young Innovators Kits'!$C$5:$C$418,$B78,'Young Innovators Kits'!M$5:M$418)+SUMIF('Tech Leaders Kits'!$C$5:$C$386,$B78,'Tech Leaders Kits'!M$5:M$386)</f>
        <v>0</v>
      </c>
      <c r="K78" s="77" t="n">
        <f aca="false">SUM(E78:J78)</f>
        <v>0</v>
      </c>
      <c r="L78" s="77" t="n">
        <f aca="false">MAX(E78:I78)+J78</f>
        <v>0</v>
      </c>
      <c r="M78" s="23" t="n">
        <f aca="false">IF(D78="Reusable",L78,K78)</f>
        <v>0</v>
      </c>
      <c r="N78" s="77" t="str">
        <f aca="false">IF(M78&gt;0,COUNTIF($M$3:M78,"&gt;0"),"")</f>
        <v/>
      </c>
    </row>
    <row r="79" customFormat="false" ht="15" hidden="false" customHeight="false" outlineLevel="0" collapsed="false">
      <c r="A79" s="77" t="s">
        <v>382</v>
      </c>
      <c r="B79" s="77" t="s">
        <v>404</v>
      </c>
      <c r="C79" s="77" t="s">
        <v>790</v>
      </c>
      <c r="D79" s="77" t="s">
        <v>368</v>
      </c>
      <c r="E79" s="77" t="n">
        <f aca="false">SUMIF('Little Explorers Kits'!$C$5:$C$358,$B79,'Little Explorers Kits'!H$5:H$358)+SUMIF('Junior Makers Kits'!$C$5:$C$440,$B79,'Junior Makers Kits'!H$5:H$440)+SUMIF('Young Innovators Kits'!$C$5:$C$418,$B79,'Young Innovators Kits'!H$5:H$418)+SUMIF('Tech Leaders Kits'!$C$5:$C$386,$B79,'Tech Leaders Kits'!H$5:H$386)</f>
        <v>0</v>
      </c>
      <c r="F79" s="77" t="n">
        <f aca="false">SUMIF('Little Explorers Kits'!$C$5:$C$358,$B79,'Little Explorers Kits'!I$5:I$358)+SUMIF('Junior Makers Kits'!$C$5:$C$440,$B79,'Junior Makers Kits'!I$5:I$440)+SUMIF('Young Innovators Kits'!$C$5:$C$418,$B79,'Young Innovators Kits'!I$5:I$418)+SUMIF('Tech Leaders Kits'!$C$5:$C$386,$B79,'Tech Leaders Kits'!I$5:I$386)</f>
        <v>0</v>
      </c>
      <c r="G79" s="77" t="n">
        <f aca="false">SUMIF('Little Explorers Kits'!$C$5:$C$358,$B79,'Little Explorers Kits'!J$5:J$358)+SUMIF('Junior Makers Kits'!$C$5:$C$440,$B79,'Junior Makers Kits'!J$5:J$440)+SUMIF('Young Innovators Kits'!$C$5:$C$418,$B79,'Young Innovators Kits'!J$5:J$418)+SUMIF('Tech Leaders Kits'!$C$5:$C$386,$B79,'Tech Leaders Kits'!J$5:J$386)</f>
        <v>0</v>
      </c>
      <c r="H79" s="77" t="n">
        <f aca="false">SUMIF('Little Explorers Kits'!$C$5:$C$358,$B79,'Little Explorers Kits'!K$5:K$358)+SUMIF('Junior Makers Kits'!$C$5:$C$440,$B79,'Junior Makers Kits'!K$5:K$440)+SUMIF('Young Innovators Kits'!$C$5:$C$418,$B79,'Young Innovators Kits'!K$5:K$418)+SUMIF('Tech Leaders Kits'!$C$5:$C$386,$B79,'Tech Leaders Kits'!K$5:K$386)</f>
        <v>0</v>
      </c>
      <c r="I79" s="77" t="n">
        <f aca="false">SUMIF('Little Explorers Kits'!$C$5:$C$358,$B79,'Little Explorers Kits'!L$5:L$358)+SUMIF('Junior Makers Kits'!$C$5:$C$440,$B79,'Junior Makers Kits'!L$5:L$440)+SUMIF('Young Innovators Kits'!$C$5:$C$418,$B79,'Young Innovators Kits'!L$5:L$418)+SUMIF('Tech Leaders Kits'!$C$5:$C$386,$B79,'Tech Leaders Kits'!L$5:L$386)</f>
        <v>0</v>
      </c>
      <c r="J79" s="77" t="n">
        <f aca="false">SUMIF('Little Explorers Kits'!$C$5:$C$358,$B79,'Little Explorers Kits'!M$5:M$358)+SUMIF('Junior Makers Kits'!$C$5:$C$440,$B79,'Junior Makers Kits'!M$5:M$440)+SUMIF('Young Innovators Kits'!$C$5:$C$418,$B79,'Young Innovators Kits'!M$5:M$418)+SUMIF('Tech Leaders Kits'!$C$5:$C$386,$B79,'Tech Leaders Kits'!M$5:M$386)</f>
        <v>0</v>
      </c>
      <c r="K79" s="77" t="n">
        <f aca="false">SUM(E79:J79)</f>
        <v>0</v>
      </c>
      <c r="L79" s="77" t="n">
        <f aca="false">MAX(E79:I79)+J79</f>
        <v>0</v>
      </c>
      <c r="M79" s="23" t="n">
        <f aca="false">IF(D79="Reusable",L79,K79)</f>
        <v>0</v>
      </c>
      <c r="N79" s="77" t="str">
        <f aca="false">IF(M79&gt;0,COUNTIF($M$3:M79,"&gt;0"),"")</f>
        <v/>
      </c>
    </row>
    <row r="80" customFormat="false" ht="15" hidden="false" customHeight="false" outlineLevel="0" collapsed="false">
      <c r="A80" s="77" t="s">
        <v>382</v>
      </c>
      <c r="B80" s="77" t="s">
        <v>457</v>
      </c>
      <c r="C80" s="77" t="s">
        <v>791</v>
      </c>
      <c r="D80" s="77" t="s">
        <v>368</v>
      </c>
      <c r="E80" s="77" t="n">
        <f aca="false">SUMIF('Little Explorers Kits'!$C$5:$C$358,$B80,'Little Explorers Kits'!H$5:H$358)+SUMIF('Junior Makers Kits'!$C$5:$C$440,$B80,'Junior Makers Kits'!H$5:H$440)+SUMIF('Young Innovators Kits'!$C$5:$C$418,$B80,'Young Innovators Kits'!H$5:H$418)+SUMIF('Tech Leaders Kits'!$C$5:$C$386,$B80,'Tech Leaders Kits'!H$5:H$386)</f>
        <v>0</v>
      </c>
      <c r="F80" s="77" t="n">
        <f aca="false">SUMIF('Little Explorers Kits'!$C$5:$C$358,$B80,'Little Explorers Kits'!I$5:I$358)+SUMIF('Junior Makers Kits'!$C$5:$C$440,$B80,'Junior Makers Kits'!I$5:I$440)+SUMIF('Young Innovators Kits'!$C$5:$C$418,$B80,'Young Innovators Kits'!I$5:I$418)+SUMIF('Tech Leaders Kits'!$C$5:$C$386,$B80,'Tech Leaders Kits'!I$5:I$386)</f>
        <v>0</v>
      </c>
      <c r="G80" s="77" t="n">
        <f aca="false">SUMIF('Little Explorers Kits'!$C$5:$C$358,$B80,'Little Explorers Kits'!J$5:J$358)+SUMIF('Junior Makers Kits'!$C$5:$C$440,$B80,'Junior Makers Kits'!J$5:J$440)+SUMIF('Young Innovators Kits'!$C$5:$C$418,$B80,'Young Innovators Kits'!J$5:J$418)+SUMIF('Tech Leaders Kits'!$C$5:$C$386,$B80,'Tech Leaders Kits'!J$5:J$386)</f>
        <v>0</v>
      </c>
      <c r="H80" s="77" t="n">
        <f aca="false">SUMIF('Little Explorers Kits'!$C$5:$C$358,$B80,'Little Explorers Kits'!K$5:K$358)+SUMIF('Junior Makers Kits'!$C$5:$C$440,$B80,'Junior Makers Kits'!K$5:K$440)+SUMIF('Young Innovators Kits'!$C$5:$C$418,$B80,'Young Innovators Kits'!K$5:K$418)+SUMIF('Tech Leaders Kits'!$C$5:$C$386,$B80,'Tech Leaders Kits'!K$5:K$386)</f>
        <v>0</v>
      </c>
      <c r="I80" s="77" t="n">
        <f aca="false">SUMIF('Little Explorers Kits'!$C$5:$C$358,$B80,'Little Explorers Kits'!L$5:L$358)+SUMIF('Junior Makers Kits'!$C$5:$C$440,$B80,'Junior Makers Kits'!L$5:L$440)+SUMIF('Young Innovators Kits'!$C$5:$C$418,$B80,'Young Innovators Kits'!L$5:L$418)+SUMIF('Tech Leaders Kits'!$C$5:$C$386,$B80,'Tech Leaders Kits'!L$5:L$386)</f>
        <v>0</v>
      </c>
      <c r="J80" s="77" t="n">
        <f aca="false">SUMIF('Little Explorers Kits'!$C$5:$C$358,$B80,'Little Explorers Kits'!M$5:M$358)+SUMIF('Junior Makers Kits'!$C$5:$C$440,$B80,'Junior Makers Kits'!M$5:M$440)+SUMIF('Young Innovators Kits'!$C$5:$C$418,$B80,'Young Innovators Kits'!M$5:M$418)+SUMIF('Tech Leaders Kits'!$C$5:$C$386,$B80,'Tech Leaders Kits'!M$5:M$386)</f>
        <v>0</v>
      </c>
      <c r="K80" s="77" t="n">
        <f aca="false">SUM(E80:J80)</f>
        <v>0</v>
      </c>
      <c r="L80" s="77" t="n">
        <f aca="false">MAX(E80:I80)+J80</f>
        <v>0</v>
      </c>
      <c r="M80" s="23" t="n">
        <f aca="false">IF(D80="Reusable",L80,K80)</f>
        <v>0</v>
      </c>
      <c r="N80" s="77" t="str">
        <f aca="false">IF(M80&gt;0,COUNTIF($M$3:M80,"&gt;0"),"")</f>
        <v/>
      </c>
    </row>
    <row r="81" customFormat="false" ht="15" hidden="false" customHeight="false" outlineLevel="0" collapsed="false">
      <c r="A81" s="77" t="s">
        <v>382</v>
      </c>
      <c r="B81" s="77" t="s">
        <v>490</v>
      </c>
      <c r="C81" s="77" t="s">
        <v>792</v>
      </c>
      <c r="D81" s="77" t="s">
        <v>368</v>
      </c>
      <c r="E81" s="77" t="n">
        <f aca="false">SUMIF('Little Explorers Kits'!$C$5:$C$358,$B81,'Little Explorers Kits'!H$5:H$358)+SUMIF('Junior Makers Kits'!$C$5:$C$440,$B81,'Junior Makers Kits'!H$5:H$440)+SUMIF('Young Innovators Kits'!$C$5:$C$418,$B81,'Young Innovators Kits'!H$5:H$418)+SUMIF('Tech Leaders Kits'!$C$5:$C$386,$B81,'Tech Leaders Kits'!H$5:H$386)</f>
        <v>0</v>
      </c>
      <c r="F81" s="77" t="n">
        <f aca="false">SUMIF('Little Explorers Kits'!$C$5:$C$358,$B81,'Little Explorers Kits'!I$5:I$358)+SUMIF('Junior Makers Kits'!$C$5:$C$440,$B81,'Junior Makers Kits'!I$5:I$440)+SUMIF('Young Innovators Kits'!$C$5:$C$418,$B81,'Young Innovators Kits'!I$5:I$418)+SUMIF('Tech Leaders Kits'!$C$5:$C$386,$B81,'Tech Leaders Kits'!I$5:I$386)</f>
        <v>0</v>
      </c>
      <c r="G81" s="77" t="n">
        <f aca="false">SUMIF('Little Explorers Kits'!$C$5:$C$358,$B81,'Little Explorers Kits'!J$5:J$358)+SUMIF('Junior Makers Kits'!$C$5:$C$440,$B81,'Junior Makers Kits'!J$5:J$440)+SUMIF('Young Innovators Kits'!$C$5:$C$418,$B81,'Young Innovators Kits'!J$5:J$418)+SUMIF('Tech Leaders Kits'!$C$5:$C$386,$B81,'Tech Leaders Kits'!J$5:J$386)</f>
        <v>0</v>
      </c>
      <c r="H81" s="77" t="n">
        <f aca="false">SUMIF('Little Explorers Kits'!$C$5:$C$358,$B81,'Little Explorers Kits'!K$5:K$358)+SUMIF('Junior Makers Kits'!$C$5:$C$440,$B81,'Junior Makers Kits'!K$5:K$440)+SUMIF('Young Innovators Kits'!$C$5:$C$418,$B81,'Young Innovators Kits'!K$5:K$418)+SUMIF('Tech Leaders Kits'!$C$5:$C$386,$B81,'Tech Leaders Kits'!K$5:K$386)</f>
        <v>0</v>
      </c>
      <c r="I81" s="77" t="n">
        <f aca="false">SUMIF('Little Explorers Kits'!$C$5:$C$358,$B81,'Little Explorers Kits'!L$5:L$358)+SUMIF('Junior Makers Kits'!$C$5:$C$440,$B81,'Junior Makers Kits'!L$5:L$440)+SUMIF('Young Innovators Kits'!$C$5:$C$418,$B81,'Young Innovators Kits'!L$5:L$418)+SUMIF('Tech Leaders Kits'!$C$5:$C$386,$B81,'Tech Leaders Kits'!L$5:L$386)</f>
        <v>0</v>
      </c>
      <c r="J81" s="77" t="n">
        <f aca="false">SUMIF('Little Explorers Kits'!$C$5:$C$358,$B81,'Little Explorers Kits'!M$5:M$358)+SUMIF('Junior Makers Kits'!$C$5:$C$440,$B81,'Junior Makers Kits'!M$5:M$440)+SUMIF('Young Innovators Kits'!$C$5:$C$418,$B81,'Young Innovators Kits'!M$5:M$418)+SUMIF('Tech Leaders Kits'!$C$5:$C$386,$B81,'Tech Leaders Kits'!M$5:M$386)</f>
        <v>0</v>
      </c>
      <c r="K81" s="77" t="n">
        <f aca="false">SUM(E81:J81)</f>
        <v>0</v>
      </c>
      <c r="L81" s="77" t="n">
        <f aca="false">MAX(E81:I81)+J81</f>
        <v>0</v>
      </c>
      <c r="M81" s="23" t="n">
        <f aca="false">IF(D81="Reusable",L81,K81)</f>
        <v>0</v>
      </c>
      <c r="N81" s="77" t="str">
        <f aca="false">IF(M81&gt;0,COUNTIF($M$3:M81,"&gt;0"),"")</f>
        <v/>
      </c>
    </row>
    <row r="82" customFormat="false" ht="15" hidden="false" customHeight="false" outlineLevel="0" collapsed="false">
      <c r="A82" s="77" t="s">
        <v>411</v>
      </c>
      <c r="B82" s="77" t="s">
        <v>412</v>
      </c>
      <c r="C82" s="77" t="s">
        <v>793</v>
      </c>
      <c r="D82" s="77" t="s">
        <v>373</v>
      </c>
      <c r="E82" s="77" t="n">
        <f aca="false">SUMIF('Little Explorers Kits'!$C$5:$C$358,$B82,'Little Explorers Kits'!H$5:H$358)+SUMIF('Junior Makers Kits'!$C$5:$C$440,$B82,'Junior Makers Kits'!H$5:H$440)+SUMIF('Young Innovators Kits'!$C$5:$C$418,$B82,'Young Innovators Kits'!H$5:H$418)+SUMIF('Tech Leaders Kits'!$C$5:$C$386,$B82,'Tech Leaders Kits'!H$5:H$386)</f>
        <v>0</v>
      </c>
      <c r="F82" s="77" t="n">
        <f aca="false">SUMIF('Little Explorers Kits'!$C$5:$C$358,$B82,'Little Explorers Kits'!I$5:I$358)+SUMIF('Junior Makers Kits'!$C$5:$C$440,$B82,'Junior Makers Kits'!I$5:I$440)+SUMIF('Young Innovators Kits'!$C$5:$C$418,$B82,'Young Innovators Kits'!I$5:I$418)+SUMIF('Tech Leaders Kits'!$C$5:$C$386,$B82,'Tech Leaders Kits'!I$5:I$386)</f>
        <v>0</v>
      </c>
      <c r="G82" s="77" t="n">
        <f aca="false">SUMIF('Little Explorers Kits'!$C$5:$C$358,$B82,'Little Explorers Kits'!J$5:J$358)+SUMIF('Junior Makers Kits'!$C$5:$C$440,$B82,'Junior Makers Kits'!J$5:J$440)+SUMIF('Young Innovators Kits'!$C$5:$C$418,$B82,'Young Innovators Kits'!J$5:J$418)+SUMIF('Tech Leaders Kits'!$C$5:$C$386,$B82,'Tech Leaders Kits'!J$5:J$386)</f>
        <v>0</v>
      </c>
      <c r="H82" s="77" t="n">
        <f aca="false">SUMIF('Little Explorers Kits'!$C$5:$C$358,$B82,'Little Explorers Kits'!K$5:K$358)+SUMIF('Junior Makers Kits'!$C$5:$C$440,$B82,'Junior Makers Kits'!K$5:K$440)+SUMIF('Young Innovators Kits'!$C$5:$C$418,$B82,'Young Innovators Kits'!K$5:K$418)+SUMIF('Tech Leaders Kits'!$C$5:$C$386,$B82,'Tech Leaders Kits'!K$5:K$386)</f>
        <v>0</v>
      </c>
      <c r="I82" s="77" t="n">
        <f aca="false">SUMIF('Little Explorers Kits'!$C$5:$C$358,$B82,'Little Explorers Kits'!L$5:L$358)+SUMIF('Junior Makers Kits'!$C$5:$C$440,$B82,'Junior Makers Kits'!L$5:L$440)+SUMIF('Young Innovators Kits'!$C$5:$C$418,$B82,'Young Innovators Kits'!L$5:L$418)+SUMIF('Tech Leaders Kits'!$C$5:$C$386,$B82,'Tech Leaders Kits'!L$5:L$386)</f>
        <v>0</v>
      </c>
      <c r="J82" s="77" t="n">
        <f aca="false">SUMIF('Little Explorers Kits'!$C$5:$C$358,$B82,'Little Explorers Kits'!M$5:M$358)+SUMIF('Junior Makers Kits'!$C$5:$C$440,$B82,'Junior Makers Kits'!M$5:M$440)+SUMIF('Young Innovators Kits'!$C$5:$C$418,$B82,'Young Innovators Kits'!M$5:M$418)+SUMIF('Tech Leaders Kits'!$C$5:$C$386,$B82,'Tech Leaders Kits'!M$5:M$386)</f>
        <v>0</v>
      </c>
      <c r="K82" s="77" t="n">
        <f aca="false">SUM(E82:J82)</f>
        <v>0</v>
      </c>
      <c r="L82" s="77" t="n">
        <f aca="false">MAX(E82:I82)+J82</f>
        <v>0</v>
      </c>
      <c r="M82" s="23" t="n">
        <f aca="false">IF(D82="Reusable",L82,K82)</f>
        <v>0</v>
      </c>
      <c r="N82" s="77" t="str">
        <f aca="false">IF(M82&gt;0,COUNTIF($M$3:M82,"&gt;0"),"")</f>
        <v/>
      </c>
    </row>
    <row r="83" customFormat="false" ht="15" hidden="false" customHeight="false" outlineLevel="0" collapsed="false">
      <c r="A83" s="77" t="s">
        <v>411</v>
      </c>
      <c r="B83" s="77" t="s">
        <v>440</v>
      </c>
      <c r="C83" s="77" t="s">
        <v>794</v>
      </c>
      <c r="D83" s="77" t="s">
        <v>373</v>
      </c>
      <c r="E83" s="77" t="n">
        <f aca="false">SUMIF('Little Explorers Kits'!$C$5:$C$358,$B83,'Little Explorers Kits'!H$5:H$358)+SUMIF('Junior Makers Kits'!$C$5:$C$440,$B83,'Junior Makers Kits'!H$5:H$440)+SUMIF('Young Innovators Kits'!$C$5:$C$418,$B83,'Young Innovators Kits'!H$5:H$418)+SUMIF('Tech Leaders Kits'!$C$5:$C$386,$B83,'Tech Leaders Kits'!H$5:H$386)</f>
        <v>0</v>
      </c>
      <c r="F83" s="77" t="n">
        <f aca="false">SUMIF('Little Explorers Kits'!$C$5:$C$358,$B83,'Little Explorers Kits'!I$5:I$358)+SUMIF('Junior Makers Kits'!$C$5:$C$440,$B83,'Junior Makers Kits'!I$5:I$440)+SUMIF('Young Innovators Kits'!$C$5:$C$418,$B83,'Young Innovators Kits'!I$5:I$418)+SUMIF('Tech Leaders Kits'!$C$5:$C$386,$B83,'Tech Leaders Kits'!I$5:I$386)</f>
        <v>0</v>
      </c>
      <c r="G83" s="77" t="n">
        <f aca="false">SUMIF('Little Explorers Kits'!$C$5:$C$358,$B83,'Little Explorers Kits'!J$5:J$358)+SUMIF('Junior Makers Kits'!$C$5:$C$440,$B83,'Junior Makers Kits'!J$5:J$440)+SUMIF('Young Innovators Kits'!$C$5:$C$418,$B83,'Young Innovators Kits'!J$5:J$418)+SUMIF('Tech Leaders Kits'!$C$5:$C$386,$B83,'Tech Leaders Kits'!J$5:J$386)</f>
        <v>0</v>
      </c>
      <c r="H83" s="77" t="n">
        <f aca="false">SUMIF('Little Explorers Kits'!$C$5:$C$358,$B83,'Little Explorers Kits'!K$5:K$358)+SUMIF('Junior Makers Kits'!$C$5:$C$440,$B83,'Junior Makers Kits'!K$5:K$440)+SUMIF('Young Innovators Kits'!$C$5:$C$418,$B83,'Young Innovators Kits'!K$5:K$418)+SUMIF('Tech Leaders Kits'!$C$5:$C$386,$B83,'Tech Leaders Kits'!K$5:K$386)</f>
        <v>0</v>
      </c>
      <c r="I83" s="77" t="n">
        <f aca="false">SUMIF('Little Explorers Kits'!$C$5:$C$358,$B83,'Little Explorers Kits'!L$5:L$358)+SUMIF('Junior Makers Kits'!$C$5:$C$440,$B83,'Junior Makers Kits'!L$5:L$440)+SUMIF('Young Innovators Kits'!$C$5:$C$418,$B83,'Young Innovators Kits'!L$5:L$418)+SUMIF('Tech Leaders Kits'!$C$5:$C$386,$B83,'Tech Leaders Kits'!L$5:L$386)</f>
        <v>0</v>
      </c>
      <c r="J83" s="77" t="n">
        <f aca="false">SUMIF('Little Explorers Kits'!$C$5:$C$358,$B83,'Little Explorers Kits'!M$5:M$358)+SUMIF('Junior Makers Kits'!$C$5:$C$440,$B83,'Junior Makers Kits'!M$5:M$440)+SUMIF('Young Innovators Kits'!$C$5:$C$418,$B83,'Young Innovators Kits'!M$5:M$418)+SUMIF('Tech Leaders Kits'!$C$5:$C$386,$B83,'Tech Leaders Kits'!M$5:M$386)</f>
        <v>0</v>
      </c>
      <c r="K83" s="77" t="n">
        <f aca="false">SUM(E83:J83)</f>
        <v>0</v>
      </c>
      <c r="L83" s="77" t="n">
        <f aca="false">MAX(E83:I83)+J83</f>
        <v>0</v>
      </c>
      <c r="M83" s="23" t="n">
        <f aca="false">IF(D83="Reusable",L83,K83)</f>
        <v>0</v>
      </c>
      <c r="N83" s="77" t="str">
        <f aca="false">IF(M83&gt;0,COUNTIF($M$3:M83,"&gt;0"),"")</f>
        <v/>
      </c>
    </row>
    <row r="84" customFormat="false" ht="15" hidden="false" customHeight="false" outlineLevel="0" collapsed="false">
      <c r="A84" s="77" t="s">
        <v>411</v>
      </c>
      <c r="B84" s="77" t="s">
        <v>461</v>
      </c>
      <c r="C84" s="77" t="s">
        <v>795</v>
      </c>
      <c r="D84" s="77" t="s">
        <v>373</v>
      </c>
      <c r="E84" s="77" t="n">
        <f aca="false">SUMIF('Little Explorers Kits'!$C$5:$C$358,$B84,'Little Explorers Kits'!H$5:H$358)+SUMIF('Junior Makers Kits'!$C$5:$C$440,$B84,'Junior Makers Kits'!H$5:H$440)+SUMIF('Young Innovators Kits'!$C$5:$C$418,$B84,'Young Innovators Kits'!H$5:H$418)+SUMIF('Tech Leaders Kits'!$C$5:$C$386,$B84,'Tech Leaders Kits'!H$5:H$386)</f>
        <v>0</v>
      </c>
      <c r="F84" s="77" t="n">
        <f aca="false">SUMIF('Little Explorers Kits'!$C$5:$C$358,$B84,'Little Explorers Kits'!I$5:I$358)+SUMIF('Junior Makers Kits'!$C$5:$C$440,$B84,'Junior Makers Kits'!I$5:I$440)+SUMIF('Young Innovators Kits'!$C$5:$C$418,$B84,'Young Innovators Kits'!I$5:I$418)+SUMIF('Tech Leaders Kits'!$C$5:$C$386,$B84,'Tech Leaders Kits'!I$5:I$386)</f>
        <v>0</v>
      </c>
      <c r="G84" s="77" t="n">
        <f aca="false">SUMIF('Little Explorers Kits'!$C$5:$C$358,$B84,'Little Explorers Kits'!J$5:J$358)+SUMIF('Junior Makers Kits'!$C$5:$C$440,$B84,'Junior Makers Kits'!J$5:J$440)+SUMIF('Young Innovators Kits'!$C$5:$C$418,$B84,'Young Innovators Kits'!J$5:J$418)+SUMIF('Tech Leaders Kits'!$C$5:$C$386,$B84,'Tech Leaders Kits'!J$5:J$386)</f>
        <v>0</v>
      </c>
      <c r="H84" s="77" t="n">
        <f aca="false">SUMIF('Little Explorers Kits'!$C$5:$C$358,$B84,'Little Explorers Kits'!K$5:K$358)+SUMIF('Junior Makers Kits'!$C$5:$C$440,$B84,'Junior Makers Kits'!K$5:K$440)+SUMIF('Young Innovators Kits'!$C$5:$C$418,$B84,'Young Innovators Kits'!K$5:K$418)+SUMIF('Tech Leaders Kits'!$C$5:$C$386,$B84,'Tech Leaders Kits'!K$5:K$386)</f>
        <v>0</v>
      </c>
      <c r="I84" s="77" t="n">
        <f aca="false">SUMIF('Little Explorers Kits'!$C$5:$C$358,$B84,'Little Explorers Kits'!L$5:L$358)+SUMIF('Junior Makers Kits'!$C$5:$C$440,$B84,'Junior Makers Kits'!L$5:L$440)+SUMIF('Young Innovators Kits'!$C$5:$C$418,$B84,'Young Innovators Kits'!L$5:L$418)+SUMIF('Tech Leaders Kits'!$C$5:$C$386,$B84,'Tech Leaders Kits'!L$5:L$386)</f>
        <v>0</v>
      </c>
      <c r="J84" s="77" t="n">
        <f aca="false">SUMIF('Little Explorers Kits'!$C$5:$C$358,$B84,'Little Explorers Kits'!M$5:M$358)+SUMIF('Junior Makers Kits'!$C$5:$C$440,$B84,'Junior Makers Kits'!M$5:M$440)+SUMIF('Young Innovators Kits'!$C$5:$C$418,$B84,'Young Innovators Kits'!M$5:M$418)+SUMIF('Tech Leaders Kits'!$C$5:$C$386,$B84,'Tech Leaders Kits'!M$5:M$386)</f>
        <v>0</v>
      </c>
      <c r="K84" s="77" t="n">
        <f aca="false">SUM(E84:J84)</f>
        <v>0</v>
      </c>
      <c r="L84" s="77" t="n">
        <f aca="false">MAX(E84:I84)+J84</f>
        <v>0</v>
      </c>
      <c r="M84" s="23" t="n">
        <f aca="false">IF(D84="Reusable",L84,K84)</f>
        <v>0</v>
      </c>
      <c r="N84" s="77" t="str">
        <f aca="false">IF(M84&gt;0,COUNTIF($M$3:M84,"&gt;0"),"")</f>
        <v/>
      </c>
    </row>
    <row r="85" customFormat="false" ht="15" hidden="false" customHeight="false" outlineLevel="0" collapsed="false">
      <c r="A85" s="77" t="s">
        <v>411</v>
      </c>
      <c r="B85" s="77" t="s">
        <v>508</v>
      </c>
      <c r="C85" s="77" t="s">
        <v>796</v>
      </c>
      <c r="D85" s="77" t="s">
        <v>373</v>
      </c>
      <c r="E85" s="77" t="n">
        <f aca="false">SUMIF('Little Explorers Kits'!$C$5:$C$358,$B85,'Little Explorers Kits'!H$5:H$358)+SUMIF('Junior Makers Kits'!$C$5:$C$440,$B85,'Junior Makers Kits'!H$5:H$440)+SUMIF('Young Innovators Kits'!$C$5:$C$418,$B85,'Young Innovators Kits'!H$5:H$418)+SUMIF('Tech Leaders Kits'!$C$5:$C$386,$B85,'Tech Leaders Kits'!H$5:H$386)</f>
        <v>0</v>
      </c>
      <c r="F85" s="77" t="n">
        <f aca="false">SUMIF('Little Explorers Kits'!$C$5:$C$358,$B85,'Little Explorers Kits'!I$5:I$358)+SUMIF('Junior Makers Kits'!$C$5:$C$440,$B85,'Junior Makers Kits'!I$5:I$440)+SUMIF('Young Innovators Kits'!$C$5:$C$418,$B85,'Young Innovators Kits'!I$5:I$418)+SUMIF('Tech Leaders Kits'!$C$5:$C$386,$B85,'Tech Leaders Kits'!I$5:I$386)</f>
        <v>0</v>
      </c>
      <c r="G85" s="77" t="n">
        <f aca="false">SUMIF('Little Explorers Kits'!$C$5:$C$358,$B85,'Little Explorers Kits'!J$5:J$358)+SUMIF('Junior Makers Kits'!$C$5:$C$440,$B85,'Junior Makers Kits'!J$5:J$440)+SUMIF('Young Innovators Kits'!$C$5:$C$418,$B85,'Young Innovators Kits'!J$5:J$418)+SUMIF('Tech Leaders Kits'!$C$5:$C$386,$B85,'Tech Leaders Kits'!J$5:J$386)</f>
        <v>0</v>
      </c>
      <c r="H85" s="77" t="n">
        <f aca="false">SUMIF('Little Explorers Kits'!$C$5:$C$358,$B85,'Little Explorers Kits'!K$5:K$358)+SUMIF('Junior Makers Kits'!$C$5:$C$440,$B85,'Junior Makers Kits'!K$5:K$440)+SUMIF('Young Innovators Kits'!$C$5:$C$418,$B85,'Young Innovators Kits'!K$5:K$418)+SUMIF('Tech Leaders Kits'!$C$5:$C$386,$B85,'Tech Leaders Kits'!K$5:K$386)</f>
        <v>0</v>
      </c>
      <c r="I85" s="77" t="n">
        <f aca="false">SUMIF('Little Explorers Kits'!$C$5:$C$358,$B85,'Little Explorers Kits'!L$5:L$358)+SUMIF('Junior Makers Kits'!$C$5:$C$440,$B85,'Junior Makers Kits'!L$5:L$440)+SUMIF('Young Innovators Kits'!$C$5:$C$418,$B85,'Young Innovators Kits'!L$5:L$418)+SUMIF('Tech Leaders Kits'!$C$5:$C$386,$B85,'Tech Leaders Kits'!L$5:L$386)</f>
        <v>0</v>
      </c>
      <c r="J85" s="77" t="n">
        <f aca="false">SUMIF('Little Explorers Kits'!$C$5:$C$358,$B85,'Little Explorers Kits'!M$5:M$358)+SUMIF('Junior Makers Kits'!$C$5:$C$440,$B85,'Junior Makers Kits'!M$5:M$440)+SUMIF('Young Innovators Kits'!$C$5:$C$418,$B85,'Young Innovators Kits'!M$5:M$418)+SUMIF('Tech Leaders Kits'!$C$5:$C$386,$B85,'Tech Leaders Kits'!M$5:M$386)</f>
        <v>0</v>
      </c>
      <c r="K85" s="77" t="n">
        <f aca="false">SUM(E85:J85)</f>
        <v>0</v>
      </c>
      <c r="L85" s="77" t="n">
        <f aca="false">MAX(E85:I85)+J85</f>
        <v>0</v>
      </c>
      <c r="M85" s="23" t="n">
        <f aca="false">IF(D85="Reusable",L85,K85)</f>
        <v>0</v>
      </c>
      <c r="N85" s="77" t="str">
        <f aca="false">IF(M85&gt;0,COUNTIF($M$3:M85,"&gt;0"),"")</f>
        <v/>
      </c>
    </row>
    <row r="86" customFormat="false" ht="15" hidden="false" customHeight="false" outlineLevel="0" collapsed="false">
      <c r="A86" s="77" t="s">
        <v>411</v>
      </c>
      <c r="B86" s="77" t="s">
        <v>441</v>
      </c>
      <c r="C86" s="77" t="s">
        <v>441</v>
      </c>
      <c r="D86" s="77" t="s">
        <v>373</v>
      </c>
      <c r="E86" s="77" t="n">
        <f aca="false">SUMIF('Little Explorers Kits'!$C$5:$C$358,$B86,'Little Explorers Kits'!H$5:H$358)+SUMIF('Junior Makers Kits'!$C$5:$C$440,$B86,'Junior Makers Kits'!H$5:H$440)+SUMIF('Young Innovators Kits'!$C$5:$C$418,$B86,'Young Innovators Kits'!H$5:H$418)+SUMIF('Tech Leaders Kits'!$C$5:$C$386,$B86,'Tech Leaders Kits'!H$5:H$386)</f>
        <v>0</v>
      </c>
      <c r="F86" s="77" t="n">
        <f aca="false">SUMIF('Little Explorers Kits'!$C$5:$C$358,$B86,'Little Explorers Kits'!I$5:I$358)+SUMIF('Junior Makers Kits'!$C$5:$C$440,$B86,'Junior Makers Kits'!I$5:I$440)+SUMIF('Young Innovators Kits'!$C$5:$C$418,$B86,'Young Innovators Kits'!I$5:I$418)+SUMIF('Tech Leaders Kits'!$C$5:$C$386,$B86,'Tech Leaders Kits'!I$5:I$386)</f>
        <v>0</v>
      </c>
      <c r="G86" s="77" t="n">
        <f aca="false">SUMIF('Little Explorers Kits'!$C$5:$C$358,$B86,'Little Explorers Kits'!J$5:J$358)+SUMIF('Junior Makers Kits'!$C$5:$C$440,$B86,'Junior Makers Kits'!J$5:J$440)+SUMIF('Young Innovators Kits'!$C$5:$C$418,$B86,'Young Innovators Kits'!J$5:J$418)+SUMIF('Tech Leaders Kits'!$C$5:$C$386,$B86,'Tech Leaders Kits'!J$5:J$386)</f>
        <v>0</v>
      </c>
      <c r="H86" s="77" t="n">
        <f aca="false">SUMIF('Little Explorers Kits'!$C$5:$C$358,$B86,'Little Explorers Kits'!K$5:K$358)+SUMIF('Junior Makers Kits'!$C$5:$C$440,$B86,'Junior Makers Kits'!K$5:K$440)+SUMIF('Young Innovators Kits'!$C$5:$C$418,$B86,'Young Innovators Kits'!K$5:K$418)+SUMIF('Tech Leaders Kits'!$C$5:$C$386,$B86,'Tech Leaders Kits'!K$5:K$386)</f>
        <v>0</v>
      </c>
      <c r="I86" s="77" t="n">
        <f aca="false">SUMIF('Little Explorers Kits'!$C$5:$C$358,$B86,'Little Explorers Kits'!L$5:L$358)+SUMIF('Junior Makers Kits'!$C$5:$C$440,$B86,'Junior Makers Kits'!L$5:L$440)+SUMIF('Young Innovators Kits'!$C$5:$C$418,$B86,'Young Innovators Kits'!L$5:L$418)+SUMIF('Tech Leaders Kits'!$C$5:$C$386,$B86,'Tech Leaders Kits'!L$5:L$386)</f>
        <v>0</v>
      </c>
      <c r="J86" s="77" t="n">
        <f aca="false">SUMIF('Little Explorers Kits'!$C$5:$C$358,$B86,'Little Explorers Kits'!M$5:M$358)+SUMIF('Junior Makers Kits'!$C$5:$C$440,$B86,'Junior Makers Kits'!M$5:M$440)+SUMIF('Young Innovators Kits'!$C$5:$C$418,$B86,'Young Innovators Kits'!M$5:M$418)+SUMIF('Tech Leaders Kits'!$C$5:$C$386,$B86,'Tech Leaders Kits'!M$5:M$386)</f>
        <v>0</v>
      </c>
      <c r="K86" s="77" t="n">
        <f aca="false">SUM(E86:J86)</f>
        <v>0</v>
      </c>
      <c r="L86" s="77" t="n">
        <f aca="false">MAX(E86:I86)+J86</f>
        <v>0</v>
      </c>
      <c r="M86" s="23" t="n">
        <f aca="false">IF(D86="Reusable",L86,K86)</f>
        <v>0</v>
      </c>
      <c r="N86" s="77" t="str">
        <f aca="false">IF(M86&gt;0,COUNTIF($M$3:M86,"&gt;0"),"")</f>
        <v/>
      </c>
    </row>
    <row r="87" customFormat="false" ht="15" hidden="false" customHeight="false" outlineLevel="0" collapsed="false">
      <c r="A87" s="77" t="s">
        <v>411</v>
      </c>
      <c r="B87" s="77" t="s">
        <v>444</v>
      </c>
      <c r="C87" s="77" t="s">
        <v>797</v>
      </c>
      <c r="D87" s="77" t="s">
        <v>373</v>
      </c>
      <c r="E87" s="77" t="n">
        <f aca="false">SUMIF('Little Explorers Kits'!$C$5:$C$358,$B87,'Little Explorers Kits'!H$5:H$358)+SUMIF('Junior Makers Kits'!$C$5:$C$440,$B87,'Junior Makers Kits'!H$5:H$440)+SUMIF('Young Innovators Kits'!$C$5:$C$418,$B87,'Young Innovators Kits'!H$5:H$418)+SUMIF('Tech Leaders Kits'!$C$5:$C$386,$B87,'Tech Leaders Kits'!H$5:H$386)</f>
        <v>0</v>
      </c>
      <c r="F87" s="77" t="n">
        <f aca="false">SUMIF('Little Explorers Kits'!$C$5:$C$358,$B87,'Little Explorers Kits'!I$5:I$358)+SUMIF('Junior Makers Kits'!$C$5:$C$440,$B87,'Junior Makers Kits'!I$5:I$440)+SUMIF('Young Innovators Kits'!$C$5:$C$418,$B87,'Young Innovators Kits'!I$5:I$418)+SUMIF('Tech Leaders Kits'!$C$5:$C$386,$B87,'Tech Leaders Kits'!I$5:I$386)</f>
        <v>0</v>
      </c>
      <c r="G87" s="77" t="n">
        <f aca="false">SUMIF('Little Explorers Kits'!$C$5:$C$358,$B87,'Little Explorers Kits'!J$5:J$358)+SUMIF('Junior Makers Kits'!$C$5:$C$440,$B87,'Junior Makers Kits'!J$5:J$440)+SUMIF('Young Innovators Kits'!$C$5:$C$418,$B87,'Young Innovators Kits'!J$5:J$418)+SUMIF('Tech Leaders Kits'!$C$5:$C$386,$B87,'Tech Leaders Kits'!J$5:J$386)</f>
        <v>0</v>
      </c>
      <c r="H87" s="77" t="n">
        <f aca="false">SUMIF('Little Explorers Kits'!$C$5:$C$358,$B87,'Little Explorers Kits'!K$5:K$358)+SUMIF('Junior Makers Kits'!$C$5:$C$440,$B87,'Junior Makers Kits'!K$5:K$440)+SUMIF('Young Innovators Kits'!$C$5:$C$418,$B87,'Young Innovators Kits'!K$5:K$418)+SUMIF('Tech Leaders Kits'!$C$5:$C$386,$B87,'Tech Leaders Kits'!K$5:K$386)</f>
        <v>0</v>
      </c>
      <c r="I87" s="77" t="n">
        <f aca="false">SUMIF('Little Explorers Kits'!$C$5:$C$358,$B87,'Little Explorers Kits'!L$5:L$358)+SUMIF('Junior Makers Kits'!$C$5:$C$440,$B87,'Junior Makers Kits'!L$5:L$440)+SUMIF('Young Innovators Kits'!$C$5:$C$418,$B87,'Young Innovators Kits'!L$5:L$418)+SUMIF('Tech Leaders Kits'!$C$5:$C$386,$B87,'Tech Leaders Kits'!L$5:L$386)</f>
        <v>0</v>
      </c>
      <c r="J87" s="77" t="n">
        <f aca="false">SUMIF('Little Explorers Kits'!$C$5:$C$358,$B87,'Little Explorers Kits'!M$5:M$358)+SUMIF('Junior Makers Kits'!$C$5:$C$440,$B87,'Junior Makers Kits'!M$5:M$440)+SUMIF('Young Innovators Kits'!$C$5:$C$418,$B87,'Young Innovators Kits'!M$5:M$418)+SUMIF('Tech Leaders Kits'!$C$5:$C$386,$B87,'Tech Leaders Kits'!M$5:M$386)</f>
        <v>0</v>
      </c>
      <c r="K87" s="77" t="n">
        <f aca="false">SUM(E87:J87)</f>
        <v>0</v>
      </c>
      <c r="L87" s="77" t="n">
        <f aca="false">MAX(E87:I87)+J87</f>
        <v>0</v>
      </c>
      <c r="M87" s="23" t="n">
        <f aca="false">IF(D87="Reusable",L87,K87)</f>
        <v>0</v>
      </c>
      <c r="N87" s="77" t="str">
        <f aca="false">IF(M87&gt;0,COUNTIF($M$3:M87,"&gt;0"),"")</f>
        <v/>
      </c>
    </row>
    <row r="88" customFormat="false" ht="15" hidden="false" customHeight="false" outlineLevel="0" collapsed="false">
      <c r="A88" s="77" t="s">
        <v>411</v>
      </c>
      <c r="B88" s="77" t="s">
        <v>413</v>
      </c>
      <c r="C88" s="77" t="s">
        <v>798</v>
      </c>
      <c r="D88" s="77" t="s">
        <v>373</v>
      </c>
      <c r="E88" s="77" t="n">
        <f aca="false">SUMIF('Little Explorers Kits'!$C$5:$C$358,$B88,'Little Explorers Kits'!H$5:H$358)+SUMIF('Junior Makers Kits'!$C$5:$C$440,$B88,'Junior Makers Kits'!H$5:H$440)+SUMIF('Young Innovators Kits'!$C$5:$C$418,$B88,'Young Innovators Kits'!H$5:H$418)+SUMIF('Tech Leaders Kits'!$C$5:$C$386,$B88,'Tech Leaders Kits'!H$5:H$386)</f>
        <v>0</v>
      </c>
      <c r="F88" s="77" t="n">
        <f aca="false">SUMIF('Little Explorers Kits'!$C$5:$C$358,$B88,'Little Explorers Kits'!I$5:I$358)+SUMIF('Junior Makers Kits'!$C$5:$C$440,$B88,'Junior Makers Kits'!I$5:I$440)+SUMIF('Young Innovators Kits'!$C$5:$C$418,$B88,'Young Innovators Kits'!I$5:I$418)+SUMIF('Tech Leaders Kits'!$C$5:$C$386,$B88,'Tech Leaders Kits'!I$5:I$386)</f>
        <v>0</v>
      </c>
      <c r="G88" s="77" t="n">
        <f aca="false">SUMIF('Little Explorers Kits'!$C$5:$C$358,$B88,'Little Explorers Kits'!J$5:J$358)+SUMIF('Junior Makers Kits'!$C$5:$C$440,$B88,'Junior Makers Kits'!J$5:J$440)+SUMIF('Young Innovators Kits'!$C$5:$C$418,$B88,'Young Innovators Kits'!J$5:J$418)+SUMIF('Tech Leaders Kits'!$C$5:$C$386,$B88,'Tech Leaders Kits'!J$5:J$386)</f>
        <v>0</v>
      </c>
      <c r="H88" s="77" t="n">
        <f aca="false">SUMIF('Little Explorers Kits'!$C$5:$C$358,$B88,'Little Explorers Kits'!K$5:K$358)+SUMIF('Junior Makers Kits'!$C$5:$C$440,$B88,'Junior Makers Kits'!K$5:K$440)+SUMIF('Young Innovators Kits'!$C$5:$C$418,$B88,'Young Innovators Kits'!K$5:K$418)+SUMIF('Tech Leaders Kits'!$C$5:$C$386,$B88,'Tech Leaders Kits'!K$5:K$386)</f>
        <v>0</v>
      </c>
      <c r="I88" s="77" t="n">
        <f aca="false">SUMIF('Little Explorers Kits'!$C$5:$C$358,$B88,'Little Explorers Kits'!L$5:L$358)+SUMIF('Junior Makers Kits'!$C$5:$C$440,$B88,'Junior Makers Kits'!L$5:L$440)+SUMIF('Young Innovators Kits'!$C$5:$C$418,$B88,'Young Innovators Kits'!L$5:L$418)+SUMIF('Tech Leaders Kits'!$C$5:$C$386,$B88,'Tech Leaders Kits'!L$5:L$386)</f>
        <v>0</v>
      </c>
      <c r="J88" s="77" t="n">
        <f aca="false">SUMIF('Little Explorers Kits'!$C$5:$C$358,$B88,'Little Explorers Kits'!M$5:M$358)+SUMIF('Junior Makers Kits'!$C$5:$C$440,$B88,'Junior Makers Kits'!M$5:M$440)+SUMIF('Young Innovators Kits'!$C$5:$C$418,$B88,'Young Innovators Kits'!M$5:M$418)+SUMIF('Tech Leaders Kits'!$C$5:$C$386,$B88,'Tech Leaders Kits'!M$5:M$386)</f>
        <v>0</v>
      </c>
      <c r="K88" s="77" t="n">
        <f aca="false">SUM(E88:J88)</f>
        <v>0</v>
      </c>
      <c r="L88" s="77" t="n">
        <f aca="false">MAX(E88:I88)+J88</f>
        <v>0</v>
      </c>
      <c r="M88" s="23" t="n">
        <f aca="false">IF(D88="Reusable",L88,K88)</f>
        <v>0</v>
      </c>
      <c r="N88" s="77" t="str">
        <f aca="false">IF(M88&gt;0,COUNTIF($M$3:M88,"&gt;0"),"")</f>
        <v/>
      </c>
    </row>
    <row r="89" customFormat="false" ht="15" hidden="false" customHeight="false" outlineLevel="0" collapsed="false">
      <c r="A89" s="77" t="s">
        <v>411</v>
      </c>
      <c r="B89" s="77" t="s">
        <v>434</v>
      </c>
      <c r="C89" s="77" t="s">
        <v>799</v>
      </c>
      <c r="D89" s="77" t="s">
        <v>373</v>
      </c>
      <c r="E89" s="77" t="n">
        <f aca="false">SUMIF('Little Explorers Kits'!$C$5:$C$358,$B89,'Little Explorers Kits'!H$5:H$358)+SUMIF('Junior Makers Kits'!$C$5:$C$440,$B89,'Junior Makers Kits'!H$5:H$440)+SUMIF('Young Innovators Kits'!$C$5:$C$418,$B89,'Young Innovators Kits'!H$5:H$418)+SUMIF('Tech Leaders Kits'!$C$5:$C$386,$B89,'Tech Leaders Kits'!H$5:H$386)</f>
        <v>0</v>
      </c>
      <c r="F89" s="77" t="n">
        <f aca="false">SUMIF('Little Explorers Kits'!$C$5:$C$358,$B89,'Little Explorers Kits'!I$5:I$358)+SUMIF('Junior Makers Kits'!$C$5:$C$440,$B89,'Junior Makers Kits'!I$5:I$440)+SUMIF('Young Innovators Kits'!$C$5:$C$418,$B89,'Young Innovators Kits'!I$5:I$418)+SUMIF('Tech Leaders Kits'!$C$5:$C$386,$B89,'Tech Leaders Kits'!I$5:I$386)</f>
        <v>0</v>
      </c>
      <c r="G89" s="77" t="n">
        <f aca="false">SUMIF('Little Explorers Kits'!$C$5:$C$358,$B89,'Little Explorers Kits'!J$5:J$358)+SUMIF('Junior Makers Kits'!$C$5:$C$440,$B89,'Junior Makers Kits'!J$5:J$440)+SUMIF('Young Innovators Kits'!$C$5:$C$418,$B89,'Young Innovators Kits'!J$5:J$418)+SUMIF('Tech Leaders Kits'!$C$5:$C$386,$B89,'Tech Leaders Kits'!J$5:J$386)</f>
        <v>0</v>
      </c>
      <c r="H89" s="77" t="n">
        <f aca="false">SUMIF('Little Explorers Kits'!$C$5:$C$358,$B89,'Little Explorers Kits'!K$5:K$358)+SUMIF('Junior Makers Kits'!$C$5:$C$440,$B89,'Junior Makers Kits'!K$5:K$440)+SUMIF('Young Innovators Kits'!$C$5:$C$418,$B89,'Young Innovators Kits'!K$5:K$418)+SUMIF('Tech Leaders Kits'!$C$5:$C$386,$B89,'Tech Leaders Kits'!K$5:K$386)</f>
        <v>0</v>
      </c>
      <c r="I89" s="77" t="n">
        <f aca="false">SUMIF('Little Explorers Kits'!$C$5:$C$358,$B89,'Little Explorers Kits'!L$5:L$358)+SUMIF('Junior Makers Kits'!$C$5:$C$440,$B89,'Junior Makers Kits'!L$5:L$440)+SUMIF('Young Innovators Kits'!$C$5:$C$418,$B89,'Young Innovators Kits'!L$5:L$418)+SUMIF('Tech Leaders Kits'!$C$5:$C$386,$B89,'Tech Leaders Kits'!L$5:L$386)</f>
        <v>0</v>
      </c>
      <c r="J89" s="77" t="n">
        <f aca="false">SUMIF('Little Explorers Kits'!$C$5:$C$358,$B89,'Little Explorers Kits'!M$5:M$358)+SUMIF('Junior Makers Kits'!$C$5:$C$440,$B89,'Junior Makers Kits'!M$5:M$440)+SUMIF('Young Innovators Kits'!$C$5:$C$418,$B89,'Young Innovators Kits'!M$5:M$418)+SUMIF('Tech Leaders Kits'!$C$5:$C$386,$B89,'Tech Leaders Kits'!M$5:M$386)</f>
        <v>0</v>
      </c>
      <c r="K89" s="77" t="n">
        <f aca="false">SUM(E89:J89)</f>
        <v>0</v>
      </c>
      <c r="L89" s="77" t="n">
        <f aca="false">MAX(E89:I89)+J89</f>
        <v>0</v>
      </c>
      <c r="M89" s="23" t="n">
        <f aca="false">IF(D89="Reusable",L89,K89)</f>
        <v>0</v>
      </c>
      <c r="N89" s="77" t="str">
        <f aca="false">IF(M89&gt;0,COUNTIF($M$3:M89,"&gt;0"),"")</f>
        <v/>
      </c>
    </row>
    <row r="90" customFormat="false" ht="15" hidden="false" customHeight="false" outlineLevel="0" collapsed="false">
      <c r="A90" s="77" t="s">
        <v>411</v>
      </c>
      <c r="B90" s="77" t="s">
        <v>505</v>
      </c>
      <c r="C90" s="77" t="s">
        <v>800</v>
      </c>
      <c r="D90" s="77" t="s">
        <v>373</v>
      </c>
      <c r="E90" s="77" t="n">
        <f aca="false">SUMIF('Little Explorers Kits'!$C$5:$C$358,$B90,'Little Explorers Kits'!H$5:H$358)+SUMIF('Junior Makers Kits'!$C$5:$C$440,$B90,'Junior Makers Kits'!H$5:H$440)+SUMIF('Young Innovators Kits'!$C$5:$C$418,$B90,'Young Innovators Kits'!H$5:H$418)+SUMIF('Tech Leaders Kits'!$C$5:$C$386,$B90,'Tech Leaders Kits'!H$5:H$386)</f>
        <v>0</v>
      </c>
      <c r="F90" s="77" t="n">
        <f aca="false">SUMIF('Little Explorers Kits'!$C$5:$C$358,$B90,'Little Explorers Kits'!I$5:I$358)+SUMIF('Junior Makers Kits'!$C$5:$C$440,$B90,'Junior Makers Kits'!I$5:I$440)+SUMIF('Young Innovators Kits'!$C$5:$C$418,$B90,'Young Innovators Kits'!I$5:I$418)+SUMIF('Tech Leaders Kits'!$C$5:$C$386,$B90,'Tech Leaders Kits'!I$5:I$386)</f>
        <v>0</v>
      </c>
      <c r="G90" s="77" t="n">
        <f aca="false">SUMIF('Little Explorers Kits'!$C$5:$C$358,$B90,'Little Explorers Kits'!J$5:J$358)+SUMIF('Junior Makers Kits'!$C$5:$C$440,$B90,'Junior Makers Kits'!J$5:J$440)+SUMIF('Young Innovators Kits'!$C$5:$C$418,$B90,'Young Innovators Kits'!J$5:J$418)+SUMIF('Tech Leaders Kits'!$C$5:$C$386,$B90,'Tech Leaders Kits'!J$5:J$386)</f>
        <v>0</v>
      </c>
      <c r="H90" s="77" t="n">
        <f aca="false">SUMIF('Little Explorers Kits'!$C$5:$C$358,$B90,'Little Explorers Kits'!K$5:K$358)+SUMIF('Junior Makers Kits'!$C$5:$C$440,$B90,'Junior Makers Kits'!K$5:K$440)+SUMIF('Young Innovators Kits'!$C$5:$C$418,$B90,'Young Innovators Kits'!K$5:K$418)+SUMIF('Tech Leaders Kits'!$C$5:$C$386,$B90,'Tech Leaders Kits'!K$5:K$386)</f>
        <v>0</v>
      </c>
      <c r="I90" s="77" t="n">
        <f aca="false">SUMIF('Little Explorers Kits'!$C$5:$C$358,$B90,'Little Explorers Kits'!L$5:L$358)+SUMIF('Junior Makers Kits'!$C$5:$C$440,$B90,'Junior Makers Kits'!L$5:L$440)+SUMIF('Young Innovators Kits'!$C$5:$C$418,$B90,'Young Innovators Kits'!L$5:L$418)+SUMIF('Tech Leaders Kits'!$C$5:$C$386,$B90,'Tech Leaders Kits'!L$5:L$386)</f>
        <v>0</v>
      </c>
      <c r="J90" s="77" t="n">
        <f aca="false">SUMIF('Little Explorers Kits'!$C$5:$C$358,$B90,'Little Explorers Kits'!M$5:M$358)+SUMIF('Junior Makers Kits'!$C$5:$C$440,$B90,'Junior Makers Kits'!M$5:M$440)+SUMIF('Young Innovators Kits'!$C$5:$C$418,$B90,'Young Innovators Kits'!M$5:M$418)+SUMIF('Tech Leaders Kits'!$C$5:$C$386,$B90,'Tech Leaders Kits'!M$5:M$386)</f>
        <v>0</v>
      </c>
      <c r="K90" s="77" t="n">
        <f aca="false">SUM(E90:J90)</f>
        <v>0</v>
      </c>
      <c r="L90" s="77" t="n">
        <f aca="false">MAX(E90:I90)+J90</f>
        <v>0</v>
      </c>
      <c r="M90" s="23" t="n">
        <f aca="false">IF(D90="Reusable",L90,K90)</f>
        <v>0</v>
      </c>
      <c r="N90" s="77" t="str">
        <f aca="false">IF(M90&gt;0,COUNTIF($M$3:M90,"&gt;0"),"")</f>
        <v/>
      </c>
    </row>
    <row r="91" customFormat="false" ht="15" hidden="false" customHeight="false" outlineLevel="0" collapsed="false">
      <c r="A91" s="77" t="s">
        <v>411</v>
      </c>
      <c r="B91" s="77" t="s">
        <v>450</v>
      </c>
      <c r="C91" s="77" t="s">
        <v>801</v>
      </c>
      <c r="D91" s="77" t="s">
        <v>373</v>
      </c>
      <c r="E91" s="77" t="n">
        <f aca="false">SUMIF('Little Explorers Kits'!$C$5:$C$358,$B91,'Little Explorers Kits'!H$5:H$358)+SUMIF('Junior Makers Kits'!$C$5:$C$440,$B91,'Junior Makers Kits'!H$5:H$440)+SUMIF('Young Innovators Kits'!$C$5:$C$418,$B91,'Young Innovators Kits'!H$5:H$418)+SUMIF('Tech Leaders Kits'!$C$5:$C$386,$B91,'Tech Leaders Kits'!H$5:H$386)</f>
        <v>0</v>
      </c>
      <c r="F91" s="77" t="n">
        <f aca="false">SUMIF('Little Explorers Kits'!$C$5:$C$358,$B91,'Little Explorers Kits'!I$5:I$358)+SUMIF('Junior Makers Kits'!$C$5:$C$440,$B91,'Junior Makers Kits'!I$5:I$440)+SUMIF('Young Innovators Kits'!$C$5:$C$418,$B91,'Young Innovators Kits'!I$5:I$418)+SUMIF('Tech Leaders Kits'!$C$5:$C$386,$B91,'Tech Leaders Kits'!I$5:I$386)</f>
        <v>0</v>
      </c>
      <c r="G91" s="77" t="n">
        <f aca="false">SUMIF('Little Explorers Kits'!$C$5:$C$358,$B91,'Little Explorers Kits'!J$5:J$358)+SUMIF('Junior Makers Kits'!$C$5:$C$440,$B91,'Junior Makers Kits'!J$5:J$440)+SUMIF('Young Innovators Kits'!$C$5:$C$418,$B91,'Young Innovators Kits'!J$5:J$418)+SUMIF('Tech Leaders Kits'!$C$5:$C$386,$B91,'Tech Leaders Kits'!J$5:J$386)</f>
        <v>0</v>
      </c>
      <c r="H91" s="77" t="n">
        <f aca="false">SUMIF('Little Explorers Kits'!$C$5:$C$358,$B91,'Little Explorers Kits'!K$5:K$358)+SUMIF('Junior Makers Kits'!$C$5:$C$440,$B91,'Junior Makers Kits'!K$5:K$440)+SUMIF('Young Innovators Kits'!$C$5:$C$418,$B91,'Young Innovators Kits'!K$5:K$418)+SUMIF('Tech Leaders Kits'!$C$5:$C$386,$B91,'Tech Leaders Kits'!K$5:K$386)</f>
        <v>0</v>
      </c>
      <c r="I91" s="77" t="n">
        <f aca="false">SUMIF('Little Explorers Kits'!$C$5:$C$358,$B91,'Little Explorers Kits'!L$5:L$358)+SUMIF('Junior Makers Kits'!$C$5:$C$440,$B91,'Junior Makers Kits'!L$5:L$440)+SUMIF('Young Innovators Kits'!$C$5:$C$418,$B91,'Young Innovators Kits'!L$5:L$418)+SUMIF('Tech Leaders Kits'!$C$5:$C$386,$B91,'Tech Leaders Kits'!L$5:L$386)</f>
        <v>0</v>
      </c>
      <c r="J91" s="77" t="n">
        <f aca="false">SUMIF('Little Explorers Kits'!$C$5:$C$358,$B91,'Little Explorers Kits'!M$5:M$358)+SUMIF('Junior Makers Kits'!$C$5:$C$440,$B91,'Junior Makers Kits'!M$5:M$440)+SUMIF('Young Innovators Kits'!$C$5:$C$418,$B91,'Young Innovators Kits'!M$5:M$418)+SUMIF('Tech Leaders Kits'!$C$5:$C$386,$B91,'Tech Leaders Kits'!M$5:M$386)</f>
        <v>0</v>
      </c>
      <c r="K91" s="77" t="n">
        <f aca="false">SUM(E91:J91)</f>
        <v>0</v>
      </c>
      <c r="L91" s="77" t="n">
        <f aca="false">MAX(E91:I91)+J91</f>
        <v>0</v>
      </c>
      <c r="M91" s="23" t="n">
        <f aca="false">IF(D91="Reusable",L91,K91)</f>
        <v>0</v>
      </c>
      <c r="N91" s="77" t="str">
        <f aca="false">IF(M91&gt;0,COUNTIF($M$3:M91,"&gt;0"),"")</f>
        <v/>
      </c>
    </row>
    <row r="92" customFormat="false" ht="15" hidden="false" customHeight="false" outlineLevel="0" collapsed="false">
      <c r="A92" s="77" t="s">
        <v>411</v>
      </c>
      <c r="B92" s="77" t="s">
        <v>647</v>
      </c>
      <c r="C92" s="77" t="s">
        <v>802</v>
      </c>
      <c r="D92" s="77" t="s">
        <v>373</v>
      </c>
      <c r="E92" s="77" t="n">
        <f aca="false">SUMIF('Little Explorers Kits'!$C$5:$C$358,$B92,'Little Explorers Kits'!H$5:H$358)+SUMIF('Junior Makers Kits'!$C$5:$C$440,$B92,'Junior Makers Kits'!H$5:H$440)+SUMIF('Young Innovators Kits'!$C$5:$C$418,$B92,'Young Innovators Kits'!H$5:H$418)+SUMIF('Tech Leaders Kits'!$C$5:$C$386,$B92,'Tech Leaders Kits'!H$5:H$386)</f>
        <v>0</v>
      </c>
      <c r="F92" s="77" t="n">
        <f aca="false">SUMIF('Little Explorers Kits'!$C$5:$C$358,$B92,'Little Explorers Kits'!I$5:I$358)+SUMIF('Junior Makers Kits'!$C$5:$C$440,$B92,'Junior Makers Kits'!I$5:I$440)+SUMIF('Young Innovators Kits'!$C$5:$C$418,$B92,'Young Innovators Kits'!I$5:I$418)+SUMIF('Tech Leaders Kits'!$C$5:$C$386,$B92,'Tech Leaders Kits'!I$5:I$386)</f>
        <v>0</v>
      </c>
      <c r="G92" s="77" t="n">
        <f aca="false">SUMIF('Little Explorers Kits'!$C$5:$C$358,$B92,'Little Explorers Kits'!J$5:J$358)+SUMIF('Junior Makers Kits'!$C$5:$C$440,$B92,'Junior Makers Kits'!J$5:J$440)+SUMIF('Young Innovators Kits'!$C$5:$C$418,$B92,'Young Innovators Kits'!J$5:J$418)+SUMIF('Tech Leaders Kits'!$C$5:$C$386,$B92,'Tech Leaders Kits'!J$5:J$386)</f>
        <v>0</v>
      </c>
      <c r="H92" s="77" t="n">
        <f aca="false">SUMIF('Little Explorers Kits'!$C$5:$C$358,$B92,'Little Explorers Kits'!K$5:K$358)+SUMIF('Junior Makers Kits'!$C$5:$C$440,$B92,'Junior Makers Kits'!K$5:K$440)+SUMIF('Young Innovators Kits'!$C$5:$C$418,$B92,'Young Innovators Kits'!K$5:K$418)+SUMIF('Tech Leaders Kits'!$C$5:$C$386,$B92,'Tech Leaders Kits'!K$5:K$386)</f>
        <v>0</v>
      </c>
      <c r="I92" s="77" t="n">
        <f aca="false">SUMIF('Little Explorers Kits'!$C$5:$C$358,$B92,'Little Explorers Kits'!L$5:L$358)+SUMIF('Junior Makers Kits'!$C$5:$C$440,$B92,'Junior Makers Kits'!L$5:L$440)+SUMIF('Young Innovators Kits'!$C$5:$C$418,$B92,'Young Innovators Kits'!L$5:L$418)+SUMIF('Tech Leaders Kits'!$C$5:$C$386,$B92,'Tech Leaders Kits'!L$5:L$386)</f>
        <v>0</v>
      </c>
      <c r="J92" s="77" t="n">
        <f aca="false">SUMIF('Little Explorers Kits'!$C$5:$C$358,$B92,'Little Explorers Kits'!M$5:M$358)+SUMIF('Junior Makers Kits'!$C$5:$C$440,$B92,'Junior Makers Kits'!M$5:M$440)+SUMIF('Young Innovators Kits'!$C$5:$C$418,$B92,'Young Innovators Kits'!M$5:M$418)+SUMIF('Tech Leaders Kits'!$C$5:$C$386,$B92,'Tech Leaders Kits'!M$5:M$386)</f>
        <v>0</v>
      </c>
      <c r="K92" s="77" t="n">
        <f aca="false">SUM(E92:J92)</f>
        <v>0</v>
      </c>
      <c r="L92" s="77" t="n">
        <f aca="false">MAX(E92:I92)+J92</f>
        <v>0</v>
      </c>
      <c r="M92" s="23" t="n">
        <f aca="false">IF(D92="Reusable",L92,K92)</f>
        <v>0</v>
      </c>
      <c r="N92" s="77" t="str">
        <f aca="false">IF(M92&gt;0,COUNTIF($M$3:M92,"&gt;0"),"")</f>
        <v/>
      </c>
    </row>
    <row r="93" customFormat="false" ht="15" hidden="false" customHeight="false" outlineLevel="0" collapsed="false">
      <c r="A93" s="77" t="s">
        <v>411</v>
      </c>
      <c r="B93" s="77" t="s">
        <v>494</v>
      </c>
      <c r="C93" s="77" t="s">
        <v>803</v>
      </c>
      <c r="D93" s="77" t="s">
        <v>373</v>
      </c>
      <c r="E93" s="77" t="n">
        <f aca="false">SUMIF('Little Explorers Kits'!$C$5:$C$358,$B93,'Little Explorers Kits'!H$5:H$358)+SUMIF('Junior Makers Kits'!$C$5:$C$440,$B93,'Junior Makers Kits'!H$5:H$440)+SUMIF('Young Innovators Kits'!$C$5:$C$418,$B93,'Young Innovators Kits'!H$5:H$418)+SUMIF('Tech Leaders Kits'!$C$5:$C$386,$B93,'Tech Leaders Kits'!H$5:H$386)</f>
        <v>0</v>
      </c>
      <c r="F93" s="77" t="n">
        <f aca="false">SUMIF('Little Explorers Kits'!$C$5:$C$358,$B93,'Little Explorers Kits'!I$5:I$358)+SUMIF('Junior Makers Kits'!$C$5:$C$440,$B93,'Junior Makers Kits'!I$5:I$440)+SUMIF('Young Innovators Kits'!$C$5:$C$418,$B93,'Young Innovators Kits'!I$5:I$418)+SUMIF('Tech Leaders Kits'!$C$5:$C$386,$B93,'Tech Leaders Kits'!I$5:I$386)</f>
        <v>0</v>
      </c>
      <c r="G93" s="77" t="n">
        <f aca="false">SUMIF('Little Explorers Kits'!$C$5:$C$358,$B93,'Little Explorers Kits'!J$5:J$358)+SUMIF('Junior Makers Kits'!$C$5:$C$440,$B93,'Junior Makers Kits'!J$5:J$440)+SUMIF('Young Innovators Kits'!$C$5:$C$418,$B93,'Young Innovators Kits'!J$5:J$418)+SUMIF('Tech Leaders Kits'!$C$5:$C$386,$B93,'Tech Leaders Kits'!J$5:J$386)</f>
        <v>0</v>
      </c>
      <c r="H93" s="77" t="n">
        <f aca="false">SUMIF('Little Explorers Kits'!$C$5:$C$358,$B93,'Little Explorers Kits'!K$5:K$358)+SUMIF('Junior Makers Kits'!$C$5:$C$440,$B93,'Junior Makers Kits'!K$5:K$440)+SUMIF('Young Innovators Kits'!$C$5:$C$418,$B93,'Young Innovators Kits'!K$5:K$418)+SUMIF('Tech Leaders Kits'!$C$5:$C$386,$B93,'Tech Leaders Kits'!K$5:K$386)</f>
        <v>0</v>
      </c>
      <c r="I93" s="77" t="n">
        <f aca="false">SUMIF('Little Explorers Kits'!$C$5:$C$358,$B93,'Little Explorers Kits'!L$5:L$358)+SUMIF('Junior Makers Kits'!$C$5:$C$440,$B93,'Junior Makers Kits'!L$5:L$440)+SUMIF('Young Innovators Kits'!$C$5:$C$418,$B93,'Young Innovators Kits'!L$5:L$418)+SUMIF('Tech Leaders Kits'!$C$5:$C$386,$B93,'Tech Leaders Kits'!L$5:L$386)</f>
        <v>0</v>
      </c>
      <c r="J93" s="77" t="n">
        <f aca="false">SUMIF('Little Explorers Kits'!$C$5:$C$358,$B93,'Little Explorers Kits'!M$5:M$358)+SUMIF('Junior Makers Kits'!$C$5:$C$440,$B93,'Junior Makers Kits'!M$5:M$440)+SUMIF('Young Innovators Kits'!$C$5:$C$418,$B93,'Young Innovators Kits'!M$5:M$418)+SUMIF('Tech Leaders Kits'!$C$5:$C$386,$B93,'Tech Leaders Kits'!M$5:M$386)</f>
        <v>0</v>
      </c>
      <c r="K93" s="77" t="n">
        <f aca="false">SUM(E93:J93)</f>
        <v>0</v>
      </c>
      <c r="L93" s="77" t="n">
        <f aca="false">MAX(E93:I93)+J93</f>
        <v>0</v>
      </c>
      <c r="M93" s="23" t="n">
        <f aca="false">IF(D93="Reusable",L93,K93)</f>
        <v>0</v>
      </c>
      <c r="N93" s="77" t="str">
        <f aca="false">IF(M93&gt;0,COUNTIF($M$3:M93,"&gt;0"),"")</f>
        <v/>
      </c>
    </row>
    <row r="94" customFormat="false" ht="15" hidden="false" customHeight="false" outlineLevel="0" collapsed="false">
      <c r="A94" s="77" t="s">
        <v>411</v>
      </c>
      <c r="B94" s="77" t="s">
        <v>414</v>
      </c>
      <c r="C94" s="77" t="s">
        <v>804</v>
      </c>
      <c r="D94" s="77" t="s">
        <v>373</v>
      </c>
      <c r="E94" s="77" t="n">
        <f aca="false">SUMIF('Little Explorers Kits'!$C$5:$C$358,$B94,'Little Explorers Kits'!H$5:H$358)+SUMIF('Junior Makers Kits'!$C$5:$C$440,$B94,'Junior Makers Kits'!H$5:H$440)+SUMIF('Young Innovators Kits'!$C$5:$C$418,$B94,'Young Innovators Kits'!H$5:H$418)+SUMIF('Tech Leaders Kits'!$C$5:$C$386,$B94,'Tech Leaders Kits'!H$5:H$386)</f>
        <v>0</v>
      </c>
      <c r="F94" s="77" t="n">
        <f aca="false">SUMIF('Little Explorers Kits'!$C$5:$C$358,$B94,'Little Explorers Kits'!I$5:I$358)+SUMIF('Junior Makers Kits'!$C$5:$C$440,$B94,'Junior Makers Kits'!I$5:I$440)+SUMIF('Young Innovators Kits'!$C$5:$C$418,$B94,'Young Innovators Kits'!I$5:I$418)+SUMIF('Tech Leaders Kits'!$C$5:$C$386,$B94,'Tech Leaders Kits'!I$5:I$386)</f>
        <v>0</v>
      </c>
      <c r="G94" s="77" t="n">
        <f aca="false">SUMIF('Little Explorers Kits'!$C$5:$C$358,$B94,'Little Explorers Kits'!J$5:J$358)+SUMIF('Junior Makers Kits'!$C$5:$C$440,$B94,'Junior Makers Kits'!J$5:J$440)+SUMIF('Young Innovators Kits'!$C$5:$C$418,$B94,'Young Innovators Kits'!J$5:J$418)+SUMIF('Tech Leaders Kits'!$C$5:$C$386,$B94,'Tech Leaders Kits'!J$5:J$386)</f>
        <v>0</v>
      </c>
      <c r="H94" s="77" t="n">
        <f aca="false">SUMIF('Little Explorers Kits'!$C$5:$C$358,$B94,'Little Explorers Kits'!K$5:K$358)+SUMIF('Junior Makers Kits'!$C$5:$C$440,$B94,'Junior Makers Kits'!K$5:K$440)+SUMIF('Young Innovators Kits'!$C$5:$C$418,$B94,'Young Innovators Kits'!K$5:K$418)+SUMIF('Tech Leaders Kits'!$C$5:$C$386,$B94,'Tech Leaders Kits'!K$5:K$386)</f>
        <v>0</v>
      </c>
      <c r="I94" s="77" t="n">
        <f aca="false">SUMIF('Little Explorers Kits'!$C$5:$C$358,$B94,'Little Explorers Kits'!L$5:L$358)+SUMIF('Junior Makers Kits'!$C$5:$C$440,$B94,'Junior Makers Kits'!L$5:L$440)+SUMIF('Young Innovators Kits'!$C$5:$C$418,$B94,'Young Innovators Kits'!L$5:L$418)+SUMIF('Tech Leaders Kits'!$C$5:$C$386,$B94,'Tech Leaders Kits'!L$5:L$386)</f>
        <v>0</v>
      </c>
      <c r="J94" s="77" t="n">
        <f aca="false">SUMIF('Little Explorers Kits'!$C$5:$C$358,$B94,'Little Explorers Kits'!M$5:M$358)+SUMIF('Junior Makers Kits'!$C$5:$C$440,$B94,'Junior Makers Kits'!M$5:M$440)+SUMIF('Young Innovators Kits'!$C$5:$C$418,$B94,'Young Innovators Kits'!M$5:M$418)+SUMIF('Tech Leaders Kits'!$C$5:$C$386,$B94,'Tech Leaders Kits'!M$5:M$386)</f>
        <v>0</v>
      </c>
      <c r="K94" s="77" t="n">
        <f aca="false">SUM(E94:J94)</f>
        <v>0</v>
      </c>
      <c r="L94" s="77" t="n">
        <f aca="false">MAX(E94:I94)+J94</f>
        <v>0</v>
      </c>
      <c r="M94" s="23" t="n">
        <f aca="false">IF(D94="Reusable",L94,K94)</f>
        <v>0</v>
      </c>
      <c r="N94" s="77" t="str">
        <f aca="false">IF(M94&gt;0,COUNTIF($M$3:M94,"&gt;0"),"")</f>
        <v/>
      </c>
    </row>
    <row r="95" customFormat="false" ht="15" hidden="false" customHeight="false" outlineLevel="0" collapsed="false">
      <c r="A95" s="77" t="s">
        <v>411</v>
      </c>
      <c r="B95" s="77" t="s">
        <v>435</v>
      </c>
      <c r="C95" s="77" t="s">
        <v>805</v>
      </c>
      <c r="D95" s="77" t="s">
        <v>368</v>
      </c>
      <c r="E95" s="77" t="n">
        <f aca="false">SUMIF('Little Explorers Kits'!$C$5:$C$358,$B95,'Little Explorers Kits'!H$5:H$358)+SUMIF('Junior Makers Kits'!$C$5:$C$440,$B95,'Junior Makers Kits'!H$5:H$440)+SUMIF('Young Innovators Kits'!$C$5:$C$418,$B95,'Young Innovators Kits'!H$5:H$418)+SUMIF('Tech Leaders Kits'!$C$5:$C$386,$B95,'Tech Leaders Kits'!H$5:H$386)</f>
        <v>0</v>
      </c>
      <c r="F95" s="77" t="n">
        <f aca="false">SUMIF('Little Explorers Kits'!$C$5:$C$358,$B95,'Little Explorers Kits'!I$5:I$358)+SUMIF('Junior Makers Kits'!$C$5:$C$440,$B95,'Junior Makers Kits'!I$5:I$440)+SUMIF('Young Innovators Kits'!$C$5:$C$418,$B95,'Young Innovators Kits'!I$5:I$418)+SUMIF('Tech Leaders Kits'!$C$5:$C$386,$B95,'Tech Leaders Kits'!I$5:I$386)</f>
        <v>0</v>
      </c>
      <c r="G95" s="77" t="n">
        <f aca="false">SUMIF('Little Explorers Kits'!$C$5:$C$358,$B95,'Little Explorers Kits'!J$5:J$358)+SUMIF('Junior Makers Kits'!$C$5:$C$440,$B95,'Junior Makers Kits'!J$5:J$440)+SUMIF('Young Innovators Kits'!$C$5:$C$418,$B95,'Young Innovators Kits'!J$5:J$418)+SUMIF('Tech Leaders Kits'!$C$5:$C$386,$B95,'Tech Leaders Kits'!J$5:J$386)</f>
        <v>0</v>
      </c>
      <c r="H95" s="77" t="n">
        <f aca="false">SUMIF('Little Explorers Kits'!$C$5:$C$358,$B95,'Little Explorers Kits'!K$5:K$358)+SUMIF('Junior Makers Kits'!$C$5:$C$440,$B95,'Junior Makers Kits'!K$5:K$440)+SUMIF('Young Innovators Kits'!$C$5:$C$418,$B95,'Young Innovators Kits'!K$5:K$418)+SUMIF('Tech Leaders Kits'!$C$5:$C$386,$B95,'Tech Leaders Kits'!K$5:K$386)</f>
        <v>0</v>
      </c>
      <c r="I95" s="77" t="n">
        <f aca="false">SUMIF('Little Explorers Kits'!$C$5:$C$358,$B95,'Little Explorers Kits'!L$5:L$358)+SUMIF('Junior Makers Kits'!$C$5:$C$440,$B95,'Junior Makers Kits'!L$5:L$440)+SUMIF('Young Innovators Kits'!$C$5:$C$418,$B95,'Young Innovators Kits'!L$5:L$418)+SUMIF('Tech Leaders Kits'!$C$5:$C$386,$B95,'Tech Leaders Kits'!L$5:L$386)</f>
        <v>0</v>
      </c>
      <c r="J95" s="77" t="n">
        <f aca="false">SUMIF('Little Explorers Kits'!$C$5:$C$358,$B95,'Little Explorers Kits'!M$5:M$358)+SUMIF('Junior Makers Kits'!$C$5:$C$440,$B95,'Junior Makers Kits'!M$5:M$440)+SUMIF('Young Innovators Kits'!$C$5:$C$418,$B95,'Young Innovators Kits'!M$5:M$418)+SUMIF('Tech Leaders Kits'!$C$5:$C$386,$B95,'Tech Leaders Kits'!M$5:M$386)</f>
        <v>0</v>
      </c>
      <c r="K95" s="77" t="n">
        <f aca="false">SUM(E95:J95)</f>
        <v>0</v>
      </c>
      <c r="L95" s="77" t="n">
        <f aca="false">MAX(E95:I95)+J95</f>
        <v>0</v>
      </c>
      <c r="M95" s="23" t="n">
        <f aca="false">IF(D95="Reusable",L95,K95)</f>
        <v>0</v>
      </c>
      <c r="N95" s="77" t="str">
        <f aca="false">IF(M95&gt;0,COUNTIF($M$3:M95,"&gt;0"),"")</f>
        <v/>
      </c>
    </row>
    <row r="96" customFormat="false" ht="15" hidden="false" customHeight="false" outlineLevel="0" collapsed="false">
      <c r="A96" s="77" t="s">
        <v>411</v>
      </c>
      <c r="B96" s="77" t="s">
        <v>493</v>
      </c>
      <c r="C96" s="77" t="s">
        <v>806</v>
      </c>
      <c r="D96" s="77" t="s">
        <v>373</v>
      </c>
      <c r="E96" s="77" t="n">
        <f aca="false">SUMIF('Little Explorers Kits'!$C$5:$C$358,$B96,'Little Explorers Kits'!H$5:H$358)+SUMIF('Junior Makers Kits'!$C$5:$C$440,$B96,'Junior Makers Kits'!H$5:H$440)+SUMIF('Young Innovators Kits'!$C$5:$C$418,$B96,'Young Innovators Kits'!H$5:H$418)+SUMIF('Tech Leaders Kits'!$C$5:$C$386,$B96,'Tech Leaders Kits'!H$5:H$386)</f>
        <v>0</v>
      </c>
      <c r="F96" s="77" t="n">
        <f aca="false">SUMIF('Little Explorers Kits'!$C$5:$C$358,$B96,'Little Explorers Kits'!I$5:I$358)+SUMIF('Junior Makers Kits'!$C$5:$C$440,$B96,'Junior Makers Kits'!I$5:I$440)+SUMIF('Young Innovators Kits'!$C$5:$C$418,$B96,'Young Innovators Kits'!I$5:I$418)+SUMIF('Tech Leaders Kits'!$C$5:$C$386,$B96,'Tech Leaders Kits'!I$5:I$386)</f>
        <v>0</v>
      </c>
      <c r="G96" s="77" t="n">
        <f aca="false">SUMIF('Little Explorers Kits'!$C$5:$C$358,$B96,'Little Explorers Kits'!J$5:J$358)+SUMIF('Junior Makers Kits'!$C$5:$C$440,$B96,'Junior Makers Kits'!J$5:J$440)+SUMIF('Young Innovators Kits'!$C$5:$C$418,$B96,'Young Innovators Kits'!J$5:J$418)+SUMIF('Tech Leaders Kits'!$C$5:$C$386,$B96,'Tech Leaders Kits'!J$5:J$386)</f>
        <v>0</v>
      </c>
      <c r="H96" s="77" t="n">
        <f aca="false">SUMIF('Little Explorers Kits'!$C$5:$C$358,$B96,'Little Explorers Kits'!K$5:K$358)+SUMIF('Junior Makers Kits'!$C$5:$C$440,$B96,'Junior Makers Kits'!K$5:K$440)+SUMIF('Young Innovators Kits'!$C$5:$C$418,$B96,'Young Innovators Kits'!K$5:K$418)+SUMIF('Tech Leaders Kits'!$C$5:$C$386,$B96,'Tech Leaders Kits'!K$5:K$386)</f>
        <v>0</v>
      </c>
      <c r="I96" s="77" t="n">
        <f aca="false">SUMIF('Little Explorers Kits'!$C$5:$C$358,$B96,'Little Explorers Kits'!L$5:L$358)+SUMIF('Junior Makers Kits'!$C$5:$C$440,$B96,'Junior Makers Kits'!L$5:L$440)+SUMIF('Young Innovators Kits'!$C$5:$C$418,$B96,'Young Innovators Kits'!L$5:L$418)+SUMIF('Tech Leaders Kits'!$C$5:$C$386,$B96,'Tech Leaders Kits'!L$5:L$386)</f>
        <v>0</v>
      </c>
      <c r="J96" s="77" t="n">
        <f aca="false">SUMIF('Little Explorers Kits'!$C$5:$C$358,$B96,'Little Explorers Kits'!M$5:M$358)+SUMIF('Junior Makers Kits'!$C$5:$C$440,$B96,'Junior Makers Kits'!M$5:M$440)+SUMIF('Young Innovators Kits'!$C$5:$C$418,$B96,'Young Innovators Kits'!M$5:M$418)+SUMIF('Tech Leaders Kits'!$C$5:$C$386,$B96,'Tech Leaders Kits'!M$5:M$386)</f>
        <v>0</v>
      </c>
      <c r="K96" s="77" t="n">
        <f aca="false">SUM(E96:J96)</f>
        <v>0</v>
      </c>
      <c r="L96" s="77" t="n">
        <f aca="false">MAX(E96:I96)+J96</f>
        <v>0</v>
      </c>
      <c r="M96" s="23" t="n">
        <f aca="false">IF(D96="Reusable",L96,K96)</f>
        <v>0</v>
      </c>
      <c r="N96" s="77" t="str">
        <f aca="false">IF(M96&gt;0,COUNTIF($M$3:M96,"&gt;0"),"")</f>
        <v/>
      </c>
    </row>
    <row r="97" customFormat="false" ht="15" hidden="false" customHeight="false" outlineLevel="0" collapsed="false">
      <c r="A97" s="77" t="s">
        <v>419</v>
      </c>
      <c r="B97" s="77" t="s">
        <v>529</v>
      </c>
      <c r="C97" s="77" t="s">
        <v>807</v>
      </c>
      <c r="D97" s="77" t="s">
        <v>373</v>
      </c>
      <c r="E97" s="77" t="n">
        <f aca="false">SUMIF('Little Explorers Kits'!$C$5:$C$358,$B97,'Little Explorers Kits'!H$5:H$358)+SUMIF('Junior Makers Kits'!$C$5:$C$440,$B97,'Junior Makers Kits'!H$5:H$440)+SUMIF('Young Innovators Kits'!$C$5:$C$418,$B97,'Young Innovators Kits'!H$5:H$418)+SUMIF('Tech Leaders Kits'!$C$5:$C$386,$B97,'Tech Leaders Kits'!H$5:H$386)</f>
        <v>0</v>
      </c>
      <c r="F97" s="77" t="n">
        <f aca="false">SUMIF('Little Explorers Kits'!$C$5:$C$358,$B97,'Little Explorers Kits'!I$5:I$358)+SUMIF('Junior Makers Kits'!$C$5:$C$440,$B97,'Junior Makers Kits'!I$5:I$440)+SUMIF('Young Innovators Kits'!$C$5:$C$418,$B97,'Young Innovators Kits'!I$5:I$418)+SUMIF('Tech Leaders Kits'!$C$5:$C$386,$B97,'Tech Leaders Kits'!I$5:I$386)</f>
        <v>0</v>
      </c>
      <c r="G97" s="77" t="n">
        <f aca="false">SUMIF('Little Explorers Kits'!$C$5:$C$358,$B97,'Little Explorers Kits'!J$5:J$358)+SUMIF('Junior Makers Kits'!$C$5:$C$440,$B97,'Junior Makers Kits'!J$5:J$440)+SUMIF('Young Innovators Kits'!$C$5:$C$418,$B97,'Young Innovators Kits'!J$5:J$418)+SUMIF('Tech Leaders Kits'!$C$5:$C$386,$B97,'Tech Leaders Kits'!J$5:J$386)</f>
        <v>0</v>
      </c>
      <c r="H97" s="77" t="n">
        <f aca="false">SUMIF('Little Explorers Kits'!$C$5:$C$358,$B97,'Little Explorers Kits'!K$5:K$358)+SUMIF('Junior Makers Kits'!$C$5:$C$440,$B97,'Junior Makers Kits'!K$5:K$440)+SUMIF('Young Innovators Kits'!$C$5:$C$418,$B97,'Young Innovators Kits'!K$5:K$418)+SUMIF('Tech Leaders Kits'!$C$5:$C$386,$B97,'Tech Leaders Kits'!K$5:K$386)</f>
        <v>0</v>
      </c>
      <c r="I97" s="77" t="n">
        <f aca="false">SUMIF('Little Explorers Kits'!$C$5:$C$358,$B97,'Little Explorers Kits'!L$5:L$358)+SUMIF('Junior Makers Kits'!$C$5:$C$440,$B97,'Junior Makers Kits'!L$5:L$440)+SUMIF('Young Innovators Kits'!$C$5:$C$418,$B97,'Young Innovators Kits'!L$5:L$418)+SUMIF('Tech Leaders Kits'!$C$5:$C$386,$B97,'Tech Leaders Kits'!L$5:L$386)</f>
        <v>0</v>
      </c>
      <c r="J97" s="77" t="n">
        <f aca="false">SUMIF('Little Explorers Kits'!$C$5:$C$358,$B97,'Little Explorers Kits'!M$5:M$358)+SUMIF('Junior Makers Kits'!$C$5:$C$440,$B97,'Junior Makers Kits'!M$5:M$440)+SUMIF('Young Innovators Kits'!$C$5:$C$418,$B97,'Young Innovators Kits'!M$5:M$418)+SUMIF('Tech Leaders Kits'!$C$5:$C$386,$B97,'Tech Leaders Kits'!M$5:M$386)</f>
        <v>0</v>
      </c>
      <c r="K97" s="77" t="n">
        <f aca="false">SUM(E97:J97)</f>
        <v>0</v>
      </c>
      <c r="L97" s="77" t="n">
        <f aca="false">MAX(E97:I97)+J97</f>
        <v>0</v>
      </c>
      <c r="M97" s="23" t="n">
        <f aca="false">IF(D97="Reusable",L97,K97)</f>
        <v>0</v>
      </c>
      <c r="N97" s="77" t="str">
        <f aca="false">IF(M97&gt;0,COUNTIF($M$3:M97,"&gt;0"),"")</f>
        <v/>
      </c>
    </row>
    <row r="98" customFormat="false" ht="15" hidden="false" customHeight="false" outlineLevel="0" collapsed="false">
      <c r="A98" s="77" t="s">
        <v>419</v>
      </c>
      <c r="B98" s="77" t="s">
        <v>422</v>
      </c>
      <c r="C98" s="77" t="s">
        <v>808</v>
      </c>
      <c r="D98" s="77" t="s">
        <v>368</v>
      </c>
      <c r="E98" s="77" t="n">
        <f aca="false">SUMIF('Little Explorers Kits'!$C$5:$C$358,$B98,'Little Explorers Kits'!H$5:H$358)+SUMIF('Junior Makers Kits'!$C$5:$C$440,$B98,'Junior Makers Kits'!H$5:H$440)+SUMIF('Young Innovators Kits'!$C$5:$C$418,$B98,'Young Innovators Kits'!H$5:H$418)+SUMIF('Tech Leaders Kits'!$C$5:$C$386,$B98,'Tech Leaders Kits'!H$5:H$386)</f>
        <v>0</v>
      </c>
      <c r="F98" s="77" t="n">
        <f aca="false">SUMIF('Little Explorers Kits'!$C$5:$C$358,$B98,'Little Explorers Kits'!I$5:I$358)+SUMIF('Junior Makers Kits'!$C$5:$C$440,$B98,'Junior Makers Kits'!I$5:I$440)+SUMIF('Young Innovators Kits'!$C$5:$C$418,$B98,'Young Innovators Kits'!I$5:I$418)+SUMIF('Tech Leaders Kits'!$C$5:$C$386,$B98,'Tech Leaders Kits'!I$5:I$386)</f>
        <v>0</v>
      </c>
      <c r="G98" s="77" t="n">
        <f aca="false">SUMIF('Little Explorers Kits'!$C$5:$C$358,$B98,'Little Explorers Kits'!J$5:J$358)+SUMIF('Junior Makers Kits'!$C$5:$C$440,$B98,'Junior Makers Kits'!J$5:J$440)+SUMIF('Young Innovators Kits'!$C$5:$C$418,$B98,'Young Innovators Kits'!J$5:J$418)+SUMIF('Tech Leaders Kits'!$C$5:$C$386,$B98,'Tech Leaders Kits'!J$5:J$386)</f>
        <v>0</v>
      </c>
      <c r="H98" s="77" t="n">
        <f aca="false">SUMIF('Little Explorers Kits'!$C$5:$C$358,$B98,'Little Explorers Kits'!K$5:K$358)+SUMIF('Junior Makers Kits'!$C$5:$C$440,$B98,'Junior Makers Kits'!K$5:K$440)+SUMIF('Young Innovators Kits'!$C$5:$C$418,$B98,'Young Innovators Kits'!K$5:K$418)+SUMIF('Tech Leaders Kits'!$C$5:$C$386,$B98,'Tech Leaders Kits'!K$5:K$386)</f>
        <v>0</v>
      </c>
      <c r="I98" s="77" t="n">
        <f aca="false">SUMIF('Little Explorers Kits'!$C$5:$C$358,$B98,'Little Explorers Kits'!L$5:L$358)+SUMIF('Junior Makers Kits'!$C$5:$C$440,$B98,'Junior Makers Kits'!L$5:L$440)+SUMIF('Young Innovators Kits'!$C$5:$C$418,$B98,'Young Innovators Kits'!L$5:L$418)+SUMIF('Tech Leaders Kits'!$C$5:$C$386,$B98,'Tech Leaders Kits'!L$5:L$386)</f>
        <v>0</v>
      </c>
      <c r="J98" s="77" t="n">
        <f aca="false">SUMIF('Little Explorers Kits'!$C$5:$C$358,$B98,'Little Explorers Kits'!M$5:M$358)+SUMIF('Junior Makers Kits'!$C$5:$C$440,$B98,'Junior Makers Kits'!M$5:M$440)+SUMIF('Young Innovators Kits'!$C$5:$C$418,$B98,'Young Innovators Kits'!M$5:M$418)+SUMIF('Tech Leaders Kits'!$C$5:$C$386,$B98,'Tech Leaders Kits'!M$5:M$386)</f>
        <v>0</v>
      </c>
      <c r="K98" s="77" t="n">
        <f aca="false">SUM(E98:J98)</f>
        <v>0</v>
      </c>
      <c r="L98" s="77" t="n">
        <f aca="false">MAX(E98:I98)+J98</f>
        <v>0</v>
      </c>
      <c r="M98" s="23" t="n">
        <f aca="false">IF(D98="Reusable",L98,K98)</f>
        <v>0</v>
      </c>
      <c r="N98" s="77" t="str">
        <f aca="false">IF(M98&gt;0,COUNTIF($M$3:M98,"&gt;0"),"")</f>
        <v/>
      </c>
    </row>
    <row r="99" customFormat="false" ht="15" hidden="false" customHeight="false" outlineLevel="0" collapsed="false">
      <c r="A99" s="77" t="s">
        <v>419</v>
      </c>
      <c r="B99" s="77" t="s">
        <v>454</v>
      </c>
      <c r="C99" s="77" t="s">
        <v>809</v>
      </c>
      <c r="D99" s="77" t="s">
        <v>373</v>
      </c>
      <c r="E99" s="77" t="n">
        <f aca="false">SUMIF('Little Explorers Kits'!$C$5:$C$358,$B99,'Little Explorers Kits'!H$5:H$358)+SUMIF('Junior Makers Kits'!$C$5:$C$440,$B99,'Junior Makers Kits'!H$5:H$440)+SUMIF('Young Innovators Kits'!$C$5:$C$418,$B99,'Young Innovators Kits'!H$5:H$418)+SUMIF('Tech Leaders Kits'!$C$5:$C$386,$B99,'Tech Leaders Kits'!H$5:H$386)</f>
        <v>0</v>
      </c>
      <c r="F99" s="77" t="n">
        <f aca="false">SUMIF('Little Explorers Kits'!$C$5:$C$358,$B99,'Little Explorers Kits'!I$5:I$358)+SUMIF('Junior Makers Kits'!$C$5:$C$440,$B99,'Junior Makers Kits'!I$5:I$440)+SUMIF('Young Innovators Kits'!$C$5:$C$418,$B99,'Young Innovators Kits'!I$5:I$418)+SUMIF('Tech Leaders Kits'!$C$5:$C$386,$B99,'Tech Leaders Kits'!I$5:I$386)</f>
        <v>0</v>
      </c>
      <c r="G99" s="77" t="n">
        <f aca="false">SUMIF('Little Explorers Kits'!$C$5:$C$358,$B99,'Little Explorers Kits'!J$5:J$358)+SUMIF('Junior Makers Kits'!$C$5:$C$440,$B99,'Junior Makers Kits'!J$5:J$440)+SUMIF('Young Innovators Kits'!$C$5:$C$418,$B99,'Young Innovators Kits'!J$5:J$418)+SUMIF('Tech Leaders Kits'!$C$5:$C$386,$B99,'Tech Leaders Kits'!J$5:J$386)</f>
        <v>0</v>
      </c>
      <c r="H99" s="77" t="n">
        <f aca="false">SUMIF('Little Explorers Kits'!$C$5:$C$358,$B99,'Little Explorers Kits'!K$5:K$358)+SUMIF('Junior Makers Kits'!$C$5:$C$440,$B99,'Junior Makers Kits'!K$5:K$440)+SUMIF('Young Innovators Kits'!$C$5:$C$418,$B99,'Young Innovators Kits'!K$5:K$418)+SUMIF('Tech Leaders Kits'!$C$5:$C$386,$B99,'Tech Leaders Kits'!K$5:K$386)</f>
        <v>0</v>
      </c>
      <c r="I99" s="77" t="n">
        <f aca="false">SUMIF('Little Explorers Kits'!$C$5:$C$358,$B99,'Little Explorers Kits'!L$5:L$358)+SUMIF('Junior Makers Kits'!$C$5:$C$440,$B99,'Junior Makers Kits'!L$5:L$440)+SUMIF('Young Innovators Kits'!$C$5:$C$418,$B99,'Young Innovators Kits'!L$5:L$418)+SUMIF('Tech Leaders Kits'!$C$5:$C$386,$B99,'Tech Leaders Kits'!L$5:L$386)</f>
        <v>0</v>
      </c>
      <c r="J99" s="77" t="n">
        <f aca="false">SUMIF('Little Explorers Kits'!$C$5:$C$358,$B99,'Little Explorers Kits'!M$5:M$358)+SUMIF('Junior Makers Kits'!$C$5:$C$440,$B99,'Junior Makers Kits'!M$5:M$440)+SUMIF('Young Innovators Kits'!$C$5:$C$418,$B99,'Young Innovators Kits'!M$5:M$418)+SUMIF('Tech Leaders Kits'!$C$5:$C$386,$B99,'Tech Leaders Kits'!M$5:M$386)</f>
        <v>0</v>
      </c>
      <c r="K99" s="77" t="n">
        <f aca="false">SUM(E99:J99)</f>
        <v>0</v>
      </c>
      <c r="L99" s="77" t="n">
        <f aca="false">MAX(E99:I99)+J99</f>
        <v>0</v>
      </c>
      <c r="M99" s="23" t="n">
        <f aca="false">IF(D99="Reusable",L99,K99)</f>
        <v>0</v>
      </c>
      <c r="N99" s="77" t="str">
        <f aca="false">IF(M99&gt;0,COUNTIF($M$3:M99,"&gt;0"),"")</f>
        <v/>
      </c>
    </row>
    <row r="100" customFormat="false" ht="15" hidden="false" customHeight="false" outlineLevel="0" collapsed="false">
      <c r="A100" s="77" t="s">
        <v>419</v>
      </c>
      <c r="B100" s="77" t="s">
        <v>421</v>
      </c>
      <c r="C100" s="77" t="s">
        <v>810</v>
      </c>
      <c r="D100" s="77" t="s">
        <v>373</v>
      </c>
      <c r="E100" s="77" t="n">
        <f aca="false">SUMIF('Little Explorers Kits'!$C$5:$C$358,$B100,'Little Explorers Kits'!H$5:H$358)+SUMIF('Junior Makers Kits'!$C$5:$C$440,$B100,'Junior Makers Kits'!H$5:H$440)+SUMIF('Young Innovators Kits'!$C$5:$C$418,$B100,'Young Innovators Kits'!H$5:H$418)+SUMIF('Tech Leaders Kits'!$C$5:$C$386,$B100,'Tech Leaders Kits'!H$5:H$386)</f>
        <v>0</v>
      </c>
      <c r="F100" s="77" t="n">
        <f aca="false">SUMIF('Little Explorers Kits'!$C$5:$C$358,$B100,'Little Explorers Kits'!I$5:I$358)+SUMIF('Junior Makers Kits'!$C$5:$C$440,$B100,'Junior Makers Kits'!I$5:I$440)+SUMIF('Young Innovators Kits'!$C$5:$C$418,$B100,'Young Innovators Kits'!I$5:I$418)+SUMIF('Tech Leaders Kits'!$C$5:$C$386,$B100,'Tech Leaders Kits'!I$5:I$386)</f>
        <v>0</v>
      </c>
      <c r="G100" s="77" t="n">
        <f aca="false">SUMIF('Little Explorers Kits'!$C$5:$C$358,$B100,'Little Explorers Kits'!J$5:J$358)+SUMIF('Junior Makers Kits'!$C$5:$C$440,$B100,'Junior Makers Kits'!J$5:J$440)+SUMIF('Young Innovators Kits'!$C$5:$C$418,$B100,'Young Innovators Kits'!J$5:J$418)+SUMIF('Tech Leaders Kits'!$C$5:$C$386,$B100,'Tech Leaders Kits'!J$5:J$386)</f>
        <v>0</v>
      </c>
      <c r="H100" s="77" t="n">
        <f aca="false">SUMIF('Little Explorers Kits'!$C$5:$C$358,$B100,'Little Explorers Kits'!K$5:K$358)+SUMIF('Junior Makers Kits'!$C$5:$C$440,$B100,'Junior Makers Kits'!K$5:K$440)+SUMIF('Young Innovators Kits'!$C$5:$C$418,$B100,'Young Innovators Kits'!K$5:K$418)+SUMIF('Tech Leaders Kits'!$C$5:$C$386,$B100,'Tech Leaders Kits'!K$5:K$386)</f>
        <v>0</v>
      </c>
      <c r="I100" s="77" t="n">
        <f aca="false">SUMIF('Little Explorers Kits'!$C$5:$C$358,$B100,'Little Explorers Kits'!L$5:L$358)+SUMIF('Junior Makers Kits'!$C$5:$C$440,$B100,'Junior Makers Kits'!L$5:L$440)+SUMIF('Young Innovators Kits'!$C$5:$C$418,$B100,'Young Innovators Kits'!L$5:L$418)+SUMIF('Tech Leaders Kits'!$C$5:$C$386,$B100,'Tech Leaders Kits'!L$5:L$386)</f>
        <v>0</v>
      </c>
      <c r="J100" s="77" t="n">
        <f aca="false">SUMIF('Little Explorers Kits'!$C$5:$C$358,$B100,'Little Explorers Kits'!M$5:M$358)+SUMIF('Junior Makers Kits'!$C$5:$C$440,$B100,'Junior Makers Kits'!M$5:M$440)+SUMIF('Young Innovators Kits'!$C$5:$C$418,$B100,'Young Innovators Kits'!M$5:M$418)+SUMIF('Tech Leaders Kits'!$C$5:$C$386,$B100,'Tech Leaders Kits'!M$5:M$386)</f>
        <v>0</v>
      </c>
      <c r="K100" s="77" t="n">
        <f aca="false">SUM(E100:J100)</f>
        <v>0</v>
      </c>
      <c r="L100" s="77" t="n">
        <f aca="false">MAX(E100:I100)+J100</f>
        <v>0</v>
      </c>
      <c r="M100" s="23" t="n">
        <f aca="false">IF(D100="Reusable",L100,K100)</f>
        <v>0</v>
      </c>
      <c r="N100" s="77" t="str">
        <f aca="false">IF(M100&gt;0,COUNTIF($M$3:M100,"&gt;0"),"")</f>
        <v/>
      </c>
    </row>
    <row r="101" customFormat="false" ht="15" hidden="false" customHeight="false" outlineLevel="0" collapsed="false">
      <c r="A101" s="77" t="s">
        <v>419</v>
      </c>
      <c r="B101" s="77" t="s">
        <v>420</v>
      </c>
      <c r="C101" s="77" t="s">
        <v>811</v>
      </c>
      <c r="D101" s="77" t="s">
        <v>373</v>
      </c>
      <c r="E101" s="77" t="n">
        <f aca="false">SUMIF('Little Explorers Kits'!$C$5:$C$358,$B101,'Little Explorers Kits'!H$5:H$358)+SUMIF('Junior Makers Kits'!$C$5:$C$440,$B101,'Junior Makers Kits'!H$5:H$440)+SUMIF('Young Innovators Kits'!$C$5:$C$418,$B101,'Young Innovators Kits'!H$5:H$418)+SUMIF('Tech Leaders Kits'!$C$5:$C$386,$B101,'Tech Leaders Kits'!H$5:H$386)</f>
        <v>0</v>
      </c>
      <c r="F101" s="77" t="n">
        <f aca="false">SUMIF('Little Explorers Kits'!$C$5:$C$358,$B101,'Little Explorers Kits'!I$5:I$358)+SUMIF('Junior Makers Kits'!$C$5:$C$440,$B101,'Junior Makers Kits'!I$5:I$440)+SUMIF('Young Innovators Kits'!$C$5:$C$418,$B101,'Young Innovators Kits'!I$5:I$418)+SUMIF('Tech Leaders Kits'!$C$5:$C$386,$B101,'Tech Leaders Kits'!I$5:I$386)</f>
        <v>0</v>
      </c>
      <c r="G101" s="77" t="n">
        <f aca="false">SUMIF('Little Explorers Kits'!$C$5:$C$358,$B101,'Little Explorers Kits'!J$5:J$358)+SUMIF('Junior Makers Kits'!$C$5:$C$440,$B101,'Junior Makers Kits'!J$5:J$440)+SUMIF('Young Innovators Kits'!$C$5:$C$418,$B101,'Young Innovators Kits'!J$5:J$418)+SUMIF('Tech Leaders Kits'!$C$5:$C$386,$B101,'Tech Leaders Kits'!J$5:J$386)</f>
        <v>0</v>
      </c>
      <c r="H101" s="77" t="n">
        <f aca="false">SUMIF('Little Explorers Kits'!$C$5:$C$358,$B101,'Little Explorers Kits'!K$5:K$358)+SUMIF('Junior Makers Kits'!$C$5:$C$440,$B101,'Junior Makers Kits'!K$5:K$440)+SUMIF('Young Innovators Kits'!$C$5:$C$418,$B101,'Young Innovators Kits'!K$5:K$418)+SUMIF('Tech Leaders Kits'!$C$5:$C$386,$B101,'Tech Leaders Kits'!K$5:K$386)</f>
        <v>0</v>
      </c>
      <c r="I101" s="77" t="n">
        <f aca="false">SUMIF('Little Explorers Kits'!$C$5:$C$358,$B101,'Little Explorers Kits'!L$5:L$358)+SUMIF('Junior Makers Kits'!$C$5:$C$440,$B101,'Junior Makers Kits'!L$5:L$440)+SUMIF('Young Innovators Kits'!$C$5:$C$418,$B101,'Young Innovators Kits'!L$5:L$418)+SUMIF('Tech Leaders Kits'!$C$5:$C$386,$B101,'Tech Leaders Kits'!L$5:L$386)</f>
        <v>0</v>
      </c>
      <c r="J101" s="77" t="n">
        <f aca="false">SUMIF('Little Explorers Kits'!$C$5:$C$358,$B101,'Little Explorers Kits'!M$5:M$358)+SUMIF('Junior Makers Kits'!$C$5:$C$440,$B101,'Junior Makers Kits'!M$5:M$440)+SUMIF('Young Innovators Kits'!$C$5:$C$418,$B101,'Young Innovators Kits'!M$5:M$418)+SUMIF('Tech Leaders Kits'!$C$5:$C$386,$B101,'Tech Leaders Kits'!M$5:M$386)</f>
        <v>0</v>
      </c>
      <c r="K101" s="77" t="n">
        <f aca="false">SUM(E101:J101)</f>
        <v>0</v>
      </c>
      <c r="L101" s="77" t="n">
        <f aca="false">MAX(E101:I101)+J101</f>
        <v>0</v>
      </c>
      <c r="M101" s="23" t="n">
        <f aca="false">IF(D101="Reusable",L101,K101)</f>
        <v>0</v>
      </c>
      <c r="N101" s="77" t="str">
        <f aca="false">IF(M101&gt;0,COUNTIF($M$3:M101,"&gt;0"),"")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G6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6"/>
    <col collapsed="false" customWidth="true" hidden="false" outlineLevel="0" max="3" min="3" style="0" width="8"/>
    <col collapsed="false" customWidth="true" hidden="false" outlineLevel="0" max="4" min="4" style="0" width="40"/>
    <col collapsed="false" customWidth="true" hidden="false" outlineLevel="0" max="5" min="5" style="0" width="26"/>
    <col collapsed="false" customWidth="true" hidden="false" outlineLevel="0" max="6" min="6" style="0" width="11"/>
    <col collapsed="false" customWidth="true" hidden="false" outlineLevel="0" max="7" min="7" style="0" width="6"/>
  </cols>
  <sheetData>
    <row r="1" customFormat="false" ht="15" hidden="false" customHeight="false" outlineLevel="0" collapsed="false">
      <c r="A1" s="2" t="s">
        <v>812</v>
      </c>
    </row>
    <row r="2" customFormat="false" ht="15" hidden="false" customHeight="false" outlineLevel="0" collapsed="false">
      <c r="A2" s="78" t="s">
        <v>68</v>
      </c>
      <c r="B2" s="78" t="s">
        <v>813</v>
      </c>
      <c r="C2" s="78" t="s">
        <v>814</v>
      </c>
      <c r="D2" s="78" t="s">
        <v>815</v>
      </c>
      <c r="E2" s="78" t="s">
        <v>52</v>
      </c>
      <c r="F2" s="78" t="s">
        <v>54</v>
      </c>
      <c r="G2" s="78" t="s">
        <v>55</v>
      </c>
    </row>
    <row r="3" customFormat="false" ht="15" hidden="false" customHeight="false" outlineLevel="0" collapsed="false">
      <c r="A3" s="0" t="n">
        <v>1</v>
      </c>
      <c r="B3" s="0" t="n">
        <v>0</v>
      </c>
      <c r="C3" s="0" t="str">
        <f aca="false">IF(SUM(Calc!$E$3:$E$101)&gt;0,1000,"")</f>
        <v/>
      </c>
      <c r="D3" s="0" t="str">
        <f aca="false">"MONDAY"&amp;IF('This Week''s Hardware'!$C$3="",""," "&amp;TEXT('This Week''s Hardware'!$C$3+0,"dd-mmm"))</f>
        <v>MONDAY</v>
      </c>
      <c r="E3" s="0" t="str">
        <f aca="false">COUNTIFS('Session Tracker'!$F$5:$F$149,"Next week",'Session Tracker'!$G$5:$G$149,"Mon")&amp;" session(s)"</f>
        <v>0 session(s)</v>
      </c>
    </row>
    <row r="4" customFormat="false" ht="15" hidden="false" customHeight="false" outlineLevel="0" collapsed="false">
      <c r="A4" s="0" t="n">
        <v>1</v>
      </c>
      <c r="B4" s="0" t="n">
        <v>1</v>
      </c>
      <c r="C4" s="0" t="str">
        <f aca="false">IF(G4&gt;0,1001,"")</f>
        <v/>
      </c>
      <c r="D4" s="0" t="str">
        <f aca="false">Calc!$B$3</f>
        <v>Arduino Uno + USB cable</v>
      </c>
      <c r="E4" s="0" t="str">
        <f aca="false">Calc!$A$3</f>
        <v>Microcontrollers &amp; Dev Boards</v>
      </c>
      <c r="F4" s="0" t="str">
        <f aca="false">Calc!$D$3</f>
        <v>Reusable</v>
      </c>
      <c r="G4" s="0" t="n">
        <f aca="false">Calc!$E$3</f>
        <v>0</v>
      </c>
    </row>
    <row r="5" customFormat="false" ht="15" hidden="false" customHeight="false" outlineLevel="0" collapsed="false">
      <c r="A5" s="0" t="n">
        <v>1</v>
      </c>
      <c r="B5" s="0" t="n">
        <v>2</v>
      </c>
      <c r="C5" s="0" t="str">
        <f aca="false">IF(G5&gt;0,1002,"")</f>
        <v/>
      </c>
      <c r="D5" s="0" t="str">
        <f aca="false">Calc!$B$4</f>
        <v>ESP32 Dev Board + USB cable</v>
      </c>
      <c r="E5" s="0" t="str">
        <f aca="false">Calc!$A$4</f>
        <v>Microcontrollers &amp; Dev Boards</v>
      </c>
      <c r="F5" s="0" t="str">
        <f aca="false">Calc!$D$4</f>
        <v>Reusable</v>
      </c>
      <c r="G5" s="0" t="n">
        <f aca="false">Calc!$E$4</f>
        <v>0</v>
      </c>
    </row>
    <row r="6" customFormat="false" ht="15" hidden="false" customHeight="false" outlineLevel="0" collapsed="false">
      <c r="A6" s="0" t="n">
        <v>1</v>
      </c>
      <c r="B6" s="0" t="n">
        <v>3</v>
      </c>
      <c r="C6" s="0" t="str">
        <f aca="false">IF(G6&gt;0,1003,"")</f>
        <v/>
      </c>
      <c r="D6" s="0" t="str">
        <f aca="false">Calc!$B$5</f>
        <v>ESP32-CAM + programmer</v>
      </c>
      <c r="E6" s="0" t="str">
        <f aca="false">Calc!$A$5</f>
        <v>Microcontrollers &amp; Dev Boards</v>
      </c>
      <c r="F6" s="0" t="str">
        <f aca="false">Calc!$D$5</f>
        <v>Reusable</v>
      </c>
      <c r="G6" s="0" t="n">
        <f aca="false">Calc!$E$5</f>
        <v>0</v>
      </c>
    </row>
    <row r="7" customFormat="false" ht="15" hidden="false" customHeight="false" outlineLevel="0" collapsed="false">
      <c r="A7" s="0" t="n">
        <v>1</v>
      </c>
      <c r="B7" s="0" t="n">
        <v>4</v>
      </c>
      <c r="C7" s="0" t="str">
        <f aca="false">IF(G7&gt;0,1004,"")</f>
        <v/>
      </c>
      <c r="D7" s="0" t="str">
        <f aca="false">Calc!$B$6</f>
        <v>Makey Makey kit</v>
      </c>
      <c r="E7" s="0" t="str">
        <f aca="false">Calc!$A$6</f>
        <v>Microcontrollers &amp; Dev Boards</v>
      </c>
      <c r="F7" s="0" t="str">
        <f aca="false">Calc!$D$6</f>
        <v>Reusable</v>
      </c>
      <c r="G7" s="0" t="n">
        <f aca="false">Calc!$E$6</f>
        <v>0</v>
      </c>
    </row>
    <row r="8" customFormat="false" ht="15" hidden="false" customHeight="false" outlineLevel="0" collapsed="false">
      <c r="A8" s="0" t="n">
        <v>1</v>
      </c>
      <c r="B8" s="0" t="n">
        <v>5</v>
      </c>
      <c r="C8" s="0" t="str">
        <f aca="false">IF(G8&gt;0,1005,"")</f>
        <v/>
      </c>
      <c r="D8" s="0" t="str">
        <f aca="false">Calc!$B$7</f>
        <v>2WD robot chassis kit</v>
      </c>
      <c r="E8" s="0" t="str">
        <f aca="false">Calc!$A$7</f>
        <v>Robot Platforms &amp; Kits</v>
      </c>
      <c r="F8" s="0" t="str">
        <f aca="false">Calc!$D$7</f>
        <v>Reusable</v>
      </c>
      <c r="G8" s="0" t="n">
        <f aca="false">Calc!$E$7</f>
        <v>0</v>
      </c>
    </row>
    <row r="9" customFormat="false" ht="15" hidden="false" customHeight="false" outlineLevel="0" collapsed="false">
      <c r="A9" s="0" t="n">
        <v>1</v>
      </c>
      <c r="B9" s="0" t="n">
        <v>6</v>
      </c>
      <c r="C9" s="0" t="str">
        <f aca="false">IF(G9&gt;0,1006,"")</f>
        <v/>
      </c>
      <c r="D9" s="0" t="str">
        <f aca="false">Calc!$B$8</f>
        <v>4WD robot car (assembled, L298N)</v>
      </c>
      <c r="E9" s="0" t="str">
        <f aca="false">Calc!$A$8</f>
        <v>Robot Platforms &amp; Kits</v>
      </c>
      <c r="F9" s="0" t="str">
        <f aca="false">Calc!$D$8</f>
        <v>Reusable</v>
      </c>
      <c r="G9" s="0" t="n">
        <f aca="false">Calc!$E$8</f>
        <v>0</v>
      </c>
    </row>
    <row r="10" customFormat="false" ht="15" hidden="false" customHeight="false" outlineLevel="0" collapsed="false">
      <c r="A10" s="0" t="n">
        <v>1</v>
      </c>
      <c r="B10" s="0" t="n">
        <v>7</v>
      </c>
      <c r="C10" s="0" t="str">
        <f aca="false">IF(G10&gt;0,1007,"")</f>
        <v/>
      </c>
      <c r="D10" s="0" t="str">
        <f aca="false">Calc!$B$9</f>
        <v>Brush Bot kit</v>
      </c>
      <c r="E10" s="0" t="str">
        <f aca="false">Calc!$A$9</f>
        <v>Robot Platforms &amp; Kits</v>
      </c>
      <c r="F10" s="0" t="str">
        <f aca="false">Calc!$D$9</f>
        <v>Consumable</v>
      </c>
      <c r="G10" s="0" t="n">
        <f aca="false">Calc!$E$9</f>
        <v>0</v>
      </c>
    </row>
    <row r="11" customFormat="false" ht="15" hidden="false" customHeight="false" outlineLevel="0" collapsed="false">
      <c r="A11" s="0" t="n">
        <v>1</v>
      </c>
      <c r="B11" s="0" t="n">
        <v>8</v>
      </c>
      <c r="C11" s="0" t="str">
        <f aca="false">IF(G11&gt;0,1008,"")</f>
        <v/>
      </c>
      <c r="D11" s="0" t="str">
        <f aca="false">Calc!$B$10</f>
        <v>Colour sensor TCS34725</v>
      </c>
      <c r="E11" s="0" t="str">
        <f aca="false">Calc!$A$10</f>
        <v>Sensors</v>
      </c>
      <c r="F11" s="0" t="str">
        <f aca="false">Calc!$D$10</f>
        <v>Reusable</v>
      </c>
      <c r="G11" s="0" t="n">
        <f aca="false">Calc!$E$10</f>
        <v>0</v>
      </c>
    </row>
    <row r="12" customFormat="false" ht="15" hidden="false" customHeight="false" outlineLevel="0" collapsed="false">
      <c r="A12" s="0" t="n">
        <v>1</v>
      </c>
      <c r="B12" s="0" t="n">
        <v>9</v>
      </c>
      <c r="C12" s="0" t="str">
        <f aca="false">IF(G12&gt;0,1009,"")</f>
        <v/>
      </c>
      <c r="D12" s="0" t="str">
        <f aca="false">Calc!$B$11</f>
        <v>Current sensor INA219</v>
      </c>
      <c r="E12" s="0" t="str">
        <f aca="false">Calc!$A$11</f>
        <v>Sensors</v>
      </c>
      <c r="F12" s="0" t="str">
        <f aca="false">Calc!$D$11</f>
        <v>Reusable</v>
      </c>
      <c r="G12" s="0" t="n">
        <f aca="false">Calc!$E$11</f>
        <v>0</v>
      </c>
    </row>
    <row r="13" customFormat="false" ht="15" hidden="false" customHeight="false" outlineLevel="0" collapsed="false">
      <c r="A13" s="0" t="n">
        <v>1</v>
      </c>
      <c r="B13" s="0" t="n">
        <v>10</v>
      </c>
      <c r="C13" s="0" t="str">
        <f aca="false">IF(G13&gt;0,1010,"")</f>
        <v/>
      </c>
      <c r="D13" s="0" t="str">
        <f aca="false">Calc!$B$12</f>
        <v>DHT22 sensor</v>
      </c>
      <c r="E13" s="0" t="str">
        <f aca="false">Calc!$A$12</f>
        <v>Sensors</v>
      </c>
      <c r="F13" s="0" t="str">
        <f aca="false">Calc!$D$12</f>
        <v>Reusable</v>
      </c>
      <c r="G13" s="0" t="n">
        <f aca="false">Calc!$E$12</f>
        <v>0</v>
      </c>
    </row>
    <row r="14" customFormat="false" ht="15" hidden="false" customHeight="false" outlineLevel="0" collapsed="false">
      <c r="A14" s="0" t="n">
        <v>1</v>
      </c>
      <c r="B14" s="0" t="n">
        <v>11</v>
      </c>
      <c r="C14" s="0" t="str">
        <f aca="false">IF(G14&gt;0,1011,"")</f>
        <v/>
      </c>
      <c r="D14" s="0" t="str">
        <f aca="false">Calc!$B$13</f>
        <v>Flame sensor</v>
      </c>
      <c r="E14" s="0" t="str">
        <f aca="false">Calc!$A$13</f>
        <v>Sensors</v>
      </c>
      <c r="F14" s="0" t="str">
        <f aca="false">Calc!$D$13</f>
        <v>Reusable</v>
      </c>
      <c r="G14" s="0" t="n">
        <f aca="false">Calc!$E$13</f>
        <v>0</v>
      </c>
    </row>
    <row r="15" customFormat="false" ht="15" hidden="false" customHeight="false" outlineLevel="0" collapsed="false">
      <c r="A15" s="0" t="n">
        <v>1</v>
      </c>
      <c r="B15" s="0" t="n">
        <v>12</v>
      </c>
      <c r="C15" s="0" t="str">
        <f aca="false">IF(G15&gt;0,1012,"")</f>
        <v/>
      </c>
      <c r="D15" s="0" t="str">
        <f aca="false">Calc!$B$14</f>
        <v>IR sensor module</v>
      </c>
      <c r="E15" s="0" t="str">
        <f aca="false">Calc!$A$14</f>
        <v>Sensors</v>
      </c>
      <c r="F15" s="0" t="str">
        <f aca="false">Calc!$D$14</f>
        <v>Reusable</v>
      </c>
      <c r="G15" s="0" t="n">
        <f aca="false">Calc!$E$14</f>
        <v>0</v>
      </c>
    </row>
    <row r="16" customFormat="false" ht="15" hidden="false" customHeight="false" outlineLevel="0" collapsed="false">
      <c r="A16" s="0" t="n">
        <v>1</v>
      </c>
      <c r="B16" s="0" t="n">
        <v>13</v>
      </c>
      <c r="C16" s="0" t="str">
        <f aca="false">IF(G16&gt;0,1013,"")</f>
        <v/>
      </c>
      <c r="D16" s="0" t="str">
        <f aca="false">Calc!$B$15</f>
        <v>Joystick module</v>
      </c>
      <c r="E16" s="0" t="str">
        <f aca="false">Calc!$A$15</f>
        <v>Sensors</v>
      </c>
      <c r="F16" s="0" t="str">
        <f aca="false">Calc!$D$15</f>
        <v>Reusable</v>
      </c>
      <c r="G16" s="0" t="n">
        <f aca="false">Calc!$E$15</f>
        <v>0</v>
      </c>
    </row>
    <row r="17" customFormat="false" ht="15" hidden="false" customHeight="false" outlineLevel="0" collapsed="false">
      <c r="A17" s="0" t="n">
        <v>1</v>
      </c>
      <c r="B17" s="0" t="n">
        <v>14</v>
      </c>
      <c r="C17" s="0" t="str">
        <f aca="false">IF(G17&gt;0,1014,"")</f>
        <v/>
      </c>
      <c r="D17" s="0" t="str">
        <f aca="false">Calc!$B$16</f>
        <v>LDR module</v>
      </c>
      <c r="E17" s="0" t="str">
        <f aca="false">Calc!$A$16</f>
        <v>Sensors</v>
      </c>
      <c r="F17" s="0" t="str">
        <f aca="false">Calc!$D$16</f>
        <v>Reusable</v>
      </c>
      <c r="G17" s="0" t="n">
        <f aca="false">Calc!$E$16</f>
        <v>0</v>
      </c>
    </row>
    <row r="18" customFormat="false" ht="15" hidden="false" customHeight="false" outlineLevel="0" collapsed="false">
      <c r="A18" s="0" t="n">
        <v>1</v>
      </c>
      <c r="B18" s="0" t="n">
        <v>15</v>
      </c>
      <c r="C18" s="0" t="str">
        <f aca="false">IF(G18&gt;0,1015,"")</f>
        <v/>
      </c>
      <c r="D18" s="0" t="str">
        <f aca="false">Calc!$B$17</f>
        <v>Load cell 5 kg + HX711</v>
      </c>
      <c r="E18" s="0" t="str">
        <f aca="false">Calc!$A$17</f>
        <v>Sensors</v>
      </c>
      <c r="F18" s="0" t="str">
        <f aca="false">Calc!$D$17</f>
        <v>Reusable</v>
      </c>
      <c r="G18" s="0" t="n">
        <f aca="false">Calc!$E$17</f>
        <v>0</v>
      </c>
    </row>
    <row r="19" customFormat="false" ht="15" hidden="false" customHeight="false" outlineLevel="0" collapsed="false">
      <c r="A19" s="0" t="n">
        <v>1</v>
      </c>
      <c r="B19" s="0" t="n">
        <v>16</v>
      </c>
      <c r="C19" s="0" t="str">
        <f aca="false">IF(G19&gt;0,1016,"")</f>
        <v/>
      </c>
      <c r="D19" s="0" t="str">
        <f aca="false">Calc!$B$18</f>
        <v>MPU6050 IMU</v>
      </c>
      <c r="E19" s="0" t="str">
        <f aca="false">Calc!$A$18</f>
        <v>Sensors</v>
      </c>
      <c r="F19" s="0" t="str">
        <f aca="false">Calc!$D$18</f>
        <v>Reusable</v>
      </c>
      <c r="G19" s="0" t="n">
        <f aca="false">Calc!$E$18</f>
        <v>0</v>
      </c>
    </row>
    <row r="20" customFormat="false" ht="15" hidden="false" customHeight="false" outlineLevel="0" collapsed="false">
      <c r="A20" s="0" t="n">
        <v>1</v>
      </c>
      <c r="B20" s="0" t="n">
        <v>17</v>
      </c>
      <c r="C20" s="0" t="str">
        <f aca="false">IF(G20&gt;0,1017,"")</f>
        <v/>
      </c>
      <c r="D20" s="0" t="str">
        <f aca="false">Calc!$B$19</f>
        <v>MQ-2 gas sensor</v>
      </c>
      <c r="E20" s="0" t="str">
        <f aca="false">Calc!$A$19</f>
        <v>Sensors</v>
      </c>
      <c r="F20" s="0" t="str">
        <f aca="false">Calc!$D$19</f>
        <v>Reusable</v>
      </c>
      <c r="G20" s="0" t="n">
        <f aca="false">Calc!$E$19</f>
        <v>0</v>
      </c>
    </row>
    <row r="21" customFormat="false" ht="15" hidden="false" customHeight="false" outlineLevel="0" collapsed="false">
      <c r="A21" s="0" t="n">
        <v>1</v>
      </c>
      <c r="B21" s="0" t="n">
        <v>18</v>
      </c>
      <c r="C21" s="0" t="str">
        <f aca="false">IF(G21&gt;0,1018,"")</f>
        <v/>
      </c>
      <c r="D21" s="0" t="str">
        <f aca="false">Calc!$B$20</f>
        <v>PIR motion sensor</v>
      </c>
      <c r="E21" s="0" t="str">
        <f aca="false">Calc!$A$20</f>
        <v>Sensors</v>
      </c>
      <c r="F21" s="0" t="str">
        <f aca="false">Calc!$D$20</f>
        <v>Reusable</v>
      </c>
      <c r="G21" s="0" t="n">
        <f aca="false">Calc!$E$20</f>
        <v>0</v>
      </c>
    </row>
    <row r="22" customFormat="false" ht="15" hidden="false" customHeight="false" outlineLevel="0" collapsed="false">
      <c r="A22" s="0" t="n">
        <v>1</v>
      </c>
      <c r="B22" s="0" t="n">
        <v>19</v>
      </c>
      <c r="C22" s="0" t="str">
        <f aca="false">IF(G22&gt;0,1019,"")</f>
        <v/>
      </c>
      <c r="D22" s="0" t="str">
        <f aca="false">Calc!$B$21</f>
        <v>Pulse sensor</v>
      </c>
      <c r="E22" s="0" t="str">
        <f aca="false">Calc!$A$21</f>
        <v>Sensors</v>
      </c>
      <c r="F22" s="0" t="str">
        <f aca="false">Calc!$D$21</f>
        <v>Reusable</v>
      </c>
      <c r="G22" s="0" t="n">
        <f aca="false">Calc!$E$21</f>
        <v>0</v>
      </c>
    </row>
    <row r="23" customFormat="false" ht="15" hidden="false" customHeight="false" outlineLevel="0" collapsed="false">
      <c r="A23" s="0" t="n">
        <v>1</v>
      </c>
      <c r="B23" s="0" t="n">
        <v>20</v>
      </c>
      <c r="C23" s="0" t="str">
        <f aca="false">IF(G23&gt;0,1020,"")</f>
        <v/>
      </c>
      <c r="D23" s="0" t="str">
        <f aca="false">Calc!$B$22</f>
        <v>Rain sensor</v>
      </c>
      <c r="E23" s="0" t="str">
        <f aca="false">Calc!$A$22</f>
        <v>Sensors</v>
      </c>
      <c r="F23" s="0" t="str">
        <f aca="false">Calc!$D$22</f>
        <v>Reusable</v>
      </c>
      <c r="G23" s="0" t="n">
        <f aca="false">Calc!$E$22</f>
        <v>0</v>
      </c>
    </row>
    <row r="24" customFormat="false" ht="15" hidden="false" customHeight="false" outlineLevel="0" collapsed="false">
      <c r="A24" s="0" t="n">
        <v>1</v>
      </c>
      <c r="B24" s="0" t="n">
        <v>21</v>
      </c>
      <c r="C24" s="0" t="str">
        <f aca="false">IF(G24&gt;0,1021,"")</f>
        <v/>
      </c>
      <c r="D24" s="0" t="str">
        <f aca="false">Calc!$B$23</f>
        <v>Soil moisture sensor</v>
      </c>
      <c r="E24" s="0" t="str">
        <f aca="false">Calc!$A$23</f>
        <v>Sensors</v>
      </c>
      <c r="F24" s="0" t="str">
        <f aca="false">Calc!$D$23</f>
        <v>Reusable</v>
      </c>
      <c r="G24" s="0" t="n">
        <f aca="false">Calc!$E$23</f>
        <v>0</v>
      </c>
    </row>
    <row r="25" customFormat="false" ht="15" hidden="false" customHeight="false" outlineLevel="0" collapsed="false">
      <c r="A25" s="0" t="n">
        <v>1</v>
      </c>
      <c r="B25" s="0" t="n">
        <v>22</v>
      </c>
      <c r="C25" s="0" t="str">
        <f aca="false">IF(G25&gt;0,1022,"")</f>
        <v/>
      </c>
      <c r="D25" s="0" t="str">
        <f aca="false">Calc!$B$24</f>
        <v>Sound sensor KY-037</v>
      </c>
      <c r="E25" s="0" t="str">
        <f aca="false">Calc!$A$24</f>
        <v>Sensors</v>
      </c>
      <c r="F25" s="0" t="str">
        <f aca="false">Calc!$D$24</f>
        <v>Reusable</v>
      </c>
      <c r="G25" s="0" t="n">
        <f aca="false">Calc!$E$24</f>
        <v>0</v>
      </c>
    </row>
    <row r="26" customFormat="false" ht="15" hidden="false" customHeight="false" outlineLevel="0" collapsed="false">
      <c r="A26" s="0" t="n">
        <v>1</v>
      </c>
      <c r="B26" s="0" t="n">
        <v>23</v>
      </c>
      <c r="C26" s="0" t="str">
        <f aca="false">IF(G26&gt;0,1023,"")</f>
        <v/>
      </c>
      <c r="D26" s="0" t="str">
        <f aca="false">Calc!$B$25</f>
        <v>Ultrasonic sensor HC-SR04</v>
      </c>
      <c r="E26" s="0" t="str">
        <f aca="false">Calc!$A$25</f>
        <v>Sensors</v>
      </c>
      <c r="F26" s="0" t="str">
        <f aca="false">Calc!$D$25</f>
        <v>Reusable</v>
      </c>
      <c r="G26" s="0" t="n">
        <f aca="false">Calc!$E$25</f>
        <v>0</v>
      </c>
    </row>
    <row r="27" customFormat="false" ht="15" hidden="false" customHeight="false" outlineLevel="0" collapsed="false">
      <c r="A27" s="0" t="n">
        <v>1</v>
      </c>
      <c r="B27" s="0" t="n">
        <v>24</v>
      </c>
      <c r="C27" s="0" t="str">
        <f aca="false">IF(G27&gt;0,1024,"")</f>
        <v/>
      </c>
      <c r="D27" s="0" t="str">
        <f aca="false">Calc!$B$26</f>
        <v>4x4 matrix keypad</v>
      </c>
      <c r="E27" s="0" t="str">
        <f aca="false">Calc!$A$26</f>
        <v>Security &amp; Identification</v>
      </c>
      <c r="F27" s="0" t="str">
        <f aca="false">Calc!$D$26</f>
        <v>Reusable</v>
      </c>
      <c r="G27" s="0" t="n">
        <f aca="false">Calc!$E$26</f>
        <v>0</v>
      </c>
    </row>
    <row r="28" customFormat="false" ht="15" hidden="false" customHeight="false" outlineLevel="0" collapsed="false">
      <c r="A28" s="0" t="n">
        <v>1</v>
      </c>
      <c r="B28" s="0" t="n">
        <v>25</v>
      </c>
      <c r="C28" s="0" t="str">
        <f aca="false">IF(G28&gt;0,1025,"")</f>
        <v/>
      </c>
      <c r="D28" s="0" t="str">
        <f aca="false">Calc!$B$27</f>
        <v>RFID RC522 + cards</v>
      </c>
      <c r="E28" s="0" t="str">
        <f aca="false">Calc!$A$27</f>
        <v>Security &amp; Identification</v>
      </c>
      <c r="F28" s="0" t="str">
        <f aca="false">Calc!$D$27</f>
        <v>Reusable</v>
      </c>
      <c r="G28" s="0" t="n">
        <f aca="false">Calc!$E$27</f>
        <v>0</v>
      </c>
    </row>
    <row r="29" customFormat="false" ht="15" hidden="false" customHeight="false" outlineLevel="0" collapsed="false">
      <c r="A29" s="0" t="n">
        <v>1</v>
      </c>
      <c r="B29" s="0" t="n">
        <v>26</v>
      </c>
      <c r="C29" s="0" t="str">
        <f aca="false">IF(G29&gt;0,1026,"")</f>
        <v/>
      </c>
      <c r="D29" s="0" t="str">
        <f aca="false">Calc!$B$28</f>
        <v>Bluetooth module HC-05</v>
      </c>
      <c r="E29" s="0" t="str">
        <f aca="false">Calc!$A$28</f>
        <v>Communication Modules</v>
      </c>
      <c r="F29" s="0" t="str">
        <f aca="false">Calc!$D$28</f>
        <v>Reusable</v>
      </c>
      <c r="G29" s="0" t="n">
        <f aca="false">Calc!$E$28</f>
        <v>0</v>
      </c>
    </row>
    <row r="30" customFormat="false" ht="15" hidden="false" customHeight="false" outlineLevel="0" collapsed="false">
      <c r="A30" s="0" t="n">
        <v>1</v>
      </c>
      <c r="B30" s="0" t="n">
        <v>27</v>
      </c>
      <c r="C30" s="0" t="str">
        <f aca="false">IF(G30&gt;0,1027,"")</f>
        <v/>
      </c>
      <c r="D30" s="0" t="str">
        <f aca="false">Calc!$B$29</f>
        <v>NRF24L01 module</v>
      </c>
      <c r="E30" s="0" t="str">
        <f aca="false">Calc!$A$29</f>
        <v>Communication Modules</v>
      </c>
      <c r="F30" s="0" t="str">
        <f aca="false">Calc!$D$29</f>
        <v>Reusable</v>
      </c>
      <c r="G30" s="0" t="n">
        <f aca="false">Calc!$E$29</f>
        <v>0</v>
      </c>
    </row>
    <row r="31" customFormat="false" ht="15" hidden="false" customHeight="false" outlineLevel="0" collapsed="false">
      <c r="A31" s="0" t="n">
        <v>1</v>
      </c>
      <c r="B31" s="0" t="n">
        <v>28</v>
      </c>
      <c r="C31" s="0" t="str">
        <f aca="false">IF(G31&gt;0,1028,"")</f>
        <v/>
      </c>
      <c r="D31" s="0" t="str">
        <f aca="false">Calc!$B$30</f>
        <v>Buzzer</v>
      </c>
      <c r="E31" s="0" t="str">
        <f aca="false">Calc!$A$30</f>
        <v>Actuators &amp; Motor Drivers</v>
      </c>
      <c r="F31" s="0" t="str">
        <f aca="false">Calc!$D$30</f>
        <v>Reusable</v>
      </c>
      <c r="G31" s="0" t="n">
        <f aca="false">Calc!$E$30</f>
        <v>0</v>
      </c>
    </row>
    <row r="32" customFormat="false" ht="15" hidden="false" customHeight="false" outlineLevel="0" collapsed="false">
      <c r="A32" s="0" t="n">
        <v>1</v>
      </c>
      <c r="B32" s="0" t="n">
        <v>29</v>
      </c>
      <c r="C32" s="0" t="str">
        <f aca="false">IF(G32&gt;0,1029,"")</f>
        <v/>
      </c>
      <c r="D32" s="0" t="str">
        <f aca="false">Calc!$B$31</f>
        <v>DC hobby motor</v>
      </c>
      <c r="E32" s="0" t="str">
        <f aca="false">Calc!$A$31</f>
        <v>Actuators &amp; Motor Drivers</v>
      </c>
      <c r="F32" s="0" t="str">
        <f aca="false">Calc!$D$31</f>
        <v>Reusable</v>
      </c>
      <c r="G32" s="0" t="n">
        <f aca="false">Calc!$E$31</f>
        <v>0</v>
      </c>
    </row>
    <row r="33" customFormat="false" ht="15" hidden="false" customHeight="false" outlineLevel="0" collapsed="false">
      <c r="A33" s="0" t="n">
        <v>1</v>
      </c>
      <c r="B33" s="0" t="n">
        <v>30</v>
      </c>
      <c r="C33" s="0" t="str">
        <f aca="false">IF(G33&gt;0,1030,"")</f>
        <v/>
      </c>
      <c r="D33" s="0" t="str">
        <f aca="false">Calc!$B$32</f>
        <v>L298N motor driver</v>
      </c>
      <c r="E33" s="0" t="str">
        <f aca="false">Calc!$A$32</f>
        <v>Actuators &amp; Motor Drivers</v>
      </c>
      <c r="F33" s="0" t="str">
        <f aca="false">Calc!$D$32</f>
        <v>Reusable</v>
      </c>
      <c r="G33" s="0" t="n">
        <f aca="false">Calc!$E$32</f>
        <v>0</v>
      </c>
    </row>
    <row r="34" customFormat="false" ht="15" hidden="false" customHeight="false" outlineLevel="0" collapsed="false">
      <c r="A34" s="0" t="n">
        <v>1</v>
      </c>
      <c r="B34" s="0" t="n">
        <v>31</v>
      </c>
      <c r="C34" s="0" t="str">
        <f aca="false">IF(G34&gt;0,1031,"")</f>
        <v/>
      </c>
      <c r="D34" s="0" t="str">
        <f aca="false">Calc!$B$33</f>
        <v>Mini water pump + tube</v>
      </c>
      <c r="E34" s="0" t="str">
        <f aca="false">Calc!$A$33</f>
        <v>Actuators &amp; Motor Drivers</v>
      </c>
      <c r="F34" s="0" t="str">
        <f aca="false">Calc!$D$33</f>
        <v>Reusable</v>
      </c>
      <c r="G34" s="0" t="n">
        <f aca="false">Calc!$E$33</f>
        <v>0</v>
      </c>
    </row>
    <row r="35" customFormat="false" ht="15" hidden="false" customHeight="false" outlineLevel="0" collapsed="false">
      <c r="A35" s="0" t="n">
        <v>1</v>
      </c>
      <c r="B35" s="0" t="n">
        <v>32</v>
      </c>
      <c r="C35" s="0" t="str">
        <f aca="false">IF(G35&gt;0,1032,"")</f>
        <v/>
      </c>
      <c r="D35" s="0" t="str">
        <f aca="false">Calc!$B$34</f>
        <v>Passive buzzer</v>
      </c>
      <c r="E35" s="0" t="str">
        <f aca="false">Calc!$A$34</f>
        <v>Actuators &amp; Motor Drivers</v>
      </c>
      <c r="F35" s="0" t="str">
        <f aca="false">Calc!$D$34</f>
        <v>Reusable</v>
      </c>
      <c r="G35" s="0" t="n">
        <f aca="false">Calc!$E$34</f>
        <v>0</v>
      </c>
    </row>
    <row r="36" customFormat="false" ht="15" hidden="false" customHeight="false" outlineLevel="0" collapsed="false">
      <c r="A36" s="0" t="n">
        <v>1</v>
      </c>
      <c r="B36" s="0" t="n">
        <v>33</v>
      </c>
      <c r="C36" s="0" t="str">
        <f aca="false">IF(G36&gt;0,1033,"")</f>
        <v/>
      </c>
      <c r="D36" s="0" t="str">
        <f aca="false">Calc!$B$35</f>
        <v>Relay module (1-channel)</v>
      </c>
      <c r="E36" s="0" t="str">
        <f aca="false">Calc!$A$35</f>
        <v>Actuators &amp; Motor Drivers</v>
      </c>
      <c r="F36" s="0" t="str">
        <f aca="false">Calc!$D$35</f>
        <v>Reusable</v>
      </c>
      <c r="G36" s="0" t="n">
        <f aca="false">Calc!$E$35</f>
        <v>0</v>
      </c>
    </row>
    <row r="37" customFormat="false" ht="15" hidden="false" customHeight="false" outlineLevel="0" collapsed="false">
      <c r="A37" s="0" t="n">
        <v>1</v>
      </c>
      <c r="B37" s="0" t="n">
        <v>34</v>
      </c>
      <c r="C37" s="0" t="str">
        <f aca="false">IF(G37&gt;0,1034,"")</f>
        <v/>
      </c>
      <c r="D37" s="0" t="str">
        <f aca="false">Calc!$B$36</f>
        <v>Relay module (4-channel)</v>
      </c>
      <c r="E37" s="0" t="str">
        <f aca="false">Calc!$A$36</f>
        <v>Actuators &amp; Motor Drivers</v>
      </c>
      <c r="F37" s="0" t="str">
        <f aca="false">Calc!$D$36</f>
        <v>Reusable</v>
      </c>
      <c r="G37" s="0" t="n">
        <f aca="false">Calc!$E$36</f>
        <v>0</v>
      </c>
    </row>
    <row r="38" customFormat="false" ht="15" hidden="false" customHeight="false" outlineLevel="0" collapsed="false">
      <c r="A38" s="0" t="n">
        <v>1</v>
      </c>
      <c r="B38" s="0" t="n">
        <v>35</v>
      </c>
      <c r="C38" s="0" t="str">
        <f aca="false">IF(G38&gt;0,1035,"")</f>
        <v/>
      </c>
      <c r="D38" s="0" t="str">
        <f aca="false">Calc!$B$37</f>
        <v>Servo MG995</v>
      </c>
      <c r="E38" s="0" t="str">
        <f aca="false">Calc!$A$37</f>
        <v>Actuators &amp; Motor Drivers</v>
      </c>
      <c r="F38" s="0" t="str">
        <f aca="false">Calc!$D$37</f>
        <v>Reusable</v>
      </c>
      <c r="G38" s="0" t="n">
        <f aca="false">Calc!$E$37</f>
        <v>0</v>
      </c>
    </row>
    <row r="39" customFormat="false" ht="15" hidden="false" customHeight="false" outlineLevel="0" collapsed="false">
      <c r="A39" s="0" t="n">
        <v>1</v>
      </c>
      <c r="B39" s="0" t="n">
        <v>36</v>
      </c>
      <c r="C39" s="0" t="str">
        <f aca="false">IF(G39&gt;0,1036,"")</f>
        <v/>
      </c>
      <c r="D39" s="0" t="str">
        <f aca="false">Calc!$B$38</f>
        <v>Servo SG90</v>
      </c>
      <c r="E39" s="0" t="str">
        <f aca="false">Calc!$A$38</f>
        <v>Actuators &amp; Motor Drivers</v>
      </c>
      <c r="F39" s="0" t="str">
        <f aca="false">Calc!$D$38</f>
        <v>Reusable</v>
      </c>
      <c r="G39" s="0" t="n">
        <f aca="false">Calc!$E$38</f>
        <v>0</v>
      </c>
    </row>
    <row r="40" customFormat="false" ht="15" hidden="false" customHeight="false" outlineLevel="0" collapsed="false">
      <c r="A40" s="0" t="n">
        <v>1</v>
      </c>
      <c r="B40" s="0" t="n">
        <v>37</v>
      </c>
      <c r="C40" s="0" t="str">
        <f aca="false">IF(G40&gt;0,1037,"")</f>
        <v/>
      </c>
      <c r="D40" s="0" t="str">
        <f aca="false">Calc!$B$39</f>
        <v>Stepper 28BYJ-48 + ULN2003</v>
      </c>
      <c r="E40" s="0" t="str">
        <f aca="false">Calc!$A$39</f>
        <v>Actuators &amp; Motor Drivers</v>
      </c>
      <c r="F40" s="0" t="str">
        <f aca="false">Calc!$D$39</f>
        <v>Reusable</v>
      </c>
      <c r="G40" s="0" t="n">
        <f aca="false">Calc!$E$39</f>
        <v>0</v>
      </c>
    </row>
    <row r="41" customFormat="false" ht="15" hidden="false" customHeight="false" outlineLevel="0" collapsed="false">
      <c r="A41" s="0" t="n">
        <v>1</v>
      </c>
      <c r="B41" s="0" t="n">
        <v>38</v>
      </c>
      <c r="C41" s="0" t="str">
        <f aca="false">IF(G41&gt;0,1038,"")</f>
        <v/>
      </c>
      <c r="D41" s="0" t="str">
        <f aca="false">Calc!$B$40</f>
        <v>Vibration motor module</v>
      </c>
      <c r="E41" s="0" t="str">
        <f aca="false">Calc!$A$40</f>
        <v>Actuators &amp; Motor Drivers</v>
      </c>
      <c r="F41" s="0" t="str">
        <f aca="false">Calc!$D$40</f>
        <v>Reusable</v>
      </c>
      <c r="G41" s="0" t="n">
        <f aca="false">Calc!$E$40</f>
        <v>0</v>
      </c>
    </row>
    <row r="42" customFormat="false" ht="15" hidden="false" customHeight="false" outlineLevel="0" collapsed="false">
      <c r="A42" s="0" t="n">
        <v>1</v>
      </c>
      <c r="B42" s="0" t="n">
        <v>39</v>
      </c>
      <c r="C42" s="0" t="str">
        <f aca="false">IF(G42&gt;0,1039,"")</f>
        <v/>
      </c>
      <c r="D42" s="0" t="str">
        <f aca="false">Calc!$B$41</f>
        <v>5 V DC fan</v>
      </c>
      <c r="E42" s="0" t="str">
        <f aca="false">Calc!$A$41</f>
        <v>Displays &amp; Output</v>
      </c>
      <c r="F42" s="0" t="str">
        <f aca="false">Calc!$D$41</f>
        <v>Reusable</v>
      </c>
      <c r="G42" s="0" t="n">
        <f aca="false">Calc!$E$41</f>
        <v>0</v>
      </c>
    </row>
    <row r="43" customFormat="false" ht="15" hidden="false" customHeight="false" outlineLevel="0" collapsed="false">
      <c r="A43" s="0" t="n">
        <v>1</v>
      </c>
      <c r="B43" s="0" t="n">
        <v>40</v>
      </c>
      <c r="C43" s="0" t="str">
        <f aca="false">IF(G43&gt;0,1040,"")</f>
        <v/>
      </c>
      <c r="D43" s="0" t="str">
        <f aca="false">Calc!$B$42</f>
        <v>LED 5 mm (assorted)</v>
      </c>
      <c r="E43" s="0" t="str">
        <f aca="false">Calc!$A$42</f>
        <v>Displays &amp; Output</v>
      </c>
      <c r="F43" s="0" t="str">
        <f aca="false">Calc!$D$42</f>
        <v>Consumable</v>
      </c>
      <c r="G43" s="0" t="n">
        <f aca="false">Calc!$E$42</f>
        <v>0</v>
      </c>
    </row>
    <row r="44" customFormat="false" ht="15" hidden="false" customHeight="false" outlineLevel="0" collapsed="false">
      <c r="A44" s="0" t="n">
        <v>1</v>
      </c>
      <c r="B44" s="0" t="n">
        <v>41</v>
      </c>
      <c r="C44" s="0" t="str">
        <f aca="false">IF(G44&gt;0,1041,"")</f>
        <v/>
      </c>
      <c r="D44" s="0" t="str">
        <f aca="false">Calc!$B$43</f>
        <v>Low-voltage LED lamp (5 V)</v>
      </c>
      <c r="E44" s="0" t="str">
        <f aca="false">Calc!$A$43</f>
        <v>Displays &amp; Output</v>
      </c>
      <c r="F44" s="0" t="str">
        <f aca="false">Calc!$D$43</f>
        <v>Reusable</v>
      </c>
      <c r="G44" s="0" t="n">
        <f aca="false">Calc!$E$43</f>
        <v>0</v>
      </c>
    </row>
    <row r="45" customFormat="false" ht="15" hidden="false" customHeight="false" outlineLevel="0" collapsed="false">
      <c r="A45" s="0" t="n">
        <v>1</v>
      </c>
      <c r="B45" s="0" t="n">
        <v>42</v>
      </c>
      <c r="C45" s="0" t="str">
        <f aca="false">IF(G45&gt;0,1042,"")</f>
        <v/>
      </c>
      <c r="D45" s="0" t="str">
        <f aca="false">Calc!$B$44</f>
        <v>MAX7219 8x8 LED matrix</v>
      </c>
      <c r="E45" s="0" t="str">
        <f aca="false">Calc!$A$44</f>
        <v>Displays &amp; Output</v>
      </c>
      <c r="F45" s="0" t="str">
        <f aca="false">Calc!$D$44</f>
        <v>Reusable</v>
      </c>
      <c r="G45" s="0" t="n">
        <f aca="false">Calc!$E$44</f>
        <v>0</v>
      </c>
    </row>
    <row r="46" customFormat="false" ht="15" hidden="false" customHeight="false" outlineLevel="0" collapsed="false">
      <c r="A46" s="0" t="n">
        <v>1</v>
      </c>
      <c r="B46" s="0" t="n">
        <v>43</v>
      </c>
      <c r="C46" s="0" t="str">
        <f aca="false">IF(G46&gt;0,1043,"")</f>
        <v/>
      </c>
      <c r="D46" s="0" t="str">
        <f aca="false">Calc!$B$45</f>
        <v>OLED 0.96 in I2C</v>
      </c>
      <c r="E46" s="0" t="str">
        <f aca="false">Calc!$A$45</f>
        <v>Displays &amp; Output</v>
      </c>
      <c r="F46" s="0" t="str">
        <f aca="false">Calc!$D$45</f>
        <v>Reusable</v>
      </c>
      <c r="G46" s="0" t="n">
        <f aca="false">Calc!$E$45</f>
        <v>0</v>
      </c>
    </row>
    <row r="47" customFormat="false" ht="15" hidden="false" customHeight="false" outlineLevel="0" collapsed="false">
      <c r="A47" s="0" t="n">
        <v>1</v>
      </c>
      <c r="B47" s="0" t="n">
        <v>44</v>
      </c>
      <c r="C47" s="0" t="str">
        <f aca="false">IF(G47&gt;0,1044,"")</f>
        <v/>
      </c>
      <c r="D47" s="0" t="str">
        <f aca="false">Calc!$B$46</f>
        <v>RGB LED</v>
      </c>
      <c r="E47" s="0" t="str">
        <f aca="false">Calc!$A$46</f>
        <v>Displays &amp; Output</v>
      </c>
      <c r="F47" s="0" t="str">
        <f aca="false">Calc!$D$46</f>
        <v>Reusable</v>
      </c>
      <c r="G47" s="0" t="n">
        <f aca="false">Calc!$E$46</f>
        <v>0</v>
      </c>
    </row>
    <row r="48" customFormat="false" ht="15" hidden="false" customHeight="false" outlineLevel="0" collapsed="false">
      <c r="A48" s="0" t="n">
        <v>1</v>
      </c>
      <c r="B48" s="0" t="n">
        <v>45</v>
      </c>
      <c r="C48" s="0" t="str">
        <f aca="false">IF(G48&gt;0,1045,"")</f>
        <v/>
      </c>
      <c r="D48" s="0" t="str">
        <f aca="false">Calc!$B$47</f>
        <v>WS2812B LED ring (12 LEDs)</v>
      </c>
      <c r="E48" s="0" t="str">
        <f aca="false">Calc!$A$47</f>
        <v>Displays &amp; Output</v>
      </c>
      <c r="F48" s="0" t="str">
        <f aca="false">Calc!$D$47</f>
        <v>Reusable</v>
      </c>
      <c r="G48" s="0" t="n">
        <f aca="false">Calc!$E$47</f>
        <v>0</v>
      </c>
    </row>
    <row r="49" customFormat="false" ht="15" hidden="false" customHeight="false" outlineLevel="0" collapsed="false">
      <c r="A49" s="0" t="n">
        <v>1</v>
      </c>
      <c r="B49" s="0" t="n">
        <v>46</v>
      </c>
      <c r="C49" s="0" t="str">
        <f aca="false">IF(G49&gt;0,1046,"")</f>
        <v/>
      </c>
      <c r="D49" s="0" t="str">
        <f aca="false">Calc!$B$48</f>
        <v>WS2812B LED strip (1 m, 30 LEDs)</v>
      </c>
      <c r="E49" s="0" t="str">
        <f aca="false">Calc!$A$48</f>
        <v>Displays &amp; Output</v>
      </c>
      <c r="F49" s="0" t="str">
        <f aca="false">Calc!$D$48</f>
        <v>Reusable</v>
      </c>
      <c r="G49" s="0" t="n">
        <f aca="false">Calc!$E$48</f>
        <v>0</v>
      </c>
    </row>
    <row r="50" customFormat="false" ht="15" hidden="false" customHeight="false" outlineLevel="0" collapsed="false">
      <c r="A50" s="0" t="n">
        <v>1</v>
      </c>
      <c r="B50" s="0" t="n">
        <v>47</v>
      </c>
      <c r="C50" s="0" t="str">
        <f aca="false">IF(G50&gt;0,1047,"")</f>
        <v/>
      </c>
      <c r="D50" s="0" t="str">
        <f aca="false">Calc!$B$49</f>
        <v>555 timer IC</v>
      </c>
      <c r="E50" s="0" t="str">
        <f aca="false">Calc!$A$49</f>
        <v>Passive Components &amp; ICs</v>
      </c>
      <c r="F50" s="0" t="str">
        <f aca="false">Calc!$D$49</f>
        <v>Consumable</v>
      </c>
      <c r="G50" s="0" t="n">
        <f aca="false">Calc!$E$49</f>
        <v>0</v>
      </c>
    </row>
    <row r="51" customFormat="false" ht="15" hidden="false" customHeight="false" outlineLevel="0" collapsed="false">
      <c r="A51" s="0" t="n">
        <v>1</v>
      </c>
      <c r="B51" s="0" t="n">
        <v>48</v>
      </c>
      <c r="C51" s="0" t="str">
        <f aca="false">IF(G51&gt;0,1048,"")</f>
        <v/>
      </c>
      <c r="D51" s="0" t="str">
        <f aca="false">Calc!$B$50</f>
        <v>Capacitor 10 nF</v>
      </c>
      <c r="E51" s="0" t="str">
        <f aca="false">Calc!$A$50</f>
        <v>Passive Components &amp; ICs</v>
      </c>
      <c r="F51" s="0" t="str">
        <f aca="false">Calc!$D$50</f>
        <v>Consumable</v>
      </c>
      <c r="G51" s="0" t="n">
        <f aca="false">Calc!$E$50</f>
        <v>0</v>
      </c>
    </row>
    <row r="52" customFormat="false" ht="15" hidden="false" customHeight="false" outlineLevel="0" collapsed="false">
      <c r="A52" s="0" t="n">
        <v>1</v>
      </c>
      <c r="B52" s="0" t="n">
        <v>49</v>
      </c>
      <c r="C52" s="0" t="str">
        <f aca="false">IF(G52&gt;0,1049,"")</f>
        <v/>
      </c>
      <c r="D52" s="0" t="str">
        <f aca="false">Calc!$B$51</f>
        <v>Capacitor 10 uF</v>
      </c>
      <c r="E52" s="0" t="str">
        <f aca="false">Calc!$A$51</f>
        <v>Passive Components &amp; ICs</v>
      </c>
      <c r="F52" s="0" t="str">
        <f aca="false">Calc!$D$51</f>
        <v>Consumable</v>
      </c>
      <c r="G52" s="0" t="n">
        <f aca="false">Calc!$E$51</f>
        <v>0</v>
      </c>
    </row>
    <row r="53" customFormat="false" ht="15" hidden="false" customHeight="false" outlineLevel="0" collapsed="false">
      <c r="A53" s="0" t="n">
        <v>1</v>
      </c>
      <c r="B53" s="0" t="n">
        <v>50</v>
      </c>
      <c r="C53" s="0" t="str">
        <f aca="false">IF(G53&gt;0,1050,"")</f>
        <v/>
      </c>
      <c r="D53" s="0" t="str">
        <f aca="false">Calc!$B$52</f>
        <v>Capacitor 100 uF</v>
      </c>
      <c r="E53" s="0" t="str">
        <f aca="false">Calc!$A$52</f>
        <v>Passive Components &amp; ICs</v>
      </c>
      <c r="F53" s="0" t="str">
        <f aca="false">Calc!$D$52</f>
        <v>Consumable</v>
      </c>
      <c r="G53" s="0" t="n">
        <f aca="false">Calc!$E$52</f>
        <v>0</v>
      </c>
    </row>
    <row r="54" customFormat="false" ht="15" hidden="false" customHeight="false" outlineLevel="0" collapsed="false">
      <c r="A54" s="0" t="n">
        <v>1</v>
      </c>
      <c r="B54" s="0" t="n">
        <v>51</v>
      </c>
      <c r="C54" s="0" t="str">
        <f aca="false">IF(G54&gt;0,1051,"")</f>
        <v/>
      </c>
      <c r="D54" s="0" t="str">
        <f aca="false">Calc!$B$53</f>
        <v>Potentiometer 10k</v>
      </c>
      <c r="E54" s="0" t="str">
        <f aca="false">Calc!$A$53</f>
        <v>Passive Components &amp; ICs</v>
      </c>
      <c r="F54" s="0" t="str">
        <f aca="false">Calc!$D$53</f>
        <v>Reusable</v>
      </c>
      <c r="G54" s="0" t="n">
        <f aca="false">Calc!$E$53</f>
        <v>0</v>
      </c>
    </row>
    <row r="55" customFormat="false" ht="15" hidden="false" customHeight="false" outlineLevel="0" collapsed="false">
      <c r="A55" s="0" t="n">
        <v>1</v>
      </c>
      <c r="B55" s="0" t="n">
        <v>52</v>
      </c>
      <c r="C55" s="0" t="str">
        <f aca="false">IF(G55&gt;0,1052,"")</f>
        <v/>
      </c>
      <c r="D55" s="0" t="str">
        <f aca="false">Calc!$B$54</f>
        <v>Push button</v>
      </c>
      <c r="E55" s="0" t="str">
        <f aca="false">Calc!$A$54</f>
        <v>Passive Components &amp; ICs</v>
      </c>
      <c r="F55" s="0" t="str">
        <f aca="false">Calc!$D$54</f>
        <v>Reusable</v>
      </c>
      <c r="G55" s="0" t="n">
        <f aca="false">Calc!$E$54</f>
        <v>0</v>
      </c>
    </row>
    <row r="56" customFormat="false" ht="15" hidden="false" customHeight="false" outlineLevel="0" collapsed="false">
      <c r="A56" s="0" t="n">
        <v>1</v>
      </c>
      <c r="B56" s="0" t="n">
        <v>53</v>
      </c>
      <c r="C56" s="0" t="str">
        <f aca="false">IF(G56&gt;0,1053,"")</f>
        <v/>
      </c>
      <c r="D56" s="0" t="str">
        <f aca="false">Calc!$B$55</f>
        <v>Resistor 10k ohm</v>
      </c>
      <c r="E56" s="0" t="str">
        <f aca="false">Calc!$A$55</f>
        <v>Passive Components &amp; ICs</v>
      </c>
      <c r="F56" s="0" t="str">
        <f aca="false">Calc!$D$55</f>
        <v>Consumable</v>
      </c>
      <c r="G56" s="0" t="n">
        <f aca="false">Calc!$E$55</f>
        <v>0</v>
      </c>
    </row>
    <row r="57" customFormat="false" ht="15" hidden="false" customHeight="false" outlineLevel="0" collapsed="false">
      <c r="A57" s="0" t="n">
        <v>1</v>
      </c>
      <c r="B57" s="0" t="n">
        <v>54</v>
      </c>
      <c r="C57" s="0" t="str">
        <f aca="false">IF(G57&gt;0,1054,"")</f>
        <v/>
      </c>
      <c r="D57" s="0" t="str">
        <f aca="false">Calc!$B$56</f>
        <v>Resistor 1k ohm</v>
      </c>
      <c r="E57" s="0" t="str">
        <f aca="false">Calc!$A$56</f>
        <v>Passive Components &amp; ICs</v>
      </c>
      <c r="F57" s="0" t="str">
        <f aca="false">Calc!$D$56</f>
        <v>Consumable</v>
      </c>
      <c r="G57" s="0" t="n">
        <f aca="false">Calc!$E$56</f>
        <v>0</v>
      </c>
    </row>
    <row r="58" customFormat="false" ht="15" hidden="false" customHeight="false" outlineLevel="0" collapsed="false">
      <c r="A58" s="0" t="n">
        <v>1</v>
      </c>
      <c r="B58" s="0" t="n">
        <v>55</v>
      </c>
      <c r="C58" s="0" t="str">
        <f aca="false">IF(G58&gt;0,1055,"")</f>
        <v/>
      </c>
      <c r="D58" s="0" t="str">
        <f aca="false">Calc!$B$57</f>
        <v>Resistor 220 ohm</v>
      </c>
      <c r="E58" s="0" t="str">
        <f aca="false">Calc!$A$57</f>
        <v>Passive Components &amp; ICs</v>
      </c>
      <c r="F58" s="0" t="str">
        <f aca="false">Calc!$D$57</f>
        <v>Consumable</v>
      </c>
      <c r="G58" s="0" t="n">
        <f aca="false">Calc!$E$57</f>
        <v>0</v>
      </c>
    </row>
    <row r="59" customFormat="false" ht="15" hidden="false" customHeight="false" outlineLevel="0" collapsed="false">
      <c r="A59" s="0" t="n">
        <v>1</v>
      </c>
      <c r="B59" s="0" t="n">
        <v>56</v>
      </c>
      <c r="C59" s="0" t="str">
        <f aca="false">IF(G59&gt;0,1056,"")</f>
        <v/>
      </c>
      <c r="D59" s="0" t="str">
        <f aca="false">Calc!$B$58</f>
        <v>Slide switch</v>
      </c>
      <c r="E59" s="0" t="str">
        <f aca="false">Calc!$A$58</f>
        <v>Passive Components &amp; ICs</v>
      </c>
      <c r="F59" s="0" t="str">
        <f aca="false">Calc!$D$58</f>
        <v>Reusable</v>
      </c>
      <c r="G59" s="0" t="n">
        <f aca="false">Calc!$E$58</f>
        <v>0</v>
      </c>
    </row>
    <row r="60" customFormat="false" ht="15" hidden="false" customHeight="false" outlineLevel="0" collapsed="false">
      <c r="A60" s="0" t="n">
        <v>1</v>
      </c>
      <c r="B60" s="0" t="n">
        <v>57</v>
      </c>
      <c r="C60" s="0" t="str">
        <f aca="false">IF(G60&gt;0,1057,"")</f>
        <v/>
      </c>
      <c r="D60" s="0" t="str">
        <f aca="false">Calc!$B$59</f>
        <v>18650 cell + holder</v>
      </c>
      <c r="E60" s="0" t="str">
        <f aca="false">Calc!$A$59</f>
        <v>Power</v>
      </c>
      <c r="F60" s="0" t="str">
        <f aca="false">Calc!$D$59</f>
        <v>Reusable</v>
      </c>
      <c r="G60" s="0" t="n">
        <f aca="false">Calc!$E$59</f>
        <v>0</v>
      </c>
    </row>
    <row r="61" customFormat="false" ht="15" hidden="false" customHeight="false" outlineLevel="0" collapsed="false">
      <c r="A61" s="0" t="n">
        <v>1</v>
      </c>
      <c r="B61" s="0" t="n">
        <v>58</v>
      </c>
      <c r="C61" s="0" t="str">
        <f aca="false">IF(G61&gt;0,1058,"")</f>
        <v/>
      </c>
      <c r="D61" s="0" t="str">
        <f aca="false">Calc!$B$60</f>
        <v>2xAA battery holder + batteries</v>
      </c>
      <c r="E61" s="0" t="str">
        <f aca="false">Calc!$A$60</f>
        <v>Power</v>
      </c>
      <c r="F61" s="0" t="str">
        <f aca="false">Calc!$D$60</f>
        <v>Consumable</v>
      </c>
      <c r="G61" s="0" t="n">
        <f aca="false">Calc!$E$60</f>
        <v>0</v>
      </c>
    </row>
    <row r="62" customFormat="false" ht="15" hidden="false" customHeight="false" outlineLevel="0" collapsed="false">
      <c r="A62" s="0" t="n">
        <v>1</v>
      </c>
      <c r="B62" s="0" t="n">
        <v>59</v>
      </c>
      <c r="C62" s="0" t="str">
        <f aca="false">IF(G62&gt;0,1059,"")</f>
        <v/>
      </c>
      <c r="D62" s="0" t="str">
        <f aca="false">Calc!$B$61</f>
        <v>4xAA battery pack</v>
      </c>
      <c r="E62" s="0" t="str">
        <f aca="false">Calc!$A$61</f>
        <v>Power</v>
      </c>
      <c r="F62" s="0" t="str">
        <f aca="false">Calc!$D$61</f>
        <v>Consumable</v>
      </c>
      <c r="G62" s="0" t="n">
        <f aca="false">Calc!$E$61</f>
        <v>0</v>
      </c>
    </row>
    <row r="63" customFormat="false" ht="15" hidden="false" customHeight="false" outlineLevel="0" collapsed="false">
      <c r="A63" s="0" t="n">
        <v>1</v>
      </c>
      <c r="B63" s="0" t="n">
        <v>60</v>
      </c>
      <c r="C63" s="0" t="str">
        <f aca="false">IF(G63&gt;0,1060,"")</f>
        <v/>
      </c>
      <c r="D63" s="0" t="str">
        <f aca="false">Calc!$B$62</f>
        <v>9V battery + snap</v>
      </c>
      <c r="E63" s="0" t="str">
        <f aca="false">Calc!$A$62</f>
        <v>Power</v>
      </c>
      <c r="F63" s="0" t="str">
        <f aca="false">Calc!$D$62</f>
        <v>Consumable</v>
      </c>
      <c r="G63" s="0" t="n">
        <f aca="false">Calc!$E$62</f>
        <v>0</v>
      </c>
    </row>
    <row r="64" customFormat="false" ht="15" hidden="false" customHeight="false" outlineLevel="0" collapsed="false">
      <c r="A64" s="0" t="n">
        <v>1</v>
      </c>
      <c r="B64" s="0" t="n">
        <v>61</v>
      </c>
      <c r="C64" s="0" t="str">
        <f aca="false">IF(G64&gt;0,1061,"")</f>
        <v/>
      </c>
      <c r="D64" s="0" t="str">
        <f aca="false">Calc!$B$63</f>
        <v>Coin cell CR2032</v>
      </c>
      <c r="E64" s="0" t="str">
        <f aca="false">Calc!$A$63</f>
        <v>Power</v>
      </c>
      <c r="F64" s="0" t="str">
        <f aca="false">Calc!$D$63</f>
        <v>Consumable</v>
      </c>
      <c r="G64" s="0" t="n">
        <f aca="false">Calc!$E$63</f>
        <v>0</v>
      </c>
    </row>
    <row r="65" customFormat="false" ht="15" hidden="false" customHeight="false" outlineLevel="0" collapsed="false">
      <c r="A65" s="0" t="n">
        <v>1</v>
      </c>
      <c r="B65" s="0" t="n">
        <v>62</v>
      </c>
      <c r="C65" s="0" t="str">
        <f aca="false">IF(G65&gt;0,1062,"")</f>
        <v/>
      </c>
      <c r="D65" s="0" t="str">
        <f aca="false">Calc!$B$64</f>
        <v>LM2596 buck converter</v>
      </c>
      <c r="E65" s="0" t="str">
        <f aca="false">Calc!$A$64</f>
        <v>Power</v>
      </c>
      <c r="F65" s="0" t="str">
        <f aca="false">Calc!$D$64</f>
        <v>Reusable</v>
      </c>
      <c r="G65" s="0" t="n">
        <f aca="false">Calc!$E$64</f>
        <v>0</v>
      </c>
    </row>
    <row r="66" customFormat="false" ht="15" hidden="false" customHeight="false" outlineLevel="0" collapsed="false">
      <c r="A66" s="0" t="n">
        <v>1</v>
      </c>
      <c r="B66" s="0" t="n">
        <v>63</v>
      </c>
      <c r="C66" s="0" t="str">
        <f aca="false">IF(G66&gt;0,1063,"")</f>
        <v/>
      </c>
      <c r="D66" s="0" t="str">
        <f aca="false">Calc!$B$65</f>
        <v>Small solar panel</v>
      </c>
      <c r="E66" s="0" t="str">
        <f aca="false">Calc!$A$65</f>
        <v>Power</v>
      </c>
      <c r="F66" s="0" t="str">
        <f aca="false">Calc!$D$65</f>
        <v>Reusable</v>
      </c>
      <c r="G66" s="0" t="n">
        <f aca="false">Calc!$E$65</f>
        <v>0</v>
      </c>
    </row>
    <row r="67" customFormat="false" ht="15" hidden="false" customHeight="false" outlineLevel="0" collapsed="false">
      <c r="A67" s="0" t="n">
        <v>1</v>
      </c>
      <c r="B67" s="0" t="n">
        <v>64</v>
      </c>
      <c r="C67" s="0" t="str">
        <f aca="false">IF(G67&gt;0,1064,"")</f>
        <v/>
      </c>
      <c r="D67" s="0" t="str">
        <f aca="false">Calc!$B$66</f>
        <v>TP4056 charger module</v>
      </c>
      <c r="E67" s="0" t="str">
        <f aca="false">Calc!$A$66</f>
        <v>Power</v>
      </c>
      <c r="F67" s="0" t="str">
        <f aca="false">Calc!$D$66</f>
        <v>Reusable</v>
      </c>
      <c r="G67" s="0" t="n">
        <f aca="false">Calc!$E$66</f>
        <v>0</v>
      </c>
    </row>
    <row r="68" customFormat="false" ht="15" hidden="false" customHeight="false" outlineLevel="0" collapsed="false">
      <c r="A68" s="0" t="n">
        <v>1</v>
      </c>
      <c r="B68" s="0" t="n">
        <v>65</v>
      </c>
      <c r="C68" s="0" t="str">
        <f aca="false">IF(G68&gt;0,1065,"")</f>
        <v/>
      </c>
      <c r="D68" s="0" t="str">
        <f aca="false">Calc!$B$67</f>
        <v>Alligator clip leads</v>
      </c>
      <c r="E68" s="0" t="str">
        <f aca="false">Calc!$A$67</f>
        <v>Wiring &amp; Prototyping</v>
      </c>
      <c r="F68" s="0" t="str">
        <f aca="false">Calc!$D$67</f>
        <v>Reusable</v>
      </c>
      <c r="G68" s="0" t="n">
        <f aca="false">Calc!$E$67</f>
        <v>0</v>
      </c>
    </row>
    <row r="69" customFormat="false" ht="15" hidden="false" customHeight="false" outlineLevel="0" collapsed="false">
      <c r="A69" s="0" t="n">
        <v>1</v>
      </c>
      <c r="B69" s="0" t="n">
        <v>66</v>
      </c>
      <c r="C69" s="0" t="str">
        <f aca="false">IF(G69&gt;0,1066,"")</f>
        <v/>
      </c>
      <c r="D69" s="0" t="str">
        <f aca="false">Calc!$B$68</f>
        <v>Aluminium foil</v>
      </c>
      <c r="E69" s="0" t="str">
        <f aca="false">Calc!$A$68</f>
        <v>Wiring &amp; Prototyping</v>
      </c>
      <c r="F69" s="0" t="str">
        <f aca="false">Calc!$D$68</f>
        <v>Consumable</v>
      </c>
      <c r="G69" s="0" t="n">
        <f aca="false">Calc!$E$68</f>
        <v>0</v>
      </c>
    </row>
    <row r="70" customFormat="false" ht="15" hidden="false" customHeight="false" outlineLevel="0" collapsed="false">
      <c r="A70" s="0" t="n">
        <v>1</v>
      </c>
      <c r="B70" s="0" t="n">
        <v>67</v>
      </c>
      <c r="C70" s="0" t="str">
        <f aca="false">IF(G70&gt;0,1067,"")</f>
        <v/>
      </c>
      <c r="D70" s="0" t="str">
        <f aca="false">Calc!$B$69</f>
        <v>Breadboard (half size)</v>
      </c>
      <c r="E70" s="0" t="str">
        <f aca="false">Calc!$A$69</f>
        <v>Wiring &amp; Prototyping</v>
      </c>
      <c r="F70" s="0" t="str">
        <f aca="false">Calc!$D$69</f>
        <v>Reusable</v>
      </c>
      <c r="G70" s="0" t="n">
        <f aca="false">Calc!$E$69</f>
        <v>0</v>
      </c>
    </row>
    <row r="71" customFormat="false" ht="15" hidden="false" customHeight="false" outlineLevel="0" collapsed="false">
      <c r="A71" s="0" t="n">
        <v>1</v>
      </c>
      <c r="B71" s="0" t="n">
        <v>68</v>
      </c>
      <c r="C71" s="0" t="str">
        <f aca="false">IF(G71&gt;0,1068,"")</f>
        <v/>
      </c>
      <c r="D71" s="0" t="str">
        <f aca="false">Calc!$B$70</f>
        <v>Copper tape</v>
      </c>
      <c r="E71" s="0" t="str">
        <f aca="false">Calc!$A$70</f>
        <v>Wiring &amp; Prototyping</v>
      </c>
      <c r="F71" s="0" t="str">
        <f aca="false">Calc!$D$70</f>
        <v>Consumable</v>
      </c>
      <c r="G71" s="0" t="n">
        <f aca="false">Calc!$E$70</f>
        <v>0</v>
      </c>
    </row>
    <row r="72" customFormat="false" ht="15" hidden="false" customHeight="false" outlineLevel="0" collapsed="false">
      <c r="A72" s="0" t="n">
        <v>1</v>
      </c>
      <c r="B72" s="0" t="n">
        <v>69</v>
      </c>
      <c r="C72" s="0" t="str">
        <f aca="false">IF(G72&gt;0,1069,"")</f>
        <v/>
      </c>
      <c r="D72" s="0" t="str">
        <f aca="false">Calc!$B$71</f>
        <v>Jumper wires M-F</v>
      </c>
      <c r="E72" s="0" t="str">
        <f aca="false">Calc!$A$71</f>
        <v>Wiring &amp; Prototyping</v>
      </c>
      <c r="F72" s="0" t="str">
        <f aca="false">Calc!$D$71</f>
        <v>Reusable</v>
      </c>
      <c r="G72" s="0" t="n">
        <f aca="false">Calc!$E$71</f>
        <v>0</v>
      </c>
    </row>
    <row r="73" customFormat="false" ht="15" hidden="false" customHeight="false" outlineLevel="0" collapsed="false">
      <c r="A73" s="0" t="n">
        <v>1</v>
      </c>
      <c r="B73" s="0" t="n">
        <v>70</v>
      </c>
      <c r="C73" s="0" t="str">
        <f aca="false">IF(G73&gt;0,1070,"")</f>
        <v/>
      </c>
      <c r="D73" s="0" t="str">
        <f aca="false">Calc!$B$72</f>
        <v>Jumper wires M-M</v>
      </c>
      <c r="E73" s="0" t="str">
        <f aca="false">Calc!$A$72</f>
        <v>Wiring &amp; Prototyping</v>
      </c>
      <c r="F73" s="0" t="str">
        <f aca="false">Calc!$D$72</f>
        <v>Reusable</v>
      </c>
      <c r="G73" s="0" t="n">
        <f aca="false">Calc!$E$72</f>
        <v>0</v>
      </c>
    </row>
    <row r="74" customFormat="false" ht="15" hidden="false" customHeight="false" outlineLevel="0" collapsed="false">
      <c r="A74" s="0" t="n">
        <v>1</v>
      </c>
      <c r="B74" s="0" t="n">
        <v>71</v>
      </c>
      <c r="C74" s="0" t="str">
        <f aca="false">IF(G74&gt;0,1071,"")</f>
        <v/>
      </c>
      <c r="D74" s="0" t="str">
        <f aca="false">Calc!$B$73</f>
        <v>3D printer</v>
      </c>
      <c r="E74" s="0" t="str">
        <f aca="false">Calc!$A$73</f>
        <v>Computers &amp; Equipment</v>
      </c>
      <c r="F74" s="0" t="str">
        <f aca="false">Calc!$D$73</f>
        <v>Reusable</v>
      </c>
      <c r="G74" s="0" t="n">
        <f aca="false">Calc!$E$73</f>
        <v>0</v>
      </c>
    </row>
    <row r="75" customFormat="false" ht="15" hidden="false" customHeight="false" outlineLevel="0" collapsed="false">
      <c r="A75" s="0" t="n">
        <v>1</v>
      </c>
      <c r="B75" s="0" t="n">
        <v>72</v>
      </c>
      <c r="C75" s="0" t="str">
        <f aca="false">IF(G75&gt;0,1072,"")</f>
        <v/>
      </c>
      <c r="D75" s="0" t="str">
        <f aca="false">Calc!$B$74</f>
        <v>Android smartphone</v>
      </c>
      <c r="E75" s="0" t="str">
        <f aca="false">Calc!$A$74</f>
        <v>Computers &amp; Equipment</v>
      </c>
      <c r="F75" s="0" t="str">
        <f aca="false">Calc!$D$74</f>
        <v>Reusable</v>
      </c>
      <c r="G75" s="0" t="n">
        <f aca="false">Calc!$E$74</f>
        <v>0</v>
      </c>
    </row>
    <row r="76" customFormat="false" ht="15" hidden="false" customHeight="false" outlineLevel="0" collapsed="false">
      <c r="A76" s="0" t="n">
        <v>1</v>
      </c>
      <c r="B76" s="0" t="n">
        <v>73</v>
      </c>
      <c r="C76" s="0" t="str">
        <f aca="false">IF(G76&gt;0,1073,"")</f>
        <v/>
      </c>
      <c r="D76" s="0" t="str">
        <f aca="false">Calc!$B$75</f>
        <v>Digital multimeter</v>
      </c>
      <c r="E76" s="0" t="str">
        <f aca="false">Calc!$A$75</f>
        <v>Computers &amp; Equipment</v>
      </c>
      <c r="F76" s="0" t="str">
        <f aca="false">Calc!$D$75</f>
        <v>Reusable</v>
      </c>
      <c r="G76" s="0" t="n">
        <f aca="false">Calc!$E$75</f>
        <v>0</v>
      </c>
    </row>
    <row r="77" customFormat="false" ht="15" hidden="false" customHeight="false" outlineLevel="0" collapsed="false">
      <c r="A77" s="0" t="n">
        <v>1</v>
      </c>
      <c r="B77" s="0" t="n">
        <v>74</v>
      </c>
      <c r="C77" s="0" t="str">
        <f aca="false">IF(G77&gt;0,1074,"")</f>
        <v/>
      </c>
      <c r="D77" s="0" t="str">
        <f aca="false">Calc!$B$76</f>
        <v>Glue gun + glue sticks</v>
      </c>
      <c r="E77" s="0" t="str">
        <f aca="false">Calc!$A$76</f>
        <v>Computers &amp; Equipment</v>
      </c>
      <c r="F77" s="0" t="str">
        <f aca="false">Calc!$D$76</f>
        <v>Reusable</v>
      </c>
      <c r="G77" s="0" t="n">
        <f aca="false">Calc!$E$76</f>
        <v>0</v>
      </c>
    </row>
    <row r="78" customFormat="false" ht="15" hidden="false" customHeight="false" outlineLevel="0" collapsed="false">
      <c r="A78" s="0" t="n">
        <v>1</v>
      </c>
      <c r="B78" s="0" t="n">
        <v>75</v>
      </c>
      <c r="C78" s="0" t="str">
        <f aca="false">IF(G78&gt;0,1075,"")</f>
        <v/>
      </c>
      <c r="D78" s="0" t="str">
        <f aca="false">Calc!$B$77</f>
        <v>Laptop</v>
      </c>
      <c r="E78" s="0" t="str">
        <f aca="false">Calc!$A$77</f>
        <v>Computers &amp; Equipment</v>
      </c>
      <c r="F78" s="0" t="str">
        <f aca="false">Calc!$D$77</f>
        <v>Reusable</v>
      </c>
      <c r="G78" s="0" t="n">
        <f aca="false">Calc!$E$77</f>
        <v>0</v>
      </c>
    </row>
    <row r="79" customFormat="false" ht="15" hidden="false" customHeight="false" outlineLevel="0" collapsed="false">
      <c r="A79" s="0" t="n">
        <v>1</v>
      </c>
      <c r="B79" s="0" t="n">
        <v>76</v>
      </c>
      <c r="C79" s="0" t="str">
        <f aca="false">IF(G79&gt;0,1076,"")</f>
        <v/>
      </c>
      <c r="D79" s="0" t="str">
        <f aca="false">Calc!$B$78</f>
        <v>PLA filament</v>
      </c>
      <c r="E79" s="0" t="str">
        <f aca="false">Calc!$A$78</f>
        <v>Computers &amp; Equipment</v>
      </c>
      <c r="F79" s="0" t="str">
        <f aca="false">Calc!$D$78</f>
        <v>Consumable</v>
      </c>
      <c r="G79" s="0" t="n">
        <f aca="false">Calc!$E$78</f>
        <v>0</v>
      </c>
    </row>
    <row r="80" customFormat="false" ht="15" hidden="false" customHeight="false" outlineLevel="0" collapsed="false">
      <c r="A80" s="0" t="n">
        <v>1</v>
      </c>
      <c r="B80" s="0" t="n">
        <v>77</v>
      </c>
      <c r="C80" s="0" t="str">
        <f aca="false">IF(G80&gt;0,1077,"")</f>
        <v/>
      </c>
      <c r="D80" s="0" t="str">
        <f aca="false">Calc!$B$79</f>
        <v>Screwdriver set</v>
      </c>
      <c r="E80" s="0" t="str">
        <f aca="false">Calc!$A$79</f>
        <v>Computers &amp; Equipment</v>
      </c>
      <c r="F80" s="0" t="str">
        <f aca="false">Calc!$D$79</f>
        <v>Reusable</v>
      </c>
      <c r="G80" s="0" t="n">
        <f aca="false">Calc!$E$79</f>
        <v>0</v>
      </c>
    </row>
    <row r="81" customFormat="false" ht="15" hidden="false" customHeight="false" outlineLevel="0" collapsed="false">
      <c r="A81" s="0" t="n">
        <v>1</v>
      </c>
      <c r="B81" s="0" t="n">
        <v>78</v>
      </c>
      <c r="C81" s="0" t="str">
        <f aca="false">IF(G81&gt;0,1078,"")</f>
        <v/>
      </c>
      <c r="D81" s="0" t="str">
        <f aca="false">Calc!$B$80</f>
        <v>Tablet</v>
      </c>
      <c r="E81" s="0" t="str">
        <f aca="false">Calc!$A$80</f>
        <v>Computers &amp; Equipment</v>
      </c>
      <c r="F81" s="0" t="str">
        <f aca="false">Calc!$D$80</f>
        <v>Reusable</v>
      </c>
      <c r="G81" s="0" t="n">
        <f aca="false">Calc!$E$80</f>
        <v>0</v>
      </c>
    </row>
    <row r="82" customFormat="false" ht="15" hidden="false" customHeight="false" outlineLevel="0" collapsed="false">
      <c r="A82" s="0" t="n">
        <v>1</v>
      </c>
      <c r="B82" s="0" t="n">
        <v>79</v>
      </c>
      <c r="C82" s="0" t="str">
        <f aca="false">IF(G82&gt;0,1079,"")</f>
        <v/>
      </c>
      <c r="D82" s="0" t="str">
        <f aca="false">Calc!$B$81</f>
        <v>Webcam</v>
      </c>
      <c r="E82" s="0" t="str">
        <f aca="false">Calc!$A$81</f>
        <v>Computers &amp; Equipment</v>
      </c>
      <c r="F82" s="0" t="str">
        <f aca="false">Calc!$D$81</f>
        <v>Reusable</v>
      </c>
      <c r="G82" s="0" t="n">
        <f aca="false">Calc!$E$81</f>
        <v>0</v>
      </c>
    </row>
    <row r="83" customFormat="false" ht="15" hidden="false" customHeight="false" outlineLevel="0" collapsed="false">
      <c r="A83" s="0" t="n">
        <v>1</v>
      </c>
      <c r="B83" s="0" t="n">
        <v>80</v>
      </c>
      <c r="C83" s="0" t="str">
        <f aca="false">IF(G83&gt;0,1080,"")</f>
        <v/>
      </c>
      <c r="D83" s="0" t="str">
        <f aca="false">Calc!$B$82</f>
        <v>Card / chart paper</v>
      </c>
      <c r="E83" s="0" t="str">
        <f aca="false">Calc!$A$82</f>
        <v>Craft &amp; Stationery</v>
      </c>
      <c r="F83" s="0" t="str">
        <f aca="false">Calc!$D$82</f>
        <v>Consumable</v>
      </c>
      <c r="G83" s="0" t="n">
        <f aca="false">Calc!$E$82</f>
        <v>0</v>
      </c>
    </row>
    <row r="84" customFormat="false" ht="15" hidden="false" customHeight="false" outlineLevel="0" collapsed="false">
      <c r="A84" s="0" t="n">
        <v>1</v>
      </c>
      <c r="B84" s="0" t="n">
        <v>81</v>
      </c>
      <c r="C84" s="0" t="str">
        <f aca="false">IF(G84&gt;0,1081,"")</f>
        <v/>
      </c>
      <c r="D84" s="0" t="str">
        <f aca="false">Calc!$B$83</f>
        <v>Cardboard sheet</v>
      </c>
      <c r="E84" s="0" t="str">
        <f aca="false">Calc!$A$83</f>
        <v>Craft &amp; Stationery</v>
      </c>
      <c r="F84" s="0" t="str">
        <f aca="false">Calc!$D$83</f>
        <v>Consumable</v>
      </c>
      <c r="G84" s="0" t="n">
        <f aca="false">Calc!$E$83</f>
        <v>0</v>
      </c>
    </row>
    <row r="85" customFormat="false" ht="15" hidden="false" customHeight="false" outlineLevel="0" collapsed="false">
      <c r="A85" s="0" t="n">
        <v>1</v>
      </c>
      <c r="B85" s="0" t="n">
        <v>82</v>
      </c>
      <c r="C85" s="0" t="str">
        <f aca="false">IF(G85&gt;0,1082,"")</f>
        <v/>
      </c>
      <c r="D85" s="0" t="str">
        <f aca="false">Calc!$B$84</f>
        <v>Conductive playdough</v>
      </c>
      <c r="E85" s="0" t="str">
        <f aca="false">Calc!$A$84</f>
        <v>Craft &amp; Stationery</v>
      </c>
      <c r="F85" s="0" t="str">
        <f aca="false">Calc!$D$84</f>
        <v>Consumable</v>
      </c>
      <c r="G85" s="0" t="n">
        <f aca="false">Calc!$E$84</f>
        <v>0</v>
      </c>
    </row>
    <row r="86" customFormat="false" ht="15" hidden="false" customHeight="false" outlineLevel="0" collapsed="false">
      <c r="A86" s="0" t="n">
        <v>1</v>
      </c>
      <c r="B86" s="0" t="n">
        <v>83</v>
      </c>
      <c r="C86" s="0" t="str">
        <f aca="false">IF(G86&gt;0,1083,"")</f>
        <v/>
      </c>
      <c r="D86" s="0" t="str">
        <f aca="false">Calc!$B$85</f>
        <v>Cork</v>
      </c>
      <c r="E86" s="0" t="str">
        <f aca="false">Calc!$A$85</f>
        <v>Craft &amp; Stationery</v>
      </c>
      <c r="F86" s="0" t="str">
        <f aca="false">Calc!$D$85</f>
        <v>Consumable</v>
      </c>
      <c r="G86" s="0" t="n">
        <f aca="false">Calc!$E$85</f>
        <v>0</v>
      </c>
    </row>
    <row r="87" customFormat="false" ht="15" hidden="false" customHeight="false" outlineLevel="0" collapsed="false">
      <c r="A87" s="0" t="n">
        <v>1</v>
      </c>
      <c r="B87" s="0" t="n">
        <v>84</v>
      </c>
      <c r="C87" s="0" t="str">
        <f aca="false">IF(G87&gt;0,1084,"")</f>
        <v/>
      </c>
      <c r="D87" s="0" t="str">
        <f aca="false">Calc!$B$86</f>
        <v>Googly eyes</v>
      </c>
      <c r="E87" s="0" t="str">
        <f aca="false">Calc!$A$86</f>
        <v>Craft &amp; Stationery</v>
      </c>
      <c r="F87" s="0" t="str">
        <f aca="false">Calc!$D$86</f>
        <v>Consumable</v>
      </c>
      <c r="G87" s="0" t="n">
        <f aca="false">Calc!$E$86</f>
        <v>0</v>
      </c>
    </row>
    <row r="88" customFormat="false" ht="15" hidden="false" customHeight="false" outlineLevel="0" collapsed="false">
      <c r="A88" s="0" t="n">
        <v>1</v>
      </c>
      <c r="B88" s="0" t="n">
        <v>85</v>
      </c>
      <c r="C88" s="0" t="str">
        <f aca="false">IF(G88&gt;0,1085,"")</f>
        <v/>
      </c>
      <c r="D88" s="0" t="str">
        <f aca="false">Calc!$B$87</f>
        <v>Ice cream sticks</v>
      </c>
      <c r="E88" s="0" t="str">
        <f aca="false">Calc!$A$87</f>
        <v>Craft &amp; Stationery</v>
      </c>
      <c r="F88" s="0" t="str">
        <f aca="false">Calc!$D$87</f>
        <v>Consumable</v>
      </c>
      <c r="G88" s="0" t="n">
        <f aca="false">Calc!$E$87</f>
        <v>0</v>
      </c>
    </row>
    <row r="89" customFormat="false" ht="15" hidden="false" customHeight="false" outlineLevel="0" collapsed="false">
      <c r="A89" s="0" t="n">
        <v>1</v>
      </c>
      <c r="B89" s="0" t="n">
        <v>86</v>
      </c>
      <c r="C89" s="0" t="str">
        <f aca="false">IF(G89&gt;0,1086,"")</f>
        <v/>
      </c>
      <c r="D89" s="0" t="str">
        <f aca="false">Calc!$B$88</f>
        <v>Markers</v>
      </c>
      <c r="E89" s="0" t="str">
        <f aca="false">Calc!$A$88</f>
        <v>Craft &amp; Stationery</v>
      </c>
      <c r="F89" s="0" t="str">
        <f aca="false">Calc!$D$88</f>
        <v>Consumable</v>
      </c>
      <c r="G89" s="0" t="n">
        <f aca="false">Calc!$E$88</f>
        <v>0</v>
      </c>
    </row>
    <row r="90" customFormat="false" ht="15" hidden="false" customHeight="false" outlineLevel="0" collapsed="false">
      <c r="A90" s="0" t="n">
        <v>1</v>
      </c>
      <c r="B90" s="0" t="n">
        <v>87</v>
      </c>
      <c r="C90" s="0" t="str">
        <f aca="false">IF(G90&gt;0,1087,"")</f>
        <v/>
      </c>
      <c r="D90" s="0" t="str">
        <f aca="false">Calc!$B$89</f>
        <v>Plant pot with soil</v>
      </c>
      <c r="E90" s="0" t="str">
        <f aca="false">Calc!$A$89</f>
        <v>Craft &amp; Stationery</v>
      </c>
      <c r="F90" s="0" t="str">
        <f aca="false">Calc!$D$89</f>
        <v>Consumable</v>
      </c>
      <c r="G90" s="0" t="n">
        <f aca="false">Calc!$E$89</f>
        <v>0</v>
      </c>
    </row>
    <row r="91" customFormat="false" ht="15" hidden="false" customHeight="false" outlineLevel="0" collapsed="false">
      <c r="A91" s="0" t="n">
        <v>1</v>
      </c>
      <c r="B91" s="0" t="n">
        <v>88</v>
      </c>
      <c r="C91" s="0" t="str">
        <f aca="false">IF(G91&gt;0,1088,"")</f>
        <v/>
      </c>
      <c r="D91" s="0" t="str">
        <f aca="false">Calc!$B$90</f>
        <v>Plastic or paper cup</v>
      </c>
      <c r="E91" s="0" t="str">
        <f aca="false">Calc!$A$90</f>
        <v>Craft &amp; Stationery</v>
      </c>
      <c r="F91" s="0" t="str">
        <f aca="false">Calc!$D$90</f>
        <v>Consumable</v>
      </c>
      <c r="G91" s="0" t="n">
        <f aca="false">Calc!$E$90</f>
        <v>0</v>
      </c>
    </row>
    <row r="92" customFormat="false" ht="15" hidden="false" customHeight="false" outlineLevel="0" collapsed="false">
      <c r="A92" s="0" t="n">
        <v>1</v>
      </c>
      <c r="B92" s="0" t="n">
        <v>89</v>
      </c>
      <c r="C92" s="0" t="str">
        <f aca="false">IF(G92&gt;0,1089,"")</f>
        <v/>
      </c>
      <c r="D92" s="0" t="str">
        <f aca="false">Calc!$B$91</f>
        <v>Printed templates</v>
      </c>
      <c r="E92" s="0" t="str">
        <f aca="false">Calc!$A$91</f>
        <v>Craft &amp; Stationery</v>
      </c>
      <c r="F92" s="0" t="str">
        <f aca="false">Calc!$D$91</f>
        <v>Consumable</v>
      </c>
      <c r="G92" s="0" t="n">
        <f aca="false">Calc!$E$91</f>
        <v>0</v>
      </c>
    </row>
    <row r="93" customFormat="false" ht="15" hidden="false" customHeight="false" outlineLevel="0" collapsed="false">
      <c r="A93" s="0" t="n">
        <v>1</v>
      </c>
      <c r="B93" s="0" t="n">
        <v>90</v>
      </c>
      <c r="C93" s="0" t="str">
        <f aca="false">IF(G93&gt;0,1090,"")</f>
        <v/>
      </c>
      <c r="D93" s="0" t="str">
        <f aca="false">Calc!$B$92</f>
        <v>Split pins (paper fasteners)</v>
      </c>
      <c r="E93" s="0" t="str">
        <f aca="false">Calc!$A$92</f>
        <v>Craft &amp; Stationery</v>
      </c>
      <c r="F93" s="0" t="str">
        <f aca="false">Calc!$D$92</f>
        <v>Consumable</v>
      </c>
      <c r="G93" s="0" t="n">
        <f aca="false">Calc!$E$92</f>
        <v>0</v>
      </c>
    </row>
    <row r="94" customFormat="false" ht="15" hidden="false" customHeight="false" outlineLevel="0" collapsed="false">
      <c r="A94" s="0" t="n">
        <v>1</v>
      </c>
      <c r="B94" s="0" t="n">
        <v>91</v>
      </c>
      <c r="C94" s="0" t="str">
        <f aca="false">IF(G94&gt;0,1091,"")</f>
        <v/>
      </c>
      <c r="D94" s="0" t="str">
        <f aca="false">Calc!$B$93</f>
        <v>Straws</v>
      </c>
      <c r="E94" s="0" t="str">
        <f aca="false">Calc!$A$93</f>
        <v>Craft &amp; Stationery</v>
      </c>
      <c r="F94" s="0" t="str">
        <f aca="false">Calc!$D$93</f>
        <v>Consumable</v>
      </c>
      <c r="G94" s="0" t="n">
        <f aca="false">Calc!$E$93</f>
        <v>0</v>
      </c>
    </row>
    <row r="95" customFormat="false" ht="15" hidden="false" customHeight="false" outlineLevel="0" collapsed="false">
      <c r="A95" s="0" t="n">
        <v>1</v>
      </c>
      <c r="B95" s="0" t="n">
        <v>92</v>
      </c>
      <c r="C95" s="0" t="str">
        <f aca="false">IF(G95&gt;0,1092,"")</f>
        <v/>
      </c>
      <c r="D95" s="0" t="str">
        <f aca="false">Calc!$B$94</f>
        <v>Tape (paper + double-sided)</v>
      </c>
      <c r="E95" s="0" t="str">
        <f aca="false">Calc!$A$94</f>
        <v>Craft &amp; Stationery</v>
      </c>
      <c r="F95" s="0" t="str">
        <f aca="false">Calc!$D$94</f>
        <v>Consumable</v>
      </c>
      <c r="G95" s="0" t="n">
        <f aca="false">Calc!$E$94</f>
        <v>0</v>
      </c>
    </row>
    <row r="96" customFormat="false" ht="15" hidden="false" customHeight="false" outlineLevel="0" collapsed="false">
      <c r="A96" s="0" t="n">
        <v>1</v>
      </c>
      <c r="B96" s="0" t="n">
        <v>93</v>
      </c>
      <c r="C96" s="0" t="str">
        <f aca="false">IF(G96&gt;0,1093,"")</f>
        <v/>
      </c>
      <c r="D96" s="0" t="str">
        <f aca="false">Calc!$B$95</f>
        <v>Water container</v>
      </c>
      <c r="E96" s="0" t="str">
        <f aca="false">Calc!$A$95</f>
        <v>Craft &amp; Stationery</v>
      </c>
      <c r="F96" s="0" t="str">
        <f aca="false">Calc!$D$95</f>
        <v>Reusable</v>
      </c>
      <c r="G96" s="0" t="n">
        <f aca="false">Calc!$E$95</f>
        <v>0</v>
      </c>
    </row>
    <row r="97" customFormat="false" ht="15" hidden="false" customHeight="false" outlineLevel="0" collapsed="false">
      <c r="A97" s="0" t="n">
        <v>1</v>
      </c>
      <c r="B97" s="0" t="n">
        <v>94</v>
      </c>
      <c r="C97" s="0" t="str">
        <f aca="false">IF(G97&gt;0,1094,"")</f>
        <v/>
      </c>
      <c r="D97" s="0" t="str">
        <f aca="false">Calc!$B$96</f>
        <v>Wooden skewers</v>
      </c>
      <c r="E97" s="0" t="str">
        <f aca="false">Calc!$A$96</f>
        <v>Craft &amp; Stationery</v>
      </c>
      <c r="F97" s="0" t="str">
        <f aca="false">Calc!$D$96</f>
        <v>Consumable</v>
      </c>
      <c r="G97" s="0" t="n">
        <f aca="false">Calc!$E$96</f>
        <v>0</v>
      </c>
    </row>
    <row r="98" customFormat="false" ht="15" hidden="false" customHeight="false" outlineLevel="0" collapsed="false">
      <c r="A98" s="0" t="n">
        <v>1</v>
      </c>
      <c r="B98" s="0" t="n">
        <v>95</v>
      </c>
      <c r="C98" s="0" t="str">
        <f aca="false">IF(G98&gt;0,1095,"")</f>
        <v/>
      </c>
      <c r="D98" s="0" t="str">
        <f aca="false">Calc!$B$97</f>
        <v>Candle</v>
      </c>
      <c r="E98" s="0" t="str">
        <f aca="false">Calc!$A$97</f>
        <v>Science Consumables</v>
      </c>
      <c r="F98" s="0" t="str">
        <f aca="false">Calc!$D$97</f>
        <v>Consumable</v>
      </c>
      <c r="G98" s="0" t="n">
        <f aca="false">Calc!$E$97</f>
        <v>0</v>
      </c>
    </row>
    <row r="99" customFormat="false" ht="15" hidden="false" customHeight="false" outlineLevel="0" collapsed="false">
      <c r="A99" s="0" t="n">
        <v>1</v>
      </c>
      <c r="B99" s="0" t="n">
        <v>96</v>
      </c>
      <c r="C99" s="0" t="str">
        <f aca="false">IF(G99&gt;0,1096,"")</f>
        <v/>
      </c>
      <c r="D99" s="0" t="str">
        <f aca="false">Calc!$B$98</f>
        <v>Copper coins</v>
      </c>
      <c r="E99" s="0" t="str">
        <f aca="false">Calc!$A$98</f>
        <v>Science Consumables</v>
      </c>
      <c r="F99" s="0" t="str">
        <f aca="false">Calc!$D$98</f>
        <v>Reusable</v>
      </c>
      <c r="G99" s="0" t="n">
        <f aca="false">Calc!$E$98</f>
        <v>0</v>
      </c>
    </row>
    <row r="100" customFormat="false" ht="15" hidden="false" customHeight="false" outlineLevel="0" collapsed="false">
      <c r="A100" s="0" t="n">
        <v>1</v>
      </c>
      <c r="B100" s="0" t="n">
        <v>97</v>
      </c>
      <c r="C100" s="0" t="str">
        <f aca="false">IF(G100&gt;0,1097,"")</f>
        <v/>
      </c>
      <c r="D100" s="0" t="str">
        <f aca="false">Calc!$B$99</f>
        <v>Fruits (bananas etc.)</v>
      </c>
      <c r="E100" s="0" t="str">
        <f aca="false">Calc!$A$99</f>
        <v>Science Consumables</v>
      </c>
      <c r="F100" s="0" t="str">
        <f aca="false">Calc!$D$99</f>
        <v>Consumable</v>
      </c>
      <c r="G100" s="0" t="n">
        <f aca="false">Calc!$E$99</f>
        <v>0</v>
      </c>
    </row>
    <row r="101" customFormat="false" ht="15" hidden="false" customHeight="false" outlineLevel="0" collapsed="false">
      <c r="A101" s="0" t="n">
        <v>1</v>
      </c>
      <c r="B101" s="0" t="n">
        <v>98</v>
      </c>
      <c r="C101" s="0" t="str">
        <f aca="false">IF(G101&gt;0,1098,"")</f>
        <v/>
      </c>
      <c r="D101" s="0" t="str">
        <f aca="false">Calc!$B$100</f>
        <v>Galvanized nails</v>
      </c>
      <c r="E101" s="0" t="str">
        <f aca="false">Calc!$A$100</f>
        <v>Science Consumables</v>
      </c>
      <c r="F101" s="0" t="str">
        <f aca="false">Calc!$D$100</f>
        <v>Consumable</v>
      </c>
      <c r="G101" s="0" t="n">
        <f aca="false">Calc!$E$100</f>
        <v>0</v>
      </c>
    </row>
    <row r="102" customFormat="false" ht="15" hidden="false" customHeight="false" outlineLevel="0" collapsed="false">
      <c r="A102" s="0" t="n">
        <v>1</v>
      </c>
      <c r="B102" s="0" t="n">
        <v>99</v>
      </c>
      <c r="C102" s="0" t="str">
        <f aca="false">IF(G102&gt;0,1099,"")</f>
        <v/>
      </c>
      <c r="D102" s="0" t="str">
        <f aca="false">Calc!$B$101</f>
        <v>Lemons</v>
      </c>
      <c r="E102" s="0" t="str">
        <f aca="false">Calc!$A$101</f>
        <v>Science Consumables</v>
      </c>
      <c r="F102" s="0" t="str">
        <f aca="false">Calc!$D$101</f>
        <v>Consumable</v>
      </c>
      <c r="G102" s="0" t="n">
        <f aca="false">Calc!$E$101</f>
        <v>0</v>
      </c>
    </row>
    <row r="103" customFormat="false" ht="15" hidden="false" customHeight="false" outlineLevel="0" collapsed="false">
      <c r="A103" s="0" t="n">
        <v>1</v>
      </c>
      <c r="B103" s="0" t="n">
        <v>999</v>
      </c>
      <c r="C103" s="0" t="str">
        <f aca="false">IF(SUM(Calc!$E$3:$E$101)&gt;0,1999,"")</f>
        <v/>
      </c>
    </row>
    <row r="104" customFormat="false" ht="15" hidden="false" customHeight="false" outlineLevel="0" collapsed="false">
      <c r="A104" s="0" t="n">
        <v>2</v>
      </c>
      <c r="B104" s="0" t="n">
        <v>0</v>
      </c>
      <c r="C104" s="0" t="str">
        <f aca="false">IF(SUM(Calc!$F$3:$F$101)&gt;0,2000,"")</f>
        <v/>
      </c>
      <c r="D104" s="0" t="str">
        <f aca="false">"TUESDAY"&amp;IF('This Week''s Hardware'!$C$3="",""," "&amp;TEXT('This Week''s Hardware'!$C$3+1,"dd-mmm"))</f>
        <v>TUESDAY</v>
      </c>
      <c r="E104" s="0" t="str">
        <f aca="false">COUNTIFS('Session Tracker'!$F$5:$F$149,"Next week",'Session Tracker'!$G$5:$G$149,"Tue")&amp;" session(s)"</f>
        <v>0 session(s)</v>
      </c>
    </row>
    <row r="105" customFormat="false" ht="15" hidden="false" customHeight="false" outlineLevel="0" collapsed="false">
      <c r="A105" s="0" t="n">
        <v>2</v>
      </c>
      <c r="B105" s="0" t="n">
        <v>1</v>
      </c>
      <c r="C105" s="0" t="str">
        <f aca="false">IF(G105&gt;0,2001,"")</f>
        <v/>
      </c>
      <c r="D105" s="0" t="str">
        <f aca="false">Calc!$B$3</f>
        <v>Arduino Uno + USB cable</v>
      </c>
      <c r="E105" s="0" t="str">
        <f aca="false">Calc!$A$3</f>
        <v>Microcontrollers &amp; Dev Boards</v>
      </c>
      <c r="F105" s="0" t="str">
        <f aca="false">Calc!$D$3</f>
        <v>Reusable</v>
      </c>
      <c r="G105" s="0" t="n">
        <f aca="false">Calc!$F$3</f>
        <v>0</v>
      </c>
    </row>
    <row r="106" customFormat="false" ht="15" hidden="false" customHeight="false" outlineLevel="0" collapsed="false">
      <c r="A106" s="0" t="n">
        <v>2</v>
      </c>
      <c r="B106" s="0" t="n">
        <v>2</v>
      </c>
      <c r="C106" s="0" t="str">
        <f aca="false">IF(G106&gt;0,2002,"")</f>
        <v/>
      </c>
      <c r="D106" s="0" t="str">
        <f aca="false">Calc!$B$4</f>
        <v>ESP32 Dev Board + USB cable</v>
      </c>
      <c r="E106" s="0" t="str">
        <f aca="false">Calc!$A$4</f>
        <v>Microcontrollers &amp; Dev Boards</v>
      </c>
      <c r="F106" s="0" t="str">
        <f aca="false">Calc!$D$4</f>
        <v>Reusable</v>
      </c>
      <c r="G106" s="0" t="n">
        <f aca="false">Calc!$F$4</f>
        <v>0</v>
      </c>
    </row>
    <row r="107" customFormat="false" ht="15" hidden="false" customHeight="false" outlineLevel="0" collapsed="false">
      <c r="A107" s="0" t="n">
        <v>2</v>
      </c>
      <c r="B107" s="0" t="n">
        <v>3</v>
      </c>
      <c r="C107" s="0" t="str">
        <f aca="false">IF(G107&gt;0,2003,"")</f>
        <v/>
      </c>
      <c r="D107" s="0" t="str">
        <f aca="false">Calc!$B$5</f>
        <v>ESP32-CAM + programmer</v>
      </c>
      <c r="E107" s="0" t="str">
        <f aca="false">Calc!$A$5</f>
        <v>Microcontrollers &amp; Dev Boards</v>
      </c>
      <c r="F107" s="0" t="str">
        <f aca="false">Calc!$D$5</f>
        <v>Reusable</v>
      </c>
      <c r="G107" s="0" t="n">
        <f aca="false">Calc!$F$5</f>
        <v>0</v>
      </c>
    </row>
    <row r="108" customFormat="false" ht="15" hidden="false" customHeight="false" outlineLevel="0" collapsed="false">
      <c r="A108" s="0" t="n">
        <v>2</v>
      </c>
      <c r="B108" s="0" t="n">
        <v>4</v>
      </c>
      <c r="C108" s="0" t="str">
        <f aca="false">IF(G108&gt;0,2004,"")</f>
        <v/>
      </c>
      <c r="D108" s="0" t="str">
        <f aca="false">Calc!$B$6</f>
        <v>Makey Makey kit</v>
      </c>
      <c r="E108" s="0" t="str">
        <f aca="false">Calc!$A$6</f>
        <v>Microcontrollers &amp; Dev Boards</v>
      </c>
      <c r="F108" s="0" t="str">
        <f aca="false">Calc!$D$6</f>
        <v>Reusable</v>
      </c>
      <c r="G108" s="0" t="n">
        <f aca="false">Calc!$F$6</f>
        <v>0</v>
      </c>
    </row>
    <row r="109" customFormat="false" ht="15" hidden="false" customHeight="false" outlineLevel="0" collapsed="false">
      <c r="A109" s="0" t="n">
        <v>2</v>
      </c>
      <c r="B109" s="0" t="n">
        <v>5</v>
      </c>
      <c r="C109" s="0" t="str">
        <f aca="false">IF(G109&gt;0,2005,"")</f>
        <v/>
      </c>
      <c r="D109" s="0" t="str">
        <f aca="false">Calc!$B$7</f>
        <v>2WD robot chassis kit</v>
      </c>
      <c r="E109" s="0" t="str">
        <f aca="false">Calc!$A$7</f>
        <v>Robot Platforms &amp; Kits</v>
      </c>
      <c r="F109" s="0" t="str">
        <f aca="false">Calc!$D$7</f>
        <v>Reusable</v>
      </c>
      <c r="G109" s="0" t="n">
        <f aca="false">Calc!$F$7</f>
        <v>0</v>
      </c>
    </row>
    <row r="110" customFormat="false" ht="15" hidden="false" customHeight="false" outlineLevel="0" collapsed="false">
      <c r="A110" s="0" t="n">
        <v>2</v>
      </c>
      <c r="B110" s="0" t="n">
        <v>6</v>
      </c>
      <c r="C110" s="0" t="str">
        <f aca="false">IF(G110&gt;0,2006,"")</f>
        <v/>
      </c>
      <c r="D110" s="0" t="str">
        <f aca="false">Calc!$B$8</f>
        <v>4WD robot car (assembled, L298N)</v>
      </c>
      <c r="E110" s="0" t="str">
        <f aca="false">Calc!$A$8</f>
        <v>Robot Platforms &amp; Kits</v>
      </c>
      <c r="F110" s="0" t="str">
        <f aca="false">Calc!$D$8</f>
        <v>Reusable</v>
      </c>
      <c r="G110" s="0" t="n">
        <f aca="false">Calc!$F$8</f>
        <v>0</v>
      </c>
    </row>
    <row r="111" customFormat="false" ht="15" hidden="false" customHeight="false" outlineLevel="0" collapsed="false">
      <c r="A111" s="0" t="n">
        <v>2</v>
      </c>
      <c r="B111" s="0" t="n">
        <v>7</v>
      </c>
      <c r="C111" s="0" t="str">
        <f aca="false">IF(G111&gt;0,2007,"")</f>
        <v/>
      </c>
      <c r="D111" s="0" t="str">
        <f aca="false">Calc!$B$9</f>
        <v>Brush Bot kit</v>
      </c>
      <c r="E111" s="0" t="str">
        <f aca="false">Calc!$A$9</f>
        <v>Robot Platforms &amp; Kits</v>
      </c>
      <c r="F111" s="0" t="str">
        <f aca="false">Calc!$D$9</f>
        <v>Consumable</v>
      </c>
      <c r="G111" s="0" t="n">
        <f aca="false">Calc!$F$9</f>
        <v>0</v>
      </c>
    </row>
    <row r="112" customFormat="false" ht="15" hidden="false" customHeight="false" outlineLevel="0" collapsed="false">
      <c r="A112" s="0" t="n">
        <v>2</v>
      </c>
      <c r="B112" s="0" t="n">
        <v>8</v>
      </c>
      <c r="C112" s="0" t="str">
        <f aca="false">IF(G112&gt;0,2008,"")</f>
        <v/>
      </c>
      <c r="D112" s="0" t="str">
        <f aca="false">Calc!$B$10</f>
        <v>Colour sensor TCS34725</v>
      </c>
      <c r="E112" s="0" t="str">
        <f aca="false">Calc!$A$10</f>
        <v>Sensors</v>
      </c>
      <c r="F112" s="0" t="str">
        <f aca="false">Calc!$D$10</f>
        <v>Reusable</v>
      </c>
      <c r="G112" s="0" t="n">
        <f aca="false">Calc!$F$10</f>
        <v>0</v>
      </c>
    </row>
    <row r="113" customFormat="false" ht="15" hidden="false" customHeight="false" outlineLevel="0" collapsed="false">
      <c r="A113" s="0" t="n">
        <v>2</v>
      </c>
      <c r="B113" s="0" t="n">
        <v>9</v>
      </c>
      <c r="C113" s="0" t="str">
        <f aca="false">IF(G113&gt;0,2009,"")</f>
        <v/>
      </c>
      <c r="D113" s="0" t="str">
        <f aca="false">Calc!$B$11</f>
        <v>Current sensor INA219</v>
      </c>
      <c r="E113" s="0" t="str">
        <f aca="false">Calc!$A$11</f>
        <v>Sensors</v>
      </c>
      <c r="F113" s="0" t="str">
        <f aca="false">Calc!$D$11</f>
        <v>Reusable</v>
      </c>
      <c r="G113" s="0" t="n">
        <f aca="false">Calc!$F$11</f>
        <v>0</v>
      </c>
    </row>
    <row r="114" customFormat="false" ht="15" hidden="false" customHeight="false" outlineLevel="0" collapsed="false">
      <c r="A114" s="0" t="n">
        <v>2</v>
      </c>
      <c r="B114" s="0" t="n">
        <v>10</v>
      </c>
      <c r="C114" s="0" t="str">
        <f aca="false">IF(G114&gt;0,2010,"")</f>
        <v/>
      </c>
      <c r="D114" s="0" t="str">
        <f aca="false">Calc!$B$12</f>
        <v>DHT22 sensor</v>
      </c>
      <c r="E114" s="0" t="str">
        <f aca="false">Calc!$A$12</f>
        <v>Sensors</v>
      </c>
      <c r="F114" s="0" t="str">
        <f aca="false">Calc!$D$12</f>
        <v>Reusable</v>
      </c>
      <c r="G114" s="0" t="n">
        <f aca="false">Calc!$F$12</f>
        <v>0</v>
      </c>
    </row>
    <row r="115" customFormat="false" ht="15" hidden="false" customHeight="false" outlineLevel="0" collapsed="false">
      <c r="A115" s="0" t="n">
        <v>2</v>
      </c>
      <c r="B115" s="0" t="n">
        <v>11</v>
      </c>
      <c r="C115" s="0" t="str">
        <f aca="false">IF(G115&gt;0,2011,"")</f>
        <v/>
      </c>
      <c r="D115" s="0" t="str">
        <f aca="false">Calc!$B$13</f>
        <v>Flame sensor</v>
      </c>
      <c r="E115" s="0" t="str">
        <f aca="false">Calc!$A$13</f>
        <v>Sensors</v>
      </c>
      <c r="F115" s="0" t="str">
        <f aca="false">Calc!$D$13</f>
        <v>Reusable</v>
      </c>
      <c r="G115" s="0" t="n">
        <f aca="false">Calc!$F$13</f>
        <v>0</v>
      </c>
    </row>
    <row r="116" customFormat="false" ht="15" hidden="false" customHeight="false" outlineLevel="0" collapsed="false">
      <c r="A116" s="0" t="n">
        <v>2</v>
      </c>
      <c r="B116" s="0" t="n">
        <v>12</v>
      </c>
      <c r="C116" s="0" t="str">
        <f aca="false">IF(G116&gt;0,2012,"")</f>
        <v/>
      </c>
      <c r="D116" s="0" t="str">
        <f aca="false">Calc!$B$14</f>
        <v>IR sensor module</v>
      </c>
      <c r="E116" s="0" t="str">
        <f aca="false">Calc!$A$14</f>
        <v>Sensors</v>
      </c>
      <c r="F116" s="0" t="str">
        <f aca="false">Calc!$D$14</f>
        <v>Reusable</v>
      </c>
      <c r="G116" s="0" t="n">
        <f aca="false">Calc!$F$14</f>
        <v>0</v>
      </c>
    </row>
    <row r="117" customFormat="false" ht="15" hidden="false" customHeight="false" outlineLevel="0" collapsed="false">
      <c r="A117" s="0" t="n">
        <v>2</v>
      </c>
      <c r="B117" s="0" t="n">
        <v>13</v>
      </c>
      <c r="C117" s="0" t="str">
        <f aca="false">IF(G117&gt;0,2013,"")</f>
        <v/>
      </c>
      <c r="D117" s="0" t="str">
        <f aca="false">Calc!$B$15</f>
        <v>Joystick module</v>
      </c>
      <c r="E117" s="0" t="str">
        <f aca="false">Calc!$A$15</f>
        <v>Sensors</v>
      </c>
      <c r="F117" s="0" t="str">
        <f aca="false">Calc!$D$15</f>
        <v>Reusable</v>
      </c>
      <c r="G117" s="0" t="n">
        <f aca="false">Calc!$F$15</f>
        <v>0</v>
      </c>
    </row>
    <row r="118" customFormat="false" ht="15" hidden="false" customHeight="false" outlineLevel="0" collapsed="false">
      <c r="A118" s="0" t="n">
        <v>2</v>
      </c>
      <c r="B118" s="0" t="n">
        <v>14</v>
      </c>
      <c r="C118" s="0" t="str">
        <f aca="false">IF(G118&gt;0,2014,"")</f>
        <v/>
      </c>
      <c r="D118" s="0" t="str">
        <f aca="false">Calc!$B$16</f>
        <v>LDR module</v>
      </c>
      <c r="E118" s="0" t="str">
        <f aca="false">Calc!$A$16</f>
        <v>Sensors</v>
      </c>
      <c r="F118" s="0" t="str">
        <f aca="false">Calc!$D$16</f>
        <v>Reusable</v>
      </c>
      <c r="G118" s="0" t="n">
        <f aca="false">Calc!$F$16</f>
        <v>0</v>
      </c>
    </row>
    <row r="119" customFormat="false" ht="15" hidden="false" customHeight="false" outlineLevel="0" collapsed="false">
      <c r="A119" s="0" t="n">
        <v>2</v>
      </c>
      <c r="B119" s="0" t="n">
        <v>15</v>
      </c>
      <c r="C119" s="0" t="str">
        <f aca="false">IF(G119&gt;0,2015,"")</f>
        <v/>
      </c>
      <c r="D119" s="0" t="str">
        <f aca="false">Calc!$B$17</f>
        <v>Load cell 5 kg + HX711</v>
      </c>
      <c r="E119" s="0" t="str">
        <f aca="false">Calc!$A$17</f>
        <v>Sensors</v>
      </c>
      <c r="F119" s="0" t="str">
        <f aca="false">Calc!$D$17</f>
        <v>Reusable</v>
      </c>
      <c r="G119" s="0" t="n">
        <f aca="false">Calc!$F$17</f>
        <v>0</v>
      </c>
    </row>
    <row r="120" customFormat="false" ht="15" hidden="false" customHeight="false" outlineLevel="0" collapsed="false">
      <c r="A120" s="0" t="n">
        <v>2</v>
      </c>
      <c r="B120" s="0" t="n">
        <v>16</v>
      </c>
      <c r="C120" s="0" t="str">
        <f aca="false">IF(G120&gt;0,2016,"")</f>
        <v/>
      </c>
      <c r="D120" s="0" t="str">
        <f aca="false">Calc!$B$18</f>
        <v>MPU6050 IMU</v>
      </c>
      <c r="E120" s="0" t="str">
        <f aca="false">Calc!$A$18</f>
        <v>Sensors</v>
      </c>
      <c r="F120" s="0" t="str">
        <f aca="false">Calc!$D$18</f>
        <v>Reusable</v>
      </c>
      <c r="G120" s="0" t="n">
        <f aca="false">Calc!$F$18</f>
        <v>0</v>
      </c>
    </row>
    <row r="121" customFormat="false" ht="15" hidden="false" customHeight="false" outlineLevel="0" collapsed="false">
      <c r="A121" s="0" t="n">
        <v>2</v>
      </c>
      <c r="B121" s="0" t="n">
        <v>17</v>
      </c>
      <c r="C121" s="0" t="str">
        <f aca="false">IF(G121&gt;0,2017,"")</f>
        <v/>
      </c>
      <c r="D121" s="0" t="str">
        <f aca="false">Calc!$B$19</f>
        <v>MQ-2 gas sensor</v>
      </c>
      <c r="E121" s="0" t="str">
        <f aca="false">Calc!$A$19</f>
        <v>Sensors</v>
      </c>
      <c r="F121" s="0" t="str">
        <f aca="false">Calc!$D$19</f>
        <v>Reusable</v>
      </c>
      <c r="G121" s="0" t="n">
        <f aca="false">Calc!$F$19</f>
        <v>0</v>
      </c>
    </row>
    <row r="122" customFormat="false" ht="15" hidden="false" customHeight="false" outlineLevel="0" collapsed="false">
      <c r="A122" s="0" t="n">
        <v>2</v>
      </c>
      <c r="B122" s="0" t="n">
        <v>18</v>
      </c>
      <c r="C122" s="0" t="str">
        <f aca="false">IF(G122&gt;0,2018,"")</f>
        <v/>
      </c>
      <c r="D122" s="0" t="str">
        <f aca="false">Calc!$B$20</f>
        <v>PIR motion sensor</v>
      </c>
      <c r="E122" s="0" t="str">
        <f aca="false">Calc!$A$20</f>
        <v>Sensors</v>
      </c>
      <c r="F122" s="0" t="str">
        <f aca="false">Calc!$D$20</f>
        <v>Reusable</v>
      </c>
      <c r="G122" s="0" t="n">
        <f aca="false">Calc!$F$20</f>
        <v>0</v>
      </c>
    </row>
    <row r="123" customFormat="false" ht="15" hidden="false" customHeight="false" outlineLevel="0" collapsed="false">
      <c r="A123" s="0" t="n">
        <v>2</v>
      </c>
      <c r="B123" s="0" t="n">
        <v>19</v>
      </c>
      <c r="C123" s="0" t="str">
        <f aca="false">IF(G123&gt;0,2019,"")</f>
        <v/>
      </c>
      <c r="D123" s="0" t="str">
        <f aca="false">Calc!$B$21</f>
        <v>Pulse sensor</v>
      </c>
      <c r="E123" s="0" t="str">
        <f aca="false">Calc!$A$21</f>
        <v>Sensors</v>
      </c>
      <c r="F123" s="0" t="str">
        <f aca="false">Calc!$D$21</f>
        <v>Reusable</v>
      </c>
      <c r="G123" s="0" t="n">
        <f aca="false">Calc!$F$21</f>
        <v>0</v>
      </c>
    </row>
    <row r="124" customFormat="false" ht="15" hidden="false" customHeight="false" outlineLevel="0" collapsed="false">
      <c r="A124" s="0" t="n">
        <v>2</v>
      </c>
      <c r="B124" s="0" t="n">
        <v>20</v>
      </c>
      <c r="C124" s="0" t="str">
        <f aca="false">IF(G124&gt;0,2020,"")</f>
        <v/>
      </c>
      <c r="D124" s="0" t="str">
        <f aca="false">Calc!$B$22</f>
        <v>Rain sensor</v>
      </c>
      <c r="E124" s="0" t="str">
        <f aca="false">Calc!$A$22</f>
        <v>Sensors</v>
      </c>
      <c r="F124" s="0" t="str">
        <f aca="false">Calc!$D$22</f>
        <v>Reusable</v>
      </c>
      <c r="G124" s="0" t="n">
        <f aca="false">Calc!$F$22</f>
        <v>0</v>
      </c>
    </row>
    <row r="125" customFormat="false" ht="15" hidden="false" customHeight="false" outlineLevel="0" collapsed="false">
      <c r="A125" s="0" t="n">
        <v>2</v>
      </c>
      <c r="B125" s="0" t="n">
        <v>21</v>
      </c>
      <c r="C125" s="0" t="str">
        <f aca="false">IF(G125&gt;0,2021,"")</f>
        <v/>
      </c>
      <c r="D125" s="0" t="str">
        <f aca="false">Calc!$B$23</f>
        <v>Soil moisture sensor</v>
      </c>
      <c r="E125" s="0" t="str">
        <f aca="false">Calc!$A$23</f>
        <v>Sensors</v>
      </c>
      <c r="F125" s="0" t="str">
        <f aca="false">Calc!$D$23</f>
        <v>Reusable</v>
      </c>
      <c r="G125" s="0" t="n">
        <f aca="false">Calc!$F$23</f>
        <v>0</v>
      </c>
    </row>
    <row r="126" customFormat="false" ht="15" hidden="false" customHeight="false" outlineLevel="0" collapsed="false">
      <c r="A126" s="0" t="n">
        <v>2</v>
      </c>
      <c r="B126" s="0" t="n">
        <v>22</v>
      </c>
      <c r="C126" s="0" t="str">
        <f aca="false">IF(G126&gt;0,2022,"")</f>
        <v/>
      </c>
      <c r="D126" s="0" t="str">
        <f aca="false">Calc!$B$24</f>
        <v>Sound sensor KY-037</v>
      </c>
      <c r="E126" s="0" t="str">
        <f aca="false">Calc!$A$24</f>
        <v>Sensors</v>
      </c>
      <c r="F126" s="0" t="str">
        <f aca="false">Calc!$D$24</f>
        <v>Reusable</v>
      </c>
      <c r="G126" s="0" t="n">
        <f aca="false">Calc!$F$24</f>
        <v>0</v>
      </c>
    </row>
    <row r="127" customFormat="false" ht="15" hidden="false" customHeight="false" outlineLevel="0" collapsed="false">
      <c r="A127" s="0" t="n">
        <v>2</v>
      </c>
      <c r="B127" s="0" t="n">
        <v>23</v>
      </c>
      <c r="C127" s="0" t="str">
        <f aca="false">IF(G127&gt;0,2023,"")</f>
        <v/>
      </c>
      <c r="D127" s="0" t="str">
        <f aca="false">Calc!$B$25</f>
        <v>Ultrasonic sensor HC-SR04</v>
      </c>
      <c r="E127" s="0" t="str">
        <f aca="false">Calc!$A$25</f>
        <v>Sensors</v>
      </c>
      <c r="F127" s="0" t="str">
        <f aca="false">Calc!$D$25</f>
        <v>Reusable</v>
      </c>
      <c r="G127" s="0" t="n">
        <f aca="false">Calc!$F$25</f>
        <v>0</v>
      </c>
    </row>
    <row r="128" customFormat="false" ht="15" hidden="false" customHeight="false" outlineLevel="0" collapsed="false">
      <c r="A128" s="0" t="n">
        <v>2</v>
      </c>
      <c r="B128" s="0" t="n">
        <v>24</v>
      </c>
      <c r="C128" s="0" t="str">
        <f aca="false">IF(G128&gt;0,2024,"")</f>
        <v/>
      </c>
      <c r="D128" s="0" t="str">
        <f aca="false">Calc!$B$26</f>
        <v>4x4 matrix keypad</v>
      </c>
      <c r="E128" s="0" t="str">
        <f aca="false">Calc!$A$26</f>
        <v>Security &amp; Identification</v>
      </c>
      <c r="F128" s="0" t="str">
        <f aca="false">Calc!$D$26</f>
        <v>Reusable</v>
      </c>
      <c r="G128" s="0" t="n">
        <f aca="false">Calc!$F$26</f>
        <v>0</v>
      </c>
    </row>
    <row r="129" customFormat="false" ht="15" hidden="false" customHeight="false" outlineLevel="0" collapsed="false">
      <c r="A129" s="0" t="n">
        <v>2</v>
      </c>
      <c r="B129" s="0" t="n">
        <v>25</v>
      </c>
      <c r="C129" s="0" t="str">
        <f aca="false">IF(G129&gt;0,2025,"")</f>
        <v/>
      </c>
      <c r="D129" s="0" t="str">
        <f aca="false">Calc!$B$27</f>
        <v>RFID RC522 + cards</v>
      </c>
      <c r="E129" s="0" t="str">
        <f aca="false">Calc!$A$27</f>
        <v>Security &amp; Identification</v>
      </c>
      <c r="F129" s="0" t="str">
        <f aca="false">Calc!$D$27</f>
        <v>Reusable</v>
      </c>
      <c r="G129" s="0" t="n">
        <f aca="false">Calc!$F$27</f>
        <v>0</v>
      </c>
    </row>
    <row r="130" customFormat="false" ht="15" hidden="false" customHeight="false" outlineLevel="0" collapsed="false">
      <c r="A130" s="0" t="n">
        <v>2</v>
      </c>
      <c r="B130" s="0" t="n">
        <v>26</v>
      </c>
      <c r="C130" s="0" t="str">
        <f aca="false">IF(G130&gt;0,2026,"")</f>
        <v/>
      </c>
      <c r="D130" s="0" t="str">
        <f aca="false">Calc!$B$28</f>
        <v>Bluetooth module HC-05</v>
      </c>
      <c r="E130" s="0" t="str">
        <f aca="false">Calc!$A$28</f>
        <v>Communication Modules</v>
      </c>
      <c r="F130" s="0" t="str">
        <f aca="false">Calc!$D$28</f>
        <v>Reusable</v>
      </c>
      <c r="G130" s="0" t="n">
        <f aca="false">Calc!$F$28</f>
        <v>0</v>
      </c>
    </row>
    <row r="131" customFormat="false" ht="15" hidden="false" customHeight="false" outlineLevel="0" collapsed="false">
      <c r="A131" s="0" t="n">
        <v>2</v>
      </c>
      <c r="B131" s="0" t="n">
        <v>27</v>
      </c>
      <c r="C131" s="0" t="str">
        <f aca="false">IF(G131&gt;0,2027,"")</f>
        <v/>
      </c>
      <c r="D131" s="0" t="str">
        <f aca="false">Calc!$B$29</f>
        <v>NRF24L01 module</v>
      </c>
      <c r="E131" s="0" t="str">
        <f aca="false">Calc!$A$29</f>
        <v>Communication Modules</v>
      </c>
      <c r="F131" s="0" t="str">
        <f aca="false">Calc!$D$29</f>
        <v>Reusable</v>
      </c>
      <c r="G131" s="0" t="n">
        <f aca="false">Calc!$F$29</f>
        <v>0</v>
      </c>
    </row>
    <row r="132" customFormat="false" ht="15" hidden="false" customHeight="false" outlineLevel="0" collapsed="false">
      <c r="A132" s="0" t="n">
        <v>2</v>
      </c>
      <c r="B132" s="0" t="n">
        <v>28</v>
      </c>
      <c r="C132" s="0" t="str">
        <f aca="false">IF(G132&gt;0,2028,"")</f>
        <v/>
      </c>
      <c r="D132" s="0" t="str">
        <f aca="false">Calc!$B$30</f>
        <v>Buzzer</v>
      </c>
      <c r="E132" s="0" t="str">
        <f aca="false">Calc!$A$30</f>
        <v>Actuators &amp; Motor Drivers</v>
      </c>
      <c r="F132" s="0" t="str">
        <f aca="false">Calc!$D$30</f>
        <v>Reusable</v>
      </c>
      <c r="G132" s="0" t="n">
        <f aca="false">Calc!$F$30</f>
        <v>0</v>
      </c>
    </row>
    <row r="133" customFormat="false" ht="15" hidden="false" customHeight="false" outlineLevel="0" collapsed="false">
      <c r="A133" s="0" t="n">
        <v>2</v>
      </c>
      <c r="B133" s="0" t="n">
        <v>29</v>
      </c>
      <c r="C133" s="0" t="str">
        <f aca="false">IF(G133&gt;0,2029,"")</f>
        <v/>
      </c>
      <c r="D133" s="0" t="str">
        <f aca="false">Calc!$B$31</f>
        <v>DC hobby motor</v>
      </c>
      <c r="E133" s="0" t="str">
        <f aca="false">Calc!$A$31</f>
        <v>Actuators &amp; Motor Drivers</v>
      </c>
      <c r="F133" s="0" t="str">
        <f aca="false">Calc!$D$31</f>
        <v>Reusable</v>
      </c>
      <c r="G133" s="0" t="n">
        <f aca="false">Calc!$F$31</f>
        <v>0</v>
      </c>
    </row>
    <row r="134" customFormat="false" ht="15" hidden="false" customHeight="false" outlineLevel="0" collapsed="false">
      <c r="A134" s="0" t="n">
        <v>2</v>
      </c>
      <c r="B134" s="0" t="n">
        <v>30</v>
      </c>
      <c r="C134" s="0" t="str">
        <f aca="false">IF(G134&gt;0,2030,"")</f>
        <v/>
      </c>
      <c r="D134" s="0" t="str">
        <f aca="false">Calc!$B$32</f>
        <v>L298N motor driver</v>
      </c>
      <c r="E134" s="0" t="str">
        <f aca="false">Calc!$A$32</f>
        <v>Actuators &amp; Motor Drivers</v>
      </c>
      <c r="F134" s="0" t="str">
        <f aca="false">Calc!$D$32</f>
        <v>Reusable</v>
      </c>
      <c r="G134" s="0" t="n">
        <f aca="false">Calc!$F$32</f>
        <v>0</v>
      </c>
    </row>
    <row r="135" customFormat="false" ht="15" hidden="false" customHeight="false" outlineLevel="0" collapsed="false">
      <c r="A135" s="0" t="n">
        <v>2</v>
      </c>
      <c r="B135" s="0" t="n">
        <v>31</v>
      </c>
      <c r="C135" s="0" t="str">
        <f aca="false">IF(G135&gt;0,2031,"")</f>
        <v/>
      </c>
      <c r="D135" s="0" t="str">
        <f aca="false">Calc!$B$33</f>
        <v>Mini water pump + tube</v>
      </c>
      <c r="E135" s="0" t="str">
        <f aca="false">Calc!$A$33</f>
        <v>Actuators &amp; Motor Drivers</v>
      </c>
      <c r="F135" s="0" t="str">
        <f aca="false">Calc!$D$33</f>
        <v>Reusable</v>
      </c>
      <c r="G135" s="0" t="n">
        <f aca="false">Calc!$F$33</f>
        <v>0</v>
      </c>
    </row>
    <row r="136" customFormat="false" ht="15" hidden="false" customHeight="false" outlineLevel="0" collapsed="false">
      <c r="A136" s="0" t="n">
        <v>2</v>
      </c>
      <c r="B136" s="0" t="n">
        <v>32</v>
      </c>
      <c r="C136" s="0" t="str">
        <f aca="false">IF(G136&gt;0,2032,"")</f>
        <v/>
      </c>
      <c r="D136" s="0" t="str">
        <f aca="false">Calc!$B$34</f>
        <v>Passive buzzer</v>
      </c>
      <c r="E136" s="0" t="str">
        <f aca="false">Calc!$A$34</f>
        <v>Actuators &amp; Motor Drivers</v>
      </c>
      <c r="F136" s="0" t="str">
        <f aca="false">Calc!$D$34</f>
        <v>Reusable</v>
      </c>
      <c r="G136" s="0" t="n">
        <f aca="false">Calc!$F$34</f>
        <v>0</v>
      </c>
    </row>
    <row r="137" customFormat="false" ht="15" hidden="false" customHeight="false" outlineLevel="0" collapsed="false">
      <c r="A137" s="0" t="n">
        <v>2</v>
      </c>
      <c r="B137" s="0" t="n">
        <v>33</v>
      </c>
      <c r="C137" s="0" t="str">
        <f aca="false">IF(G137&gt;0,2033,"")</f>
        <v/>
      </c>
      <c r="D137" s="0" t="str">
        <f aca="false">Calc!$B$35</f>
        <v>Relay module (1-channel)</v>
      </c>
      <c r="E137" s="0" t="str">
        <f aca="false">Calc!$A$35</f>
        <v>Actuators &amp; Motor Drivers</v>
      </c>
      <c r="F137" s="0" t="str">
        <f aca="false">Calc!$D$35</f>
        <v>Reusable</v>
      </c>
      <c r="G137" s="0" t="n">
        <f aca="false">Calc!$F$35</f>
        <v>0</v>
      </c>
    </row>
    <row r="138" customFormat="false" ht="15" hidden="false" customHeight="false" outlineLevel="0" collapsed="false">
      <c r="A138" s="0" t="n">
        <v>2</v>
      </c>
      <c r="B138" s="0" t="n">
        <v>34</v>
      </c>
      <c r="C138" s="0" t="str">
        <f aca="false">IF(G138&gt;0,2034,"")</f>
        <v/>
      </c>
      <c r="D138" s="0" t="str">
        <f aca="false">Calc!$B$36</f>
        <v>Relay module (4-channel)</v>
      </c>
      <c r="E138" s="0" t="str">
        <f aca="false">Calc!$A$36</f>
        <v>Actuators &amp; Motor Drivers</v>
      </c>
      <c r="F138" s="0" t="str">
        <f aca="false">Calc!$D$36</f>
        <v>Reusable</v>
      </c>
      <c r="G138" s="0" t="n">
        <f aca="false">Calc!$F$36</f>
        <v>0</v>
      </c>
    </row>
    <row r="139" customFormat="false" ht="15" hidden="false" customHeight="false" outlineLevel="0" collapsed="false">
      <c r="A139" s="0" t="n">
        <v>2</v>
      </c>
      <c r="B139" s="0" t="n">
        <v>35</v>
      </c>
      <c r="C139" s="0" t="str">
        <f aca="false">IF(G139&gt;0,2035,"")</f>
        <v/>
      </c>
      <c r="D139" s="0" t="str">
        <f aca="false">Calc!$B$37</f>
        <v>Servo MG995</v>
      </c>
      <c r="E139" s="0" t="str">
        <f aca="false">Calc!$A$37</f>
        <v>Actuators &amp; Motor Drivers</v>
      </c>
      <c r="F139" s="0" t="str">
        <f aca="false">Calc!$D$37</f>
        <v>Reusable</v>
      </c>
      <c r="G139" s="0" t="n">
        <f aca="false">Calc!$F$37</f>
        <v>0</v>
      </c>
    </row>
    <row r="140" customFormat="false" ht="15" hidden="false" customHeight="false" outlineLevel="0" collapsed="false">
      <c r="A140" s="0" t="n">
        <v>2</v>
      </c>
      <c r="B140" s="0" t="n">
        <v>36</v>
      </c>
      <c r="C140" s="0" t="str">
        <f aca="false">IF(G140&gt;0,2036,"")</f>
        <v/>
      </c>
      <c r="D140" s="0" t="str">
        <f aca="false">Calc!$B$38</f>
        <v>Servo SG90</v>
      </c>
      <c r="E140" s="0" t="str">
        <f aca="false">Calc!$A$38</f>
        <v>Actuators &amp; Motor Drivers</v>
      </c>
      <c r="F140" s="0" t="str">
        <f aca="false">Calc!$D$38</f>
        <v>Reusable</v>
      </c>
      <c r="G140" s="0" t="n">
        <f aca="false">Calc!$F$38</f>
        <v>0</v>
      </c>
    </row>
    <row r="141" customFormat="false" ht="15" hidden="false" customHeight="false" outlineLevel="0" collapsed="false">
      <c r="A141" s="0" t="n">
        <v>2</v>
      </c>
      <c r="B141" s="0" t="n">
        <v>37</v>
      </c>
      <c r="C141" s="0" t="str">
        <f aca="false">IF(G141&gt;0,2037,"")</f>
        <v/>
      </c>
      <c r="D141" s="0" t="str">
        <f aca="false">Calc!$B$39</f>
        <v>Stepper 28BYJ-48 + ULN2003</v>
      </c>
      <c r="E141" s="0" t="str">
        <f aca="false">Calc!$A$39</f>
        <v>Actuators &amp; Motor Drivers</v>
      </c>
      <c r="F141" s="0" t="str">
        <f aca="false">Calc!$D$39</f>
        <v>Reusable</v>
      </c>
      <c r="G141" s="0" t="n">
        <f aca="false">Calc!$F$39</f>
        <v>0</v>
      </c>
    </row>
    <row r="142" customFormat="false" ht="15" hidden="false" customHeight="false" outlineLevel="0" collapsed="false">
      <c r="A142" s="0" t="n">
        <v>2</v>
      </c>
      <c r="B142" s="0" t="n">
        <v>38</v>
      </c>
      <c r="C142" s="0" t="str">
        <f aca="false">IF(G142&gt;0,2038,"")</f>
        <v/>
      </c>
      <c r="D142" s="0" t="str">
        <f aca="false">Calc!$B$40</f>
        <v>Vibration motor module</v>
      </c>
      <c r="E142" s="0" t="str">
        <f aca="false">Calc!$A$40</f>
        <v>Actuators &amp; Motor Drivers</v>
      </c>
      <c r="F142" s="0" t="str">
        <f aca="false">Calc!$D$40</f>
        <v>Reusable</v>
      </c>
      <c r="G142" s="0" t="n">
        <f aca="false">Calc!$F$40</f>
        <v>0</v>
      </c>
    </row>
    <row r="143" customFormat="false" ht="15" hidden="false" customHeight="false" outlineLevel="0" collapsed="false">
      <c r="A143" s="0" t="n">
        <v>2</v>
      </c>
      <c r="B143" s="0" t="n">
        <v>39</v>
      </c>
      <c r="C143" s="0" t="str">
        <f aca="false">IF(G143&gt;0,2039,"")</f>
        <v/>
      </c>
      <c r="D143" s="0" t="str">
        <f aca="false">Calc!$B$41</f>
        <v>5 V DC fan</v>
      </c>
      <c r="E143" s="0" t="str">
        <f aca="false">Calc!$A$41</f>
        <v>Displays &amp; Output</v>
      </c>
      <c r="F143" s="0" t="str">
        <f aca="false">Calc!$D$41</f>
        <v>Reusable</v>
      </c>
      <c r="G143" s="0" t="n">
        <f aca="false">Calc!$F$41</f>
        <v>0</v>
      </c>
    </row>
    <row r="144" customFormat="false" ht="15" hidden="false" customHeight="false" outlineLevel="0" collapsed="false">
      <c r="A144" s="0" t="n">
        <v>2</v>
      </c>
      <c r="B144" s="0" t="n">
        <v>40</v>
      </c>
      <c r="C144" s="0" t="str">
        <f aca="false">IF(G144&gt;0,2040,"")</f>
        <v/>
      </c>
      <c r="D144" s="0" t="str">
        <f aca="false">Calc!$B$42</f>
        <v>LED 5 mm (assorted)</v>
      </c>
      <c r="E144" s="0" t="str">
        <f aca="false">Calc!$A$42</f>
        <v>Displays &amp; Output</v>
      </c>
      <c r="F144" s="0" t="str">
        <f aca="false">Calc!$D$42</f>
        <v>Consumable</v>
      </c>
      <c r="G144" s="0" t="n">
        <f aca="false">Calc!$F$42</f>
        <v>0</v>
      </c>
    </row>
    <row r="145" customFormat="false" ht="15" hidden="false" customHeight="false" outlineLevel="0" collapsed="false">
      <c r="A145" s="0" t="n">
        <v>2</v>
      </c>
      <c r="B145" s="0" t="n">
        <v>41</v>
      </c>
      <c r="C145" s="0" t="str">
        <f aca="false">IF(G145&gt;0,2041,"")</f>
        <v/>
      </c>
      <c r="D145" s="0" t="str">
        <f aca="false">Calc!$B$43</f>
        <v>Low-voltage LED lamp (5 V)</v>
      </c>
      <c r="E145" s="0" t="str">
        <f aca="false">Calc!$A$43</f>
        <v>Displays &amp; Output</v>
      </c>
      <c r="F145" s="0" t="str">
        <f aca="false">Calc!$D$43</f>
        <v>Reusable</v>
      </c>
      <c r="G145" s="0" t="n">
        <f aca="false">Calc!$F$43</f>
        <v>0</v>
      </c>
    </row>
    <row r="146" customFormat="false" ht="15" hidden="false" customHeight="false" outlineLevel="0" collapsed="false">
      <c r="A146" s="0" t="n">
        <v>2</v>
      </c>
      <c r="B146" s="0" t="n">
        <v>42</v>
      </c>
      <c r="C146" s="0" t="str">
        <f aca="false">IF(G146&gt;0,2042,"")</f>
        <v/>
      </c>
      <c r="D146" s="0" t="str">
        <f aca="false">Calc!$B$44</f>
        <v>MAX7219 8x8 LED matrix</v>
      </c>
      <c r="E146" s="0" t="str">
        <f aca="false">Calc!$A$44</f>
        <v>Displays &amp; Output</v>
      </c>
      <c r="F146" s="0" t="str">
        <f aca="false">Calc!$D$44</f>
        <v>Reusable</v>
      </c>
      <c r="G146" s="0" t="n">
        <f aca="false">Calc!$F$44</f>
        <v>0</v>
      </c>
    </row>
    <row r="147" customFormat="false" ht="15" hidden="false" customHeight="false" outlineLevel="0" collapsed="false">
      <c r="A147" s="0" t="n">
        <v>2</v>
      </c>
      <c r="B147" s="0" t="n">
        <v>43</v>
      </c>
      <c r="C147" s="0" t="str">
        <f aca="false">IF(G147&gt;0,2043,"")</f>
        <v/>
      </c>
      <c r="D147" s="0" t="str">
        <f aca="false">Calc!$B$45</f>
        <v>OLED 0.96 in I2C</v>
      </c>
      <c r="E147" s="0" t="str">
        <f aca="false">Calc!$A$45</f>
        <v>Displays &amp; Output</v>
      </c>
      <c r="F147" s="0" t="str">
        <f aca="false">Calc!$D$45</f>
        <v>Reusable</v>
      </c>
      <c r="G147" s="0" t="n">
        <f aca="false">Calc!$F$45</f>
        <v>0</v>
      </c>
    </row>
    <row r="148" customFormat="false" ht="15" hidden="false" customHeight="false" outlineLevel="0" collapsed="false">
      <c r="A148" s="0" t="n">
        <v>2</v>
      </c>
      <c r="B148" s="0" t="n">
        <v>44</v>
      </c>
      <c r="C148" s="0" t="str">
        <f aca="false">IF(G148&gt;0,2044,"")</f>
        <v/>
      </c>
      <c r="D148" s="0" t="str">
        <f aca="false">Calc!$B$46</f>
        <v>RGB LED</v>
      </c>
      <c r="E148" s="0" t="str">
        <f aca="false">Calc!$A$46</f>
        <v>Displays &amp; Output</v>
      </c>
      <c r="F148" s="0" t="str">
        <f aca="false">Calc!$D$46</f>
        <v>Reusable</v>
      </c>
      <c r="G148" s="0" t="n">
        <f aca="false">Calc!$F$46</f>
        <v>0</v>
      </c>
    </row>
    <row r="149" customFormat="false" ht="15" hidden="false" customHeight="false" outlineLevel="0" collapsed="false">
      <c r="A149" s="0" t="n">
        <v>2</v>
      </c>
      <c r="B149" s="0" t="n">
        <v>45</v>
      </c>
      <c r="C149" s="0" t="str">
        <f aca="false">IF(G149&gt;0,2045,"")</f>
        <v/>
      </c>
      <c r="D149" s="0" t="str">
        <f aca="false">Calc!$B$47</f>
        <v>WS2812B LED ring (12 LEDs)</v>
      </c>
      <c r="E149" s="0" t="str">
        <f aca="false">Calc!$A$47</f>
        <v>Displays &amp; Output</v>
      </c>
      <c r="F149" s="0" t="str">
        <f aca="false">Calc!$D$47</f>
        <v>Reusable</v>
      </c>
      <c r="G149" s="0" t="n">
        <f aca="false">Calc!$F$47</f>
        <v>0</v>
      </c>
    </row>
    <row r="150" customFormat="false" ht="15" hidden="false" customHeight="false" outlineLevel="0" collapsed="false">
      <c r="A150" s="0" t="n">
        <v>2</v>
      </c>
      <c r="B150" s="0" t="n">
        <v>46</v>
      </c>
      <c r="C150" s="0" t="str">
        <f aca="false">IF(G150&gt;0,2046,"")</f>
        <v/>
      </c>
      <c r="D150" s="0" t="str">
        <f aca="false">Calc!$B$48</f>
        <v>WS2812B LED strip (1 m, 30 LEDs)</v>
      </c>
      <c r="E150" s="0" t="str">
        <f aca="false">Calc!$A$48</f>
        <v>Displays &amp; Output</v>
      </c>
      <c r="F150" s="0" t="str">
        <f aca="false">Calc!$D$48</f>
        <v>Reusable</v>
      </c>
      <c r="G150" s="0" t="n">
        <f aca="false">Calc!$F$48</f>
        <v>0</v>
      </c>
    </row>
    <row r="151" customFormat="false" ht="15" hidden="false" customHeight="false" outlineLevel="0" collapsed="false">
      <c r="A151" s="0" t="n">
        <v>2</v>
      </c>
      <c r="B151" s="0" t="n">
        <v>47</v>
      </c>
      <c r="C151" s="0" t="str">
        <f aca="false">IF(G151&gt;0,2047,"")</f>
        <v/>
      </c>
      <c r="D151" s="0" t="str">
        <f aca="false">Calc!$B$49</f>
        <v>555 timer IC</v>
      </c>
      <c r="E151" s="0" t="str">
        <f aca="false">Calc!$A$49</f>
        <v>Passive Components &amp; ICs</v>
      </c>
      <c r="F151" s="0" t="str">
        <f aca="false">Calc!$D$49</f>
        <v>Consumable</v>
      </c>
      <c r="G151" s="0" t="n">
        <f aca="false">Calc!$F$49</f>
        <v>0</v>
      </c>
    </row>
    <row r="152" customFormat="false" ht="15" hidden="false" customHeight="false" outlineLevel="0" collapsed="false">
      <c r="A152" s="0" t="n">
        <v>2</v>
      </c>
      <c r="B152" s="0" t="n">
        <v>48</v>
      </c>
      <c r="C152" s="0" t="str">
        <f aca="false">IF(G152&gt;0,2048,"")</f>
        <v/>
      </c>
      <c r="D152" s="0" t="str">
        <f aca="false">Calc!$B$50</f>
        <v>Capacitor 10 nF</v>
      </c>
      <c r="E152" s="0" t="str">
        <f aca="false">Calc!$A$50</f>
        <v>Passive Components &amp; ICs</v>
      </c>
      <c r="F152" s="0" t="str">
        <f aca="false">Calc!$D$50</f>
        <v>Consumable</v>
      </c>
      <c r="G152" s="0" t="n">
        <f aca="false">Calc!$F$50</f>
        <v>0</v>
      </c>
    </row>
    <row r="153" customFormat="false" ht="15" hidden="false" customHeight="false" outlineLevel="0" collapsed="false">
      <c r="A153" s="0" t="n">
        <v>2</v>
      </c>
      <c r="B153" s="0" t="n">
        <v>49</v>
      </c>
      <c r="C153" s="0" t="str">
        <f aca="false">IF(G153&gt;0,2049,"")</f>
        <v/>
      </c>
      <c r="D153" s="0" t="str">
        <f aca="false">Calc!$B$51</f>
        <v>Capacitor 10 uF</v>
      </c>
      <c r="E153" s="0" t="str">
        <f aca="false">Calc!$A$51</f>
        <v>Passive Components &amp; ICs</v>
      </c>
      <c r="F153" s="0" t="str">
        <f aca="false">Calc!$D$51</f>
        <v>Consumable</v>
      </c>
      <c r="G153" s="0" t="n">
        <f aca="false">Calc!$F$51</f>
        <v>0</v>
      </c>
    </row>
    <row r="154" customFormat="false" ht="15" hidden="false" customHeight="false" outlineLevel="0" collapsed="false">
      <c r="A154" s="0" t="n">
        <v>2</v>
      </c>
      <c r="B154" s="0" t="n">
        <v>50</v>
      </c>
      <c r="C154" s="0" t="str">
        <f aca="false">IF(G154&gt;0,2050,"")</f>
        <v/>
      </c>
      <c r="D154" s="0" t="str">
        <f aca="false">Calc!$B$52</f>
        <v>Capacitor 100 uF</v>
      </c>
      <c r="E154" s="0" t="str">
        <f aca="false">Calc!$A$52</f>
        <v>Passive Components &amp; ICs</v>
      </c>
      <c r="F154" s="0" t="str">
        <f aca="false">Calc!$D$52</f>
        <v>Consumable</v>
      </c>
      <c r="G154" s="0" t="n">
        <f aca="false">Calc!$F$52</f>
        <v>0</v>
      </c>
    </row>
    <row r="155" customFormat="false" ht="15" hidden="false" customHeight="false" outlineLevel="0" collapsed="false">
      <c r="A155" s="0" t="n">
        <v>2</v>
      </c>
      <c r="B155" s="0" t="n">
        <v>51</v>
      </c>
      <c r="C155" s="0" t="str">
        <f aca="false">IF(G155&gt;0,2051,"")</f>
        <v/>
      </c>
      <c r="D155" s="0" t="str">
        <f aca="false">Calc!$B$53</f>
        <v>Potentiometer 10k</v>
      </c>
      <c r="E155" s="0" t="str">
        <f aca="false">Calc!$A$53</f>
        <v>Passive Components &amp; ICs</v>
      </c>
      <c r="F155" s="0" t="str">
        <f aca="false">Calc!$D$53</f>
        <v>Reusable</v>
      </c>
      <c r="G155" s="0" t="n">
        <f aca="false">Calc!$F$53</f>
        <v>0</v>
      </c>
    </row>
    <row r="156" customFormat="false" ht="15" hidden="false" customHeight="false" outlineLevel="0" collapsed="false">
      <c r="A156" s="0" t="n">
        <v>2</v>
      </c>
      <c r="B156" s="0" t="n">
        <v>52</v>
      </c>
      <c r="C156" s="0" t="str">
        <f aca="false">IF(G156&gt;0,2052,"")</f>
        <v/>
      </c>
      <c r="D156" s="0" t="str">
        <f aca="false">Calc!$B$54</f>
        <v>Push button</v>
      </c>
      <c r="E156" s="0" t="str">
        <f aca="false">Calc!$A$54</f>
        <v>Passive Components &amp; ICs</v>
      </c>
      <c r="F156" s="0" t="str">
        <f aca="false">Calc!$D$54</f>
        <v>Reusable</v>
      </c>
      <c r="G156" s="0" t="n">
        <f aca="false">Calc!$F$54</f>
        <v>0</v>
      </c>
    </row>
    <row r="157" customFormat="false" ht="15" hidden="false" customHeight="false" outlineLevel="0" collapsed="false">
      <c r="A157" s="0" t="n">
        <v>2</v>
      </c>
      <c r="B157" s="0" t="n">
        <v>53</v>
      </c>
      <c r="C157" s="0" t="str">
        <f aca="false">IF(G157&gt;0,2053,"")</f>
        <v/>
      </c>
      <c r="D157" s="0" t="str">
        <f aca="false">Calc!$B$55</f>
        <v>Resistor 10k ohm</v>
      </c>
      <c r="E157" s="0" t="str">
        <f aca="false">Calc!$A$55</f>
        <v>Passive Components &amp; ICs</v>
      </c>
      <c r="F157" s="0" t="str">
        <f aca="false">Calc!$D$55</f>
        <v>Consumable</v>
      </c>
      <c r="G157" s="0" t="n">
        <f aca="false">Calc!$F$55</f>
        <v>0</v>
      </c>
    </row>
    <row r="158" customFormat="false" ht="15" hidden="false" customHeight="false" outlineLevel="0" collapsed="false">
      <c r="A158" s="0" t="n">
        <v>2</v>
      </c>
      <c r="B158" s="0" t="n">
        <v>54</v>
      </c>
      <c r="C158" s="0" t="str">
        <f aca="false">IF(G158&gt;0,2054,"")</f>
        <v/>
      </c>
      <c r="D158" s="0" t="str">
        <f aca="false">Calc!$B$56</f>
        <v>Resistor 1k ohm</v>
      </c>
      <c r="E158" s="0" t="str">
        <f aca="false">Calc!$A$56</f>
        <v>Passive Components &amp; ICs</v>
      </c>
      <c r="F158" s="0" t="str">
        <f aca="false">Calc!$D$56</f>
        <v>Consumable</v>
      </c>
      <c r="G158" s="0" t="n">
        <f aca="false">Calc!$F$56</f>
        <v>0</v>
      </c>
    </row>
    <row r="159" customFormat="false" ht="15" hidden="false" customHeight="false" outlineLevel="0" collapsed="false">
      <c r="A159" s="0" t="n">
        <v>2</v>
      </c>
      <c r="B159" s="0" t="n">
        <v>55</v>
      </c>
      <c r="C159" s="0" t="str">
        <f aca="false">IF(G159&gt;0,2055,"")</f>
        <v/>
      </c>
      <c r="D159" s="0" t="str">
        <f aca="false">Calc!$B$57</f>
        <v>Resistor 220 ohm</v>
      </c>
      <c r="E159" s="0" t="str">
        <f aca="false">Calc!$A$57</f>
        <v>Passive Components &amp; ICs</v>
      </c>
      <c r="F159" s="0" t="str">
        <f aca="false">Calc!$D$57</f>
        <v>Consumable</v>
      </c>
      <c r="G159" s="0" t="n">
        <f aca="false">Calc!$F$57</f>
        <v>0</v>
      </c>
    </row>
    <row r="160" customFormat="false" ht="15" hidden="false" customHeight="false" outlineLevel="0" collapsed="false">
      <c r="A160" s="0" t="n">
        <v>2</v>
      </c>
      <c r="B160" s="0" t="n">
        <v>56</v>
      </c>
      <c r="C160" s="0" t="str">
        <f aca="false">IF(G160&gt;0,2056,"")</f>
        <v/>
      </c>
      <c r="D160" s="0" t="str">
        <f aca="false">Calc!$B$58</f>
        <v>Slide switch</v>
      </c>
      <c r="E160" s="0" t="str">
        <f aca="false">Calc!$A$58</f>
        <v>Passive Components &amp; ICs</v>
      </c>
      <c r="F160" s="0" t="str">
        <f aca="false">Calc!$D$58</f>
        <v>Reusable</v>
      </c>
      <c r="G160" s="0" t="n">
        <f aca="false">Calc!$F$58</f>
        <v>0</v>
      </c>
    </row>
    <row r="161" customFormat="false" ht="15" hidden="false" customHeight="false" outlineLevel="0" collapsed="false">
      <c r="A161" s="0" t="n">
        <v>2</v>
      </c>
      <c r="B161" s="0" t="n">
        <v>57</v>
      </c>
      <c r="C161" s="0" t="str">
        <f aca="false">IF(G161&gt;0,2057,"")</f>
        <v/>
      </c>
      <c r="D161" s="0" t="str">
        <f aca="false">Calc!$B$59</f>
        <v>18650 cell + holder</v>
      </c>
      <c r="E161" s="0" t="str">
        <f aca="false">Calc!$A$59</f>
        <v>Power</v>
      </c>
      <c r="F161" s="0" t="str">
        <f aca="false">Calc!$D$59</f>
        <v>Reusable</v>
      </c>
      <c r="G161" s="0" t="n">
        <f aca="false">Calc!$F$59</f>
        <v>0</v>
      </c>
    </row>
    <row r="162" customFormat="false" ht="15" hidden="false" customHeight="false" outlineLevel="0" collapsed="false">
      <c r="A162" s="0" t="n">
        <v>2</v>
      </c>
      <c r="B162" s="0" t="n">
        <v>58</v>
      </c>
      <c r="C162" s="0" t="str">
        <f aca="false">IF(G162&gt;0,2058,"")</f>
        <v/>
      </c>
      <c r="D162" s="0" t="str">
        <f aca="false">Calc!$B$60</f>
        <v>2xAA battery holder + batteries</v>
      </c>
      <c r="E162" s="0" t="str">
        <f aca="false">Calc!$A$60</f>
        <v>Power</v>
      </c>
      <c r="F162" s="0" t="str">
        <f aca="false">Calc!$D$60</f>
        <v>Consumable</v>
      </c>
      <c r="G162" s="0" t="n">
        <f aca="false">Calc!$F$60</f>
        <v>0</v>
      </c>
    </row>
    <row r="163" customFormat="false" ht="15" hidden="false" customHeight="false" outlineLevel="0" collapsed="false">
      <c r="A163" s="0" t="n">
        <v>2</v>
      </c>
      <c r="B163" s="0" t="n">
        <v>59</v>
      </c>
      <c r="C163" s="0" t="str">
        <f aca="false">IF(G163&gt;0,2059,"")</f>
        <v/>
      </c>
      <c r="D163" s="0" t="str">
        <f aca="false">Calc!$B$61</f>
        <v>4xAA battery pack</v>
      </c>
      <c r="E163" s="0" t="str">
        <f aca="false">Calc!$A$61</f>
        <v>Power</v>
      </c>
      <c r="F163" s="0" t="str">
        <f aca="false">Calc!$D$61</f>
        <v>Consumable</v>
      </c>
      <c r="G163" s="0" t="n">
        <f aca="false">Calc!$F$61</f>
        <v>0</v>
      </c>
    </row>
    <row r="164" customFormat="false" ht="15" hidden="false" customHeight="false" outlineLevel="0" collapsed="false">
      <c r="A164" s="0" t="n">
        <v>2</v>
      </c>
      <c r="B164" s="0" t="n">
        <v>60</v>
      </c>
      <c r="C164" s="0" t="str">
        <f aca="false">IF(G164&gt;0,2060,"")</f>
        <v/>
      </c>
      <c r="D164" s="0" t="str">
        <f aca="false">Calc!$B$62</f>
        <v>9V battery + snap</v>
      </c>
      <c r="E164" s="0" t="str">
        <f aca="false">Calc!$A$62</f>
        <v>Power</v>
      </c>
      <c r="F164" s="0" t="str">
        <f aca="false">Calc!$D$62</f>
        <v>Consumable</v>
      </c>
      <c r="G164" s="0" t="n">
        <f aca="false">Calc!$F$62</f>
        <v>0</v>
      </c>
    </row>
    <row r="165" customFormat="false" ht="15" hidden="false" customHeight="false" outlineLevel="0" collapsed="false">
      <c r="A165" s="0" t="n">
        <v>2</v>
      </c>
      <c r="B165" s="0" t="n">
        <v>61</v>
      </c>
      <c r="C165" s="0" t="str">
        <f aca="false">IF(G165&gt;0,2061,"")</f>
        <v/>
      </c>
      <c r="D165" s="0" t="str">
        <f aca="false">Calc!$B$63</f>
        <v>Coin cell CR2032</v>
      </c>
      <c r="E165" s="0" t="str">
        <f aca="false">Calc!$A$63</f>
        <v>Power</v>
      </c>
      <c r="F165" s="0" t="str">
        <f aca="false">Calc!$D$63</f>
        <v>Consumable</v>
      </c>
      <c r="G165" s="0" t="n">
        <f aca="false">Calc!$F$63</f>
        <v>0</v>
      </c>
    </row>
    <row r="166" customFormat="false" ht="15" hidden="false" customHeight="false" outlineLevel="0" collapsed="false">
      <c r="A166" s="0" t="n">
        <v>2</v>
      </c>
      <c r="B166" s="0" t="n">
        <v>62</v>
      </c>
      <c r="C166" s="0" t="str">
        <f aca="false">IF(G166&gt;0,2062,"")</f>
        <v/>
      </c>
      <c r="D166" s="0" t="str">
        <f aca="false">Calc!$B$64</f>
        <v>LM2596 buck converter</v>
      </c>
      <c r="E166" s="0" t="str">
        <f aca="false">Calc!$A$64</f>
        <v>Power</v>
      </c>
      <c r="F166" s="0" t="str">
        <f aca="false">Calc!$D$64</f>
        <v>Reusable</v>
      </c>
      <c r="G166" s="0" t="n">
        <f aca="false">Calc!$F$64</f>
        <v>0</v>
      </c>
    </row>
    <row r="167" customFormat="false" ht="15" hidden="false" customHeight="false" outlineLevel="0" collapsed="false">
      <c r="A167" s="0" t="n">
        <v>2</v>
      </c>
      <c r="B167" s="0" t="n">
        <v>63</v>
      </c>
      <c r="C167" s="0" t="str">
        <f aca="false">IF(G167&gt;0,2063,"")</f>
        <v/>
      </c>
      <c r="D167" s="0" t="str">
        <f aca="false">Calc!$B$65</f>
        <v>Small solar panel</v>
      </c>
      <c r="E167" s="0" t="str">
        <f aca="false">Calc!$A$65</f>
        <v>Power</v>
      </c>
      <c r="F167" s="0" t="str">
        <f aca="false">Calc!$D$65</f>
        <v>Reusable</v>
      </c>
      <c r="G167" s="0" t="n">
        <f aca="false">Calc!$F$65</f>
        <v>0</v>
      </c>
    </row>
    <row r="168" customFormat="false" ht="15" hidden="false" customHeight="false" outlineLevel="0" collapsed="false">
      <c r="A168" s="0" t="n">
        <v>2</v>
      </c>
      <c r="B168" s="0" t="n">
        <v>64</v>
      </c>
      <c r="C168" s="0" t="str">
        <f aca="false">IF(G168&gt;0,2064,"")</f>
        <v/>
      </c>
      <c r="D168" s="0" t="str">
        <f aca="false">Calc!$B$66</f>
        <v>TP4056 charger module</v>
      </c>
      <c r="E168" s="0" t="str">
        <f aca="false">Calc!$A$66</f>
        <v>Power</v>
      </c>
      <c r="F168" s="0" t="str">
        <f aca="false">Calc!$D$66</f>
        <v>Reusable</v>
      </c>
      <c r="G168" s="0" t="n">
        <f aca="false">Calc!$F$66</f>
        <v>0</v>
      </c>
    </row>
    <row r="169" customFormat="false" ht="15" hidden="false" customHeight="false" outlineLevel="0" collapsed="false">
      <c r="A169" s="0" t="n">
        <v>2</v>
      </c>
      <c r="B169" s="0" t="n">
        <v>65</v>
      </c>
      <c r="C169" s="0" t="str">
        <f aca="false">IF(G169&gt;0,2065,"")</f>
        <v/>
      </c>
      <c r="D169" s="0" t="str">
        <f aca="false">Calc!$B$67</f>
        <v>Alligator clip leads</v>
      </c>
      <c r="E169" s="0" t="str">
        <f aca="false">Calc!$A$67</f>
        <v>Wiring &amp; Prototyping</v>
      </c>
      <c r="F169" s="0" t="str">
        <f aca="false">Calc!$D$67</f>
        <v>Reusable</v>
      </c>
      <c r="G169" s="0" t="n">
        <f aca="false">Calc!$F$67</f>
        <v>0</v>
      </c>
    </row>
    <row r="170" customFormat="false" ht="15" hidden="false" customHeight="false" outlineLevel="0" collapsed="false">
      <c r="A170" s="0" t="n">
        <v>2</v>
      </c>
      <c r="B170" s="0" t="n">
        <v>66</v>
      </c>
      <c r="C170" s="0" t="str">
        <f aca="false">IF(G170&gt;0,2066,"")</f>
        <v/>
      </c>
      <c r="D170" s="0" t="str">
        <f aca="false">Calc!$B$68</f>
        <v>Aluminium foil</v>
      </c>
      <c r="E170" s="0" t="str">
        <f aca="false">Calc!$A$68</f>
        <v>Wiring &amp; Prototyping</v>
      </c>
      <c r="F170" s="0" t="str">
        <f aca="false">Calc!$D$68</f>
        <v>Consumable</v>
      </c>
      <c r="G170" s="0" t="n">
        <f aca="false">Calc!$F$68</f>
        <v>0</v>
      </c>
    </row>
    <row r="171" customFormat="false" ht="15" hidden="false" customHeight="false" outlineLevel="0" collapsed="false">
      <c r="A171" s="0" t="n">
        <v>2</v>
      </c>
      <c r="B171" s="0" t="n">
        <v>67</v>
      </c>
      <c r="C171" s="0" t="str">
        <f aca="false">IF(G171&gt;0,2067,"")</f>
        <v/>
      </c>
      <c r="D171" s="0" t="str">
        <f aca="false">Calc!$B$69</f>
        <v>Breadboard (half size)</v>
      </c>
      <c r="E171" s="0" t="str">
        <f aca="false">Calc!$A$69</f>
        <v>Wiring &amp; Prototyping</v>
      </c>
      <c r="F171" s="0" t="str">
        <f aca="false">Calc!$D$69</f>
        <v>Reusable</v>
      </c>
      <c r="G171" s="0" t="n">
        <f aca="false">Calc!$F$69</f>
        <v>0</v>
      </c>
    </row>
    <row r="172" customFormat="false" ht="15" hidden="false" customHeight="false" outlineLevel="0" collapsed="false">
      <c r="A172" s="0" t="n">
        <v>2</v>
      </c>
      <c r="B172" s="0" t="n">
        <v>68</v>
      </c>
      <c r="C172" s="0" t="str">
        <f aca="false">IF(G172&gt;0,2068,"")</f>
        <v/>
      </c>
      <c r="D172" s="0" t="str">
        <f aca="false">Calc!$B$70</f>
        <v>Copper tape</v>
      </c>
      <c r="E172" s="0" t="str">
        <f aca="false">Calc!$A$70</f>
        <v>Wiring &amp; Prototyping</v>
      </c>
      <c r="F172" s="0" t="str">
        <f aca="false">Calc!$D$70</f>
        <v>Consumable</v>
      </c>
      <c r="G172" s="0" t="n">
        <f aca="false">Calc!$F$70</f>
        <v>0</v>
      </c>
    </row>
    <row r="173" customFormat="false" ht="15" hidden="false" customHeight="false" outlineLevel="0" collapsed="false">
      <c r="A173" s="0" t="n">
        <v>2</v>
      </c>
      <c r="B173" s="0" t="n">
        <v>69</v>
      </c>
      <c r="C173" s="0" t="str">
        <f aca="false">IF(G173&gt;0,2069,"")</f>
        <v/>
      </c>
      <c r="D173" s="0" t="str">
        <f aca="false">Calc!$B$71</f>
        <v>Jumper wires M-F</v>
      </c>
      <c r="E173" s="0" t="str">
        <f aca="false">Calc!$A$71</f>
        <v>Wiring &amp; Prototyping</v>
      </c>
      <c r="F173" s="0" t="str">
        <f aca="false">Calc!$D$71</f>
        <v>Reusable</v>
      </c>
      <c r="G173" s="0" t="n">
        <f aca="false">Calc!$F$71</f>
        <v>0</v>
      </c>
    </row>
    <row r="174" customFormat="false" ht="15" hidden="false" customHeight="false" outlineLevel="0" collapsed="false">
      <c r="A174" s="0" t="n">
        <v>2</v>
      </c>
      <c r="B174" s="0" t="n">
        <v>70</v>
      </c>
      <c r="C174" s="0" t="str">
        <f aca="false">IF(G174&gt;0,2070,"")</f>
        <v/>
      </c>
      <c r="D174" s="0" t="str">
        <f aca="false">Calc!$B$72</f>
        <v>Jumper wires M-M</v>
      </c>
      <c r="E174" s="0" t="str">
        <f aca="false">Calc!$A$72</f>
        <v>Wiring &amp; Prototyping</v>
      </c>
      <c r="F174" s="0" t="str">
        <f aca="false">Calc!$D$72</f>
        <v>Reusable</v>
      </c>
      <c r="G174" s="0" t="n">
        <f aca="false">Calc!$F$72</f>
        <v>0</v>
      </c>
    </row>
    <row r="175" customFormat="false" ht="15" hidden="false" customHeight="false" outlineLevel="0" collapsed="false">
      <c r="A175" s="0" t="n">
        <v>2</v>
      </c>
      <c r="B175" s="0" t="n">
        <v>71</v>
      </c>
      <c r="C175" s="0" t="str">
        <f aca="false">IF(G175&gt;0,2071,"")</f>
        <v/>
      </c>
      <c r="D175" s="0" t="str">
        <f aca="false">Calc!$B$73</f>
        <v>3D printer</v>
      </c>
      <c r="E175" s="0" t="str">
        <f aca="false">Calc!$A$73</f>
        <v>Computers &amp; Equipment</v>
      </c>
      <c r="F175" s="0" t="str">
        <f aca="false">Calc!$D$73</f>
        <v>Reusable</v>
      </c>
      <c r="G175" s="0" t="n">
        <f aca="false">Calc!$F$73</f>
        <v>0</v>
      </c>
    </row>
    <row r="176" customFormat="false" ht="15" hidden="false" customHeight="false" outlineLevel="0" collapsed="false">
      <c r="A176" s="0" t="n">
        <v>2</v>
      </c>
      <c r="B176" s="0" t="n">
        <v>72</v>
      </c>
      <c r="C176" s="0" t="str">
        <f aca="false">IF(G176&gt;0,2072,"")</f>
        <v/>
      </c>
      <c r="D176" s="0" t="str">
        <f aca="false">Calc!$B$74</f>
        <v>Android smartphone</v>
      </c>
      <c r="E176" s="0" t="str">
        <f aca="false">Calc!$A$74</f>
        <v>Computers &amp; Equipment</v>
      </c>
      <c r="F176" s="0" t="str">
        <f aca="false">Calc!$D$74</f>
        <v>Reusable</v>
      </c>
      <c r="G176" s="0" t="n">
        <f aca="false">Calc!$F$74</f>
        <v>0</v>
      </c>
    </row>
    <row r="177" customFormat="false" ht="15" hidden="false" customHeight="false" outlineLevel="0" collapsed="false">
      <c r="A177" s="0" t="n">
        <v>2</v>
      </c>
      <c r="B177" s="0" t="n">
        <v>73</v>
      </c>
      <c r="C177" s="0" t="str">
        <f aca="false">IF(G177&gt;0,2073,"")</f>
        <v/>
      </c>
      <c r="D177" s="0" t="str">
        <f aca="false">Calc!$B$75</f>
        <v>Digital multimeter</v>
      </c>
      <c r="E177" s="0" t="str">
        <f aca="false">Calc!$A$75</f>
        <v>Computers &amp; Equipment</v>
      </c>
      <c r="F177" s="0" t="str">
        <f aca="false">Calc!$D$75</f>
        <v>Reusable</v>
      </c>
      <c r="G177" s="0" t="n">
        <f aca="false">Calc!$F$75</f>
        <v>0</v>
      </c>
    </row>
    <row r="178" customFormat="false" ht="15" hidden="false" customHeight="false" outlineLevel="0" collapsed="false">
      <c r="A178" s="0" t="n">
        <v>2</v>
      </c>
      <c r="B178" s="0" t="n">
        <v>74</v>
      </c>
      <c r="C178" s="0" t="str">
        <f aca="false">IF(G178&gt;0,2074,"")</f>
        <v/>
      </c>
      <c r="D178" s="0" t="str">
        <f aca="false">Calc!$B$76</f>
        <v>Glue gun + glue sticks</v>
      </c>
      <c r="E178" s="0" t="str">
        <f aca="false">Calc!$A$76</f>
        <v>Computers &amp; Equipment</v>
      </c>
      <c r="F178" s="0" t="str">
        <f aca="false">Calc!$D$76</f>
        <v>Reusable</v>
      </c>
      <c r="G178" s="0" t="n">
        <f aca="false">Calc!$F$76</f>
        <v>0</v>
      </c>
    </row>
    <row r="179" customFormat="false" ht="15" hidden="false" customHeight="false" outlineLevel="0" collapsed="false">
      <c r="A179" s="0" t="n">
        <v>2</v>
      </c>
      <c r="B179" s="0" t="n">
        <v>75</v>
      </c>
      <c r="C179" s="0" t="str">
        <f aca="false">IF(G179&gt;0,2075,"")</f>
        <v/>
      </c>
      <c r="D179" s="0" t="str">
        <f aca="false">Calc!$B$77</f>
        <v>Laptop</v>
      </c>
      <c r="E179" s="0" t="str">
        <f aca="false">Calc!$A$77</f>
        <v>Computers &amp; Equipment</v>
      </c>
      <c r="F179" s="0" t="str">
        <f aca="false">Calc!$D$77</f>
        <v>Reusable</v>
      </c>
      <c r="G179" s="0" t="n">
        <f aca="false">Calc!$F$77</f>
        <v>0</v>
      </c>
    </row>
    <row r="180" customFormat="false" ht="15" hidden="false" customHeight="false" outlineLevel="0" collapsed="false">
      <c r="A180" s="0" t="n">
        <v>2</v>
      </c>
      <c r="B180" s="0" t="n">
        <v>76</v>
      </c>
      <c r="C180" s="0" t="str">
        <f aca="false">IF(G180&gt;0,2076,"")</f>
        <v/>
      </c>
      <c r="D180" s="0" t="str">
        <f aca="false">Calc!$B$78</f>
        <v>PLA filament</v>
      </c>
      <c r="E180" s="0" t="str">
        <f aca="false">Calc!$A$78</f>
        <v>Computers &amp; Equipment</v>
      </c>
      <c r="F180" s="0" t="str">
        <f aca="false">Calc!$D$78</f>
        <v>Consumable</v>
      </c>
      <c r="G180" s="0" t="n">
        <f aca="false">Calc!$F$78</f>
        <v>0</v>
      </c>
    </row>
    <row r="181" customFormat="false" ht="15" hidden="false" customHeight="false" outlineLevel="0" collapsed="false">
      <c r="A181" s="0" t="n">
        <v>2</v>
      </c>
      <c r="B181" s="0" t="n">
        <v>77</v>
      </c>
      <c r="C181" s="0" t="str">
        <f aca="false">IF(G181&gt;0,2077,"")</f>
        <v/>
      </c>
      <c r="D181" s="0" t="str">
        <f aca="false">Calc!$B$79</f>
        <v>Screwdriver set</v>
      </c>
      <c r="E181" s="0" t="str">
        <f aca="false">Calc!$A$79</f>
        <v>Computers &amp; Equipment</v>
      </c>
      <c r="F181" s="0" t="str">
        <f aca="false">Calc!$D$79</f>
        <v>Reusable</v>
      </c>
      <c r="G181" s="0" t="n">
        <f aca="false">Calc!$F$79</f>
        <v>0</v>
      </c>
    </row>
    <row r="182" customFormat="false" ht="15" hidden="false" customHeight="false" outlineLevel="0" collapsed="false">
      <c r="A182" s="0" t="n">
        <v>2</v>
      </c>
      <c r="B182" s="0" t="n">
        <v>78</v>
      </c>
      <c r="C182" s="0" t="str">
        <f aca="false">IF(G182&gt;0,2078,"")</f>
        <v/>
      </c>
      <c r="D182" s="0" t="str">
        <f aca="false">Calc!$B$80</f>
        <v>Tablet</v>
      </c>
      <c r="E182" s="0" t="str">
        <f aca="false">Calc!$A$80</f>
        <v>Computers &amp; Equipment</v>
      </c>
      <c r="F182" s="0" t="str">
        <f aca="false">Calc!$D$80</f>
        <v>Reusable</v>
      </c>
      <c r="G182" s="0" t="n">
        <f aca="false">Calc!$F$80</f>
        <v>0</v>
      </c>
    </row>
    <row r="183" customFormat="false" ht="15" hidden="false" customHeight="false" outlineLevel="0" collapsed="false">
      <c r="A183" s="0" t="n">
        <v>2</v>
      </c>
      <c r="B183" s="0" t="n">
        <v>79</v>
      </c>
      <c r="C183" s="0" t="str">
        <f aca="false">IF(G183&gt;0,2079,"")</f>
        <v/>
      </c>
      <c r="D183" s="0" t="str">
        <f aca="false">Calc!$B$81</f>
        <v>Webcam</v>
      </c>
      <c r="E183" s="0" t="str">
        <f aca="false">Calc!$A$81</f>
        <v>Computers &amp; Equipment</v>
      </c>
      <c r="F183" s="0" t="str">
        <f aca="false">Calc!$D$81</f>
        <v>Reusable</v>
      </c>
      <c r="G183" s="0" t="n">
        <f aca="false">Calc!$F$81</f>
        <v>0</v>
      </c>
    </row>
    <row r="184" customFormat="false" ht="15" hidden="false" customHeight="false" outlineLevel="0" collapsed="false">
      <c r="A184" s="0" t="n">
        <v>2</v>
      </c>
      <c r="B184" s="0" t="n">
        <v>80</v>
      </c>
      <c r="C184" s="0" t="str">
        <f aca="false">IF(G184&gt;0,2080,"")</f>
        <v/>
      </c>
      <c r="D184" s="0" t="str">
        <f aca="false">Calc!$B$82</f>
        <v>Card / chart paper</v>
      </c>
      <c r="E184" s="0" t="str">
        <f aca="false">Calc!$A$82</f>
        <v>Craft &amp; Stationery</v>
      </c>
      <c r="F184" s="0" t="str">
        <f aca="false">Calc!$D$82</f>
        <v>Consumable</v>
      </c>
      <c r="G184" s="0" t="n">
        <f aca="false">Calc!$F$82</f>
        <v>0</v>
      </c>
    </row>
    <row r="185" customFormat="false" ht="15" hidden="false" customHeight="false" outlineLevel="0" collapsed="false">
      <c r="A185" s="0" t="n">
        <v>2</v>
      </c>
      <c r="B185" s="0" t="n">
        <v>81</v>
      </c>
      <c r="C185" s="0" t="str">
        <f aca="false">IF(G185&gt;0,2081,"")</f>
        <v/>
      </c>
      <c r="D185" s="0" t="str">
        <f aca="false">Calc!$B$83</f>
        <v>Cardboard sheet</v>
      </c>
      <c r="E185" s="0" t="str">
        <f aca="false">Calc!$A$83</f>
        <v>Craft &amp; Stationery</v>
      </c>
      <c r="F185" s="0" t="str">
        <f aca="false">Calc!$D$83</f>
        <v>Consumable</v>
      </c>
      <c r="G185" s="0" t="n">
        <f aca="false">Calc!$F$83</f>
        <v>0</v>
      </c>
    </row>
    <row r="186" customFormat="false" ht="15" hidden="false" customHeight="false" outlineLevel="0" collapsed="false">
      <c r="A186" s="0" t="n">
        <v>2</v>
      </c>
      <c r="B186" s="0" t="n">
        <v>82</v>
      </c>
      <c r="C186" s="0" t="str">
        <f aca="false">IF(G186&gt;0,2082,"")</f>
        <v/>
      </c>
      <c r="D186" s="0" t="str">
        <f aca="false">Calc!$B$84</f>
        <v>Conductive playdough</v>
      </c>
      <c r="E186" s="0" t="str">
        <f aca="false">Calc!$A$84</f>
        <v>Craft &amp; Stationery</v>
      </c>
      <c r="F186" s="0" t="str">
        <f aca="false">Calc!$D$84</f>
        <v>Consumable</v>
      </c>
      <c r="G186" s="0" t="n">
        <f aca="false">Calc!$F$84</f>
        <v>0</v>
      </c>
    </row>
    <row r="187" customFormat="false" ht="15" hidden="false" customHeight="false" outlineLevel="0" collapsed="false">
      <c r="A187" s="0" t="n">
        <v>2</v>
      </c>
      <c r="B187" s="0" t="n">
        <v>83</v>
      </c>
      <c r="C187" s="0" t="str">
        <f aca="false">IF(G187&gt;0,2083,"")</f>
        <v/>
      </c>
      <c r="D187" s="0" t="str">
        <f aca="false">Calc!$B$85</f>
        <v>Cork</v>
      </c>
      <c r="E187" s="0" t="str">
        <f aca="false">Calc!$A$85</f>
        <v>Craft &amp; Stationery</v>
      </c>
      <c r="F187" s="0" t="str">
        <f aca="false">Calc!$D$85</f>
        <v>Consumable</v>
      </c>
      <c r="G187" s="0" t="n">
        <f aca="false">Calc!$F$85</f>
        <v>0</v>
      </c>
    </row>
    <row r="188" customFormat="false" ht="15" hidden="false" customHeight="false" outlineLevel="0" collapsed="false">
      <c r="A188" s="0" t="n">
        <v>2</v>
      </c>
      <c r="B188" s="0" t="n">
        <v>84</v>
      </c>
      <c r="C188" s="0" t="str">
        <f aca="false">IF(G188&gt;0,2084,"")</f>
        <v/>
      </c>
      <c r="D188" s="0" t="str">
        <f aca="false">Calc!$B$86</f>
        <v>Googly eyes</v>
      </c>
      <c r="E188" s="0" t="str">
        <f aca="false">Calc!$A$86</f>
        <v>Craft &amp; Stationery</v>
      </c>
      <c r="F188" s="0" t="str">
        <f aca="false">Calc!$D$86</f>
        <v>Consumable</v>
      </c>
      <c r="G188" s="0" t="n">
        <f aca="false">Calc!$F$86</f>
        <v>0</v>
      </c>
    </row>
    <row r="189" customFormat="false" ht="15" hidden="false" customHeight="false" outlineLevel="0" collapsed="false">
      <c r="A189" s="0" t="n">
        <v>2</v>
      </c>
      <c r="B189" s="0" t="n">
        <v>85</v>
      </c>
      <c r="C189" s="0" t="str">
        <f aca="false">IF(G189&gt;0,2085,"")</f>
        <v/>
      </c>
      <c r="D189" s="0" t="str">
        <f aca="false">Calc!$B$87</f>
        <v>Ice cream sticks</v>
      </c>
      <c r="E189" s="0" t="str">
        <f aca="false">Calc!$A$87</f>
        <v>Craft &amp; Stationery</v>
      </c>
      <c r="F189" s="0" t="str">
        <f aca="false">Calc!$D$87</f>
        <v>Consumable</v>
      </c>
      <c r="G189" s="0" t="n">
        <f aca="false">Calc!$F$87</f>
        <v>0</v>
      </c>
    </row>
    <row r="190" customFormat="false" ht="15" hidden="false" customHeight="false" outlineLevel="0" collapsed="false">
      <c r="A190" s="0" t="n">
        <v>2</v>
      </c>
      <c r="B190" s="0" t="n">
        <v>86</v>
      </c>
      <c r="C190" s="0" t="str">
        <f aca="false">IF(G190&gt;0,2086,"")</f>
        <v/>
      </c>
      <c r="D190" s="0" t="str">
        <f aca="false">Calc!$B$88</f>
        <v>Markers</v>
      </c>
      <c r="E190" s="0" t="str">
        <f aca="false">Calc!$A$88</f>
        <v>Craft &amp; Stationery</v>
      </c>
      <c r="F190" s="0" t="str">
        <f aca="false">Calc!$D$88</f>
        <v>Consumable</v>
      </c>
      <c r="G190" s="0" t="n">
        <f aca="false">Calc!$F$88</f>
        <v>0</v>
      </c>
    </row>
    <row r="191" customFormat="false" ht="15" hidden="false" customHeight="false" outlineLevel="0" collapsed="false">
      <c r="A191" s="0" t="n">
        <v>2</v>
      </c>
      <c r="B191" s="0" t="n">
        <v>87</v>
      </c>
      <c r="C191" s="0" t="str">
        <f aca="false">IF(G191&gt;0,2087,"")</f>
        <v/>
      </c>
      <c r="D191" s="0" t="str">
        <f aca="false">Calc!$B$89</f>
        <v>Plant pot with soil</v>
      </c>
      <c r="E191" s="0" t="str">
        <f aca="false">Calc!$A$89</f>
        <v>Craft &amp; Stationery</v>
      </c>
      <c r="F191" s="0" t="str">
        <f aca="false">Calc!$D$89</f>
        <v>Consumable</v>
      </c>
      <c r="G191" s="0" t="n">
        <f aca="false">Calc!$F$89</f>
        <v>0</v>
      </c>
    </row>
    <row r="192" customFormat="false" ht="15" hidden="false" customHeight="false" outlineLevel="0" collapsed="false">
      <c r="A192" s="0" t="n">
        <v>2</v>
      </c>
      <c r="B192" s="0" t="n">
        <v>88</v>
      </c>
      <c r="C192" s="0" t="str">
        <f aca="false">IF(G192&gt;0,2088,"")</f>
        <v/>
      </c>
      <c r="D192" s="0" t="str">
        <f aca="false">Calc!$B$90</f>
        <v>Plastic or paper cup</v>
      </c>
      <c r="E192" s="0" t="str">
        <f aca="false">Calc!$A$90</f>
        <v>Craft &amp; Stationery</v>
      </c>
      <c r="F192" s="0" t="str">
        <f aca="false">Calc!$D$90</f>
        <v>Consumable</v>
      </c>
      <c r="G192" s="0" t="n">
        <f aca="false">Calc!$F$90</f>
        <v>0</v>
      </c>
    </row>
    <row r="193" customFormat="false" ht="15" hidden="false" customHeight="false" outlineLevel="0" collapsed="false">
      <c r="A193" s="0" t="n">
        <v>2</v>
      </c>
      <c r="B193" s="0" t="n">
        <v>89</v>
      </c>
      <c r="C193" s="0" t="str">
        <f aca="false">IF(G193&gt;0,2089,"")</f>
        <v/>
      </c>
      <c r="D193" s="0" t="str">
        <f aca="false">Calc!$B$91</f>
        <v>Printed templates</v>
      </c>
      <c r="E193" s="0" t="str">
        <f aca="false">Calc!$A$91</f>
        <v>Craft &amp; Stationery</v>
      </c>
      <c r="F193" s="0" t="str">
        <f aca="false">Calc!$D$91</f>
        <v>Consumable</v>
      </c>
      <c r="G193" s="0" t="n">
        <f aca="false">Calc!$F$91</f>
        <v>0</v>
      </c>
    </row>
    <row r="194" customFormat="false" ht="15" hidden="false" customHeight="false" outlineLevel="0" collapsed="false">
      <c r="A194" s="0" t="n">
        <v>2</v>
      </c>
      <c r="B194" s="0" t="n">
        <v>90</v>
      </c>
      <c r="C194" s="0" t="str">
        <f aca="false">IF(G194&gt;0,2090,"")</f>
        <v/>
      </c>
      <c r="D194" s="0" t="str">
        <f aca="false">Calc!$B$92</f>
        <v>Split pins (paper fasteners)</v>
      </c>
      <c r="E194" s="0" t="str">
        <f aca="false">Calc!$A$92</f>
        <v>Craft &amp; Stationery</v>
      </c>
      <c r="F194" s="0" t="str">
        <f aca="false">Calc!$D$92</f>
        <v>Consumable</v>
      </c>
      <c r="G194" s="0" t="n">
        <f aca="false">Calc!$F$92</f>
        <v>0</v>
      </c>
    </row>
    <row r="195" customFormat="false" ht="15" hidden="false" customHeight="false" outlineLevel="0" collapsed="false">
      <c r="A195" s="0" t="n">
        <v>2</v>
      </c>
      <c r="B195" s="0" t="n">
        <v>91</v>
      </c>
      <c r="C195" s="0" t="str">
        <f aca="false">IF(G195&gt;0,2091,"")</f>
        <v/>
      </c>
      <c r="D195" s="0" t="str">
        <f aca="false">Calc!$B$93</f>
        <v>Straws</v>
      </c>
      <c r="E195" s="0" t="str">
        <f aca="false">Calc!$A$93</f>
        <v>Craft &amp; Stationery</v>
      </c>
      <c r="F195" s="0" t="str">
        <f aca="false">Calc!$D$93</f>
        <v>Consumable</v>
      </c>
      <c r="G195" s="0" t="n">
        <f aca="false">Calc!$F$93</f>
        <v>0</v>
      </c>
    </row>
    <row r="196" customFormat="false" ht="15" hidden="false" customHeight="false" outlineLevel="0" collapsed="false">
      <c r="A196" s="0" t="n">
        <v>2</v>
      </c>
      <c r="B196" s="0" t="n">
        <v>92</v>
      </c>
      <c r="C196" s="0" t="str">
        <f aca="false">IF(G196&gt;0,2092,"")</f>
        <v/>
      </c>
      <c r="D196" s="0" t="str">
        <f aca="false">Calc!$B$94</f>
        <v>Tape (paper + double-sided)</v>
      </c>
      <c r="E196" s="0" t="str">
        <f aca="false">Calc!$A$94</f>
        <v>Craft &amp; Stationery</v>
      </c>
      <c r="F196" s="0" t="str">
        <f aca="false">Calc!$D$94</f>
        <v>Consumable</v>
      </c>
      <c r="G196" s="0" t="n">
        <f aca="false">Calc!$F$94</f>
        <v>0</v>
      </c>
    </row>
    <row r="197" customFormat="false" ht="15" hidden="false" customHeight="false" outlineLevel="0" collapsed="false">
      <c r="A197" s="0" t="n">
        <v>2</v>
      </c>
      <c r="B197" s="0" t="n">
        <v>93</v>
      </c>
      <c r="C197" s="0" t="str">
        <f aca="false">IF(G197&gt;0,2093,"")</f>
        <v/>
      </c>
      <c r="D197" s="0" t="str">
        <f aca="false">Calc!$B$95</f>
        <v>Water container</v>
      </c>
      <c r="E197" s="0" t="str">
        <f aca="false">Calc!$A$95</f>
        <v>Craft &amp; Stationery</v>
      </c>
      <c r="F197" s="0" t="str">
        <f aca="false">Calc!$D$95</f>
        <v>Reusable</v>
      </c>
      <c r="G197" s="0" t="n">
        <f aca="false">Calc!$F$95</f>
        <v>0</v>
      </c>
    </row>
    <row r="198" customFormat="false" ht="15" hidden="false" customHeight="false" outlineLevel="0" collapsed="false">
      <c r="A198" s="0" t="n">
        <v>2</v>
      </c>
      <c r="B198" s="0" t="n">
        <v>94</v>
      </c>
      <c r="C198" s="0" t="str">
        <f aca="false">IF(G198&gt;0,2094,"")</f>
        <v/>
      </c>
      <c r="D198" s="0" t="str">
        <f aca="false">Calc!$B$96</f>
        <v>Wooden skewers</v>
      </c>
      <c r="E198" s="0" t="str">
        <f aca="false">Calc!$A$96</f>
        <v>Craft &amp; Stationery</v>
      </c>
      <c r="F198" s="0" t="str">
        <f aca="false">Calc!$D$96</f>
        <v>Consumable</v>
      </c>
      <c r="G198" s="0" t="n">
        <f aca="false">Calc!$F$96</f>
        <v>0</v>
      </c>
    </row>
    <row r="199" customFormat="false" ht="15" hidden="false" customHeight="false" outlineLevel="0" collapsed="false">
      <c r="A199" s="0" t="n">
        <v>2</v>
      </c>
      <c r="B199" s="0" t="n">
        <v>95</v>
      </c>
      <c r="C199" s="0" t="str">
        <f aca="false">IF(G199&gt;0,2095,"")</f>
        <v/>
      </c>
      <c r="D199" s="0" t="str">
        <f aca="false">Calc!$B$97</f>
        <v>Candle</v>
      </c>
      <c r="E199" s="0" t="str">
        <f aca="false">Calc!$A$97</f>
        <v>Science Consumables</v>
      </c>
      <c r="F199" s="0" t="str">
        <f aca="false">Calc!$D$97</f>
        <v>Consumable</v>
      </c>
      <c r="G199" s="0" t="n">
        <f aca="false">Calc!$F$97</f>
        <v>0</v>
      </c>
    </row>
    <row r="200" customFormat="false" ht="15" hidden="false" customHeight="false" outlineLevel="0" collapsed="false">
      <c r="A200" s="0" t="n">
        <v>2</v>
      </c>
      <c r="B200" s="0" t="n">
        <v>96</v>
      </c>
      <c r="C200" s="0" t="str">
        <f aca="false">IF(G200&gt;0,2096,"")</f>
        <v/>
      </c>
      <c r="D200" s="0" t="str">
        <f aca="false">Calc!$B$98</f>
        <v>Copper coins</v>
      </c>
      <c r="E200" s="0" t="str">
        <f aca="false">Calc!$A$98</f>
        <v>Science Consumables</v>
      </c>
      <c r="F200" s="0" t="str">
        <f aca="false">Calc!$D$98</f>
        <v>Reusable</v>
      </c>
      <c r="G200" s="0" t="n">
        <f aca="false">Calc!$F$98</f>
        <v>0</v>
      </c>
    </row>
    <row r="201" customFormat="false" ht="15" hidden="false" customHeight="false" outlineLevel="0" collapsed="false">
      <c r="A201" s="0" t="n">
        <v>2</v>
      </c>
      <c r="B201" s="0" t="n">
        <v>97</v>
      </c>
      <c r="C201" s="0" t="str">
        <f aca="false">IF(G201&gt;0,2097,"")</f>
        <v/>
      </c>
      <c r="D201" s="0" t="str">
        <f aca="false">Calc!$B$99</f>
        <v>Fruits (bananas etc.)</v>
      </c>
      <c r="E201" s="0" t="str">
        <f aca="false">Calc!$A$99</f>
        <v>Science Consumables</v>
      </c>
      <c r="F201" s="0" t="str">
        <f aca="false">Calc!$D$99</f>
        <v>Consumable</v>
      </c>
      <c r="G201" s="0" t="n">
        <f aca="false">Calc!$F$99</f>
        <v>0</v>
      </c>
    </row>
    <row r="202" customFormat="false" ht="15" hidden="false" customHeight="false" outlineLevel="0" collapsed="false">
      <c r="A202" s="0" t="n">
        <v>2</v>
      </c>
      <c r="B202" s="0" t="n">
        <v>98</v>
      </c>
      <c r="C202" s="0" t="str">
        <f aca="false">IF(G202&gt;0,2098,"")</f>
        <v/>
      </c>
      <c r="D202" s="0" t="str">
        <f aca="false">Calc!$B$100</f>
        <v>Galvanized nails</v>
      </c>
      <c r="E202" s="0" t="str">
        <f aca="false">Calc!$A$100</f>
        <v>Science Consumables</v>
      </c>
      <c r="F202" s="0" t="str">
        <f aca="false">Calc!$D$100</f>
        <v>Consumable</v>
      </c>
      <c r="G202" s="0" t="n">
        <f aca="false">Calc!$F$100</f>
        <v>0</v>
      </c>
    </row>
    <row r="203" customFormat="false" ht="15" hidden="false" customHeight="false" outlineLevel="0" collapsed="false">
      <c r="A203" s="0" t="n">
        <v>2</v>
      </c>
      <c r="B203" s="0" t="n">
        <v>99</v>
      </c>
      <c r="C203" s="0" t="str">
        <f aca="false">IF(G203&gt;0,2099,"")</f>
        <v/>
      </c>
      <c r="D203" s="0" t="str">
        <f aca="false">Calc!$B$101</f>
        <v>Lemons</v>
      </c>
      <c r="E203" s="0" t="str">
        <f aca="false">Calc!$A$101</f>
        <v>Science Consumables</v>
      </c>
      <c r="F203" s="0" t="str">
        <f aca="false">Calc!$D$101</f>
        <v>Consumable</v>
      </c>
      <c r="G203" s="0" t="n">
        <f aca="false">Calc!$F$101</f>
        <v>0</v>
      </c>
    </row>
    <row r="204" customFormat="false" ht="15" hidden="false" customHeight="false" outlineLevel="0" collapsed="false">
      <c r="A204" s="0" t="n">
        <v>2</v>
      </c>
      <c r="B204" s="0" t="n">
        <v>999</v>
      </c>
      <c r="C204" s="0" t="str">
        <f aca="false">IF(SUM(Calc!$F$3:$F$101)&gt;0,2999,"")</f>
        <v/>
      </c>
    </row>
    <row r="205" customFormat="false" ht="15" hidden="false" customHeight="false" outlineLevel="0" collapsed="false">
      <c r="A205" s="0" t="n">
        <v>3</v>
      </c>
      <c r="B205" s="0" t="n">
        <v>0</v>
      </c>
      <c r="C205" s="0" t="str">
        <f aca="false">IF(SUM(Calc!$G$3:$G$101)&gt;0,3000,"")</f>
        <v/>
      </c>
      <c r="D205" s="0" t="str">
        <f aca="false">"WEDNESDAY"&amp;IF('This Week''s Hardware'!$C$3="",""," "&amp;TEXT('This Week''s Hardware'!$C$3+2,"dd-mmm"))</f>
        <v>WEDNESDAY</v>
      </c>
      <c r="E205" s="0" t="str">
        <f aca="false">COUNTIFS('Session Tracker'!$F$5:$F$149,"Next week",'Session Tracker'!$G$5:$G$149,"Wed")&amp;" session(s)"</f>
        <v>0 session(s)</v>
      </c>
    </row>
    <row r="206" customFormat="false" ht="15" hidden="false" customHeight="false" outlineLevel="0" collapsed="false">
      <c r="A206" s="0" t="n">
        <v>3</v>
      </c>
      <c r="B206" s="0" t="n">
        <v>1</v>
      </c>
      <c r="C206" s="0" t="str">
        <f aca="false">IF(G206&gt;0,3001,"")</f>
        <v/>
      </c>
      <c r="D206" s="0" t="str">
        <f aca="false">Calc!$B$3</f>
        <v>Arduino Uno + USB cable</v>
      </c>
      <c r="E206" s="0" t="str">
        <f aca="false">Calc!$A$3</f>
        <v>Microcontrollers &amp; Dev Boards</v>
      </c>
      <c r="F206" s="0" t="str">
        <f aca="false">Calc!$D$3</f>
        <v>Reusable</v>
      </c>
      <c r="G206" s="0" t="n">
        <f aca="false">Calc!$G$3</f>
        <v>0</v>
      </c>
    </row>
    <row r="207" customFormat="false" ht="15" hidden="false" customHeight="false" outlineLevel="0" collapsed="false">
      <c r="A207" s="0" t="n">
        <v>3</v>
      </c>
      <c r="B207" s="0" t="n">
        <v>2</v>
      </c>
      <c r="C207" s="0" t="str">
        <f aca="false">IF(G207&gt;0,3002,"")</f>
        <v/>
      </c>
      <c r="D207" s="0" t="str">
        <f aca="false">Calc!$B$4</f>
        <v>ESP32 Dev Board + USB cable</v>
      </c>
      <c r="E207" s="0" t="str">
        <f aca="false">Calc!$A$4</f>
        <v>Microcontrollers &amp; Dev Boards</v>
      </c>
      <c r="F207" s="0" t="str">
        <f aca="false">Calc!$D$4</f>
        <v>Reusable</v>
      </c>
      <c r="G207" s="0" t="n">
        <f aca="false">Calc!$G$4</f>
        <v>0</v>
      </c>
    </row>
    <row r="208" customFormat="false" ht="15" hidden="false" customHeight="false" outlineLevel="0" collapsed="false">
      <c r="A208" s="0" t="n">
        <v>3</v>
      </c>
      <c r="B208" s="0" t="n">
        <v>3</v>
      </c>
      <c r="C208" s="0" t="str">
        <f aca="false">IF(G208&gt;0,3003,"")</f>
        <v/>
      </c>
      <c r="D208" s="0" t="str">
        <f aca="false">Calc!$B$5</f>
        <v>ESP32-CAM + programmer</v>
      </c>
      <c r="E208" s="0" t="str">
        <f aca="false">Calc!$A$5</f>
        <v>Microcontrollers &amp; Dev Boards</v>
      </c>
      <c r="F208" s="0" t="str">
        <f aca="false">Calc!$D$5</f>
        <v>Reusable</v>
      </c>
      <c r="G208" s="0" t="n">
        <f aca="false">Calc!$G$5</f>
        <v>0</v>
      </c>
    </row>
    <row r="209" customFormat="false" ht="15" hidden="false" customHeight="false" outlineLevel="0" collapsed="false">
      <c r="A209" s="0" t="n">
        <v>3</v>
      </c>
      <c r="B209" s="0" t="n">
        <v>4</v>
      </c>
      <c r="C209" s="0" t="str">
        <f aca="false">IF(G209&gt;0,3004,"")</f>
        <v/>
      </c>
      <c r="D209" s="0" t="str">
        <f aca="false">Calc!$B$6</f>
        <v>Makey Makey kit</v>
      </c>
      <c r="E209" s="0" t="str">
        <f aca="false">Calc!$A$6</f>
        <v>Microcontrollers &amp; Dev Boards</v>
      </c>
      <c r="F209" s="0" t="str">
        <f aca="false">Calc!$D$6</f>
        <v>Reusable</v>
      </c>
      <c r="G209" s="0" t="n">
        <f aca="false">Calc!$G$6</f>
        <v>0</v>
      </c>
    </row>
    <row r="210" customFormat="false" ht="15" hidden="false" customHeight="false" outlineLevel="0" collapsed="false">
      <c r="A210" s="0" t="n">
        <v>3</v>
      </c>
      <c r="B210" s="0" t="n">
        <v>5</v>
      </c>
      <c r="C210" s="0" t="str">
        <f aca="false">IF(G210&gt;0,3005,"")</f>
        <v/>
      </c>
      <c r="D210" s="0" t="str">
        <f aca="false">Calc!$B$7</f>
        <v>2WD robot chassis kit</v>
      </c>
      <c r="E210" s="0" t="str">
        <f aca="false">Calc!$A$7</f>
        <v>Robot Platforms &amp; Kits</v>
      </c>
      <c r="F210" s="0" t="str">
        <f aca="false">Calc!$D$7</f>
        <v>Reusable</v>
      </c>
      <c r="G210" s="0" t="n">
        <f aca="false">Calc!$G$7</f>
        <v>0</v>
      </c>
    </row>
    <row r="211" customFormat="false" ht="15" hidden="false" customHeight="false" outlineLevel="0" collapsed="false">
      <c r="A211" s="0" t="n">
        <v>3</v>
      </c>
      <c r="B211" s="0" t="n">
        <v>6</v>
      </c>
      <c r="C211" s="0" t="str">
        <f aca="false">IF(G211&gt;0,3006,"")</f>
        <v/>
      </c>
      <c r="D211" s="0" t="str">
        <f aca="false">Calc!$B$8</f>
        <v>4WD robot car (assembled, L298N)</v>
      </c>
      <c r="E211" s="0" t="str">
        <f aca="false">Calc!$A$8</f>
        <v>Robot Platforms &amp; Kits</v>
      </c>
      <c r="F211" s="0" t="str">
        <f aca="false">Calc!$D$8</f>
        <v>Reusable</v>
      </c>
      <c r="G211" s="0" t="n">
        <f aca="false">Calc!$G$8</f>
        <v>0</v>
      </c>
    </row>
    <row r="212" customFormat="false" ht="15" hidden="false" customHeight="false" outlineLevel="0" collapsed="false">
      <c r="A212" s="0" t="n">
        <v>3</v>
      </c>
      <c r="B212" s="0" t="n">
        <v>7</v>
      </c>
      <c r="C212" s="0" t="str">
        <f aca="false">IF(G212&gt;0,3007,"")</f>
        <v/>
      </c>
      <c r="D212" s="0" t="str">
        <f aca="false">Calc!$B$9</f>
        <v>Brush Bot kit</v>
      </c>
      <c r="E212" s="0" t="str">
        <f aca="false">Calc!$A$9</f>
        <v>Robot Platforms &amp; Kits</v>
      </c>
      <c r="F212" s="0" t="str">
        <f aca="false">Calc!$D$9</f>
        <v>Consumable</v>
      </c>
      <c r="G212" s="0" t="n">
        <f aca="false">Calc!$G$9</f>
        <v>0</v>
      </c>
    </row>
    <row r="213" customFormat="false" ht="15" hidden="false" customHeight="false" outlineLevel="0" collapsed="false">
      <c r="A213" s="0" t="n">
        <v>3</v>
      </c>
      <c r="B213" s="0" t="n">
        <v>8</v>
      </c>
      <c r="C213" s="0" t="str">
        <f aca="false">IF(G213&gt;0,3008,"")</f>
        <v/>
      </c>
      <c r="D213" s="0" t="str">
        <f aca="false">Calc!$B$10</f>
        <v>Colour sensor TCS34725</v>
      </c>
      <c r="E213" s="0" t="str">
        <f aca="false">Calc!$A$10</f>
        <v>Sensors</v>
      </c>
      <c r="F213" s="0" t="str">
        <f aca="false">Calc!$D$10</f>
        <v>Reusable</v>
      </c>
      <c r="G213" s="0" t="n">
        <f aca="false">Calc!$G$10</f>
        <v>0</v>
      </c>
    </row>
    <row r="214" customFormat="false" ht="15" hidden="false" customHeight="false" outlineLevel="0" collapsed="false">
      <c r="A214" s="0" t="n">
        <v>3</v>
      </c>
      <c r="B214" s="0" t="n">
        <v>9</v>
      </c>
      <c r="C214" s="0" t="str">
        <f aca="false">IF(G214&gt;0,3009,"")</f>
        <v/>
      </c>
      <c r="D214" s="0" t="str">
        <f aca="false">Calc!$B$11</f>
        <v>Current sensor INA219</v>
      </c>
      <c r="E214" s="0" t="str">
        <f aca="false">Calc!$A$11</f>
        <v>Sensors</v>
      </c>
      <c r="F214" s="0" t="str">
        <f aca="false">Calc!$D$11</f>
        <v>Reusable</v>
      </c>
      <c r="G214" s="0" t="n">
        <f aca="false">Calc!$G$11</f>
        <v>0</v>
      </c>
    </row>
    <row r="215" customFormat="false" ht="15" hidden="false" customHeight="false" outlineLevel="0" collapsed="false">
      <c r="A215" s="0" t="n">
        <v>3</v>
      </c>
      <c r="B215" s="0" t="n">
        <v>10</v>
      </c>
      <c r="C215" s="0" t="str">
        <f aca="false">IF(G215&gt;0,3010,"")</f>
        <v/>
      </c>
      <c r="D215" s="0" t="str">
        <f aca="false">Calc!$B$12</f>
        <v>DHT22 sensor</v>
      </c>
      <c r="E215" s="0" t="str">
        <f aca="false">Calc!$A$12</f>
        <v>Sensors</v>
      </c>
      <c r="F215" s="0" t="str">
        <f aca="false">Calc!$D$12</f>
        <v>Reusable</v>
      </c>
      <c r="G215" s="0" t="n">
        <f aca="false">Calc!$G$12</f>
        <v>0</v>
      </c>
    </row>
    <row r="216" customFormat="false" ht="15" hidden="false" customHeight="false" outlineLevel="0" collapsed="false">
      <c r="A216" s="0" t="n">
        <v>3</v>
      </c>
      <c r="B216" s="0" t="n">
        <v>11</v>
      </c>
      <c r="C216" s="0" t="str">
        <f aca="false">IF(G216&gt;0,3011,"")</f>
        <v/>
      </c>
      <c r="D216" s="0" t="str">
        <f aca="false">Calc!$B$13</f>
        <v>Flame sensor</v>
      </c>
      <c r="E216" s="0" t="str">
        <f aca="false">Calc!$A$13</f>
        <v>Sensors</v>
      </c>
      <c r="F216" s="0" t="str">
        <f aca="false">Calc!$D$13</f>
        <v>Reusable</v>
      </c>
      <c r="G216" s="0" t="n">
        <f aca="false">Calc!$G$13</f>
        <v>0</v>
      </c>
    </row>
    <row r="217" customFormat="false" ht="15" hidden="false" customHeight="false" outlineLevel="0" collapsed="false">
      <c r="A217" s="0" t="n">
        <v>3</v>
      </c>
      <c r="B217" s="0" t="n">
        <v>12</v>
      </c>
      <c r="C217" s="0" t="str">
        <f aca="false">IF(G217&gt;0,3012,"")</f>
        <v/>
      </c>
      <c r="D217" s="0" t="str">
        <f aca="false">Calc!$B$14</f>
        <v>IR sensor module</v>
      </c>
      <c r="E217" s="0" t="str">
        <f aca="false">Calc!$A$14</f>
        <v>Sensors</v>
      </c>
      <c r="F217" s="0" t="str">
        <f aca="false">Calc!$D$14</f>
        <v>Reusable</v>
      </c>
      <c r="G217" s="0" t="n">
        <f aca="false">Calc!$G$14</f>
        <v>0</v>
      </c>
    </row>
    <row r="218" customFormat="false" ht="15" hidden="false" customHeight="false" outlineLevel="0" collapsed="false">
      <c r="A218" s="0" t="n">
        <v>3</v>
      </c>
      <c r="B218" s="0" t="n">
        <v>13</v>
      </c>
      <c r="C218" s="0" t="str">
        <f aca="false">IF(G218&gt;0,3013,"")</f>
        <v/>
      </c>
      <c r="D218" s="0" t="str">
        <f aca="false">Calc!$B$15</f>
        <v>Joystick module</v>
      </c>
      <c r="E218" s="0" t="str">
        <f aca="false">Calc!$A$15</f>
        <v>Sensors</v>
      </c>
      <c r="F218" s="0" t="str">
        <f aca="false">Calc!$D$15</f>
        <v>Reusable</v>
      </c>
      <c r="G218" s="0" t="n">
        <f aca="false">Calc!$G$15</f>
        <v>0</v>
      </c>
    </row>
    <row r="219" customFormat="false" ht="15" hidden="false" customHeight="false" outlineLevel="0" collapsed="false">
      <c r="A219" s="0" t="n">
        <v>3</v>
      </c>
      <c r="B219" s="0" t="n">
        <v>14</v>
      </c>
      <c r="C219" s="0" t="str">
        <f aca="false">IF(G219&gt;0,3014,"")</f>
        <v/>
      </c>
      <c r="D219" s="0" t="str">
        <f aca="false">Calc!$B$16</f>
        <v>LDR module</v>
      </c>
      <c r="E219" s="0" t="str">
        <f aca="false">Calc!$A$16</f>
        <v>Sensors</v>
      </c>
      <c r="F219" s="0" t="str">
        <f aca="false">Calc!$D$16</f>
        <v>Reusable</v>
      </c>
      <c r="G219" s="0" t="n">
        <f aca="false">Calc!$G$16</f>
        <v>0</v>
      </c>
    </row>
    <row r="220" customFormat="false" ht="15" hidden="false" customHeight="false" outlineLevel="0" collapsed="false">
      <c r="A220" s="0" t="n">
        <v>3</v>
      </c>
      <c r="B220" s="0" t="n">
        <v>15</v>
      </c>
      <c r="C220" s="0" t="str">
        <f aca="false">IF(G220&gt;0,3015,"")</f>
        <v/>
      </c>
      <c r="D220" s="0" t="str">
        <f aca="false">Calc!$B$17</f>
        <v>Load cell 5 kg + HX711</v>
      </c>
      <c r="E220" s="0" t="str">
        <f aca="false">Calc!$A$17</f>
        <v>Sensors</v>
      </c>
      <c r="F220" s="0" t="str">
        <f aca="false">Calc!$D$17</f>
        <v>Reusable</v>
      </c>
      <c r="G220" s="0" t="n">
        <f aca="false">Calc!$G$17</f>
        <v>0</v>
      </c>
    </row>
    <row r="221" customFormat="false" ht="15" hidden="false" customHeight="false" outlineLevel="0" collapsed="false">
      <c r="A221" s="0" t="n">
        <v>3</v>
      </c>
      <c r="B221" s="0" t="n">
        <v>16</v>
      </c>
      <c r="C221" s="0" t="str">
        <f aca="false">IF(G221&gt;0,3016,"")</f>
        <v/>
      </c>
      <c r="D221" s="0" t="str">
        <f aca="false">Calc!$B$18</f>
        <v>MPU6050 IMU</v>
      </c>
      <c r="E221" s="0" t="str">
        <f aca="false">Calc!$A$18</f>
        <v>Sensors</v>
      </c>
      <c r="F221" s="0" t="str">
        <f aca="false">Calc!$D$18</f>
        <v>Reusable</v>
      </c>
      <c r="G221" s="0" t="n">
        <f aca="false">Calc!$G$18</f>
        <v>0</v>
      </c>
    </row>
    <row r="222" customFormat="false" ht="15" hidden="false" customHeight="false" outlineLevel="0" collapsed="false">
      <c r="A222" s="0" t="n">
        <v>3</v>
      </c>
      <c r="B222" s="0" t="n">
        <v>17</v>
      </c>
      <c r="C222" s="0" t="str">
        <f aca="false">IF(G222&gt;0,3017,"")</f>
        <v/>
      </c>
      <c r="D222" s="0" t="str">
        <f aca="false">Calc!$B$19</f>
        <v>MQ-2 gas sensor</v>
      </c>
      <c r="E222" s="0" t="str">
        <f aca="false">Calc!$A$19</f>
        <v>Sensors</v>
      </c>
      <c r="F222" s="0" t="str">
        <f aca="false">Calc!$D$19</f>
        <v>Reusable</v>
      </c>
      <c r="G222" s="0" t="n">
        <f aca="false">Calc!$G$19</f>
        <v>0</v>
      </c>
    </row>
    <row r="223" customFormat="false" ht="15" hidden="false" customHeight="false" outlineLevel="0" collapsed="false">
      <c r="A223" s="0" t="n">
        <v>3</v>
      </c>
      <c r="B223" s="0" t="n">
        <v>18</v>
      </c>
      <c r="C223" s="0" t="str">
        <f aca="false">IF(G223&gt;0,3018,"")</f>
        <v/>
      </c>
      <c r="D223" s="0" t="str">
        <f aca="false">Calc!$B$20</f>
        <v>PIR motion sensor</v>
      </c>
      <c r="E223" s="0" t="str">
        <f aca="false">Calc!$A$20</f>
        <v>Sensors</v>
      </c>
      <c r="F223" s="0" t="str">
        <f aca="false">Calc!$D$20</f>
        <v>Reusable</v>
      </c>
      <c r="G223" s="0" t="n">
        <f aca="false">Calc!$G$20</f>
        <v>0</v>
      </c>
    </row>
    <row r="224" customFormat="false" ht="15" hidden="false" customHeight="false" outlineLevel="0" collapsed="false">
      <c r="A224" s="0" t="n">
        <v>3</v>
      </c>
      <c r="B224" s="0" t="n">
        <v>19</v>
      </c>
      <c r="C224" s="0" t="str">
        <f aca="false">IF(G224&gt;0,3019,"")</f>
        <v/>
      </c>
      <c r="D224" s="0" t="str">
        <f aca="false">Calc!$B$21</f>
        <v>Pulse sensor</v>
      </c>
      <c r="E224" s="0" t="str">
        <f aca="false">Calc!$A$21</f>
        <v>Sensors</v>
      </c>
      <c r="F224" s="0" t="str">
        <f aca="false">Calc!$D$21</f>
        <v>Reusable</v>
      </c>
      <c r="G224" s="0" t="n">
        <f aca="false">Calc!$G$21</f>
        <v>0</v>
      </c>
    </row>
    <row r="225" customFormat="false" ht="15" hidden="false" customHeight="false" outlineLevel="0" collapsed="false">
      <c r="A225" s="0" t="n">
        <v>3</v>
      </c>
      <c r="B225" s="0" t="n">
        <v>20</v>
      </c>
      <c r="C225" s="0" t="str">
        <f aca="false">IF(G225&gt;0,3020,"")</f>
        <v/>
      </c>
      <c r="D225" s="0" t="str">
        <f aca="false">Calc!$B$22</f>
        <v>Rain sensor</v>
      </c>
      <c r="E225" s="0" t="str">
        <f aca="false">Calc!$A$22</f>
        <v>Sensors</v>
      </c>
      <c r="F225" s="0" t="str">
        <f aca="false">Calc!$D$22</f>
        <v>Reusable</v>
      </c>
      <c r="G225" s="0" t="n">
        <f aca="false">Calc!$G$22</f>
        <v>0</v>
      </c>
    </row>
    <row r="226" customFormat="false" ht="15" hidden="false" customHeight="false" outlineLevel="0" collapsed="false">
      <c r="A226" s="0" t="n">
        <v>3</v>
      </c>
      <c r="B226" s="0" t="n">
        <v>21</v>
      </c>
      <c r="C226" s="0" t="str">
        <f aca="false">IF(G226&gt;0,3021,"")</f>
        <v/>
      </c>
      <c r="D226" s="0" t="str">
        <f aca="false">Calc!$B$23</f>
        <v>Soil moisture sensor</v>
      </c>
      <c r="E226" s="0" t="str">
        <f aca="false">Calc!$A$23</f>
        <v>Sensors</v>
      </c>
      <c r="F226" s="0" t="str">
        <f aca="false">Calc!$D$23</f>
        <v>Reusable</v>
      </c>
      <c r="G226" s="0" t="n">
        <f aca="false">Calc!$G$23</f>
        <v>0</v>
      </c>
    </row>
    <row r="227" customFormat="false" ht="15" hidden="false" customHeight="false" outlineLevel="0" collapsed="false">
      <c r="A227" s="0" t="n">
        <v>3</v>
      </c>
      <c r="B227" s="0" t="n">
        <v>22</v>
      </c>
      <c r="C227" s="0" t="str">
        <f aca="false">IF(G227&gt;0,3022,"")</f>
        <v/>
      </c>
      <c r="D227" s="0" t="str">
        <f aca="false">Calc!$B$24</f>
        <v>Sound sensor KY-037</v>
      </c>
      <c r="E227" s="0" t="str">
        <f aca="false">Calc!$A$24</f>
        <v>Sensors</v>
      </c>
      <c r="F227" s="0" t="str">
        <f aca="false">Calc!$D$24</f>
        <v>Reusable</v>
      </c>
      <c r="G227" s="0" t="n">
        <f aca="false">Calc!$G$24</f>
        <v>0</v>
      </c>
    </row>
    <row r="228" customFormat="false" ht="15" hidden="false" customHeight="false" outlineLevel="0" collapsed="false">
      <c r="A228" s="0" t="n">
        <v>3</v>
      </c>
      <c r="B228" s="0" t="n">
        <v>23</v>
      </c>
      <c r="C228" s="0" t="str">
        <f aca="false">IF(G228&gt;0,3023,"")</f>
        <v/>
      </c>
      <c r="D228" s="0" t="str">
        <f aca="false">Calc!$B$25</f>
        <v>Ultrasonic sensor HC-SR04</v>
      </c>
      <c r="E228" s="0" t="str">
        <f aca="false">Calc!$A$25</f>
        <v>Sensors</v>
      </c>
      <c r="F228" s="0" t="str">
        <f aca="false">Calc!$D$25</f>
        <v>Reusable</v>
      </c>
      <c r="G228" s="0" t="n">
        <f aca="false">Calc!$G$25</f>
        <v>0</v>
      </c>
    </row>
    <row r="229" customFormat="false" ht="15" hidden="false" customHeight="false" outlineLevel="0" collapsed="false">
      <c r="A229" s="0" t="n">
        <v>3</v>
      </c>
      <c r="B229" s="0" t="n">
        <v>24</v>
      </c>
      <c r="C229" s="0" t="str">
        <f aca="false">IF(G229&gt;0,3024,"")</f>
        <v/>
      </c>
      <c r="D229" s="0" t="str">
        <f aca="false">Calc!$B$26</f>
        <v>4x4 matrix keypad</v>
      </c>
      <c r="E229" s="0" t="str">
        <f aca="false">Calc!$A$26</f>
        <v>Security &amp; Identification</v>
      </c>
      <c r="F229" s="0" t="str">
        <f aca="false">Calc!$D$26</f>
        <v>Reusable</v>
      </c>
      <c r="G229" s="0" t="n">
        <f aca="false">Calc!$G$26</f>
        <v>0</v>
      </c>
    </row>
    <row r="230" customFormat="false" ht="15" hidden="false" customHeight="false" outlineLevel="0" collapsed="false">
      <c r="A230" s="0" t="n">
        <v>3</v>
      </c>
      <c r="B230" s="0" t="n">
        <v>25</v>
      </c>
      <c r="C230" s="0" t="str">
        <f aca="false">IF(G230&gt;0,3025,"")</f>
        <v/>
      </c>
      <c r="D230" s="0" t="str">
        <f aca="false">Calc!$B$27</f>
        <v>RFID RC522 + cards</v>
      </c>
      <c r="E230" s="0" t="str">
        <f aca="false">Calc!$A$27</f>
        <v>Security &amp; Identification</v>
      </c>
      <c r="F230" s="0" t="str">
        <f aca="false">Calc!$D$27</f>
        <v>Reusable</v>
      </c>
      <c r="G230" s="0" t="n">
        <f aca="false">Calc!$G$27</f>
        <v>0</v>
      </c>
    </row>
    <row r="231" customFormat="false" ht="15" hidden="false" customHeight="false" outlineLevel="0" collapsed="false">
      <c r="A231" s="0" t="n">
        <v>3</v>
      </c>
      <c r="B231" s="0" t="n">
        <v>26</v>
      </c>
      <c r="C231" s="0" t="str">
        <f aca="false">IF(G231&gt;0,3026,"")</f>
        <v/>
      </c>
      <c r="D231" s="0" t="str">
        <f aca="false">Calc!$B$28</f>
        <v>Bluetooth module HC-05</v>
      </c>
      <c r="E231" s="0" t="str">
        <f aca="false">Calc!$A$28</f>
        <v>Communication Modules</v>
      </c>
      <c r="F231" s="0" t="str">
        <f aca="false">Calc!$D$28</f>
        <v>Reusable</v>
      </c>
      <c r="G231" s="0" t="n">
        <f aca="false">Calc!$G$28</f>
        <v>0</v>
      </c>
    </row>
    <row r="232" customFormat="false" ht="15" hidden="false" customHeight="false" outlineLevel="0" collapsed="false">
      <c r="A232" s="0" t="n">
        <v>3</v>
      </c>
      <c r="B232" s="0" t="n">
        <v>27</v>
      </c>
      <c r="C232" s="0" t="str">
        <f aca="false">IF(G232&gt;0,3027,"")</f>
        <v/>
      </c>
      <c r="D232" s="0" t="str">
        <f aca="false">Calc!$B$29</f>
        <v>NRF24L01 module</v>
      </c>
      <c r="E232" s="0" t="str">
        <f aca="false">Calc!$A$29</f>
        <v>Communication Modules</v>
      </c>
      <c r="F232" s="0" t="str">
        <f aca="false">Calc!$D$29</f>
        <v>Reusable</v>
      </c>
      <c r="G232" s="0" t="n">
        <f aca="false">Calc!$G$29</f>
        <v>0</v>
      </c>
    </row>
    <row r="233" customFormat="false" ht="15" hidden="false" customHeight="false" outlineLevel="0" collapsed="false">
      <c r="A233" s="0" t="n">
        <v>3</v>
      </c>
      <c r="B233" s="0" t="n">
        <v>28</v>
      </c>
      <c r="C233" s="0" t="str">
        <f aca="false">IF(G233&gt;0,3028,"")</f>
        <v/>
      </c>
      <c r="D233" s="0" t="str">
        <f aca="false">Calc!$B$30</f>
        <v>Buzzer</v>
      </c>
      <c r="E233" s="0" t="str">
        <f aca="false">Calc!$A$30</f>
        <v>Actuators &amp; Motor Drivers</v>
      </c>
      <c r="F233" s="0" t="str">
        <f aca="false">Calc!$D$30</f>
        <v>Reusable</v>
      </c>
      <c r="G233" s="0" t="n">
        <f aca="false">Calc!$G$30</f>
        <v>0</v>
      </c>
    </row>
    <row r="234" customFormat="false" ht="15" hidden="false" customHeight="false" outlineLevel="0" collapsed="false">
      <c r="A234" s="0" t="n">
        <v>3</v>
      </c>
      <c r="B234" s="0" t="n">
        <v>29</v>
      </c>
      <c r="C234" s="0" t="str">
        <f aca="false">IF(G234&gt;0,3029,"")</f>
        <v/>
      </c>
      <c r="D234" s="0" t="str">
        <f aca="false">Calc!$B$31</f>
        <v>DC hobby motor</v>
      </c>
      <c r="E234" s="0" t="str">
        <f aca="false">Calc!$A$31</f>
        <v>Actuators &amp; Motor Drivers</v>
      </c>
      <c r="F234" s="0" t="str">
        <f aca="false">Calc!$D$31</f>
        <v>Reusable</v>
      </c>
      <c r="G234" s="0" t="n">
        <f aca="false">Calc!$G$31</f>
        <v>0</v>
      </c>
    </row>
    <row r="235" customFormat="false" ht="15" hidden="false" customHeight="false" outlineLevel="0" collapsed="false">
      <c r="A235" s="0" t="n">
        <v>3</v>
      </c>
      <c r="B235" s="0" t="n">
        <v>30</v>
      </c>
      <c r="C235" s="0" t="str">
        <f aca="false">IF(G235&gt;0,3030,"")</f>
        <v/>
      </c>
      <c r="D235" s="0" t="str">
        <f aca="false">Calc!$B$32</f>
        <v>L298N motor driver</v>
      </c>
      <c r="E235" s="0" t="str">
        <f aca="false">Calc!$A$32</f>
        <v>Actuators &amp; Motor Drivers</v>
      </c>
      <c r="F235" s="0" t="str">
        <f aca="false">Calc!$D$32</f>
        <v>Reusable</v>
      </c>
      <c r="G235" s="0" t="n">
        <f aca="false">Calc!$G$32</f>
        <v>0</v>
      </c>
    </row>
    <row r="236" customFormat="false" ht="15" hidden="false" customHeight="false" outlineLevel="0" collapsed="false">
      <c r="A236" s="0" t="n">
        <v>3</v>
      </c>
      <c r="B236" s="0" t="n">
        <v>31</v>
      </c>
      <c r="C236" s="0" t="str">
        <f aca="false">IF(G236&gt;0,3031,"")</f>
        <v/>
      </c>
      <c r="D236" s="0" t="str">
        <f aca="false">Calc!$B$33</f>
        <v>Mini water pump + tube</v>
      </c>
      <c r="E236" s="0" t="str">
        <f aca="false">Calc!$A$33</f>
        <v>Actuators &amp; Motor Drivers</v>
      </c>
      <c r="F236" s="0" t="str">
        <f aca="false">Calc!$D$33</f>
        <v>Reusable</v>
      </c>
      <c r="G236" s="0" t="n">
        <f aca="false">Calc!$G$33</f>
        <v>0</v>
      </c>
    </row>
    <row r="237" customFormat="false" ht="15" hidden="false" customHeight="false" outlineLevel="0" collapsed="false">
      <c r="A237" s="0" t="n">
        <v>3</v>
      </c>
      <c r="B237" s="0" t="n">
        <v>32</v>
      </c>
      <c r="C237" s="0" t="str">
        <f aca="false">IF(G237&gt;0,3032,"")</f>
        <v/>
      </c>
      <c r="D237" s="0" t="str">
        <f aca="false">Calc!$B$34</f>
        <v>Passive buzzer</v>
      </c>
      <c r="E237" s="0" t="str">
        <f aca="false">Calc!$A$34</f>
        <v>Actuators &amp; Motor Drivers</v>
      </c>
      <c r="F237" s="0" t="str">
        <f aca="false">Calc!$D$34</f>
        <v>Reusable</v>
      </c>
      <c r="G237" s="0" t="n">
        <f aca="false">Calc!$G$34</f>
        <v>0</v>
      </c>
    </row>
    <row r="238" customFormat="false" ht="15" hidden="false" customHeight="false" outlineLevel="0" collapsed="false">
      <c r="A238" s="0" t="n">
        <v>3</v>
      </c>
      <c r="B238" s="0" t="n">
        <v>33</v>
      </c>
      <c r="C238" s="0" t="str">
        <f aca="false">IF(G238&gt;0,3033,"")</f>
        <v/>
      </c>
      <c r="D238" s="0" t="str">
        <f aca="false">Calc!$B$35</f>
        <v>Relay module (1-channel)</v>
      </c>
      <c r="E238" s="0" t="str">
        <f aca="false">Calc!$A$35</f>
        <v>Actuators &amp; Motor Drivers</v>
      </c>
      <c r="F238" s="0" t="str">
        <f aca="false">Calc!$D$35</f>
        <v>Reusable</v>
      </c>
      <c r="G238" s="0" t="n">
        <f aca="false">Calc!$G$35</f>
        <v>0</v>
      </c>
    </row>
    <row r="239" customFormat="false" ht="15" hidden="false" customHeight="false" outlineLevel="0" collapsed="false">
      <c r="A239" s="0" t="n">
        <v>3</v>
      </c>
      <c r="B239" s="0" t="n">
        <v>34</v>
      </c>
      <c r="C239" s="0" t="str">
        <f aca="false">IF(G239&gt;0,3034,"")</f>
        <v/>
      </c>
      <c r="D239" s="0" t="str">
        <f aca="false">Calc!$B$36</f>
        <v>Relay module (4-channel)</v>
      </c>
      <c r="E239" s="0" t="str">
        <f aca="false">Calc!$A$36</f>
        <v>Actuators &amp; Motor Drivers</v>
      </c>
      <c r="F239" s="0" t="str">
        <f aca="false">Calc!$D$36</f>
        <v>Reusable</v>
      </c>
      <c r="G239" s="0" t="n">
        <f aca="false">Calc!$G$36</f>
        <v>0</v>
      </c>
    </row>
    <row r="240" customFormat="false" ht="15" hidden="false" customHeight="false" outlineLevel="0" collapsed="false">
      <c r="A240" s="0" t="n">
        <v>3</v>
      </c>
      <c r="B240" s="0" t="n">
        <v>35</v>
      </c>
      <c r="C240" s="0" t="str">
        <f aca="false">IF(G240&gt;0,3035,"")</f>
        <v/>
      </c>
      <c r="D240" s="0" t="str">
        <f aca="false">Calc!$B$37</f>
        <v>Servo MG995</v>
      </c>
      <c r="E240" s="0" t="str">
        <f aca="false">Calc!$A$37</f>
        <v>Actuators &amp; Motor Drivers</v>
      </c>
      <c r="F240" s="0" t="str">
        <f aca="false">Calc!$D$37</f>
        <v>Reusable</v>
      </c>
      <c r="G240" s="0" t="n">
        <f aca="false">Calc!$G$37</f>
        <v>0</v>
      </c>
    </row>
    <row r="241" customFormat="false" ht="15" hidden="false" customHeight="false" outlineLevel="0" collapsed="false">
      <c r="A241" s="0" t="n">
        <v>3</v>
      </c>
      <c r="B241" s="0" t="n">
        <v>36</v>
      </c>
      <c r="C241" s="0" t="str">
        <f aca="false">IF(G241&gt;0,3036,"")</f>
        <v/>
      </c>
      <c r="D241" s="0" t="str">
        <f aca="false">Calc!$B$38</f>
        <v>Servo SG90</v>
      </c>
      <c r="E241" s="0" t="str">
        <f aca="false">Calc!$A$38</f>
        <v>Actuators &amp; Motor Drivers</v>
      </c>
      <c r="F241" s="0" t="str">
        <f aca="false">Calc!$D$38</f>
        <v>Reusable</v>
      </c>
      <c r="G241" s="0" t="n">
        <f aca="false">Calc!$G$38</f>
        <v>0</v>
      </c>
    </row>
    <row r="242" customFormat="false" ht="15" hidden="false" customHeight="false" outlineLevel="0" collapsed="false">
      <c r="A242" s="0" t="n">
        <v>3</v>
      </c>
      <c r="B242" s="0" t="n">
        <v>37</v>
      </c>
      <c r="C242" s="0" t="str">
        <f aca="false">IF(G242&gt;0,3037,"")</f>
        <v/>
      </c>
      <c r="D242" s="0" t="str">
        <f aca="false">Calc!$B$39</f>
        <v>Stepper 28BYJ-48 + ULN2003</v>
      </c>
      <c r="E242" s="0" t="str">
        <f aca="false">Calc!$A$39</f>
        <v>Actuators &amp; Motor Drivers</v>
      </c>
      <c r="F242" s="0" t="str">
        <f aca="false">Calc!$D$39</f>
        <v>Reusable</v>
      </c>
      <c r="G242" s="0" t="n">
        <f aca="false">Calc!$G$39</f>
        <v>0</v>
      </c>
    </row>
    <row r="243" customFormat="false" ht="15" hidden="false" customHeight="false" outlineLevel="0" collapsed="false">
      <c r="A243" s="0" t="n">
        <v>3</v>
      </c>
      <c r="B243" s="0" t="n">
        <v>38</v>
      </c>
      <c r="C243" s="0" t="str">
        <f aca="false">IF(G243&gt;0,3038,"")</f>
        <v/>
      </c>
      <c r="D243" s="0" t="str">
        <f aca="false">Calc!$B$40</f>
        <v>Vibration motor module</v>
      </c>
      <c r="E243" s="0" t="str">
        <f aca="false">Calc!$A$40</f>
        <v>Actuators &amp; Motor Drivers</v>
      </c>
      <c r="F243" s="0" t="str">
        <f aca="false">Calc!$D$40</f>
        <v>Reusable</v>
      </c>
      <c r="G243" s="0" t="n">
        <f aca="false">Calc!$G$40</f>
        <v>0</v>
      </c>
    </row>
    <row r="244" customFormat="false" ht="15" hidden="false" customHeight="false" outlineLevel="0" collapsed="false">
      <c r="A244" s="0" t="n">
        <v>3</v>
      </c>
      <c r="B244" s="0" t="n">
        <v>39</v>
      </c>
      <c r="C244" s="0" t="str">
        <f aca="false">IF(G244&gt;0,3039,"")</f>
        <v/>
      </c>
      <c r="D244" s="0" t="str">
        <f aca="false">Calc!$B$41</f>
        <v>5 V DC fan</v>
      </c>
      <c r="E244" s="0" t="str">
        <f aca="false">Calc!$A$41</f>
        <v>Displays &amp; Output</v>
      </c>
      <c r="F244" s="0" t="str">
        <f aca="false">Calc!$D$41</f>
        <v>Reusable</v>
      </c>
      <c r="G244" s="0" t="n">
        <f aca="false">Calc!$G$41</f>
        <v>0</v>
      </c>
    </row>
    <row r="245" customFormat="false" ht="15" hidden="false" customHeight="false" outlineLevel="0" collapsed="false">
      <c r="A245" s="0" t="n">
        <v>3</v>
      </c>
      <c r="B245" s="0" t="n">
        <v>40</v>
      </c>
      <c r="C245" s="0" t="str">
        <f aca="false">IF(G245&gt;0,3040,"")</f>
        <v/>
      </c>
      <c r="D245" s="0" t="str">
        <f aca="false">Calc!$B$42</f>
        <v>LED 5 mm (assorted)</v>
      </c>
      <c r="E245" s="0" t="str">
        <f aca="false">Calc!$A$42</f>
        <v>Displays &amp; Output</v>
      </c>
      <c r="F245" s="0" t="str">
        <f aca="false">Calc!$D$42</f>
        <v>Consumable</v>
      </c>
      <c r="G245" s="0" t="n">
        <f aca="false">Calc!$G$42</f>
        <v>0</v>
      </c>
    </row>
    <row r="246" customFormat="false" ht="15" hidden="false" customHeight="false" outlineLevel="0" collapsed="false">
      <c r="A246" s="0" t="n">
        <v>3</v>
      </c>
      <c r="B246" s="0" t="n">
        <v>41</v>
      </c>
      <c r="C246" s="0" t="str">
        <f aca="false">IF(G246&gt;0,3041,"")</f>
        <v/>
      </c>
      <c r="D246" s="0" t="str">
        <f aca="false">Calc!$B$43</f>
        <v>Low-voltage LED lamp (5 V)</v>
      </c>
      <c r="E246" s="0" t="str">
        <f aca="false">Calc!$A$43</f>
        <v>Displays &amp; Output</v>
      </c>
      <c r="F246" s="0" t="str">
        <f aca="false">Calc!$D$43</f>
        <v>Reusable</v>
      </c>
      <c r="G246" s="0" t="n">
        <f aca="false">Calc!$G$43</f>
        <v>0</v>
      </c>
    </row>
    <row r="247" customFormat="false" ht="15" hidden="false" customHeight="false" outlineLevel="0" collapsed="false">
      <c r="A247" s="0" t="n">
        <v>3</v>
      </c>
      <c r="B247" s="0" t="n">
        <v>42</v>
      </c>
      <c r="C247" s="0" t="str">
        <f aca="false">IF(G247&gt;0,3042,"")</f>
        <v/>
      </c>
      <c r="D247" s="0" t="str">
        <f aca="false">Calc!$B$44</f>
        <v>MAX7219 8x8 LED matrix</v>
      </c>
      <c r="E247" s="0" t="str">
        <f aca="false">Calc!$A$44</f>
        <v>Displays &amp; Output</v>
      </c>
      <c r="F247" s="0" t="str">
        <f aca="false">Calc!$D$44</f>
        <v>Reusable</v>
      </c>
      <c r="G247" s="0" t="n">
        <f aca="false">Calc!$G$44</f>
        <v>0</v>
      </c>
    </row>
    <row r="248" customFormat="false" ht="15" hidden="false" customHeight="false" outlineLevel="0" collapsed="false">
      <c r="A248" s="0" t="n">
        <v>3</v>
      </c>
      <c r="B248" s="0" t="n">
        <v>43</v>
      </c>
      <c r="C248" s="0" t="str">
        <f aca="false">IF(G248&gt;0,3043,"")</f>
        <v/>
      </c>
      <c r="D248" s="0" t="str">
        <f aca="false">Calc!$B$45</f>
        <v>OLED 0.96 in I2C</v>
      </c>
      <c r="E248" s="0" t="str">
        <f aca="false">Calc!$A$45</f>
        <v>Displays &amp; Output</v>
      </c>
      <c r="F248" s="0" t="str">
        <f aca="false">Calc!$D$45</f>
        <v>Reusable</v>
      </c>
      <c r="G248" s="0" t="n">
        <f aca="false">Calc!$G$45</f>
        <v>0</v>
      </c>
    </row>
    <row r="249" customFormat="false" ht="15" hidden="false" customHeight="false" outlineLevel="0" collapsed="false">
      <c r="A249" s="0" t="n">
        <v>3</v>
      </c>
      <c r="B249" s="0" t="n">
        <v>44</v>
      </c>
      <c r="C249" s="0" t="str">
        <f aca="false">IF(G249&gt;0,3044,"")</f>
        <v/>
      </c>
      <c r="D249" s="0" t="str">
        <f aca="false">Calc!$B$46</f>
        <v>RGB LED</v>
      </c>
      <c r="E249" s="0" t="str">
        <f aca="false">Calc!$A$46</f>
        <v>Displays &amp; Output</v>
      </c>
      <c r="F249" s="0" t="str">
        <f aca="false">Calc!$D$46</f>
        <v>Reusable</v>
      </c>
      <c r="G249" s="0" t="n">
        <f aca="false">Calc!$G$46</f>
        <v>0</v>
      </c>
    </row>
    <row r="250" customFormat="false" ht="15" hidden="false" customHeight="false" outlineLevel="0" collapsed="false">
      <c r="A250" s="0" t="n">
        <v>3</v>
      </c>
      <c r="B250" s="0" t="n">
        <v>45</v>
      </c>
      <c r="C250" s="0" t="str">
        <f aca="false">IF(G250&gt;0,3045,"")</f>
        <v/>
      </c>
      <c r="D250" s="0" t="str">
        <f aca="false">Calc!$B$47</f>
        <v>WS2812B LED ring (12 LEDs)</v>
      </c>
      <c r="E250" s="0" t="str">
        <f aca="false">Calc!$A$47</f>
        <v>Displays &amp; Output</v>
      </c>
      <c r="F250" s="0" t="str">
        <f aca="false">Calc!$D$47</f>
        <v>Reusable</v>
      </c>
      <c r="G250" s="0" t="n">
        <f aca="false">Calc!$G$47</f>
        <v>0</v>
      </c>
    </row>
    <row r="251" customFormat="false" ht="15" hidden="false" customHeight="false" outlineLevel="0" collapsed="false">
      <c r="A251" s="0" t="n">
        <v>3</v>
      </c>
      <c r="B251" s="0" t="n">
        <v>46</v>
      </c>
      <c r="C251" s="0" t="str">
        <f aca="false">IF(G251&gt;0,3046,"")</f>
        <v/>
      </c>
      <c r="D251" s="0" t="str">
        <f aca="false">Calc!$B$48</f>
        <v>WS2812B LED strip (1 m, 30 LEDs)</v>
      </c>
      <c r="E251" s="0" t="str">
        <f aca="false">Calc!$A$48</f>
        <v>Displays &amp; Output</v>
      </c>
      <c r="F251" s="0" t="str">
        <f aca="false">Calc!$D$48</f>
        <v>Reusable</v>
      </c>
      <c r="G251" s="0" t="n">
        <f aca="false">Calc!$G$48</f>
        <v>0</v>
      </c>
    </row>
    <row r="252" customFormat="false" ht="15" hidden="false" customHeight="false" outlineLevel="0" collapsed="false">
      <c r="A252" s="0" t="n">
        <v>3</v>
      </c>
      <c r="B252" s="0" t="n">
        <v>47</v>
      </c>
      <c r="C252" s="0" t="str">
        <f aca="false">IF(G252&gt;0,3047,"")</f>
        <v/>
      </c>
      <c r="D252" s="0" t="str">
        <f aca="false">Calc!$B$49</f>
        <v>555 timer IC</v>
      </c>
      <c r="E252" s="0" t="str">
        <f aca="false">Calc!$A$49</f>
        <v>Passive Components &amp; ICs</v>
      </c>
      <c r="F252" s="0" t="str">
        <f aca="false">Calc!$D$49</f>
        <v>Consumable</v>
      </c>
      <c r="G252" s="0" t="n">
        <f aca="false">Calc!$G$49</f>
        <v>0</v>
      </c>
    </row>
    <row r="253" customFormat="false" ht="15" hidden="false" customHeight="false" outlineLevel="0" collapsed="false">
      <c r="A253" s="0" t="n">
        <v>3</v>
      </c>
      <c r="B253" s="0" t="n">
        <v>48</v>
      </c>
      <c r="C253" s="0" t="str">
        <f aca="false">IF(G253&gt;0,3048,"")</f>
        <v/>
      </c>
      <c r="D253" s="0" t="str">
        <f aca="false">Calc!$B$50</f>
        <v>Capacitor 10 nF</v>
      </c>
      <c r="E253" s="0" t="str">
        <f aca="false">Calc!$A$50</f>
        <v>Passive Components &amp; ICs</v>
      </c>
      <c r="F253" s="0" t="str">
        <f aca="false">Calc!$D$50</f>
        <v>Consumable</v>
      </c>
      <c r="G253" s="0" t="n">
        <f aca="false">Calc!$G$50</f>
        <v>0</v>
      </c>
    </row>
    <row r="254" customFormat="false" ht="15" hidden="false" customHeight="false" outlineLevel="0" collapsed="false">
      <c r="A254" s="0" t="n">
        <v>3</v>
      </c>
      <c r="B254" s="0" t="n">
        <v>49</v>
      </c>
      <c r="C254" s="0" t="str">
        <f aca="false">IF(G254&gt;0,3049,"")</f>
        <v/>
      </c>
      <c r="D254" s="0" t="str">
        <f aca="false">Calc!$B$51</f>
        <v>Capacitor 10 uF</v>
      </c>
      <c r="E254" s="0" t="str">
        <f aca="false">Calc!$A$51</f>
        <v>Passive Components &amp; ICs</v>
      </c>
      <c r="F254" s="0" t="str">
        <f aca="false">Calc!$D$51</f>
        <v>Consumable</v>
      </c>
      <c r="G254" s="0" t="n">
        <f aca="false">Calc!$G$51</f>
        <v>0</v>
      </c>
    </row>
    <row r="255" customFormat="false" ht="15" hidden="false" customHeight="false" outlineLevel="0" collapsed="false">
      <c r="A255" s="0" t="n">
        <v>3</v>
      </c>
      <c r="B255" s="0" t="n">
        <v>50</v>
      </c>
      <c r="C255" s="0" t="str">
        <f aca="false">IF(G255&gt;0,3050,"")</f>
        <v/>
      </c>
      <c r="D255" s="0" t="str">
        <f aca="false">Calc!$B$52</f>
        <v>Capacitor 100 uF</v>
      </c>
      <c r="E255" s="0" t="str">
        <f aca="false">Calc!$A$52</f>
        <v>Passive Components &amp; ICs</v>
      </c>
      <c r="F255" s="0" t="str">
        <f aca="false">Calc!$D$52</f>
        <v>Consumable</v>
      </c>
      <c r="G255" s="0" t="n">
        <f aca="false">Calc!$G$52</f>
        <v>0</v>
      </c>
    </row>
    <row r="256" customFormat="false" ht="15" hidden="false" customHeight="false" outlineLevel="0" collapsed="false">
      <c r="A256" s="0" t="n">
        <v>3</v>
      </c>
      <c r="B256" s="0" t="n">
        <v>51</v>
      </c>
      <c r="C256" s="0" t="str">
        <f aca="false">IF(G256&gt;0,3051,"")</f>
        <v/>
      </c>
      <c r="D256" s="0" t="str">
        <f aca="false">Calc!$B$53</f>
        <v>Potentiometer 10k</v>
      </c>
      <c r="E256" s="0" t="str">
        <f aca="false">Calc!$A$53</f>
        <v>Passive Components &amp; ICs</v>
      </c>
      <c r="F256" s="0" t="str">
        <f aca="false">Calc!$D$53</f>
        <v>Reusable</v>
      </c>
      <c r="G256" s="0" t="n">
        <f aca="false">Calc!$G$53</f>
        <v>0</v>
      </c>
    </row>
    <row r="257" customFormat="false" ht="15" hidden="false" customHeight="false" outlineLevel="0" collapsed="false">
      <c r="A257" s="0" t="n">
        <v>3</v>
      </c>
      <c r="B257" s="0" t="n">
        <v>52</v>
      </c>
      <c r="C257" s="0" t="str">
        <f aca="false">IF(G257&gt;0,3052,"")</f>
        <v/>
      </c>
      <c r="D257" s="0" t="str">
        <f aca="false">Calc!$B$54</f>
        <v>Push button</v>
      </c>
      <c r="E257" s="0" t="str">
        <f aca="false">Calc!$A$54</f>
        <v>Passive Components &amp; ICs</v>
      </c>
      <c r="F257" s="0" t="str">
        <f aca="false">Calc!$D$54</f>
        <v>Reusable</v>
      </c>
      <c r="G257" s="0" t="n">
        <f aca="false">Calc!$G$54</f>
        <v>0</v>
      </c>
    </row>
    <row r="258" customFormat="false" ht="15" hidden="false" customHeight="false" outlineLevel="0" collapsed="false">
      <c r="A258" s="0" t="n">
        <v>3</v>
      </c>
      <c r="B258" s="0" t="n">
        <v>53</v>
      </c>
      <c r="C258" s="0" t="str">
        <f aca="false">IF(G258&gt;0,3053,"")</f>
        <v/>
      </c>
      <c r="D258" s="0" t="str">
        <f aca="false">Calc!$B$55</f>
        <v>Resistor 10k ohm</v>
      </c>
      <c r="E258" s="0" t="str">
        <f aca="false">Calc!$A$55</f>
        <v>Passive Components &amp; ICs</v>
      </c>
      <c r="F258" s="0" t="str">
        <f aca="false">Calc!$D$55</f>
        <v>Consumable</v>
      </c>
      <c r="G258" s="0" t="n">
        <f aca="false">Calc!$G$55</f>
        <v>0</v>
      </c>
    </row>
    <row r="259" customFormat="false" ht="15" hidden="false" customHeight="false" outlineLevel="0" collapsed="false">
      <c r="A259" s="0" t="n">
        <v>3</v>
      </c>
      <c r="B259" s="0" t="n">
        <v>54</v>
      </c>
      <c r="C259" s="0" t="str">
        <f aca="false">IF(G259&gt;0,3054,"")</f>
        <v/>
      </c>
      <c r="D259" s="0" t="str">
        <f aca="false">Calc!$B$56</f>
        <v>Resistor 1k ohm</v>
      </c>
      <c r="E259" s="0" t="str">
        <f aca="false">Calc!$A$56</f>
        <v>Passive Components &amp; ICs</v>
      </c>
      <c r="F259" s="0" t="str">
        <f aca="false">Calc!$D$56</f>
        <v>Consumable</v>
      </c>
      <c r="G259" s="0" t="n">
        <f aca="false">Calc!$G$56</f>
        <v>0</v>
      </c>
    </row>
    <row r="260" customFormat="false" ht="15" hidden="false" customHeight="false" outlineLevel="0" collapsed="false">
      <c r="A260" s="0" t="n">
        <v>3</v>
      </c>
      <c r="B260" s="0" t="n">
        <v>55</v>
      </c>
      <c r="C260" s="0" t="str">
        <f aca="false">IF(G260&gt;0,3055,"")</f>
        <v/>
      </c>
      <c r="D260" s="0" t="str">
        <f aca="false">Calc!$B$57</f>
        <v>Resistor 220 ohm</v>
      </c>
      <c r="E260" s="0" t="str">
        <f aca="false">Calc!$A$57</f>
        <v>Passive Components &amp; ICs</v>
      </c>
      <c r="F260" s="0" t="str">
        <f aca="false">Calc!$D$57</f>
        <v>Consumable</v>
      </c>
      <c r="G260" s="0" t="n">
        <f aca="false">Calc!$G$57</f>
        <v>0</v>
      </c>
    </row>
    <row r="261" customFormat="false" ht="15" hidden="false" customHeight="false" outlineLevel="0" collapsed="false">
      <c r="A261" s="0" t="n">
        <v>3</v>
      </c>
      <c r="B261" s="0" t="n">
        <v>56</v>
      </c>
      <c r="C261" s="0" t="str">
        <f aca="false">IF(G261&gt;0,3056,"")</f>
        <v/>
      </c>
      <c r="D261" s="0" t="str">
        <f aca="false">Calc!$B$58</f>
        <v>Slide switch</v>
      </c>
      <c r="E261" s="0" t="str">
        <f aca="false">Calc!$A$58</f>
        <v>Passive Components &amp; ICs</v>
      </c>
      <c r="F261" s="0" t="str">
        <f aca="false">Calc!$D$58</f>
        <v>Reusable</v>
      </c>
      <c r="G261" s="0" t="n">
        <f aca="false">Calc!$G$58</f>
        <v>0</v>
      </c>
    </row>
    <row r="262" customFormat="false" ht="15" hidden="false" customHeight="false" outlineLevel="0" collapsed="false">
      <c r="A262" s="0" t="n">
        <v>3</v>
      </c>
      <c r="B262" s="0" t="n">
        <v>57</v>
      </c>
      <c r="C262" s="0" t="str">
        <f aca="false">IF(G262&gt;0,3057,"")</f>
        <v/>
      </c>
      <c r="D262" s="0" t="str">
        <f aca="false">Calc!$B$59</f>
        <v>18650 cell + holder</v>
      </c>
      <c r="E262" s="0" t="str">
        <f aca="false">Calc!$A$59</f>
        <v>Power</v>
      </c>
      <c r="F262" s="0" t="str">
        <f aca="false">Calc!$D$59</f>
        <v>Reusable</v>
      </c>
      <c r="G262" s="0" t="n">
        <f aca="false">Calc!$G$59</f>
        <v>0</v>
      </c>
    </row>
    <row r="263" customFormat="false" ht="15" hidden="false" customHeight="false" outlineLevel="0" collapsed="false">
      <c r="A263" s="0" t="n">
        <v>3</v>
      </c>
      <c r="B263" s="0" t="n">
        <v>58</v>
      </c>
      <c r="C263" s="0" t="str">
        <f aca="false">IF(G263&gt;0,3058,"")</f>
        <v/>
      </c>
      <c r="D263" s="0" t="str">
        <f aca="false">Calc!$B$60</f>
        <v>2xAA battery holder + batteries</v>
      </c>
      <c r="E263" s="0" t="str">
        <f aca="false">Calc!$A$60</f>
        <v>Power</v>
      </c>
      <c r="F263" s="0" t="str">
        <f aca="false">Calc!$D$60</f>
        <v>Consumable</v>
      </c>
      <c r="G263" s="0" t="n">
        <f aca="false">Calc!$G$60</f>
        <v>0</v>
      </c>
    </row>
    <row r="264" customFormat="false" ht="15" hidden="false" customHeight="false" outlineLevel="0" collapsed="false">
      <c r="A264" s="0" t="n">
        <v>3</v>
      </c>
      <c r="B264" s="0" t="n">
        <v>59</v>
      </c>
      <c r="C264" s="0" t="str">
        <f aca="false">IF(G264&gt;0,3059,"")</f>
        <v/>
      </c>
      <c r="D264" s="0" t="str">
        <f aca="false">Calc!$B$61</f>
        <v>4xAA battery pack</v>
      </c>
      <c r="E264" s="0" t="str">
        <f aca="false">Calc!$A$61</f>
        <v>Power</v>
      </c>
      <c r="F264" s="0" t="str">
        <f aca="false">Calc!$D$61</f>
        <v>Consumable</v>
      </c>
      <c r="G264" s="0" t="n">
        <f aca="false">Calc!$G$61</f>
        <v>0</v>
      </c>
    </row>
    <row r="265" customFormat="false" ht="15" hidden="false" customHeight="false" outlineLevel="0" collapsed="false">
      <c r="A265" s="0" t="n">
        <v>3</v>
      </c>
      <c r="B265" s="0" t="n">
        <v>60</v>
      </c>
      <c r="C265" s="0" t="str">
        <f aca="false">IF(G265&gt;0,3060,"")</f>
        <v/>
      </c>
      <c r="D265" s="0" t="str">
        <f aca="false">Calc!$B$62</f>
        <v>9V battery + snap</v>
      </c>
      <c r="E265" s="0" t="str">
        <f aca="false">Calc!$A$62</f>
        <v>Power</v>
      </c>
      <c r="F265" s="0" t="str">
        <f aca="false">Calc!$D$62</f>
        <v>Consumable</v>
      </c>
      <c r="G265" s="0" t="n">
        <f aca="false">Calc!$G$62</f>
        <v>0</v>
      </c>
    </row>
    <row r="266" customFormat="false" ht="15" hidden="false" customHeight="false" outlineLevel="0" collapsed="false">
      <c r="A266" s="0" t="n">
        <v>3</v>
      </c>
      <c r="B266" s="0" t="n">
        <v>61</v>
      </c>
      <c r="C266" s="0" t="str">
        <f aca="false">IF(G266&gt;0,3061,"")</f>
        <v/>
      </c>
      <c r="D266" s="0" t="str">
        <f aca="false">Calc!$B$63</f>
        <v>Coin cell CR2032</v>
      </c>
      <c r="E266" s="0" t="str">
        <f aca="false">Calc!$A$63</f>
        <v>Power</v>
      </c>
      <c r="F266" s="0" t="str">
        <f aca="false">Calc!$D$63</f>
        <v>Consumable</v>
      </c>
      <c r="G266" s="0" t="n">
        <f aca="false">Calc!$G$63</f>
        <v>0</v>
      </c>
    </row>
    <row r="267" customFormat="false" ht="15" hidden="false" customHeight="false" outlineLevel="0" collapsed="false">
      <c r="A267" s="0" t="n">
        <v>3</v>
      </c>
      <c r="B267" s="0" t="n">
        <v>62</v>
      </c>
      <c r="C267" s="0" t="str">
        <f aca="false">IF(G267&gt;0,3062,"")</f>
        <v/>
      </c>
      <c r="D267" s="0" t="str">
        <f aca="false">Calc!$B$64</f>
        <v>LM2596 buck converter</v>
      </c>
      <c r="E267" s="0" t="str">
        <f aca="false">Calc!$A$64</f>
        <v>Power</v>
      </c>
      <c r="F267" s="0" t="str">
        <f aca="false">Calc!$D$64</f>
        <v>Reusable</v>
      </c>
      <c r="G267" s="0" t="n">
        <f aca="false">Calc!$G$64</f>
        <v>0</v>
      </c>
    </row>
    <row r="268" customFormat="false" ht="15" hidden="false" customHeight="false" outlineLevel="0" collapsed="false">
      <c r="A268" s="0" t="n">
        <v>3</v>
      </c>
      <c r="B268" s="0" t="n">
        <v>63</v>
      </c>
      <c r="C268" s="0" t="str">
        <f aca="false">IF(G268&gt;0,3063,"")</f>
        <v/>
      </c>
      <c r="D268" s="0" t="str">
        <f aca="false">Calc!$B$65</f>
        <v>Small solar panel</v>
      </c>
      <c r="E268" s="0" t="str">
        <f aca="false">Calc!$A$65</f>
        <v>Power</v>
      </c>
      <c r="F268" s="0" t="str">
        <f aca="false">Calc!$D$65</f>
        <v>Reusable</v>
      </c>
      <c r="G268" s="0" t="n">
        <f aca="false">Calc!$G$65</f>
        <v>0</v>
      </c>
    </row>
    <row r="269" customFormat="false" ht="15" hidden="false" customHeight="false" outlineLevel="0" collapsed="false">
      <c r="A269" s="0" t="n">
        <v>3</v>
      </c>
      <c r="B269" s="0" t="n">
        <v>64</v>
      </c>
      <c r="C269" s="0" t="str">
        <f aca="false">IF(G269&gt;0,3064,"")</f>
        <v/>
      </c>
      <c r="D269" s="0" t="str">
        <f aca="false">Calc!$B$66</f>
        <v>TP4056 charger module</v>
      </c>
      <c r="E269" s="0" t="str">
        <f aca="false">Calc!$A$66</f>
        <v>Power</v>
      </c>
      <c r="F269" s="0" t="str">
        <f aca="false">Calc!$D$66</f>
        <v>Reusable</v>
      </c>
      <c r="G269" s="0" t="n">
        <f aca="false">Calc!$G$66</f>
        <v>0</v>
      </c>
    </row>
    <row r="270" customFormat="false" ht="15" hidden="false" customHeight="false" outlineLevel="0" collapsed="false">
      <c r="A270" s="0" t="n">
        <v>3</v>
      </c>
      <c r="B270" s="0" t="n">
        <v>65</v>
      </c>
      <c r="C270" s="0" t="str">
        <f aca="false">IF(G270&gt;0,3065,"")</f>
        <v/>
      </c>
      <c r="D270" s="0" t="str">
        <f aca="false">Calc!$B$67</f>
        <v>Alligator clip leads</v>
      </c>
      <c r="E270" s="0" t="str">
        <f aca="false">Calc!$A$67</f>
        <v>Wiring &amp; Prototyping</v>
      </c>
      <c r="F270" s="0" t="str">
        <f aca="false">Calc!$D$67</f>
        <v>Reusable</v>
      </c>
      <c r="G270" s="0" t="n">
        <f aca="false">Calc!$G$67</f>
        <v>0</v>
      </c>
    </row>
    <row r="271" customFormat="false" ht="15" hidden="false" customHeight="false" outlineLevel="0" collapsed="false">
      <c r="A271" s="0" t="n">
        <v>3</v>
      </c>
      <c r="B271" s="0" t="n">
        <v>66</v>
      </c>
      <c r="C271" s="0" t="str">
        <f aca="false">IF(G271&gt;0,3066,"")</f>
        <v/>
      </c>
      <c r="D271" s="0" t="str">
        <f aca="false">Calc!$B$68</f>
        <v>Aluminium foil</v>
      </c>
      <c r="E271" s="0" t="str">
        <f aca="false">Calc!$A$68</f>
        <v>Wiring &amp; Prototyping</v>
      </c>
      <c r="F271" s="0" t="str">
        <f aca="false">Calc!$D$68</f>
        <v>Consumable</v>
      </c>
      <c r="G271" s="0" t="n">
        <f aca="false">Calc!$G$68</f>
        <v>0</v>
      </c>
    </row>
    <row r="272" customFormat="false" ht="15" hidden="false" customHeight="false" outlineLevel="0" collapsed="false">
      <c r="A272" s="0" t="n">
        <v>3</v>
      </c>
      <c r="B272" s="0" t="n">
        <v>67</v>
      </c>
      <c r="C272" s="0" t="str">
        <f aca="false">IF(G272&gt;0,3067,"")</f>
        <v/>
      </c>
      <c r="D272" s="0" t="str">
        <f aca="false">Calc!$B$69</f>
        <v>Breadboard (half size)</v>
      </c>
      <c r="E272" s="0" t="str">
        <f aca="false">Calc!$A$69</f>
        <v>Wiring &amp; Prototyping</v>
      </c>
      <c r="F272" s="0" t="str">
        <f aca="false">Calc!$D$69</f>
        <v>Reusable</v>
      </c>
      <c r="G272" s="0" t="n">
        <f aca="false">Calc!$G$69</f>
        <v>0</v>
      </c>
    </row>
    <row r="273" customFormat="false" ht="15" hidden="false" customHeight="false" outlineLevel="0" collapsed="false">
      <c r="A273" s="0" t="n">
        <v>3</v>
      </c>
      <c r="B273" s="0" t="n">
        <v>68</v>
      </c>
      <c r="C273" s="0" t="str">
        <f aca="false">IF(G273&gt;0,3068,"")</f>
        <v/>
      </c>
      <c r="D273" s="0" t="str">
        <f aca="false">Calc!$B$70</f>
        <v>Copper tape</v>
      </c>
      <c r="E273" s="0" t="str">
        <f aca="false">Calc!$A$70</f>
        <v>Wiring &amp; Prototyping</v>
      </c>
      <c r="F273" s="0" t="str">
        <f aca="false">Calc!$D$70</f>
        <v>Consumable</v>
      </c>
      <c r="G273" s="0" t="n">
        <f aca="false">Calc!$G$70</f>
        <v>0</v>
      </c>
    </row>
    <row r="274" customFormat="false" ht="15" hidden="false" customHeight="false" outlineLevel="0" collapsed="false">
      <c r="A274" s="0" t="n">
        <v>3</v>
      </c>
      <c r="B274" s="0" t="n">
        <v>69</v>
      </c>
      <c r="C274" s="0" t="str">
        <f aca="false">IF(G274&gt;0,3069,"")</f>
        <v/>
      </c>
      <c r="D274" s="0" t="str">
        <f aca="false">Calc!$B$71</f>
        <v>Jumper wires M-F</v>
      </c>
      <c r="E274" s="0" t="str">
        <f aca="false">Calc!$A$71</f>
        <v>Wiring &amp; Prototyping</v>
      </c>
      <c r="F274" s="0" t="str">
        <f aca="false">Calc!$D$71</f>
        <v>Reusable</v>
      </c>
      <c r="G274" s="0" t="n">
        <f aca="false">Calc!$G$71</f>
        <v>0</v>
      </c>
    </row>
    <row r="275" customFormat="false" ht="15" hidden="false" customHeight="false" outlineLevel="0" collapsed="false">
      <c r="A275" s="0" t="n">
        <v>3</v>
      </c>
      <c r="B275" s="0" t="n">
        <v>70</v>
      </c>
      <c r="C275" s="0" t="str">
        <f aca="false">IF(G275&gt;0,3070,"")</f>
        <v/>
      </c>
      <c r="D275" s="0" t="str">
        <f aca="false">Calc!$B$72</f>
        <v>Jumper wires M-M</v>
      </c>
      <c r="E275" s="0" t="str">
        <f aca="false">Calc!$A$72</f>
        <v>Wiring &amp; Prototyping</v>
      </c>
      <c r="F275" s="0" t="str">
        <f aca="false">Calc!$D$72</f>
        <v>Reusable</v>
      </c>
      <c r="G275" s="0" t="n">
        <f aca="false">Calc!$G$72</f>
        <v>0</v>
      </c>
    </row>
    <row r="276" customFormat="false" ht="15" hidden="false" customHeight="false" outlineLevel="0" collapsed="false">
      <c r="A276" s="0" t="n">
        <v>3</v>
      </c>
      <c r="B276" s="0" t="n">
        <v>71</v>
      </c>
      <c r="C276" s="0" t="str">
        <f aca="false">IF(G276&gt;0,3071,"")</f>
        <v/>
      </c>
      <c r="D276" s="0" t="str">
        <f aca="false">Calc!$B$73</f>
        <v>3D printer</v>
      </c>
      <c r="E276" s="0" t="str">
        <f aca="false">Calc!$A$73</f>
        <v>Computers &amp; Equipment</v>
      </c>
      <c r="F276" s="0" t="str">
        <f aca="false">Calc!$D$73</f>
        <v>Reusable</v>
      </c>
      <c r="G276" s="0" t="n">
        <f aca="false">Calc!$G$73</f>
        <v>0</v>
      </c>
    </row>
    <row r="277" customFormat="false" ht="15" hidden="false" customHeight="false" outlineLevel="0" collapsed="false">
      <c r="A277" s="0" t="n">
        <v>3</v>
      </c>
      <c r="B277" s="0" t="n">
        <v>72</v>
      </c>
      <c r="C277" s="0" t="str">
        <f aca="false">IF(G277&gt;0,3072,"")</f>
        <v/>
      </c>
      <c r="D277" s="0" t="str">
        <f aca="false">Calc!$B$74</f>
        <v>Android smartphone</v>
      </c>
      <c r="E277" s="0" t="str">
        <f aca="false">Calc!$A$74</f>
        <v>Computers &amp; Equipment</v>
      </c>
      <c r="F277" s="0" t="str">
        <f aca="false">Calc!$D$74</f>
        <v>Reusable</v>
      </c>
      <c r="G277" s="0" t="n">
        <f aca="false">Calc!$G$74</f>
        <v>0</v>
      </c>
    </row>
    <row r="278" customFormat="false" ht="15" hidden="false" customHeight="false" outlineLevel="0" collapsed="false">
      <c r="A278" s="0" t="n">
        <v>3</v>
      </c>
      <c r="B278" s="0" t="n">
        <v>73</v>
      </c>
      <c r="C278" s="0" t="str">
        <f aca="false">IF(G278&gt;0,3073,"")</f>
        <v/>
      </c>
      <c r="D278" s="0" t="str">
        <f aca="false">Calc!$B$75</f>
        <v>Digital multimeter</v>
      </c>
      <c r="E278" s="0" t="str">
        <f aca="false">Calc!$A$75</f>
        <v>Computers &amp; Equipment</v>
      </c>
      <c r="F278" s="0" t="str">
        <f aca="false">Calc!$D$75</f>
        <v>Reusable</v>
      </c>
      <c r="G278" s="0" t="n">
        <f aca="false">Calc!$G$75</f>
        <v>0</v>
      </c>
    </row>
    <row r="279" customFormat="false" ht="15" hidden="false" customHeight="false" outlineLevel="0" collapsed="false">
      <c r="A279" s="0" t="n">
        <v>3</v>
      </c>
      <c r="B279" s="0" t="n">
        <v>74</v>
      </c>
      <c r="C279" s="0" t="str">
        <f aca="false">IF(G279&gt;0,3074,"")</f>
        <v/>
      </c>
      <c r="D279" s="0" t="str">
        <f aca="false">Calc!$B$76</f>
        <v>Glue gun + glue sticks</v>
      </c>
      <c r="E279" s="0" t="str">
        <f aca="false">Calc!$A$76</f>
        <v>Computers &amp; Equipment</v>
      </c>
      <c r="F279" s="0" t="str">
        <f aca="false">Calc!$D$76</f>
        <v>Reusable</v>
      </c>
      <c r="G279" s="0" t="n">
        <f aca="false">Calc!$G$76</f>
        <v>0</v>
      </c>
    </row>
    <row r="280" customFormat="false" ht="15" hidden="false" customHeight="false" outlineLevel="0" collapsed="false">
      <c r="A280" s="0" t="n">
        <v>3</v>
      </c>
      <c r="B280" s="0" t="n">
        <v>75</v>
      </c>
      <c r="C280" s="0" t="str">
        <f aca="false">IF(G280&gt;0,3075,"")</f>
        <v/>
      </c>
      <c r="D280" s="0" t="str">
        <f aca="false">Calc!$B$77</f>
        <v>Laptop</v>
      </c>
      <c r="E280" s="0" t="str">
        <f aca="false">Calc!$A$77</f>
        <v>Computers &amp; Equipment</v>
      </c>
      <c r="F280" s="0" t="str">
        <f aca="false">Calc!$D$77</f>
        <v>Reusable</v>
      </c>
      <c r="G280" s="0" t="n">
        <f aca="false">Calc!$G$77</f>
        <v>0</v>
      </c>
    </row>
    <row r="281" customFormat="false" ht="15" hidden="false" customHeight="false" outlineLevel="0" collapsed="false">
      <c r="A281" s="0" t="n">
        <v>3</v>
      </c>
      <c r="B281" s="0" t="n">
        <v>76</v>
      </c>
      <c r="C281" s="0" t="str">
        <f aca="false">IF(G281&gt;0,3076,"")</f>
        <v/>
      </c>
      <c r="D281" s="0" t="str">
        <f aca="false">Calc!$B$78</f>
        <v>PLA filament</v>
      </c>
      <c r="E281" s="0" t="str">
        <f aca="false">Calc!$A$78</f>
        <v>Computers &amp; Equipment</v>
      </c>
      <c r="F281" s="0" t="str">
        <f aca="false">Calc!$D$78</f>
        <v>Consumable</v>
      </c>
      <c r="G281" s="0" t="n">
        <f aca="false">Calc!$G$78</f>
        <v>0</v>
      </c>
    </row>
    <row r="282" customFormat="false" ht="15" hidden="false" customHeight="false" outlineLevel="0" collapsed="false">
      <c r="A282" s="0" t="n">
        <v>3</v>
      </c>
      <c r="B282" s="0" t="n">
        <v>77</v>
      </c>
      <c r="C282" s="0" t="str">
        <f aca="false">IF(G282&gt;0,3077,"")</f>
        <v/>
      </c>
      <c r="D282" s="0" t="str">
        <f aca="false">Calc!$B$79</f>
        <v>Screwdriver set</v>
      </c>
      <c r="E282" s="0" t="str">
        <f aca="false">Calc!$A$79</f>
        <v>Computers &amp; Equipment</v>
      </c>
      <c r="F282" s="0" t="str">
        <f aca="false">Calc!$D$79</f>
        <v>Reusable</v>
      </c>
      <c r="G282" s="0" t="n">
        <f aca="false">Calc!$G$79</f>
        <v>0</v>
      </c>
    </row>
    <row r="283" customFormat="false" ht="15" hidden="false" customHeight="false" outlineLevel="0" collapsed="false">
      <c r="A283" s="0" t="n">
        <v>3</v>
      </c>
      <c r="B283" s="0" t="n">
        <v>78</v>
      </c>
      <c r="C283" s="0" t="str">
        <f aca="false">IF(G283&gt;0,3078,"")</f>
        <v/>
      </c>
      <c r="D283" s="0" t="str">
        <f aca="false">Calc!$B$80</f>
        <v>Tablet</v>
      </c>
      <c r="E283" s="0" t="str">
        <f aca="false">Calc!$A$80</f>
        <v>Computers &amp; Equipment</v>
      </c>
      <c r="F283" s="0" t="str">
        <f aca="false">Calc!$D$80</f>
        <v>Reusable</v>
      </c>
      <c r="G283" s="0" t="n">
        <f aca="false">Calc!$G$80</f>
        <v>0</v>
      </c>
    </row>
    <row r="284" customFormat="false" ht="15" hidden="false" customHeight="false" outlineLevel="0" collapsed="false">
      <c r="A284" s="0" t="n">
        <v>3</v>
      </c>
      <c r="B284" s="0" t="n">
        <v>79</v>
      </c>
      <c r="C284" s="0" t="str">
        <f aca="false">IF(G284&gt;0,3079,"")</f>
        <v/>
      </c>
      <c r="D284" s="0" t="str">
        <f aca="false">Calc!$B$81</f>
        <v>Webcam</v>
      </c>
      <c r="E284" s="0" t="str">
        <f aca="false">Calc!$A$81</f>
        <v>Computers &amp; Equipment</v>
      </c>
      <c r="F284" s="0" t="str">
        <f aca="false">Calc!$D$81</f>
        <v>Reusable</v>
      </c>
      <c r="G284" s="0" t="n">
        <f aca="false">Calc!$G$81</f>
        <v>0</v>
      </c>
    </row>
    <row r="285" customFormat="false" ht="15" hidden="false" customHeight="false" outlineLevel="0" collapsed="false">
      <c r="A285" s="0" t="n">
        <v>3</v>
      </c>
      <c r="B285" s="0" t="n">
        <v>80</v>
      </c>
      <c r="C285" s="0" t="str">
        <f aca="false">IF(G285&gt;0,3080,"")</f>
        <v/>
      </c>
      <c r="D285" s="0" t="str">
        <f aca="false">Calc!$B$82</f>
        <v>Card / chart paper</v>
      </c>
      <c r="E285" s="0" t="str">
        <f aca="false">Calc!$A$82</f>
        <v>Craft &amp; Stationery</v>
      </c>
      <c r="F285" s="0" t="str">
        <f aca="false">Calc!$D$82</f>
        <v>Consumable</v>
      </c>
      <c r="G285" s="0" t="n">
        <f aca="false">Calc!$G$82</f>
        <v>0</v>
      </c>
    </row>
    <row r="286" customFormat="false" ht="15" hidden="false" customHeight="false" outlineLevel="0" collapsed="false">
      <c r="A286" s="0" t="n">
        <v>3</v>
      </c>
      <c r="B286" s="0" t="n">
        <v>81</v>
      </c>
      <c r="C286" s="0" t="str">
        <f aca="false">IF(G286&gt;0,3081,"")</f>
        <v/>
      </c>
      <c r="D286" s="0" t="str">
        <f aca="false">Calc!$B$83</f>
        <v>Cardboard sheet</v>
      </c>
      <c r="E286" s="0" t="str">
        <f aca="false">Calc!$A$83</f>
        <v>Craft &amp; Stationery</v>
      </c>
      <c r="F286" s="0" t="str">
        <f aca="false">Calc!$D$83</f>
        <v>Consumable</v>
      </c>
      <c r="G286" s="0" t="n">
        <f aca="false">Calc!$G$83</f>
        <v>0</v>
      </c>
    </row>
    <row r="287" customFormat="false" ht="15" hidden="false" customHeight="false" outlineLevel="0" collapsed="false">
      <c r="A287" s="0" t="n">
        <v>3</v>
      </c>
      <c r="B287" s="0" t="n">
        <v>82</v>
      </c>
      <c r="C287" s="0" t="str">
        <f aca="false">IF(G287&gt;0,3082,"")</f>
        <v/>
      </c>
      <c r="D287" s="0" t="str">
        <f aca="false">Calc!$B$84</f>
        <v>Conductive playdough</v>
      </c>
      <c r="E287" s="0" t="str">
        <f aca="false">Calc!$A$84</f>
        <v>Craft &amp; Stationery</v>
      </c>
      <c r="F287" s="0" t="str">
        <f aca="false">Calc!$D$84</f>
        <v>Consumable</v>
      </c>
      <c r="G287" s="0" t="n">
        <f aca="false">Calc!$G$84</f>
        <v>0</v>
      </c>
    </row>
    <row r="288" customFormat="false" ht="15" hidden="false" customHeight="false" outlineLevel="0" collapsed="false">
      <c r="A288" s="0" t="n">
        <v>3</v>
      </c>
      <c r="B288" s="0" t="n">
        <v>83</v>
      </c>
      <c r="C288" s="0" t="str">
        <f aca="false">IF(G288&gt;0,3083,"")</f>
        <v/>
      </c>
      <c r="D288" s="0" t="str">
        <f aca="false">Calc!$B$85</f>
        <v>Cork</v>
      </c>
      <c r="E288" s="0" t="str">
        <f aca="false">Calc!$A$85</f>
        <v>Craft &amp; Stationery</v>
      </c>
      <c r="F288" s="0" t="str">
        <f aca="false">Calc!$D$85</f>
        <v>Consumable</v>
      </c>
      <c r="G288" s="0" t="n">
        <f aca="false">Calc!$G$85</f>
        <v>0</v>
      </c>
    </row>
    <row r="289" customFormat="false" ht="15" hidden="false" customHeight="false" outlineLevel="0" collapsed="false">
      <c r="A289" s="0" t="n">
        <v>3</v>
      </c>
      <c r="B289" s="0" t="n">
        <v>84</v>
      </c>
      <c r="C289" s="0" t="str">
        <f aca="false">IF(G289&gt;0,3084,"")</f>
        <v/>
      </c>
      <c r="D289" s="0" t="str">
        <f aca="false">Calc!$B$86</f>
        <v>Googly eyes</v>
      </c>
      <c r="E289" s="0" t="str">
        <f aca="false">Calc!$A$86</f>
        <v>Craft &amp; Stationery</v>
      </c>
      <c r="F289" s="0" t="str">
        <f aca="false">Calc!$D$86</f>
        <v>Consumable</v>
      </c>
      <c r="G289" s="0" t="n">
        <f aca="false">Calc!$G$86</f>
        <v>0</v>
      </c>
    </row>
    <row r="290" customFormat="false" ht="15" hidden="false" customHeight="false" outlineLevel="0" collapsed="false">
      <c r="A290" s="0" t="n">
        <v>3</v>
      </c>
      <c r="B290" s="0" t="n">
        <v>85</v>
      </c>
      <c r="C290" s="0" t="str">
        <f aca="false">IF(G290&gt;0,3085,"")</f>
        <v/>
      </c>
      <c r="D290" s="0" t="str">
        <f aca="false">Calc!$B$87</f>
        <v>Ice cream sticks</v>
      </c>
      <c r="E290" s="0" t="str">
        <f aca="false">Calc!$A$87</f>
        <v>Craft &amp; Stationery</v>
      </c>
      <c r="F290" s="0" t="str">
        <f aca="false">Calc!$D$87</f>
        <v>Consumable</v>
      </c>
      <c r="G290" s="0" t="n">
        <f aca="false">Calc!$G$87</f>
        <v>0</v>
      </c>
    </row>
    <row r="291" customFormat="false" ht="15" hidden="false" customHeight="false" outlineLevel="0" collapsed="false">
      <c r="A291" s="0" t="n">
        <v>3</v>
      </c>
      <c r="B291" s="0" t="n">
        <v>86</v>
      </c>
      <c r="C291" s="0" t="str">
        <f aca="false">IF(G291&gt;0,3086,"")</f>
        <v/>
      </c>
      <c r="D291" s="0" t="str">
        <f aca="false">Calc!$B$88</f>
        <v>Markers</v>
      </c>
      <c r="E291" s="0" t="str">
        <f aca="false">Calc!$A$88</f>
        <v>Craft &amp; Stationery</v>
      </c>
      <c r="F291" s="0" t="str">
        <f aca="false">Calc!$D$88</f>
        <v>Consumable</v>
      </c>
      <c r="G291" s="0" t="n">
        <f aca="false">Calc!$G$88</f>
        <v>0</v>
      </c>
    </row>
    <row r="292" customFormat="false" ht="15" hidden="false" customHeight="false" outlineLevel="0" collapsed="false">
      <c r="A292" s="0" t="n">
        <v>3</v>
      </c>
      <c r="B292" s="0" t="n">
        <v>87</v>
      </c>
      <c r="C292" s="0" t="str">
        <f aca="false">IF(G292&gt;0,3087,"")</f>
        <v/>
      </c>
      <c r="D292" s="0" t="str">
        <f aca="false">Calc!$B$89</f>
        <v>Plant pot with soil</v>
      </c>
      <c r="E292" s="0" t="str">
        <f aca="false">Calc!$A$89</f>
        <v>Craft &amp; Stationery</v>
      </c>
      <c r="F292" s="0" t="str">
        <f aca="false">Calc!$D$89</f>
        <v>Consumable</v>
      </c>
      <c r="G292" s="0" t="n">
        <f aca="false">Calc!$G$89</f>
        <v>0</v>
      </c>
    </row>
    <row r="293" customFormat="false" ht="15" hidden="false" customHeight="false" outlineLevel="0" collapsed="false">
      <c r="A293" s="0" t="n">
        <v>3</v>
      </c>
      <c r="B293" s="0" t="n">
        <v>88</v>
      </c>
      <c r="C293" s="0" t="str">
        <f aca="false">IF(G293&gt;0,3088,"")</f>
        <v/>
      </c>
      <c r="D293" s="0" t="str">
        <f aca="false">Calc!$B$90</f>
        <v>Plastic or paper cup</v>
      </c>
      <c r="E293" s="0" t="str">
        <f aca="false">Calc!$A$90</f>
        <v>Craft &amp; Stationery</v>
      </c>
      <c r="F293" s="0" t="str">
        <f aca="false">Calc!$D$90</f>
        <v>Consumable</v>
      </c>
      <c r="G293" s="0" t="n">
        <f aca="false">Calc!$G$90</f>
        <v>0</v>
      </c>
    </row>
    <row r="294" customFormat="false" ht="15" hidden="false" customHeight="false" outlineLevel="0" collapsed="false">
      <c r="A294" s="0" t="n">
        <v>3</v>
      </c>
      <c r="B294" s="0" t="n">
        <v>89</v>
      </c>
      <c r="C294" s="0" t="str">
        <f aca="false">IF(G294&gt;0,3089,"")</f>
        <v/>
      </c>
      <c r="D294" s="0" t="str">
        <f aca="false">Calc!$B$91</f>
        <v>Printed templates</v>
      </c>
      <c r="E294" s="0" t="str">
        <f aca="false">Calc!$A$91</f>
        <v>Craft &amp; Stationery</v>
      </c>
      <c r="F294" s="0" t="str">
        <f aca="false">Calc!$D$91</f>
        <v>Consumable</v>
      </c>
      <c r="G294" s="0" t="n">
        <f aca="false">Calc!$G$91</f>
        <v>0</v>
      </c>
    </row>
    <row r="295" customFormat="false" ht="15" hidden="false" customHeight="false" outlineLevel="0" collapsed="false">
      <c r="A295" s="0" t="n">
        <v>3</v>
      </c>
      <c r="B295" s="0" t="n">
        <v>90</v>
      </c>
      <c r="C295" s="0" t="str">
        <f aca="false">IF(G295&gt;0,3090,"")</f>
        <v/>
      </c>
      <c r="D295" s="0" t="str">
        <f aca="false">Calc!$B$92</f>
        <v>Split pins (paper fasteners)</v>
      </c>
      <c r="E295" s="0" t="str">
        <f aca="false">Calc!$A$92</f>
        <v>Craft &amp; Stationery</v>
      </c>
      <c r="F295" s="0" t="str">
        <f aca="false">Calc!$D$92</f>
        <v>Consumable</v>
      </c>
      <c r="G295" s="0" t="n">
        <f aca="false">Calc!$G$92</f>
        <v>0</v>
      </c>
    </row>
    <row r="296" customFormat="false" ht="15" hidden="false" customHeight="false" outlineLevel="0" collapsed="false">
      <c r="A296" s="0" t="n">
        <v>3</v>
      </c>
      <c r="B296" s="0" t="n">
        <v>91</v>
      </c>
      <c r="C296" s="0" t="str">
        <f aca="false">IF(G296&gt;0,3091,"")</f>
        <v/>
      </c>
      <c r="D296" s="0" t="str">
        <f aca="false">Calc!$B$93</f>
        <v>Straws</v>
      </c>
      <c r="E296" s="0" t="str">
        <f aca="false">Calc!$A$93</f>
        <v>Craft &amp; Stationery</v>
      </c>
      <c r="F296" s="0" t="str">
        <f aca="false">Calc!$D$93</f>
        <v>Consumable</v>
      </c>
      <c r="G296" s="0" t="n">
        <f aca="false">Calc!$G$93</f>
        <v>0</v>
      </c>
    </row>
    <row r="297" customFormat="false" ht="15" hidden="false" customHeight="false" outlineLevel="0" collapsed="false">
      <c r="A297" s="0" t="n">
        <v>3</v>
      </c>
      <c r="B297" s="0" t="n">
        <v>92</v>
      </c>
      <c r="C297" s="0" t="str">
        <f aca="false">IF(G297&gt;0,3092,"")</f>
        <v/>
      </c>
      <c r="D297" s="0" t="str">
        <f aca="false">Calc!$B$94</f>
        <v>Tape (paper + double-sided)</v>
      </c>
      <c r="E297" s="0" t="str">
        <f aca="false">Calc!$A$94</f>
        <v>Craft &amp; Stationery</v>
      </c>
      <c r="F297" s="0" t="str">
        <f aca="false">Calc!$D$94</f>
        <v>Consumable</v>
      </c>
      <c r="G297" s="0" t="n">
        <f aca="false">Calc!$G$94</f>
        <v>0</v>
      </c>
    </row>
    <row r="298" customFormat="false" ht="15" hidden="false" customHeight="false" outlineLevel="0" collapsed="false">
      <c r="A298" s="0" t="n">
        <v>3</v>
      </c>
      <c r="B298" s="0" t="n">
        <v>93</v>
      </c>
      <c r="C298" s="0" t="str">
        <f aca="false">IF(G298&gt;0,3093,"")</f>
        <v/>
      </c>
      <c r="D298" s="0" t="str">
        <f aca="false">Calc!$B$95</f>
        <v>Water container</v>
      </c>
      <c r="E298" s="0" t="str">
        <f aca="false">Calc!$A$95</f>
        <v>Craft &amp; Stationery</v>
      </c>
      <c r="F298" s="0" t="str">
        <f aca="false">Calc!$D$95</f>
        <v>Reusable</v>
      </c>
      <c r="G298" s="0" t="n">
        <f aca="false">Calc!$G$95</f>
        <v>0</v>
      </c>
    </row>
    <row r="299" customFormat="false" ht="15" hidden="false" customHeight="false" outlineLevel="0" collapsed="false">
      <c r="A299" s="0" t="n">
        <v>3</v>
      </c>
      <c r="B299" s="0" t="n">
        <v>94</v>
      </c>
      <c r="C299" s="0" t="str">
        <f aca="false">IF(G299&gt;0,3094,"")</f>
        <v/>
      </c>
      <c r="D299" s="0" t="str">
        <f aca="false">Calc!$B$96</f>
        <v>Wooden skewers</v>
      </c>
      <c r="E299" s="0" t="str">
        <f aca="false">Calc!$A$96</f>
        <v>Craft &amp; Stationery</v>
      </c>
      <c r="F299" s="0" t="str">
        <f aca="false">Calc!$D$96</f>
        <v>Consumable</v>
      </c>
      <c r="G299" s="0" t="n">
        <f aca="false">Calc!$G$96</f>
        <v>0</v>
      </c>
    </row>
    <row r="300" customFormat="false" ht="15" hidden="false" customHeight="false" outlineLevel="0" collapsed="false">
      <c r="A300" s="0" t="n">
        <v>3</v>
      </c>
      <c r="B300" s="0" t="n">
        <v>95</v>
      </c>
      <c r="C300" s="0" t="str">
        <f aca="false">IF(G300&gt;0,3095,"")</f>
        <v/>
      </c>
      <c r="D300" s="0" t="str">
        <f aca="false">Calc!$B$97</f>
        <v>Candle</v>
      </c>
      <c r="E300" s="0" t="str">
        <f aca="false">Calc!$A$97</f>
        <v>Science Consumables</v>
      </c>
      <c r="F300" s="0" t="str">
        <f aca="false">Calc!$D$97</f>
        <v>Consumable</v>
      </c>
      <c r="G300" s="0" t="n">
        <f aca="false">Calc!$G$97</f>
        <v>0</v>
      </c>
    </row>
    <row r="301" customFormat="false" ht="15" hidden="false" customHeight="false" outlineLevel="0" collapsed="false">
      <c r="A301" s="0" t="n">
        <v>3</v>
      </c>
      <c r="B301" s="0" t="n">
        <v>96</v>
      </c>
      <c r="C301" s="0" t="str">
        <f aca="false">IF(G301&gt;0,3096,"")</f>
        <v/>
      </c>
      <c r="D301" s="0" t="str">
        <f aca="false">Calc!$B$98</f>
        <v>Copper coins</v>
      </c>
      <c r="E301" s="0" t="str">
        <f aca="false">Calc!$A$98</f>
        <v>Science Consumables</v>
      </c>
      <c r="F301" s="0" t="str">
        <f aca="false">Calc!$D$98</f>
        <v>Reusable</v>
      </c>
      <c r="G301" s="0" t="n">
        <f aca="false">Calc!$G$98</f>
        <v>0</v>
      </c>
    </row>
    <row r="302" customFormat="false" ht="15" hidden="false" customHeight="false" outlineLevel="0" collapsed="false">
      <c r="A302" s="0" t="n">
        <v>3</v>
      </c>
      <c r="B302" s="0" t="n">
        <v>97</v>
      </c>
      <c r="C302" s="0" t="str">
        <f aca="false">IF(G302&gt;0,3097,"")</f>
        <v/>
      </c>
      <c r="D302" s="0" t="str">
        <f aca="false">Calc!$B$99</f>
        <v>Fruits (bananas etc.)</v>
      </c>
      <c r="E302" s="0" t="str">
        <f aca="false">Calc!$A$99</f>
        <v>Science Consumables</v>
      </c>
      <c r="F302" s="0" t="str">
        <f aca="false">Calc!$D$99</f>
        <v>Consumable</v>
      </c>
      <c r="G302" s="0" t="n">
        <f aca="false">Calc!$G$99</f>
        <v>0</v>
      </c>
    </row>
    <row r="303" customFormat="false" ht="15" hidden="false" customHeight="false" outlineLevel="0" collapsed="false">
      <c r="A303" s="0" t="n">
        <v>3</v>
      </c>
      <c r="B303" s="0" t="n">
        <v>98</v>
      </c>
      <c r="C303" s="0" t="str">
        <f aca="false">IF(G303&gt;0,3098,"")</f>
        <v/>
      </c>
      <c r="D303" s="0" t="str">
        <f aca="false">Calc!$B$100</f>
        <v>Galvanized nails</v>
      </c>
      <c r="E303" s="0" t="str">
        <f aca="false">Calc!$A$100</f>
        <v>Science Consumables</v>
      </c>
      <c r="F303" s="0" t="str">
        <f aca="false">Calc!$D$100</f>
        <v>Consumable</v>
      </c>
      <c r="G303" s="0" t="n">
        <f aca="false">Calc!$G$100</f>
        <v>0</v>
      </c>
    </row>
    <row r="304" customFormat="false" ht="15" hidden="false" customHeight="false" outlineLevel="0" collapsed="false">
      <c r="A304" s="0" t="n">
        <v>3</v>
      </c>
      <c r="B304" s="0" t="n">
        <v>99</v>
      </c>
      <c r="C304" s="0" t="str">
        <f aca="false">IF(G304&gt;0,3099,"")</f>
        <v/>
      </c>
      <c r="D304" s="0" t="str">
        <f aca="false">Calc!$B$101</f>
        <v>Lemons</v>
      </c>
      <c r="E304" s="0" t="str">
        <f aca="false">Calc!$A$101</f>
        <v>Science Consumables</v>
      </c>
      <c r="F304" s="0" t="str">
        <f aca="false">Calc!$D$101</f>
        <v>Consumable</v>
      </c>
      <c r="G304" s="0" t="n">
        <f aca="false">Calc!$G$101</f>
        <v>0</v>
      </c>
    </row>
    <row r="305" customFormat="false" ht="15" hidden="false" customHeight="false" outlineLevel="0" collapsed="false">
      <c r="A305" s="0" t="n">
        <v>3</v>
      </c>
      <c r="B305" s="0" t="n">
        <v>999</v>
      </c>
      <c r="C305" s="0" t="str">
        <f aca="false">IF(SUM(Calc!$G$3:$G$101)&gt;0,3999,"")</f>
        <v/>
      </c>
    </row>
    <row r="306" customFormat="false" ht="15" hidden="false" customHeight="false" outlineLevel="0" collapsed="false">
      <c r="A306" s="0" t="n">
        <v>4</v>
      </c>
      <c r="B306" s="0" t="n">
        <v>0</v>
      </c>
      <c r="C306" s="0" t="str">
        <f aca="false">IF(SUM(Calc!$H$3:$H$101)&gt;0,4000,"")</f>
        <v/>
      </c>
      <c r="D306" s="0" t="str">
        <f aca="false">"THURSDAY"&amp;IF('This Week''s Hardware'!$C$3="",""," "&amp;TEXT('This Week''s Hardware'!$C$3+3,"dd-mmm"))</f>
        <v>THURSDAY</v>
      </c>
      <c r="E306" s="0" t="str">
        <f aca="false">COUNTIFS('Session Tracker'!$F$5:$F$149,"Next week",'Session Tracker'!$G$5:$G$149,"Thu")&amp;" session(s)"</f>
        <v>0 session(s)</v>
      </c>
    </row>
    <row r="307" customFormat="false" ht="15" hidden="false" customHeight="false" outlineLevel="0" collapsed="false">
      <c r="A307" s="0" t="n">
        <v>4</v>
      </c>
      <c r="B307" s="0" t="n">
        <v>1</v>
      </c>
      <c r="C307" s="0" t="str">
        <f aca="false">IF(G307&gt;0,4001,"")</f>
        <v/>
      </c>
      <c r="D307" s="0" t="str">
        <f aca="false">Calc!$B$3</f>
        <v>Arduino Uno + USB cable</v>
      </c>
      <c r="E307" s="0" t="str">
        <f aca="false">Calc!$A$3</f>
        <v>Microcontrollers &amp; Dev Boards</v>
      </c>
      <c r="F307" s="0" t="str">
        <f aca="false">Calc!$D$3</f>
        <v>Reusable</v>
      </c>
      <c r="G307" s="0" t="n">
        <f aca="false">Calc!$H$3</f>
        <v>0</v>
      </c>
    </row>
    <row r="308" customFormat="false" ht="15" hidden="false" customHeight="false" outlineLevel="0" collapsed="false">
      <c r="A308" s="0" t="n">
        <v>4</v>
      </c>
      <c r="B308" s="0" t="n">
        <v>2</v>
      </c>
      <c r="C308" s="0" t="str">
        <f aca="false">IF(G308&gt;0,4002,"")</f>
        <v/>
      </c>
      <c r="D308" s="0" t="str">
        <f aca="false">Calc!$B$4</f>
        <v>ESP32 Dev Board + USB cable</v>
      </c>
      <c r="E308" s="0" t="str">
        <f aca="false">Calc!$A$4</f>
        <v>Microcontrollers &amp; Dev Boards</v>
      </c>
      <c r="F308" s="0" t="str">
        <f aca="false">Calc!$D$4</f>
        <v>Reusable</v>
      </c>
      <c r="G308" s="0" t="n">
        <f aca="false">Calc!$H$4</f>
        <v>0</v>
      </c>
    </row>
    <row r="309" customFormat="false" ht="15" hidden="false" customHeight="false" outlineLevel="0" collapsed="false">
      <c r="A309" s="0" t="n">
        <v>4</v>
      </c>
      <c r="B309" s="0" t="n">
        <v>3</v>
      </c>
      <c r="C309" s="0" t="str">
        <f aca="false">IF(G309&gt;0,4003,"")</f>
        <v/>
      </c>
      <c r="D309" s="0" t="str">
        <f aca="false">Calc!$B$5</f>
        <v>ESP32-CAM + programmer</v>
      </c>
      <c r="E309" s="0" t="str">
        <f aca="false">Calc!$A$5</f>
        <v>Microcontrollers &amp; Dev Boards</v>
      </c>
      <c r="F309" s="0" t="str">
        <f aca="false">Calc!$D$5</f>
        <v>Reusable</v>
      </c>
      <c r="G309" s="0" t="n">
        <f aca="false">Calc!$H$5</f>
        <v>0</v>
      </c>
    </row>
    <row r="310" customFormat="false" ht="15" hidden="false" customHeight="false" outlineLevel="0" collapsed="false">
      <c r="A310" s="0" t="n">
        <v>4</v>
      </c>
      <c r="B310" s="0" t="n">
        <v>4</v>
      </c>
      <c r="C310" s="0" t="str">
        <f aca="false">IF(G310&gt;0,4004,"")</f>
        <v/>
      </c>
      <c r="D310" s="0" t="str">
        <f aca="false">Calc!$B$6</f>
        <v>Makey Makey kit</v>
      </c>
      <c r="E310" s="0" t="str">
        <f aca="false">Calc!$A$6</f>
        <v>Microcontrollers &amp; Dev Boards</v>
      </c>
      <c r="F310" s="0" t="str">
        <f aca="false">Calc!$D$6</f>
        <v>Reusable</v>
      </c>
      <c r="G310" s="0" t="n">
        <f aca="false">Calc!$H$6</f>
        <v>0</v>
      </c>
    </row>
    <row r="311" customFormat="false" ht="15" hidden="false" customHeight="false" outlineLevel="0" collapsed="false">
      <c r="A311" s="0" t="n">
        <v>4</v>
      </c>
      <c r="B311" s="0" t="n">
        <v>5</v>
      </c>
      <c r="C311" s="0" t="str">
        <f aca="false">IF(G311&gt;0,4005,"")</f>
        <v/>
      </c>
      <c r="D311" s="0" t="str">
        <f aca="false">Calc!$B$7</f>
        <v>2WD robot chassis kit</v>
      </c>
      <c r="E311" s="0" t="str">
        <f aca="false">Calc!$A$7</f>
        <v>Robot Platforms &amp; Kits</v>
      </c>
      <c r="F311" s="0" t="str">
        <f aca="false">Calc!$D$7</f>
        <v>Reusable</v>
      </c>
      <c r="G311" s="0" t="n">
        <f aca="false">Calc!$H$7</f>
        <v>0</v>
      </c>
    </row>
    <row r="312" customFormat="false" ht="15" hidden="false" customHeight="false" outlineLevel="0" collapsed="false">
      <c r="A312" s="0" t="n">
        <v>4</v>
      </c>
      <c r="B312" s="0" t="n">
        <v>6</v>
      </c>
      <c r="C312" s="0" t="str">
        <f aca="false">IF(G312&gt;0,4006,"")</f>
        <v/>
      </c>
      <c r="D312" s="0" t="str">
        <f aca="false">Calc!$B$8</f>
        <v>4WD robot car (assembled, L298N)</v>
      </c>
      <c r="E312" s="0" t="str">
        <f aca="false">Calc!$A$8</f>
        <v>Robot Platforms &amp; Kits</v>
      </c>
      <c r="F312" s="0" t="str">
        <f aca="false">Calc!$D$8</f>
        <v>Reusable</v>
      </c>
      <c r="G312" s="0" t="n">
        <f aca="false">Calc!$H$8</f>
        <v>0</v>
      </c>
    </row>
    <row r="313" customFormat="false" ht="15" hidden="false" customHeight="false" outlineLevel="0" collapsed="false">
      <c r="A313" s="0" t="n">
        <v>4</v>
      </c>
      <c r="B313" s="0" t="n">
        <v>7</v>
      </c>
      <c r="C313" s="0" t="str">
        <f aca="false">IF(G313&gt;0,4007,"")</f>
        <v/>
      </c>
      <c r="D313" s="0" t="str">
        <f aca="false">Calc!$B$9</f>
        <v>Brush Bot kit</v>
      </c>
      <c r="E313" s="0" t="str">
        <f aca="false">Calc!$A$9</f>
        <v>Robot Platforms &amp; Kits</v>
      </c>
      <c r="F313" s="0" t="str">
        <f aca="false">Calc!$D$9</f>
        <v>Consumable</v>
      </c>
      <c r="G313" s="0" t="n">
        <f aca="false">Calc!$H$9</f>
        <v>0</v>
      </c>
    </row>
    <row r="314" customFormat="false" ht="15" hidden="false" customHeight="false" outlineLevel="0" collapsed="false">
      <c r="A314" s="0" t="n">
        <v>4</v>
      </c>
      <c r="B314" s="0" t="n">
        <v>8</v>
      </c>
      <c r="C314" s="0" t="str">
        <f aca="false">IF(G314&gt;0,4008,"")</f>
        <v/>
      </c>
      <c r="D314" s="0" t="str">
        <f aca="false">Calc!$B$10</f>
        <v>Colour sensor TCS34725</v>
      </c>
      <c r="E314" s="0" t="str">
        <f aca="false">Calc!$A$10</f>
        <v>Sensors</v>
      </c>
      <c r="F314" s="0" t="str">
        <f aca="false">Calc!$D$10</f>
        <v>Reusable</v>
      </c>
      <c r="G314" s="0" t="n">
        <f aca="false">Calc!$H$10</f>
        <v>0</v>
      </c>
    </row>
    <row r="315" customFormat="false" ht="15" hidden="false" customHeight="false" outlineLevel="0" collapsed="false">
      <c r="A315" s="0" t="n">
        <v>4</v>
      </c>
      <c r="B315" s="0" t="n">
        <v>9</v>
      </c>
      <c r="C315" s="0" t="str">
        <f aca="false">IF(G315&gt;0,4009,"")</f>
        <v/>
      </c>
      <c r="D315" s="0" t="str">
        <f aca="false">Calc!$B$11</f>
        <v>Current sensor INA219</v>
      </c>
      <c r="E315" s="0" t="str">
        <f aca="false">Calc!$A$11</f>
        <v>Sensors</v>
      </c>
      <c r="F315" s="0" t="str">
        <f aca="false">Calc!$D$11</f>
        <v>Reusable</v>
      </c>
      <c r="G315" s="0" t="n">
        <f aca="false">Calc!$H$11</f>
        <v>0</v>
      </c>
    </row>
    <row r="316" customFormat="false" ht="15" hidden="false" customHeight="false" outlineLevel="0" collapsed="false">
      <c r="A316" s="0" t="n">
        <v>4</v>
      </c>
      <c r="B316" s="0" t="n">
        <v>10</v>
      </c>
      <c r="C316" s="0" t="str">
        <f aca="false">IF(G316&gt;0,4010,"")</f>
        <v/>
      </c>
      <c r="D316" s="0" t="str">
        <f aca="false">Calc!$B$12</f>
        <v>DHT22 sensor</v>
      </c>
      <c r="E316" s="0" t="str">
        <f aca="false">Calc!$A$12</f>
        <v>Sensors</v>
      </c>
      <c r="F316" s="0" t="str">
        <f aca="false">Calc!$D$12</f>
        <v>Reusable</v>
      </c>
      <c r="G316" s="0" t="n">
        <f aca="false">Calc!$H$12</f>
        <v>0</v>
      </c>
    </row>
    <row r="317" customFormat="false" ht="15" hidden="false" customHeight="false" outlineLevel="0" collapsed="false">
      <c r="A317" s="0" t="n">
        <v>4</v>
      </c>
      <c r="B317" s="0" t="n">
        <v>11</v>
      </c>
      <c r="C317" s="0" t="str">
        <f aca="false">IF(G317&gt;0,4011,"")</f>
        <v/>
      </c>
      <c r="D317" s="0" t="str">
        <f aca="false">Calc!$B$13</f>
        <v>Flame sensor</v>
      </c>
      <c r="E317" s="0" t="str">
        <f aca="false">Calc!$A$13</f>
        <v>Sensors</v>
      </c>
      <c r="F317" s="0" t="str">
        <f aca="false">Calc!$D$13</f>
        <v>Reusable</v>
      </c>
      <c r="G317" s="0" t="n">
        <f aca="false">Calc!$H$13</f>
        <v>0</v>
      </c>
    </row>
    <row r="318" customFormat="false" ht="15" hidden="false" customHeight="false" outlineLevel="0" collapsed="false">
      <c r="A318" s="0" t="n">
        <v>4</v>
      </c>
      <c r="B318" s="0" t="n">
        <v>12</v>
      </c>
      <c r="C318" s="0" t="str">
        <f aca="false">IF(G318&gt;0,4012,"")</f>
        <v/>
      </c>
      <c r="D318" s="0" t="str">
        <f aca="false">Calc!$B$14</f>
        <v>IR sensor module</v>
      </c>
      <c r="E318" s="0" t="str">
        <f aca="false">Calc!$A$14</f>
        <v>Sensors</v>
      </c>
      <c r="F318" s="0" t="str">
        <f aca="false">Calc!$D$14</f>
        <v>Reusable</v>
      </c>
      <c r="G318" s="0" t="n">
        <f aca="false">Calc!$H$14</f>
        <v>0</v>
      </c>
    </row>
    <row r="319" customFormat="false" ht="15" hidden="false" customHeight="false" outlineLevel="0" collapsed="false">
      <c r="A319" s="0" t="n">
        <v>4</v>
      </c>
      <c r="B319" s="0" t="n">
        <v>13</v>
      </c>
      <c r="C319" s="0" t="str">
        <f aca="false">IF(G319&gt;0,4013,"")</f>
        <v/>
      </c>
      <c r="D319" s="0" t="str">
        <f aca="false">Calc!$B$15</f>
        <v>Joystick module</v>
      </c>
      <c r="E319" s="0" t="str">
        <f aca="false">Calc!$A$15</f>
        <v>Sensors</v>
      </c>
      <c r="F319" s="0" t="str">
        <f aca="false">Calc!$D$15</f>
        <v>Reusable</v>
      </c>
      <c r="G319" s="0" t="n">
        <f aca="false">Calc!$H$15</f>
        <v>0</v>
      </c>
    </row>
    <row r="320" customFormat="false" ht="15" hidden="false" customHeight="false" outlineLevel="0" collapsed="false">
      <c r="A320" s="0" t="n">
        <v>4</v>
      </c>
      <c r="B320" s="0" t="n">
        <v>14</v>
      </c>
      <c r="C320" s="0" t="str">
        <f aca="false">IF(G320&gt;0,4014,"")</f>
        <v/>
      </c>
      <c r="D320" s="0" t="str">
        <f aca="false">Calc!$B$16</f>
        <v>LDR module</v>
      </c>
      <c r="E320" s="0" t="str">
        <f aca="false">Calc!$A$16</f>
        <v>Sensors</v>
      </c>
      <c r="F320" s="0" t="str">
        <f aca="false">Calc!$D$16</f>
        <v>Reusable</v>
      </c>
      <c r="G320" s="0" t="n">
        <f aca="false">Calc!$H$16</f>
        <v>0</v>
      </c>
    </row>
    <row r="321" customFormat="false" ht="15" hidden="false" customHeight="false" outlineLevel="0" collapsed="false">
      <c r="A321" s="0" t="n">
        <v>4</v>
      </c>
      <c r="B321" s="0" t="n">
        <v>15</v>
      </c>
      <c r="C321" s="0" t="str">
        <f aca="false">IF(G321&gt;0,4015,"")</f>
        <v/>
      </c>
      <c r="D321" s="0" t="str">
        <f aca="false">Calc!$B$17</f>
        <v>Load cell 5 kg + HX711</v>
      </c>
      <c r="E321" s="0" t="str">
        <f aca="false">Calc!$A$17</f>
        <v>Sensors</v>
      </c>
      <c r="F321" s="0" t="str">
        <f aca="false">Calc!$D$17</f>
        <v>Reusable</v>
      </c>
      <c r="G321" s="0" t="n">
        <f aca="false">Calc!$H$17</f>
        <v>0</v>
      </c>
    </row>
    <row r="322" customFormat="false" ht="15" hidden="false" customHeight="false" outlineLevel="0" collapsed="false">
      <c r="A322" s="0" t="n">
        <v>4</v>
      </c>
      <c r="B322" s="0" t="n">
        <v>16</v>
      </c>
      <c r="C322" s="0" t="str">
        <f aca="false">IF(G322&gt;0,4016,"")</f>
        <v/>
      </c>
      <c r="D322" s="0" t="str">
        <f aca="false">Calc!$B$18</f>
        <v>MPU6050 IMU</v>
      </c>
      <c r="E322" s="0" t="str">
        <f aca="false">Calc!$A$18</f>
        <v>Sensors</v>
      </c>
      <c r="F322" s="0" t="str">
        <f aca="false">Calc!$D$18</f>
        <v>Reusable</v>
      </c>
      <c r="G322" s="0" t="n">
        <f aca="false">Calc!$H$18</f>
        <v>0</v>
      </c>
    </row>
    <row r="323" customFormat="false" ht="15" hidden="false" customHeight="false" outlineLevel="0" collapsed="false">
      <c r="A323" s="0" t="n">
        <v>4</v>
      </c>
      <c r="B323" s="0" t="n">
        <v>17</v>
      </c>
      <c r="C323" s="0" t="str">
        <f aca="false">IF(G323&gt;0,4017,"")</f>
        <v/>
      </c>
      <c r="D323" s="0" t="str">
        <f aca="false">Calc!$B$19</f>
        <v>MQ-2 gas sensor</v>
      </c>
      <c r="E323" s="0" t="str">
        <f aca="false">Calc!$A$19</f>
        <v>Sensors</v>
      </c>
      <c r="F323" s="0" t="str">
        <f aca="false">Calc!$D$19</f>
        <v>Reusable</v>
      </c>
      <c r="G323" s="0" t="n">
        <f aca="false">Calc!$H$19</f>
        <v>0</v>
      </c>
    </row>
    <row r="324" customFormat="false" ht="15" hidden="false" customHeight="false" outlineLevel="0" collapsed="false">
      <c r="A324" s="0" t="n">
        <v>4</v>
      </c>
      <c r="B324" s="0" t="n">
        <v>18</v>
      </c>
      <c r="C324" s="0" t="str">
        <f aca="false">IF(G324&gt;0,4018,"")</f>
        <v/>
      </c>
      <c r="D324" s="0" t="str">
        <f aca="false">Calc!$B$20</f>
        <v>PIR motion sensor</v>
      </c>
      <c r="E324" s="0" t="str">
        <f aca="false">Calc!$A$20</f>
        <v>Sensors</v>
      </c>
      <c r="F324" s="0" t="str">
        <f aca="false">Calc!$D$20</f>
        <v>Reusable</v>
      </c>
      <c r="G324" s="0" t="n">
        <f aca="false">Calc!$H$20</f>
        <v>0</v>
      </c>
    </row>
    <row r="325" customFormat="false" ht="15" hidden="false" customHeight="false" outlineLevel="0" collapsed="false">
      <c r="A325" s="0" t="n">
        <v>4</v>
      </c>
      <c r="B325" s="0" t="n">
        <v>19</v>
      </c>
      <c r="C325" s="0" t="str">
        <f aca="false">IF(G325&gt;0,4019,"")</f>
        <v/>
      </c>
      <c r="D325" s="0" t="str">
        <f aca="false">Calc!$B$21</f>
        <v>Pulse sensor</v>
      </c>
      <c r="E325" s="0" t="str">
        <f aca="false">Calc!$A$21</f>
        <v>Sensors</v>
      </c>
      <c r="F325" s="0" t="str">
        <f aca="false">Calc!$D$21</f>
        <v>Reusable</v>
      </c>
      <c r="G325" s="0" t="n">
        <f aca="false">Calc!$H$21</f>
        <v>0</v>
      </c>
    </row>
    <row r="326" customFormat="false" ht="15" hidden="false" customHeight="false" outlineLevel="0" collapsed="false">
      <c r="A326" s="0" t="n">
        <v>4</v>
      </c>
      <c r="B326" s="0" t="n">
        <v>20</v>
      </c>
      <c r="C326" s="0" t="str">
        <f aca="false">IF(G326&gt;0,4020,"")</f>
        <v/>
      </c>
      <c r="D326" s="0" t="str">
        <f aca="false">Calc!$B$22</f>
        <v>Rain sensor</v>
      </c>
      <c r="E326" s="0" t="str">
        <f aca="false">Calc!$A$22</f>
        <v>Sensors</v>
      </c>
      <c r="F326" s="0" t="str">
        <f aca="false">Calc!$D$22</f>
        <v>Reusable</v>
      </c>
      <c r="G326" s="0" t="n">
        <f aca="false">Calc!$H$22</f>
        <v>0</v>
      </c>
    </row>
    <row r="327" customFormat="false" ht="15" hidden="false" customHeight="false" outlineLevel="0" collapsed="false">
      <c r="A327" s="0" t="n">
        <v>4</v>
      </c>
      <c r="B327" s="0" t="n">
        <v>21</v>
      </c>
      <c r="C327" s="0" t="str">
        <f aca="false">IF(G327&gt;0,4021,"")</f>
        <v/>
      </c>
      <c r="D327" s="0" t="str">
        <f aca="false">Calc!$B$23</f>
        <v>Soil moisture sensor</v>
      </c>
      <c r="E327" s="0" t="str">
        <f aca="false">Calc!$A$23</f>
        <v>Sensors</v>
      </c>
      <c r="F327" s="0" t="str">
        <f aca="false">Calc!$D$23</f>
        <v>Reusable</v>
      </c>
      <c r="G327" s="0" t="n">
        <f aca="false">Calc!$H$23</f>
        <v>0</v>
      </c>
    </row>
    <row r="328" customFormat="false" ht="15" hidden="false" customHeight="false" outlineLevel="0" collapsed="false">
      <c r="A328" s="0" t="n">
        <v>4</v>
      </c>
      <c r="B328" s="0" t="n">
        <v>22</v>
      </c>
      <c r="C328" s="0" t="str">
        <f aca="false">IF(G328&gt;0,4022,"")</f>
        <v/>
      </c>
      <c r="D328" s="0" t="str">
        <f aca="false">Calc!$B$24</f>
        <v>Sound sensor KY-037</v>
      </c>
      <c r="E328" s="0" t="str">
        <f aca="false">Calc!$A$24</f>
        <v>Sensors</v>
      </c>
      <c r="F328" s="0" t="str">
        <f aca="false">Calc!$D$24</f>
        <v>Reusable</v>
      </c>
      <c r="G328" s="0" t="n">
        <f aca="false">Calc!$H$24</f>
        <v>0</v>
      </c>
    </row>
    <row r="329" customFormat="false" ht="15" hidden="false" customHeight="false" outlineLevel="0" collapsed="false">
      <c r="A329" s="0" t="n">
        <v>4</v>
      </c>
      <c r="B329" s="0" t="n">
        <v>23</v>
      </c>
      <c r="C329" s="0" t="str">
        <f aca="false">IF(G329&gt;0,4023,"")</f>
        <v/>
      </c>
      <c r="D329" s="0" t="str">
        <f aca="false">Calc!$B$25</f>
        <v>Ultrasonic sensor HC-SR04</v>
      </c>
      <c r="E329" s="0" t="str">
        <f aca="false">Calc!$A$25</f>
        <v>Sensors</v>
      </c>
      <c r="F329" s="0" t="str">
        <f aca="false">Calc!$D$25</f>
        <v>Reusable</v>
      </c>
      <c r="G329" s="0" t="n">
        <f aca="false">Calc!$H$25</f>
        <v>0</v>
      </c>
    </row>
    <row r="330" customFormat="false" ht="15" hidden="false" customHeight="false" outlineLevel="0" collapsed="false">
      <c r="A330" s="0" t="n">
        <v>4</v>
      </c>
      <c r="B330" s="0" t="n">
        <v>24</v>
      </c>
      <c r="C330" s="0" t="str">
        <f aca="false">IF(G330&gt;0,4024,"")</f>
        <v/>
      </c>
      <c r="D330" s="0" t="str">
        <f aca="false">Calc!$B$26</f>
        <v>4x4 matrix keypad</v>
      </c>
      <c r="E330" s="0" t="str">
        <f aca="false">Calc!$A$26</f>
        <v>Security &amp; Identification</v>
      </c>
      <c r="F330" s="0" t="str">
        <f aca="false">Calc!$D$26</f>
        <v>Reusable</v>
      </c>
      <c r="G330" s="0" t="n">
        <f aca="false">Calc!$H$26</f>
        <v>0</v>
      </c>
    </row>
    <row r="331" customFormat="false" ht="15" hidden="false" customHeight="false" outlineLevel="0" collapsed="false">
      <c r="A331" s="0" t="n">
        <v>4</v>
      </c>
      <c r="B331" s="0" t="n">
        <v>25</v>
      </c>
      <c r="C331" s="0" t="str">
        <f aca="false">IF(G331&gt;0,4025,"")</f>
        <v/>
      </c>
      <c r="D331" s="0" t="str">
        <f aca="false">Calc!$B$27</f>
        <v>RFID RC522 + cards</v>
      </c>
      <c r="E331" s="0" t="str">
        <f aca="false">Calc!$A$27</f>
        <v>Security &amp; Identification</v>
      </c>
      <c r="F331" s="0" t="str">
        <f aca="false">Calc!$D$27</f>
        <v>Reusable</v>
      </c>
      <c r="G331" s="0" t="n">
        <f aca="false">Calc!$H$27</f>
        <v>0</v>
      </c>
    </row>
    <row r="332" customFormat="false" ht="15" hidden="false" customHeight="false" outlineLevel="0" collapsed="false">
      <c r="A332" s="0" t="n">
        <v>4</v>
      </c>
      <c r="B332" s="0" t="n">
        <v>26</v>
      </c>
      <c r="C332" s="0" t="str">
        <f aca="false">IF(G332&gt;0,4026,"")</f>
        <v/>
      </c>
      <c r="D332" s="0" t="str">
        <f aca="false">Calc!$B$28</f>
        <v>Bluetooth module HC-05</v>
      </c>
      <c r="E332" s="0" t="str">
        <f aca="false">Calc!$A$28</f>
        <v>Communication Modules</v>
      </c>
      <c r="F332" s="0" t="str">
        <f aca="false">Calc!$D$28</f>
        <v>Reusable</v>
      </c>
      <c r="G332" s="0" t="n">
        <f aca="false">Calc!$H$28</f>
        <v>0</v>
      </c>
    </row>
    <row r="333" customFormat="false" ht="15" hidden="false" customHeight="false" outlineLevel="0" collapsed="false">
      <c r="A333" s="0" t="n">
        <v>4</v>
      </c>
      <c r="B333" s="0" t="n">
        <v>27</v>
      </c>
      <c r="C333" s="0" t="str">
        <f aca="false">IF(G333&gt;0,4027,"")</f>
        <v/>
      </c>
      <c r="D333" s="0" t="str">
        <f aca="false">Calc!$B$29</f>
        <v>NRF24L01 module</v>
      </c>
      <c r="E333" s="0" t="str">
        <f aca="false">Calc!$A$29</f>
        <v>Communication Modules</v>
      </c>
      <c r="F333" s="0" t="str">
        <f aca="false">Calc!$D$29</f>
        <v>Reusable</v>
      </c>
      <c r="G333" s="0" t="n">
        <f aca="false">Calc!$H$29</f>
        <v>0</v>
      </c>
    </row>
    <row r="334" customFormat="false" ht="15" hidden="false" customHeight="false" outlineLevel="0" collapsed="false">
      <c r="A334" s="0" t="n">
        <v>4</v>
      </c>
      <c r="B334" s="0" t="n">
        <v>28</v>
      </c>
      <c r="C334" s="0" t="str">
        <f aca="false">IF(G334&gt;0,4028,"")</f>
        <v/>
      </c>
      <c r="D334" s="0" t="str">
        <f aca="false">Calc!$B$30</f>
        <v>Buzzer</v>
      </c>
      <c r="E334" s="0" t="str">
        <f aca="false">Calc!$A$30</f>
        <v>Actuators &amp; Motor Drivers</v>
      </c>
      <c r="F334" s="0" t="str">
        <f aca="false">Calc!$D$30</f>
        <v>Reusable</v>
      </c>
      <c r="G334" s="0" t="n">
        <f aca="false">Calc!$H$30</f>
        <v>0</v>
      </c>
    </row>
    <row r="335" customFormat="false" ht="15" hidden="false" customHeight="false" outlineLevel="0" collapsed="false">
      <c r="A335" s="0" t="n">
        <v>4</v>
      </c>
      <c r="B335" s="0" t="n">
        <v>29</v>
      </c>
      <c r="C335" s="0" t="str">
        <f aca="false">IF(G335&gt;0,4029,"")</f>
        <v/>
      </c>
      <c r="D335" s="0" t="str">
        <f aca="false">Calc!$B$31</f>
        <v>DC hobby motor</v>
      </c>
      <c r="E335" s="0" t="str">
        <f aca="false">Calc!$A$31</f>
        <v>Actuators &amp; Motor Drivers</v>
      </c>
      <c r="F335" s="0" t="str">
        <f aca="false">Calc!$D$31</f>
        <v>Reusable</v>
      </c>
      <c r="G335" s="0" t="n">
        <f aca="false">Calc!$H$31</f>
        <v>0</v>
      </c>
    </row>
    <row r="336" customFormat="false" ht="15" hidden="false" customHeight="false" outlineLevel="0" collapsed="false">
      <c r="A336" s="0" t="n">
        <v>4</v>
      </c>
      <c r="B336" s="0" t="n">
        <v>30</v>
      </c>
      <c r="C336" s="0" t="str">
        <f aca="false">IF(G336&gt;0,4030,"")</f>
        <v/>
      </c>
      <c r="D336" s="0" t="str">
        <f aca="false">Calc!$B$32</f>
        <v>L298N motor driver</v>
      </c>
      <c r="E336" s="0" t="str">
        <f aca="false">Calc!$A$32</f>
        <v>Actuators &amp; Motor Drivers</v>
      </c>
      <c r="F336" s="0" t="str">
        <f aca="false">Calc!$D$32</f>
        <v>Reusable</v>
      </c>
      <c r="G336" s="0" t="n">
        <f aca="false">Calc!$H$32</f>
        <v>0</v>
      </c>
    </row>
    <row r="337" customFormat="false" ht="15" hidden="false" customHeight="false" outlineLevel="0" collapsed="false">
      <c r="A337" s="0" t="n">
        <v>4</v>
      </c>
      <c r="B337" s="0" t="n">
        <v>31</v>
      </c>
      <c r="C337" s="0" t="str">
        <f aca="false">IF(G337&gt;0,4031,"")</f>
        <v/>
      </c>
      <c r="D337" s="0" t="str">
        <f aca="false">Calc!$B$33</f>
        <v>Mini water pump + tube</v>
      </c>
      <c r="E337" s="0" t="str">
        <f aca="false">Calc!$A$33</f>
        <v>Actuators &amp; Motor Drivers</v>
      </c>
      <c r="F337" s="0" t="str">
        <f aca="false">Calc!$D$33</f>
        <v>Reusable</v>
      </c>
      <c r="G337" s="0" t="n">
        <f aca="false">Calc!$H$33</f>
        <v>0</v>
      </c>
    </row>
    <row r="338" customFormat="false" ht="15" hidden="false" customHeight="false" outlineLevel="0" collapsed="false">
      <c r="A338" s="0" t="n">
        <v>4</v>
      </c>
      <c r="B338" s="0" t="n">
        <v>32</v>
      </c>
      <c r="C338" s="0" t="str">
        <f aca="false">IF(G338&gt;0,4032,"")</f>
        <v/>
      </c>
      <c r="D338" s="0" t="str">
        <f aca="false">Calc!$B$34</f>
        <v>Passive buzzer</v>
      </c>
      <c r="E338" s="0" t="str">
        <f aca="false">Calc!$A$34</f>
        <v>Actuators &amp; Motor Drivers</v>
      </c>
      <c r="F338" s="0" t="str">
        <f aca="false">Calc!$D$34</f>
        <v>Reusable</v>
      </c>
      <c r="G338" s="0" t="n">
        <f aca="false">Calc!$H$34</f>
        <v>0</v>
      </c>
    </row>
    <row r="339" customFormat="false" ht="15" hidden="false" customHeight="false" outlineLevel="0" collapsed="false">
      <c r="A339" s="0" t="n">
        <v>4</v>
      </c>
      <c r="B339" s="0" t="n">
        <v>33</v>
      </c>
      <c r="C339" s="0" t="str">
        <f aca="false">IF(G339&gt;0,4033,"")</f>
        <v/>
      </c>
      <c r="D339" s="0" t="str">
        <f aca="false">Calc!$B$35</f>
        <v>Relay module (1-channel)</v>
      </c>
      <c r="E339" s="0" t="str">
        <f aca="false">Calc!$A$35</f>
        <v>Actuators &amp; Motor Drivers</v>
      </c>
      <c r="F339" s="0" t="str">
        <f aca="false">Calc!$D$35</f>
        <v>Reusable</v>
      </c>
      <c r="G339" s="0" t="n">
        <f aca="false">Calc!$H$35</f>
        <v>0</v>
      </c>
    </row>
    <row r="340" customFormat="false" ht="15" hidden="false" customHeight="false" outlineLevel="0" collapsed="false">
      <c r="A340" s="0" t="n">
        <v>4</v>
      </c>
      <c r="B340" s="0" t="n">
        <v>34</v>
      </c>
      <c r="C340" s="0" t="str">
        <f aca="false">IF(G340&gt;0,4034,"")</f>
        <v/>
      </c>
      <c r="D340" s="0" t="str">
        <f aca="false">Calc!$B$36</f>
        <v>Relay module (4-channel)</v>
      </c>
      <c r="E340" s="0" t="str">
        <f aca="false">Calc!$A$36</f>
        <v>Actuators &amp; Motor Drivers</v>
      </c>
      <c r="F340" s="0" t="str">
        <f aca="false">Calc!$D$36</f>
        <v>Reusable</v>
      </c>
      <c r="G340" s="0" t="n">
        <f aca="false">Calc!$H$36</f>
        <v>0</v>
      </c>
    </row>
    <row r="341" customFormat="false" ht="15" hidden="false" customHeight="false" outlineLevel="0" collapsed="false">
      <c r="A341" s="0" t="n">
        <v>4</v>
      </c>
      <c r="B341" s="0" t="n">
        <v>35</v>
      </c>
      <c r="C341" s="0" t="str">
        <f aca="false">IF(G341&gt;0,4035,"")</f>
        <v/>
      </c>
      <c r="D341" s="0" t="str">
        <f aca="false">Calc!$B$37</f>
        <v>Servo MG995</v>
      </c>
      <c r="E341" s="0" t="str">
        <f aca="false">Calc!$A$37</f>
        <v>Actuators &amp; Motor Drivers</v>
      </c>
      <c r="F341" s="0" t="str">
        <f aca="false">Calc!$D$37</f>
        <v>Reusable</v>
      </c>
      <c r="G341" s="0" t="n">
        <f aca="false">Calc!$H$37</f>
        <v>0</v>
      </c>
    </row>
    <row r="342" customFormat="false" ht="15" hidden="false" customHeight="false" outlineLevel="0" collapsed="false">
      <c r="A342" s="0" t="n">
        <v>4</v>
      </c>
      <c r="B342" s="0" t="n">
        <v>36</v>
      </c>
      <c r="C342" s="0" t="str">
        <f aca="false">IF(G342&gt;0,4036,"")</f>
        <v/>
      </c>
      <c r="D342" s="0" t="str">
        <f aca="false">Calc!$B$38</f>
        <v>Servo SG90</v>
      </c>
      <c r="E342" s="0" t="str">
        <f aca="false">Calc!$A$38</f>
        <v>Actuators &amp; Motor Drivers</v>
      </c>
      <c r="F342" s="0" t="str">
        <f aca="false">Calc!$D$38</f>
        <v>Reusable</v>
      </c>
      <c r="G342" s="0" t="n">
        <f aca="false">Calc!$H$38</f>
        <v>0</v>
      </c>
    </row>
    <row r="343" customFormat="false" ht="15" hidden="false" customHeight="false" outlineLevel="0" collapsed="false">
      <c r="A343" s="0" t="n">
        <v>4</v>
      </c>
      <c r="B343" s="0" t="n">
        <v>37</v>
      </c>
      <c r="C343" s="0" t="str">
        <f aca="false">IF(G343&gt;0,4037,"")</f>
        <v/>
      </c>
      <c r="D343" s="0" t="str">
        <f aca="false">Calc!$B$39</f>
        <v>Stepper 28BYJ-48 + ULN2003</v>
      </c>
      <c r="E343" s="0" t="str">
        <f aca="false">Calc!$A$39</f>
        <v>Actuators &amp; Motor Drivers</v>
      </c>
      <c r="F343" s="0" t="str">
        <f aca="false">Calc!$D$39</f>
        <v>Reusable</v>
      </c>
      <c r="G343" s="0" t="n">
        <f aca="false">Calc!$H$39</f>
        <v>0</v>
      </c>
    </row>
    <row r="344" customFormat="false" ht="15" hidden="false" customHeight="false" outlineLevel="0" collapsed="false">
      <c r="A344" s="0" t="n">
        <v>4</v>
      </c>
      <c r="B344" s="0" t="n">
        <v>38</v>
      </c>
      <c r="C344" s="0" t="str">
        <f aca="false">IF(G344&gt;0,4038,"")</f>
        <v/>
      </c>
      <c r="D344" s="0" t="str">
        <f aca="false">Calc!$B$40</f>
        <v>Vibration motor module</v>
      </c>
      <c r="E344" s="0" t="str">
        <f aca="false">Calc!$A$40</f>
        <v>Actuators &amp; Motor Drivers</v>
      </c>
      <c r="F344" s="0" t="str">
        <f aca="false">Calc!$D$40</f>
        <v>Reusable</v>
      </c>
      <c r="G344" s="0" t="n">
        <f aca="false">Calc!$H$40</f>
        <v>0</v>
      </c>
    </row>
    <row r="345" customFormat="false" ht="15" hidden="false" customHeight="false" outlineLevel="0" collapsed="false">
      <c r="A345" s="0" t="n">
        <v>4</v>
      </c>
      <c r="B345" s="0" t="n">
        <v>39</v>
      </c>
      <c r="C345" s="0" t="str">
        <f aca="false">IF(G345&gt;0,4039,"")</f>
        <v/>
      </c>
      <c r="D345" s="0" t="str">
        <f aca="false">Calc!$B$41</f>
        <v>5 V DC fan</v>
      </c>
      <c r="E345" s="0" t="str">
        <f aca="false">Calc!$A$41</f>
        <v>Displays &amp; Output</v>
      </c>
      <c r="F345" s="0" t="str">
        <f aca="false">Calc!$D$41</f>
        <v>Reusable</v>
      </c>
      <c r="G345" s="0" t="n">
        <f aca="false">Calc!$H$41</f>
        <v>0</v>
      </c>
    </row>
    <row r="346" customFormat="false" ht="15" hidden="false" customHeight="false" outlineLevel="0" collapsed="false">
      <c r="A346" s="0" t="n">
        <v>4</v>
      </c>
      <c r="B346" s="0" t="n">
        <v>40</v>
      </c>
      <c r="C346" s="0" t="str">
        <f aca="false">IF(G346&gt;0,4040,"")</f>
        <v/>
      </c>
      <c r="D346" s="0" t="str">
        <f aca="false">Calc!$B$42</f>
        <v>LED 5 mm (assorted)</v>
      </c>
      <c r="E346" s="0" t="str">
        <f aca="false">Calc!$A$42</f>
        <v>Displays &amp; Output</v>
      </c>
      <c r="F346" s="0" t="str">
        <f aca="false">Calc!$D$42</f>
        <v>Consumable</v>
      </c>
      <c r="G346" s="0" t="n">
        <f aca="false">Calc!$H$42</f>
        <v>0</v>
      </c>
    </row>
    <row r="347" customFormat="false" ht="15" hidden="false" customHeight="false" outlineLevel="0" collapsed="false">
      <c r="A347" s="0" t="n">
        <v>4</v>
      </c>
      <c r="B347" s="0" t="n">
        <v>41</v>
      </c>
      <c r="C347" s="0" t="str">
        <f aca="false">IF(G347&gt;0,4041,"")</f>
        <v/>
      </c>
      <c r="D347" s="0" t="str">
        <f aca="false">Calc!$B$43</f>
        <v>Low-voltage LED lamp (5 V)</v>
      </c>
      <c r="E347" s="0" t="str">
        <f aca="false">Calc!$A$43</f>
        <v>Displays &amp; Output</v>
      </c>
      <c r="F347" s="0" t="str">
        <f aca="false">Calc!$D$43</f>
        <v>Reusable</v>
      </c>
      <c r="G347" s="0" t="n">
        <f aca="false">Calc!$H$43</f>
        <v>0</v>
      </c>
    </row>
    <row r="348" customFormat="false" ht="15" hidden="false" customHeight="false" outlineLevel="0" collapsed="false">
      <c r="A348" s="0" t="n">
        <v>4</v>
      </c>
      <c r="B348" s="0" t="n">
        <v>42</v>
      </c>
      <c r="C348" s="0" t="str">
        <f aca="false">IF(G348&gt;0,4042,"")</f>
        <v/>
      </c>
      <c r="D348" s="0" t="str">
        <f aca="false">Calc!$B$44</f>
        <v>MAX7219 8x8 LED matrix</v>
      </c>
      <c r="E348" s="0" t="str">
        <f aca="false">Calc!$A$44</f>
        <v>Displays &amp; Output</v>
      </c>
      <c r="F348" s="0" t="str">
        <f aca="false">Calc!$D$44</f>
        <v>Reusable</v>
      </c>
      <c r="G348" s="0" t="n">
        <f aca="false">Calc!$H$44</f>
        <v>0</v>
      </c>
    </row>
    <row r="349" customFormat="false" ht="15" hidden="false" customHeight="false" outlineLevel="0" collapsed="false">
      <c r="A349" s="0" t="n">
        <v>4</v>
      </c>
      <c r="B349" s="0" t="n">
        <v>43</v>
      </c>
      <c r="C349" s="0" t="str">
        <f aca="false">IF(G349&gt;0,4043,"")</f>
        <v/>
      </c>
      <c r="D349" s="0" t="str">
        <f aca="false">Calc!$B$45</f>
        <v>OLED 0.96 in I2C</v>
      </c>
      <c r="E349" s="0" t="str">
        <f aca="false">Calc!$A$45</f>
        <v>Displays &amp; Output</v>
      </c>
      <c r="F349" s="0" t="str">
        <f aca="false">Calc!$D$45</f>
        <v>Reusable</v>
      </c>
      <c r="G349" s="0" t="n">
        <f aca="false">Calc!$H$45</f>
        <v>0</v>
      </c>
    </row>
    <row r="350" customFormat="false" ht="15" hidden="false" customHeight="false" outlineLevel="0" collapsed="false">
      <c r="A350" s="0" t="n">
        <v>4</v>
      </c>
      <c r="B350" s="0" t="n">
        <v>44</v>
      </c>
      <c r="C350" s="0" t="str">
        <f aca="false">IF(G350&gt;0,4044,"")</f>
        <v/>
      </c>
      <c r="D350" s="0" t="str">
        <f aca="false">Calc!$B$46</f>
        <v>RGB LED</v>
      </c>
      <c r="E350" s="0" t="str">
        <f aca="false">Calc!$A$46</f>
        <v>Displays &amp; Output</v>
      </c>
      <c r="F350" s="0" t="str">
        <f aca="false">Calc!$D$46</f>
        <v>Reusable</v>
      </c>
      <c r="G350" s="0" t="n">
        <f aca="false">Calc!$H$46</f>
        <v>0</v>
      </c>
    </row>
    <row r="351" customFormat="false" ht="15" hidden="false" customHeight="false" outlineLevel="0" collapsed="false">
      <c r="A351" s="0" t="n">
        <v>4</v>
      </c>
      <c r="B351" s="0" t="n">
        <v>45</v>
      </c>
      <c r="C351" s="0" t="str">
        <f aca="false">IF(G351&gt;0,4045,"")</f>
        <v/>
      </c>
      <c r="D351" s="0" t="str">
        <f aca="false">Calc!$B$47</f>
        <v>WS2812B LED ring (12 LEDs)</v>
      </c>
      <c r="E351" s="0" t="str">
        <f aca="false">Calc!$A$47</f>
        <v>Displays &amp; Output</v>
      </c>
      <c r="F351" s="0" t="str">
        <f aca="false">Calc!$D$47</f>
        <v>Reusable</v>
      </c>
      <c r="G351" s="0" t="n">
        <f aca="false">Calc!$H$47</f>
        <v>0</v>
      </c>
    </row>
    <row r="352" customFormat="false" ht="15" hidden="false" customHeight="false" outlineLevel="0" collapsed="false">
      <c r="A352" s="0" t="n">
        <v>4</v>
      </c>
      <c r="B352" s="0" t="n">
        <v>46</v>
      </c>
      <c r="C352" s="0" t="str">
        <f aca="false">IF(G352&gt;0,4046,"")</f>
        <v/>
      </c>
      <c r="D352" s="0" t="str">
        <f aca="false">Calc!$B$48</f>
        <v>WS2812B LED strip (1 m, 30 LEDs)</v>
      </c>
      <c r="E352" s="0" t="str">
        <f aca="false">Calc!$A$48</f>
        <v>Displays &amp; Output</v>
      </c>
      <c r="F352" s="0" t="str">
        <f aca="false">Calc!$D$48</f>
        <v>Reusable</v>
      </c>
      <c r="G352" s="0" t="n">
        <f aca="false">Calc!$H$48</f>
        <v>0</v>
      </c>
    </row>
    <row r="353" customFormat="false" ht="15" hidden="false" customHeight="false" outlineLevel="0" collapsed="false">
      <c r="A353" s="0" t="n">
        <v>4</v>
      </c>
      <c r="B353" s="0" t="n">
        <v>47</v>
      </c>
      <c r="C353" s="0" t="str">
        <f aca="false">IF(G353&gt;0,4047,"")</f>
        <v/>
      </c>
      <c r="D353" s="0" t="str">
        <f aca="false">Calc!$B$49</f>
        <v>555 timer IC</v>
      </c>
      <c r="E353" s="0" t="str">
        <f aca="false">Calc!$A$49</f>
        <v>Passive Components &amp; ICs</v>
      </c>
      <c r="F353" s="0" t="str">
        <f aca="false">Calc!$D$49</f>
        <v>Consumable</v>
      </c>
      <c r="G353" s="0" t="n">
        <f aca="false">Calc!$H$49</f>
        <v>0</v>
      </c>
    </row>
    <row r="354" customFormat="false" ht="15" hidden="false" customHeight="false" outlineLevel="0" collapsed="false">
      <c r="A354" s="0" t="n">
        <v>4</v>
      </c>
      <c r="B354" s="0" t="n">
        <v>48</v>
      </c>
      <c r="C354" s="0" t="str">
        <f aca="false">IF(G354&gt;0,4048,"")</f>
        <v/>
      </c>
      <c r="D354" s="0" t="str">
        <f aca="false">Calc!$B$50</f>
        <v>Capacitor 10 nF</v>
      </c>
      <c r="E354" s="0" t="str">
        <f aca="false">Calc!$A$50</f>
        <v>Passive Components &amp; ICs</v>
      </c>
      <c r="F354" s="0" t="str">
        <f aca="false">Calc!$D$50</f>
        <v>Consumable</v>
      </c>
      <c r="G354" s="0" t="n">
        <f aca="false">Calc!$H$50</f>
        <v>0</v>
      </c>
    </row>
    <row r="355" customFormat="false" ht="15" hidden="false" customHeight="false" outlineLevel="0" collapsed="false">
      <c r="A355" s="0" t="n">
        <v>4</v>
      </c>
      <c r="B355" s="0" t="n">
        <v>49</v>
      </c>
      <c r="C355" s="0" t="str">
        <f aca="false">IF(G355&gt;0,4049,"")</f>
        <v/>
      </c>
      <c r="D355" s="0" t="str">
        <f aca="false">Calc!$B$51</f>
        <v>Capacitor 10 uF</v>
      </c>
      <c r="E355" s="0" t="str">
        <f aca="false">Calc!$A$51</f>
        <v>Passive Components &amp; ICs</v>
      </c>
      <c r="F355" s="0" t="str">
        <f aca="false">Calc!$D$51</f>
        <v>Consumable</v>
      </c>
      <c r="G355" s="0" t="n">
        <f aca="false">Calc!$H$51</f>
        <v>0</v>
      </c>
    </row>
    <row r="356" customFormat="false" ht="15" hidden="false" customHeight="false" outlineLevel="0" collapsed="false">
      <c r="A356" s="0" t="n">
        <v>4</v>
      </c>
      <c r="B356" s="0" t="n">
        <v>50</v>
      </c>
      <c r="C356" s="0" t="str">
        <f aca="false">IF(G356&gt;0,4050,"")</f>
        <v/>
      </c>
      <c r="D356" s="0" t="str">
        <f aca="false">Calc!$B$52</f>
        <v>Capacitor 100 uF</v>
      </c>
      <c r="E356" s="0" t="str">
        <f aca="false">Calc!$A$52</f>
        <v>Passive Components &amp; ICs</v>
      </c>
      <c r="F356" s="0" t="str">
        <f aca="false">Calc!$D$52</f>
        <v>Consumable</v>
      </c>
      <c r="G356" s="0" t="n">
        <f aca="false">Calc!$H$52</f>
        <v>0</v>
      </c>
    </row>
    <row r="357" customFormat="false" ht="15" hidden="false" customHeight="false" outlineLevel="0" collapsed="false">
      <c r="A357" s="0" t="n">
        <v>4</v>
      </c>
      <c r="B357" s="0" t="n">
        <v>51</v>
      </c>
      <c r="C357" s="0" t="str">
        <f aca="false">IF(G357&gt;0,4051,"")</f>
        <v/>
      </c>
      <c r="D357" s="0" t="str">
        <f aca="false">Calc!$B$53</f>
        <v>Potentiometer 10k</v>
      </c>
      <c r="E357" s="0" t="str">
        <f aca="false">Calc!$A$53</f>
        <v>Passive Components &amp; ICs</v>
      </c>
      <c r="F357" s="0" t="str">
        <f aca="false">Calc!$D$53</f>
        <v>Reusable</v>
      </c>
      <c r="G357" s="0" t="n">
        <f aca="false">Calc!$H$53</f>
        <v>0</v>
      </c>
    </row>
    <row r="358" customFormat="false" ht="15" hidden="false" customHeight="false" outlineLevel="0" collapsed="false">
      <c r="A358" s="0" t="n">
        <v>4</v>
      </c>
      <c r="B358" s="0" t="n">
        <v>52</v>
      </c>
      <c r="C358" s="0" t="str">
        <f aca="false">IF(G358&gt;0,4052,"")</f>
        <v/>
      </c>
      <c r="D358" s="0" t="str">
        <f aca="false">Calc!$B$54</f>
        <v>Push button</v>
      </c>
      <c r="E358" s="0" t="str">
        <f aca="false">Calc!$A$54</f>
        <v>Passive Components &amp; ICs</v>
      </c>
      <c r="F358" s="0" t="str">
        <f aca="false">Calc!$D$54</f>
        <v>Reusable</v>
      </c>
      <c r="G358" s="0" t="n">
        <f aca="false">Calc!$H$54</f>
        <v>0</v>
      </c>
    </row>
    <row r="359" customFormat="false" ht="15" hidden="false" customHeight="false" outlineLevel="0" collapsed="false">
      <c r="A359" s="0" t="n">
        <v>4</v>
      </c>
      <c r="B359" s="0" t="n">
        <v>53</v>
      </c>
      <c r="C359" s="0" t="str">
        <f aca="false">IF(G359&gt;0,4053,"")</f>
        <v/>
      </c>
      <c r="D359" s="0" t="str">
        <f aca="false">Calc!$B$55</f>
        <v>Resistor 10k ohm</v>
      </c>
      <c r="E359" s="0" t="str">
        <f aca="false">Calc!$A$55</f>
        <v>Passive Components &amp; ICs</v>
      </c>
      <c r="F359" s="0" t="str">
        <f aca="false">Calc!$D$55</f>
        <v>Consumable</v>
      </c>
      <c r="G359" s="0" t="n">
        <f aca="false">Calc!$H$55</f>
        <v>0</v>
      </c>
    </row>
    <row r="360" customFormat="false" ht="15" hidden="false" customHeight="false" outlineLevel="0" collapsed="false">
      <c r="A360" s="0" t="n">
        <v>4</v>
      </c>
      <c r="B360" s="0" t="n">
        <v>54</v>
      </c>
      <c r="C360" s="0" t="str">
        <f aca="false">IF(G360&gt;0,4054,"")</f>
        <v/>
      </c>
      <c r="D360" s="0" t="str">
        <f aca="false">Calc!$B$56</f>
        <v>Resistor 1k ohm</v>
      </c>
      <c r="E360" s="0" t="str">
        <f aca="false">Calc!$A$56</f>
        <v>Passive Components &amp; ICs</v>
      </c>
      <c r="F360" s="0" t="str">
        <f aca="false">Calc!$D$56</f>
        <v>Consumable</v>
      </c>
      <c r="G360" s="0" t="n">
        <f aca="false">Calc!$H$56</f>
        <v>0</v>
      </c>
    </row>
    <row r="361" customFormat="false" ht="15" hidden="false" customHeight="false" outlineLevel="0" collapsed="false">
      <c r="A361" s="0" t="n">
        <v>4</v>
      </c>
      <c r="B361" s="0" t="n">
        <v>55</v>
      </c>
      <c r="C361" s="0" t="str">
        <f aca="false">IF(G361&gt;0,4055,"")</f>
        <v/>
      </c>
      <c r="D361" s="0" t="str">
        <f aca="false">Calc!$B$57</f>
        <v>Resistor 220 ohm</v>
      </c>
      <c r="E361" s="0" t="str">
        <f aca="false">Calc!$A$57</f>
        <v>Passive Components &amp; ICs</v>
      </c>
      <c r="F361" s="0" t="str">
        <f aca="false">Calc!$D$57</f>
        <v>Consumable</v>
      </c>
      <c r="G361" s="0" t="n">
        <f aca="false">Calc!$H$57</f>
        <v>0</v>
      </c>
    </row>
    <row r="362" customFormat="false" ht="15" hidden="false" customHeight="false" outlineLevel="0" collapsed="false">
      <c r="A362" s="0" t="n">
        <v>4</v>
      </c>
      <c r="B362" s="0" t="n">
        <v>56</v>
      </c>
      <c r="C362" s="0" t="str">
        <f aca="false">IF(G362&gt;0,4056,"")</f>
        <v/>
      </c>
      <c r="D362" s="0" t="str">
        <f aca="false">Calc!$B$58</f>
        <v>Slide switch</v>
      </c>
      <c r="E362" s="0" t="str">
        <f aca="false">Calc!$A$58</f>
        <v>Passive Components &amp; ICs</v>
      </c>
      <c r="F362" s="0" t="str">
        <f aca="false">Calc!$D$58</f>
        <v>Reusable</v>
      </c>
      <c r="G362" s="0" t="n">
        <f aca="false">Calc!$H$58</f>
        <v>0</v>
      </c>
    </row>
    <row r="363" customFormat="false" ht="15" hidden="false" customHeight="false" outlineLevel="0" collapsed="false">
      <c r="A363" s="0" t="n">
        <v>4</v>
      </c>
      <c r="B363" s="0" t="n">
        <v>57</v>
      </c>
      <c r="C363" s="0" t="str">
        <f aca="false">IF(G363&gt;0,4057,"")</f>
        <v/>
      </c>
      <c r="D363" s="0" t="str">
        <f aca="false">Calc!$B$59</f>
        <v>18650 cell + holder</v>
      </c>
      <c r="E363" s="0" t="str">
        <f aca="false">Calc!$A$59</f>
        <v>Power</v>
      </c>
      <c r="F363" s="0" t="str">
        <f aca="false">Calc!$D$59</f>
        <v>Reusable</v>
      </c>
      <c r="G363" s="0" t="n">
        <f aca="false">Calc!$H$59</f>
        <v>0</v>
      </c>
    </row>
    <row r="364" customFormat="false" ht="15" hidden="false" customHeight="false" outlineLevel="0" collapsed="false">
      <c r="A364" s="0" t="n">
        <v>4</v>
      </c>
      <c r="B364" s="0" t="n">
        <v>58</v>
      </c>
      <c r="C364" s="0" t="str">
        <f aca="false">IF(G364&gt;0,4058,"")</f>
        <v/>
      </c>
      <c r="D364" s="0" t="str">
        <f aca="false">Calc!$B$60</f>
        <v>2xAA battery holder + batteries</v>
      </c>
      <c r="E364" s="0" t="str">
        <f aca="false">Calc!$A$60</f>
        <v>Power</v>
      </c>
      <c r="F364" s="0" t="str">
        <f aca="false">Calc!$D$60</f>
        <v>Consumable</v>
      </c>
      <c r="G364" s="0" t="n">
        <f aca="false">Calc!$H$60</f>
        <v>0</v>
      </c>
    </row>
    <row r="365" customFormat="false" ht="15" hidden="false" customHeight="false" outlineLevel="0" collapsed="false">
      <c r="A365" s="0" t="n">
        <v>4</v>
      </c>
      <c r="B365" s="0" t="n">
        <v>59</v>
      </c>
      <c r="C365" s="0" t="str">
        <f aca="false">IF(G365&gt;0,4059,"")</f>
        <v/>
      </c>
      <c r="D365" s="0" t="str">
        <f aca="false">Calc!$B$61</f>
        <v>4xAA battery pack</v>
      </c>
      <c r="E365" s="0" t="str">
        <f aca="false">Calc!$A$61</f>
        <v>Power</v>
      </c>
      <c r="F365" s="0" t="str">
        <f aca="false">Calc!$D$61</f>
        <v>Consumable</v>
      </c>
      <c r="G365" s="0" t="n">
        <f aca="false">Calc!$H$61</f>
        <v>0</v>
      </c>
    </row>
    <row r="366" customFormat="false" ht="15" hidden="false" customHeight="false" outlineLevel="0" collapsed="false">
      <c r="A366" s="0" t="n">
        <v>4</v>
      </c>
      <c r="B366" s="0" t="n">
        <v>60</v>
      </c>
      <c r="C366" s="0" t="str">
        <f aca="false">IF(G366&gt;0,4060,"")</f>
        <v/>
      </c>
      <c r="D366" s="0" t="str">
        <f aca="false">Calc!$B$62</f>
        <v>9V battery + snap</v>
      </c>
      <c r="E366" s="0" t="str">
        <f aca="false">Calc!$A$62</f>
        <v>Power</v>
      </c>
      <c r="F366" s="0" t="str">
        <f aca="false">Calc!$D$62</f>
        <v>Consumable</v>
      </c>
      <c r="G366" s="0" t="n">
        <f aca="false">Calc!$H$62</f>
        <v>0</v>
      </c>
    </row>
    <row r="367" customFormat="false" ht="15" hidden="false" customHeight="false" outlineLevel="0" collapsed="false">
      <c r="A367" s="0" t="n">
        <v>4</v>
      </c>
      <c r="B367" s="0" t="n">
        <v>61</v>
      </c>
      <c r="C367" s="0" t="str">
        <f aca="false">IF(G367&gt;0,4061,"")</f>
        <v/>
      </c>
      <c r="D367" s="0" t="str">
        <f aca="false">Calc!$B$63</f>
        <v>Coin cell CR2032</v>
      </c>
      <c r="E367" s="0" t="str">
        <f aca="false">Calc!$A$63</f>
        <v>Power</v>
      </c>
      <c r="F367" s="0" t="str">
        <f aca="false">Calc!$D$63</f>
        <v>Consumable</v>
      </c>
      <c r="G367" s="0" t="n">
        <f aca="false">Calc!$H$63</f>
        <v>0</v>
      </c>
    </row>
    <row r="368" customFormat="false" ht="15" hidden="false" customHeight="false" outlineLevel="0" collapsed="false">
      <c r="A368" s="0" t="n">
        <v>4</v>
      </c>
      <c r="B368" s="0" t="n">
        <v>62</v>
      </c>
      <c r="C368" s="0" t="str">
        <f aca="false">IF(G368&gt;0,4062,"")</f>
        <v/>
      </c>
      <c r="D368" s="0" t="str">
        <f aca="false">Calc!$B$64</f>
        <v>LM2596 buck converter</v>
      </c>
      <c r="E368" s="0" t="str">
        <f aca="false">Calc!$A$64</f>
        <v>Power</v>
      </c>
      <c r="F368" s="0" t="str">
        <f aca="false">Calc!$D$64</f>
        <v>Reusable</v>
      </c>
      <c r="G368" s="0" t="n">
        <f aca="false">Calc!$H$64</f>
        <v>0</v>
      </c>
    </row>
    <row r="369" customFormat="false" ht="15" hidden="false" customHeight="false" outlineLevel="0" collapsed="false">
      <c r="A369" s="0" t="n">
        <v>4</v>
      </c>
      <c r="B369" s="0" t="n">
        <v>63</v>
      </c>
      <c r="C369" s="0" t="str">
        <f aca="false">IF(G369&gt;0,4063,"")</f>
        <v/>
      </c>
      <c r="D369" s="0" t="str">
        <f aca="false">Calc!$B$65</f>
        <v>Small solar panel</v>
      </c>
      <c r="E369" s="0" t="str">
        <f aca="false">Calc!$A$65</f>
        <v>Power</v>
      </c>
      <c r="F369" s="0" t="str">
        <f aca="false">Calc!$D$65</f>
        <v>Reusable</v>
      </c>
      <c r="G369" s="0" t="n">
        <f aca="false">Calc!$H$65</f>
        <v>0</v>
      </c>
    </row>
    <row r="370" customFormat="false" ht="15" hidden="false" customHeight="false" outlineLevel="0" collapsed="false">
      <c r="A370" s="0" t="n">
        <v>4</v>
      </c>
      <c r="B370" s="0" t="n">
        <v>64</v>
      </c>
      <c r="C370" s="0" t="str">
        <f aca="false">IF(G370&gt;0,4064,"")</f>
        <v/>
      </c>
      <c r="D370" s="0" t="str">
        <f aca="false">Calc!$B$66</f>
        <v>TP4056 charger module</v>
      </c>
      <c r="E370" s="0" t="str">
        <f aca="false">Calc!$A$66</f>
        <v>Power</v>
      </c>
      <c r="F370" s="0" t="str">
        <f aca="false">Calc!$D$66</f>
        <v>Reusable</v>
      </c>
      <c r="G370" s="0" t="n">
        <f aca="false">Calc!$H$66</f>
        <v>0</v>
      </c>
    </row>
    <row r="371" customFormat="false" ht="15" hidden="false" customHeight="false" outlineLevel="0" collapsed="false">
      <c r="A371" s="0" t="n">
        <v>4</v>
      </c>
      <c r="B371" s="0" t="n">
        <v>65</v>
      </c>
      <c r="C371" s="0" t="str">
        <f aca="false">IF(G371&gt;0,4065,"")</f>
        <v/>
      </c>
      <c r="D371" s="0" t="str">
        <f aca="false">Calc!$B$67</f>
        <v>Alligator clip leads</v>
      </c>
      <c r="E371" s="0" t="str">
        <f aca="false">Calc!$A$67</f>
        <v>Wiring &amp; Prototyping</v>
      </c>
      <c r="F371" s="0" t="str">
        <f aca="false">Calc!$D$67</f>
        <v>Reusable</v>
      </c>
      <c r="G371" s="0" t="n">
        <f aca="false">Calc!$H$67</f>
        <v>0</v>
      </c>
    </row>
    <row r="372" customFormat="false" ht="15" hidden="false" customHeight="false" outlineLevel="0" collapsed="false">
      <c r="A372" s="0" t="n">
        <v>4</v>
      </c>
      <c r="B372" s="0" t="n">
        <v>66</v>
      </c>
      <c r="C372" s="0" t="str">
        <f aca="false">IF(G372&gt;0,4066,"")</f>
        <v/>
      </c>
      <c r="D372" s="0" t="str">
        <f aca="false">Calc!$B$68</f>
        <v>Aluminium foil</v>
      </c>
      <c r="E372" s="0" t="str">
        <f aca="false">Calc!$A$68</f>
        <v>Wiring &amp; Prototyping</v>
      </c>
      <c r="F372" s="0" t="str">
        <f aca="false">Calc!$D$68</f>
        <v>Consumable</v>
      </c>
      <c r="G372" s="0" t="n">
        <f aca="false">Calc!$H$68</f>
        <v>0</v>
      </c>
    </row>
    <row r="373" customFormat="false" ht="15" hidden="false" customHeight="false" outlineLevel="0" collapsed="false">
      <c r="A373" s="0" t="n">
        <v>4</v>
      </c>
      <c r="B373" s="0" t="n">
        <v>67</v>
      </c>
      <c r="C373" s="0" t="str">
        <f aca="false">IF(G373&gt;0,4067,"")</f>
        <v/>
      </c>
      <c r="D373" s="0" t="str">
        <f aca="false">Calc!$B$69</f>
        <v>Breadboard (half size)</v>
      </c>
      <c r="E373" s="0" t="str">
        <f aca="false">Calc!$A$69</f>
        <v>Wiring &amp; Prototyping</v>
      </c>
      <c r="F373" s="0" t="str">
        <f aca="false">Calc!$D$69</f>
        <v>Reusable</v>
      </c>
      <c r="G373" s="0" t="n">
        <f aca="false">Calc!$H$69</f>
        <v>0</v>
      </c>
    </row>
    <row r="374" customFormat="false" ht="15" hidden="false" customHeight="false" outlineLevel="0" collapsed="false">
      <c r="A374" s="0" t="n">
        <v>4</v>
      </c>
      <c r="B374" s="0" t="n">
        <v>68</v>
      </c>
      <c r="C374" s="0" t="str">
        <f aca="false">IF(G374&gt;0,4068,"")</f>
        <v/>
      </c>
      <c r="D374" s="0" t="str">
        <f aca="false">Calc!$B$70</f>
        <v>Copper tape</v>
      </c>
      <c r="E374" s="0" t="str">
        <f aca="false">Calc!$A$70</f>
        <v>Wiring &amp; Prototyping</v>
      </c>
      <c r="F374" s="0" t="str">
        <f aca="false">Calc!$D$70</f>
        <v>Consumable</v>
      </c>
      <c r="G374" s="0" t="n">
        <f aca="false">Calc!$H$70</f>
        <v>0</v>
      </c>
    </row>
    <row r="375" customFormat="false" ht="15" hidden="false" customHeight="false" outlineLevel="0" collapsed="false">
      <c r="A375" s="0" t="n">
        <v>4</v>
      </c>
      <c r="B375" s="0" t="n">
        <v>69</v>
      </c>
      <c r="C375" s="0" t="str">
        <f aca="false">IF(G375&gt;0,4069,"")</f>
        <v/>
      </c>
      <c r="D375" s="0" t="str">
        <f aca="false">Calc!$B$71</f>
        <v>Jumper wires M-F</v>
      </c>
      <c r="E375" s="0" t="str">
        <f aca="false">Calc!$A$71</f>
        <v>Wiring &amp; Prototyping</v>
      </c>
      <c r="F375" s="0" t="str">
        <f aca="false">Calc!$D$71</f>
        <v>Reusable</v>
      </c>
      <c r="G375" s="0" t="n">
        <f aca="false">Calc!$H$71</f>
        <v>0</v>
      </c>
    </row>
    <row r="376" customFormat="false" ht="15" hidden="false" customHeight="false" outlineLevel="0" collapsed="false">
      <c r="A376" s="0" t="n">
        <v>4</v>
      </c>
      <c r="B376" s="0" t="n">
        <v>70</v>
      </c>
      <c r="C376" s="0" t="str">
        <f aca="false">IF(G376&gt;0,4070,"")</f>
        <v/>
      </c>
      <c r="D376" s="0" t="str">
        <f aca="false">Calc!$B$72</f>
        <v>Jumper wires M-M</v>
      </c>
      <c r="E376" s="0" t="str">
        <f aca="false">Calc!$A$72</f>
        <v>Wiring &amp; Prototyping</v>
      </c>
      <c r="F376" s="0" t="str">
        <f aca="false">Calc!$D$72</f>
        <v>Reusable</v>
      </c>
      <c r="G376" s="0" t="n">
        <f aca="false">Calc!$H$72</f>
        <v>0</v>
      </c>
    </row>
    <row r="377" customFormat="false" ht="15" hidden="false" customHeight="false" outlineLevel="0" collapsed="false">
      <c r="A377" s="0" t="n">
        <v>4</v>
      </c>
      <c r="B377" s="0" t="n">
        <v>71</v>
      </c>
      <c r="C377" s="0" t="str">
        <f aca="false">IF(G377&gt;0,4071,"")</f>
        <v/>
      </c>
      <c r="D377" s="0" t="str">
        <f aca="false">Calc!$B$73</f>
        <v>3D printer</v>
      </c>
      <c r="E377" s="0" t="str">
        <f aca="false">Calc!$A$73</f>
        <v>Computers &amp; Equipment</v>
      </c>
      <c r="F377" s="0" t="str">
        <f aca="false">Calc!$D$73</f>
        <v>Reusable</v>
      </c>
      <c r="G377" s="0" t="n">
        <f aca="false">Calc!$H$73</f>
        <v>0</v>
      </c>
    </row>
    <row r="378" customFormat="false" ht="15" hidden="false" customHeight="false" outlineLevel="0" collapsed="false">
      <c r="A378" s="0" t="n">
        <v>4</v>
      </c>
      <c r="B378" s="0" t="n">
        <v>72</v>
      </c>
      <c r="C378" s="0" t="str">
        <f aca="false">IF(G378&gt;0,4072,"")</f>
        <v/>
      </c>
      <c r="D378" s="0" t="str">
        <f aca="false">Calc!$B$74</f>
        <v>Android smartphone</v>
      </c>
      <c r="E378" s="0" t="str">
        <f aca="false">Calc!$A$74</f>
        <v>Computers &amp; Equipment</v>
      </c>
      <c r="F378" s="0" t="str">
        <f aca="false">Calc!$D$74</f>
        <v>Reusable</v>
      </c>
      <c r="G378" s="0" t="n">
        <f aca="false">Calc!$H$74</f>
        <v>0</v>
      </c>
    </row>
    <row r="379" customFormat="false" ht="15" hidden="false" customHeight="false" outlineLevel="0" collapsed="false">
      <c r="A379" s="0" t="n">
        <v>4</v>
      </c>
      <c r="B379" s="0" t="n">
        <v>73</v>
      </c>
      <c r="C379" s="0" t="str">
        <f aca="false">IF(G379&gt;0,4073,"")</f>
        <v/>
      </c>
      <c r="D379" s="0" t="str">
        <f aca="false">Calc!$B$75</f>
        <v>Digital multimeter</v>
      </c>
      <c r="E379" s="0" t="str">
        <f aca="false">Calc!$A$75</f>
        <v>Computers &amp; Equipment</v>
      </c>
      <c r="F379" s="0" t="str">
        <f aca="false">Calc!$D$75</f>
        <v>Reusable</v>
      </c>
      <c r="G379" s="0" t="n">
        <f aca="false">Calc!$H$75</f>
        <v>0</v>
      </c>
    </row>
    <row r="380" customFormat="false" ht="15" hidden="false" customHeight="false" outlineLevel="0" collapsed="false">
      <c r="A380" s="0" t="n">
        <v>4</v>
      </c>
      <c r="B380" s="0" t="n">
        <v>74</v>
      </c>
      <c r="C380" s="0" t="str">
        <f aca="false">IF(G380&gt;0,4074,"")</f>
        <v/>
      </c>
      <c r="D380" s="0" t="str">
        <f aca="false">Calc!$B$76</f>
        <v>Glue gun + glue sticks</v>
      </c>
      <c r="E380" s="0" t="str">
        <f aca="false">Calc!$A$76</f>
        <v>Computers &amp; Equipment</v>
      </c>
      <c r="F380" s="0" t="str">
        <f aca="false">Calc!$D$76</f>
        <v>Reusable</v>
      </c>
      <c r="G380" s="0" t="n">
        <f aca="false">Calc!$H$76</f>
        <v>0</v>
      </c>
    </row>
    <row r="381" customFormat="false" ht="15" hidden="false" customHeight="false" outlineLevel="0" collapsed="false">
      <c r="A381" s="0" t="n">
        <v>4</v>
      </c>
      <c r="B381" s="0" t="n">
        <v>75</v>
      </c>
      <c r="C381" s="0" t="str">
        <f aca="false">IF(G381&gt;0,4075,"")</f>
        <v/>
      </c>
      <c r="D381" s="0" t="str">
        <f aca="false">Calc!$B$77</f>
        <v>Laptop</v>
      </c>
      <c r="E381" s="0" t="str">
        <f aca="false">Calc!$A$77</f>
        <v>Computers &amp; Equipment</v>
      </c>
      <c r="F381" s="0" t="str">
        <f aca="false">Calc!$D$77</f>
        <v>Reusable</v>
      </c>
      <c r="G381" s="0" t="n">
        <f aca="false">Calc!$H$77</f>
        <v>0</v>
      </c>
    </row>
    <row r="382" customFormat="false" ht="15" hidden="false" customHeight="false" outlineLevel="0" collapsed="false">
      <c r="A382" s="0" t="n">
        <v>4</v>
      </c>
      <c r="B382" s="0" t="n">
        <v>76</v>
      </c>
      <c r="C382" s="0" t="str">
        <f aca="false">IF(G382&gt;0,4076,"")</f>
        <v/>
      </c>
      <c r="D382" s="0" t="str">
        <f aca="false">Calc!$B$78</f>
        <v>PLA filament</v>
      </c>
      <c r="E382" s="0" t="str">
        <f aca="false">Calc!$A$78</f>
        <v>Computers &amp; Equipment</v>
      </c>
      <c r="F382" s="0" t="str">
        <f aca="false">Calc!$D$78</f>
        <v>Consumable</v>
      </c>
      <c r="G382" s="0" t="n">
        <f aca="false">Calc!$H$78</f>
        <v>0</v>
      </c>
    </row>
    <row r="383" customFormat="false" ht="15" hidden="false" customHeight="false" outlineLevel="0" collapsed="false">
      <c r="A383" s="0" t="n">
        <v>4</v>
      </c>
      <c r="B383" s="0" t="n">
        <v>77</v>
      </c>
      <c r="C383" s="0" t="str">
        <f aca="false">IF(G383&gt;0,4077,"")</f>
        <v/>
      </c>
      <c r="D383" s="0" t="str">
        <f aca="false">Calc!$B$79</f>
        <v>Screwdriver set</v>
      </c>
      <c r="E383" s="0" t="str">
        <f aca="false">Calc!$A$79</f>
        <v>Computers &amp; Equipment</v>
      </c>
      <c r="F383" s="0" t="str">
        <f aca="false">Calc!$D$79</f>
        <v>Reusable</v>
      </c>
      <c r="G383" s="0" t="n">
        <f aca="false">Calc!$H$79</f>
        <v>0</v>
      </c>
    </row>
    <row r="384" customFormat="false" ht="15" hidden="false" customHeight="false" outlineLevel="0" collapsed="false">
      <c r="A384" s="0" t="n">
        <v>4</v>
      </c>
      <c r="B384" s="0" t="n">
        <v>78</v>
      </c>
      <c r="C384" s="0" t="str">
        <f aca="false">IF(G384&gt;0,4078,"")</f>
        <v/>
      </c>
      <c r="D384" s="0" t="str">
        <f aca="false">Calc!$B$80</f>
        <v>Tablet</v>
      </c>
      <c r="E384" s="0" t="str">
        <f aca="false">Calc!$A$80</f>
        <v>Computers &amp; Equipment</v>
      </c>
      <c r="F384" s="0" t="str">
        <f aca="false">Calc!$D$80</f>
        <v>Reusable</v>
      </c>
      <c r="G384" s="0" t="n">
        <f aca="false">Calc!$H$80</f>
        <v>0</v>
      </c>
    </row>
    <row r="385" customFormat="false" ht="15" hidden="false" customHeight="false" outlineLevel="0" collapsed="false">
      <c r="A385" s="0" t="n">
        <v>4</v>
      </c>
      <c r="B385" s="0" t="n">
        <v>79</v>
      </c>
      <c r="C385" s="0" t="str">
        <f aca="false">IF(G385&gt;0,4079,"")</f>
        <v/>
      </c>
      <c r="D385" s="0" t="str">
        <f aca="false">Calc!$B$81</f>
        <v>Webcam</v>
      </c>
      <c r="E385" s="0" t="str">
        <f aca="false">Calc!$A$81</f>
        <v>Computers &amp; Equipment</v>
      </c>
      <c r="F385" s="0" t="str">
        <f aca="false">Calc!$D$81</f>
        <v>Reusable</v>
      </c>
      <c r="G385" s="0" t="n">
        <f aca="false">Calc!$H$81</f>
        <v>0</v>
      </c>
    </row>
    <row r="386" customFormat="false" ht="15" hidden="false" customHeight="false" outlineLevel="0" collapsed="false">
      <c r="A386" s="0" t="n">
        <v>4</v>
      </c>
      <c r="B386" s="0" t="n">
        <v>80</v>
      </c>
      <c r="C386" s="0" t="str">
        <f aca="false">IF(G386&gt;0,4080,"")</f>
        <v/>
      </c>
      <c r="D386" s="0" t="str">
        <f aca="false">Calc!$B$82</f>
        <v>Card / chart paper</v>
      </c>
      <c r="E386" s="0" t="str">
        <f aca="false">Calc!$A$82</f>
        <v>Craft &amp; Stationery</v>
      </c>
      <c r="F386" s="0" t="str">
        <f aca="false">Calc!$D$82</f>
        <v>Consumable</v>
      </c>
      <c r="G386" s="0" t="n">
        <f aca="false">Calc!$H$82</f>
        <v>0</v>
      </c>
    </row>
    <row r="387" customFormat="false" ht="15" hidden="false" customHeight="false" outlineLevel="0" collapsed="false">
      <c r="A387" s="0" t="n">
        <v>4</v>
      </c>
      <c r="B387" s="0" t="n">
        <v>81</v>
      </c>
      <c r="C387" s="0" t="str">
        <f aca="false">IF(G387&gt;0,4081,"")</f>
        <v/>
      </c>
      <c r="D387" s="0" t="str">
        <f aca="false">Calc!$B$83</f>
        <v>Cardboard sheet</v>
      </c>
      <c r="E387" s="0" t="str">
        <f aca="false">Calc!$A$83</f>
        <v>Craft &amp; Stationery</v>
      </c>
      <c r="F387" s="0" t="str">
        <f aca="false">Calc!$D$83</f>
        <v>Consumable</v>
      </c>
      <c r="G387" s="0" t="n">
        <f aca="false">Calc!$H$83</f>
        <v>0</v>
      </c>
    </row>
    <row r="388" customFormat="false" ht="15" hidden="false" customHeight="false" outlineLevel="0" collapsed="false">
      <c r="A388" s="0" t="n">
        <v>4</v>
      </c>
      <c r="B388" s="0" t="n">
        <v>82</v>
      </c>
      <c r="C388" s="0" t="str">
        <f aca="false">IF(G388&gt;0,4082,"")</f>
        <v/>
      </c>
      <c r="D388" s="0" t="str">
        <f aca="false">Calc!$B$84</f>
        <v>Conductive playdough</v>
      </c>
      <c r="E388" s="0" t="str">
        <f aca="false">Calc!$A$84</f>
        <v>Craft &amp; Stationery</v>
      </c>
      <c r="F388" s="0" t="str">
        <f aca="false">Calc!$D$84</f>
        <v>Consumable</v>
      </c>
      <c r="G388" s="0" t="n">
        <f aca="false">Calc!$H$84</f>
        <v>0</v>
      </c>
    </row>
    <row r="389" customFormat="false" ht="15" hidden="false" customHeight="false" outlineLevel="0" collapsed="false">
      <c r="A389" s="0" t="n">
        <v>4</v>
      </c>
      <c r="B389" s="0" t="n">
        <v>83</v>
      </c>
      <c r="C389" s="0" t="str">
        <f aca="false">IF(G389&gt;0,4083,"")</f>
        <v/>
      </c>
      <c r="D389" s="0" t="str">
        <f aca="false">Calc!$B$85</f>
        <v>Cork</v>
      </c>
      <c r="E389" s="0" t="str">
        <f aca="false">Calc!$A$85</f>
        <v>Craft &amp; Stationery</v>
      </c>
      <c r="F389" s="0" t="str">
        <f aca="false">Calc!$D$85</f>
        <v>Consumable</v>
      </c>
      <c r="G389" s="0" t="n">
        <f aca="false">Calc!$H$85</f>
        <v>0</v>
      </c>
    </row>
    <row r="390" customFormat="false" ht="15" hidden="false" customHeight="false" outlineLevel="0" collapsed="false">
      <c r="A390" s="0" t="n">
        <v>4</v>
      </c>
      <c r="B390" s="0" t="n">
        <v>84</v>
      </c>
      <c r="C390" s="0" t="str">
        <f aca="false">IF(G390&gt;0,4084,"")</f>
        <v/>
      </c>
      <c r="D390" s="0" t="str">
        <f aca="false">Calc!$B$86</f>
        <v>Googly eyes</v>
      </c>
      <c r="E390" s="0" t="str">
        <f aca="false">Calc!$A$86</f>
        <v>Craft &amp; Stationery</v>
      </c>
      <c r="F390" s="0" t="str">
        <f aca="false">Calc!$D$86</f>
        <v>Consumable</v>
      </c>
      <c r="G390" s="0" t="n">
        <f aca="false">Calc!$H$86</f>
        <v>0</v>
      </c>
    </row>
    <row r="391" customFormat="false" ht="15" hidden="false" customHeight="false" outlineLevel="0" collapsed="false">
      <c r="A391" s="0" t="n">
        <v>4</v>
      </c>
      <c r="B391" s="0" t="n">
        <v>85</v>
      </c>
      <c r="C391" s="0" t="str">
        <f aca="false">IF(G391&gt;0,4085,"")</f>
        <v/>
      </c>
      <c r="D391" s="0" t="str">
        <f aca="false">Calc!$B$87</f>
        <v>Ice cream sticks</v>
      </c>
      <c r="E391" s="0" t="str">
        <f aca="false">Calc!$A$87</f>
        <v>Craft &amp; Stationery</v>
      </c>
      <c r="F391" s="0" t="str">
        <f aca="false">Calc!$D$87</f>
        <v>Consumable</v>
      </c>
      <c r="G391" s="0" t="n">
        <f aca="false">Calc!$H$87</f>
        <v>0</v>
      </c>
    </row>
    <row r="392" customFormat="false" ht="15" hidden="false" customHeight="false" outlineLevel="0" collapsed="false">
      <c r="A392" s="0" t="n">
        <v>4</v>
      </c>
      <c r="B392" s="0" t="n">
        <v>86</v>
      </c>
      <c r="C392" s="0" t="str">
        <f aca="false">IF(G392&gt;0,4086,"")</f>
        <v/>
      </c>
      <c r="D392" s="0" t="str">
        <f aca="false">Calc!$B$88</f>
        <v>Markers</v>
      </c>
      <c r="E392" s="0" t="str">
        <f aca="false">Calc!$A$88</f>
        <v>Craft &amp; Stationery</v>
      </c>
      <c r="F392" s="0" t="str">
        <f aca="false">Calc!$D$88</f>
        <v>Consumable</v>
      </c>
      <c r="G392" s="0" t="n">
        <f aca="false">Calc!$H$88</f>
        <v>0</v>
      </c>
    </row>
    <row r="393" customFormat="false" ht="15" hidden="false" customHeight="false" outlineLevel="0" collapsed="false">
      <c r="A393" s="0" t="n">
        <v>4</v>
      </c>
      <c r="B393" s="0" t="n">
        <v>87</v>
      </c>
      <c r="C393" s="0" t="str">
        <f aca="false">IF(G393&gt;0,4087,"")</f>
        <v/>
      </c>
      <c r="D393" s="0" t="str">
        <f aca="false">Calc!$B$89</f>
        <v>Plant pot with soil</v>
      </c>
      <c r="E393" s="0" t="str">
        <f aca="false">Calc!$A$89</f>
        <v>Craft &amp; Stationery</v>
      </c>
      <c r="F393" s="0" t="str">
        <f aca="false">Calc!$D$89</f>
        <v>Consumable</v>
      </c>
      <c r="G393" s="0" t="n">
        <f aca="false">Calc!$H$89</f>
        <v>0</v>
      </c>
    </row>
    <row r="394" customFormat="false" ht="15" hidden="false" customHeight="false" outlineLevel="0" collapsed="false">
      <c r="A394" s="0" t="n">
        <v>4</v>
      </c>
      <c r="B394" s="0" t="n">
        <v>88</v>
      </c>
      <c r="C394" s="0" t="str">
        <f aca="false">IF(G394&gt;0,4088,"")</f>
        <v/>
      </c>
      <c r="D394" s="0" t="str">
        <f aca="false">Calc!$B$90</f>
        <v>Plastic or paper cup</v>
      </c>
      <c r="E394" s="0" t="str">
        <f aca="false">Calc!$A$90</f>
        <v>Craft &amp; Stationery</v>
      </c>
      <c r="F394" s="0" t="str">
        <f aca="false">Calc!$D$90</f>
        <v>Consumable</v>
      </c>
      <c r="G394" s="0" t="n">
        <f aca="false">Calc!$H$90</f>
        <v>0</v>
      </c>
    </row>
    <row r="395" customFormat="false" ht="15" hidden="false" customHeight="false" outlineLevel="0" collapsed="false">
      <c r="A395" s="0" t="n">
        <v>4</v>
      </c>
      <c r="B395" s="0" t="n">
        <v>89</v>
      </c>
      <c r="C395" s="0" t="str">
        <f aca="false">IF(G395&gt;0,4089,"")</f>
        <v/>
      </c>
      <c r="D395" s="0" t="str">
        <f aca="false">Calc!$B$91</f>
        <v>Printed templates</v>
      </c>
      <c r="E395" s="0" t="str">
        <f aca="false">Calc!$A$91</f>
        <v>Craft &amp; Stationery</v>
      </c>
      <c r="F395" s="0" t="str">
        <f aca="false">Calc!$D$91</f>
        <v>Consumable</v>
      </c>
      <c r="G395" s="0" t="n">
        <f aca="false">Calc!$H$91</f>
        <v>0</v>
      </c>
    </row>
    <row r="396" customFormat="false" ht="15" hidden="false" customHeight="false" outlineLevel="0" collapsed="false">
      <c r="A396" s="0" t="n">
        <v>4</v>
      </c>
      <c r="B396" s="0" t="n">
        <v>90</v>
      </c>
      <c r="C396" s="0" t="str">
        <f aca="false">IF(G396&gt;0,4090,"")</f>
        <v/>
      </c>
      <c r="D396" s="0" t="str">
        <f aca="false">Calc!$B$92</f>
        <v>Split pins (paper fasteners)</v>
      </c>
      <c r="E396" s="0" t="str">
        <f aca="false">Calc!$A$92</f>
        <v>Craft &amp; Stationery</v>
      </c>
      <c r="F396" s="0" t="str">
        <f aca="false">Calc!$D$92</f>
        <v>Consumable</v>
      </c>
      <c r="G396" s="0" t="n">
        <f aca="false">Calc!$H$92</f>
        <v>0</v>
      </c>
    </row>
    <row r="397" customFormat="false" ht="15" hidden="false" customHeight="false" outlineLevel="0" collapsed="false">
      <c r="A397" s="0" t="n">
        <v>4</v>
      </c>
      <c r="B397" s="0" t="n">
        <v>91</v>
      </c>
      <c r="C397" s="0" t="str">
        <f aca="false">IF(G397&gt;0,4091,"")</f>
        <v/>
      </c>
      <c r="D397" s="0" t="str">
        <f aca="false">Calc!$B$93</f>
        <v>Straws</v>
      </c>
      <c r="E397" s="0" t="str">
        <f aca="false">Calc!$A$93</f>
        <v>Craft &amp; Stationery</v>
      </c>
      <c r="F397" s="0" t="str">
        <f aca="false">Calc!$D$93</f>
        <v>Consumable</v>
      </c>
      <c r="G397" s="0" t="n">
        <f aca="false">Calc!$H$93</f>
        <v>0</v>
      </c>
    </row>
    <row r="398" customFormat="false" ht="15" hidden="false" customHeight="false" outlineLevel="0" collapsed="false">
      <c r="A398" s="0" t="n">
        <v>4</v>
      </c>
      <c r="B398" s="0" t="n">
        <v>92</v>
      </c>
      <c r="C398" s="0" t="str">
        <f aca="false">IF(G398&gt;0,4092,"")</f>
        <v/>
      </c>
      <c r="D398" s="0" t="str">
        <f aca="false">Calc!$B$94</f>
        <v>Tape (paper + double-sided)</v>
      </c>
      <c r="E398" s="0" t="str">
        <f aca="false">Calc!$A$94</f>
        <v>Craft &amp; Stationery</v>
      </c>
      <c r="F398" s="0" t="str">
        <f aca="false">Calc!$D$94</f>
        <v>Consumable</v>
      </c>
      <c r="G398" s="0" t="n">
        <f aca="false">Calc!$H$94</f>
        <v>0</v>
      </c>
    </row>
    <row r="399" customFormat="false" ht="15" hidden="false" customHeight="false" outlineLevel="0" collapsed="false">
      <c r="A399" s="0" t="n">
        <v>4</v>
      </c>
      <c r="B399" s="0" t="n">
        <v>93</v>
      </c>
      <c r="C399" s="0" t="str">
        <f aca="false">IF(G399&gt;0,4093,"")</f>
        <v/>
      </c>
      <c r="D399" s="0" t="str">
        <f aca="false">Calc!$B$95</f>
        <v>Water container</v>
      </c>
      <c r="E399" s="0" t="str">
        <f aca="false">Calc!$A$95</f>
        <v>Craft &amp; Stationery</v>
      </c>
      <c r="F399" s="0" t="str">
        <f aca="false">Calc!$D$95</f>
        <v>Reusable</v>
      </c>
      <c r="G399" s="0" t="n">
        <f aca="false">Calc!$H$95</f>
        <v>0</v>
      </c>
    </row>
    <row r="400" customFormat="false" ht="15" hidden="false" customHeight="false" outlineLevel="0" collapsed="false">
      <c r="A400" s="0" t="n">
        <v>4</v>
      </c>
      <c r="B400" s="0" t="n">
        <v>94</v>
      </c>
      <c r="C400" s="0" t="str">
        <f aca="false">IF(G400&gt;0,4094,"")</f>
        <v/>
      </c>
      <c r="D400" s="0" t="str">
        <f aca="false">Calc!$B$96</f>
        <v>Wooden skewers</v>
      </c>
      <c r="E400" s="0" t="str">
        <f aca="false">Calc!$A$96</f>
        <v>Craft &amp; Stationery</v>
      </c>
      <c r="F400" s="0" t="str">
        <f aca="false">Calc!$D$96</f>
        <v>Consumable</v>
      </c>
      <c r="G400" s="0" t="n">
        <f aca="false">Calc!$H$96</f>
        <v>0</v>
      </c>
    </row>
    <row r="401" customFormat="false" ht="15" hidden="false" customHeight="false" outlineLevel="0" collapsed="false">
      <c r="A401" s="0" t="n">
        <v>4</v>
      </c>
      <c r="B401" s="0" t="n">
        <v>95</v>
      </c>
      <c r="C401" s="0" t="str">
        <f aca="false">IF(G401&gt;0,4095,"")</f>
        <v/>
      </c>
      <c r="D401" s="0" t="str">
        <f aca="false">Calc!$B$97</f>
        <v>Candle</v>
      </c>
      <c r="E401" s="0" t="str">
        <f aca="false">Calc!$A$97</f>
        <v>Science Consumables</v>
      </c>
      <c r="F401" s="0" t="str">
        <f aca="false">Calc!$D$97</f>
        <v>Consumable</v>
      </c>
      <c r="G401" s="0" t="n">
        <f aca="false">Calc!$H$97</f>
        <v>0</v>
      </c>
    </row>
    <row r="402" customFormat="false" ht="15" hidden="false" customHeight="false" outlineLevel="0" collapsed="false">
      <c r="A402" s="0" t="n">
        <v>4</v>
      </c>
      <c r="B402" s="0" t="n">
        <v>96</v>
      </c>
      <c r="C402" s="0" t="str">
        <f aca="false">IF(G402&gt;0,4096,"")</f>
        <v/>
      </c>
      <c r="D402" s="0" t="str">
        <f aca="false">Calc!$B$98</f>
        <v>Copper coins</v>
      </c>
      <c r="E402" s="0" t="str">
        <f aca="false">Calc!$A$98</f>
        <v>Science Consumables</v>
      </c>
      <c r="F402" s="0" t="str">
        <f aca="false">Calc!$D$98</f>
        <v>Reusable</v>
      </c>
      <c r="G402" s="0" t="n">
        <f aca="false">Calc!$H$98</f>
        <v>0</v>
      </c>
    </row>
    <row r="403" customFormat="false" ht="15" hidden="false" customHeight="false" outlineLevel="0" collapsed="false">
      <c r="A403" s="0" t="n">
        <v>4</v>
      </c>
      <c r="B403" s="0" t="n">
        <v>97</v>
      </c>
      <c r="C403" s="0" t="str">
        <f aca="false">IF(G403&gt;0,4097,"")</f>
        <v/>
      </c>
      <c r="D403" s="0" t="str">
        <f aca="false">Calc!$B$99</f>
        <v>Fruits (bananas etc.)</v>
      </c>
      <c r="E403" s="0" t="str">
        <f aca="false">Calc!$A$99</f>
        <v>Science Consumables</v>
      </c>
      <c r="F403" s="0" t="str">
        <f aca="false">Calc!$D$99</f>
        <v>Consumable</v>
      </c>
      <c r="G403" s="0" t="n">
        <f aca="false">Calc!$H$99</f>
        <v>0</v>
      </c>
    </row>
    <row r="404" customFormat="false" ht="15" hidden="false" customHeight="false" outlineLevel="0" collapsed="false">
      <c r="A404" s="0" t="n">
        <v>4</v>
      </c>
      <c r="B404" s="0" t="n">
        <v>98</v>
      </c>
      <c r="C404" s="0" t="str">
        <f aca="false">IF(G404&gt;0,4098,"")</f>
        <v/>
      </c>
      <c r="D404" s="0" t="str">
        <f aca="false">Calc!$B$100</f>
        <v>Galvanized nails</v>
      </c>
      <c r="E404" s="0" t="str">
        <f aca="false">Calc!$A$100</f>
        <v>Science Consumables</v>
      </c>
      <c r="F404" s="0" t="str">
        <f aca="false">Calc!$D$100</f>
        <v>Consumable</v>
      </c>
      <c r="G404" s="0" t="n">
        <f aca="false">Calc!$H$100</f>
        <v>0</v>
      </c>
    </row>
    <row r="405" customFormat="false" ht="15" hidden="false" customHeight="false" outlineLevel="0" collapsed="false">
      <c r="A405" s="0" t="n">
        <v>4</v>
      </c>
      <c r="B405" s="0" t="n">
        <v>99</v>
      </c>
      <c r="C405" s="0" t="str">
        <f aca="false">IF(G405&gt;0,4099,"")</f>
        <v/>
      </c>
      <c r="D405" s="0" t="str">
        <f aca="false">Calc!$B$101</f>
        <v>Lemons</v>
      </c>
      <c r="E405" s="0" t="str">
        <f aca="false">Calc!$A$101</f>
        <v>Science Consumables</v>
      </c>
      <c r="F405" s="0" t="str">
        <f aca="false">Calc!$D$101</f>
        <v>Consumable</v>
      </c>
      <c r="G405" s="0" t="n">
        <f aca="false">Calc!$H$101</f>
        <v>0</v>
      </c>
    </row>
    <row r="406" customFormat="false" ht="15" hidden="false" customHeight="false" outlineLevel="0" collapsed="false">
      <c r="A406" s="0" t="n">
        <v>4</v>
      </c>
      <c r="B406" s="0" t="n">
        <v>999</v>
      </c>
      <c r="C406" s="0" t="str">
        <f aca="false">IF(SUM(Calc!$H$3:$H$101)&gt;0,4999,"")</f>
        <v/>
      </c>
    </row>
    <row r="407" customFormat="false" ht="15" hidden="false" customHeight="false" outlineLevel="0" collapsed="false">
      <c r="A407" s="0" t="n">
        <v>5</v>
      </c>
      <c r="B407" s="0" t="n">
        <v>0</v>
      </c>
      <c r="C407" s="0" t="str">
        <f aca="false">IF(SUM(Calc!$I$3:$I$101)&gt;0,5000,"")</f>
        <v/>
      </c>
      <c r="D407" s="0" t="str">
        <f aca="false">"FRIDAY"&amp;IF('This Week''s Hardware'!$C$3="",""," "&amp;TEXT('This Week''s Hardware'!$C$3+4,"dd-mmm"))</f>
        <v>FRIDAY</v>
      </c>
      <c r="E407" s="0" t="str">
        <f aca="false">COUNTIFS('Session Tracker'!$F$5:$F$149,"Next week",'Session Tracker'!$G$5:$G$149,"Fri")&amp;" session(s)"</f>
        <v>0 session(s)</v>
      </c>
    </row>
    <row r="408" customFormat="false" ht="15" hidden="false" customHeight="false" outlineLevel="0" collapsed="false">
      <c r="A408" s="0" t="n">
        <v>5</v>
      </c>
      <c r="B408" s="0" t="n">
        <v>1</v>
      </c>
      <c r="C408" s="0" t="str">
        <f aca="false">IF(G408&gt;0,5001,"")</f>
        <v/>
      </c>
      <c r="D408" s="0" t="str">
        <f aca="false">Calc!$B$3</f>
        <v>Arduino Uno + USB cable</v>
      </c>
      <c r="E408" s="0" t="str">
        <f aca="false">Calc!$A$3</f>
        <v>Microcontrollers &amp; Dev Boards</v>
      </c>
      <c r="F408" s="0" t="str">
        <f aca="false">Calc!$D$3</f>
        <v>Reusable</v>
      </c>
      <c r="G408" s="0" t="n">
        <f aca="false">Calc!$I$3</f>
        <v>0</v>
      </c>
    </row>
    <row r="409" customFormat="false" ht="15" hidden="false" customHeight="false" outlineLevel="0" collapsed="false">
      <c r="A409" s="0" t="n">
        <v>5</v>
      </c>
      <c r="B409" s="0" t="n">
        <v>2</v>
      </c>
      <c r="C409" s="0" t="str">
        <f aca="false">IF(G409&gt;0,5002,"")</f>
        <v/>
      </c>
      <c r="D409" s="0" t="str">
        <f aca="false">Calc!$B$4</f>
        <v>ESP32 Dev Board + USB cable</v>
      </c>
      <c r="E409" s="0" t="str">
        <f aca="false">Calc!$A$4</f>
        <v>Microcontrollers &amp; Dev Boards</v>
      </c>
      <c r="F409" s="0" t="str">
        <f aca="false">Calc!$D$4</f>
        <v>Reusable</v>
      </c>
      <c r="G409" s="0" t="n">
        <f aca="false">Calc!$I$4</f>
        <v>0</v>
      </c>
    </row>
    <row r="410" customFormat="false" ht="15" hidden="false" customHeight="false" outlineLevel="0" collapsed="false">
      <c r="A410" s="0" t="n">
        <v>5</v>
      </c>
      <c r="B410" s="0" t="n">
        <v>3</v>
      </c>
      <c r="C410" s="0" t="str">
        <f aca="false">IF(G410&gt;0,5003,"")</f>
        <v/>
      </c>
      <c r="D410" s="0" t="str">
        <f aca="false">Calc!$B$5</f>
        <v>ESP32-CAM + programmer</v>
      </c>
      <c r="E410" s="0" t="str">
        <f aca="false">Calc!$A$5</f>
        <v>Microcontrollers &amp; Dev Boards</v>
      </c>
      <c r="F410" s="0" t="str">
        <f aca="false">Calc!$D$5</f>
        <v>Reusable</v>
      </c>
      <c r="G410" s="0" t="n">
        <f aca="false">Calc!$I$5</f>
        <v>0</v>
      </c>
    </row>
    <row r="411" customFormat="false" ht="15" hidden="false" customHeight="false" outlineLevel="0" collapsed="false">
      <c r="A411" s="0" t="n">
        <v>5</v>
      </c>
      <c r="B411" s="0" t="n">
        <v>4</v>
      </c>
      <c r="C411" s="0" t="str">
        <f aca="false">IF(G411&gt;0,5004,"")</f>
        <v/>
      </c>
      <c r="D411" s="0" t="str">
        <f aca="false">Calc!$B$6</f>
        <v>Makey Makey kit</v>
      </c>
      <c r="E411" s="0" t="str">
        <f aca="false">Calc!$A$6</f>
        <v>Microcontrollers &amp; Dev Boards</v>
      </c>
      <c r="F411" s="0" t="str">
        <f aca="false">Calc!$D$6</f>
        <v>Reusable</v>
      </c>
      <c r="G411" s="0" t="n">
        <f aca="false">Calc!$I$6</f>
        <v>0</v>
      </c>
    </row>
    <row r="412" customFormat="false" ht="15" hidden="false" customHeight="false" outlineLevel="0" collapsed="false">
      <c r="A412" s="0" t="n">
        <v>5</v>
      </c>
      <c r="B412" s="0" t="n">
        <v>5</v>
      </c>
      <c r="C412" s="0" t="str">
        <f aca="false">IF(G412&gt;0,5005,"")</f>
        <v/>
      </c>
      <c r="D412" s="0" t="str">
        <f aca="false">Calc!$B$7</f>
        <v>2WD robot chassis kit</v>
      </c>
      <c r="E412" s="0" t="str">
        <f aca="false">Calc!$A$7</f>
        <v>Robot Platforms &amp; Kits</v>
      </c>
      <c r="F412" s="0" t="str">
        <f aca="false">Calc!$D$7</f>
        <v>Reusable</v>
      </c>
      <c r="G412" s="0" t="n">
        <f aca="false">Calc!$I$7</f>
        <v>0</v>
      </c>
    </row>
    <row r="413" customFormat="false" ht="15" hidden="false" customHeight="false" outlineLevel="0" collapsed="false">
      <c r="A413" s="0" t="n">
        <v>5</v>
      </c>
      <c r="B413" s="0" t="n">
        <v>6</v>
      </c>
      <c r="C413" s="0" t="str">
        <f aca="false">IF(G413&gt;0,5006,"")</f>
        <v/>
      </c>
      <c r="D413" s="0" t="str">
        <f aca="false">Calc!$B$8</f>
        <v>4WD robot car (assembled, L298N)</v>
      </c>
      <c r="E413" s="0" t="str">
        <f aca="false">Calc!$A$8</f>
        <v>Robot Platforms &amp; Kits</v>
      </c>
      <c r="F413" s="0" t="str">
        <f aca="false">Calc!$D$8</f>
        <v>Reusable</v>
      </c>
      <c r="G413" s="0" t="n">
        <f aca="false">Calc!$I$8</f>
        <v>0</v>
      </c>
    </row>
    <row r="414" customFormat="false" ht="15" hidden="false" customHeight="false" outlineLevel="0" collapsed="false">
      <c r="A414" s="0" t="n">
        <v>5</v>
      </c>
      <c r="B414" s="0" t="n">
        <v>7</v>
      </c>
      <c r="C414" s="0" t="str">
        <f aca="false">IF(G414&gt;0,5007,"")</f>
        <v/>
      </c>
      <c r="D414" s="0" t="str">
        <f aca="false">Calc!$B$9</f>
        <v>Brush Bot kit</v>
      </c>
      <c r="E414" s="0" t="str">
        <f aca="false">Calc!$A$9</f>
        <v>Robot Platforms &amp; Kits</v>
      </c>
      <c r="F414" s="0" t="str">
        <f aca="false">Calc!$D$9</f>
        <v>Consumable</v>
      </c>
      <c r="G414" s="0" t="n">
        <f aca="false">Calc!$I$9</f>
        <v>0</v>
      </c>
    </row>
    <row r="415" customFormat="false" ht="15" hidden="false" customHeight="false" outlineLevel="0" collapsed="false">
      <c r="A415" s="0" t="n">
        <v>5</v>
      </c>
      <c r="B415" s="0" t="n">
        <v>8</v>
      </c>
      <c r="C415" s="0" t="str">
        <f aca="false">IF(G415&gt;0,5008,"")</f>
        <v/>
      </c>
      <c r="D415" s="0" t="str">
        <f aca="false">Calc!$B$10</f>
        <v>Colour sensor TCS34725</v>
      </c>
      <c r="E415" s="0" t="str">
        <f aca="false">Calc!$A$10</f>
        <v>Sensors</v>
      </c>
      <c r="F415" s="0" t="str">
        <f aca="false">Calc!$D$10</f>
        <v>Reusable</v>
      </c>
      <c r="G415" s="0" t="n">
        <f aca="false">Calc!$I$10</f>
        <v>0</v>
      </c>
    </row>
    <row r="416" customFormat="false" ht="15" hidden="false" customHeight="false" outlineLevel="0" collapsed="false">
      <c r="A416" s="0" t="n">
        <v>5</v>
      </c>
      <c r="B416" s="0" t="n">
        <v>9</v>
      </c>
      <c r="C416" s="0" t="str">
        <f aca="false">IF(G416&gt;0,5009,"")</f>
        <v/>
      </c>
      <c r="D416" s="0" t="str">
        <f aca="false">Calc!$B$11</f>
        <v>Current sensor INA219</v>
      </c>
      <c r="E416" s="0" t="str">
        <f aca="false">Calc!$A$11</f>
        <v>Sensors</v>
      </c>
      <c r="F416" s="0" t="str">
        <f aca="false">Calc!$D$11</f>
        <v>Reusable</v>
      </c>
      <c r="G416" s="0" t="n">
        <f aca="false">Calc!$I$11</f>
        <v>0</v>
      </c>
    </row>
    <row r="417" customFormat="false" ht="15" hidden="false" customHeight="false" outlineLevel="0" collapsed="false">
      <c r="A417" s="0" t="n">
        <v>5</v>
      </c>
      <c r="B417" s="0" t="n">
        <v>10</v>
      </c>
      <c r="C417" s="0" t="str">
        <f aca="false">IF(G417&gt;0,5010,"")</f>
        <v/>
      </c>
      <c r="D417" s="0" t="str">
        <f aca="false">Calc!$B$12</f>
        <v>DHT22 sensor</v>
      </c>
      <c r="E417" s="0" t="str">
        <f aca="false">Calc!$A$12</f>
        <v>Sensors</v>
      </c>
      <c r="F417" s="0" t="str">
        <f aca="false">Calc!$D$12</f>
        <v>Reusable</v>
      </c>
      <c r="G417" s="0" t="n">
        <f aca="false">Calc!$I$12</f>
        <v>0</v>
      </c>
    </row>
    <row r="418" customFormat="false" ht="15" hidden="false" customHeight="false" outlineLevel="0" collapsed="false">
      <c r="A418" s="0" t="n">
        <v>5</v>
      </c>
      <c r="B418" s="0" t="n">
        <v>11</v>
      </c>
      <c r="C418" s="0" t="str">
        <f aca="false">IF(G418&gt;0,5011,"")</f>
        <v/>
      </c>
      <c r="D418" s="0" t="str">
        <f aca="false">Calc!$B$13</f>
        <v>Flame sensor</v>
      </c>
      <c r="E418" s="0" t="str">
        <f aca="false">Calc!$A$13</f>
        <v>Sensors</v>
      </c>
      <c r="F418" s="0" t="str">
        <f aca="false">Calc!$D$13</f>
        <v>Reusable</v>
      </c>
      <c r="G418" s="0" t="n">
        <f aca="false">Calc!$I$13</f>
        <v>0</v>
      </c>
    </row>
    <row r="419" customFormat="false" ht="15" hidden="false" customHeight="false" outlineLevel="0" collapsed="false">
      <c r="A419" s="0" t="n">
        <v>5</v>
      </c>
      <c r="B419" s="0" t="n">
        <v>12</v>
      </c>
      <c r="C419" s="0" t="str">
        <f aca="false">IF(G419&gt;0,5012,"")</f>
        <v/>
      </c>
      <c r="D419" s="0" t="str">
        <f aca="false">Calc!$B$14</f>
        <v>IR sensor module</v>
      </c>
      <c r="E419" s="0" t="str">
        <f aca="false">Calc!$A$14</f>
        <v>Sensors</v>
      </c>
      <c r="F419" s="0" t="str">
        <f aca="false">Calc!$D$14</f>
        <v>Reusable</v>
      </c>
      <c r="G419" s="0" t="n">
        <f aca="false">Calc!$I$14</f>
        <v>0</v>
      </c>
    </row>
    <row r="420" customFormat="false" ht="15" hidden="false" customHeight="false" outlineLevel="0" collapsed="false">
      <c r="A420" s="0" t="n">
        <v>5</v>
      </c>
      <c r="B420" s="0" t="n">
        <v>13</v>
      </c>
      <c r="C420" s="0" t="str">
        <f aca="false">IF(G420&gt;0,5013,"")</f>
        <v/>
      </c>
      <c r="D420" s="0" t="str">
        <f aca="false">Calc!$B$15</f>
        <v>Joystick module</v>
      </c>
      <c r="E420" s="0" t="str">
        <f aca="false">Calc!$A$15</f>
        <v>Sensors</v>
      </c>
      <c r="F420" s="0" t="str">
        <f aca="false">Calc!$D$15</f>
        <v>Reusable</v>
      </c>
      <c r="G420" s="0" t="n">
        <f aca="false">Calc!$I$15</f>
        <v>0</v>
      </c>
    </row>
    <row r="421" customFormat="false" ht="15" hidden="false" customHeight="false" outlineLevel="0" collapsed="false">
      <c r="A421" s="0" t="n">
        <v>5</v>
      </c>
      <c r="B421" s="0" t="n">
        <v>14</v>
      </c>
      <c r="C421" s="0" t="str">
        <f aca="false">IF(G421&gt;0,5014,"")</f>
        <v/>
      </c>
      <c r="D421" s="0" t="str">
        <f aca="false">Calc!$B$16</f>
        <v>LDR module</v>
      </c>
      <c r="E421" s="0" t="str">
        <f aca="false">Calc!$A$16</f>
        <v>Sensors</v>
      </c>
      <c r="F421" s="0" t="str">
        <f aca="false">Calc!$D$16</f>
        <v>Reusable</v>
      </c>
      <c r="G421" s="0" t="n">
        <f aca="false">Calc!$I$16</f>
        <v>0</v>
      </c>
    </row>
    <row r="422" customFormat="false" ht="15" hidden="false" customHeight="false" outlineLevel="0" collapsed="false">
      <c r="A422" s="0" t="n">
        <v>5</v>
      </c>
      <c r="B422" s="0" t="n">
        <v>15</v>
      </c>
      <c r="C422" s="0" t="str">
        <f aca="false">IF(G422&gt;0,5015,"")</f>
        <v/>
      </c>
      <c r="D422" s="0" t="str">
        <f aca="false">Calc!$B$17</f>
        <v>Load cell 5 kg + HX711</v>
      </c>
      <c r="E422" s="0" t="str">
        <f aca="false">Calc!$A$17</f>
        <v>Sensors</v>
      </c>
      <c r="F422" s="0" t="str">
        <f aca="false">Calc!$D$17</f>
        <v>Reusable</v>
      </c>
      <c r="G422" s="0" t="n">
        <f aca="false">Calc!$I$17</f>
        <v>0</v>
      </c>
    </row>
    <row r="423" customFormat="false" ht="15" hidden="false" customHeight="false" outlineLevel="0" collapsed="false">
      <c r="A423" s="0" t="n">
        <v>5</v>
      </c>
      <c r="B423" s="0" t="n">
        <v>16</v>
      </c>
      <c r="C423" s="0" t="str">
        <f aca="false">IF(G423&gt;0,5016,"")</f>
        <v/>
      </c>
      <c r="D423" s="0" t="str">
        <f aca="false">Calc!$B$18</f>
        <v>MPU6050 IMU</v>
      </c>
      <c r="E423" s="0" t="str">
        <f aca="false">Calc!$A$18</f>
        <v>Sensors</v>
      </c>
      <c r="F423" s="0" t="str">
        <f aca="false">Calc!$D$18</f>
        <v>Reusable</v>
      </c>
      <c r="G423" s="0" t="n">
        <f aca="false">Calc!$I$18</f>
        <v>0</v>
      </c>
    </row>
    <row r="424" customFormat="false" ht="15" hidden="false" customHeight="false" outlineLevel="0" collapsed="false">
      <c r="A424" s="0" t="n">
        <v>5</v>
      </c>
      <c r="B424" s="0" t="n">
        <v>17</v>
      </c>
      <c r="C424" s="0" t="str">
        <f aca="false">IF(G424&gt;0,5017,"")</f>
        <v/>
      </c>
      <c r="D424" s="0" t="str">
        <f aca="false">Calc!$B$19</f>
        <v>MQ-2 gas sensor</v>
      </c>
      <c r="E424" s="0" t="str">
        <f aca="false">Calc!$A$19</f>
        <v>Sensors</v>
      </c>
      <c r="F424" s="0" t="str">
        <f aca="false">Calc!$D$19</f>
        <v>Reusable</v>
      </c>
      <c r="G424" s="0" t="n">
        <f aca="false">Calc!$I$19</f>
        <v>0</v>
      </c>
    </row>
    <row r="425" customFormat="false" ht="15" hidden="false" customHeight="false" outlineLevel="0" collapsed="false">
      <c r="A425" s="0" t="n">
        <v>5</v>
      </c>
      <c r="B425" s="0" t="n">
        <v>18</v>
      </c>
      <c r="C425" s="0" t="str">
        <f aca="false">IF(G425&gt;0,5018,"")</f>
        <v/>
      </c>
      <c r="D425" s="0" t="str">
        <f aca="false">Calc!$B$20</f>
        <v>PIR motion sensor</v>
      </c>
      <c r="E425" s="0" t="str">
        <f aca="false">Calc!$A$20</f>
        <v>Sensors</v>
      </c>
      <c r="F425" s="0" t="str">
        <f aca="false">Calc!$D$20</f>
        <v>Reusable</v>
      </c>
      <c r="G425" s="0" t="n">
        <f aca="false">Calc!$I$20</f>
        <v>0</v>
      </c>
    </row>
    <row r="426" customFormat="false" ht="15" hidden="false" customHeight="false" outlineLevel="0" collapsed="false">
      <c r="A426" s="0" t="n">
        <v>5</v>
      </c>
      <c r="B426" s="0" t="n">
        <v>19</v>
      </c>
      <c r="C426" s="0" t="str">
        <f aca="false">IF(G426&gt;0,5019,"")</f>
        <v/>
      </c>
      <c r="D426" s="0" t="str">
        <f aca="false">Calc!$B$21</f>
        <v>Pulse sensor</v>
      </c>
      <c r="E426" s="0" t="str">
        <f aca="false">Calc!$A$21</f>
        <v>Sensors</v>
      </c>
      <c r="F426" s="0" t="str">
        <f aca="false">Calc!$D$21</f>
        <v>Reusable</v>
      </c>
      <c r="G426" s="0" t="n">
        <f aca="false">Calc!$I$21</f>
        <v>0</v>
      </c>
    </row>
    <row r="427" customFormat="false" ht="15" hidden="false" customHeight="false" outlineLevel="0" collapsed="false">
      <c r="A427" s="0" t="n">
        <v>5</v>
      </c>
      <c r="B427" s="0" t="n">
        <v>20</v>
      </c>
      <c r="C427" s="0" t="str">
        <f aca="false">IF(G427&gt;0,5020,"")</f>
        <v/>
      </c>
      <c r="D427" s="0" t="str">
        <f aca="false">Calc!$B$22</f>
        <v>Rain sensor</v>
      </c>
      <c r="E427" s="0" t="str">
        <f aca="false">Calc!$A$22</f>
        <v>Sensors</v>
      </c>
      <c r="F427" s="0" t="str">
        <f aca="false">Calc!$D$22</f>
        <v>Reusable</v>
      </c>
      <c r="G427" s="0" t="n">
        <f aca="false">Calc!$I$22</f>
        <v>0</v>
      </c>
    </row>
    <row r="428" customFormat="false" ht="15" hidden="false" customHeight="false" outlineLevel="0" collapsed="false">
      <c r="A428" s="0" t="n">
        <v>5</v>
      </c>
      <c r="B428" s="0" t="n">
        <v>21</v>
      </c>
      <c r="C428" s="0" t="str">
        <f aca="false">IF(G428&gt;0,5021,"")</f>
        <v/>
      </c>
      <c r="D428" s="0" t="str">
        <f aca="false">Calc!$B$23</f>
        <v>Soil moisture sensor</v>
      </c>
      <c r="E428" s="0" t="str">
        <f aca="false">Calc!$A$23</f>
        <v>Sensors</v>
      </c>
      <c r="F428" s="0" t="str">
        <f aca="false">Calc!$D$23</f>
        <v>Reusable</v>
      </c>
      <c r="G428" s="0" t="n">
        <f aca="false">Calc!$I$23</f>
        <v>0</v>
      </c>
    </row>
    <row r="429" customFormat="false" ht="15" hidden="false" customHeight="false" outlineLevel="0" collapsed="false">
      <c r="A429" s="0" t="n">
        <v>5</v>
      </c>
      <c r="B429" s="0" t="n">
        <v>22</v>
      </c>
      <c r="C429" s="0" t="str">
        <f aca="false">IF(G429&gt;0,5022,"")</f>
        <v/>
      </c>
      <c r="D429" s="0" t="str">
        <f aca="false">Calc!$B$24</f>
        <v>Sound sensor KY-037</v>
      </c>
      <c r="E429" s="0" t="str">
        <f aca="false">Calc!$A$24</f>
        <v>Sensors</v>
      </c>
      <c r="F429" s="0" t="str">
        <f aca="false">Calc!$D$24</f>
        <v>Reusable</v>
      </c>
      <c r="G429" s="0" t="n">
        <f aca="false">Calc!$I$24</f>
        <v>0</v>
      </c>
    </row>
    <row r="430" customFormat="false" ht="15" hidden="false" customHeight="false" outlineLevel="0" collapsed="false">
      <c r="A430" s="0" t="n">
        <v>5</v>
      </c>
      <c r="B430" s="0" t="n">
        <v>23</v>
      </c>
      <c r="C430" s="0" t="str">
        <f aca="false">IF(G430&gt;0,5023,"")</f>
        <v/>
      </c>
      <c r="D430" s="0" t="str">
        <f aca="false">Calc!$B$25</f>
        <v>Ultrasonic sensor HC-SR04</v>
      </c>
      <c r="E430" s="0" t="str">
        <f aca="false">Calc!$A$25</f>
        <v>Sensors</v>
      </c>
      <c r="F430" s="0" t="str">
        <f aca="false">Calc!$D$25</f>
        <v>Reusable</v>
      </c>
      <c r="G430" s="0" t="n">
        <f aca="false">Calc!$I$25</f>
        <v>0</v>
      </c>
    </row>
    <row r="431" customFormat="false" ht="15" hidden="false" customHeight="false" outlineLevel="0" collapsed="false">
      <c r="A431" s="0" t="n">
        <v>5</v>
      </c>
      <c r="B431" s="0" t="n">
        <v>24</v>
      </c>
      <c r="C431" s="0" t="str">
        <f aca="false">IF(G431&gt;0,5024,"")</f>
        <v/>
      </c>
      <c r="D431" s="0" t="str">
        <f aca="false">Calc!$B$26</f>
        <v>4x4 matrix keypad</v>
      </c>
      <c r="E431" s="0" t="str">
        <f aca="false">Calc!$A$26</f>
        <v>Security &amp; Identification</v>
      </c>
      <c r="F431" s="0" t="str">
        <f aca="false">Calc!$D$26</f>
        <v>Reusable</v>
      </c>
      <c r="G431" s="0" t="n">
        <f aca="false">Calc!$I$26</f>
        <v>0</v>
      </c>
    </row>
    <row r="432" customFormat="false" ht="15" hidden="false" customHeight="false" outlineLevel="0" collapsed="false">
      <c r="A432" s="0" t="n">
        <v>5</v>
      </c>
      <c r="B432" s="0" t="n">
        <v>25</v>
      </c>
      <c r="C432" s="0" t="str">
        <f aca="false">IF(G432&gt;0,5025,"")</f>
        <v/>
      </c>
      <c r="D432" s="0" t="str">
        <f aca="false">Calc!$B$27</f>
        <v>RFID RC522 + cards</v>
      </c>
      <c r="E432" s="0" t="str">
        <f aca="false">Calc!$A$27</f>
        <v>Security &amp; Identification</v>
      </c>
      <c r="F432" s="0" t="str">
        <f aca="false">Calc!$D$27</f>
        <v>Reusable</v>
      </c>
      <c r="G432" s="0" t="n">
        <f aca="false">Calc!$I$27</f>
        <v>0</v>
      </c>
    </row>
    <row r="433" customFormat="false" ht="15" hidden="false" customHeight="false" outlineLevel="0" collapsed="false">
      <c r="A433" s="0" t="n">
        <v>5</v>
      </c>
      <c r="B433" s="0" t="n">
        <v>26</v>
      </c>
      <c r="C433" s="0" t="str">
        <f aca="false">IF(G433&gt;0,5026,"")</f>
        <v/>
      </c>
      <c r="D433" s="0" t="str">
        <f aca="false">Calc!$B$28</f>
        <v>Bluetooth module HC-05</v>
      </c>
      <c r="E433" s="0" t="str">
        <f aca="false">Calc!$A$28</f>
        <v>Communication Modules</v>
      </c>
      <c r="F433" s="0" t="str">
        <f aca="false">Calc!$D$28</f>
        <v>Reusable</v>
      </c>
      <c r="G433" s="0" t="n">
        <f aca="false">Calc!$I$28</f>
        <v>0</v>
      </c>
    </row>
    <row r="434" customFormat="false" ht="15" hidden="false" customHeight="false" outlineLevel="0" collapsed="false">
      <c r="A434" s="0" t="n">
        <v>5</v>
      </c>
      <c r="B434" s="0" t="n">
        <v>27</v>
      </c>
      <c r="C434" s="0" t="str">
        <f aca="false">IF(G434&gt;0,5027,"")</f>
        <v/>
      </c>
      <c r="D434" s="0" t="str">
        <f aca="false">Calc!$B$29</f>
        <v>NRF24L01 module</v>
      </c>
      <c r="E434" s="0" t="str">
        <f aca="false">Calc!$A$29</f>
        <v>Communication Modules</v>
      </c>
      <c r="F434" s="0" t="str">
        <f aca="false">Calc!$D$29</f>
        <v>Reusable</v>
      </c>
      <c r="G434" s="0" t="n">
        <f aca="false">Calc!$I$29</f>
        <v>0</v>
      </c>
    </row>
    <row r="435" customFormat="false" ht="15" hidden="false" customHeight="false" outlineLevel="0" collapsed="false">
      <c r="A435" s="0" t="n">
        <v>5</v>
      </c>
      <c r="B435" s="0" t="n">
        <v>28</v>
      </c>
      <c r="C435" s="0" t="str">
        <f aca="false">IF(G435&gt;0,5028,"")</f>
        <v/>
      </c>
      <c r="D435" s="0" t="str">
        <f aca="false">Calc!$B$30</f>
        <v>Buzzer</v>
      </c>
      <c r="E435" s="0" t="str">
        <f aca="false">Calc!$A$30</f>
        <v>Actuators &amp; Motor Drivers</v>
      </c>
      <c r="F435" s="0" t="str">
        <f aca="false">Calc!$D$30</f>
        <v>Reusable</v>
      </c>
      <c r="G435" s="0" t="n">
        <f aca="false">Calc!$I$30</f>
        <v>0</v>
      </c>
    </row>
    <row r="436" customFormat="false" ht="15" hidden="false" customHeight="false" outlineLevel="0" collapsed="false">
      <c r="A436" s="0" t="n">
        <v>5</v>
      </c>
      <c r="B436" s="0" t="n">
        <v>29</v>
      </c>
      <c r="C436" s="0" t="str">
        <f aca="false">IF(G436&gt;0,5029,"")</f>
        <v/>
      </c>
      <c r="D436" s="0" t="str">
        <f aca="false">Calc!$B$31</f>
        <v>DC hobby motor</v>
      </c>
      <c r="E436" s="0" t="str">
        <f aca="false">Calc!$A$31</f>
        <v>Actuators &amp; Motor Drivers</v>
      </c>
      <c r="F436" s="0" t="str">
        <f aca="false">Calc!$D$31</f>
        <v>Reusable</v>
      </c>
      <c r="G436" s="0" t="n">
        <f aca="false">Calc!$I$31</f>
        <v>0</v>
      </c>
    </row>
    <row r="437" customFormat="false" ht="15" hidden="false" customHeight="false" outlineLevel="0" collapsed="false">
      <c r="A437" s="0" t="n">
        <v>5</v>
      </c>
      <c r="B437" s="0" t="n">
        <v>30</v>
      </c>
      <c r="C437" s="0" t="str">
        <f aca="false">IF(G437&gt;0,5030,"")</f>
        <v/>
      </c>
      <c r="D437" s="0" t="str">
        <f aca="false">Calc!$B$32</f>
        <v>L298N motor driver</v>
      </c>
      <c r="E437" s="0" t="str">
        <f aca="false">Calc!$A$32</f>
        <v>Actuators &amp; Motor Drivers</v>
      </c>
      <c r="F437" s="0" t="str">
        <f aca="false">Calc!$D$32</f>
        <v>Reusable</v>
      </c>
      <c r="G437" s="0" t="n">
        <f aca="false">Calc!$I$32</f>
        <v>0</v>
      </c>
    </row>
    <row r="438" customFormat="false" ht="15" hidden="false" customHeight="false" outlineLevel="0" collapsed="false">
      <c r="A438" s="0" t="n">
        <v>5</v>
      </c>
      <c r="B438" s="0" t="n">
        <v>31</v>
      </c>
      <c r="C438" s="0" t="str">
        <f aca="false">IF(G438&gt;0,5031,"")</f>
        <v/>
      </c>
      <c r="D438" s="0" t="str">
        <f aca="false">Calc!$B$33</f>
        <v>Mini water pump + tube</v>
      </c>
      <c r="E438" s="0" t="str">
        <f aca="false">Calc!$A$33</f>
        <v>Actuators &amp; Motor Drivers</v>
      </c>
      <c r="F438" s="0" t="str">
        <f aca="false">Calc!$D$33</f>
        <v>Reusable</v>
      </c>
      <c r="G438" s="0" t="n">
        <f aca="false">Calc!$I$33</f>
        <v>0</v>
      </c>
    </row>
    <row r="439" customFormat="false" ht="15" hidden="false" customHeight="false" outlineLevel="0" collapsed="false">
      <c r="A439" s="0" t="n">
        <v>5</v>
      </c>
      <c r="B439" s="0" t="n">
        <v>32</v>
      </c>
      <c r="C439" s="0" t="str">
        <f aca="false">IF(G439&gt;0,5032,"")</f>
        <v/>
      </c>
      <c r="D439" s="0" t="str">
        <f aca="false">Calc!$B$34</f>
        <v>Passive buzzer</v>
      </c>
      <c r="E439" s="0" t="str">
        <f aca="false">Calc!$A$34</f>
        <v>Actuators &amp; Motor Drivers</v>
      </c>
      <c r="F439" s="0" t="str">
        <f aca="false">Calc!$D$34</f>
        <v>Reusable</v>
      </c>
      <c r="G439" s="0" t="n">
        <f aca="false">Calc!$I$34</f>
        <v>0</v>
      </c>
    </row>
    <row r="440" customFormat="false" ht="15" hidden="false" customHeight="false" outlineLevel="0" collapsed="false">
      <c r="A440" s="0" t="n">
        <v>5</v>
      </c>
      <c r="B440" s="0" t="n">
        <v>33</v>
      </c>
      <c r="C440" s="0" t="str">
        <f aca="false">IF(G440&gt;0,5033,"")</f>
        <v/>
      </c>
      <c r="D440" s="0" t="str">
        <f aca="false">Calc!$B$35</f>
        <v>Relay module (1-channel)</v>
      </c>
      <c r="E440" s="0" t="str">
        <f aca="false">Calc!$A$35</f>
        <v>Actuators &amp; Motor Drivers</v>
      </c>
      <c r="F440" s="0" t="str">
        <f aca="false">Calc!$D$35</f>
        <v>Reusable</v>
      </c>
      <c r="G440" s="0" t="n">
        <f aca="false">Calc!$I$35</f>
        <v>0</v>
      </c>
    </row>
    <row r="441" customFormat="false" ht="15" hidden="false" customHeight="false" outlineLevel="0" collapsed="false">
      <c r="A441" s="0" t="n">
        <v>5</v>
      </c>
      <c r="B441" s="0" t="n">
        <v>34</v>
      </c>
      <c r="C441" s="0" t="str">
        <f aca="false">IF(G441&gt;0,5034,"")</f>
        <v/>
      </c>
      <c r="D441" s="0" t="str">
        <f aca="false">Calc!$B$36</f>
        <v>Relay module (4-channel)</v>
      </c>
      <c r="E441" s="0" t="str">
        <f aca="false">Calc!$A$36</f>
        <v>Actuators &amp; Motor Drivers</v>
      </c>
      <c r="F441" s="0" t="str">
        <f aca="false">Calc!$D$36</f>
        <v>Reusable</v>
      </c>
      <c r="G441" s="0" t="n">
        <f aca="false">Calc!$I$36</f>
        <v>0</v>
      </c>
    </row>
    <row r="442" customFormat="false" ht="15" hidden="false" customHeight="false" outlineLevel="0" collapsed="false">
      <c r="A442" s="0" t="n">
        <v>5</v>
      </c>
      <c r="B442" s="0" t="n">
        <v>35</v>
      </c>
      <c r="C442" s="0" t="str">
        <f aca="false">IF(G442&gt;0,5035,"")</f>
        <v/>
      </c>
      <c r="D442" s="0" t="str">
        <f aca="false">Calc!$B$37</f>
        <v>Servo MG995</v>
      </c>
      <c r="E442" s="0" t="str">
        <f aca="false">Calc!$A$37</f>
        <v>Actuators &amp; Motor Drivers</v>
      </c>
      <c r="F442" s="0" t="str">
        <f aca="false">Calc!$D$37</f>
        <v>Reusable</v>
      </c>
      <c r="G442" s="0" t="n">
        <f aca="false">Calc!$I$37</f>
        <v>0</v>
      </c>
    </row>
    <row r="443" customFormat="false" ht="15" hidden="false" customHeight="false" outlineLevel="0" collapsed="false">
      <c r="A443" s="0" t="n">
        <v>5</v>
      </c>
      <c r="B443" s="0" t="n">
        <v>36</v>
      </c>
      <c r="C443" s="0" t="str">
        <f aca="false">IF(G443&gt;0,5036,"")</f>
        <v/>
      </c>
      <c r="D443" s="0" t="str">
        <f aca="false">Calc!$B$38</f>
        <v>Servo SG90</v>
      </c>
      <c r="E443" s="0" t="str">
        <f aca="false">Calc!$A$38</f>
        <v>Actuators &amp; Motor Drivers</v>
      </c>
      <c r="F443" s="0" t="str">
        <f aca="false">Calc!$D$38</f>
        <v>Reusable</v>
      </c>
      <c r="G443" s="0" t="n">
        <f aca="false">Calc!$I$38</f>
        <v>0</v>
      </c>
    </row>
    <row r="444" customFormat="false" ht="15" hidden="false" customHeight="false" outlineLevel="0" collapsed="false">
      <c r="A444" s="0" t="n">
        <v>5</v>
      </c>
      <c r="B444" s="0" t="n">
        <v>37</v>
      </c>
      <c r="C444" s="0" t="str">
        <f aca="false">IF(G444&gt;0,5037,"")</f>
        <v/>
      </c>
      <c r="D444" s="0" t="str">
        <f aca="false">Calc!$B$39</f>
        <v>Stepper 28BYJ-48 + ULN2003</v>
      </c>
      <c r="E444" s="0" t="str">
        <f aca="false">Calc!$A$39</f>
        <v>Actuators &amp; Motor Drivers</v>
      </c>
      <c r="F444" s="0" t="str">
        <f aca="false">Calc!$D$39</f>
        <v>Reusable</v>
      </c>
      <c r="G444" s="0" t="n">
        <f aca="false">Calc!$I$39</f>
        <v>0</v>
      </c>
    </row>
    <row r="445" customFormat="false" ht="15" hidden="false" customHeight="false" outlineLevel="0" collapsed="false">
      <c r="A445" s="0" t="n">
        <v>5</v>
      </c>
      <c r="B445" s="0" t="n">
        <v>38</v>
      </c>
      <c r="C445" s="0" t="str">
        <f aca="false">IF(G445&gt;0,5038,"")</f>
        <v/>
      </c>
      <c r="D445" s="0" t="str">
        <f aca="false">Calc!$B$40</f>
        <v>Vibration motor module</v>
      </c>
      <c r="E445" s="0" t="str">
        <f aca="false">Calc!$A$40</f>
        <v>Actuators &amp; Motor Drivers</v>
      </c>
      <c r="F445" s="0" t="str">
        <f aca="false">Calc!$D$40</f>
        <v>Reusable</v>
      </c>
      <c r="G445" s="0" t="n">
        <f aca="false">Calc!$I$40</f>
        <v>0</v>
      </c>
    </row>
    <row r="446" customFormat="false" ht="15" hidden="false" customHeight="false" outlineLevel="0" collapsed="false">
      <c r="A446" s="0" t="n">
        <v>5</v>
      </c>
      <c r="B446" s="0" t="n">
        <v>39</v>
      </c>
      <c r="C446" s="0" t="str">
        <f aca="false">IF(G446&gt;0,5039,"")</f>
        <v/>
      </c>
      <c r="D446" s="0" t="str">
        <f aca="false">Calc!$B$41</f>
        <v>5 V DC fan</v>
      </c>
      <c r="E446" s="0" t="str">
        <f aca="false">Calc!$A$41</f>
        <v>Displays &amp; Output</v>
      </c>
      <c r="F446" s="0" t="str">
        <f aca="false">Calc!$D$41</f>
        <v>Reusable</v>
      </c>
      <c r="G446" s="0" t="n">
        <f aca="false">Calc!$I$41</f>
        <v>0</v>
      </c>
    </row>
    <row r="447" customFormat="false" ht="15" hidden="false" customHeight="false" outlineLevel="0" collapsed="false">
      <c r="A447" s="0" t="n">
        <v>5</v>
      </c>
      <c r="B447" s="0" t="n">
        <v>40</v>
      </c>
      <c r="C447" s="0" t="str">
        <f aca="false">IF(G447&gt;0,5040,"")</f>
        <v/>
      </c>
      <c r="D447" s="0" t="str">
        <f aca="false">Calc!$B$42</f>
        <v>LED 5 mm (assorted)</v>
      </c>
      <c r="E447" s="0" t="str">
        <f aca="false">Calc!$A$42</f>
        <v>Displays &amp; Output</v>
      </c>
      <c r="F447" s="0" t="str">
        <f aca="false">Calc!$D$42</f>
        <v>Consumable</v>
      </c>
      <c r="G447" s="0" t="n">
        <f aca="false">Calc!$I$42</f>
        <v>0</v>
      </c>
    </row>
    <row r="448" customFormat="false" ht="15" hidden="false" customHeight="false" outlineLevel="0" collapsed="false">
      <c r="A448" s="0" t="n">
        <v>5</v>
      </c>
      <c r="B448" s="0" t="n">
        <v>41</v>
      </c>
      <c r="C448" s="0" t="str">
        <f aca="false">IF(G448&gt;0,5041,"")</f>
        <v/>
      </c>
      <c r="D448" s="0" t="str">
        <f aca="false">Calc!$B$43</f>
        <v>Low-voltage LED lamp (5 V)</v>
      </c>
      <c r="E448" s="0" t="str">
        <f aca="false">Calc!$A$43</f>
        <v>Displays &amp; Output</v>
      </c>
      <c r="F448" s="0" t="str">
        <f aca="false">Calc!$D$43</f>
        <v>Reusable</v>
      </c>
      <c r="G448" s="0" t="n">
        <f aca="false">Calc!$I$43</f>
        <v>0</v>
      </c>
    </row>
    <row r="449" customFormat="false" ht="15" hidden="false" customHeight="false" outlineLevel="0" collapsed="false">
      <c r="A449" s="0" t="n">
        <v>5</v>
      </c>
      <c r="B449" s="0" t="n">
        <v>42</v>
      </c>
      <c r="C449" s="0" t="str">
        <f aca="false">IF(G449&gt;0,5042,"")</f>
        <v/>
      </c>
      <c r="D449" s="0" t="str">
        <f aca="false">Calc!$B$44</f>
        <v>MAX7219 8x8 LED matrix</v>
      </c>
      <c r="E449" s="0" t="str">
        <f aca="false">Calc!$A$44</f>
        <v>Displays &amp; Output</v>
      </c>
      <c r="F449" s="0" t="str">
        <f aca="false">Calc!$D$44</f>
        <v>Reusable</v>
      </c>
      <c r="G449" s="0" t="n">
        <f aca="false">Calc!$I$44</f>
        <v>0</v>
      </c>
    </row>
    <row r="450" customFormat="false" ht="15" hidden="false" customHeight="false" outlineLevel="0" collapsed="false">
      <c r="A450" s="0" t="n">
        <v>5</v>
      </c>
      <c r="B450" s="0" t="n">
        <v>43</v>
      </c>
      <c r="C450" s="0" t="str">
        <f aca="false">IF(G450&gt;0,5043,"")</f>
        <v/>
      </c>
      <c r="D450" s="0" t="str">
        <f aca="false">Calc!$B$45</f>
        <v>OLED 0.96 in I2C</v>
      </c>
      <c r="E450" s="0" t="str">
        <f aca="false">Calc!$A$45</f>
        <v>Displays &amp; Output</v>
      </c>
      <c r="F450" s="0" t="str">
        <f aca="false">Calc!$D$45</f>
        <v>Reusable</v>
      </c>
      <c r="G450" s="0" t="n">
        <f aca="false">Calc!$I$45</f>
        <v>0</v>
      </c>
    </row>
    <row r="451" customFormat="false" ht="15" hidden="false" customHeight="false" outlineLevel="0" collapsed="false">
      <c r="A451" s="0" t="n">
        <v>5</v>
      </c>
      <c r="B451" s="0" t="n">
        <v>44</v>
      </c>
      <c r="C451" s="0" t="str">
        <f aca="false">IF(G451&gt;0,5044,"")</f>
        <v/>
      </c>
      <c r="D451" s="0" t="str">
        <f aca="false">Calc!$B$46</f>
        <v>RGB LED</v>
      </c>
      <c r="E451" s="0" t="str">
        <f aca="false">Calc!$A$46</f>
        <v>Displays &amp; Output</v>
      </c>
      <c r="F451" s="0" t="str">
        <f aca="false">Calc!$D$46</f>
        <v>Reusable</v>
      </c>
      <c r="G451" s="0" t="n">
        <f aca="false">Calc!$I$46</f>
        <v>0</v>
      </c>
    </row>
    <row r="452" customFormat="false" ht="15" hidden="false" customHeight="false" outlineLevel="0" collapsed="false">
      <c r="A452" s="0" t="n">
        <v>5</v>
      </c>
      <c r="B452" s="0" t="n">
        <v>45</v>
      </c>
      <c r="C452" s="0" t="str">
        <f aca="false">IF(G452&gt;0,5045,"")</f>
        <v/>
      </c>
      <c r="D452" s="0" t="str">
        <f aca="false">Calc!$B$47</f>
        <v>WS2812B LED ring (12 LEDs)</v>
      </c>
      <c r="E452" s="0" t="str">
        <f aca="false">Calc!$A$47</f>
        <v>Displays &amp; Output</v>
      </c>
      <c r="F452" s="0" t="str">
        <f aca="false">Calc!$D$47</f>
        <v>Reusable</v>
      </c>
      <c r="G452" s="0" t="n">
        <f aca="false">Calc!$I$47</f>
        <v>0</v>
      </c>
    </row>
    <row r="453" customFormat="false" ht="15" hidden="false" customHeight="false" outlineLevel="0" collapsed="false">
      <c r="A453" s="0" t="n">
        <v>5</v>
      </c>
      <c r="B453" s="0" t="n">
        <v>46</v>
      </c>
      <c r="C453" s="0" t="str">
        <f aca="false">IF(G453&gt;0,5046,"")</f>
        <v/>
      </c>
      <c r="D453" s="0" t="str">
        <f aca="false">Calc!$B$48</f>
        <v>WS2812B LED strip (1 m, 30 LEDs)</v>
      </c>
      <c r="E453" s="0" t="str">
        <f aca="false">Calc!$A$48</f>
        <v>Displays &amp; Output</v>
      </c>
      <c r="F453" s="0" t="str">
        <f aca="false">Calc!$D$48</f>
        <v>Reusable</v>
      </c>
      <c r="G453" s="0" t="n">
        <f aca="false">Calc!$I$48</f>
        <v>0</v>
      </c>
    </row>
    <row r="454" customFormat="false" ht="15" hidden="false" customHeight="false" outlineLevel="0" collapsed="false">
      <c r="A454" s="0" t="n">
        <v>5</v>
      </c>
      <c r="B454" s="0" t="n">
        <v>47</v>
      </c>
      <c r="C454" s="0" t="str">
        <f aca="false">IF(G454&gt;0,5047,"")</f>
        <v/>
      </c>
      <c r="D454" s="0" t="str">
        <f aca="false">Calc!$B$49</f>
        <v>555 timer IC</v>
      </c>
      <c r="E454" s="0" t="str">
        <f aca="false">Calc!$A$49</f>
        <v>Passive Components &amp; ICs</v>
      </c>
      <c r="F454" s="0" t="str">
        <f aca="false">Calc!$D$49</f>
        <v>Consumable</v>
      </c>
      <c r="G454" s="0" t="n">
        <f aca="false">Calc!$I$49</f>
        <v>0</v>
      </c>
    </row>
    <row r="455" customFormat="false" ht="15" hidden="false" customHeight="false" outlineLevel="0" collapsed="false">
      <c r="A455" s="0" t="n">
        <v>5</v>
      </c>
      <c r="B455" s="0" t="n">
        <v>48</v>
      </c>
      <c r="C455" s="0" t="str">
        <f aca="false">IF(G455&gt;0,5048,"")</f>
        <v/>
      </c>
      <c r="D455" s="0" t="str">
        <f aca="false">Calc!$B$50</f>
        <v>Capacitor 10 nF</v>
      </c>
      <c r="E455" s="0" t="str">
        <f aca="false">Calc!$A$50</f>
        <v>Passive Components &amp; ICs</v>
      </c>
      <c r="F455" s="0" t="str">
        <f aca="false">Calc!$D$50</f>
        <v>Consumable</v>
      </c>
      <c r="G455" s="0" t="n">
        <f aca="false">Calc!$I$50</f>
        <v>0</v>
      </c>
    </row>
    <row r="456" customFormat="false" ht="15" hidden="false" customHeight="false" outlineLevel="0" collapsed="false">
      <c r="A456" s="0" t="n">
        <v>5</v>
      </c>
      <c r="B456" s="0" t="n">
        <v>49</v>
      </c>
      <c r="C456" s="0" t="str">
        <f aca="false">IF(G456&gt;0,5049,"")</f>
        <v/>
      </c>
      <c r="D456" s="0" t="str">
        <f aca="false">Calc!$B$51</f>
        <v>Capacitor 10 uF</v>
      </c>
      <c r="E456" s="0" t="str">
        <f aca="false">Calc!$A$51</f>
        <v>Passive Components &amp; ICs</v>
      </c>
      <c r="F456" s="0" t="str">
        <f aca="false">Calc!$D$51</f>
        <v>Consumable</v>
      </c>
      <c r="G456" s="0" t="n">
        <f aca="false">Calc!$I$51</f>
        <v>0</v>
      </c>
    </row>
    <row r="457" customFormat="false" ht="15" hidden="false" customHeight="false" outlineLevel="0" collapsed="false">
      <c r="A457" s="0" t="n">
        <v>5</v>
      </c>
      <c r="B457" s="0" t="n">
        <v>50</v>
      </c>
      <c r="C457" s="0" t="str">
        <f aca="false">IF(G457&gt;0,5050,"")</f>
        <v/>
      </c>
      <c r="D457" s="0" t="str">
        <f aca="false">Calc!$B$52</f>
        <v>Capacitor 100 uF</v>
      </c>
      <c r="E457" s="0" t="str">
        <f aca="false">Calc!$A$52</f>
        <v>Passive Components &amp; ICs</v>
      </c>
      <c r="F457" s="0" t="str">
        <f aca="false">Calc!$D$52</f>
        <v>Consumable</v>
      </c>
      <c r="G457" s="0" t="n">
        <f aca="false">Calc!$I$52</f>
        <v>0</v>
      </c>
    </row>
    <row r="458" customFormat="false" ht="15" hidden="false" customHeight="false" outlineLevel="0" collapsed="false">
      <c r="A458" s="0" t="n">
        <v>5</v>
      </c>
      <c r="B458" s="0" t="n">
        <v>51</v>
      </c>
      <c r="C458" s="0" t="str">
        <f aca="false">IF(G458&gt;0,5051,"")</f>
        <v/>
      </c>
      <c r="D458" s="0" t="str">
        <f aca="false">Calc!$B$53</f>
        <v>Potentiometer 10k</v>
      </c>
      <c r="E458" s="0" t="str">
        <f aca="false">Calc!$A$53</f>
        <v>Passive Components &amp; ICs</v>
      </c>
      <c r="F458" s="0" t="str">
        <f aca="false">Calc!$D$53</f>
        <v>Reusable</v>
      </c>
      <c r="G458" s="0" t="n">
        <f aca="false">Calc!$I$53</f>
        <v>0</v>
      </c>
    </row>
    <row r="459" customFormat="false" ht="15" hidden="false" customHeight="false" outlineLevel="0" collapsed="false">
      <c r="A459" s="0" t="n">
        <v>5</v>
      </c>
      <c r="B459" s="0" t="n">
        <v>52</v>
      </c>
      <c r="C459" s="0" t="str">
        <f aca="false">IF(G459&gt;0,5052,"")</f>
        <v/>
      </c>
      <c r="D459" s="0" t="str">
        <f aca="false">Calc!$B$54</f>
        <v>Push button</v>
      </c>
      <c r="E459" s="0" t="str">
        <f aca="false">Calc!$A$54</f>
        <v>Passive Components &amp; ICs</v>
      </c>
      <c r="F459" s="0" t="str">
        <f aca="false">Calc!$D$54</f>
        <v>Reusable</v>
      </c>
      <c r="G459" s="0" t="n">
        <f aca="false">Calc!$I$54</f>
        <v>0</v>
      </c>
    </row>
    <row r="460" customFormat="false" ht="15" hidden="false" customHeight="false" outlineLevel="0" collapsed="false">
      <c r="A460" s="0" t="n">
        <v>5</v>
      </c>
      <c r="B460" s="0" t="n">
        <v>53</v>
      </c>
      <c r="C460" s="0" t="str">
        <f aca="false">IF(G460&gt;0,5053,"")</f>
        <v/>
      </c>
      <c r="D460" s="0" t="str">
        <f aca="false">Calc!$B$55</f>
        <v>Resistor 10k ohm</v>
      </c>
      <c r="E460" s="0" t="str">
        <f aca="false">Calc!$A$55</f>
        <v>Passive Components &amp; ICs</v>
      </c>
      <c r="F460" s="0" t="str">
        <f aca="false">Calc!$D$55</f>
        <v>Consumable</v>
      </c>
      <c r="G460" s="0" t="n">
        <f aca="false">Calc!$I$55</f>
        <v>0</v>
      </c>
    </row>
    <row r="461" customFormat="false" ht="15" hidden="false" customHeight="false" outlineLevel="0" collapsed="false">
      <c r="A461" s="0" t="n">
        <v>5</v>
      </c>
      <c r="B461" s="0" t="n">
        <v>54</v>
      </c>
      <c r="C461" s="0" t="str">
        <f aca="false">IF(G461&gt;0,5054,"")</f>
        <v/>
      </c>
      <c r="D461" s="0" t="str">
        <f aca="false">Calc!$B$56</f>
        <v>Resistor 1k ohm</v>
      </c>
      <c r="E461" s="0" t="str">
        <f aca="false">Calc!$A$56</f>
        <v>Passive Components &amp; ICs</v>
      </c>
      <c r="F461" s="0" t="str">
        <f aca="false">Calc!$D$56</f>
        <v>Consumable</v>
      </c>
      <c r="G461" s="0" t="n">
        <f aca="false">Calc!$I$56</f>
        <v>0</v>
      </c>
    </row>
    <row r="462" customFormat="false" ht="15" hidden="false" customHeight="false" outlineLevel="0" collapsed="false">
      <c r="A462" s="0" t="n">
        <v>5</v>
      </c>
      <c r="B462" s="0" t="n">
        <v>55</v>
      </c>
      <c r="C462" s="0" t="str">
        <f aca="false">IF(G462&gt;0,5055,"")</f>
        <v/>
      </c>
      <c r="D462" s="0" t="str">
        <f aca="false">Calc!$B$57</f>
        <v>Resistor 220 ohm</v>
      </c>
      <c r="E462" s="0" t="str">
        <f aca="false">Calc!$A$57</f>
        <v>Passive Components &amp; ICs</v>
      </c>
      <c r="F462" s="0" t="str">
        <f aca="false">Calc!$D$57</f>
        <v>Consumable</v>
      </c>
      <c r="G462" s="0" t="n">
        <f aca="false">Calc!$I$57</f>
        <v>0</v>
      </c>
    </row>
    <row r="463" customFormat="false" ht="15" hidden="false" customHeight="false" outlineLevel="0" collapsed="false">
      <c r="A463" s="0" t="n">
        <v>5</v>
      </c>
      <c r="B463" s="0" t="n">
        <v>56</v>
      </c>
      <c r="C463" s="0" t="str">
        <f aca="false">IF(G463&gt;0,5056,"")</f>
        <v/>
      </c>
      <c r="D463" s="0" t="str">
        <f aca="false">Calc!$B$58</f>
        <v>Slide switch</v>
      </c>
      <c r="E463" s="0" t="str">
        <f aca="false">Calc!$A$58</f>
        <v>Passive Components &amp; ICs</v>
      </c>
      <c r="F463" s="0" t="str">
        <f aca="false">Calc!$D$58</f>
        <v>Reusable</v>
      </c>
      <c r="G463" s="0" t="n">
        <f aca="false">Calc!$I$58</f>
        <v>0</v>
      </c>
    </row>
    <row r="464" customFormat="false" ht="15" hidden="false" customHeight="false" outlineLevel="0" collapsed="false">
      <c r="A464" s="0" t="n">
        <v>5</v>
      </c>
      <c r="B464" s="0" t="n">
        <v>57</v>
      </c>
      <c r="C464" s="0" t="str">
        <f aca="false">IF(G464&gt;0,5057,"")</f>
        <v/>
      </c>
      <c r="D464" s="0" t="str">
        <f aca="false">Calc!$B$59</f>
        <v>18650 cell + holder</v>
      </c>
      <c r="E464" s="0" t="str">
        <f aca="false">Calc!$A$59</f>
        <v>Power</v>
      </c>
      <c r="F464" s="0" t="str">
        <f aca="false">Calc!$D$59</f>
        <v>Reusable</v>
      </c>
      <c r="G464" s="0" t="n">
        <f aca="false">Calc!$I$59</f>
        <v>0</v>
      </c>
    </row>
    <row r="465" customFormat="false" ht="15" hidden="false" customHeight="false" outlineLevel="0" collapsed="false">
      <c r="A465" s="0" t="n">
        <v>5</v>
      </c>
      <c r="B465" s="0" t="n">
        <v>58</v>
      </c>
      <c r="C465" s="0" t="str">
        <f aca="false">IF(G465&gt;0,5058,"")</f>
        <v/>
      </c>
      <c r="D465" s="0" t="str">
        <f aca="false">Calc!$B$60</f>
        <v>2xAA battery holder + batteries</v>
      </c>
      <c r="E465" s="0" t="str">
        <f aca="false">Calc!$A$60</f>
        <v>Power</v>
      </c>
      <c r="F465" s="0" t="str">
        <f aca="false">Calc!$D$60</f>
        <v>Consumable</v>
      </c>
      <c r="G465" s="0" t="n">
        <f aca="false">Calc!$I$60</f>
        <v>0</v>
      </c>
    </row>
    <row r="466" customFormat="false" ht="15" hidden="false" customHeight="false" outlineLevel="0" collapsed="false">
      <c r="A466" s="0" t="n">
        <v>5</v>
      </c>
      <c r="B466" s="0" t="n">
        <v>59</v>
      </c>
      <c r="C466" s="0" t="str">
        <f aca="false">IF(G466&gt;0,5059,"")</f>
        <v/>
      </c>
      <c r="D466" s="0" t="str">
        <f aca="false">Calc!$B$61</f>
        <v>4xAA battery pack</v>
      </c>
      <c r="E466" s="0" t="str">
        <f aca="false">Calc!$A$61</f>
        <v>Power</v>
      </c>
      <c r="F466" s="0" t="str">
        <f aca="false">Calc!$D$61</f>
        <v>Consumable</v>
      </c>
      <c r="G466" s="0" t="n">
        <f aca="false">Calc!$I$61</f>
        <v>0</v>
      </c>
    </row>
    <row r="467" customFormat="false" ht="15" hidden="false" customHeight="false" outlineLevel="0" collapsed="false">
      <c r="A467" s="0" t="n">
        <v>5</v>
      </c>
      <c r="B467" s="0" t="n">
        <v>60</v>
      </c>
      <c r="C467" s="0" t="str">
        <f aca="false">IF(G467&gt;0,5060,"")</f>
        <v/>
      </c>
      <c r="D467" s="0" t="str">
        <f aca="false">Calc!$B$62</f>
        <v>9V battery + snap</v>
      </c>
      <c r="E467" s="0" t="str">
        <f aca="false">Calc!$A$62</f>
        <v>Power</v>
      </c>
      <c r="F467" s="0" t="str">
        <f aca="false">Calc!$D$62</f>
        <v>Consumable</v>
      </c>
      <c r="G467" s="0" t="n">
        <f aca="false">Calc!$I$62</f>
        <v>0</v>
      </c>
    </row>
    <row r="468" customFormat="false" ht="15" hidden="false" customHeight="false" outlineLevel="0" collapsed="false">
      <c r="A468" s="0" t="n">
        <v>5</v>
      </c>
      <c r="B468" s="0" t="n">
        <v>61</v>
      </c>
      <c r="C468" s="0" t="str">
        <f aca="false">IF(G468&gt;0,5061,"")</f>
        <v/>
      </c>
      <c r="D468" s="0" t="str">
        <f aca="false">Calc!$B$63</f>
        <v>Coin cell CR2032</v>
      </c>
      <c r="E468" s="0" t="str">
        <f aca="false">Calc!$A$63</f>
        <v>Power</v>
      </c>
      <c r="F468" s="0" t="str">
        <f aca="false">Calc!$D$63</f>
        <v>Consumable</v>
      </c>
      <c r="G468" s="0" t="n">
        <f aca="false">Calc!$I$63</f>
        <v>0</v>
      </c>
    </row>
    <row r="469" customFormat="false" ht="15" hidden="false" customHeight="false" outlineLevel="0" collapsed="false">
      <c r="A469" s="0" t="n">
        <v>5</v>
      </c>
      <c r="B469" s="0" t="n">
        <v>62</v>
      </c>
      <c r="C469" s="0" t="str">
        <f aca="false">IF(G469&gt;0,5062,"")</f>
        <v/>
      </c>
      <c r="D469" s="0" t="str">
        <f aca="false">Calc!$B$64</f>
        <v>LM2596 buck converter</v>
      </c>
      <c r="E469" s="0" t="str">
        <f aca="false">Calc!$A$64</f>
        <v>Power</v>
      </c>
      <c r="F469" s="0" t="str">
        <f aca="false">Calc!$D$64</f>
        <v>Reusable</v>
      </c>
      <c r="G469" s="0" t="n">
        <f aca="false">Calc!$I$64</f>
        <v>0</v>
      </c>
    </row>
    <row r="470" customFormat="false" ht="15" hidden="false" customHeight="false" outlineLevel="0" collapsed="false">
      <c r="A470" s="0" t="n">
        <v>5</v>
      </c>
      <c r="B470" s="0" t="n">
        <v>63</v>
      </c>
      <c r="C470" s="0" t="str">
        <f aca="false">IF(G470&gt;0,5063,"")</f>
        <v/>
      </c>
      <c r="D470" s="0" t="str">
        <f aca="false">Calc!$B$65</f>
        <v>Small solar panel</v>
      </c>
      <c r="E470" s="0" t="str">
        <f aca="false">Calc!$A$65</f>
        <v>Power</v>
      </c>
      <c r="F470" s="0" t="str">
        <f aca="false">Calc!$D$65</f>
        <v>Reusable</v>
      </c>
      <c r="G470" s="0" t="n">
        <f aca="false">Calc!$I$65</f>
        <v>0</v>
      </c>
    </row>
    <row r="471" customFormat="false" ht="15" hidden="false" customHeight="false" outlineLevel="0" collapsed="false">
      <c r="A471" s="0" t="n">
        <v>5</v>
      </c>
      <c r="B471" s="0" t="n">
        <v>64</v>
      </c>
      <c r="C471" s="0" t="str">
        <f aca="false">IF(G471&gt;0,5064,"")</f>
        <v/>
      </c>
      <c r="D471" s="0" t="str">
        <f aca="false">Calc!$B$66</f>
        <v>TP4056 charger module</v>
      </c>
      <c r="E471" s="0" t="str">
        <f aca="false">Calc!$A$66</f>
        <v>Power</v>
      </c>
      <c r="F471" s="0" t="str">
        <f aca="false">Calc!$D$66</f>
        <v>Reusable</v>
      </c>
      <c r="G471" s="0" t="n">
        <f aca="false">Calc!$I$66</f>
        <v>0</v>
      </c>
    </row>
    <row r="472" customFormat="false" ht="15" hidden="false" customHeight="false" outlineLevel="0" collapsed="false">
      <c r="A472" s="0" t="n">
        <v>5</v>
      </c>
      <c r="B472" s="0" t="n">
        <v>65</v>
      </c>
      <c r="C472" s="0" t="str">
        <f aca="false">IF(G472&gt;0,5065,"")</f>
        <v/>
      </c>
      <c r="D472" s="0" t="str">
        <f aca="false">Calc!$B$67</f>
        <v>Alligator clip leads</v>
      </c>
      <c r="E472" s="0" t="str">
        <f aca="false">Calc!$A$67</f>
        <v>Wiring &amp; Prototyping</v>
      </c>
      <c r="F472" s="0" t="str">
        <f aca="false">Calc!$D$67</f>
        <v>Reusable</v>
      </c>
      <c r="G472" s="0" t="n">
        <f aca="false">Calc!$I$67</f>
        <v>0</v>
      </c>
    </row>
    <row r="473" customFormat="false" ht="15" hidden="false" customHeight="false" outlineLevel="0" collapsed="false">
      <c r="A473" s="0" t="n">
        <v>5</v>
      </c>
      <c r="B473" s="0" t="n">
        <v>66</v>
      </c>
      <c r="C473" s="0" t="str">
        <f aca="false">IF(G473&gt;0,5066,"")</f>
        <v/>
      </c>
      <c r="D473" s="0" t="str">
        <f aca="false">Calc!$B$68</f>
        <v>Aluminium foil</v>
      </c>
      <c r="E473" s="0" t="str">
        <f aca="false">Calc!$A$68</f>
        <v>Wiring &amp; Prototyping</v>
      </c>
      <c r="F473" s="0" t="str">
        <f aca="false">Calc!$D$68</f>
        <v>Consumable</v>
      </c>
      <c r="G473" s="0" t="n">
        <f aca="false">Calc!$I$68</f>
        <v>0</v>
      </c>
    </row>
    <row r="474" customFormat="false" ht="15" hidden="false" customHeight="false" outlineLevel="0" collapsed="false">
      <c r="A474" s="0" t="n">
        <v>5</v>
      </c>
      <c r="B474" s="0" t="n">
        <v>67</v>
      </c>
      <c r="C474" s="0" t="str">
        <f aca="false">IF(G474&gt;0,5067,"")</f>
        <v/>
      </c>
      <c r="D474" s="0" t="str">
        <f aca="false">Calc!$B$69</f>
        <v>Breadboard (half size)</v>
      </c>
      <c r="E474" s="0" t="str">
        <f aca="false">Calc!$A$69</f>
        <v>Wiring &amp; Prototyping</v>
      </c>
      <c r="F474" s="0" t="str">
        <f aca="false">Calc!$D$69</f>
        <v>Reusable</v>
      </c>
      <c r="G474" s="0" t="n">
        <f aca="false">Calc!$I$69</f>
        <v>0</v>
      </c>
    </row>
    <row r="475" customFormat="false" ht="15" hidden="false" customHeight="false" outlineLevel="0" collapsed="false">
      <c r="A475" s="0" t="n">
        <v>5</v>
      </c>
      <c r="B475" s="0" t="n">
        <v>68</v>
      </c>
      <c r="C475" s="0" t="str">
        <f aca="false">IF(G475&gt;0,5068,"")</f>
        <v/>
      </c>
      <c r="D475" s="0" t="str">
        <f aca="false">Calc!$B$70</f>
        <v>Copper tape</v>
      </c>
      <c r="E475" s="0" t="str">
        <f aca="false">Calc!$A$70</f>
        <v>Wiring &amp; Prototyping</v>
      </c>
      <c r="F475" s="0" t="str">
        <f aca="false">Calc!$D$70</f>
        <v>Consumable</v>
      </c>
      <c r="G475" s="0" t="n">
        <f aca="false">Calc!$I$70</f>
        <v>0</v>
      </c>
    </row>
    <row r="476" customFormat="false" ht="15" hidden="false" customHeight="false" outlineLevel="0" collapsed="false">
      <c r="A476" s="0" t="n">
        <v>5</v>
      </c>
      <c r="B476" s="0" t="n">
        <v>69</v>
      </c>
      <c r="C476" s="0" t="str">
        <f aca="false">IF(G476&gt;0,5069,"")</f>
        <v/>
      </c>
      <c r="D476" s="0" t="str">
        <f aca="false">Calc!$B$71</f>
        <v>Jumper wires M-F</v>
      </c>
      <c r="E476" s="0" t="str">
        <f aca="false">Calc!$A$71</f>
        <v>Wiring &amp; Prototyping</v>
      </c>
      <c r="F476" s="0" t="str">
        <f aca="false">Calc!$D$71</f>
        <v>Reusable</v>
      </c>
      <c r="G476" s="0" t="n">
        <f aca="false">Calc!$I$71</f>
        <v>0</v>
      </c>
    </row>
    <row r="477" customFormat="false" ht="15" hidden="false" customHeight="false" outlineLevel="0" collapsed="false">
      <c r="A477" s="0" t="n">
        <v>5</v>
      </c>
      <c r="B477" s="0" t="n">
        <v>70</v>
      </c>
      <c r="C477" s="0" t="str">
        <f aca="false">IF(G477&gt;0,5070,"")</f>
        <v/>
      </c>
      <c r="D477" s="0" t="str">
        <f aca="false">Calc!$B$72</f>
        <v>Jumper wires M-M</v>
      </c>
      <c r="E477" s="0" t="str">
        <f aca="false">Calc!$A$72</f>
        <v>Wiring &amp; Prototyping</v>
      </c>
      <c r="F477" s="0" t="str">
        <f aca="false">Calc!$D$72</f>
        <v>Reusable</v>
      </c>
      <c r="G477" s="0" t="n">
        <f aca="false">Calc!$I$72</f>
        <v>0</v>
      </c>
    </row>
    <row r="478" customFormat="false" ht="15" hidden="false" customHeight="false" outlineLevel="0" collapsed="false">
      <c r="A478" s="0" t="n">
        <v>5</v>
      </c>
      <c r="B478" s="0" t="n">
        <v>71</v>
      </c>
      <c r="C478" s="0" t="str">
        <f aca="false">IF(G478&gt;0,5071,"")</f>
        <v/>
      </c>
      <c r="D478" s="0" t="str">
        <f aca="false">Calc!$B$73</f>
        <v>3D printer</v>
      </c>
      <c r="E478" s="0" t="str">
        <f aca="false">Calc!$A$73</f>
        <v>Computers &amp; Equipment</v>
      </c>
      <c r="F478" s="0" t="str">
        <f aca="false">Calc!$D$73</f>
        <v>Reusable</v>
      </c>
      <c r="G478" s="0" t="n">
        <f aca="false">Calc!$I$73</f>
        <v>0</v>
      </c>
    </row>
    <row r="479" customFormat="false" ht="15" hidden="false" customHeight="false" outlineLevel="0" collapsed="false">
      <c r="A479" s="0" t="n">
        <v>5</v>
      </c>
      <c r="B479" s="0" t="n">
        <v>72</v>
      </c>
      <c r="C479" s="0" t="str">
        <f aca="false">IF(G479&gt;0,5072,"")</f>
        <v/>
      </c>
      <c r="D479" s="0" t="str">
        <f aca="false">Calc!$B$74</f>
        <v>Android smartphone</v>
      </c>
      <c r="E479" s="0" t="str">
        <f aca="false">Calc!$A$74</f>
        <v>Computers &amp; Equipment</v>
      </c>
      <c r="F479" s="0" t="str">
        <f aca="false">Calc!$D$74</f>
        <v>Reusable</v>
      </c>
      <c r="G479" s="0" t="n">
        <f aca="false">Calc!$I$74</f>
        <v>0</v>
      </c>
    </row>
    <row r="480" customFormat="false" ht="15" hidden="false" customHeight="false" outlineLevel="0" collapsed="false">
      <c r="A480" s="0" t="n">
        <v>5</v>
      </c>
      <c r="B480" s="0" t="n">
        <v>73</v>
      </c>
      <c r="C480" s="0" t="str">
        <f aca="false">IF(G480&gt;0,5073,"")</f>
        <v/>
      </c>
      <c r="D480" s="0" t="str">
        <f aca="false">Calc!$B$75</f>
        <v>Digital multimeter</v>
      </c>
      <c r="E480" s="0" t="str">
        <f aca="false">Calc!$A$75</f>
        <v>Computers &amp; Equipment</v>
      </c>
      <c r="F480" s="0" t="str">
        <f aca="false">Calc!$D$75</f>
        <v>Reusable</v>
      </c>
      <c r="G480" s="0" t="n">
        <f aca="false">Calc!$I$75</f>
        <v>0</v>
      </c>
    </row>
    <row r="481" customFormat="false" ht="15" hidden="false" customHeight="false" outlineLevel="0" collapsed="false">
      <c r="A481" s="0" t="n">
        <v>5</v>
      </c>
      <c r="B481" s="0" t="n">
        <v>74</v>
      </c>
      <c r="C481" s="0" t="str">
        <f aca="false">IF(G481&gt;0,5074,"")</f>
        <v/>
      </c>
      <c r="D481" s="0" t="str">
        <f aca="false">Calc!$B$76</f>
        <v>Glue gun + glue sticks</v>
      </c>
      <c r="E481" s="0" t="str">
        <f aca="false">Calc!$A$76</f>
        <v>Computers &amp; Equipment</v>
      </c>
      <c r="F481" s="0" t="str">
        <f aca="false">Calc!$D$76</f>
        <v>Reusable</v>
      </c>
      <c r="G481" s="0" t="n">
        <f aca="false">Calc!$I$76</f>
        <v>0</v>
      </c>
    </row>
    <row r="482" customFormat="false" ht="15" hidden="false" customHeight="false" outlineLevel="0" collapsed="false">
      <c r="A482" s="0" t="n">
        <v>5</v>
      </c>
      <c r="B482" s="0" t="n">
        <v>75</v>
      </c>
      <c r="C482" s="0" t="str">
        <f aca="false">IF(G482&gt;0,5075,"")</f>
        <v/>
      </c>
      <c r="D482" s="0" t="str">
        <f aca="false">Calc!$B$77</f>
        <v>Laptop</v>
      </c>
      <c r="E482" s="0" t="str">
        <f aca="false">Calc!$A$77</f>
        <v>Computers &amp; Equipment</v>
      </c>
      <c r="F482" s="0" t="str">
        <f aca="false">Calc!$D$77</f>
        <v>Reusable</v>
      </c>
      <c r="G482" s="0" t="n">
        <f aca="false">Calc!$I$77</f>
        <v>0</v>
      </c>
    </row>
    <row r="483" customFormat="false" ht="15" hidden="false" customHeight="false" outlineLevel="0" collapsed="false">
      <c r="A483" s="0" t="n">
        <v>5</v>
      </c>
      <c r="B483" s="0" t="n">
        <v>76</v>
      </c>
      <c r="C483" s="0" t="str">
        <f aca="false">IF(G483&gt;0,5076,"")</f>
        <v/>
      </c>
      <c r="D483" s="0" t="str">
        <f aca="false">Calc!$B$78</f>
        <v>PLA filament</v>
      </c>
      <c r="E483" s="0" t="str">
        <f aca="false">Calc!$A$78</f>
        <v>Computers &amp; Equipment</v>
      </c>
      <c r="F483" s="0" t="str">
        <f aca="false">Calc!$D$78</f>
        <v>Consumable</v>
      </c>
      <c r="G483" s="0" t="n">
        <f aca="false">Calc!$I$78</f>
        <v>0</v>
      </c>
    </row>
    <row r="484" customFormat="false" ht="15" hidden="false" customHeight="false" outlineLevel="0" collapsed="false">
      <c r="A484" s="0" t="n">
        <v>5</v>
      </c>
      <c r="B484" s="0" t="n">
        <v>77</v>
      </c>
      <c r="C484" s="0" t="str">
        <f aca="false">IF(G484&gt;0,5077,"")</f>
        <v/>
      </c>
      <c r="D484" s="0" t="str">
        <f aca="false">Calc!$B$79</f>
        <v>Screwdriver set</v>
      </c>
      <c r="E484" s="0" t="str">
        <f aca="false">Calc!$A$79</f>
        <v>Computers &amp; Equipment</v>
      </c>
      <c r="F484" s="0" t="str">
        <f aca="false">Calc!$D$79</f>
        <v>Reusable</v>
      </c>
      <c r="G484" s="0" t="n">
        <f aca="false">Calc!$I$79</f>
        <v>0</v>
      </c>
    </row>
    <row r="485" customFormat="false" ht="15" hidden="false" customHeight="false" outlineLevel="0" collapsed="false">
      <c r="A485" s="0" t="n">
        <v>5</v>
      </c>
      <c r="B485" s="0" t="n">
        <v>78</v>
      </c>
      <c r="C485" s="0" t="str">
        <f aca="false">IF(G485&gt;0,5078,"")</f>
        <v/>
      </c>
      <c r="D485" s="0" t="str">
        <f aca="false">Calc!$B$80</f>
        <v>Tablet</v>
      </c>
      <c r="E485" s="0" t="str">
        <f aca="false">Calc!$A$80</f>
        <v>Computers &amp; Equipment</v>
      </c>
      <c r="F485" s="0" t="str">
        <f aca="false">Calc!$D$80</f>
        <v>Reusable</v>
      </c>
      <c r="G485" s="0" t="n">
        <f aca="false">Calc!$I$80</f>
        <v>0</v>
      </c>
    </row>
    <row r="486" customFormat="false" ht="15" hidden="false" customHeight="false" outlineLevel="0" collapsed="false">
      <c r="A486" s="0" t="n">
        <v>5</v>
      </c>
      <c r="B486" s="0" t="n">
        <v>79</v>
      </c>
      <c r="C486" s="0" t="str">
        <f aca="false">IF(G486&gt;0,5079,"")</f>
        <v/>
      </c>
      <c r="D486" s="0" t="str">
        <f aca="false">Calc!$B$81</f>
        <v>Webcam</v>
      </c>
      <c r="E486" s="0" t="str">
        <f aca="false">Calc!$A$81</f>
        <v>Computers &amp; Equipment</v>
      </c>
      <c r="F486" s="0" t="str">
        <f aca="false">Calc!$D$81</f>
        <v>Reusable</v>
      </c>
      <c r="G486" s="0" t="n">
        <f aca="false">Calc!$I$81</f>
        <v>0</v>
      </c>
    </row>
    <row r="487" customFormat="false" ht="15" hidden="false" customHeight="false" outlineLevel="0" collapsed="false">
      <c r="A487" s="0" t="n">
        <v>5</v>
      </c>
      <c r="B487" s="0" t="n">
        <v>80</v>
      </c>
      <c r="C487" s="0" t="str">
        <f aca="false">IF(G487&gt;0,5080,"")</f>
        <v/>
      </c>
      <c r="D487" s="0" t="str">
        <f aca="false">Calc!$B$82</f>
        <v>Card / chart paper</v>
      </c>
      <c r="E487" s="0" t="str">
        <f aca="false">Calc!$A$82</f>
        <v>Craft &amp; Stationery</v>
      </c>
      <c r="F487" s="0" t="str">
        <f aca="false">Calc!$D$82</f>
        <v>Consumable</v>
      </c>
      <c r="G487" s="0" t="n">
        <f aca="false">Calc!$I$82</f>
        <v>0</v>
      </c>
    </row>
    <row r="488" customFormat="false" ht="15" hidden="false" customHeight="false" outlineLevel="0" collapsed="false">
      <c r="A488" s="0" t="n">
        <v>5</v>
      </c>
      <c r="B488" s="0" t="n">
        <v>81</v>
      </c>
      <c r="C488" s="0" t="str">
        <f aca="false">IF(G488&gt;0,5081,"")</f>
        <v/>
      </c>
      <c r="D488" s="0" t="str">
        <f aca="false">Calc!$B$83</f>
        <v>Cardboard sheet</v>
      </c>
      <c r="E488" s="0" t="str">
        <f aca="false">Calc!$A$83</f>
        <v>Craft &amp; Stationery</v>
      </c>
      <c r="F488" s="0" t="str">
        <f aca="false">Calc!$D$83</f>
        <v>Consumable</v>
      </c>
      <c r="G488" s="0" t="n">
        <f aca="false">Calc!$I$83</f>
        <v>0</v>
      </c>
    </row>
    <row r="489" customFormat="false" ht="15" hidden="false" customHeight="false" outlineLevel="0" collapsed="false">
      <c r="A489" s="0" t="n">
        <v>5</v>
      </c>
      <c r="B489" s="0" t="n">
        <v>82</v>
      </c>
      <c r="C489" s="0" t="str">
        <f aca="false">IF(G489&gt;0,5082,"")</f>
        <v/>
      </c>
      <c r="D489" s="0" t="str">
        <f aca="false">Calc!$B$84</f>
        <v>Conductive playdough</v>
      </c>
      <c r="E489" s="0" t="str">
        <f aca="false">Calc!$A$84</f>
        <v>Craft &amp; Stationery</v>
      </c>
      <c r="F489" s="0" t="str">
        <f aca="false">Calc!$D$84</f>
        <v>Consumable</v>
      </c>
      <c r="G489" s="0" t="n">
        <f aca="false">Calc!$I$84</f>
        <v>0</v>
      </c>
    </row>
    <row r="490" customFormat="false" ht="15" hidden="false" customHeight="false" outlineLevel="0" collapsed="false">
      <c r="A490" s="0" t="n">
        <v>5</v>
      </c>
      <c r="B490" s="0" t="n">
        <v>83</v>
      </c>
      <c r="C490" s="0" t="str">
        <f aca="false">IF(G490&gt;0,5083,"")</f>
        <v/>
      </c>
      <c r="D490" s="0" t="str">
        <f aca="false">Calc!$B$85</f>
        <v>Cork</v>
      </c>
      <c r="E490" s="0" t="str">
        <f aca="false">Calc!$A$85</f>
        <v>Craft &amp; Stationery</v>
      </c>
      <c r="F490" s="0" t="str">
        <f aca="false">Calc!$D$85</f>
        <v>Consumable</v>
      </c>
      <c r="G490" s="0" t="n">
        <f aca="false">Calc!$I$85</f>
        <v>0</v>
      </c>
    </row>
    <row r="491" customFormat="false" ht="15" hidden="false" customHeight="false" outlineLevel="0" collapsed="false">
      <c r="A491" s="0" t="n">
        <v>5</v>
      </c>
      <c r="B491" s="0" t="n">
        <v>84</v>
      </c>
      <c r="C491" s="0" t="str">
        <f aca="false">IF(G491&gt;0,5084,"")</f>
        <v/>
      </c>
      <c r="D491" s="0" t="str">
        <f aca="false">Calc!$B$86</f>
        <v>Googly eyes</v>
      </c>
      <c r="E491" s="0" t="str">
        <f aca="false">Calc!$A$86</f>
        <v>Craft &amp; Stationery</v>
      </c>
      <c r="F491" s="0" t="str">
        <f aca="false">Calc!$D$86</f>
        <v>Consumable</v>
      </c>
      <c r="G491" s="0" t="n">
        <f aca="false">Calc!$I$86</f>
        <v>0</v>
      </c>
    </row>
    <row r="492" customFormat="false" ht="15" hidden="false" customHeight="false" outlineLevel="0" collapsed="false">
      <c r="A492" s="0" t="n">
        <v>5</v>
      </c>
      <c r="B492" s="0" t="n">
        <v>85</v>
      </c>
      <c r="C492" s="0" t="str">
        <f aca="false">IF(G492&gt;0,5085,"")</f>
        <v/>
      </c>
      <c r="D492" s="0" t="str">
        <f aca="false">Calc!$B$87</f>
        <v>Ice cream sticks</v>
      </c>
      <c r="E492" s="0" t="str">
        <f aca="false">Calc!$A$87</f>
        <v>Craft &amp; Stationery</v>
      </c>
      <c r="F492" s="0" t="str">
        <f aca="false">Calc!$D$87</f>
        <v>Consumable</v>
      </c>
      <c r="G492" s="0" t="n">
        <f aca="false">Calc!$I$87</f>
        <v>0</v>
      </c>
    </row>
    <row r="493" customFormat="false" ht="15" hidden="false" customHeight="false" outlineLevel="0" collapsed="false">
      <c r="A493" s="0" t="n">
        <v>5</v>
      </c>
      <c r="B493" s="0" t="n">
        <v>86</v>
      </c>
      <c r="C493" s="0" t="str">
        <f aca="false">IF(G493&gt;0,5086,"")</f>
        <v/>
      </c>
      <c r="D493" s="0" t="str">
        <f aca="false">Calc!$B$88</f>
        <v>Markers</v>
      </c>
      <c r="E493" s="0" t="str">
        <f aca="false">Calc!$A$88</f>
        <v>Craft &amp; Stationery</v>
      </c>
      <c r="F493" s="0" t="str">
        <f aca="false">Calc!$D$88</f>
        <v>Consumable</v>
      </c>
      <c r="G493" s="0" t="n">
        <f aca="false">Calc!$I$88</f>
        <v>0</v>
      </c>
    </row>
    <row r="494" customFormat="false" ht="15" hidden="false" customHeight="false" outlineLevel="0" collapsed="false">
      <c r="A494" s="0" t="n">
        <v>5</v>
      </c>
      <c r="B494" s="0" t="n">
        <v>87</v>
      </c>
      <c r="C494" s="0" t="str">
        <f aca="false">IF(G494&gt;0,5087,"")</f>
        <v/>
      </c>
      <c r="D494" s="0" t="str">
        <f aca="false">Calc!$B$89</f>
        <v>Plant pot with soil</v>
      </c>
      <c r="E494" s="0" t="str">
        <f aca="false">Calc!$A$89</f>
        <v>Craft &amp; Stationery</v>
      </c>
      <c r="F494" s="0" t="str">
        <f aca="false">Calc!$D$89</f>
        <v>Consumable</v>
      </c>
      <c r="G494" s="0" t="n">
        <f aca="false">Calc!$I$89</f>
        <v>0</v>
      </c>
    </row>
    <row r="495" customFormat="false" ht="15" hidden="false" customHeight="false" outlineLevel="0" collapsed="false">
      <c r="A495" s="0" t="n">
        <v>5</v>
      </c>
      <c r="B495" s="0" t="n">
        <v>88</v>
      </c>
      <c r="C495" s="0" t="str">
        <f aca="false">IF(G495&gt;0,5088,"")</f>
        <v/>
      </c>
      <c r="D495" s="0" t="str">
        <f aca="false">Calc!$B$90</f>
        <v>Plastic or paper cup</v>
      </c>
      <c r="E495" s="0" t="str">
        <f aca="false">Calc!$A$90</f>
        <v>Craft &amp; Stationery</v>
      </c>
      <c r="F495" s="0" t="str">
        <f aca="false">Calc!$D$90</f>
        <v>Consumable</v>
      </c>
      <c r="G495" s="0" t="n">
        <f aca="false">Calc!$I$90</f>
        <v>0</v>
      </c>
    </row>
    <row r="496" customFormat="false" ht="15" hidden="false" customHeight="false" outlineLevel="0" collapsed="false">
      <c r="A496" s="0" t="n">
        <v>5</v>
      </c>
      <c r="B496" s="0" t="n">
        <v>89</v>
      </c>
      <c r="C496" s="0" t="str">
        <f aca="false">IF(G496&gt;0,5089,"")</f>
        <v/>
      </c>
      <c r="D496" s="0" t="str">
        <f aca="false">Calc!$B$91</f>
        <v>Printed templates</v>
      </c>
      <c r="E496" s="0" t="str">
        <f aca="false">Calc!$A$91</f>
        <v>Craft &amp; Stationery</v>
      </c>
      <c r="F496" s="0" t="str">
        <f aca="false">Calc!$D$91</f>
        <v>Consumable</v>
      </c>
      <c r="G496" s="0" t="n">
        <f aca="false">Calc!$I$91</f>
        <v>0</v>
      </c>
    </row>
    <row r="497" customFormat="false" ht="15" hidden="false" customHeight="false" outlineLevel="0" collapsed="false">
      <c r="A497" s="0" t="n">
        <v>5</v>
      </c>
      <c r="B497" s="0" t="n">
        <v>90</v>
      </c>
      <c r="C497" s="0" t="str">
        <f aca="false">IF(G497&gt;0,5090,"")</f>
        <v/>
      </c>
      <c r="D497" s="0" t="str">
        <f aca="false">Calc!$B$92</f>
        <v>Split pins (paper fasteners)</v>
      </c>
      <c r="E497" s="0" t="str">
        <f aca="false">Calc!$A$92</f>
        <v>Craft &amp; Stationery</v>
      </c>
      <c r="F497" s="0" t="str">
        <f aca="false">Calc!$D$92</f>
        <v>Consumable</v>
      </c>
      <c r="G497" s="0" t="n">
        <f aca="false">Calc!$I$92</f>
        <v>0</v>
      </c>
    </row>
    <row r="498" customFormat="false" ht="15" hidden="false" customHeight="false" outlineLevel="0" collapsed="false">
      <c r="A498" s="0" t="n">
        <v>5</v>
      </c>
      <c r="B498" s="0" t="n">
        <v>91</v>
      </c>
      <c r="C498" s="0" t="str">
        <f aca="false">IF(G498&gt;0,5091,"")</f>
        <v/>
      </c>
      <c r="D498" s="0" t="str">
        <f aca="false">Calc!$B$93</f>
        <v>Straws</v>
      </c>
      <c r="E498" s="0" t="str">
        <f aca="false">Calc!$A$93</f>
        <v>Craft &amp; Stationery</v>
      </c>
      <c r="F498" s="0" t="str">
        <f aca="false">Calc!$D$93</f>
        <v>Consumable</v>
      </c>
      <c r="G498" s="0" t="n">
        <f aca="false">Calc!$I$93</f>
        <v>0</v>
      </c>
    </row>
    <row r="499" customFormat="false" ht="15" hidden="false" customHeight="false" outlineLevel="0" collapsed="false">
      <c r="A499" s="0" t="n">
        <v>5</v>
      </c>
      <c r="B499" s="0" t="n">
        <v>92</v>
      </c>
      <c r="C499" s="0" t="str">
        <f aca="false">IF(G499&gt;0,5092,"")</f>
        <v/>
      </c>
      <c r="D499" s="0" t="str">
        <f aca="false">Calc!$B$94</f>
        <v>Tape (paper + double-sided)</v>
      </c>
      <c r="E499" s="0" t="str">
        <f aca="false">Calc!$A$94</f>
        <v>Craft &amp; Stationery</v>
      </c>
      <c r="F499" s="0" t="str">
        <f aca="false">Calc!$D$94</f>
        <v>Consumable</v>
      </c>
      <c r="G499" s="0" t="n">
        <f aca="false">Calc!$I$94</f>
        <v>0</v>
      </c>
    </row>
    <row r="500" customFormat="false" ht="15" hidden="false" customHeight="false" outlineLevel="0" collapsed="false">
      <c r="A500" s="0" t="n">
        <v>5</v>
      </c>
      <c r="B500" s="0" t="n">
        <v>93</v>
      </c>
      <c r="C500" s="0" t="str">
        <f aca="false">IF(G500&gt;0,5093,"")</f>
        <v/>
      </c>
      <c r="D500" s="0" t="str">
        <f aca="false">Calc!$B$95</f>
        <v>Water container</v>
      </c>
      <c r="E500" s="0" t="str">
        <f aca="false">Calc!$A$95</f>
        <v>Craft &amp; Stationery</v>
      </c>
      <c r="F500" s="0" t="str">
        <f aca="false">Calc!$D$95</f>
        <v>Reusable</v>
      </c>
      <c r="G500" s="0" t="n">
        <f aca="false">Calc!$I$95</f>
        <v>0</v>
      </c>
    </row>
    <row r="501" customFormat="false" ht="15" hidden="false" customHeight="false" outlineLevel="0" collapsed="false">
      <c r="A501" s="0" t="n">
        <v>5</v>
      </c>
      <c r="B501" s="0" t="n">
        <v>94</v>
      </c>
      <c r="C501" s="0" t="str">
        <f aca="false">IF(G501&gt;0,5094,"")</f>
        <v/>
      </c>
      <c r="D501" s="0" t="str">
        <f aca="false">Calc!$B$96</f>
        <v>Wooden skewers</v>
      </c>
      <c r="E501" s="0" t="str">
        <f aca="false">Calc!$A$96</f>
        <v>Craft &amp; Stationery</v>
      </c>
      <c r="F501" s="0" t="str">
        <f aca="false">Calc!$D$96</f>
        <v>Consumable</v>
      </c>
      <c r="G501" s="0" t="n">
        <f aca="false">Calc!$I$96</f>
        <v>0</v>
      </c>
    </row>
    <row r="502" customFormat="false" ht="15" hidden="false" customHeight="false" outlineLevel="0" collapsed="false">
      <c r="A502" s="0" t="n">
        <v>5</v>
      </c>
      <c r="B502" s="0" t="n">
        <v>95</v>
      </c>
      <c r="C502" s="0" t="str">
        <f aca="false">IF(G502&gt;0,5095,"")</f>
        <v/>
      </c>
      <c r="D502" s="0" t="str">
        <f aca="false">Calc!$B$97</f>
        <v>Candle</v>
      </c>
      <c r="E502" s="0" t="str">
        <f aca="false">Calc!$A$97</f>
        <v>Science Consumables</v>
      </c>
      <c r="F502" s="0" t="str">
        <f aca="false">Calc!$D$97</f>
        <v>Consumable</v>
      </c>
      <c r="G502" s="0" t="n">
        <f aca="false">Calc!$I$97</f>
        <v>0</v>
      </c>
    </row>
    <row r="503" customFormat="false" ht="15" hidden="false" customHeight="false" outlineLevel="0" collapsed="false">
      <c r="A503" s="0" t="n">
        <v>5</v>
      </c>
      <c r="B503" s="0" t="n">
        <v>96</v>
      </c>
      <c r="C503" s="0" t="str">
        <f aca="false">IF(G503&gt;0,5096,"")</f>
        <v/>
      </c>
      <c r="D503" s="0" t="str">
        <f aca="false">Calc!$B$98</f>
        <v>Copper coins</v>
      </c>
      <c r="E503" s="0" t="str">
        <f aca="false">Calc!$A$98</f>
        <v>Science Consumables</v>
      </c>
      <c r="F503" s="0" t="str">
        <f aca="false">Calc!$D$98</f>
        <v>Reusable</v>
      </c>
      <c r="G503" s="0" t="n">
        <f aca="false">Calc!$I$98</f>
        <v>0</v>
      </c>
    </row>
    <row r="504" customFormat="false" ht="15" hidden="false" customHeight="false" outlineLevel="0" collapsed="false">
      <c r="A504" s="0" t="n">
        <v>5</v>
      </c>
      <c r="B504" s="0" t="n">
        <v>97</v>
      </c>
      <c r="C504" s="0" t="str">
        <f aca="false">IF(G504&gt;0,5097,"")</f>
        <v/>
      </c>
      <c r="D504" s="0" t="str">
        <f aca="false">Calc!$B$99</f>
        <v>Fruits (bananas etc.)</v>
      </c>
      <c r="E504" s="0" t="str">
        <f aca="false">Calc!$A$99</f>
        <v>Science Consumables</v>
      </c>
      <c r="F504" s="0" t="str">
        <f aca="false">Calc!$D$99</f>
        <v>Consumable</v>
      </c>
      <c r="G504" s="0" t="n">
        <f aca="false">Calc!$I$99</f>
        <v>0</v>
      </c>
    </row>
    <row r="505" customFormat="false" ht="15" hidden="false" customHeight="false" outlineLevel="0" collapsed="false">
      <c r="A505" s="0" t="n">
        <v>5</v>
      </c>
      <c r="B505" s="0" t="n">
        <v>98</v>
      </c>
      <c r="C505" s="0" t="str">
        <f aca="false">IF(G505&gt;0,5098,"")</f>
        <v/>
      </c>
      <c r="D505" s="0" t="str">
        <f aca="false">Calc!$B$100</f>
        <v>Galvanized nails</v>
      </c>
      <c r="E505" s="0" t="str">
        <f aca="false">Calc!$A$100</f>
        <v>Science Consumables</v>
      </c>
      <c r="F505" s="0" t="str">
        <f aca="false">Calc!$D$100</f>
        <v>Consumable</v>
      </c>
      <c r="G505" s="0" t="n">
        <f aca="false">Calc!$I$100</f>
        <v>0</v>
      </c>
    </row>
    <row r="506" customFormat="false" ht="15" hidden="false" customHeight="false" outlineLevel="0" collapsed="false">
      <c r="A506" s="0" t="n">
        <v>5</v>
      </c>
      <c r="B506" s="0" t="n">
        <v>99</v>
      </c>
      <c r="C506" s="0" t="str">
        <f aca="false">IF(G506&gt;0,5099,"")</f>
        <v/>
      </c>
      <c r="D506" s="0" t="str">
        <f aca="false">Calc!$B$101</f>
        <v>Lemons</v>
      </c>
      <c r="E506" s="0" t="str">
        <f aca="false">Calc!$A$101</f>
        <v>Science Consumables</v>
      </c>
      <c r="F506" s="0" t="str">
        <f aca="false">Calc!$D$101</f>
        <v>Consumable</v>
      </c>
      <c r="G506" s="0" t="n">
        <f aca="false">Calc!$I$101</f>
        <v>0</v>
      </c>
    </row>
    <row r="507" customFormat="false" ht="15" hidden="false" customHeight="false" outlineLevel="0" collapsed="false">
      <c r="A507" s="0" t="n">
        <v>5</v>
      </c>
      <c r="B507" s="0" t="n">
        <v>999</v>
      </c>
      <c r="C507" s="0" t="str">
        <f aca="false">IF(SUM(Calc!$I$3:$I$101)&gt;0,5999,"")</f>
        <v/>
      </c>
    </row>
    <row r="508" customFormat="false" ht="15" hidden="false" customHeight="false" outlineLevel="0" collapsed="false">
      <c r="A508" s="0" t="n">
        <v>6</v>
      </c>
      <c r="B508" s="0" t="n">
        <v>0</v>
      </c>
      <c r="C508" s="0" t="str">
        <f aca="false">IF(SUM(Calc!$J$3:$J$101)&gt;0,6000,"")</f>
        <v/>
      </c>
      <c r="D508" s="0" t="str">
        <f aca="false">"DAY NOT SET"</f>
        <v>DAY NOT SET</v>
      </c>
      <c r="E508" s="0" t="str">
        <f aca="false">COUNTIFS('Session Tracker'!$F$5:$F$149,"Next week",'Session Tracker'!$G$5:$G$149,"")&amp;" session(s)"</f>
        <v>0 session(s)</v>
      </c>
    </row>
    <row r="509" customFormat="false" ht="15" hidden="false" customHeight="false" outlineLevel="0" collapsed="false">
      <c r="A509" s="0" t="n">
        <v>6</v>
      </c>
      <c r="B509" s="0" t="n">
        <v>1</v>
      </c>
      <c r="C509" s="0" t="str">
        <f aca="false">IF(G509&gt;0,6001,"")</f>
        <v/>
      </c>
      <c r="D509" s="0" t="str">
        <f aca="false">Calc!$B$3</f>
        <v>Arduino Uno + USB cable</v>
      </c>
      <c r="E509" s="0" t="str">
        <f aca="false">Calc!$A$3</f>
        <v>Microcontrollers &amp; Dev Boards</v>
      </c>
      <c r="F509" s="0" t="str">
        <f aca="false">Calc!$D$3</f>
        <v>Reusable</v>
      </c>
      <c r="G509" s="0" t="n">
        <f aca="false">Calc!$J$3</f>
        <v>0</v>
      </c>
    </row>
    <row r="510" customFormat="false" ht="15" hidden="false" customHeight="false" outlineLevel="0" collapsed="false">
      <c r="A510" s="0" t="n">
        <v>6</v>
      </c>
      <c r="B510" s="0" t="n">
        <v>2</v>
      </c>
      <c r="C510" s="0" t="str">
        <f aca="false">IF(G510&gt;0,6002,"")</f>
        <v/>
      </c>
      <c r="D510" s="0" t="str">
        <f aca="false">Calc!$B$4</f>
        <v>ESP32 Dev Board + USB cable</v>
      </c>
      <c r="E510" s="0" t="str">
        <f aca="false">Calc!$A$4</f>
        <v>Microcontrollers &amp; Dev Boards</v>
      </c>
      <c r="F510" s="0" t="str">
        <f aca="false">Calc!$D$4</f>
        <v>Reusable</v>
      </c>
      <c r="G510" s="0" t="n">
        <f aca="false">Calc!$J$4</f>
        <v>0</v>
      </c>
    </row>
    <row r="511" customFormat="false" ht="15" hidden="false" customHeight="false" outlineLevel="0" collapsed="false">
      <c r="A511" s="0" t="n">
        <v>6</v>
      </c>
      <c r="B511" s="0" t="n">
        <v>3</v>
      </c>
      <c r="C511" s="0" t="str">
        <f aca="false">IF(G511&gt;0,6003,"")</f>
        <v/>
      </c>
      <c r="D511" s="0" t="str">
        <f aca="false">Calc!$B$5</f>
        <v>ESP32-CAM + programmer</v>
      </c>
      <c r="E511" s="0" t="str">
        <f aca="false">Calc!$A$5</f>
        <v>Microcontrollers &amp; Dev Boards</v>
      </c>
      <c r="F511" s="0" t="str">
        <f aca="false">Calc!$D$5</f>
        <v>Reusable</v>
      </c>
      <c r="G511" s="0" t="n">
        <f aca="false">Calc!$J$5</f>
        <v>0</v>
      </c>
    </row>
    <row r="512" customFormat="false" ht="15" hidden="false" customHeight="false" outlineLevel="0" collapsed="false">
      <c r="A512" s="0" t="n">
        <v>6</v>
      </c>
      <c r="B512" s="0" t="n">
        <v>4</v>
      </c>
      <c r="C512" s="0" t="str">
        <f aca="false">IF(G512&gt;0,6004,"")</f>
        <v/>
      </c>
      <c r="D512" s="0" t="str">
        <f aca="false">Calc!$B$6</f>
        <v>Makey Makey kit</v>
      </c>
      <c r="E512" s="0" t="str">
        <f aca="false">Calc!$A$6</f>
        <v>Microcontrollers &amp; Dev Boards</v>
      </c>
      <c r="F512" s="0" t="str">
        <f aca="false">Calc!$D$6</f>
        <v>Reusable</v>
      </c>
      <c r="G512" s="0" t="n">
        <f aca="false">Calc!$J$6</f>
        <v>0</v>
      </c>
    </row>
    <row r="513" customFormat="false" ht="15" hidden="false" customHeight="false" outlineLevel="0" collapsed="false">
      <c r="A513" s="0" t="n">
        <v>6</v>
      </c>
      <c r="B513" s="0" t="n">
        <v>5</v>
      </c>
      <c r="C513" s="0" t="str">
        <f aca="false">IF(G513&gt;0,6005,"")</f>
        <v/>
      </c>
      <c r="D513" s="0" t="str">
        <f aca="false">Calc!$B$7</f>
        <v>2WD robot chassis kit</v>
      </c>
      <c r="E513" s="0" t="str">
        <f aca="false">Calc!$A$7</f>
        <v>Robot Platforms &amp; Kits</v>
      </c>
      <c r="F513" s="0" t="str">
        <f aca="false">Calc!$D$7</f>
        <v>Reusable</v>
      </c>
      <c r="G513" s="0" t="n">
        <f aca="false">Calc!$J$7</f>
        <v>0</v>
      </c>
    </row>
    <row r="514" customFormat="false" ht="15" hidden="false" customHeight="false" outlineLevel="0" collapsed="false">
      <c r="A514" s="0" t="n">
        <v>6</v>
      </c>
      <c r="B514" s="0" t="n">
        <v>6</v>
      </c>
      <c r="C514" s="0" t="str">
        <f aca="false">IF(G514&gt;0,6006,"")</f>
        <v/>
      </c>
      <c r="D514" s="0" t="str">
        <f aca="false">Calc!$B$8</f>
        <v>4WD robot car (assembled, L298N)</v>
      </c>
      <c r="E514" s="0" t="str">
        <f aca="false">Calc!$A$8</f>
        <v>Robot Platforms &amp; Kits</v>
      </c>
      <c r="F514" s="0" t="str">
        <f aca="false">Calc!$D$8</f>
        <v>Reusable</v>
      </c>
      <c r="G514" s="0" t="n">
        <f aca="false">Calc!$J$8</f>
        <v>0</v>
      </c>
    </row>
    <row r="515" customFormat="false" ht="15" hidden="false" customHeight="false" outlineLevel="0" collapsed="false">
      <c r="A515" s="0" t="n">
        <v>6</v>
      </c>
      <c r="B515" s="0" t="n">
        <v>7</v>
      </c>
      <c r="C515" s="0" t="str">
        <f aca="false">IF(G515&gt;0,6007,"")</f>
        <v/>
      </c>
      <c r="D515" s="0" t="str">
        <f aca="false">Calc!$B$9</f>
        <v>Brush Bot kit</v>
      </c>
      <c r="E515" s="0" t="str">
        <f aca="false">Calc!$A$9</f>
        <v>Robot Platforms &amp; Kits</v>
      </c>
      <c r="F515" s="0" t="str">
        <f aca="false">Calc!$D$9</f>
        <v>Consumable</v>
      </c>
      <c r="G515" s="0" t="n">
        <f aca="false">Calc!$J$9</f>
        <v>0</v>
      </c>
    </row>
    <row r="516" customFormat="false" ht="15" hidden="false" customHeight="false" outlineLevel="0" collapsed="false">
      <c r="A516" s="0" t="n">
        <v>6</v>
      </c>
      <c r="B516" s="0" t="n">
        <v>8</v>
      </c>
      <c r="C516" s="0" t="str">
        <f aca="false">IF(G516&gt;0,6008,"")</f>
        <v/>
      </c>
      <c r="D516" s="0" t="str">
        <f aca="false">Calc!$B$10</f>
        <v>Colour sensor TCS34725</v>
      </c>
      <c r="E516" s="0" t="str">
        <f aca="false">Calc!$A$10</f>
        <v>Sensors</v>
      </c>
      <c r="F516" s="0" t="str">
        <f aca="false">Calc!$D$10</f>
        <v>Reusable</v>
      </c>
      <c r="G516" s="0" t="n">
        <f aca="false">Calc!$J$10</f>
        <v>0</v>
      </c>
    </row>
    <row r="517" customFormat="false" ht="15" hidden="false" customHeight="false" outlineLevel="0" collapsed="false">
      <c r="A517" s="0" t="n">
        <v>6</v>
      </c>
      <c r="B517" s="0" t="n">
        <v>9</v>
      </c>
      <c r="C517" s="0" t="str">
        <f aca="false">IF(G517&gt;0,6009,"")</f>
        <v/>
      </c>
      <c r="D517" s="0" t="str">
        <f aca="false">Calc!$B$11</f>
        <v>Current sensor INA219</v>
      </c>
      <c r="E517" s="0" t="str">
        <f aca="false">Calc!$A$11</f>
        <v>Sensors</v>
      </c>
      <c r="F517" s="0" t="str">
        <f aca="false">Calc!$D$11</f>
        <v>Reusable</v>
      </c>
      <c r="G517" s="0" t="n">
        <f aca="false">Calc!$J$11</f>
        <v>0</v>
      </c>
    </row>
    <row r="518" customFormat="false" ht="15" hidden="false" customHeight="false" outlineLevel="0" collapsed="false">
      <c r="A518" s="0" t="n">
        <v>6</v>
      </c>
      <c r="B518" s="0" t="n">
        <v>10</v>
      </c>
      <c r="C518" s="0" t="str">
        <f aca="false">IF(G518&gt;0,6010,"")</f>
        <v/>
      </c>
      <c r="D518" s="0" t="str">
        <f aca="false">Calc!$B$12</f>
        <v>DHT22 sensor</v>
      </c>
      <c r="E518" s="0" t="str">
        <f aca="false">Calc!$A$12</f>
        <v>Sensors</v>
      </c>
      <c r="F518" s="0" t="str">
        <f aca="false">Calc!$D$12</f>
        <v>Reusable</v>
      </c>
      <c r="G518" s="0" t="n">
        <f aca="false">Calc!$J$12</f>
        <v>0</v>
      </c>
    </row>
    <row r="519" customFormat="false" ht="15" hidden="false" customHeight="false" outlineLevel="0" collapsed="false">
      <c r="A519" s="0" t="n">
        <v>6</v>
      </c>
      <c r="B519" s="0" t="n">
        <v>11</v>
      </c>
      <c r="C519" s="0" t="str">
        <f aca="false">IF(G519&gt;0,6011,"")</f>
        <v/>
      </c>
      <c r="D519" s="0" t="str">
        <f aca="false">Calc!$B$13</f>
        <v>Flame sensor</v>
      </c>
      <c r="E519" s="0" t="str">
        <f aca="false">Calc!$A$13</f>
        <v>Sensors</v>
      </c>
      <c r="F519" s="0" t="str">
        <f aca="false">Calc!$D$13</f>
        <v>Reusable</v>
      </c>
      <c r="G519" s="0" t="n">
        <f aca="false">Calc!$J$13</f>
        <v>0</v>
      </c>
    </row>
    <row r="520" customFormat="false" ht="15" hidden="false" customHeight="false" outlineLevel="0" collapsed="false">
      <c r="A520" s="0" t="n">
        <v>6</v>
      </c>
      <c r="B520" s="0" t="n">
        <v>12</v>
      </c>
      <c r="C520" s="0" t="str">
        <f aca="false">IF(G520&gt;0,6012,"")</f>
        <v/>
      </c>
      <c r="D520" s="0" t="str">
        <f aca="false">Calc!$B$14</f>
        <v>IR sensor module</v>
      </c>
      <c r="E520" s="0" t="str">
        <f aca="false">Calc!$A$14</f>
        <v>Sensors</v>
      </c>
      <c r="F520" s="0" t="str">
        <f aca="false">Calc!$D$14</f>
        <v>Reusable</v>
      </c>
      <c r="G520" s="0" t="n">
        <f aca="false">Calc!$J$14</f>
        <v>0</v>
      </c>
    </row>
    <row r="521" customFormat="false" ht="15" hidden="false" customHeight="false" outlineLevel="0" collapsed="false">
      <c r="A521" s="0" t="n">
        <v>6</v>
      </c>
      <c r="B521" s="0" t="n">
        <v>13</v>
      </c>
      <c r="C521" s="0" t="str">
        <f aca="false">IF(G521&gt;0,6013,"")</f>
        <v/>
      </c>
      <c r="D521" s="0" t="str">
        <f aca="false">Calc!$B$15</f>
        <v>Joystick module</v>
      </c>
      <c r="E521" s="0" t="str">
        <f aca="false">Calc!$A$15</f>
        <v>Sensors</v>
      </c>
      <c r="F521" s="0" t="str">
        <f aca="false">Calc!$D$15</f>
        <v>Reusable</v>
      </c>
      <c r="G521" s="0" t="n">
        <f aca="false">Calc!$J$15</f>
        <v>0</v>
      </c>
    </row>
    <row r="522" customFormat="false" ht="15" hidden="false" customHeight="false" outlineLevel="0" collapsed="false">
      <c r="A522" s="0" t="n">
        <v>6</v>
      </c>
      <c r="B522" s="0" t="n">
        <v>14</v>
      </c>
      <c r="C522" s="0" t="str">
        <f aca="false">IF(G522&gt;0,6014,"")</f>
        <v/>
      </c>
      <c r="D522" s="0" t="str">
        <f aca="false">Calc!$B$16</f>
        <v>LDR module</v>
      </c>
      <c r="E522" s="0" t="str">
        <f aca="false">Calc!$A$16</f>
        <v>Sensors</v>
      </c>
      <c r="F522" s="0" t="str">
        <f aca="false">Calc!$D$16</f>
        <v>Reusable</v>
      </c>
      <c r="G522" s="0" t="n">
        <f aca="false">Calc!$J$16</f>
        <v>0</v>
      </c>
    </row>
    <row r="523" customFormat="false" ht="15" hidden="false" customHeight="false" outlineLevel="0" collapsed="false">
      <c r="A523" s="0" t="n">
        <v>6</v>
      </c>
      <c r="B523" s="0" t="n">
        <v>15</v>
      </c>
      <c r="C523" s="0" t="str">
        <f aca="false">IF(G523&gt;0,6015,"")</f>
        <v/>
      </c>
      <c r="D523" s="0" t="str">
        <f aca="false">Calc!$B$17</f>
        <v>Load cell 5 kg + HX711</v>
      </c>
      <c r="E523" s="0" t="str">
        <f aca="false">Calc!$A$17</f>
        <v>Sensors</v>
      </c>
      <c r="F523" s="0" t="str">
        <f aca="false">Calc!$D$17</f>
        <v>Reusable</v>
      </c>
      <c r="G523" s="0" t="n">
        <f aca="false">Calc!$J$17</f>
        <v>0</v>
      </c>
    </row>
    <row r="524" customFormat="false" ht="15" hidden="false" customHeight="false" outlineLevel="0" collapsed="false">
      <c r="A524" s="0" t="n">
        <v>6</v>
      </c>
      <c r="B524" s="0" t="n">
        <v>16</v>
      </c>
      <c r="C524" s="0" t="str">
        <f aca="false">IF(G524&gt;0,6016,"")</f>
        <v/>
      </c>
      <c r="D524" s="0" t="str">
        <f aca="false">Calc!$B$18</f>
        <v>MPU6050 IMU</v>
      </c>
      <c r="E524" s="0" t="str">
        <f aca="false">Calc!$A$18</f>
        <v>Sensors</v>
      </c>
      <c r="F524" s="0" t="str">
        <f aca="false">Calc!$D$18</f>
        <v>Reusable</v>
      </c>
      <c r="G524" s="0" t="n">
        <f aca="false">Calc!$J$18</f>
        <v>0</v>
      </c>
    </row>
    <row r="525" customFormat="false" ht="15" hidden="false" customHeight="false" outlineLevel="0" collapsed="false">
      <c r="A525" s="0" t="n">
        <v>6</v>
      </c>
      <c r="B525" s="0" t="n">
        <v>17</v>
      </c>
      <c r="C525" s="0" t="str">
        <f aca="false">IF(G525&gt;0,6017,"")</f>
        <v/>
      </c>
      <c r="D525" s="0" t="str">
        <f aca="false">Calc!$B$19</f>
        <v>MQ-2 gas sensor</v>
      </c>
      <c r="E525" s="0" t="str">
        <f aca="false">Calc!$A$19</f>
        <v>Sensors</v>
      </c>
      <c r="F525" s="0" t="str">
        <f aca="false">Calc!$D$19</f>
        <v>Reusable</v>
      </c>
      <c r="G525" s="0" t="n">
        <f aca="false">Calc!$J$19</f>
        <v>0</v>
      </c>
    </row>
    <row r="526" customFormat="false" ht="15" hidden="false" customHeight="false" outlineLevel="0" collapsed="false">
      <c r="A526" s="0" t="n">
        <v>6</v>
      </c>
      <c r="B526" s="0" t="n">
        <v>18</v>
      </c>
      <c r="C526" s="0" t="str">
        <f aca="false">IF(G526&gt;0,6018,"")</f>
        <v/>
      </c>
      <c r="D526" s="0" t="str">
        <f aca="false">Calc!$B$20</f>
        <v>PIR motion sensor</v>
      </c>
      <c r="E526" s="0" t="str">
        <f aca="false">Calc!$A$20</f>
        <v>Sensors</v>
      </c>
      <c r="F526" s="0" t="str">
        <f aca="false">Calc!$D$20</f>
        <v>Reusable</v>
      </c>
      <c r="G526" s="0" t="n">
        <f aca="false">Calc!$J$20</f>
        <v>0</v>
      </c>
    </row>
    <row r="527" customFormat="false" ht="15" hidden="false" customHeight="false" outlineLevel="0" collapsed="false">
      <c r="A527" s="0" t="n">
        <v>6</v>
      </c>
      <c r="B527" s="0" t="n">
        <v>19</v>
      </c>
      <c r="C527" s="0" t="str">
        <f aca="false">IF(G527&gt;0,6019,"")</f>
        <v/>
      </c>
      <c r="D527" s="0" t="str">
        <f aca="false">Calc!$B$21</f>
        <v>Pulse sensor</v>
      </c>
      <c r="E527" s="0" t="str">
        <f aca="false">Calc!$A$21</f>
        <v>Sensors</v>
      </c>
      <c r="F527" s="0" t="str">
        <f aca="false">Calc!$D$21</f>
        <v>Reusable</v>
      </c>
      <c r="G527" s="0" t="n">
        <f aca="false">Calc!$J$21</f>
        <v>0</v>
      </c>
    </row>
    <row r="528" customFormat="false" ht="15" hidden="false" customHeight="false" outlineLevel="0" collapsed="false">
      <c r="A528" s="0" t="n">
        <v>6</v>
      </c>
      <c r="B528" s="0" t="n">
        <v>20</v>
      </c>
      <c r="C528" s="0" t="str">
        <f aca="false">IF(G528&gt;0,6020,"")</f>
        <v/>
      </c>
      <c r="D528" s="0" t="str">
        <f aca="false">Calc!$B$22</f>
        <v>Rain sensor</v>
      </c>
      <c r="E528" s="0" t="str">
        <f aca="false">Calc!$A$22</f>
        <v>Sensors</v>
      </c>
      <c r="F528" s="0" t="str">
        <f aca="false">Calc!$D$22</f>
        <v>Reusable</v>
      </c>
      <c r="G528" s="0" t="n">
        <f aca="false">Calc!$J$22</f>
        <v>0</v>
      </c>
    </row>
    <row r="529" customFormat="false" ht="15" hidden="false" customHeight="false" outlineLevel="0" collapsed="false">
      <c r="A529" s="0" t="n">
        <v>6</v>
      </c>
      <c r="B529" s="0" t="n">
        <v>21</v>
      </c>
      <c r="C529" s="0" t="str">
        <f aca="false">IF(G529&gt;0,6021,"")</f>
        <v/>
      </c>
      <c r="D529" s="0" t="str">
        <f aca="false">Calc!$B$23</f>
        <v>Soil moisture sensor</v>
      </c>
      <c r="E529" s="0" t="str">
        <f aca="false">Calc!$A$23</f>
        <v>Sensors</v>
      </c>
      <c r="F529" s="0" t="str">
        <f aca="false">Calc!$D$23</f>
        <v>Reusable</v>
      </c>
      <c r="G529" s="0" t="n">
        <f aca="false">Calc!$J$23</f>
        <v>0</v>
      </c>
    </row>
    <row r="530" customFormat="false" ht="15" hidden="false" customHeight="false" outlineLevel="0" collapsed="false">
      <c r="A530" s="0" t="n">
        <v>6</v>
      </c>
      <c r="B530" s="0" t="n">
        <v>22</v>
      </c>
      <c r="C530" s="0" t="str">
        <f aca="false">IF(G530&gt;0,6022,"")</f>
        <v/>
      </c>
      <c r="D530" s="0" t="str">
        <f aca="false">Calc!$B$24</f>
        <v>Sound sensor KY-037</v>
      </c>
      <c r="E530" s="0" t="str">
        <f aca="false">Calc!$A$24</f>
        <v>Sensors</v>
      </c>
      <c r="F530" s="0" t="str">
        <f aca="false">Calc!$D$24</f>
        <v>Reusable</v>
      </c>
      <c r="G530" s="0" t="n">
        <f aca="false">Calc!$J$24</f>
        <v>0</v>
      </c>
    </row>
    <row r="531" customFormat="false" ht="15" hidden="false" customHeight="false" outlineLevel="0" collapsed="false">
      <c r="A531" s="0" t="n">
        <v>6</v>
      </c>
      <c r="B531" s="0" t="n">
        <v>23</v>
      </c>
      <c r="C531" s="0" t="str">
        <f aca="false">IF(G531&gt;0,6023,"")</f>
        <v/>
      </c>
      <c r="D531" s="0" t="str">
        <f aca="false">Calc!$B$25</f>
        <v>Ultrasonic sensor HC-SR04</v>
      </c>
      <c r="E531" s="0" t="str">
        <f aca="false">Calc!$A$25</f>
        <v>Sensors</v>
      </c>
      <c r="F531" s="0" t="str">
        <f aca="false">Calc!$D$25</f>
        <v>Reusable</v>
      </c>
      <c r="G531" s="0" t="n">
        <f aca="false">Calc!$J$25</f>
        <v>0</v>
      </c>
    </row>
    <row r="532" customFormat="false" ht="15" hidden="false" customHeight="false" outlineLevel="0" collapsed="false">
      <c r="A532" s="0" t="n">
        <v>6</v>
      </c>
      <c r="B532" s="0" t="n">
        <v>24</v>
      </c>
      <c r="C532" s="0" t="str">
        <f aca="false">IF(G532&gt;0,6024,"")</f>
        <v/>
      </c>
      <c r="D532" s="0" t="str">
        <f aca="false">Calc!$B$26</f>
        <v>4x4 matrix keypad</v>
      </c>
      <c r="E532" s="0" t="str">
        <f aca="false">Calc!$A$26</f>
        <v>Security &amp; Identification</v>
      </c>
      <c r="F532" s="0" t="str">
        <f aca="false">Calc!$D$26</f>
        <v>Reusable</v>
      </c>
      <c r="G532" s="0" t="n">
        <f aca="false">Calc!$J$26</f>
        <v>0</v>
      </c>
    </row>
    <row r="533" customFormat="false" ht="15" hidden="false" customHeight="false" outlineLevel="0" collapsed="false">
      <c r="A533" s="0" t="n">
        <v>6</v>
      </c>
      <c r="B533" s="0" t="n">
        <v>25</v>
      </c>
      <c r="C533" s="0" t="str">
        <f aca="false">IF(G533&gt;0,6025,"")</f>
        <v/>
      </c>
      <c r="D533" s="0" t="str">
        <f aca="false">Calc!$B$27</f>
        <v>RFID RC522 + cards</v>
      </c>
      <c r="E533" s="0" t="str">
        <f aca="false">Calc!$A$27</f>
        <v>Security &amp; Identification</v>
      </c>
      <c r="F533" s="0" t="str">
        <f aca="false">Calc!$D$27</f>
        <v>Reusable</v>
      </c>
      <c r="G533" s="0" t="n">
        <f aca="false">Calc!$J$27</f>
        <v>0</v>
      </c>
    </row>
    <row r="534" customFormat="false" ht="15" hidden="false" customHeight="false" outlineLevel="0" collapsed="false">
      <c r="A534" s="0" t="n">
        <v>6</v>
      </c>
      <c r="B534" s="0" t="n">
        <v>26</v>
      </c>
      <c r="C534" s="0" t="str">
        <f aca="false">IF(G534&gt;0,6026,"")</f>
        <v/>
      </c>
      <c r="D534" s="0" t="str">
        <f aca="false">Calc!$B$28</f>
        <v>Bluetooth module HC-05</v>
      </c>
      <c r="E534" s="0" t="str">
        <f aca="false">Calc!$A$28</f>
        <v>Communication Modules</v>
      </c>
      <c r="F534" s="0" t="str">
        <f aca="false">Calc!$D$28</f>
        <v>Reusable</v>
      </c>
      <c r="G534" s="0" t="n">
        <f aca="false">Calc!$J$28</f>
        <v>0</v>
      </c>
    </row>
    <row r="535" customFormat="false" ht="15" hidden="false" customHeight="false" outlineLevel="0" collapsed="false">
      <c r="A535" s="0" t="n">
        <v>6</v>
      </c>
      <c r="B535" s="0" t="n">
        <v>27</v>
      </c>
      <c r="C535" s="0" t="str">
        <f aca="false">IF(G535&gt;0,6027,"")</f>
        <v/>
      </c>
      <c r="D535" s="0" t="str">
        <f aca="false">Calc!$B$29</f>
        <v>NRF24L01 module</v>
      </c>
      <c r="E535" s="0" t="str">
        <f aca="false">Calc!$A$29</f>
        <v>Communication Modules</v>
      </c>
      <c r="F535" s="0" t="str">
        <f aca="false">Calc!$D$29</f>
        <v>Reusable</v>
      </c>
      <c r="G535" s="0" t="n">
        <f aca="false">Calc!$J$29</f>
        <v>0</v>
      </c>
    </row>
    <row r="536" customFormat="false" ht="15" hidden="false" customHeight="false" outlineLevel="0" collapsed="false">
      <c r="A536" s="0" t="n">
        <v>6</v>
      </c>
      <c r="B536" s="0" t="n">
        <v>28</v>
      </c>
      <c r="C536" s="0" t="str">
        <f aca="false">IF(G536&gt;0,6028,"")</f>
        <v/>
      </c>
      <c r="D536" s="0" t="str">
        <f aca="false">Calc!$B$30</f>
        <v>Buzzer</v>
      </c>
      <c r="E536" s="0" t="str">
        <f aca="false">Calc!$A$30</f>
        <v>Actuators &amp; Motor Drivers</v>
      </c>
      <c r="F536" s="0" t="str">
        <f aca="false">Calc!$D$30</f>
        <v>Reusable</v>
      </c>
      <c r="G536" s="0" t="n">
        <f aca="false">Calc!$J$30</f>
        <v>0</v>
      </c>
    </row>
    <row r="537" customFormat="false" ht="15" hidden="false" customHeight="false" outlineLevel="0" collapsed="false">
      <c r="A537" s="0" t="n">
        <v>6</v>
      </c>
      <c r="B537" s="0" t="n">
        <v>29</v>
      </c>
      <c r="C537" s="0" t="str">
        <f aca="false">IF(G537&gt;0,6029,"")</f>
        <v/>
      </c>
      <c r="D537" s="0" t="str">
        <f aca="false">Calc!$B$31</f>
        <v>DC hobby motor</v>
      </c>
      <c r="E537" s="0" t="str">
        <f aca="false">Calc!$A$31</f>
        <v>Actuators &amp; Motor Drivers</v>
      </c>
      <c r="F537" s="0" t="str">
        <f aca="false">Calc!$D$31</f>
        <v>Reusable</v>
      </c>
      <c r="G537" s="0" t="n">
        <f aca="false">Calc!$J$31</f>
        <v>0</v>
      </c>
    </row>
    <row r="538" customFormat="false" ht="15" hidden="false" customHeight="false" outlineLevel="0" collapsed="false">
      <c r="A538" s="0" t="n">
        <v>6</v>
      </c>
      <c r="B538" s="0" t="n">
        <v>30</v>
      </c>
      <c r="C538" s="0" t="str">
        <f aca="false">IF(G538&gt;0,6030,"")</f>
        <v/>
      </c>
      <c r="D538" s="0" t="str">
        <f aca="false">Calc!$B$32</f>
        <v>L298N motor driver</v>
      </c>
      <c r="E538" s="0" t="str">
        <f aca="false">Calc!$A$32</f>
        <v>Actuators &amp; Motor Drivers</v>
      </c>
      <c r="F538" s="0" t="str">
        <f aca="false">Calc!$D$32</f>
        <v>Reusable</v>
      </c>
      <c r="G538" s="0" t="n">
        <f aca="false">Calc!$J$32</f>
        <v>0</v>
      </c>
    </row>
    <row r="539" customFormat="false" ht="15" hidden="false" customHeight="false" outlineLevel="0" collapsed="false">
      <c r="A539" s="0" t="n">
        <v>6</v>
      </c>
      <c r="B539" s="0" t="n">
        <v>31</v>
      </c>
      <c r="C539" s="0" t="str">
        <f aca="false">IF(G539&gt;0,6031,"")</f>
        <v/>
      </c>
      <c r="D539" s="0" t="str">
        <f aca="false">Calc!$B$33</f>
        <v>Mini water pump + tube</v>
      </c>
      <c r="E539" s="0" t="str">
        <f aca="false">Calc!$A$33</f>
        <v>Actuators &amp; Motor Drivers</v>
      </c>
      <c r="F539" s="0" t="str">
        <f aca="false">Calc!$D$33</f>
        <v>Reusable</v>
      </c>
      <c r="G539" s="0" t="n">
        <f aca="false">Calc!$J$33</f>
        <v>0</v>
      </c>
    </row>
    <row r="540" customFormat="false" ht="15" hidden="false" customHeight="false" outlineLevel="0" collapsed="false">
      <c r="A540" s="0" t="n">
        <v>6</v>
      </c>
      <c r="B540" s="0" t="n">
        <v>32</v>
      </c>
      <c r="C540" s="0" t="str">
        <f aca="false">IF(G540&gt;0,6032,"")</f>
        <v/>
      </c>
      <c r="D540" s="0" t="str">
        <f aca="false">Calc!$B$34</f>
        <v>Passive buzzer</v>
      </c>
      <c r="E540" s="0" t="str">
        <f aca="false">Calc!$A$34</f>
        <v>Actuators &amp; Motor Drivers</v>
      </c>
      <c r="F540" s="0" t="str">
        <f aca="false">Calc!$D$34</f>
        <v>Reusable</v>
      </c>
      <c r="G540" s="0" t="n">
        <f aca="false">Calc!$J$34</f>
        <v>0</v>
      </c>
    </row>
    <row r="541" customFormat="false" ht="15" hidden="false" customHeight="false" outlineLevel="0" collapsed="false">
      <c r="A541" s="0" t="n">
        <v>6</v>
      </c>
      <c r="B541" s="0" t="n">
        <v>33</v>
      </c>
      <c r="C541" s="0" t="str">
        <f aca="false">IF(G541&gt;0,6033,"")</f>
        <v/>
      </c>
      <c r="D541" s="0" t="str">
        <f aca="false">Calc!$B$35</f>
        <v>Relay module (1-channel)</v>
      </c>
      <c r="E541" s="0" t="str">
        <f aca="false">Calc!$A$35</f>
        <v>Actuators &amp; Motor Drivers</v>
      </c>
      <c r="F541" s="0" t="str">
        <f aca="false">Calc!$D$35</f>
        <v>Reusable</v>
      </c>
      <c r="G541" s="0" t="n">
        <f aca="false">Calc!$J$35</f>
        <v>0</v>
      </c>
    </row>
    <row r="542" customFormat="false" ht="15" hidden="false" customHeight="false" outlineLevel="0" collapsed="false">
      <c r="A542" s="0" t="n">
        <v>6</v>
      </c>
      <c r="B542" s="0" t="n">
        <v>34</v>
      </c>
      <c r="C542" s="0" t="str">
        <f aca="false">IF(G542&gt;0,6034,"")</f>
        <v/>
      </c>
      <c r="D542" s="0" t="str">
        <f aca="false">Calc!$B$36</f>
        <v>Relay module (4-channel)</v>
      </c>
      <c r="E542" s="0" t="str">
        <f aca="false">Calc!$A$36</f>
        <v>Actuators &amp; Motor Drivers</v>
      </c>
      <c r="F542" s="0" t="str">
        <f aca="false">Calc!$D$36</f>
        <v>Reusable</v>
      </c>
      <c r="G542" s="0" t="n">
        <f aca="false">Calc!$J$36</f>
        <v>0</v>
      </c>
    </row>
    <row r="543" customFormat="false" ht="15" hidden="false" customHeight="false" outlineLevel="0" collapsed="false">
      <c r="A543" s="0" t="n">
        <v>6</v>
      </c>
      <c r="B543" s="0" t="n">
        <v>35</v>
      </c>
      <c r="C543" s="0" t="str">
        <f aca="false">IF(G543&gt;0,6035,"")</f>
        <v/>
      </c>
      <c r="D543" s="0" t="str">
        <f aca="false">Calc!$B$37</f>
        <v>Servo MG995</v>
      </c>
      <c r="E543" s="0" t="str">
        <f aca="false">Calc!$A$37</f>
        <v>Actuators &amp; Motor Drivers</v>
      </c>
      <c r="F543" s="0" t="str">
        <f aca="false">Calc!$D$37</f>
        <v>Reusable</v>
      </c>
      <c r="G543" s="0" t="n">
        <f aca="false">Calc!$J$37</f>
        <v>0</v>
      </c>
    </row>
    <row r="544" customFormat="false" ht="15" hidden="false" customHeight="false" outlineLevel="0" collapsed="false">
      <c r="A544" s="0" t="n">
        <v>6</v>
      </c>
      <c r="B544" s="0" t="n">
        <v>36</v>
      </c>
      <c r="C544" s="0" t="str">
        <f aca="false">IF(G544&gt;0,6036,"")</f>
        <v/>
      </c>
      <c r="D544" s="0" t="str">
        <f aca="false">Calc!$B$38</f>
        <v>Servo SG90</v>
      </c>
      <c r="E544" s="0" t="str">
        <f aca="false">Calc!$A$38</f>
        <v>Actuators &amp; Motor Drivers</v>
      </c>
      <c r="F544" s="0" t="str">
        <f aca="false">Calc!$D$38</f>
        <v>Reusable</v>
      </c>
      <c r="G544" s="0" t="n">
        <f aca="false">Calc!$J$38</f>
        <v>0</v>
      </c>
    </row>
    <row r="545" customFormat="false" ht="15" hidden="false" customHeight="false" outlineLevel="0" collapsed="false">
      <c r="A545" s="0" t="n">
        <v>6</v>
      </c>
      <c r="B545" s="0" t="n">
        <v>37</v>
      </c>
      <c r="C545" s="0" t="str">
        <f aca="false">IF(G545&gt;0,6037,"")</f>
        <v/>
      </c>
      <c r="D545" s="0" t="str">
        <f aca="false">Calc!$B$39</f>
        <v>Stepper 28BYJ-48 + ULN2003</v>
      </c>
      <c r="E545" s="0" t="str">
        <f aca="false">Calc!$A$39</f>
        <v>Actuators &amp; Motor Drivers</v>
      </c>
      <c r="F545" s="0" t="str">
        <f aca="false">Calc!$D$39</f>
        <v>Reusable</v>
      </c>
      <c r="G545" s="0" t="n">
        <f aca="false">Calc!$J$39</f>
        <v>0</v>
      </c>
    </row>
    <row r="546" customFormat="false" ht="15" hidden="false" customHeight="false" outlineLevel="0" collapsed="false">
      <c r="A546" s="0" t="n">
        <v>6</v>
      </c>
      <c r="B546" s="0" t="n">
        <v>38</v>
      </c>
      <c r="C546" s="0" t="str">
        <f aca="false">IF(G546&gt;0,6038,"")</f>
        <v/>
      </c>
      <c r="D546" s="0" t="str">
        <f aca="false">Calc!$B$40</f>
        <v>Vibration motor module</v>
      </c>
      <c r="E546" s="0" t="str">
        <f aca="false">Calc!$A$40</f>
        <v>Actuators &amp; Motor Drivers</v>
      </c>
      <c r="F546" s="0" t="str">
        <f aca="false">Calc!$D$40</f>
        <v>Reusable</v>
      </c>
      <c r="G546" s="0" t="n">
        <f aca="false">Calc!$J$40</f>
        <v>0</v>
      </c>
    </row>
    <row r="547" customFormat="false" ht="15" hidden="false" customHeight="false" outlineLevel="0" collapsed="false">
      <c r="A547" s="0" t="n">
        <v>6</v>
      </c>
      <c r="B547" s="0" t="n">
        <v>39</v>
      </c>
      <c r="C547" s="0" t="str">
        <f aca="false">IF(G547&gt;0,6039,"")</f>
        <v/>
      </c>
      <c r="D547" s="0" t="str">
        <f aca="false">Calc!$B$41</f>
        <v>5 V DC fan</v>
      </c>
      <c r="E547" s="0" t="str">
        <f aca="false">Calc!$A$41</f>
        <v>Displays &amp; Output</v>
      </c>
      <c r="F547" s="0" t="str">
        <f aca="false">Calc!$D$41</f>
        <v>Reusable</v>
      </c>
      <c r="G547" s="0" t="n">
        <f aca="false">Calc!$J$41</f>
        <v>0</v>
      </c>
    </row>
    <row r="548" customFormat="false" ht="15" hidden="false" customHeight="false" outlineLevel="0" collapsed="false">
      <c r="A548" s="0" t="n">
        <v>6</v>
      </c>
      <c r="B548" s="0" t="n">
        <v>40</v>
      </c>
      <c r="C548" s="0" t="str">
        <f aca="false">IF(G548&gt;0,6040,"")</f>
        <v/>
      </c>
      <c r="D548" s="0" t="str">
        <f aca="false">Calc!$B$42</f>
        <v>LED 5 mm (assorted)</v>
      </c>
      <c r="E548" s="0" t="str">
        <f aca="false">Calc!$A$42</f>
        <v>Displays &amp; Output</v>
      </c>
      <c r="F548" s="0" t="str">
        <f aca="false">Calc!$D$42</f>
        <v>Consumable</v>
      </c>
      <c r="G548" s="0" t="n">
        <f aca="false">Calc!$J$42</f>
        <v>0</v>
      </c>
    </row>
    <row r="549" customFormat="false" ht="15" hidden="false" customHeight="false" outlineLevel="0" collapsed="false">
      <c r="A549" s="0" t="n">
        <v>6</v>
      </c>
      <c r="B549" s="0" t="n">
        <v>41</v>
      </c>
      <c r="C549" s="0" t="str">
        <f aca="false">IF(G549&gt;0,6041,"")</f>
        <v/>
      </c>
      <c r="D549" s="0" t="str">
        <f aca="false">Calc!$B$43</f>
        <v>Low-voltage LED lamp (5 V)</v>
      </c>
      <c r="E549" s="0" t="str">
        <f aca="false">Calc!$A$43</f>
        <v>Displays &amp; Output</v>
      </c>
      <c r="F549" s="0" t="str">
        <f aca="false">Calc!$D$43</f>
        <v>Reusable</v>
      </c>
      <c r="G549" s="0" t="n">
        <f aca="false">Calc!$J$43</f>
        <v>0</v>
      </c>
    </row>
    <row r="550" customFormat="false" ht="15" hidden="false" customHeight="false" outlineLevel="0" collapsed="false">
      <c r="A550" s="0" t="n">
        <v>6</v>
      </c>
      <c r="B550" s="0" t="n">
        <v>42</v>
      </c>
      <c r="C550" s="0" t="str">
        <f aca="false">IF(G550&gt;0,6042,"")</f>
        <v/>
      </c>
      <c r="D550" s="0" t="str">
        <f aca="false">Calc!$B$44</f>
        <v>MAX7219 8x8 LED matrix</v>
      </c>
      <c r="E550" s="0" t="str">
        <f aca="false">Calc!$A$44</f>
        <v>Displays &amp; Output</v>
      </c>
      <c r="F550" s="0" t="str">
        <f aca="false">Calc!$D$44</f>
        <v>Reusable</v>
      </c>
      <c r="G550" s="0" t="n">
        <f aca="false">Calc!$J$44</f>
        <v>0</v>
      </c>
    </row>
    <row r="551" customFormat="false" ht="15" hidden="false" customHeight="false" outlineLevel="0" collapsed="false">
      <c r="A551" s="0" t="n">
        <v>6</v>
      </c>
      <c r="B551" s="0" t="n">
        <v>43</v>
      </c>
      <c r="C551" s="0" t="str">
        <f aca="false">IF(G551&gt;0,6043,"")</f>
        <v/>
      </c>
      <c r="D551" s="0" t="str">
        <f aca="false">Calc!$B$45</f>
        <v>OLED 0.96 in I2C</v>
      </c>
      <c r="E551" s="0" t="str">
        <f aca="false">Calc!$A$45</f>
        <v>Displays &amp; Output</v>
      </c>
      <c r="F551" s="0" t="str">
        <f aca="false">Calc!$D$45</f>
        <v>Reusable</v>
      </c>
      <c r="G551" s="0" t="n">
        <f aca="false">Calc!$J$45</f>
        <v>0</v>
      </c>
    </row>
    <row r="552" customFormat="false" ht="15" hidden="false" customHeight="false" outlineLevel="0" collapsed="false">
      <c r="A552" s="0" t="n">
        <v>6</v>
      </c>
      <c r="B552" s="0" t="n">
        <v>44</v>
      </c>
      <c r="C552" s="0" t="str">
        <f aca="false">IF(G552&gt;0,6044,"")</f>
        <v/>
      </c>
      <c r="D552" s="0" t="str">
        <f aca="false">Calc!$B$46</f>
        <v>RGB LED</v>
      </c>
      <c r="E552" s="0" t="str">
        <f aca="false">Calc!$A$46</f>
        <v>Displays &amp; Output</v>
      </c>
      <c r="F552" s="0" t="str">
        <f aca="false">Calc!$D$46</f>
        <v>Reusable</v>
      </c>
      <c r="G552" s="0" t="n">
        <f aca="false">Calc!$J$46</f>
        <v>0</v>
      </c>
    </row>
    <row r="553" customFormat="false" ht="15" hidden="false" customHeight="false" outlineLevel="0" collapsed="false">
      <c r="A553" s="0" t="n">
        <v>6</v>
      </c>
      <c r="B553" s="0" t="n">
        <v>45</v>
      </c>
      <c r="C553" s="0" t="str">
        <f aca="false">IF(G553&gt;0,6045,"")</f>
        <v/>
      </c>
      <c r="D553" s="0" t="str">
        <f aca="false">Calc!$B$47</f>
        <v>WS2812B LED ring (12 LEDs)</v>
      </c>
      <c r="E553" s="0" t="str">
        <f aca="false">Calc!$A$47</f>
        <v>Displays &amp; Output</v>
      </c>
      <c r="F553" s="0" t="str">
        <f aca="false">Calc!$D$47</f>
        <v>Reusable</v>
      </c>
      <c r="G553" s="0" t="n">
        <f aca="false">Calc!$J$47</f>
        <v>0</v>
      </c>
    </row>
    <row r="554" customFormat="false" ht="15" hidden="false" customHeight="false" outlineLevel="0" collapsed="false">
      <c r="A554" s="0" t="n">
        <v>6</v>
      </c>
      <c r="B554" s="0" t="n">
        <v>46</v>
      </c>
      <c r="C554" s="0" t="str">
        <f aca="false">IF(G554&gt;0,6046,"")</f>
        <v/>
      </c>
      <c r="D554" s="0" t="str">
        <f aca="false">Calc!$B$48</f>
        <v>WS2812B LED strip (1 m, 30 LEDs)</v>
      </c>
      <c r="E554" s="0" t="str">
        <f aca="false">Calc!$A$48</f>
        <v>Displays &amp; Output</v>
      </c>
      <c r="F554" s="0" t="str">
        <f aca="false">Calc!$D$48</f>
        <v>Reusable</v>
      </c>
      <c r="G554" s="0" t="n">
        <f aca="false">Calc!$J$48</f>
        <v>0</v>
      </c>
    </row>
    <row r="555" customFormat="false" ht="15" hidden="false" customHeight="false" outlineLevel="0" collapsed="false">
      <c r="A555" s="0" t="n">
        <v>6</v>
      </c>
      <c r="B555" s="0" t="n">
        <v>47</v>
      </c>
      <c r="C555" s="0" t="str">
        <f aca="false">IF(G555&gt;0,6047,"")</f>
        <v/>
      </c>
      <c r="D555" s="0" t="str">
        <f aca="false">Calc!$B$49</f>
        <v>555 timer IC</v>
      </c>
      <c r="E555" s="0" t="str">
        <f aca="false">Calc!$A$49</f>
        <v>Passive Components &amp; ICs</v>
      </c>
      <c r="F555" s="0" t="str">
        <f aca="false">Calc!$D$49</f>
        <v>Consumable</v>
      </c>
      <c r="G555" s="0" t="n">
        <f aca="false">Calc!$J$49</f>
        <v>0</v>
      </c>
    </row>
    <row r="556" customFormat="false" ht="15" hidden="false" customHeight="false" outlineLevel="0" collapsed="false">
      <c r="A556" s="0" t="n">
        <v>6</v>
      </c>
      <c r="B556" s="0" t="n">
        <v>48</v>
      </c>
      <c r="C556" s="0" t="str">
        <f aca="false">IF(G556&gt;0,6048,"")</f>
        <v/>
      </c>
      <c r="D556" s="0" t="str">
        <f aca="false">Calc!$B$50</f>
        <v>Capacitor 10 nF</v>
      </c>
      <c r="E556" s="0" t="str">
        <f aca="false">Calc!$A$50</f>
        <v>Passive Components &amp; ICs</v>
      </c>
      <c r="F556" s="0" t="str">
        <f aca="false">Calc!$D$50</f>
        <v>Consumable</v>
      </c>
      <c r="G556" s="0" t="n">
        <f aca="false">Calc!$J$50</f>
        <v>0</v>
      </c>
    </row>
    <row r="557" customFormat="false" ht="15" hidden="false" customHeight="false" outlineLevel="0" collapsed="false">
      <c r="A557" s="0" t="n">
        <v>6</v>
      </c>
      <c r="B557" s="0" t="n">
        <v>49</v>
      </c>
      <c r="C557" s="0" t="str">
        <f aca="false">IF(G557&gt;0,6049,"")</f>
        <v/>
      </c>
      <c r="D557" s="0" t="str">
        <f aca="false">Calc!$B$51</f>
        <v>Capacitor 10 uF</v>
      </c>
      <c r="E557" s="0" t="str">
        <f aca="false">Calc!$A$51</f>
        <v>Passive Components &amp; ICs</v>
      </c>
      <c r="F557" s="0" t="str">
        <f aca="false">Calc!$D$51</f>
        <v>Consumable</v>
      </c>
      <c r="G557" s="0" t="n">
        <f aca="false">Calc!$J$51</f>
        <v>0</v>
      </c>
    </row>
    <row r="558" customFormat="false" ht="15" hidden="false" customHeight="false" outlineLevel="0" collapsed="false">
      <c r="A558" s="0" t="n">
        <v>6</v>
      </c>
      <c r="B558" s="0" t="n">
        <v>50</v>
      </c>
      <c r="C558" s="0" t="str">
        <f aca="false">IF(G558&gt;0,6050,"")</f>
        <v/>
      </c>
      <c r="D558" s="0" t="str">
        <f aca="false">Calc!$B$52</f>
        <v>Capacitor 100 uF</v>
      </c>
      <c r="E558" s="0" t="str">
        <f aca="false">Calc!$A$52</f>
        <v>Passive Components &amp; ICs</v>
      </c>
      <c r="F558" s="0" t="str">
        <f aca="false">Calc!$D$52</f>
        <v>Consumable</v>
      </c>
      <c r="G558" s="0" t="n">
        <f aca="false">Calc!$J$52</f>
        <v>0</v>
      </c>
    </row>
    <row r="559" customFormat="false" ht="15" hidden="false" customHeight="false" outlineLevel="0" collapsed="false">
      <c r="A559" s="0" t="n">
        <v>6</v>
      </c>
      <c r="B559" s="0" t="n">
        <v>51</v>
      </c>
      <c r="C559" s="0" t="str">
        <f aca="false">IF(G559&gt;0,6051,"")</f>
        <v/>
      </c>
      <c r="D559" s="0" t="str">
        <f aca="false">Calc!$B$53</f>
        <v>Potentiometer 10k</v>
      </c>
      <c r="E559" s="0" t="str">
        <f aca="false">Calc!$A$53</f>
        <v>Passive Components &amp; ICs</v>
      </c>
      <c r="F559" s="0" t="str">
        <f aca="false">Calc!$D$53</f>
        <v>Reusable</v>
      </c>
      <c r="G559" s="0" t="n">
        <f aca="false">Calc!$J$53</f>
        <v>0</v>
      </c>
    </row>
    <row r="560" customFormat="false" ht="15" hidden="false" customHeight="false" outlineLevel="0" collapsed="false">
      <c r="A560" s="0" t="n">
        <v>6</v>
      </c>
      <c r="B560" s="0" t="n">
        <v>52</v>
      </c>
      <c r="C560" s="0" t="str">
        <f aca="false">IF(G560&gt;0,6052,"")</f>
        <v/>
      </c>
      <c r="D560" s="0" t="str">
        <f aca="false">Calc!$B$54</f>
        <v>Push button</v>
      </c>
      <c r="E560" s="0" t="str">
        <f aca="false">Calc!$A$54</f>
        <v>Passive Components &amp; ICs</v>
      </c>
      <c r="F560" s="0" t="str">
        <f aca="false">Calc!$D$54</f>
        <v>Reusable</v>
      </c>
      <c r="G560" s="0" t="n">
        <f aca="false">Calc!$J$54</f>
        <v>0</v>
      </c>
    </row>
    <row r="561" customFormat="false" ht="15" hidden="false" customHeight="false" outlineLevel="0" collapsed="false">
      <c r="A561" s="0" t="n">
        <v>6</v>
      </c>
      <c r="B561" s="0" t="n">
        <v>53</v>
      </c>
      <c r="C561" s="0" t="str">
        <f aca="false">IF(G561&gt;0,6053,"")</f>
        <v/>
      </c>
      <c r="D561" s="0" t="str">
        <f aca="false">Calc!$B$55</f>
        <v>Resistor 10k ohm</v>
      </c>
      <c r="E561" s="0" t="str">
        <f aca="false">Calc!$A$55</f>
        <v>Passive Components &amp; ICs</v>
      </c>
      <c r="F561" s="0" t="str">
        <f aca="false">Calc!$D$55</f>
        <v>Consumable</v>
      </c>
      <c r="G561" s="0" t="n">
        <f aca="false">Calc!$J$55</f>
        <v>0</v>
      </c>
    </row>
    <row r="562" customFormat="false" ht="15" hidden="false" customHeight="false" outlineLevel="0" collapsed="false">
      <c r="A562" s="0" t="n">
        <v>6</v>
      </c>
      <c r="B562" s="0" t="n">
        <v>54</v>
      </c>
      <c r="C562" s="0" t="str">
        <f aca="false">IF(G562&gt;0,6054,"")</f>
        <v/>
      </c>
      <c r="D562" s="0" t="str">
        <f aca="false">Calc!$B$56</f>
        <v>Resistor 1k ohm</v>
      </c>
      <c r="E562" s="0" t="str">
        <f aca="false">Calc!$A$56</f>
        <v>Passive Components &amp; ICs</v>
      </c>
      <c r="F562" s="0" t="str">
        <f aca="false">Calc!$D$56</f>
        <v>Consumable</v>
      </c>
      <c r="G562" s="0" t="n">
        <f aca="false">Calc!$J$56</f>
        <v>0</v>
      </c>
    </row>
    <row r="563" customFormat="false" ht="15" hidden="false" customHeight="false" outlineLevel="0" collapsed="false">
      <c r="A563" s="0" t="n">
        <v>6</v>
      </c>
      <c r="B563" s="0" t="n">
        <v>55</v>
      </c>
      <c r="C563" s="0" t="str">
        <f aca="false">IF(G563&gt;0,6055,"")</f>
        <v/>
      </c>
      <c r="D563" s="0" t="str">
        <f aca="false">Calc!$B$57</f>
        <v>Resistor 220 ohm</v>
      </c>
      <c r="E563" s="0" t="str">
        <f aca="false">Calc!$A$57</f>
        <v>Passive Components &amp; ICs</v>
      </c>
      <c r="F563" s="0" t="str">
        <f aca="false">Calc!$D$57</f>
        <v>Consumable</v>
      </c>
      <c r="G563" s="0" t="n">
        <f aca="false">Calc!$J$57</f>
        <v>0</v>
      </c>
    </row>
    <row r="564" customFormat="false" ht="15" hidden="false" customHeight="false" outlineLevel="0" collapsed="false">
      <c r="A564" s="0" t="n">
        <v>6</v>
      </c>
      <c r="B564" s="0" t="n">
        <v>56</v>
      </c>
      <c r="C564" s="0" t="str">
        <f aca="false">IF(G564&gt;0,6056,"")</f>
        <v/>
      </c>
      <c r="D564" s="0" t="str">
        <f aca="false">Calc!$B$58</f>
        <v>Slide switch</v>
      </c>
      <c r="E564" s="0" t="str">
        <f aca="false">Calc!$A$58</f>
        <v>Passive Components &amp; ICs</v>
      </c>
      <c r="F564" s="0" t="str">
        <f aca="false">Calc!$D$58</f>
        <v>Reusable</v>
      </c>
      <c r="G564" s="0" t="n">
        <f aca="false">Calc!$J$58</f>
        <v>0</v>
      </c>
    </row>
    <row r="565" customFormat="false" ht="15" hidden="false" customHeight="false" outlineLevel="0" collapsed="false">
      <c r="A565" s="0" t="n">
        <v>6</v>
      </c>
      <c r="B565" s="0" t="n">
        <v>57</v>
      </c>
      <c r="C565" s="0" t="str">
        <f aca="false">IF(G565&gt;0,6057,"")</f>
        <v/>
      </c>
      <c r="D565" s="0" t="str">
        <f aca="false">Calc!$B$59</f>
        <v>18650 cell + holder</v>
      </c>
      <c r="E565" s="0" t="str">
        <f aca="false">Calc!$A$59</f>
        <v>Power</v>
      </c>
      <c r="F565" s="0" t="str">
        <f aca="false">Calc!$D$59</f>
        <v>Reusable</v>
      </c>
      <c r="G565" s="0" t="n">
        <f aca="false">Calc!$J$59</f>
        <v>0</v>
      </c>
    </row>
    <row r="566" customFormat="false" ht="15" hidden="false" customHeight="false" outlineLevel="0" collapsed="false">
      <c r="A566" s="0" t="n">
        <v>6</v>
      </c>
      <c r="B566" s="0" t="n">
        <v>58</v>
      </c>
      <c r="C566" s="0" t="str">
        <f aca="false">IF(G566&gt;0,6058,"")</f>
        <v/>
      </c>
      <c r="D566" s="0" t="str">
        <f aca="false">Calc!$B$60</f>
        <v>2xAA battery holder + batteries</v>
      </c>
      <c r="E566" s="0" t="str">
        <f aca="false">Calc!$A$60</f>
        <v>Power</v>
      </c>
      <c r="F566" s="0" t="str">
        <f aca="false">Calc!$D$60</f>
        <v>Consumable</v>
      </c>
      <c r="G566" s="0" t="n">
        <f aca="false">Calc!$J$60</f>
        <v>0</v>
      </c>
    </row>
    <row r="567" customFormat="false" ht="15" hidden="false" customHeight="false" outlineLevel="0" collapsed="false">
      <c r="A567" s="0" t="n">
        <v>6</v>
      </c>
      <c r="B567" s="0" t="n">
        <v>59</v>
      </c>
      <c r="C567" s="0" t="str">
        <f aca="false">IF(G567&gt;0,6059,"")</f>
        <v/>
      </c>
      <c r="D567" s="0" t="str">
        <f aca="false">Calc!$B$61</f>
        <v>4xAA battery pack</v>
      </c>
      <c r="E567" s="0" t="str">
        <f aca="false">Calc!$A$61</f>
        <v>Power</v>
      </c>
      <c r="F567" s="0" t="str">
        <f aca="false">Calc!$D$61</f>
        <v>Consumable</v>
      </c>
      <c r="G567" s="0" t="n">
        <f aca="false">Calc!$J$61</f>
        <v>0</v>
      </c>
    </row>
    <row r="568" customFormat="false" ht="15" hidden="false" customHeight="false" outlineLevel="0" collapsed="false">
      <c r="A568" s="0" t="n">
        <v>6</v>
      </c>
      <c r="B568" s="0" t="n">
        <v>60</v>
      </c>
      <c r="C568" s="0" t="str">
        <f aca="false">IF(G568&gt;0,6060,"")</f>
        <v/>
      </c>
      <c r="D568" s="0" t="str">
        <f aca="false">Calc!$B$62</f>
        <v>9V battery + snap</v>
      </c>
      <c r="E568" s="0" t="str">
        <f aca="false">Calc!$A$62</f>
        <v>Power</v>
      </c>
      <c r="F568" s="0" t="str">
        <f aca="false">Calc!$D$62</f>
        <v>Consumable</v>
      </c>
      <c r="G568" s="0" t="n">
        <f aca="false">Calc!$J$62</f>
        <v>0</v>
      </c>
    </row>
    <row r="569" customFormat="false" ht="15" hidden="false" customHeight="false" outlineLevel="0" collapsed="false">
      <c r="A569" s="0" t="n">
        <v>6</v>
      </c>
      <c r="B569" s="0" t="n">
        <v>61</v>
      </c>
      <c r="C569" s="0" t="str">
        <f aca="false">IF(G569&gt;0,6061,"")</f>
        <v/>
      </c>
      <c r="D569" s="0" t="str">
        <f aca="false">Calc!$B$63</f>
        <v>Coin cell CR2032</v>
      </c>
      <c r="E569" s="0" t="str">
        <f aca="false">Calc!$A$63</f>
        <v>Power</v>
      </c>
      <c r="F569" s="0" t="str">
        <f aca="false">Calc!$D$63</f>
        <v>Consumable</v>
      </c>
      <c r="G569" s="0" t="n">
        <f aca="false">Calc!$J$63</f>
        <v>0</v>
      </c>
    </row>
    <row r="570" customFormat="false" ht="15" hidden="false" customHeight="false" outlineLevel="0" collapsed="false">
      <c r="A570" s="0" t="n">
        <v>6</v>
      </c>
      <c r="B570" s="0" t="n">
        <v>62</v>
      </c>
      <c r="C570" s="0" t="str">
        <f aca="false">IF(G570&gt;0,6062,"")</f>
        <v/>
      </c>
      <c r="D570" s="0" t="str">
        <f aca="false">Calc!$B$64</f>
        <v>LM2596 buck converter</v>
      </c>
      <c r="E570" s="0" t="str">
        <f aca="false">Calc!$A$64</f>
        <v>Power</v>
      </c>
      <c r="F570" s="0" t="str">
        <f aca="false">Calc!$D$64</f>
        <v>Reusable</v>
      </c>
      <c r="G570" s="0" t="n">
        <f aca="false">Calc!$J$64</f>
        <v>0</v>
      </c>
    </row>
    <row r="571" customFormat="false" ht="15" hidden="false" customHeight="false" outlineLevel="0" collapsed="false">
      <c r="A571" s="0" t="n">
        <v>6</v>
      </c>
      <c r="B571" s="0" t="n">
        <v>63</v>
      </c>
      <c r="C571" s="0" t="str">
        <f aca="false">IF(G571&gt;0,6063,"")</f>
        <v/>
      </c>
      <c r="D571" s="0" t="str">
        <f aca="false">Calc!$B$65</f>
        <v>Small solar panel</v>
      </c>
      <c r="E571" s="0" t="str">
        <f aca="false">Calc!$A$65</f>
        <v>Power</v>
      </c>
      <c r="F571" s="0" t="str">
        <f aca="false">Calc!$D$65</f>
        <v>Reusable</v>
      </c>
      <c r="G571" s="0" t="n">
        <f aca="false">Calc!$J$65</f>
        <v>0</v>
      </c>
    </row>
    <row r="572" customFormat="false" ht="15" hidden="false" customHeight="false" outlineLevel="0" collapsed="false">
      <c r="A572" s="0" t="n">
        <v>6</v>
      </c>
      <c r="B572" s="0" t="n">
        <v>64</v>
      </c>
      <c r="C572" s="0" t="str">
        <f aca="false">IF(G572&gt;0,6064,"")</f>
        <v/>
      </c>
      <c r="D572" s="0" t="str">
        <f aca="false">Calc!$B$66</f>
        <v>TP4056 charger module</v>
      </c>
      <c r="E572" s="0" t="str">
        <f aca="false">Calc!$A$66</f>
        <v>Power</v>
      </c>
      <c r="F572" s="0" t="str">
        <f aca="false">Calc!$D$66</f>
        <v>Reusable</v>
      </c>
      <c r="G572" s="0" t="n">
        <f aca="false">Calc!$J$66</f>
        <v>0</v>
      </c>
    </row>
    <row r="573" customFormat="false" ht="15" hidden="false" customHeight="false" outlineLevel="0" collapsed="false">
      <c r="A573" s="0" t="n">
        <v>6</v>
      </c>
      <c r="B573" s="0" t="n">
        <v>65</v>
      </c>
      <c r="C573" s="0" t="str">
        <f aca="false">IF(G573&gt;0,6065,"")</f>
        <v/>
      </c>
      <c r="D573" s="0" t="str">
        <f aca="false">Calc!$B$67</f>
        <v>Alligator clip leads</v>
      </c>
      <c r="E573" s="0" t="str">
        <f aca="false">Calc!$A$67</f>
        <v>Wiring &amp; Prototyping</v>
      </c>
      <c r="F573" s="0" t="str">
        <f aca="false">Calc!$D$67</f>
        <v>Reusable</v>
      </c>
      <c r="G573" s="0" t="n">
        <f aca="false">Calc!$J$67</f>
        <v>0</v>
      </c>
    </row>
    <row r="574" customFormat="false" ht="15" hidden="false" customHeight="false" outlineLevel="0" collapsed="false">
      <c r="A574" s="0" t="n">
        <v>6</v>
      </c>
      <c r="B574" s="0" t="n">
        <v>66</v>
      </c>
      <c r="C574" s="0" t="str">
        <f aca="false">IF(G574&gt;0,6066,"")</f>
        <v/>
      </c>
      <c r="D574" s="0" t="str">
        <f aca="false">Calc!$B$68</f>
        <v>Aluminium foil</v>
      </c>
      <c r="E574" s="0" t="str">
        <f aca="false">Calc!$A$68</f>
        <v>Wiring &amp; Prototyping</v>
      </c>
      <c r="F574" s="0" t="str">
        <f aca="false">Calc!$D$68</f>
        <v>Consumable</v>
      </c>
      <c r="G574" s="0" t="n">
        <f aca="false">Calc!$J$68</f>
        <v>0</v>
      </c>
    </row>
    <row r="575" customFormat="false" ht="15" hidden="false" customHeight="false" outlineLevel="0" collapsed="false">
      <c r="A575" s="0" t="n">
        <v>6</v>
      </c>
      <c r="B575" s="0" t="n">
        <v>67</v>
      </c>
      <c r="C575" s="0" t="str">
        <f aca="false">IF(G575&gt;0,6067,"")</f>
        <v/>
      </c>
      <c r="D575" s="0" t="str">
        <f aca="false">Calc!$B$69</f>
        <v>Breadboard (half size)</v>
      </c>
      <c r="E575" s="0" t="str">
        <f aca="false">Calc!$A$69</f>
        <v>Wiring &amp; Prototyping</v>
      </c>
      <c r="F575" s="0" t="str">
        <f aca="false">Calc!$D$69</f>
        <v>Reusable</v>
      </c>
      <c r="G575" s="0" t="n">
        <f aca="false">Calc!$J$69</f>
        <v>0</v>
      </c>
    </row>
    <row r="576" customFormat="false" ht="15" hidden="false" customHeight="false" outlineLevel="0" collapsed="false">
      <c r="A576" s="0" t="n">
        <v>6</v>
      </c>
      <c r="B576" s="0" t="n">
        <v>68</v>
      </c>
      <c r="C576" s="0" t="str">
        <f aca="false">IF(G576&gt;0,6068,"")</f>
        <v/>
      </c>
      <c r="D576" s="0" t="str">
        <f aca="false">Calc!$B$70</f>
        <v>Copper tape</v>
      </c>
      <c r="E576" s="0" t="str">
        <f aca="false">Calc!$A$70</f>
        <v>Wiring &amp; Prototyping</v>
      </c>
      <c r="F576" s="0" t="str">
        <f aca="false">Calc!$D$70</f>
        <v>Consumable</v>
      </c>
      <c r="G576" s="0" t="n">
        <f aca="false">Calc!$J$70</f>
        <v>0</v>
      </c>
    </row>
    <row r="577" customFormat="false" ht="15" hidden="false" customHeight="false" outlineLevel="0" collapsed="false">
      <c r="A577" s="0" t="n">
        <v>6</v>
      </c>
      <c r="B577" s="0" t="n">
        <v>69</v>
      </c>
      <c r="C577" s="0" t="str">
        <f aca="false">IF(G577&gt;0,6069,"")</f>
        <v/>
      </c>
      <c r="D577" s="0" t="str">
        <f aca="false">Calc!$B$71</f>
        <v>Jumper wires M-F</v>
      </c>
      <c r="E577" s="0" t="str">
        <f aca="false">Calc!$A$71</f>
        <v>Wiring &amp; Prototyping</v>
      </c>
      <c r="F577" s="0" t="str">
        <f aca="false">Calc!$D$71</f>
        <v>Reusable</v>
      </c>
      <c r="G577" s="0" t="n">
        <f aca="false">Calc!$J$71</f>
        <v>0</v>
      </c>
    </row>
    <row r="578" customFormat="false" ht="15" hidden="false" customHeight="false" outlineLevel="0" collapsed="false">
      <c r="A578" s="0" t="n">
        <v>6</v>
      </c>
      <c r="B578" s="0" t="n">
        <v>70</v>
      </c>
      <c r="C578" s="0" t="str">
        <f aca="false">IF(G578&gt;0,6070,"")</f>
        <v/>
      </c>
      <c r="D578" s="0" t="str">
        <f aca="false">Calc!$B$72</f>
        <v>Jumper wires M-M</v>
      </c>
      <c r="E578" s="0" t="str">
        <f aca="false">Calc!$A$72</f>
        <v>Wiring &amp; Prototyping</v>
      </c>
      <c r="F578" s="0" t="str">
        <f aca="false">Calc!$D$72</f>
        <v>Reusable</v>
      </c>
      <c r="G578" s="0" t="n">
        <f aca="false">Calc!$J$72</f>
        <v>0</v>
      </c>
    </row>
    <row r="579" customFormat="false" ht="15" hidden="false" customHeight="false" outlineLevel="0" collapsed="false">
      <c r="A579" s="0" t="n">
        <v>6</v>
      </c>
      <c r="B579" s="0" t="n">
        <v>71</v>
      </c>
      <c r="C579" s="0" t="str">
        <f aca="false">IF(G579&gt;0,6071,"")</f>
        <v/>
      </c>
      <c r="D579" s="0" t="str">
        <f aca="false">Calc!$B$73</f>
        <v>3D printer</v>
      </c>
      <c r="E579" s="0" t="str">
        <f aca="false">Calc!$A$73</f>
        <v>Computers &amp; Equipment</v>
      </c>
      <c r="F579" s="0" t="str">
        <f aca="false">Calc!$D$73</f>
        <v>Reusable</v>
      </c>
      <c r="G579" s="0" t="n">
        <f aca="false">Calc!$J$73</f>
        <v>0</v>
      </c>
    </row>
    <row r="580" customFormat="false" ht="15" hidden="false" customHeight="false" outlineLevel="0" collapsed="false">
      <c r="A580" s="0" t="n">
        <v>6</v>
      </c>
      <c r="B580" s="0" t="n">
        <v>72</v>
      </c>
      <c r="C580" s="0" t="str">
        <f aca="false">IF(G580&gt;0,6072,"")</f>
        <v/>
      </c>
      <c r="D580" s="0" t="str">
        <f aca="false">Calc!$B$74</f>
        <v>Android smartphone</v>
      </c>
      <c r="E580" s="0" t="str">
        <f aca="false">Calc!$A$74</f>
        <v>Computers &amp; Equipment</v>
      </c>
      <c r="F580" s="0" t="str">
        <f aca="false">Calc!$D$74</f>
        <v>Reusable</v>
      </c>
      <c r="G580" s="0" t="n">
        <f aca="false">Calc!$J$74</f>
        <v>0</v>
      </c>
    </row>
    <row r="581" customFormat="false" ht="15" hidden="false" customHeight="false" outlineLevel="0" collapsed="false">
      <c r="A581" s="0" t="n">
        <v>6</v>
      </c>
      <c r="B581" s="0" t="n">
        <v>73</v>
      </c>
      <c r="C581" s="0" t="str">
        <f aca="false">IF(G581&gt;0,6073,"")</f>
        <v/>
      </c>
      <c r="D581" s="0" t="str">
        <f aca="false">Calc!$B$75</f>
        <v>Digital multimeter</v>
      </c>
      <c r="E581" s="0" t="str">
        <f aca="false">Calc!$A$75</f>
        <v>Computers &amp; Equipment</v>
      </c>
      <c r="F581" s="0" t="str">
        <f aca="false">Calc!$D$75</f>
        <v>Reusable</v>
      </c>
      <c r="G581" s="0" t="n">
        <f aca="false">Calc!$J$75</f>
        <v>0</v>
      </c>
    </row>
    <row r="582" customFormat="false" ht="15" hidden="false" customHeight="false" outlineLevel="0" collapsed="false">
      <c r="A582" s="0" t="n">
        <v>6</v>
      </c>
      <c r="B582" s="0" t="n">
        <v>74</v>
      </c>
      <c r="C582" s="0" t="str">
        <f aca="false">IF(G582&gt;0,6074,"")</f>
        <v/>
      </c>
      <c r="D582" s="0" t="str">
        <f aca="false">Calc!$B$76</f>
        <v>Glue gun + glue sticks</v>
      </c>
      <c r="E582" s="0" t="str">
        <f aca="false">Calc!$A$76</f>
        <v>Computers &amp; Equipment</v>
      </c>
      <c r="F582" s="0" t="str">
        <f aca="false">Calc!$D$76</f>
        <v>Reusable</v>
      </c>
      <c r="G582" s="0" t="n">
        <f aca="false">Calc!$J$76</f>
        <v>0</v>
      </c>
    </row>
    <row r="583" customFormat="false" ht="15" hidden="false" customHeight="false" outlineLevel="0" collapsed="false">
      <c r="A583" s="0" t="n">
        <v>6</v>
      </c>
      <c r="B583" s="0" t="n">
        <v>75</v>
      </c>
      <c r="C583" s="0" t="str">
        <f aca="false">IF(G583&gt;0,6075,"")</f>
        <v/>
      </c>
      <c r="D583" s="0" t="str">
        <f aca="false">Calc!$B$77</f>
        <v>Laptop</v>
      </c>
      <c r="E583" s="0" t="str">
        <f aca="false">Calc!$A$77</f>
        <v>Computers &amp; Equipment</v>
      </c>
      <c r="F583" s="0" t="str">
        <f aca="false">Calc!$D$77</f>
        <v>Reusable</v>
      </c>
      <c r="G583" s="0" t="n">
        <f aca="false">Calc!$J$77</f>
        <v>0</v>
      </c>
    </row>
    <row r="584" customFormat="false" ht="15" hidden="false" customHeight="false" outlineLevel="0" collapsed="false">
      <c r="A584" s="0" t="n">
        <v>6</v>
      </c>
      <c r="B584" s="0" t="n">
        <v>76</v>
      </c>
      <c r="C584" s="0" t="str">
        <f aca="false">IF(G584&gt;0,6076,"")</f>
        <v/>
      </c>
      <c r="D584" s="0" t="str">
        <f aca="false">Calc!$B$78</f>
        <v>PLA filament</v>
      </c>
      <c r="E584" s="0" t="str">
        <f aca="false">Calc!$A$78</f>
        <v>Computers &amp; Equipment</v>
      </c>
      <c r="F584" s="0" t="str">
        <f aca="false">Calc!$D$78</f>
        <v>Consumable</v>
      </c>
      <c r="G584" s="0" t="n">
        <f aca="false">Calc!$J$78</f>
        <v>0</v>
      </c>
    </row>
    <row r="585" customFormat="false" ht="15" hidden="false" customHeight="false" outlineLevel="0" collapsed="false">
      <c r="A585" s="0" t="n">
        <v>6</v>
      </c>
      <c r="B585" s="0" t="n">
        <v>77</v>
      </c>
      <c r="C585" s="0" t="str">
        <f aca="false">IF(G585&gt;0,6077,"")</f>
        <v/>
      </c>
      <c r="D585" s="0" t="str">
        <f aca="false">Calc!$B$79</f>
        <v>Screwdriver set</v>
      </c>
      <c r="E585" s="0" t="str">
        <f aca="false">Calc!$A$79</f>
        <v>Computers &amp; Equipment</v>
      </c>
      <c r="F585" s="0" t="str">
        <f aca="false">Calc!$D$79</f>
        <v>Reusable</v>
      </c>
      <c r="G585" s="0" t="n">
        <f aca="false">Calc!$J$79</f>
        <v>0</v>
      </c>
    </row>
    <row r="586" customFormat="false" ht="15" hidden="false" customHeight="false" outlineLevel="0" collapsed="false">
      <c r="A586" s="0" t="n">
        <v>6</v>
      </c>
      <c r="B586" s="0" t="n">
        <v>78</v>
      </c>
      <c r="C586" s="0" t="str">
        <f aca="false">IF(G586&gt;0,6078,"")</f>
        <v/>
      </c>
      <c r="D586" s="0" t="str">
        <f aca="false">Calc!$B$80</f>
        <v>Tablet</v>
      </c>
      <c r="E586" s="0" t="str">
        <f aca="false">Calc!$A$80</f>
        <v>Computers &amp; Equipment</v>
      </c>
      <c r="F586" s="0" t="str">
        <f aca="false">Calc!$D$80</f>
        <v>Reusable</v>
      </c>
      <c r="G586" s="0" t="n">
        <f aca="false">Calc!$J$80</f>
        <v>0</v>
      </c>
    </row>
    <row r="587" customFormat="false" ht="15" hidden="false" customHeight="false" outlineLevel="0" collapsed="false">
      <c r="A587" s="0" t="n">
        <v>6</v>
      </c>
      <c r="B587" s="0" t="n">
        <v>79</v>
      </c>
      <c r="C587" s="0" t="str">
        <f aca="false">IF(G587&gt;0,6079,"")</f>
        <v/>
      </c>
      <c r="D587" s="0" t="str">
        <f aca="false">Calc!$B$81</f>
        <v>Webcam</v>
      </c>
      <c r="E587" s="0" t="str">
        <f aca="false">Calc!$A$81</f>
        <v>Computers &amp; Equipment</v>
      </c>
      <c r="F587" s="0" t="str">
        <f aca="false">Calc!$D$81</f>
        <v>Reusable</v>
      </c>
      <c r="G587" s="0" t="n">
        <f aca="false">Calc!$J$81</f>
        <v>0</v>
      </c>
    </row>
    <row r="588" customFormat="false" ht="15" hidden="false" customHeight="false" outlineLevel="0" collapsed="false">
      <c r="A588" s="0" t="n">
        <v>6</v>
      </c>
      <c r="B588" s="0" t="n">
        <v>80</v>
      </c>
      <c r="C588" s="0" t="str">
        <f aca="false">IF(G588&gt;0,6080,"")</f>
        <v/>
      </c>
      <c r="D588" s="0" t="str">
        <f aca="false">Calc!$B$82</f>
        <v>Card / chart paper</v>
      </c>
      <c r="E588" s="0" t="str">
        <f aca="false">Calc!$A$82</f>
        <v>Craft &amp; Stationery</v>
      </c>
      <c r="F588" s="0" t="str">
        <f aca="false">Calc!$D$82</f>
        <v>Consumable</v>
      </c>
      <c r="G588" s="0" t="n">
        <f aca="false">Calc!$J$82</f>
        <v>0</v>
      </c>
    </row>
    <row r="589" customFormat="false" ht="15" hidden="false" customHeight="false" outlineLevel="0" collapsed="false">
      <c r="A589" s="0" t="n">
        <v>6</v>
      </c>
      <c r="B589" s="0" t="n">
        <v>81</v>
      </c>
      <c r="C589" s="0" t="str">
        <f aca="false">IF(G589&gt;0,6081,"")</f>
        <v/>
      </c>
      <c r="D589" s="0" t="str">
        <f aca="false">Calc!$B$83</f>
        <v>Cardboard sheet</v>
      </c>
      <c r="E589" s="0" t="str">
        <f aca="false">Calc!$A$83</f>
        <v>Craft &amp; Stationery</v>
      </c>
      <c r="F589" s="0" t="str">
        <f aca="false">Calc!$D$83</f>
        <v>Consumable</v>
      </c>
      <c r="G589" s="0" t="n">
        <f aca="false">Calc!$J$83</f>
        <v>0</v>
      </c>
    </row>
    <row r="590" customFormat="false" ht="15" hidden="false" customHeight="false" outlineLevel="0" collapsed="false">
      <c r="A590" s="0" t="n">
        <v>6</v>
      </c>
      <c r="B590" s="0" t="n">
        <v>82</v>
      </c>
      <c r="C590" s="0" t="str">
        <f aca="false">IF(G590&gt;0,6082,"")</f>
        <v/>
      </c>
      <c r="D590" s="0" t="str">
        <f aca="false">Calc!$B$84</f>
        <v>Conductive playdough</v>
      </c>
      <c r="E590" s="0" t="str">
        <f aca="false">Calc!$A$84</f>
        <v>Craft &amp; Stationery</v>
      </c>
      <c r="F590" s="0" t="str">
        <f aca="false">Calc!$D$84</f>
        <v>Consumable</v>
      </c>
      <c r="G590" s="0" t="n">
        <f aca="false">Calc!$J$84</f>
        <v>0</v>
      </c>
    </row>
    <row r="591" customFormat="false" ht="15" hidden="false" customHeight="false" outlineLevel="0" collapsed="false">
      <c r="A591" s="0" t="n">
        <v>6</v>
      </c>
      <c r="B591" s="0" t="n">
        <v>83</v>
      </c>
      <c r="C591" s="0" t="str">
        <f aca="false">IF(G591&gt;0,6083,"")</f>
        <v/>
      </c>
      <c r="D591" s="0" t="str">
        <f aca="false">Calc!$B$85</f>
        <v>Cork</v>
      </c>
      <c r="E591" s="0" t="str">
        <f aca="false">Calc!$A$85</f>
        <v>Craft &amp; Stationery</v>
      </c>
      <c r="F591" s="0" t="str">
        <f aca="false">Calc!$D$85</f>
        <v>Consumable</v>
      </c>
      <c r="G591" s="0" t="n">
        <f aca="false">Calc!$J$85</f>
        <v>0</v>
      </c>
    </row>
    <row r="592" customFormat="false" ht="15" hidden="false" customHeight="false" outlineLevel="0" collapsed="false">
      <c r="A592" s="0" t="n">
        <v>6</v>
      </c>
      <c r="B592" s="0" t="n">
        <v>84</v>
      </c>
      <c r="C592" s="0" t="str">
        <f aca="false">IF(G592&gt;0,6084,"")</f>
        <v/>
      </c>
      <c r="D592" s="0" t="str">
        <f aca="false">Calc!$B$86</f>
        <v>Googly eyes</v>
      </c>
      <c r="E592" s="0" t="str">
        <f aca="false">Calc!$A$86</f>
        <v>Craft &amp; Stationery</v>
      </c>
      <c r="F592" s="0" t="str">
        <f aca="false">Calc!$D$86</f>
        <v>Consumable</v>
      </c>
      <c r="G592" s="0" t="n">
        <f aca="false">Calc!$J$86</f>
        <v>0</v>
      </c>
    </row>
    <row r="593" customFormat="false" ht="15" hidden="false" customHeight="false" outlineLevel="0" collapsed="false">
      <c r="A593" s="0" t="n">
        <v>6</v>
      </c>
      <c r="B593" s="0" t="n">
        <v>85</v>
      </c>
      <c r="C593" s="0" t="str">
        <f aca="false">IF(G593&gt;0,6085,"")</f>
        <v/>
      </c>
      <c r="D593" s="0" t="str">
        <f aca="false">Calc!$B$87</f>
        <v>Ice cream sticks</v>
      </c>
      <c r="E593" s="0" t="str">
        <f aca="false">Calc!$A$87</f>
        <v>Craft &amp; Stationery</v>
      </c>
      <c r="F593" s="0" t="str">
        <f aca="false">Calc!$D$87</f>
        <v>Consumable</v>
      </c>
      <c r="G593" s="0" t="n">
        <f aca="false">Calc!$J$87</f>
        <v>0</v>
      </c>
    </row>
    <row r="594" customFormat="false" ht="15" hidden="false" customHeight="false" outlineLevel="0" collapsed="false">
      <c r="A594" s="0" t="n">
        <v>6</v>
      </c>
      <c r="B594" s="0" t="n">
        <v>86</v>
      </c>
      <c r="C594" s="0" t="str">
        <f aca="false">IF(G594&gt;0,6086,"")</f>
        <v/>
      </c>
      <c r="D594" s="0" t="str">
        <f aca="false">Calc!$B$88</f>
        <v>Markers</v>
      </c>
      <c r="E594" s="0" t="str">
        <f aca="false">Calc!$A$88</f>
        <v>Craft &amp; Stationery</v>
      </c>
      <c r="F594" s="0" t="str">
        <f aca="false">Calc!$D$88</f>
        <v>Consumable</v>
      </c>
      <c r="G594" s="0" t="n">
        <f aca="false">Calc!$J$88</f>
        <v>0</v>
      </c>
    </row>
    <row r="595" customFormat="false" ht="15" hidden="false" customHeight="false" outlineLevel="0" collapsed="false">
      <c r="A595" s="0" t="n">
        <v>6</v>
      </c>
      <c r="B595" s="0" t="n">
        <v>87</v>
      </c>
      <c r="C595" s="0" t="str">
        <f aca="false">IF(G595&gt;0,6087,"")</f>
        <v/>
      </c>
      <c r="D595" s="0" t="str">
        <f aca="false">Calc!$B$89</f>
        <v>Plant pot with soil</v>
      </c>
      <c r="E595" s="0" t="str">
        <f aca="false">Calc!$A$89</f>
        <v>Craft &amp; Stationery</v>
      </c>
      <c r="F595" s="0" t="str">
        <f aca="false">Calc!$D$89</f>
        <v>Consumable</v>
      </c>
      <c r="G595" s="0" t="n">
        <f aca="false">Calc!$J$89</f>
        <v>0</v>
      </c>
    </row>
    <row r="596" customFormat="false" ht="15" hidden="false" customHeight="false" outlineLevel="0" collapsed="false">
      <c r="A596" s="0" t="n">
        <v>6</v>
      </c>
      <c r="B596" s="0" t="n">
        <v>88</v>
      </c>
      <c r="C596" s="0" t="str">
        <f aca="false">IF(G596&gt;0,6088,"")</f>
        <v/>
      </c>
      <c r="D596" s="0" t="str">
        <f aca="false">Calc!$B$90</f>
        <v>Plastic or paper cup</v>
      </c>
      <c r="E596" s="0" t="str">
        <f aca="false">Calc!$A$90</f>
        <v>Craft &amp; Stationery</v>
      </c>
      <c r="F596" s="0" t="str">
        <f aca="false">Calc!$D$90</f>
        <v>Consumable</v>
      </c>
      <c r="G596" s="0" t="n">
        <f aca="false">Calc!$J$90</f>
        <v>0</v>
      </c>
    </row>
    <row r="597" customFormat="false" ht="15" hidden="false" customHeight="false" outlineLevel="0" collapsed="false">
      <c r="A597" s="0" t="n">
        <v>6</v>
      </c>
      <c r="B597" s="0" t="n">
        <v>89</v>
      </c>
      <c r="C597" s="0" t="str">
        <f aca="false">IF(G597&gt;0,6089,"")</f>
        <v/>
      </c>
      <c r="D597" s="0" t="str">
        <f aca="false">Calc!$B$91</f>
        <v>Printed templates</v>
      </c>
      <c r="E597" s="0" t="str">
        <f aca="false">Calc!$A$91</f>
        <v>Craft &amp; Stationery</v>
      </c>
      <c r="F597" s="0" t="str">
        <f aca="false">Calc!$D$91</f>
        <v>Consumable</v>
      </c>
      <c r="G597" s="0" t="n">
        <f aca="false">Calc!$J$91</f>
        <v>0</v>
      </c>
    </row>
    <row r="598" customFormat="false" ht="15" hidden="false" customHeight="false" outlineLevel="0" collapsed="false">
      <c r="A598" s="0" t="n">
        <v>6</v>
      </c>
      <c r="B598" s="0" t="n">
        <v>90</v>
      </c>
      <c r="C598" s="0" t="str">
        <f aca="false">IF(G598&gt;0,6090,"")</f>
        <v/>
      </c>
      <c r="D598" s="0" t="str">
        <f aca="false">Calc!$B$92</f>
        <v>Split pins (paper fasteners)</v>
      </c>
      <c r="E598" s="0" t="str">
        <f aca="false">Calc!$A$92</f>
        <v>Craft &amp; Stationery</v>
      </c>
      <c r="F598" s="0" t="str">
        <f aca="false">Calc!$D$92</f>
        <v>Consumable</v>
      </c>
      <c r="G598" s="0" t="n">
        <f aca="false">Calc!$J$92</f>
        <v>0</v>
      </c>
    </row>
    <row r="599" customFormat="false" ht="15" hidden="false" customHeight="false" outlineLevel="0" collapsed="false">
      <c r="A599" s="0" t="n">
        <v>6</v>
      </c>
      <c r="B599" s="0" t="n">
        <v>91</v>
      </c>
      <c r="C599" s="0" t="str">
        <f aca="false">IF(G599&gt;0,6091,"")</f>
        <v/>
      </c>
      <c r="D599" s="0" t="str">
        <f aca="false">Calc!$B$93</f>
        <v>Straws</v>
      </c>
      <c r="E599" s="0" t="str">
        <f aca="false">Calc!$A$93</f>
        <v>Craft &amp; Stationery</v>
      </c>
      <c r="F599" s="0" t="str">
        <f aca="false">Calc!$D$93</f>
        <v>Consumable</v>
      </c>
      <c r="G599" s="0" t="n">
        <f aca="false">Calc!$J$93</f>
        <v>0</v>
      </c>
    </row>
    <row r="600" customFormat="false" ht="15" hidden="false" customHeight="false" outlineLevel="0" collapsed="false">
      <c r="A600" s="0" t="n">
        <v>6</v>
      </c>
      <c r="B600" s="0" t="n">
        <v>92</v>
      </c>
      <c r="C600" s="0" t="str">
        <f aca="false">IF(G600&gt;0,6092,"")</f>
        <v/>
      </c>
      <c r="D600" s="0" t="str">
        <f aca="false">Calc!$B$94</f>
        <v>Tape (paper + double-sided)</v>
      </c>
      <c r="E600" s="0" t="str">
        <f aca="false">Calc!$A$94</f>
        <v>Craft &amp; Stationery</v>
      </c>
      <c r="F600" s="0" t="str">
        <f aca="false">Calc!$D$94</f>
        <v>Consumable</v>
      </c>
      <c r="G600" s="0" t="n">
        <f aca="false">Calc!$J$94</f>
        <v>0</v>
      </c>
    </row>
    <row r="601" customFormat="false" ht="15" hidden="false" customHeight="false" outlineLevel="0" collapsed="false">
      <c r="A601" s="0" t="n">
        <v>6</v>
      </c>
      <c r="B601" s="0" t="n">
        <v>93</v>
      </c>
      <c r="C601" s="0" t="str">
        <f aca="false">IF(G601&gt;0,6093,"")</f>
        <v/>
      </c>
      <c r="D601" s="0" t="str">
        <f aca="false">Calc!$B$95</f>
        <v>Water container</v>
      </c>
      <c r="E601" s="0" t="str">
        <f aca="false">Calc!$A$95</f>
        <v>Craft &amp; Stationery</v>
      </c>
      <c r="F601" s="0" t="str">
        <f aca="false">Calc!$D$95</f>
        <v>Reusable</v>
      </c>
      <c r="G601" s="0" t="n">
        <f aca="false">Calc!$J$95</f>
        <v>0</v>
      </c>
    </row>
    <row r="602" customFormat="false" ht="15" hidden="false" customHeight="false" outlineLevel="0" collapsed="false">
      <c r="A602" s="0" t="n">
        <v>6</v>
      </c>
      <c r="B602" s="0" t="n">
        <v>94</v>
      </c>
      <c r="C602" s="0" t="str">
        <f aca="false">IF(G602&gt;0,6094,"")</f>
        <v/>
      </c>
      <c r="D602" s="0" t="str">
        <f aca="false">Calc!$B$96</f>
        <v>Wooden skewers</v>
      </c>
      <c r="E602" s="0" t="str">
        <f aca="false">Calc!$A$96</f>
        <v>Craft &amp; Stationery</v>
      </c>
      <c r="F602" s="0" t="str">
        <f aca="false">Calc!$D$96</f>
        <v>Consumable</v>
      </c>
      <c r="G602" s="0" t="n">
        <f aca="false">Calc!$J$96</f>
        <v>0</v>
      </c>
    </row>
    <row r="603" customFormat="false" ht="15" hidden="false" customHeight="false" outlineLevel="0" collapsed="false">
      <c r="A603" s="0" t="n">
        <v>6</v>
      </c>
      <c r="B603" s="0" t="n">
        <v>95</v>
      </c>
      <c r="C603" s="0" t="str">
        <f aca="false">IF(G603&gt;0,6095,"")</f>
        <v/>
      </c>
      <c r="D603" s="0" t="str">
        <f aca="false">Calc!$B$97</f>
        <v>Candle</v>
      </c>
      <c r="E603" s="0" t="str">
        <f aca="false">Calc!$A$97</f>
        <v>Science Consumables</v>
      </c>
      <c r="F603" s="0" t="str">
        <f aca="false">Calc!$D$97</f>
        <v>Consumable</v>
      </c>
      <c r="G603" s="0" t="n">
        <f aca="false">Calc!$J$97</f>
        <v>0</v>
      </c>
    </row>
    <row r="604" customFormat="false" ht="15" hidden="false" customHeight="false" outlineLevel="0" collapsed="false">
      <c r="A604" s="0" t="n">
        <v>6</v>
      </c>
      <c r="B604" s="0" t="n">
        <v>96</v>
      </c>
      <c r="C604" s="0" t="str">
        <f aca="false">IF(G604&gt;0,6096,"")</f>
        <v/>
      </c>
      <c r="D604" s="0" t="str">
        <f aca="false">Calc!$B$98</f>
        <v>Copper coins</v>
      </c>
      <c r="E604" s="0" t="str">
        <f aca="false">Calc!$A$98</f>
        <v>Science Consumables</v>
      </c>
      <c r="F604" s="0" t="str">
        <f aca="false">Calc!$D$98</f>
        <v>Reusable</v>
      </c>
      <c r="G604" s="0" t="n">
        <f aca="false">Calc!$J$98</f>
        <v>0</v>
      </c>
    </row>
    <row r="605" customFormat="false" ht="15" hidden="false" customHeight="false" outlineLevel="0" collapsed="false">
      <c r="A605" s="0" t="n">
        <v>6</v>
      </c>
      <c r="B605" s="0" t="n">
        <v>97</v>
      </c>
      <c r="C605" s="0" t="str">
        <f aca="false">IF(G605&gt;0,6097,"")</f>
        <v/>
      </c>
      <c r="D605" s="0" t="str">
        <f aca="false">Calc!$B$99</f>
        <v>Fruits (bananas etc.)</v>
      </c>
      <c r="E605" s="0" t="str">
        <f aca="false">Calc!$A$99</f>
        <v>Science Consumables</v>
      </c>
      <c r="F605" s="0" t="str">
        <f aca="false">Calc!$D$99</f>
        <v>Consumable</v>
      </c>
      <c r="G605" s="0" t="n">
        <f aca="false">Calc!$J$99</f>
        <v>0</v>
      </c>
    </row>
    <row r="606" customFormat="false" ht="15" hidden="false" customHeight="false" outlineLevel="0" collapsed="false">
      <c r="A606" s="0" t="n">
        <v>6</v>
      </c>
      <c r="B606" s="0" t="n">
        <v>98</v>
      </c>
      <c r="C606" s="0" t="str">
        <f aca="false">IF(G606&gt;0,6098,"")</f>
        <v/>
      </c>
      <c r="D606" s="0" t="str">
        <f aca="false">Calc!$B$100</f>
        <v>Galvanized nails</v>
      </c>
      <c r="E606" s="0" t="str">
        <f aca="false">Calc!$A$100</f>
        <v>Science Consumables</v>
      </c>
      <c r="F606" s="0" t="str">
        <f aca="false">Calc!$D$100</f>
        <v>Consumable</v>
      </c>
      <c r="G606" s="0" t="n">
        <f aca="false">Calc!$J$100</f>
        <v>0</v>
      </c>
    </row>
    <row r="607" customFormat="false" ht="15" hidden="false" customHeight="false" outlineLevel="0" collapsed="false">
      <c r="A607" s="0" t="n">
        <v>6</v>
      </c>
      <c r="B607" s="0" t="n">
        <v>99</v>
      </c>
      <c r="C607" s="0" t="str">
        <f aca="false">IF(G607&gt;0,6099,"")</f>
        <v/>
      </c>
      <c r="D607" s="0" t="str">
        <f aca="false">Calc!$B$101</f>
        <v>Lemons</v>
      </c>
      <c r="E607" s="0" t="str">
        <f aca="false">Calc!$A$101</f>
        <v>Science Consumables</v>
      </c>
      <c r="F607" s="0" t="str">
        <f aca="false">Calc!$D$101</f>
        <v>Consumable</v>
      </c>
      <c r="G607" s="0" t="n">
        <f aca="false">Calc!$J$101</f>
        <v>0</v>
      </c>
    </row>
    <row r="608" customFormat="false" ht="15" hidden="false" customHeight="false" outlineLevel="0" collapsed="false">
      <c r="A608" s="0" t="n">
        <v>6</v>
      </c>
      <c r="B608" s="0" t="n">
        <v>999</v>
      </c>
      <c r="C608" s="0" t="str">
        <f aca="false">IF(SUM(Calc!$J$3:$J$101)&gt;0,6999,"")</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Q15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
    <col collapsed="false" customWidth="true" hidden="false" outlineLevel="0" max="3" min="3" style="0" width="30"/>
    <col collapsed="false" customWidth="true" hidden="false" outlineLevel="0" max="4" min="4" style="0" width="6"/>
    <col collapsed="false" customWidth="true" hidden="false" outlineLevel="0" max="5" min="5" style="0" width="10"/>
    <col collapsed="false" customWidth="true" hidden="false" outlineLevel="0" max="6" min="6" style="0" width="9"/>
    <col collapsed="false" customWidth="true" hidden="false" outlineLevel="0" max="7" min="7" style="0" width="10"/>
    <col collapsed="false" customWidth="true" hidden="false" outlineLevel="0" max="9" min="8" style="0" width="7"/>
    <col collapsed="false" customWidth="true" hidden="false" outlineLevel="0" max="10" min="10" style="0" width="30"/>
    <col collapsed="false" customWidth="true" hidden="false" outlineLevel="0" max="11" min="11" style="0" width="40"/>
    <col collapsed="false" customWidth="true" hidden="false" outlineLevel="0" max="12" min="12" style="0" width="22"/>
    <col collapsed="false" customWidth="true" hidden="false" outlineLevel="0" max="13" min="13" style="0" width="10"/>
    <col collapsed="false" customWidth="true" hidden="false" outlineLevel="0" max="14" min="14" style="0" width="24"/>
    <col collapsed="false" customWidth="true" hidden="false" outlineLevel="0" max="15" min="15" style="0" width="11"/>
    <col collapsed="false" customWidth="true" hidden="false" outlineLevel="0" max="16" min="16" style="0" width="20"/>
    <col collapsed="false" customWidth="true" hidden="false" outlineLevel="0" max="17" min="17" style="0" width="26"/>
  </cols>
  <sheetData>
    <row r="1" customFormat="false" ht="15" hidden="false" customHeight="false" outlineLevel="0" collapsed="false">
      <c r="A1" s="2" t="s">
        <v>816</v>
      </c>
    </row>
    <row r="2" customFormat="false" ht="15" hidden="false" customHeight="false" outlineLevel="0" collapsed="false">
      <c r="A2" s="78" t="s">
        <v>45</v>
      </c>
      <c r="B2" s="78" t="s">
        <v>813</v>
      </c>
      <c r="C2" s="78" t="s">
        <v>53</v>
      </c>
      <c r="D2" s="78" t="s">
        <v>55</v>
      </c>
      <c r="E2" s="78" t="s">
        <v>61</v>
      </c>
      <c r="F2" s="78" t="s">
        <v>817</v>
      </c>
      <c r="G2" s="78" t="s">
        <v>818</v>
      </c>
      <c r="H2" s="78" t="s">
        <v>48</v>
      </c>
      <c r="I2" s="78" t="s">
        <v>62</v>
      </c>
      <c r="J2" s="78" t="s">
        <v>819</v>
      </c>
      <c r="K2" s="78" t="s">
        <v>820</v>
      </c>
      <c r="L2" s="78" t="s">
        <v>47</v>
      </c>
      <c r="M2" s="78" t="s">
        <v>46</v>
      </c>
      <c r="N2" s="78" t="s">
        <v>52</v>
      </c>
      <c r="O2" s="78" t="s">
        <v>54</v>
      </c>
      <c r="P2" s="78" t="s">
        <v>58</v>
      </c>
      <c r="Q2" s="78" t="s">
        <v>67</v>
      </c>
    </row>
    <row r="3" customFormat="false" ht="15" hidden="false" customHeight="false" outlineLevel="0" collapsed="false">
      <c r="B3" s="0" t="n">
        <v>-1</v>
      </c>
      <c r="G3" s="0" t="str">
        <f aca="false">IF(COUNTIFS('Session Tracker'!$F$5:$F$149,"Next week",'Session Tracker'!$G$5:$G$149,"Mon")&gt;0,100000,"")</f>
        <v/>
      </c>
      <c r="J3" s="0" t="str">
        <f aca="false">"MONDAY"&amp;IF('This Week''s Hardware'!$C$3="",""," "&amp;TEXT('This Week''s Hardware'!$C$3+0,"dd-mmm-yyyy"))</f>
        <v>MONDAY</v>
      </c>
    </row>
    <row r="4" customFormat="false" ht="15" hidden="false" customHeight="false" outlineLevel="0" collapsed="false">
      <c r="B4" s="0" t="n">
        <v>-2</v>
      </c>
      <c r="G4" s="0" t="str">
        <f aca="false">IF(COUNTIFS('Session Tracker'!$F$5:$F$149,"Next week",'Session Tracker'!$G$5:$G$149,"Tue")&gt;0,200000,"")</f>
        <v/>
      </c>
      <c r="J4" s="0" t="str">
        <f aca="false">"TUESDAY"&amp;IF('This Week''s Hardware'!$C$3="",""," "&amp;TEXT('This Week''s Hardware'!$C$3+1,"dd-mmm-yyyy"))</f>
        <v>TUESDAY</v>
      </c>
    </row>
    <row r="5" customFormat="false" ht="15" hidden="false" customHeight="false" outlineLevel="0" collapsed="false">
      <c r="B5" s="0" t="n">
        <v>-3</v>
      </c>
      <c r="G5" s="0" t="str">
        <f aca="false">IF(COUNTIFS('Session Tracker'!$F$5:$F$149,"Next week",'Session Tracker'!$G$5:$G$149,"Wed")&gt;0,300000,"")</f>
        <v/>
      </c>
      <c r="J5" s="0" t="str">
        <f aca="false">"WEDNESDAY"&amp;IF('This Week''s Hardware'!$C$3="",""," "&amp;TEXT('This Week''s Hardware'!$C$3+2,"dd-mmm-yyyy"))</f>
        <v>WEDNESDAY</v>
      </c>
    </row>
    <row r="6" customFormat="false" ht="15" hidden="false" customHeight="false" outlineLevel="0" collapsed="false">
      <c r="B6" s="0" t="n">
        <v>-4</v>
      </c>
      <c r="G6" s="0" t="str">
        <f aca="false">IF(COUNTIFS('Session Tracker'!$F$5:$F$149,"Next week",'Session Tracker'!$G$5:$G$149,"Thu")&gt;0,400000,"")</f>
        <v/>
      </c>
      <c r="J6" s="0" t="str">
        <f aca="false">"THURSDAY"&amp;IF('This Week''s Hardware'!$C$3="",""," "&amp;TEXT('This Week''s Hardware'!$C$3+3,"dd-mmm-yyyy"))</f>
        <v>THURSDAY</v>
      </c>
    </row>
    <row r="7" customFormat="false" ht="15" hidden="false" customHeight="false" outlineLevel="0" collapsed="false">
      <c r="B7" s="0" t="n">
        <v>-5</v>
      </c>
      <c r="G7" s="0" t="str">
        <f aca="false">IF(COUNTIFS('Session Tracker'!$F$5:$F$149,"Next week",'Session Tracker'!$G$5:$G$149,"Fri")&gt;0,500000,"")</f>
        <v/>
      </c>
      <c r="J7" s="0" t="str">
        <f aca="false">"FRIDAY"&amp;IF('This Week''s Hardware'!$C$3="",""," "&amp;TEXT('This Week''s Hardware'!$C$3+4,"dd-mmm-yyyy"))</f>
        <v>FRIDAY</v>
      </c>
    </row>
    <row r="8" customFormat="false" ht="15" hidden="false" customHeight="false" outlineLevel="0" collapsed="false">
      <c r="B8" s="0" t="n">
        <v>-6</v>
      </c>
      <c r="G8" s="0" t="str">
        <f aca="false">IF(COUNTIFS('Session Tracker'!$F$5:$F$149,"Next week",'Session Tracker'!$G$5:$G$149,"")&gt;0,600000,"")</f>
        <v/>
      </c>
      <c r="J8" s="0" t="str">
        <f aca="false">"DAY NOT SET (choose a day in the Session Tracker)"</f>
        <v>DAY NOT SET (choose a day in the Session Tracker)</v>
      </c>
    </row>
    <row r="9" customFormat="false" ht="15" hidden="false" customHeight="false" outlineLevel="0" collapsed="false">
      <c r="A9" s="0" t="s">
        <v>75</v>
      </c>
      <c r="B9" s="0" t="n">
        <v>0</v>
      </c>
      <c r="F9" s="0" t="str">
        <f aca="false">IFERROR(INDEX('Session Tracker'!$M$5:$M$149,MATCH($A9,'Session Tracker'!$D$5:$D$149,0))+0,"")</f>
        <v/>
      </c>
      <c r="G9" s="0" t="str">
        <f aca="false">IF(ISNUMBER(F9),IF(OR(B9=0,B9=99,C9&lt;&gt;""),F9*100+B9,""),"")</f>
        <v/>
      </c>
      <c r="H9" s="0" t="n">
        <f aca="false">IFERROR(INDEX('Session Tracker'!$J$5:$J$149,MATCH($A9,'Session Tracker'!$D$5:$D$149,0)),0)</f>
        <v>8</v>
      </c>
      <c r="I9" s="0" t="str">
        <f aca="false">IF(OR(B9=0,B9=99,C9=""),"",IF(E9="Per class",D9,D9*H9))</f>
        <v/>
      </c>
      <c r="K9" s="0" t="str">
        <f aca="false">IFERROR(INDEX('Session Tracker'!$E$5:$E$149,MATCH($A9,'Session Tracker'!$D$5:$D$149,0)),"")</f>
        <v>Welcome to Robotics (Distance Alarm)</v>
      </c>
      <c r="L9" s="0" t="str">
        <f aca="false">IFERROR(INDEX('Session Tracker'!$A$5:$A$149,MATCH($A9,'Session Tracker'!$D$5:$D$149,0)),"")</f>
        <v>Little Explorers (5-7)</v>
      </c>
      <c r="M9" s="0" t="str">
        <f aca="false">IFERROR(INDEX('Session Tracker'!$H$5:$H$149,MATCH($A9,'Session Tracker'!$D$5:$D$149,0))&amp;"","")</f>
        <v/>
      </c>
      <c r="Q9" s="0" t="str">
        <f aca="false">IFERROR("Status: "&amp;INDEX('Session Tracker'!$F$5:$F$149,MATCH($A9,'Session Tracker'!$D$5:$D$149,0))&amp;IF(INDEX('Session Tracker'!$G$5:$G$149,MATCH($A9,'Session Tracker'!$D$5:$D$149,0))&lt;&gt;""," ("&amp;INDEX('Session Tracker'!$G$5:$G$149,MATCH($A9,'Session Tracker'!$D$5:$D$149,0))&amp;")","")&amp;IF(M9&lt;&gt;"","  "&amp;M9,""),"")</f>
        <v>Status: Not started</v>
      </c>
    </row>
    <row r="10" customFormat="false" ht="15" hidden="false" customHeight="false" outlineLevel="0" collapsed="false">
      <c r="A10" s="0" t="s">
        <v>75</v>
      </c>
      <c r="B10" s="0" t="n">
        <v>1</v>
      </c>
      <c r="C10" s="0" t="str">
        <f aca="false">IF('Little Explorers Kits'!C6="","",'Little Explorers Kits'!C6)</f>
        <v>Arduino Uno + USB cable</v>
      </c>
      <c r="D10" s="0" t="n">
        <f aca="false">IF('Little Explorers Kits'!D6="","",'Little Explorers Kits'!D6)</f>
        <v>1</v>
      </c>
      <c r="E10" s="0" t="str">
        <f aca="false">IF('Little Explorers Kits'!E6="","",'Little Explorers Kits'!E6)</f>
        <v>Per group</v>
      </c>
      <c r="F10" s="0" t="str">
        <f aca="false">IFERROR(INDEX('Session Tracker'!$M$5:$M$149,MATCH($A10,'Session Tracker'!$D$5:$D$149,0))+0,"")</f>
        <v/>
      </c>
      <c r="G10" s="0" t="str">
        <f aca="false">IF(ISNUMBER(F10),IF(OR(B10=0,B10=99,C10&lt;&gt;""),F10*100+B10,""),"")</f>
        <v/>
      </c>
      <c r="H10" s="0" t="n">
        <f aca="false">IFERROR(INDEX('Session Tracker'!$J$5:$J$149,MATCH($A10,'Session Tracker'!$D$5:$D$149,0)),0)</f>
        <v>8</v>
      </c>
      <c r="I10" s="0" t="n">
        <f aca="false">IF(OR(B10=0,B10=99,C10=""),"",IF(E10="Per class",D10,D10*H10))</f>
        <v>8</v>
      </c>
      <c r="N10" s="0" t="str">
        <f aca="false">IF('Little Explorers Kits'!B6="","",'Little Explorers Kits'!B6)</f>
        <v>Microcontrollers &amp; Dev Boards</v>
      </c>
      <c r="O10" s="0" t="str">
        <f aca="false">IF('Little Explorers Kits'!F6="","",'Little Explorers Kits'!F6)</f>
        <v>Reusable</v>
      </c>
      <c r="P10" s="0" t="str">
        <f aca="false">IF('Little Explorers Kits'!G6="","",'Little Explorers Kits'!G6)</f>
        <v/>
      </c>
    </row>
    <row r="11" customFormat="false" ht="15" hidden="false" customHeight="false" outlineLevel="0" collapsed="false">
      <c r="A11" s="0" t="s">
        <v>75</v>
      </c>
      <c r="B11" s="0" t="n">
        <v>2</v>
      </c>
      <c r="C11" s="0" t="str">
        <f aca="false">IF('Little Explorers Kits'!C7="","",'Little Explorers Kits'!C7)</f>
        <v>Ultrasonic sensor HC-SR04</v>
      </c>
      <c r="D11" s="0" t="n">
        <f aca="false">IF('Little Explorers Kits'!D7="","",'Little Explorers Kits'!D7)</f>
        <v>1</v>
      </c>
      <c r="E11" s="0" t="str">
        <f aca="false">IF('Little Explorers Kits'!E7="","",'Little Explorers Kits'!E7)</f>
        <v>Per group</v>
      </c>
      <c r="F11" s="0" t="str">
        <f aca="false">IFERROR(INDEX('Session Tracker'!$M$5:$M$149,MATCH($A11,'Session Tracker'!$D$5:$D$149,0))+0,"")</f>
        <v/>
      </c>
      <c r="G11" s="0" t="str">
        <f aca="false">IF(ISNUMBER(F11),IF(OR(B11=0,B11=99,C11&lt;&gt;""),F11*100+B11,""),"")</f>
        <v/>
      </c>
      <c r="H11" s="0" t="n">
        <f aca="false">IFERROR(INDEX('Session Tracker'!$J$5:$J$149,MATCH($A11,'Session Tracker'!$D$5:$D$149,0)),0)</f>
        <v>8</v>
      </c>
      <c r="I11" s="0" t="n">
        <f aca="false">IF(OR(B11=0,B11=99,C11=""),"",IF(E11="Per class",D11,D11*H11))</f>
        <v>8</v>
      </c>
      <c r="N11" s="0" t="str">
        <f aca="false">IF('Little Explorers Kits'!B7="","",'Little Explorers Kits'!B7)</f>
        <v>Sensors</v>
      </c>
      <c r="O11" s="0" t="str">
        <f aca="false">IF('Little Explorers Kits'!F7="","",'Little Explorers Kits'!F7)</f>
        <v>Reusable</v>
      </c>
      <c r="P11" s="0" t="str">
        <f aca="false">IF('Little Explorers Kits'!G7="","",'Little Explorers Kits'!G7)</f>
        <v/>
      </c>
    </row>
    <row r="12" customFormat="false" ht="15" hidden="false" customHeight="false" outlineLevel="0" collapsed="false">
      <c r="A12" s="0" t="s">
        <v>75</v>
      </c>
      <c r="B12" s="0" t="n">
        <v>3</v>
      </c>
      <c r="C12" s="0" t="str">
        <f aca="false">IF('Little Explorers Kits'!C8="","",'Little Explorers Kits'!C8)</f>
        <v>LED 5 mm (assorted)</v>
      </c>
      <c r="D12" s="0" t="n">
        <f aca="false">IF('Little Explorers Kits'!D8="","",'Little Explorers Kits'!D8)</f>
        <v>1</v>
      </c>
      <c r="E12" s="0" t="str">
        <f aca="false">IF('Little Explorers Kits'!E8="","",'Little Explorers Kits'!E8)</f>
        <v>Per group</v>
      </c>
      <c r="F12" s="0" t="str">
        <f aca="false">IFERROR(INDEX('Session Tracker'!$M$5:$M$149,MATCH($A12,'Session Tracker'!$D$5:$D$149,0))+0,"")</f>
        <v/>
      </c>
      <c r="G12" s="0" t="str">
        <f aca="false">IF(ISNUMBER(F12),IF(OR(B12=0,B12=99,C12&lt;&gt;""),F12*100+B12,""),"")</f>
        <v/>
      </c>
      <c r="H12" s="0" t="n">
        <f aca="false">IFERROR(INDEX('Session Tracker'!$J$5:$J$149,MATCH($A12,'Session Tracker'!$D$5:$D$149,0)),0)</f>
        <v>8</v>
      </c>
      <c r="I12" s="0" t="n">
        <f aca="false">IF(OR(B12=0,B12=99,C12=""),"",IF(E12="Per class",D12,D12*H12))</f>
        <v>8</v>
      </c>
      <c r="N12" s="0" t="str">
        <f aca="false">IF('Little Explorers Kits'!B8="","",'Little Explorers Kits'!B8)</f>
        <v>Displays &amp; Output</v>
      </c>
      <c r="O12" s="0" t="str">
        <f aca="false">IF('Little Explorers Kits'!F8="","",'Little Explorers Kits'!F8)</f>
        <v>Consumable</v>
      </c>
      <c r="P12" s="0" t="str">
        <f aca="false">IF('Little Explorers Kits'!G8="","",'Little Explorers Kits'!G8)</f>
        <v>Red</v>
      </c>
    </row>
    <row r="13" customFormat="false" ht="15" hidden="false" customHeight="false" outlineLevel="0" collapsed="false">
      <c r="A13" s="0" t="s">
        <v>75</v>
      </c>
      <c r="B13" s="0" t="n">
        <v>4</v>
      </c>
      <c r="C13" s="0" t="str">
        <f aca="false">IF('Little Explorers Kits'!C9="","",'Little Explorers Kits'!C9)</f>
        <v>Resistor 220 ohm</v>
      </c>
      <c r="D13" s="0" t="n">
        <f aca="false">IF('Little Explorers Kits'!D9="","",'Little Explorers Kits'!D9)</f>
        <v>1</v>
      </c>
      <c r="E13" s="0" t="str">
        <f aca="false">IF('Little Explorers Kits'!E9="","",'Little Explorers Kits'!E9)</f>
        <v>Per group</v>
      </c>
      <c r="F13" s="0" t="str">
        <f aca="false">IFERROR(INDEX('Session Tracker'!$M$5:$M$149,MATCH($A13,'Session Tracker'!$D$5:$D$149,0))+0,"")</f>
        <v/>
      </c>
      <c r="G13" s="0" t="str">
        <f aca="false">IF(ISNUMBER(F13),IF(OR(B13=0,B13=99,C13&lt;&gt;""),F13*100+B13,""),"")</f>
        <v/>
      </c>
      <c r="H13" s="0" t="n">
        <f aca="false">IFERROR(INDEX('Session Tracker'!$J$5:$J$149,MATCH($A13,'Session Tracker'!$D$5:$D$149,0)),0)</f>
        <v>8</v>
      </c>
      <c r="I13" s="0" t="n">
        <f aca="false">IF(OR(B13=0,B13=99,C13=""),"",IF(E13="Per class",D13,D13*H13))</f>
        <v>8</v>
      </c>
      <c r="N13" s="0" t="str">
        <f aca="false">IF('Little Explorers Kits'!B9="","",'Little Explorers Kits'!B9)</f>
        <v>Passive Components &amp; ICs</v>
      </c>
      <c r="O13" s="0" t="str">
        <f aca="false">IF('Little Explorers Kits'!F9="","",'Little Explorers Kits'!F9)</f>
        <v>Consumable</v>
      </c>
      <c r="P13" s="0" t="str">
        <f aca="false">IF('Little Explorers Kits'!G9="","",'Little Explorers Kits'!G9)</f>
        <v/>
      </c>
    </row>
    <row r="14" customFormat="false" ht="15" hidden="false" customHeight="false" outlineLevel="0" collapsed="false">
      <c r="A14" s="0" t="s">
        <v>75</v>
      </c>
      <c r="B14" s="0" t="n">
        <v>5</v>
      </c>
      <c r="C14" s="0" t="str">
        <f aca="false">IF('Little Explorers Kits'!C10="","",'Little Explorers Kits'!C10)</f>
        <v>Buzzer</v>
      </c>
      <c r="D14" s="0" t="n">
        <f aca="false">IF('Little Explorers Kits'!D10="","",'Little Explorers Kits'!D10)</f>
        <v>1</v>
      </c>
      <c r="E14" s="0" t="str">
        <f aca="false">IF('Little Explorers Kits'!E10="","",'Little Explorers Kits'!E10)</f>
        <v>Per group</v>
      </c>
      <c r="F14" s="0" t="str">
        <f aca="false">IFERROR(INDEX('Session Tracker'!$M$5:$M$149,MATCH($A14,'Session Tracker'!$D$5:$D$149,0))+0,"")</f>
        <v/>
      </c>
      <c r="G14" s="0" t="str">
        <f aca="false">IF(ISNUMBER(F14),IF(OR(B14=0,B14=99,C14&lt;&gt;""),F14*100+B14,""),"")</f>
        <v/>
      </c>
      <c r="H14" s="0" t="n">
        <f aca="false">IFERROR(INDEX('Session Tracker'!$J$5:$J$149,MATCH($A14,'Session Tracker'!$D$5:$D$149,0)),0)</f>
        <v>8</v>
      </c>
      <c r="I14" s="0" t="n">
        <f aca="false">IF(OR(B14=0,B14=99,C14=""),"",IF(E14="Per class",D14,D14*H14))</f>
        <v>8</v>
      </c>
      <c r="N14" s="0" t="str">
        <f aca="false">IF('Little Explorers Kits'!B10="","",'Little Explorers Kits'!B10)</f>
        <v>Actuators &amp; Motor Drivers</v>
      </c>
      <c r="O14" s="0" t="str">
        <f aca="false">IF('Little Explorers Kits'!F10="","",'Little Explorers Kits'!F10)</f>
        <v>Reusable</v>
      </c>
      <c r="P14" s="0" t="str">
        <f aca="false">IF('Little Explorers Kits'!G10="","",'Little Explorers Kits'!G10)</f>
        <v/>
      </c>
    </row>
    <row r="15" customFormat="false" ht="15" hidden="false" customHeight="false" outlineLevel="0" collapsed="false">
      <c r="A15" s="0" t="s">
        <v>75</v>
      </c>
      <c r="B15" s="0" t="n">
        <v>6</v>
      </c>
      <c r="C15" s="0" t="str">
        <f aca="false">IF('Little Explorers Kits'!C11="","",'Little Explorers Kits'!C11)</f>
        <v>Breadboard (half size)</v>
      </c>
      <c r="D15" s="0" t="n">
        <f aca="false">IF('Little Explorers Kits'!D11="","",'Little Explorers Kits'!D11)</f>
        <v>1</v>
      </c>
      <c r="E15" s="0" t="str">
        <f aca="false">IF('Little Explorers Kits'!E11="","",'Little Explorers Kits'!E11)</f>
        <v>Per group</v>
      </c>
      <c r="F15" s="0" t="str">
        <f aca="false">IFERROR(INDEX('Session Tracker'!$M$5:$M$149,MATCH($A15,'Session Tracker'!$D$5:$D$149,0))+0,"")</f>
        <v/>
      </c>
      <c r="G15" s="0" t="str">
        <f aca="false">IF(ISNUMBER(F15),IF(OR(B15=0,B15=99,C15&lt;&gt;""),F15*100+B15,""),"")</f>
        <v/>
      </c>
      <c r="H15" s="0" t="n">
        <f aca="false">IFERROR(INDEX('Session Tracker'!$J$5:$J$149,MATCH($A15,'Session Tracker'!$D$5:$D$149,0)),0)</f>
        <v>8</v>
      </c>
      <c r="I15" s="0" t="n">
        <f aca="false">IF(OR(B15=0,B15=99,C15=""),"",IF(E15="Per class",D15,D15*H15))</f>
        <v>8</v>
      </c>
      <c r="N15" s="0" t="str">
        <f aca="false">IF('Little Explorers Kits'!B11="","",'Little Explorers Kits'!B11)</f>
        <v>Wiring &amp; Prototyping</v>
      </c>
      <c r="O15" s="0" t="str">
        <f aca="false">IF('Little Explorers Kits'!F11="","",'Little Explorers Kits'!F11)</f>
        <v>Reusable</v>
      </c>
      <c r="P15" s="0" t="str">
        <f aca="false">IF('Little Explorers Kits'!G11="","",'Little Explorers Kits'!G11)</f>
        <v/>
      </c>
    </row>
    <row r="16" customFormat="false" ht="15" hidden="false" customHeight="false" outlineLevel="0" collapsed="false">
      <c r="A16" s="0" t="s">
        <v>75</v>
      </c>
      <c r="B16" s="0" t="n">
        <v>7</v>
      </c>
      <c r="C16" s="0" t="str">
        <f aca="false">IF('Little Explorers Kits'!C12="","",'Little Explorers Kits'!C12)</f>
        <v>Jumper wires M-M</v>
      </c>
      <c r="D16" s="0" t="n">
        <f aca="false">IF('Little Explorers Kits'!D12="","",'Little Explorers Kits'!D12)</f>
        <v>6</v>
      </c>
      <c r="E16" s="0" t="str">
        <f aca="false">IF('Little Explorers Kits'!E12="","",'Little Explorers Kits'!E12)</f>
        <v>Per group</v>
      </c>
      <c r="F16" s="0" t="str">
        <f aca="false">IFERROR(INDEX('Session Tracker'!$M$5:$M$149,MATCH($A16,'Session Tracker'!$D$5:$D$149,0))+0,"")</f>
        <v/>
      </c>
      <c r="G16" s="0" t="str">
        <f aca="false">IF(ISNUMBER(F16),IF(OR(B16=0,B16=99,C16&lt;&gt;""),F16*100+B16,""),"")</f>
        <v/>
      </c>
      <c r="H16" s="0" t="n">
        <f aca="false">IFERROR(INDEX('Session Tracker'!$J$5:$J$149,MATCH($A16,'Session Tracker'!$D$5:$D$149,0)),0)</f>
        <v>8</v>
      </c>
      <c r="I16" s="0" t="n">
        <f aca="false">IF(OR(B16=0,B16=99,C16=""),"",IF(E16="Per class",D16,D16*H16))</f>
        <v>48</v>
      </c>
      <c r="N16" s="0" t="str">
        <f aca="false">IF('Little Explorers Kits'!B12="","",'Little Explorers Kits'!B12)</f>
        <v>Wiring &amp; Prototyping</v>
      </c>
      <c r="O16" s="0" t="str">
        <f aca="false">IF('Little Explorers Kits'!F12="","",'Little Explorers Kits'!F12)</f>
        <v>Reusable</v>
      </c>
      <c r="P16" s="0" t="str">
        <f aca="false">IF('Little Explorers Kits'!G12="","",'Little Explorers Kits'!G12)</f>
        <v/>
      </c>
    </row>
    <row r="17" customFormat="false" ht="15" hidden="false" customHeight="false" outlineLevel="0" collapsed="false">
      <c r="A17" s="0" t="s">
        <v>75</v>
      </c>
      <c r="B17" s="0" t="n">
        <v>8</v>
      </c>
      <c r="C17" s="0" t="str">
        <f aca="false">IF('Little Explorers Kits'!C13="","",'Little Explorers Kits'!C13)</f>
        <v>Laptop</v>
      </c>
      <c r="D17" s="0" t="n">
        <f aca="false">IF('Little Explorers Kits'!D13="","",'Little Explorers Kits'!D13)</f>
        <v>1</v>
      </c>
      <c r="E17" s="0" t="str">
        <f aca="false">IF('Little Explorers Kits'!E13="","",'Little Explorers Kits'!E13)</f>
        <v>Per group</v>
      </c>
      <c r="F17" s="0" t="str">
        <f aca="false">IFERROR(INDEX('Session Tracker'!$M$5:$M$149,MATCH($A17,'Session Tracker'!$D$5:$D$149,0))+0,"")</f>
        <v/>
      </c>
      <c r="G17" s="0" t="str">
        <f aca="false">IF(ISNUMBER(F17),IF(OR(B17=0,B17=99,C17&lt;&gt;""),F17*100+B17,""),"")</f>
        <v/>
      </c>
      <c r="H17" s="0" t="n">
        <f aca="false">IFERROR(INDEX('Session Tracker'!$J$5:$J$149,MATCH($A17,'Session Tracker'!$D$5:$D$149,0)),0)</f>
        <v>8</v>
      </c>
      <c r="I17" s="0" t="n">
        <f aca="false">IF(OR(B17=0,B17=99,C17=""),"",IF(E17="Per class",D17,D17*H17))</f>
        <v>8</v>
      </c>
      <c r="N17" s="0" t="str">
        <f aca="false">IF('Little Explorers Kits'!B13="","",'Little Explorers Kits'!B13)</f>
        <v>Computers &amp; Equipment</v>
      </c>
      <c r="O17" s="0" t="str">
        <f aca="false">IF('Little Explorers Kits'!F13="","",'Little Explorers Kits'!F13)</f>
        <v>Reusable</v>
      </c>
      <c r="P17" s="0" t="str">
        <f aca="false">IF('Little Explorers Kits'!G13="","",'Little Explorers Kits'!G13)</f>
        <v/>
      </c>
    </row>
    <row r="18" customFormat="false" ht="15" hidden="false" customHeight="false" outlineLevel="0" collapsed="false">
      <c r="A18" s="0" t="s">
        <v>75</v>
      </c>
      <c r="B18" s="0" t="n">
        <v>9</v>
      </c>
      <c r="C18" s="0" t="str">
        <f aca="false">IF('Little Explorers Kits'!C14="","",'Little Explorers Kits'!C14)</f>
        <v/>
      </c>
      <c r="D18" s="0" t="str">
        <f aca="false">IF('Little Explorers Kits'!D14="","",'Little Explorers Kits'!D14)</f>
        <v/>
      </c>
      <c r="E18" s="0" t="str">
        <f aca="false">IF('Little Explorers Kits'!E14="","",'Little Explorers Kits'!E14)</f>
        <v/>
      </c>
      <c r="F18" s="0" t="str">
        <f aca="false">IFERROR(INDEX('Session Tracker'!$M$5:$M$149,MATCH($A18,'Session Tracker'!$D$5:$D$149,0))+0,"")</f>
        <v/>
      </c>
      <c r="G18" s="0" t="str">
        <f aca="false">IF(ISNUMBER(F18),IF(OR(B18=0,B18=99,C18&lt;&gt;""),F18*100+B18,""),"")</f>
        <v/>
      </c>
      <c r="H18" s="0" t="n">
        <f aca="false">IFERROR(INDEX('Session Tracker'!$J$5:$J$149,MATCH($A18,'Session Tracker'!$D$5:$D$149,0)),0)</f>
        <v>8</v>
      </c>
      <c r="I18" s="0" t="str">
        <f aca="false">IF(OR(B18=0,B18=99,C18=""),"",IF(E18="Per class",D18,D18*H18))</f>
        <v/>
      </c>
      <c r="N18" s="0" t="str">
        <f aca="false">IF('Little Explorers Kits'!B14="","",'Little Explorers Kits'!B14)</f>
        <v/>
      </c>
      <c r="O18" s="0" t="str">
        <f aca="false">IF('Little Explorers Kits'!F14="","",'Little Explorers Kits'!F14)</f>
        <v/>
      </c>
      <c r="P18" s="0" t="str">
        <f aca="false">IF('Little Explorers Kits'!G14="","",'Little Explorers Kits'!G14)</f>
        <v/>
      </c>
    </row>
    <row r="19" customFormat="false" ht="15" hidden="false" customHeight="false" outlineLevel="0" collapsed="false">
      <c r="A19" s="0" t="s">
        <v>75</v>
      </c>
      <c r="B19" s="0" t="n">
        <v>10</v>
      </c>
      <c r="C19" s="0" t="str">
        <f aca="false">IF('Little Explorers Kits'!C15="","",'Little Explorers Kits'!C15)</f>
        <v/>
      </c>
      <c r="D19" s="0" t="str">
        <f aca="false">IF('Little Explorers Kits'!D15="","",'Little Explorers Kits'!D15)</f>
        <v/>
      </c>
      <c r="E19" s="0" t="str">
        <f aca="false">IF('Little Explorers Kits'!E15="","",'Little Explorers Kits'!E15)</f>
        <v/>
      </c>
      <c r="F19" s="0" t="str">
        <f aca="false">IFERROR(INDEX('Session Tracker'!$M$5:$M$149,MATCH($A19,'Session Tracker'!$D$5:$D$149,0))+0,"")</f>
        <v/>
      </c>
      <c r="G19" s="0" t="str">
        <f aca="false">IF(ISNUMBER(F19),IF(OR(B19=0,B19=99,C19&lt;&gt;""),F19*100+B19,""),"")</f>
        <v/>
      </c>
      <c r="H19" s="0" t="n">
        <f aca="false">IFERROR(INDEX('Session Tracker'!$J$5:$J$149,MATCH($A19,'Session Tracker'!$D$5:$D$149,0)),0)</f>
        <v>8</v>
      </c>
      <c r="I19" s="0" t="str">
        <f aca="false">IF(OR(B19=0,B19=99,C19=""),"",IF(E19="Per class",D19,D19*H19))</f>
        <v/>
      </c>
      <c r="N19" s="0" t="str">
        <f aca="false">IF('Little Explorers Kits'!B15="","",'Little Explorers Kits'!B15)</f>
        <v/>
      </c>
      <c r="O19" s="0" t="str">
        <f aca="false">IF('Little Explorers Kits'!F15="","",'Little Explorers Kits'!F15)</f>
        <v/>
      </c>
      <c r="P19" s="0" t="str">
        <f aca="false">IF('Little Explorers Kits'!G15="","",'Little Explorers Kits'!G15)</f>
        <v/>
      </c>
    </row>
    <row r="20" customFormat="false" ht="15" hidden="false" customHeight="false" outlineLevel="0" collapsed="false">
      <c r="A20" s="0" t="s">
        <v>78</v>
      </c>
      <c r="B20" s="0" t="n">
        <v>0</v>
      </c>
      <c r="F20" s="0" t="str">
        <f aca="false">IFERROR(INDEX('Session Tracker'!$M$5:$M$149,MATCH($A20,'Session Tracker'!$D$5:$D$149,0))+0,"")</f>
        <v/>
      </c>
      <c r="G20" s="0" t="str">
        <f aca="false">IF(ISNUMBER(F20),IF(OR(B20=0,B20=99,C20&lt;&gt;""),F20*100+B20,""),"")</f>
        <v/>
      </c>
      <c r="H20" s="0" t="n">
        <f aca="false">IFERROR(INDEX('Session Tracker'!$J$5:$J$149,MATCH($A20,'Session Tracker'!$D$5:$D$149,0)),0)</f>
        <v>8</v>
      </c>
      <c r="I20" s="0" t="str">
        <f aca="false">IF(OR(B20=0,B20=99,C20=""),"",IF(E20="Per class",D20,D20*H20))</f>
        <v/>
      </c>
      <c r="K20" s="0" t="str">
        <f aca="false">IFERROR(INDEX('Session Tracker'!$E$5:$E$149,MATCH($A20,'Session Tracker'!$D$5:$D$149,0)),"")</f>
        <v>Arduino Uno Basics</v>
      </c>
      <c r="L20" s="0" t="str">
        <f aca="false">IFERROR(INDEX('Session Tracker'!$A$5:$A$149,MATCH($A20,'Session Tracker'!$D$5:$D$149,0)),"")</f>
        <v>Little Explorers (5-7)</v>
      </c>
      <c r="M20" s="0" t="str">
        <f aca="false">IFERROR(INDEX('Session Tracker'!$H$5:$H$149,MATCH($A20,'Session Tracker'!$D$5:$D$149,0))&amp;"","")</f>
        <v/>
      </c>
      <c r="Q20" s="0" t="str">
        <f aca="false">IFERROR("Status: "&amp;INDEX('Session Tracker'!$F$5:$F$149,MATCH($A20,'Session Tracker'!$D$5:$D$149,0))&amp;IF(INDEX('Session Tracker'!$G$5:$G$149,MATCH($A20,'Session Tracker'!$D$5:$D$149,0))&lt;&gt;""," ("&amp;INDEX('Session Tracker'!$G$5:$G$149,MATCH($A20,'Session Tracker'!$D$5:$D$149,0))&amp;")","")&amp;IF(M20&lt;&gt;"","  "&amp;M20,""),"")</f>
        <v>Status: Not started</v>
      </c>
    </row>
    <row r="21" customFormat="false" ht="15" hidden="false" customHeight="false" outlineLevel="0" collapsed="false">
      <c r="A21" s="0" t="s">
        <v>78</v>
      </c>
      <c r="B21" s="0" t="n">
        <v>1</v>
      </c>
      <c r="C21" s="0" t="str">
        <f aca="false">IF('Little Explorers Kits'!C18="","",'Little Explorers Kits'!C18)</f>
        <v>Arduino Uno + USB cable</v>
      </c>
      <c r="D21" s="0" t="n">
        <f aca="false">IF('Little Explorers Kits'!D18="","",'Little Explorers Kits'!D18)</f>
        <v>1</v>
      </c>
      <c r="E21" s="0" t="str">
        <f aca="false">IF('Little Explorers Kits'!E18="","",'Little Explorers Kits'!E18)</f>
        <v>Per group</v>
      </c>
      <c r="F21" s="0" t="str">
        <f aca="false">IFERROR(INDEX('Session Tracker'!$M$5:$M$149,MATCH($A21,'Session Tracker'!$D$5:$D$149,0))+0,"")</f>
        <v/>
      </c>
      <c r="G21" s="0" t="str">
        <f aca="false">IF(ISNUMBER(F21),IF(OR(B21=0,B21=99,C21&lt;&gt;""),F21*100+B21,""),"")</f>
        <v/>
      </c>
      <c r="H21" s="0" t="n">
        <f aca="false">IFERROR(INDEX('Session Tracker'!$J$5:$J$149,MATCH($A21,'Session Tracker'!$D$5:$D$149,0)),0)</f>
        <v>8</v>
      </c>
      <c r="I21" s="0" t="n">
        <f aca="false">IF(OR(B21=0,B21=99,C21=""),"",IF(E21="Per class",D21,D21*H21))</f>
        <v>8</v>
      </c>
      <c r="N21" s="0" t="str">
        <f aca="false">IF('Little Explorers Kits'!B18="","",'Little Explorers Kits'!B18)</f>
        <v>Microcontrollers &amp; Dev Boards</v>
      </c>
      <c r="O21" s="0" t="str">
        <f aca="false">IF('Little Explorers Kits'!F18="","",'Little Explorers Kits'!F18)</f>
        <v>Reusable</v>
      </c>
      <c r="P21" s="0" t="str">
        <f aca="false">IF('Little Explorers Kits'!G18="","",'Little Explorers Kits'!G18)</f>
        <v/>
      </c>
    </row>
    <row r="22" customFormat="false" ht="15" hidden="false" customHeight="false" outlineLevel="0" collapsed="false">
      <c r="A22" s="0" t="s">
        <v>78</v>
      </c>
      <c r="B22" s="0" t="n">
        <v>2</v>
      </c>
      <c r="C22" s="0" t="str">
        <f aca="false">IF('Little Explorers Kits'!C19="","",'Little Explorers Kits'!C19)</f>
        <v>LED 5 mm (assorted)</v>
      </c>
      <c r="D22" s="0" t="n">
        <f aca="false">IF('Little Explorers Kits'!D19="","",'Little Explorers Kits'!D19)</f>
        <v>2</v>
      </c>
      <c r="E22" s="0" t="str">
        <f aca="false">IF('Little Explorers Kits'!E19="","",'Little Explorers Kits'!E19)</f>
        <v>Per group</v>
      </c>
      <c r="F22" s="0" t="str">
        <f aca="false">IFERROR(INDEX('Session Tracker'!$M$5:$M$149,MATCH($A22,'Session Tracker'!$D$5:$D$149,0))+0,"")</f>
        <v/>
      </c>
      <c r="G22" s="0" t="str">
        <f aca="false">IF(ISNUMBER(F22),IF(OR(B22=0,B22=99,C22&lt;&gt;""),F22*100+B22,""),"")</f>
        <v/>
      </c>
      <c r="H22" s="0" t="n">
        <f aca="false">IFERROR(INDEX('Session Tracker'!$J$5:$J$149,MATCH($A22,'Session Tracker'!$D$5:$D$149,0)),0)</f>
        <v>8</v>
      </c>
      <c r="I22" s="0" t="n">
        <f aca="false">IF(OR(B22=0,B22=99,C22=""),"",IF(E22="Per class",D22,D22*H22))</f>
        <v>16</v>
      </c>
      <c r="N22" s="0" t="str">
        <f aca="false">IF('Little Explorers Kits'!B19="","",'Little Explorers Kits'!B19)</f>
        <v>Displays &amp; Output</v>
      </c>
      <c r="O22" s="0" t="str">
        <f aca="false">IF('Little Explorers Kits'!F19="","",'Little Explorers Kits'!F19)</f>
        <v>Consumable</v>
      </c>
      <c r="P22" s="0" t="str">
        <f aca="false">IF('Little Explorers Kits'!G19="","",'Little Explorers Kits'!G19)</f>
        <v/>
      </c>
    </row>
    <row r="23" customFormat="false" ht="15" hidden="false" customHeight="false" outlineLevel="0" collapsed="false">
      <c r="A23" s="0" t="s">
        <v>78</v>
      </c>
      <c r="B23" s="0" t="n">
        <v>3</v>
      </c>
      <c r="C23" s="0" t="str">
        <f aca="false">IF('Little Explorers Kits'!C20="","",'Little Explorers Kits'!C20)</f>
        <v>Resistor 220 ohm</v>
      </c>
      <c r="D23" s="0" t="n">
        <f aca="false">IF('Little Explorers Kits'!D20="","",'Little Explorers Kits'!D20)</f>
        <v>2</v>
      </c>
      <c r="E23" s="0" t="str">
        <f aca="false">IF('Little Explorers Kits'!E20="","",'Little Explorers Kits'!E20)</f>
        <v>Per group</v>
      </c>
      <c r="F23" s="0" t="str">
        <f aca="false">IFERROR(INDEX('Session Tracker'!$M$5:$M$149,MATCH($A23,'Session Tracker'!$D$5:$D$149,0))+0,"")</f>
        <v/>
      </c>
      <c r="G23" s="0" t="str">
        <f aca="false">IF(ISNUMBER(F23),IF(OR(B23=0,B23=99,C23&lt;&gt;""),F23*100+B23,""),"")</f>
        <v/>
      </c>
      <c r="H23" s="0" t="n">
        <f aca="false">IFERROR(INDEX('Session Tracker'!$J$5:$J$149,MATCH($A23,'Session Tracker'!$D$5:$D$149,0)),0)</f>
        <v>8</v>
      </c>
      <c r="I23" s="0" t="n">
        <f aca="false">IF(OR(B23=0,B23=99,C23=""),"",IF(E23="Per class",D23,D23*H23))</f>
        <v>16</v>
      </c>
      <c r="N23" s="0" t="str">
        <f aca="false">IF('Little Explorers Kits'!B20="","",'Little Explorers Kits'!B20)</f>
        <v>Passive Components &amp; ICs</v>
      </c>
      <c r="O23" s="0" t="str">
        <f aca="false">IF('Little Explorers Kits'!F20="","",'Little Explorers Kits'!F20)</f>
        <v>Consumable</v>
      </c>
      <c r="P23" s="0" t="str">
        <f aca="false">IF('Little Explorers Kits'!G20="","",'Little Explorers Kits'!G20)</f>
        <v/>
      </c>
    </row>
    <row r="24" customFormat="false" ht="15" hidden="false" customHeight="false" outlineLevel="0" collapsed="false">
      <c r="A24" s="0" t="s">
        <v>78</v>
      </c>
      <c r="B24" s="0" t="n">
        <v>4</v>
      </c>
      <c r="C24" s="0" t="str">
        <f aca="false">IF('Little Explorers Kits'!C21="","",'Little Explorers Kits'!C21)</f>
        <v>Push button</v>
      </c>
      <c r="D24" s="0" t="n">
        <f aca="false">IF('Little Explorers Kits'!D21="","",'Little Explorers Kits'!D21)</f>
        <v>1</v>
      </c>
      <c r="E24" s="0" t="str">
        <f aca="false">IF('Little Explorers Kits'!E21="","",'Little Explorers Kits'!E21)</f>
        <v>Per group</v>
      </c>
      <c r="F24" s="0" t="str">
        <f aca="false">IFERROR(INDEX('Session Tracker'!$M$5:$M$149,MATCH($A24,'Session Tracker'!$D$5:$D$149,0))+0,"")</f>
        <v/>
      </c>
      <c r="G24" s="0" t="str">
        <f aca="false">IF(ISNUMBER(F24),IF(OR(B24=0,B24=99,C24&lt;&gt;""),F24*100+B24,""),"")</f>
        <v/>
      </c>
      <c r="H24" s="0" t="n">
        <f aca="false">IFERROR(INDEX('Session Tracker'!$J$5:$J$149,MATCH($A24,'Session Tracker'!$D$5:$D$149,0)),0)</f>
        <v>8</v>
      </c>
      <c r="I24" s="0" t="n">
        <f aca="false">IF(OR(B24=0,B24=99,C24=""),"",IF(E24="Per class",D24,D24*H24))</f>
        <v>8</v>
      </c>
      <c r="N24" s="0" t="str">
        <f aca="false">IF('Little Explorers Kits'!B21="","",'Little Explorers Kits'!B21)</f>
        <v>Passive Components &amp; ICs</v>
      </c>
      <c r="O24" s="0" t="str">
        <f aca="false">IF('Little Explorers Kits'!F21="","",'Little Explorers Kits'!F21)</f>
        <v>Reusable</v>
      </c>
      <c r="P24" s="0" t="str">
        <f aca="false">IF('Little Explorers Kits'!G21="","",'Little Explorers Kits'!G21)</f>
        <v>INPUT_PULLUP demo</v>
      </c>
    </row>
    <row r="25" customFormat="false" ht="15" hidden="false" customHeight="false" outlineLevel="0" collapsed="false">
      <c r="A25" s="0" t="s">
        <v>78</v>
      </c>
      <c r="B25" s="0" t="n">
        <v>5</v>
      </c>
      <c r="C25" s="0" t="str">
        <f aca="false">IF('Little Explorers Kits'!C22="","",'Little Explorers Kits'!C22)</f>
        <v>Potentiometer 10k</v>
      </c>
      <c r="D25" s="0" t="n">
        <f aca="false">IF('Little Explorers Kits'!D22="","",'Little Explorers Kits'!D22)</f>
        <v>1</v>
      </c>
      <c r="E25" s="0" t="str">
        <f aca="false">IF('Little Explorers Kits'!E22="","",'Little Explorers Kits'!E22)</f>
        <v>Per group</v>
      </c>
      <c r="F25" s="0" t="str">
        <f aca="false">IFERROR(INDEX('Session Tracker'!$M$5:$M$149,MATCH($A25,'Session Tracker'!$D$5:$D$149,0))+0,"")</f>
        <v/>
      </c>
      <c r="G25" s="0" t="str">
        <f aca="false">IF(ISNUMBER(F25),IF(OR(B25=0,B25=99,C25&lt;&gt;""),F25*100+B25,""),"")</f>
        <v/>
      </c>
      <c r="H25" s="0" t="n">
        <f aca="false">IFERROR(INDEX('Session Tracker'!$J$5:$J$149,MATCH($A25,'Session Tracker'!$D$5:$D$149,0)),0)</f>
        <v>8</v>
      </c>
      <c r="I25" s="0" t="n">
        <f aca="false">IF(OR(B25=0,B25=99,C25=""),"",IF(E25="Per class",D25,D25*H25))</f>
        <v>8</v>
      </c>
      <c r="N25" s="0" t="str">
        <f aca="false">IF('Little Explorers Kits'!B22="","",'Little Explorers Kits'!B22)</f>
        <v>Passive Components &amp; ICs</v>
      </c>
      <c r="O25" s="0" t="str">
        <f aca="false">IF('Little Explorers Kits'!F22="","",'Little Explorers Kits'!F22)</f>
        <v>Reusable</v>
      </c>
      <c r="P25" s="0" t="str">
        <f aca="false">IF('Little Explorers Kits'!G22="","",'Little Explorers Kits'!G22)</f>
        <v>Analog input demo</v>
      </c>
    </row>
    <row r="26" customFormat="false" ht="15" hidden="false" customHeight="false" outlineLevel="0" collapsed="false">
      <c r="A26" s="0" t="s">
        <v>78</v>
      </c>
      <c r="B26" s="0" t="n">
        <v>6</v>
      </c>
      <c r="C26" s="0" t="str">
        <f aca="false">IF('Little Explorers Kits'!C23="","",'Little Explorers Kits'!C23)</f>
        <v>Breadboard (half size)</v>
      </c>
      <c r="D26" s="0" t="n">
        <f aca="false">IF('Little Explorers Kits'!D23="","",'Little Explorers Kits'!D23)</f>
        <v>1</v>
      </c>
      <c r="E26" s="0" t="str">
        <f aca="false">IF('Little Explorers Kits'!E23="","",'Little Explorers Kits'!E23)</f>
        <v>Per group</v>
      </c>
      <c r="F26" s="0" t="str">
        <f aca="false">IFERROR(INDEX('Session Tracker'!$M$5:$M$149,MATCH($A26,'Session Tracker'!$D$5:$D$149,0))+0,"")</f>
        <v/>
      </c>
      <c r="G26" s="0" t="str">
        <f aca="false">IF(ISNUMBER(F26),IF(OR(B26=0,B26=99,C26&lt;&gt;""),F26*100+B26,""),"")</f>
        <v/>
      </c>
      <c r="H26" s="0" t="n">
        <f aca="false">IFERROR(INDEX('Session Tracker'!$J$5:$J$149,MATCH($A26,'Session Tracker'!$D$5:$D$149,0)),0)</f>
        <v>8</v>
      </c>
      <c r="I26" s="0" t="n">
        <f aca="false">IF(OR(B26=0,B26=99,C26=""),"",IF(E26="Per class",D26,D26*H26))</f>
        <v>8</v>
      </c>
      <c r="N26" s="0" t="str">
        <f aca="false">IF('Little Explorers Kits'!B23="","",'Little Explorers Kits'!B23)</f>
        <v>Wiring &amp; Prototyping</v>
      </c>
      <c r="O26" s="0" t="str">
        <f aca="false">IF('Little Explorers Kits'!F23="","",'Little Explorers Kits'!F23)</f>
        <v>Reusable</v>
      </c>
      <c r="P26" s="0" t="str">
        <f aca="false">IF('Little Explorers Kits'!G23="","",'Little Explorers Kits'!G23)</f>
        <v/>
      </c>
    </row>
    <row r="27" customFormat="false" ht="15" hidden="false" customHeight="false" outlineLevel="0" collapsed="false">
      <c r="A27" s="0" t="s">
        <v>78</v>
      </c>
      <c r="B27" s="0" t="n">
        <v>7</v>
      </c>
      <c r="C27" s="0" t="str">
        <f aca="false">IF('Little Explorers Kits'!C24="","",'Little Explorers Kits'!C24)</f>
        <v>Jumper wires M-M</v>
      </c>
      <c r="D27" s="0" t="n">
        <f aca="false">IF('Little Explorers Kits'!D24="","",'Little Explorers Kits'!D24)</f>
        <v>8</v>
      </c>
      <c r="E27" s="0" t="str">
        <f aca="false">IF('Little Explorers Kits'!E24="","",'Little Explorers Kits'!E24)</f>
        <v>Per group</v>
      </c>
      <c r="F27" s="0" t="str">
        <f aca="false">IFERROR(INDEX('Session Tracker'!$M$5:$M$149,MATCH($A27,'Session Tracker'!$D$5:$D$149,0))+0,"")</f>
        <v/>
      </c>
      <c r="G27" s="0" t="str">
        <f aca="false">IF(ISNUMBER(F27),IF(OR(B27=0,B27=99,C27&lt;&gt;""),F27*100+B27,""),"")</f>
        <v/>
      </c>
      <c r="H27" s="0" t="n">
        <f aca="false">IFERROR(INDEX('Session Tracker'!$J$5:$J$149,MATCH($A27,'Session Tracker'!$D$5:$D$149,0)),0)</f>
        <v>8</v>
      </c>
      <c r="I27" s="0" t="n">
        <f aca="false">IF(OR(B27=0,B27=99,C27=""),"",IF(E27="Per class",D27,D27*H27))</f>
        <v>64</v>
      </c>
      <c r="N27" s="0" t="str">
        <f aca="false">IF('Little Explorers Kits'!B24="","",'Little Explorers Kits'!B24)</f>
        <v>Wiring &amp; Prototyping</v>
      </c>
      <c r="O27" s="0" t="str">
        <f aca="false">IF('Little Explorers Kits'!F24="","",'Little Explorers Kits'!F24)</f>
        <v>Reusable</v>
      </c>
      <c r="P27" s="0" t="str">
        <f aca="false">IF('Little Explorers Kits'!G24="","",'Little Explorers Kits'!G24)</f>
        <v/>
      </c>
    </row>
    <row r="28" customFormat="false" ht="15" hidden="false" customHeight="false" outlineLevel="0" collapsed="false">
      <c r="A28" s="0" t="s">
        <v>78</v>
      </c>
      <c r="B28" s="0" t="n">
        <v>8</v>
      </c>
      <c r="C28" s="0" t="str">
        <f aca="false">IF('Little Explorers Kits'!C25="","",'Little Explorers Kits'!C25)</f>
        <v>Laptop</v>
      </c>
      <c r="D28" s="0" t="n">
        <f aca="false">IF('Little Explorers Kits'!D25="","",'Little Explorers Kits'!D25)</f>
        <v>1</v>
      </c>
      <c r="E28" s="0" t="str">
        <f aca="false">IF('Little Explorers Kits'!E25="","",'Little Explorers Kits'!E25)</f>
        <v>Per group</v>
      </c>
      <c r="F28" s="0" t="str">
        <f aca="false">IFERROR(INDEX('Session Tracker'!$M$5:$M$149,MATCH($A28,'Session Tracker'!$D$5:$D$149,0))+0,"")</f>
        <v/>
      </c>
      <c r="G28" s="0" t="str">
        <f aca="false">IF(ISNUMBER(F28),IF(OR(B28=0,B28=99,C28&lt;&gt;""),F28*100+B28,""),"")</f>
        <v/>
      </c>
      <c r="H28" s="0" t="n">
        <f aca="false">IFERROR(INDEX('Session Tracker'!$J$5:$J$149,MATCH($A28,'Session Tracker'!$D$5:$D$149,0)),0)</f>
        <v>8</v>
      </c>
      <c r="I28" s="0" t="n">
        <f aca="false">IF(OR(B28=0,B28=99,C28=""),"",IF(E28="Per class",D28,D28*H28))</f>
        <v>8</v>
      </c>
      <c r="N28" s="0" t="str">
        <f aca="false">IF('Little Explorers Kits'!B25="","",'Little Explorers Kits'!B25)</f>
        <v>Computers &amp; Equipment</v>
      </c>
      <c r="O28" s="0" t="str">
        <f aca="false">IF('Little Explorers Kits'!F25="","",'Little Explorers Kits'!F25)</f>
        <v>Reusable</v>
      </c>
      <c r="P28" s="0" t="str">
        <f aca="false">IF('Little Explorers Kits'!G25="","",'Little Explorers Kits'!G25)</f>
        <v/>
      </c>
    </row>
    <row r="29" customFormat="false" ht="15" hidden="false" customHeight="false" outlineLevel="0" collapsed="false">
      <c r="A29" s="0" t="s">
        <v>78</v>
      </c>
      <c r="B29" s="0" t="n">
        <v>9</v>
      </c>
      <c r="C29" s="0" t="str">
        <f aca="false">IF('Little Explorers Kits'!C26="","",'Little Explorers Kits'!C26)</f>
        <v>Buzzer</v>
      </c>
      <c r="D29" s="0" t="n">
        <f aca="false">IF('Little Explorers Kits'!D26="","",'Little Explorers Kits'!D26)</f>
        <v>1</v>
      </c>
      <c r="E29" s="0" t="str">
        <f aca="false">IF('Little Explorers Kits'!E26="","",'Little Explorers Kits'!E26)</f>
        <v>Per group</v>
      </c>
      <c r="F29" s="0" t="str">
        <f aca="false">IFERROR(INDEX('Session Tracker'!$M$5:$M$149,MATCH($A29,'Session Tracker'!$D$5:$D$149,0))+0,"")</f>
        <v/>
      </c>
      <c r="G29" s="0" t="str">
        <f aca="false">IF(ISNUMBER(F29),IF(OR(B29=0,B29=99,C29&lt;&gt;""),F29*100+B29,""),"")</f>
        <v/>
      </c>
      <c r="H29" s="0" t="n">
        <f aca="false">IFERROR(INDEX('Session Tracker'!$J$5:$J$149,MATCH($A29,'Session Tracker'!$D$5:$D$149,0)),0)</f>
        <v>8</v>
      </c>
      <c r="I29" s="0" t="n">
        <f aca="false">IF(OR(B29=0,B29=99,C29=""),"",IF(E29="Per class",D29,D29*H29))</f>
        <v>8</v>
      </c>
      <c r="N29" s="0" t="str">
        <f aca="false">IF('Little Explorers Kits'!B26="","",'Little Explorers Kits'!B26)</f>
        <v>Actuators &amp; Motor Drivers</v>
      </c>
      <c r="O29" s="0" t="str">
        <f aca="false">IF('Little Explorers Kits'!F26="","",'Little Explorers Kits'!F26)</f>
        <v>Reusable</v>
      </c>
      <c r="P29" s="0" t="str">
        <f aca="false">IF('Little Explorers Kits'!G26="","",'Little Explorers Kits'!G26)</f>
        <v>Added: every Arduino class</v>
      </c>
    </row>
    <row r="30" customFormat="false" ht="15" hidden="false" customHeight="false" outlineLevel="0" collapsed="false">
      <c r="A30" s="0" t="s">
        <v>78</v>
      </c>
      <c r="B30" s="0" t="n">
        <v>10</v>
      </c>
      <c r="C30" s="0" t="str">
        <f aca="false">IF('Little Explorers Kits'!C27="","",'Little Explorers Kits'!C27)</f>
        <v/>
      </c>
      <c r="D30" s="0" t="str">
        <f aca="false">IF('Little Explorers Kits'!D27="","",'Little Explorers Kits'!D27)</f>
        <v/>
      </c>
      <c r="E30" s="0" t="str">
        <f aca="false">IF('Little Explorers Kits'!E27="","",'Little Explorers Kits'!E27)</f>
        <v/>
      </c>
      <c r="F30" s="0" t="str">
        <f aca="false">IFERROR(INDEX('Session Tracker'!$M$5:$M$149,MATCH($A30,'Session Tracker'!$D$5:$D$149,0))+0,"")</f>
        <v/>
      </c>
      <c r="G30" s="0" t="str">
        <f aca="false">IF(ISNUMBER(F30),IF(OR(B30=0,B30=99,C30&lt;&gt;""),F30*100+B30,""),"")</f>
        <v/>
      </c>
      <c r="H30" s="0" t="n">
        <f aca="false">IFERROR(INDEX('Session Tracker'!$J$5:$J$149,MATCH($A30,'Session Tracker'!$D$5:$D$149,0)),0)</f>
        <v>8</v>
      </c>
      <c r="I30" s="0" t="str">
        <f aca="false">IF(OR(B30=0,B30=99,C30=""),"",IF(E30="Per class",D30,D30*H30))</f>
        <v/>
      </c>
      <c r="N30" s="0" t="str">
        <f aca="false">IF('Little Explorers Kits'!B27="","",'Little Explorers Kits'!B27)</f>
        <v/>
      </c>
      <c r="O30" s="0" t="str">
        <f aca="false">IF('Little Explorers Kits'!F27="","",'Little Explorers Kits'!F27)</f>
        <v/>
      </c>
      <c r="P30" s="0" t="str">
        <f aca="false">IF('Little Explorers Kits'!G27="","",'Little Explorers Kits'!G27)</f>
        <v/>
      </c>
    </row>
    <row r="31" customFormat="false" ht="15" hidden="false" customHeight="false" outlineLevel="0" collapsed="false">
      <c r="A31" s="0" t="s">
        <v>78</v>
      </c>
      <c r="B31" s="0" t="n">
        <v>11</v>
      </c>
      <c r="C31" s="0" t="str">
        <f aca="false">IF('Little Explorers Kits'!C28="","",'Little Explorers Kits'!C28)</f>
        <v/>
      </c>
      <c r="D31" s="0" t="str">
        <f aca="false">IF('Little Explorers Kits'!D28="","",'Little Explorers Kits'!D28)</f>
        <v/>
      </c>
      <c r="E31" s="0" t="str">
        <f aca="false">IF('Little Explorers Kits'!E28="","",'Little Explorers Kits'!E28)</f>
        <v/>
      </c>
      <c r="F31" s="0" t="str">
        <f aca="false">IFERROR(INDEX('Session Tracker'!$M$5:$M$149,MATCH($A31,'Session Tracker'!$D$5:$D$149,0))+0,"")</f>
        <v/>
      </c>
      <c r="G31" s="0" t="str">
        <f aca="false">IF(ISNUMBER(F31),IF(OR(B31=0,B31=99,C31&lt;&gt;""),F31*100+B31,""),"")</f>
        <v/>
      </c>
      <c r="H31" s="0" t="n">
        <f aca="false">IFERROR(INDEX('Session Tracker'!$J$5:$J$149,MATCH($A31,'Session Tracker'!$D$5:$D$149,0)),0)</f>
        <v>8</v>
      </c>
      <c r="I31" s="0" t="str">
        <f aca="false">IF(OR(B31=0,B31=99,C31=""),"",IF(E31="Per class",D31,D31*H31))</f>
        <v/>
      </c>
      <c r="N31" s="0" t="str">
        <f aca="false">IF('Little Explorers Kits'!B28="","",'Little Explorers Kits'!B28)</f>
        <v/>
      </c>
      <c r="O31" s="0" t="str">
        <f aca="false">IF('Little Explorers Kits'!F28="","",'Little Explorers Kits'!F28)</f>
        <v/>
      </c>
      <c r="P31" s="0" t="str">
        <f aca="false">IF('Little Explorers Kits'!G28="","",'Little Explorers Kits'!G28)</f>
        <v/>
      </c>
    </row>
    <row r="32" customFormat="false" ht="15" hidden="false" customHeight="false" outlineLevel="0" collapsed="false">
      <c r="A32" s="0" t="s">
        <v>80</v>
      </c>
      <c r="B32" s="0" t="n">
        <v>0</v>
      </c>
      <c r="F32" s="0" t="str">
        <f aca="false">IFERROR(INDEX('Session Tracker'!$M$5:$M$149,MATCH($A32,'Session Tracker'!$D$5:$D$149,0))+0,"")</f>
        <v/>
      </c>
      <c r="G32" s="0" t="str">
        <f aca="false">IF(ISNUMBER(F32),IF(OR(B32=0,B32=99,C32&lt;&gt;""),F32*100+B32,""),"")</f>
        <v/>
      </c>
      <c r="H32" s="0" t="n">
        <f aca="false">IFERROR(INDEX('Session Tracker'!$J$5:$J$149,MATCH($A32,'Session Tracker'!$D$5:$D$149,0)),0)</f>
        <v>8</v>
      </c>
      <c r="I32" s="0" t="str">
        <f aca="false">IF(OR(B32=0,B32=99,C32=""),"",IF(E32="Per class",D32,D32*H32))</f>
        <v/>
      </c>
      <c r="K32" s="0" t="str">
        <f aca="false">IFERROR(INDEX('Session Tracker'!$E$5:$E$149,MATCH($A32,'Session Tracker'!$D$5:$D$149,0)),"")</f>
        <v>ESP32 Basics</v>
      </c>
      <c r="L32" s="0" t="str">
        <f aca="false">IFERROR(INDEX('Session Tracker'!$A$5:$A$149,MATCH($A32,'Session Tracker'!$D$5:$D$149,0)),"")</f>
        <v>Little Explorers (5-7)</v>
      </c>
      <c r="M32" s="0" t="str">
        <f aca="false">IFERROR(INDEX('Session Tracker'!$H$5:$H$149,MATCH($A32,'Session Tracker'!$D$5:$D$149,0))&amp;"","")</f>
        <v/>
      </c>
      <c r="Q32" s="0" t="str">
        <f aca="false">IFERROR("Status: "&amp;INDEX('Session Tracker'!$F$5:$F$149,MATCH($A32,'Session Tracker'!$D$5:$D$149,0))&amp;IF(INDEX('Session Tracker'!$G$5:$G$149,MATCH($A32,'Session Tracker'!$D$5:$D$149,0))&lt;&gt;""," ("&amp;INDEX('Session Tracker'!$G$5:$G$149,MATCH($A32,'Session Tracker'!$D$5:$D$149,0))&amp;")","")&amp;IF(M32&lt;&gt;"","  "&amp;M32,""),"")</f>
        <v>Status: Not started</v>
      </c>
    </row>
    <row r="33" customFormat="false" ht="15" hidden="false" customHeight="false" outlineLevel="0" collapsed="false">
      <c r="A33" s="0" t="s">
        <v>80</v>
      </c>
      <c r="B33" s="0" t="n">
        <v>1</v>
      </c>
      <c r="C33" s="0" t="str">
        <f aca="false">IF('Little Explorers Kits'!C31="","",'Little Explorers Kits'!C31)</f>
        <v>ESP32 Dev Board + USB cable</v>
      </c>
      <c r="D33" s="0" t="n">
        <f aca="false">IF('Little Explorers Kits'!D31="","",'Little Explorers Kits'!D31)</f>
        <v>1</v>
      </c>
      <c r="E33" s="0" t="str">
        <f aca="false">IF('Little Explorers Kits'!E31="","",'Little Explorers Kits'!E31)</f>
        <v>Per group</v>
      </c>
      <c r="F33" s="0" t="str">
        <f aca="false">IFERROR(INDEX('Session Tracker'!$M$5:$M$149,MATCH($A33,'Session Tracker'!$D$5:$D$149,0))+0,"")</f>
        <v/>
      </c>
      <c r="G33" s="0" t="str">
        <f aca="false">IF(ISNUMBER(F33),IF(OR(B33=0,B33=99,C33&lt;&gt;""),F33*100+B33,""),"")</f>
        <v/>
      </c>
      <c r="H33" s="0" t="n">
        <f aca="false">IFERROR(INDEX('Session Tracker'!$J$5:$J$149,MATCH($A33,'Session Tracker'!$D$5:$D$149,0)),0)</f>
        <v>8</v>
      </c>
      <c r="I33" s="0" t="n">
        <f aca="false">IF(OR(B33=0,B33=99,C33=""),"",IF(E33="Per class",D33,D33*H33))</f>
        <v>8</v>
      </c>
      <c r="N33" s="0" t="str">
        <f aca="false">IF('Little Explorers Kits'!B31="","",'Little Explorers Kits'!B31)</f>
        <v>Microcontrollers &amp; Dev Boards</v>
      </c>
      <c r="O33" s="0" t="str">
        <f aca="false">IF('Little Explorers Kits'!F31="","",'Little Explorers Kits'!F31)</f>
        <v>Reusable</v>
      </c>
      <c r="P33" s="0" t="str">
        <f aca="false">IF('Little Explorers Kits'!G31="","",'Little Explorers Kits'!G31)</f>
        <v>Data cable, not charge-only</v>
      </c>
    </row>
    <row r="34" customFormat="false" ht="15" hidden="false" customHeight="false" outlineLevel="0" collapsed="false">
      <c r="A34" s="0" t="s">
        <v>80</v>
      </c>
      <c r="B34" s="0" t="n">
        <v>2</v>
      </c>
      <c r="C34" s="0" t="str">
        <f aca="false">IF('Little Explorers Kits'!C32="","",'Little Explorers Kits'!C32)</f>
        <v>LED 5 mm (assorted)</v>
      </c>
      <c r="D34" s="0" t="n">
        <f aca="false">IF('Little Explorers Kits'!D32="","",'Little Explorers Kits'!D32)</f>
        <v>1</v>
      </c>
      <c r="E34" s="0" t="str">
        <f aca="false">IF('Little Explorers Kits'!E32="","",'Little Explorers Kits'!E32)</f>
        <v>Per group</v>
      </c>
      <c r="F34" s="0" t="str">
        <f aca="false">IFERROR(INDEX('Session Tracker'!$M$5:$M$149,MATCH($A34,'Session Tracker'!$D$5:$D$149,0))+0,"")</f>
        <v/>
      </c>
      <c r="G34" s="0" t="str">
        <f aca="false">IF(ISNUMBER(F34),IF(OR(B34=0,B34=99,C34&lt;&gt;""),F34*100+B34,""),"")</f>
        <v/>
      </c>
      <c r="H34" s="0" t="n">
        <f aca="false">IFERROR(INDEX('Session Tracker'!$J$5:$J$149,MATCH($A34,'Session Tracker'!$D$5:$D$149,0)),0)</f>
        <v>8</v>
      </c>
      <c r="I34" s="0" t="n">
        <f aca="false">IF(OR(B34=0,B34=99,C34=""),"",IF(E34="Per class",D34,D34*H34))</f>
        <v>8</v>
      </c>
      <c r="N34" s="0" t="str">
        <f aca="false">IF('Little Explorers Kits'!B32="","",'Little Explorers Kits'!B32)</f>
        <v>Displays &amp; Output</v>
      </c>
      <c r="O34" s="0" t="str">
        <f aca="false">IF('Little Explorers Kits'!F32="","",'Little Explorers Kits'!F32)</f>
        <v>Consumable</v>
      </c>
      <c r="P34" s="0" t="str">
        <f aca="false">IF('Little Explorers Kits'!G32="","",'Little Explorers Kits'!G32)</f>
        <v/>
      </c>
    </row>
    <row r="35" customFormat="false" ht="15" hidden="false" customHeight="false" outlineLevel="0" collapsed="false">
      <c r="A35" s="0" t="s">
        <v>80</v>
      </c>
      <c r="B35" s="0" t="n">
        <v>3</v>
      </c>
      <c r="C35" s="0" t="str">
        <f aca="false">IF('Little Explorers Kits'!C33="","",'Little Explorers Kits'!C33)</f>
        <v>Resistor 220 ohm</v>
      </c>
      <c r="D35" s="0" t="n">
        <f aca="false">IF('Little Explorers Kits'!D33="","",'Little Explorers Kits'!D33)</f>
        <v>1</v>
      </c>
      <c r="E35" s="0" t="str">
        <f aca="false">IF('Little Explorers Kits'!E33="","",'Little Explorers Kits'!E33)</f>
        <v>Per group</v>
      </c>
      <c r="F35" s="0" t="str">
        <f aca="false">IFERROR(INDEX('Session Tracker'!$M$5:$M$149,MATCH($A35,'Session Tracker'!$D$5:$D$149,0))+0,"")</f>
        <v/>
      </c>
      <c r="G35" s="0" t="str">
        <f aca="false">IF(ISNUMBER(F35),IF(OR(B35=0,B35=99,C35&lt;&gt;""),F35*100+B35,""),"")</f>
        <v/>
      </c>
      <c r="H35" s="0" t="n">
        <f aca="false">IFERROR(INDEX('Session Tracker'!$J$5:$J$149,MATCH($A35,'Session Tracker'!$D$5:$D$149,0)),0)</f>
        <v>8</v>
      </c>
      <c r="I35" s="0" t="n">
        <f aca="false">IF(OR(B35=0,B35=99,C35=""),"",IF(E35="Per class",D35,D35*H35))</f>
        <v>8</v>
      </c>
      <c r="N35" s="0" t="str">
        <f aca="false">IF('Little Explorers Kits'!B33="","",'Little Explorers Kits'!B33)</f>
        <v>Passive Components &amp; ICs</v>
      </c>
      <c r="O35" s="0" t="str">
        <f aca="false">IF('Little Explorers Kits'!F33="","",'Little Explorers Kits'!F33)</f>
        <v>Consumable</v>
      </c>
      <c r="P35" s="0" t="str">
        <f aca="false">IF('Little Explorers Kits'!G33="","",'Little Explorers Kits'!G33)</f>
        <v/>
      </c>
    </row>
    <row r="36" customFormat="false" ht="15" hidden="false" customHeight="false" outlineLevel="0" collapsed="false">
      <c r="A36" s="0" t="s">
        <v>80</v>
      </c>
      <c r="B36" s="0" t="n">
        <v>4</v>
      </c>
      <c r="C36" s="0" t="str">
        <f aca="false">IF('Little Explorers Kits'!C34="","",'Little Explorers Kits'!C34)</f>
        <v>Potentiometer 10k</v>
      </c>
      <c r="D36" s="0" t="n">
        <f aca="false">IF('Little Explorers Kits'!D34="","",'Little Explorers Kits'!D34)</f>
        <v>1</v>
      </c>
      <c r="E36" s="0" t="str">
        <f aca="false">IF('Little Explorers Kits'!E34="","",'Little Explorers Kits'!E34)</f>
        <v>Per group</v>
      </c>
      <c r="F36" s="0" t="str">
        <f aca="false">IFERROR(INDEX('Session Tracker'!$M$5:$M$149,MATCH($A36,'Session Tracker'!$D$5:$D$149,0))+0,"")</f>
        <v/>
      </c>
      <c r="G36" s="0" t="str">
        <f aca="false">IF(ISNUMBER(F36),IF(OR(B36=0,B36=99,C36&lt;&gt;""),F36*100+B36,""),"")</f>
        <v/>
      </c>
      <c r="H36" s="0" t="n">
        <f aca="false">IFERROR(INDEX('Session Tracker'!$J$5:$J$149,MATCH($A36,'Session Tracker'!$D$5:$D$149,0)),0)</f>
        <v>8</v>
      </c>
      <c r="I36" s="0" t="n">
        <f aca="false">IF(OR(B36=0,B36=99,C36=""),"",IF(E36="Per class",D36,D36*H36))</f>
        <v>8</v>
      </c>
      <c r="N36" s="0" t="str">
        <f aca="false">IF('Little Explorers Kits'!B34="","",'Little Explorers Kits'!B34)</f>
        <v>Passive Components &amp; ICs</v>
      </c>
      <c r="O36" s="0" t="str">
        <f aca="false">IF('Little Explorers Kits'!F34="","",'Little Explorers Kits'!F34)</f>
        <v>Reusable</v>
      </c>
      <c r="P36" s="0" t="str">
        <f aca="false">IF('Little Explorers Kits'!G34="","",'Little Explorers Kits'!G34)</f>
        <v>ADC demo</v>
      </c>
    </row>
    <row r="37" customFormat="false" ht="15" hidden="false" customHeight="false" outlineLevel="0" collapsed="false">
      <c r="A37" s="0" t="s">
        <v>80</v>
      </c>
      <c r="B37" s="0" t="n">
        <v>5</v>
      </c>
      <c r="C37" s="0" t="str">
        <f aca="false">IF('Little Explorers Kits'!C35="","",'Little Explorers Kits'!C35)</f>
        <v>Breadboard (half size)</v>
      </c>
      <c r="D37" s="0" t="n">
        <f aca="false">IF('Little Explorers Kits'!D35="","",'Little Explorers Kits'!D35)</f>
        <v>2</v>
      </c>
      <c r="E37" s="0" t="str">
        <f aca="false">IF('Little Explorers Kits'!E35="","",'Little Explorers Kits'!E35)</f>
        <v>Per group</v>
      </c>
      <c r="F37" s="0" t="str">
        <f aca="false">IFERROR(INDEX('Session Tracker'!$M$5:$M$149,MATCH($A37,'Session Tracker'!$D$5:$D$149,0))+0,"")</f>
        <v/>
      </c>
      <c r="G37" s="0" t="str">
        <f aca="false">IF(ISNUMBER(F37),IF(OR(B37=0,B37=99,C37&lt;&gt;""),F37*100+B37,""),"")</f>
        <v/>
      </c>
      <c r="H37" s="0" t="n">
        <f aca="false">IFERROR(INDEX('Session Tracker'!$J$5:$J$149,MATCH($A37,'Session Tracker'!$D$5:$D$149,0)),0)</f>
        <v>8</v>
      </c>
      <c r="I37" s="0" t="n">
        <f aca="false">IF(OR(B37=0,B37=99,C37=""),"",IF(E37="Per class",D37,D37*H37))</f>
        <v>16</v>
      </c>
      <c r="N37" s="0" t="str">
        <f aca="false">IF('Little Explorers Kits'!B35="","",'Little Explorers Kits'!B35)</f>
        <v>Wiring &amp; Prototyping</v>
      </c>
      <c r="O37" s="0" t="str">
        <f aca="false">IF('Little Explorers Kits'!F35="","",'Little Explorers Kits'!F35)</f>
        <v>Reusable</v>
      </c>
      <c r="P37" s="0" t="str">
        <f aca="false">IF('Little Explorers Kits'!G35="","",'Little Explorers Kits'!G35)</f>
        <v>ESP32 is wide: bridge 2 boards</v>
      </c>
    </row>
    <row r="38" customFormat="false" ht="15" hidden="false" customHeight="false" outlineLevel="0" collapsed="false">
      <c r="A38" s="0" t="s">
        <v>80</v>
      </c>
      <c r="B38" s="0" t="n">
        <v>6</v>
      </c>
      <c r="C38" s="0" t="str">
        <f aca="false">IF('Little Explorers Kits'!C36="","",'Little Explorers Kits'!C36)</f>
        <v>Jumper wires M-M</v>
      </c>
      <c r="D38" s="0" t="n">
        <f aca="false">IF('Little Explorers Kits'!D36="","",'Little Explorers Kits'!D36)</f>
        <v>6</v>
      </c>
      <c r="E38" s="0" t="str">
        <f aca="false">IF('Little Explorers Kits'!E36="","",'Little Explorers Kits'!E36)</f>
        <v>Per group</v>
      </c>
      <c r="F38" s="0" t="str">
        <f aca="false">IFERROR(INDEX('Session Tracker'!$M$5:$M$149,MATCH($A38,'Session Tracker'!$D$5:$D$149,0))+0,"")</f>
        <v/>
      </c>
      <c r="G38" s="0" t="str">
        <f aca="false">IF(ISNUMBER(F38),IF(OR(B38=0,B38=99,C38&lt;&gt;""),F38*100+B38,""),"")</f>
        <v/>
      </c>
      <c r="H38" s="0" t="n">
        <f aca="false">IFERROR(INDEX('Session Tracker'!$J$5:$J$149,MATCH($A38,'Session Tracker'!$D$5:$D$149,0)),0)</f>
        <v>8</v>
      </c>
      <c r="I38" s="0" t="n">
        <f aca="false">IF(OR(B38=0,B38=99,C38=""),"",IF(E38="Per class",D38,D38*H38))</f>
        <v>48</v>
      </c>
      <c r="N38" s="0" t="str">
        <f aca="false">IF('Little Explorers Kits'!B36="","",'Little Explorers Kits'!B36)</f>
        <v>Wiring &amp; Prototyping</v>
      </c>
      <c r="O38" s="0" t="str">
        <f aca="false">IF('Little Explorers Kits'!F36="","",'Little Explorers Kits'!F36)</f>
        <v>Reusable</v>
      </c>
      <c r="P38" s="0" t="str">
        <f aca="false">IF('Little Explorers Kits'!G36="","",'Little Explorers Kits'!G36)</f>
        <v/>
      </c>
    </row>
    <row r="39" customFormat="false" ht="15" hidden="false" customHeight="false" outlineLevel="0" collapsed="false">
      <c r="A39" s="0" t="s">
        <v>80</v>
      </c>
      <c r="B39" s="0" t="n">
        <v>7</v>
      </c>
      <c r="C39" s="0" t="str">
        <f aca="false">IF('Little Explorers Kits'!C37="","",'Little Explorers Kits'!C37)</f>
        <v>Jumper wires M-F</v>
      </c>
      <c r="D39" s="0" t="n">
        <f aca="false">IF('Little Explorers Kits'!D37="","",'Little Explorers Kits'!D37)</f>
        <v>4</v>
      </c>
      <c r="E39" s="0" t="str">
        <f aca="false">IF('Little Explorers Kits'!E37="","",'Little Explorers Kits'!E37)</f>
        <v>Per group</v>
      </c>
      <c r="F39" s="0" t="str">
        <f aca="false">IFERROR(INDEX('Session Tracker'!$M$5:$M$149,MATCH($A39,'Session Tracker'!$D$5:$D$149,0))+0,"")</f>
        <v/>
      </c>
      <c r="G39" s="0" t="str">
        <f aca="false">IF(ISNUMBER(F39),IF(OR(B39=0,B39=99,C39&lt;&gt;""),F39*100+B39,""),"")</f>
        <v/>
      </c>
      <c r="H39" s="0" t="n">
        <f aca="false">IFERROR(INDEX('Session Tracker'!$J$5:$J$149,MATCH($A39,'Session Tracker'!$D$5:$D$149,0)),0)</f>
        <v>8</v>
      </c>
      <c r="I39" s="0" t="n">
        <f aca="false">IF(OR(B39=0,B39=99,C39=""),"",IF(E39="Per class",D39,D39*H39))</f>
        <v>32</v>
      </c>
      <c r="N39" s="0" t="str">
        <f aca="false">IF('Little Explorers Kits'!B37="","",'Little Explorers Kits'!B37)</f>
        <v>Wiring &amp; Prototyping</v>
      </c>
      <c r="O39" s="0" t="str">
        <f aca="false">IF('Little Explorers Kits'!F37="","",'Little Explorers Kits'!F37)</f>
        <v>Reusable</v>
      </c>
      <c r="P39" s="0" t="str">
        <f aca="false">IF('Little Explorers Kits'!G37="","",'Little Explorers Kits'!G37)</f>
        <v>Touch-pin demo</v>
      </c>
    </row>
    <row r="40" customFormat="false" ht="15" hidden="false" customHeight="false" outlineLevel="0" collapsed="false">
      <c r="A40" s="0" t="s">
        <v>80</v>
      </c>
      <c r="B40" s="0" t="n">
        <v>8</v>
      </c>
      <c r="C40" s="0" t="str">
        <f aca="false">IF('Little Explorers Kits'!C38="","",'Little Explorers Kits'!C38)</f>
        <v>Laptop</v>
      </c>
      <c r="D40" s="0" t="n">
        <f aca="false">IF('Little Explorers Kits'!D38="","",'Little Explorers Kits'!D38)</f>
        <v>1</v>
      </c>
      <c r="E40" s="0" t="str">
        <f aca="false">IF('Little Explorers Kits'!E38="","",'Little Explorers Kits'!E38)</f>
        <v>Per group</v>
      </c>
      <c r="F40" s="0" t="str">
        <f aca="false">IFERROR(INDEX('Session Tracker'!$M$5:$M$149,MATCH($A40,'Session Tracker'!$D$5:$D$149,0))+0,"")</f>
        <v/>
      </c>
      <c r="G40" s="0" t="str">
        <f aca="false">IF(ISNUMBER(F40),IF(OR(B40=0,B40=99,C40&lt;&gt;""),F40*100+B40,""),"")</f>
        <v/>
      </c>
      <c r="H40" s="0" t="n">
        <f aca="false">IFERROR(INDEX('Session Tracker'!$J$5:$J$149,MATCH($A40,'Session Tracker'!$D$5:$D$149,0)),0)</f>
        <v>8</v>
      </c>
      <c r="I40" s="0" t="n">
        <f aca="false">IF(OR(B40=0,B40=99,C40=""),"",IF(E40="Per class",D40,D40*H40))</f>
        <v>8</v>
      </c>
      <c r="N40" s="0" t="str">
        <f aca="false">IF('Little Explorers Kits'!B38="","",'Little Explorers Kits'!B38)</f>
        <v>Computers &amp; Equipment</v>
      </c>
      <c r="O40" s="0" t="str">
        <f aca="false">IF('Little Explorers Kits'!F38="","",'Little Explorers Kits'!F38)</f>
        <v>Reusable</v>
      </c>
      <c r="P40" s="0" t="str">
        <f aca="false">IF('Little Explorers Kits'!G38="","",'Little Explorers Kits'!G38)</f>
        <v/>
      </c>
    </row>
    <row r="41" customFormat="false" ht="15" hidden="false" customHeight="false" outlineLevel="0" collapsed="false">
      <c r="A41" s="0" t="s">
        <v>80</v>
      </c>
      <c r="B41" s="0" t="n">
        <v>9</v>
      </c>
      <c r="C41" s="0" t="str">
        <f aca="false">IF('Little Explorers Kits'!C39="","",'Little Explorers Kits'!C39)</f>
        <v>Android smartphone</v>
      </c>
      <c r="D41" s="0" t="n">
        <f aca="false">IF('Little Explorers Kits'!D39="","",'Little Explorers Kits'!D39)</f>
        <v>1</v>
      </c>
      <c r="E41" s="0" t="str">
        <f aca="false">IF('Little Explorers Kits'!E39="","",'Little Explorers Kits'!E39)</f>
        <v>Per class</v>
      </c>
      <c r="F41" s="0" t="str">
        <f aca="false">IFERROR(INDEX('Session Tracker'!$M$5:$M$149,MATCH($A41,'Session Tracker'!$D$5:$D$149,0))+0,"")</f>
        <v/>
      </c>
      <c r="G41" s="0" t="str">
        <f aca="false">IF(ISNUMBER(F41),IF(OR(B41=0,B41=99,C41&lt;&gt;""),F41*100+B41,""),"")</f>
        <v/>
      </c>
      <c r="H41" s="0" t="n">
        <f aca="false">IFERROR(INDEX('Session Tracker'!$J$5:$J$149,MATCH($A41,'Session Tracker'!$D$5:$D$149,0)),0)</f>
        <v>8</v>
      </c>
      <c r="I41" s="0" t="n">
        <f aca="false">IF(OR(B41=0,B41=99,C41=""),"",IF(E41="Per class",D41,D41*H41))</f>
        <v>1</v>
      </c>
      <c r="N41" s="0" t="str">
        <f aca="false">IF('Little Explorers Kits'!B39="","",'Little Explorers Kits'!B39)</f>
        <v>Computers &amp; Equipment</v>
      </c>
      <c r="O41" s="0" t="str">
        <f aca="false">IF('Little Explorers Kits'!F39="","",'Little Explorers Kits'!F39)</f>
        <v>Reusable</v>
      </c>
      <c r="P41" s="0" t="str">
        <f aca="false">IF('Little Explorers Kits'!G39="","",'Little Explorers Kits'!G39)</f>
        <v>Wi-Fi / Bluetooth demo</v>
      </c>
    </row>
    <row r="42" customFormat="false" ht="15" hidden="false" customHeight="false" outlineLevel="0" collapsed="false">
      <c r="A42" s="0" t="s">
        <v>80</v>
      </c>
      <c r="B42" s="0" t="n">
        <v>10</v>
      </c>
      <c r="C42" s="0" t="str">
        <f aca="false">IF('Little Explorers Kits'!C40="","",'Little Explorers Kits'!C40)</f>
        <v/>
      </c>
      <c r="D42" s="0" t="str">
        <f aca="false">IF('Little Explorers Kits'!D40="","",'Little Explorers Kits'!D40)</f>
        <v/>
      </c>
      <c r="E42" s="0" t="str">
        <f aca="false">IF('Little Explorers Kits'!E40="","",'Little Explorers Kits'!E40)</f>
        <v/>
      </c>
      <c r="F42" s="0" t="str">
        <f aca="false">IFERROR(INDEX('Session Tracker'!$M$5:$M$149,MATCH($A42,'Session Tracker'!$D$5:$D$149,0))+0,"")</f>
        <v/>
      </c>
      <c r="G42" s="0" t="str">
        <f aca="false">IF(ISNUMBER(F42),IF(OR(B42=0,B42=99,C42&lt;&gt;""),F42*100+B42,""),"")</f>
        <v/>
      </c>
      <c r="H42" s="0" t="n">
        <f aca="false">IFERROR(INDEX('Session Tracker'!$J$5:$J$149,MATCH($A42,'Session Tracker'!$D$5:$D$149,0)),0)</f>
        <v>8</v>
      </c>
      <c r="I42" s="0" t="str">
        <f aca="false">IF(OR(B42=0,B42=99,C42=""),"",IF(E42="Per class",D42,D42*H42))</f>
        <v/>
      </c>
      <c r="N42" s="0" t="str">
        <f aca="false">IF('Little Explorers Kits'!B40="","",'Little Explorers Kits'!B40)</f>
        <v/>
      </c>
      <c r="O42" s="0" t="str">
        <f aca="false">IF('Little Explorers Kits'!F40="","",'Little Explorers Kits'!F40)</f>
        <v/>
      </c>
      <c r="P42" s="0" t="str">
        <f aca="false">IF('Little Explorers Kits'!G40="","",'Little Explorers Kits'!G40)</f>
        <v/>
      </c>
    </row>
    <row r="43" customFormat="false" ht="15" hidden="false" customHeight="false" outlineLevel="0" collapsed="false">
      <c r="A43" s="0" t="s">
        <v>80</v>
      </c>
      <c r="B43" s="0" t="n">
        <v>11</v>
      </c>
      <c r="C43" s="0" t="str">
        <f aca="false">IF('Little Explorers Kits'!C41="","",'Little Explorers Kits'!C41)</f>
        <v/>
      </c>
      <c r="D43" s="0" t="str">
        <f aca="false">IF('Little Explorers Kits'!D41="","",'Little Explorers Kits'!D41)</f>
        <v/>
      </c>
      <c r="E43" s="0" t="str">
        <f aca="false">IF('Little Explorers Kits'!E41="","",'Little Explorers Kits'!E41)</f>
        <v/>
      </c>
      <c r="F43" s="0" t="str">
        <f aca="false">IFERROR(INDEX('Session Tracker'!$M$5:$M$149,MATCH($A43,'Session Tracker'!$D$5:$D$149,0))+0,"")</f>
        <v/>
      </c>
      <c r="G43" s="0" t="str">
        <f aca="false">IF(ISNUMBER(F43),IF(OR(B43=0,B43=99,C43&lt;&gt;""),F43*100+B43,""),"")</f>
        <v/>
      </c>
      <c r="H43" s="0" t="n">
        <f aca="false">IFERROR(INDEX('Session Tracker'!$J$5:$J$149,MATCH($A43,'Session Tracker'!$D$5:$D$149,0)),0)</f>
        <v>8</v>
      </c>
      <c r="I43" s="0" t="str">
        <f aca="false">IF(OR(B43=0,B43=99,C43=""),"",IF(E43="Per class",D43,D43*H43))</f>
        <v/>
      </c>
      <c r="N43" s="0" t="str">
        <f aca="false">IF('Little Explorers Kits'!B41="","",'Little Explorers Kits'!B41)</f>
        <v/>
      </c>
      <c r="O43" s="0" t="str">
        <f aca="false">IF('Little Explorers Kits'!F41="","",'Little Explorers Kits'!F41)</f>
        <v/>
      </c>
      <c r="P43" s="0" t="str">
        <f aca="false">IF('Little Explorers Kits'!G41="","",'Little Explorers Kits'!G41)</f>
        <v/>
      </c>
    </row>
    <row r="44" customFormat="false" ht="15" hidden="false" customHeight="false" outlineLevel="0" collapsed="false">
      <c r="A44" s="0" t="s">
        <v>82</v>
      </c>
      <c r="B44" s="0" t="n">
        <v>0</v>
      </c>
      <c r="F44" s="0" t="str">
        <f aca="false">IFERROR(INDEX('Session Tracker'!$M$5:$M$149,MATCH($A44,'Session Tracker'!$D$5:$D$149,0))+0,"")</f>
        <v/>
      </c>
      <c r="G44" s="0" t="str">
        <f aca="false">IF(ISNUMBER(F44),IF(OR(B44=0,B44=99,C44&lt;&gt;""),F44*100+B44,""),"")</f>
        <v/>
      </c>
      <c r="H44" s="0" t="n">
        <f aca="false">IFERROR(INDEX('Session Tracker'!$J$5:$J$149,MATCH($A44,'Session Tracker'!$D$5:$D$149,0)),0)</f>
        <v>8</v>
      </c>
      <c r="I44" s="0" t="str">
        <f aca="false">IF(OR(B44=0,B44=99,C44=""),"",IF(E44="Per class",D44,D44*H44))</f>
        <v/>
      </c>
      <c r="K44" s="0" t="str">
        <f aca="false">IFERROR(INDEX('Session Tracker'!$E$5:$E$149,MATCH($A44,'Session Tracker'!$D$5:$D$149,0)),"")</f>
        <v>3D Modelling and Printing</v>
      </c>
      <c r="L44" s="0" t="str">
        <f aca="false">IFERROR(INDEX('Session Tracker'!$A$5:$A$149,MATCH($A44,'Session Tracker'!$D$5:$D$149,0)),"")</f>
        <v>Little Explorers (5-7)</v>
      </c>
      <c r="M44" s="0" t="str">
        <f aca="false">IFERROR(INDEX('Session Tracker'!$H$5:$H$149,MATCH($A44,'Session Tracker'!$D$5:$D$149,0))&amp;"","")</f>
        <v/>
      </c>
      <c r="Q44" s="0" t="str">
        <f aca="false">IFERROR("Status: "&amp;INDEX('Session Tracker'!$F$5:$F$149,MATCH($A44,'Session Tracker'!$D$5:$D$149,0))&amp;IF(INDEX('Session Tracker'!$G$5:$G$149,MATCH($A44,'Session Tracker'!$D$5:$D$149,0))&lt;&gt;""," ("&amp;INDEX('Session Tracker'!$G$5:$G$149,MATCH($A44,'Session Tracker'!$D$5:$D$149,0))&amp;")","")&amp;IF(M44&lt;&gt;"","  "&amp;M44,""),"")</f>
        <v>Status: Not started</v>
      </c>
    </row>
    <row r="45" customFormat="false" ht="15" hidden="false" customHeight="false" outlineLevel="0" collapsed="false">
      <c r="A45" s="0" t="s">
        <v>82</v>
      </c>
      <c r="B45" s="0" t="n">
        <v>1</v>
      </c>
      <c r="C45" s="0" t="str">
        <f aca="false">IF('Little Explorers Kits'!C44="","",'Little Explorers Kits'!C44)</f>
        <v>Laptop</v>
      </c>
      <c r="D45" s="0" t="n">
        <f aca="false">IF('Little Explorers Kits'!D44="","",'Little Explorers Kits'!D44)</f>
        <v>1</v>
      </c>
      <c r="E45" s="0" t="str">
        <f aca="false">IF('Little Explorers Kits'!E44="","",'Little Explorers Kits'!E44)</f>
        <v>Per group</v>
      </c>
      <c r="F45" s="0" t="str">
        <f aca="false">IFERROR(INDEX('Session Tracker'!$M$5:$M$149,MATCH($A45,'Session Tracker'!$D$5:$D$149,0))+0,"")</f>
        <v/>
      </c>
      <c r="G45" s="0" t="str">
        <f aca="false">IF(ISNUMBER(F45),IF(OR(B45=0,B45=99,C45&lt;&gt;""),F45*100+B45,""),"")</f>
        <v/>
      </c>
      <c r="H45" s="0" t="n">
        <f aca="false">IFERROR(INDEX('Session Tracker'!$J$5:$J$149,MATCH($A45,'Session Tracker'!$D$5:$D$149,0)),0)</f>
        <v>8</v>
      </c>
      <c r="I45" s="0" t="n">
        <f aca="false">IF(OR(B45=0,B45=99,C45=""),"",IF(E45="Per class",D45,D45*H45))</f>
        <v>8</v>
      </c>
      <c r="N45" s="0" t="str">
        <f aca="false">IF('Little Explorers Kits'!B44="","",'Little Explorers Kits'!B44)</f>
        <v>Computers &amp; Equipment</v>
      </c>
      <c r="O45" s="0" t="str">
        <f aca="false">IF('Little Explorers Kits'!F44="","",'Little Explorers Kits'!F44)</f>
        <v>Reusable</v>
      </c>
      <c r="P45" s="0" t="str">
        <f aca="false">IF('Little Explorers Kits'!G44="","",'Little Explorers Kits'!G44)</f>
        <v>Tinkercad in the browser</v>
      </c>
    </row>
    <row r="46" customFormat="false" ht="15" hidden="false" customHeight="false" outlineLevel="0" collapsed="false">
      <c r="A46" s="0" t="s">
        <v>82</v>
      </c>
      <c r="B46" s="0" t="n">
        <v>2</v>
      </c>
      <c r="C46" s="0" t="str">
        <f aca="false">IF('Little Explorers Kits'!C45="","",'Little Explorers Kits'!C45)</f>
        <v>3D printer</v>
      </c>
      <c r="D46" s="0" t="n">
        <f aca="false">IF('Little Explorers Kits'!D45="","",'Little Explorers Kits'!D45)</f>
        <v>1</v>
      </c>
      <c r="E46" s="0" t="str">
        <f aca="false">IF('Little Explorers Kits'!E45="","",'Little Explorers Kits'!E45)</f>
        <v>Per class</v>
      </c>
      <c r="F46" s="0" t="str">
        <f aca="false">IFERROR(INDEX('Session Tracker'!$M$5:$M$149,MATCH($A46,'Session Tracker'!$D$5:$D$149,0))+0,"")</f>
        <v/>
      </c>
      <c r="G46" s="0" t="str">
        <f aca="false">IF(ISNUMBER(F46),IF(OR(B46=0,B46=99,C46&lt;&gt;""),F46*100+B46,""),"")</f>
        <v/>
      </c>
      <c r="H46" s="0" t="n">
        <f aca="false">IFERROR(INDEX('Session Tracker'!$J$5:$J$149,MATCH($A46,'Session Tracker'!$D$5:$D$149,0)),0)</f>
        <v>8</v>
      </c>
      <c r="I46" s="0" t="n">
        <f aca="false">IF(OR(B46=0,B46=99,C46=""),"",IF(E46="Per class",D46,D46*H46))</f>
        <v>1</v>
      </c>
      <c r="N46" s="0" t="str">
        <f aca="false">IF('Little Explorers Kits'!B45="","",'Little Explorers Kits'!B45)</f>
        <v>Computers &amp; Equipment</v>
      </c>
      <c r="O46" s="0" t="str">
        <f aca="false">IF('Little Explorers Kits'!F45="","",'Little Explorers Kits'!F45)</f>
        <v>Reusable</v>
      </c>
      <c r="P46" s="0" t="str">
        <f aca="false">IF('Little Explorers Kits'!G45="","",'Little Explorers Kits'!G45)</f>
        <v/>
      </c>
    </row>
    <row r="47" customFormat="false" ht="15" hidden="false" customHeight="false" outlineLevel="0" collapsed="false">
      <c r="A47" s="0" t="s">
        <v>82</v>
      </c>
      <c r="B47" s="0" t="n">
        <v>3</v>
      </c>
      <c r="C47" s="0" t="str">
        <f aca="false">IF('Little Explorers Kits'!C46="","",'Little Explorers Kits'!C46)</f>
        <v>PLA filament</v>
      </c>
      <c r="D47" s="0" t="n">
        <f aca="false">IF('Little Explorers Kits'!D46="","",'Little Explorers Kits'!D46)</f>
        <v>1</v>
      </c>
      <c r="E47" s="0" t="str">
        <f aca="false">IF('Little Explorers Kits'!E46="","",'Little Explorers Kits'!E46)</f>
        <v>Per class</v>
      </c>
      <c r="F47" s="0" t="str">
        <f aca="false">IFERROR(INDEX('Session Tracker'!$M$5:$M$149,MATCH($A47,'Session Tracker'!$D$5:$D$149,0))+0,"")</f>
        <v/>
      </c>
      <c r="G47" s="0" t="str">
        <f aca="false">IF(ISNUMBER(F47),IF(OR(B47=0,B47=99,C47&lt;&gt;""),F47*100+B47,""),"")</f>
        <v/>
      </c>
      <c r="H47" s="0" t="n">
        <f aca="false">IFERROR(INDEX('Session Tracker'!$J$5:$J$149,MATCH($A47,'Session Tracker'!$D$5:$D$149,0)),0)</f>
        <v>8</v>
      </c>
      <c r="I47" s="0" t="n">
        <f aca="false">IF(OR(B47=0,B47=99,C47=""),"",IF(E47="Per class",D47,D47*H47))</f>
        <v>1</v>
      </c>
      <c r="N47" s="0" t="str">
        <f aca="false">IF('Little Explorers Kits'!B46="","",'Little Explorers Kits'!B46)</f>
        <v>Computers &amp; Equipment</v>
      </c>
      <c r="O47" s="0" t="str">
        <f aca="false">IF('Little Explorers Kits'!F46="","",'Little Explorers Kits'!F46)</f>
        <v>Consumable</v>
      </c>
      <c r="P47" s="0" t="str">
        <f aca="false">IF('Little Explorers Kits'!G46="","",'Little Explorers Kits'!G46)</f>
        <v>1 spool</v>
      </c>
    </row>
    <row r="48" customFormat="false" ht="15" hidden="false" customHeight="false" outlineLevel="0" collapsed="false">
      <c r="A48" s="0" t="s">
        <v>82</v>
      </c>
      <c r="B48" s="0" t="n">
        <v>4</v>
      </c>
      <c r="C48" s="0" t="str">
        <f aca="false">IF('Little Explorers Kits'!C47="","",'Little Explorers Kits'!C47)</f>
        <v>Screwdriver set</v>
      </c>
      <c r="D48" s="0" t="n">
        <f aca="false">IF('Little Explorers Kits'!D47="","",'Little Explorers Kits'!D47)</f>
        <v>1</v>
      </c>
      <c r="E48" s="0" t="str">
        <f aca="false">IF('Little Explorers Kits'!E47="","",'Little Explorers Kits'!E47)</f>
        <v>Per class</v>
      </c>
      <c r="F48" s="0" t="str">
        <f aca="false">IFERROR(INDEX('Session Tracker'!$M$5:$M$149,MATCH($A48,'Session Tracker'!$D$5:$D$149,0))+0,"")</f>
        <v/>
      </c>
      <c r="G48" s="0" t="str">
        <f aca="false">IF(ISNUMBER(F48),IF(OR(B48=0,B48=99,C48&lt;&gt;""),F48*100+B48,""),"")</f>
        <v/>
      </c>
      <c r="H48" s="0" t="n">
        <f aca="false">IFERROR(INDEX('Session Tracker'!$J$5:$J$149,MATCH($A48,'Session Tracker'!$D$5:$D$149,0)),0)</f>
        <v>8</v>
      </c>
      <c r="I48" s="0" t="n">
        <f aca="false">IF(OR(B48=0,B48=99,C48=""),"",IF(E48="Per class",D48,D48*H48))</f>
        <v>1</v>
      </c>
      <c r="N48" s="0" t="str">
        <f aca="false">IF('Little Explorers Kits'!B47="","",'Little Explorers Kits'!B47)</f>
        <v>Computers &amp; Equipment</v>
      </c>
      <c r="O48" s="0" t="str">
        <f aca="false">IF('Little Explorers Kits'!F47="","",'Little Explorers Kits'!F47)</f>
        <v>Reusable</v>
      </c>
      <c r="P48" s="0" t="str">
        <f aca="false">IF('Little Explorers Kits'!G47="","",'Little Explorers Kits'!G47)</f>
        <v>Scraper / print removal</v>
      </c>
    </row>
    <row r="49" customFormat="false" ht="15" hidden="false" customHeight="false" outlineLevel="0" collapsed="false">
      <c r="A49" s="0" t="s">
        <v>82</v>
      </c>
      <c r="B49" s="0" t="n">
        <v>5</v>
      </c>
      <c r="C49" s="0" t="str">
        <f aca="false">IF('Little Explorers Kits'!C48="","",'Little Explorers Kits'!C48)</f>
        <v/>
      </c>
      <c r="D49" s="0" t="str">
        <f aca="false">IF('Little Explorers Kits'!D48="","",'Little Explorers Kits'!D48)</f>
        <v/>
      </c>
      <c r="E49" s="0" t="str">
        <f aca="false">IF('Little Explorers Kits'!E48="","",'Little Explorers Kits'!E48)</f>
        <v/>
      </c>
      <c r="F49" s="0" t="str">
        <f aca="false">IFERROR(INDEX('Session Tracker'!$M$5:$M$149,MATCH($A49,'Session Tracker'!$D$5:$D$149,0))+0,"")</f>
        <v/>
      </c>
      <c r="G49" s="0" t="str">
        <f aca="false">IF(ISNUMBER(F49),IF(OR(B49=0,B49=99,C49&lt;&gt;""),F49*100+B49,""),"")</f>
        <v/>
      </c>
      <c r="H49" s="0" t="n">
        <f aca="false">IFERROR(INDEX('Session Tracker'!$J$5:$J$149,MATCH($A49,'Session Tracker'!$D$5:$D$149,0)),0)</f>
        <v>8</v>
      </c>
      <c r="I49" s="0" t="str">
        <f aca="false">IF(OR(B49=0,B49=99,C49=""),"",IF(E49="Per class",D49,D49*H49))</f>
        <v/>
      </c>
      <c r="N49" s="0" t="str">
        <f aca="false">IF('Little Explorers Kits'!B48="","",'Little Explorers Kits'!B48)</f>
        <v/>
      </c>
      <c r="O49" s="0" t="str">
        <f aca="false">IF('Little Explorers Kits'!F48="","",'Little Explorers Kits'!F48)</f>
        <v/>
      </c>
      <c r="P49" s="0" t="str">
        <f aca="false">IF('Little Explorers Kits'!G48="","",'Little Explorers Kits'!G48)</f>
        <v/>
      </c>
    </row>
    <row r="50" customFormat="false" ht="15" hidden="false" customHeight="false" outlineLevel="0" collapsed="false">
      <c r="A50" s="0" t="s">
        <v>82</v>
      </c>
      <c r="B50" s="0" t="n">
        <v>6</v>
      </c>
      <c r="C50" s="0" t="str">
        <f aca="false">IF('Little Explorers Kits'!C49="","",'Little Explorers Kits'!C49)</f>
        <v/>
      </c>
      <c r="D50" s="0" t="str">
        <f aca="false">IF('Little Explorers Kits'!D49="","",'Little Explorers Kits'!D49)</f>
        <v/>
      </c>
      <c r="E50" s="0" t="str">
        <f aca="false">IF('Little Explorers Kits'!E49="","",'Little Explorers Kits'!E49)</f>
        <v/>
      </c>
      <c r="F50" s="0" t="str">
        <f aca="false">IFERROR(INDEX('Session Tracker'!$M$5:$M$149,MATCH($A50,'Session Tracker'!$D$5:$D$149,0))+0,"")</f>
        <v/>
      </c>
      <c r="G50" s="0" t="str">
        <f aca="false">IF(ISNUMBER(F50),IF(OR(B50=0,B50=99,C50&lt;&gt;""),F50*100+B50,""),"")</f>
        <v/>
      </c>
      <c r="H50" s="0" t="n">
        <f aca="false">IFERROR(INDEX('Session Tracker'!$J$5:$J$149,MATCH($A50,'Session Tracker'!$D$5:$D$149,0)),0)</f>
        <v>8</v>
      </c>
      <c r="I50" s="0" t="str">
        <f aca="false">IF(OR(B50=0,B50=99,C50=""),"",IF(E50="Per class",D50,D50*H50))</f>
        <v/>
      </c>
      <c r="N50" s="0" t="str">
        <f aca="false">IF('Little Explorers Kits'!B49="","",'Little Explorers Kits'!B49)</f>
        <v/>
      </c>
      <c r="O50" s="0" t="str">
        <f aca="false">IF('Little Explorers Kits'!F49="","",'Little Explorers Kits'!F49)</f>
        <v/>
      </c>
      <c r="P50" s="0" t="str">
        <f aca="false">IF('Little Explorers Kits'!G49="","",'Little Explorers Kits'!G49)</f>
        <v/>
      </c>
    </row>
    <row r="51" customFormat="false" ht="15" hidden="false" customHeight="false" outlineLevel="0" collapsed="false">
      <c r="A51" s="0" t="s">
        <v>84</v>
      </c>
      <c r="B51" s="0" t="n">
        <v>0</v>
      </c>
      <c r="F51" s="0" t="str">
        <f aca="false">IFERROR(INDEX('Session Tracker'!$M$5:$M$149,MATCH($A51,'Session Tracker'!$D$5:$D$149,0))+0,"")</f>
        <v/>
      </c>
      <c r="G51" s="0" t="str">
        <f aca="false">IF(ISNUMBER(F51),IF(OR(B51=0,B51=99,C51&lt;&gt;""),F51*100+B51,""),"")</f>
        <v/>
      </c>
      <c r="H51" s="0" t="n">
        <f aca="false">IFERROR(INDEX('Session Tracker'!$J$5:$J$149,MATCH($A51,'Session Tracker'!$D$5:$D$149,0)),0)</f>
        <v>8</v>
      </c>
      <c r="I51" s="0" t="str">
        <f aca="false">IF(OR(B51=0,B51=99,C51=""),"",IF(E51="Per class",D51,D51*H51))</f>
        <v/>
      </c>
      <c r="K51" s="0" t="str">
        <f aca="false">IFERROR(INDEX('Session Tracker'!$E$5:$E$149,MATCH($A51,'Session Tracker'!$D$5:$D$149,0)),"")</f>
        <v>Light-Up Paper Circuit Card</v>
      </c>
      <c r="L51" s="0" t="str">
        <f aca="false">IFERROR(INDEX('Session Tracker'!$A$5:$A$149,MATCH($A51,'Session Tracker'!$D$5:$D$149,0)),"")</f>
        <v>Little Explorers (5-7)</v>
      </c>
      <c r="M51" s="0" t="str">
        <f aca="false">IFERROR(INDEX('Session Tracker'!$H$5:$H$149,MATCH($A51,'Session Tracker'!$D$5:$D$149,0))&amp;"","")</f>
        <v/>
      </c>
      <c r="Q51" s="0" t="str">
        <f aca="false">IFERROR("Status: "&amp;INDEX('Session Tracker'!$F$5:$F$149,MATCH($A51,'Session Tracker'!$D$5:$D$149,0))&amp;IF(INDEX('Session Tracker'!$G$5:$G$149,MATCH($A51,'Session Tracker'!$D$5:$D$149,0))&lt;&gt;""," ("&amp;INDEX('Session Tracker'!$G$5:$G$149,MATCH($A51,'Session Tracker'!$D$5:$D$149,0))&amp;")","")&amp;IF(M51&lt;&gt;"","  "&amp;M51,""),"")</f>
        <v>Status: Not started</v>
      </c>
    </row>
    <row r="52" customFormat="false" ht="15" hidden="false" customHeight="false" outlineLevel="0" collapsed="false">
      <c r="A52" s="0" t="s">
        <v>84</v>
      </c>
      <c r="B52" s="0" t="n">
        <v>1</v>
      </c>
      <c r="C52" s="0" t="str">
        <f aca="false">IF('Little Explorers Kits'!C52="","",'Little Explorers Kits'!C52)</f>
        <v>Copper tape</v>
      </c>
      <c r="D52" s="0" t="n">
        <f aca="false">IF('Little Explorers Kits'!D52="","",'Little Explorers Kits'!D52)</f>
        <v>1</v>
      </c>
      <c r="E52" s="0" t="str">
        <f aca="false">IF('Little Explorers Kits'!E52="","",'Little Explorers Kits'!E52)</f>
        <v>Per group</v>
      </c>
      <c r="F52" s="0" t="str">
        <f aca="false">IFERROR(INDEX('Session Tracker'!$M$5:$M$149,MATCH($A52,'Session Tracker'!$D$5:$D$149,0))+0,"")</f>
        <v/>
      </c>
      <c r="G52" s="0" t="str">
        <f aca="false">IF(ISNUMBER(F52),IF(OR(B52=0,B52=99,C52&lt;&gt;""),F52*100+B52,""),"")</f>
        <v/>
      </c>
      <c r="H52" s="0" t="n">
        <f aca="false">IFERROR(INDEX('Session Tracker'!$J$5:$J$149,MATCH($A52,'Session Tracker'!$D$5:$D$149,0)),0)</f>
        <v>8</v>
      </c>
      <c r="I52" s="0" t="n">
        <f aca="false">IF(OR(B52=0,B52=99,C52=""),"",IF(E52="Per class",D52,D52*H52))</f>
        <v>8</v>
      </c>
      <c r="N52" s="0" t="str">
        <f aca="false">IF('Little Explorers Kits'!B52="","",'Little Explorers Kits'!B52)</f>
        <v>Wiring &amp; Prototyping</v>
      </c>
      <c r="O52" s="0" t="str">
        <f aca="false">IF('Little Explorers Kits'!F52="","",'Little Explorers Kits'!F52)</f>
        <v>Consumable</v>
      </c>
      <c r="P52" s="0" t="str">
        <f aca="false">IF('Little Explorers Kits'!G52="","",'Little Explorers Kits'!G52)</f>
        <v>30 cm per group</v>
      </c>
    </row>
    <row r="53" customFormat="false" ht="15" hidden="false" customHeight="false" outlineLevel="0" collapsed="false">
      <c r="A53" s="0" t="s">
        <v>84</v>
      </c>
      <c r="B53" s="0" t="n">
        <v>2</v>
      </c>
      <c r="C53" s="0" t="str">
        <f aca="false">IF('Little Explorers Kits'!C53="","",'Little Explorers Kits'!C53)</f>
        <v>LED 5 mm (assorted)</v>
      </c>
      <c r="D53" s="0" t="n">
        <f aca="false">IF('Little Explorers Kits'!D53="","",'Little Explorers Kits'!D53)</f>
        <v>2</v>
      </c>
      <c r="E53" s="0" t="str">
        <f aca="false">IF('Little Explorers Kits'!E53="","",'Little Explorers Kits'!E53)</f>
        <v>Per group</v>
      </c>
      <c r="F53" s="0" t="str">
        <f aca="false">IFERROR(INDEX('Session Tracker'!$M$5:$M$149,MATCH($A53,'Session Tracker'!$D$5:$D$149,0))+0,"")</f>
        <v/>
      </c>
      <c r="G53" s="0" t="str">
        <f aca="false">IF(ISNUMBER(F53),IF(OR(B53=0,B53=99,C53&lt;&gt;""),F53*100+B53,""),"")</f>
        <v/>
      </c>
      <c r="H53" s="0" t="n">
        <f aca="false">IFERROR(INDEX('Session Tracker'!$J$5:$J$149,MATCH($A53,'Session Tracker'!$D$5:$D$149,0)),0)</f>
        <v>8</v>
      </c>
      <c r="I53" s="0" t="n">
        <f aca="false">IF(OR(B53=0,B53=99,C53=""),"",IF(E53="Per class",D53,D53*H53))</f>
        <v>16</v>
      </c>
      <c r="N53" s="0" t="str">
        <f aca="false">IF('Little Explorers Kits'!B53="","",'Little Explorers Kits'!B53)</f>
        <v>Displays &amp; Output</v>
      </c>
      <c r="O53" s="0" t="str">
        <f aca="false">IF('Little Explorers Kits'!F53="","",'Little Explorers Kits'!F53)</f>
        <v>Consumable</v>
      </c>
      <c r="P53" s="0" t="str">
        <f aca="false">IF('Little Explorers Kits'!G53="","",'Little Explorers Kits'!G53)</f>
        <v/>
      </c>
    </row>
    <row r="54" customFormat="false" ht="15" hidden="false" customHeight="false" outlineLevel="0" collapsed="false">
      <c r="A54" s="0" t="s">
        <v>84</v>
      </c>
      <c r="B54" s="0" t="n">
        <v>3</v>
      </c>
      <c r="C54" s="0" t="str">
        <f aca="false">IF('Little Explorers Kits'!C54="","",'Little Explorers Kits'!C54)</f>
        <v>Coin cell CR2032</v>
      </c>
      <c r="D54" s="0" t="n">
        <f aca="false">IF('Little Explorers Kits'!D54="","",'Little Explorers Kits'!D54)</f>
        <v>1</v>
      </c>
      <c r="E54" s="0" t="str">
        <f aca="false">IF('Little Explorers Kits'!E54="","",'Little Explorers Kits'!E54)</f>
        <v>Per group</v>
      </c>
      <c r="F54" s="0" t="str">
        <f aca="false">IFERROR(INDEX('Session Tracker'!$M$5:$M$149,MATCH($A54,'Session Tracker'!$D$5:$D$149,0))+0,"")</f>
        <v/>
      </c>
      <c r="G54" s="0" t="str">
        <f aca="false">IF(ISNUMBER(F54),IF(OR(B54=0,B54=99,C54&lt;&gt;""),F54*100+B54,""),"")</f>
        <v/>
      </c>
      <c r="H54" s="0" t="n">
        <f aca="false">IFERROR(INDEX('Session Tracker'!$J$5:$J$149,MATCH($A54,'Session Tracker'!$D$5:$D$149,0)),0)</f>
        <v>8</v>
      </c>
      <c r="I54" s="0" t="n">
        <f aca="false">IF(OR(B54=0,B54=99,C54=""),"",IF(E54="Per class",D54,D54*H54))</f>
        <v>8</v>
      </c>
      <c r="N54" s="0" t="str">
        <f aca="false">IF('Little Explorers Kits'!B54="","",'Little Explorers Kits'!B54)</f>
        <v>Power</v>
      </c>
      <c r="O54" s="0" t="str">
        <f aca="false">IF('Little Explorers Kits'!F54="","",'Little Explorers Kits'!F54)</f>
        <v>Consumable</v>
      </c>
      <c r="P54" s="0" t="str">
        <f aca="false">IF('Little Explorers Kits'!G54="","",'Little Explorers Kits'!G54)</f>
        <v/>
      </c>
    </row>
    <row r="55" customFormat="false" ht="15" hidden="false" customHeight="false" outlineLevel="0" collapsed="false">
      <c r="A55" s="0" t="s">
        <v>84</v>
      </c>
      <c r="B55" s="0" t="n">
        <v>4</v>
      </c>
      <c r="C55" s="0" t="str">
        <f aca="false">IF('Little Explorers Kits'!C55="","",'Little Explorers Kits'!C55)</f>
        <v>Card / chart paper</v>
      </c>
      <c r="D55" s="0" t="n">
        <f aca="false">IF('Little Explorers Kits'!D55="","",'Little Explorers Kits'!D55)</f>
        <v>2</v>
      </c>
      <c r="E55" s="0" t="str">
        <f aca="false">IF('Little Explorers Kits'!E55="","",'Little Explorers Kits'!E55)</f>
        <v>Per group</v>
      </c>
      <c r="F55" s="0" t="str">
        <f aca="false">IFERROR(INDEX('Session Tracker'!$M$5:$M$149,MATCH($A55,'Session Tracker'!$D$5:$D$149,0))+0,"")</f>
        <v/>
      </c>
      <c r="G55" s="0" t="str">
        <f aca="false">IF(ISNUMBER(F55),IF(OR(B55=0,B55=99,C55&lt;&gt;""),F55*100+B55,""),"")</f>
        <v/>
      </c>
      <c r="H55" s="0" t="n">
        <f aca="false">IFERROR(INDEX('Session Tracker'!$J$5:$J$149,MATCH($A55,'Session Tracker'!$D$5:$D$149,0)),0)</f>
        <v>8</v>
      </c>
      <c r="I55" s="0" t="n">
        <f aca="false">IF(OR(B55=0,B55=99,C55=""),"",IF(E55="Per class",D55,D55*H55))</f>
        <v>16</v>
      </c>
      <c r="N55" s="0" t="str">
        <f aca="false">IF('Little Explorers Kits'!B55="","",'Little Explorers Kits'!B55)</f>
        <v>Craft &amp; Stationery</v>
      </c>
      <c r="O55" s="0" t="str">
        <f aca="false">IF('Little Explorers Kits'!F55="","",'Little Explorers Kits'!F55)</f>
        <v>Consumable</v>
      </c>
      <c r="P55" s="0" t="str">
        <f aca="false">IF('Little Explorers Kits'!G55="","",'Little Explorers Kits'!G55)</f>
        <v/>
      </c>
    </row>
    <row r="56" customFormat="false" ht="15" hidden="false" customHeight="false" outlineLevel="0" collapsed="false">
      <c r="A56" s="0" t="s">
        <v>84</v>
      </c>
      <c r="B56" s="0" t="n">
        <v>5</v>
      </c>
      <c r="C56" s="0" t="str">
        <f aca="false">IF('Little Explorers Kits'!C56="","",'Little Explorers Kits'!C56)</f>
        <v>Markers</v>
      </c>
      <c r="D56" s="0" t="n">
        <f aca="false">IF('Little Explorers Kits'!D56="","",'Little Explorers Kits'!D56)</f>
        <v>1</v>
      </c>
      <c r="E56" s="0" t="str">
        <f aca="false">IF('Little Explorers Kits'!E56="","",'Little Explorers Kits'!E56)</f>
        <v>Per group</v>
      </c>
      <c r="F56" s="0" t="str">
        <f aca="false">IFERROR(INDEX('Session Tracker'!$M$5:$M$149,MATCH($A56,'Session Tracker'!$D$5:$D$149,0))+0,"")</f>
        <v/>
      </c>
      <c r="G56" s="0" t="str">
        <f aca="false">IF(ISNUMBER(F56),IF(OR(B56=0,B56=99,C56&lt;&gt;""),F56*100+B56,""),"")</f>
        <v/>
      </c>
      <c r="H56" s="0" t="n">
        <f aca="false">IFERROR(INDEX('Session Tracker'!$J$5:$J$149,MATCH($A56,'Session Tracker'!$D$5:$D$149,0)),0)</f>
        <v>8</v>
      </c>
      <c r="I56" s="0" t="n">
        <f aca="false">IF(OR(B56=0,B56=99,C56=""),"",IF(E56="Per class",D56,D56*H56))</f>
        <v>8</v>
      </c>
      <c r="N56" s="0" t="str">
        <f aca="false">IF('Little Explorers Kits'!B56="","",'Little Explorers Kits'!B56)</f>
        <v>Craft &amp; Stationery</v>
      </c>
      <c r="O56" s="0" t="str">
        <f aca="false">IF('Little Explorers Kits'!F56="","",'Little Explorers Kits'!F56)</f>
        <v>Consumable</v>
      </c>
      <c r="P56" s="0" t="str">
        <f aca="false">IF('Little Explorers Kits'!G56="","",'Little Explorers Kits'!G56)</f>
        <v/>
      </c>
    </row>
    <row r="57" customFormat="false" ht="15" hidden="false" customHeight="false" outlineLevel="0" collapsed="false">
      <c r="A57" s="0" t="s">
        <v>84</v>
      </c>
      <c r="B57" s="0" t="n">
        <v>6</v>
      </c>
      <c r="C57" s="0" t="str">
        <f aca="false">IF('Little Explorers Kits'!C57="","",'Little Explorers Kits'!C57)</f>
        <v>Tape (paper + double-sided)</v>
      </c>
      <c r="D57" s="0" t="n">
        <f aca="false">IF('Little Explorers Kits'!D57="","",'Little Explorers Kits'!D57)</f>
        <v>1</v>
      </c>
      <c r="E57" s="0" t="str">
        <f aca="false">IF('Little Explorers Kits'!E57="","",'Little Explorers Kits'!E57)</f>
        <v>Per class</v>
      </c>
      <c r="F57" s="0" t="str">
        <f aca="false">IFERROR(INDEX('Session Tracker'!$M$5:$M$149,MATCH($A57,'Session Tracker'!$D$5:$D$149,0))+0,"")</f>
        <v/>
      </c>
      <c r="G57" s="0" t="str">
        <f aca="false">IF(ISNUMBER(F57),IF(OR(B57=0,B57=99,C57&lt;&gt;""),F57*100+B57,""),"")</f>
        <v/>
      </c>
      <c r="H57" s="0" t="n">
        <f aca="false">IFERROR(INDEX('Session Tracker'!$J$5:$J$149,MATCH($A57,'Session Tracker'!$D$5:$D$149,0)),0)</f>
        <v>8</v>
      </c>
      <c r="I57" s="0" t="n">
        <f aca="false">IF(OR(B57=0,B57=99,C57=""),"",IF(E57="Per class",D57,D57*H57))</f>
        <v>1</v>
      </c>
      <c r="N57" s="0" t="str">
        <f aca="false">IF('Little Explorers Kits'!B57="","",'Little Explorers Kits'!B57)</f>
        <v>Craft &amp; Stationery</v>
      </c>
      <c r="O57" s="0" t="str">
        <f aca="false">IF('Little Explorers Kits'!F57="","",'Little Explorers Kits'!F57)</f>
        <v>Consumable</v>
      </c>
      <c r="P57" s="0" t="str">
        <f aca="false">IF('Little Explorers Kits'!G57="","",'Little Explorers Kits'!G57)</f>
        <v/>
      </c>
    </row>
    <row r="58" customFormat="false" ht="15" hidden="false" customHeight="false" outlineLevel="0" collapsed="false">
      <c r="A58" s="0" t="s">
        <v>84</v>
      </c>
      <c r="B58" s="0" t="n">
        <v>7</v>
      </c>
      <c r="C58" s="0" t="str">
        <f aca="false">IF('Little Explorers Kits'!C58="","",'Little Explorers Kits'!C58)</f>
        <v/>
      </c>
      <c r="D58" s="0" t="str">
        <f aca="false">IF('Little Explorers Kits'!D58="","",'Little Explorers Kits'!D58)</f>
        <v/>
      </c>
      <c r="E58" s="0" t="str">
        <f aca="false">IF('Little Explorers Kits'!E58="","",'Little Explorers Kits'!E58)</f>
        <v/>
      </c>
      <c r="F58" s="0" t="str">
        <f aca="false">IFERROR(INDEX('Session Tracker'!$M$5:$M$149,MATCH($A58,'Session Tracker'!$D$5:$D$149,0))+0,"")</f>
        <v/>
      </c>
      <c r="G58" s="0" t="str">
        <f aca="false">IF(ISNUMBER(F58),IF(OR(B58=0,B58=99,C58&lt;&gt;""),F58*100+B58,""),"")</f>
        <v/>
      </c>
      <c r="H58" s="0" t="n">
        <f aca="false">IFERROR(INDEX('Session Tracker'!$J$5:$J$149,MATCH($A58,'Session Tracker'!$D$5:$D$149,0)),0)</f>
        <v>8</v>
      </c>
      <c r="I58" s="0" t="str">
        <f aca="false">IF(OR(B58=0,B58=99,C58=""),"",IF(E58="Per class",D58,D58*H58))</f>
        <v/>
      </c>
      <c r="N58" s="0" t="str">
        <f aca="false">IF('Little Explorers Kits'!B58="","",'Little Explorers Kits'!B58)</f>
        <v/>
      </c>
      <c r="O58" s="0" t="str">
        <f aca="false">IF('Little Explorers Kits'!F58="","",'Little Explorers Kits'!F58)</f>
        <v/>
      </c>
      <c r="P58" s="0" t="str">
        <f aca="false">IF('Little Explorers Kits'!G58="","",'Little Explorers Kits'!G58)</f>
        <v/>
      </c>
    </row>
    <row r="59" customFormat="false" ht="15" hidden="false" customHeight="false" outlineLevel="0" collapsed="false">
      <c r="A59" s="0" t="s">
        <v>84</v>
      </c>
      <c r="B59" s="0" t="n">
        <v>8</v>
      </c>
      <c r="C59" s="0" t="str">
        <f aca="false">IF('Little Explorers Kits'!C59="","",'Little Explorers Kits'!C59)</f>
        <v/>
      </c>
      <c r="D59" s="0" t="str">
        <f aca="false">IF('Little Explorers Kits'!D59="","",'Little Explorers Kits'!D59)</f>
        <v/>
      </c>
      <c r="E59" s="0" t="str">
        <f aca="false">IF('Little Explorers Kits'!E59="","",'Little Explorers Kits'!E59)</f>
        <v/>
      </c>
      <c r="F59" s="0" t="str">
        <f aca="false">IFERROR(INDEX('Session Tracker'!$M$5:$M$149,MATCH($A59,'Session Tracker'!$D$5:$D$149,0))+0,"")</f>
        <v/>
      </c>
      <c r="G59" s="0" t="str">
        <f aca="false">IF(ISNUMBER(F59),IF(OR(B59=0,B59=99,C59&lt;&gt;""),F59*100+B59,""),"")</f>
        <v/>
      </c>
      <c r="H59" s="0" t="n">
        <f aca="false">IFERROR(INDEX('Session Tracker'!$J$5:$J$149,MATCH($A59,'Session Tracker'!$D$5:$D$149,0)),0)</f>
        <v>8</v>
      </c>
      <c r="I59" s="0" t="str">
        <f aca="false">IF(OR(B59=0,B59=99,C59=""),"",IF(E59="Per class",D59,D59*H59))</f>
        <v/>
      </c>
      <c r="N59" s="0" t="str">
        <f aca="false">IF('Little Explorers Kits'!B59="","",'Little Explorers Kits'!B59)</f>
        <v/>
      </c>
      <c r="O59" s="0" t="str">
        <f aca="false">IF('Little Explorers Kits'!F59="","",'Little Explorers Kits'!F59)</f>
        <v/>
      </c>
      <c r="P59" s="0" t="str">
        <f aca="false">IF('Little Explorers Kits'!G59="","",'Little Explorers Kits'!G59)</f>
        <v/>
      </c>
    </row>
    <row r="60" customFormat="false" ht="15" hidden="false" customHeight="false" outlineLevel="0" collapsed="false">
      <c r="A60" s="0" t="s">
        <v>86</v>
      </c>
      <c r="B60" s="0" t="n">
        <v>0</v>
      </c>
      <c r="F60" s="0" t="str">
        <f aca="false">IFERROR(INDEX('Session Tracker'!$M$5:$M$149,MATCH($A60,'Session Tracker'!$D$5:$D$149,0))+0,"")</f>
        <v/>
      </c>
      <c r="G60" s="0" t="str">
        <f aca="false">IF(ISNUMBER(F60),IF(OR(B60=0,B60=99,C60&lt;&gt;""),F60*100+B60,""),"")</f>
        <v/>
      </c>
      <c r="H60" s="0" t="n">
        <f aca="false">IFERROR(INDEX('Session Tracker'!$J$5:$J$149,MATCH($A60,'Session Tracker'!$D$5:$D$149,0)),0)</f>
        <v>8</v>
      </c>
      <c r="I60" s="0" t="str">
        <f aca="false">IF(OR(B60=0,B60=99,C60=""),"",IF(E60="Per class",D60,D60*H60))</f>
        <v/>
      </c>
      <c r="K60" s="0" t="str">
        <f aca="false">IFERROR(INDEX('Session Tracker'!$E$5:$E$149,MATCH($A60,'Session Tracker'!$D$5:$D$149,0)),"")</f>
        <v>Push-Button Doorbell</v>
      </c>
      <c r="L60" s="0" t="str">
        <f aca="false">IFERROR(INDEX('Session Tracker'!$A$5:$A$149,MATCH($A60,'Session Tracker'!$D$5:$D$149,0)),"")</f>
        <v>Little Explorers (5-7)</v>
      </c>
      <c r="M60" s="0" t="str">
        <f aca="false">IFERROR(INDEX('Session Tracker'!$H$5:$H$149,MATCH($A60,'Session Tracker'!$D$5:$D$149,0))&amp;"","")</f>
        <v/>
      </c>
      <c r="Q60" s="0" t="str">
        <f aca="false">IFERROR("Status: "&amp;INDEX('Session Tracker'!$F$5:$F$149,MATCH($A60,'Session Tracker'!$D$5:$D$149,0))&amp;IF(INDEX('Session Tracker'!$G$5:$G$149,MATCH($A60,'Session Tracker'!$D$5:$D$149,0))&lt;&gt;""," ("&amp;INDEX('Session Tracker'!$G$5:$G$149,MATCH($A60,'Session Tracker'!$D$5:$D$149,0))&amp;")","")&amp;IF(M60&lt;&gt;"","  "&amp;M60,""),"")</f>
        <v>Status: Not started</v>
      </c>
    </row>
    <row r="61" customFormat="false" ht="15" hidden="false" customHeight="false" outlineLevel="0" collapsed="false">
      <c r="A61" s="0" t="s">
        <v>86</v>
      </c>
      <c r="B61" s="0" t="n">
        <v>1</v>
      </c>
      <c r="C61" s="0" t="str">
        <f aca="false">IF('Little Explorers Kits'!C62="","",'Little Explorers Kits'!C62)</f>
        <v>Arduino Uno + USB cable</v>
      </c>
      <c r="D61" s="0" t="n">
        <f aca="false">IF('Little Explorers Kits'!D62="","",'Little Explorers Kits'!D62)</f>
        <v>1</v>
      </c>
      <c r="E61" s="0" t="str">
        <f aca="false">IF('Little Explorers Kits'!E62="","",'Little Explorers Kits'!E62)</f>
        <v>Per group</v>
      </c>
      <c r="F61" s="0" t="str">
        <f aca="false">IFERROR(INDEX('Session Tracker'!$M$5:$M$149,MATCH($A61,'Session Tracker'!$D$5:$D$149,0))+0,"")</f>
        <v/>
      </c>
      <c r="G61" s="0" t="str">
        <f aca="false">IF(ISNUMBER(F61),IF(OR(B61=0,B61=99,C61&lt;&gt;""),F61*100+B61,""),"")</f>
        <v/>
      </c>
      <c r="H61" s="0" t="n">
        <f aca="false">IFERROR(INDEX('Session Tracker'!$J$5:$J$149,MATCH($A61,'Session Tracker'!$D$5:$D$149,0)),0)</f>
        <v>8</v>
      </c>
      <c r="I61" s="0" t="n">
        <f aca="false">IF(OR(B61=0,B61=99,C61=""),"",IF(E61="Per class",D61,D61*H61))</f>
        <v>8</v>
      </c>
      <c r="N61" s="0" t="str">
        <f aca="false">IF('Little Explorers Kits'!B62="","",'Little Explorers Kits'!B62)</f>
        <v>Microcontrollers &amp; Dev Boards</v>
      </c>
      <c r="O61" s="0" t="str">
        <f aca="false">IF('Little Explorers Kits'!F62="","",'Little Explorers Kits'!F62)</f>
        <v>Reusable</v>
      </c>
      <c r="P61" s="0" t="str">
        <f aca="false">IF('Little Explorers Kits'!G62="","",'Little Explorers Kits'!G62)</f>
        <v>Pre-wired by teacher</v>
      </c>
    </row>
    <row r="62" customFormat="false" ht="15" hidden="false" customHeight="false" outlineLevel="0" collapsed="false">
      <c r="A62" s="0" t="s">
        <v>86</v>
      </c>
      <c r="B62" s="0" t="n">
        <v>2</v>
      </c>
      <c r="C62" s="0" t="str">
        <f aca="false">IF('Little Explorers Kits'!C63="","",'Little Explorers Kits'!C63)</f>
        <v>Push button</v>
      </c>
      <c r="D62" s="0" t="n">
        <f aca="false">IF('Little Explorers Kits'!D63="","",'Little Explorers Kits'!D63)</f>
        <v>1</v>
      </c>
      <c r="E62" s="0" t="str">
        <f aca="false">IF('Little Explorers Kits'!E63="","",'Little Explorers Kits'!E63)</f>
        <v>Per group</v>
      </c>
      <c r="F62" s="0" t="str">
        <f aca="false">IFERROR(INDEX('Session Tracker'!$M$5:$M$149,MATCH($A62,'Session Tracker'!$D$5:$D$149,0))+0,"")</f>
        <v/>
      </c>
      <c r="G62" s="0" t="str">
        <f aca="false">IF(ISNUMBER(F62),IF(OR(B62=0,B62=99,C62&lt;&gt;""),F62*100+B62,""),"")</f>
        <v/>
      </c>
      <c r="H62" s="0" t="n">
        <f aca="false">IFERROR(INDEX('Session Tracker'!$J$5:$J$149,MATCH($A62,'Session Tracker'!$D$5:$D$149,0)),0)</f>
        <v>8</v>
      </c>
      <c r="I62" s="0" t="n">
        <f aca="false">IF(OR(B62=0,B62=99,C62=""),"",IF(E62="Per class",D62,D62*H62))</f>
        <v>8</v>
      </c>
      <c r="N62" s="0" t="str">
        <f aca="false">IF('Little Explorers Kits'!B63="","",'Little Explorers Kits'!B63)</f>
        <v>Passive Components &amp; ICs</v>
      </c>
      <c r="O62" s="0" t="str">
        <f aca="false">IF('Little Explorers Kits'!F63="","",'Little Explorers Kits'!F63)</f>
        <v>Reusable</v>
      </c>
      <c r="P62" s="0" t="str">
        <f aca="false">IF('Little Explorers Kits'!G63="","",'Little Explorers Kits'!G63)</f>
        <v/>
      </c>
    </row>
    <row r="63" customFormat="false" ht="15" hidden="false" customHeight="false" outlineLevel="0" collapsed="false">
      <c r="A63" s="0" t="s">
        <v>86</v>
      </c>
      <c r="B63" s="0" t="n">
        <v>3</v>
      </c>
      <c r="C63" s="0" t="str">
        <f aca="false">IF('Little Explorers Kits'!C64="","",'Little Explorers Kits'!C64)</f>
        <v>Buzzer</v>
      </c>
      <c r="D63" s="0" t="n">
        <f aca="false">IF('Little Explorers Kits'!D64="","",'Little Explorers Kits'!D64)</f>
        <v>1</v>
      </c>
      <c r="E63" s="0" t="str">
        <f aca="false">IF('Little Explorers Kits'!E64="","",'Little Explorers Kits'!E64)</f>
        <v>Per group</v>
      </c>
      <c r="F63" s="0" t="str">
        <f aca="false">IFERROR(INDEX('Session Tracker'!$M$5:$M$149,MATCH($A63,'Session Tracker'!$D$5:$D$149,0))+0,"")</f>
        <v/>
      </c>
      <c r="G63" s="0" t="str">
        <f aca="false">IF(ISNUMBER(F63),IF(OR(B63=0,B63=99,C63&lt;&gt;""),F63*100+B63,""),"")</f>
        <v/>
      </c>
      <c r="H63" s="0" t="n">
        <f aca="false">IFERROR(INDEX('Session Tracker'!$J$5:$J$149,MATCH($A63,'Session Tracker'!$D$5:$D$149,0)),0)</f>
        <v>8</v>
      </c>
      <c r="I63" s="0" t="n">
        <f aca="false">IF(OR(B63=0,B63=99,C63=""),"",IF(E63="Per class",D63,D63*H63))</f>
        <v>8</v>
      </c>
      <c r="N63" s="0" t="str">
        <f aca="false">IF('Little Explorers Kits'!B64="","",'Little Explorers Kits'!B64)</f>
        <v>Actuators &amp; Motor Drivers</v>
      </c>
      <c r="O63" s="0" t="str">
        <f aca="false">IF('Little Explorers Kits'!F64="","",'Little Explorers Kits'!F64)</f>
        <v>Reusable</v>
      </c>
      <c r="P63" s="0" t="str">
        <f aca="false">IF('Little Explorers Kits'!G64="","",'Little Explorers Kits'!G64)</f>
        <v/>
      </c>
    </row>
    <row r="64" customFormat="false" ht="15" hidden="false" customHeight="false" outlineLevel="0" collapsed="false">
      <c r="A64" s="0" t="s">
        <v>86</v>
      </c>
      <c r="B64" s="0" t="n">
        <v>4</v>
      </c>
      <c r="C64" s="0" t="str">
        <f aca="false">IF('Little Explorers Kits'!C65="","",'Little Explorers Kits'!C65)</f>
        <v>LED 5 mm (assorted)</v>
      </c>
      <c r="D64" s="0" t="n">
        <f aca="false">IF('Little Explorers Kits'!D65="","",'Little Explorers Kits'!D65)</f>
        <v>1</v>
      </c>
      <c r="E64" s="0" t="str">
        <f aca="false">IF('Little Explorers Kits'!E65="","",'Little Explorers Kits'!E65)</f>
        <v>Per group</v>
      </c>
      <c r="F64" s="0" t="str">
        <f aca="false">IFERROR(INDEX('Session Tracker'!$M$5:$M$149,MATCH($A64,'Session Tracker'!$D$5:$D$149,0))+0,"")</f>
        <v/>
      </c>
      <c r="G64" s="0" t="str">
        <f aca="false">IF(ISNUMBER(F64),IF(OR(B64=0,B64=99,C64&lt;&gt;""),F64*100+B64,""),"")</f>
        <v/>
      </c>
      <c r="H64" s="0" t="n">
        <f aca="false">IFERROR(INDEX('Session Tracker'!$J$5:$J$149,MATCH($A64,'Session Tracker'!$D$5:$D$149,0)),0)</f>
        <v>8</v>
      </c>
      <c r="I64" s="0" t="n">
        <f aca="false">IF(OR(B64=0,B64=99,C64=""),"",IF(E64="Per class",D64,D64*H64))</f>
        <v>8</v>
      </c>
      <c r="N64" s="0" t="str">
        <f aca="false">IF('Little Explorers Kits'!B65="","",'Little Explorers Kits'!B65)</f>
        <v>Displays &amp; Output</v>
      </c>
      <c r="O64" s="0" t="str">
        <f aca="false">IF('Little Explorers Kits'!F65="","",'Little Explorers Kits'!F65)</f>
        <v>Consumable</v>
      </c>
      <c r="P64" s="0" t="str">
        <f aca="false">IF('Little Explorers Kits'!G65="","",'Little Explorers Kits'!G65)</f>
        <v/>
      </c>
    </row>
    <row r="65" customFormat="false" ht="15" hidden="false" customHeight="false" outlineLevel="0" collapsed="false">
      <c r="A65" s="0" t="s">
        <v>86</v>
      </c>
      <c r="B65" s="0" t="n">
        <v>5</v>
      </c>
      <c r="C65" s="0" t="str">
        <f aca="false">IF('Little Explorers Kits'!C66="","",'Little Explorers Kits'!C66)</f>
        <v>Resistor 220 ohm</v>
      </c>
      <c r="D65" s="0" t="n">
        <f aca="false">IF('Little Explorers Kits'!D66="","",'Little Explorers Kits'!D66)</f>
        <v>1</v>
      </c>
      <c r="E65" s="0" t="str">
        <f aca="false">IF('Little Explorers Kits'!E66="","",'Little Explorers Kits'!E66)</f>
        <v>Per group</v>
      </c>
      <c r="F65" s="0" t="str">
        <f aca="false">IFERROR(INDEX('Session Tracker'!$M$5:$M$149,MATCH($A65,'Session Tracker'!$D$5:$D$149,0))+0,"")</f>
        <v/>
      </c>
      <c r="G65" s="0" t="str">
        <f aca="false">IF(ISNUMBER(F65),IF(OR(B65=0,B65=99,C65&lt;&gt;""),F65*100+B65,""),"")</f>
        <v/>
      </c>
      <c r="H65" s="0" t="n">
        <f aca="false">IFERROR(INDEX('Session Tracker'!$J$5:$J$149,MATCH($A65,'Session Tracker'!$D$5:$D$149,0)),0)</f>
        <v>8</v>
      </c>
      <c r="I65" s="0" t="n">
        <f aca="false">IF(OR(B65=0,B65=99,C65=""),"",IF(E65="Per class",D65,D65*H65))</f>
        <v>8</v>
      </c>
      <c r="N65" s="0" t="str">
        <f aca="false">IF('Little Explorers Kits'!B66="","",'Little Explorers Kits'!B66)</f>
        <v>Passive Components &amp; ICs</v>
      </c>
      <c r="O65" s="0" t="str">
        <f aca="false">IF('Little Explorers Kits'!F66="","",'Little Explorers Kits'!F66)</f>
        <v>Consumable</v>
      </c>
      <c r="P65" s="0" t="str">
        <f aca="false">IF('Little Explorers Kits'!G66="","",'Little Explorers Kits'!G66)</f>
        <v/>
      </c>
    </row>
    <row r="66" customFormat="false" ht="15" hidden="false" customHeight="false" outlineLevel="0" collapsed="false">
      <c r="A66" s="0" t="s">
        <v>86</v>
      </c>
      <c r="B66" s="0" t="n">
        <v>6</v>
      </c>
      <c r="C66" s="0" t="str">
        <f aca="false">IF('Little Explorers Kits'!C67="","",'Little Explorers Kits'!C67)</f>
        <v>Resistor 10k ohm</v>
      </c>
      <c r="D66" s="0" t="n">
        <f aca="false">IF('Little Explorers Kits'!D67="","",'Little Explorers Kits'!D67)</f>
        <v>1</v>
      </c>
      <c r="E66" s="0" t="str">
        <f aca="false">IF('Little Explorers Kits'!E67="","",'Little Explorers Kits'!E67)</f>
        <v>Per group</v>
      </c>
      <c r="F66" s="0" t="str">
        <f aca="false">IFERROR(INDEX('Session Tracker'!$M$5:$M$149,MATCH($A66,'Session Tracker'!$D$5:$D$149,0))+0,"")</f>
        <v/>
      </c>
      <c r="G66" s="0" t="str">
        <f aca="false">IF(ISNUMBER(F66),IF(OR(B66=0,B66=99,C66&lt;&gt;""),F66*100+B66,""),"")</f>
        <v/>
      </c>
      <c r="H66" s="0" t="n">
        <f aca="false">IFERROR(INDEX('Session Tracker'!$J$5:$J$149,MATCH($A66,'Session Tracker'!$D$5:$D$149,0)),0)</f>
        <v>8</v>
      </c>
      <c r="I66" s="0" t="n">
        <f aca="false">IF(OR(B66=0,B66=99,C66=""),"",IF(E66="Per class",D66,D66*H66))</f>
        <v>8</v>
      </c>
      <c r="N66" s="0" t="str">
        <f aca="false">IF('Little Explorers Kits'!B67="","",'Little Explorers Kits'!B67)</f>
        <v>Passive Components &amp; ICs</v>
      </c>
      <c r="O66" s="0" t="str">
        <f aca="false">IF('Little Explorers Kits'!F67="","",'Little Explorers Kits'!F67)</f>
        <v>Consumable</v>
      </c>
      <c r="P66" s="0" t="str">
        <f aca="false">IF('Little Explorers Kits'!G67="","",'Little Explorers Kits'!G67)</f>
        <v/>
      </c>
    </row>
    <row r="67" customFormat="false" ht="15" hidden="false" customHeight="false" outlineLevel="0" collapsed="false">
      <c r="A67" s="0" t="s">
        <v>86</v>
      </c>
      <c r="B67" s="0" t="n">
        <v>7</v>
      </c>
      <c r="C67" s="0" t="str">
        <f aca="false">IF('Little Explorers Kits'!C68="","",'Little Explorers Kits'!C68)</f>
        <v>Breadboard (half size)</v>
      </c>
      <c r="D67" s="0" t="n">
        <f aca="false">IF('Little Explorers Kits'!D68="","",'Little Explorers Kits'!D68)</f>
        <v>1</v>
      </c>
      <c r="E67" s="0" t="str">
        <f aca="false">IF('Little Explorers Kits'!E68="","",'Little Explorers Kits'!E68)</f>
        <v>Per group</v>
      </c>
      <c r="F67" s="0" t="str">
        <f aca="false">IFERROR(INDEX('Session Tracker'!$M$5:$M$149,MATCH($A67,'Session Tracker'!$D$5:$D$149,0))+0,"")</f>
        <v/>
      </c>
      <c r="G67" s="0" t="str">
        <f aca="false">IF(ISNUMBER(F67),IF(OR(B67=0,B67=99,C67&lt;&gt;""),F67*100+B67,""),"")</f>
        <v/>
      </c>
      <c r="H67" s="0" t="n">
        <f aca="false">IFERROR(INDEX('Session Tracker'!$J$5:$J$149,MATCH($A67,'Session Tracker'!$D$5:$D$149,0)),0)</f>
        <v>8</v>
      </c>
      <c r="I67" s="0" t="n">
        <f aca="false">IF(OR(B67=0,B67=99,C67=""),"",IF(E67="Per class",D67,D67*H67))</f>
        <v>8</v>
      </c>
      <c r="N67" s="0" t="str">
        <f aca="false">IF('Little Explorers Kits'!B68="","",'Little Explorers Kits'!B68)</f>
        <v>Wiring &amp; Prototyping</v>
      </c>
      <c r="O67" s="0" t="str">
        <f aca="false">IF('Little Explorers Kits'!F68="","",'Little Explorers Kits'!F68)</f>
        <v>Reusable</v>
      </c>
      <c r="P67" s="0" t="str">
        <f aca="false">IF('Little Explorers Kits'!G68="","",'Little Explorers Kits'!G68)</f>
        <v/>
      </c>
    </row>
    <row r="68" customFormat="false" ht="15" hidden="false" customHeight="false" outlineLevel="0" collapsed="false">
      <c r="A68" s="0" t="s">
        <v>86</v>
      </c>
      <c r="B68" s="0" t="n">
        <v>8</v>
      </c>
      <c r="C68" s="0" t="str">
        <f aca="false">IF('Little Explorers Kits'!C69="","",'Little Explorers Kits'!C69)</f>
        <v>Jumper wires M-M</v>
      </c>
      <c r="D68" s="0" t="n">
        <f aca="false">IF('Little Explorers Kits'!D69="","",'Little Explorers Kits'!D69)</f>
        <v>6</v>
      </c>
      <c r="E68" s="0" t="str">
        <f aca="false">IF('Little Explorers Kits'!E69="","",'Little Explorers Kits'!E69)</f>
        <v>Per group</v>
      </c>
      <c r="F68" s="0" t="str">
        <f aca="false">IFERROR(INDEX('Session Tracker'!$M$5:$M$149,MATCH($A68,'Session Tracker'!$D$5:$D$149,0))+0,"")</f>
        <v/>
      </c>
      <c r="G68" s="0" t="str">
        <f aca="false">IF(ISNUMBER(F68),IF(OR(B68=0,B68=99,C68&lt;&gt;""),F68*100+B68,""),"")</f>
        <v/>
      </c>
      <c r="H68" s="0" t="n">
        <f aca="false">IFERROR(INDEX('Session Tracker'!$J$5:$J$149,MATCH($A68,'Session Tracker'!$D$5:$D$149,0)),0)</f>
        <v>8</v>
      </c>
      <c r="I68" s="0" t="n">
        <f aca="false">IF(OR(B68=0,B68=99,C68=""),"",IF(E68="Per class",D68,D68*H68))</f>
        <v>48</v>
      </c>
      <c r="N68" s="0" t="str">
        <f aca="false">IF('Little Explorers Kits'!B69="","",'Little Explorers Kits'!B69)</f>
        <v>Wiring &amp; Prototyping</v>
      </c>
      <c r="O68" s="0" t="str">
        <f aca="false">IF('Little Explorers Kits'!F69="","",'Little Explorers Kits'!F69)</f>
        <v>Reusable</v>
      </c>
      <c r="P68" s="0" t="str">
        <f aca="false">IF('Little Explorers Kits'!G69="","",'Little Explorers Kits'!G69)</f>
        <v/>
      </c>
    </row>
    <row r="69" customFormat="false" ht="15" hidden="false" customHeight="false" outlineLevel="0" collapsed="false">
      <c r="A69" s="0" t="s">
        <v>86</v>
      </c>
      <c r="B69" s="0" t="n">
        <v>9</v>
      </c>
      <c r="C69" s="0" t="str">
        <f aca="false">IF('Little Explorers Kits'!C70="","",'Little Explorers Kits'!C70)</f>
        <v>Laptop</v>
      </c>
      <c r="D69" s="0" t="n">
        <f aca="false">IF('Little Explorers Kits'!D70="","",'Little Explorers Kits'!D70)</f>
        <v>1</v>
      </c>
      <c r="E69" s="0" t="str">
        <f aca="false">IF('Little Explorers Kits'!E70="","",'Little Explorers Kits'!E70)</f>
        <v>Per group</v>
      </c>
      <c r="F69" s="0" t="str">
        <f aca="false">IFERROR(INDEX('Session Tracker'!$M$5:$M$149,MATCH($A69,'Session Tracker'!$D$5:$D$149,0))+0,"")</f>
        <v/>
      </c>
      <c r="G69" s="0" t="str">
        <f aca="false">IF(ISNUMBER(F69),IF(OR(B69=0,B69=99,C69&lt;&gt;""),F69*100+B69,""),"")</f>
        <v/>
      </c>
      <c r="H69" s="0" t="n">
        <f aca="false">IFERROR(INDEX('Session Tracker'!$J$5:$J$149,MATCH($A69,'Session Tracker'!$D$5:$D$149,0)),0)</f>
        <v>8</v>
      </c>
      <c r="I69" s="0" t="n">
        <f aca="false">IF(OR(B69=0,B69=99,C69=""),"",IF(E69="Per class",D69,D69*H69))</f>
        <v>8</v>
      </c>
      <c r="N69" s="0" t="str">
        <f aca="false">IF('Little Explorers Kits'!B70="","",'Little Explorers Kits'!B70)</f>
        <v>Computers &amp; Equipment</v>
      </c>
      <c r="O69" s="0" t="str">
        <f aca="false">IF('Little Explorers Kits'!F70="","",'Little Explorers Kits'!F70)</f>
        <v>Reusable</v>
      </c>
      <c r="P69" s="0" t="str">
        <f aca="false">IF('Little Explorers Kits'!G70="","",'Little Explorers Kits'!G70)</f>
        <v/>
      </c>
    </row>
    <row r="70" customFormat="false" ht="15" hidden="false" customHeight="false" outlineLevel="0" collapsed="false">
      <c r="A70" s="0" t="s">
        <v>86</v>
      </c>
      <c r="B70" s="0" t="n">
        <v>10</v>
      </c>
      <c r="C70" s="0" t="str">
        <f aca="false">IF('Little Explorers Kits'!C71="","",'Little Explorers Kits'!C71)</f>
        <v/>
      </c>
      <c r="D70" s="0" t="str">
        <f aca="false">IF('Little Explorers Kits'!D71="","",'Little Explorers Kits'!D71)</f>
        <v/>
      </c>
      <c r="E70" s="0" t="str">
        <f aca="false">IF('Little Explorers Kits'!E71="","",'Little Explorers Kits'!E71)</f>
        <v/>
      </c>
      <c r="F70" s="0" t="str">
        <f aca="false">IFERROR(INDEX('Session Tracker'!$M$5:$M$149,MATCH($A70,'Session Tracker'!$D$5:$D$149,0))+0,"")</f>
        <v/>
      </c>
      <c r="G70" s="0" t="str">
        <f aca="false">IF(ISNUMBER(F70),IF(OR(B70=0,B70=99,C70&lt;&gt;""),F70*100+B70,""),"")</f>
        <v/>
      </c>
      <c r="H70" s="0" t="n">
        <f aca="false">IFERROR(INDEX('Session Tracker'!$J$5:$J$149,MATCH($A70,'Session Tracker'!$D$5:$D$149,0)),0)</f>
        <v>8</v>
      </c>
      <c r="I70" s="0" t="str">
        <f aca="false">IF(OR(B70=0,B70=99,C70=""),"",IF(E70="Per class",D70,D70*H70))</f>
        <v/>
      </c>
      <c r="N70" s="0" t="str">
        <f aca="false">IF('Little Explorers Kits'!B71="","",'Little Explorers Kits'!B71)</f>
        <v/>
      </c>
      <c r="O70" s="0" t="str">
        <f aca="false">IF('Little Explorers Kits'!F71="","",'Little Explorers Kits'!F71)</f>
        <v/>
      </c>
      <c r="P70" s="0" t="str">
        <f aca="false">IF('Little Explorers Kits'!G71="","",'Little Explorers Kits'!G71)</f>
        <v/>
      </c>
    </row>
    <row r="71" customFormat="false" ht="15" hidden="false" customHeight="false" outlineLevel="0" collapsed="false">
      <c r="A71" s="0" t="s">
        <v>86</v>
      </c>
      <c r="B71" s="0" t="n">
        <v>11</v>
      </c>
      <c r="C71" s="0" t="str">
        <f aca="false">IF('Little Explorers Kits'!C72="","",'Little Explorers Kits'!C72)</f>
        <v/>
      </c>
      <c r="D71" s="0" t="str">
        <f aca="false">IF('Little Explorers Kits'!D72="","",'Little Explorers Kits'!D72)</f>
        <v/>
      </c>
      <c r="E71" s="0" t="str">
        <f aca="false">IF('Little Explorers Kits'!E72="","",'Little Explorers Kits'!E72)</f>
        <v/>
      </c>
      <c r="F71" s="0" t="str">
        <f aca="false">IFERROR(INDEX('Session Tracker'!$M$5:$M$149,MATCH($A71,'Session Tracker'!$D$5:$D$149,0))+0,"")</f>
        <v/>
      </c>
      <c r="G71" s="0" t="str">
        <f aca="false">IF(ISNUMBER(F71),IF(OR(B71=0,B71=99,C71&lt;&gt;""),F71*100+B71,""),"")</f>
        <v/>
      </c>
      <c r="H71" s="0" t="n">
        <f aca="false">IFERROR(INDEX('Session Tracker'!$J$5:$J$149,MATCH($A71,'Session Tracker'!$D$5:$D$149,0)),0)</f>
        <v>8</v>
      </c>
      <c r="I71" s="0" t="str">
        <f aca="false">IF(OR(B71=0,B71=99,C71=""),"",IF(E71="Per class",D71,D71*H71))</f>
        <v/>
      </c>
      <c r="N71" s="0" t="str">
        <f aca="false">IF('Little Explorers Kits'!B72="","",'Little Explorers Kits'!B72)</f>
        <v/>
      </c>
      <c r="O71" s="0" t="str">
        <f aca="false">IF('Little Explorers Kits'!F72="","",'Little Explorers Kits'!F72)</f>
        <v/>
      </c>
      <c r="P71" s="0" t="str">
        <f aca="false">IF('Little Explorers Kits'!G72="","",'Little Explorers Kits'!G72)</f>
        <v/>
      </c>
    </row>
    <row r="72" customFormat="false" ht="15" hidden="false" customHeight="false" outlineLevel="0" collapsed="false">
      <c r="A72" s="0" t="s">
        <v>88</v>
      </c>
      <c r="B72" s="0" t="n">
        <v>0</v>
      </c>
      <c r="F72" s="0" t="str">
        <f aca="false">IFERROR(INDEX('Session Tracker'!$M$5:$M$149,MATCH($A72,'Session Tracker'!$D$5:$D$149,0))+0,"")</f>
        <v/>
      </c>
      <c r="G72" s="0" t="str">
        <f aca="false">IF(ISNUMBER(F72),IF(OR(B72=0,B72=99,C72&lt;&gt;""),F72*100+B72,""),"")</f>
        <v/>
      </c>
      <c r="H72" s="0" t="n">
        <f aca="false">IFERROR(INDEX('Session Tracker'!$J$5:$J$149,MATCH($A72,'Session Tracker'!$D$5:$D$149,0)),0)</f>
        <v>8</v>
      </c>
      <c r="I72" s="0" t="str">
        <f aca="false">IF(OR(B72=0,B72=99,C72=""),"",IF(E72="Per class",D72,D72*H72))</f>
        <v/>
      </c>
      <c r="K72" s="0" t="str">
        <f aca="false">IFERROR(INDEX('Session Tracker'!$E$5:$E$149,MATCH($A72,'Session Tracker'!$D$5:$D$149,0)),"")</f>
        <v>Lemon Battery LED Lamp</v>
      </c>
      <c r="L72" s="0" t="str">
        <f aca="false">IFERROR(INDEX('Session Tracker'!$A$5:$A$149,MATCH($A72,'Session Tracker'!$D$5:$D$149,0)),"")</f>
        <v>Little Explorers (5-7)</v>
      </c>
      <c r="M72" s="0" t="str">
        <f aca="false">IFERROR(INDEX('Session Tracker'!$H$5:$H$149,MATCH($A72,'Session Tracker'!$D$5:$D$149,0))&amp;"","")</f>
        <v/>
      </c>
      <c r="Q72" s="0" t="str">
        <f aca="false">IFERROR("Status: "&amp;INDEX('Session Tracker'!$F$5:$F$149,MATCH($A72,'Session Tracker'!$D$5:$D$149,0))&amp;IF(INDEX('Session Tracker'!$G$5:$G$149,MATCH($A72,'Session Tracker'!$D$5:$D$149,0))&lt;&gt;""," ("&amp;INDEX('Session Tracker'!$G$5:$G$149,MATCH($A72,'Session Tracker'!$D$5:$D$149,0))&amp;")","")&amp;IF(M72&lt;&gt;"","  "&amp;M72,""),"")</f>
        <v>Status: Not started</v>
      </c>
    </row>
    <row r="73" customFormat="false" ht="15" hidden="false" customHeight="false" outlineLevel="0" collapsed="false">
      <c r="A73" s="0" t="s">
        <v>88</v>
      </c>
      <c r="B73" s="0" t="n">
        <v>1</v>
      </c>
      <c r="C73" s="0" t="str">
        <f aca="false">IF('Little Explorers Kits'!C75="","",'Little Explorers Kits'!C75)</f>
        <v>Lemons</v>
      </c>
      <c r="D73" s="0" t="n">
        <f aca="false">IF('Little Explorers Kits'!D75="","",'Little Explorers Kits'!D75)</f>
        <v>4</v>
      </c>
      <c r="E73" s="0" t="str">
        <f aca="false">IF('Little Explorers Kits'!E75="","",'Little Explorers Kits'!E75)</f>
        <v>Per group</v>
      </c>
      <c r="F73" s="0" t="str">
        <f aca="false">IFERROR(INDEX('Session Tracker'!$M$5:$M$149,MATCH($A73,'Session Tracker'!$D$5:$D$149,0))+0,"")</f>
        <v/>
      </c>
      <c r="G73" s="0" t="str">
        <f aca="false">IF(ISNUMBER(F73),IF(OR(B73=0,B73=99,C73&lt;&gt;""),F73*100+B73,""),"")</f>
        <v/>
      </c>
      <c r="H73" s="0" t="n">
        <f aca="false">IFERROR(INDEX('Session Tracker'!$J$5:$J$149,MATCH($A73,'Session Tracker'!$D$5:$D$149,0)),0)</f>
        <v>8</v>
      </c>
      <c r="I73" s="0" t="n">
        <f aca="false">IF(OR(B73=0,B73=99,C73=""),"",IF(E73="Per class",D73,D73*H73))</f>
        <v>32</v>
      </c>
      <c r="N73" s="0" t="str">
        <f aca="false">IF('Little Explorers Kits'!B75="","",'Little Explorers Kits'!B75)</f>
        <v>Science Consumables</v>
      </c>
      <c r="O73" s="0" t="str">
        <f aca="false">IF('Little Explorers Kits'!F75="","",'Little Explorers Kits'!F75)</f>
        <v>Consumable</v>
      </c>
      <c r="P73" s="0" t="str">
        <f aca="false">IF('Little Explorers Kits'!G75="","",'Little Explorers Kits'!G75)</f>
        <v/>
      </c>
    </row>
    <row r="74" customFormat="false" ht="15" hidden="false" customHeight="false" outlineLevel="0" collapsed="false">
      <c r="A74" s="0" t="s">
        <v>88</v>
      </c>
      <c r="B74" s="0" t="n">
        <v>2</v>
      </c>
      <c r="C74" s="0" t="str">
        <f aca="false">IF('Little Explorers Kits'!C76="","",'Little Explorers Kits'!C76)</f>
        <v>Galvanized nails</v>
      </c>
      <c r="D74" s="0" t="n">
        <f aca="false">IF('Little Explorers Kits'!D76="","",'Little Explorers Kits'!D76)</f>
        <v>4</v>
      </c>
      <c r="E74" s="0" t="str">
        <f aca="false">IF('Little Explorers Kits'!E76="","",'Little Explorers Kits'!E76)</f>
        <v>Per group</v>
      </c>
      <c r="F74" s="0" t="str">
        <f aca="false">IFERROR(INDEX('Session Tracker'!$M$5:$M$149,MATCH($A74,'Session Tracker'!$D$5:$D$149,0))+0,"")</f>
        <v/>
      </c>
      <c r="G74" s="0" t="str">
        <f aca="false">IF(ISNUMBER(F74),IF(OR(B74=0,B74=99,C74&lt;&gt;""),F74*100+B74,""),"")</f>
        <v/>
      </c>
      <c r="H74" s="0" t="n">
        <f aca="false">IFERROR(INDEX('Session Tracker'!$J$5:$J$149,MATCH($A74,'Session Tracker'!$D$5:$D$149,0)),0)</f>
        <v>8</v>
      </c>
      <c r="I74" s="0" t="n">
        <f aca="false">IF(OR(B74=0,B74=99,C74=""),"",IF(E74="Per class",D74,D74*H74))</f>
        <v>32</v>
      </c>
      <c r="N74" s="0" t="str">
        <f aca="false">IF('Little Explorers Kits'!B76="","",'Little Explorers Kits'!B76)</f>
        <v>Science Consumables</v>
      </c>
      <c r="O74" s="0" t="str">
        <f aca="false">IF('Little Explorers Kits'!F76="","",'Little Explorers Kits'!F76)</f>
        <v>Consumable</v>
      </c>
      <c r="P74" s="0" t="str">
        <f aca="false">IF('Little Explorers Kits'!G76="","",'Little Explorers Kits'!G76)</f>
        <v/>
      </c>
    </row>
    <row r="75" customFormat="false" ht="15" hidden="false" customHeight="false" outlineLevel="0" collapsed="false">
      <c r="A75" s="0" t="s">
        <v>88</v>
      </c>
      <c r="B75" s="0" t="n">
        <v>3</v>
      </c>
      <c r="C75" s="0" t="str">
        <f aca="false">IF('Little Explorers Kits'!C77="","",'Little Explorers Kits'!C77)</f>
        <v>Copper coins</v>
      </c>
      <c r="D75" s="0" t="n">
        <f aca="false">IF('Little Explorers Kits'!D77="","",'Little Explorers Kits'!D77)</f>
        <v>4</v>
      </c>
      <c r="E75" s="0" t="str">
        <f aca="false">IF('Little Explorers Kits'!E77="","",'Little Explorers Kits'!E77)</f>
        <v>Per group</v>
      </c>
      <c r="F75" s="0" t="str">
        <f aca="false">IFERROR(INDEX('Session Tracker'!$M$5:$M$149,MATCH($A75,'Session Tracker'!$D$5:$D$149,0))+0,"")</f>
        <v/>
      </c>
      <c r="G75" s="0" t="str">
        <f aca="false">IF(ISNUMBER(F75),IF(OR(B75=0,B75=99,C75&lt;&gt;""),F75*100+B75,""),"")</f>
        <v/>
      </c>
      <c r="H75" s="0" t="n">
        <f aca="false">IFERROR(INDEX('Session Tracker'!$J$5:$J$149,MATCH($A75,'Session Tracker'!$D$5:$D$149,0)),0)</f>
        <v>8</v>
      </c>
      <c r="I75" s="0" t="n">
        <f aca="false">IF(OR(B75=0,B75=99,C75=""),"",IF(E75="Per class",D75,D75*H75))</f>
        <v>32</v>
      </c>
      <c r="N75" s="0" t="str">
        <f aca="false">IF('Little Explorers Kits'!B77="","",'Little Explorers Kits'!B77)</f>
        <v>Science Consumables</v>
      </c>
      <c r="O75" s="0" t="str">
        <f aca="false">IF('Little Explorers Kits'!F77="","",'Little Explorers Kits'!F77)</f>
        <v>Reusable</v>
      </c>
      <c r="P75" s="0" t="str">
        <f aca="false">IF('Little Explorers Kits'!G77="","",'Little Explorers Kits'!G77)</f>
        <v/>
      </c>
    </row>
    <row r="76" customFormat="false" ht="15" hidden="false" customHeight="false" outlineLevel="0" collapsed="false">
      <c r="A76" s="0" t="s">
        <v>88</v>
      </c>
      <c r="B76" s="0" t="n">
        <v>4</v>
      </c>
      <c r="C76" s="0" t="str">
        <f aca="false">IF('Little Explorers Kits'!C78="","",'Little Explorers Kits'!C78)</f>
        <v>Alligator clip leads</v>
      </c>
      <c r="D76" s="0" t="n">
        <f aca="false">IF('Little Explorers Kits'!D78="","",'Little Explorers Kits'!D78)</f>
        <v>5</v>
      </c>
      <c r="E76" s="0" t="str">
        <f aca="false">IF('Little Explorers Kits'!E78="","",'Little Explorers Kits'!E78)</f>
        <v>Per group</v>
      </c>
      <c r="F76" s="0" t="str">
        <f aca="false">IFERROR(INDEX('Session Tracker'!$M$5:$M$149,MATCH($A76,'Session Tracker'!$D$5:$D$149,0))+0,"")</f>
        <v/>
      </c>
      <c r="G76" s="0" t="str">
        <f aca="false">IF(ISNUMBER(F76),IF(OR(B76=0,B76=99,C76&lt;&gt;""),F76*100+B76,""),"")</f>
        <v/>
      </c>
      <c r="H76" s="0" t="n">
        <f aca="false">IFERROR(INDEX('Session Tracker'!$J$5:$J$149,MATCH($A76,'Session Tracker'!$D$5:$D$149,0)),0)</f>
        <v>8</v>
      </c>
      <c r="I76" s="0" t="n">
        <f aca="false">IF(OR(B76=0,B76=99,C76=""),"",IF(E76="Per class",D76,D76*H76))</f>
        <v>40</v>
      </c>
      <c r="N76" s="0" t="str">
        <f aca="false">IF('Little Explorers Kits'!B78="","",'Little Explorers Kits'!B78)</f>
        <v>Wiring &amp; Prototyping</v>
      </c>
      <c r="O76" s="0" t="str">
        <f aca="false">IF('Little Explorers Kits'!F78="","",'Little Explorers Kits'!F78)</f>
        <v>Reusable</v>
      </c>
      <c r="P76" s="0" t="str">
        <f aca="false">IF('Little Explorers Kits'!G78="","",'Little Explorers Kits'!G78)</f>
        <v/>
      </c>
    </row>
    <row r="77" customFormat="false" ht="15" hidden="false" customHeight="false" outlineLevel="0" collapsed="false">
      <c r="A77" s="0" t="s">
        <v>88</v>
      </c>
      <c r="B77" s="0" t="n">
        <v>5</v>
      </c>
      <c r="C77" s="0" t="str">
        <f aca="false">IF('Little Explorers Kits'!C79="","",'Little Explorers Kits'!C79)</f>
        <v>LED 5 mm (assorted)</v>
      </c>
      <c r="D77" s="0" t="n">
        <f aca="false">IF('Little Explorers Kits'!D79="","",'Little Explorers Kits'!D79)</f>
        <v>1</v>
      </c>
      <c r="E77" s="0" t="str">
        <f aca="false">IF('Little Explorers Kits'!E79="","",'Little Explorers Kits'!E79)</f>
        <v>Per group</v>
      </c>
      <c r="F77" s="0" t="str">
        <f aca="false">IFERROR(INDEX('Session Tracker'!$M$5:$M$149,MATCH($A77,'Session Tracker'!$D$5:$D$149,0))+0,"")</f>
        <v/>
      </c>
      <c r="G77" s="0" t="str">
        <f aca="false">IF(ISNUMBER(F77),IF(OR(B77=0,B77=99,C77&lt;&gt;""),F77*100+B77,""),"")</f>
        <v/>
      </c>
      <c r="H77" s="0" t="n">
        <f aca="false">IFERROR(INDEX('Session Tracker'!$J$5:$J$149,MATCH($A77,'Session Tracker'!$D$5:$D$149,0)),0)</f>
        <v>8</v>
      </c>
      <c r="I77" s="0" t="n">
        <f aca="false">IF(OR(B77=0,B77=99,C77=""),"",IF(E77="Per class",D77,D77*H77))</f>
        <v>8</v>
      </c>
      <c r="N77" s="0" t="str">
        <f aca="false">IF('Little Explorers Kits'!B79="","",'Little Explorers Kits'!B79)</f>
        <v>Displays &amp; Output</v>
      </c>
      <c r="O77" s="0" t="str">
        <f aca="false">IF('Little Explorers Kits'!F79="","",'Little Explorers Kits'!F79)</f>
        <v>Consumable</v>
      </c>
      <c r="P77" s="0" t="str">
        <f aca="false">IF('Little Explorers Kits'!G79="","",'Little Explorers Kits'!G79)</f>
        <v>Red works best</v>
      </c>
    </row>
    <row r="78" customFormat="false" ht="15" hidden="false" customHeight="false" outlineLevel="0" collapsed="false">
      <c r="A78" s="0" t="s">
        <v>88</v>
      </c>
      <c r="B78" s="0" t="n">
        <v>6</v>
      </c>
      <c r="C78" s="0" t="str">
        <f aca="false">IF('Little Explorers Kits'!C80="","",'Little Explorers Kits'!C80)</f>
        <v/>
      </c>
      <c r="D78" s="0" t="str">
        <f aca="false">IF('Little Explorers Kits'!D80="","",'Little Explorers Kits'!D80)</f>
        <v/>
      </c>
      <c r="E78" s="0" t="str">
        <f aca="false">IF('Little Explorers Kits'!E80="","",'Little Explorers Kits'!E80)</f>
        <v/>
      </c>
      <c r="F78" s="0" t="str">
        <f aca="false">IFERROR(INDEX('Session Tracker'!$M$5:$M$149,MATCH($A78,'Session Tracker'!$D$5:$D$149,0))+0,"")</f>
        <v/>
      </c>
      <c r="G78" s="0" t="str">
        <f aca="false">IF(ISNUMBER(F78),IF(OR(B78=0,B78=99,C78&lt;&gt;""),F78*100+B78,""),"")</f>
        <v/>
      </c>
      <c r="H78" s="0" t="n">
        <f aca="false">IFERROR(INDEX('Session Tracker'!$J$5:$J$149,MATCH($A78,'Session Tracker'!$D$5:$D$149,0)),0)</f>
        <v>8</v>
      </c>
      <c r="I78" s="0" t="str">
        <f aca="false">IF(OR(B78=0,B78=99,C78=""),"",IF(E78="Per class",D78,D78*H78))</f>
        <v/>
      </c>
      <c r="N78" s="0" t="str">
        <f aca="false">IF('Little Explorers Kits'!B80="","",'Little Explorers Kits'!B80)</f>
        <v/>
      </c>
      <c r="O78" s="0" t="str">
        <f aca="false">IF('Little Explorers Kits'!F80="","",'Little Explorers Kits'!F80)</f>
        <v/>
      </c>
      <c r="P78" s="0" t="str">
        <f aca="false">IF('Little Explorers Kits'!G80="","",'Little Explorers Kits'!G80)</f>
        <v/>
      </c>
    </row>
    <row r="79" customFormat="false" ht="15" hidden="false" customHeight="false" outlineLevel="0" collapsed="false">
      <c r="A79" s="0" t="s">
        <v>88</v>
      </c>
      <c r="B79" s="0" t="n">
        <v>7</v>
      </c>
      <c r="C79" s="0" t="str">
        <f aca="false">IF('Little Explorers Kits'!C81="","",'Little Explorers Kits'!C81)</f>
        <v/>
      </c>
      <c r="D79" s="0" t="str">
        <f aca="false">IF('Little Explorers Kits'!D81="","",'Little Explorers Kits'!D81)</f>
        <v/>
      </c>
      <c r="E79" s="0" t="str">
        <f aca="false">IF('Little Explorers Kits'!E81="","",'Little Explorers Kits'!E81)</f>
        <v/>
      </c>
      <c r="F79" s="0" t="str">
        <f aca="false">IFERROR(INDEX('Session Tracker'!$M$5:$M$149,MATCH($A79,'Session Tracker'!$D$5:$D$149,0))+0,"")</f>
        <v/>
      </c>
      <c r="G79" s="0" t="str">
        <f aca="false">IF(ISNUMBER(F79),IF(OR(B79=0,B79=99,C79&lt;&gt;""),F79*100+B79,""),"")</f>
        <v/>
      </c>
      <c r="H79" s="0" t="n">
        <f aca="false">IFERROR(INDEX('Session Tracker'!$J$5:$J$149,MATCH($A79,'Session Tracker'!$D$5:$D$149,0)),0)</f>
        <v>8</v>
      </c>
      <c r="I79" s="0" t="str">
        <f aca="false">IF(OR(B79=0,B79=99,C79=""),"",IF(E79="Per class",D79,D79*H79))</f>
        <v/>
      </c>
      <c r="N79" s="0" t="str">
        <f aca="false">IF('Little Explorers Kits'!B81="","",'Little Explorers Kits'!B81)</f>
        <v/>
      </c>
      <c r="O79" s="0" t="str">
        <f aca="false">IF('Little Explorers Kits'!F81="","",'Little Explorers Kits'!F81)</f>
        <v/>
      </c>
      <c r="P79" s="0" t="str">
        <f aca="false">IF('Little Explorers Kits'!G81="","",'Little Explorers Kits'!G81)</f>
        <v/>
      </c>
    </row>
    <row r="80" customFormat="false" ht="15" hidden="false" customHeight="false" outlineLevel="0" collapsed="false">
      <c r="A80" s="0" t="s">
        <v>90</v>
      </c>
      <c r="B80" s="0" t="n">
        <v>0</v>
      </c>
      <c r="F80" s="0" t="str">
        <f aca="false">IFERROR(INDEX('Session Tracker'!$M$5:$M$149,MATCH($A80,'Session Tracker'!$D$5:$D$149,0))+0,"")</f>
        <v/>
      </c>
      <c r="G80" s="0" t="str">
        <f aca="false">IF(ISNUMBER(F80),IF(OR(B80=0,B80=99,C80&lt;&gt;""),F80*100+B80,""),"")</f>
        <v/>
      </c>
      <c r="H80" s="0" t="n">
        <f aca="false">IFERROR(INDEX('Session Tracker'!$J$5:$J$149,MATCH($A80,'Session Tracker'!$D$5:$D$149,0)),0)</f>
        <v>8</v>
      </c>
      <c r="I80" s="0" t="str">
        <f aca="false">IF(OR(B80=0,B80=99,C80=""),"",IF(E80="Per class",D80,D80*H80))</f>
        <v/>
      </c>
      <c r="K80" s="0" t="str">
        <f aca="false">IFERROR(INDEX('Session Tracker'!$E$5:$E$149,MATCH($A80,'Session Tracker'!$D$5:$D$149,0)),"")</f>
        <v>Traffic Light Controller</v>
      </c>
      <c r="L80" s="0" t="str">
        <f aca="false">IFERROR(INDEX('Session Tracker'!$A$5:$A$149,MATCH($A80,'Session Tracker'!$D$5:$D$149,0)),"")</f>
        <v>Little Explorers (5-7)</v>
      </c>
      <c r="M80" s="0" t="str">
        <f aca="false">IFERROR(INDEX('Session Tracker'!$H$5:$H$149,MATCH($A80,'Session Tracker'!$D$5:$D$149,0))&amp;"","")</f>
        <v/>
      </c>
      <c r="Q80" s="0" t="str">
        <f aca="false">IFERROR("Status: "&amp;INDEX('Session Tracker'!$F$5:$F$149,MATCH($A80,'Session Tracker'!$D$5:$D$149,0))&amp;IF(INDEX('Session Tracker'!$G$5:$G$149,MATCH($A80,'Session Tracker'!$D$5:$D$149,0))&lt;&gt;""," ("&amp;INDEX('Session Tracker'!$G$5:$G$149,MATCH($A80,'Session Tracker'!$D$5:$D$149,0))&amp;")","")&amp;IF(M80&lt;&gt;"","  "&amp;M80,""),"")</f>
        <v>Status: Not started</v>
      </c>
    </row>
    <row r="81" customFormat="false" ht="15" hidden="false" customHeight="false" outlineLevel="0" collapsed="false">
      <c r="A81" s="0" t="s">
        <v>90</v>
      </c>
      <c r="B81" s="0" t="n">
        <v>1</v>
      </c>
      <c r="C81" s="0" t="str">
        <f aca="false">IF('Little Explorers Kits'!C84="","",'Little Explorers Kits'!C84)</f>
        <v>Arduino Uno + USB cable</v>
      </c>
      <c r="D81" s="0" t="n">
        <f aca="false">IF('Little Explorers Kits'!D84="","",'Little Explorers Kits'!D84)</f>
        <v>1</v>
      </c>
      <c r="E81" s="0" t="str">
        <f aca="false">IF('Little Explorers Kits'!E84="","",'Little Explorers Kits'!E84)</f>
        <v>Per group</v>
      </c>
      <c r="F81" s="0" t="str">
        <f aca="false">IFERROR(INDEX('Session Tracker'!$M$5:$M$149,MATCH($A81,'Session Tracker'!$D$5:$D$149,0))+0,"")</f>
        <v/>
      </c>
      <c r="G81" s="0" t="str">
        <f aca="false">IF(ISNUMBER(F81),IF(OR(B81=0,B81=99,C81&lt;&gt;""),F81*100+B81,""),"")</f>
        <v/>
      </c>
      <c r="H81" s="0" t="n">
        <f aca="false">IFERROR(INDEX('Session Tracker'!$J$5:$J$149,MATCH($A81,'Session Tracker'!$D$5:$D$149,0)),0)</f>
        <v>8</v>
      </c>
      <c r="I81" s="0" t="n">
        <f aca="false">IF(OR(B81=0,B81=99,C81=""),"",IF(E81="Per class",D81,D81*H81))</f>
        <v>8</v>
      </c>
      <c r="N81" s="0" t="str">
        <f aca="false">IF('Little Explorers Kits'!B84="","",'Little Explorers Kits'!B84)</f>
        <v>Microcontrollers &amp; Dev Boards</v>
      </c>
      <c r="O81" s="0" t="str">
        <f aca="false">IF('Little Explorers Kits'!F84="","",'Little Explorers Kits'!F84)</f>
        <v>Reusable</v>
      </c>
      <c r="P81" s="0" t="str">
        <f aca="false">IF('Little Explorers Kits'!G84="","",'Little Explorers Kits'!G84)</f>
        <v>Pre-wired by teacher</v>
      </c>
    </row>
    <row r="82" customFormat="false" ht="15" hidden="false" customHeight="false" outlineLevel="0" collapsed="false">
      <c r="A82" s="0" t="s">
        <v>90</v>
      </c>
      <c r="B82" s="0" t="n">
        <v>2</v>
      </c>
      <c r="C82" s="0" t="str">
        <f aca="false">IF('Little Explorers Kits'!C85="","",'Little Explorers Kits'!C85)</f>
        <v>LED 5 mm (assorted)</v>
      </c>
      <c r="D82" s="0" t="n">
        <f aca="false">IF('Little Explorers Kits'!D85="","",'Little Explorers Kits'!D85)</f>
        <v>3</v>
      </c>
      <c r="E82" s="0" t="str">
        <f aca="false">IF('Little Explorers Kits'!E85="","",'Little Explorers Kits'!E85)</f>
        <v>Per group</v>
      </c>
      <c r="F82" s="0" t="str">
        <f aca="false">IFERROR(INDEX('Session Tracker'!$M$5:$M$149,MATCH($A82,'Session Tracker'!$D$5:$D$149,0))+0,"")</f>
        <v/>
      </c>
      <c r="G82" s="0" t="str">
        <f aca="false">IF(ISNUMBER(F82),IF(OR(B82=0,B82=99,C82&lt;&gt;""),F82*100+B82,""),"")</f>
        <v/>
      </c>
      <c r="H82" s="0" t="n">
        <f aca="false">IFERROR(INDEX('Session Tracker'!$J$5:$J$149,MATCH($A82,'Session Tracker'!$D$5:$D$149,0)),0)</f>
        <v>8</v>
      </c>
      <c r="I82" s="0" t="n">
        <f aca="false">IF(OR(B82=0,B82=99,C82=""),"",IF(E82="Per class",D82,D82*H82))</f>
        <v>24</v>
      </c>
      <c r="N82" s="0" t="str">
        <f aca="false">IF('Little Explorers Kits'!B85="","",'Little Explorers Kits'!B85)</f>
        <v>Displays &amp; Output</v>
      </c>
      <c r="O82" s="0" t="str">
        <f aca="false">IF('Little Explorers Kits'!F85="","",'Little Explorers Kits'!F85)</f>
        <v>Consumable</v>
      </c>
      <c r="P82" s="0" t="str">
        <f aca="false">IF('Little Explorers Kits'!G85="","",'Little Explorers Kits'!G85)</f>
        <v>Red, yellow, green</v>
      </c>
    </row>
    <row r="83" customFormat="false" ht="15" hidden="false" customHeight="false" outlineLevel="0" collapsed="false">
      <c r="A83" s="0" t="s">
        <v>90</v>
      </c>
      <c r="B83" s="0" t="n">
        <v>3</v>
      </c>
      <c r="C83" s="0" t="str">
        <f aca="false">IF('Little Explorers Kits'!C86="","",'Little Explorers Kits'!C86)</f>
        <v>Resistor 220 ohm</v>
      </c>
      <c r="D83" s="0" t="n">
        <f aca="false">IF('Little Explorers Kits'!D86="","",'Little Explorers Kits'!D86)</f>
        <v>3</v>
      </c>
      <c r="E83" s="0" t="str">
        <f aca="false">IF('Little Explorers Kits'!E86="","",'Little Explorers Kits'!E86)</f>
        <v>Per group</v>
      </c>
      <c r="F83" s="0" t="str">
        <f aca="false">IFERROR(INDEX('Session Tracker'!$M$5:$M$149,MATCH($A83,'Session Tracker'!$D$5:$D$149,0))+0,"")</f>
        <v/>
      </c>
      <c r="G83" s="0" t="str">
        <f aca="false">IF(ISNUMBER(F83),IF(OR(B83=0,B83=99,C83&lt;&gt;""),F83*100+B83,""),"")</f>
        <v/>
      </c>
      <c r="H83" s="0" t="n">
        <f aca="false">IFERROR(INDEX('Session Tracker'!$J$5:$J$149,MATCH($A83,'Session Tracker'!$D$5:$D$149,0)),0)</f>
        <v>8</v>
      </c>
      <c r="I83" s="0" t="n">
        <f aca="false">IF(OR(B83=0,B83=99,C83=""),"",IF(E83="Per class",D83,D83*H83))</f>
        <v>24</v>
      </c>
      <c r="N83" s="0" t="str">
        <f aca="false">IF('Little Explorers Kits'!B86="","",'Little Explorers Kits'!B86)</f>
        <v>Passive Components &amp; ICs</v>
      </c>
      <c r="O83" s="0" t="str">
        <f aca="false">IF('Little Explorers Kits'!F86="","",'Little Explorers Kits'!F86)</f>
        <v>Consumable</v>
      </c>
      <c r="P83" s="0" t="str">
        <f aca="false">IF('Little Explorers Kits'!G86="","",'Little Explorers Kits'!G86)</f>
        <v/>
      </c>
    </row>
    <row r="84" customFormat="false" ht="15" hidden="false" customHeight="false" outlineLevel="0" collapsed="false">
      <c r="A84" s="0" t="s">
        <v>90</v>
      </c>
      <c r="B84" s="0" t="n">
        <v>4</v>
      </c>
      <c r="C84" s="0" t="str">
        <f aca="false">IF('Little Explorers Kits'!C87="","",'Little Explorers Kits'!C87)</f>
        <v>Buzzer</v>
      </c>
      <c r="D84" s="0" t="n">
        <f aca="false">IF('Little Explorers Kits'!D87="","",'Little Explorers Kits'!D87)</f>
        <v>1</v>
      </c>
      <c r="E84" s="0" t="str">
        <f aca="false">IF('Little Explorers Kits'!E87="","",'Little Explorers Kits'!E87)</f>
        <v>Per group</v>
      </c>
      <c r="F84" s="0" t="str">
        <f aca="false">IFERROR(INDEX('Session Tracker'!$M$5:$M$149,MATCH($A84,'Session Tracker'!$D$5:$D$149,0))+0,"")</f>
        <v/>
      </c>
      <c r="G84" s="0" t="str">
        <f aca="false">IF(ISNUMBER(F84),IF(OR(B84=0,B84=99,C84&lt;&gt;""),F84*100+B84,""),"")</f>
        <v/>
      </c>
      <c r="H84" s="0" t="n">
        <f aca="false">IFERROR(INDEX('Session Tracker'!$J$5:$J$149,MATCH($A84,'Session Tracker'!$D$5:$D$149,0)),0)</f>
        <v>8</v>
      </c>
      <c r="I84" s="0" t="n">
        <f aca="false">IF(OR(B84=0,B84=99,C84=""),"",IF(E84="Per class",D84,D84*H84))</f>
        <v>8</v>
      </c>
      <c r="N84" s="0" t="str">
        <f aca="false">IF('Little Explorers Kits'!B87="","",'Little Explorers Kits'!B87)</f>
        <v>Actuators &amp; Motor Drivers</v>
      </c>
      <c r="O84" s="0" t="str">
        <f aca="false">IF('Little Explorers Kits'!F87="","",'Little Explorers Kits'!F87)</f>
        <v>Reusable</v>
      </c>
      <c r="P84" s="0" t="str">
        <f aca="false">IF('Little Explorers Kits'!G87="","",'Little Explorers Kits'!G87)</f>
        <v/>
      </c>
    </row>
    <row r="85" customFormat="false" ht="15" hidden="false" customHeight="false" outlineLevel="0" collapsed="false">
      <c r="A85" s="0" t="s">
        <v>90</v>
      </c>
      <c r="B85" s="0" t="n">
        <v>5</v>
      </c>
      <c r="C85" s="0" t="str">
        <f aca="false">IF('Little Explorers Kits'!C88="","",'Little Explorers Kits'!C88)</f>
        <v>Breadboard (half size)</v>
      </c>
      <c r="D85" s="0" t="n">
        <f aca="false">IF('Little Explorers Kits'!D88="","",'Little Explorers Kits'!D88)</f>
        <v>1</v>
      </c>
      <c r="E85" s="0" t="str">
        <f aca="false">IF('Little Explorers Kits'!E88="","",'Little Explorers Kits'!E88)</f>
        <v>Per group</v>
      </c>
      <c r="F85" s="0" t="str">
        <f aca="false">IFERROR(INDEX('Session Tracker'!$M$5:$M$149,MATCH($A85,'Session Tracker'!$D$5:$D$149,0))+0,"")</f>
        <v/>
      </c>
      <c r="G85" s="0" t="str">
        <f aca="false">IF(ISNUMBER(F85),IF(OR(B85=0,B85=99,C85&lt;&gt;""),F85*100+B85,""),"")</f>
        <v/>
      </c>
      <c r="H85" s="0" t="n">
        <f aca="false">IFERROR(INDEX('Session Tracker'!$J$5:$J$149,MATCH($A85,'Session Tracker'!$D$5:$D$149,0)),0)</f>
        <v>8</v>
      </c>
      <c r="I85" s="0" t="n">
        <f aca="false">IF(OR(B85=0,B85=99,C85=""),"",IF(E85="Per class",D85,D85*H85))</f>
        <v>8</v>
      </c>
      <c r="N85" s="0" t="str">
        <f aca="false">IF('Little Explorers Kits'!B88="","",'Little Explorers Kits'!B88)</f>
        <v>Wiring &amp; Prototyping</v>
      </c>
      <c r="O85" s="0" t="str">
        <f aca="false">IF('Little Explorers Kits'!F88="","",'Little Explorers Kits'!F88)</f>
        <v>Reusable</v>
      </c>
      <c r="P85" s="0" t="str">
        <f aca="false">IF('Little Explorers Kits'!G88="","",'Little Explorers Kits'!G88)</f>
        <v/>
      </c>
    </row>
    <row r="86" customFormat="false" ht="15" hidden="false" customHeight="false" outlineLevel="0" collapsed="false">
      <c r="A86" s="0" t="s">
        <v>90</v>
      </c>
      <c r="B86" s="0" t="n">
        <v>6</v>
      </c>
      <c r="C86" s="0" t="str">
        <f aca="false">IF('Little Explorers Kits'!C89="","",'Little Explorers Kits'!C89)</f>
        <v>Jumper wires M-M</v>
      </c>
      <c r="D86" s="0" t="n">
        <f aca="false">IF('Little Explorers Kits'!D89="","",'Little Explorers Kits'!D89)</f>
        <v>8</v>
      </c>
      <c r="E86" s="0" t="str">
        <f aca="false">IF('Little Explorers Kits'!E89="","",'Little Explorers Kits'!E89)</f>
        <v>Per group</v>
      </c>
      <c r="F86" s="0" t="str">
        <f aca="false">IFERROR(INDEX('Session Tracker'!$M$5:$M$149,MATCH($A86,'Session Tracker'!$D$5:$D$149,0))+0,"")</f>
        <v/>
      </c>
      <c r="G86" s="0" t="str">
        <f aca="false">IF(ISNUMBER(F86),IF(OR(B86=0,B86=99,C86&lt;&gt;""),F86*100+B86,""),"")</f>
        <v/>
      </c>
      <c r="H86" s="0" t="n">
        <f aca="false">IFERROR(INDEX('Session Tracker'!$J$5:$J$149,MATCH($A86,'Session Tracker'!$D$5:$D$149,0)),0)</f>
        <v>8</v>
      </c>
      <c r="I86" s="0" t="n">
        <f aca="false">IF(OR(B86=0,B86=99,C86=""),"",IF(E86="Per class",D86,D86*H86))</f>
        <v>64</v>
      </c>
      <c r="N86" s="0" t="str">
        <f aca="false">IF('Little Explorers Kits'!B89="","",'Little Explorers Kits'!B89)</f>
        <v>Wiring &amp; Prototyping</v>
      </c>
      <c r="O86" s="0" t="str">
        <f aca="false">IF('Little Explorers Kits'!F89="","",'Little Explorers Kits'!F89)</f>
        <v>Reusable</v>
      </c>
      <c r="P86" s="0" t="str">
        <f aca="false">IF('Little Explorers Kits'!G89="","",'Little Explorers Kits'!G89)</f>
        <v/>
      </c>
    </row>
    <row r="87" customFormat="false" ht="15" hidden="false" customHeight="false" outlineLevel="0" collapsed="false">
      <c r="A87" s="0" t="s">
        <v>90</v>
      </c>
      <c r="B87" s="0" t="n">
        <v>7</v>
      </c>
      <c r="C87" s="0" t="str">
        <f aca="false">IF('Little Explorers Kits'!C90="","",'Little Explorers Kits'!C90)</f>
        <v>Laptop</v>
      </c>
      <c r="D87" s="0" t="n">
        <f aca="false">IF('Little Explorers Kits'!D90="","",'Little Explorers Kits'!D90)</f>
        <v>1</v>
      </c>
      <c r="E87" s="0" t="str">
        <f aca="false">IF('Little Explorers Kits'!E90="","",'Little Explorers Kits'!E90)</f>
        <v>Per group</v>
      </c>
      <c r="F87" s="0" t="str">
        <f aca="false">IFERROR(INDEX('Session Tracker'!$M$5:$M$149,MATCH($A87,'Session Tracker'!$D$5:$D$149,0))+0,"")</f>
        <v/>
      </c>
      <c r="G87" s="0" t="str">
        <f aca="false">IF(ISNUMBER(F87),IF(OR(B87=0,B87=99,C87&lt;&gt;""),F87*100+B87,""),"")</f>
        <v/>
      </c>
      <c r="H87" s="0" t="n">
        <f aca="false">IFERROR(INDEX('Session Tracker'!$J$5:$J$149,MATCH($A87,'Session Tracker'!$D$5:$D$149,0)),0)</f>
        <v>8</v>
      </c>
      <c r="I87" s="0" t="n">
        <f aca="false">IF(OR(B87=0,B87=99,C87=""),"",IF(E87="Per class",D87,D87*H87))</f>
        <v>8</v>
      </c>
      <c r="N87" s="0" t="str">
        <f aca="false">IF('Little Explorers Kits'!B90="","",'Little Explorers Kits'!B90)</f>
        <v>Computers &amp; Equipment</v>
      </c>
      <c r="O87" s="0" t="str">
        <f aca="false">IF('Little Explorers Kits'!F90="","",'Little Explorers Kits'!F90)</f>
        <v>Reusable</v>
      </c>
      <c r="P87" s="0" t="str">
        <f aca="false">IF('Little Explorers Kits'!G90="","",'Little Explorers Kits'!G90)</f>
        <v/>
      </c>
    </row>
    <row r="88" customFormat="false" ht="15" hidden="false" customHeight="false" outlineLevel="0" collapsed="false">
      <c r="A88" s="0" t="s">
        <v>90</v>
      </c>
      <c r="B88" s="0" t="n">
        <v>8</v>
      </c>
      <c r="C88" s="0" t="str">
        <f aca="false">IF('Little Explorers Kits'!C91="","",'Little Explorers Kits'!C91)</f>
        <v/>
      </c>
      <c r="D88" s="0" t="str">
        <f aca="false">IF('Little Explorers Kits'!D91="","",'Little Explorers Kits'!D91)</f>
        <v/>
      </c>
      <c r="E88" s="0" t="str">
        <f aca="false">IF('Little Explorers Kits'!E91="","",'Little Explorers Kits'!E91)</f>
        <v/>
      </c>
      <c r="F88" s="0" t="str">
        <f aca="false">IFERROR(INDEX('Session Tracker'!$M$5:$M$149,MATCH($A88,'Session Tracker'!$D$5:$D$149,0))+0,"")</f>
        <v/>
      </c>
      <c r="G88" s="0" t="str">
        <f aca="false">IF(ISNUMBER(F88),IF(OR(B88=0,B88=99,C88&lt;&gt;""),F88*100+B88,""),"")</f>
        <v/>
      </c>
      <c r="H88" s="0" t="n">
        <f aca="false">IFERROR(INDEX('Session Tracker'!$J$5:$J$149,MATCH($A88,'Session Tracker'!$D$5:$D$149,0)),0)</f>
        <v>8</v>
      </c>
      <c r="I88" s="0" t="str">
        <f aca="false">IF(OR(B88=0,B88=99,C88=""),"",IF(E88="Per class",D88,D88*H88))</f>
        <v/>
      </c>
      <c r="N88" s="0" t="str">
        <f aca="false">IF('Little Explorers Kits'!B91="","",'Little Explorers Kits'!B91)</f>
        <v/>
      </c>
      <c r="O88" s="0" t="str">
        <f aca="false">IF('Little Explorers Kits'!F91="","",'Little Explorers Kits'!F91)</f>
        <v/>
      </c>
      <c r="P88" s="0" t="str">
        <f aca="false">IF('Little Explorers Kits'!G91="","",'Little Explorers Kits'!G91)</f>
        <v/>
      </c>
    </row>
    <row r="89" customFormat="false" ht="15" hidden="false" customHeight="false" outlineLevel="0" collapsed="false">
      <c r="A89" s="0" t="s">
        <v>90</v>
      </c>
      <c r="B89" s="0" t="n">
        <v>9</v>
      </c>
      <c r="C89" s="0" t="str">
        <f aca="false">IF('Little Explorers Kits'!C92="","",'Little Explorers Kits'!C92)</f>
        <v/>
      </c>
      <c r="D89" s="0" t="str">
        <f aca="false">IF('Little Explorers Kits'!D92="","",'Little Explorers Kits'!D92)</f>
        <v/>
      </c>
      <c r="E89" s="0" t="str">
        <f aca="false">IF('Little Explorers Kits'!E92="","",'Little Explorers Kits'!E92)</f>
        <v/>
      </c>
      <c r="F89" s="0" t="str">
        <f aca="false">IFERROR(INDEX('Session Tracker'!$M$5:$M$149,MATCH($A89,'Session Tracker'!$D$5:$D$149,0))+0,"")</f>
        <v/>
      </c>
      <c r="G89" s="0" t="str">
        <f aca="false">IF(ISNUMBER(F89),IF(OR(B89=0,B89=99,C89&lt;&gt;""),F89*100+B89,""),"")</f>
        <v/>
      </c>
      <c r="H89" s="0" t="n">
        <f aca="false">IFERROR(INDEX('Session Tracker'!$J$5:$J$149,MATCH($A89,'Session Tracker'!$D$5:$D$149,0)),0)</f>
        <v>8</v>
      </c>
      <c r="I89" s="0" t="str">
        <f aca="false">IF(OR(B89=0,B89=99,C89=""),"",IF(E89="Per class",D89,D89*H89))</f>
        <v/>
      </c>
      <c r="N89" s="0" t="str">
        <f aca="false">IF('Little Explorers Kits'!B92="","",'Little Explorers Kits'!B92)</f>
        <v/>
      </c>
      <c r="O89" s="0" t="str">
        <f aca="false">IF('Little Explorers Kits'!F92="","",'Little Explorers Kits'!F92)</f>
        <v/>
      </c>
      <c r="P89" s="0" t="str">
        <f aca="false">IF('Little Explorers Kits'!G92="","",'Little Explorers Kits'!G92)</f>
        <v/>
      </c>
    </row>
    <row r="90" customFormat="false" ht="15" hidden="false" customHeight="false" outlineLevel="0" collapsed="false">
      <c r="A90" s="0" t="s">
        <v>92</v>
      </c>
      <c r="B90" s="0" t="n">
        <v>0</v>
      </c>
      <c r="F90" s="0" t="str">
        <f aca="false">IFERROR(INDEX('Session Tracker'!$M$5:$M$149,MATCH($A90,'Session Tracker'!$D$5:$D$149,0))+0,"")</f>
        <v/>
      </c>
      <c r="G90" s="0" t="str">
        <f aca="false">IF(ISNUMBER(F90),IF(OR(B90=0,B90=99,C90&lt;&gt;""),F90*100+B90,""),"")</f>
        <v/>
      </c>
      <c r="H90" s="0" t="n">
        <f aca="false">IFERROR(INDEX('Session Tracker'!$J$5:$J$149,MATCH($A90,'Session Tracker'!$D$5:$D$149,0)),0)</f>
        <v>8</v>
      </c>
      <c r="I90" s="0" t="str">
        <f aca="false">IF(OR(B90=0,B90=99,C90=""),"",IF(E90="Per class",D90,D90*H90))</f>
        <v/>
      </c>
      <c r="K90" s="0" t="str">
        <f aca="false">IFERROR(INDEX('Session Tracker'!$E$5:$E$149,MATCH($A90,'Session Tracker'!$D$5:$D$149,0)),"")</f>
        <v>Automatic Night Lamp</v>
      </c>
      <c r="L90" s="0" t="str">
        <f aca="false">IFERROR(INDEX('Session Tracker'!$A$5:$A$149,MATCH($A90,'Session Tracker'!$D$5:$D$149,0)),"")</f>
        <v>Little Explorers (5-7)</v>
      </c>
      <c r="M90" s="0" t="str">
        <f aca="false">IFERROR(INDEX('Session Tracker'!$H$5:$H$149,MATCH($A90,'Session Tracker'!$D$5:$D$149,0))&amp;"","")</f>
        <v/>
      </c>
      <c r="Q90" s="0" t="str">
        <f aca="false">IFERROR("Status: "&amp;INDEX('Session Tracker'!$F$5:$F$149,MATCH($A90,'Session Tracker'!$D$5:$D$149,0))&amp;IF(INDEX('Session Tracker'!$G$5:$G$149,MATCH($A90,'Session Tracker'!$D$5:$D$149,0))&lt;&gt;""," ("&amp;INDEX('Session Tracker'!$G$5:$G$149,MATCH($A90,'Session Tracker'!$D$5:$D$149,0))&amp;")","")&amp;IF(M90&lt;&gt;"","  "&amp;M90,""),"")</f>
        <v>Status: Not started</v>
      </c>
    </row>
    <row r="91" customFormat="false" ht="15" hidden="false" customHeight="false" outlineLevel="0" collapsed="false">
      <c r="A91" s="0" t="s">
        <v>92</v>
      </c>
      <c r="B91" s="0" t="n">
        <v>1</v>
      </c>
      <c r="C91" s="0" t="str">
        <f aca="false">IF('Little Explorers Kits'!C95="","",'Little Explorers Kits'!C95)</f>
        <v>Arduino Uno + USB cable</v>
      </c>
      <c r="D91" s="0" t="n">
        <f aca="false">IF('Little Explorers Kits'!D95="","",'Little Explorers Kits'!D95)</f>
        <v>1</v>
      </c>
      <c r="E91" s="0" t="str">
        <f aca="false">IF('Little Explorers Kits'!E95="","",'Little Explorers Kits'!E95)</f>
        <v>Per group</v>
      </c>
      <c r="F91" s="0" t="str">
        <f aca="false">IFERROR(INDEX('Session Tracker'!$M$5:$M$149,MATCH($A91,'Session Tracker'!$D$5:$D$149,0))+0,"")</f>
        <v/>
      </c>
      <c r="G91" s="0" t="str">
        <f aca="false">IF(ISNUMBER(F91),IF(OR(B91=0,B91=99,C91&lt;&gt;""),F91*100+B91,""),"")</f>
        <v/>
      </c>
      <c r="H91" s="0" t="n">
        <f aca="false">IFERROR(INDEX('Session Tracker'!$J$5:$J$149,MATCH($A91,'Session Tracker'!$D$5:$D$149,0)),0)</f>
        <v>8</v>
      </c>
      <c r="I91" s="0" t="n">
        <f aca="false">IF(OR(B91=0,B91=99,C91=""),"",IF(E91="Per class",D91,D91*H91))</f>
        <v>8</v>
      </c>
      <c r="N91" s="0" t="str">
        <f aca="false">IF('Little Explorers Kits'!B95="","",'Little Explorers Kits'!B95)</f>
        <v>Microcontrollers &amp; Dev Boards</v>
      </c>
      <c r="O91" s="0" t="str">
        <f aca="false">IF('Little Explorers Kits'!F95="","",'Little Explorers Kits'!F95)</f>
        <v>Reusable</v>
      </c>
      <c r="P91" s="0" t="str">
        <f aca="false">IF('Little Explorers Kits'!G95="","",'Little Explorers Kits'!G95)</f>
        <v>Pre-wired by teacher</v>
      </c>
    </row>
    <row r="92" customFormat="false" ht="15" hidden="false" customHeight="false" outlineLevel="0" collapsed="false">
      <c r="A92" s="0" t="s">
        <v>92</v>
      </c>
      <c r="B92" s="0" t="n">
        <v>2</v>
      </c>
      <c r="C92" s="0" t="str">
        <f aca="false">IF('Little Explorers Kits'!C96="","",'Little Explorers Kits'!C96)</f>
        <v>LDR module</v>
      </c>
      <c r="D92" s="0" t="n">
        <f aca="false">IF('Little Explorers Kits'!D96="","",'Little Explorers Kits'!D96)</f>
        <v>1</v>
      </c>
      <c r="E92" s="0" t="str">
        <f aca="false">IF('Little Explorers Kits'!E96="","",'Little Explorers Kits'!E96)</f>
        <v>Per group</v>
      </c>
      <c r="F92" s="0" t="str">
        <f aca="false">IFERROR(INDEX('Session Tracker'!$M$5:$M$149,MATCH($A92,'Session Tracker'!$D$5:$D$149,0))+0,"")</f>
        <v/>
      </c>
      <c r="G92" s="0" t="str">
        <f aca="false">IF(ISNUMBER(F92),IF(OR(B92=0,B92=99,C92&lt;&gt;""),F92*100+B92,""),"")</f>
        <v/>
      </c>
      <c r="H92" s="0" t="n">
        <f aca="false">IFERROR(INDEX('Session Tracker'!$J$5:$J$149,MATCH($A92,'Session Tracker'!$D$5:$D$149,0)),0)</f>
        <v>8</v>
      </c>
      <c r="I92" s="0" t="n">
        <f aca="false">IF(OR(B92=0,B92=99,C92=""),"",IF(E92="Per class",D92,D92*H92))</f>
        <v>8</v>
      </c>
      <c r="N92" s="0" t="str">
        <f aca="false">IF('Little Explorers Kits'!B96="","",'Little Explorers Kits'!B96)</f>
        <v>Sensors</v>
      </c>
      <c r="O92" s="0" t="str">
        <f aca="false">IF('Little Explorers Kits'!F96="","",'Little Explorers Kits'!F96)</f>
        <v>Reusable</v>
      </c>
      <c r="P92" s="0" t="str">
        <f aca="false">IF('Little Explorers Kits'!G96="","",'Little Explorers Kits'!G96)</f>
        <v/>
      </c>
    </row>
    <row r="93" customFormat="false" ht="15" hidden="false" customHeight="false" outlineLevel="0" collapsed="false">
      <c r="A93" s="0" t="s">
        <v>92</v>
      </c>
      <c r="B93" s="0" t="n">
        <v>3</v>
      </c>
      <c r="C93" s="0" t="str">
        <f aca="false">IF('Little Explorers Kits'!C97="","",'Little Explorers Kits'!C97)</f>
        <v>LED 5 mm (assorted)</v>
      </c>
      <c r="D93" s="0" t="n">
        <f aca="false">IF('Little Explorers Kits'!D97="","",'Little Explorers Kits'!D97)</f>
        <v>2</v>
      </c>
      <c r="E93" s="0" t="str">
        <f aca="false">IF('Little Explorers Kits'!E97="","",'Little Explorers Kits'!E97)</f>
        <v>Per group</v>
      </c>
      <c r="F93" s="0" t="str">
        <f aca="false">IFERROR(INDEX('Session Tracker'!$M$5:$M$149,MATCH($A93,'Session Tracker'!$D$5:$D$149,0))+0,"")</f>
        <v/>
      </c>
      <c r="G93" s="0" t="str">
        <f aca="false">IF(ISNUMBER(F93),IF(OR(B93=0,B93=99,C93&lt;&gt;""),F93*100+B93,""),"")</f>
        <v/>
      </c>
      <c r="H93" s="0" t="n">
        <f aca="false">IFERROR(INDEX('Session Tracker'!$J$5:$J$149,MATCH($A93,'Session Tracker'!$D$5:$D$149,0)),0)</f>
        <v>8</v>
      </c>
      <c r="I93" s="0" t="n">
        <f aca="false">IF(OR(B93=0,B93=99,C93=""),"",IF(E93="Per class",D93,D93*H93))</f>
        <v>16</v>
      </c>
      <c r="N93" s="0" t="str">
        <f aca="false">IF('Little Explorers Kits'!B97="","",'Little Explorers Kits'!B97)</f>
        <v>Displays &amp; Output</v>
      </c>
      <c r="O93" s="0" t="str">
        <f aca="false">IF('Little Explorers Kits'!F97="","",'Little Explorers Kits'!F97)</f>
        <v>Consumable</v>
      </c>
      <c r="P93" s="0" t="str">
        <f aca="false">IF('Little Explorers Kits'!G97="","",'Little Explorers Kits'!G97)</f>
        <v/>
      </c>
    </row>
    <row r="94" customFormat="false" ht="15" hidden="false" customHeight="false" outlineLevel="0" collapsed="false">
      <c r="A94" s="0" t="s">
        <v>92</v>
      </c>
      <c r="B94" s="0" t="n">
        <v>4</v>
      </c>
      <c r="C94" s="0" t="str">
        <f aca="false">IF('Little Explorers Kits'!C98="","",'Little Explorers Kits'!C98)</f>
        <v>Resistor 220 ohm</v>
      </c>
      <c r="D94" s="0" t="n">
        <f aca="false">IF('Little Explorers Kits'!D98="","",'Little Explorers Kits'!D98)</f>
        <v>2</v>
      </c>
      <c r="E94" s="0" t="str">
        <f aca="false">IF('Little Explorers Kits'!E98="","",'Little Explorers Kits'!E98)</f>
        <v>Per group</v>
      </c>
      <c r="F94" s="0" t="str">
        <f aca="false">IFERROR(INDEX('Session Tracker'!$M$5:$M$149,MATCH($A94,'Session Tracker'!$D$5:$D$149,0))+0,"")</f>
        <v/>
      </c>
      <c r="G94" s="0" t="str">
        <f aca="false">IF(ISNUMBER(F94),IF(OR(B94=0,B94=99,C94&lt;&gt;""),F94*100+B94,""),"")</f>
        <v/>
      </c>
      <c r="H94" s="0" t="n">
        <f aca="false">IFERROR(INDEX('Session Tracker'!$J$5:$J$149,MATCH($A94,'Session Tracker'!$D$5:$D$149,0)),0)</f>
        <v>8</v>
      </c>
      <c r="I94" s="0" t="n">
        <f aca="false">IF(OR(B94=0,B94=99,C94=""),"",IF(E94="Per class",D94,D94*H94))</f>
        <v>16</v>
      </c>
      <c r="N94" s="0" t="str">
        <f aca="false">IF('Little Explorers Kits'!B98="","",'Little Explorers Kits'!B98)</f>
        <v>Passive Components &amp; ICs</v>
      </c>
      <c r="O94" s="0" t="str">
        <f aca="false">IF('Little Explorers Kits'!F98="","",'Little Explorers Kits'!F98)</f>
        <v>Consumable</v>
      </c>
      <c r="P94" s="0" t="str">
        <f aca="false">IF('Little Explorers Kits'!G98="","",'Little Explorers Kits'!G98)</f>
        <v/>
      </c>
    </row>
    <row r="95" customFormat="false" ht="15" hidden="false" customHeight="false" outlineLevel="0" collapsed="false">
      <c r="A95" s="0" t="s">
        <v>92</v>
      </c>
      <c r="B95" s="0" t="n">
        <v>5</v>
      </c>
      <c r="C95" s="0" t="str">
        <f aca="false">IF('Little Explorers Kits'!C99="","",'Little Explorers Kits'!C99)</f>
        <v>Breadboard (half size)</v>
      </c>
      <c r="D95" s="0" t="n">
        <f aca="false">IF('Little Explorers Kits'!D99="","",'Little Explorers Kits'!D99)</f>
        <v>1</v>
      </c>
      <c r="E95" s="0" t="str">
        <f aca="false">IF('Little Explorers Kits'!E99="","",'Little Explorers Kits'!E99)</f>
        <v>Per group</v>
      </c>
      <c r="F95" s="0" t="str">
        <f aca="false">IFERROR(INDEX('Session Tracker'!$M$5:$M$149,MATCH($A95,'Session Tracker'!$D$5:$D$149,0))+0,"")</f>
        <v/>
      </c>
      <c r="G95" s="0" t="str">
        <f aca="false">IF(ISNUMBER(F95),IF(OR(B95=0,B95=99,C95&lt;&gt;""),F95*100+B95,""),"")</f>
        <v/>
      </c>
      <c r="H95" s="0" t="n">
        <f aca="false">IFERROR(INDEX('Session Tracker'!$J$5:$J$149,MATCH($A95,'Session Tracker'!$D$5:$D$149,0)),0)</f>
        <v>8</v>
      </c>
      <c r="I95" s="0" t="n">
        <f aca="false">IF(OR(B95=0,B95=99,C95=""),"",IF(E95="Per class",D95,D95*H95))</f>
        <v>8</v>
      </c>
      <c r="N95" s="0" t="str">
        <f aca="false">IF('Little Explorers Kits'!B99="","",'Little Explorers Kits'!B99)</f>
        <v>Wiring &amp; Prototyping</v>
      </c>
      <c r="O95" s="0" t="str">
        <f aca="false">IF('Little Explorers Kits'!F99="","",'Little Explorers Kits'!F99)</f>
        <v>Reusable</v>
      </c>
      <c r="P95" s="0" t="str">
        <f aca="false">IF('Little Explorers Kits'!G99="","",'Little Explorers Kits'!G99)</f>
        <v/>
      </c>
    </row>
    <row r="96" customFormat="false" ht="15" hidden="false" customHeight="false" outlineLevel="0" collapsed="false">
      <c r="A96" s="0" t="s">
        <v>92</v>
      </c>
      <c r="B96" s="0" t="n">
        <v>6</v>
      </c>
      <c r="C96" s="0" t="str">
        <f aca="false">IF('Little Explorers Kits'!C100="","",'Little Explorers Kits'!C100)</f>
        <v>Jumper wires M-M</v>
      </c>
      <c r="D96" s="0" t="n">
        <f aca="false">IF('Little Explorers Kits'!D100="","",'Little Explorers Kits'!D100)</f>
        <v>4</v>
      </c>
      <c r="E96" s="0" t="str">
        <f aca="false">IF('Little Explorers Kits'!E100="","",'Little Explorers Kits'!E100)</f>
        <v>Per group</v>
      </c>
      <c r="F96" s="0" t="str">
        <f aca="false">IFERROR(INDEX('Session Tracker'!$M$5:$M$149,MATCH($A96,'Session Tracker'!$D$5:$D$149,0))+0,"")</f>
        <v/>
      </c>
      <c r="G96" s="0" t="str">
        <f aca="false">IF(ISNUMBER(F96),IF(OR(B96=0,B96=99,C96&lt;&gt;""),F96*100+B96,""),"")</f>
        <v/>
      </c>
      <c r="H96" s="0" t="n">
        <f aca="false">IFERROR(INDEX('Session Tracker'!$J$5:$J$149,MATCH($A96,'Session Tracker'!$D$5:$D$149,0)),0)</f>
        <v>8</v>
      </c>
      <c r="I96" s="0" t="n">
        <f aca="false">IF(OR(B96=0,B96=99,C96=""),"",IF(E96="Per class",D96,D96*H96))</f>
        <v>32</v>
      </c>
      <c r="N96" s="0" t="str">
        <f aca="false">IF('Little Explorers Kits'!B100="","",'Little Explorers Kits'!B100)</f>
        <v>Wiring &amp; Prototyping</v>
      </c>
      <c r="O96" s="0" t="str">
        <f aca="false">IF('Little Explorers Kits'!F100="","",'Little Explorers Kits'!F100)</f>
        <v>Reusable</v>
      </c>
      <c r="P96" s="0" t="str">
        <f aca="false">IF('Little Explorers Kits'!G100="","",'Little Explorers Kits'!G100)</f>
        <v/>
      </c>
    </row>
    <row r="97" customFormat="false" ht="15" hidden="false" customHeight="false" outlineLevel="0" collapsed="false">
      <c r="A97" s="0" t="s">
        <v>92</v>
      </c>
      <c r="B97" s="0" t="n">
        <v>7</v>
      </c>
      <c r="C97" s="0" t="str">
        <f aca="false">IF('Little Explorers Kits'!C101="","",'Little Explorers Kits'!C101)</f>
        <v>Jumper wires M-F</v>
      </c>
      <c r="D97" s="0" t="n">
        <f aca="false">IF('Little Explorers Kits'!D101="","",'Little Explorers Kits'!D101)</f>
        <v>3</v>
      </c>
      <c r="E97" s="0" t="str">
        <f aca="false">IF('Little Explorers Kits'!E101="","",'Little Explorers Kits'!E101)</f>
        <v>Per group</v>
      </c>
      <c r="F97" s="0" t="str">
        <f aca="false">IFERROR(INDEX('Session Tracker'!$M$5:$M$149,MATCH($A97,'Session Tracker'!$D$5:$D$149,0))+0,"")</f>
        <v/>
      </c>
      <c r="G97" s="0" t="str">
        <f aca="false">IF(ISNUMBER(F97),IF(OR(B97=0,B97=99,C97&lt;&gt;""),F97*100+B97,""),"")</f>
        <v/>
      </c>
      <c r="H97" s="0" t="n">
        <f aca="false">IFERROR(INDEX('Session Tracker'!$J$5:$J$149,MATCH($A97,'Session Tracker'!$D$5:$D$149,0)),0)</f>
        <v>8</v>
      </c>
      <c r="I97" s="0" t="n">
        <f aca="false">IF(OR(B97=0,B97=99,C97=""),"",IF(E97="Per class",D97,D97*H97))</f>
        <v>24</v>
      </c>
      <c r="N97" s="0" t="str">
        <f aca="false">IF('Little Explorers Kits'!B101="","",'Little Explorers Kits'!B101)</f>
        <v>Wiring &amp; Prototyping</v>
      </c>
      <c r="O97" s="0" t="str">
        <f aca="false">IF('Little Explorers Kits'!F101="","",'Little Explorers Kits'!F101)</f>
        <v>Reusable</v>
      </c>
      <c r="P97" s="0" t="str">
        <f aca="false">IF('Little Explorers Kits'!G101="","",'Little Explorers Kits'!G101)</f>
        <v/>
      </c>
    </row>
    <row r="98" customFormat="false" ht="15" hidden="false" customHeight="false" outlineLevel="0" collapsed="false">
      <c r="A98" s="0" t="s">
        <v>92</v>
      </c>
      <c r="B98" s="0" t="n">
        <v>8</v>
      </c>
      <c r="C98" s="0" t="str">
        <f aca="false">IF('Little Explorers Kits'!C102="","",'Little Explorers Kits'!C102)</f>
        <v>Laptop</v>
      </c>
      <c r="D98" s="0" t="n">
        <f aca="false">IF('Little Explorers Kits'!D102="","",'Little Explorers Kits'!D102)</f>
        <v>1</v>
      </c>
      <c r="E98" s="0" t="str">
        <f aca="false">IF('Little Explorers Kits'!E102="","",'Little Explorers Kits'!E102)</f>
        <v>Per group</v>
      </c>
      <c r="F98" s="0" t="str">
        <f aca="false">IFERROR(INDEX('Session Tracker'!$M$5:$M$149,MATCH($A98,'Session Tracker'!$D$5:$D$149,0))+0,"")</f>
        <v/>
      </c>
      <c r="G98" s="0" t="str">
        <f aca="false">IF(ISNUMBER(F98),IF(OR(B98=0,B98=99,C98&lt;&gt;""),F98*100+B98,""),"")</f>
        <v/>
      </c>
      <c r="H98" s="0" t="n">
        <f aca="false">IFERROR(INDEX('Session Tracker'!$J$5:$J$149,MATCH($A98,'Session Tracker'!$D$5:$D$149,0)),0)</f>
        <v>8</v>
      </c>
      <c r="I98" s="0" t="n">
        <f aca="false">IF(OR(B98=0,B98=99,C98=""),"",IF(E98="Per class",D98,D98*H98))</f>
        <v>8</v>
      </c>
      <c r="N98" s="0" t="str">
        <f aca="false">IF('Little Explorers Kits'!B102="","",'Little Explorers Kits'!B102)</f>
        <v>Computers &amp; Equipment</v>
      </c>
      <c r="O98" s="0" t="str">
        <f aca="false">IF('Little Explorers Kits'!F102="","",'Little Explorers Kits'!F102)</f>
        <v>Reusable</v>
      </c>
      <c r="P98" s="0" t="str">
        <f aca="false">IF('Little Explorers Kits'!G102="","",'Little Explorers Kits'!G102)</f>
        <v/>
      </c>
    </row>
    <row r="99" customFormat="false" ht="15" hidden="false" customHeight="false" outlineLevel="0" collapsed="false">
      <c r="A99" s="0" t="s">
        <v>92</v>
      </c>
      <c r="B99" s="0" t="n">
        <v>9</v>
      </c>
      <c r="C99" s="0" t="str">
        <f aca="false">IF('Little Explorers Kits'!C103="","",'Little Explorers Kits'!C103)</f>
        <v>Buzzer</v>
      </c>
      <c r="D99" s="0" t="n">
        <f aca="false">IF('Little Explorers Kits'!D103="","",'Little Explorers Kits'!D103)</f>
        <v>1</v>
      </c>
      <c r="E99" s="0" t="str">
        <f aca="false">IF('Little Explorers Kits'!E103="","",'Little Explorers Kits'!E103)</f>
        <v>Per group</v>
      </c>
      <c r="F99" s="0" t="str">
        <f aca="false">IFERROR(INDEX('Session Tracker'!$M$5:$M$149,MATCH($A99,'Session Tracker'!$D$5:$D$149,0))+0,"")</f>
        <v/>
      </c>
      <c r="G99" s="0" t="str">
        <f aca="false">IF(ISNUMBER(F99),IF(OR(B99=0,B99=99,C99&lt;&gt;""),F99*100+B99,""),"")</f>
        <v/>
      </c>
      <c r="H99" s="0" t="n">
        <f aca="false">IFERROR(INDEX('Session Tracker'!$J$5:$J$149,MATCH($A99,'Session Tracker'!$D$5:$D$149,0)),0)</f>
        <v>8</v>
      </c>
      <c r="I99" s="0" t="n">
        <f aca="false">IF(OR(B99=0,B99=99,C99=""),"",IF(E99="Per class",D99,D99*H99))</f>
        <v>8</v>
      </c>
      <c r="N99" s="0" t="str">
        <f aca="false">IF('Little Explorers Kits'!B103="","",'Little Explorers Kits'!B103)</f>
        <v>Actuators &amp; Motor Drivers</v>
      </c>
      <c r="O99" s="0" t="str">
        <f aca="false">IF('Little Explorers Kits'!F103="","",'Little Explorers Kits'!F103)</f>
        <v>Reusable</v>
      </c>
      <c r="P99" s="0" t="str">
        <f aca="false">IF('Little Explorers Kits'!G103="","",'Little Explorers Kits'!G103)</f>
        <v>Added: every Arduino class</v>
      </c>
    </row>
    <row r="100" customFormat="false" ht="15" hidden="false" customHeight="false" outlineLevel="0" collapsed="false">
      <c r="A100" s="0" t="s">
        <v>92</v>
      </c>
      <c r="B100" s="0" t="n">
        <v>10</v>
      </c>
      <c r="C100" s="0" t="str">
        <f aca="false">IF('Little Explorers Kits'!C104="","",'Little Explorers Kits'!C104)</f>
        <v/>
      </c>
      <c r="D100" s="0" t="str">
        <f aca="false">IF('Little Explorers Kits'!D104="","",'Little Explorers Kits'!D104)</f>
        <v/>
      </c>
      <c r="E100" s="0" t="str">
        <f aca="false">IF('Little Explorers Kits'!E104="","",'Little Explorers Kits'!E104)</f>
        <v/>
      </c>
      <c r="F100" s="0" t="str">
        <f aca="false">IFERROR(INDEX('Session Tracker'!$M$5:$M$149,MATCH($A100,'Session Tracker'!$D$5:$D$149,0))+0,"")</f>
        <v/>
      </c>
      <c r="G100" s="0" t="str">
        <f aca="false">IF(ISNUMBER(F100),IF(OR(B100=0,B100=99,C100&lt;&gt;""),F100*100+B100,""),"")</f>
        <v/>
      </c>
      <c r="H100" s="0" t="n">
        <f aca="false">IFERROR(INDEX('Session Tracker'!$J$5:$J$149,MATCH($A100,'Session Tracker'!$D$5:$D$149,0)),0)</f>
        <v>8</v>
      </c>
      <c r="I100" s="0" t="str">
        <f aca="false">IF(OR(B100=0,B100=99,C100=""),"",IF(E100="Per class",D100,D100*H100))</f>
        <v/>
      </c>
      <c r="N100" s="0" t="str">
        <f aca="false">IF('Little Explorers Kits'!B104="","",'Little Explorers Kits'!B104)</f>
        <v/>
      </c>
      <c r="O100" s="0" t="str">
        <f aca="false">IF('Little Explorers Kits'!F104="","",'Little Explorers Kits'!F104)</f>
        <v/>
      </c>
      <c r="P100" s="0" t="str">
        <f aca="false">IF('Little Explorers Kits'!G104="","",'Little Explorers Kits'!G104)</f>
        <v/>
      </c>
    </row>
    <row r="101" customFormat="false" ht="15" hidden="false" customHeight="false" outlineLevel="0" collapsed="false">
      <c r="A101" s="0" t="s">
        <v>92</v>
      </c>
      <c r="B101" s="0" t="n">
        <v>11</v>
      </c>
      <c r="C101" s="0" t="str">
        <f aca="false">IF('Little Explorers Kits'!C105="","",'Little Explorers Kits'!C105)</f>
        <v/>
      </c>
      <c r="D101" s="0" t="str">
        <f aca="false">IF('Little Explorers Kits'!D105="","",'Little Explorers Kits'!D105)</f>
        <v/>
      </c>
      <c r="E101" s="0" t="str">
        <f aca="false">IF('Little Explorers Kits'!E105="","",'Little Explorers Kits'!E105)</f>
        <v/>
      </c>
      <c r="F101" s="0" t="str">
        <f aca="false">IFERROR(INDEX('Session Tracker'!$M$5:$M$149,MATCH($A101,'Session Tracker'!$D$5:$D$149,0))+0,"")</f>
        <v/>
      </c>
      <c r="G101" s="0" t="str">
        <f aca="false">IF(ISNUMBER(F101),IF(OR(B101=0,B101=99,C101&lt;&gt;""),F101*100+B101,""),"")</f>
        <v/>
      </c>
      <c r="H101" s="0" t="n">
        <f aca="false">IFERROR(INDEX('Session Tracker'!$J$5:$J$149,MATCH($A101,'Session Tracker'!$D$5:$D$149,0)),0)</f>
        <v>8</v>
      </c>
      <c r="I101" s="0" t="str">
        <f aca="false">IF(OR(B101=0,B101=99,C101=""),"",IF(E101="Per class",D101,D101*H101))</f>
        <v/>
      </c>
      <c r="N101" s="0" t="str">
        <f aca="false">IF('Little Explorers Kits'!B105="","",'Little Explorers Kits'!B105)</f>
        <v/>
      </c>
      <c r="O101" s="0" t="str">
        <f aca="false">IF('Little Explorers Kits'!F105="","",'Little Explorers Kits'!F105)</f>
        <v/>
      </c>
      <c r="P101" s="0" t="str">
        <f aca="false">IF('Little Explorers Kits'!G105="","",'Little Explorers Kits'!G105)</f>
        <v/>
      </c>
    </row>
    <row r="102" customFormat="false" ht="15" hidden="false" customHeight="false" outlineLevel="0" collapsed="false">
      <c r="A102" s="0" t="s">
        <v>94</v>
      </c>
      <c r="B102" s="0" t="n">
        <v>0</v>
      </c>
      <c r="F102" s="0" t="str">
        <f aca="false">IFERROR(INDEX('Session Tracker'!$M$5:$M$149,MATCH($A102,'Session Tracker'!$D$5:$D$149,0))+0,"")</f>
        <v/>
      </c>
      <c r="G102" s="0" t="str">
        <f aca="false">IF(ISNUMBER(F102),IF(OR(B102=0,B102=99,C102&lt;&gt;""),F102*100+B102,""),"")</f>
        <v/>
      </c>
      <c r="H102" s="0" t="n">
        <f aca="false">IFERROR(INDEX('Session Tracker'!$J$5:$J$149,MATCH($A102,'Session Tracker'!$D$5:$D$149,0)),0)</f>
        <v>8</v>
      </c>
      <c r="I102" s="0" t="str">
        <f aca="false">IF(OR(B102=0,B102=99,C102=""),"",IF(E102="Per class",D102,D102*H102))</f>
        <v/>
      </c>
      <c r="K102" s="0" t="str">
        <f aca="false">IFERROR(INDEX('Session Tracker'!$E$5:$E$149,MATCH($A102,'Session Tracker'!$D$5:$D$149,0)),"")</f>
        <v>Hot &amp; Cold Temperature Indicator</v>
      </c>
      <c r="L102" s="0" t="str">
        <f aca="false">IFERROR(INDEX('Session Tracker'!$A$5:$A$149,MATCH($A102,'Session Tracker'!$D$5:$D$149,0)),"")</f>
        <v>Little Explorers (5-7)</v>
      </c>
      <c r="M102" s="0" t="str">
        <f aca="false">IFERROR(INDEX('Session Tracker'!$H$5:$H$149,MATCH($A102,'Session Tracker'!$D$5:$D$149,0))&amp;"","")</f>
        <v/>
      </c>
      <c r="Q102" s="0" t="str">
        <f aca="false">IFERROR("Status: "&amp;INDEX('Session Tracker'!$F$5:$F$149,MATCH($A102,'Session Tracker'!$D$5:$D$149,0))&amp;IF(INDEX('Session Tracker'!$G$5:$G$149,MATCH($A102,'Session Tracker'!$D$5:$D$149,0))&lt;&gt;""," ("&amp;INDEX('Session Tracker'!$G$5:$G$149,MATCH($A102,'Session Tracker'!$D$5:$D$149,0))&amp;")","")&amp;IF(M102&lt;&gt;"","  "&amp;M102,""),"")</f>
        <v>Status: Not started</v>
      </c>
    </row>
    <row r="103" customFormat="false" ht="15" hidden="false" customHeight="false" outlineLevel="0" collapsed="false">
      <c r="A103" s="0" t="s">
        <v>94</v>
      </c>
      <c r="B103" s="0" t="n">
        <v>1</v>
      </c>
      <c r="C103" s="0" t="str">
        <f aca="false">IF('Little Explorers Kits'!C108="","",'Little Explorers Kits'!C108)</f>
        <v>Arduino Uno + USB cable</v>
      </c>
      <c r="D103" s="0" t="n">
        <f aca="false">IF('Little Explorers Kits'!D108="","",'Little Explorers Kits'!D108)</f>
        <v>1</v>
      </c>
      <c r="E103" s="0" t="str">
        <f aca="false">IF('Little Explorers Kits'!E108="","",'Little Explorers Kits'!E108)</f>
        <v>Per group</v>
      </c>
      <c r="F103" s="0" t="str">
        <f aca="false">IFERROR(INDEX('Session Tracker'!$M$5:$M$149,MATCH($A103,'Session Tracker'!$D$5:$D$149,0))+0,"")</f>
        <v/>
      </c>
      <c r="G103" s="0" t="str">
        <f aca="false">IF(ISNUMBER(F103),IF(OR(B103=0,B103=99,C103&lt;&gt;""),F103*100+B103,""),"")</f>
        <v/>
      </c>
      <c r="H103" s="0" t="n">
        <f aca="false">IFERROR(INDEX('Session Tracker'!$J$5:$J$149,MATCH($A103,'Session Tracker'!$D$5:$D$149,0)),0)</f>
        <v>8</v>
      </c>
      <c r="I103" s="0" t="n">
        <f aca="false">IF(OR(B103=0,B103=99,C103=""),"",IF(E103="Per class",D103,D103*H103))</f>
        <v>8</v>
      </c>
      <c r="N103" s="0" t="str">
        <f aca="false">IF('Little Explorers Kits'!B108="","",'Little Explorers Kits'!B108)</f>
        <v>Microcontrollers &amp; Dev Boards</v>
      </c>
      <c r="O103" s="0" t="str">
        <f aca="false">IF('Little Explorers Kits'!F108="","",'Little Explorers Kits'!F108)</f>
        <v>Reusable</v>
      </c>
      <c r="P103" s="0" t="str">
        <f aca="false">IF('Little Explorers Kits'!G108="","",'Little Explorers Kits'!G108)</f>
        <v>Pre-wired by teacher</v>
      </c>
    </row>
    <row r="104" customFormat="false" ht="15" hidden="false" customHeight="false" outlineLevel="0" collapsed="false">
      <c r="A104" s="0" t="s">
        <v>94</v>
      </c>
      <c r="B104" s="0" t="n">
        <v>2</v>
      </c>
      <c r="C104" s="0" t="str">
        <f aca="false">IF('Little Explorers Kits'!C109="","",'Little Explorers Kits'!C109)</f>
        <v>DHT22 sensor</v>
      </c>
      <c r="D104" s="0" t="n">
        <f aca="false">IF('Little Explorers Kits'!D109="","",'Little Explorers Kits'!D109)</f>
        <v>1</v>
      </c>
      <c r="E104" s="0" t="str">
        <f aca="false">IF('Little Explorers Kits'!E109="","",'Little Explorers Kits'!E109)</f>
        <v>Per group</v>
      </c>
      <c r="F104" s="0" t="str">
        <f aca="false">IFERROR(INDEX('Session Tracker'!$M$5:$M$149,MATCH($A104,'Session Tracker'!$D$5:$D$149,0))+0,"")</f>
        <v/>
      </c>
      <c r="G104" s="0" t="str">
        <f aca="false">IF(ISNUMBER(F104),IF(OR(B104=0,B104=99,C104&lt;&gt;""),F104*100+B104,""),"")</f>
        <v/>
      </c>
      <c r="H104" s="0" t="n">
        <f aca="false">IFERROR(INDEX('Session Tracker'!$J$5:$J$149,MATCH($A104,'Session Tracker'!$D$5:$D$149,0)),0)</f>
        <v>8</v>
      </c>
      <c r="I104" s="0" t="n">
        <f aca="false">IF(OR(B104=0,B104=99,C104=""),"",IF(E104="Per class",D104,D104*H104))</f>
        <v>8</v>
      </c>
      <c r="N104" s="0" t="str">
        <f aca="false">IF('Little Explorers Kits'!B109="","",'Little Explorers Kits'!B109)</f>
        <v>Sensors</v>
      </c>
      <c r="O104" s="0" t="str">
        <f aca="false">IF('Little Explorers Kits'!F109="","",'Little Explorers Kits'!F109)</f>
        <v>Reusable</v>
      </c>
      <c r="P104" s="0" t="str">
        <f aca="false">IF('Little Explorers Kits'!G109="","",'Little Explorers Kits'!G109)</f>
        <v/>
      </c>
    </row>
    <row r="105" customFormat="false" ht="15" hidden="false" customHeight="false" outlineLevel="0" collapsed="false">
      <c r="A105" s="0" t="s">
        <v>94</v>
      </c>
      <c r="B105" s="0" t="n">
        <v>3</v>
      </c>
      <c r="C105" s="0" t="str">
        <f aca="false">IF('Little Explorers Kits'!C110="","",'Little Explorers Kits'!C110)</f>
        <v>LED 5 mm (assorted)</v>
      </c>
      <c r="D105" s="0" t="n">
        <f aca="false">IF('Little Explorers Kits'!D110="","",'Little Explorers Kits'!D110)</f>
        <v>2</v>
      </c>
      <c r="E105" s="0" t="str">
        <f aca="false">IF('Little Explorers Kits'!E110="","",'Little Explorers Kits'!E110)</f>
        <v>Per group</v>
      </c>
      <c r="F105" s="0" t="str">
        <f aca="false">IFERROR(INDEX('Session Tracker'!$M$5:$M$149,MATCH($A105,'Session Tracker'!$D$5:$D$149,0))+0,"")</f>
        <v/>
      </c>
      <c r="G105" s="0" t="str">
        <f aca="false">IF(ISNUMBER(F105),IF(OR(B105=0,B105=99,C105&lt;&gt;""),F105*100+B105,""),"")</f>
        <v/>
      </c>
      <c r="H105" s="0" t="n">
        <f aca="false">IFERROR(INDEX('Session Tracker'!$J$5:$J$149,MATCH($A105,'Session Tracker'!$D$5:$D$149,0)),0)</f>
        <v>8</v>
      </c>
      <c r="I105" s="0" t="n">
        <f aca="false">IF(OR(B105=0,B105=99,C105=""),"",IF(E105="Per class",D105,D105*H105))</f>
        <v>16</v>
      </c>
      <c r="N105" s="0" t="str">
        <f aca="false">IF('Little Explorers Kits'!B110="","",'Little Explorers Kits'!B110)</f>
        <v>Displays &amp; Output</v>
      </c>
      <c r="O105" s="0" t="str">
        <f aca="false">IF('Little Explorers Kits'!F110="","",'Little Explorers Kits'!F110)</f>
        <v>Consumable</v>
      </c>
      <c r="P105" s="0" t="str">
        <f aca="false">IF('Little Explorers Kits'!G110="","",'Little Explorers Kits'!G110)</f>
        <v>Red and blue</v>
      </c>
    </row>
    <row r="106" customFormat="false" ht="15" hidden="false" customHeight="false" outlineLevel="0" collapsed="false">
      <c r="A106" s="0" t="s">
        <v>94</v>
      </c>
      <c r="B106" s="0" t="n">
        <v>4</v>
      </c>
      <c r="C106" s="0" t="str">
        <f aca="false">IF('Little Explorers Kits'!C111="","",'Little Explorers Kits'!C111)</f>
        <v>Resistor 220 ohm</v>
      </c>
      <c r="D106" s="0" t="n">
        <f aca="false">IF('Little Explorers Kits'!D111="","",'Little Explorers Kits'!D111)</f>
        <v>2</v>
      </c>
      <c r="E106" s="0" t="str">
        <f aca="false">IF('Little Explorers Kits'!E111="","",'Little Explorers Kits'!E111)</f>
        <v>Per group</v>
      </c>
      <c r="F106" s="0" t="str">
        <f aca="false">IFERROR(INDEX('Session Tracker'!$M$5:$M$149,MATCH($A106,'Session Tracker'!$D$5:$D$149,0))+0,"")</f>
        <v/>
      </c>
      <c r="G106" s="0" t="str">
        <f aca="false">IF(ISNUMBER(F106),IF(OR(B106=0,B106=99,C106&lt;&gt;""),F106*100+B106,""),"")</f>
        <v/>
      </c>
      <c r="H106" s="0" t="n">
        <f aca="false">IFERROR(INDEX('Session Tracker'!$J$5:$J$149,MATCH($A106,'Session Tracker'!$D$5:$D$149,0)),0)</f>
        <v>8</v>
      </c>
      <c r="I106" s="0" t="n">
        <f aca="false">IF(OR(B106=0,B106=99,C106=""),"",IF(E106="Per class",D106,D106*H106))</f>
        <v>16</v>
      </c>
      <c r="N106" s="0" t="str">
        <f aca="false">IF('Little Explorers Kits'!B111="","",'Little Explorers Kits'!B111)</f>
        <v>Passive Components &amp; ICs</v>
      </c>
      <c r="O106" s="0" t="str">
        <f aca="false">IF('Little Explorers Kits'!F111="","",'Little Explorers Kits'!F111)</f>
        <v>Consumable</v>
      </c>
      <c r="P106" s="0" t="str">
        <f aca="false">IF('Little Explorers Kits'!G111="","",'Little Explorers Kits'!G111)</f>
        <v/>
      </c>
    </row>
    <row r="107" customFormat="false" ht="15" hidden="false" customHeight="false" outlineLevel="0" collapsed="false">
      <c r="A107" s="0" t="s">
        <v>94</v>
      </c>
      <c r="B107" s="0" t="n">
        <v>5</v>
      </c>
      <c r="C107" s="0" t="str">
        <f aca="false">IF('Little Explorers Kits'!C112="","",'Little Explorers Kits'!C112)</f>
        <v>Resistor 10k ohm</v>
      </c>
      <c r="D107" s="0" t="n">
        <f aca="false">IF('Little Explorers Kits'!D112="","",'Little Explorers Kits'!D112)</f>
        <v>1</v>
      </c>
      <c r="E107" s="0" t="str">
        <f aca="false">IF('Little Explorers Kits'!E112="","",'Little Explorers Kits'!E112)</f>
        <v>Per group</v>
      </c>
      <c r="F107" s="0" t="str">
        <f aca="false">IFERROR(INDEX('Session Tracker'!$M$5:$M$149,MATCH($A107,'Session Tracker'!$D$5:$D$149,0))+0,"")</f>
        <v/>
      </c>
      <c r="G107" s="0" t="str">
        <f aca="false">IF(ISNUMBER(F107),IF(OR(B107=0,B107=99,C107&lt;&gt;""),F107*100+B107,""),"")</f>
        <v/>
      </c>
      <c r="H107" s="0" t="n">
        <f aca="false">IFERROR(INDEX('Session Tracker'!$J$5:$J$149,MATCH($A107,'Session Tracker'!$D$5:$D$149,0)),0)</f>
        <v>8</v>
      </c>
      <c r="I107" s="0" t="n">
        <f aca="false">IF(OR(B107=0,B107=99,C107=""),"",IF(E107="Per class",D107,D107*H107))</f>
        <v>8</v>
      </c>
      <c r="N107" s="0" t="str">
        <f aca="false">IF('Little Explorers Kits'!B112="","",'Little Explorers Kits'!B112)</f>
        <v>Passive Components &amp; ICs</v>
      </c>
      <c r="O107" s="0" t="str">
        <f aca="false">IF('Little Explorers Kits'!F112="","",'Little Explorers Kits'!F112)</f>
        <v>Consumable</v>
      </c>
      <c r="P107" s="0" t="str">
        <f aca="false">IF('Little Explorers Kits'!G112="","",'Little Explorers Kits'!G112)</f>
        <v/>
      </c>
    </row>
    <row r="108" customFormat="false" ht="15" hidden="false" customHeight="false" outlineLevel="0" collapsed="false">
      <c r="A108" s="0" t="s">
        <v>94</v>
      </c>
      <c r="B108" s="0" t="n">
        <v>6</v>
      </c>
      <c r="C108" s="0" t="str">
        <f aca="false">IF('Little Explorers Kits'!C113="","",'Little Explorers Kits'!C113)</f>
        <v>Breadboard (half size)</v>
      </c>
      <c r="D108" s="0" t="n">
        <f aca="false">IF('Little Explorers Kits'!D113="","",'Little Explorers Kits'!D113)</f>
        <v>1</v>
      </c>
      <c r="E108" s="0" t="str">
        <f aca="false">IF('Little Explorers Kits'!E113="","",'Little Explorers Kits'!E113)</f>
        <v>Per group</v>
      </c>
      <c r="F108" s="0" t="str">
        <f aca="false">IFERROR(INDEX('Session Tracker'!$M$5:$M$149,MATCH($A108,'Session Tracker'!$D$5:$D$149,0))+0,"")</f>
        <v/>
      </c>
      <c r="G108" s="0" t="str">
        <f aca="false">IF(ISNUMBER(F108),IF(OR(B108=0,B108=99,C108&lt;&gt;""),F108*100+B108,""),"")</f>
        <v/>
      </c>
      <c r="H108" s="0" t="n">
        <f aca="false">IFERROR(INDEX('Session Tracker'!$J$5:$J$149,MATCH($A108,'Session Tracker'!$D$5:$D$149,0)),0)</f>
        <v>8</v>
      </c>
      <c r="I108" s="0" t="n">
        <f aca="false">IF(OR(B108=0,B108=99,C108=""),"",IF(E108="Per class",D108,D108*H108))</f>
        <v>8</v>
      </c>
      <c r="N108" s="0" t="str">
        <f aca="false">IF('Little Explorers Kits'!B113="","",'Little Explorers Kits'!B113)</f>
        <v>Wiring &amp; Prototyping</v>
      </c>
      <c r="O108" s="0" t="str">
        <f aca="false">IF('Little Explorers Kits'!F113="","",'Little Explorers Kits'!F113)</f>
        <v>Reusable</v>
      </c>
      <c r="P108" s="0" t="str">
        <f aca="false">IF('Little Explorers Kits'!G113="","",'Little Explorers Kits'!G113)</f>
        <v/>
      </c>
    </row>
    <row r="109" customFormat="false" ht="15" hidden="false" customHeight="false" outlineLevel="0" collapsed="false">
      <c r="A109" s="0" t="s">
        <v>94</v>
      </c>
      <c r="B109" s="0" t="n">
        <v>7</v>
      </c>
      <c r="C109" s="0" t="str">
        <f aca="false">IF('Little Explorers Kits'!C114="","",'Little Explorers Kits'!C114)</f>
        <v>Jumper wires M-M</v>
      </c>
      <c r="D109" s="0" t="n">
        <f aca="false">IF('Little Explorers Kits'!D114="","",'Little Explorers Kits'!D114)</f>
        <v>6</v>
      </c>
      <c r="E109" s="0" t="str">
        <f aca="false">IF('Little Explorers Kits'!E114="","",'Little Explorers Kits'!E114)</f>
        <v>Per group</v>
      </c>
      <c r="F109" s="0" t="str">
        <f aca="false">IFERROR(INDEX('Session Tracker'!$M$5:$M$149,MATCH($A109,'Session Tracker'!$D$5:$D$149,0))+0,"")</f>
        <v/>
      </c>
      <c r="G109" s="0" t="str">
        <f aca="false">IF(ISNUMBER(F109),IF(OR(B109=0,B109=99,C109&lt;&gt;""),F109*100+B109,""),"")</f>
        <v/>
      </c>
      <c r="H109" s="0" t="n">
        <f aca="false">IFERROR(INDEX('Session Tracker'!$J$5:$J$149,MATCH($A109,'Session Tracker'!$D$5:$D$149,0)),0)</f>
        <v>8</v>
      </c>
      <c r="I109" s="0" t="n">
        <f aca="false">IF(OR(B109=0,B109=99,C109=""),"",IF(E109="Per class",D109,D109*H109))</f>
        <v>48</v>
      </c>
      <c r="N109" s="0" t="str">
        <f aca="false">IF('Little Explorers Kits'!B114="","",'Little Explorers Kits'!B114)</f>
        <v>Wiring &amp; Prototyping</v>
      </c>
      <c r="O109" s="0" t="str">
        <f aca="false">IF('Little Explorers Kits'!F114="","",'Little Explorers Kits'!F114)</f>
        <v>Reusable</v>
      </c>
      <c r="P109" s="0" t="str">
        <f aca="false">IF('Little Explorers Kits'!G114="","",'Little Explorers Kits'!G114)</f>
        <v/>
      </c>
    </row>
    <row r="110" customFormat="false" ht="15" hidden="false" customHeight="false" outlineLevel="0" collapsed="false">
      <c r="A110" s="0" t="s">
        <v>94</v>
      </c>
      <c r="B110" s="0" t="n">
        <v>8</v>
      </c>
      <c r="C110" s="0" t="str">
        <f aca="false">IF('Little Explorers Kits'!C115="","",'Little Explorers Kits'!C115)</f>
        <v>Laptop</v>
      </c>
      <c r="D110" s="0" t="n">
        <f aca="false">IF('Little Explorers Kits'!D115="","",'Little Explorers Kits'!D115)</f>
        <v>1</v>
      </c>
      <c r="E110" s="0" t="str">
        <f aca="false">IF('Little Explorers Kits'!E115="","",'Little Explorers Kits'!E115)</f>
        <v>Per group</v>
      </c>
      <c r="F110" s="0" t="str">
        <f aca="false">IFERROR(INDEX('Session Tracker'!$M$5:$M$149,MATCH($A110,'Session Tracker'!$D$5:$D$149,0))+0,"")</f>
        <v/>
      </c>
      <c r="G110" s="0" t="str">
        <f aca="false">IF(ISNUMBER(F110),IF(OR(B110=0,B110=99,C110&lt;&gt;""),F110*100+B110,""),"")</f>
        <v/>
      </c>
      <c r="H110" s="0" t="n">
        <f aca="false">IFERROR(INDEX('Session Tracker'!$J$5:$J$149,MATCH($A110,'Session Tracker'!$D$5:$D$149,0)),0)</f>
        <v>8</v>
      </c>
      <c r="I110" s="0" t="n">
        <f aca="false">IF(OR(B110=0,B110=99,C110=""),"",IF(E110="Per class",D110,D110*H110))</f>
        <v>8</v>
      </c>
      <c r="N110" s="0" t="str">
        <f aca="false">IF('Little Explorers Kits'!B115="","",'Little Explorers Kits'!B115)</f>
        <v>Computers &amp; Equipment</v>
      </c>
      <c r="O110" s="0" t="str">
        <f aca="false">IF('Little Explorers Kits'!F115="","",'Little Explorers Kits'!F115)</f>
        <v>Reusable</v>
      </c>
      <c r="P110" s="0" t="str">
        <f aca="false">IF('Little Explorers Kits'!G115="","",'Little Explorers Kits'!G115)</f>
        <v/>
      </c>
    </row>
    <row r="111" customFormat="false" ht="15" hidden="false" customHeight="false" outlineLevel="0" collapsed="false">
      <c r="A111" s="0" t="s">
        <v>94</v>
      </c>
      <c r="B111" s="0" t="n">
        <v>9</v>
      </c>
      <c r="C111" s="0" t="str">
        <f aca="false">IF('Little Explorers Kits'!C116="","",'Little Explorers Kits'!C116)</f>
        <v>Buzzer</v>
      </c>
      <c r="D111" s="0" t="n">
        <f aca="false">IF('Little Explorers Kits'!D116="","",'Little Explorers Kits'!D116)</f>
        <v>1</v>
      </c>
      <c r="E111" s="0" t="str">
        <f aca="false">IF('Little Explorers Kits'!E116="","",'Little Explorers Kits'!E116)</f>
        <v>Per group</v>
      </c>
      <c r="F111" s="0" t="str">
        <f aca="false">IFERROR(INDEX('Session Tracker'!$M$5:$M$149,MATCH($A111,'Session Tracker'!$D$5:$D$149,0))+0,"")</f>
        <v/>
      </c>
      <c r="G111" s="0" t="str">
        <f aca="false">IF(ISNUMBER(F111),IF(OR(B111=0,B111=99,C111&lt;&gt;""),F111*100+B111,""),"")</f>
        <v/>
      </c>
      <c r="H111" s="0" t="n">
        <f aca="false">IFERROR(INDEX('Session Tracker'!$J$5:$J$149,MATCH($A111,'Session Tracker'!$D$5:$D$149,0)),0)</f>
        <v>8</v>
      </c>
      <c r="I111" s="0" t="n">
        <f aca="false">IF(OR(B111=0,B111=99,C111=""),"",IF(E111="Per class",D111,D111*H111))</f>
        <v>8</v>
      </c>
      <c r="N111" s="0" t="str">
        <f aca="false">IF('Little Explorers Kits'!B116="","",'Little Explorers Kits'!B116)</f>
        <v>Actuators &amp; Motor Drivers</v>
      </c>
      <c r="O111" s="0" t="str">
        <f aca="false">IF('Little Explorers Kits'!F116="","",'Little Explorers Kits'!F116)</f>
        <v>Reusable</v>
      </c>
      <c r="P111" s="0" t="str">
        <f aca="false">IF('Little Explorers Kits'!G116="","",'Little Explorers Kits'!G116)</f>
        <v>Added: every Arduino class</v>
      </c>
    </row>
    <row r="112" customFormat="false" ht="15" hidden="false" customHeight="false" outlineLevel="0" collapsed="false">
      <c r="A112" s="0" t="s">
        <v>94</v>
      </c>
      <c r="B112" s="0" t="n">
        <v>10</v>
      </c>
      <c r="C112" s="0" t="str">
        <f aca="false">IF('Little Explorers Kits'!C117="","",'Little Explorers Kits'!C117)</f>
        <v/>
      </c>
      <c r="D112" s="0" t="str">
        <f aca="false">IF('Little Explorers Kits'!D117="","",'Little Explorers Kits'!D117)</f>
        <v/>
      </c>
      <c r="E112" s="0" t="str">
        <f aca="false">IF('Little Explorers Kits'!E117="","",'Little Explorers Kits'!E117)</f>
        <v/>
      </c>
      <c r="F112" s="0" t="str">
        <f aca="false">IFERROR(INDEX('Session Tracker'!$M$5:$M$149,MATCH($A112,'Session Tracker'!$D$5:$D$149,0))+0,"")</f>
        <v/>
      </c>
      <c r="G112" s="0" t="str">
        <f aca="false">IF(ISNUMBER(F112),IF(OR(B112=0,B112=99,C112&lt;&gt;""),F112*100+B112,""),"")</f>
        <v/>
      </c>
      <c r="H112" s="0" t="n">
        <f aca="false">IFERROR(INDEX('Session Tracker'!$J$5:$J$149,MATCH($A112,'Session Tracker'!$D$5:$D$149,0)),0)</f>
        <v>8</v>
      </c>
      <c r="I112" s="0" t="str">
        <f aca="false">IF(OR(B112=0,B112=99,C112=""),"",IF(E112="Per class",D112,D112*H112))</f>
        <v/>
      </c>
      <c r="N112" s="0" t="str">
        <f aca="false">IF('Little Explorers Kits'!B117="","",'Little Explorers Kits'!B117)</f>
        <v/>
      </c>
      <c r="O112" s="0" t="str">
        <f aca="false">IF('Little Explorers Kits'!F117="","",'Little Explorers Kits'!F117)</f>
        <v/>
      </c>
      <c r="P112" s="0" t="str">
        <f aca="false">IF('Little Explorers Kits'!G117="","",'Little Explorers Kits'!G117)</f>
        <v/>
      </c>
    </row>
    <row r="113" customFormat="false" ht="15" hidden="false" customHeight="false" outlineLevel="0" collapsed="false">
      <c r="A113" s="0" t="s">
        <v>94</v>
      </c>
      <c r="B113" s="0" t="n">
        <v>11</v>
      </c>
      <c r="C113" s="0" t="str">
        <f aca="false">IF('Little Explorers Kits'!C118="","",'Little Explorers Kits'!C118)</f>
        <v/>
      </c>
      <c r="D113" s="0" t="str">
        <f aca="false">IF('Little Explorers Kits'!D118="","",'Little Explorers Kits'!D118)</f>
        <v/>
      </c>
      <c r="E113" s="0" t="str">
        <f aca="false">IF('Little Explorers Kits'!E118="","",'Little Explorers Kits'!E118)</f>
        <v/>
      </c>
      <c r="F113" s="0" t="str">
        <f aca="false">IFERROR(INDEX('Session Tracker'!$M$5:$M$149,MATCH($A113,'Session Tracker'!$D$5:$D$149,0))+0,"")</f>
        <v/>
      </c>
      <c r="G113" s="0" t="str">
        <f aca="false">IF(ISNUMBER(F113),IF(OR(B113=0,B113=99,C113&lt;&gt;""),F113*100+B113,""),"")</f>
        <v/>
      </c>
      <c r="H113" s="0" t="n">
        <f aca="false">IFERROR(INDEX('Session Tracker'!$J$5:$J$149,MATCH($A113,'Session Tracker'!$D$5:$D$149,0)),0)</f>
        <v>8</v>
      </c>
      <c r="I113" s="0" t="str">
        <f aca="false">IF(OR(B113=0,B113=99,C113=""),"",IF(E113="Per class",D113,D113*H113))</f>
        <v/>
      </c>
      <c r="N113" s="0" t="str">
        <f aca="false">IF('Little Explorers Kits'!B118="","",'Little Explorers Kits'!B118)</f>
        <v/>
      </c>
      <c r="O113" s="0" t="str">
        <f aca="false">IF('Little Explorers Kits'!F118="","",'Little Explorers Kits'!F118)</f>
        <v/>
      </c>
      <c r="P113" s="0" t="str">
        <f aca="false">IF('Little Explorers Kits'!G118="","",'Little Explorers Kits'!G118)</f>
        <v/>
      </c>
    </row>
    <row r="114" customFormat="false" ht="15" hidden="false" customHeight="false" outlineLevel="0" collapsed="false">
      <c r="A114" s="0" t="s">
        <v>96</v>
      </c>
      <c r="B114" s="0" t="n">
        <v>0</v>
      </c>
      <c r="F114" s="0" t="str">
        <f aca="false">IFERROR(INDEX('Session Tracker'!$M$5:$M$149,MATCH($A114,'Session Tracker'!$D$5:$D$149,0))+0,"")</f>
        <v/>
      </c>
      <c r="G114" s="0" t="str">
        <f aca="false">IF(ISNUMBER(F114),IF(OR(B114=0,B114=99,C114&lt;&gt;""),F114*100+B114,""),"")</f>
        <v/>
      </c>
      <c r="H114" s="0" t="n">
        <f aca="false">IFERROR(INDEX('Session Tracker'!$J$5:$J$149,MATCH($A114,'Session Tracker'!$D$5:$D$149,0)),0)</f>
        <v>8</v>
      </c>
      <c r="I114" s="0" t="str">
        <f aca="false">IF(OR(B114=0,B114=99,C114=""),"",IF(E114="Per class",D114,D114*H114))</f>
        <v/>
      </c>
      <c r="K114" s="0" t="str">
        <f aca="false">IFERROR(INDEX('Session Tracker'!$E$5:$E$149,MATCH($A114,'Session Tracker'!$D$5:$D$149,0)),"")</f>
        <v>Plant Water Alarm</v>
      </c>
      <c r="L114" s="0" t="str">
        <f aca="false">IFERROR(INDEX('Session Tracker'!$A$5:$A$149,MATCH($A114,'Session Tracker'!$D$5:$D$149,0)),"")</f>
        <v>Little Explorers (5-7)</v>
      </c>
      <c r="M114" s="0" t="str">
        <f aca="false">IFERROR(INDEX('Session Tracker'!$H$5:$H$149,MATCH($A114,'Session Tracker'!$D$5:$D$149,0))&amp;"","")</f>
        <v/>
      </c>
      <c r="Q114" s="0" t="str">
        <f aca="false">IFERROR("Status: "&amp;INDEX('Session Tracker'!$F$5:$F$149,MATCH($A114,'Session Tracker'!$D$5:$D$149,0))&amp;IF(INDEX('Session Tracker'!$G$5:$G$149,MATCH($A114,'Session Tracker'!$D$5:$D$149,0))&lt;&gt;""," ("&amp;INDEX('Session Tracker'!$G$5:$G$149,MATCH($A114,'Session Tracker'!$D$5:$D$149,0))&amp;")","")&amp;IF(M114&lt;&gt;"","  "&amp;M114,""),"")</f>
        <v>Status: Not started</v>
      </c>
    </row>
    <row r="115" customFormat="false" ht="15" hidden="false" customHeight="false" outlineLevel="0" collapsed="false">
      <c r="A115" s="0" t="s">
        <v>96</v>
      </c>
      <c r="B115" s="0" t="n">
        <v>1</v>
      </c>
      <c r="C115" s="0" t="str">
        <f aca="false">IF('Little Explorers Kits'!C121="","",'Little Explorers Kits'!C121)</f>
        <v>Arduino Uno + USB cable</v>
      </c>
      <c r="D115" s="0" t="n">
        <f aca="false">IF('Little Explorers Kits'!D121="","",'Little Explorers Kits'!D121)</f>
        <v>1</v>
      </c>
      <c r="E115" s="0" t="str">
        <f aca="false">IF('Little Explorers Kits'!E121="","",'Little Explorers Kits'!E121)</f>
        <v>Per group</v>
      </c>
      <c r="F115" s="0" t="str">
        <f aca="false">IFERROR(INDEX('Session Tracker'!$M$5:$M$149,MATCH($A115,'Session Tracker'!$D$5:$D$149,0))+0,"")</f>
        <v/>
      </c>
      <c r="G115" s="0" t="str">
        <f aca="false">IF(ISNUMBER(F115),IF(OR(B115=0,B115=99,C115&lt;&gt;""),F115*100+B115,""),"")</f>
        <v/>
      </c>
      <c r="H115" s="0" t="n">
        <f aca="false">IFERROR(INDEX('Session Tracker'!$J$5:$J$149,MATCH($A115,'Session Tracker'!$D$5:$D$149,0)),0)</f>
        <v>8</v>
      </c>
      <c r="I115" s="0" t="n">
        <f aca="false">IF(OR(B115=0,B115=99,C115=""),"",IF(E115="Per class",D115,D115*H115))</f>
        <v>8</v>
      </c>
      <c r="N115" s="0" t="str">
        <f aca="false">IF('Little Explorers Kits'!B121="","",'Little Explorers Kits'!B121)</f>
        <v>Microcontrollers &amp; Dev Boards</v>
      </c>
      <c r="O115" s="0" t="str">
        <f aca="false">IF('Little Explorers Kits'!F121="","",'Little Explorers Kits'!F121)</f>
        <v>Reusable</v>
      </c>
      <c r="P115" s="0" t="str">
        <f aca="false">IF('Little Explorers Kits'!G121="","",'Little Explorers Kits'!G121)</f>
        <v>Pre-wired by teacher</v>
      </c>
    </row>
    <row r="116" customFormat="false" ht="15" hidden="false" customHeight="false" outlineLevel="0" collapsed="false">
      <c r="A116" s="0" t="s">
        <v>96</v>
      </c>
      <c r="B116" s="0" t="n">
        <v>2</v>
      </c>
      <c r="C116" s="0" t="str">
        <f aca="false">IF('Little Explorers Kits'!C122="","",'Little Explorers Kits'!C122)</f>
        <v>Soil moisture sensor</v>
      </c>
      <c r="D116" s="0" t="n">
        <f aca="false">IF('Little Explorers Kits'!D122="","",'Little Explorers Kits'!D122)</f>
        <v>1</v>
      </c>
      <c r="E116" s="0" t="str">
        <f aca="false">IF('Little Explorers Kits'!E122="","",'Little Explorers Kits'!E122)</f>
        <v>Per group</v>
      </c>
      <c r="F116" s="0" t="str">
        <f aca="false">IFERROR(INDEX('Session Tracker'!$M$5:$M$149,MATCH($A116,'Session Tracker'!$D$5:$D$149,0))+0,"")</f>
        <v/>
      </c>
      <c r="G116" s="0" t="str">
        <f aca="false">IF(ISNUMBER(F116),IF(OR(B116=0,B116=99,C116&lt;&gt;""),F116*100+B116,""),"")</f>
        <v/>
      </c>
      <c r="H116" s="0" t="n">
        <f aca="false">IFERROR(INDEX('Session Tracker'!$J$5:$J$149,MATCH($A116,'Session Tracker'!$D$5:$D$149,0)),0)</f>
        <v>8</v>
      </c>
      <c r="I116" s="0" t="n">
        <f aca="false">IF(OR(B116=0,B116=99,C116=""),"",IF(E116="Per class",D116,D116*H116))</f>
        <v>8</v>
      </c>
      <c r="N116" s="0" t="str">
        <f aca="false">IF('Little Explorers Kits'!B122="","",'Little Explorers Kits'!B122)</f>
        <v>Sensors</v>
      </c>
      <c r="O116" s="0" t="str">
        <f aca="false">IF('Little Explorers Kits'!F122="","",'Little Explorers Kits'!F122)</f>
        <v>Reusable</v>
      </c>
      <c r="P116" s="0" t="str">
        <f aca="false">IF('Little Explorers Kits'!G122="","",'Little Explorers Kits'!G122)</f>
        <v/>
      </c>
    </row>
    <row r="117" customFormat="false" ht="15" hidden="false" customHeight="false" outlineLevel="0" collapsed="false">
      <c r="A117" s="0" t="s">
        <v>96</v>
      </c>
      <c r="B117" s="0" t="n">
        <v>3</v>
      </c>
      <c r="C117" s="0" t="str">
        <f aca="false">IF('Little Explorers Kits'!C123="","",'Little Explorers Kits'!C123)</f>
        <v>Buzzer</v>
      </c>
      <c r="D117" s="0" t="n">
        <f aca="false">IF('Little Explorers Kits'!D123="","",'Little Explorers Kits'!D123)</f>
        <v>1</v>
      </c>
      <c r="E117" s="0" t="str">
        <f aca="false">IF('Little Explorers Kits'!E123="","",'Little Explorers Kits'!E123)</f>
        <v>Per group</v>
      </c>
      <c r="F117" s="0" t="str">
        <f aca="false">IFERROR(INDEX('Session Tracker'!$M$5:$M$149,MATCH($A117,'Session Tracker'!$D$5:$D$149,0))+0,"")</f>
        <v/>
      </c>
      <c r="G117" s="0" t="str">
        <f aca="false">IF(ISNUMBER(F117),IF(OR(B117=0,B117=99,C117&lt;&gt;""),F117*100+B117,""),"")</f>
        <v/>
      </c>
      <c r="H117" s="0" t="n">
        <f aca="false">IFERROR(INDEX('Session Tracker'!$J$5:$J$149,MATCH($A117,'Session Tracker'!$D$5:$D$149,0)),0)</f>
        <v>8</v>
      </c>
      <c r="I117" s="0" t="n">
        <f aca="false">IF(OR(B117=0,B117=99,C117=""),"",IF(E117="Per class",D117,D117*H117))</f>
        <v>8</v>
      </c>
      <c r="N117" s="0" t="str">
        <f aca="false">IF('Little Explorers Kits'!B123="","",'Little Explorers Kits'!B123)</f>
        <v>Actuators &amp; Motor Drivers</v>
      </c>
      <c r="O117" s="0" t="str">
        <f aca="false">IF('Little Explorers Kits'!F123="","",'Little Explorers Kits'!F123)</f>
        <v>Reusable</v>
      </c>
      <c r="P117" s="0" t="str">
        <f aca="false">IF('Little Explorers Kits'!G123="","",'Little Explorers Kits'!G123)</f>
        <v/>
      </c>
    </row>
    <row r="118" customFormat="false" ht="15" hidden="false" customHeight="false" outlineLevel="0" collapsed="false">
      <c r="A118" s="0" t="s">
        <v>96</v>
      </c>
      <c r="B118" s="0" t="n">
        <v>4</v>
      </c>
      <c r="C118" s="0" t="str">
        <f aca="false">IF('Little Explorers Kits'!C124="","",'Little Explorers Kits'!C124)</f>
        <v>LED 5 mm (assorted)</v>
      </c>
      <c r="D118" s="0" t="n">
        <f aca="false">IF('Little Explorers Kits'!D124="","",'Little Explorers Kits'!D124)</f>
        <v>1</v>
      </c>
      <c r="E118" s="0" t="str">
        <f aca="false">IF('Little Explorers Kits'!E124="","",'Little Explorers Kits'!E124)</f>
        <v>Per group</v>
      </c>
      <c r="F118" s="0" t="str">
        <f aca="false">IFERROR(INDEX('Session Tracker'!$M$5:$M$149,MATCH($A118,'Session Tracker'!$D$5:$D$149,0))+0,"")</f>
        <v/>
      </c>
      <c r="G118" s="0" t="str">
        <f aca="false">IF(ISNUMBER(F118),IF(OR(B118=0,B118=99,C118&lt;&gt;""),F118*100+B118,""),"")</f>
        <v/>
      </c>
      <c r="H118" s="0" t="n">
        <f aca="false">IFERROR(INDEX('Session Tracker'!$J$5:$J$149,MATCH($A118,'Session Tracker'!$D$5:$D$149,0)),0)</f>
        <v>8</v>
      </c>
      <c r="I118" s="0" t="n">
        <f aca="false">IF(OR(B118=0,B118=99,C118=""),"",IF(E118="Per class",D118,D118*H118))</f>
        <v>8</v>
      </c>
      <c r="N118" s="0" t="str">
        <f aca="false">IF('Little Explorers Kits'!B124="","",'Little Explorers Kits'!B124)</f>
        <v>Displays &amp; Output</v>
      </c>
      <c r="O118" s="0" t="str">
        <f aca="false">IF('Little Explorers Kits'!F124="","",'Little Explorers Kits'!F124)</f>
        <v>Consumable</v>
      </c>
      <c r="P118" s="0" t="str">
        <f aca="false">IF('Little Explorers Kits'!G124="","",'Little Explorers Kits'!G124)</f>
        <v/>
      </c>
    </row>
    <row r="119" customFormat="false" ht="15" hidden="false" customHeight="false" outlineLevel="0" collapsed="false">
      <c r="A119" s="0" t="s">
        <v>96</v>
      </c>
      <c r="B119" s="0" t="n">
        <v>5</v>
      </c>
      <c r="C119" s="0" t="str">
        <f aca="false">IF('Little Explorers Kits'!C125="","",'Little Explorers Kits'!C125)</f>
        <v>Resistor 220 ohm</v>
      </c>
      <c r="D119" s="0" t="n">
        <f aca="false">IF('Little Explorers Kits'!D125="","",'Little Explorers Kits'!D125)</f>
        <v>1</v>
      </c>
      <c r="E119" s="0" t="str">
        <f aca="false">IF('Little Explorers Kits'!E125="","",'Little Explorers Kits'!E125)</f>
        <v>Per group</v>
      </c>
      <c r="F119" s="0" t="str">
        <f aca="false">IFERROR(INDEX('Session Tracker'!$M$5:$M$149,MATCH($A119,'Session Tracker'!$D$5:$D$149,0))+0,"")</f>
        <v/>
      </c>
      <c r="G119" s="0" t="str">
        <f aca="false">IF(ISNUMBER(F119),IF(OR(B119=0,B119=99,C119&lt;&gt;""),F119*100+B119,""),"")</f>
        <v/>
      </c>
      <c r="H119" s="0" t="n">
        <f aca="false">IFERROR(INDEX('Session Tracker'!$J$5:$J$149,MATCH($A119,'Session Tracker'!$D$5:$D$149,0)),0)</f>
        <v>8</v>
      </c>
      <c r="I119" s="0" t="n">
        <f aca="false">IF(OR(B119=0,B119=99,C119=""),"",IF(E119="Per class",D119,D119*H119))</f>
        <v>8</v>
      </c>
      <c r="N119" s="0" t="str">
        <f aca="false">IF('Little Explorers Kits'!B125="","",'Little Explorers Kits'!B125)</f>
        <v>Passive Components &amp; ICs</v>
      </c>
      <c r="O119" s="0" t="str">
        <f aca="false">IF('Little Explorers Kits'!F125="","",'Little Explorers Kits'!F125)</f>
        <v>Consumable</v>
      </c>
      <c r="P119" s="0" t="str">
        <f aca="false">IF('Little Explorers Kits'!G125="","",'Little Explorers Kits'!G125)</f>
        <v/>
      </c>
    </row>
    <row r="120" customFormat="false" ht="15" hidden="false" customHeight="false" outlineLevel="0" collapsed="false">
      <c r="A120" s="0" t="s">
        <v>96</v>
      </c>
      <c r="B120" s="0" t="n">
        <v>6</v>
      </c>
      <c r="C120" s="0" t="str">
        <f aca="false">IF('Little Explorers Kits'!C126="","",'Little Explorers Kits'!C126)</f>
        <v>Plant pot with soil</v>
      </c>
      <c r="D120" s="0" t="n">
        <f aca="false">IF('Little Explorers Kits'!D126="","",'Little Explorers Kits'!D126)</f>
        <v>1</v>
      </c>
      <c r="E120" s="0" t="str">
        <f aca="false">IF('Little Explorers Kits'!E126="","",'Little Explorers Kits'!E126)</f>
        <v>Per group</v>
      </c>
      <c r="F120" s="0" t="str">
        <f aca="false">IFERROR(INDEX('Session Tracker'!$M$5:$M$149,MATCH($A120,'Session Tracker'!$D$5:$D$149,0))+0,"")</f>
        <v/>
      </c>
      <c r="G120" s="0" t="str">
        <f aca="false">IF(ISNUMBER(F120),IF(OR(B120=0,B120=99,C120&lt;&gt;""),F120*100+B120,""),"")</f>
        <v/>
      </c>
      <c r="H120" s="0" t="n">
        <f aca="false">IFERROR(INDEX('Session Tracker'!$J$5:$J$149,MATCH($A120,'Session Tracker'!$D$5:$D$149,0)),0)</f>
        <v>8</v>
      </c>
      <c r="I120" s="0" t="n">
        <f aca="false">IF(OR(B120=0,B120=99,C120=""),"",IF(E120="Per class",D120,D120*H120))</f>
        <v>8</v>
      </c>
      <c r="N120" s="0" t="str">
        <f aca="false">IF('Little Explorers Kits'!B126="","",'Little Explorers Kits'!B126)</f>
        <v>Craft &amp; Stationery</v>
      </c>
      <c r="O120" s="0" t="str">
        <f aca="false">IF('Little Explorers Kits'!F126="","",'Little Explorers Kits'!F126)</f>
        <v>Consumable</v>
      </c>
      <c r="P120" s="0" t="str">
        <f aca="false">IF('Little Explorers Kits'!G126="","",'Little Explorers Kits'!G126)</f>
        <v/>
      </c>
    </row>
    <row r="121" customFormat="false" ht="15" hidden="false" customHeight="false" outlineLevel="0" collapsed="false">
      <c r="A121" s="0" t="s">
        <v>96</v>
      </c>
      <c r="B121" s="0" t="n">
        <v>7</v>
      </c>
      <c r="C121" s="0" t="str">
        <f aca="false">IF('Little Explorers Kits'!C127="","",'Little Explorers Kits'!C127)</f>
        <v>Water container</v>
      </c>
      <c r="D121" s="0" t="n">
        <f aca="false">IF('Little Explorers Kits'!D127="","",'Little Explorers Kits'!D127)</f>
        <v>1</v>
      </c>
      <c r="E121" s="0" t="str">
        <f aca="false">IF('Little Explorers Kits'!E127="","",'Little Explorers Kits'!E127)</f>
        <v>Per class</v>
      </c>
      <c r="F121" s="0" t="str">
        <f aca="false">IFERROR(INDEX('Session Tracker'!$M$5:$M$149,MATCH($A121,'Session Tracker'!$D$5:$D$149,0))+0,"")</f>
        <v/>
      </c>
      <c r="G121" s="0" t="str">
        <f aca="false">IF(ISNUMBER(F121),IF(OR(B121=0,B121=99,C121&lt;&gt;""),F121*100+B121,""),"")</f>
        <v/>
      </c>
      <c r="H121" s="0" t="n">
        <f aca="false">IFERROR(INDEX('Session Tracker'!$J$5:$J$149,MATCH($A121,'Session Tracker'!$D$5:$D$149,0)),0)</f>
        <v>8</v>
      </c>
      <c r="I121" s="0" t="n">
        <f aca="false">IF(OR(B121=0,B121=99,C121=""),"",IF(E121="Per class",D121,D121*H121))</f>
        <v>1</v>
      </c>
      <c r="N121" s="0" t="str">
        <f aca="false">IF('Little Explorers Kits'!B127="","",'Little Explorers Kits'!B127)</f>
        <v>Craft &amp; Stationery</v>
      </c>
      <c r="O121" s="0" t="str">
        <f aca="false">IF('Little Explorers Kits'!F127="","",'Little Explorers Kits'!F127)</f>
        <v>Reusable</v>
      </c>
      <c r="P121" s="0" t="str">
        <f aca="false">IF('Little Explorers Kits'!G127="","",'Little Explorers Kits'!G127)</f>
        <v/>
      </c>
    </row>
    <row r="122" customFormat="false" ht="15" hidden="false" customHeight="false" outlineLevel="0" collapsed="false">
      <c r="A122" s="0" t="s">
        <v>96</v>
      </c>
      <c r="B122" s="0" t="n">
        <v>8</v>
      </c>
      <c r="C122" s="0" t="str">
        <f aca="false">IF('Little Explorers Kits'!C128="","",'Little Explorers Kits'!C128)</f>
        <v>Breadboard (half size)</v>
      </c>
      <c r="D122" s="0" t="n">
        <f aca="false">IF('Little Explorers Kits'!D128="","",'Little Explorers Kits'!D128)</f>
        <v>1</v>
      </c>
      <c r="E122" s="0" t="str">
        <f aca="false">IF('Little Explorers Kits'!E128="","",'Little Explorers Kits'!E128)</f>
        <v>Per group</v>
      </c>
      <c r="F122" s="0" t="str">
        <f aca="false">IFERROR(INDEX('Session Tracker'!$M$5:$M$149,MATCH($A122,'Session Tracker'!$D$5:$D$149,0))+0,"")</f>
        <v/>
      </c>
      <c r="G122" s="0" t="str">
        <f aca="false">IF(ISNUMBER(F122),IF(OR(B122=0,B122=99,C122&lt;&gt;""),F122*100+B122,""),"")</f>
        <v/>
      </c>
      <c r="H122" s="0" t="n">
        <f aca="false">IFERROR(INDEX('Session Tracker'!$J$5:$J$149,MATCH($A122,'Session Tracker'!$D$5:$D$149,0)),0)</f>
        <v>8</v>
      </c>
      <c r="I122" s="0" t="n">
        <f aca="false">IF(OR(B122=0,B122=99,C122=""),"",IF(E122="Per class",D122,D122*H122))</f>
        <v>8</v>
      </c>
      <c r="N122" s="0" t="str">
        <f aca="false">IF('Little Explorers Kits'!B128="","",'Little Explorers Kits'!B128)</f>
        <v>Wiring &amp; Prototyping</v>
      </c>
      <c r="O122" s="0" t="str">
        <f aca="false">IF('Little Explorers Kits'!F128="","",'Little Explorers Kits'!F128)</f>
        <v>Reusable</v>
      </c>
      <c r="P122" s="0" t="str">
        <f aca="false">IF('Little Explorers Kits'!G128="","",'Little Explorers Kits'!G128)</f>
        <v/>
      </c>
    </row>
    <row r="123" customFormat="false" ht="15" hidden="false" customHeight="false" outlineLevel="0" collapsed="false">
      <c r="A123" s="0" t="s">
        <v>96</v>
      </c>
      <c r="B123" s="0" t="n">
        <v>9</v>
      </c>
      <c r="C123" s="0" t="str">
        <f aca="false">IF('Little Explorers Kits'!C129="","",'Little Explorers Kits'!C129)</f>
        <v>Jumper wires M-M</v>
      </c>
      <c r="D123" s="0" t="n">
        <f aca="false">IF('Little Explorers Kits'!D129="","",'Little Explorers Kits'!D129)</f>
        <v>4</v>
      </c>
      <c r="E123" s="0" t="str">
        <f aca="false">IF('Little Explorers Kits'!E129="","",'Little Explorers Kits'!E129)</f>
        <v>Per group</v>
      </c>
      <c r="F123" s="0" t="str">
        <f aca="false">IFERROR(INDEX('Session Tracker'!$M$5:$M$149,MATCH($A123,'Session Tracker'!$D$5:$D$149,0))+0,"")</f>
        <v/>
      </c>
      <c r="G123" s="0" t="str">
        <f aca="false">IF(ISNUMBER(F123),IF(OR(B123=0,B123=99,C123&lt;&gt;""),F123*100+B123,""),"")</f>
        <v/>
      </c>
      <c r="H123" s="0" t="n">
        <f aca="false">IFERROR(INDEX('Session Tracker'!$J$5:$J$149,MATCH($A123,'Session Tracker'!$D$5:$D$149,0)),0)</f>
        <v>8</v>
      </c>
      <c r="I123" s="0" t="n">
        <f aca="false">IF(OR(B123=0,B123=99,C123=""),"",IF(E123="Per class",D123,D123*H123))</f>
        <v>32</v>
      </c>
      <c r="N123" s="0" t="str">
        <f aca="false">IF('Little Explorers Kits'!B129="","",'Little Explorers Kits'!B129)</f>
        <v>Wiring &amp; Prototyping</v>
      </c>
      <c r="O123" s="0" t="str">
        <f aca="false">IF('Little Explorers Kits'!F129="","",'Little Explorers Kits'!F129)</f>
        <v>Reusable</v>
      </c>
      <c r="P123" s="0" t="str">
        <f aca="false">IF('Little Explorers Kits'!G129="","",'Little Explorers Kits'!G129)</f>
        <v/>
      </c>
    </row>
    <row r="124" customFormat="false" ht="15" hidden="false" customHeight="false" outlineLevel="0" collapsed="false">
      <c r="A124" s="0" t="s">
        <v>96</v>
      </c>
      <c r="B124" s="0" t="n">
        <v>10</v>
      </c>
      <c r="C124" s="0" t="str">
        <f aca="false">IF('Little Explorers Kits'!C130="","",'Little Explorers Kits'!C130)</f>
        <v>Jumper wires M-F</v>
      </c>
      <c r="D124" s="0" t="n">
        <f aca="false">IF('Little Explorers Kits'!D130="","",'Little Explorers Kits'!D130)</f>
        <v>3</v>
      </c>
      <c r="E124" s="0" t="str">
        <f aca="false">IF('Little Explorers Kits'!E130="","",'Little Explorers Kits'!E130)</f>
        <v>Per group</v>
      </c>
      <c r="F124" s="0" t="str">
        <f aca="false">IFERROR(INDEX('Session Tracker'!$M$5:$M$149,MATCH($A124,'Session Tracker'!$D$5:$D$149,0))+0,"")</f>
        <v/>
      </c>
      <c r="G124" s="0" t="str">
        <f aca="false">IF(ISNUMBER(F124),IF(OR(B124=0,B124=99,C124&lt;&gt;""),F124*100+B124,""),"")</f>
        <v/>
      </c>
      <c r="H124" s="0" t="n">
        <f aca="false">IFERROR(INDEX('Session Tracker'!$J$5:$J$149,MATCH($A124,'Session Tracker'!$D$5:$D$149,0)),0)</f>
        <v>8</v>
      </c>
      <c r="I124" s="0" t="n">
        <f aca="false">IF(OR(B124=0,B124=99,C124=""),"",IF(E124="Per class",D124,D124*H124))</f>
        <v>24</v>
      </c>
      <c r="N124" s="0" t="str">
        <f aca="false">IF('Little Explorers Kits'!B130="","",'Little Explorers Kits'!B130)</f>
        <v>Wiring &amp; Prototyping</v>
      </c>
      <c r="O124" s="0" t="str">
        <f aca="false">IF('Little Explorers Kits'!F130="","",'Little Explorers Kits'!F130)</f>
        <v>Reusable</v>
      </c>
      <c r="P124" s="0" t="str">
        <f aca="false">IF('Little Explorers Kits'!G130="","",'Little Explorers Kits'!G130)</f>
        <v/>
      </c>
    </row>
    <row r="125" customFormat="false" ht="15" hidden="false" customHeight="false" outlineLevel="0" collapsed="false">
      <c r="A125" s="0" t="s">
        <v>96</v>
      </c>
      <c r="B125" s="0" t="n">
        <v>11</v>
      </c>
      <c r="C125" s="0" t="str">
        <f aca="false">IF('Little Explorers Kits'!C131="","",'Little Explorers Kits'!C131)</f>
        <v>Laptop</v>
      </c>
      <c r="D125" s="0" t="n">
        <f aca="false">IF('Little Explorers Kits'!D131="","",'Little Explorers Kits'!D131)</f>
        <v>1</v>
      </c>
      <c r="E125" s="0" t="str">
        <f aca="false">IF('Little Explorers Kits'!E131="","",'Little Explorers Kits'!E131)</f>
        <v>Per group</v>
      </c>
      <c r="F125" s="0" t="str">
        <f aca="false">IFERROR(INDEX('Session Tracker'!$M$5:$M$149,MATCH($A125,'Session Tracker'!$D$5:$D$149,0))+0,"")</f>
        <v/>
      </c>
      <c r="G125" s="0" t="str">
        <f aca="false">IF(ISNUMBER(F125),IF(OR(B125=0,B125=99,C125&lt;&gt;""),F125*100+B125,""),"")</f>
        <v/>
      </c>
      <c r="H125" s="0" t="n">
        <f aca="false">IFERROR(INDEX('Session Tracker'!$J$5:$J$149,MATCH($A125,'Session Tracker'!$D$5:$D$149,0)),0)</f>
        <v>8</v>
      </c>
      <c r="I125" s="0" t="n">
        <f aca="false">IF(OR(B125=0,B125=99,C125=""),"",IF(E125="Per class",D125,D125*H125))</f>
        <v>8</v>
      </c>
      <c r="N125" s="0" t="str">
        <f aca="false">IF('Little Explorers Kits'!B131="","",'Little Explorers Kits'!B131)</f>
        <v>Computers &amp; Equipment</v>
      </c>
      <c r="O125" s="0" t="str">
        <f aca="false">IF('Little Explorers Kits'!F131="","",'Little Explorers Kits'!F131)</f>
        <v>Reusable</v>
      </c>
      <c r="P125" s="0" t="str">
        <f aca="false">IF('Little Explorers Kits'!G131="","",'Little Explorers Kits'!G131)</f>
        <v/>
      </c>
    </row>
    <row r="126" customFormat="false" ht="15" hidden="false" customHeight="false" outlineLevel="0" collapsed="false">
      <c r="A126" s="0" t="s">
        <v>96</v>
      </c>
      <c r="B126" s="0" t="n">
        <v>12</v>
      </c>
      <c r="C126" s="0" t="str">
        <f aca="false">IF('Little Explorers Kits'!C132="","",'Little Explorers Kits'!C132)</f>
        <v/>
      </c>
      <c r="D126" s="0" t="str">
        <f aca="false">IF('Little Explorers Kits'!D132="","",'Little Explorers Kits'!D132)</f>
        <v/>
      </c>
      <c r="E126" s="0" t="str">
        <f aca="false">IF('Little Explorers Kits'!E132="","",'Little Explorers Kits'!E132)</f>
        <v/>
      </c>
      <c r="F126" s="0" t="str">
        <f aca="false">IFERROR(INDEX('Session Tracker'!$M$5:$M$149,MATCH($A126,'Session Tracker'!$D$5:$D$149,0))+0,"")</f>
        <v/>
      </c>
      <c r="G126" s="0" t="str">
        <f aca="false">IF(ISNUMBER(F126),IF(OR(B126=0,B126=99,C126&lt;&gt;""),F126*100+B126,""),"")</f>
        <v/>
      </c>
      <c r="H126" s="0" t="n">
        <f aca="false">IFERROR(INDEX('Session Tracker'!$J$5:$J$149,MATCH($A126,'Session Tracker'!$D$5:$D$149,0)),0)</f>
        <v>8</v>
      </c>
      <c r="I126" s="0" t="str">
        <f aca="false">IF(OR(B126=0,B126=99,C126=""),"",IF(E126="Per class",D126,D126*H126))</f>
        <v/>
      </c>
      <c r="N126" s="0" t="str">
        <f aca="false">IF('Little Explorers Kits'!B132="","",'Little Explorers Kits'!B132)</f>
        <v/>
      </c>
      <c r="O126" s="0" t="str">
        <f aca="false">IF('Little Explorers Kits'!F132="","",'Little Explorers Kits'!F132)</f>
        <v/>
      </c>
      <c r="P126" s="0" t="str">
        <f aca="false">IF('Little Explorers Kits'!G132="","",'Little Explorers Kits'!G132)</f>
        <v/>
      </c>
    </row>
    <row r="127" customFormat="false" ht="15" hidden="false" customHeight="false" outlineLevel="0" collapsed="false">
      <c r="A127" s="0" t="s">
        <v>96</v>
      </c>
      <c r="B127" s="0" t="n">
        <v>13</v>
      </c>
      <c r="C127" s="0" t="str">
        <f aca="false">IF('Little Explorers Kits'!C133="","",'Little Explorers Kits'!C133)</f>
        <v/>
      </c>
      <c r="D127" s="0" t="str">
        <f aca="false">IF('Little Explorers Kits'!D133="","",'Little Explorers Kits'!D133)</f>
        <v/>
      </c>
      <c r="E127" s="0" t="str">
        <f aca="false">IF('Little Explorers Kits'!E133="","",'Little Explorers Kits'!E133)</f>
        <v/>
      </c>
      <c r="F127" s="0" t="str">
        <f aca="false">IFERROR(INDEX('Session Tracker'!$M$5:$M$149,MATCH($A127,'Session Tracker'!$D$5:$D$149,0))+0,"")</f>
        <v/>
      </c>
      <c r="G127" s="0" t="str">
        <f aca="false">IF(ISNUMBER(F127),IF(OR(B127=0,B127=99,C127&lt;&gt;""),F127*100+B127,""),"")</f>
        <v/>
      </c>
      <c r="H127" s="0" t="n">
        <f aca="false">IFERROR(INDEX('Session Tracker'!$J$5:$J$149,MATCH($A127,'Session Tracker'!$D$5:$D$149,0)),0)</f>
        <v>8</v>
      </c>
      <c r="I127" s="0" t="str">
        <f aca="false">IF(OR(B127=0,B127=99,C127=""),"",IF(E127="Per class",D127,D127*H127))</f>
        <v/>
      </c>
      <c r="N127" s="0" t="str">
        <f aca="false">IF('Little Explorers Kits'!B133="","",'Little Explorers Kits'!B133)</f>
        <v/>
      </c>
      <c r="O127" s="0" t="str">
        <f aca="false">IF('Little Explorers Kits'!F133="","",'Little Explorers Kits'!F133)</f>
        <v/>
      </c>
      <c r="P127" s="0" t="str">
        <f aca="false">IF('Little Explorers Kits'!G133="","",'Little Explorers Kits'!G133)</f>
        <v/>
      </c>
    </row>
    <row r="128" customFormat="false" ht="15" hidden="false" customHeight="false" outlineLevel="0" collapsed="false">
      <c r="A128" s="0" t="s">
        <v>98</v>
      </c>
      <c r="B128" s="0" t="n">
        <v>0</v>
      </c>
      <c r="F128" s="0" t="str">
        <f aca="false">IFERROR(INDEX('Session Tracker'!$M$5:$M$149,MATCH($A128,'Session Tracker'!$D$5:$D$149,0))+0,"")</f>
        <v/>
      </c>
      <c r="G128" s="0" t="str">
        <f aca="false">IF(ISNUMBER(F128),IF(OR(B128=0,B128=99,C128&lt;&gt;""),F128*100+B128,""),"")</f>
        <v/>
      </c>
      <c r="H128" s="0" t="n">
        <f aca="false">IFERROR(INDEX('Session Tracker'!$J$5:$J$149,MATCH($A128,'Session Tracker'!$D$5:$D$149,0)),0)</f>
        <v>8</v>
      </c>
      <c r="I128" s="0" t="str">
        <f aca="false">IF(OR(B128=0,B128=99,C128=""),"",IF(E128="Per class",D128,D128*H128))</f>
        <v/>
      </c>
      <c r="K128" s="0" t="str">
        <f aca="false">IFERROR(INDEX('Session Tracker'!$E$5:$E$149,MATCH($A128,'Session Tracker'!$D$5:$D$149,0)),"")</f>
        <v>Motion Detector Room Alarm</v>
      </c>
      <c r="L128" s="0" t="str">
        <f aca="false">IFERROR(INDEX('Session Tracker'!$A$5:$A$149,MATCH($A128,'Session Tracker'!$D$5:$D$149,0)),"")</f>
        <v>Little Explorers (5-7)</v>
      </c>
      <c r="M128" s="0" t="str">
        <f aca="false">IFERROR(INDEX('Session Tracker'!$H$5:$H$149,MATCH($A128,'Session Tracker'!$D$5:$D$149,0))&amp;"","")</f>
        <v/>
      </c>
      <c r="Q128" s="0" t="str">
        <f aca="false">IFERROR("Status: "&amp;INDEX('Session Tracker'!$F$5:$F$149,MATCH($A128,'Session Tracker'!$D$5:$D$149,0))&amp;IF(INDEX('Session Tracker'!$G$5:$G$149,MATCH($A128,'Session Tracker'!$D$5:$D$149,0))&lt;&gt;""," ("&amp;INDEX('Session Tracker'!$G$5:$G$149,MATCH($A128,'Session Tracker'!$D$5:$D$149,0))&amp;")","")&amp;IF(M128&lt;&gt;"","  "&amp;M128,""),"")</f>
        <v>Status: Not started</v>
      </c>
    </row>
    <row r="129" customFormat="false" ht="15" hidden="false" customHeight="false" outlineLevel="0" collapsed="false">
      <c r="A129" s="0" t="s">
        <v>98</v>
      </c>
      <c r="B129" s="0" t="n">
        <v>1</v>
      </c>
      <c r="C129" s="0" t="str">
        <f aca="false">IF('Little Explorers Kits'!C136="","",'Little Explorers Kits'!C136)</f>
        <v>Arduino Uno + USB cable</v>
      </c>
      <c r="D129" s="0" t="n">
        <f aca="false">IF('Little Explorers Kits'!D136="","",'Little Explorers Kits'!D136)</f>
        <v>1</v>
      </c>
      <c r="E129" s="0" t="str">
        <f aca="false">IF('Little Explorers Kits'!E136="","",'Little Explorers Kits'!E136)</f>
        <v>Per group</v>
      </c>
      <c r="F129" s="0" t="str">
        <f aca="false">IFERROR(INDEX('Session Tracker'!$M$5:$M$149,MATCH($A129,'Session Tracker'!$D$5:$D$149,0))+0,"")</f>
        <v/>
      </c>
      <c r="G129" s="0" t="str">
        <f aca="false">IF(ISNUMBER(F129),IF(OR(B129=0,B129=99,C129&lt;&gt;""),F129*100+B129,""),"")</f>
        <v/>
      </c>
      <c r="H129" s="0" t="n">
        <f aca="false">IFERROR(INDEX('Session Tracker'!$J$5:$J$149,MATCH($A129,'Session Tracker'!$D$5:$D$149,0)),0)</f>
        <v>8</v>
      </c>
      <c r="I129" s="0" t="n">
        <f aca="false">IF(OR(B129=0,B129=99,C129=""),"",IF(E129="Per class",D129,D129*H129))</f>
        <v>8</v>
      </c>
      <c r="N129" s="0" t="str">
        <f aca="false">IF('Little Explorers Kits'!B136="","",'Little Explorers Kits'!B136)</f>
        <v>Microcontrollers &amp; Dev Boards</v>
      </c>
      <c r="O129" s="0" t="str">
        <f aca="false">IF('Little Explorers Kits'!F136="","",'Little Explorers Kits'!F136)</f>
        <v>Reusable</v>
      </c>
      <c r="P129" s="0" t="str">
        <f aca="false">IF('Little Explorers Kits'!G136="","",'Little Explorers Kits'!G136)</f>
        <v>Pre-wired by teacher</v>
      </c>
    </row>
    <row r="130" customFormat="false" ht="15" hidden="false" customHeight="false" outlineLevel="0" collapsed="false">
      <c r="A130" s="0" t="s">
        <v>98</v>
      </c>
      <c r="B130" s="0" t="n">
        <v>2</v>
      </c>
      <c r="C130" s="0" t="str">
        <f aca="false">IF('Little Explorers Kits'!C137="","",'Little Explorers Kits'!C137)</f>
        <v>PIR motion sensor</v>
      </c>
      <c r="D130" s="0" t="n">
        <f aca="false">IF('Little Explorers Kits'!D137="","",'Little Explorers Kits'!D137)</f>
        <v>1</v>
      </c>
      <c r="E130" s="0" t="str">
        <f aca="false">IF('Little Explorers Kits'!E137="","",'Little Explorers Kits'!E137)</f>
        <v>Per group</v>
      </c>
      <c r="F130" s="0" t="str">
        <f aca="false">IFERROR(INDEX('Session Tracker'!$M$5:$M$149,MATCH($A130,'Session Tracker'!$D$5:$D$149,0))+0,"")</f>
        <v/>
      </c>
      <c r="G130" s="0" t="str">
        <f aca="false">IF(ISNUMBER(F130),IF(OR(B130=0,B130=99,C130&lt;&gt;""),F130*100+B130,""),"")</f>
        <v/>
      </c>
      <c r="H130" s="0" t="n">
        <f aca="false">IFERROR(INDEX('Session Tracker'!$J$5:$J$149,MATCH($A130,'Session Tracker'!$D$5:$D$149,0)),0)</f>
        <v>8</v>
      </c>
      <c r="I130" s="0" t="n">
        <f aca="false">IF(OR(B130=0,B130=99,C130=""),"",IF(E130="Per class",D130,D130*H130))</f>
        <v>8</v>
      </c>
      <c r="N130" s="0" t="str">
        <f aca="false">IF('Little Explorers Kits'!B137="","",'Little Explorers Kits'!B137)</f>
        <v>Sensors</v>
      </c>
      <c r="O130" s="0" t="str">
        <f aca="false">IF('Little Explorers Kits'!F137="","",'Little Explorers Kits'!F137)</f>
        <v>Reusable</v>
      </c>
      <c r="P130" s="0" t="str">
        <f aca="false">IF('Little Explorers Kits'!G137="","",'Little Explorers Kits'!G137)</f>
        <v/>
      </c>
    </row>
    <row r="131" customFormat="false" ht="15" hidden="false" customHeight="false" outlineLevel="0" collapsed="false">
      <c r="A131" s="0" t="s">
        <v>98</v>
      </c>
      <c r="B131" s="0" t="n">
        <v>3</v>
      </c>
      <c r="C131" s="0" t="str">
        <f aca="false">IF('Little Explorers Kits'!C138="","",'Little Explorers Kits'!C138)</f>
        <v>Buzzer</v>
      </c>
      <c r="D131" s="0" t="n">
        <f aca="false">IF('Little Explorers Kits'!D138="","",'Little Explorers Kits'!D138)</f>
        <v>1</v>
      </c>
      <c r="E131" s="0" t="str">
        <f aca="false">IF('Little Explorers Kits'!E138="","",'Little Explorers Kits'!E138)</f>
        <v>Per group</v>
      </c>
      <c r="F131" s="0" t="str">
        <f aca="false">IFERROR(INDEX('Session Tracker'!$M$5:$M$149,MATCH($A131,'Session Tracker'!$D$5:$D$149,0))+0,"")</f>
        <v/>
      </c>
      <c r="G131" s="0" t="str">
        <f aca="false">IF(ISNUMBER(F131),IF(OR(B131=0,B131=99,C131&lt;&gt;""),F131*100+B131,""),"")</f>
        <v/>
      </c>
      <c r="H131" s="0" t="n">
        <f aca="false">IFERROR(INDEX('Session Tracker'!$J$5:$J$149,MATCH($A131,'Session Tracker'!$D$5:$D$149,0)),0)</f>
        <v>8</v>
      </c>
      <c r="I131" s="0" t="n">
        <f aca="false">IF(OR(B131=0,B131=99,C131=""),"",IF(E131="Per class",D131,D131*H131))</f>
        <v>8</v>
      </c>
      <c r="N131" s="0" t="str">
        <f aca="false">IF('Little Explorers Kits'!B138="","",'Little Explorers Kits'!B138)</f>
        <v>Actuators &amp; Motor Drivers</v>
      </c>
      <c r="O131" s="0" t="str">
        <f aca="false">IF('Little Explorers Kits'!F138="","",'Little Explorers Kits'!F138)</f>
        <v>Reusable</v>
      </c>
      <c r="P131" s="0" t="str">
        <f aca="false">IF('Little Explorers Kits'!G138="","",'Little Explorers Kits'!G138)</f>
        <v/>
      </c>
    </row>
    <row r="132" customFormat="false" ht="15" hidden="false" customHeight="false" outlineLevel="0" collapsed="false">
      <c r="A132" s="0" t="s">
        <v>98</v>
      </c>
      <c r="B132" s="0" t="n">
        <v>4</v>
      </c>
      <c r="C132" s="0" t="str">
        <f aca="false">IF('Little Explorers Kits'!C139="","",'Little Explorers Kits'!C139)</f>
        <v>LED 5 mm (assorted)</v>
      </c>
      <c r="D132" s="0" t="n">
        <f aca="false">IF('Little Explorers Kits'!D139="","",'Little Explorers Kits'!D139)</f>
        <v>1</v>
      </c>
      <c r="E132" s="0" t="str">
        <f aca="false">IF('Little Explorers Kits'!E139="","",'Little Explorers Kits'!E139)</f>
        <v>Per group</v>
      </c>
      <c r="F132" s="0" t="str">
        <f aca="false">IFERROR(INDEX('Session Tracker'!$M$5:$M$149,MATCH($A132,'Session Tracker'!$D$5:$D$149,0))+0,"")</f>
        <v/>
      </c>
      <c r="G132" s="0" t="str">
        <f aca="false">IF(ISNUMBER(F132),IF(OR(B132=0,B132=99,C132&lt;&gt;""),F132*100+B132,""),"")</f>
        <v/>
      </c>
      <c r="H132" s="0" t="n">
        <f aca="false">IFERROR(INDEX('Session Tracker'!$J$5:$J$149,MATCH($A132,'Session Tracker'!$D$5:$D$149,0)),0)</f>
        <v>8</v>
      </c>
      <c r="I132" s="0" t="n">
        <f aca="false">IF(OR(B132=0,B132=99,C132=""),"",IF(E132="Per class",D132,D132*H132))</f>
        <v>8</v>
      </c>
      <c r="N132" s="0" t="str">
        <f aca="false">IF('Little Explorers Kits'!B139="","",'Little Explorers Kits'!B139)</f>
        <v>Displays &amp; Output</v>
      </c>
      <c r="O132" s="0" t="str">
        <f aca="false">IF('Little Explorers Kits'!F139="","",'Little Explorers Kits'!F139)</f>
        <v>Consumable</v>
      </c>
      <c r="P132" s="0" t="str">
        <f aca="false">IF('Little Explorers Kits'!G139="","",'Little Explorers Kits'!G139)</f>
        <v/>
      </c>
    </row>
    <row r="133" customFormat="false" ht="15" hidden="false" customHeight="false" outlineLevel="0" collapsed="false">
      <c r="A133" s="0" t="s">
        <v>98</v>
      </c>
      <c r="B133" s="0" t="n">
        <v>5</v>
      </c>
      <c r="C133" s="0" t="str">
        <f aca="false">IF('Little Explorers Kits'!C140="","",'Little Explorers Kits'!C140)</f>
        <v>Resistor 220 ohm</v>
      </c>
      <c r="D133" s="0" t="n">
        <f aca="false">IF('Little Explorers Kits'!D140="","",'Little Explorers Kits'!D140)</f>
        <v>1</v>
      </c>
      <c r="E133" s="0" t="str">
        <f aca="false">IF('Little Explorers Kits'!E140="","",'Little Explorers Kits'!E140)</f>
        <v>Per group</v>
      </c>
      <c r="F133" s="0" t="str">
        <f aca="false">IFERROR(INDEX('Session Tracker'!$M$5:$M$149,MATCH($A133,'Session Tracker'!$D$5:$D$149,0))+0,"")</f>
        <v/>
      </c>
      <c r="G133" s="0" t="str">
        <f aca="false">IF(ISNUMBER(F133),IF(OR(B133=0,B133=99,C133&lt;&gt;""),F133*100+B133,""),"")</f>
        <v/>
      </c>
      <c r="H133" s="0" t="n">
        <f aca="false">IFERROR(INDEX('Session Tracker'!$J$5:$J$149,MATCH($A133,'Session Tracker'!$D$5:$D$149,0)),0)</f>
        <v>8</v>
      </c>
      <c r="I133" s="0" t="n">
        <f aca="false">IF(OR(B133=0,B133=99,C133=""),"",IF(E133="Per class",D133,D133*H133))</f>
        <v>8</v>
      </c>
      <c r="N133" s="0" t="str">
        <f aca="false">IF('Little Explorers Kits'!B140="","",'Little Explorers Kits'!B140)</f>
        <v>Passive Components &amp; ICs</v>
      </c>
      <c r="O133" s="0" t="str">
        <f aca="false">IF('Little Explorers Kits'!F140="","",'Little Explorers Kits'!F140)</f>
        <v>Consumable</v>
      </c>
      <c r="P133" s="0" t="str">
        <f aca="false">IF('Little Explorers Kits'!G140="","",'Little Explorers Kits'!G140)</f>
        <v/>
      </c>
    </row>
    <row r="134" customFormat="false" ht="15" hidden="false" customHeight="false" outlineLevel="0" collapsed="false">
      <c r="A134" s="0" t="s">
        <v>98</v>
      </c>
      <c r="B134" s="0" t="n">
        <v>6</v>
      </c>
      <c r="C134" s="0" t="str">
        <f aca="false">IF('Little Explorers Kits'!C141="","",'Little Explorers Kits'!C141)</f>
        <v>Breadboard (half size)</v>
      </c>
      <c r="D134" s="0" t="n">
        <f aca="false">IF('Little Explorers Kits'!D141="","",'Little Explorers Kits'!D141)</f>
        <v>1</v>
      </c>
      <c r="E134" s="0" t="str">
        <f aca="false">IF('Little Explorers Kits'!E141="","",'Little Explorers Kits'!E141)</f>
        <v>Per group</v>
      </c>
      <c r="F134" s="0" t="str">
        <f aca="false">IFERROR(INDEX('Session Tracker'!$M$5:$M$149,MATCH($A134,'Session Tracker'!$D$5:$D$149,0))+0,"")</f>
        <v/>
      </c>
      <c r="G134" s="0" t="str">
        <f aca="false">IF(ISNUMBER(F134),IF(OR(B134=0,B134=99,C134&lt;&gt;""),F134*100+B134,""),"")</f>
        <v/>
      </c>
      <c r="H134" s="0" t="n">
        <f aca="false">IFERROR(INDEX('Session Tracker'!$J$5:$J$149,MATCH($A134,'Session Tracker'!$D$5:$D$149,0)),0)</f>
        <v>8</v>
      </c>
      <c r="I134" s="0" t="n">
        <f aca="false">IF(OR(B134=0,B134=99,C134=""),"",IF(E134="Per class",D134,D134*H134))</f>
        <v>8</v>
      </c>
      <c r="N134" s="0" t="str">
        <f aca="false">IF('Little Explorers Kits'!B141="","",'Little Explorers Kits'!B141)</f>
        <v>Wiring &amp; Prototyping</v>
      </c>
      <c r="O134" s="0" t="str">
        <f aca="false">IF('Little Explorers Kits'!F141="","",'Little Explorers Kits'!F141)</f>
        <v>Reusable</v>
      </c>
      <c r="P134" s="0" t="str">
        <f aca="false">IF('Little Explorers Kits'!G141="","",'Little Explorers Kits'!G141)</f>
        <v/>
      </c>
    </row>
    <row r="135" customFormat="false" ht="15" hidden="false" customHeight="false" outlineLevel="0" collapsed="false">
      <c r="A135" s="0" t="s">
        <v>98</v>
      </c>
      <c r="B135" s="0" t="n">
        <v>7</v>
      </c>
      <c r="C135" s="0" t="str">
        <f aca="false">IF('Little Explorers Kits'!C142="","",'Little Explorers Kits'!C142)</f>
        <v>Jumper wires M-M</v>
      </c>
      <c r="D135" s="0" t="n">
        <f aca="false">IF('Little Explorers Kits'!D142="","",'Little Explorers Kits'!D142)</f>
        <v>4</v>
      </c>
      <c r="E135" s="0" t="str">
        <f aca="false">IF('Little Explorers Kits'!E142="","",'Little Explorers Kits'!E142)</f>
        <v>Per group</v>
      </c>
      <c r="F135" s="0" t="str">
        <f aca="false">IFERROR(INDEX('Session Tracker'!$M$5:$M$149,MATCH($A135,'Session Tracker'!$D$5:$D$149,0))+0,"")</f>
        <v/>
      </c>
      <c r="G135" s="0" t="str">
        <f aca="false">IF(ISNUMBER(F135),IF(OR(B135=0,B135=99,C135&lt;&gt;""),F135*100+B135,""),"")</f>
        <v/>
      </c>
      <c r="H135" s="0" t="n">
        <f aca="false">IFERROR(INDEX('Session Tracker'!$J$5:$J$149,MATCH($A135,'Session Tracker'!$D$5:$D$149,0)),0)</f>
        <v>8</v>
      </c>
      <c r="I135" s="0" t="n">
        <f aca="false">IF(OR(B135=0,B135=99,C135=""),"",IF(E135="Per class",D135,D135*H135))</f>
        <v>32</v>
      </c>
      <c r="N135" s="0" t="str">
        <f aca="false">IF('Little Explorers Kits'!B142="","",'Little Explorers Kits'!B142)</f>
        <v>Wiring &amp; Prototyping</v>
      </c>
      <c r="O135" s="0" t="str">
        <f aca="false">IF('Little Explorers Kits'!F142="","",'Little Explorers Kits'!F142)</f>
        <v>Reusable</v>
      </c>
      <c r="P135" s="0" t="str">
        <f aca="false">IF('Little Explorers Kits'!G142="","",'Little Explorers Kits'!G142)</f>
        <v/>
      </c>
    </row>
    <row r="136" customFormat="false" ht="15" hidden="false" customHeight="false" outlineLevel="0" collapsed="false">
      <c r="A136" s="0" t="s">
        <v>98</v>
      </c>
      <c r="B136" s="0" t="n">
        <v>8</v>
      </c>
      <c r="C136" s="0" t="str">
        <f aca="false">IF('Little Explorers Kits'!C143="","",'Little Explorers Kits'!C143)</f>
        <v>Jumper wires M-F</v>
      </c>
      <c r="D136" s="0" t="n">
        <f aca="false">IF('Little Explorers Kits'!D143="","",'Little Explorers Kits'!D143)</f>
        <v>3</v>
      </c>
      <c r="E136" s="0" t="str">
        <f aca="false">IF('Little Explorers Kits'!E143="","",'Little Explorers Kits'!E143)</f>
        <v>Per group</v>
      </c>
      <c r="F136" s="0" t="str">
        <f aca="false">IFERROR(INDEX('Session Tracker'!$M$5:$M$149,MATCH($A136,'Session Tracker'!$D$5:$D$149,0))+0,"")</f>
        <v/>
      </c>
      <c r="G136" s="0" t="str">
        <f aca="false">IF(ISNUMBER(F136),IF(OR(B136=0,B136=99,C136&lt;&gt;""),F136*100+B136,""),"")</f>
        <v/>
      </c>
      <c r="H136" s="0" t="n">
        <f aca="false">IFERROR(INDEX('Session Tracker'!$J$5:$J$149,MATCH($A136,'Session Tracker'!$D$5:$D$149,0)),0)</f>
        <v>8</v>
      </c>
      <c r="I136" s="0" t="n">
        <f aca="false">IF(OR(B136=0,B136=99,C136=""),"",IF(E136="Per class",D136,D136*H136))</f>
        <v>24</v>
      </c>
      <c r="N136" s="0" t="str">
        <f aca="false">IF('Little Explorers Kits'!B143="","",'Little Explorers Kits'!B143)</f>
        <v>Wiring &amp; Prototyping</v>
      </c>
      <c r="O136" s="0" t="str">
        <f aca="false">IF('Little Explorers Kits'!F143="","",'Little Explorers Kits'!F143)</f>
        <v>Reusable</v>
      </c>
      <c r="P136" s="0" t="str">
        <f aca="false">IF('Little Explorers Kits'!G143="","",'Little Explorers Kits'!G143)</f>
        <v/>
      </c>
    </row>
    <row r="137" customFormat="false" ht="15" hidden="false" customHeight="false" outlineLevel="0" collapsed="false">
      <c r="A137" s="0" t="s">
        <v>98</v>
      </c>
      <c r="B137" s="0" t="n">
        <v>9</v>
      </c>
      <c r="C137" s="0" t="str">
        <f aca="false">IF('Little Explorers Kits'!C144="","",'Little Explorers Kits'!C144)</f>
        <v>Laptop</v>
      </c>
      <c r="D137" s="0" t="n">
        <f aca="false">IF('Little Explorers Kits'!D144="","",'Little Explorers Kits'!D144)</f>
        <v>1</v>
      </c>
      <c r="E137" s="0" t="str">
        <f aca="false">IF('Little Explorers Kits'!E144="","",'Little Explorers Kits'!E144)</f>
        <v>Per group</v>
      </c>
      <c r="F137" s="0" t="str">
        <f aca="false">IFERROR(INDEX('Session Tracker'!$M$5:$M$149,MATCH($A137,'Session Tracker'!$D$5:$D$149,0))+0,"")</f>
        <v/>
      </c>
      <c r="G137" s="0" t="str">
        <f aca="false">IF(ISNUMBER(F137),IF(OR(B137=0,B137=99,C137&lt;&gt;""),F137*100+B137,""),"")</f>
        <v/>
      </c>
      <c r="H137" s="0" t="n">
        <f aca="false">IFERROR(INDEX('Session Tracker'!$J$5:$J$149,MATCH($A137,'Session Tracker'!$D$5:$D$149,0)),0)</f>
        <v>8</v>
      </c>
      <c r="I137" s="0" t="n">
        <f aca="false">IF(OR(B137=0,B137=99,C137=""),"",IF(E137="Per class",D137,D137*H137))</f>
        <v>8</v>
      </c>
      <c r="N137" s="0" t="str">
        <f aca="false">IF('Little Explorers Kits'!B144="","",'Little Explorers Kits'!B144)</f>
        <v>Computers &amp; Equipment</v>
      </c>
      <c r="O137" s="0" t="str">
        <f aca="false">IF('Little Explorers Kits'!F144="","",'Little Explorers Kits'!F144)</f>
        <v>Reusable</v>
      </c>
      <c r="P137" s="0" t="str">
        <f aca="false">IF('Little Explorers Kits'!G144="","",'Little Explorers Kits'!G144)</f>
        <v/>
      </c>
    </row>
    <row r="138" customFormat="false" ht="15" hidden="false" customHeight="false" outlineLevel="0" collapsed="false">
      <c r="A138" s="0" t="s">
        <v>98</v>
      </c>
      <c r="B138" s="0" t="n">
        <v>10</v>
      </c>
      <c r="C138" s="0" t="str">
        <f aca="false">IF('Little Explorers Kits'!C145="","",'Little Explorers Kits'!C145)</f>
        <v/>
      </c>
      <c r="D138" s="0" t="str">
        <f aca="false">IF('Little Explorers Kits'!D145="","",'Little Explorers Kits'!D145)</f>
        <v/>
      </c>
      <c r="E138" s="0" t="str">
        <f aca="false">IF('Little Explorers Kits'!E145="","",'Little Explorers Kits'!E145)</f>
        <v/>
      </c>
      <c r="F138" s="0" t="str">
        <f aca="false">IFERROR(INDEX('Session Tracker'!$M$5:$M$149,MATCH($A138,'Session Tracker'!$D$5:$D$149,0))+0,"")</f>
        <v/>
      </c>
      <c r="G138" s="0" t="str">
        <f aca="false">IF(ISNUMBER(F138),IF(OR(B138=0,B138=99,C138&lt;&gt;""),F138*100+B138,""),"")</f>
        <v/>
      </c>
      <c r="H138" s="0" t="n">
        <f aca="false">IFERROR(INDEX('Session Tracker'!$J$5:$J$149,MATCH($A138,'Session Tracker'!$D$5:$D$149,0)),0)</f>
        <v>8</v>
      </c>
      <c r="I138" s="0" t="str">
        <f aca="false">IF(OR(B138=0,B138=99,C138=""),"",IF(E138="Per class",D138,D138*H138))</f>
        <v/>
      </c>
      <c r="N138" s="0" t="str">
        <f aca="false">IF('Little Explorers Kits'!B145="","",'Little Explorers Kits'!B145)</f>
        <v/>
      </c>
      <c r="O138" s="0" t="str">
        <f aca="false">IF('Little Explorers Kits'!F145="","",'Little Explorers Kits'!F145)</f>
        <v/>
      </c>
      <c r="P138" s="0" t="str">
        <f aca="false">IF('Little Explorers Kits'!G145="","",'Little Explorers Kits'!G145)</f>
        <v/>
      </c>
    </row>
    <row r="139" customFormat="false" ht="15" hidden="false" customHeight="false" outlineLevel="0" collapsed="false">
      <c r="A139" s="0" t="s">
        <v>98</v>
      </c>
      <c r="B139" s="0" t="n">
        <v>11</v>
      </c>
      <c r="C139" s="0" t="str">
        <f aca="false">IF('Little Explorers Kits'!C146="","",'Little Explorers Kits'!C146)</f>
        <v/>
      </c>
      <c r="D139" s="0" t="str">
        <f aca="false">IF('Little Explorers Kits'!D146="","",'Little Explorers Kits'!D146)</f>
        <v/>
      </c>
      <c r="E139" s="0" t="str">
        <f aca="false">IF('Little Explorers Kits'!E146="","",'Little Explorers Kits'!E146)</f>
        <v/>
      </c>
      <c r="F139" s="0" t="str">
        <f aca="false">IFERROR(INDEX('Session Tracker'!$M$5:$M$149,MATCH($A139,'Session Tracker'!$D$5:$D$149,0))+0,"")</f>
        <v/>
      </c>
      <c r="G139" s="0" t="str">
        <f aca="false">IF(ISNUMBER(F139),IF(OR(B139=0,B139=99,C139&lt;&gt;""),F139*100+B139,""),"")</f>
        <v/>
      </c>
      <c r="H139" s="0" t="n">
        <f aca="false">IFERROR(INDEX('Session Tracker'!$J$5:$J$149,MATCH($A139,'Session Tracker'!$D$5:$D$149,0)),0)</f>
        <v>8</v>
      </c>
      <c r="I139" s="0" t="str">
        <f aca="false">IF(OR(B139=0,B139=99,C139=""),"",IF(E139="Per class",D139,D139*H139))</f>
        <v/>
      </c>
      <c r="N139" s="0" t="str">
        <f aca="false">IF('Little Explorers Kits'!B146="","",'Little Explorers Kits'!B146)</f>
        <v/>
      </c>
      <c r="O139" s="0" t="str">
        <f aca="false">IF('Little Explorers Kits'!F146="","",'Little Explorers Kits'!F146)</f>
        <v/>
      </c>
      <c r="P139" s="0" t="str">
        <f aca="false">IF('Little Explorers Kits'!G146="","",'Little Explorers Kits'!G146)</f>
        <v/>
      </c>
    </row>
    <row r="140" customFormat="false" ht="15" hidden="false" customHeight="false" outlineLevel="0" collapsed="false">
      <c r="A140" s="0" t="s">
        <v>100</v>
      </c>
      <c r="B140" s="0" t="n">
        <v>0</v>
      </c>
      <c r="F140" s="0" t="str">
        <f aca="false">IFERROR(INDEX('Session Tracker'!$M$5:$M$149,MATCH($A140,'Session Tracker'!$D$5:$D$149,0))+0,"")</f>
        <v/>
      </c>
      <c r="G140" s="0" t="str">
        <f aca="false">IF(ISNUMBER(F140),IF(OR(B140=0,B140=99,C140&lt;&gt;""),F140*100+B140,""),"")</f>
        <v/>
      </c>
      <c r="H140" s="0" t="n">
        <f aca="false">IFERROR(INDEX('Session Tracker'!$J$5:$J$149,MATCH($A140,'Session Tracker'!$D$5:$D$149,0)),0)</f>
        <v>8</v>
      </c>
      <c r="I140" s="0" t="str">
        <f aca="false">IF(OR(B140=0,B140=99,C140=""),"",IF(E140="Per class",D140,D140*H140))</f>
        <v/>
      </c>
      <c r="K140" s="0" t="str">
        <f aca="false">IFERROR(INDEX('Session Tracker'!$E$5:$E$149,MATCH($A140,'Session Tracker'!$D$5:$D$149,0)),"")</f>
        <v>Waving Robot Arm</v>
      </c>
      <c r="L140" s="0" t="str">
        <f aca="false">IFERROR(INDEX('Session Tracker'!$A$5:$A$149,MATCH($A140,'Session Tracker'!$D$5:$D$149,0)),"")</f>
        <v>Little Explorers (5-7)</v>
      </c>
      <c r="M140" s="0" t="str">
        <f aca="false">IFERROR(INDEX('Session Tracker'!$H$5:$H$149,MATCH($A140,'Session Tracker'!$D$5:$D$149,0))&amp;"","")</f>
        <v/>
      </c>
      <c r="Q140" s="0" t="str">
        <f aca="false">IFERROR("Status: "&amp;INDEX('Session Tracker'!$F$5:$F$149,MATCH($A140,'Session Tracker'!$D$5:$D$149,0))&amp;IF(INDEX('Session Tracker'!$G$5:$G$149,MATCH($A140,'Session Tracker'!$D$5:$D$149,0))&lt;&gt;""," ("&amp;INDEX('Session Tracker'!$G$5:$G$149,MATCH($A140,'Session Tracker'!$D$5:$D$149,0))&amp;")","")&amp;IF(M140&lt;&gt;"","  "&amp;M140,""),"")</f>
        <v>Status: Not started</v>
      </c>
    </row>
    <row r="141" customFormat="false" ht="15" hidden="false" customHeight="false" outlineLevel="0" collapsed="false">
      <c r="A141" s="0" t="s">
        <v>100</v>
      </c>
      <c r="B141" s="0" t="n">
        <v>1</v>
      </c>
      <c r="C141" s="0" t="str">
        <f aca="false">IF('Little Explorers Kits'!C149="","",'Little Explorers Kits'!C149)</f>
        <v>Arduino Uno + USB cable</v>
      </c>
      <c r="D141" s="0" t="n">
        <f aca="false">IF('Little Explorers Kits'!D149="","",'Little Explorers Kits'!D149)</f>
        <v>1</v>
      </c>
      <c r="E141" s="0" t="str">
        <f aca="false">IF('Little Explorers Kits'!E149="","",'Little Explorers Kits'!E149)</f>
        <v>Per group</v>
      </c>
      <c r="F141" s="0" t="str">
        <f aca="false">IFERROR(INDEX('Session Tracker'!$M$5:$M$149,MATCH($A141,'Session Tracker'!$D$5:$D$149,0))+0,"")</f>
        <v/>
      </c>
      <c r="G141" s="0" t="str">
        <f aca="false">IF(ISNUMBER(F141),IF(OR(B141=0,B141=99,C141&lt;&gt;""),F141*100+B141,""),"")</f>
        <v/>
      </c>
      <c r="H141" s="0" t="n">
        <f aca="false">IFERROR(INDEX('Session Tracker'!$J$5:$J$149,MATCH($A141,'Session Tracker'!$D$5:$D$149,0)),0)</f>
        <v>8</v>
      </c>
      <c r="I141" s="0" t="n">
        <f aca="false">IF(OR(B141=0,B141=99,C141=""),"",IF(E141="Per class",D141,D141*H141))</f>
        <v>8</v>
      </c>
      <c r="N141" s="0" t="str">
        <f aca="false">IF('Little Explorers Kits'!B149="","",'Little Explorers Kits'!B149)</f>
        <v>Microcontrollers &amp; Dev Boards</v>
      </c>
      <c r="O141" s="0" t="str">
        <f aca="false">IF('Little Explorers Kits'!F149="","",'Little Explorers Kits'!F149)</f>
        <v>Reusable</v>
      </c>
      <c r="P141" s="0" t="str">
        <f aca="false">IF('Little Explorers Kits'!G149="","",'Little Explorers Kits'!G149)</f>
        <v>Pre-wired by teacher</v>
      </c>
    </row>
    <row r="142" customFormat="false" ht="15" hidden="false" customHeight="false" outlineLevel="0" collapsed="false">
      <c r="A142" s="0" t="s">
        <v>100</v>
      </c>
      <c r="B142" s="0" t="n">
        <v>2</v>
      </c>
      <c r="C142" s="0" t="str">
        <f aca="false">IF('Little Explorers Kits'!C150="","",'Little Explorers Kits'!C150)</f>
        <v>Servo SG90</v>
      </c>
      <c r="D142" s="0" t="n">
        <f aca="false">IF('Little Explorers Kits'!D150="","",'Little Explorers Kits'!D150)</f>
        <v>1</v>
      </c>
      <c r="E142" s="0" t="str">
        <f aca="false">IF('Little Explorers Kits'!E150="","",'Little Explorers Kits'!E150)</f>
        <v>Per group</v>
      </c>
      <c r="F142" s="0" t="str">
        <f aca="false">IFERROR(INDEX('Session Tracker'!$M$5:$M$149,MATCH($A142,'Session Tracker'!$D$5:$D$149,0))+0,"")</f>
        <v/>
      </c>
      <c r="G142" s="0" t="str">
        <f aca="false">IF(ISNUMBER(F142),IF(OR(B142=0,B142=99,C142&lt;&gt;""),F142*100+B142,""),"")</f>
        <v/>
      </c>
      <c r="H142" s="0" t="n">
        <f aca="false">IFERROR(INDEX('Session Tracker'!$J$5:$J$149,MATCH($A142,'Session Tracker'!$D$5:$D$149,0)),0)</f>
        <v>8</v>
      </c>
      <c r="I142" s="0" t="n">
        <f aca="false">IF(OR(B142=0,B142=99,C142=""),"",IF(E142="Per class",D142,D142*H142))</f>
        <v>8</v>
      </c>
      <c r="N142" s="0" t="str">
        <f aca="false">IF('Little Explorers Kits'!B150="","",'Little Explorers Kits'!B150)</f>
        <v>Actuators &amp; Motor Drivers</v>
      </c>
      <c r="O142" s="0" t="str">
        <f aca="false">IF('Little Explorers Kits'!F150="","",'Little Explorers Kits'!F150)</f>
        <v>Reusable</v>
      </c>
      <c r="P142" s="0" t="str">
        <f aca="false">IF('Little Explorers Kits'!G150="","",'Little Explorers Kits'!G150)</f>
        <v/>
      </c>
    </row>
    <row r="143" customFormat="false" ht="15" hidden="false" customHeight="false" outlineLevel="0" collapsed="false">
      <c r="A143" s="0" t="s">
        <v>100</v>
      </c>
      <c r="B143" s="0" t="n">
        <v>3</v>
      </c>
      <c r="C143" s="0" t="str">
        <f aca="false">IF('Little Explorers Kits'!C151="","",'Little Explorers Kits'!C151)</f>
        <v>Push button</v>
      </c>
      <c r="D143" s="0" t="n">
        <f aca="false">IF('Little Explorers Kits'!D151="","",'Little Explorers Kits'!D151)</f>
        <v>1</v>
      </c>
      <c r="E143" s="0" t="str">
        <f aca="false">IF('Little Explorers Kits'!E151="","",'Little Explorers Kits'!E151)</f>
        <v>Per group</v>
      </c>
      <c r="F143" s="0" t="str">
        <f aca="false">IFERROR(INDEX('Session Tracker'!$M$5:$M$149,MATCH($A143,'Session Tracker'!$D$5:$D$149,0))+0,"")</f>
        <v/>
      </c>
      <c r="G143" s="0" t="str">
        <f aca="false">IF(ISNUMBER(F143),IF(OR(B143=0,B143=99,C143&lt;&gt;""),F143*100+B143,""),"")</f>
        <v/>
      </c>
      <c r="H143" s="0" t="n">
        <f aca="false">IFERROR(INDEX('Session Tracker'!$J$5:$J$149,MATCH($A143,'Session Tracker'!$D$5:$D$149,0)),0)</f>
        <v>8</v>
      </c>
      <c r="I143" s="0" t="n">
        <f aca="false">IF(OR(B143=0,B143=99,C143=""),"",IF(E143="Per class",D143,D143*H143))</f>
        <v>8</v>
      </c>
      <c r="N143" s="0" t="str">
        <f aca="false">IF('Little Explorers Kits'!B151="","",'Little Explorers Kits'!B151)</f>
        <v>Passive Components &amp; ICs</v>
      </c>
      <c r="O143" s="0" t="str">
        <f aca="false">IF('Little Explorers Kits'!F151="","",'Little Explorers Kits'!F151)</f>
        <v>Reusable</v>
      </c>
      <c r="P143" s="0" t="str">
        <f aca="false">IF('Little Explorers Kits'!G151="","",'Little Explorers Kits'!G151)</f>
        <v/>
      </c>
    </row>
    <row r="144" customFormat="false" ht="15" hidden="false" customHeight="false" outlineLevel="0" collapsed="false">
      <c r="A144" s="0" t="s">
        <v>100</v>
      </c>
      <c r="B144" s="0" t="n">
        <v>4</v>
      </c>
      <c r="C144" s="0" t="str">
        <f aca="false">IF('Little Explorers Kits'!C152="","",'Little Explorers Kits'!C152)</f>
        <v>Resistor 10k ohm</v>
      </c>
      <c r="D144" s="0" t="n">
        <f aca="false">IF('Little Explorers Kits'!D152="","",'Little Explorers Kits'!D152)</f>
        <v>1</v>
      </c>
      <c r="E144" s="0" t="str">
        <f aca="false">IF('Little Explorers Kits'!E152="","",'Little Explorers Kits'!E152)</f>
        <v>Per group</v>
      </c>
      <c r="F144" s="0" t="str">
        <f aca="false">IFERROR(INDEX('Session Tracker'!$M$5:$M$149,MATCH($A144,'Session Tracker'!$D$5:$D$149,0))+0,"")</f>
        <v/>
      </c>
      <c r="G144" s="0" t="str">
        <f aca="false">IF(ISNUMBER(F144),IF(OR(B144=0,B144=99,C144&lt;&gt;""),F144*100+B144,""),"")</f>
        <v/>
      </c>
      <c r="H144" s="0" t="n">
        <f aca="false">IFERROR(INDEX('Session Tracker'!$J$5:$J$149,MATCH($A144,'Session Tracker'!$D$5:$D$149,0)),0)</f>
        <v>8</v>
      </c>
      <c r="I144" s="0" t="n">
        <f aca="false">IF(OR(B144=0,B144=99,C144=""),"",IF(E144="Per class",D144,D144*H144))</f>
        <v>8</v>
      </c>
      <c r="N144" s="0" t="str">
        <f aca="false">IF('Little Explorers Kits'!B152="","",'Little Explorers Kits'!B152)</f>
        <v>Passive Components &amp; ICs</v>
      </c>
      <c r="O144" s="0" t="str">
        <f aca="false">IF('Little Explorers Kits'!F152="","",'Little Explorers Kits'!F152)</f>
        <v>Consumable</v>
      </c>
      <c r="P144" s="0" t="str">
        <f aca="false">IF('Little Explorers Kits'!G152="","",'Little Explorers Kits'!G152)</f>
        <v/>
      </c>
    </row>
    <row r="145" customFormat="false" ht="15" hidden="false" customHeight="false" outlineLevel="0" collapsed="false">
      <c r="A145" s="0" t="s">
        <v>100</v>
      </c>
      <c r="B145" s="0" t="n">
        <v>5</v>
      </c>
      <c r="C145" s="0" t="str">
        <f aca="false">IF('Little Explorers Kits'!C153="","",'Little Explorers Kits'!C153)</f>
        <v>Cardboard sheet</v>
      </c>
      <c r="D145" s="0" t="n">
        <f aca="false">IF('Little Explorers Kits'!D153="","",'Little Explorers Kits'!D153)</f>
        <v>1</v>
      </c>
      <c r="E145" s="0" t="str">
        <f aca="false">IF('Little Explorers Kits'!E153="","",'Little Explorers Kits'!E153)</f>
        <v>Per group</v>
      </c>
      <c r="F145" s="0" t="str">
        <f aca="false">IFERROR(INDEX('Session Tracker'!$M$5:$M$149,MATCH($A145,'Session Tracker'!$D$5:$D$149,0))+0,"")</f>
        <v/>
      </c>
      <c r="G145" s="0" t="str">
        <f aca="false">IF(ISNUMBER(F145),IF(OR(B145=0,B145=99,C145&lt;&gt;""),F145*100+B145,""),"")</f>
        <v/>
      </c>
      <c r="H145" s="0" t="n">
        <f aca="false">IFERROR(INDEX('Session Tracker'!$J$5:$J$149,MATCH($A145,'Session Tracker'!$D$5:$D$149,0)),0)</f>
        <v>8</v>
      </c>
      <c r="I145" s="0" t="n">
        <f aca="false">IF(OR(B145=0,B145=99,C145=""),"",IF(E145="Per class",D145,D145*H145))</f>
        <v>8</v>
      </c>
      <c r="N145" s="0" t="str">
        <f aca="false">IF('Little Explorers Kits'!B153="","",'Little Explorers Kits'!B153)</f>
        <v>Craft &amp; Stationery</v>
      </c>
      <c r="O145" s="0" t="str">
        <f aca="false">IF('Little Explorers Kits'!F153="","",'Little Explorers Kits'!F153)</f>
        <v>Consumable</v>
      </c>
      <c r="P145" s="0" t="str">
        <f aca="false">IF('Little Explorers Kits'!G153="","",'Little Explorers Kits'!G153)</f>
        <v/>
      </c>
    </row>
    <row r="146" customFormat="false" ht="15" hidden="false" customHeight="false" outlineLevel="0" collapsed="false">
      <c r="A146" s="0" t="s">
        <v>100</v>
      </c>
      <c r="B146" s="0" t="n">
        <v>6</v>
      </c>
      <c r="C146" s="0" t="str">
        <f aca="false">IF('Little Explorers Kits'!C154="","",'Little Explorers Kits'!C154)</f>
        <v>Markers</v>
      </c>
      <c r="D146" s="0" t="n">
        <f aca="false">IF('Little Explorers Kits'!D154="","",'Little Explorers Kits'!D154)</f>
        <v>1</v>
      </c>
      <c r="E146" s="0" t="str">
        <f aca="false">IF('Little Explorers Kits'!E154="","",'Little Explorers Kits'!E154)</f>
        <v>Per group</v>
      </c>
      <c r="F146" s="0" t="str">
        <f aca="false">IFERROR(INDEX('Session Tracker'!$M$5:$M$149,MATCH($A146,'Session Tracker'!$D$5:$D$149,0))+0,"")</f>
        <v/>
      </c>
      <c r="G146" s="0" t="str">
        <f aca="false">IF(ISNUMBER(F146),IF(OR(B146=0,B146=99,C146&lt;&gt;""),F146*100+B146,""),"")</f>
        <v/>
      </c>
      <c r="H146" s="0" t="n">
        <f aca="false">IFERROR(INDEX('Session Tracker'!$J$5:$J$149,MATCH($A146,'Session Tracker'!$D$5:$D$149,0)),0)</f>
        <v>8</v>
      </c>
      <c r="I146" s="0" t="n">
        <f aca="false">IF(OR(B146=0,B146=99,C146=""),"",IF(E146="Per class",D146,D146*H146))</f>
        <v>8</v>
      </c>
      <c r="N146" s="0" t="str">
        <f aca="false">IF('Little Explorers Kits'!B154="","",'Little Explorers Kits'!B154)</f>
        <v>Craft &amp; Stationery</v>
      </c>
      <c r="O146" s="0" t="str">
        <f aca="false">IF('Little Explorers Kits'!F154="","",'Little Explorers Kits'!F154)</f>
        <v>Consumable</v>
      </c>
      <c r="P146" s="0" t="str">
        <f aca="false">IF('Little Explorers Kits'!G154="","",'Little Explorers Kits'!G154)</f>
        <v/>
      </c>
    </row>
    <row r="147" customFormat="false" ht="15" hidden="false" customHeight="false" outlineLevel="0" collapsed="false">
      <c r="A147" s="0" t="s">
        <v>100</v>
      </c>
      <c r="B147" s="0" t="n">
        <v>7</v>
      </c>
      <c r="C147" s="0" t="str">
        <f aca="false">IF('Little Explorers Kits'!C155="","",'Little Explorers Kits'!C155)</f>
        <v>Googly eyes</v>
      </c>
      <c r="D147" s="0" t="n">
        <f aca="false">IF('Little Explorers Kits'!D155="","",'Little Explorers Kits'!D155)</f>
        <v>2</v>
      </c>
      <c r="E147" s="0" t="str">
        <f aca="false">IF('Little Explorers Kits'!E155="","",'Little Explorers Kits'!E155)</f>
        <v>Per group</v>
      </c>
      <c r="F147" s="0" t="str">
        <f aca="false">IFERROR(INDEX('Session Tracker'!$M$5:$M$149,MATCH($A147,'Session Tracker'!$D$5:$D$149,0))+0,"")</f>
        <v/>
      </c>
      <c r="G147" s="0" t="str">
        <f aca="false">IF(ISNUMBER(F147),IF(OR(B147=0,B147=99,C147&lt;&gt;""),F147*100+B147,""),"")</f>
        <v/>
      </c>
      <c r="H147" s="0" t="n">
        <f aca="false">IFERROR(INDEX('Session Tracker'!$J$5:$J$149,MATCH($A147,'Session Tracker'!$D$5:$D$149,0)),0)</f>
        <v>8</v>
      </c>
      <c r="I147" s="0" t="n">
        <f aca="false">IF(OR(B147=0,B147=99,C147=""),"",IF(E147="Per class",D147,D147*H147))</f>
        <v>16</v>
      </c>
      <c r="N147" s="0" t="str">
        <f aca="false">IF('Little Explorers Kits'!B155="","",'Little Explorers Kits'!B155)</f>
        <v>Craft &amp; Stationery</v>
      </c>
      <c r="O147" s="0" t="str">
        <f aca="false">IF('Little Explorers Kits'!F155="","",'Little Explorers Kits'!F155)</f>
        <v>Consumable</v>
      </c>
      <c r="P147" s="0" t="str">
        <f aca="false">IF('Little Explorers Kits'!G155="","",'Little Explorers Kits'!G155)</f>
        <v/>
      </c>
    </row>
    <row r="148" customFormat="false" ht="15" hidden="false" customHeight="false" outlineLevel="0" collapsed="false">
      <c r="A148" s="0" t="s">
        <v>100</v>
      </c>
      <c r="B148" s="0" t="n">
        <v>8</v>
      </c>
      <c r="C148" s="0" t="str">
        <f aca="false">IF('Little Explorers Kits'!C156="","",'Little Explorers Kits'!C156)</f>
        <v>Breadboard (half size)</v>
      </c>
      <c r="D148" s="0" t="n">
        <f aca="false">IF('Little Explorers Kits'!D156="","",'Little Explorers Kits'!D156)</f>
        <v>1</v>
      </c>
      <c r="E148" s="0" t="str">
        <f aca="false">IF('Little Explorers Kits'!E156="","",'Little Explorers Kits'!E156)</f>
        <v>Per group</v>
      </c>
      <c r="F148" s="0" t="str">
        <f aca="false">IFERROR(INDEX('Session Tracker'!$M$5:$M$149,MATCH($A148,'Session Tracker'!$D$5:$D$149,0))+0,"")</f>
        <v/>
      </c>
      <c r="G148" s="0" t="str">
        <f aca="false">IF(ISNUMBER(F148),IF(OR(B148=0,B148=99,C148&lt;&gt;""),F148*100+B148,""),"")</f>
        <v/>
      </c>
      <c r="H148" s="0" t="n">
        <f aca="false">IFERROR(INDEX('Session Tracker'!$J$5:$J$149,MATCH($A148,'Session Tracker'!$D$5:$D$149,0)),0)</f>
        <v>8</v>
      </c>
      <c r="I148" s="0" t="n">
        <f aca="false">IF(OR(B148=0,B148=99,C148=""),"",IF(E148="Per class",D148,D148*H148))</f>
        <v>8</v>
      </c>
      <c r="N148" s="0" t="str">
        <f aca="false">IF('Little Explorers Kits'!B156="","",'Little Explorers Kits'!B156)</f>
        <v>Wiring &amp; Prototyping</v>
      </c>
      <c r="O148" s="0" t="str">
        <f aca="false">IF('Little Explorers Kits'!F156="","",'Little Explorers Kits'!F156)</f>
        <v>Reusable</v>
      </c>
      <c r="P148" s="0" t="str">
        <f aca="false">IF('Little Explorers Kits'!G156="","",'Little Explorers Kits'!G156)</f>
        <v/>
      </c>
    </row>
    <row r="149" customFormat="false" ht="15" hidden="false" customHeight="false" outlineLevel="0" collapsed="false">
      <c r="A149" s="0" t="s">
        <v>100</v>
      </c>
      <c r="B149" s="0" t="n">
        <v>9</v>
      </c>
      <c r="C149" s="0" t="str">
        <f aca="false">IF('Little Explorers Kits'!C157="","",'Little Explorers Kits'!C157)</f>
        <v>Jumper wires M-M</v>
      </c>
      <c r="D149" s="0" t="n">
        <f aca="false">IF('Little Explorers Kits'!D157="","",'Little Explorers Kits'!D157)</f>
        <v>6</v>
      </c>
      <c r="E149" s="0" t="str">
        <f aca="false">IF('Little Explorers Kits'!E157="","",'Little Explorers Kits'!E157)</f>
        <v>Per group</v>
      </c>
      <c r="F149" s="0" t="str">
        <f aca="false">IFERROR(INDEX('Session Tracker'!$M$5:$M$149,MATCH($A149,'Session Tracker'!$D$5:$D$149,0))+0,"")</f>
        <v/>
      </c>
      <c r="G149" s="0" t="str">
        <f aca="false">IF(ISNUMBER(F149),IF(OR(B149=0,B149=99,C149&lt;&gt;""),F149*100+B149,""),"")</f>
        <v/>
      </c>
      <c r="H149" s="0" t="n">
        <f aca="false">IFERROR(INDEX('Session Tracker'!$J$5:$J$149,MATCH($A149,'Session Tracker'!$D$5:$D$149,0)),0)</f>
        <v>8</v>
      </c>
      <c r="I149" s="0" t="n">
        <f aca="false">IF(OR(B149=0,B149=99,C149=""),"",IF(E149="Per class",D149,D149*H149))</f>
        <v>48</v>
      </c>
      <c r="N149" s="0" t="str">
        <f aca="false">IF('Little Explorers Kits'!B157="","",'Little Explorers Kits'!B157)</f>
        <v>Wiring &amp; Prototyping</v>
      </c>
      <c r="O149" s="0" t="str">
        <f aca="false">IF('Little Explorers Kits'!F157="","",'Little Explorers Kits'!F157)</f>
        <v>Reusable</v>
      </c>
      <c r="P149" s="0" t="str">
        <f aca="false">IF('Little Explorers Kits'!G157="","",'Little Explorers Kits'!G157)</f>
        <v/>
      </c>
    </row>
    <row r="150" customFormat="false" ht="15" hidden="false" customHeight="false" outlineLevel="0" collapsed="false">
      <c r="A150" s="0" t="s">
        <v>100</v>
      </c>
      <c r="B150" s="0" t="n">
        <v>10</v>
      </c>
      <c r="C150" s="0" t="str">
        <f aca="false">IF('Little Explorers Kits'!C158="","",'Little Explorers Kits'!C158)</f>
        <v>Laptop</v>
      </c>
      <c r="D150" s="0" t="n">
        <f aca="false">IF('Little Explorers Kits'!D158="","",'Little Explorers Kits'!D158)</f>
        <v>1</v>
      </c>
      <c r="E150" s="0" t="str">
        <f aca="false">IF('Little Explorers Kits'!E158="","",'Little Explorers Kits'!E158)</f>
        <v>Per group</v>
      </c>
      <c r="F150" s="0" t="str">
        <f aca="false">IFERROR(INDEX('Session Tracker'!$M$5:$M$149,MATCH($A150,'Session Tracker'!$D$5:$D$149,0))+0,"")</f>
        <v/>
      </c>
      <c r="G150" s="0" t="str">
        <f aca="false">IF(ISNUMBER(F150),IF(OR(B150=0,B150=99,C150&lt;&gt;""),F150*100+B150,""),"")</f>
        <v/>
      </c>
      <c r="H150" s="0" t="n">
        <f aca="false">IFERROR(INDEX('Session Tracker'!$J$5:$J$149,MATCH($A150,'Session Tracker'!$D$5:$D$149,0)),0)</f>
        <v>8</v>
      </c>
      <c r="I150" s="0" t="n">
        <f aca="false">IF(OR(B150=0,B150=99,C150=""),"",IF(E150="Per class",D150,D150*H150))</f>
        <v>8</v>
      </c>
      <c r="N150" s="0" t="str">
        <f aca="false">IF('Little Explorers Kits'!B158="","",'Little Explorers Kits'!B158)</f>
        <v>Computers &amp; Equipment</v>
      </c>
      <c r="O150" s="0" t="str">
        <f aca="false">IF('Little Explorers Kits'!F158="","",'Little Explorers Kits'!F158)</f>
        <v>Reusable</v>
      </c>
      <c r="P150" s="0" t="str">
        <f aca="false">IF('Little Explorers Kits'!G158="","",'Little Explorers Kits'!G158)</f>
        <v/>
      </c>
    </row>
    <row r="151" customFormat="false" ht="15" hidden="false" customHeight="false" outlineLevel="0" collapsed="false">
      <c r="A151" s="0" t="s">
        <v>100</v>
      </c>
      <c r="B151" s="0" t="n">
        <v>11</v>
      </c>
      <c r="C151" s="0" t="str">
        <f aca="false">IF('Little Explorers Kits'!C159="","",'Little Explorers Kits'!C159)</f>
        <v>LED 5 mm (assorted)</v>
      </c>
      <c r="D151" s="0" t="n">
        <f aca="false">IF('Little Explorers Kits'!D159="","",'Little Explorers Kits'!D159)</f>
        <v>1</v>
      </c>
      <c r="E151" s="0" t="str">
        <f aca="false">IF('Little Explorers Kits'!E159="","",'Little Explorers Kits'!E159)</f>
        <v>Per group</v>
      </c>
      <c r="F151" s="0" t="str">
        <f aca="false">IFERROR(INDEX('Session Tracker'!$M$5:$M$149,MATCH($A151,'Session Tracker'!$D$5:$D$149,0))+0,"")</f>
        <v/>
      </c>
      <c r="G151" s="0" t="str">
        <f aca="false">IF(ISNUMBER(F151),IF(OR(B151=0,B151=99,C151&lt;&gt;""),F151*100+B151,""),"")</f>
        <v/>
      </c>
      <c r="H151" s="0" t="n">
        <f aca="false">IFERROR(INDEX('Session Tracker'!$J$5:$J$149,MATCH($A151,'Session Tracker'!$D$5:$D$149,0)),0)</f>
        <v>8</v>
      </c>
      <c r="I151" s="0" t="n">
        <f aca="false">IF(OR(B151=0,B151=99,C151=""),"",IF(E151="Per class",D151,D151*H151))</f>
        <v>8</v>
      </c>
      <c r="N151" s="0" t="str">
        <f aca="false">IF('Little Explorers Kits'!B159="","",'Little Explorers Kits'!B159)</f>
        <v>Displays &amp; Output</v>
      </c>
      <c r="O151" s="0" t="str">
        <f aca="false">IF('Little Explorers Kits'!F159="","",'Little Explorers Kits'!F159)</f>
        <v>Consumable</v>
      </c>
      <c r="P151" s="0" t="str">
        <f aca="false">IF('Little Explorers Kits'!G159="","",'Little Explorers Kits'!G159)</f>
        <v>Added: every Arduino class</v>
      </c>
    </row>
    <row r="152" customFormat="false" ht="15" hidden="false" customHeight="false" outlineLevel="0" collapsed="false">
      <c r="A152" s="0" t="s">
        <v>100</v>
      </c>
      <c r="B152" s="0" t="n">
        <v>12</v>
      </c>
      <c r="C152" s="0" t="str">
        <f aca="false">IF('Little Explorers Kits'!C160="","",'Little Explorers Kits'!C160)</f>
        <v>Resistor 220 ohm</v>
      </c>
      <c r="D152" s="0" t="n">
        <f aca="false">IF('Little Explorers Kits'!D160="","",'Little Explorers Kits'!D160)</f>
        <v>1</v>
      </c>
      <c r="E152" s="0" t="str">
        <f aca="false">IF('Little Explorers Kits'!E160="","",'Little Explorers Kits'!E160)</f>
        <v>Per group</v>
      </c>
      <c r="F152" s="0" t="str">
        <f aca="false">IFERROR(INDEX('Session Tracker'!$M$5:$M$149,MATCH($A152,'Session Tracker'!$D$5:$D$149,0))+0,"")</f>
        <v/>
      </c>
      <c r="G152" s="0" t="str">
        <f aca="false">IF(ISNUMBER(F152),IF(OR(B152=0,B152=99,C152&lt;&gt;""),F152*100+B152,""),"")</f>
        <v/>
      </c>
      <c r="H152" s="0" t="n">
        <f aca="false">IFERROR(INDEX('Session Tracker'!$J$5:$J$149,MATCH($A152,'Session Tracker'!$D$5:$D$149,0)),0)</f>
        <v>8</v>
      </c>
      <c r="I152" s="0" t="n">
        <f aca="false">IF(OR(B152=0,B152=99,C152=""),"",IF(E152="Per class",D152,D152*H152))</f>
        <v>8</v>
      </c>
      <c r="N152" s="0" t="str">
        <f aca="false">IF('Little Explorers Kits'!B160="","",'Little Explorers Kits'!B160)</f>
        <v>Passive Components &amp; ICs</v>
      </c>
      <c r="O152" s="0" t="str">
        <f aca="false">IF('Little Explorers Kits'!F160="","",'Little Explorers Kits'!F160)</f>
        <v>Consumable</v>
      </c>
      <c r="P152" s="0" t="str">
        <f aca="false">IF('Little Explorers Kits'!G160="","",'Little Explorers Kits'!G160)</f>
        <v>Added: for the LED</v>
      </c>
    </row>
    <row r="153" customFormat="false" ht="15" hidden="false" customHeight="false" outlineLevel="0" collapsed="false">
      <c r="A153" s="0" t="s">
        <v>100</v>
      </c>
      <c r="B153" s="0" t="n">
        <v>13</v>
      </c>
      <c r="C153" s="0" t="str">
        <f aca="false">IF('Little Explorers Kits'!C161="","",'Little Explorers Kits'!C161)</f>
        <v>Buzzer</v>
      </c>
      <c r="D153" s="0" t="n">
        <f aca="false">IF('Little Explorers Kits'!D161="","",'Little Explorers Kits'!D161)</f>
        <v>1</v>
      </c>
      <c r="E153" s="0" t="str">
        <f aca="false">IF('Little Explorers Kits'!E161="","",'Little Explorers Kits'!E161)</f>
        <v>Per group</v>
      </c>
      <c r="F153" s="0" t="str">
        <f aca="false">IFERROR(INDEX('Session Tracker'!$M$5:$M$149,MATCH($A153,'Session Tracker'!$D$5:$D$149,0))+0,"")</f>
        <v/>
      </c>
      <c r="G153" s="0" t="str">
        <f aca="false">IF(ISNUMBER(F153),IF(OR(B153=0,B153=99,C153&lt;&gt;""),F153*100+B153,""),"")</f>
        <v/>
      </c>
      <c r="H153" s="0" t="n">
        <f aca="false">IFERROR(INDEX('Session Tracker'!$J$5:$J$149,MATCH($A153,'Session Tracker'!$D$5:$D$149,0)),0)</f>
        <v>8</v>
      </c>
      <c r="I153" s="0" t="n">
        <f aca="false">IF(OR(B153=0,B153=99,C153=""),"",IF(E153="Per class",D153,D153*H153))</f>
        <v>8</v>
      </c>
      <c r="N153" s="0" t="str">
        <f aca="false">IF('Little Explorers Kits'!B161="","",'Little Explorers Kits'!B161)</f>
        <v>Actuators &amp; Motor Drivers</v>
      </c>
      <c r="O153" s="0" t="str">
        <f aca="false">IF('Little Explorers Kits'!F161="","",'Little Explorers Kits'!F161)</f>
        <v>Reusable</v>
      </c>
      <c r="P153" s="0" t="str">
        <f aca="false">IF('Little Explorers Kits'!G161="","",'Little Explorers Kits'!G161)</f>
        <v>Added: every Arduino class</v>
      </c>
    </row>
    <row r="154" customFormat="false" ht="15" hidden="false" customHeight="false" outlineLevel="0" collapsed="false">
      <c r="A154" s="0" t="s">
        <v>100</v>
      </c>
      <c r="B154" s="0" t="n">
        <v>14</v>
      </c>
      <c r="C154" s="0" t="str">
        <f aca="false">IF('Little Explorers Kits'!C162="","",'Little Explorers Kits'!C162)</f>
        <v/>
      </c>
      <c r="D154" s="0" t="str">
        <f aca="false">IF('Little Explorers Kits'!D162="","",'Little Explorers Kits'!D162)</f>
        <v/>
      </c>
      <c r="E154" s="0" t="str">
        <f aca="false">IF('Little Explorers Kits'!E162="","",'Little Explorers Kits'!E162)</f>
        <v/>
      </c>
      <c r="F154" s="0" t="str">
        <f aca="false">IFERROR(INDEX('Session Tracker'!$M$5:$M$149,MATCH($A154,'Session Tracker'!$D$5:$D$149,0))+0,"")</f>
        <v/>
      </c>
      <c r="G154" s="0" t="str">
        <f aca="false">IF(ISNUMBER(F154),IF(OR(B154=0,B154=99,C154&lt;&gt;""),F154*100+B154,""),"")</f>
        <v/>
      </c>
      <c r="H154" s="0" t="n">
        <f aca="false">IFERROR(INDEX('Session Tracker'!$J$5:$J$149,MATCH($A154,'Session Tracker'!$D$5:$D$149,0)),0)</f>
        <v>8</v>
      </c>
      <c r="I154" s="0" t="str">
        <f aca="false">IF(OR(B154=0,B154=99,C154=""),"",IF(E154="Per class",D154,D154*H154))</f>
        <v/>
      </c>
      <c r="N154" s="0" t="str">
        <f aca="false">IF('Little Explorers Kits'!B162="","",'Little Explorers Kits'!B162)</f>
        <v/>
      </c>
      <c r="O154" s="0" t="str">
        <f aca="false">IF('Little Explorers Kits'!F162="","",'Little Explorers Kits'!F162)</f>
        <v/>
      </c>
      <c r="P154" s="0" t="str">
        <f aca="false">IF('Little Explorers Kits'!G162="","",'Little Explorers Kits'!G162)</f>
        <v/>
      </c>
    </row>
    <row r="155" customFormat="false" ht="15" hidden="false" customHeight="false" outlineLevel="0" collapsed="false">
      <c r="A155" s="0" t="s">
        <v>100</v>
      </c>
      <c r="B155" s="0" t="n">
        <v>15</v>
      </c>
      <c r="C155" s="0" t="str">
        <f aca="false">IF('Little Explorers Kits'!C163="","",'Little Explorers Kits'!C163)</f>
        <v/>
      </c>
      <c r="D155" s="0" t="str">
        <f aca="false">IF('Little Explorers Kits'!D163="","",'Little Explorers Kits'!D163)</f>
        <v/>
      </c>
      <c r="E155" s="0" t="str">
        <f aca="false">IF('Little Explorers Kits'!E163="","",'Little Explorers Kits'!E163)</f>
        <v/>
      </c>
      <c r="F155" s="0" t="str">
        <f aca="false">IFERROR(INDEX('Session Tracker'!$M$5:$M$149,MATCH($A155,'Session Tracker'!$D$5:$D$149,0))+0,"")</f>
        <v/>
      </c>
      <c r="G155" s="0" t="str">
        <f aca="false">IF(ISNUMBER(F155),IF(OR(B155=0,B155=99,C155&lt;&gt;""),F155*100+B155,""),"")</f>
        <v/>
      </c>
      <c r="H155" s="0" t="n">
        <f aca="false">IFERROR(INDEX('Session Tracker'!$J$5:$J$149,MATCH($A155,'Session Tracker'!$D$5:$D$149,0)),0)</f>
        <v>8</v>
      </c>
      <c r="I155" s="0" t="str">
        <f aca="false">IF(OR(B155=0,B155=99,C155=""),"",IF(E155="Per class",D155,D155*H155))</f>
        <v/>
      </c>
      <c r="N155" s="0" t="str">
        <f aca="false">IF('Little Explorers Kits'!B163="","",'Little Explorers Kits'!B163)</f>
        <v/>
      </c>
      <c r="O155" s="0" t="str">
        <f aca="false">IF('Little Explorers Kits'!F163="","",'Little Explorers Kits'!F163)</f>
        <v/>
      </c>
      <c r="P155" s="0" t="str">
        <f aca="false">IF('Little Explorers Kits'!G163="","",'Little Explorers Kits'!G163)</f>
        <v/>
      </c>
    </row>
    <row r="156" customFormat="false" ht="15" hidden="false" customHeight="false" outlineLevel="0" collapsed="false">
      <c r="A156" s="0" t="s">
        <v>102</v>
      </c>
      <c r="B156" s="0" t="n">
        <v>0</v>
      </c>
      <c r="F156" s="0" t="str">
        <f aca="false">IFERROR(INDEX('Session Tracker'!$M$5:$M$149,MATCH($A156,'Session Tracker'!$D$5:$D$149,0))+0,"")</f>
        <v/>
      </c>
      <c r="G156" s="0" t="str">
        <f aca="false">IF(ISNUMBER(F156),IF(OR(B156=0,B156=99,C156&lt;&gt;""),F156*100+B156,""),"")</f>
        <v/>
      </c>
      <c r="H156" s="0" t="n">
        <f aca="false">IFERROR(INDEX('Session Tracker'!$J$5:$J$149,MATCH($A156,'Session Tracker'!$D$5:$D$149,0)),0)</f>
        <v>8</v>
      </c>
      <c r="I156" s="0" t="str">
        <f aca="false">IF(OR(B156=0,B156=99,C156=""),"",IF(E156="Per class",D156,D156*H156))</f>
        <v/>
      </c>
      <c r="K156" s="0" t="str">
        <f aca="false">IFERROR(INDEX('Session Tracker'!$E$5:$E$149,MATCH($A156,'Session Tracker'!$D$5:$D$149,0)),"")</f>
        <v>Automatic Railway Crossing Gate</v>
      </c>
      <c r="L156" s="0" t="str">
        <f aca="false">IFERROR(INDEX('Session Tracker'!$A$5:$A$149,MATCH($A156,'Session Tracker'!$D$5:$D$149,0)),"")</f>
        <v>Little Explorers (5-7)</v>
      </c>
      <c r="M156" s="0" t="str">
        <f aca="false">IFERROR(INDEX('Session Tracker'!$H$5:$H$149,MATCH($A156,'Session Tracker'!$D$5:$D$149,0))&amp;"","")</f>
        <v/>
      </c>
      <c r="Q156" s="0" t="str">
        <f aca="false">IFERROR("Status: "&amp;INDEX('Session Tracker'!$F$5:$F$149,MATCH($A156,'Session Tracker'!$D$5:$D$149,0))&amp;IF(INDEX('Session Tracker'!$G$5:$G$149,MATCH($A156,'Session Tracker'!$D$5:$D$149,0))&lt;&gt;""," ("&amp;INDEX('Session Tracker'!$G$5:$G$149,MATCH($A156,'Session Tracker'!$D$5:$D$149,0))&amp;")","")&amp;IF(M156&lt;&gt;"","  "&amp;M156,""),"")</f>
        <v>Status: Not started</v>
      </c>
    </row>
    <row r="157" customFormat="false" ht="15" hidden="false" customHeight="false" outlineLevel="0" collapsed="false">
      <c r="A157" s="0" t="s">
        <v>102</v>
      </c>
      <c r="B157" s="0" t="n">
        <v>1</v>
      </c>
      <c r="C157" s="0" t="str">
        <f aca="false">IF('Little Explorers Kits'!C166="","",'Little Explorers Kits'!C166)</f>
        <v>Arduino Uno + USB cable</v>
      </c>
      <c r="D157" s="0" t="n">
        <f aca="false">IF('Little Explorers Kits'!D166="","",'Little Explorers Kits'!D166)</f>
        <v>1</v>
      </c>
      <c r="E157" s="0" t="str">
        <f aca="false">IF('Little Explorers Kits'!E166="","",'Little Explorers Kits'!E166)</f>
        <v>Per group</v>
      </c>
      <c r="F157" s="0" t="str">
        <f aca="false">IFERROR(INDEX('Session Tracker'!$M$5:$M$149,MATCH($A157,'Session Tracker'!$D$5:$D$149,0))+0,"")</f>
        <v/>
      </c>
      <c r="G157" s="0" t="str">
        <f aca="false">IF(ISNUMBER(F157),IF(OR(B157=0,B157=99,C157&lt;&gt;""),F157*100+B157,""),"")</f>
        <v/>
      </c>
      <c r="H157" s="0" t="n">
        <f aca="false">IFERROR(INDEX('Session Tracker'!$J$5:$J$149,MATCH($A157,'Session Tracker'!$D$5:$D$149,0)),0)</f>
        <v>8</v>
      </c>
      <c r="I157" s="0" t="n">
        <f aca="false">IF(OR(B157=0,B157=99,C157=""),"",IF(E157="Per class",D157,D157*H157))</f>
        <v>8</v>
      </c>
      <c r="N157" s="0" t="str">
        <f aca="false">IF('Little Explorers Kits'!B166="","",'Little Explorers Kits'!B166)</f>
        <v>Microcontrollers &amp; Dev Boards</v>
      </c>
      <c r="O157" s="0" t="str">
        <f aca="false">IF('Little Explorers Kits'!F166="","",'Little Explorers Kits'!F166)</f>
        <v>Reusable</v>
      </c>
      <c r="P157" s="0" t="str">
        <f aca="false">IF('Little Explorers Kits'!G166="","",'Little Explorers Kits'!G166)</f>
        <v>Pre-wired by teacher</v>
      </c>
    </row>
    <row r="158" customFormat="false" ht="15" hidden="false" customHeight="false" outlineLevel="0" collapsed="false">
      <c r="A158" s="0" t="s">
        <v>102</v>
      </c>
      <c r="B158" s="0" t="n">
        <v>2</v>
      </c>
      <c r="C158" s="0" t="str">
        <f aca="false">IF('Little Explorers Kits'!C167="","",'Little Explorers Kits'!C167)</f>
        <v>Ultrasonic sensor HC-SR04</v>
      </c>
      <c r="D158" s="0" t="n">
        <f aca="false">IF('Little Explorers Kits'!D167="","",'Little Explorers Kits'!D167)</f>
        <v>1</v>
      </c>
      <c r="E158" s="0" t="str">
        <f aca="false">IF('Little Explorers Kits'!E167="","",'Little Explorers Kits'!E167)</f>
        <v>Per group</v>
      </c>
      <c r="F158" s="0" t="str">
        <f aca="false">IFERROR(INDEX('Session Tracker'!$M$5:$M$149,MATCH($A158,'Session Tracker'!$D$5:$D$149,0))+0,"")</f>
        <v/>
      </c>
      <c r="G158" s="0" t="str">
        <f aca="false">IF(ISNUMBER(F158),IF(OR(B158=0,B158=99,C158&lt;&gt;""),F158*100+B158,""),"")</f>
        <v/>
      </c>
      <c r="H158" s="0" t="n">
        <f aca="false">IFERROR(INDEX('Session Tracker'!$J$5:$J$149,MATCH($A158,'Session Tracker'!$D$5:$D$149,0)),0)</f>
        <v>8</v>
      </c>
      <c r="I158" s="0" t="n">
        <f aca="false">IF(OR(B158=0,B158=99,C158=""),"",IF(E158="Per class",D158,D158*H158))</f>
        <v>8</v>
      </c>
      <c r="N158" s="0" t="str">
        <f aca="false">IF('Little Explorers Kits'!B167="","",'Little Explorers Kits'!B167)</f>
        <v>Sensors</v>
      </c>
      <c r="O158" s="0" t="str">
        <f aca="false">IF('Little Explorers Kits'!F167="","",'Little Explorers Kits'!F167)</f>
        <v>Reusable</v>
      </c>
      <c r="P158" s="0" t="str">
        <f aca="false">IF('Little Explorers Kits'!G167="","",'Little Explorers Kits'!G167)</f>
        <v/>
      </c>
    </row>
    <row r="159" customFormat="false" ht="15" hidden="false" customHeight="false" outlineLevel="0" collapsed="false">
      <c r="A159" s="0" t="s">
        <v>102</v>
      </c>
      <c r="B159" s="0" t="n">
        <v>3</v>
      </c>
      <c r="C159" s="0" t="str">
        <f aca="false">IF('Little Explorers Kits'!C168="","",'Little Explorers Kits'!C168)</f>
        <v>Servo SG90</v>
      </c>
      <c r="D159" s="0" t="n">
        <f aca="false">IF('Little Explorers Kits'!D168="","",'Little Explorers Kits'!D168)</f>
        <v>1</v>
      </c>
      <c r="E159" s="0" t="str">
        <f aca="false">IF('Little Explorers Kits'!E168="","",'Little Explorers Kits'!E168)</f>
        <v>Per group</v>
      </c>
      <c r="F159" s="0" t="str">
        <f aca="false">IFERROR(INDEX('Session Tracker'!$M$5:$M$149,MATCH($A159,'Session Tracker'!$D$5:$D$149,0))+0,"")</f>
        <v/>
      </c>
      <c r="G159" s="0" t="str">
        <f aca="false">IF(ISNUMBER(F159),IF(OR(B159=0,B159=99,C159&lt;&gt;""),F159*100+B159,""),"")</f>
        <v/>
      </c>
      <c r="H159" s="0" t="n">
        <f aca="false">IFERROR(INDEX('Session Tracker'!$J$5:$J$149,MATCH($A159,'Session Tracker'!$D$5:$D$149,0)),0)</f>
        <v>8</v>
      </c>
      <c r="I159" s="0" t="n">
        <f aca="false">IF(OR(B159=0,B159=99,C159=""),"",IF(E159="Per class",D159,D159*H159))</f>
        <v>8</v>
      </c>
      <c r="N159" s="0" t="str">
        <f aca="false">IF('Little Explorers Kits'!B168="","",'Little Explorers Kits'!B168)</f>
        <v>Actuators &amp; Motor Drivers</v>
      </c>
      <c r="O159" s="0" t="str">
        <f aca="false">IF('Little Explorers Kits'!F168="","",'Little Explorers Kits'!F168)</f>
        <v>Reusable</v>
      </c>
      <c r="P159" s="0" t="str">
        <f aca="false">IF('Little Explorers Kits'!G168="","",'Little Explorers Kits'!G168)</f>
        <v/>
      </c>
    </row>
    <row r="160" customFormat="false" ht="15" hidden="false" customHeight="false" outlineLevel="0" collapsed="false">
      <c r="A160" s="0" t="s">
        <v>102</v>
      </c>
      <c r="B160" s="0" t="n">
        <v>4</v>
      </c>
      <c r="C160" s="0" t="str">
        <f aca="false">IF('Little Explorers Kits'!C169="","",'Little Explorers Kits'!C169)</f>
        <v>Buzzer</v>
      </c>
      <c r="D160" s="0" t="n">
        <f aca="false">IF('Little Explorers Kits'!D169="","",'Little Explorers Kits'!D169)</f>
        <v>1</v>
      </c>
      <c r="E160" s="0" t="str">
        <f aca="false">IF('Little Explorers Kits'!E169="","",'Little Explorers Kits'!E169)</f>
        <v>Per group</v>
      </c>
      <c r="F160" s="0" t="str">
        <f aca="false">IFERROR(INDEX('Session Tracker'!$M$5:$M$149,MATCH($A160,'Session Tracker'!$D$5:$D$149,0))+0,"")</f>
        <v/>
      </c>
      <c r="G160" s="0" t="str">
        <f aca="false">IF(ISNUMBER(F160),IF(OR(B160=0,B160=99,C160&lt;&gt;""),F160*100+B160,""),"")</f>
        <v/>
      </c>
      <c r="H160" s="0" t="n">
        <f aca="false">IFERROR(INDEX('Session Tracker'!$J$5:$J$149,MATCH($A160,'Session Tracker'!$D$5:$D$149,0)),0)</f>
        <v>8</v>
      </c>
      <c r="I160" s="0" t="n">
        <f aca="false">IF(OR(B160=0,B160=99,C160=""),"",IF(E160="Per class",D160,D160*H160))</f>
        <v>8</v>
      </c>
      <c r="N160" s="0" t="str">
        <f aca="false">IF('Little Explorers Kits'!B169="","",'Little Explorers Kits'!B169)</f>
        <v>Actuators &amp; Motor Drivers</v>
      </c>
      <c r="O160" s="0" t="str">
        <f aca="false">IF('Little Explorers Kits'!F169="","",'Little Explorers Kits'!F169)</f>
        <v>Reusable</v>
      </c>
      <c r="P160" s="0" t="str">
        <f aca="false">IF('Little Explorers Kits'!G169="","",'Little Explorers Kits'!G169)</f>
        <v/>
      </c>
    </row>
    <row r="161" customFormat="false" ht="15" hidden="false" customHeight="false" outlineLevel="0" collapsed="false">
      <c r="A161" s="0" t="s">
        <v>102</v>
      </c>
      <c r="B161" s="0" t="n">
        <v>5</v>
      </c>
      <c r="C161" s="0" t="str">
        <f aca="false">IF('Little Explorers Kits'!C170="","",'Little Explorers Kits'!C170)</f>
        <v>LED 5 mm (assorted)</v>
      </c>
      <c r="D161" s="0" t="n">
        <f aca="false">IF('Little Explorers Kits'!D170="","",'Little Explorers Kits'!D170)</f>
        <v>2</v>
      </c>
      <c r="E161" s="0" t="str">
        <f aca="false">IF('Little Explorers Kits'!E170="","",'Little Explorers Kits'!E170)</f>
        <v>Per group</v>
      </c>
      <c r="F161" s="0" t="str">
        <f aca="false">IFERROR(INDEX('Session Tracker'!$M$5:$M$149,MATCH($A161,'Session Tracker'!$D$5:$D$149,0))+0,"")</f>
        <v/>
      </c>
      <c r="G161" s="0" t="str">
        <f aca="false">IF(ISNUMBER(F161),IF(OR(B161=0,B161=99,C161&lt;&gt;""),F161*100+B161,""),"")</f>
        <v/>
      </c>
      <c r="H161" s="0" t="n">
        <f aca="false">IFERROR(INDEX('Session Tracker'!$J$5:$J$149,MATCH($A161,'Session Tracker'!$D$5:$D$149,0)),0)</f>
        <v>8</v>
      </c>
      <c r="I161" s="0" t="n">
        <f aca="false">IF(OR(B161=0,B161=99,C161=""),"",IF(E161="Per class",D161,D161*H161))</f>
        <v>16</v>
      </c>
      <c r="N161" s="0" t="str">
        <f aca="false">IF('Little Explorers Kits'!B170="","",'Little Explorers Kits'!B170)</f>
        <v>Displays &amp; Output</v>
      </c>
      <c r="O161" s="0" t="str">
        <f aca="false">IF('Little Explorers Kits'!F170="","",'Little Explorers Kits'!F170)</f>
        <v>Consumable</v>
      </c>
      <c r="P161" s="0" t="str">
        <f aca="false">IF('Little Explorers Kits'!G170="","",'Little Explorers Kits'!G170)</f>
        <v>Red</v>
      </c>
    </row>
    <row r="162" customFormat="false" ht="15" hidden="false" customHeight="false" outlineLevel="0" collapsed="false">
      <c r="A162" s="0" t="s">
        <v>102</v>
      </c>
      <c r="B162" s="0" t="n">
        <v>6</v>
      </c>
      <c r="C162" s="0" t="str">
        <f aca="false">IF('Little Explorers Kits'!C171="","",'Little Explorers Kits'!C171)</f>
        <v>Resistor 220 ohm</v>
      </c>
      <c r="D162" s="0" t="n">
        <f aca="false">IF('Little Explorers Kits'!D171="","",'Little Explorers Kits'!D171)</f>
        <v>2</v>
      </c>
      <c r="E162" s="0" t="str">
        <f aca="false">IF('Little Explorers Kits'!E171="","",'Little Explorers Kits'!E171)</f>
        <v>Per group</v>
      </c>
      <c r="F162" s="0" t="str">
        <f aca="false">IFERROR(INDEX('Session Tracker'!$M$5:$M$149,MATCH($A162,'Session Tracker'!$D$5:$D$149,0))+0,"")</f>
        <v/>
      </c>
      <c r="G162" s="0" t="str">
        <f aca="false">IF(ISNUMBER(F162),IF(OR(B162=0,B162=99,C162&lt;&gt;""),F162*100+B162,""),"")</f>
        <v/>
      </c>
      <c r="H162" s="0" t="n">
        <f aca="false">IFERROR(INDEX('Session Tracker'!$J$5:$J$149,MATCH($A162,'Session Tracker'!$D$5:$D$149,0)),0)</f>
        <v>8</v>
      </c>
      <c r="I162" s="0" t="n">
        <f aca="false">IF(OR(B162=0,B162=99,C162=""),"",IF(E162="Per class",D162,D162*H162))</f>
        <v>16</v>
      </c>
      <c r="N162" s="0" t="str">
        <f aca="false">IF('Little Explorers Kits'!B171="","",'Little Explorers Kits'!B171)</f>
        <v>Passive Components &amp; ICs</v>
      </c>
      <c r="O162" s="0" t="str">
        <f aca="false">IF('Little Explorers Kits'!F171="","",'Little Explorers Kits'!F171)</f>
        <v>Consumable</v>
      </c>
      <c r="P162" s="0" t="str">
        <f aca="false">IF('Little Explorers Kits'!G171="","",'Little Explorers Kits'!G171)</f>
        <v/>
      </c>
    </row>
    <row r="163" customFormat="false" ht="15" hidden="false" customHeight="false" outlineLevel="0" collapsed="false">
      <c r="A163" s="0" t="s">
        <v>102</v>
      </c>
      <c r="B163" s="0" t="n">
        <v>7</v>
      </c>
      <c r="C163" s="0" t="str">
        <f aca="false">IF('Little Explorers Kits'!C172="","",'Little Explorers Kits'!C172)</f>
        <v>Ice cream sticks</v>
      </c>
      <c r="D163" s="0" t="n">
        <f aca="false">IF('Little Explorers Kits'!D172="","",'Little Explorers Kits'!D172)</f>
        <v>2</v>
      </c>
      <c r="E163" s="0" t="str">
        <f aca="false">IF('Little Explorers Kits'!E172="","",'Little Explorers Kits'!E172)</f>
        <v>Per group</v>
      </c>
      <c r="F163" s="0" t="str">
        <f aca="false">IFERROR(INDEX('Session Tracker'!$M$5:$M$149,MATCH($A163,'Session Tracker'!$D$5:$D$149,0))+0,"")</f>
        <v/>
      </c>
      <c r="G163" s="0" t="str">
        <f aca="false">IF(ISNUMBER(F163),IF(OR(B163=0,B163=99,C163&lt;&gt;""),F163*100+B163,""),"")</f>
        <v/>
      </c>
      <c r="H163" s="0" t="n">
        <f aca="false">IFERROR(INDEX('Session Tracker'!$J$5:$J$149,MATCH($A163,'Session Tracker'!$D$5:$D$149,0)),0)</f>
        <v>8</v>
      </c>
      <c r="I163" s="0" t="n">
        <f aca="false">IF(OR(B163=0,B163=99,C163=""),"",IF(E163="Per class",D163,D163*H163))</f>
        <v>16</v>
      </c>
      <c r="N163" s="0" t="str">
        <f aca="false">IF('Little Explorers Kits'!B172="","",'Little Explorers Kits'!B172)</f>
        <v>Craft &amp; Stationery</v>
      </c>
      <c r="O163" s="0" t="str">
        <f aca="false">IF('Little Explorers Kits'!F172="","",'Little Explorers Kits'!F172)</f>
        <v>Consumable</v>
      </c>
      <c r="P163" s="0" t="str">
        <f aca="false">IF('Little Explorers Kits'!G172="","",'Little Explorers Kits'!G172)</f>
        <v>Gate arm</v>
      </c>
    </row>
    <row r="164" customFormat="false" ht="15" hidden="false" customHeight="false" outlineLevel="0" collapsed="false">
      <c r="A164" s="0" t="s">
        <v>102</v>
      </c>
      <c r="B164" s="0" t="n">
        <v>8</v>
      </c>
      <c r="C164" s="0" t="str">
        <f aca="false">IF('Little Explorers Kits'!C173="","",'Little Explorers Kits'!C173)</f>
        <v>Breadboard (half size)</v>
      </c>
      <c r="D164" s="0" t="n">
        <f aca="false">IF('Little Explorers Kits'!D173="","",'Little Explorers Kits'!D173)</f>
        <v>1</v>
      </c>
      <c r="E164" s="0" t="str">
        <f aca="false">IF('Little Explorers Kits'!E173="","",'Little Explorers Kits'!E173)</f>
        <v>Per group</v>
      </c>
      <c r="F164" s="0" t="str">
        <f aca="false">IFERROR(INDEX('Session Tracker'!$M$5:$M$149,MATCH($A164,'Session Tracker'!$D$5:$D$149,0))+0,"")</f>
        <v/>
      </c>
      <c r="G164" s="0" t="str">
        <f aca="false">IF(ISNUMBER(F164),IF(OR(B164=0,B164=99,C164&lt;&gt;""),F164*100+B164,""),"")</f>
        <v/>
      </c>
      <c r="H164" s="0" t="n">
        <f aca="false">IFERROR(INDEX('Session Tracker'!$J$5:$J$149,MATCH($A164,'Session Tracker'!$D$5:$D$149,0)),0)</f>
        <v>8</v>
      </c>
      <c r="I164" s="0" t="n">
        <f aca="false">IF(OR(B164=0,B164=99,C164=""),"",IF(E164="Per class",D164,D164*H164))</f>
        <v>8</v>
      </c>
      <c r="N164" s="0" t="str">
        <f aca="false">IF('Little Explorers Kits'!B173="","",'Little Explorers Kits'!B173)</f>
        <v>Wiring &amp; Prototyping</v>
      </c>
      <c r="O164" s="0" t="str">
        <f aca="false">IF('Little Explorers Kits'!F173="","",'Little Explorers Kits'!F173)</f>
        <v>Reusable</v>
      </c>
      <c r="P164" s="0" t="str">
        <f aca="false">IF('Little Explorers Kits'!G173="","",'Little Explorers Kits'!G173)</f>
        <v/>
      </c>
    </row>
    <row r="165" customFormat="false" ht="15" hidden="false" customHeight="false" outlineLevel="0" collapsed="false">
      <c r="A165" s="0" t="s">
        <v>102</v>
      </c>
      <c r="B165" s="0" t="n">
        <v>9</v>
      </c>
      <c r="C165" s="0" t="str">
        <f aca="false">IF('Little Explorers Kits'!C174="","",'Little Explorers Kits'!C174)</f>
        <v>Jumper wires M-M</v>
      </c>
      <c r="D165" s="0" t="n">
        <f aca="false">IF('Little Explorers Kits'!D174="","",'Little Explorers Kits'!D174)</f>
        <v>8</v>
      </c>
      <c r="E165" s="0" t="str">
        <f aca="false">IF('Little Explorers Kits'!E174="","",'Little Explorers Kits'!E174)</f>
        <v>Per group</v>
      </c>
      <c r="F165" s="0" t="str">
        <f aca="false">IFERROR(INDEX('Session Tracker'!$M$5:$M$149,MATCH($A165,'Session Tracker'!$D$5:$D$149,0))+0,"")</f>
        <v/>
      </c>
      <c r="G165" s="0" t="str">
        <f aca="false">IF(ISNUMBER(F165),IF(OR(B165=0,B165=99,C165&lt;&gt;""),F165*100+B165,""),"")</f>
        <v/>
      </c>
      <c r="H165" s="0" t="n">
        <f aca="false">IFERROR(INDEX('Session Tracker'!$J$5:$J$149,MATCH($A165,'Session Tracker'!$D$5:$D$149,0)),0)</f>
        <v>8</v>
      </c>
      <c r="I165" s="0" t="n">
        <f aca="false">IF(OR(B165=0,B165=99,C165=""),"",IF(E165="Per class",D165,D165*H165))</f>
        <v>64</v>
      </c>
      <c r="N165" s="0" t="str">
        <f aca="false">IF('Little Explorers Kits'!B174="","",'Little Explorers Kits'!B174)</f>
        <v>Wiring &amp; Prototyping</v>
      </c>
      <c r="O165" s="0" t="str">
        <f aca="false">IF('Little Explorers Kits'!F174="","",'Little Explorers Kits'!F174)</f>
        <v>Reusable</v>
      </c>
      <c r="P165" s="0" t="str">
        <f aca="false">IF('Little Explorers Kits'!G174="","",'Little Explorers Kits'!G174)</f>
        <v/>
      </c>
    </row>
    <row r="166" customFormat="false" ht="15" hidden="false" customHeight="false" outlineLevel="0" collapsed="false">
      <c r="A166" s="0" t="s">
        <v>102</v>
      </c>
      <c r="B166" s="0" t="n">
        <v>10</v>
      </c>
      <c r="C166" s="0" t="str">
        <f aca="false">IF('Little Explorers Kits'!C175="","",'Little Explorers Kits'!C175)</f>
        <v>Jumper wires M-F</v>
      </c>
      <c r="D166" s="0" t="n">
        <f aca="false">IF('Little Explorers Kits'!D175="","",'Little Explorers Kits'!D175)</f>
        <v>4</v>
      </c>
      <c r="E166" s="0" t="str">
        <f aca="false">IF('Little Explorers Kits'!E175="","",'Little Explorers Kits'!E175)</f>
        <v>Per group</v>
      </c>
      <c r="F166" s="0" t="str">
        <f aca="false">IFERROR(INDEX('Session Tracker'!$M$5:$M$149,MATCH($A166,'Session Tracker'!$D$5:$D$149,0))+0,"")</f>
        <v/>
      </c>
      <c r="G166" s="0" t="str">
        <f aca="false">IF(ISNUMBER(F166),IF(OR(B166=0,B166=99,C166&lt;&gt;""),F166*100+B166,""),"")</f>
        <v/>
      </c>
      <c r="H166" s="0" t="n">
        <f aca="false">IFERROR(INDEX('Session Tracker'!$J$5:$J$149,MATCH($A166,'Session Tracker'!$D$5:$D$149,0)),0)</f>
        <v>8</v>
      </c>
      <c r="I166" s="0" t="n">
        <f aca="false">IF(OR(B166=0,B166=99,C166=""),"",IF(E166="Per class",D166,D166*H166))</f>
        <v>32</v>
      </c>
      <c r="N166" s="0" t="str">
        <f aca="false">IF('Little Explorers Kits'!B175="","",'Little Explorers Kits'!B175)</f>
        <v>Wiring &amp; Prototyping</v>
      </c>
      <c r="O166" s="0" t="str">
        <f aca="false">IF('Little Explorers Kits'!F175="","",'Little Explorers Kits'!F175)</f>
        <v>Reusable</v>
      </c>
      <c r="P166" s="0" t="str">
        <f aca="false">IF('Little Explorers Kits'!G175="","",'Little Explorers Kits'!G175)</f>
        <v/>
      </c>
    </row>
    <row r="167" customFormat="false" ht="15" hidden="false" customHeight="false" outlineLevel="0" collapsed="false">
      <c r="A167" s="0" t="s">
        <v>102</v>
      </c>
      <c r="B167" s="0" t="n">
        <v>11</v>
      </c>
      <c r="C167" s="0" t="str">
        <f aca="false">IF('Little Explorers Kits'!C176="","",'Little Explorers Kits'!C176)</f>
        <v>Laptop</v>
      </c>
      <c r="D167" s="0" t="n">
        <f aca="false">IF('Little Explorers Kits'!D176="","",'Little Explorers Kits'!D176)</f>
        <v>1</v>
      </c>
      <c r="E167" s="0" t="str">
        <f aca="false">IF('Little Explorers Kits'!E176="","",'Little Explorers Kits'!E176)</f>
        <v>Per group</v>
      </c>
      <c r="F167" s="0" t="str">
        <f aca="false">IFERROR(INDEX('Session Tracker'!$M$5:$M$149,MATCH($A167,'Session Tracker'!$D$5:$D$149,0))+0,"")</f>
        <v/>
      </c>
      <c r="G167" s="0" t="str">
        <f aca="false">IF(ISNUMBER(F167),IF(OR(B167=0,B167=99,C167&lt;&gt;""),F167*100+B167,""),"")</f>
        <v/>
      </c>
      <c r="H167" s="0" t="n">
        <f aca="false">IFERROR(INDEX('Session Tracker'!$J$5:$J$149,MATCH($A167,'Session Tracker'!$D$5:$D$149,0)),0)</f>
        <v>8</v>
      </c>
      <c r="I167" s="0" t="n">
        <f aca="false">IF(OR(B167=0,B167=99,C167=""),"",IF(E167="Per class",D167,D167*H167))</f>
        <v>8</v>
      </c>
      <c r="N167" s="0" t="str">
        <f aca="false">IF('Little Explorers Kits'!B176="","",'Little Explorers Kits'!B176)</f>
        <v>Computers &amp; Equipment</v>
      </c>
      <c r="O167" s="0" t="str">
        <f aca="false">IF('Little Explorers Kits'!F176="","",'Little Explorers Kits'!F176)</f>
        <v>Reusable</v>
      </c>
      <c r="P167" s="0" t="str">
        <f aca="false">IF('Little Explorers Kits'!G176="","",'Little Explorers Kits'!G176)</f>
        <v/>
      </c>
    </row>
    <row r="168" customFormat="false" ht="15" hidden="false" customHeight="false" outlineLevel="0" collapsed="false">
      <c r="A168" s="0" t="s">
        <v>102</v>
      </c>
      <c r="B168" s="0" t="n">
        <v>12</v>
      </c>
      <c r="C168" s="0" t="str">
        <f aca="false">IF('Little Explorers Kits'!C177="","",'Little Explorers Kits'!C177)</f>
        <v/>
      </c>
      <c r="D168" s="0" t="str">
        <f aca="false">IF('Little Explorers Kits'!D177="","",'Little Explorers Kits'!D177)</f>
        <v/>
      </c>
      <c r="E168" s="0" t="str">
        <f aca="false">IF('Little Explorers Kits'!E177="","",'Little Explorers Kits'!E177)</f>
        <v/>
      </c>
      <c r="F168" s="0" t="str">
        <f aca="false">IFERROR(INDEX('Session Tracker'!$M$5:$M$149,MATCH($A168,'Session Tracker'!$D$5:$D$149,0))+0,"")</f>
        <v/>
      </c>
      <c r="G168" s="0" t="str">
        <f aca="false">IF(ISNUMBER(F168),IF(OR(B168=0,B168=99,C168&lt;&gt;""),F168*100+B168,""),"")</f>
        <v/>
      </c>
      <c r="H168" s="0" t="n">
        <f aca="false">IFERROR(INDEX('Session Tracker'!$J$5:$J$149,MATCH($A168,'Session Tracker'!$D$5:$D$149,0)),0)</f>
        <v>8</v>
      </c>
      <c r="I168" s="0" t="str">
        <f aca="false">IF(OR(B168=0,B168=99,C168=""),"",IF(E168="Per class",D168,D168*H168))</f>
        <v/>
      </c>
      <c r="N168" s="0" t="str">
        <f aca="false">IF('Little Explorers Kits'!B177="","",'Little Explorers Kits'!B177)</f>
        <v/>
      </c>
      <c r="O168" s="0" t="str">
        <f aca="false">IF('Little Explorers Kits'!F177="","",'Little Explorers Kits'!F177)</f>
        <v/>
      </c>
      <c r="P168" s="0" t="str">
        <f aca="false">IF('Little Explorers Kits'!G177="","",'Little Explorers Kits'!G177)</f>
        <v/>
      </c>
    </row>
    <row r="169" customFormat="false" ht="15" hidden="false" customHeight="false" outlineLevel="0" collapsed="false">
      <c r="A169" s="0" t="s">
        <v>102</v>
      </c>
      <c r="B169" s="0" t="n">
        <v>13</v>
      </c>
      <c r="C169" s="0" t="str">
        <f aca="false">IF('Little Explorers Kits'!C178="","",'Little Explorers Kits'!C178)</f>
        <v/>
      </c>
      <c r="D169" s="0" t="str">
        <f aca="false">IF('Little Explorers Kits'!D178="","",'Little Explorers Kits'!D178)</f>
        <v/>
      </c>
      <c r="E169" s="0" t="str">
        <f aca="false">IF('Little Explorers Kits'!E178="","",'Little Explorers Kits'!E178)</f>
        <v/>
      </c>
      <c r="F169" s="0" t="str">
        <f aca="false">IFERROR(INDEX('Session Tracker'!$M$5:$M$149,MATCH($A169,'Session Tracker'!$D$5:$D$149,0))+0,"")</f>
        <v/>
      </c>
      <c r="G169" s="0" t="str">
        <f aca="false">IF(ISNUMBER(F169),IF(OR(B169=0,B169=99,C169&lt;&gt;""),F169*100+B169,""),"")</f>
        <v/>
      </c>
      <c r="H169" s="0" t="n">
        <f aca="false">IFERROR(INDEX('Session Tracker'!$J$5:$J$149,MATCH($A169,'Session Tracker'!$D$5:$D$149,0)),0)</f>
        <v>8</v>
      </c>
      <c r="I169" s="0" t="str">
        <f aca="false">IF(OR(B169=0,B169=99,C169=""),"",IF(E169="Per class",D169,D169*H169))</f>
        <v/>
      </c>
      <c r="N169" s="0" t="str">
        <f aca="false">IF('Little Explorers Kits'!B178="","",'Little Explorers Kits'!B178)</f>
        <v/>
      </c>
      <c r="O169" s="0" t="str">
        <f aca="false">IF('Little Explorers Kits'!F178="","",'Little Explorers Kits'!F178)</f>
        <v/>
      </c>
      <c r="P169" s="0" t="str">
        <f aca="false">IF('Little Explorers Kits'!G178="","",'Little Explorers Kits'!G178)</f>
        <v/>
      </c>
    </row>
    <row r="170" customFormat="false" ht="15" hidden="false" customHeight="false" outlineLevel="0" collapsed="false">
      <c r="A170" s="0" t="s">
        <v>104</v>
      </c>
      <c r="B170" s="0" t="n">
        <v>0</v>
      </c>
      <c r="F170" s="0" t="str">
        <f aca="false">IFERROR(INDEX('Session Tracker'!$M$5:$M$149,MATCH($A170,'Session Tracker'!$D$5:$D$149,0))+0,"")</f>
        <v/>
      </c>
      <c r="G170" s="0" t="str">
        <f aca="false">IF(ISNUMBER(F170),IF(OR(B170=0,B170=99,C170&lt;&gt;""),F170*100+B170,""),"")</f>
        <v/>
      </c>
      <c r="H170" s="0" t="n">
        <f aca="false">IFERROR(INDEX('Session Tracker'!$J$5:$J$149,MATCH($A170,'Session Tracker'!$D$5:$D$149,0)),0)</f>
        <v>8</v>
      </c>
      <c r="I170" s="0" t="str">
        <f aca="false">IF(OR(B170=0,B170=99,C170=""),"",IF(E170="Per class",D170,D170*H170))</f>
        <v/>
      </c>
      <c r="K170" s="0" t="str">
        <f aca="false">IFERROR(INDEX('Session Tracker'!$E$5:$E$149,MATCH($A170,'Session Tracker'!$D$5:$D$149,0)),"")</f>
        <v>Vibrating Brush Robot</v>
      </c>
      <c r="L170" s="0" t="str">
        <f aca="false">IFERROR(INDEX('Session Tracker'!$A$5:$A$149,MATCH($A170,'Session Tracker'!$D$5:$D$149,0)),"")</f>
        <v>Little Explorers (5-7)</v>
      </c>
      <c r="M170" s="0" t="str">
        <f aca="false">IFERROR(INDEX('Session Tracker'!$H$5:$H$149,MATCH($A170,'Session Tracker'!$D$5:$D$149,0))&amp;"","")</f>
        <v/>
      </c>
      <c r="Q170" s="0" t="str">
        <f aca="false">IFERROR("Status: "&amp;INDEX('Session Tracker'!$F$5:$F$149,MATCH($A170,'Session Tracker'!$D$5:$D$149,0))&amp;IF(INDEX('Session Tracker'!$G$5:$G$149,MATCH($A170,'Session Tracker'!$D$5:$D$149,0))&lt;&gt;""," ("&amp;INDEX('Session Tracker'!$G$5:$G$149,MATCH($A170,'Session Tracker'!$D$5:$D$149,0))&amp;")","")&amp;IF(M170&lt;&gt;"","  "&amp;M170,""),"")</f>
        <v>Status: Not started</v>
      </c>
    </row>
    <row r="171" customFormat="false" ht="15" hidden="false" customHeight="false" outlineLevel="0" collapsed="false">
      <c r="A171" s="0" t="s">
        <v>104</v>
      </c>
      <c r="B171" s="0" t="n">
        <v>1</v>
      </c>
      <c r="C171" s="0" t="str">
        <f aca="false">IF('Little Explorers Kits'!C181="","",'Little Explorers Kits'!C181)</f>
        <v>Brush Bot kit</v>
      </c>
      <c r="D171" s="0" t="n">
        <f aca="false">IF('Little Explorers Kits'!D181="","",'Little Explorers Kits'!D181)</f>
        <v>1</v>
      </c>
      <c r="E171" s="0" t="str">
        <f aca="false">IF('Little Explorers Kits'!E181="","",'Little Explorers Kits'!E181)</f>
        <v>Per group</v>
      </c>
      <c r="F171" s="0" t="str">
        <f aca="false">IFERROR(INDEX('Session Tracker'!$M$5:$M$149,MATCH($A171,'Session Tracker'!$D$5:$D$149,0))+0,"")</f>
        <v/>
      </c>
      <c r="G171" s="0" t="str">
        <f aca="false">IF(ISNUMBER(F171),IF(OR(B171=0,B171=99,C171&lt;&gt;""),F171*100+B171,""),"")</f>
        <v/>
      </c>
      <c r="H171" s="0" t="n">
        <f aca="false">IFERROR(INDEX('Session Tracker'!$J$5:$J$149,MATCH($A171,'Session Tracker'!$D$5:$D$149,0)),0)</f>
        <v>8</v>
      </c>
      <c r="I171" s="0" t="n">
        <f aca="false">IF(OR(B171=0,B171=99,C171=""),"",IF(E171="Per class",D171,D171*H171))</f>
        <v>8</v>
      </c>
      <c r="N171" s="0" t="str">
        <f aca="false">IF('Little Explorers Kits'!B181="","",'Little Explorers Kits'!B181)</f>
        <v>Robot Platforms &amp; Kits</v>
      </c>
      <c r="O171" s="0" t="str">
        <f aca="false">IF('Little Explorers Kits'!F181="","",'Little Explorers Kits'!F181)</f>
        <v>Consumable</v>
      </c>
      <c r="P171" s="0" t="str">
        <f aca="false">IF('Little Explorers Kits'!G181="","",'Little Explorers Kits'!G181)</f>
        <v/>
      </c>
    </row>
    <row r="172" customFormat="false" ht="15" hidden="false" customHeight="false" outlineLevel="0" collapsed="false">
      <c r="A172" s="0" t="s">
        <v>104</v>
      </c>
      <c r="B172" s="0" t="n">
        <v>2</v>
      </c>
      <c r="C172" s="0" t="str">
        <f aca="false">IF('Little Explorers Kits'!C182="","",'Little Explorers Kits'!C182)</f>
        <v>Coin cell CR2032</v>
      </c>
      <c r="D172" s="0" t="n">
        <f aca="false">IF('Little Explorers Kits'!D182="","",'Little Explorers Kits'!D182)</f>
        <v>1</v>
      </c>
      <c r="E172" s="0" t="str">
        <f aca="false">IF('Little Explorers Kits'!E182="","",'Little Explorers Kits'!E182)</f>
        <v>Per group</v>
      </c>
      <c r="F172" s="0" t="str">
        <f aca="false">IFERROR(INDEX('Session Tracker'!$M$5:$M$149,MATCH($A172,'Session Tracker'!$D$5:$D$149,0))+0,"")</f>
        <v/>
      </c>
      <c r="G172" s="0" t="str">
        <f aca="false">IF(ISNUMBER(F172),IF(OR(B172=0,B172=99,C172&lt;&gt;""),F172*100+B172,""),"")</f>
        <v/>
      </c>
      <c r="H172" s="0" t="n">
        <f aca="false">IFERROR(INDEX('Session Tracker'!$J$5:$J$149,MATCH($A172,'Session Tracker'!$D$5:$D$149,0)),0)</f>
        <v>8</v>
      </c>
      <c r="I172" s="0" t="n">
        <f aca="false">IF(OR(B172=0,B172=99,C172=""),"",IF(E172="Per class",D172,D172*H172))</f>
        <v>8</v>
      </c>
      <c r="N172" s="0" t="str">
        <f aca="false">IF('Little Explorers Kits'!B182="","",'Little Explorers Kits'!B182)</f>
        <v>Power</v>
      </c>
      <c r="O172" s="0" t="str">
        <f aca="false">IF('Little Explorers Kits'!F182="","",'Little Explorers Kits'!F182)</f>
        <v>Consumable</v>
      </c>
      <c r="P172" s="0" t="str">
        <f aca="false">IF('Little Explorers Kits'!G182="","",'Little Explorers Kits'!G182)</f>
        <v/>
      </c>
    </row>
    <row r="173" customFormat="false" ht="15" hidden="false" customHeight="false" outlineLevel="0" collapsed="false">
      <c r="A173" s="0" t="s">
        <v>104</v>
      </c>
      <c r="B173" s="0" t="n">
        <v>3</v>
      </c>
      <c r="C173" s="0" t="str">
        <f aca="false">IF('Little Explorers Kits'!C183="","",'Little Explorers Kits'!C183)</f>
        <v>Googly eyes</v>
      </c>
      <c r="D173" s="0" t="n">
        <f aca="false">IF('Little Explorers Kits'!D183="","",'Little Explorers Kits'!D183)</f>
        <v>2</v>
      </c>
      <c r="E173" s="0" t="str">
        <f aca="false">IF('Little Explorers Kits'!E183="","",'Little Explorers Kits'!E183)</f>
        <v>Per group</v>
      </c>
      <c r="F173" s="0" t="str">
        <f aca="false">IFERROR(INDEX('Session Tracker'!$M$5:$M$149,MATCH($A173,'Session Tracker'!$D$5:$D$149,0))+0,"")</f>
        <v/>
      </c>
      <c r="G173" s="0" t="str">
        <f aca="false">IF(ISNUMBER(F173),IF(OR(B173=0,B173=99,C173&lt;&gt;""),F173*100+B173,""),"")</f>
        <v/>
      </c>
      <c r="H173" s="0" t="n">
        <f aca="false">IFERROR(INDEX('Session Tracker'!$J$5:$J$149,MATCH($A173,'Session Tracker'!$D$5:$D$149,0)),0)</f>
        <v>8</v>
      </c>
      <c r="I173" s="0" t="n">
        <f aca="false">IF(OR(B173=0,B173=99,C173=""),"",IF(E173="Per class",D173,D173*H173))</f>
        <v>16</v>
      </c>
      <c r="N173" s="0" t="str">
        <f aca="false">IF('Little Explorers Kits'!B183="","",'Little Explorers Kits'!B183)</f>
        <v>Craft &amp; Stationery</v>
      </c>
      <c r="O173" s="0" t="str">
        <f aca="false">IF('Little Explorers Kits'!F183="","",'Little Explorers Kits'!F183)</f>
        <v>Consumable</v>
      </c>
      <c r="P173" s="0" t="str">
        <f aca="false">IF('Little Explorers Kits'!G183="","",'Little Explorers Kits'!G183)</f>
        <v/>
      </c>
    </row>
    <row r="174" customFormat="false" ht="15" hidden="false" customHeight="false" outlineLevel="0" collapsed="false">
      <c r="A174" s="0" t="s">
        <v>104</v>
      </c>
      <c r="B174" s="0" t="n">
        <v>4</v>
      </c>
      <c r="C174" s="0" t="str">
        <f aca="false">IF('Little Explorers Kits'!C184="","",'Little Explorers Kits'!C184)</f>
        <v>Tape (paper + double-sided)</v>
      </c>
      <c r="D174" s="0" t="n">
        <f aca="false">IF('Little Explorers Kits'!D184="","",'Little Explorers Kits'!D184)</f>
        <v>1</v>
      </c>
      <c r="E174" s="0" t="str">
        <f aca="false">IF('Little Explorers Kits'!E184="","",'Little Explorers Kits'!E184)</f>
        <v>Per class</v>
      </c>
      <c r="F174" s="0" t="str">
        <f aca="false">IFERROR(INDEX('Session Tracker'!$M$5:$M$149,MATCH($A174,'Session Tracker'!$D$5:$D$149,0))+0,"")</f>
        <v/>
      </c>
      <c r="G174" s="0" t="str">
        <f aca="false">IF(ISNUMBER(F174),IF(OR(B174=0,B174=99,C174&lt;&gt;""),F174*100+B174,""),"")</f>
        <v/>
      </c>
      <c r="H174" s="0" t="n">
        <f aca="false">IFERROR(INDEX('Session Tracker'!$J$5:$J$149,MATCH($A174,'Session Tracker'!$D$5:$D$149,0)),0)</f>
        <v>8</v>
      </c>
      <c r="I174" s="0" t="n">
        <f aca="false">IF(OR(B174=0,B174=99,C174=""),"",IF(E174="Per class",D174,D174*H174))</f>
        <v>1</v>
      </c>
      <c r="N174" s="0" t="str">
        <f aca="false">IF('Little Explorers Kits'!B184="","",'Little Explorers Kits'!B184)</f>
        <v>Craft &amp; Stationery</v>
      </c>
      <c r="O174" s="0" t="str">
        <f aca="false">IF('Little Explorers Kits'!F184="","",'Little Explorers Kits'!F184)</f>
        <v>Consumable</v>
      </c>
      <c r="P174" s="0" t="str">
        <f aca="false">IF('Little Explorers Kits'!G184="","",'Little Explorers Kits'!G184)</f>
        <v/>
      </c>
    </row>
    <row r="175" customFormat="false" ht="15" hidden="false" customHeight="false" outlineLevel="0" collapsed="false">
      <c r="A175" s="0" t="s">
        <v>104</v>
      </c>
      <c r="B175" s="0" t="n">
        <v>5</v>
      </c>
      <c r="C175" s="0" t="str">
        <f aca="false">IF('Little Explorers Kits'!C185="","",'Little Explorers Kits'!C185)</f>
        <v/>
      </c>
      <c r="D175" s="0" t="str">
        <f aca="false">IF('Little Explorers Kits'!D185="","",'Little Explorers Kits'!D185)</f>
        <v/>
      </c>
      <c r="E175" s="0" t="str">
        <f aca="false">IF('Little Explorers Kits'!E185="","",'Little Explorers Kits'!E185)</f>
        <v/>
      </c>
      <c r="F175" s="0" t="str">
        <f aca="false">IFERROR(INDEX('Session Tracker'!$M$5:$M$149,MATCH($A175,'Session Tracker'!$D$5:$D$149,0))+0,"")</f>
        <v/>
      </c>
      <c r="G175" s="0" t="str">
        <f aca="false">IF(ISNUMBER(F175),IF(OR(B175=0,B175=99,C175&lt;&gt;""),F175*100+B175,""),"")</f>
        <v/>
      </c>
      <c r="H175" s="0" t="n">
        <f aca="false">IFERROR(INDEX('Session Tracker'!$J$5:$J$149,MATCH($A175,'Session Tracker'!$D$5:$D$149,0)),0)</f>
        <v>8</v>
      </c>
      <c r="I175" s="0" t="str">
        <f aca="false">IF(OR(B175=0,B175=99,C175=""),"",IF(E175="Per class",D175,D175*H175))</f>
        <v/>
      </c>
      <c r="N175" s="0" t="str">
        <f aca="false">IF('Little Explorers Kits'!B185="","",'Little Explorers Kits'!B185)</f>
        <v/>
      </c>
      <c r="O175" s="0" t="str">
        <f aca="false">IF('Little Explorers Kits'!F185="","",'Little Explorers Kits'!F185)</f>
        <v/>
      </c>
      <c r="P175" s="0" t="str">
        <f aca="false">IF('Little Explorers Kits'!G185="","",'Little Explorers Kits'!G185)</f>
        <v/>
      </c>
    </row>
    <row r="176" customFormat="false" ht="15" hidden="false" customHeight="false" outlineLevel="0" collapsed="false">
      <c r="A176" s="0" t="s">
        <v>104</v>
      </c>
      <c r="B176" s="0" t="n">
        <v>6</v>
      </c>
      <c r="C176" s="0" t="str">
        <f aca="false">IF('Little Explorers Kits'!C186="","",'Little Explorers Kits'!C186)</f>
        <v/>
      </c>
      <c r="D176" s="0" t="str">
        <f aca="false">IF('Little Explorers Kits'!D186="","",'Little Explorers Kits'!D186)</f>
        <v/>
      </c>
      <c r="E176" s="0" t="str">
        <f aca="false">IF('Little Explorers Kits'!E186="","",'Little Explorers Kits'!E186)</f>
        <v/>
      </c>
      <c r="F176" s="0" t="str">
        <f aca="false">IFERROR(INDEX('Session Tracker'!$M$5:$M$149,MATCH($A176,'Session Tracker'!$D$5:$D$149,0))+0,"")</f>
        <v/>
      </c>
      <c r="G176" s="0" t="str">
        <f aca="false">IF(ISNUMBER(F176),IF(OR(B176=0,B176=99,C176&lt;&gt;""),F176*100+B176,""),"")</f>
        <v/>
      </c>
      <c r="H176" s="0" t="n">
        <f aca="false">IFERROR(INDEX('Session Tracker'!$J$5:$J$149,MATCH($A176,'Session Tracker'!$D$5:$D$149,0)),0)</f>
        <v>8</v>
      </c>
      <c r="I176" s="0" t="str">
        <f aca="false">IF(OR(B176=0,B176=99,C176=""),"",IF(E176="Per class",D176,D176*H176))</f>
        <v/>
      </c>
      <c r="N176" s="0" t="str">
        <f aca="false">IF('Little Explorers Kits'!B186="","",'Little Explorers Kits'!B186)</f>
        <v/>
      </c>
      <c r="O176" s="0" t="str">
        <f aca="false">IF('Little Explorers Kits'!F186="","",'Little Explorers Kits'!F186)</f>
        <v/>
      </c>
      <c r="P176" s="0" t="str">
        <f aca="false">IF('Little Explorers Kits'!G186="","",'Little Explorers Kits'!G186)</f>
        <v/>
      </c>
    </row>
    <row r="177" customFormat="false" ht="15" hidden="false" customHeight="false" outlineLevel="0" collapsed="false">
      <c r="A177" s="0" t="s">
        <v>106</v>
      </c>
      <c r="B177" s="0" t="n">
        <v>0</v>
      </c>
      <c r="F177" s="0" t="str">
        <f aca="false">IFERROR(INDEX('Session Tracker'!$M$5:$M$149,MATCH($A177,'Session Tracker'!$D$5:$D$149,0))+0,"")</f>
        <v/>
      </c>
      <c r="G177" s="0" t="str">
        <f aca="false">IF(ISNUMBER(F177),IF(OR(B177=0,B177=99,C177&lt;&gt;""),F177*100+B177,""),"")</f>
        <v/>
      </c>
      <c r="H177" s="0" t="n">
        <f aca="false">IFERROR(INDEX('Session Tracker'!$J$5:$J$149,MATCH($A177,'Session Tracker'!$D$5:$D$149,0)),0)</f>
        <v>8</v>
      </c>
      <c r="I177" s="0" t="str">
        <f aca="false">IF(OR(B177=0,B177=99,C177=""),"",IF(E177="Per class",D177,D177*H177))</f>
        <v/>
      </c>
      <c r="K177" s="0" t="str">
        <f aca="false">IFERROR(INDEX('Session Tracker'!$E$5:$E$149,MATCH($A177,'Session Tracker'!$D$5:$D$149,0)),"")</f>
        <v>Morse Code Light Messenger</v>
      </c>
      <c r="L177" s="0" t="str">
        <f aca="false">IFERROR(INDEX('Session Tracker'!$A$5:$A$149,MATCH($A177,'Session Tracker'!$D$5:$D$149,0)),"")</f>
        <v>Little Explorers (5-7)</v>
      </c>
      <c r="M177" s="0" t="str">
        <f aca="false">IFERROR(INDEX('Session Tracker'!$H$5:$H$149,MATCH($A177,'Session Tracker'!$D$5:$D$149,0))&amp;"","")</f>
        <v/>
      </c>
      <c r="Q177" s="0" t="str">
        <f aca="false">IFERROR("Status: "&amp;INDEX('Session Tracker'!$F$5:$F$149,MATCH($A177,'Session Tracker'!$D$5:$D$149,0))&amp;IF(INDEX('Session Tracker'!$G$5:$G$149,MATCH($A177,'Session Tracker'!$D$5:$D$149,0))&lt;&gt;""," ("&amp;INDEX('Session Tracker'!$G$5:$G$149,MATCH($A177,'Session Tracker'!$D$5:$D$149,0))&amp;")","")&amp;IF(M177&lt;&gt;"","  "&amp;M177,""),"")</f>
        <v>Status: Not started</v>
      </c>
    </row>
    <row r="178" customFormat="false" ht="15" hidden="false" customHeight="false" outlineLevel="0" collapsed="false">
      <c r="A178" s="0" t="s">
        <v>106</v>
      </c>
      <c r="B178" s="0" t="n">
        <v>1</v>
      </c>
      <c r="C178" s="0" t="str">
        <f aca="false">IF('Little Explorers Kits'!C189="","",'Little Explorers Kits'!C189)</f>
        <v>Arduino Uno + USB cable</v>
      </c>
      <c r="D178" s="0" t="n">
        <f aca="false">IF('Little Explorers Kits'!D189="","",'Little Explorers Kits'!D189)</f>
        <v>1</v>
      </c>
      <c r="E178" s="0" t="str">
        <f aca="false">IF('Little Explorers Kits'!E189="","",'Little Explorers Kits'!E189)</f>
        <v>Per group</v>
      </c>
      <c r="F178" s="0" t="str">
        <f aca="false">IFERROR(INDEX('Session Tracker'!$M$5:$M$149,MATCH($A178,'Session Tracker'!$D$5:$D$149,0))+0,"")</f>
        <v/>
      </c>
      <c r="G178" s="0" t="str">
        <f aca="false">IF(ISNUMBER(F178),IF(OR(B178=0,B178=99,C178&lt;&gt;""),F178*100+B178,""),"")</f>
        <v/>
      </c>
      <c r="H178" s="0" t="n">
        <f aca="false">IFERROR(INDEX('Session Tracker'!$J$5:$J$149,MATCH($A178,'Session Tracker'!$D$5:$D$149,0)),0)</f>
        <v>8</v>
      </c>
      <c r="I178" s="0" t="n">
        <f aca="false">IF(OR(B178=0,B178=99,C178=""),"",IF(E178="Per class",D178,D178*H178))</f>
        <v>8</v>
      </c>
      <c r="N178" s="0" t="str">
        <f aca="false">IF('Little Explorers Kits'!B189="","",'Little Explorers Kits'!B189)</f>
        <v>Microcontrollers &amp; Dev Boards</v>
      </c>
      <c r="O178" s="0" t="str">
        <f aca="false">IF('Little Explorers Kits'!F189="","",'Little Explorers Kits'!F189)</f>
        <v>Reusable</v>
      </c>
      <c r="P178" s="0" t="str">
        <f aca="false">IF('Little Explorers Kits'!G189="","",'Little Explorers Kits'!G189)</f>
        <v>Pre-wired by teacher</v>
      </c>
    </row>
    <row r="179" customFormat="false" ht="15" hidden="false" customHeight="false" outlineLevel="0" collapsed="false">
      <c r="A179" s="0" t="s">
        <v>106</v>
      </c>
      <c r="B179" s="0" t="n">
        <v>2</v>
      </c>
      <c r="C179" s="0" t="str">
        <f aca="false">IF('Little Explorers Kits'!C190="","",'Little Explorers Kits'!C190)</f>
        <v>Push button</v>
      </c>
      <c r="D179" s="0" t="n">
        <f aca="false">IF('Little Explorers Kits'!D190="","",'Little Explorers Kits'!D190)</f>
        <v>1</v>
      </c>
      <c r="E179" s="0" t="str">
        <f aca="false">IF('Little Explorers Kits'!E190="","",'Little Explorers Kits'!E190)</f>
        <v>Per group</v>
      </c>
      <c r="F179" s="0" t="str">
        <f aca="false">IFERROR(INDEX('Session Tracker'!$M$5:$M$149,MATCH($A179,'Session Tracker'!$D$5:$D$149,0))+0,"")</f>
        <v/>
      </c>
      <c r="G179" s="0" t="str">
        <f aca="false">IF(ISNUMBER(F179),IF(OR(B179=0,B179=99,C179&lt;&gt;""),F179*100+B179,""),"")</f>
        <v/>
      </c>
      <c r="H179" s="0" t="n">
        <f aca="false">IFERROR(INDEX('Session Tracker'!$J$5:$J$149,MATCH($A179,'Session Tracker'!$D$5:$D$149,0)),0)</f>
        <v>8</v>
      </c>
      <c r="I179" s="0" t="n">
        <f aca="false">IF(OR(B179=0,B179=99,C179=""),"",IF(E179="Per class",D179,D179*H179))</f>
        <v>8</v>
      </c>
      <c r="N179" s="0" t="str">
        <f aca="false">IF('Little Explorers Kits'!B190="","",'Little Explorers Kits'!B190)</f>
        <v>Passive Components &amp; ICs</v>
      </c>
      <c r="O179" s="0" t="str">
        <f aca="false">IF('Little Explorers Kits'!F190="","",'Little Explorers Kits'!F190)</f>
        <v>Reusable</v>
      </c>
      <c r="P179" s="0" t="str">
        <f aca="false">IF('Little Explorers Kits'!G190="","",'Little Explorers Kits'!G190)</f>
        <v/>
      </c>
    </row>
    <row r="180" customFormat="false" ht="15" hidden="false" customHeight="false" outlineLevel="0" collapsed="false">
      <c r="A180" s="0" t="s">
        <v>106</v>
      </c>
      <c r="B180" s="0" t="n">
        <v>3</v>
      </c>
      <c r="C180" s="0" t="str">
        <f aca="false">IF('Little Explorers Kits'!C191="","",'Little Explorers Kits'!C191)</f>
        <v>LED 5 mm (assorted)</v>
      </c>
      <c r="D180" s="0" t="n">
        <f aca="false">IF('Little Explorers Kits'!D191="","",'Little Explorers Kits'!D191)</f>
        <v>1</v>
      </c>
      <c r="E180" s="0" t="str">
        <f aca="false">IF('Little Explorers Kits'!E191="","",'Little Explorers Kits'!E191)</f>
        <v>Per group</v>
      </c>
      <c r="F180" s="0" t="str">
        <f aca="false">IFERROR(INDEX('Session Tracker'!$M$5:$M$149,MATCH($A180,'Session Tracker'!$D$5:$D$149,0))+0,"")</f>
        <v/>
      </c>
      <c r="G180" s="0" t="str">
        <f aca="false">IF(ISNUMBER(F180),IF(OR(B180=0,B180=99,C180&lt;&gt;""),F180*100+B180,""),"")</f>
        <v/>
      </c>
      <c r="H180" s="0" t="n">
        <f aca="false">IFERROR(INDEX('Session Tracker'!$J$5:$J$149,MATCH($A180,'Session Tracker'!$D$5:$D$149,0)),0)</f>
        <v>8</v>
      </c>
      <c r="I180" s="0" t="n">
        <f aca="false">IF(OR(B180=0,B180=99,C180=""),"",IF(E180="Per class",D180,D180*H180))</f>
        <v>8</v>
      </c>
      <c r="N180" s="0" t="str">
        <f aca="false">IF('Little Explorers Kits'!B191="","",'Little Explorers Kits'!B191)</f>
        <v>Displays &amp; Output</v>
      </c>
      <c r="O180" s="0" t="str">
        <f aca="false">IF('Little Explorers Kits'!F191="","",'Little Explorers Kits'!F191)</f>
        <v>Consumable</v>
      </c>
      <c r="P180" s="0" t="str">
        <f aca="false">IF('Little Explorers Kits'!G191="","",'Little Explorers Kits'!G191)</f>
        <v/>
      </c>
    </row>
    <row r="181" customFormat="false" ht="15" hidden="false" customHeight="false" outlineLevel="0" collapsed="false">
      <c r="A181" s="0" t="s">
        <v>106</v>
      </c>
      <c r="B181" s="0" t="n">
        <v>4</v>
      </c>
      <c r="C181" s="0" t="str">
        <f aca="false">IF('Little Explorers Kits'!C192="","",'Little Explorers Kits'!C192)</f>
        <v>Buzzer</v>
      </c>
      <c r="D181" s="0" t="n">
        <f aca="false">IF('Little Explorers Kits'!D192="","",'Little Explorers Kits'!D192)</f>
        <v>1</v>
      </c>
      <c r="E181" s="0" t="str">
        <f aca="false">IF('Little Explorers Kits'!E192="","",'Little Explorers Kits'!E192)</f>
        <v>Per group</v>
      </c>
      <c r="F181" s="0" t="str">
        <f aca="false">IFERROR(INDEX('Session Tracker'!$M$5:$M$149,MATCH($A181,'Session Tracker'!$D$5:$D$149,0))+0,"")</f>
        <v/>
      </c>
      <c r="G181" s="0" t="str">
        <f aca="false">IF(ISNUMBER(F181),IF(OR(B181=0,B181=99,C181&lt;&gt;""),F181*100+B181,""),"")</f>
        <v/>
      </c>
      <c r="H181" s="0" t="n">
        <f aca="false">IFERROR(INDEX('Session Tracker'!$J$5:$J$149,MATCH($A181,'Session Tracker'!$D$5:$D$149,0)),0)</f>
        <v>8</v>
      </c>
      <c r="I181" s="0" t="n">
        <f aca="false">IF(OR(B181=0,B181=99,C181=""),"",IF(E181="Per class",D181,D181*H181))</f>
        <v>8</v>
      </c>
      <c r="N181" s="0" t="str">
        <f aca="false">IF('Little Explorers Kits'!B192="","",'Little Explorers Kits'!B192)</f>
        <v>Actuators &amp; Motor Drivers</v>
      </c>
      <c r="O181" s="0" t="str">
        <f aca="false">IF('Little Explorers Kits'!F192="","",'Little Explorers Kits'!F192)</f>
        <v>Reusable</v>
      </c>
      <c r="P181" s="0" t="str">
        <f aca="false">IF('Little Explorers Kits'!G192="","",'Little Explorers Kits'!G192)</f>
        <v/>
      </c>
    </row>
    <row r="182" customFormat="false" ht="15" hidden="false" customHeight="false" outlineLevel="0" collapsed="false">
      <c r="A182" s="0" t="s">
        <v>106</v>
      </c>
      <c r="B182" s="0" t="n">
        <v>5</v>
      </c>
      <c r="C182" s="0" t="str">
        <f aca="false">IF('Little Explorers Kits'!C193="","",'Little Explorers Kits'!C193)</f>
        <v>Resistor 220 ohm</v>
      </c>
      <c r="D182" s="0" t="n">
        <f aca="false">IF('Little Explorers Kits'!D193="","",'Little Explorers Kits'!D193)</f>
        <v>1</v>
      </c>
      <c r="E182" s="0" t="str">
        <f aca="false">IF('Little Explorers Kits'!E193="","",'Little Explorers Kits'!E193)</f>
        <v>Per group</v>
      </c>
      <c r="F182" s="0" t="str">
        <f aca="false">IFERROR(INDEX('Session Tracker'!$M$5:$M$149,MATCH($A182,'Session Tracker'!$D$5:$D$149,0))+0,"")</f>
        <v/>
      </c>
      <c r="G182" s="0" t="str">
        <f aca="false">IF(ISNUMBER(F182),IF(OR(B182=0,B182=99,C182&lt;&gt;""),F182*100+B182,""),"")</f>
        <v/>
      </c>
      <c r="H182" s="0" t="n">
        <f aca="false">IFERROR(INDEX('Session Tracker'!$J$5:$J$149,MATCH($A182,'Session Tracker'!$D$5:$D$149,0)),0)</f>
        <v>8</v>
      </c>
      <c r="I182" s="0" t="n">
        <f aca="false">IF(OR(B182=0,B182=99,C182=""),"",IF(E182="Per class",D182,D182*H182))</f>
        <v>8</v>
      </c>
      <c r="N182" s="0" t="str">
        <f aca="false">IF('Little Explorers Kits'!B193="","",'Little Explorers Kits'!B193)</f>
        <v>Passive Components &amp; ICs</v>
      </c>
      <c r="O182" s="0" t="str">
        <f aca="false">IF('Little Explorers Kits'!F193="","",'Little Explorers Kits'!F193)</f>
        <v>Consumable</v>
      </c>
      <c r="P182" s="0" t="str">
        <f aca="false">IF('Little Explorers Kits'!G193="","",'Little Explorers Kits'!G193)</f>
        <v/>
      </c>
    </row>
    <row r="183" customFormat="false" ht="15" hidden="false" customHeight="false" outlineLevel="0" collapsed="false">
      <c r="A183" s="0" t="s">
        <v>106</v>
      </c>
      <c r="B183" s="0" t="n">
        <v>6</v>
      </c>
      <c r="C183" s="0" t="str">
        <f aca="false">IF('Little Explorers Kits'!C194="","",'Little Explorers Kits'!C194)</f>
        <v>Resistor 10k ohm</v>
      </c>
      <c r="D183" s="0" t="n">
        <f aca="false">IF('Little Explorers Kits'!D194="","",'Little Explorers Kits'!D194)</f>
        <v>1</v>
      </c>
      <c r="E183" s="0" t="str">
        <f aca="false">IF('Little Explorers Kits'!E194="","",'Little Explorers Kits'!E194)</f>
        <v>Per group</v>
      </c>
      <c r="F183" s="0" t="str">
        <f aca="false">IFERROR(INDEX('Session Tracker'!$M$5:$M$149,MATCH($A183,'Session Tracker'!$D$5:$D$149,0))+0,"")</f>
        <v/>
      </c>
      <c r="G183" s="0" t="str">
        <f aca="false">IF(ISNUMBER(F183),IF(OR(B183=0,B183=99,C183&lt;&gt;""),F183*100+B183,""),"")</f>
        <v/>
      </c>
      <c r="H183" s="0" t="n">
        <f aca="false">IFERROR(INDEX('Session Tracker'!$J$5:$J$149,MATCH($A183,'Session Tracker'!$D$5:$D$149,0)),0)</f>
        <v>8</v>
      </c>
      <c r="I183" s="0" t="n">
        <f aca="false">IF(OR(B183=0,B183=99,C183=""),"",IF(E183="Per class",D183,D183*H183))</f>
        <v>8</v>
      </c>
      <c r="N183" s="0" t="str">
        <f aca="false">IF('Little Explorers Kits'!B194="","",'Little Explorers Kits'!B194)</f>
        <v>Passive Components &amp; ICs</v>
      </c>
      <c r="O183" s="0" t="str">
        <f aca="false">IF('Little Explorers Kits'!F194="","",'Little Explorers Kits'!F194)</f>
        <v>Consumable</v>
      </c>
      <c r="P183" s="0" t="str">
        <f aca="false">IF('Little Explorers Kits'!G194="","",'Little Explorers Kits'!G194)</f>
        <v/>
      </c>
    </row>
    <row r="184" customFormat="false" ht="15" hidden="false" customHeight="false" outlineLevel="0" collapsed="false">
      <c r="A184" s="0" t="s">
        <v>106</v>
      </c>
      <c r="B184" s="0" t="n">
        <v>7</v>
      </c>
      <c r="C184" s="0" t="str">
        <f aca="false">IF('Little Explorers Kits'!C195="","",'Little Explorers Kits'!C195)</f>
        <v>Printed templates</v>
      </c>
      <c r="D184" s="0" t="n">
        <f aca="false">IF('Little Explorers Kits'!D195="","",'Little Explorers Kits'!D195)</f>
        <v>1</v>
      </c>
      <c r="E184" s="0" t="str">
        <f aca="false">IF('Little Explorers Kits'!E195="","",'Little Explorers Kits'!E195)</f>
        <v>Per group</v>
      </c>
      <c r="F184" s="0" t="str">
        <f aca="false">IFERROR(INDEX('Session Tracker'!$M$5:$M$149,MATCH($A184,'Session Tracker'!$D$5:$D$149,0))+0,"")</f>
        <v/>
      </c>
      <c r="G184" s="0" t="str">
        <f aca="false">IF(ISNUMBER(F184),IF(OR(B184=0,B184=99,C184&lt;&gt;""),F184*100+B184,""),"")</f>
        <v/>
      </c>
      <c r="H184" s="0" t="n">
        <f aca="false">IFERROR(INDEX('Session Tracker'!$J$5:$J$149,MATCH($A184,'Session Tracker'!$D$5:$D$149,0)),0)</f>
        <v>8</v>
      </c>
      <c r="I184" s="0" t="n">
        <f aca="false">IF(OR(B184=0,B184=99,C184=""),"",IF(E184="Per class",D184,D184*H184))</f>
        <v>8</v>
      </c>
      <c r="N184" s="0" t="str">
        <f aca="false">IF('Little Explorers Kits'!B195="","",'Little Explorers Kits'!B195)</f>
        <v>Craft &amp; Stationery</v>
      </c>
      <c r="O184" s="0" t="str">
        <f aca="false">IF('Little Explorers Kits'!F195="","",'Little Explorers Kits'!F195)</f>
        <v>Consumable</v>
      </c>
      <c r="P184" s="0" t="str">
        <f aca="false">IF('Little Explorers Kits'!G195="","",'Little Explorers Kits'!G195)</f>
        <v>Morse picture chart</v>
      </c>
    </row>
    <row r="185" customFormat="false" ht="15" hidden="false" customHeight="false" outlineLevel="0" collapsed="false">
      <c r="A185" s="0" t="s">
        <v>106</v>
      </c>
      <c r="B185" s="0" t="n">
        <v>8</v>
      </c>
      <c r="C185" s="0" t="str">
        <f aca="false">IF('Little Explorers Kits'!C196="","",'Little Explorers Kits'!C196)</f>
        <v>Breadboard (half size)</v>
      </c>
      <c r="D185" s="0" t="n">
        <f aca="false">IF('Little Explorers Kits'!D196="","",'Little Explorers Kits'!D196)</f>
        <v>1</v>
      </c>
      <c r="E185" s="0" t="str">
        <f aca="false">IF('Little Explorers Kits'!E196="","",'Little Explorers Kits'!E196)</f>
        <v>Per group</v>
      </c>
      <c r="F185" s="0" t="str">
        <f aca="false">IFERROR(INDEX('Session Tracker'!$M$5:$M$149,MATCH($A185,'Session Tracker'!$D$5:$D$149,0))+0,"")</f>
        <v/>
      </c>
      <c r="G185" s="0" t="str">
        <f aca="false">IF(ISNUMBER(F185),IF(OR(B185=0,B185=99,C185&lt;&gt;""),F185*100+B185,""),"")</f>
        <v/>
      </c>
      <c r="H185" s="0" t="n">
        <f aca="false">IFERROR(INDEX('Session Tracker'!$J$5:$J$149,MATCH($A185,'Session Tracker'!$D$5:$D$149,0)),0)</f>
        <v>8</v>
      </c>
      <c r="I185" s="0" t="n">
        <f aca="false">IF(OR(B185=0,B185=99,C185=""),"",IF(E185="Per class",D185,D185*H185))</f>
        <v>8</v>
      </c>
      <c r="N185" s="0" t="str">
        <f aca="false">IF('Little Explorers Kits'!B196="","",'Little Explorers Kits'!B196)</f>
        <v>Wiring &amp; Prototyping</v>
      </c>
      <c r="O185" s="0" t="str">
        <f aca="false">IF('Little Explorers Kits'!F196="","",'Little Explorers Kits'!F196)</f>
        <v>Reusable</v>
      </c>
      <c r="P185" s="0" t="str">
        <f aca="false">IF('Little Explorers Kits'!G196="","",'Little Explorers Kits'!G196)</f>
        <v/>
      </c>
    </row>
    <row r="186" customFormat="false" ht="15" hidden="false" customHeight="false" outlineLevel="0" collapsed="false">
      <c r="A186" s="0" t="s">
        <v>106</v>
      </c>
      <c r="B186" s="0" t="n">
        <v>9</v>
      </c>
      <c r="C186" s="0" t="str">
        <f aca="false">IF('Little Explorers Kits'!C197="","",'Little Explorers Kits'!C197)</f>
        <v>Jumper wires M-M</v>
      </c>
      <c r="D186" s="0" t="n">
        <f aca="false">IF('Little Explorers Kits'!D197="","",'Little Explorers Kits'!D197)</f>
        <v>6</v>
      </c>
      <c r="E186" s="0" t="str">
        <f aca="false">IF('Little Explorers Kits'!E197="","",'Little Explorers Kits'!E197)</f>
        <v>Per group</v>
      </c>
      <c r="F186" s="0" t="str">
        <f aca="false">IFERROR(INDEX('Session Tracker'!$M$5:$M$149,MATCH($A186,'Session Tracker'!$D$5:$D$149,0))+0,"")</f>
        <v/>
      </c>
      <c r="G186" s="0" t="str">
        <f aca="false">IF(ISNUMBER(F186),IF(OR(B186=0,B186=99,C186&lt;&gt;""),F186*100+B186,""),"")</f>
        <v/>
      </c>
      <c r="H186" s="0" t="n">
        <f aca="false">IFERROR(INDEX('Session Tracker'!$J$5:$J$149,MATCH($A186,'Session Tracker'!$D$5:$D$149,0)),0)</f>
        <v>8</v>
      </c>
      <c r="I186" s="0" t="n">
        <f aca="false">IF(OR(B186=0,B186=99,C186=""),"",IF(E186="Per class",D186,D186*H186))</f>
        <v>48</v>
      </c>
      <c r="N186" s="0" t="str">
        <f aca="false">IF('Little Explorers Kits'!B197="","",'Little Explorers Kits'!B197)</f>
        <v>Wiring &amp; Prototyping</v>
      </c>
      <c r="O186" s="0" t="str">
        <f aca="false">IF('Little Explorers Kits'!F197="","",'Little Explorers Kits'!F197)</f>
        <v>Reusable</v>
      </c>
      <c r="P186" s="0" t="str">
        <f aca="false">IF('Little Explorers Kits'!G197="","",'Little Explorers Kits'!G197)</f>
        <v/>
      </c>
    </row>
    <row r="187" customFormat="false" ht="15" hidden="false" customHeight="false" outlineLevel="0" collapsed="false">
      <c r="A187" s="0" t="s">
        <v>106</v>
      </c>
      <c r="B187" s="0" t="n">
        <v>10</v>
      </c>
      <c r="C187" s="0" t="str">
        <f aca="false">IF('Little Explorers Kits'!C198="","",'Little Explorers Kits'!C198)</f>
        <v>Laptop</v>
      </c>
      <c r="D187" s="0" t="n">
        <f aca="false">IF('Little Explorers Kits'!D198="","",'Little Explorers Kits'!D198)</f>
        <v>1</v>
      </c>
      <c r="E187" s="0" t="str">
        <f aca="false">IF('Little Explorers Kits'!E198="","",'Little Explorers Kits'!E198)</f>
        <v>Per group</v>
      </c>
      <c r="F187" s="0" t="str">
        <f aca="false">IFERROR(INDEX('Session Tracker'!$M$5:$M$149,MATCH($A187,'Session Tracker'!$D$5:$D$149,0))+0,"")</f>
        <v/>
      </c>
      <c r="G187" s="0" t="str">
        <f aca="false">IF(ISNUMBER(F187),IF(OR(B187=0,B187=99,C187&lt;&gt;""),F187*100+B187,""),"")</f>
        <v/>
      </c>
      <c r="H187" s="0" t="n">
        <f aca="false">IFERROR(INDEX('Session Tracker'!$J$5:$J$149,MATCH($A187,'Session Tracker'!$D$5:$D$149,0)),0)</f>
        <v>8</v>
      </c>
      <c r="I187" s="0" t="n">
        <f aca="false">IF(OR(B187=0,B187=99,C187=""),"",IF(E187="Per class",D187,D187*H187))</f>
        <v>8</v>
      </c>
      <c r="N187" s="0" t="str">
        <f aca="false">IF('Little Explorers Kits'!B198="","",'Little Explorers Kits'!B198)</f>
        <v>Computers &amp; Equipment</v>
      </c>
      <c r="O187" s="0" t="str">
        <f aca="false">IF('Little Explorers Kits'!F198="","",'Little Explorers Kits'!F198)</f>
        <v>Reusable</v>
      </c>
      <c r="P187" s="0" t="str">
        <f aca="false">IF('Little Explorers Kits'!G198="","",'Little Explorers Kits'!G198)</f>
        <v/>
      </c>
    </row>
    <row r="188" customFormat="false" ht="15" hidden="false" customHeight="false" outlineLevel="0" collapsed="false">
      <c r="A188" s="0" t="s">
        <v>106</v>
      </c>
      <c r="B188" s="0" t="n">
        <v>11</v>
      </c>
      <c r="C188" s="0" t="str">
        <f aca="false">IF('Little Explorers Kits'!C199="","",'Little Explorers Kits'!C199)</f>
        <v/>
      </c>
      <c r="D188" s="0" t="str">
        <f aca="false">IF('Little Explorers Kits'!D199="","",'Little Explorers Kits'!D199)</f>
        <v/>
      </c>
      <c r="E188" s="0" t="str">
        <f aca="false">IF('Little Explorers Kits'!E199="","",'Little Explorers Kits'!E199)</f>
        <v/>
      </c>
      <c r="F188" s="0" t="str">
        <f aca="false">IFERROR(INDEX('Session Tracker'!$M$5:$M$149,MATCH($A188,'Session Tracker'!$D$5:$D$149,0))+0,"")</f>
        <v/>
      </c>
      <c r="G188" s="0" t="str">
        <f aca="false">IF(ISNUMBER(F188),IF(OR(B188=0,B188=99,C188&lt;&gt;""),F188*100+B188,""),"")</f>
        <v/>
      </c>
      <c r="H188" s="0" t="n">
        <f aca="false">IFERROR(INDEX('Session Tracker'!$J$5:$J$149,MATCH($A188,'Session Tracker'!$D$5:$D$149,0)),0)</f>
        <v>8</v>
      </c>
      <c r="I188" s="0" t="str">
        <f aca="false">IF(OR(B188=0,B188=99,C188=""),"",IF(E188="Per class",D188,D188*H188))</f>
        <v/>
      </c>
      <c r="N188" s="0" t="str">
        <f aca="false">IF('Little Explorers Kits'!B199="","",'Little Explorers Kits'!B199)</f>
        <v/>
      </c>
      <c r="O188" s="0" t="str">
        <f aca="false">IF('Little Explorers Kits'!F199="","",'Little Explorers Kits'!F199)</f>
        <v/>
      </c>
      <c r="P188" s="0" t="str">
        <f aca="false">IF('Little Explorers Kits'!G199="","",'Little Explorers Kits'!G199)</f>
        <v/>
      </c>
    </row>
    <row r="189" customFormat="false" ht="15" hidden="false" customHeight="false" outlineLevel="0" collapsed="false">
      <c r="A189" s="0" t="s">
        <v>106</v>
      </c>
      <c r="B189" s="0" t="n">
        <v>12</v>
      </c>
      <c r="C189" s="0" t="str">
        <f aca="false">IF('Little Explorers Kits'!C200="","",'Little Explorers Kits'!C200)</f>
        <v/>
      </c>
      <c r="D189" s="0" t="str">
        <f aca="false">IF('Little Explorers Kits'!D200="","",'Little Explorers Kits'!D200)</f>
        <v/>
      </c>
      <c r="E189" s="0" t="str">
        <f aca="false">IF('Little Explorers Kits'!E200="","",'Little Explorers Kits'!E200)</f>
        <v/>
      </c>
      <c r="F189" s="0" t="str">
        <f aca="false">IFERROR(INDEX('Session Tracker'!$M$5:$M$149,MATCH($A189,'Session Tracker'!$D$5:$D$149,0))+0,"")</f>
        <v/>
      </c>
      <c r="G189" s="0" t="str">
        <f aca="false">IF(ISNUMBER(F189),IF(OR(B189=0,B189=99,C189&lt;&gt;""),F189*100+B189,""),"")</f>
        <v/>
      </c>
      <c r="H189" s="0" t="n">
        <f aca="false">IFERROR(INDEX('Session Tracker'!$J$5:$J$149,MATCH($A189,'Session Tracker'!$D$5:$D$149,0)),0)</f>
        <v>8</v>
      </c>
      <c r="I189" s="0" t="str">
        <f aca="false">IF(OR(B189=0,B189=99,C189=""),"",IF(E189="Per class",D189,D189*H189))</f>
        <v/>
      </c>
      <c r="N189" s="0" t="str">
        <f aca="false">IF('Little Explorers Kits'!B200="","",'Little Explorers Kits'!B200)</f>
        <v/>
      </c>
      <c r="O189" s="0" t="str">
        <f aca="false">IF('Little Explorers Kits'!F200="","",'Little Explorers Kits'!F200)</f>
        <v/>
      </c>
      <c r="P189" s="0" t="str">
        <f aca="false">IF('Little Explorers Kits'!G200="","",'Little Explorers Kits'!G200)</f>
        <v/>
      </c>
    </row>
    <row r="190" customFormat="false" ht="15" hidden="false" customHeight="false" outlineLevel="0" collapsed="false">
      <c r="A190" s="0" t="s">
        <v>108</v>
      </c>
      <c r="B190" s="0" t="n">
        <v>0</v>
      </c>
      <c r="F190" s="0" t="str">
        <f aca="false">IFERROR(INDEX('Session Tracker'!$M$5:$M$149,MATCH($A190,'Session Tracker'!$D$5:$D$149,0))+0,"")</f>
        <v/>
      </c>
      <c r="G190" s="0" t="str">
        <f aca="false">IF(ISNUMBER(F190),IF(OR(B190=0,B190=99,C190&lt;&gt;""),F190*100+B190,""),"")</f>
        <v/>
      </c>
      <c r="H190" s="0" t="n">
        <f aca="false">IFERROR(INDEX('Session Tracker'!$J$5:$J$149,MATCH($A190,'Session Tracker'!$D$5:$D$149,0)),0)</f>
        <v>8</v>
      </c>
      <c r="I190" s="0" t="str">
        <f aca="false">IF(OR(B190=0,B190=99,C190=""),"",IF(E190="Per class",D190,D190*H190))</f>
        <v/>
      </c>
      <c r="K190" s="0" t="str">
        <f aca="false">IFERROR(INDEX('Session Tracker'!$E$5:$E$149,MATCH($A190,'Session Tracker'!$D$5:$D$149,0)),"")</f>
        <v>Makey Makey Fruit Piano</v>
      </c>
      <c r="L190" s="0" t="str">
        <f aca="false">IFERROR(INDEX('Session Tracker'!$A$5:$A$149,MATCH($A190,'Session Tracker'!$D$5:$D$149,0)),"")</f>
        <v>Little Explorers (5-7)</v>
      </c>
      <c r="M190" s="0" t="str">
        <f aca="false">IFERROR(INDEX('Session Tracker'!$H$5:$H$149,MATCH($A190,'Session Tracker'!$D$5:$D$149,0))&amp;"","")</f>
        <v/>
      </c>
      <c r="Q190" s="0" t="str">
        <f aca="false">IFERROR("Status: "&amp;INDEX('Session Tracker'!$F$5:$F$149,MATCH($A190,'Session Tracker'!$D$5:$D$149,0))&amp;IF(INDEX('Session Tracker'!$G$5:$G$149,MATCH($A190,'Session Tracker'!$D$5:$D$149,0))&lt;&gt;""," ("&amp;INDEX('Session Tracker'!$G$5:$G$149,MATCH($A190,'Session Tracker'!$D$5:$D$149,0))&amp;")","")&amp;IF(M190&lt;&gt;"","  "&amp;M190,""),"")</f>
        <v>Status: Not started</v>
      </c>
    </row>
    <row r="191" customFormat="false" ht="15" hidden="false" customHeight="false" outlineLevel="0" collapsed="false">
      <c r="A191" s="0" t="s">
        <v>108</v>
      </c>
      <c r="B191" s="0" t="n">
        <v>1</v>
      </c>
      <c r="C191" s="0" t="str">
        <f aca="false">IF('Little Explorers Kits'!C203="","",'Little Explorers Kits'!C203)</f>
        <v>Makey Makey kit</v>
      </c>
      <c r="D191" s="0" t="n">
        <f aca="false">IF('Little Explorers Kits'!D203="","",'Little Explorers Kits'!D203)</f>
        <v>1</v>
      </c>
      <c r="E191" s="0" t="str">
        <f aca="false">IF('Little Explorers Kits'!E203="","",'Little Explorers Kits'!E203)</f>
        <v>Per group</v>
      </c>
      <c r="F191" s="0" t="str">
        <f aca="false">IFERROR(INDEX('Session Tracker'!$M$5:$M$149,MATCH($A191,'Session Tracker'!$D$5:$D$149,0))+0,"")</f>
        <v/>
      </c>
      <c r="G191" s="0" t="str">
        <f aca="false">IF(ISNUMBER(F191),IF(OR(B191=0,B191=99,C191&lt;&gt;""),F191*100+B191,""),"")</f>
        <v/>
      </c>
      <c r="H191" s="0" t="n">
        <f aca="false">IFERROR(INDEX('Session Tracker'!$J$5:$J$149,MATCH($A191,'Session Tracker'!$D$5:$D$149,0)),0)</f>
        <v>8</v>
      </c>
      <c r="I191" s="0" t="n">
        <f aca="false">IF(OR(B191=0,B191=99,C191=""),"",IF(E191="Per class",D191,D191*H191))</f>
        <v>8</v>
      </c>
      <c r="N191" s="0" t="str">
        <f aca="false">IF('Little Explorers Kits'!B203="","",'Little Explorers Kits'!B203)</f>
        <v>Microcontrollers &amp; Dev Boards</v>
      </c>
      <c r="O191" s="0" t="str">
        <f aca="false">IF('Little Explorers Kits'!F203="","",'Little Explorers Kits'!F203)</f>
        <v>Reusable</v>
      </c>
      <c r="P191" s="0" t="str">
        <f aca="false">IF('Little Explorers Kits'!G203="","",'Little Explorers Kits'!G203)</f>
        <v/>
      </c>
    </row>
    <row r="192" customFormat="false" ht="15" hidden="false" customHeight="false" outlineLevel="0" collapsed="false">
      <c r="A192" s="0" t="s">
        <v>108</v>
      </c>
      <c r="B192" s="0" t="n">
        <v>2</v>
      </c>
      <c r="C192" s="0" t="str">
        <f aca="false">IF('Little Explorers Kits'!C204="","",'Little Explorers Kits'!C204)</f>
        <v>Fruits (bananas etc.)</v>
      </c>
      <c r="D192" s="0" t="n">
        <f aca="false">IF('Little Explorers Kits'!D204="","",'Little Explorers Kits'!D204)</f>
        <v>4</v>
      </c>
      <c r="E192" s="0" t="str">
        <f aca="false">IF('Little Explorers Kits'!E204="","",'Little Explorers Kits'!E204)</f>
        <v>Per group</v>
      </c>
      <c r="F192" s="0" t="str">
        <f aca="false">IFERROR(INDEX('Session Tracker'!$M$5:$M$149,MATCH($A192,'Session Tracker'!$D$5:$D$149,0))+0,"")</f>
        <v/>
      </c>
      <c r="G192" s="0" t="str">
        <f aca="false">IF(ISNUMBER(F192),IF(OR(B192=0,B192=99,C192&lt;&gt;""),F192*100+B192,""),"")</f>
        <v/>
      </c>
      <c r="H192" s="0" t="n">
        <f aca="false">IFERROR(INDEX('Session Tracker'!$J$5:$J$149,MATCH($A192,'Session Tracker'!$D$5:$D$149,0)),0)</f>
        <v>8</v>
      </c>
      <c r="I192" s="0" t="n">
        <f aca="false">IF(OR(B192=0,B192=99,C192=""),"",IF(E192="Per class",D192,D192*H192))</f>
        <v>32</v>
      </c>
      <c r="N192" s="0" t="str">
        <f aca="false">IF('Little Explorers Kits'!B204="","",'Little Explorers Kits'!B204)</f>
        <v>Science Consumables</v>
      </c>
      <c r="O192" s="0" t="str">
        <f aca="false">IF('Little Explorers Kits'!F204="","",'Little Explorers Kits'!F204)</f>
        <v>Consumable</v>
      </c>
      <c r="P192" s="0" t="str">
        <f aca="false">IF('Little Explorers Kits'!G204="","",'Little Explorers Kits'!G204)</f>
        <v/>
      </c>
    </row>
    <row r="193" customFormat="false" ht="15" hidden="false" customHeight="false" outlineLevel="0" collapsed="false">
      <c r="A193" s="0" t="s">
        <v>108</v>
      </c>
      <c r="B193" s="0" t="n">
        <v>3</v>
      </c>
      <c r="C193" s="0" t="str">
        <f aca="false">IF('Little Explorers Kits'!C205="","",'Little Explorers Kits'!C205)</f>
        <v>Aluminium foil</v>
      </c>
      <c r="D193" s="0" t="n">
        <f aca="false">IF('Little Explorers Kits'!D205="","",'Little Explorers Kits'!D205)</f>
        <v>1</v>
      </c>
      <c r="E193" s="0" t="str">
        <f aca="false">IF('Little Explorers Kits'!E205="","",'Little Explorers Kits'!E205)</f>
        <v>Per class</v>
      </c>
      <c r="F193" s="0" t="str">
        <f aca="false">IFERROR(INDEX('Session Tracker'!$M$5:$M$149,MATCH($A193,'Session Tracker'!$D$5:$D$149,0))+0,"")</f>
        <v/>
      </c>
      <c r="G193" s="0" t="str">
        <f aca="false">IF(ISNUMBER(F193),IF(OR(B193=0,B193=99,C193&lt;&gt;""),F193*100+B193,""),"")</f>
        <v/>
      </c>
      <c r="H193" s="0" t="n">
        <f aca="false">IFERROR(INDEX('Session Tracker'!$J$5:$J$149,MATCH($A193,'Session Tracker'!$D$5:$D$149,0)),0)</f>
        <v>8</v>
      </c>
      <c r="I193" s="0" t="n">
        <f aca="false">IF(OR(B193=0,B193=99,C193=""),"",IF(E193="Per class",D193,D193*H193))</f>
        <v>1</v>
      </c>
      <c r="N193" s="0" t="str">
        <f aca="false">IF('Little Explorers Kits'!B205="","",'Little Explorers Kits'!B205)</f>
        <v>Wiring &amp; Prototyping</v>
      </c>
      <c r="O193" s="0" t="str">
        <f aca="false">IF('Little Explorers Kits'!F205="","",'Little Explorers Kits'!F205)</f>
        <v>Consumable</v>
      </c>
      <c r="P193" s="0" t="str">
        <f aca="false">IF('Little Explorers Kits'!G205="","",'Little Explorers Kits'!G205)</f>
        <v/>
      </c>
    </row>
    <row r="194" customFormat="false" ht="15" hidden="false" customHeight="false" outlineLevel="0" collapsed="false">
      <c r="A194" s="0" t="s">
        <v>108</v>
      </c>
      <c r="B194" s="0" t="n">
        <v>4</v>
      </c>
      <c r="C194" s="0" t="str">
        <f aca="false">IF('Little Explorers Kits'!C206="","",'Little Explorers Kits'!C206)</f>
        <v>Laptop</v>
      </c>
      <c r="D194" s="0" t="n">
        <f aca="false">IF('Little Explorers Kits'!D206="","",'Little Explorers Kits'!D206)</f>
        <v>1</v>
      </c>
      <c r="E194" s="0" t="str">
        <f aca="false">IF('Little Explorers Kits'!E206="","",'Little Explorers Kits'!E206)</f>
        <v>Per group</v>
      </c>
      <c r="F194" s="0" t="str">
        <f aca="false">IFERROR(INDEX('Session Tracker'!$M$5:$M$149,MATCH($A194,'Session Tracker'!$D$5:$D$149,0))+0,"")</f>
        <v/>
      </c>
      <c r="G194" s="0" t="str">
        <f aca="false">IF(ISNUMBER(F194),IF(OR(B194=0,B194=99,C194&lt;&gt;""),F194*100+B194,""),"")</f>
        <v/>
      </c>
      <c r="H194" s="0" t="n">
        <f aca="false">IFERROR(INDEX('Session Tracker'!$J$5:$J$149,MATCH($A194,'Session Tracker'!$D$5:$D$149,0)),0)</f>
        <v>8</v>
      </c>
      <c r="I194" s="0" t="n">
        <f aca="false">IF(OR(B194=0,B194=99,C194=""),"",IF(E194="Per class",D194,D194*H194))</f>
        <v>8</v>
      </c>
      <c r="N194" s="0" t="str">
        <f aca="false">IF('Little Explorers Kits'!B206="","",'Little Explorers Kits'!B206)</f>
        <v>Computers &amp; Equipment</v>
      </c>
      <c r="O194" s="0" t="str">
        <f aca="false">IF('Little Explorers Kits'!F206="","",'Little Explorers Kits'!F206)</f>
        <v>Reusable</v>
      </c>
      <c r="P194" s="0" t="str">
        <f aca="false">IF('Little Explorers Kits'!G206="","",'Little Explorers Kits'!G206)</f>
        <v/>
      </c>
    </row>
    <row r="195" customFormat="false" ht="15" hidden="false" customHeight="false" outlineLevel="0" collapsed="false">
      <c r="A195" s="0" t="s">
        <v>108</v>
      </c>
      <c r="B195" s="0" t="n">
        <v>5</v>
      </c>
      <c r="C195" s="0" t="str">
        <f aca="false">IF('Little Explorers Kits'!C207="","",'Little Explorers Kits'!C207)</f>
        <v/>
      </c>
      <c r="D195" s="0" t="str">
        <f aca="false">IF('Little Explorers Kits'!D207="","",'Little Explorers Kits'!D207)</f>
        <v/>
      </c>
      <c r="E195" s="0" t="str">
        <f aca="false">IF('Little Explorers Kits'!E207="","",'Little Explorers Kits'!E207)</f>
        <v/>
      </c>
      <c r="F195" s="0" t="str">
        <f aca="false">IFERROR(INDEX('Session Tracker'!$M$5:$M$149,MATCH($A195,'Session Tracker'!$D$5:$D$149,0))+0,"")</f>
        <v/>
      </c>
      <c r="G195" s="0" t="str">
        <f aca="false">IF(ISNUMBER(F195),IF(OR(B195=0,B195=99,C195&lt;&gt;""),F195*100+B195,""),"")</f>
        <v/>
      </c>
      <c r="H195" s="0" t="n">
        <f aca="false">IFERROR(INDEX('Session Tracker'!$J$5:$J$149,MATCH($A195,'Session Tracker'!$D$5:$D$149,0)),0)</f>
        <v>8</v>
      </c>
      <c r="I195" s="0" t="str">
        <f aca="false">IF(OR(B195=0,B195=99,C195=""),"",IF(E195="Per class",D195,D195*H195))</f>
        <v/>
      </c>
      <c r="N195" s="0" t="str">
        <f aca="false">IF('Little Explorers Kits'!B207="","",'Little Explorers Kits'!B207)</f>
        <v/>
      </c>
      <c r="O195" s="0" t="str">
        <f aca="false">IF('Little Explorers Kits'!F207="","",'Little Explorers Kits'!F207)</f>
        <v/>
      </c>
      <c r="P195" s="0" t="str">
        <f aca="false">IF('Little Explorers Kits'!G207="","",'Little Explorers Kits'!G207)</f>
        <v/>
      </c>
    </row>
    <row r="196" customFormat="false" ht="15" hidden="false" customHeight="false" outlineLevel="0" collapsed="false">
      <c r="A196" s="0" t="s">
        <v>108</v>
      </c>
      <c r="B196" s="0" t="n">
        <v>6</v>
      </c>
      <c r="C196" s="0" t="str">
        <f aca="false">IF('Little Explorers Kits'!C208="","",'Little Explorers Kits'!C208)</f>
        <v/>
      </c>
      <c r="D196" s="0" t="str">
        <f aca="false">IF('Little Explorers Kits'!D208="","",'Little Explorers Kits'!D208)</f>
        <v/>
      </c>
      <c r="E196" s="0" t="str">
        <f aca="false">IF('Little Explorers Kits'!E208="","",'Little Explorers Kits'!E208)</f>
        <v/>
      </c>
      <c r="F196" s="0" t="str">
        <f aca="false">IFERROR(INDEX('Session Tracker'!$M$5:$M$149,MATCH($A196,'Session Tracker'!$D$5:$D$149,0))+0,"")</f>
        <v/>
      </c>
      <c r="G196" s="0" t="str">
        <f aca="false">IF(ISNUMBER(F196),IF(OR(B196=0,B196=99,C196&lt;&gt;""),F196*100+B196,""),"")</f>
        <v/>
      </c>
      <c r="H196" s="0" t="n">
        <f aca="false">IFERROR(INDEX('Session Tracker'!$J$5:$J$149,MATCH($A196,'Session Tracker'!$D$5:$D$149,0)),0)</f>
        <v>8</v>
      </c>
      <c r="I196" s="0" t="str">
        <f aca="false">IF(OR(B196=0,B196=99,C196=""),"",IF(E196="Per class",D196,D196*H196))</f>
        <v/>
      </c>
      <c r="N196" s="0" t="str">
        <f aca="false">IF('Little Explorers Kits'!B208="","",'Little Explorers Kits'!B208)</f>
        <v/>
      </c>
      <c r="O196" s="0" t="str">
        <f aca="false">IF('Little Explorers Kits'!F208="","",'Little Explorers Kits'!F208)</f>
        <v/>
      </c>
      <c r="P196" s="0" t="str">
        <f aca="false">IF('Little Explorers Kits'!G208="","",'Little Explorers Kits'!G208)</f>
        <v/>
      </c>
    </row>
    <row r="197" customFormat="false" ht="15" hidden="false" customHeight="false" outlineLevel="0" collapsed="false">
      <c r="A197" s="0" t="s">
        <v>110</v>
      </c>
      <c r="B197" s="0" t="n">
        <v>0</v>
      </c>
      <c r="F197" s="0" t="str">
        <f aca="false">IFERROR(INDEX('Session Tracker'!$M$5:$M$149,MATCH($A197,'Session Tracker'!$D$5:$D$149,0))+0,"")</f>
        <v/>
      </c>
      <c r="G197" s="0" t="str">
        <f aca="false">IF(ISNUMBER(F197),IF(OR(B197=0,B197=99,C197&lt;&gt;""),F197*100+B197,""),"")</f>
        <v/>
      </c>
      <c r="H197" s="0" t="n">
        <f aca="false">IFERROR(INDEX('Session Tracker'!$J$5:$J$149,MATCH($A197,'Session Tracker'!$D$5:$D$149,0)),0)</f>
        <v>8</v>
      </c>
      <c r="I197" s="0" t="str">
        <f aca="false">IF(OR(B197=0,B197=99,C197=""),"",IF(E197="Per class",D197,D197*H197))</f>
        <v/>
      </c>
      <c r="K197" s="0" t="str">
        <f aca="false">IFERROR(INDEX('Session Tracker'!$E$5:$E$149,MATCH($A197,'Session Tracker'!$D$5:$D$149,0)),"")</f>
        <v>Animated Story App</v>
      </c>
      <c r="L197" s="0" t="str">
        <f aca="false">IFERROR(INDEX('Session Tracker'!$A$5:$A$149,MATCH($A197,'Session Tracker'!$D$5:$D$149,0)),"")</f>
        <v>Little Explorers (5-7)</v>
      </c>
      <c r="M197" s="0" t="str">
        <f aca="false">IFERROR(INDEX('Session Tracker'!$H$5:$H$149,MATCH($A197,'Session Tracker'!$D$5:$D$149,0))&amp;"","")</f>
        <v/>
      </c>
      <c r="Q197" s="0" t="str">
        <f aca="false">IFERROR("Status: "&amp;INDEX('Session Tracker'!$F$5:$F$149,MATCH($A197,'Session Tracker'!$D$5:$D$149,0))&amp;IF(INDEX('Session Tracker'!$G$5:$G$149,MATCH($A197,'Session Tracker'!$D$5:$D$149,0))&lt;&gt;""," ("&amp;INDEX('Session Tracker'!$G$5:$G$149,MATCH($A197,'Session Tracker'!$D$5:$D$149,0))&amp;")","")&amp;IF(M197&lt;&gt;"","  "&amp;M197,""),"")</f>
        <v>Status: Not started</v>
      </c>
    </row>
    <row r="198" customFormat="false" ht="15" hidden="false" customHeight="false" outlineLevel="0" collapsed="false">
      <c r="A198" s="0" t="s">
        <v>110</v>
      </c>
      <c r="B198" s="0" t="n">
        <v>1</v>
      </c>
      <c r="C198" s="0" t="str">
        <f aca="false">IF('Little Explorers Kits'!C211="","",'Little Explorers Kits'!C211)</f>
        <v>Tablet</v>
      </c>
      <c r="D198" s="0" t="n">
        <f aca="false">IF('Little Explorers Kits'!D211="","",'Little Explorers Kits'!D211)</f>
        <v>1</v>
      </c>
      <c r="E198" s="0" t="str">
        <f aca="false">IF('Little Explorers Kits'!E211="","",'Little Explorers Kits'!E211)</f>
        <v>Per group</v>
      </c>
      <c r="F198" s="0" t="str">
        <f aca="false">IFERROR(INDEX('Session Tracker'!$M$5:$M$149,MATCH($A198,'Session Tracker'!$D$5:$D$149,0))+0,"")</f>
        <v/>
      </c>
      <c r="G198" s="0" t="str">
        <f aca="false">IF(ISNUMBER(F198),IF(OR(B198=0,B198=99,C198&lt;&gt;""),F198*100+B198,""),"")</f>
        <v/>
      </c>
      <c r="H198" s="0" t="n">
        <f aca="false">IFERROR(INDEX('Session Tracker'!$J$5:$J$149,MATCH($A198,'Session Tracker'!$D$5:$D$149,0)),0)</f>
        <v>8</v>
      </c>
      <c r="I198" s="0" t="n">
        <f aca="false">IF(OR(B198=0,B198=99,C198=""),"",IF(E198="Per class",D198,D198*H198))</f>
        <v>8</v>
      </c>
      <c r="N198" s="0" t="str">
        <f aca="false">IF('Little Explorers Kits'!B211="","",'Little Explorers Kits'!B211)</f>
        <v>Computers &amp; Equipment</v>
      </c>
      <c r="O198" s="0" t="str">
        <f aca="false">IF('Little Explorers Kits'!F211="","",'Little Explorers Kits'!F211)</f>
        <v>Reusable</v>
      </c>
      <c r="P198" s="0" t="str">
        <f aca="false">IF('Little Explorers Kits'!G211="","",'Little Explorers Kits'!G211)</f>
        <v>Or laptop with ScratchJr desktop</v>
      </c>
    </row>
    <row r="199" customFormat="false" ht="15" hidden="false" customHeight="false" outlineLevel="0" collapsed="false">
      <c r="A199" s="0" t="s">
        <v>110</v>
      </c>
      <c r="B199" s="0" t="n">
        <v>2</v>
      </c>
      <c r="C199" s="0" t="str">
        <f aca="false">IF('Little Explorers Kits'!C212="","",'Little Explorers Kits'!C212)</f>
        <v>Printed templates</v>
      </c>
      <c r="D199" s="0" t="n">
        <f aca="false">IF('Little Explorers Kits'!D212="","",'Little Explorers Kits'!D212)</f>
        <v>2</v>
      </c>
      <c r="E199" s="0" t="str">
        <f aca="false">IF('Little Explorers Kits'!E212="","",'Little Explorers Kits'!E212)</f>
        <v>Per group</v>
      </c>
      <c r="F199" s="0" t="str">
        <f aca="false">IFERROR(INDEX('Session Tracker'!$M$5:$M$149,MATCH($A199,'Session Tracker'!$D$5:$D$149,0))+0,"")</f>
        <v/>
      </c>
      <c r="G199" s="0" t="str">
        <f aca="false">IF(ISNUMBER(F199),IF(OR(B199=0,B199=99,C199&lt;&gt;""),F199*100+B199,""),"")</f>
        <v/>
      </c>
      <c r="H199" s="0" t="n">
        <f aca="false">IFERROR(INDEX('Session Tracker'!$J$5:$J$149,MATCH($A199,'Session Tracker'!$D$5:$D$149,0)),0)</f>
        <v>8</v>
      </c>
      <c r="I199" s="0" t="n">
        <f aca="false">IF(OR(B199=0,B199=99,C199=""),"",IF(E199="Per class",D199,D199*H199))</f>
        <v>16</v>
      </c>
      <c r="N199" s="0" t="str">
        <f aca="false">IF('Little Explorers Kits'!B212="","",'Little Explorers Kits'!B212)</f>
        <v>Craft &amp; Stationery</v>
      </c>
      <c r="O199" s="0" t="str">
        <f aca="false">IF('Little Explorers Kits'!F212="","",'Little Explorers Kits'!F212)</f>
        <v>Consumable</v>
      </c>
      <c r="P199" s="0" t="str">
        <f aca="false">IF('Little Explorers Kits'!G212="","",'Little Explorers Kits'!G212)</f>
        <v>Story planning sheet</v>
      </c>
    </row>
    <row r="200" customFormat="false" ht="15" hidden="false" customHeight="false" outlineLevel="0" collapsed="false">
      <c r="A200" s="0" t="s">
        <v>110</v>
      </c>
      <c r="B200" s="0" t="n">
        <v>3</v>
      </c>
      <c r="C200" s="0" t="str">
        <f aca="false">IF('Little Explorers Kits'!C213="","",'Little Explorers Kits'!C213)</f>
        <v/>
      </c>
      <c r="D200" s="0" t="str">
        <f aca="false">IF('Little Explorers Kits'!D213="","",'Little Explorers Kits'!D213)</f>
        <v/>
      </c>
      <c r="E200" s="0" t="str">
        <f aca="false">IF('Little Explorers Kits'!E213="","",'Little Explorers Kits'!E213)</f>
        <v/>
      </c>
      <c r="F200" s="0" t="str">
        <f aca="false">IFERROR(INDEX('Session Tracker'!$M$5:$M$149,MATCH($A200,'Session Tracker'!$D$5:$D$149,0))+0,"")</f>
        <v/>
      </c>
      <c r="G200" s="0" t="str">
        <f aca="false">IF(ISNUMBER(F200),IF(OR(B200=0,B200=99,C200&lt;&gt;""),F200*100+B200,""),"")</f>
        <v/>
      </c>
      <c r="H200" s="0" t="n">
        <f aca="false">IFERROR(INDEX('Session Tracker'!$J$5:$J$149,MATCH($A200,'Session Tracker'!$D$5:$D$149,0)),0)</f>
        <v>8</v>
      </c>
      <c r="I200" s="0" t="str">
        <f aca="false">IF(OR(B200=0,B200=99,C200=""),"",IF(E200="Per class",D200,D200*H200))</f>
        <v/>
      </c>
      <c r="N200" s="0" t="str">
        <f aca="false">IF('Little Explorers Kits'!B213="","",'Little Explorers Kits'!B213)</f>
        <v/>
      </c>
      <c r="O200" s="0" t="str">
        <f aca="false">IF('Little Explorers Kits'!F213="","",'Little Explorers Kits'!F213)</f>
        <v/>
      </c>
      <c r="P200" s="0" t="str">
        <f aca="false">IF('Little Explorers Kits'!G213="","",'Little Explorers Kits'!G213)</f>
        <v/>
      </c>
    </row>
    <row r="201" customFormat="false" ht="15" hidden="false" customHeight="false" outlineLevel="0" collapsed="false">
      <c r="A201" s="0" t="s">
        <v>110</v>
      </c>
      <c r="B201" s="0" t="n">
        <v>4</v>
      </c>
      <c r="C201" s="0" t="str">
        <f aca="false">IF('Little Explorers Kits'!C214="","",'Little Explorers Kits'!C214)</f>
        <v/>
      </c>
      <c r="D201" s="0" t="str">
        <f aca="false">IF('Little Explorers Kits'!D214="","",'Little Explorers Kits'!D214)</f>
        <v/>
      </c>
      <c r="E201" s="0" t="str">
        <f aca="false">IF('Little Explorers Kits'!E214="","",'Little Explorers Kits'!E214)</f>
        <v/>
      </c>
      <c r="F201" s="0" t="str">
        <f aca="false">IFERROR(INDEX('Session Tracker'!$M$5:$M$149,MATCH($A201,'Session Tracker'!$D$5:$D$149,0))+0,"")</f>
        <v/>
      </c>
      <c r="G201" s="0" t="str">
        <f aca="false">IF(ISNUMBER(F201),IF(OR(B201=0,B201=99,C201&lt;&gt;""),F201*100+B201,""),"")</f>
        <v/>
      </c>
      <c r="H201" s="0" t="n">
        <f aca="false">IFERROR(INDEX('Session Tracker'!$J$5:$J$149,MATCH($A201,'Session Tracker'!$D$5:$D$149,0)),0)</f>
        <v>8</v>
      </c>
      <c r="I201" s="0" t="str">
        <f aca="false">IF(OR(B201=0,B201=99,C201=""),"",IF(E201="Per class",D201,D201*H201))</f>
        <v/>
      </c>
      <c r="N201" s="0" t="str">
        <f aca="false">IF('Little Explorers Kits'!B214="","",'Little Explorers Kits'!B214)</f>
        <v/>
      </c>
      <c r="O201" s="0" t="str">
        <f aca="false">IF('Little Explorers Kits'!F214="","",'Little Explorers Kits'!F214)</f>
        <v/>
      </c>
      <c r="P201" s="0" t="str">
        <f aca="false">IF('Little Explorers Kits'!G214="","",'Little Explorers Kits'!G214)</f>
        <v/>
      </c>
    </row>
    <row r="202" customFormat="false" ht="15" hidden="false" customHeight="false" outlineLevel="0" collapsed="false">
      <c r="A202" s="0" t="s">
        <v>112</v>
      </c>
      <c r="B202" s="0" t="n">
        <v>0</v>
      </c>
      <c r="F202" s="0" t="str">
        <f aca="false">IFERROR(INDEX('Session Tracker'!$M$5:$M$149,MATCH($A202,'Session Tracker'!$D$5:$D$149,0))+0,"")</f>
        <v/>
      </c>
      <c r="G202" s="0" t="str">
        <f aca="false">IF(ISNUMBER(F202),IF(OR(B202=0,B202=99,C202&lt;&gt;""),F202*100+B202,""),"")</f>
        <v/>
      </c>
      <c r="H202" s="0" t="n">
        <f aca="false">IFERROR(INDEX('Session Tracker'!$J$5:$J$149,MATCH($A202,'Session Tracker'!$D$5:$D$149,0)),0)</f>
        <v>8</v>
      </c>
      <c r="I202" s="0" t="str">
        <f aca="false">IF(OR(B202=0,B202=99,C202=""),"",IF(E202="Per class",D202,D202*H202))</f>
        <v/>
      </c>
      <c r="K202" s="0" t="str">
        <f aca="false">IFERROR(INDEX('Session Tracker'!$E$5:$E$149,MATCH($A202,'Session Tracker'!$D$5:$D$149,0)),"")</f>
        <v>Catch-the-Fruit Game with Playdough Controller</v>
      </c>
      <c r="L202" s="0" t="str">
        <f aca="false">IFERROR(INDEX('Session Tracker'!$A$5:$A$149,MATCH($A202,'Session Tracker'!$D$5:$D$149,0)),"")</f>
        <v>Little Explorers (5-7)</v>
      </c>
      <c r="M202" s="0" t="str">
        <f aca="false">IFERROR(INDEX('Session Tracker'!$H$5:$H$149,MATCH($A202,'Session Tracker'!$D$5:$D$149,0))&amp;"","")</f>
        <v/>
      </c>
      <c r="Q202" s="0" t="str">
        <f aca="false">IFERROR("Status: "&amp;INDEX('Session Tracker'!$F$5:$F$149,MATCH($A202,'Session Tracker'!$D$5:$D$149,0))&amp;IF(INDEX('Session Tracker'!$G$5:$G$149,MATCH($A202,'Session Tracker'!$D$5:$D$149,0))&lt;&gt;""," ("&amp;INDEX('Session Tracker'!$G$5:$G$149,MATCH($A202,'Session Tracker'!$D$5:$D$149,0))&amp;")","")&amp;IF(M202&lt;&gt;"","  "&amp;M202,""),"")</f>
        <v>Status: Not started</v>
      </c>
    </row>
    <row r="203" customFormat="false" ht="15" hidden="false" customHeight="false" outlineLevel="0" collapsed="false">
      <c r="A203" s="0" t="s">
        <v>112</v>
      </c>
      <c r="B203" s="0" t="n">
        <v>1</v>
      </c>
      <c r="C203" s="0" t="str">
        <f aca="false">IF('Little Explorers Kits'!C217="","",'Little Explorers Kits'!C217)</f>
        <v>Makey Makey kit</v>
      </c>
      <c r="D203" s="0" t="n">
        <f aca="false">IF('Little Explorers Kits'!D217="","",'Little Explorers Kits'!D217)</f>
        <v>1</v>
      </c>
      <c r="E203" s="0" t="str">
        <f aca="false">IF('Little Explorers Kits'!E217="","",'Little Explorers Kits'!E217)</f>
        <v>Per group</v>
      </c>
      <c r="F203" s="0" t="str">
        <f aca="false">IFERROR(INDEX('Session Tracker'!$M$5:$M$149,MATCH($A203,'Session Tracker'!$D$5:$D$149,0))+0,"")</f>
        <v/>
      </c>
      <c r="G203" s="0" t="str">
        <f aca="false">IF(ISNUMBER(F203),IF(OR(B203=0,B203=99,C203&lt;&gt;""),F203*100+B203,""),"")</f>
        <v/>
      </c>
      <c r="H203" s="0" t="n">
        <f aca="false">IFERROR(INDEX('Session Tracker'!$J$5:$J$149,MATCH($A203,'Session Tracker'!$D$5:$D$149,0)),0)</f>
        <v>8</v>
      </c>
      <c r="I203" s="0" t="n">
        <f aca="false">IF(OR(B203=0,B203=99,C203=""),"",IF(E203="Per class",D203,D203*H203))</f>
        <v>8</v>
      </c>
      <c r="N203" s="0" t="str">
        <f aca="false">IF('Little Explorers Kits'!B217="","",'Little Explorers Kits'!B217)</f>
        <v>Microcontrollers &amp; Dev Boards</v>
      </c>
      <c r="O203" s="0" t="str">
        <f aca="false">IF('Little Explorers Kits'!F217="","",'Little Explorers Kits'!F217)</f>
        <v>Reusable</v>
      </c>
      <c r="P203" s="0" t="str">
        <f aca="false">IF('Little Explorers Kits'!G217="","",'Little Explorers Kits'!G217)</f>
        <v/>
      </c>
    </row>
    <row r="204" customFormat="false" ht="15" hidden="false" customHeight="false" outlineLevel="0" collapsed="false">
      <c r="A204" s="0" t="s">
        <v>112</v>
      </c>
      <c r="B204" s="0" t="n">
        <v>2</v>
      </c>
      <c r="C204" s="0" t="str">
        <f aca="false">IF('Little Explorers Kits'!C218="","",'Little Explorers Kits'!C218)</f>
        <v>Conductive playdough</v>
      </c>
      <c r="D204" s="0" t="n">
        <f aca="false">IF('Little Explorers Kits'!D218="","",'Little Explorers Kits'!D218)</f>
        <v>1</v>
      </c>
      <c r="E204" s="0" t="str">
        <f aca="false">IF('Little Explorers Kits'!E218="","",'Little Explorers Kits'!E218)</f>
        <v>Per group</v>
      </c>
      <c r="F204" s="0" t="str">
        <f aca="false">IFERROR(INDEX('Session Tracker'!$M$5:$M$149,MATCH($A204,'Session Tracker'!$D$5:$D$149,0))+0,"")</f>
        <v/>
      </c>
      <c r="G204" s="0" t="str">
        <f aca="false">IF(ISNUMBER(F204),IF(OR(B204=0,B204=99,C204&lt;&gt;""),F204*100+B204,""),"")</f>
        <v/>
      </c>
      <c r="H204" s="0" t="n">
        <f aca="false">IFERROR(INDEX('Session Tracker'!$J$5:$J$149,MATCH($A204,'Session Tracker'!$D$5:$D$149,0)),0)</f>
        <v>8</v>
      </c>
      <c r="I204" s="0" t="n">
        <f aca="false">IF(OR(B204=0,B204=99,C204=""),"",IF(E204="Per class",D204,D204*H204))</f>
        <v>8</v>
      </c>
      <c r="N204" s="0" t="str">
        <f aca="false">IF('Little Explorers Kits'!B218="","",'Little Explorers Kits'!B218)</f>
        <v>Craft &amp; Stationery</v>
      </c>
      <c r="O204" s="0" t="str">
        <f aca="false">IF('Little Explorers Kits'!F218="","",'Little Explorers Kits'!F218)</f>
        <v>Consumable</v>
      </c>
      <c r="P204" s="0" t="str">
        <f aca="false">IF('Little Explorers Kits'!G218="","",'Little Explorers Kits'!G218)</f>
        <v/>
      </c>
    </row>
    <row r="205" customFormat="false" ht="15" hidden="false" customHeight="false" outlineLevel="0" collapsed="false">
      <c r="A205" s="0" t="s">
        <v>112</v>
      </c>
      <c r="B205" s="0" t="n">
        <v>3</v>
      </c>
      <c r="C205" s="0" t="str">
        <f aca="false">IF('Little Explorers Kits'!C219="","",'Little Explorers Kits'!C219)</f>
        <v>Laptop</v>
      </c>
      <c r="D205" s="0" t="n">
        <f aca="false">IF('Little Explorers Kits'!D219="","",'Little Explorers Kits'!D219)</f>
        <v>1</v>
      </c>
      <c r="E205" s="0" t="str">
        <f aca="false">IF('Little Explorers Kits'!E219="","",'Little Explorers Kits'!E219)</f>
        <v>Per group</v>
      </c>
      <c r="F205" s="0" t="str">
        <f aca="false">IFERROR(INDEX('Session Tracker'!$M$5:$M$149,MATCH($A205,'Session Tracker'!$D$5:$D$149,0))+0,"")</f>
        <v/>
      </c>
      <c r="G205" s="0" t="str">
        <f aca="false">IF(ISNUMBER(F205),IF(OR(B205=0,B205=99,C205&lt;&gt;""),F205*100+B205,""),"")</f>
        <v/>
      </c>
      <c r="H205" s="0" t="n">
        <f aca="false">IFERROR(INDEX('Session Tracker'!$J$5:$J$149,MATCH($A205,'Session Tracker'!$D$5:$D$149,0)),0)</f>
        <v>8</v>
      </c>
      <c r="I205" s="0" t="n">
        <f aca="false">IF(OR(B205=0,B205=99,C205=""),"",IF(E205="Per class",D205,D205*H205))</f>
        <v>8</v>
      </c>
      <c r="N205" s="0" t="str">
        <f aca="false">IF('Little Explorers Kits'!B219="","",'Little Explorers Kits'!B219)</f>
        <v>Computers &amp; Equipment</v>
      </c>
      <c r="O205" s="0" t="str">
        <f aca="false">IF('Little Explorers Kits'!F219="","",'Little Explorers Kits'!F219)</f>
        <v>Reusable</v>
      </c>
      <c r="P205" s="0" t="str">
        <f aca="false">IF('Little Explorers Kits'!G219="","",'Little Explorers Kits'!G219)</f>
        <v/>
      </c>
    </row>
    <row r="206" customFormat="false" ht="15" hidden="false" customHeight="false" outlineLevel="0" collapsed="false">
      <c r="A206" s="0" t="s">
        <v>112</v>
      </c>
      <c r="B206" s="0" t="n">
        <v>4</v>
      </c>
      <c r="C206" s="0" t="str">
        <f aca="false">IF('Little Explorers Kits'!C220="","",'Little Explorers Kits'!C220)</f>
        <v/>
      </c>
      <c r="D206" s="0" t="str">
        <f aca="false">IF('Little Explorers Kits'!D220="","",'Little Explorers Kits'!D220)</f>
        <v/>
      </c>
      <c r="E206" s="0" t="str">
        <f aca="false">IF('Little Explorers Kits'!E220="","",'Little Explorers Kits'!E220)</f>
        <v/>
      </c>
      <c r="F206" s="0" t="str">
        <f aca="false">IFERROR(INDEX('Session Tracker'!$M$5:$M$149,MATCH($A206,'Session Tracker'!$D$5:$D$149,0))+0,"")</f>
        <v/>
      </c>
      <c r="G206" s="0" t="str">
        <f aca="false">IF(ISNUMBER(F206),IF(OR(B206=0,B206=99,C206&lt;&gt;""),F206*100+B206,""),"")</f>
        <v/>
      </c>
      <c r="H206" s="0" t="n">
        <f aca="false">IFERROR(INDEX('Session Tracker'!$J$5:$J$149,MATCH($A206,'Session Tracker'!$D$5:$D$149,0)),0)</f>
        <v>8</v>
      </c>
      <c r="I206" s="0" t="str">
        <f aca="false">IF(OR(B206=0,B206=99,C206=""),"",IF(E206="Per class",D206,D206*H206))</f>
        <v/>
      </c>
      <c r="N206" s="0" t="str">
        <f aca="false">IF('Little Explorers Kits'!B220="","",'Little Explorers Kits'!B220)</f>
        <v/>
      </c>
      <c r="O206" s="0" t="str">
        <f aca="false">IF('Little Explorers Kits'!F220="","",'Little Explorers Kits'!F220)</f>
        <v/>
      </c>
      <c r="P206" s="0" t="str">
        <f aca="false">IF('Little Explorers Kits'!G220="","",'Little Explorers Kits'!G220)</f>
        <v/>
      </c>
    </row>
    <row r="207" customFormat="false" ht="15" hidden="false" customHeight="false" outlineLevel="0" collapsed="false">
      <c r="A207" s="0" t="s">
        <v>112</v>
      </c>
      <c r="B207" s="0" t="n">
        <v>5</v>
      </c>
      <c r="C207" s="0" t="str">
        <f aca="false">IF('Little Explorers Kits'!C221="","",'Little Explorers Kits'!C221)</f>
        <v/>
      </c>
      <c r="D207" s="0" t="str">
        <f aca="false">IF('Little Explorers Kits'!D221="","",'Little Explorers Kits'!D221)</f>
        <v/>
      </c>
      <c r="E207" s="0" t="str">
        <f aca="false">IF('Little Explorers Kits'!E221="","",'Little Explorers Kits'!E221)</f>
        <v/>
      </c>
      <c r="F207" s="0" t="str">
        <f aca="false">IFERROR(INDEX('Session Tracker'!$M$5:$M$149,MATCH($A207,'Session Tracker'!$D$5:$D$149,0))+0,"")</f>
        <v/>
      </c>
      <c r="G207" s="0" t="str">
        <f aca="false">IF(ISNUMBER(F207),IF(OR(B207=0,B207=99,C207&lt;&gt;""),F207*100+B207,""),"")</f>
        <v/>
      </c>
      <c r="H207" s="0" t="n">
        <f aca="false">IFERROR(INDEX('Session Tracker'!$J$5:$J$149,MATCH($A207,'Session Tracker'!$D$5:$D$149,0)),0)</f>
        <v>8</v>
      </c>
      <c r="I207" s="0" t="str">
        <f aca="false">IF(OR(B207=0,B207=99,C207=""),"",IF(E207="Per class",D207,D207*H207))</f>
        <v/>
      </c>
      <c r="N207" s="0" t="str">
        <f aca="false">IF('Little Explorers Kits'!B221="","",'Little Explorers Kits'!B221)</f>
        <v/>
      </c>
      <c r="O207" s="0" t="str">
        <f aca="false">IF('Little Explorers Kits'!F221="","",'Little Explorers Kits'!F221)</f>
        <v/>
      </c>
      <c r="P207" s="0" t="str">
        <f aca="false">IF('Little Explorers Kits'!G221="","",'Little Explorers Kits'!G221)</f>
        <v/>
      </c>
    </row>
    <row r="208" customFormat="false" ht="15" hidden="false" customHeight="false" outlineLevel="0" collapsed="false">
      <c r="A208" s="0" t="s">
        <v>114</v>
      </c>
      <c r="B208" s="0" t="n">
        <v>0</v>
      </c>
      <c r="F208" s="0" t="str">
        <f aca="false">IFERROR(INDEX('Session Tracker'!$M$5:$M$149,MATCH($A208,'Session Tracker'!$D$5:$D$149,0))+0,"")</f>
        <v/>
      </c>
      <c r="G208" s="0" t="str">
        <f aca="false">IF(ISNUMBER(F208),IF(OR(B208=0,B208=99,C208&lt;&gt;""),F208*100+B208,""),"")</f>
        <v/>
      </c>
      <c r="H208" s="0" t="n">
        <f aca="false">IFERROR(INDEX('Session Tracker'!$J$5:$J$149,MATCH($A208,'Session Tracker'!$D$5:$D$149,0)),0)</f>
        <v>8</v>
      </c>
      <c r="I208" s="0" t="str">
        <f aca="false">IF(OR(B208=0,B208=99,C208=""),"",IF(E208="Per class",D208,D208*H208))</f>
        <v/>
      </c>
      <c r="K208" s="0" t="str">
        <f aca="false">IFERROR(INDEX('Session Tracker'!$E$5:$E$149,MATCH($A208,'Session Tracker'!$D$5:$D$149,0)),"")</f>
        <v>Robot Sorting Rules Game</v>
      </c>
      <c r="L208" s="0" t="str">
        <f aca="false">IFERROR(INDEX('Session Tracker'!$A$5:$A$149,MATCH($A208,'Session Tracker'!$D$5:$D$149,0)),"")</f>
        <v>Little Explorers (5-7)</v>
      </c>
      <c r="M208" s="0" t="str">
        <f aca="false">IFERROR(INDEX('Session Tracker'!$H$5:$H$149,MATCH($A208,'Session Tracker'!$D$5:$D$149,0))&amp;"","")</f>
        <v/>
      </c>
      <c r="Q208" s="0" t="str">
        <f aca="false">IFERROR("Status: "&amp;INDEX('Session Tracker'!$F$5:$F$149,MATCH($A208,'Session Tracker'!$D$5:$D$149,0))&amp;IF(INDEX('Session Tracker'!$G$5:$G$149,MATCH($A208,'Session Tracker'!$D$5:$D$149,0))&lt;&gt;""," ("&amp;INDEX('Session Tracker'!$G$5:$G$149,MATCH($A208,'Session Tracker'!$D$5:$D$149,0))&amp;")","")&amp;IF(M208&lt;&gt;"","  "&amp;M208,""),"")</f>
        <v>Status: Not started</v>
      </c>
    </row>
    <row r="209" customFormat="false" ht="15" hidden="false" customHeight="false" outlineLevel="0" collapsed="false">
      <c r="A209" s="0" t="s">
        <v>114</v>
      </c>
      <c r="B209" s="0" t="n">
        <v>1</v>
      </c>
      <c r="C209" s="0" t="str">
        <f aca="false">IF('Little Explorers Kits'!C224="","",'Little Explorers Kits'!C224)</f>
        <v>Printed templates</v>
      </c>
      <c r="D209" s="0" t="n">
        <f aca="false">IF('Little Explorers Kits'!D224="","",'Little Explorers Kits'!D224)</f>
        <v>20</v>
      </c>
      <c r="E209" s="0" t="str">
        <f aca="false">IF('Little Explorers Kits'!E224="","",'Little Explorers Kits'!E224)</f>
        <v>Per group</v>
      </c>
      <c r="F209" s="0" t="str">
        <f aca="false">IFERROR(INDEX('Session Tracker'!$M$5:$M$149,MATCH($A209,'Session Tracker'!$D$5:$D$149,0))+0,"")</f>
        <v/>
      </c>
      <c r="G209" s="0" t="str">
        <f aca="false">IF(ISNUMBER(F209),IF(OR(B209=0,B209=99,C209&lt;&gt;""),F209*100+B209,""),"")</f>
        <v/>
      </c>
      <c r="H209" s="0" t="n">
        <f aca="false">IFERROR(INDEX('Session Tracker'!$J$5:$J$149,MATCH($A209,'Session Tracker'!$D$5:$D$149,0)),0)</f>
        <v>8</v>
      </c>
      <c r="I209" s="0" t="n">
        <f aca="false">IF(OR(B209=0,B209=99,C209=""),"",IF(E209="Per class",D209,D209*H209))</f>
        <v>160</v>
      </c>
      <c r="N209" s="0" t="str">
        <f aca="false">IF('Little Explorers Kits'!B224="","",'Little Explorers Kits'!B224)</f>
        <v>Craft &amp; Stationery</v>
      </c>
      <c r="O209" s="0" t="str">
        <f aca="false">IF('Little Explorers Kits'!F224="","",'Little Explorers Kits'!F224)</f>
        <v>Consumable</v>
      </c>
      <c r="P209" s="0" t="str">
        <f aca="false">IF('Little Explorers Kits'!G224="","",'Little Explorers Kits'!G224)</f>
        <v>Picture cards</v>
      </c>
    </row>
    <row r="210" customFormat="false" ht="15" hidden="false" customHeight="false" outlineLevel="0" collapsed="false">
      <c r="A210" s="0" t="s">
        <v>114</v>
      </c>
      <c r="B210" s="0" t="n">
        <v>2</v>
      </c>
      <c r="C210" s="0" t="str">
        <f aca="false">IF('Little Explorers Kits'!C225="","",'Little Explorers Kits'!C225)</f>
        <v>Card / chart paper</v>
      </c>
      <c r="D210" s="0" t="n">
        <f aca="false">IF('Little Explorers Kits'!D225="","",'Little Explorers Kits'!D225)</f>
        <v>1</v>
      </c>
      <c r="E210" s="0" t="str">
        <f aca="false">IF('Little Explorers Kits'!E225="","",'Little Explorers Kits'!E225)</f>
        <v>Per group</v>
      </c>
      <c r="F210" s="0" t="str">
        <f aca="false">IFERROR(INDEX('Session Tracker'!$M$5:$M$149,MATCH($A210,'Session Tracker'!$D$5:$D$149,0))+0,"")</f>
        <v/>
      </c>
      <c r="G210" s="0" t="str">
        <f aca="false">IF(ISNUMBER(F210),IF(OR(B210=0,B210=99,C210&lt;&gt;""),F210*100+B210,""),"")</f>
        <v/>
      </c>
      <c r="H210" s="0" t="n">
        <f aca="false">IFERROR(INDEX('Session Tracker'!$J$5:$J$149,MATCH($A210,'Session Tracker'!$D$5:$D$149,0)),0)</f>
        <v>8</v>
      </c>
      <c r="I210" s="0" t="n">
        <f aca="false">IF(OR(B210=0,B210=99,C210=""),"",IF(E210="Per class",D210,D210*H210))</f>
        <v>8</v>
      </c>
      <c r="N210" s="0" t="str">
        <f aca="false">IF('Little Explorers Kits'!B225="","",'Little Explorers Kits'!B225)</f>
        <v>Craft &amp; Stationery</v>
      </c>
      <c r="O210" s="0" t="str">
        <f aca="false">IF('Little Explorers Kits'!F225="","",'Little Explorers Kits'!F225)</f>
        <v>Consumable</v>
      </c>
      <c r="P210" s="0" t="str">
        <f aca="false">IF('Little Explorers Kits'!G225="","",'Little Explorers Kits'!G225)</f>
        <v>Question tree</v>
      </c>
    </row>
    <row r="211" customFormat="false" ht="15" hidden="false" customHeight="false" outlineLevel="0" collapsed="false">
      <c r="A211" s="0" t="s">
        <v>114</v>
      </c>
      <c r="B211" s="0" t="n">
        <v>3</v>
      </c>
      <c r="C211" s="0" t="str">
        <f aca="false">IF('Little Explorers Kits'!C226="","",'Little Explorers Kits'!C226)</f>
        <v>Markers</v>
      </c>
      <c r="D211" s="0" t="n">
        <f aca="false">IF('Little Explorers Kits'!D226="","",'Little Explorers Kits'!D226)</f>
        <v>1</v>
      </c>
      <c r="E211" s="0" t="str">
        <f aca="false">IF('Little Explorers Kits'!E226="","",'Little Explorers Kits'!E226)</f>
        <v>Per group</v>
      </c>
      <c r="F211" s="0" t="str">
        <f aca="false">IFERROR(INDEX('Session Tracker'!$M$5:$M$149,MATCH($A211,'Session Tracker'!$D$5:$D$149,0))+0,"")</f>
        <v/>
      </c>
      <c r="G211" s="0" t="str">
        <f aca="false">IF(ISNUMBER(F211),IF(OR(B211=0,B211=99,C211&lt;&gt;""),F211*100+B211,""),"")</f>
        <v/>
      </c>
      <c r="H211" s="0" t="n">
        <f aca="false">IFERROR(INDEX('Session Tracker'!$J$5:$J$149,MATCH($A211,'Session Tracker'!$D$5:$D$149,0)),0)</f>
        <v>8</v>
      </c>
      <c r="I211" s="0" t="n">
        <f aca="false">IF(OR(B211=0,B211=99,C211=""),"",IF(E211="Per class",D211,D211*H211))</f>
        <v>8</v>
      </c>
      <c r="N211" s="0" t="str">
        <f aca="false">IF('Little Explorers Kits'!B226="","",'Little Explorers Kits'!B226)</f>
        <v>Craft &amp; Stationery</v>
      </c>
      <c r="O211" s="0" t="str">
        <f aca="false">IF('Little Explorers Kits'!F226="","",'Little Explorers Kits'!F226)</f>
        <v>Consumable</v>
      </c>
      <c r="P211" s="0" t="str">
        <f aca="false">IF('Little Explorers Kits'!G226="","",'Little Explorers Kits'!G226)</f>
        <v/>
      </c>
    </row>
    <row r="212" customFormat="false" ht="15" hidden="false" customHeight="false" outlineLevel="0" collapsed="false">
      <c r="A212" s="0" t="s">
        <v>114</v>
      </c>
      <c r="B212" s="0" t="n">
        <v>4</v>
      </c>
      <c r="C212" s="0" t="str">
        <f aca="false">IF('Little Explorers Kits'!C227="","",'Little Explorers Kits'!C227)</f>
        <v/>
      </c>
      <c r="D212" s="0" t="str">
        <f aca="false">IF('Little Explorers Kits'!D227="","",'Little Explorers Kits'!D227)</f>
        <v/>
      </c>
      <c r="E212" s="0" t="str">
        <f aca="false">IF('Little Explorers Kits'!E227="","",'Little Explorers Kits'!E227)</f>
        <v/>
      </c>
      <c r="F212" s="0" t="str">
        <f aca="false">IFERROR(INDEX('Session Tracker'!$M$5:$M$149,MATCH($A212,'Session Tracker'!$D$5:$D$149,0))+0,"")</f>
        <v/>
      </c>
      <c r="G212" s="0" t="str">
        <f aca="false">IF(ISNUMBER(F212),IF(OR(B212=0,B212=99,C212&lt;&gt;""),F212*100+B212,""),"")</f>
        <v/>
      </c>
      <c r="H212" s="0" t="n">
        <f aca="false">IFERROR(INDEX('Session Tracker'!$J$5:$J$149,MATCH($A212,'Session Tracker'!$D$5:$D$149,0)),0)</f>
        <v>8</v>
      </c>
      <c r="I212" s="0" t="str">
        <f aca="false">IF(OR(B212=0,B212=99,C212=""),"",IF(E212="Per class",D212,D212*H212))</f>
        <v/>
      </c>
      <c r="N212" s="0" t="str">
        <f aca="false">IF('Little Explorers Kits'!B227="","",'Little Explorers Kits'!B227)</f>
        <v/>
      </c>
      <c r="O212" s="0" t="str">
        <f aca="false">IF('Little Explorers Kits'!F227="","",'Little Explorers Kits'!F227)</f>
        <v/>
      </c>
      <c r="P212" s="0" t="str">
        <f aca="false">IF('Little Explorers Kits'!G227="","",'Little Explorers Kits'!G227)</f>
        <v/>
      </c>
    </row>
    <row r="213" customFormat="false" ht="15" hidden="false" customHeight="false" outlineLevel="0" collapsed="false">
      <c r="A213" s="0" t="s">
        <v>114</v>
      </c>
      <c r="B213" s="0" t="n">
        <v>5</v>
      </c>
      <c r="C213" s="0" t="str">
        <f aca="false">IF('Little Explorers Kits'!C228="","",'Little Explorers Kits'!C228)</f>
        <v/>
      </c>
      <c r="D213" s="0" t="str">
        <f aca="false">IF('Little Explorers Kits'!D228="","",'Little Explorers Kits'!D228)</f>
        <v/>
      </c>
      <c r="E213" s="0" t="str">
        <f aca="false">IF('Little Explorers Kits'!E228="","",'Little Explorers Kits'!E228)</f>
        <v/>
      </c>
      <c r="F213" s="0" t="str">
        <f aca="false">IFERROR(INDEX('Session Tracker'!$M$5:$M$149,MATCH($A213,'Session Tracker'!$D$5:$D$149,0))+0,"")</f>
        <v/>
      </c>
      <c r="G213" s="0" t="str">
        <f aca="false">IF(ISNUMBER(F213),IF(OR(B213=0,B213=99,C213&lt;&gt;""),F213*100+B213,""),"")</f>
        <v/>
      </c>
      <c r="H213" s="0" t="n">
        <f aca="false">IFERROR(INDEX('Session Tracker'!$J$5:$J$149,MATCH($A213,'Session Tracker'!$D$5:$D$149,0)),0)</f>
        <v>8</v>
      </c>
      <c r="I213" s="0" t="str">
        <f aca="false">IF(OR(B213=0,B213=99,C213=""),"",IF(E213="Per class",D213,D213*H213))</f>
        <v/>
      </c>
      <c r="N213" s="0" t="str">
        <f aca="false">IF('Little Explorers Kits'!B228="","",'Little Explorers Kits'!B228)</f>
        <v/>
      </c>
      <c r="O213" s="0" t="str">
        <f aca="false">IF('Little Explorers Kits'!F228="","",'Little Explorers Kits'!F228)</f>
        <v/>
      </c>
      <c r="P213" s="0" t="str">
        <f aca="false">IF('Little Explorers Kits'!G228="","",'Little Explorers Kits'!G228)</f>
        <v/>
      </c>
    </row>
    <row r="214" customFormat="false" ht="15" hidden="false" customHeight="false" outlineLevel="0" collapsed="false">
      <c r="A214" s="0" t="s">
        <v>116</v>
      </c>
      <c r="B214" s="0" t="n">
        <v>0</v>
      </c>
      <c r="F214" s="0" t="str">
        <f aca="false">IFERROR(INDEX('Session Tracker'!$M$5:$M$149,MATCH($A214,'Session Tracker'!$D$5:$D$149,0))+0,"")</f>
        <v/>
      </c>
      <c r="G214" s="0" t="str">
        <f aca="false">IF(ISNUMBER(F214),IF(OR(B214=0,B214=99,C214&lt;&gt;""),F214*100+B214,""),"")</f>
        <v/>
      </c>
      <c r="H214" s="0" t="n">
        <f aca="false">IFERROR(INDEX('Session Tracker'!$J$5:$J$149,MATCH($A214,'Session Tracker'!$D$5:$D$149,0)),0)</f>
        <v>8</v>
      </c>
      <c r="I214" s="0" t="str">
        <f aca="false">IF(OR(B214=0,B214=99,C214=""),"",IF(E214="Per class",D214,D214*H214))</f>
        <v/>
      </c>
      <c r="K214" s="0" t="str">
        <f aca="false">IFERROR(INDEX('Session Tracker'!$E$5:$E$149,MATCH($A214,'Session Tracker'!$D$5:$D$149,0)),"")</f>
        <v>Robot Chef: Unplugged Algorithms</v>
      </c>
      <c r="L214" s="0" t="str">
        <f aca="false">IFERROR(INDEX('Session Tracker'!$A$5:$A$149,MATCH($A214,'Session Tracker'!$D$5:$D$149,0)),"")</f>
        <v>Little Explorers (5-7)</v>
      </c>
      <c r="M214" s="0" t="str">
        <f aca="false">IFERROR(INDEX('Session Tracker'!$H$5:$H$149,MATCH($A214,'Session Tracker'!$D$5:$D$149,0))&amp;"","")</f>
        <v/>
      </c>
      <c r="Q214" s="0" t="str">
        <f aca="false">IFERROR("Status: "&amp;INDEX('Session Tracker'!$F$5:$F$149,MATCH($A214,'Session Tracker'!$D$5:$D$149,0))&amp;IF(INDEX('Session Tracker'!$G$5:$G$149,MATCH($A214,'Session Tracker'!$D$5:$D$149,0))&lt;&gt;""," ("&amp;INDEX('Session Tracker'!$G$5:$G$149,MATCH($A214,'Session Tracker'!$D$5:$D$149,0))&amp;")","")&amp;IF(M214&lt;&gt;"","  "&amp;M214,""),"")</f>
        <v>Status: Not started</v>
      </c>
    </row>
    <row r="215" customFormat="false" ht="15" hidden="false" customHeight="false" outlineLevel="0" collapsed="false">
      <c r="A215" s="0" t="s">
        <v>116</v>
      </c>
      <c r="B215" s="0" t="n">
        <v>1</v>
      </c>
      <c r="C215" s="0" t="str">
        <f aca="false">IF('Little Explorers Kits'!C231="","",'Little Explorers Kits'!C231)</f>
        <v>Printed templates</v>
      </c>
      <c r="D215" s="0" t="n">
        <f aca="false">IF('Little Explorers Kits'!D231="","",'Little Explorers Kits'!D231)</f>
        <v>1</v>
      </c>
      <c r="E215" s="0" t="str">
        <f aca="false">IF('Little Explorers Kits'!E231="","",'Little Explorers Kits'!E231)</f>
        <v>Per group</v>
      </c>
      <c r="F215" s="0" t="str">
        <f aca="false">IFERROR(INDEX('Session Tracker'!$M$5:$M$149,MATCH($A215,'Session Tracker'!$D$5:$D$149,0))+0,"")</f>
        <v/>
      </c>
      <c r="G215" s="0" t="str">
        <f aca="false">IF(ISNUMBER(F215),IF(OR(B215=0,B215=99,C215&lt;&gt;""),F215*100+B215,""),"")</f>
        <v/>
      </c>
      <c r="H215" s="0" t="n">
        <f aca="false">IFERROR(INDEX('Session Tracker'!$J$5:$J$149,MATCH($A215,'Session Tracker'!$D$5:$D$149,0)),0)</f>
        <v>8</v>
      </c>
      <c r="I215" s="0" t="n">
        <f aca="false">IF(OR(B215=0,B215=99,C215=""),"",IF(E215="Per class",D215,D215*H215))</f>
        <v>8</v>
      </c>
      <c r="N215" s="0" t="str">
        <f aca="false">IF('Little Explorers Kits'!B231="","",'Little Explorers Kits'!B231)</f>
        <v>Craft &amp; Stationery</v>
      </c>
      <c r="O215" s="0" t="str">
        <f aca="false">IF('Little Explorers Kits'!F231="","",'Little Explorers Kits'!F231)</f>
        <v>Consumable</v>
      </c>
      <c r="P215" s="0" t="str">
        <f aca="false">IF('Little Explorers Kits'!G231="","",'Little Explorers Kits'!G231)</f>
        <v/>
      </c>
    </row>
    <row r="216" customFormat="false" ht="15" hidden="false" customHeight="false" outlineLevel="0" collapsed="false">
      <c r="A216" s="0" t="s">
        <v>116</v>
      </c>
      <c r="B216" s="0" t="n">
        <v>2</v>
      </c>
      <c r="C216" s="0" t="str">
        <f aca="false">IF('Little Explorers Kits'!C232="","",'Little Explorers Kits'!C232)</f>
        <v>Markers</v>
      </c>
      <c r="D216" s="0" t="n">
        <f aca="false">IF('Little Explorers Kits'!D232="","",'Little Explorers Kits'!D232)</f>
        <v>1</v>
      </c>
      <c r="E216" s="0" t="str">
        <f aca="false">IF('Little Explorers Kits'!E232="","",'Little Explorers Kits'!E232)</f>
        <v>Per group</v>
      </c>
      <c r="F216" s="0" t="str">
        <f aca="false">IFERROR(INDEX('Session Tracker'!$M$5:$M$149,MATCH($A216,'Session Tracker'!$D$5:$D$149,0))+0,"")</f>
        <v/>
      </c>
      <c r="G216" s="0" t="str">
        <f aca="false">IF(ISNUMBER(F216),IF(OR(B216=0,B216=99,C216&lt;&gt;""),F216*100+B216,""),"")</f>
        <v/>
      </c>
      <c r="H216" s="0" t="n">
        <f aca="false">IFERROR(INDEX('Session Tracker'!$J$5:$J$149,MATCH($A216,'Session Tracker'!$D$5:$D$149,0)),0)</f>
        <v>8</v>
      </c>
      <c r="I216" s="0" t="n">
        <f aca="false">IF(OR(B216=0,B216=99,C216=""),"",IF(E216="Per class",D216,D216*H216))</f>
        <v>8</v>
      </c>
      <c r="N216" s="0" t="str">
        <f aca="false">IF('Little Explorers Kits'!B232="","",'Little Explorers Kits'!B232)</f>
        <v>Craft &amp; Stationery</v>
      </c>
      <c r="O216" s="0" t="str">
        <f aca="false">IF('Little Explorers Kits'!F232="","",'Little Explorers Kits'!F232)</f>
        <v>Consumable</v>
      </c>
      <c r="P216" s="0" t="str">
        <f aca="false">IF('Little Explorers Kits'!G232="","",'Little Explorers Kits'!G232)</f>
        <v/>
      </c>
    </row>
    <row r="217" customFormat="false" ht="15" hidden="false" customHeight="false" outlineLevel="0" collapsed="false">
      <c r="A217" s="0" t="s">
        <v>116</v>
      </c>
      <c r="B217" s="0" t="n">
        <v>3</v>
      </c>
      <c r="C217" s="0" t="str">
        <f aca="false">IF('Little Explorers Kits'!C233="","",'Little Explorers Kits'!C233)</f>
        <v>Tape (paper + double-sided)</v>
      </c>
      <c r="D217" s="0" t="n">
        <f aca="false">IF('Little Explorers Kits'!D233="","",'Little Explorers Kits'!D233)</f>
        <v>1</v>
      </c>
      <c r="E217" s="0" t="str">
        <f aca="false">IF('Little Explorers Kits'!E233="","",'Little Explorers Kits'!E233)</f>
        <v>Per class</v>
      </c>
      <c r="F217" s="0" t="str">
        <f aca="false">IFERROR(INDEX('Session Tracker'!$M$5:$M$149,MATCH($A217,'Session Tracker'!$D$5:$D$149,0))+0,"")</f>
        <v/>
      </c>
      <c r="G217" s="0" t="str">
        <f aca="false">IF(ISNUMBER(F217),IF(OR(B217=0,B217=99,C217&lt;&gt;""),F217*100+B217,""),"")</f>
        <v/>
      </c>
      <c r="H217" s="0" t="n">
        <f aca="false">IFERROR(INDEX('Session Tracker'!$J$5:$J$149,MATCH($A217,'Session Tracker'!$D$5:$D$149,0)),0)</f>
        <v>8</v>
      </c>
      <c r="I217" s="0" t="n">
        <f aca="false">IF(OR(B217=0,B217=99,C217=""),"",IF(E217="Per class",D217,D217*H217))</f>
        <v>1</v>
      </c>
      <c r="N217" s="0" t="str">
        <f aca="false">IF('Little Explorers Kits'!B233="","",'Little Explorers Kits'!B233)</f>
        <v>Craft &amp; Stationery</v>
      </c>
      <c r="O217" s="0" t="str">
        <f aca="false">IF('Little Explorers Kits'!F233="","",'Little Explorers Kits'!F233)</f>
        <v>Consumable</v>
      </c>
      <c r="P217" s="0" t="str">
        <f aca="false">IF('Little Explorers Kits'!G233="","",'Little Explorers Kits'!G233)</f>
        <v>Floor grid</v>
      </c>
    </row>
    <row r="218" customFormat="false" ht="15" hidden="false" customHeight="false" outlineLevel="0" collapsed="false">
      <c r="A218" s="0" t="s">
        <v>116</v>
      </c>
      <c r="B218" s="0" t="n">
        <v>4</v>
      </c>
      <c r="C218" s="0" t="str">
        <f aca="false">IF('Little Explorers Kits'!C234="","",'Little Explorers Kits'!C234)</f>
        <v/>
      </c>
      <c r="D218" s="0" t="str">
        <f aca="false">IF('Little Explorers Kits'!D234="","",'Little Explorers Kits'!D234)</f>
        <v/>
      </c>
      <c r="E218" s="0" t="str">
        <f aca="false">IF('Little Explorers Kits'!E234="","",'Little Explorers Kits'!E234)</f>
        <v/>
      </c>
      <c r="F218" s="0" t="str">
        <f aca="false">IFERROR(INDEX('Session Tracker'!$M$5:$M$149,MATCH($A218,'Session Tracker'!$D$5:$D$149,0))+0,"")</f>
        <v/>
      </c>
      <c r="G218" s="0" t="str">
        <f aca="false">IF(ISNUMBER(F218),IF(OR(B218=0,B218=99,C218&lt;&gt;""),F218*100+B218,""),"")</f>
        <v/>
      </c>
      <c r="H218" s="0" t="n">
        <f aca="false">IFERROR(INDEX('Session Tracker'!$J$5:$J$149,MATCH($A218,'Session Tracker'!$D$5:$D$149,0)),0)</f>
        <v>8</v>
      </c>
      <c r="I218" s="0" t="str">
        <f aca="false">IF(OR(B218=0,B218=99,C218=""),"",IF(E218="Per class",D218,D218*H218))</f>
        <v/>
      </c>
      <c r="N218" s="0" t="str">
        <f aca="false">IF('Little Explorers Kits'!B234="","",'Little Explorers Kits'!B234)</f>
        <v/>
      </c>
      <c r="O218" s="0" t="str">
        <f aca="false">IF('Little Explorers Kits'!F234="","",'Little Explorers Kits'!F234)</f>
        <v/>
      </c>
      <c r="P218" s="0" t="str">
        <f aca="false">IF('Little Explorers Kits'!G234="","",'Little Explorers Kits'!G234)</f>
        <v/>
      </c>
    </row>
    <row r="219" customFormat="false" ht="15" hidden="false" customHeight="false" outlineLevel="0" collapsed="false">
      <c r="A219" s="0" t="s">
        <v>116</v>
      </c>
      <c r="B219" s="0" t="n">
        <v>5</v>
      </c>
      <c r="C219" s="0" t="str">
        <f aca="false">IF('Little Explorers Kits'!C235="","",'Little Explorers Kits'!C235)</f>
        <v/>
      </c>
      <c r="D219" s="0" t="str">
        <f aca="false">IF('Little Explorers Kits'!D235="","",'Little Explorers Kits'!D235)</f>
        <v/>
      </c>
      <c r="E219" s="0" t="str">
        <f aca="false">IF('Little Explorers Kits'!E235="","",'Little Explorers Kits'!E235)</f>
        <v/>
      </c>
      <c r="F219" s="0" t="str">
        <f aca="false">IFERROR(INDEX('Session Tracker'!$M$5:$M$149,MATCH($A219,'Session Tracker'!$D$5:$D$149,0))+0,"")</f>
        <v/>
      </c>
      <c r="G219" s="0" t="str">
        <f aca="false">IF(ISNUMBER(F219),IF(OR(B219=0,B219=99,C219&lt;&gt;""),F219*100+B219,""),"")</f>
        <v/>
      </c>
      <c r="H219" s="0" t="n">
        <f aca="false">IFERROR(INDEX('Session Tracker'!$J$5:$J$149,MATCH($A219,'Session Tracker'!$D$5:$D$149,0)),0)</f>
        <v>8</v>
      </c>
      <c r="I219" s="0" t="str">
        <f aca="false">IF(OR(B219=0,B219=99,C219=""),"",IF(E219="Per class",D219,D219*H219))</f>
        <v/>
      </c>
      <c r="N219" s="0" t="str">
        <f aca="false">IF('Little Explorers Kits'!B235="","",'Little Explorers Kits'!B235)</f>
        <v/>
      </c>
      <c r="O219" s="0" t="str">
        <f aca="false">IF('Little Explorers Kits'!F235="","",'Little Explorers Kits'!F235)</f>
        <v/>
      </c>
      <c r="P219" s="0" t="str">
        <f aca="false">IF('Little Explorers Kits'!G235="","",'Little Explorers Kits'!G235)</f>
        <v/>
      </c>
    </row>
    <row r="220" customFormat="false" ht="15" hidden="false" customHeight="false" outlineLevel="0" collapsed="false">
      <c r="A220" s="0" t="s">
        <v>118</v>
      </c>
      <c r="B220" s="0" t="n">
        <v>0</v>
      </c>
      <c r="F220" s="0" t="str">
        <f aca="false">IFERROR(INDEX('Session Tracker'!$M$5:$M$149,MATCH($A220,'Session Tracker'!$D$5:$D$149,0))+0,"")</f>
        <v/>
      </c>
      <c r="G220" s="0" t="str">
        <f aca="false">IF(ISNUMBER(F220),IF(OR(B220=0,B220=99,C220&lt;&gt;""),F220*100+B220,""),"")</f>
        <v/>
      </c>
      <c r="H220" s="0" t="n">
        <f aca="false">IFERROR(INDEX('Session Tracker'!$J$5:$J$149,MATCH($A220,'Session Tracker'!$D$5:$D$149,0)),0)</f>
        <v>8</v>
      </c>
      <c r="I220" s="0" t="str">
        <f aca="false">IF(OR(B220=0,B220=99,C220=""),"",IF(E220="Per class",D220,D220*H220))</f>
        <v/>
      </c>
      <c r="K220" s="0" t="str">
        <f aca="false">IFERROR(INDEX('Session Tracker'!$E$5:$E$149,MATCH($A220,'Session Tracker'!$D$5:$D$149,0)),"")</f>
        <v>Code.org Puzzle Quest: Sequences and Loops</v>
      </c>
      <c r="L220" s="0" t="str">
        <f aca="false">IFERROR(INDEX('Session Tracker'!$A$5:$A$149,MATCH($A220,'Session Tracker'!$D$5:$D$149,0)),"")</f>
        <v>Little Explorers (5-7)</v>
      </c>
      <c r="M220" s="0" t="str">
        <f aca="false">IFERROR(INDEX('Session Tracker'!$H$5:$H$149,MATCH($A220,'Session Tracker'!$D$5:$D$149,0))&amp;"","")</f>
        <v/>
      </c>
      <c r="Q220" s="0" t="str">
        <f aca="false">IFERROR("Status: "&amp;INDEX('Session Tracker'!$F$5:$F$149,MATCH($A220,'Session Tracker'!$D$5:$D$149,0))&amp;IF(INDEX('Session Tracker'!$G$5:$G$149,MATCH($A220,'Session Tracker'!$D$5:$D$149,0))&lt;&gt;""," ("&amp;INDEX('Session Tracker'!$G$5:$G$149,MATCH($A220,'Session Tracker'!$D$5:$D$149,0))&amp;")","")&amp;IF(M220&lt;&gt;"","  "&amp;M220,""),"")</f>
        <v>Status: Not started</v>
      </c>
    </row>
    <row r="221" customFormat="false" ht="15" hidden="false" customHeight="false" outlineLevel="0" collapsed="false">
      <c r="A221" s="0" t="s">
        <v>118</v>
      </c>
      <c r="B221" s="0" t="n">
        <v>1</v>
      </c>
      <c r="C221" s="0" t="str">
        <f aca="false">IF('Little Explorers Kits'!C238="","",'Little Explorers Kits'!C238)</f>
        <v>Laptop</v>
      </c>
      <c r="D221" s="0" t="n">
        <f aca="false">IF('Little Explorers Kits'!D238="","",'Little Explorers Kits'!D238)</f>
        <v>1</v>
      </c>
      <c r="E221" s="0" t="str">
        <f aca="false">IF('Little Explorers Kits'!E238="","",'Little Explorers Kits'!E238)</f>
        <v>Per group</v>
      </c>
      <c r="F221" s="0" t="str">
        <f aca="false">IFERROR(INDEX('Session Tracker'!$M$5:$M$149,MATCH($A221,'Session Tracker'!$D$5:$D$149,0))+0,"")</f>
        <v/>
      </c>
      <c r="G221" s="0" t="str">
        <f aca="false">IF(ISNUMBER(F221),IF(OR(B221=0,B221=99,C221&lt;&gt;""),F221*100+B221,""),"")</f>
        <v/>
      </c>
      <c r="H221" s="0" t="n">
        <f aca="false">IFERROR(INDEX('Session Tracker'!$J$5:$J$149,MATCH($A221,'Session Tracker'!$D$5:$D$149,0)),0)</f>
        <v>8</v>
      </c>
      <c r="I221" s="0" t="n">
        <f aca="false">IF(OR(B221=0,B221=99,C221=""),"",IF(E221="Per class",D221,D221*H221))</f>
        <v>8</v>
      </c>
      <c r="N221" s="0" t="str">
        <f aca="false">IF('Little Explorers Kits'!B238="","",'Little Explorers Kits'!B238)</f>
        <v>Computers &amp; Equipment</v>
      </c>
      <c r="O221" s="0" t="str">
        <f aca="false">IF('Little Explorers Kits'!F238="","",'Little Explorers Kits'!F238)</f>
        <v>Reusable</v>
      </c>
      <c r="P221" s="0" t="str">
        <f aca="false">IF('Little Explorers Kits'!G238="","",'Little Explorers Kits'!G238)</f>
        <v/>
      </c>
    </row>
    <row r="222" customFormat="false" ht="15" hidden="false" customHeight="false" outlineLevel="0" collapsed="false">
      <c r="A222" s="0" t="s">
        <v>118</v>
      </c>
      <c r="B222" s="0" t="n">
        <v>2</v>
      </c>
      <c r="C222" s="0" t="str">
        <f aca="false">IF('Little Explorers Kits'!C239="","",'Little Explorers Kits'!C239)</f>
        <v/>
      </c>
      <c r="D222" s="0" t="str">
        <f aca="false">IF('Little Explorers Kits'!D239="","",'Little Explorers Kits'!D239)</f>
        <v/>
      </c>
      <c r="E222" s="0" t="str">
        <f aca="false">IF('Little Explorers Kits'!E239="","",'Little Explorers Kits'!E239)</f>
        <v/>
      </c>
      <c r="F222" s="0" t="str">
        <f aca="false">IFERROR(INDEX('Session Tracker'!$M$5:$M$149,MATCH($A222,'Session Tracker'!$D$5:$D$149,0))+0,"")</f>
        <v/>
      </c>
      <c r="G222" s="0" t="str">
        <f aca="false">IF(ISNUMBER(F222),IF(OR(B222=0,B222=99,C222&lt;&gt;""),F222*100+B222,""),"")</f>
        <v/>
      </c>
      <c r="H222" s="0" t="n">
        <f aca="false">IFERROR(INDEX('Session Tracker'!$J$5:$J$149,MATCH($A222,'Session Tracker'!$D$5:$D$149,0)),0)</f>
        <v>8</v>
      </c>
      <c r="I222" s="0" t="str">
        <f aca="false">IF(OR(B222=0,B222=99,C222=""),"",IF(E222="Per class",D222,D222*H222))</f>
        <v/>
      </c>
      <c r="N222" s="0" t="str">
        <f aca="false">IF('Little Explorers Kits'!B239="","",'Little Explorers Kits'!B239)</f>
        <v/>
      </c>
      <c r="O222" s="0" t="str">
        <f aca="false">IF('Little Explorers Kits'!F239="","",'Little Explorers Kits'!F239)</f>
        <v/>
      </c>
      <c r="P222" s="0" t="str">
        <f aca="false">IF('Little Explorers Kits'!G239="","",'Little Explorers Kits'!G239)</f>
        <v/>
      </c>
    </row>
    <row r="223" customFormat="false" ht="15" hidden="false" customHeight="false" outlineLevel="0" collapsed="false">
      <c r="A223" s="0" t="s">
        <v>118</v>
      </c>
      <c r="B223" s="0" t="n">
        <v>3</v>
      </c>
      <c r="C223" s="0" t="str">
        <f aca="false">IF('Little Explorers Kits'!C240="","",'Little Explorers Kits'!C240)</f>
        <v/>
      </c>
      <c r="D223" s="0" t="str">
        <f aca="false">IF('Little Explorers Kits'!D240="","",'Little Explorers Kits'!D240)</f>
        <v/>
      </c>
      <c r="E223" s="0" t="str">
        <f aca="false">IF('Little Explorers Kits'!E240="","",'Little Explorers Kits'!E240)</f>
        <v/>
      </c>
      <c r="F223" s="0" t="str">
        <f aca="false">IFERROR(INDEX('Session Tracker'!$M$5:$M$149,MATCH($A223,'Session Tracker'!$D$5:$D$149,0))+0,"")</f>
        <v/>
      </c>
      <c r="G223" s="0" t="str">
        <f aca="false">IF(ISNUMBER(F223),IF(OR(B223=0,B223=99,C223&lt;&gt;""),F223*100+B223,""),"")</f>
        <v/>
      </c>
      <c r="H223" s="0" t="n">
        <f aca="false">IFERROR(INDEX('Session Tracker'!$J$5:$J$149,MATCH($A223,'Session Tracker'!$D$5:$D$149,0)),0)</f>
        <v>8</v>
      </c>
      <c r="I223" s="0" t="str">
        <f aca="false">IF(OR(B223=0,B223=99,C223=""),"",IF(E223="Per class",D223,D223*H223))</f>
        <v/>
      </c>
      <c r="N223" s="0" t="str">
        <f aca="false">IF('Little Explorers Kits'!B240="","",'Little Explorers Kits'!B240)</f>
        <v/>
      </c>
      <c r="O223" s="0" t="str">
        <f aca="false">IF('Little Explorers Kits'!F240="","",'Little Explorers Kits'!F240)</f>
        <v/>
      </c>
      <c r="P223" s="0" t="str">
        <f aca="false">IF('Little Explorers Kits'!G240="","",'Little Explorers Kits'!G240)</f>
        <v/>
      </c>
    </row>
    <row r="224" customFormat="false" ht="15" hidden="false" customHeight="false" outlineLevel="0" collapsed="false">
      <c r="A224" s="0" t="s">
        <v>120</v>
      </c>
      <c r="B224" s="0" t="n">
        <v>0</v>
      </c>
      <c r="F224" s="0" t="str">
        <f aca="false">IFERROR(INDEX('Session Tracker'!$M$5:$M$149,MATCH($A224,'Session Tracker'!$D$5:$D$149,0))+0,"")</f>
        <v/>
      </c>
      <c r="G224" s="0" t="str">
        <f aca="false">IF(ISNUMBER(F224),IF(OR(B224=0,B224=99,C224&lt;&gt;""),F224*100+B224,""),"")</f>
        <v/>
      </c>
      <c r="H224" s="0" t="n">
        <f aca="false">IFERROR(INDEX('Session Tracker'!$J$5:$J$149,MATCH($A224,'Session Tracker'!$D$5:$D$149,0)),0)</f>
        <v>8</v>
      </c>
      <c r="I224" s="0" t="str">
        <f aca="false">IF(OR(B224=0,B224=99,C224=""),"",IF(E224="Per class",D224,D224*H224))</f>
        <v/>
      </c>
      <c r="K224" s="0" t="str">
        <f aca="false">IFERROR(INDEX('Session Tracker'!$E$5:$E$149,MATCH($A224,'Session Tracker'!$D$5:$D$149,0)),"")</f>
        <v>Program the Robot Car Through a Floor Maze</v>
      </c>
      <c r="L224" s="0" t="str">
        <f aca="false">IFERROR(INDEX('Session Tracker'!$A$5:$A$149,MATCH($A224,'Session Tracker'!$D$5:$D$149,0)),"")</f>
        <v>Little Explorers (5-7)</v>
      </c>
      <c r="M224" s="0" t="str">
        <f aca="false">IFERROR(INDEX('Session Tracker'!$H$5:$H$149,MATCH($A224,'Session Tracker'!$D$5:$D$149,0))&amp;"","")</f>
        <v/>
      </c>
      <c r="Q224" s="0" t="str">
        <f aca="false">IFERROR("Status: "&amp;INDEX('Session Tracker'!$F$5:$F$149,MATCH($A224,'Session Tracker'!$D$5:$D$149,0))&amp;IF(INDEX('Session Tracker'!$G$5:$G$149,MATCH($A224,'Session Tracker'!$D$5:$D$149,0))&lt;&gt;""," ("&amp;INDEX('Session Tracker'!$G$5:$G$149,MATCH($A224,'Session Tracker'!$D$5:$D$149,0))&amp;")","")&amp;IF(M224&lt;&gt;"","  "&amp;M224,""),"")</f>
        <v>Status: Not started</v>
      </c>
    </row>
    <row r="225" customFormat="false" ht="15" hidden="false" customHeight="false" outlineLevel="0" collapsed="false">
      <c r="A225" s="0" t="s">
        <v>120</v>
      </c>
      <c r="B225" s="0" t="n">
        <v>1</v>
      </c>
      <c r="C225" s="0" t="str">
        <f aca="false">IF('Little Explorers Kits'!C243="","",'Little Explorers Kits'!C243)</f>
        <v>4WD robot car (assembled, L298N)</v>
      </c>
      <c r="D225" s="0" t="n">
        <f aca="false">IF('Little Explorers Kits'!D243="","",'Little Explorers Kits'!D243)</f>
        <v>1</v>
      </c>
      <c r="E225" s="0" t="str">
        <f aca="false">IF('Little Explorers Kits'!E243="","",'Little Explorers Kits'!E243)</f>
        <v>Per group</v>
      </c>
      <c r="F225" s="0" t="str">
        <f aca="false">IFERROR(INDEX('Session Tracker'!$M$5:$M$149,MATCH($A225,'Session Tracker'!$D$5:$D$149,0))+0,"")</f>
        <v/>
      </c>
      <c r="G225" s="0" t="str">
        <f aca="false">IF(ISNUMBER(F225),IF(OR(B225=0,B225=99,C225&lt;&gt;""),F225*100+B225,""),"")</f>
        <v/>
      </c>
      <c r="H225" s="0" t="n">
        <f aca="false">IFERROR(INDEX('Session Tracker'!$J$5:$J$149,MATCH($A225,'Session Tracker'!$D$5:$D$149,0)),0)</f>
        <v>8</v>
      </c>
      <c r="I225" s="0" t="n">
        <f aca="false">IF(OR(B225=0,B225=99,C225=""),"",IF(E225="Per class",D225,D225*H225))</f>
        <v>8</v>
      </c>
      <c r="N225" s="0" t="str">
        <f aca="false">IF('Little Explorers Kits'!B243="","",'Little Explorers Kits'!B243)</f>
        <v>Robot Platforms &amp; Kits</v>
      </c>
      <c r="O225" s="0" t="str">
        <f aca="false">IF('Little Explorers Kits'!F243="","",'Little Explorers Kits'!F243)</f>
        <v>Reusable</v>
      </c>
      <c r="P225" s="0" t="str">
        <f aca="false">IF('Little Explorers Kits'!G243="","",'Little Explorers Kits'!G243)</f>
        <v>From Phase 2B requisition</v>
      </c>
    </row>
    <row r="226" customFormat="false" ht="15" hidden="false" customHeight="false" outlineLevel="0" collapsed="false">
      <c r="A226" s="0" t="s">
        <v>120</v>
      </c>
      <c r="B226" s="0" t="n">
        <v>2</v>
      </c>
      <c r="C226" s="0" t="str">
        <f aca="false">IF('Little Explorers Kits'!C244="","",'Little Explorers Kits'!C244)</f>
        <v>Laptop</v>
      </c>
      <c r="D226" s="0" t="n">
        <f aca="false">IF('Little Explorers Kits'!D244="","",'Little Explorers Kits'!D244)</f>
        <v>1</v>
      </c>
      <c r="E226" s="0" t="str">
        <f aca="false">IF('Little Explorers Kits'!E244="","",'Little Explorers Kits'!E244)</f>
        <v>Per group</v>
      </c>
      <c r="F226" s="0" t="str">
        <f aca="false">IFERROR(INDEX('Session Tracker'!$M$5:$M$149,MATCH($A226,'Session Tracker'!$D$5:$D$149,0))+0,"")</f>
        <v/>
      </c>
      <c r="G226" s="0" t="str">
        <f aca="false">IF(ISNUMBER(F226),IF(OR(B226=0,B226=99,C226&lt;&gt;""),F226*100+B226,""),"")</f>
        <v/>
      </c>
      <c r="H226" s="0" t="n">
        <f aca="false">IFERROR(INDEX('Session Tracker'!$J$5:$J$149,MATCH($A226,'Session Tracker'!$D$5:$D$149,0)),0)</f>
        <v>8</v>
      </c>
      <c r="I226" s="0" t="n">
        <f aca="false">IF(OR(B226=0,B226=99,C226=""),"",IF(E226="Per class",D226,D226*H226))</f>
        <v>8</v>
      </c>
      <c r="N226" s="0" t="str">
        <f aca="false">IF('Little Explorers Kits'!B244="","",'Little Explorers Kits'!B244)</f>
        <v>Computers &amp; Equipment</v>
      </c>
      <c r="O226" s="0" t="str">
        <f aca="false">IF('Little Explorers Kits'!F244="","",'Little Explorers Kits'!F244)</f>
        <v>Reusable</v>
      </c>
      <c r="P226" s="0" t="str">
        <f aca="false">IF('Little Explorers Kits'!G244="","",'Little Explorers Kits'!G244)</f>
        <v/>
      </c>
    </row>
    <row r="227" customFormat="false" ht="15" hidden="false" customHeight="false" outlineLevel="0" collapsed="false">
      <c r="A227" s="0" t="s">
        <v>120</v>
      </c>
      <c r="B227" s="0" t="n">
        <v>3</v>
      </c>
      <c r="C227" s="0" t="str">
        <f aca="false">IF('Little Explorers Kits'!C245="","",'Little Explorers Kits'!C245)</f>
        <v>Tape (paper + double-sided)</v>
      </c>
      <c r="D227" s="0" t="n">
        <f aca="false">IF('Little Explorers Kits'!D245="","",'Little Explorers Kits'!D245)</f>
        <v>1</v>
      </c>
      <c r="E227" s="0" t="str">
        <f aca="false">IF('Little Explorers Kits'!E245="","",'Little Explorers Kits'!E245)</f>
        <v>Per class</v>
      </c>
      <c r="F227" s="0" t="str">
        <f aca="false">IFERROR(INDEX('Session Tracker'!$M$5:$M$149,MATCH($A227,'Session Tracker'!$D$5:$D$149,0))+0,"")</f>
        <v/>
      </c>
      <c r="G227" s="0" t="str">
        <f aca="false">IF(ISNUMBER(F227),IF(OR(B227=0,B227=99,C227&lt;&gt;""),F227*100+B227,""),"")</f>
        <v/>
      </c>
      <c r="H227" s="0" t="n">
        <f aca="false">IFERROR(INDEX('Session Tracker'!$J$5:$J$149,MATCH($A227,'Session Tracker'!$D$5:$D$149,0)),0)</f>
        <v>8</v>
      </c>
      <c r="I227" s="0" t="n">
        <f aca="false">IF(OR(B227=0,B227=99,C227=""),"",IF(E227="Per class",D227,D227*H227))</f>
        <v>1</v>
      </c>
      <c r="N227" s="0" t="str">
        <f aca="false">IF('Little Explorers Kits'!B245="","",'Little Explorers Kits'!B245)</f>
        <v>Craft &amp; Stationery</v>
      </c>
      <c r="O227" s="0" t="str">
        <f aca="false">IF('Little Explorers Kits'!F245="","",'Little Explorers Kits'!F245)</f>
        <v>Consumable</v>
      </c>
      <c r="P227" s="0" t="str">
        <f aca="false">IF('Little Explorers Kits'!G245="","",'Little Explorers Kits'!G245)</f>
        <v>Floor maze</v>
      </c>
    </row>
    <row r="228" customFormat="false" ht="15" hidden="false" customHeight="false" outlineLevel="0" collapsed="false">
      <c r="A228" s="0" t="s">
        <v>120</v>
      </c>
      <c r="B228" s="0" t="n">
        <v>4</v>
      </c>
      <c r="C228" s="0" t="str">
        <f aca="false">IF('Little Explorers Kits'!C246="","",'Little Explorers Kits'!C246)</f>
        <v>Printed templates</v>
      </c>
      <c r="D228" s="0" t="n">
        <f aca="false">IF('Little Explorers Kits'!D246="","",'Little Explorers Kits'!D246)</f>
        <v>1</v>
      </c>
      <c r="E228" s="0" t="str">
        <f aca="false">IF('Little Explorers Kits'!E246="","",'Little Explorers Kits'!E246)</f>
        <v>Per group</v>
      </c>
      <c r="F228" s="0" t="str">
        <f aca="false">IFERROR(INDEX('Session Tracker'!$M$5:$M$149,MATCH($A228,'Session Tracker'!$D$5:$D$149,0))+0,"")</f>
        <v/>
      </c>
      <c r="G228" s="0" t="str">
        <f aca="false">IF(ISNUMBER(F228),IF(OR(B228=0,B228=99,C228&lt;&gt;""),F228*100+B228,""),"")</f>
        <v/>
      </c>
      <c r="H228" s="0" t="n">
        <f aca="false">IFERROR(INDEX('Session Tracker'!$J$5:$J$149,MATCH($A228,'Session Tracker'!$D$5:$D$149,0)),0)</f>
        <v>8</v>
      </c>
      <c r="I228" s="0" t="n">
        <f aca="false">IF(OR(B228=0,B228=99,C228=""),"",IF(E228="Per class",D228,D228*H228))</f>
        <v>8</v>
      </c>
      <c r="N228" s="0" t="str">
        <f aca="false">IF('Little Explorers Kits'!B246="","",'Little Explorers Kits'!B246)</f>
        <v>Craft &amp; Stationery</v>
      </c>
      <c r="O228" s="0" t="str">
        <f aca="false">IF('Little Explorers Kits'!F246="","",'Little Explorers Kits'!F246)</f>
        <v>Consumable</v>
      </c>
      <c r="P228" s="0" t="str">
        <f aca="false">IF('Little Explorers Kits'!G246="","",'Little Explorers Kits'!G246)</f>
        <v/>
      </c>
    </row>
    <row r="229" customFormat="false" ht="15" hidden="false" customHeight="false" outlineLevel="0" collapsed="false">
      <c r="A229" s="0" t="s">
        <v>120</v>
      </c>
      <c r="B229" s="0" t="n">
        <v>5</v>
      </c>
      <c r="C229" s="0" t="str">
        <f aca="false">IF('Little Explorers Kits'!C247="","",'Little Explorers Kits'!C247)</f>
        <v/>
      </c>
      <c r="D229" s="0" t="str">
        <f aca="false">IF('Little Explorers Kits'!D247="","",'Little Explorers Kits'!D247)</f>
        <v/>
      </c>
      <c r="E229" s="0" t="str">
        <f aca="false">IF('Little Explorers Kits'!E247="","",'Little Explorers Kits'!E247)</f>
        <v/>
      </c>
      <c r="F229" s="0" t="str">
        <f aca="false">IFERROR(INDEX('Session Tracker'!$M$5:$M$149,MATCH($A229,'Session Tracker'!$D$5:$D$149,0))+0,"")</f>
        <v/>
      </c>
      <c r="G229" s="0" t="str">
        <f aca="false">IF(ISNUMBER(F229),IF(OR(B229=0,B229=99,C229&lt;&gt;""),F229*100+B229,""),"")</f>
        <v/>
      </c>
      <c r="H229" s="0" t="n">
        <f aca="false">IFERROR(INDEX('Session Tracker'!$J$5:$J$149,MATCH($A229,'Session Tracker'!$D$5:$D$149,0)),0)</f>
        <v>8</v>
      </c>
      <c r="I229" s="0" t="str">
        <f aca="false">IF(OR(B229=0,B229=99,C229=""),"",IF(E229="Per class",D229,D229*H229))</f>
        <v/>
      </c>
      <c r="N229" s="0" t="str">
        <f aca="false">IF('Little Explorers Kits'!B247="","",'Little Explorers Kits'!B247)</f>
        <v/>
      </c>
      <c r="O229" s="0" t="str">
        <f aca="false">IF('Little Explorers Kits'!F247="","",'Little Explorers Kits'!F247)</f>
        <v/>
      </c>
      <c r="P229" s="0" t="str">
        <f aca="false">IF('Little Explorers Kits'!G247="","",'Little Explorers Kits'!G247)</f>
        <v/>
      </c>
    </row>
    <row r="230" customFormat="false" ht="15" hidden="false" customHeight="false" outlineLevel="0" collapsed="false">
      <c r="A230" s="0" t="s">
        <v>120</v>
      </c>
      <c r="B230" s="0" t="n">
        <v>6</v>
      </c>
      <c r="C230" s="0" t="str">
        <f aca="false">IF('Little Explorers Kits'!C248="","",'Little Explorers Kits'!C248)</f>
        <v/>
      </c>
      <c r="D230" s="0" t="str">
        <f aca="false">IF('Little Explorers Kits'!D248="","",'Little Explorers Kits'!D248)</f>
        <v/>
      </c>
      <c r="E230" s="0" t="str">
        <f aca="false">IF('Little Explorers Kits'!E248="","",'Little Explorers Kits'!E248)</f>
        <v/>
      </c>
      <c r="F230" s="0" t="str">
        <f aca="false">IFERROR(INDEX('Session Tracker'!$M$5:$M$149,MATCH($A230,'Session Tracker'!$D$5:$D$149,0))+0,"")</f>
        <v/>
      </c>
      <c r="G230" s="0" t="str">
        <f aca="false">IF(ISNUMBER(F230),IF(OR(B230=0,B230=99,C230&lt;&gt;""),F230*100+B230,""),"")</f>
        <v/>
      </c>
      <c r="H230" s="0" t="n">
        <f aca="false">IFERROR(INDEX('Session Tracker'!$J$5:$J$149,MATCH($A230,'Session Tracker'!$D$5:$D$149,0)),0)</f>
        <v>8</v>
      </c>
      <c r="I230" s="0" t="str">
        <f aca="false">IF(OR(B230=0,B230=99,C230=""),"",IF(E230="Per class",D230,D230*H230))</f>
        <v/>
      </c>
      <c r="N230" s="0" t="str">
        <f aca="false">IF('Little Explorers Kits'!B248="","",'Little Explorers Kits'!B248)</f>
        <v/>
      </c>
      <c r="O230" s="0" t="str">
        <f aca="false">IF('Little Explorers Kits'!F248="","",'Little Explorers Kits'!F248)</f>
        <v/>
      </c>
      <c r="P230" s="0" t="str">
        <f aca="false">IF('Little Explorers Kits'!G248="","",'Little Explorers Kits'!G248)</f>
        <v/>
      </c>
    </row>
    <row r="231" customFormat="false" ht="15" hidden="false" customHeight="false" outlineLevel="0" collapsed="false">
      <c r="A231" s="0" t="s">
        <v>122</v>
      </c>
      <c r="B231" s="0" t="n">
        <v>0</v>
      </c>
      <c r="F231" s="0" t="str">
        <f aca="false">IFERROR(INDEX('Session Tracker'!$M$5:$M$149,MATCH($A231,'Session Tracker'!$D$5:$D$149,0))+0,"")</f>
        <v/>
      </c>
      <c r="G231" s="0" t="str">
        <f aca="false">IF(ISNUMBER(F231),IF(OR(B231=0,B231=99,C231&lt;&gt;""),F231*100+B231,""),"")</f>
        <v/>
      </c>
      <c r="H231" s="0" t="n">
        <f aca="false">IFERROR(INDEX('Session Tracker'!$J$5:$J$149,MATCH($A231,'Session Tracker'!$D$5:$D$149,0)),0)</f>
        <v>8</v>
      </c>
      <c r="I231" s="0" t="str">
        <f aca="false">IF(OR(B231=0,B231=99,C231=""),"",IF(E231="Per class",D231,D231*H231))</f>
        <v/>
      </c>
      <c r="K231" s="0" t="str">
        <f aca="false">IFERROR(INDEX('Session Tracker'!$E$5:$E$149,MATCH($A231,'Session Tracker'!$D$5:$D$149,0)),"")</f>
        <v>ScratchJr Dance Party</v>
      </c>
      <c r="L231" s="0" t="str">
        <f aca="false">IFERROR(INDEX('Session Tracker'!$A$5:$A$149,MATCH($A231,'Session Tracker'!$D$5:$D$149,0)),"")</f>
        <v>Little Explorers (5-7)</v>
      </c>
      <c r="M231" s="0" t="str">
        <f aca="false">IFERROR(INDEX('Session Tracker'!$H$5:$H$149,MATCH($A231,'Session Tracker'!$D$5:$D$149,0))&amp;"","")</f>
        <v/>
      </c>
      <c r="Q231" s="0" t="str">
        <f aca="false">IFERROR("Status: "&amp;INDEX('Session Tracker'!$F$5:$F$149,MATCH($A231,'Session Tracker'!$D$5:$D$149,0))&amp;IF(INDEX('Session Tracker'!$G$5:$G$149,MATCH($A231,'Session Tracker'!$D$5:$D$149,0))&lt;&gt;""," ("&amp;INDEX('Session Tracker'!$G$5:$G$149,MATCH($A231,'Session Tracker'!$D$5:$D$149,0))&amp;")","")&amp;IF(M231&lt;&gt;"","  "&amp;M231,""),"")</f>
        <v>Status: Not started</v>
      </c>
    </row>
    <row r="232" customFormat="false" ht="15" hidden="false" customHeight="false" outlineLevel="0" collapsed="false">
      <c r="A232" s="0" t="s">
        <v>122</v>
      </c>
      <c r="B232" s="0" t="n">
        <v>1</v>
      </c>
      <c r="C232" s="0" t="str">
        <f aca="false">IF('Little Explorers Kits'!C251="","",'Little Explorers Kits'!C251)</f>
        <v>Tablet</v>
      </c>
      <c r="D232" s="0" t="n">
        <f aca="false">IF('Little Explorers Kits'!D251="","",'Little Explorers Kits'!D251)</f>
        <v>1</v>
      </c>
      <c r="E232" s="0" t="str">
        <f aca="false">IF('Little Explorers Kits'!E251="","",'Little Explorers Kits'!E251)</f>
        <v>Per group</v>
      </c>
      <c r="F232" s="0" t="str">
        <f aca="false">IFERROR(INDEX('Session Tracker'!$M$5:$M$149,MATCH($A232,'Session Tracker'!$D$5:$D$149,0))+0,"")</f>
        <v/>
      </c>
      <c r="G232" s="0" t="str">
        <f aca="false">IF(ISNUMBER(F232),IF(OR(B232=0,B232=99,C232&lt;&gt;""),F232*100+B232,""),"")</f>
        <v/>
      </c>
      <c r="H232" s="0" t="n">
        <f aca="false">IFERROR(INDEX('Session Tracker'!$J$5:$J$149,MATCH($A232,'Session Tracker'!$D$5:$D$149,0)),0)</f>
        <v>8</v>
      </c>
      <c r="I232" s="0" t="n">
        <f aca="false">IF(OR(B232=0,B232=99,C232=""),"",IF(E232="Per class",D232,D232*H232))</f>
        <v>8</v>
      </c>
      <c r="N232" s="0" t="str">
        <f aca="false">IF('Little Explorers Kits'!B251="","",'Little Explorers Kits'!B251)</f>
        <v>Computers &amp; Equipment</v>
      </c>
      <c r="O232" s="0" t="str">
        <f aca="false">IF('Little Explorers Kits'!F251="","",'Little Explorers Kits'!F251)</f>
        <v>Reusable</v>
      </c>
      <c r="P232" s="0" t="str">
        <f aca="false">IF('Little Explorers Kits'!G251="","",'Little Explorers Kits'!G251)</f>
        <v/>
      </c>
    </row>
    <row r="233" customFormat="false" ht="15" hidden="false" customHeight="false" outlineLevel="0" collapsed="false">
      <c r="A233" s="0" t="s">
        <v>122</v>
      </c>
      <c r="B233" s="0" t="n">
        <v>2</v>
      </c>
      <c r="C233" s="0" t="str">
        <f aca="false">IF('Little Explorers Kits'!C252="","",'Little Explorers Kits'!C252)</f>
        <v/>
      </c>
      <c r="D233" s="0" t="str">
        <f aca="false">IF('Little Explorers Kits'!D252="","",'Little Explorers Kits'!D252)</f>
        <v/>
      </c>
      <c r="E233" s="0" t="str">
        <f aca="false">IF('Little Explorers Kits'!E252="","",'Little Explorers Kits'!E252)</f>
        <v/>
      </c>
      <c r="F233" s="0" t="str">
        <f aca="false">IFERROR(INDEX('Session Tracker'!$M$5:$M$149,MATCH($A233,'Session Tracker'!$D$5:$D$149,0))+0,"")</f>
        <v/>
      </c>
      <c r="G233" s="0" t="str">
        <f aca="false">IF(ISNUMBER(F233),IF(OR(B233=0,B233=99,C233&lt;&gt;""),F233*100+B233,""),"")</f>
        <v/>
      </c>
      <c r="H233" s="0" t="n">
        <f aca="false">IFERROR(INDEX('Session Tracker'!$J$5:$J$149,MATCH($A233,'Session Tracker'!$D$5:$D$149,0)),0)</f>
        <v>8</v>
      </c>
      <c r="I233" s="0" t="str">
        <f aca="false">IF(OR(B233=0,B233=99,C233=""),"",IF(E233="Per class",D233,D233*H233))</f>
        <v/>
      </c>
      <c r="N233" s="0" t="str">
        <f aca="false">IF('Little Explorers Kits'!B252="","",'Little Explorers Kits'!B252)</f>
        <v/>
      </c>
      <c r="O233" s="0" t="str">
        <f aca="false">IF('Little Explorers Kits'!F252="","",'Little Explorers Kits'!F252)</f>
        <v/>
      </c>
      <c r="P233" s="0" t="str">
        <f aca="false">IF('Little Explorers Kits'!G252="","",'Little Explorers Kits'!G252)</f>
        <v/>
      </c>
    </row>
    <row r="234" customFormat="false" ht="15" hidden="false" customHeight="false" outlineLevel="0" collapsed="false">
      <c r="A234" s="0" t="s">
        <v>122</v>
      </c>
      <c r="B234" s="0" t="n">
        <v>3</v>
      </c>
      <c r="C234" s="0" t="str">
        <f aca="false">IF('Little Explorers Kits'!C253="","",'Little Explorers Kits'!C253)</f>
        <v/>
      </c>
      <c r="D234" s="0" t="str">
        <f aca="false">IF('Little Explorers Kits'!D253="","",'Little Explorers Kits'!D253)</f>
        <v/>
      </c>
      <c r="E234" s="0" t="str">
        <f aca="false">IF('Little Explorers Kits'!E253="","",'Little Explorers Kits'!E253)</f>
        <v/>
      </c>
      <c r="F234" s="0" t="str">
        <f aca="false">IFERROR(INDEX('Session Tracker'!$M$5:$M$149,MATCH($A234,'Session Tracker'!$D$5:$D$149,0))+0,"")</f>
        <v/>
      </c>
      <c r="G234" s="0" t="str">
        <f aca="false">IF(ISNUMBER(F234),IF(OR(B234=0,B234=99,C234&lt;&gt;""),F234*100+B234,""),"")</f>
        <v/>
      </c>
      <c r="H234" s="0" t="n">
        <f aca="false">IFERROR(INDEX('Session Tracker'!$J$5:$J$149,MATCH($A234,'Session Tracker'!$D$5:$D$149,0)),0)</f>
        <v>8</v>
      </c>
      <c r="I234" s="0" t="str">
        <f aca="false">IF(OR(B234=0,B234=99,C234=""),"",IF(E234="Per class",D234,D234*H234))</f>
        <v/>
      </c>
      <c r="N234" s="0" t="str">
        <f aca="false">IF('Little Explorers Kits'!B253="","",'Little Explorers Kits'!B253)</f>
        <v/>
      </c>
      <c r="O234" s="0" t="str">
        <f aca="false">IF('Little Explorers Kits'!F253="","",'Little Explorers Kits'!F253)</f>
        <v/>
      </c>
      <c r="P234" s="0" t="str">
        <f aca="false">IF('Little Explorers Kits'!G253="","",'Little Explorers Kits'!G253)</f>
        <v/>
      </c>
    </row>
    <row r="235" customFormat="false" ht="15" hidden="false" customHeight="false" outlineLevel="0" collapsed="false">
      <c r="A235" s="0" t="s">
        <v>124</v>
      </c>
      <c r="B235" s="0" t="n">
        <v>0</v>
      </c>
      <c r="F235" s="0" t="str">
        <f aca="false">IFERROR(INDEX('Session Tracker'!$M$5:$M$149,MATCH($A235,'Session Tracker'!$D$5:$D$149,0))+0,"")</f>
        <v/>
      </c>
      <c r="G235" s="0" t="str">
        <f aca="false">IF(ISNUMBER(F235),IF(OR(B235=0,B235=99,C235&lt;&gt;""),F235*100+B235,""),"")</f>
        <v/>
      </c>
      <c r="H235" s="0" t="n">
        <f aca="false">IFERROR(INDEX('Session Tracker'!$J$5:$J$149,MATCH($A235,'Session Tracker'!$D$5:$D$149,0)),0)</f>
        <v>8</v>
      </c>
      <c r="I235" s="0" t="str">
        <f aca="false">IF(OR(B235=0,B235=99,C235=""),"",IF(E235="Per class",D235,D235*H235))</f>
        <v/>
      </c>
      <c r="K235" s="0" t="str">
        <f aca="false">IFERROR(INDEX('Session Tracker'!$E$5:$E$149,MATCH($A235,'Session Tracker'!$D$5:$D$149,0)),"")</f>
        <v>Rainbow LED Ring</v>
      </c>
      <c r="L235" s="0" t="str">
        <f aca="false">IFERROR(INDEX('Session Tracker'!$A$5:$A$149,MATCH($A235,'Session Tracker'!$D$5:$D$149,0)),"")</f>
        <v>Little Explorers (5-7)</v>
      </c>
      <c r="M235" s="0" t="str">
        <f aca="false">IFERROR(INDEX('Session Tracker'!$H$5:$H$149,MATCH($A235,'Session Tracker'!$D$5:$D$149,0))&amp;"","")</f>
        <v/>
      </c>
      <c r="Q235" s="0" t="str">
        <f aca="false">IFERROR("Status: "&amp;INDEX('Session Tracker'!$F$5:$F$149,MATCH($A235,'Session Tracker'!$D$5:$D$149,0))&amp;IF(INDEX('Session Tracker'!$G$5:$G$149,MATCH($A235,'Session Tracker'!$D$5:$D$149,0))&lt;&gt;""," ("&amp;INDEX('Session Tracker'!$G$5:$G$149,MATCH($A235,'Session Tracker'!$D$5:$D$149,0))&amp;")","")&amp;IF(M235&lt;&gt;"","  "&amp;M235,""),"")</f>
        <v>Status: Not started</v>
      </c>
    </row>
    <row r="236" customFormat="false" ht="15" hidden="false" customHeight="false" outlineLevel="0" collapsed="false">
      <c r="A236" s="0" t="s">
        <v>124</v>
      </c>
      <c r="B236" s="0" t="n">
        <v>1</v>
      </c>
      <c r="C236" s="0" t="str">
        <f aca="false">IF('Little Explorers Kits'!C256="","",'Little Explorers Kits'!C256)</f>
        <v>Arduino Uno + USB cable</v>
      </c>
      <c r="D236" s="0" t="n">
        <f aca="false">IF('Little Explorers Kits'!D256="","",'Little Explorers Kits'!D256)</f>
        <v>1</v>
      </c>
      <c r="E236" s="0" t="str">
        <f aca="false">IF('Little Explorers Kits'!E256="","",'Little Explorers Kits'!E256)</f>
        <v>Per group</v>
      </c>
      <c r="F236" s="0" t="str">
        <f aca="false">IFERROR(INDEX('Session Tracker'!$M$5:$M$149,MATCH($A236,'Session Tracker'!$D$5:$D$149,0))+0,"")</f>
        <v/>
      </c>
      <c r="G236" s="0" t="str">
        <f aca="false">IF(ISNUMBER(F236),IF(OR(B236=0,B236=99,C236&lt;&gt;""),F236*100+B236,""),"")</f>
        <v/>
      </c>
      <c r="H236" s="0" t="n">
        <f aca="false">IFERROR(INDEX('Session Tracker'!$J$5:$J$149,MATCH($A236,'Session Tracker'!$D$5:$D$149,0)),0)</f>
        <v>8</v>
      </c>
      <c r="I236" s="0" t="n">
        <f aca="false">IF(OR(B236=0,B236=99,C236=""),"",IF(E236="Per class",D236,D236*H236))</f>
        <v>8</v>
      </c>
      <c r="N236" s="0" t="str">
        <f aca="false">IF('Little Explorers Kits'!B256="","",'Little Explorers Kits'!B256)</f>
        <v>Microcontrollers &amp; Dev Boards</v>
      </c>
      <c r="O236" s="0" t="str">
        <f aca="false">IF('Little Explorers Kits'!F256="","",'Little Explorers Kits'!F256)</f>
        <v>Reusable</v>
      </c>
      <c r="P236" s="0" t="str">
        <f aca="false">IF('Little Explorers Kits'!G256="","",'Little Explorers Kits'!G256)</f>
        <v>Pre-wired by teacher</v>
      </c>
    </row>
    <row r="237" customFormat="false" ht="15" hidden="false" customHeight="false" outlineLevel="0" collapsed="false">
      <c r="A237" s="0" t="s">
        <v>124</v>
      </c>
      <c r="B237" s="0" t="n">
        <v>2</v>
      </c>
      <c r="C237" s="0" t="str">
        <f aca="false">IF('Little Explorers Kits'!C257="","",'Little Explorers Kits'!C257)</f>
        <v>WS2812B LED ring (12 LEDs)</v>
      </c>
      <c r="D237" s="0" t="n">
        <f aca="false">IF('Little Explorers Kits'!D257="","",'Little Explorers Kits'!D257)</f>
        <v>1</v>
      </c>
      <c r="E237" s="0" t="str">
        <f aca="false">IF('Little Explorers Kits'!E257="","",'Little Explorers Kits'!E257)</f>
        <v>Per group</v>
      </c>
      <c r="F237" s="0" t="str">
        <f aca="false">IFERROR(INDEX('Session Tracker'!$M$5:$M$149,MATCH($A237,'Session Tracker'!$D$5:$D$149,0))+0,"")</f>
        <v/>
      </c>
      <c r="G237" s="0" t="str">
        <f aca="false">IF(ISNUMBER(F237),IF(OR(B237=0,B237=99,C237&lt;&gt;""),F237*100+B237,""),"")</f>
        <v/>
      </c>
      <c r="H237" s="0" t="n">
        <f aca="false">IFERROR(INDEX('Session Tracker'!$J$5:$J$149,MATCH($A237,'Session Tracker'!$D$5:$D$149,0)),0)</f>
        <v>8</v>
      </c>
      <c r="I237" s="0" t="n">
        <f aca="false">IF(OR(B237=0,B237=99,C237=""),"",IF(E237="Per class",D237,D237*H237))</f>
        <v>8</v>
      </c>
      <c r="N237" s="0" t="str">
        <f aca="false">IF('Little Explorers Kits'!B257="","",'Little Explorers Kits'!B257)</f>
        <v>Displays &amp; Output</v>
      </c>
      <c r="O237" s="0" t="str">
        <f aca="false">IF('Little Explorers Kits'!F257="","",'Little Explorers Kits'!F257)</f>
        <v>Reusable</v>
      </c>
      <c r="P237" s="0" t="str">
        <f aca="false">IF('Little Explorers Kits'!G257="","",'Little Explorers Kits'!G257)</f>
        <v>Pre-wired</v>
      </c>
    </row>
    <row r="238" customFormat="false" ht="15" hidden="false" customHeight="false" outlineLevel="0" collapsed="false">
      <c r="A238" s="0" t="s">
        <v>124</v>
      </c>
      <c r="B238" s="0" t="n">
        <v>3</v>
      </c>
      <c r="C238" s="0" t="str">
        <f aca="false">IF('Little Explorers Kits'!C258="","",'Little Explorers Kits'!C258)</f>
        <v>Laptop</v>
      </c>
      <c r="D238" s="0" t="n">
        <f aca="false">IF('Little Explorers Kits'!D258="","",'Little Explorers Kits'!D258)</f>
        <v>1</v>
      </c>
      <c r="E238" s="0" t="str">
        <f aca="false">IF('Little Explorers Kits'!E258="","",'Little Explorers Kits'!E258)</f>
        <v>Per group</v>
      </c>
      <c r="F238" s="0" t="str">
        <f aca="false">IFERROR(INDEX('Session Tracker'!$M$5:$M$149,MATCH($A238,'Session Tracker'!$D$5:$D$149,0))+0,"")</f>
        <v/>
      </c>
      <c r="G238" s="0" t="str">
        <f aca="false">IF(ISNUMBER(F238),IF(OR(B238=0,B238=99,C238&lt;&gt;""),F238*100+B238,""),"")</f>
        <v/>
      </c>
      <c r="H238" s="0" t="n">
        <f aca="false">IFERROR(INDEX('Session Tracker'!$J$5:$J$149,MATCH($A238,'Session Tracker'!$D$5:$D$149,0)),0)</f>
        <v>8</v>
      </c>
      <c r="I238" s="0" t="n">
        <f aca="false">IF(OR(B238=0,B238=99,C238=""),"",IF(E238="Per class",D238,D238*H238))</f>
        <v>8</v>
      </c>
      <c r="N238" s="0" t="str">
        <f aca="false">IF('Little Explorers Kits'!B258="","",'Little Explorers Kits'!B258)</f>
        <v>Computers &amp; Equipment</v>
      </c>
      <c r="O238" s="0" t="str">
        <f aca="false">IF('Little Explorers Kits'!F258="","",'Little Explorers Kits'!F258)</f>
        <v>Reusable</v>
      </c>
      <c r="P238" s="0" t="str">
        <f aca="false">IF('Little Explorers Kits'!G258="","",'Little Explorers Kits'!G258)</f>
        <v/>
      </c>
    </row>
    <row r="239" customFormat="false" ht="15" hidden="false" customHeight="false" outlineLevel="0" collapsed="false">
      <c r="A239" s="0" t="s">
        <v>124</v>
      </c>
      <c r="B239" s="0" t="n">
        <v>4</v>
      </c>
      <c r="C239" s="0" t="str">
        <f aca="false">IF('Little Explorers Kits'!C259="","",'Little Explorers Kits'!C259)</f>
        <v>LED 5 mm (assorted)</v>
      </c>
      <c r="D239" s="0" t="n">
        <f aca="false">IF('Little Explorers Kits'!D259="","",'Little Explorers Kits'!D259)</f>
        <v>1</v>
      </c>
      <c r="E239" s="0" t="str">
        <f aca="false">IF('Little Explorers Kits'!E259="","",'Little Explorers Kits'!E259)</f>
        <v>Per group</v>
      </c>
      <c r="F239" s="0" t="str">
        <f aca="false">IFERROR(INDEX('Session Tracker'!$M$5:$M$149,MATCH($A239,'Session Tracker'!$D$5:$D$149,0))+0,"")</f>
        <v/>
      </c>
      <c r="G239" s="0" t="str">
        <f aca="false">IF(ISNUMBER(F239),IF(OR(B239=0,B239=99,C239&lt;&gt;""),F239*100+B239,""),"")</f>
        <v/>
      </c>
      <c r="H239" s="0" t="n">
        <f aca="false">IFERROR(INDEX('Session Tracker'!$J$5:$J$149,MATCH($A239,'Session Tracker'!$D$5:$D$149,0)),0)</f>
        <v>8</v>
      </c>
      <c r="I239" s="0" t="n">
        <f aca="false">IF(OR(B239=0,B239=99,C239=""),"",IF(E239="Per class",D239,D239*H239))</f>
        <v>8</v>
      </c>
      <c r="N239" s="0" t="str">
        <f aca="false">IF('Little Explorers Kits'!B259="","",'Little Explorers Kits'!B259)</f>
        <v>Displays &amp; Output</v>
      </c>
      <c r="O239" s="0" t="str">
        <f aca="false">IF('Little Explorers Kits'!F259="","",'Little Explorers Kits'!F259)</f>
        <v>Consumable</v>
      </c>
      <c r="P239" s="0" t="str">
        <f aca="false">IF('Little Explorers Kits'!G259="","",'Little Explorers Kits'!G259)</f>
        <v>Added: every Arduino class</v>
      </c>
    </row>
    <row r="240" customFormat="false" ht="15" hidden="false" customHeight="false" outlineLevel="0" collapsed="false">
      <c r="A240" s="0" t="s">
        <v>124</v>
      </c>
      <c r="B240" s="0" t="n">
        <v>5</v>
      </c>
      <c r="C240" s="0" t="str">
        <f aca="false">IF('Little Explorers Kits'!C260="","",'Little Explorers Kits'!C260)</f>
        <v>Resistor 220 ohm</v>
      </c>
      <c r="D240" s="0" t="n">
        <f aca="false">IF('Little Explorers Kits'!D260="","",'Little Explorers Kits'!D260)</f>
        <v>1</v>
      </c>
      <c r="E240" s="0" t="str">
        <f aca="false">IF('Little Explorers Kits'!E260="","",'Little Explorers Kits'!E260)</f>
        <v>Per group</v>
      </c>
      <c r="F240" s="0" t="str">
        <f aca="false">IFERROR(INDEX('Session Tracker'!$M$5:$M$149,MATCH($A240,'Session Tracker'!$D$5:$D$149,0))+0,"")</f>
        <v/>
      </c>
      <c r="G240" s="0" t="str">
        <f aca="false">IF(ISNUMBER(F240),IF(OR(B240=0,B240=99,C240&lt;&gt;""),F240*100+B240,""),"")</f>
        <v/>
      </c>
      <c r="H240" s="0" t="n">
        <f aca="false">IFERROR(INDEX('Session Tracker'!$J$5:$J$149,MATCH($A240,'Session Tracker'!$D$5:$D$149,0)),0)</f>
        <v>8</v>
      </c>
      <c r="I240" s="0" t="n">
        <f aca="false">IF(OR(B240=0,B240=99,C240=""),"",IF(E240="Per class",D240,D240*H240))</f>
        <v>8</v>
      </c>
      <c r="N240" s="0" t="str">
        <f aca="false">IF('Little Explorers Kits'!B260="","",'Little Explorers Kits'!B260)</f>
        <v>Passive Components &amp; ICs</v>
      </c>
      <c r="O240" s="0" t="str">
        <f aca="false">IF('Little Explorers Kits'!F260="","",'Little Explorers Kits'!F260)</f>
        <v>Consumable</v>
      </c>
      <c r="P240" s="0" t="str">
        <f aca="false">IF('Little Explorers Kits'!G260="","",'Little Explorers Kits'!G260)</f>
        <v>Added: for the LED</v>
      </c>
    </row>
    <row r="241" customFormat="false" ht="15" hidden="false" customHeight="false" outlineLevel="0" collapsed="false">
      <c r="A241" s="0" t="s">
        <v>124</v>
      </c>
      <c r="B241" s="0" t="n">
        <v>6</v>
      </c>
      <c r="C241" s="0" t="str">
        <f aca="false">IF('Little Explorers Kits'!C261="","",'Little Explorers Kits'!C261)</f>
        <v>Buzzer</v>
      </c>
      <c r="D241" s="0" t="n">
        <f aca="false">IF('Little Explorers Kits'!D261="","",'Little Explorers Kits'!D261)</f>
        <v>1</v>
      </c>
      <c r="E241" s="0" t="str">
        <f aca="false">IF('Little Explorers Kits'!E261="","",'Little Explorers Kits'!E261)</f>
        <v>Per group</v>
      </c>
      <c r="F241" s="0" t="str">
        <f aca="false">IFERROR(INDEX('Session Tracker'!$M$5:$M$149,MATCH($A241,'Session Tracker'!$D$5:$D$149,0))+0,"")</f>
        <v/>
      </c>
      <c r="G241" s="0" t="str">
        <f aca="false">IF(ISNUMBER(F241),IF(OR(B241=0,B241=99,C241&lt;&gt;""),F241*100+B241,""),"")</f>
        <v/>
      </c>
      <c r="H241" s="0" t="n">
        <f aca="false">IFERROR(INDEX('Session Tracker'!$J$5:$J$149,MATCH($A241,'Session Tracker'!$D$5:$D$149,0)),0)</f>
        <v>8</v>
      </c>
      <c r="I241" s="0" t="n">
        <f aca="false">IF(OR(B241=0,B241=99,C241=""),"",IF(E241="Per class",D241,D241*H241))</f>
        <v>8</v>
      </c>
      <c r="N241" s="0" t="str">
        <f aca="false">IF('Little Explorers Kits'!B261="","",'Little Explorers Kits'!B261)</f>
        <v>Actuators &amp; Motor Drivers</v>
      </c>
      <c r="O241" s="0" t="str">
        <f aca="false">IF('Little Explorers Kits'!F261="","",'Little Explorers Kits'!F261)</f>
        <v>Reusable</v>
      </c>
      <c r="P241" s="0" t="str">
        <f aca="false">IF('Little Explorers Kits'!G261="","",'Little Explorers Kits'!G261)</f>
        <v>Added: every Arduino class</v>
      </c>
    </row>
    <row r="242" customFormat="false" ht="15" hidden="false" customHeight="false" outlineLevel="0" collapsed="false">
      <c r="A242" s="0" t="s">
        <v>124</v>
      </c>
      <c r="B242" s="0" t="n">
        <v>7</v>
      </c>
      <c r="C242" s="0" t="str">
        <f aca="false">IF('Little Explorers Kits'!C262="","",'Little Explorers Kits'!C262)</f>
        <v/>
      </c>
      <c r="D242" s="0" t="str">
        <f aca="false">IF('Little Explorers Kits'!D262="","",'Little Explorers Kits'!D262)</f>
        <v/>
      </c>
      <c r="E242" s="0" t="str">
        <f aca="false">IF('Little Explorers Kits'!E262="","",'Little Explorers Kits'!E262)</f>
        <v/>
      </c>
      <c r="F242" s="0" t="str">
        <f aca="false">IFERROR(INDEX('Session Tracker'!$M$5:$M$149,MATCH($A242,'Session Tracker'!$D$5:$D$149,0))+0,"")</f>
        <v/>
      </c>
      <c r="G242" s="0" t="str">
        <f aca="false">IF(ISNUMBER(F242),IF(OR(B242=0,B242=99,C242&lt;&gt;""),F242*100+B242,""),"")</f>
        <v/>
      </c>
      <c r="H242" s="0" t="n">
        <f aca="false">IFERROR(INDEX('Session Tracker'!$J$5:$J$149,MATCH($A242,'Session Tracker'!$D$5:$D$149,0)),0)</f>
        <v>8</v>
      </c>
      <c r="I242" s="0" t="str">
        <f aca="false">IF(OR(B242=0,B242=99,C242=""),"",IF(E242="Per class",D242,D242*H242))</f>
        <v/>
      </c>
      <c r="N242" s="0" t="str">
        <f aca="false">IF('Little Explorers Kits'!B262="","",'Little Explorers Kits'!B262)</f>
        <v/>
      </c>
      <c r="O242" s="0" t="str">
        <f aca="false">IF('Little Explorers Kits'!F262="","",'Little Explorers Kits'!F262)</f>
        <v/>
      </c>
      <c r="P242" s="0" t="str">
        <f aca="false">IF('Little Explorers Kits'!G262="","",'Little Explorers Kits'!G262)</f>
        <v/>
      </c>
    </row>
    <row r="243" customFormat="false" ht="15" hidden="false" customHeight="false" outlineLevel="0" collapsed="false">
      <c r="A243" s="0" t="s">
        <v>124</v>
      </c>
      <c r="B243" s="0" t="n">
        <v>8</v>
      </c>
      <c r="C243" s="0" t="str">
        <f aca="false">IF('Little Explorers Kits'!C263="","",'Little Explorers Kits'!C263)</f>
        <v/>
      </c>
      <c r="D243" s="0" t="str">
        <f aca="false">IF('Little Explorers Kits'!D263="","",'Little Explorers Kits'!D263)</f>
        <v/>
      </c>
      <c r="E243" s="0" t="str">
        <f aca="false">IF('Little Explorers Kits'!E263="","",'Little Explorers Kits'!E263)</f>
        <v/>
      </c>
      <c r="F243" s="0" t="str">
        <f aca="false">IFERROR(INDEX('Session Tracker'!$M$5:$M$149,MATCH($A243,'Session Tracker'!$D$5:$D$149,0))+0,"")</f>
        <v/>
      </c>
      <c r="G243" s="0" t="str">
        <f aca="false">IF(ISNUMBER(F243),IF(OR(B243=0,B243=99,C243&lt;&gt;""),F243*100+B243,""),"")</f>
        <v/>
      </c>
      <c r="H243" s="0" t="n">
        <f aca="false">IFERROR(INDEX('Session Tracker'!$J$5:$J$149,MATCH($A243,'Session Tracker'!$D$5:$D$149,0)),0)</f>
        <v>8</v>
      </c>
      <c r="I243" s="0" t="str">
        <f aca="false">IF(OR(B243=0,B243=99,C243=""),"",IF(E243="Per class",D243,D243*H243))</f>
        <v/>
      </c>
      <c r="N243" s="0" t="str">
        <f aca="false">IF('Little Explorers Kits'!B263="","",'Little Explorers Kits'!B263)</f>
        <v/>
      </c>
      <c r="O243" s="0" t="str">
        <f aca="false">IF('Little Explorers Kits'!F263="","",'Little Explorers Kits'!F263)</f>
        <v/>
      </c>
      <c r="P243" s="0" t="str">
        <f aca="false">IF('Little Explorers Kits'!G263="","",'Little Explorers Kits'!G263)</f>
        <v/>
      </c>
    </row>
    <row r="244" customFormat="false" ht="15" hidden="false" customHeight="false" outlineLevel="0" collapsed="false">
      <c r="A244" s="0" t="s">
        <v>126</v>
      </c>
      <c r="B244" s="0" t="n">
        <v>0</v>
      </c>
      <c r="F244" s="0" t="str">
        <f aca="false">IFERROR(INDEX('Session Tracker'!$M$5:$M$149,MATCH($A244,'Session Tracker'!$D$5:$D$149,0))+0,"")</f>
        <v/>
      </c>
      <c r="G244" s="0" t="str">
        <f aca="false">IF(ISNUMBER(F244),IF(OR(B244=0,B244=99,C244&lt;&gt;""),F244*100+B244,""),"")</f>
        <v/>
      </c>
      <c r="H244" s="0" t="n">
        <f aca="false">IFERROR(INDEX('Session Tracker'!$J$5:$J$149,MATCH($A244,'Session Tracker'!$D$5:$D$149,0)),0)</f>
        <v>8</v>
      </c>
      <c r="I244" s="0" t="str">
        <f aca="false">IF(OR(B244=0,B244=99,C244=""),"",IF(E244="Per class",D244,D244*H244))</f>
        <v/>
      </c>
      <c r="K244" s="0" t="str">
        <f aca="false">IFERROR(INDEX('Session Tracker'!$E$5:$E$149,MATCH($A244,'Session Tracker'!$D$5:$D$149,0)),"")</f>
        <v>Button Melody Maker</v>
      </c>
      <c r="L244" s="0" t="str">
        <f aca="false">IFERROR(INDEX('Session Tracker'!$A$5:$A$149,MATCH($A244,'Session Tracker'!$D$5:$D$149,0)),"")</f>
        <v>Little Explorers (5-7)</v>
      </c>
      <c r="M244" s="0" t="str">
        <f aca="false">IFERROR(INDEX('Session Tracker'!$H$5:$H$149,MATCH($A244,'Session Tracker'!$D$5:$D$149,0))&amp;"","")</f>
        <v/>
      </c>
      <c r="Q244" s="0" t="str">
        <f aca="false">IFERROR("Status: "&amp;INDEX('Session Tracker'!$F$5:$F$149,MATCH($A244,'Session Tracker'!$D$5:$D$149,0))&amp;IF(INDEX('Session Tracker'!$G$5:$G$149,MATCH($A244,'Session Tracker'!$D$5:$D$149,0))&lt;&gt;""," ("&amp;INDEX('Session Tracker'!$G$5:$G$149,MATCH($A244,'Session Tracker'!$D$5:$D$149,0))&amp;")","")&amp;IF(M244&lt;&gt;"","  "&amp;M244,""),"")</f>
        <v>Status: Not started</v>
      </c>
    </row>
    <row r="245" customFormat="false" ht="15" hidden="false" customHeight="false" outlineLevel="0" collapsed="false">
      <c r="A245" s="0" t="s">
        <v>126</v>
      </c>
      <c r="B245" s="0" t="n">
        <v>1</v>
      </c>
      <c r="C245" s="0" t="str">
        <f aca="false">IF('Little Explorers Kits'!C266="","",'Little Explorers Kits'!C266)</f>
        <v>Arduino Uno + USB cable</v>
      </c>
      <c r="D245" s="0" t="n">
        <f aca="false">IF('Little Explorers Kits'!D266="","",'Little Explorers Kits'!D266)</f>
        <v>1</v>
      </c>
      <c r="E245" s="0" t="str">
        <f aca="false">IF('Little Explorers Kits'!E266="","",'Little Explorers Kits'!E266)</f>
        <v>Per group</v>
      </c>
      <c r="F245" s="0" t="str">
        <f aca="false">IFERROR(INDEX('Session Tracker'!$M$5:$M$149,MATCH($A245,'Session Tracker'!$D$5:$D$149,0))+0,"")</f>
        <v/>
      </c>
      <c r="G245" s="0" t="str">
        <f aca="false">IF(ISNUMBER(F245),IF(OR(B245=0,B245=99,C245&lt;&gt;""),F245*100+B245,""),"")</f>
        <v/>
      </c>
      <c r="H245" s="0" t="n">
        <f aca="false">IFERROR(INDEX('Session Tracker'!$J$5:$J$149,MATCH($A245,'Session Tracker'!$D$5:$D$149,0)),0)</f>
        <v>8</v>
      </c>
      <c r="I245" s="0" t="n">
        <f aca="false">IF(OR(B245=0,B245=99,C245=""),"",IF(E245="Per class",D245,D245*H245))</f>
        <v>8</v>
      </c>
      <c r="N245" s="0" t="str">
        <f aca="false">IF('Little Explorers Kits'!B266="","",'Little Explorers Kits'!B266)</f>
        <v>Microcontrollers &amp; Dev Boards</v>
      </c>
      <c r="O245" s="0" t="str">
        <f aca="false">IF('Little Explorers Kits'!F266="","",'Little Explorers Kits'!F266)</f>
        <v>Reusable</v>
      </c>
      <c r="P245" s="0" t="str">
        <f aca="false">IF('Little Explorers Kits'!G266="","",'Little Explorers Kits'!G266)</f>
        <v>Pre-wired by teacher</v>
      </c>
    </row>
    <row r="246" customFormat="false" ht="15" hidden="false" customHeight="false" outlineLevel="0" collapsed="false">
      <c r="A246" s="0" t="s">
        <v>126</v>
      </c>
      <c r="B246" s="0" t="n">
        <v>2</v>
      </c>
      <c r="C246" s="0" t="str">
        <f aca="false">IF('Little Explorers Kits'!C267="","",'Little Explorers Kits'!C267)</f>
        <v>Push button</v>
      </c>
      <c r="D246" s="0" t="n">
        <f aca="false">IF('Little Explorers Kits'!D267="","",'Little Explorers Kits'!D267)</f>
        <v>3</v>
      </c>
      <c r="E246" s="0" t="str">
        <f aca="false">IF('Little Explorers Kits'!E267="","",'Little Explorers Kits'!E267)</f>
        <v>Per group</v>
      </c>
      <c r="F246" s="0" t="str">
        <f aca="false">IFERROR(INDEX('Session Tracker'!$M$5:$M$149,MATCH($A246,'Session Tracker'!$D$5:$D$149,0))+0,"")</f>
        <v/>
      </c>
      <c r="G246" s="0" t="str">
        <f aca="false">IF(ISNUMBER(F246),IF(OR(B246=0,B246=99,C246&lt;&gt;""),F246*100+B246,""),"")</f>
        <v/>
      </c>
      <c r="H246" s="0" t="n">
        <f aca="false">IFERROR(INDEX('Session Tracker'!$J$5:$J$149,MATCH($A246,'Session Tracker'!$D$5:$D$149,0)),0)</f>
        <v>8</v>
      </c>
      <c r="I246" s="0" t="n">
        <f aca="false">IF(OR(B246=0,B246=99,C246=""),"",IF(E246="Per class",D246,D246*H246))</f>
        <v>24</v>
      </c>
      <c r="N246" s="0" t="str">
        <f aca="false">IF('Little Explorers Kits'!B267="","",'Little Explorers Kits'!B267)</f>
        <v>Passive Components &amp; ICs</v>
      </c>
      <c r="O246" s="0" t="str">
        <f aca="false">IF('Little Explorers Kits'!F267="","",'Little Explorers Kits'!F267)</f>
        <v>Reusable</v>
      </c>
      <c r="P246" s="0" t="str">
        <f aca="false">IF('Little Explorers Kits'!G267="","",'Little Explorers Kits'!G267)</f>
        <v/>
      </c>
    </row>
    <row r="247" customFormat="false" ht="15" hidden="false" customHeight="false" outlineLevel="0" collapsed="false">
      <c r="A247" s="0" t="s">
        <v>126</v>
      </c>
      <c r="B247" s="0" t="n">
        <v>3</v>
      </c>
      <c r="C247" s="0" t="str">
        <f aca="false">IF('Little Explorers Kits'!C268="","",'Little Explorers Kits'!C268)</f>
        <v>Passive buzzer</v>
      </c>
      <c r="D247" s="0" t="n">
        <f aca="false">IF('Little Explorers Kits'!D268="","",'Little Explorers Kits'!D268)</f>
        <v>1</v>
      </c>
      <c r="E247" s="0" t="str">
        <f aca="false">IF('Little Explorers Kits'!E268="","",'Little Explorers Kits'!E268)</f>
        <v>Per group</v>
      </c>
      <c r="F247" s="0" t="str">
        <f aca="false">IFERROR(INDEX('Session Tracker'!$M$5:$M$149,MATCH($A247,'Session Tracker'!$D$5:$D$149,0))+0,"")</f>
        <v/>
      </c>
      <c r="G247" s="0" t="str">
        <f aca="false">IF(ISNUMBER(F247),IF(OR(B247=0,B247=99,C247&lt;&gt;""),F247*100+B247,""),"")</f>
        <v/>
      </c>
      <c r="H247" s="0" t="n">
        <f aca="false">IFERROR(INDEX('Session Tracker'!$J$5:$J$149,MATCH($A247,'Session Tracker'!$D$5:$D$149,0)),0)</f>
        <v>8</v>
      </c>
      <c r="I247" s="0" t="n">
        <f aca="false">IF(OR(B247=0,B247=99,C247=""),"",IF(E247="Per class",D247,D247*H247))</f>
        <v>8</v>
      </c>
      <c r="N247" s="0" t="str">
        <f aca="false">IF('Little Explorers Kits'!B268="","",'Little Explorers Kits'!B268)</f>
        <v>Actuators &amp; Motor Drivers</v>
      </c>
      <c r="O247" s="0" t="str">
        <f aca="false">IF('Little Explorers Kits'!F268="","",'Little Explorers Kits'!F268)</f>
        <v>Reusable</v>
      </c>
      <c r="P247" s="0" t="str">
        <f aca="false">IF('Little Explorers Kits'!G268="","",'Little Explorers Kits'!G268)</f>
        <v/>
      </c>
    </row>
    <row r="248" customFormat="false" ht="15" hidden="false" customHeight="false" outlineLevel="0" collapsed="false">
      <c r="A248" s="0" t="s">
        <v>126</v>
      </c>
      <c r="B248" s="0" t="n">
        <v>4</v>
      </c>
      <c r="C248" s="0" t="str">
        <f aca="false">IF('Little Explorers Kits'!C269="","",'Little Explorers Kits'!C269)</f>
        <v>Resistor 10k ohm</v>
      </c>
      <c r="D248" s="0" t="n">
        <f aca="false">IF('Little Explorers Kits'!D269="","",'Little Explorers Kits'!D269)</f>
        <v>3</v>
      </c>
      <c r="E248" s="0" t="str">
        <f aca="false">IF('Little Explorers Kits'!E269="","",'Little Explorers Kits'!E269)</f>
        <v>Per group</v>
      </c>
      <c r="F248" s="0" t="str">
        <f aca="false">IFERROR(INDEX('Session Tracker'!$M$5:$M$149,MATCH($A248,'Session Tracker'!$D$5:$D$149,0))+0,"")</f>
        <v/>
      </c>
      <c r="G248" s="0" t="str">
        <f aca="false">IF(ISNUMBER(F248),IF(OR(B248=0,B248=99,C248&lt;&gt;""),F248*100+B248,""),"")</f>
        <v/>
      </c>
      <c r="H248" s="0" t="n">
        <f aca="false">IFERROR(INDEX('Session Tracker'!$J$5:$J$149,MATCH($A248,'Session Tracker'!$D$5:$D$149,0)),0)</f>
        <v>8</v>
      </c>
      <c r="I248" s="0" t="n">
        <f aca="false">IF(OR(B248=0,B248=99,C248=""),"",IF(E248="Per class",D248,D248*H248))</f>
        <v>24</v>
      </c>
      <c r="N248" s="0" t="str">
        <f aca="false">IF('Little Explorers Kits'!B269="","",'Little Explorers Kits'!B269)</f>
        <v>Passive Components &amp; ICs</v>
      </c>
      <c r="O248" s="0" t="str">
        <f aca="false">IF('Little Explorers Kits'!F269="","",'Little Explorers Kits'!F269)</f>
        <v>Consumable</v>
      </c>
      <c r="P248" s="0" t="str">
        <f aca="false">IF('Little Explorers Kits'!G269="","",'Little Explorers Kits'!G269)</f>
        <v/>
      </c>
    </row>
    <row r="249" customFormat="false" ht="15" hidden="false" customHeight="false" outlineLevel="0" collapsed="false">
      <c r="A249" s="0" t="s">
        <v>126</v>
      </c>
      <c r="B249" s="0" t="n">
        <v>5</v>
      </c>
      <c r="C249" s="0" t="str">
        <f aca="false">IF('Little Explorers Kits'!C270="","",'Little Explorers Kits'!C270)</f>
        <v>Breadboard (half size)</v>
      </c>
      <c r="D249" s="0" t="n">
        <f aca="false">IF('Little Explorers Kits'!D270="","",'Little Explorers Kits'!D270)</f>
        <v>1</v>
      </c>
      <c r="E249" s="0" t="str">
        <f aca="false">IF('Little Explorers Kits'!E270="","",'Little Explorers Kits'!E270)</f>
        <v>Per group</v>
      </c>
      <c r="F249" s="0" t="str">
        <f aca="false">IFERROR(INDEX('Session Tracker'!$M$5:$M$149,MATCH($A249,'Session Tracker'!$D$5:$D$149,0))+0,"")</f>
        <v/>
      </c>
      <c r="G249" s="0" t="str">
        <f aca="false">IF(ISNUMBER(F249),IF(OR(B249=0,B249=99,C249&lt;&gt;""),F249*100+B249,""),"")</f>
        <v/>
      </c>
      <c r="H249" s="0" t="n">
        <f aca="false">IFERROR(INDEX('Session Tracker'!$J$5:$J$149,MATCH($A249,'Session Tracker'!$D$5:$D$149,0)),0)</f>
        <v>8</v>
      </c>
      <c r="I249" s="0" t="n">
        <f aca="false">IF(OR(B249=0,B249=99,C249=""),"",IF(E249="Per class",D249,D249*H249))</f>
        <v>8</v>
      </c>
      <c r="N249" s="0" t="str">
        <f aca="false">IF('Little Explorers Kits'!B270="","",'Little Explorers Kits'!B270)</f>
        <v>Wiring &amp; Prototyping</v>
      </c>
      <c r="O249" s="0" t="str">
        <f aca="false">IF('Little Explorers Kits'!F270="","",'Little Explorers Kits'!F270)</f>
        <v>Reusable</v>
      </c>
      <c r="P249" s="0" t="str">
        <f aca="false">IF('Little Explorers Kits'!G270="","",'Little Explorers Kits'!G270)</f>
        <v/>
      </c>
    </row>
    <row r="250" customFormat="false" ht="15" hidden="false" customHeight="false" outlineLevel="0" collapsed="false">
      <c r="A250" s="0" t="s">
        <v>126</v>
      </c>
      <c r="B250" s="0" t="n">
        <v>6</v>
      </c>
      <c r="C250" s="0" t="str">
        <f aca="false">IF('Little Explorers Kits'!C271="","",'Little Explorers Kits'!C271)</f>
        <v>Jumper wires M-M</v>
      </c>
      <c r="D250" s="0" t="n">
        <f aca="false">IF('Little Explorers Kits'!D271="","",'Little Explorers Kits'!D271)</f>
        <v>8</v>
      </c>
      <c r="E250" s="0" t="str">
        <f aca="false">IF('Little Explorers Kits'!E271="","",'Little Explorers Kits'!E271)</f>
        <v>Per group</v>
      </c>
      <c r="F250" s="0" t="str">
        <f aca="false">IFERROR(INDEX('Session Tracker'!$M$5:$M$149,MATCH($A250,'Session Tracker'!$D$5:$D$149,0))+0,"")</f>
        <v/>
      </c>
      <c r="G250" s="0" t="str">
        <f aca="false">IF(ISNUMBER(F250),IF(OR(B250=0,B250=99,C250&lt;&gt;""),F250*100+B250,""),"")</f>
        <v/>
      </c>
      <c r="H250" s="0" t="n">
        <f aca="false">IFERROR(INDEX('Session Tracker'!$J$5:$J$149,MATCH($A250,'Session Tracker'!$D$5:$D$149,0)),0)</f>
        <v>8</v>
      </c>
      <c r="I250" s="0" t="n">
        <f aca="false">IF(OR(B250=0,B250=99,C250=""),"",IF(E250="Per class",D250,D250*H250))</f>
        <v>64</v>
      </c>
      <c r="N250" s="0" t="str">
        <f aca="false">IF('Little Explorers Kits'!B271="","",'Little Explorers Kits'!B271)</f>
        <v>Wiring &amp; Prototyping</v>
      </c>
      <c r="O250" s="0" t="str">
        <f aca="false">IF('Little Explorers Kits'!F271="","",'Little Explorers Kits'!F271)</f>
        <v>Reusable</v>
      </c>
      <c r="P250" s="0" t="str">
        <f aca="false">IF('Little Explorers Kits'!G271="","",'Little Explorers Kits'!G271)</f>
        <v/>
      </c>
    </row>
    <row r="251" customFormat="false" ht="15" hidden="false" customHeight="false" outlineLevel="0" collapsed="false">
      <c r="A251" s="0" t="s">
        <v>126</v>
      </c>
      <c r="B251" s="0" t="n">
        <v>7</v>
      </c>
      <c r="C251" s="0" t="str">
        <f aca="false">IF('Little Explorers Kits'!C272="","",'Little Explorers Kits'!C272)</f>
        <v>Laptop</v>
      </c>
      <c r="D251" s="0" t="n">
        <f aca="false">IF('Little Explorers Kits'!D272="","",'Little Explorers Kits'!D272)</f>
        <v>1</v>
      </c>
      <c r="E251" s="0" t="str">
        <f aca="false">IF('Little Explorers Kits'!E272="","",'Little Explorers Kits'!E272)</f>
        <v>Per group</v>
      </c>
      <c r="F251" s="0" t="str">
        <f aca="false">IFERROR(INDEX('Session Tracker'!$M$5:$M$149,MATCH($A251,'Session Tracker'!$D$5:$D$149,0))+0,"")</f>
        <v/>
      </c>
      <c r="G251" s="0" t="str">
        <f aca="false">IF(ISNUMBER(F251),IF(OR(B251=0,B251=99,C251&lt;&gt;""),F251*100+B251,""),"")</f>
        <v/>
      </c>
      <c r="H251" s="0" t="n">
        <f aca="false">IFERROR(INDEX('Session Tracker'!$J$5:$J$149,MATCH($A251,'Session Tracker'!$D$5:$D$149,0)),0)</f>
        <v>8</v>
      </c>
      <c r="I251" s="0" t="n">
        <f aca="false">IF(OR(B251=0,B251=99,C251=""),"",IF(E251="Per class",D251,D251*H251))</f>
        <v>8</v>
      </c>
      <c r="N251" s="0" t="str">
        <f aca="false">IF('Little Explorers Kits'!B272="","",'Little Explorers Kits'!B272)</f>
        <v>Computers &amp; Equipment</v>
      </c>
      <c r="O251" s="0" t="str">
        <f aca="false">IF('Little Explorers Kits'!F272="","",'Little Explorers Kits'!F272)</f>
        <v>Reusable</v>
      </c>
      <c r="P251" s="0" t="str">
        <f aca="false">IF('Little Explorers Kits'!G272="","",'Little Explorers Kits'!G272)</f>
        <v/>
      </c>
    </row>
    <row r="252" customFormat="false" ht="15" hidden="false" customHeight="false" outlineLevel="0" collapsed="false">
      <c r="A252" s="0" t="s">
        <v>126</v>
      </c>
      <c r="B252" s="0" t="n">
        <v>8</v>
      </c>
      <c r="C252" s="0" t="str">
        <f aca="false">IF('Little Explorers Kits'!C273="","",'Little Explorers Kits'!C273)</f>
        <v>LED 5 mm (assorted)</v>
      </c>
      <c r="D252" s="0" t="n">
        <f aca="false">IF('Little Explorers Kits'!D273="","",'Little Explorers Kits'!D273)</f>
        <v>1</v>
      </c>
      <c r="E252" s="0" t="str">
        <f aca="false">IF('Little Explorers Kits'!E273="","",'Little Explorers Kits'!E273)</f>
        <v>Per group</v>
      </c>
      <c r="F252" s="0" t="str">
        <f aca="false">IFERROR(INDEX('Session Tracker'!$M$5:$M$149,MATCH($A252,'Session Tracker'!$D$5:$D$149,0))+0,"")</f>
        <v/>
      </c>
      <c r="G252" s="0" t="str">
        <f aca="false">IF(ISNUMBER(F252),IF(OR(B252=0,B252=99,C252&lt;&gt;""),F252*100+B252,""),"")</f>
        <v/>
      </c>
      <c r="H252" s="0" t="n">
        <f aca="false">IFERROR(INDEX('Session Tracker'!$J$5:$J$149,MATCH($A252,'Session Tracker'!$D$5:$D$149,0)),0)</f>
        <v>8</v>
      </c>
      <c r="I252" s="0" t="n">
        <f aca="false">IF(OR(B252=0,B252=99,C252=""),"",IF(E252="Per class",D252,D252*H252))</f>
        <v>8</v>
      </c>
      <c r="N252" s="0" t="str">
        <f aca="false">IF('Little Explorers Kits'!B273="","",'Little Explorers Kits'!B273)</f>
        <v>Displays &amp; Output</v>
      </c>
      <c r="O252" s="0" t="str">
        <f aca="false">IF('Little Explorers Kits'!F273="","",'Little Explorers Kits'!F273)</f>
        <v>Consumable</v>
      </c>
      <c r="P252" s="0" t="str">
        <f aca="false">IF('Little Explorers Kits'!G273="","",'Little Explorers Kits'!G273)</f>
        <v>Added: every Arduino class</v>
      </c>
    </row>
    <row r="253" customFormat="false" ht="15" hidden="false" customHeight="false" outlineLevel="0" collapsed="false">
      <c r="A253" s="0" t="s">
        <v>126</v>
      </c>
      <c r="B253" s="0" t="n">
        <v>9</v>
      </c>
      <c r="C253" s="0" t="str">
        <f aca="false">IF('Little Explorers Kits'!C274="","",'Little Explorers Kits'!C274)</f>
        <v>Resistor 220 ohm</v>
      </c>
      <c r="D253" s="0" t="n">
        <f aca="false">IF('Little Explorers Kits'!D274="","",'Little Explorers Kits'!D274)</f>
        <v>1</v>
      </c>
      <c r="E253" s="0" t="str">
        <f aca="false">IF('Little Explorers Kits'!E274="","",'Little Explorers Kits'!E274)</f>
        <v>Per group</v>
      </c>
      <c r="F253" s="0" t="str">
        <f aca="false">IFERROR(INDEX('Session Tracker'!$M$5:$M$149,MATCH($A253,'Session Tracker'!$D$5:$D$149,0))+0,"")</f>
        <v/>
      </c>
      <c r="G253" s="0" t="str">
        <f aca="false">IF(ISNUMBER(F253),IF(OR(B253=0,B253=99,C253&lt;&gt;""),F253*100+B253,""),"")</f>
        <v/>
      </c>
      <c r="H253" s="0" t="n">
        <f aca="false">IFERROR(INDEX('Session Tracker'!$J$5:$J$149,MATCH($A253,'Session Tracker'!$D$5:$D$149,0)),0)</f>
        <v>8</v>
      </c>
      <c r="I253" s="0" t="n">
        <f aca="false">IF(OR(B253=0,B253=99,C253=""),"",IF(E253="Per class",D253,D253*H253))</f>
        <v>8</v>
      </c>
      <c r="N253" s="0" t="str">
        <f aca="false">IF('Little Explorers Kits'!B274="","",'Little Explorers Kits'!B274)</f>
        <v>Passive Components &amp; ICs</v>
      </c>
      <c r="O253" s="0" t="str">
        <f aca="false">IF('Little Explorers Kits'!F274="","",'Little Explorers Kits'!F274)</f>
        <v>Consumable</v>
      </c>
      <c r="P253" s="0" t="str">
        <f aca="false">IF('Little Explorers Kits'!G274="","",'Little Explorers Kits'!G274)</f>
        <v>Added: for the LED</v>
      </c>
    </row>
    <row r="254" customFormat="false" ht="15" hidden="false" customHeight="false" outlineLevel="0" collapsed="false">
      <c r="A254" s="0" t="s">
        <v>126</v>
      </c>
      <c r="B254" s="0" t="n">
        <v>10</v>
      </c>
      <c r="C254" s="0" t="str">
        <f aca="false">IF('Little Explorers Kits'!C275="","",'Little Explorers Kits'!C275)</f>
        <v>Buzzer</v>
      </c>
      <c r="D254" s="0" t="n">
        <f aca="false">IF('Little Explorers Kits'!D275="","",'Little Explorers Kits'!D275)</f>
        <v>1</v>
      </c>
      <c r="E254" s="0" t="str">
        <f aca="false">IF('Little Explorers Kits'!E275="","",'Little Explorers Kits'!E275)</f>
        <v>Per group</v>
      </c>
      <c r="F254" s="0" t="str">
        <f aca="false">IFERROR(INDEX('Session Tracker'!$M$5:$M$149,MATCH($A254,'Session Tracker'!$D$5:$D$149,0))+0,"")</f>
        <v/>
      </c>
      <c r="G254" s="0" t="str">
        <f aca="false">IF(ISNUMBER(F254),IF(OR(B254=0,B254=99,C254&lt;&gt;""),F254*100+B254,""),"")</f>
        <v/>
      </c>
      <c r="H254" s="0" t="n">
        <f aca="false">IFERROR(INDEX('Session Tracker'!$J$5:$J$149,MATCH($A254,'Session Tracker'!$D$5:$D$149,0)),0)</f>
        <v>8</v>
      </c>
      <c r="I254" s="0" t="n">
        <f aca="false">IF(OR(B254=0,B254=99,C254=""),"",IF(E254="Per class",D254,D254*H254))</f>
        <v>8</v>
      </c>
      <c r="N254" s="0" t="str">
        <f aca="false">IF('Little Explorers Kits'!B275="","",'Little Explorers Kits'!B275)</f>
        <v>Actuators &amp; Motor Drivers</v>
      </c>
      <c r="O254" s="0" t="str">
        <f aca="false">IF('Little Explorers Kits'!F275="","",'Little Explorers Kits'!F275)</f>
        <v>Reusable</v>
      </c>
      <c r="P254" s="0" t="str">
        <f aca="false">IF('Little Explorers Kits'!G275="","",'Little Explorers Kits'!G275)</f>
        <v>Added: every Arduino class</v>
      </c>
    </row>
    <row r="255" customFormat="false" ht="15" hidden="false" customHeight="false" outlineLevel="0" collapsed="false">
      <c r="A255" s="0" t="s">
        <v>126</v>
      </c>
      <c r="B255" s="0" t="n">
        <v>11</v>
      </c>
      <c r="C255" s="0" t="str">
        <f aca="false">IF('Little Explorers Kits'!C276="","",'Little Explorers Kits'!C276)</f>
        <v/>
      </c>
      <c r="D255" s="0" t="str">
        <f aca="false">IF('Little Explorers Kits'!D276="","",'Little Explorers Kits'!D276)</f>
        <v/>
      </c>
      <c r="E255" s="0" t="str">
        <f aca="false">IF('Little Explorers Kits'!E276="","",'Little Explorers Kits'!E276)</f>
        <v/>
      </c>
      <c r="F255" s="0" t="str">
        <f aca="false">IFERROR(INDEX('Session Tracker'!$M$5:$M$149,MATCH($A255,'Session Tracker'!$D$5:$D$149,0))+0,"")</f>
        <v/>
      </c>
      <c r="G255" s="0" t="str">
        <f aca="false">IF(ISNUMBER(F255),IF(OR(B255=0,B255=99,C255&lt;&gt;""),F255*100+B255,""),"")</f>
        <v/>
      </c>
      <c r="H255" s="0" t="n">
        <f aca="false">IFERROR(INDEX('Session Tracker'!$J$5:$J$149,MATCH($A255,'Session Tracker'!$D$5:$D$149,0)),0)</f>
        <v>8</v>
      </c>
      <c r="I255" s="0" t="str">
        <f aca="false">IF(OR(B255=0,B255=99,C255=""),"",IF(E255="Per class",D255,D255*H255))</f>
        <v/>
      </c>
      <c r="N255" s="0" t="str">
        <f aca="false">IF('Little Explorers Kits'!B276="","",'Little Explorers Kits'!B276)</f>
        <v/>
      </c>
      <c r="O255" s="0" t="str">
        <f aca="false">IF('Little Explorers Kits'!F276="","",'Little Explorers Kits'!F276)</f>
        <v/>
      </c>
      <c r="P255" s="0" t="str">
        <f aca="false">IF('Little Explorers Kits'!G276="","",'Little Explorers Kits'!G276)</f>
        <v/>
      </c>
    </row>
    <row r="256" customFormat="false" ht="15" hidden="false" customHeight="false" outlineLevel="0" collapsed="false">
      <c r="A256" s="0" t="s">
        <v>126</v>
      </c>
      <c r="B256" s="0" t="n">
        <v>12</v>
      </c>
      <c r="C256" s="0" t="str">
        <f aca="false">IF('Little Explorers Kits'!C277="","",'Little Explorers Kits'!C277)</f>
        <v/>
      </c>
      <c r="D256" s="0" t="str">
        <f aca="false">IF('Little Explorers Kits'!D277="","",'Little Explorers Kits'!D277)</f>
        <v/>
      </c>
      <c r="E256" s="0" t="str">
        <f aca="false">IF('Little Explorers Kits'!E277="","",'Little Explorers Kits'!E277)</f>
        <v/>
      </c>
      <c r="F256" s="0" t="str">
        <f aca="false">IFERROR(INDEX('Session Tracker'!$M$5:$M$149,MATCH($A256,'Session Tracker'!$D$5:$D$149,0))+0,"")</f>
        <v/>
      </c>
      <c r="G256" s="0" t="str">
        <f aca="false">IF(ISNUMBER(F256),IF(OR(B256=0,B256=99,C256&lt;&gt;""),F256*100+B256,""),"")</f>
        <v/>
      </c>
      <c r="H256" s="0" t="n">
        <f aca="false">IFERROR(INDEX('Session Tracker'!$J$5:$J$149,MATCH($A256,'Session Tracker'!$D$5:$D$149,0)),0)</f>
        <v>8</v>
      </c>
      <c r="I256" s="0" t="str">
        <f aca="false">IF(OR(B256=0,B256=99,C256=""),"",IF(E256="Per class",D256,D256*H256))</f>
        <v/>
      </c>
      <c r="N256" s="0" t="str">
        <f aca="false">IF('Little Explorers Kits'!B277="","",'Little Explorers Kits'!B277)</f>
        <v/>
      </c>
      <c r="O256" s="0" t="str">
        <f aca="false">IF('Little Explorers Kits'!F277="","",'Little Explorers Kits'!F277)</f>
        <v/>
      </c>
      <c r="P256" s="0" t="str">
        <f aca="false">IF('Little Explorers Kits'!G277="","",'Little Explorers Kits'!G277)</f>
        <v/>
      </c>
    </row>
    <row r="257" customFormat="false" ht="15" hidden="false" customHeight="false" outlineLevel="0" collapsed="false">
      <c r="A257" s="0" t="s">
        <v>128</v>
      </c>
      <c r="B257" s="0" t="n">
        <v>0</v>
      </c>
      <c r="F257" s="0" t="str">
        <f aca="false">IFERROR(INDEX('Session Tracker'!$M$5:$M$149,MATCH($A257,'Session Tracker'!$D$5:$D$149,0))+0,"")</f>
        <v/>
      </c>
      <c r="G257" s="0" t="str">
        <f aca="false">IF(ISNUMBER(F257),IF(OR(B257=0,B257=99,C257&lt;&gt;""),F257*100+B257,""),"")</f>
        <v/>
      </c>
      <c r="H257" s="0" t="n">
        <f aca="false">IFERROR(INDEX('Session Tracker'!$J$5:$J$149,MATCH($A257,'Session Tracker'!$D$5:$D$149,0)),0)</f>
        <v>8</v>
      </c>
      <c r="I257" s="0" t="str">
        <f aca="false">IF(OR(B257=0,B257=99,C257=""),"",IF(E257="Per class",D257,D257*H257))</f>
        <v/>
      </c>
      <c r="K257" s="0" t="str">
        <f aca="false">IFERROR(INDEX('Session Tracker'!$E$5:$E$149,MATCH($A257,'Session Tracker'!$D$5:$D$149,0)),"")</f>
        <v>Colour Detective Sensor</v>
      </c>
      <c r="L257" s="0" t="str">
        <f aca="false">IFERROR(INDEX('Session Tracker'!$A$5:$A$149,MATCH($A257,'Session Tracker'!$D$5:$D$149,0)),"")</f>
        <v>Little Explorers (5-7)</v>
      </c>
      <c r="M257" s="0" t="str">
        <f aca="false">IFERROR(INDEX('Session Tracker'!$H$5:$H$149,MATCH($A257,'Session Tracker'!$D$5:$D$149,0))&amp;"","")</f>
        <v/>
      </c>
      <c r="Q257" s="0" t="str">
        <f aca="false">IFERROR("Status: "&amp;INDEX('Session Tracker'!$F$5:$F$149,MATCH($A257,'Session Tracker'!$D$5:$D$149,0))&amp;IF(INDEX('Session Tracker'!$G$5:$G$149,MATCH($A257,'Session Tracker'!$D$5:$D$149,0))&lt;&gt;""," ("&amp;INDEX('Session Tracker'!$G$5:$G$149,MATCH($A257,'Session Tracker'!$D$5:$D$149,0))&amp;")","")&amp;IF(M257&lt;&gt;"","  "&amp;M257,""),"")</f>
        <v>Status: Not started</v>
      </c>
    </row>
    <row r="258" customFormat="false" ht="15" hidden="false" customHeight="false" outlineLevel="0" collapsed="false">
      <c r="A258" s="0" t="s">
        <v>128</v>
      </c>
      <c r="B258" s="0" t="n">
        <v>1</v>
      </c>
      <c r="C258" s="0" t="str">
        <f aca="false">IF('Little Explorers Kits'!C280="","",'Little Explorers Kits'!C280)</f>
        <v>Arduino Uno + USB cable</v>
      </c>
      <c r="D258" s="0" t="n">
        <f aca="false">IF('Little Explorers Kits'!D280="","",'Little Explorers Kits'!D280)</f>
        <v>1</v>
      </c>
      <c r="E258" s="0" t="str">
        <f aca="false">IF('Little Explorers Kits'!E280="","",'Little Explorers Kits'!E280)</f>
        <v>Per group</v>
      </c>
      <c r="F258" s="0" t="str">
        <f aca="false">IFERROR(INDEX('Session Tracker'!$M$5:$M$149,MATCH($A258,'Session Tracker'!$D$5:$D$149,0))+0,"")</f>
        <v/>
      </c>
      <c r="G258" s="0" t="str">
        <f aca="false">IF(ISNUMBER(F258),IF(OR(B258=0,B258=99,C258&lt;&gt;""),F258*100+B258,""),"")</f>
        <v/>
      </c>
      <c r="H258" s="0" t="n">
        <f aca="false">IFERROR(INDEX('Session Tracker'!$J$5:$J$149,MATCH($A258,'Session Tracker'!$D$5:$D$149,0)),0)</f>
        <v>8</v>
      </c>
      <c r="I258" s="0" t="n">
        <f aca="false">IF(OR(B258=0,B258=99,C258=""),"",IF(E258="Per class",D258,D258*H258))</f>
        <v>8</v>
      </c>
      <c r="N258" s="0" t="str">
        <f aca="false">IF('Little Explorers Kits'!B280="","",'Little Explorers Kits'!B280)</f>
        <v>Microcontrollers &amp; Dev Boards</v>
      </c>
      <c r="O258" s="0" t="str">
        <f aca="false">IF('Little Explorers Kits'!F280="","",'Little Explorers Kits'!F280)</f>
        <v>Reusable</v>
      </c>
      <c r="P258" s="0" t="str">
        <f aca="false">IF('Little Explorers Kits'!G280="","",'Little Explorers Kits'!G280)</f>
        <v>Pre-wired by teacher</v>
      </c>
    </row>
    <row r="259" customFormat="false" ht="15" hidden="false" customHeight="false" outlineLevel="0" collapsed="false">
      <c r="A259" s="0" t="s">
        <v>128</v>
      </c>
      <c r="B259" s="0" t="n">
        <v>2</v>
      </c>
      <c r="C259" s="0" t="str">
        <f aca="false">IF('Little Explorers Kits'!C281="","",'Little Explorers Kits'!C281)</f>
        <v>Colour sensor TCS34725</v>
      </c>
      <c r="D259" s="0" t="n">
        <f aca="false">IF('Little Explorers Kits'!D281="","",'Little Explorers Kits'!D281)</f>
        <v>1</v>
      </c>
      <c r="E259" s="0" t="str">
        <f aca="false">IF('Little Explorers Kits'!E281="","",'Little Explorers Kits'!E281)</f>
        <v>Per group</v>
      </c>
      <c r="F259" s="0" t="str">
        <f aca="false">IFERROR(INDEX('Session Tracker'!$M$5:$M$149,MATCH($A259,'Session Tracker'!$D$5:$D$149,0))+0,"")</f>
        <v/>
      </c>
      <c r="G259" s="0" t="str">
        <f aca="false">IF(ISNUMBER(F259),IF(OR(B259=0,B259=99,C259&lt;&gt;""),F259*100+B259,""),"")</f>
        <v/>
      </c>
      <c r="H259" s="0" t="n">
        <f aca="false">IFERROR(INDEX('Session Tracker'!$J$5:$J$149,MATCH($A259,'Session Tracker'!$D$5:$D$149,0)),0)</f>
        <v>8</v>
      </c>
      <c r="I259" s="0" t="n">
        <f aca="false">IF(OR(B259=0,B259=99,C259=""),"",IF(E259="Per class",D259,D259*H259))</f>
        <v>8</v>
      </c>
      <c r="N259" s="0" t="str">
        <f aca="false">IF('Little Explorers Kits'!B281="","",'Little Explorers Kits'!B281)</f>
        <v>Sensors</v>
      </c>
      <c r="O259" s="0" t="str">
        <f aca="false">IF('Little Explorers Kits'!F281="","",'Little Explorers Kits'!F281)</f>
        <v>Reusable</v>
      </c>
      <c r="P259" s="0" t="str">
        <f aca="false">IF('Little Explorers Kits'!G281="","",'Little Explorers Kits'!G281)</f>
        <v>Pre-wired</v>
      </c>
    </row>
    <row r="260" customFormat="false" ht="15" hidden="false" customHeight="false" outlineLevel="0" collapsed="false">
      <c r="A260" s="0" t="s">
        <v>128</v>
      </c>
      <c r="B260" s="0" t="n">
        <v>3</v>
      </c>
      <c r="C260" s="0" t="str">
        <f aca="false">IF('Little Explorers Kits'!C282="","",'Little Explorers Kits'!C282)</f>
        <v>RGB LED</v>
      </c>
      <c r="D260" s="0" t="n">
        <f aca="false">IF('Little Explorers Kits'!D282="","",'Little Explorers Kits'!D282)</f>
        <v>1</v>
      </c>
      <c r="E260" s="0" t="str">
        <f aca="false">IF('Little Explorers Kits'!E282="","",'Little Explorers Kits'!E282)</f>
        <v>Per group</v>
      </c>
      <c r="F260" s="0" t="str">
        <f aca="false">IFERROR(INDEX('Session Tracker'!$M$5:$M$149,MATCH($A260,'Session Tracker'!$D$5:$D$149,0))+0,"")</f>
        <v/>
      </c>
      <c r="G260" s="0" t="str">
        <f aca="false">IF(ISNUMBER(F260),IF(OR(B260=0,B260=99,C260&lt;&gt;""),F260*100+B260,""),"")</f>
        <v/>
      </c>
      <c r="H260" s="0" t="n">
        <f aca="false">IFERROR(INDEX('Session Tracker'!$J$5:$J$149,MATCH($A260,'Session Tracker'!$D$5:$D$149,0)),0)</f>
        <v>8</v>
      </c>
      <c r="I260" s="0" t="n">
        <f aca="false">IF(OR(B260=0,B260=99,C260=""),"",IF(E260="Per class",D260,D260*H260))</f>
        <v>8</v>
      </c>
      <c r="N260" s="0" t="str">
        <f aca="false">IF('Little Explorers Kits'!B282="","",'Little Explorers Kits'!B282)</f>
        <v>Displays &amp; Output</v>
      </c>
      <c r="O260" s="0" t="str">
        <f aca="false">IF('Little Explorers Kits'!F282="","",'Little Explorers Kits'!F282)</f>
        <v>Reusable</v>
      </c>
      <c r="P260" s="0" t="str">
        <f aca="false">IF('Little Explorers Kits'!G282="","",'Little Explorers Kits'!G282)</f>
        <v/>
      </c>
    </row>
    <row r="261" customFormat="false" ht="15" hidden="false" customHeight="false" outlineLevel="0" collapsed="false">
      <c r="A261" s="0" t="s">
        <v>128</v>
      </c>
      <c r="B261" s="0" t="n">
        <v>4</v>
      </c>
      <c r="C261" s="0" t="str">
        <f aca="false">IF('Little Explorers Kits'!C283="","",'Little Explorers Kits'!C283)</f>
        <v>Resistor 220 ohm</v>
      </c>
      <c r="D261" s="0" t="n">
        <f aca="false">IF('Little Explorers Kits'!D283="","",'Little Explorers Kits'!D283)</f>
        <v>3</v>
      </c>
      <c r="E261" s="0" t="str">
        <f aca="false">IF('Little Explorers Kits'!E283="","",'Little Explorers Kits'!E283)</f>
        <v>Per group</v>
      </c>
      <c r="F261" s="0" t="str">
        <f aca="false">IFERROR(INDEX('Session Tracker'!$M$5:$M$149,MATCH($A261,'Session Tracker'!$D$5:$D$149,0))+0,"")</f>
        <v/>
      </c>
      <c r="G261" s="0" t="str">
        <f aca="false">IF(ISNUMBER(F261),IF(OR(B261=0,B261=99,C261&lt;&gt;""),F261*100+B261,""),"")</f>
        <v/>
      </c>
      <c r="H261" s="0" t="n">
        <f aca="false">IFERROR(INDEX('Session Tracker'!$J$5:$J$149,MATCH($A261,'Session Tracker'!$D$5:$D$149,0)),0)</f>
        <v>8</v>
      </c>
      <c r="I261" s="0" t="n">
        <f aca="false">IF(OR(B261=0,B261=99,C261=""),"",IF(E261="Per class",D261,D261*H261))</f>
        <v>24</v>
      </c>
      <c r="N261" s="0" t="str">
        <f aca="false">IF('Little Explorers Kits'!B283="","",'Little Explorers Kits'!B283)</f>
        <v>Passive Components &amp; ICs</v>
      </c>
      <c r="O261" s="0" t="str">
        <f aca="false">IF('Little Explorers Kits'!F283="","",'Little Explorers Kits'!F283)</f>
        <v>Consumable</v>
      </c>
      <c r="P261" s="0" t="str">
        <f aca="false">IF('Little Explorers Kits'!G283="","",'Little Explorers Kits'!G283)</f>
        <v/>
      </c>
    </row>
    <row r="262" customFormat="false" ht="15" hidden="false" customHeight="false" outlineLevel="0" collapsed="false">
      <c r="A262" s="0" t="s">
        <v>128</v>
      </c>
      <c r="B262" s="0" t="n">
        <v>5</v>
      </c>
      <c r="C262" s="0" t="str">
        <f aca="false">IF('Little Explorers Kits'!C284="","",'Little Explorers Kits'!C284)</f>
        <v>Card / chart paper</v>
      </c>
      <c r="D262" s="0" t="n">
        <f aca="false">IF('Little Explorers Kits'!D284="","",'Little Explorers Kits'!D284)</f>
        <v>1</v>
      </c>
      <c r="E262" s="0" t="str">
        <f aca="false">IF('Little Explorers Kits'!E284="","",'Little Explorers Kits'!E284)</f>
        <v>Per group</v>
      </c>
      <c r="F262" s="0" t="str">
        <f aca="false">IFERROR(INDEX('Session Tracker'!$M$5:$M$149,MATCH($A262,'Session Tracker'!$D$5:$D$149,0))+0,"")</f>
        <v/>
      </c>
      <c r="G262" s="0" t="str">
        <f aca="false">IF(ISNUMBER(F262),IF(OR(B262=0,B262=99,C262&lt;&gt;""),F262*100+B262,""),"")</f>
        <v/>
      </c>
      <c r="H262" s="0" t="n">
        <f aca="false">IFERROR(INDEX('Session Tracker'!$J$5:$J$149,MATCH($A262,'Session Tracker'!$D$5:$D$149,0)),0)</f>
        <v>8</v>
      </c>
      <c r="I262" s="0" t="n">
        <f aca="false">IF(OR(B262=0,B262=99,C262=""),"",IF(E262="Per class",D262,D262*H262))</f>
        <v>8</v>
      </c>
      <c r="N262" s="0" t="str">
        <f aca="false">IF('Little Explorers Kits'!B284="","",'Little Explorers Kits'!B284)</f>
        <v>Craft &amp; Stationery</v>
      </c>
      <c r="O262" s="0" t="str">
        <f aca="false">IF('Little Explorers Kits'!F284="","",'Little Explorers Kits'!F284)</f>
        <v>Consumable</v>
      </c>
      <c r="P262" s="0" t="str">
        <f aca="false">IF('Little Explorers Kits'!G284="","",'Little Explorers Kits'!G284)</f>
        <v>Coloured cards</v>
      </c>
    </row>
    <row r="263" customFormat="false" ht="15" hidden="false" customHeight="false" outlineLevel="0" collapsed="false">
      <c r="A263" s="0" t="s">
        <v>128</v>
      </c>
      <c r="B263" s="0" t="n">
        <v>6</v>
      </c>
      <c r="C263" s="0" t="str">
        <f aca="false">IF('Little Explorers Kits'!C285="","",'Little Explorers Kits'!C285)</f>
        <v>LED 5 mm (assorted)</v>
      </c>
      <c r="D263" s="0" t="n">
        <f aca="false">IF('Little Explorers Kits'!D285="","",'Little Explorers Kits'!D285)</f>
        <v>1</v>
      </c>
      <c r="E263" s="0" t="str">
        <f aca="false">IF('Little Explorers Kits'!E285="","",'Little Explorers Kits'!E285)</f>
        <v>Per group</v>
      </c>
      <c r="F263" s="0" t="str">
        <f aca="false">IFERROR(INDEX('Session Tracker'!$M$5:$M$149,MATCH($A263,'Session Tracker'!$D$5:$D$149,0))+0,"")</f>
        <v/>
      </c>
      <c r="G263" s="0" t="str">
        <f aca="false">IF(ISNUMBER(F263),IF(OR(B263=0,B263=99,C263&lt;&gt;""),F263*100+B263,""),"")</f>
        <v/>
      </c>
      <c r="H263" s="0" t="n">
        <f aca="false">IFERROR(INDEX('Session Tracker'!$J$5:$J$149,MATCH($A263,'Session Tracker'!$D$5:$D$149,0)),0)</f>
        <v>8</v>
      </c>
      <c r="I263" s="0" t="n">
        <f aca="false">IF(OR(B263=0,B263=99,C263=""),"",IF(E263="Per class",D263,D263*H263))</f>
        <v>8</v>
      </c>
      <c r="N263" s="0" t="str">
        <f aca="false">IF('Little Explorers Kits'!B285="","",'Little Explorers Kits'!B285)</f>
        <v>Displays &amp; Output</v>
      </c>
      <c r="O263" s="0" t="str">
        <f aca="false">IF('Little Explorers Kits'!F285="","",'Little Explorers Kits'!F285)</f>
        <v>Consumable</v>
      </c>
      <c r="P263" s="0" t="str">
        <f aca="false">IF('Little Explorers Kits'!G285="","",'Little Explorers Kits'!G285)</f>
        <v>Added: every Arduino class</v>
      </c>
    </row>
    <row r="264" customFormat="false" ht="15" hidden="false" customHeight="false" outlineLevel="0" collapsed="false">
      <c r="A264" s="0" t="s">
        <v>128</v>
      </c>
      <c r="B264" s="0" t="n">
        <v>7</v>
      </c>
      <c r="C264" s="0" t="str">
        <f aca="false">IF('Little Explorers Kits'!C286="","",'Little Explorers Kits'!C286)</f>
        <v>Buzzer</v>
      </c>
      <c r="D264" s="0" t="n">
        <f aca="false">IF('Little Explorers Kits'!D286="","",'Little Explorers Kits'!D286)</f>
        <v>1</v>
      </c>
      <c r="E264" s="0" t="str">
        <f aca="false">IF('Little Explorers Kits'!E286="","",'Little Explorers Kits'!E286)</f>
        <v>Per group</v>
      </c>
      <c r="F264" s="0" t="str">
        <f aca="false">IFERROR(INDEX('Session Tracker'!$M$5:$M$149,MATCH($A264,'Session Tracker'!$D$5:$D$149,0))+0,"")</f>
        <v/>
      </c>
      <c r="G264" s="0" t="str">
        <f aca="false">IF(ISNUMBER(F264),IF(OR(B264=0,B264=99,C264&lt;&gt;""),F264*100+B264,""),"")</f>
        <v/>
      </c>
      <c r="H264" s="0" t="n">
        <f aca="false">IFERROR(INDEX('Session Tracker'!$J$5:$J$149,MATCH($A264,'Session Tracker'!$D$5:$D$149,0)),0)</f>
        <v>8</v>
      </c>
      <c r="I264" s="0" t="n">
        <f aca="false">IF(OR(B264=0,B264=99,C264=""),"",IF(E264="Per class",D264,D264*H264))</f>
        <v>8</v>
      </c>
      <c r="N264" s="0" t="str">
        <f aca="false">IF('Little Explorers Kits'!B286="","",'Little Explorers Kits'!B286)</f>
        <v>Actuators &amp; Motor Drivers</v>
      </c>
      <c r="O264" s="0" t="str">
        <f aca="false">IF('Little Explorers Kits'!F286="","",'Little Explorers Kits'!F286)</f>
        <v>Reusable</v>
      </c>
      <c r="P264" s="0" t="str">
        <f aca="false">IF('Little Explorers Kits'!G286="","",'Little Explorers Kits'!G286)</f>
        <v>Added: every Arduino class</v>
      </c>
    </row>
    <row r="265" customFormat="false" ht="15" hidden="false" customHeight="false" outlineLevel="0" collapsed="false">
      <c r="A265" s="0" t="s">
        <v>128</v>
      </c>
      <c r="B265" s="0" t="n">
        <v>8</v>
      </c>
      <c r="C265" s="0" t="str">
        <f aca="false">IF('Little Explorers Kits'!C287="","",'Little Explorers Kits'!C287)</f>
        <v/>
      </c>
      <c r="D265" s="0" t="str">
        <f aca="false">IF('Little Explorers Kits'!D287="","",'Little Explorers Kits'!D287)</f>
        <v/>
      </c>
      <c r="E265" s="0" t="str">
        <f aca="false">IF('Little Explorers Kits'!E287="","",'Little Explorers Kits'!E287)</f>
        <v/>
      </c>
      <c r="F265" s="0" t="str">
        <f aca="false">IFERROR(INDEX('Session Tracker'!$M$5:$M$149,MATCH($A265,'Session Tracker'!$D$5:$D$149,0))+0,"")</f>
        <v/>
      </c>
      <c r="G265" s="0" t="str">
        <f aca="false">IF(ISNUMBER(F265),IF(OR(B265=0,B265=99,C265&lt;&gt;""),F265*100+B265,""),"")</f>
        <v/>
      </c>
      <c r="H265" s="0" t="n">
        <f aca="false">IFERROR(INDEX('Session Tracker'!$J$5:$J$149,MATCH($A265,'Session Tracker'!$D$5:$D$149,0)),0)</f>
        <v>8</v>
      </c>
      <c r="I265" s="0" t="str">
        <f aca="false">IF(OR(B265=0,B265=99,C265=""),"",IF(E265="Per class",D265,D265*H265))</f>
        <v/>
      </c>
      <c r="N265" s="0" t="str">
        <f aca="false">IF('Little Explorers Kits'!B287="","",'Little Explorers Kits'!B287)</f>
        <v/>
      </c>
      <c r="O265" s="0" t="str">
        <f aca="false">IF('Little Explorers Kits'!F287="","",'Little Explorers Kits'!F287)</f>
        <v/>
      </c>
      <c r="P265" s="0" t="str">
        <f aca="false">IF('Little Explorers Kits'!G287="","",'Little Explorers Kits'!G287)</f>
        <v/>
      </c>
    </row>
    <row r="266" customFormat="false" ht="15" hidden="false" customHeight="false" outlineLevel="0" collapsed="false">
      <c r="A266" s="0" t="s">
        <v>128</v>
      </c>
      <c r="B266" s="0" t="n">
        <v>9</v>
      </c>
      <c r="C266" s="0" t="str">
        <f aca="false">IF('Little Explorers Kits'!C288="","",'Little Explorers Kits'!C288)</f>
        <v/>
      </c>
      <c r="D266" s="0" t="str">
        <f aca="false">IF('Little Explorers Kits'!D288="","",'Little Explorers Kits'!D288)</f>
        <v/>
      </c>
      <c r="E266" s="0" t="str">
        <f aca="false">IF('Little Explorers Kits'!E288="","",'Little Explorers Kits'!E288)</f>
        <v/>
      </c>
      <c r="F266" s="0" t="str">
        <f aca="false">IFERROR(INDEX('Session Tracker'!$M$5:$M$149,MATCH($A266,'Session Tracker'!$D$5:$D$149,0))+0,"")</f>
        <v/>
      </c>
      <c r="G266" s="0" t="str">
        <f aca="false">IF(ISNUMBER(F266),IF(OR(B266=0,B266=99,C266&lt;&gt;""),F266*100+B266,""),"")</f>
        <v/>
      </c>
      <c r="H266" s="0" t="n">
        <f aca="false">IFERROR(INDEX('Session Tracker'!$J$5:$J$149,MATCH($A266,'Session Tracker'!$D$5:$D$149,0)),0)</f>
        <v>8</v>
      </c>
      <c r="I266" s="0" t="str">
        <f aca="false">IF(OR(B266=0,B266=99,C266=""),"",IF(E266="Per class",D266,D266*H266))</f>
        <v/>
      </c>
      <c r="N266" s="0" t="str">
        <f aca="false">IF('Little Explorers Kits'!B288="","",'Little Explorers Kits'!B288)</f>
        <v/>
      </c>
      <c r="O266" s="0" t="str">
        <f aca="false">IF('Little Explorers Kits'!F288="","",'Little Explorers Kits'!F288)</f>
        <v/>
      </c>
      <c r="P266" s="0" t="str">
        <f aca="false">IF('Little Explorers Kits'!G288="","",'Little Explorers Kits'!G288)</f>
        <v/>
      </c>
    </row>
    <row r="267" customFormat="false" ht="15" hidden="false" customHeight="false" outlineLevel="0" collapsed="false">
      <c r="A267" s="0" t="s">
        <v>130</v>
      </c>
      <c r="B267" s="0" t="n">
        <v>0</v>
      </c>
      <c r="F267" s="0" t="str">
        <f aca="false">IFERROR(INDEX('Session Tracker'!$M$5:$M$149,MATCH($A267,'Session Tracker'!$D$5:$D$149,0))+0,"")</f>
        <v/>
      </c>
      <c r="G267" s="0" t="str">
        <f aca="false">IF(ISNUMBER(F267),IF(OR(B267=0,B267=99,C267&lt;&gt;""),F267*100+B267,""),"")</f>
        <v/>
      </c>
      <c r="H267" s="0" t="n">
        <f aca="false">IFERROR(INDEX('Session Tracker'!$J$5:$J$149,MATCH($A267,'Session Tracker'!$D$5:$D$149,0)),0)</f>
        <v>8</v>
      </c>
      <c r="I267" s="0" t="str">
        <f aca="false">IF(OR(B267=0,B267=99,C267=""),"",IF(E267="Per class",D267,D267*H267))</f>
        <v/>
      </c>
      <c r="K267" s="0" t="str">
        <f aca="false">IFERROR(INDEX('Session Tracker'!$E$5:$E$149,MATCH($A267,'Session Tracker'!$D$5:$D$149,0)),"")</f>
        <v>Crank-Powered Light: Be the Power Station</v>
      </c>
      <c r="L267" s="0" t="str">
        <f aca="false">IFERROR(INDEX('Session Tracker'!$A$5:$A$149,MATCH($A267,'Session Tracker'!$D$5:$D$149,0)),"")</f>
        <v>Little Explorers (5-7)</v>
      </c>
      <c r="M267" s="0" t="str">
        <f aca="false">IFERROR(INDEX('Session Tracker'!$H$5:$H$149,MATCH($A267,'Session Tracker'!$D$5:$D$149,0))&amp;"","")</f>
        <v/>
      </c>
      <c r="Q267" s="0" t="str">
        <f aca="false">IFERROR("Status: "&amp;INDEX('Session Tracker'!$F$5:$F$149,MATCH($A267,'Session Tracker'!$D$5:$D$149,0))&amp;IF(INDEX('Session Tracker'!$G$5:$G$149,MATCH($A267,'Session Tracker'!$D$5:$D$149,0))&lt;&gt;""," ("&amp;INDEX('Session Tracker'!$G$5:$G$149,MATCH($A267,'Session Tracker'!$D$5:$D$149,0))&amp;")","")&amp;IF(M267&lt;&gt;"","  "&amp;M267,""),"")</f>
        <v>Status: Not started</v>
      </c>
    </row>
    <row r="268" customFormat="false" ht="15" hidden="false" customHeight="false" outlineLevel="0" collapsed="false">
      <c r="A268" s="0" t="s">
        <v>130</v>
      </c>
      <c r="B268" s="0" t="n">
        <v>1</v>
      </c>
      <c r="C268" s="0" t="str">
        <f aca="false">IF('Little Explorers Kits'!C291="","",'Little Explorers Kits'!C291)</f>
        <v>DC hobby motor</v>
      </c>
      <c r="D268" s="0" t="n">
        <f aca="false">IF('Little Explorers Kits'!D291="","",'Little Explorers Kits'!D291)</f>
        <v>1</v>
      </c>
      <c r="E268" s="0" t="str">
        <f aca="false">IF('Little Explorers Kits'!E291="","",'Little Explorers Kits'!E291)</f>
        <v>Per group</v>
      </c>
      <c r="F268" s="0" t="str">
        <f aca="false">IFERROR(INDEX('Session Tracker'!$M$5:$M$149,MATCH($A268,'Session Tracker'!$D$5:$D$149,0))+0,"")</f>
        <v/>
      </c>
      <c r="G268" s="0" t="str">
        <f aca="false">IF(ISNUMBER(F268),IF(OR(B268=0,B268=99,C268&lt;&gt;""),F268*100+B268,""),"")</f>
        <v/>
      </c>
      <c r="H268" s="0" t="n">
        <f aca="false">IFERROR(INDEX('Session Tracker'!$J$5:$J$149,MATCH($A268,'Session Tracker'!$D$5:$D$149,0)),0)</f>
        <v>8</v>
      </c>
      <c r="I268" s="0" t="n">
        <f aca="false">IF(OR(B268=0,B268=99,C268=""),"",IF(E268="Per class",D268,D268*H268))</f>
        <v>8</v>
      </c>
      <c r="N268" s="0" t="str">
        <f aca="false">IF('Little Explorers Kits'!B291="","",'Little Explorers Kits'!B291)</f>
        <v>Actuators &amp; Motor Drivers</v>
      </c>
      <c r="O268" s="0" t="str">
        <f aca="false">IF('Little Explorers Kits'!F291="","",'Little Explorers Kits'!F291)</f>
        <v>Reusable</v>
      </c>
      <c r="P268" s="0" t="str">
        <f aca="false">IF('Little Explorers Kits'!G291="","",'Little Explorers Kits'!G291)</f>
        <v/>
      </c>
    </row>
    <row r="269" customFormat="false" ht="15" hidden="false" customHeight="false" outlineLevel="0" collapsed="false">
      <c r="A269" s="0" t="s">
        <v>130</v>
      </c>
      <c r="B269" s="0" t="n">
        <v>2</v>
      </c>
      <c r="C269" s="0" t="str">
        <f aca="false">IF('Little Explorers Kits'!C292="","",'Little Explorers Kits'!C292)</f>
        <v>LED 5 mm (assorted)</v>
      </c>
      <c r="D269" s="0" t="n">
        <f aca="false">IF('Little Explorers Kits'!D292="","",'Little Explorers Kits'!D292)</f>
        <v>2</v>
      </c>
      <c r="E269" s="0" t="str">
        <f aca="false">IF('Little Explorers Kits'!E292="","",'Little Explorers Kits'!E292)</f>
        <v>Per group</v>
      </c>
      <c r="F269" s="0" t="str">
        <f aca="false">IFERROR(INDEX('Session Tracker'!$M$5:$M$149,MATCH($A269,'Session Tracker'!$D$5:$D$149,0))+0,"")</f>
        <v/>
      </c>
      <c r="G269" s="0" t="str">
        <f aca="false">IF(ISNUMBER(F269),IF(OR(B269=0,B269=99,C269&lt;&gt;""),F269*100+B269,""),"")</f>
        <v/>
      </c>
      <c r="H269" s="0" t="n">
        <f aca="false">IFERROR(INDEX('Session Tracker'!$J$5:$J$149,MATCH($A269,'Session Tracker'!$D$5:$D$149,0)),0)</f>
        <v>8</v>
      </c>
      <c r="I269" s="0" t="n">
        <f aca="false">IF(OR(B269=0,B269=99,C269=""),"",IF(E269="Per class",D269,D269*H269))</f>
        <v>16</v>
      </c>
      <c r="N269" s="0" t="str">
        <f aca="false">IF('Little Explorers Kits'!B292="","",'Little Explorers Kits'!B292)</f>
        <v>Displays &amp; Output</v>
      </c>
      <c r="O269" s="0" t="str">
        <f aca="false">IF('Little Explorers Kits'!F292="","",'Little Explorers Kits'!F292)</f>
        <v>Consumable</v>
      </c>
      <c r="P269" s="0" t="str">
        <f aca="false">IF('Little Explorers Kits'!G292="","",'Little Explorers Kits'!G292)</f>
        <v>Red works best</v>
      </c>
    </row>
    <row r="270" customFormat="false" ht="15" hidden="false" customHeight="false" outlineLevel="0" collapsed="false">
      <c r="A270" s="0" t="s">
        <v>130</v>
      </c>
      <c r="B270" s="0" t="n">
        <v>3</v>
      </c>
      <c r="C270" s="0" t="str">
        <f aca="false">IF('Little Explorers Kits'!C293="","",'Little Explorers Kits'!C293)</f>
        <v>Alligator clip leads</v>
      </c>
      <c r="D270" s="0" t="n">
        <f aca="false">IF('Little Explorers Kits'!D293="","",'Little Explorers Kits'!D293)</f>
        <v>2</v>
      </c>
      <c r="E270" s="0" t="str">
        <f aca="false">IF('Little Explorers Kits'!E293="","",'Little Explorers Kits'!E293)</f>
        <v>Per group</v>
      </c>
      <c r="F270" s="0" t="str">
        <f aca="false">IFERROR(INDEX('Session Tracker'!$M$5:$M$149,MATCH($A270,'Session Tracker'!$D$5:$D$149,0))+0,"")</f>
        <v/>
      </c>
      <c r="G270" s="0" t="str">
        <f aca="false">IF(ISNUMBER(F270),IF(OR(B270=0,B270=99,C270&lt;&gt;""),F270*100+B270,""),"")</f>
        <v/>
      </c>
      <c r="H270" s="0" t="n">
        <f aca="false">IFERROR(INDEX('Session Tracker'!$J$5:$J$149,MATCH($A270,'Session Tracker'!$D$5:$D$149,0)),0)</f>
        <v>8</v>
      </c>
      <c r="I270" s="0" t="n">
        <f aca="false">IF(OR(B270=0,B270=99,C270=""),"",IF(E270="Per class",D270,D270*H270))</f>
        <v>16</v>
      </c>
      <c r="N270" s="0" t="str">
        <f aca="false">IF('Little Explorers Kits'!B293="","",'Little Explorers Kits'!B293)</f>
        <v>Wiring &amp; Prototyping</v>
      </c>
      <c r="O270" s="0" t="str">
        <f aca="false">IF('Little Explorers Kits'!F293="","",'Little Explorers Kits'!F293)</f>
        <v>Reusable</v>
      </c>
      <c r="P270" s="0" t="str">
        <f aca="false">IF('Little Explorers Kits'!G293="","",'Little Explorers Kits'!G293)</f>
        <v/>
      </c>
    </row>
    <row r="271" customFormat="false" ht="15" hidden="false" customHeight="false" outlineLevel="0" collapsed="false">
      <c r="A271" s="0" t="s">
        <v>130</v>
      </c>
      <c r="B271" s="0" t="n">
        <v>4</v>
      </c>
      <c r="C271" s="0" t="str">
        <f aca="false">IF('Little Explorers Kits'!C294="","",'Little Explorers Kits'!C294)</f>
        <v>Digital multimeter</v>
      </c>
      <c r="D271" s="0" t="n">
        <f aca="false">IF('Little Explorers Kits'!D294="","",'Little Explorers Kits'!D294)</f>
        <v>1</v>
      </c>
      <c r="E271" s="0" t="str">
        <f aca="false">IF('Little Explorers Kits'!E294="","",'Little Explorers Kits'!E294)</f>
        <v>Per class</v>
      </c>
      <c r="F271" s="0" t="str">
        <f aca="false">IFERROR(INDEX('Session Tracker'!$M$5:$M$149,MATCH($A271,'Session Tracker'!$D$5:$D$149,0))+0,"")</f>
        <v/>
      </c>
      <c r="G271" s="0" t="str">
        <f aca="false">IF(ISNUMBER(F271),IF(OR(B271=0,B271=99,C271&lt;&gt;""),F271*100+B271,""),"")</f>
        <v/>
      </c>
      <c r="H271" s="0" t="n">
        <f aca="false">IFERROR(INDEX('Session Tracker'!$J$5:$J$149,MATCH($A271,'Session Tracker'!$D$5:$D$149,0)),0)</f>
        <v>8</v>
      </c>
      <c r="I271" s="0" t="n">
        <f aca="false">IF(OR(B271=0,B271=99,C271=""),"",IF(E271="Per class",D271,D271*H271))</f>
        <v>1</v>
      </c>
      <c r="N271" s="0" t="str">
        <f aca="false">IF('Little Explorers Kits'!B294="","",'Little Explorers Kits'!B294)</f>
        <v>Computers &amp; Equipment</v>
      </c>
      <c r="O271" s="0" t="str">
        <f aca="false">IF('Little Explorers Kits'!F294="","",'Little Explorers Kits'!F294)</f>
        <v>Reusable</v>
      </c>
      <c r="P271" s="0" t="str">
        <f aca="false">IF('Little Explorers Kits'!G294="","",'Little Explorers Kits'!G294)</f>
        <v>Teacher demo</v>
      </c>
    </row>
    <row r="272" customFormat="false" ht="15" hidden="false" customHeight="false" outlineLevel="0" collapsed="false">
      <c r="A272" s="0" t="s">
        <v>130</v>
      </c>
      <c r="B272" s="0" t="n">
        <v>5</v>
      </c>
      <c r="C272" s="0" t="str">
        <f aca="false">IF('Little Explorers Kits'!C295="","",'Little Explorers Kits'!C295)</f>
        <v>Cardboard sheet</v>
      </c>
      <c r="D272" s="0" t="n">
        <f aca="false">IF('Little Explorers Kits'!D295="","",'Little Explorers Kits'!D295)</f>
        <v>1</v>
      </c>
      <c r="E272" s="0" t="str">
        <f aca="false">IF('Little Explorers Kits'!E295="","",'Little Explorers Kits'!E295)</f>
        <v>Per group</v>
      </c>
      <c r="F272" s="0" t="str">
        <f aca="false">IFERROR(INDEX('Session Tracker'!$M$5:$M$149,MATCH($A272,'Session Tracker'!$D$5:$D$149,0))+0,"")</f>
        <v/>
      </c>
      <c r="G272" s="0" t="str">
        <f aca="false">IF(ISNUMBER(F272),IF(OR(B272=0,B272=99,C272&lt;&gt;""),F272*100+B272,""),"")</f>
        <v/>
      </c>
      <c r="H272" s="0" t="n">
        <f aca="false">IFERROR(INDEX('Session Tracker'!$J$5:$J$149,MATCH($A272,'Session Tracker'!$D$5:$D$149,0)),0)</f>
        <v>8</v>
      </c>
      <c r="I272" s="0" t="n">
        <f aca="false">IF(OR(B272=0,B272=99,C272=""),"",IF(E272="Per class",D272,D272*H272))</f>
        <v>8</v>
      </c>
      <c r="N272" s="0" t="str">
        <f aca="false">IF('Little Explorers Kits'!B295="","",'Little Explorers Kits'!B295)</f>
        <v>Craft &amp; Stationery</v>
      </c>
      <c r="O272" s="0" t="str">
        <f aca="false">IF('Little Explorers Kits'!F295="","",'Little Explorers Kits'!F295)</f>
        <v>Consumable</v>
      </c>
      <c r="P272" s="0" t="str">
        <f aca="false">IF('Little Explorers Kits'!G295="","",'Little Explorers Kits'!G295)</f>
        <v>Crank / windmill</v>
      </c>
    </row>
    <row r="273" customFormat="false" ht="15" hidden="false" customHeight="false" outlineLevel="0" collapsed="false">
      <c r="A273" s="0" t="s">
        <v>130</v>
      </c>
      <c r="B273" s="0" t="n">
        <v>6</v>
      </c>
      <c r="C273" s="0" t="str">
        <f aca="false">IF('Little Explorers Kits'!C296="","",'Little Explorers Kits'!C296)</f>
        <v/>
      </c>
      <c r="D273" s="0" t="str">
        <f aca="false">IF('Little Explorers Kits'!D296="","",'Little Explorers Kits'!D296)</f>
        <v/>
      </c>
      <c r="E273" s="0" t="str">
        <f aca="false">IF('Little Explorers Kits'!E296="","",'Little Explorers Kits'!E296)</f>
        <v/>
      </c>
      <c r="F273" s="0" t="str">
        <f aca="false">IFERROR(INDEX('Session Tracker'!$M$5:$M$149,MATCH($A273,'Session Tracker'!$D$5:$D$149,0))+0,"")</f>
        <v/>
      </c>
      <c r="G273" s="0" t="str">
        <f aca="false">IF(ISNUMBER(F273),IF(OR(B273=0,B273=99,C273&lt;&gt;""),F273*100+B273,""),"")</f>
        <v/>
      </c>
      <c r="H273" s="0" t="n">
        <f aca="false">IFERROR(INDEX('Session Tracker'!$J$5:$J$149,MATCH($A273,'Session Tracker'!$D$5:$D$149,0)),0)</f>
        <v>8</v>
      </c>
      <c r="I273" s="0" t="str">
        <f aca="false">IF(OR(B273=0,B273=99,C273=""),"",IF(E273="Per class",D273,D273*H273))</f>
        <v/>
      </c>
      <c r="N273" s="0" t="str">
        <f aca="false">IF('Little Explorers Kits'!B296="","",'Little Explorers Kits'!B296)</f>
        <v/>
      </c>
      <c r="O273" s="0" t="str">
        <f aca="false">IF('Little Explorers Kits'!F296="","",'Little Explorers Kits'!F296)</f>
        <v/>
      </c>
      <c r="P273" s="0" t="str">
        <f aca="false">IF('Little Explorers Kits'!G296="","",'Little Explorers Kits'!G296)</f>
        <v/>
      </c>
    </row>
    <row r="274" customFormat="false" ht="15" hidden="false" customHeight="false" outlineLevel="0" collapsed="false">
      <c r="A274" s="0" t="s">
        <v>130</v>
      </c>
      <c r="B274" s="0" t="n">
        <v>7</v>
      </c>
      <c r="C274" s="0" t="str">
        <f aca="false">IF('Little Explorers Kits'!C297="","",'Little Explorers Kits'!C297)</f>
        <v/>
      </c>
      <c r="D274" s="0" t="str">
        <f aca="false">IF('Little Explorers Kits'!D297="","",'Little Explorers Kits'!D297)</f>
        <v/>
      </c>
      <c r="E274" s="0" t="str">
        <f aca="false">IF('Little Explorers Kits'!E297="","",'Little Explorers Kits'!E297)</f>
        <v/>
      </c>
      <c r="F274" s="0" t="str">
        <f aca="false">IFERROR(INDEX('Session Tracker'!$M$5:$M$149,MATCH($A274,'Session Tracker'!$D$5:$D$149,0))+0,"")</f>
        <v/>
      </c>
      <c r="G274" s="0" t="str">
        <f aca="false">IF(ISNUMBER(F274),IF(OR(B274=0,B274=99,C274&lt;&gt;""),F274*100+B274,""),"")</f>
        <v/>
      </c>
      <c r="H274" s="0" t="n">
        <f aca="false">IFERROR(INDEX('Session Tracker'!$J$5:$J$149,MATCH($A274,'Session Tracker'!$D$5:$D$149,0)),0)</f>
        <v>8</v>
      </c>
      <c r="I274" s="0" t="str">
        <f aca="false">IF(OR(B274=0,B274=99,C274=""),"",IF(E274="Per class",D274,D274*H274))</f>
        <v/>
      </c>
      <c r="N274" s="0" t="str">
        <f aca="false">IF('Little Explorers Kits'!B297="","",'Little Explorers Kits'!B297)</f>
        <v/>
      </c>
      <c r="O274" s="0" t="str">
        <f aca="false">IF('Little Explorers Kits'!F297="","",'Little Explorers Kits'!F297)</f>
        <v/>
      </c>
      <c r="P274" s="0" t="str">
        <f aca="false">IF('Little Explorers Kits'!G297="","",'Little Explorers Kits'!G297)</f>
        <v/>
      </c>
    </row>
    <row r="275" customFormat="false" ht="15" hidden="false" customHeight="false" outlineLevel="0" collapsed="false">
      <c r="A275" s="0" t="s">
        <v>132</v>
      </c>
      <c r="B275" s="0" t="n">
        <v>0</v>
      </c>
      <c r="F275" s="0" t="str">
        <f aca="false">IFERROR(INDEX('Session Tracker'!$M$5:$M$149,MATCH($A275,'Session Tracker'!$D$5:$D$149,0))+0,"")</f>
        <v/>
      </c>
      <c r="G275" s="0" t="str">
        <f aca="false">IF(ISNUMBER(F275),IF(OR(B275=0,B275=99,C275&lt;&gt;""),F275*100+B275,""),"")</f>
        <v/>
      </c>
      <c r="H275" s="0" t="n">
        <f aca="false">IFERROR(INDEX('Session Tracker'!$J$5:$J$149,MATCH($A275,'Session Tracker'!$D$5:$D$149,0)),0)</f>
        <v>8</v>
      </c>
      <c r="I275" s="0" t="str">
        <f aca="false">IF(OR(B275=0,B275=99,C275=""),"",IF(E275="Per class",D275,D275*H275))</f>
        <v/>
      </c>
      <c r="K275" s="0" t="str">
        <f aca="false">IFERROR(INDEX('Session Tracker'!$E$5:$E$149,MATCH($A275,'Session Tracker'!$D$5:$D$149,0)),"")</f>
        <v>My Talking Pet in Scratch</v>
      </c>
      <c r="L275" s="0" t="str">
        <f aca="false">IFERROR(INDEX('Session Tracker'!$A$5:$A$149,MATCH($A275,'Session Tracker'!$D$5:$D$149,0)),"")</f>
        <v>Little Explorers (5-7)</v>
      </c>
      <c r="M275" s="0" t="str">
        <f aca="false">IFERROR(INDEX('Session Tracker'!$H$5:$H$149,MATCH($A275,'Session Tracker'!$D$5:$D$149,0))&amp;"","")</f>
        <v/>
      </c>
      <c r="Q275" s="0" t="str">
        <f aca="false">IFERROR("Status: "&amp;INDEX('Session Tracker'!$F$5:$F$149,MATCH($A275,'Session Tracker'!$D$5:$D$149,0))&amp;IF(INDEX('Session Tracker'!$G$5:$G$149,MATCH($A275,'Session Tracker'!$D$5:$D$149,0))&lt;&gt;""," ("&amp;INDEX('Session Tracker'!$G$5:$G$149,MATCH($A275,'Session Tracker'!$D$5:$D$149,0))&amp;")","")&amp;IF(M275&lt;&gt;"","  "&amp;M275,""),"")</f>
        <v>Status: Not started</v>
      </c>
    </row>
    <row r="276" customFormat="false" ht="15" hidden="false" customHeight="false" outlineLevel="0" collapsed="false">
      <c r="A276" s="0" t="s">
        <v>132</v>
      </c>
      <c r="B276" s="0" t="n">
        <v>1</v>
      </c>
      <c r="C276" s="0" t="str">
        <f aca="false">IF('Little Explorers Kits'!C300="","",'Little Explorers Kits'!C300)</f>
        <v>Laptop</v>
      </c>
      <c r="D276" s="0" t="n">
        <f aca="false">IF('Little Explorers Kits'!D300="","",'Little Explorers Kits'!D300)</f>
        <v>1</v>
      </c>
      <c r="E276" s="0" t="str">
        <f aca="false">IF('Little Explorers Kits'!E300="","",'Little Explorers Kits'!E300)</f>
        <v>Per group</v>
      </c>
      <c r="F276" s="0" t="str">
        <f aca="false">IFERROR(INDEX('Session Tracker'!$M$5:$M$149,MATCH($A276,'Session Tracker'!$D$5:$D$149,0))+0,"")</f>
        <v/>
      </c>
      <c r="G276" s="0" t="str">
        <f aca="false">IF(ISNUMBER(F276),IF(OR(B276=0,B276=99,C276&lt;&gt;""),F276*100+B276,""),"")</f>
        <v/>
      </c>
      <c r="H276" s="0" t="n">
        <f aca="false">IFERROR(INDEX('Session Tracker'!$J$5:$J$149,MATCH($A276,'Session Tracker'!$D$5:$D$149,0)),0)</f>
        <v>8</v>
      </c>
      <c r="I276" s="0" t="n">
        <f aca="false">IF(OR(B276=0,B276=99,C276=""),"",IF(E276="Per class",D276,D276*H276))</f>
        <v>8</v>
      </c>
      <c r="N276" s="0" t="str">
        <f aca="false">IF('Little Explorers Kits'!B300="","",'Little Explorers Kits'!B300)</f>
        <v>Computers &amp; Equipment</v>
      </c>
      <c r="O276" s="0" t="str">
        <f aca="false">IF('Little Explorers Kits'!F300="","",'Little Explorers Kits'!F300)</f>
        <v>Reusable</v>
      </c>
      <c r="P276" s="0" t="str">
        <f aca="false">IF('Little Explorers Kits'!G300="","",'Little Explorers Kits'!G300)</f>
        <v/>
      </c>
    </row>
    <row r="277" customFormat="false" ht="15" hidden="false" customHeight="false" outlineLevel="0" collapsed="false">
      <c r="A277" s="0" t="s">
        <v>132</v>
      </c>
      <c r="B277" s="0" t="n">
        <v>2</v>
      </c>
      <c r="C277" s="0" t="str">
        <f aca="false">IF('Little Explorers Kits'!C301="","",'Little Explorers Kits'!C301)</f>
        <v/>
      </c>
      <c r="D277" s="0" t="str">
        <f aca="false">IF('Little Explorers Kits'!D301="","",'Little Explorers Kits'!D301)</f>
        <v/>
      </c>
      <c r="E277" s="0" t="str">
        <f aca="false">IF('Little Explorers Kits'!E301="","",'Little Explorers Kits'!E301)</f>
        <v/>
      </c>
      <c r="F277" s="0" t="str">
        <f aca="false">IFERROR(INDEX('Session Tracker'!$M$5:$M$149,MATCH($A277,'Session Tracker'!$D$5:$D$149,0))+0,"")</f>
        <v/>
      </c>
      <c r="G277" s="0" t="str">
        <f aca="false">IF(ISNUMBER(F277),IF(OR(B277=0,B277=99,C277&lt;&gt;""),F277*100+B277,""),"")</f>
        <v/>
      </c>
      <c r="H277" s="0" t="n">
        <f aca="false">IFERROR(INDEX('Session Tracker'!$J$5:$J$149,MATCH($A277,'Session Tracker'!$D$5:$D$149,0)),0)</f>
        <v>8</v>
      </c>
      <c r="I277" s="0" t="str">
        <f aca="false">IF(OR(B277=0,B277=99,C277=""),"",IF(E277="Per class",D277,D277*H277))</f>
        <v/>
      </c>
      <c r="N277" s="0" t="str">
        <f aca="false">IF('Little Explorers Kits'!B301="","",'Little Explorers Kits'!B301)</f>
        <v/>
      </c>
      <c r="O277" s="0" t="str">
        <f aca="false">IF('Little Explorers Kits'!F301="","",'Little Explorers Kits'!F301)</f>
        <v/>
      </c>
      <c r="P277" s="0" t="str">
        <f aca="false">IF('Little Explorers Kits'!G301="","",'Little Explorers Kits'!G301)</f>
        <v/>
      </c>
    </row>
    <row r="278" customFormat="false" ht="15" hidden="false" customHeight="false" outlineLevel="0" collapsed="false">
      <c r="A278" s="0" t="s">
        <v>132</v>
      </c>
      <c r="B278" s="0" t="n">
        <v>3</v>
      </c>
      <c r="C278" s="0" t="str">
        <f aca="false">IF('Little Explorers Kits'!C302="","",'Little Explorers Kits'!C302)</f>
        <v/>
      </c>
      <c r="D278" s="0" t="str">
        <f aca="false">IF('Little Explorers Kits'!D302="","",'Little Explorers Kits'!D302)</f>
        <v/>
      </c>
      <c r="E278" s="0" t="str">
        <f aca="false">IF('Little Explorers Kits'!E302="","",'Little Explorers Kits'!E302)</f>
        <v/>
      </c>
      <c r="F278" s="0" t="str">
        <f aca="false">IFERROR(INDEX('Session Tracker'!$M$5:$M$149,MATCH($A278,'Session Tracker'!$D$5:$D$149,0))+0,"")</f>
        <v/>
      </c>
      <c r="G278" s="0" t="str">
        <f aca="false">IF(ISNUMBER(F278),IF(OR(B278=0,B278=99,C278&lt;&gt;""),F278*100+B278,""),"")</f>
        <v/>
      </c>
      <c r="H278" s="0" t="n">
        <f aca="false">IFERROR(INDEX('Session Tracker'!$J$5:$J$149,MATCH($A278,'Session Tracker'!$D$5:$D$149,0)),0)</f>
        <v>8</v>
      </c>
      <c r="I278" s="0" t="str">
        <f aca="false">IF(OR(B278=0,B278=99,C278=""),"",IF(E278="Per class",D278,D278*H278))</f>
        <v/>
      </c>
      <c r="N278" s="0" t="str">
        <f aca="false">IF('Little Explorers Kits'!B302="","",'Little Explorers Kits'!B302)</f>
        <v/>
      </c>
      <c r="O278" s="0" t="str">
        <f aca="false">IF('Little Explorers Kits'!F302="","",'Little Explorers Kits'!F302)</f>
        <v/>
      </c>
      <c r="P278" s="0" t="str">
        <f aca="false">IF('Little Explorers Kits'!G302="","",'Little Explorers Kits'!G302)</f>
        <v/>
      </c>
    </row>
    <row r="279" customFormat="false" ht="15" hidden="false" customHeight="false" outlineLevel="0" collapsed="false">
      <c r="A279" s="0" t="s">
        <v>134</v>
      </c>
      <c r="B279" s="0" t="n">
        <v>0</v>
      </c>
      <c r="F279" s="0" t="str">
        <f aca="false">IFERROR(INDEX('Session Tracker'!$M$5:$M$149,MATCH($A279,'Session Tracker'!$D$5:$D$149,0))+0,"")</f>
        <v/>
      </c>
      <c r="G279" s="0" t="str">
        <f aca="false">IF(ISNUMBER(F279),IF(OR(B279=0,B279=99,C279&lt;&gt;""),F279*100+B279,""),"")</f>
        <v/>
      </c>
      <c r="H279" s="0" t="n">
        <f aca="false">IFERROR(INDEX('Session Tracker'!$J$5:$J$149,MATCH($A279,'Session Tracker'!$D$5:$D$149,0)),0)</f>
        <v>8</v>
      </c>
      <c r="I279" s="0" t="str">
        <f aca="false">IF(OR(B279=0,B279=99,C279=""),"",IF(E279="Per class",D279,D279*H279))</f>
        <v/>
      </c>
      <c r="K279" s="0" t="str">
        <f aca="false">IFERROR(INDEX('Session Tracker'!$E$5:$E$149,MATCH($A279,'Session Tracker'!$D$5:$D$149,0)),"")</f>
        <v>Pixel Messages: Send a Picture with Numbers</v>
      </c>
      <c r="L279" s="0" t="str">
        <f aca="false">IFERROR(INDEX('Session Tracker'!$A$5:$A$149,MATCH($A279,'Session Tracker'!$D$5:$D$149,0)),"")</f>
        <v>Little Explorers (5-7)</v>
      </c>
      <c r="M279" s="0" t="str">
        <f aca="false">IFERROR(INDEX('Session Tracker'!$H$5:$H$149,MATCH($A279,'Session Tracker'!$D$5:$D$149,0))&amp;"","")</f>
        <v/>
      </c>
      <c r="Q279" s="0" t="str">
        <f aca="false">IFERROR("Status: "&amp;INDEX('Session Tracker'!$F$5:$F$149,MATCH($A279,'Session Tracker'!$D$5:$D$149,0))&amp;IF(INDEX('Session Tracker'!$G$5:$G$149,MATCH($A279,'Session Tracker'!$D$5:$D$149,0))&lt;&gt;""," ("&amp;INDEX('Session Tracker'!$G$5:$G$149,MATCH($A279,'Session Tracker'!$D$5:$D$149,0))&amp;")","")&amp;IF(M279&lt;&gt;"","  "&amp;M279,""),"")</f>
        <v>Status: Not started</v>
      </c>
    </row>
    <row r="280" customFormat="false" ht="15" hidden="false" customHeight="false" outlineLevel="0" collapsed="false">
      <c r="A280" s="0" t="s">
        <v>134</v>
      </c>
      <c r="B280" s="0" t="n">
        <v>1</v>
      </c>
      <c r="C280" s="0" t="str">
        <f aca="false">IF('Little Explorers Kits'!C305="","",'Little Explorers Kits'!C305)</f>
        <v>Printed templates</v>
      </c>
      <c r="D280" s="0" t="n">
        <f aca="false">IF('Little Explorers Kits'!D305="","",'Little Explorers Kits'!D305)</f>
        <v>1</v>
      </c>
      <c r="E280" s="0" t="str">
        <f aca="false">IF('Little Explorers Kits'!E305="","",'Little Explorers Kits'!E305)</f>
        <v>Per group</v>
      </c>
      <c r="F280" s="0" t="str">
        <f aca="false">IFERROR(INDEX('Session Tracker'!$M$5:$M$149,MATCH($A280,'Session Tracker'!$D$5:$D$149,0))+0,"")</f>
        <v/>
      </c>
      <c r="G280" s="0" t="str">
        <f aca="false">IF(ISNUMBER(F280),IF(OR(B280=0,B280=99,C280&lt;&gt;""),F280*100+B280,""),"")</f>
        <v/>
      </c>
      <c r="H280" s="0" t="n">
        <f aca="false">IFERROR(INDEX('Session Tracker'!$J$5:$J$149,MATCH($A280,'Session Tracker'!$D$5:$D$149,0)),0)</f>
        <v>8</v>
      </c>
      <c r="I280" s="0" t="n">
        <f aca="false">IF(OR(B280=0,B280=99,C280=""),"",IF(E280="Per class",D280,D280*H280))</f>
        <v>8</v>
      </c>
      <c r="N280" s="0" t="str">
        <f aca="false">IF('Little Explorers Kits'!B305="","",'Little Explorers Kits'!B305)</f>
        <v>Craft &amp; Stationery</v>
      </c>
      <c r="O280" s="0" t="str">
        <f aca="false">IF('Little Explorers Kits'!F305="","",'Little Explorers Kits'!F305)</f>
        <v>Consumable</v>
      </c>
      <c r="P280" s="0" t="str">
        <f aca="false">IF('Little Explorers Kits'!G305="","",'Little Explorers Kits'!G305)</f>
        <v/>
      </c>
    </row>
    <row r="281" customFormat="false" ht="15" hidden="false" customHeight="false" outlineLevel="0" collapsed="false">
      <c r="A281" s="0" t="s">
        <v>134</v>
      </c>
      <c r="B281" s="0" t="n">
        <v>2</v>
      </c>
      <c r="C281" s="0" t="str">
        <f aca="false">IF('Little Explorers Kits'!C306="","",'Little Explorers Kits'!C306)</f>
        <v>Markers</v>
      </c>
      <c r="D281" s="0" t="n">
        <f aca="false">IF('Little Explorers Kits'!D306="","",'Little Explorers Kits'!D306)</f>
        <v>1</v>
      </c>
      <c r="E281" s="0" t="str">
        <f aca="false">IF('Little Explorers Kits'!E306="","",'Little Explorers Kits'!E306)</f>
        <v>Per group</v>
      </c>
      <c r="F281" s="0" t="str">
        <f aca="false">IFERROR(INDEX('Session Tracker'!$M$5:$M$149,MATCH($A281,'Session Tracker'!$D$5:$D$149,0))+0,"")</f>
        <v/>
      </c>
      <c r="G281" s="0" t="str">
        <f aca="false">IF(ISNUMBER(F281),IF(OR(B281=0,B281=99,C281&lt;&gt;""),F281*100+B281,""),"")</f>
        <v/>
      </c>
      <c r="H281" s="0" t="n">
        <f aca="false">IFERROR(INDEX('Session Tracker'!$J$5:$J$149,MATCH($A281,'Session Tracker'!$D$5:$D$149,0)),0)</f>
        <v>8</v>
      </c>
      <c r="I281" s="0" t="n">
        <f aca="false">IF(OR(B281=0,B281=99,C281=""),"",IF(E281="Per class",D281,D281*H281))</f>
        <v>8</v>
      </c>
      <c r="N281" s="0" t="str">
        <f aca="false">IF('Little Explorers Kits'!B306="","",'Little Explorers Kits'!B306)</f>
        <v>Craft &amp; Stationery</v>
      </c>
      <c r="O281" s="0" t="str">
        <f aca="false">IF('Little Explorers Kits'!F306="","",'Little Explorers Kits'!F306)</f>
        <v>Consumable</v>
      </c>
      <c r="P281" s="0" t="str">
        <f aca="false">IF('Little Explorers Kits'!G306="","",'Little Explorers Kits'!G306)</f>
        <v/>
      </c>
    </row>
    <row r="282" customFormat="false" ht="15" hidden="false" customHeight="false" outlineLevel="0" collapsed="false">
      <c r="A282" s="0" t="s">
        <v>134</v>
      </c>
      <c r="B282" s="0" t="n">
        <v>3</v>
      </c>
      <c r="C282" s="0" t="str">
        <f aca="false">IF('Little Explorers Kits'!C307="","",'Little Explorers Kits'!C307)</f>
        <v/>
      </c>
      <c r="D282" s="0" t="str">
        <f aca="false">IF('Little Explorers Kits'!D307="","",'Little Explorers Kits'!D307)</f>
        <v/>
      </c>
      <c r="E282" s="0" t="str">
        <f aca="false">IF('Little Explorers Kits'!E307="","",'Little Explorers Kits'!E307)</f>
        <v/>
      </c>
      <c r="F282" s="0" t="str">
        <f aca="false">IFERROR(INDEX('Session Tracker'!$M$5:$M$149,MATCH($A282,'Session Tracker'!$D$5:$D$149,0))+0,"")</f>
        <v/>
      </c>
      <c r="G282" s="0" t="str">
        <f aca="false">IF(ISNUMBER(F282),IF(OR(B282=0,B282=99,C282&lt;&gt;""),F282*100+B282,""),"")</f>
        <v/>
      </c>
      <c r="H282" s="0" t="n">
        <f aca="false">IFERROR(INDEX('Session Tracker'!$J$5:$J$149,MATCH($A282,'Session Tracker'!$D$5:$D$149,0)),0)</f>
        <v>8</v>
      </c>
      <c r="I282" s="0" t="str">
        <f aca="false">IF(OR(B282=0,B282=99,C282=""),"",IF(E282="Per class",D282,D282*H282))</f>
        <v/>
      </c>
      <c r="N282" s="0" t="str">
        <f aca="false">IF('Little Explorers Kits'!B307="","",'Little Explorers Kits'!B307)</f>
        <v/>
      </c>
      <c r="O282" s="0" t="str">
        <f aca="false">IF('Little Explorers Kits'!F307="","",'Little Explorers Kits'!F307)</f>
        <v/>
      </c>
      <c r="P282" s="0" t="str">
        <f aca="false">IF('Little Explorers Kits'!G307="","",'Little Explorers Kits'!G307)</f>
        <v/>
      </c>
    </row>
    <row r="283" customFormat="false" ht="15" hidden="false" customHeight="false" outlineLevel="0" collapsed="false">
      <c r="A283" s="0" t="s">
        <v>134</v>
      </c>
      <c r="B283" s="0" t="n">
        <v>4</v>
      </c>
      <c r="C283" s="0" t="str">
        <f aca="false">IF('Little Explorers Kits'!C308="","",'Little Explorers Kits'!C308)</f>
        <v/>
      </c>
      <c r="D283" s="0" t="str">
        <f aca="false">IF('Little Explorers Kits'!D308="","",'Little Explorers Kits'!D308)</f>
        <v/>
      </c>
      <c r="E283" s="0" t="str">
        <f aca="false">IF('Little Explorers Kits'!E308="","",'Little Explorers Kits'!E308)</f>
        <v/>
      </c>
      <c r="F283" s="0" t="str">
        <f aca="false">IFERROR(INDEX('Session Tracker'!$M$5:$M$149,MATCH($A283,'Session Tracker'!$D$5:$D$149,0))+0,"")</f>
        <v/>
      </c>
      <c r="G283" s="0" t="str">
        <f aca="false">IF(ISNUMBER(F283),IF(OR(B283=0,B283=99,C283&lt;&gt;""),F283*100+B283,""),"")</f>
        <v/>
      </c>
      <c r="H283" s="0" t="n">
        <f aca="false">IFERROR(INDEX('Session Tracker'!$J$5:$J$149,MATCH($A283,'Session Tracker'!$D$5:$D$149,0)),0)</f>
        <v>8</v>
      </c>
      <c r="I283" s="0" t="str">
        <f aca="false">IF(OR(B283=0,B283=99,C283=""),"",IF(E283="Per class",D283,D283*H283))</f>
        <v/>
      </c>
      <c r="N283" s="0" t="str">
        <f aca="false">IF('Little Explorers Kits'!B308="","",'Little Explorers Kits'!B308)</f>
        <v/>
      </c>
      <c r="O283" s="0" t="str">
        <f aca="false">IF('Little Explorers Kits'!F308="","",'Little Explorers Kits'!F308)</f>
        <v/>
      </c>
      <c r="P283" s="0" t="str">
        <f aca="false">IF('Little Explorers Kits'!G308="","",'Little Explorers Kits'!G308)</f>
        <v/>
      </c>
    </row>
    <row r="284" customFormat="false" ht="15" hidden="false" customHeight="false" outlineLevel="0" collapsed="false">
      <c r="A284" s="0" t="s">
        <v>136</v>
      </c>
      <c r="B284" s="0" t="n">
        <v>0</v>
      </c>
      <c r="F284" s="0" t="str">
        <f aca="false">IFERROR(INDEX('Session Tracker'!$M$5:$M$149,MATCH($A284,'Session Tracker'!$D$5:$D$149,0))+0,"")</f>
        <v/>
      </c>
      <c r="G284" s="0" t="str">
        <f aca="false">IF(ISNUMBER(F284),IF(OR(B284=0,B284=99,C284&lt;&gt;""),F284*100+B284,""),"")</f>
        <v/>
      </c>
      <c r="H284" s="0" t="n">
        <f aca="false">IFERROR(INDEX('Session Tracker'!$J$5:$J$149,MATCH($A284,'Session Tracker'!$D$5:$D$149,0)),0)</f>
        <v>8</v>
      </c>
      <c r="I284" s="0" t="str">
        <f aca="false">IF(OR(B284=0,B284=99,C284=""),"",IF(E284="Per class",D284,D284*H284))</f>
        <v/>
      </c>
      <c r="K284" s="0" t="str">
        <f aca="false">IFERROR(INDEX('Session Tracker'!$E$5:$E$149,MATCH($A284,'Session Tracker'!$D$5:$D$149,0)),"")</f>
        <v>Pop the Bubbles with Your Hand</v>
      </c>
      <c r="L284" s="0" t="str">
        <f aca="false">IFERROR(INDEX('Session Tracker'!$A$5:$A$149,MATCH($A284,'Session Tracker'!$D$5:$D$149,0)),"")</f>
        <v>Little Explorers (5-7)</v>
      </c>
      <c r="M284" s="0" t="str">
        <f aca="false">IFERROR(INDEX('Session Tracker'!$H$5:$H$149,MATCH($A284,'Session Tracker'!$D$5:$D$149,0))&amp;"","")</f>
        <v/>
      </c>
      <c r="Q284" s="0" t="str">
        <f aca="false">IFERROR("Status: "&amp;INDEX('Session Tracker'!$F$5:$F$149,MATCH($A284,'Session Tracker'!$D$5:$D$149,0))&amp;IF(INDEX('Session Tracker'!$G$5:$G$149,MATCH($A284,'Session Tracker'!$D$5:$D$149,0))&lt;&gt;""," ("&amp;INDEX('Session Tracker'!$G$5:$G$149,MATCH($A284,'Session Tracker'!$D$5:$D$149,0))&amp;")","")&amp;IF(M284&lt;&gt;"","  "&amp;M284,""),"")</f>
        <v>Status: Not started</v>
      </c>
    </row>
    <row r="285" customFormat="false" ht="15" hidden="false" customHeight="false" outlineLevel="0" collapsed="false">
      <c r="A285" s="0" t="s">
        <v>136</v>
      </c>
      <c r="B285" s="0" t="n">
        <v>1</v>
      </c>
      <c r="C285" s="0" t="str">
        <f aca="false">IF('Little Explorers Kits'!C311="","",'Little Explorers Kits'!C311)</f>
        <v>Laptop</v>
      </c>
      <c r="D285" s="0" t="n">
        <f aca="false">IF('Little Explorers Kits'!D311="","",'Little Explorers Kits'!D311)</f>
        <v>1</v>
      </c>
      <c r="E285" s="0" t="str">
        <f aca="false">IF('Little Explorers Kits'!E311="","",'Little Explorers Kits'!E311)</f>
        <v>Per group</v>
      </c>
      <c r="F285" s="0" t="str">
        <f aca="false">IFERROR(INDEX('Session Tracker'!$M$5:$M$149,MATCH($A285,'Session Tracker'!$D$5:$D$149,0))+0,"")</f>
        <v/>
      </c>
      <c r="G285" s="0" t="str">
        <f aca="false">IF(ISNUMBER(F285),IF(OR(B285=0,B285=99,C285&lt;&gt;""),F285*100+B285,""),"")</f>
        <v/>
      </c>
      <c r="H285" s="0" t="n">
        <f aca="false">IFERROR(INDEX('Session Tracker'!$J$5:$J$149,MATCH($A285,'Session Tracker'!$D$5:$D$149,0)),0)</f>
        <v>8</v>
      </c>
      <c r="I285" s="0" t="n">
        <f aca="false">IF(OR(B285=0,B285=99,C285=""),"",IF(E285="Per class",D285,D285*H285))</f>
        <v>8</v>
      </c>
      <c r="N285" s="0" t="str">
        <f aca="false">IF('Little Explorers Kits'!B311="","",'Little Explorers Kits'!B311)</f>
        <v>Computers &amp; Equipment</v>
      </c>
      <c r="O285" s="0" t="str">
        <f aca="false">IF('Little Explorers Kits'!F311="","",'Little Explorers Kits'!F311)</f>
        <v>Reusable</v>
      </c>
      <c r="P285" s="0" t="str">
        <f aca="false">IF('Little Explorers Kits'!G311="","",'Little Explorers Kits'!G311)</f>
        <v/>
      </c>
    </row>
    <row r="286" customFormat="false" ht="15" hidden="false" customHeight="false" outlineLevel="0" collapsed="false">
      <c r="A286" s="0" t="s">
        <v>136</v>
      </c>
      <c r="B286" s="0" t="n">
        <v>2</v>
      </c>
      <c r="C286" s="0" t="str">
        <f aca="false">IF('Little Explorers Kits'!C312="","",'Little Explorers Kits'!C312)</f>
        <v>Webcam</v>
      </c>
      <c r="D286" s="0" t="n">
        <f aca="false">IF('Little Explorers Kits'!D312="","",'Little Explorers Kits'!D312)</f>
        <v>1</v>
      </c>
      <c r="E286" s="0" t="str">
        <f aca="false">IF('Little Explorers Kits'!E312="","",'Little Explorers Kits'!E312)</f>
        <v>Per group</v>
      </c>
      <c r="F286" s="0" t="str">
        <f aca="false">IFERROR(INDEX('Session Tracker'!$M$5:$M$149,MATCH($A286,'Session Tracker'!$D$5:$D$149,0))+0,"")</f>
        <v/>
      </c>
      <c r="G286" s="0" t="str">
        <f aca="false">IF(ISNUMBER(F286),IF(OR(B286=0,B286=99,C286&lt;&gt;""),F286*100+B286,""),"")</f>
        <v/>
      </c>
      <c r="H286" s="0" t="n">
        <f aca="false">IFERROR(INDEX('Session Tracker'!$J$5:$J$149,MATCH($A286,'Session Tracker'!$D$5:$D$149,0)),0)</f>
        <v>8</v>
      </c>
      <c r="I286" s="0" t="n">
        <f aca="false">IF(OR(B286=0,B286=99,C286=""),"",IF(E286="Per class",D286,D286*H286))</f>
        <v>8</v>
      </c>
      <c r="N286" s="0" t="str">
        <f aca="false">IF('Little Explorers Kits'!B312="","",'Little Explorers Kits'!B312)</f>
        <v>Computers &amp; Equipment</v>
      </c>
      <c r="O286" s="0" t="str">
        <f aca="false">IF('Little Explorers Kits'!F312="","",'Little Explorers Kits'!F312)</f>
        <v>Reusable</v>
      </c>
      <c r="P286" s="0" t="str">
        <f aca="false">IF('Little Explorers Kits'!G312="","",'Little Explorers Kits'!G312)</f>
        <v>Or built-in camera</v>
      </c>
    </row>
    <row r="287" customFormat="false" ht="15" hidden="false" customHeight="false" outlineLevel="0" collapsed="false">
      <c r="A287" s="0" t="s">
        <v>136</v>
      </c>
      <c r="B287" s="0" t="n">
        <v>3</v>
      </c>
      <c r="C287" s="0" t="str">
        <f aca="false">IF('Little Explorers Kits'!C313="","",'Little Explorers Kits'!C313)</f>
        <v/>
      </c>
      <c r="D287" s="0" t="str">
        <f aca="false">IF('Little Explorers Kits'!D313="","",'Little Explorers Kits'!D313)</f>
        <v/>
      </c>
      <c r="E287" s="0" t="str">
        <f aca="false">IF('Little Explorers Kits'!E313="","",'Little Explorers Kits'!E313)</f>
        <v/>
      </c>
      <c r="F287" s="0" t="str">
        <f aca="false">IFERROR(INDEX('Session Tracker'!$M$5:$M$149,MATCH($A287,'Session Tracker'!$D$5:$D$149,0))+0,"")</f>
        <v/>
      </c>
      <c r="G287" s="0" t="str">
        <f aca="false">IF(ISNUMBER(F287),IF(OR(B287=0,B287=99,C287&lt;&gt;""),F287*100+B287,""),"")</f>
        <v/>
      </c>
      <c r="H287" s="0" t="n">
        <f aca="false">IFERROR(INDEX('Session Tracker'!$J$5:$J$149,MATCH($A287,'Session Tracker'!$D$5:$D$149,0)),0)</f>
        <v>8</v>
      </c>
      <c r="I287" s="0" t="str">
        <f aca="false">IF(OR(B287=0,B287=99,C287=""),"",IF(E287="Per class",D287,D287*H287))</f>
        <v/>
      </c>
      <c r="N287" s="0" t="str">
        <f aca="false">IF('Little Explorers Kits'!B313="","",'Little Explorers Kits'!B313)</f>
        <v/>
      </c>
      <c r="O287" s="0" t="str">
        <f aca="false">IF('Little Explorers Kits'!F313="","",'Little Explorers Kits'!F313)</f>
        <v/>
      </c>
      <c r="P287" s="0" t="str">
        <f aca="false">IF('Little Explorers Kits'!G313="","",'Little Explorers Kits'!G313)</f>
        <v/>
      </c>
    </row>
    <row r="288" customFormat="false" ht="15" hidden="false" customHeight="false" outlineLevel="0" collapsed="false">
      <c r="A288" s="0" t="s">
        <v>136</v>
      </c>
      <c r="B288" s="0" t="n">
        <v>4</v>
      </c>
      <c r="C288" s="0" t="str">
        <f aca="false">IF('Little Explorers Kits'!C314="","",'Little Explorers Kits'!C314)</f>
        <v/>
      </c>
      <c r="D288" s="0" t="str">
        <f aca="false">IF('Little Explorers Kits'!D314="","",'Little Explorers Kits'!D314)</f>
        <v/>
      </c>
      <c r="E288" s="0" t="str">
        <f aca="false">IF('Little Explorers Kits'!E314="","",'Little Explorers Kits'!E314)</f>
        <v/>
      </c>
      <c r="F288" s="0" t="str">
        <f aca="false">IFERROR(INDEX('Session Tracker'!$M$5:$M$149,MATCH($A288,'Session Tracker'!$D$5:$D$149,0))+0,"")</f>
        <v/>
      </c>
      <c r="G288" s="0" t="str">
        <f aca="false">IF(ISNUMBER(F288),IF(OR(B288=0,B288=99,C288&lt;&gt;""),F288*100+B288,""),"")</f>
        <v/>
      </c>
      <c r="H288" s="0" t="n">
        <f aca="false">IFERROR(INDEX('Session Tracker'!$J$5:$J$149,MATCH($A288,'Session Tracker'!$D$5:$D$149,0)),0)</f>
        <v>8</v>
      </c>
      <c r="I288" s="0" t="str">
        <f aca="false">IF(OR(B288=0,B288=99,C288=""),"",IF(E288="Per class",D288,D288*H288))</f>
        <v/>
      </c>
      <c r="N288" s="0" t="str">
        <f aca="false">IF('Little Explorers Kits'!B314="","",'Little Explorers Kits'!B314)</f>
        <v/>
      </c>
      <c r="O288" s="0" t="str">
        <f aca="false">IF('Little Explorers Kits'!F314="","",'Little Explorers Kits'!F314)</f>
        <v/>
      </c>
      <c r="P288" s="0" t="str">
        <f aca="false">IF('Little Explorers Kits'!G314="","",'Little Explorers Kits'!G314)</f>
        <v/>
      </c>
    </row>
    <row r="289" customFormat="false" ht="15" hidden="false" customHeight="false" outlineLevel="0" collapsed="false">
      <c r="A289" s="0" t="s">
        <v>138</v>
      </c>
      <c r="B289" s="0" t="n">
        <v>0</v>
      </c>
      <c r="F289" s="0" t="str">
        <f aca="false">IFERROR(INDEX('Session Tracker'!$M$5:$M$149,MATCH($A289,'Session Tracker'!$D$5:$D$149,0))+0,"")</f>
        <v/>
      </c>
      <c r="G289" s="0" t="str">
        <f aca="false">IF(ISNUMBER(F289),IF(OR(B289=0,B289=99,C289&lt;&gt;""),F289*100+B289,""),"")</f>
        <v/>
      </c>
      <c r="H289" s="0" t="n">
        <f aca="false">IFERROR(INDEX('Session Tracker'!$J$5:$J$149,MATCH($A289,'Session Tracker'!$D$5:$D$149,0)),0)</f>
        <v>8</v>
      </c>
      <c r="I289" s="0" t="str">
        <f aca="false">IF(OR(B289=0,B289=99,C289=""),"",IF(E289="Per class",D289,D289*H289))</f>
        <v/>
      </c>
      <c r="K289" s="0" t="str">
        <f aca="false">IFERROR(INDEX('Session Tracker'!$E$5:$E$149,MATCH($A289,'Session Tracker'!$D$5:$D$149,0)),"")</f>
        <v>Cardboard Automaton: Cams and Cranks</v>
      </c>
      <c r="L289" s="0" t="str">
        <f aca="false">IFERROR(INDEX('Session Tracker'!$A$5:$A$149,MATCH($A289,'Session Tracker'!$D$5:$D$149,0)),"")</f>
        <v>Little Explorers (5-7)</v>
      </c>
      <c r="M289" s="0" t="str">
        <f aca="false">IFERROR(INDEX('Session Tracker'!$H$5:$H$149,MATCH($A289,'Session Tracker'!$D$5:$D$149,0))&amp;"","")</f>
        <v/>
      </c>
      <c r="Q289" s="0" t="str">
        <f aca="false">IFERROR("Status: "&amp;INDEX('Session Tracker'!$F$5:$F$149,MATCH($A289,'Session Tracker'!$D$5:$D$149,0))&amp;IF(INDEX('Session Tracker'!$G$5:$G$149,MATCH($A289,'Session Tracker'!$D$5:$D$149,0))&lt;&gt;""," ("&amp;INDEX('Session Tracker'!$G$5:$G$149,MATCH($A289,'Session Tracker'!$D$5:$D$149,0))&amp;")","")&amp;IF(M289&lt;&gt;"","  "&amp;M289,""),"")</f>
        <v>Status: Not started</v>
      </c>
    </row>
    <row r="290" customFormat="false" ht="15" hidden="false" customHeight="false" outlineLevel="0" collapsed="false">
      <c r="A290" s="0" t="s">
        <v>138</v>
      </c>
      <c r="B290" s="0" t="n">
        <v>1</v>
      </c>
      <c r="C290" s="0" t="str">
        <f aca="false">IF('Little Explorers Kits'!C317="","",'Little Explorers Kits'!C317)</f>
        <v>Cardboard sheet</v>
      </c>
      <c r="D290" s="0" t="n">
        <f aca="false">IF('Little Explorers Kits'!D317="","",'Little Explorers Kits'!D317)</f>
        <v>1</v>
      </c>
      <c r="E290" s="0" t="str">
        <f aca="false">IF('Little Explorers Kits'!E317="","",'Little Explorers Kits'!E317)</f>
        <v>Per group</v>
      </c>
      <c r="F290" s="0" t="str">
        <f aca="false">IFERROR(INDEX('Session Tracker'!$M$5:$M$149,MATCH($A290,'Session Tracker'!$D$5:$D$149,0))+0,"")</f>
        <v/>
      </c>
      <c r="G290" s="0" t="str">
        <f aca="false">IF(ISNUMBER(F290),IF(OR(B290=0,B290=99,C290&lt;&gt;""),F290*100+B290,""),"")</f>
        <v/>
      </c>
      <c r="H290" s="0" t="n">
        <f aca="false">IFERROR(INDEX('Session Tracker'!$J$5:$J$149,MATCH($A290,'Session Tracker'!$D$5:$D$149,0)),0)</f>
        <v>8</v>
      </c>
      <c r="I290" s="0" t="n">
        <f aca="false">IF(OR(B290=0,B290=99,C290=""),"",IF(E290="Per class",D290,D290*H290))</f>
        <v>8</v>
      </c>
      <c r="N290" s="0" t="str">
        <f aca="false">IF('Little Explorers Kits'!B317="","",'Little Explorers Kits'!B317)</f>
        <v>Craft &amp; Stationery</v>
      </c>
      <c r="O290" s="0" t="str">
        <f aca="false">IF('Little Explorers Kits'!F317="","",'Little Explorers Kits'!F317)</f>
        <v>Consumable</v>
      </c>
      <c r="P290" s="0" t="str">
        <f aca="false">IF('Little Explorers Kits'!G317="","",'Little Explorers Kits'!G317)</f>
        <v/>
      </c>
    </row>
    <row r="291" customFormat="false" ht="15" hidden="false" customHeight="false" outlineLevel="0" collapsed="false">
      <c r="A291" s="0" t="s">
        <v>138</v>
      </c>
      <c r="B291" s="0" t="n">
        <v>2</v>
      </c>
      <c r="C291" s="0" t="str">
        <f aca="false">IF('Little Explorers Kits'!C318="","",'Little Explorers Kits'!C318)</f>
        <v>Wooden skewers</v>
      </c>
      <c r="D291" s="0" t="n">
        <f aca="false">IF('Little Explorers Kits'!D318="","",'Little Explorers Kits'!D318)</f>
        <v>3</v>
      </c>
      <c r="E291" s="0" t="str">
        <f aca="false">IF('Little Explorers Kits'!E318="","",'Little Explorers Kits'!E318)</f>
        <v>Per group</v>
      </c>
      <c r="F291" s="0" t="str">
        <f aca="false">IFERROR(INDEX('Session Tracker'!$M$5:$M$149,MATCH($A291,'Session Tracker'!$D$5:$D$149,0))+0,"")</f>
        <v/>
      </c>
      <c r="G291" s="0" t="str">
        <f aca="false">IF(ISNUMBER(F291),IF(OR(B291=0,B291=99,C291&lt;&gt;""),F291*100+B291,""),"")</f>
        <v/>
      </c>
      <c r="H291" s="0" t="n">
        <f aca="false">IFERROR(INDEX('Session Tracker'!$J$5:$J$149,MATCH($A291,'Session Tracker'!$D$5:$D$149,0)),0)</f>
        <v>8</v>
      </c>
      <c r="I291" s="0" t="n">
        <f aca="false">IF(OR(B291=0,B291=99,C291=""),"",IF(E291="Per class",D291,D291*H291))</f>
        <v>24</v>
      </c>
      <c r="N291" s="0" t="str">
        <f aca="false">IF('Little Explorers Kits'!B318="","",'Little Explorers Kits'!B318)</f>
        <v>Craft &amp; Stationery</v>
      </c>
      <c r="O291" s="0" t="str">
        <f aca="false">IF('Little Explorers Kits'!F318="","",'Little Explorers Kits'!F318)</f>
        <v>Consumable</v>
      </c>
      <c r="P291" s="0" t="str">
        <f aca="false">IF('Little Explorers Kits'!G318="","",'Little Explorers Kits'!G318)</f>
        <v/>
      </c>
    </row>
    <row r="292" customFormat="false" ht="15" hidden="false" customHeight="false" outlineLevel="0" collapsed="false">
      <c r="A292" s="0" t="s">
        <v>138</v>
      </c>
      <c r="B292" s="0" t="n">
        <v>3</v>
      </c>
      <c r="C292" s="0" t="str">
        <f aca="false">IF('Little Explorers Kits'!C319="","",'Little Explorers Kits'!C319)</f>
        <v>Straws</v>
      </c>
      <c r="D292" s="0" t="n">
        <f aca="false">IF('Little Explorers Kits'!D319="","",'Little Explorers Kits'!D319)</f>
        <v>2</v>
      </c>
      <c r="E292" s="0" t="str">
        <f aca="false">IF('Little Explorers Kits'!E319="","",'Little Explorers Kits'!E319)</f>
        <v>Per group</v>
      </c>
      <c r="F292" s="0" t="str">
        <f aca="false">IFERROR(INDEX('Session Tracker'!$M$5:$M$149,MATCH($A292,'Session Tracker'!$D$5:$D$149,0))+0,"")</f>
        <v/>
      </c>
      <c r="G292" s="0" t="str">
        <f aca="false">IF(ISNUMBER(F292),IF(OR(B292=0,B292=99,C292&lt;&gt;""),F292*100+B292,""),"")</f>
        <v/>
      </c>
      <c r="H292" s="0" t="n">
        <f aca="false">IFERROR(INDEX('Session Tracker'!$J$5:$J$149,MATCH($A292,'Session Tracker'!$D$5:$D$149,0)),0)</f>
        <v>8</v>
      </c>
      <c r="I292" s="0" t="n">
        <f aca="false">IF(OR(B292=0,B292=99,C292=""),"",IF(E292="Per class",D292,D292*H292))</f>
        <v>16</v>
      </c>
      <c r="N292" s="0" t="str">
        <f aca="false">IF('Little Explorers Kits'!B319="","",'Little Explorers Kits'!B319)</f>
        <v>Craft &amp; Stationery</v>
      </c>
      <c r="O292" s="0" t="str">
        <f aca="false">IF('Little Explorers Kits'!F319="","",'Little Explorers Kits'!F319)</f>
        <v>Consumable</v>
      </c>
      <c r="P292" s="0" t="str">
        <f aca="false">IF('Little Explorers Kits'!G319="","",'Little Explorers Kits'!G319)</f>
        <v/>
      </c>
    </row>
    <row r="293" customFormat="false" ht="15" hidden="false" customHeight="false" outlineLevel="0" collapsed="false">
      <c r="A293" s="0" t="s">
        <v>138</v>
      </c>
      <c r="B293" s="0" t="n">
        <v>4</v>
      </c>
      <c r="C293" s="0" t="str">
        <f aca="false">IF('Little Explorers Kits'!C320="","",'Little Explorers Kits'!C320)</f>
        <v>Glue gun + glue sticks</v>
      </c>
      <c r="D293" s="0" t="n">
        <f aca="false">IF('Little Explorers Kits'!D320="","",'Little Explorers Kits'!D320)</f>
        <v>1</v>
      </c>
      <c r="E293" s="0" t="str">
        <f aca="false">IF('Little Explorers Kits'!E320="","",'Little Explorers Kits'!E320)</f>
        <v>Per class</v>
      </c>
      <c r="F293" s="0" t="str">
        <f aca="false">IFERROR(INDEX('Session Tracker'!$M$5:$M$149,MATCH($A293,'Session Tracker'!$D$5:$D$149,0))+0,"")</f>
        <v/>
      </c>
      <c r="G293" s="0" t="str">
        <f aca="false">IF(ISNUMBER(F293),IF(OR(B293=0,B293=99,C293&lt;&gt;""),F293*100+B293,""),"")</f>
        <v/>
      </c>
      <c r="H293" s="0" t="n">
        <f aca="false">IFERROR(INDEX('Session Tracker'!$J$5:$J$149,MATCH($A293,'Session Tracker'!$D$5:$D$149,0)),0)</f>
        <v>8</v>
      </c>
      <c r="I293" s="0" t="n">
        <f aca="false">IF(OR(B293=0,B293=99,C293=""),"",IF(E293="Per class",D293,D293*H293))</f>
        <v>1</v>
      </c>
      <c r="N293" s="0" t="str">
        <f aca="false">IF('Little Explorers Kits'!B320="","",'Little Explorers Kits'!B320)</f>
        <v>Computers &amp; Equipment</v>
      </c>
      <c r="O293" s="0" t="str">
        <f aca="false">IF('Little Explorers Kits'!F320="","",'Little Explorers Kits'!F320)</f>
        <v>Reusable</v>
      </c>
      <c r="P293" s="0" t="str">
        <f aca="false">IF('Little Explorers Kits'!G320="","",'Little Explorers Kits'!G320)</f>
        <v>Teacher only</v>
      </c>
    </row>
    <row r="294" customFormat="false" ht="15" hidden="false" customHeight="false" outlineLevel="0" collapsed="false">
      <c r="A294" s="0" t="s">
        <v>138</v>
      </c>
      <c r="B294" s="0" t="n">
        <v>5</v>
      </c>
      <c r="C294" s="0" t="str">
        <f aca="false">IF('Little Explorers Kits'!C321="","",'Little Explorers Kits'!C321)</f>
        <v>Markers</v>
      </c>
      <c r="D294" s="0" t="n">
        <f aca="false">IF('Little Explorers Kits'!D321="","",'Little Explorers Kits'!D321)</f>
        <v>1</v>
      </c>
      <c r="E294" s="0" t="str">
        <f aca="false">IF('Little Explorers Kits'!E321="","",'Little Explorers Kits'!E321)</f>
        <v>Per group</v>
      </c>
      <c r="F294" s="0" t="str">
        <f aca="false">IFERROR(INDEX('Session Tracker'!$M$5:$M$149,MATCH($A294,'Session Tracker'!$D$5:$D$149,0))+0,"")</f>
        <v/>
      </c>
      <c r="G294" s="0" t="str">
        <f aca="false">IF(ISNUMBER(F294),IF(OR(B294=0,B294=99,C294&lt;&gt;""),F294*100+B294,""),"")</f>
        <v/>
      </c>
      <c r="H294" s="0" t="n">
        <f aca="false">IFERROR(INDEX('Session Tracker'!$J$5:$J$149,MATCH($A294,'Session Tracker'!$D$5:$D$149,0)),0)</f>
        <v>8</v>
      </c>
      <c r="I294" s="0" t="n">
        <f aca="false">IF(OR(B294=0,B294=99,C294=""),"",IF(E294="Per class",D294,D294*H294))</f>
        <v>8</v>
      </c>
      <c r="N294" s="0" t="str">
        <f aca="false">IF('Little Explorers Kits'!B321="","",'Little Explorers Kits'!B321)</f>
        <v>Craft &amp; Stationery</v>
      </c>
      <c r="O294" s="0" t="str">
        <f aca="false">IF('Little Explorers Kits'!F321="","",'Little Explorers Kits'!F321)</f>
        <v>Consumable</v>
      </c>
      <c r="P294" s="0" t="str">
        <f aca="false">IF('Little Explorers Kits'!G321="","",'Little Explorers Kits'!G321)</f>
        <v/>
      </c>
    </row>
    <row r="295" customFormat="false" ht="15" hidden="false" customHeight="false" outlineLevel="0" collapsed="false">
      <c r="A295" s="0" t="s">
        <v>138</v>
      </c>
      <c r="B295" s="0" t="n">
        <v>6</v>
      </c>
      <c r="C295" s="0" t="str">
        <f aca="false">IF('Little Explorers Kits'!C322="","",'Little Explorers Kits'!C322)</f>
        <v/>
      </c>
      <c r="D295" s="0" t="str">
        <f aca="false">IF('Little Explorers Kits'!D322="","",'Little Explorers Kits'!D322)</f>
        <v/>
      </c>
      <c r="E295" s="0" t="str">
        <f aca="false">IF('Little Explorers Kits'!E322="","",'Little Explorers Kits'!E322)</f>
        <v/>
      </c>
      <c r="F295" s="0" t="str">
        <f aca="false">IFERROR(INDEX('Session Tracker'!$M$5:$M$149,MATCH($A295,'Session Tracker'!$D$5:$D$149,0))+0,"")</f>
        <v/>
      </c>
      <c r="G295" s="0" t="str">
        <f aca="false">IF(ISNUMBER(F295),IF(OR(B295=0,B295=99,C295&lt;&gt;""),F295*100+B295,""),"")</f>
        <v/>
      </c>
      <c r="H295" s="0" t="n">
        <f aca="false">IFERROR(INDEX('Session Tracker'!$J$5:$J$149,MATCH($A295,'Session Tracker'!$D$5:$D$149,0)),0)</f>
        <v>8</v>
      </c>
      <c r="I295" s="0" t="str">
        <f aca="false">IF(OR(B295=0,B295=99,C295=""),"",IF(E295="Per class",D295,D295*H295))</f>
        <v/>
      </c>
      <c r="N295" s="0" t="str">
        <f aca="false">IF('Little Explorers Kits'!B322="","",'Little Explorers Kits'!B322)</f>
        <v/>
      </c>
      <c r="O295" s="0" t="str">
        <f aca="false">IF('Little Explorers Kits'!F322="","",'Little Explorers Kits'!F322)</f>
        <v/>
      </c>
      <c r="P295" s="0" t="str">
        <f aca="false">IF('Little Explorers Kits'!G322="","",'Little Explorers Kits'!G322)</f>
        <v/>
      </c>
    </row>
    <row r="296" customFormat="false" ht="15" hidden="false" customHeight="false" outlineLevel="0" collapsed="false">
      <c r="A296" s="0" t="s">
        <v>138</v>
      </c>
      <c r="B296" s="0" t="n">
        <v>7</v>
      </c>
      <c r="C296" s="0" t="str">
        <f aca="false">IF('Little Explorers Kits'!C323="","",'Little Explorers Kits'!C323)</f>
        <v/>
      </c>
      <c r="D296" s="0" t="str">
        <f aca="false">IF('Little Explorers Kits'!D323="","",'Little Explorers Kits'!D323)</f>
        <v/>
      </c>
      <c r="E296" s="0" t="str">
        <f aca="false">IF('Little Explorers Kits'!E323="","",'Little Explorers Kits'!E323)</f>
        <v/>
      </c>
      <c r="F296" s="0" t="str">
        <f aca="false">IFERROR(INDEX('Session Tracker'!$M$5:$M$149,MATCH($A296,'Session Tracker'!$D$5:$D$149,0))+0,"")</f>
        <v/>
      </c>
      <c r="G296" s="0" t="str">
        <f aca="false">IF(ISNUMBER(F296),IF(OR(B296=0,B296=99,C296&lt;&gt;""),F296*100+B296,""),"")</f>
        <v/>
      </c>
      <c r="H296" s="0" t="n">
        <f aca="false">IFERROR(INDEX('Session Tracker'!$J$5:$J$149,MATCH($A296,'Session Tracker'!$D$5:$D$149,0)),0)</f>
        <v>8</v>
      </c>
      <c r="I296" s="0" t="str">
        <f aca="false">IF(OR(B296=0,B296=99,C296=""),"",IF(E296="Per class",D296,D296*H296))</f>
        <v/>
      </c>
      <c r="N296" s="0" t="str">
        <f aca="false">IF('Little Explorers Kits'!B323="","",'Little Explorers Kits'!B323)</f>
        <v/>
      </c>
      <c r="O296" s="0" t="str">
        <f aca="false">IF('Little Explorers Kits'!F323="","",'Little Explorers Kits'!F323)</f>
        <v/>
      </c>
      <c r="P296" s="0" t="str">
        <f aca="false">IF('Little Explorers Kits'!G323="","",'Little Explorers Kits'!G323)</f>
        <v/>
      </c>
    </row>
    <row r="297" customFormat="false" ht="15" hidden="false" customHeight="false" outlineLevel="0" collapsed="false">
      <c r="A297" s="0" t="s">
        <v>140</v>
      </c>
      <c r="B297" s="0" t="n">
        <v>0</v>
      </c>
      <c r="F297" s="0" t="str">
        <f aca="false">IFERROR(INDEX('Session Tracker'!$M$5:$M$149,MATCH($A297,'Session Tracker'!$D$5:$D$149,0))+0,"")</f>
        <v/>
      </c>
      <c r="G297" s="0" t="str">
        <f aca="false">IF(ISNUMBER(F297),IF(OR(B297=0,B297=99,C297&lt;&gt;""),F297*100+B297,""),"")</f>
        <v/>
      </c>
      <c r="H297" s="0" t="n">
        <f aca="false">IFERROR(INDEX('Session Tracker'!$J$5:$J$149,MATCH($A297,'Session Tracker'!$D$5:$D$149,0)),0)</f>
        <v>8</v>
      </c>
      <c r="I297" s="0" t="str">
        <f aca="false">IF(OR(B297=0,B297=99,C297=""),"",IF(E297="Per class",D297,D297*H297))</f>
        <v/>
      </c>
      <c r="K297" s="0" t="str">
        <f aca="false">IFERROR(INDEX('Session Tracker'!$E$5:$E$149,MATCH($A297,'Session Tracker'!$D$5:$D$149,0)),"")</f>
        <v>Teach the Computer Our Sounds</v>
      </c>
      <c r="L297" s="0" t="str">
        <f aca="false">IFERROR(INDEX('Session Tracker'!$A$5:$A$149,MATCH($A297,'Session Tracker'!$D$5:$D$149,0)),"")</f>
        <v>Little Explorers (5-7)</v>
      </c>
      <c r="M297" s="0" t="str">
        <f aca="false">IFERROR(INDEX('Session Tracker'!$H$5:$H$149,MATCH($A297,'Session Tracker'!$D$5:$D$149,0))&amp;"","")</f>
        <v/>
      </c>
      <c r="Q297" s="0" t="str">
        <f aca="false">IFERROR("Status: "&amp;INDEX('Session Tracker'!$F$5:$F$149,MATCH($A297,'Session Tracker'!$D$5:$D$149,0))&amp;IF(INDEX('Session Tracker'!$G$5:$G$149,MATCH($A297,'Session Tracker'!$D$5:$D$149,0))&lt;&gt;""," ("&amp;INDEX('Session Tracker'!$G$5:$G$149,MATCH($A297,'Session Tracker'!$D$5:$D$149,0))&amp;")","")&amp;IF(M297&lt;&gt;"","  "&amp;M297,""),"")</f>
        <v>Status: Not started</v>
      </c>
    </row>
    <row r="298" customFormat="false" ht="15" hidden="false" customHeight="false" outlineLevel="0" collapsed="false">
      <c r="A298" s="0" t="s">
        <v>140</v>
      </c>
      <c r="B298" s="0" t="n">
        <v>1</v>
      </c>
      <c r="C298" s="0" t="str">
        <f aca="false">IF('Little Explorers Kits'!C326="","",'Little Explorers Kits'!C326)</f>
        <v>Laptop</v>
      </c>
      <c r="D298" s="0" t="n">
        <f aca="false">IF('Little Explorers Kits'!D326="","",'Little Explorers Kits'!D326)</f>
        <v>1</v>
      </c>
      <c r="E298" s="0" t="str">
        <f aca="false">IF('Little Explorers Kits'!E326="","",'Little Explorers Kits'!E326)</f>
        <v>Per group</v>
      </c>
      <c r="F298" s="0" t="str">
        <f aca="false">IFERROR(INDEX('Session Tracker'!$M$5:$M$149,MATCH($A298,'Session Tracker'!$D$5:$D$149,0))+0,"")</f>
        <v/>
      </c>
      <c r="G298" s="0" t="str">
        <f aca="false">IF(ISNUMBER(F298),IF(OR(B298=0,B298=99,C298&lt;&gt;""),F298*100+B298,""),"")</f>
        <v/>
      </c>
      <c r="H298" s="0" t="n">
        <f aca="false">IFERROR(INDEX('Session Tracker'!$J$5:$J$149,MATCH($A298,'Session Tracker'!$D$5:$D$149,0)),0)</f>
        <v>8</v>
      </c>
      <c r="I298" s="0" t="n">
        <f aca="false">IF(OR(B298=0,B298=99,C298=""),"",IF(E298="Per class",D298,D298*H298))</f>
        <v>8</v>
      </c>
      <c r="N298" s="0" t="str">
        <f aca="false">IF('Little Explorers Kits'!B326="","",'Little Explorers Kits'!B326)</f>
        <v>Computers &amp; Equipment</v>
      </c>
      <c r="O298" s="0" t="str">
        <f aca="false">IF('Little Explorers Kits'!F326="","",'Little Explorers Kits'!F326)</f>
        <v>Reusable</v>
      </c>
      <c r="P298" s="0" t="str">
        <f aca="false">IF('Little Explorers Kits'!G326="","",'Little Explorers Kits'!G326)</f>
        <v/>
      </c>
    </row>
    <row r="299" customFormat="false" ht="15" hidden="false" customHeight="false" outlineLevel="0" collapsed="false">
      <c r="A299" s="0" t="s">
        <v>140</v>
      </c>
      <c r="B299" s="0" t="n">
        <v>2</v>
      </c>
      <c r="C299" s="0" t="str">
        <f aca="false">IF('Little Explorers Kits'!C327="","",'Little Explorers Kits'!C327)</f>
        <v/>
      </c>
      <c r="D299" s="0" t="str">
        <f aca="false">IF('Little Explorers Kits'!D327="","",'Little Explorers Kits'!D327)</f>
        <v/>
      </c>
      <c r="E299" s="0" t="str">
        <f aca="false">IF('Little Explorers Kits'!E327="","",'Little Explorers Kits'!E327)</f>
        <v/>
      </c>
      <c r="F299" s="0" t="str">
        <f aca="false">IFERROR(INDEX('Session Tracker'!$M$5:$M$149,MATCH($A299,'Session Tracker'!$D$5:$D$149,0))+0,"")</f>
        <v/>
      </c>
      <c r="G299" s="0" t="str">
        <f aca="false">IF(ISNUMBER(F299),IF(OR(B299=0,B299=99,C299&lt;&gt;""),F299*100+B299,""),"")</f>
        <v/>
      </c>
      <c r="H299" s="0" t="n">
        <f aca="false">IFERROR(INDEX('Session Tracker'!$J$5:$J$149,MATCH($A299,'Session Tracker'!$D$5:$D$149,0)),0)</f>
        <v>8</v>
      </c>
      <c r="I299" s="0" t="str">
        <f aca="false">IF(OR(B299=0,B299=99,C299=""),"",IF(E299="Per class",D299,D299*H299))</f>
        <v/>
      </c>
      <c r="N299" s="0" t="str">
        <f aca="false">IF('Little Explorers Kits'!B327="","",'Little Explorers Kits'!B327)</f>
        <v/>
      </c>
      <c r="O299" s="0" t="str">
        <f aca="false">IF('Little Explorers Kits'!F327="","",'Little Explorers Kits'!F327)</f>
        <v/>
      </c>
      <c r="P299" s="0" t="str">
        <f aca="false">IF('Little Explorers Kits'!G327="","",'Little Explorers Kits'!G327)</f>
        <v/>
      </c>
    </row>
    <row r="300" customFormat="false" ht="15" hidden="false" customHeight="false" outlineLevel="0" collapsed="false">
      <c r="A300" s="0" t="s">
        <v>140</v>
      </c>
      <c r="B300" s="0" t="n">
        <v>3</v>
      </c>
      <c r="C300" s="0" t="str">
        <f aca="false">IF('Little Explorers Kits'!C328="","",'Little Explorers Kits'!C328)</f>
        <v/>
      </c>
      <c r="D300" s="0" t="str">
        <f aca="false">IF('Little Explorers Kits'!D328="","",'Little Explorers Kits'!D328)</f>
        <v/>
      </c>
      <c r="E300" s="0" t="str">
        <f aca="false">IF('Little Explorers Kits'!E328="","",'Little Explorers Kits'!E328)</f>
        <v/>
      </c>
      <c r="F300" s="0" t="str">
        <f aca="false">IFERROR(INDEX('Session Tracker'!$M$5:$M$149,MATCH($A300,'Session Tracker'!$D$5:$D$149,0))+0,"")</f>
        <v/>
      </c>
      <c r="G300" s="0" t="str">
        <f aca="false">IF(ISNUMBER(F300),IF(OR(B300=0,B300=99,C300&lt;&gt;""),F300*100+B300,""),"")</f>
        <v/>
      </c>
      <c r="H300" s="0" t="n">
        <f aca="false">IFERROR(INDEX('Session Tracker'!$J$5:$J$149,MATCH($A300,'Session Tracker'!$D$5:$D$149,0)),0)</f>
        <v>8</v>
      </c>
      <c r="I300" s="0" t="str">
        <f aca="false">IF(OR(B300=0,B300=99,C300=""),"",IF(E300="Per class",D300,D300*H300))</f>
        <v/>
      </c>
      <c r="N300" s="0" t="str">
        <f aca="false">IF('Little Explorers Kits'!B328="","",'Little Explorers Kits'!B328)</f>
        <v/>
      </c>
      <c r="O300" s="0" t="str">
        <f aca="false">IF('Little Explorers Kits'!F328="","",'Little Explorers Kits'!F328)</f>
        <v/>
      </c>
      <c r="P300" s="0" t="str">
        <f aca="false">IF('Little Explorers Kits'!G328="","",'Little Explorers Kits'!G328)</f>
        <v/>
      </c>
    </row>
    <row r="301" customFormat="false" ht="15" hidden="false" customHeight="false" outlineLevel="0" collapsed="false">
      <c r="A301" s="0" t="s">
        <v>142</v>
      </c>
      <c r="B301" s="0" t="n">
        <v>0</v>
      </c>
      <c r="F301" s="0" t="str">
        <f aca="false">IFERROR(INDEX('Session Tracker'!$M$5:$M$149,MATCH($A301,'Session Tracker'!$D$5:$D$149,0))+0,"")</f>
        <v/>
      </c>
      <c r="G301" s="0" t="str">
        <f aca="false">IF(ISNUMBER(F301),IF(OR(B301=0,B301=99,C301&lt;&gt;""),F301*100+B301,""),"")</f>
        <v/>
      </c>
      <c r="H301" s="0" t="n">
        <f aca="false">IFERROR(INDEX('Session Tracker'!$J$5:$J$149,MATCH($A301,'Session Tracker'!$D$5:$D$149,0)),0)</f>
        <v>8</v>
      </c>
      <c r="I301" s="0" t="str">
        <f aca="false">IF(OR(B301=0,B301=99,C301=""),"",IF(E301="Per class",D301,D301*H301))</f>
        <v/>
      </c>
      <c r="K301" s="0" t="str">
        <f aca="false">IFERROR(INDEX('Session Tracker'!$E$5:$E$149,MATCH($A301,'Session Tracker'!$D$5:$D$149,0)),"")</f>
        <v>Follow-Me Robot Pet</v>
      </c>
      <c r="L301" s="0" t="str">
        <f aca="false">IFERROR(INDEX('Session Tracker'!$A$5:$A$149,MATCH($A301,'Session Tracker'!$D$5:$D$149,0)),"")</f>
        <v>Little Explorers (5-7)</v>
      </c>
      <c r="M301" s="0" t="str">
        <f aca="false">IFERROR(INDEX('Session Tracker'!$H$5:$H$149,MATCH($A301,'Session Tracker'!$D$5:$D$149,0))&amp;"","")</f>
        <v/>
      </c>
      <c r="Q301" s="0" t="str">
        <f aca="false">IFERROR("Status: "&amp;INDEX('Session Tracker'!$F$5:$F$149,MATCH($A301,'Session Tracker'!$D$5:$D$149,0))&amp;IF(INDEX('Session Tracker'!$G$5:$G$149,MATCH($A301,'Session Tracker'!$D$5:$D$149,0))&lt;&gt;""," ("&amp;INDEX('Session Tracker'!$G$5:$G$149,MATCH($A301,'Session Tracker'!$D$5:$D$149,0))&amp;")","")&amp;IF(M301&lt;&gt;"","  "&amp;M301,""),"")</f>
        <v>Status: Not started</v>
      </c>
    </row>
    <row r="302" customFormat="false" ht="15" hidden="false" customHeight="false" outlineLevel="0" collapsed="false">
      <c r="A302" s="0" t="s">
        <v>142</v>
      </c>
      <c r="B302" s="0" t="n">
        <v>1</v>
      </c>
      <c r="C302" s="0" t="str">
        <f aca="false">IF('Little Explorers Kits'!C331="","",'Little Explorers Kits'!C331)</f>
        <v>4WD robot car (assembled, L298N)</v>
      </c>
      <c r="D302" s="0" t="n">
        <f aca="false">IF('Little Explorers Kits'!D331="","",'Little Explorers Kits'!D331)</f>
        <v>1</v>
      </c>
      <c r="E302" s="0" t="str">
        <f aca="false">IF('Little Explorers Kits'!E331="","",'Little Explorers Kits'!E331)</f>
        <v>Per group</v>
      </c>
      <c r="F302" s="0" t="str">
        <f aca="false">IFERROR(INDEX('Session Tracker'!$M$5:$M$149,MATCH($A302,'Session Tracker'!$D$5:$D$149,0))+0,"")</f>
        <v/>
      </c>
      <c r="G302" s="0" t="str">
        <f aca="false">IF(ISNUMBER(F302),IF(OR(B302=0,B302=99,C302&lt;&gt;""),F302*100+B302,""),"")</f>
        <v/>
      </c>
      <c r="H302" s="0" t="n">
        <f aca="false">IFERROR(INDEX('Session Tracker'!$J$5:$J$149,MATCH($A302,'Session Tracker'!$D$5:$D$149,0)),0)</f>
        <v>8</v>
      </c>
      <c r="I302" s="0" t="n">
        <f aca="false">IF(OR(B302=0,B302=99,C302=""),"",IF(E302="Per class",D302,D302*H302))</f>
        <v>8</v>
      </c>
      <c r="N302" s="0" t="str">
        <f aca="false">IF('Little Explorers Kits'!B331="","",'Little Explorers Kits'!B331)</f>
        <v>Robot Platforms &amp; Kits</v>
      </c>
      <c r="O302" s="0" t="str">
        <f aca="false">IF('Little Explorers Kits'!F331="","",'Little Explorers Kits'!F331)</f>
        <v>Reusable</v>
      </c>
      <c r="P302" s="0" t="str">
        <f aca="false">IF('Little Explorers Kits'!G331="","",'Little Explorers Kits'!G331)</f>
        <v>From Phase 2B requisition</v>
      </c>
    </row>
    <row r="303" customFormat="false" ht="15" hidden="false" customHeight="false" outlineLevel="0" collapsed="false">
      <c r="A303" s="0" t="s">
        <v>142</v>
      </c>
      <c r="B303" s="0" t="n">
        <v>2</v>
      </c>
      <c r="C303" s="0" t="str">
        <f aca="false">IF('Little Explorers Kits'!C332="","",'Little Explorers Kits'!C332)</f>
        <v>Ultrasonic sensor HC-SR04</v>
      </c>
      <c r="D303" s="0" t="n">
        <f aca="false">IF('Little Explorers Kits'!D332="","",'Little Explorers Kits'!D332)</f>
        <v>1</v>
      </c>
      <c r="E303" s="0" t="str">
        <f aca="false">IF('Little Explorers Kits'!E332="","",'Little Explorers Kits'!E332)</f>
        <v>Per group</v>
      </c>
      <c r="F303" s="0" t="str">
        <f aca="false">IFERROR(INDEX('Session Tracker'!$M$5:$M$149,MATCH($A303,'Session Tracker'!$D$5:$D$149,0))+0,"")</f>
        <v/>
      </c>
      <c r="G303" s="0" t="str">
        <f aca="false">IF(ISNUMBER(F303),IF(OR(B303=0,B303=99,C303&lt;&gt;""),F303*100+B303,""),"")</f>
        <v/>
      </c>
      <c r="H303" s="0" t="n">
        <f aca="false">IFERROR(INDEX('Session Tracker'!$J$5:$J$149,MATCH($A303,'Session Tracker'!$D$5:$D$149,0)),0)</f>
        <v>8</v>
      </c>
      <c r="I303" s="0" t="n">
        <f aca="false">IF(OR(B303=0,B303=99,C303=""),"",IF(E303="Per class",D303,D303*H303))</f>
        <v>8</v>
      </c>
      <c r="N303" s="0" t="str">
        <f aca="false">IF('Little Explorers Kits'!B332="","",'Little Explorers Kits'!B332)</f>
        <v>Sensors</v>
      </c>
      <c r="O303" s="0" t="str">
        <f aca="false">IF('Little Explorers Kits'!F332="","",'Little Explorers Kits'!F332)</f>
        <v>Reusable</v>
      </c>
      <c r="P303" s="0" t="str">
        <f aca="false">IF('Little Explorers Kits'!G332="","",'Little Explorers Kits'!G332)</f>
        <v>Pre-fitted</v>
      </c>
    </row>
    <row r="304" customFormat="false" ht="15" hidden="false" customHeight="false" outlineLevel="0" collapsed="false">
      <c r="A304" s="0" t="s">
        <v>142</v>
      </c>
      <c r="B304" s="0" t="n">
        <v>3</v>
      </c>
      <c r="C304" s="0" t="str">
        <f aca="false">IF('Little Explorers Kits'!C333="","",'Little Explorers Kits'!C333)</f>
        <v>Laptop</v>
      </c>
      <c r="D304" s="0" t="n">
        <f aca="false">IF('Little Explorers Kits'!D333="","",'Little Explorers Kits'!D333)</f>
        <v>1</v>
      </c>
      <c r="E304" s="0" t="str">
        <f aca="false">IF('Little Explorers Kits'!E333="","",'Little Explorers Kits'!E333)</f>
        <v>Per group</v>
      </c>
      <c r="F304" s="0" t="str">
        <f aca="false">IFERROR(INDEX('Session Tracker'!$M$5:$M$149,MATCH($A304,'Session Tracker'!$D$5:$D$149,0))+0,"")</f>
        <v/>
      </c>
      <c r="G304" s="0" t="str">
        <f aca="false">IF(ISNUMBER(F304),IF(OR(B304=0,B304=99,C304&lt;&gt;""),F304*100+B304,""),"")</f>
        <v/>
      </c>
      <c r="H304" s="0" t="n">
        <f aca="false">IFERROR(INDEX('Session Tracker'!$J$5:$J$149,MATCH($A304,'Session Tracker'!$D$5:$D$149,0)),0)</f>
        <v>8</v>
      </c>
      <c r="I304" s="0" t="n">
        <f aca="false">IF(OR(B304=0,B304=99,C304=""),"",IF(E304="Per class",D304,D304*H304))</f>
        <v>8</v>
      </c>
      <c r="N304" s="0" t="str">
        <f aca="false">IF('Little Explorers Kits'!B333="","",'Little Explorers Kits'!B333)</f>
        <v>Computers &amp; Equipment</v>
      </c>
      <c r="O304" s="0" t="str">
        <f aca="false">IF('Little Explorers Kits'!F333="","",'Little Explorers Kits'!F333)</f>
        <v>Reusable</v>
      </c>
      <c r="P304" s="0" t="str">
        <f aca="false">IF('Little Explorers Kits'!G333="","",'Little Explorers Kits'!G333)</f>
        <v/>
      </c>
    </row>
    <row r="305" customFormat="false" ht="15" hidden="false" customHeight="false" outlineLevel="0" collapsed="false">
      <c r="A305" s="0" t="s">
        <v>142</v>
      </c>
      <c r="B305" s="0" t="n">
        <v>4</v>
      </c>
      <c r="C305" s="0" t="str">
        <f aca="false">IF('Little Explorers Kits'!C334="","",'Little Explorers Kits'!C334)</f>
        <v>Card / chart paper</v>
      </c>
      <c r="D305" s="0" t="n">
        <f aca="false">IF('Little Explorers Kits'!D334="","",'Little Explorers Kits'!D334)</f>
        <v>1</v>
      </c>
      <c r="E305" s="0" t="str">
        <f aca="false">IF('Little Explorers Kits'!E334="","",'Little Explorers Kits'!E334)</f>
        <v>Per group</v>
      </c>
      <c r="F305" s="0" t="str">
        <f aca="false">IFERROR(INDEX('Session Tracker'!$M$5:$M$149,MATCH($A305,'Session Tracker'!$D$5:$D$149,0))+0,"")</f>
        <v/>
      </c>
      <c r="G305" s="0" t="str">
        <f aca="false">IF(ISNUMBER(F305),IF(OR(B305=0,B305=99,C305&lt;&gt;""),F305*100+B305,""),"")</f>
        <v/>
      </c>
      <c r="H305" s="0" t="n">
        <f aca="false">IFERROR(INDEX('Session Tracker'!$J$5:$J$149,MATCH($A305,'Session Tracker'!$D$5:$D$149,0)),0)</f>
        <v>8</v>
      </c>
      <c r="I305" s="0" t="n">
        <f aca="false">IF(OR(B305=0,B305=99,C305=""),"",IF(E305="Per class",D305,D305*H305))</f>
        <v>8</v>
      </c>
      <c r="N305" s="0" t="str">
        <f aca="false">IF('Little Explorers Kits'!B334="","",'Little Explorers Kits'!B334)</f>
        <v>Craft &amp; Stationery</v>
      </c>
      <c r="O305" s="0" t="str">
        <f aca="false">IF('Little Explorers Kits'!F334="","",'Little Explorers Kits'!F334)</f>
        <v>Consumable</v>
      </c>
      <c r="P305" s="0" t="str">
        <f aca="false">IF('Little Explorers Kits'!G334="","",'Little Explorers Kits'!G334)</f>
        <v>Pet face</v>
      </c>
    </row>
    <row r="306" customFormat="false" ht="15" hidden="false" customHeight="false" outlineLevel="0" collapsed="false">
      <c r="A306" s="0" t="s">
        <v>142</v>
      </c>
      <c r="B306" s="0" t="n">
        <v>5</v>
      </c>
      <c r="C306" s="0" t="str">
        <f aca="false">IF('Little Explorers Kits'!C335="","",'Little Explorers Kits'!C335)</f>
        <v/>
      </c>
      <c r="D306" s="0" t="str">
        <f aca="false">IF('Little Explorers Kits'!D335="","",'Little Explorers Kits'!D335)</f>
        <v/>
      </c>
      <c r="E306" s="0" t="str">
        <f aca="false">IF('Little Explorers Kits'!E335="","",'Little Explorers Kits'!E335)</f>
        <v/>
      </c>
      <c r="F306" s="0" t="str">
        <f aca="false">IFERROR(INDEX('Session Tracker'!$M$5:$M$149,MATCH($A306,'Session Tracker'!$D$5:$D$149,0))+0,"")</f>
        <v/>
      </c>
      <c r="G306" s="0" t="str">
        <f aca="false">IF(ISNUMBER(F306),IF(OR(B306=0,B306=99,C306&lt;&gt;""),F306*100+B306,""),"")</f>
        <v/>
      </c>
      <c r="H306" s="0" t="n">
        <f aca="false">IFERROR(INDEX('Session Tracker'!$J$5:$J$149,MATCH($A306,'Session Tracker'!$D$5:$D$149,0)),0)</f>
        <v>8</v>
      </c>
      <c r="I306" s="0" t="str">
        <f aca="false">IF(OR(B306=0,B306=99,C306=""),"",IF(E306="Per class",D306,D306*H306))</f>
        <v/>
      </c>
      <c r="N306" s="0" t="str">
        <f aca="false">IF('Little Explorers Kits'!B335="","",'Little Explorers Kits'!B335)</f>
        <v/>
      </c>
      <c r="O306" s="0" t="str">
        <f aca="false">IF('Little Explorers Kits'!F335="","",'Little Explorers Kits'!F335)</f>
        <v/>
      </c>
      <c r="P306" s="0" t="str">
        <f aca="false">IF('Little Explorers Kits'!G335="","",'Little Explorers Kits'!G335)</f>
        <v/>
      </c>
    </row>
    <row r="307" customFormat="false" ht="15" hidden="false" customHeight="false" outlineLevel="0" collapsed="false">
      <c r="A307" s="0" t="s">
        <v>142</v>
      </c>
      <c r="B307" s="0" t="n">
        <v>6</v>
      </c>
      <c r="C307" s="0" t="str">
        <f aca="false">IF('Little Explorers Kits'!C336="","",'Little Explorers Kits'!C336)</f>
        <v/>
      </c>
      <c r="D307" s="0" t="str">
        <f aca="false">IF('Little Explorers Kits'!D336="","",'Little Explorers Kits'!D336)</f>
        <v/>
      </c>
      <c r="E307" s="0" t="str">
        <f aca="false">IF('Little Explorers Kits'!E336="","",'Little Explorers Kits'!E336)</f>
        <v/>
      </c>
      <c r="F307" s="0" t="str">
        <f aca="false">IFERROR(INDEX('Session Tracker'!$M$5:$M$149,MATCH($A307,'Session Tracker'!$D$5:$D$149,0))+0,"")</f>
        <v/>
      </c>
      <c r="G307" s="0" t="str">
        <f aca="false">IF(ISNUMBER(F307),IF(OR(B307=0,B307=99,C307&lt;&gt;""),F307*100+B307,""),"")</f>
        <v/>
      </c>
      <c r="H307" s="0" t="n">
        <f aca="false">IFERROR(INDEX('Session Tracker'!$J$5:$J$149,MATCH($A307,'Session Tracker'!$D$5:$D$149,0)),0)</f>
        <v>8</v>
      </c>
      <c r="I307" s="0" t="str">
        <f aca="false">IF(OR(B307=0,B307=99,C307=""),"",IF(E307="Per class",D307,D307*H307))</f>
        <v/>
      </c>
      <c r="N307" s="0" t="str">
        <f aca="false">IF('Little Explorers Kits'!B336="","",'Little Explorers Kits'!B336)</f>
        <v/>
      </c>
      <c r="O307" s="0" t="str">
        <f aca="false">IF('Little Explorers Kits'!F336="","",'Little Explorers Kits'!F336)</f>
        <v/>
      </c>
      <c r="P307" s="0" t="str">
        <f aca="false">IF('Little Explorers Kits'!G336="","",'Little Explorers Kits'!G336)</f>
        <v/>
      </c>
    </row>
    <row r="308" customFormat="false" ht="15" hidden="false" customHeight="false" outlineLevel="0" collapsed="false">
      <c r="A308" s="0" t="s">
        <v>144</v>
      </c>
      <c r="B308" s="0" t="n">
        <v>0</v>
      </c>
      <c r="F308" s="0" t="str">
        <f aca="false">IFERROR(INDEX('Session Tracker'!$M$5:$M$149,MATCH($A308,'Session Tracker'!$D$5:$D$149,0))+0,"")</f>
        <v/>
      </c>
      <c r="G308" s="0" t="str">
        <f aca="false">IF(ISNUMBER(F308),IF(OR(B308=0,B308=99,C308&lt;&gt;""),F308*100+B308,""),"")</f>
        <v/>
      </c>
      <c r="H308" s="0" t="n">
        <f aca="false">IFERROR(INDEX('Session Tracker'!$J$5:$J$149,MATCH($A308,'Session Tracker'!$D$5:$D$149,0)),0)</f>
        <v>8</v>
      </c>
      <c r="I308" s="0" t="str">
        <f aca="false">IF(OR(B308=0,B308=99,C308=""),"",IF(E308="Per class",D308,D308*H308))</f>
        <v/>
      </c>
      <c r="K308" s="0" t="str">
        <f aca="false">IFERROR(INDEX('Session Tracker'!$E$5:$E$149,MATCH($A308,'Session Tracker'!$D$5:$D$149,0)),"")</f>
        <v>Safety Helper Robot Design</v>
      </c>
      <c r="L308" s="0" t="str">
        <f aca="false">IFERROR(INDEX('Session Tracker'!$A$5:$A$149,MATCH($A308,'Session Tracker'!$D$5:$D$149,0)),"")</f>
        <v>Little Explorers (5-7)</v>
      </c>
      <c r="M308" s="0" t="str">
        <f aca="false">IFERROR(INDEX('Session Tracker'!$H$5:$H$149,MATCH($A308,'Session Tracker'!$D$5:$D$149,0))&amp;"","")</f>
        <v/>
      </c>
      <c r="Q308" s="0" t="str">
        <f aca="false">IFERROR("Status: "&amp;INDEX('Session Tracker'!$F$5:$F$149,MATCH($A308,'Session Tracker'!$D$5:$D$149,0))&amp;IF(INDEX('Session Tracker'!$G$5:$G$149,MATCH($A308,'Session Tracker'!$D$5:$D$149,0))&lt;&gt;""," ("&amp;INDEX('Session Tracker'!$G$5:$G$149,MATCH($A308,'Session Tracker'!$D$5:$D$149,0))&amp;")","")&amp;IF(M308&lt;&gt;"","  "&amp;M308,""),"")</f>
        <v>Status: Not started</v>
      </c>
    </row>
    <row r="309" customFormat="false" ht="15" hidden="false" customHeight="false" outlineLevel="0" collapsed="false">
      <c r="A309" s="0" t="s">
        <v>144</v>
      </c>
      <c r="B309" s="0" t="n">
        <v>1</v>
      </c>
      <c r="C309" s="0" t="str">
        <f aca="false">IF('Little Explorers Kits'!C339="","",'Little Explorers Kits'!C339)</f>
        <v>Cardboard sheet</v>
      </c>
      <c r="D309" s="0" t="n">
        <f aca="false">IF('Little Explorers Kits'!D339="","",'Little Explorers Kits'!D339)</f>
        <v>1</v>
      </c>
      <c r="E309" s="0" t="str">
        <f aca="false">IF('Little Explorers Kits'!E339="","",'Little Explorers Kits'!E339)</f>
        <v>Per group</v>
      </c>
      <c r="F309" s="0" t="str">
        <f aca="false">IFERROR(INDEX('Session Tracker'!$M$5:$M$149,MATCH($A309,'Session Tracker'!$D$5:$D$149,0))+0,"")</f>
        <v/>
      </c>
      <c r="G309" s="0" t="str">
        <f aca="false">IF(ISNUMBER(F309),IF(OR(B309=0,B309=99,C309&lt;&gt;""),F309*100+B309,""),"")</f>
        <v/>
      </c>
      <c r="H309" s="0" t="n">
        <f aca="false">IFERROR(INDEX('Session Tracker'!$J$5:$J$149,MATCH($A309,'Session Tracker'!$D$5:$D$149,0)),0)</f>
        <v>8</v>
      </c>
      <c r="I309" s="0" t="n">
        <f aca="false">IF(OR(B309=0,B309=99,C309=""),"",IF(E309="Per class",D309,D309*H309))</f>
        <v>8</v>
      </c>
      <c r="N309" s="0" t="str">
        <f aca="false">IF('Little Explorers Kits'!B339="","",'Little Explorers Kits'!B339)</f>
        <v>Craft &amp; Stationery</v>
      </c>
      <c r="O309" s="0" t="str">
        <f aca="false">IF('Little Explorers Kits'!F339="","",'Little Explorers Kits'!F339)</f>
        <v>Consumable</v>
      </c>
      <c r="P309" s="0" t="str">
        <f aca="false">IF('Little Explorers Kits'!G339="","",'Little Explorers Kits'!G339)</f>
        <v/>
      </c>
    </row>
    <row r="310" customFormat="false" ht="15" hidden="false" customHeight="false" outlineLevel="0" collapsed="false">
      <c r="A310" s="0" t="s">
        <v>144</v>
      </c>
      <c r="B310" s="0" t="n">
        <v>2</v>
      </c>
      <c r="C310" s="0" t="str">
        <f aca="false">IF('Little Explorers Kits'!C340="","",'Little Explorers Kits'!C340)</f>
        <v>Markers</v>
      </c>
      <c r="D310" s="0" t="n">
        <f aca="false">IF('Little Explorers Kits'!D340="","",'Little Explorers Kits'!D340)</f>
        <v>1</v>
      </c>
      <c r="E310" s="0" t="str">
        <f aca="false">IF('Little Explorers Kits'!E340="","",'Little Explorers Kits'!E340)</f>
        <v>Per group</v>
      </c>
      <c r="F310" s="0" t="str">
        <f aca="false">IFERROR(INDEX('Session Tracker'!$M$5:$M$149,MATCH($A310,'Session Tracker'!$D$5:$D$149,0))+0,"")</f>
        <v/>
      </c>
      <c r="G310" s="0" t="str">
        <f aca="false">IF(ISNUMBER(F310),IF(OR(B310=0,B310=99,C310&lt;&gt;""),F310*100+B310,""),"")</f>
        <v/>
      </c>
      <c r="H310" s="0" t="n">
        <f aca="false">IFERROR(INDEX('Session Tracker'!$J$5:$J$149,MATCH($A310,'Session Tracker'!$D$5:$D$149,0)),0)</f>
        <v>8</v>
      </c>
      <c r="I310" s="0" t="n">
        <f aca="false">IF(OR(B310=0,B310=99,C310=""),"",IF(E310="Per class",D310,D310*H310))</f>
        <v>8</v>
      </c>
      <c r="N310" s="0" t="str">
        <f aca="false">IF('Little Explorers Kits'!B340="","",'Little Explorers Kits'!B340)</f>
        <v>Craft &amp; Stationery</v>
      </c>
      <c r="O310" s="0" t="str">
        <f aca="false">IF('Little Explorers Kits'!F340="","",'Little Explorers Kits'!F340)</f>
        <v>Consumable</v>
      </c>
      <c r="P310" s="0" t="str">
        <f aca="false">IF('Little Explorers Kits'!G340="","",'Little Explorers Kits'!G340)</f>
        <v/>
      </c>
    </row>
    <row r="311" customFormat="false" ht="15" hidden="false" customHeight="false" outlineLevel="0" collapsed="false">
      <c r="A311" s="0" t="s">
        <v>144</v>
      </c>
      <c r="B311" s="0" t="n">
        <v>3</v>
      </c>
      <c r="C311" s="0" t="str">
        <f aca="false">IF('Little Explorers Kits'!C341="","",'Little Explorers Kits'!C341)</f>
        <v>Printed templates</v>
      </c>
      <c r="D311" s="0" t="n">
        <f aca="false">IF('Little Explorers Kits'!D341="","",'Little Explorers Kits'!D341)</f>
        <v>1</v>
      </c>
      <c r="E311" s="0" t="str">
        <f aca="false">IF('Little Explorers Kits'!E341="","",'Little Explorers Kits'!E341)</f>
        <v>Per group</v>
      </c>
      <c r="F311" s="0" t="str">
        <f aca="false">IFERROR(INDEX('Session Tracker'!$M$5:$M$149,MATCH($A311,'Session Tracker'!$D$5:$D$149,0))+0,"")</f>
        <v/>
      </c>
      <c r="G311" s="0" t="str">
        <f aca="false">IF(ISNUMBER(F311),IF(OR(B311=0,B311=99,C311&lt;&gt;""),F311*100+B311,""),"")</f>
        <v/>
      </c>
      <c r="H311" s="0" t="n">
        <f aca="false">IFERROR(INDEX('Session Tracker'!$J$5:$J$149,MATCH($A311,'Session Tracker'!$D$5:$D$149,0)),0)</f>
        <v>8</v>
      </c>
      <c r="I311" s="0" t="n">
        <f aca="false">IF(OR(B311=0,B311=99,C311=""),"",IF(E311="Per class",D311,D311*H311))</f>
        <v>8</v>
      </c>
      <c r="N311" s="0" t="str">
        <f aca="false">IF('Little Explorers Kits'!B341="","",'Little Explorers Kits'!B341)</f>
        <v>Craft &amp; Stationery</v>
      </c>
      <c r="O311" s="0" t="str">
        <f aca="false">IF('Little Explorers Kits'!F341="","",'Little Explorers Kits'!F341)</f>
        <v>Consumable</v>
      </c>
      <c r="P311" s="0" t="str">
        <f aca="false">IF('Little Explorers Kits'!G341="","",'Little Explorers Kits'!G341)</f>
        <v/>
      </c>
    </row>
    <row r="312" customFormat="false" ht="15" hidden="false" customHeight="false" outlineLevel="0" collapsed="false">
      <c r="A312" s="0" t="s">
        <v>144</v>
      </c>
      <c r="B312" s="0" t="n">
        <v>4</v>
      </c>
      <c r="C312" s="0" t="str">
        <f aca="false">IF('Little Explorers Kits'!C342="","",'Little Explorers Kits'!C342)</f>
        <v>Tape (paper + double-sided)</v>
      </c>
      <c r="D312" s="0" t="n">
        <f aca="false">IF('Little Explorers Kits'!D342="","",'Little Explorers Kits'!D342)</f>
        <v>1</v>
      </c>
      <c r="E312" s="0" t="str">
        <f aca="false">IF('Little Explorers Kits'!E342="","",'Little Explorers Kits'!E342)</f>
        <v>Per class</v>
      </c>
      <c r="F312" s="0" t="str">
        <f aca="false">IFERROR(INDEX('Session Tracker'!$M$5:$M$149,MATCH($A312,'Session Tracker'!$D$5:$D$149,0))+0,"")</f>
        <v/>
      </c>
      <c r="G312" s="0" t="str">
        <f aca="false">IF(ISNUMBER(F312),IF(OR(B312=0,B312=99,C312&lt;&gt;""),F312*100+B312,""),"")</f>
        <v/>
      </c>
      <c r="H312" s="0" t="n">
        <f aca="false">IFERROR(INDEX('Session Tracker'!$J$5:$J$149,MATCH($A312,'Session Tracker'!$D$5:$D$149,0)),0)</f>
        <v>8</v>
      </c>
      <c r="I312" s="0" t="n">
        <f aca="false">IF(OR(B312=0,B312=99,C312=""),"",IF(E312="Per class",D312,D312*H312))</f>
        <v>1</v>
      </c>
      <c r="N312" s="0" t="str">
        <f aca="false">IF('Little Explorers Kits'!B342="","",'Little Explorers Kits'!B342)</f>
        <v>Craft &amp; Stationery</v>
      </c>
      <c r="O312" s="0" t="str">
        <f aca="false">IF('Little Explorers Kits'!F342="","",'Little Explorers Kits'!F342)</f>
        <v>Consumable</v>
      </c>
      <c r="P312" s="0" t="str">
        <f aca="false">IF('Little Explorers Kits'!G342="","",'Little Explorers Kits'!G342)</f>
        <v/>
      </c>
    </row>
    <row r="313" customFormat="false" ht="15" hidden="false" customHeight="false" outlineLevel="0" collapsed="false">
      <c r="A313" s="0" t="s">
        <v>144</v>
      </c>
      <c r="B313" s="0" t="n">
        <v>5</v>
      </c>
      <c r="C313" s="0" t="str">
        <f aca="false">IF('Little Explorers Kits'!C343="","",'Little Explorers Kits'!C343)</f>
        <v>Googly eyes</v>
      </c>
      <c r="D313" s="0" t="n">
        <f aca="false">IF('Little Explorers Kits'!D343="","",'Little Explorers Kits'!D343)</f>
        <v>2</v>
      </c>
      <c r="E313" s="0" t="str">
        <f aca="false">IF('Little Explorers Kits'!E343="","",'Little Explorers Kits'!E343)</f>
        <v>Per group</v>
      </c>
      <c r="F313" s="0" t="str">
        <f aca="false">IFERROR(INDEX('Session Tracker'!$M$5:$M$149,MATCH($A313,'Session Tracker'!$D$5:$D$149,0))+0,"")</f>
        <v/>
      </c>
      <c r="G313" s="0" t="str">
        <f aca="false">IF(ISNUMBER(F313),IF(OR(B313=0,B313=99,C313&lt;&gt;""),F313*100+B313,""),"")</f>
        <v/>
      </c>
      <c r="H313" s="0" t="n">
        <f aca="false">IFERROR(INDEX('Session Tracker'!$J$5:$J$149,MATCH($A313,'Session Tracker'!$D$5:$D$149,0)),0)</f>
        <v>8</v>
      </c>
      <c r="I313" s="0" t="n">
        <f aca="false">IF(OR(B313=0,B313=99,C313=""),"",IF(E313="Per class",D313,D313*H313))</f>
        <v>16</v>
      </c>
      <c r="N313" s="0" t="str">
        <f aca="false">IF('Little Explorers Kits'!B343="","",'Little Explorers Kits'!B343)</f>
        <v>Craft &amp; Stationery</v>
      </c>
      <c r="O313" s="0" t="str">
        <f aca="false">IF('Little Explorers Kits'!F343="","",'Little Explorers Kits'!F343)</f>
        <v>Consumable</v>
      </c>
      <c r="P313" s="0" t="str">
        <f aca="false">IF('Little Explorers Kits'!G343="","",'Little Explorers Kits'!G343)</f>
        <v/>
      </c>
    </row>
    <row r="314" customFormat="false" ht="15" hidden="false" customHeight="false" outlineLevel="0" collapsed="false">
      <c r="A314" s="0" t="s">
        <v>144</v>
      </c>
      <c r="B314" s="0" t="n">
        <v>6</v>
      </c>
      <c r="C314" s="0" t="str">
        <f aca="false">IF('Little Explorers Kits'!C344="","",'Little Explorers Kits'!C344)</f>
        <v/>
      </c>
      <c r="D314" s="0" t="str">
        <f aca="false">IF('Little Explorers Kits'!D344="","",'Little Explorers Kits'!D344)</f>
        <v/>
      </c>
      <c r="E314" s="0" t="str">
        <f aca="false">IF('Little Explorers Kits'!E344="","",'Little Explorers Kits'!E344)</f>
        <v/>
      </c>
      <c r="F314" s="0" t="str">
        <f aca="false">IFERROR(INDEX('Session Tracker'!$M$5:$M$149,MATCH($A314,'Session Tracker'!$D$5:$D$149,0))+0,"")</f>
        <v/>
      </c>
      <c r="G314" s="0" t="str">
        <f aca="false">IF(ISNUMBER(F314),IF(OR(B314=0,B314=99,C314&lt;&gt;""),F314*100+B314,""),"")</f>
        <v/>
      </c>
      <c r="H314" s="0" t="n">
        <f aca="false">IFERROR(INDEX('Session Tracker'!$J$5:$J$149,MATCH($A314,'Session Tracker'!$D$5:$D$149,0)),0)</f>
        <v>8</v>
      </c>
      <c r="I314" s="0" t="str">
        <f aca="false">IF(OR(B314=0,B314=99,C314=""),"",IF(E314="Per class",D314,D314*H314))</f>
        <v/>
      </c>
      <c r="N314" s="0" t="str">
        <f aca="false">IF('Little Explorers Kits'!B344="","",'Little Explorers Kits'!B344)</f>
        <v/>
      </c>
      <c r="O314" s="0" t="str">
        <f aca="false">IF('Little Explorers Kits'!F344="","",'Little Explorers Kits'!F344)</f>
        <v/>
      </c>
      <c r="P314" s="0" t="str">
        <f aca="false">IF('Little Explorers Kits'!G344="","",'Little Explorers Kits'!G344)</f>
        <v/>
      </c>
    </row>
    <row r="315" customFormat="false" ht="15" hidden="false" customHeight="false" outlineLevel="0" collapsed="false">
      <c r="A315" s="0" t="s">
        <v>144</v>
      </c>
      <c r="B315" s="0" t="n">
        <v>7</v>
      </c>
      <c r="C315" s="0" t="str">
        <f aca="false">IF('Little Explorers Kits'!C345="","",'Little Explorers Kits'!C345)</f>
        <v/>
      </c>
      <c r="D315" s="0" t="str">
        <f aca="false">IF('Little Explorers Kits'!D345="","",'Little Explorers Kits'!D345)</f>
        <v/>
      </c>
      <c r="E315" s="0" t="str">
        <f aca="false">IF('Little Explorers Kits'!E345="","",'Little Explorers Kits'!E345)</f>
        <v/>
      </c>
      <c r="F315" s="0" t="str">
        <f aca="false">IFERROR(INDEX('Session Tracker'!$M$5:$M$149,MATCH($A315,'Session Tracker'!$D$5:$D$149,0))+0,"")</f>
        <v/>
      </c>
      <c r="G315" s="0" t="str">
        <f aca="false">IF(ISNUMBER(F315),IF(OR(B315=0,B315=99,C315&lt;&gt;""),F315*100+B315,""),"")</f>
        <v/>
      </c>
      <c r="H315" s="0" t="n">
        <f aca="false">IFERROR(INDEX('Session Tracker'!$J$5:$J$149,MATCH($A315,'Session Tracker'!$D$5:$D$149,0)),0)</f>
        <v>8</v>
      </c>
      <c r="I315" s="0" t="str">
        <f aca="false">IF(OR(B315=0,B315=99,C315=""),"",IF(E315="Per class",D315,D315*H315))</f>
        <v/>
      </c>
      <c r="N315" s="0" t="str">
        <f aca="false">IF('Little Explorers Kits'!B345="","",'Little Explorers Kits'!B345)</f>
        <v/>
      </c>
      <c r="O315" s="0" t="str">
        <f aca="false">IF('Little Explorers Kits'!F345="","",'Little Explorers Kits'!F345)</f>
        <v/>
      </c>
      <c r="P315" s="0" t="str">
        <f aca="false">IF('Little Explorers Kits'!G345="","",'Little Explorers Kits'!G345)</f>
        <v/>
      </c>
    </row>
    <row r="316" customFormat="false" ht="15" hidden="false" customHeight="false" outlineLevel="0" collapsed="false">
      <c r="A316" s="0" t="s">
        <v>146</v>
      </c>
      <c r="B316" s="0" t="n">
        <v>0</v>
      </c>
      <c r="F316" s="0" t="str">
        <f aca="false">IFERROR(INDEX('Session Tracker'!$M$5:$M$149,MATCH($A316,'Session Tracker'!$D$5:$D$149,0))+0,"")</f>
        <v/>
      </c>
      <c r="G316" s="0" t="str">
        <f aca="false">IF(ISNUMBER(F316),IF(OR(B316=0,B316=99,C316&lt;&gt;""),F316*100+B316,""),"")</f>
        <v/>
      </c>
      <c r="H316" s="0" t="n">
        <f aca="false">IFERROR(INDEX('Session Tracker'!$J$5:$J$149,MATCH($A316,'Session Tracker'!$D$5:$D$149,0)),0)</f>
        <v>8</v>
      </c>
      <c r="I316" s="0" t="str">
        <f aca="false">IF(OR(B316=0,B316=99,C316=""),"",IF(E316="Per class",D316,D316*H316))</f>
        <v/>
      </c>
      <c r="K316" s="0" t="str">
        <f aca="false">IFERROR(INDEX('Session Tracker'!$E$5:$E$149,MATCH($A316,'Session Tracker'!$D$5:$D$149,0)),"")</f>
        <v>Countdown Rocket Launch</v>
      </c>
      <c r="L316" s="0" t="str">
        <f aca="false">IFERROR(INDEX('Session Tracker'!$A$5:$A$149,MATCH($A316,'Session Tracker'!$D$5:$D$149,0)),"")</f>
        <v>Little Explorers (5-7)</v>
      </c>
      <c r="M316" s="0" t="str">
        <f aca="false">IFERROR(INDEX('Session Tracker'!$H$5:$H$149,MATCH($A316,'Session Tracker'!$D$5:$D$149,0))&amp;"","")</f>
        <v/>
      </c>
      <c r="Q316" s="0" t="str">
        <f aca="false">IFERROR("Status: "&amp;INDEX('Session Tracker'!$F$5:$F$149,MATCH($A316,'Session Tracker'!$D$5:$D$149,0))&amp;IF(INDEX('Session Tracker'!$G$5:$G$149,MATCH($A316,'Session Tracker'!$D$5:$D$149,0))&lt;&gt;""," ("&amp;INDEX('Session Tracker'!$G$5:$G$149,MATCH($A316,'Session Tracker'!$D$5:$D$149,0))&amp;")","")&amp;IF(M316&lt;&gt;"","  "&amp;M316,""),"")</f>
        <v>Status: Not started</v>
      </c>
    </row>
    <row r="317" customFormat="false" ht="15" hidden="false" customHeight="false" outlineLevel="0" collapsed="false">
      <c r="A317" s="0" t="s">
        <v>146</v>
      </c>
      <c r="B317" s="0" t="n">
        <v>1</v>
      </c>
      <c r="C317" s="0" t="str">
        <f aca="false">IF('Little Explorers Kits'!C348="","",'Little Explorers Kits'!C348)</f>
        <v>Arduino Uno + USB cable</v>
      </c>
      <c r="D317" s="0" t="n">
        <f aca="false">IF('Little Explorers Kits'!D348="","",'Little Explorers Kits'!D348)</f>
        <v>1</v>
      </c>
      <c r="E317" s="0" t="str">
        <f aca="false">IF('Little Explorers Kits'!E348="","",'Little Explorers Kits'!E348)</f>
        <v>Per group</v>
      </c>
      <c r="F317" s="0" t="str">
        <f aca="false">IFERROR(INDEX('Session Tracker'!$M$5:$M$149,MATCH($A317,'Session Tracker'!$D$5:$D$149,0))+0,"")</f>
        <v/>
      </c>
      <c r="G317" s="0" t="str">
        <f aca="false">IF(ISNUMBER(F317),IF(OR(B317=0,B317=99,C317&lt;&gt;""),F317*100+B317,""),"")</f>
        <v/>
      </c>
      <c r="H317" s="0" t="n">
        <f aca="false">IFERROR(INDEX('Session Tracker'!$J$5:$J$149,MATCH($A317,'Session Tracker'!$D$5:$D$149,0)),0)</f>
        <v>8</v>
      </c>
      <c r="I317" s="0" t="n">
        <f aca="false">IF(OR(B317=0,B317=99,C317=""),"",IF(E317="Per class",D317,D317*H317))</f>
        <v>8</v>
      </c>
      <c r="N317" s="0" t="str">
        <f aca="false">IF('Little Explorers Kits'!B348="","",'Little Explorers Kits'!B348)</f>
        <v>Microcontrollers &amp; Dev Boards</v>
      </c>
      <c r="O317" s="0" t="str">
        <f aca="false">IF('Little Explorers Kits'!F348="","",'Little Explorers Kits'!F348)</f>
        <v>Reusable</v>
      </c>
      <c r="P317" s="0" t="str">
        <f aca="false">IF('Little Explorers Kits'!G348="","",'Little Explorers Kits'!G348)</f>
        <v>Pre-wired by teacher</v>
      </c>
    </row>
    <row r="318" customFormat="false" ht="15" hidden="false" customHeight="false" outlineLevel="0" collapsed="false">
      <c r="A318" s="0" t="s">
        <v>146</v>
      </c>
      <c r="B318" s="0" t="n">
        <v>2</v>
      </c>
      <c r="C318" s="0" t="str">
        <f aca="false">IF('Little Explorers Kits'!C349="","",'Little Explorers Kits'!C349)</f>
        <v>Push button</v>
      </c>
      <c r="D318" s="0" t="n">
        <f aca="false">IF('Little Explorers Kits'!D349="","",'Little Explorers Kits'!D349)</f>
        <v>1</v>
      </c>
      <c r="E318" s="0" t="str">
        <f aca="false">IF('Little Explorers Kits'!E349="","",'Little Explorers Kits'!E349)</f>
        <v>Per group</v>
      </c>
      <c r="F318" s="0" t="str">
        <f aca="false">IFERROR(INDEX('Session Tracker'!$M$5:$M$149,MATCH($A318,'Session Tracker'!$D$5:$D$149,0))+0,"")</f>
        <v/>
      </c>
      <c r="G318" s="0" t="str">
        <f aca="false">IF(ISNUMBER(F318),IF(OR(B318=0,B318=99,C318&lt;&gt;""),F318*100+B318,""),"")</f>
        <v/>
      </c>
      <c r="H318" s="0" t="n">
        <f aca="false">IFERROR(INDEX('Session Tracker'!$J$5:$J$149,MATCH($A318,'Session Tracker'!$D$5:$D$149,0)),0)</f>
        <v>8</v>
      </c>
      <c r="I318" s="0" t="n">
        <f aca="false">IF(OR(B318=0,B318=99,C318=""),"",IF(E318="Per class",D318,D318*H318))</f>
        <v>8</v>
      </c>
      <c r="N318" s="0" t="str">
        <f aca="false">IF('Little Explorers Kits'!B349="","",'Little Explorers Kits'!B349)</f>
        <v>Passive Components &amp; ICs</v>
      </c>
      <c r="O318" s="0" t="str">
        <f aca="false">IF('Little Explorers Kits'!F349="","",'Little Explorers Kits'!F349)</f>
        <v>Reusable</v>
      </c>
      <c r="P318" s="0" t="str">
        <f aca="false">IF('Little Explorers Kits'!G349="","",'Little Explorers Kits'!G349)</f>
        <v>Pre-wired</v>
      </c>
    </row>
    <row r="319" customFormat="false" ht="15" hidden="false" customHeight="false" outlineLevel="0" collapsed="false">
      <c r="A319" s="0" t="s">
        <v>146</v>
      </c>
      <c r="B319" s="0" t="n">
        <v>3</v>
      </c>
      <c r="C319" s="0" t="str">
        <f aca="false">IF('Little Explorers Kits'!C350="","",'Little Explorers Kits'!C350)</f>
        <v>LED 5 mm (assorted)</v>
      </c>
      <c r="D319" s="0" t="n">
        <f aca="false">IF('Little Explorers Kits'!D350="","",'Little Explorers Kits'!D350)</f>
        <v>2</v>
      </c>
      <c r="E319" s="0" t="str">
        <f aca="false">IF('Little Explorers Kits'!E350="","",'Little Explorers Kits'!E350)</f>
        <v>Per group</v>
      </c>
      <c r="F319" s="0" t="str">
        <f aca="false">IFERROR(INDEX('Session Tracker'!$M$5:$M$149,MATCH($A319,'Session Tracker'!$D$5:$D$149,0))+0,"")</f>
        <v/>
      </c>
      <c r="G319" s="0" t="str">
        <f aca="false">IF(ISNUMBER(F319),IF(OR(B319=0,B319=99,C319&lt;&gt;""),F319*100+B319,""),"")</f>
        <v/>
      </c>
      <c r="H319" s="0" t="n">
        <f aca="false">IFERROR(INDEX('Session Tracker'!$J$5:$J$149,MATCH($A319,'Session Tracker'!$D$5:$D$149,0)),0)</f>
        <v>8</v>
      </c>
      <c r="I319" s="0" t="n">
        <f aca="false">IF(OR(B319=0,B319=99,C319=""),"",IF(E319="Per class",D319,D319*H319))</f>
        <v>16</v>
      </c>
      <c r="N319" s="0" t="str">
        <f aca="false">IF('Little Explorers Kits'!B350="","",'Little Explorers Kits'!B350)</f>
        <v>Displays &amp; Output</v>
      </c>
      <c r="O319" s="0" t="str">
        <f aca="false">IF('Little Explorers Kits'!F350="","",'Little Explorers Kits'!F350)</f>
        <v>Consumable</v>
      </c>
      <c r="P319" s="0" t="str">
        <f aca="false">IF('Little Explorers Kits'!G350="","",'Little Explorers Kits'!G350)</f>
        <v/>
      </c>
    </row>
    <row r="320" customFormat="false" ht="15" hidden="false" customHeight="false" outlineLevel="0" collapsed="false">
      <c r="A320" s="0" t="s">
        <v>146</v>
      </c>
      <c r="B320" s="0" t="n">
        <v>4</v>
      </c>
      <c r="C320" s="0" t="str">
        <f aca="false">IF('Little Explorers Kits'!C351="","",'Little Explorers Kits'!C351)</f>
        <v>Resistor 220 ohm</v>
      </c>
      <c r="D320" s="0" t="n">
        <f aca="false">IF('Little Explorers Kits'!D351="","",'Little Explorers Kits'!D351)</f>
        <v>2</v>
      </c>
      <c r="E320" s="0" t="str">
        <f aca="false">IF('Little Explorers Kits'!E351="","",'Little Explorers Kits'!E351)</f>
        <v>Per group</v>
      </c>
      <c r="F320" s="0" t="str">
        <f aca="false">IFERROR(INDEX('Session Tracker'!$M$5:$M$149,MATCH($A320,'Session Tracker'!$D$5:$D$149,0))+0,"")</f>
        <v/>
      </c>
      <c r="G320" s="0" t="str">
        <f aca="false">IF(ISNUMBER(F320),IF(OR(B320=0,B320=99,C320&lt;&gt;""),F320*100+B320,""),"")</f>
        <v/>
      </c>
      <c r="H320" s="0" t="n">
        <f aca="false">IFERROR(INDEX('Session Tracker'!$J$5:$J$149,MATCH($A320,'Session Tracker'!$D$5:$D$149,0)),0)</f>
        <v>8</v>
      </c>
      <c r="I320" s="0" t="n">
        <f aca="false">IF(OR(B320=0,B320=99,C320=""),"",IF(E320="Per class",D320,D320*H320))</f>
        <v>16</v>
      </c>
      <c r="N320" s="0" t="str">
        <f aca="false">IF('Little Explorers Kits'!B351="","",'Little Explorers Kits'!B351)</f>
        <v>Passive Components &amp; ICs</v>
      </c>
      <c r="O320" s="0" t="str">
        <f aca="false">IF('Little Explorers Kits'!F351="","",'Little Explorers Kits'!F351)</f>
        <v>Consumable</v>
      </c>
      <c r="P320" s="0" t="str">
        <f aca="false">IF('Little Explorers Kits'!G351="","",'Little Explorers Kits'!G351)</f>
        <v/>
      </c>
    </row>
    <row r="321" customFormat="false" ht="15" hidden="false" customHeight="false" outlineLevel="0" collapsed="false">
      <c r="A321" s="0" t="s">
        <v>146</v>
      </c>
      <c r="B321" s="0" t="n">
        <v>5</v>
      </c>
      <c r="C321" s="0" t="str">
        <f aca="false">IF('Little Explorers Kits'!C352="","",'Little Explorers Kits'!C352)</f>
        <v>Resistor 10k ohm</v>
      </c>
      <c r="D321" s="0" t="n">
        <f aca="false">IF('Little Explorers Kits'!D352="","",'Little Explorers Kits'!D352)</f>
        <v>1</v>
      </c>
      <c r="E321" s="0" t="str">
        <f aca="false">IF('Little Explorers Kits'!E352="","",'Little Explorers Kits'!E352)</f>
        <v>Per group</v>
      </c>
      <c r="F321" s="0" t="str">
        <f aca="false">IFERROR(INDEX('Session Tracker'!$M$5:$M$149,MATCH($A321,'Session Tracker'!$D$5:$D$149,0))+0,"")</f>
        <v/>
      </c>
      <c r="G321" s="0" t="str">
        <f aca="false">IF(ISNUMBER(F321),IF(OR(B321=0,B321=99,C321&lt;&gt;""),F321*100+B321,""),"")</f>
        <v/>
      </c>
      <c r="H321" s="0" t="n">
        <f aca="false">IFERROR(INDEX('Session Tracker'!$J$5:$J$149,MATCH($A321,'Session Tracker'!$D$5:$D$149,0)),0)</f>
        <v>8</v>
      </c>
      <c r="I321" s="0" t="n">
        <f aca="false">IF(OR(B321=0,B321=99,C321=""),"",IF(E321="Per class",D321,D321*H321))</f>
        <v>8</v>
      </c>
      <c r="N321" s="0" t="str">
        <f aca="false">IF('Little Explorers Kits'!B352="","",'Little Explorers Kits'!B352)</f>
        <v>Passive Components &amp; ICs</v>
      </c>
      <c r="O321" s="0" t="str">
        <f aca="false">IF('Little Explorers Kits'!F352="","",'Little Explorers Kits'!F352)</f>
        <v>Consumable</v>
      </c>
      <c r="P321" s="0" t="str">
        <f aca="false">IF('Little Explorers Kits'!G352="","",'Little Explorers Kits'!G352)</f>
        <v/>
      </c>
    </row>
    <row r="322" customFormat="false" ht="15" hidden="false" customHeight="false" outlineLevel="0" collapsed="false">
      <c r="A322" s="0" t="s">
        <v>146</v>
      </c>
      <c r="B322" s="0" t="n">
        <v>6</v>
      </c>
      <c r="C322" s="0" t="str">
        <f aca="false">IF('Little Explorers Kits'!C353="","",'Little Explorers Kits'!C353)</f>
        <v>Laptop</v>
      </c>
      <c r="D322" s="0" t="n">
        <f aca="false">IF('Little Explorers Kits'!D353="","",'Little Explorers Kits'!D353)</f>
        <v>1</v>
      </c>
      <c r="E322" s="0" t="str">
        <f aca="false">IF('Little Explorers Kits'!E353="","",'Little Explorers Kits'!E353)</f>
        <v>Per group</v>
      </c>
      <c r="F322" s="0" t="str">
        <f aca="false">IFERROR(INDEX('Session Tracker'!$M$5:$M$149,MATCH($A322,'Session Tracker'!$D$5:$D$149,0))+0,"")</f>
        <v/>
      </c>
      <c r="G322" s="0" t="str">
        <f aca="false">IF(ISNUMBER(F322),IF(OR(B322=0,B322=99,C322&lt;&gt;""),F322*100+B322,""),"")</f>
        <v/>
      </c>
      <c r="H322" s="0" t="n">
        <f aca="false">IFERROR(INDEX('Session Tracker'!$J$5:$J$149,MATCH($A322,'Session Tracker'!$D$5:$D$149,0)),0)</f>
        <v>8</v>
      </c>
      <c r="I322" s="0" t="n">
        <f aca="false">IF(OR(B322=0,B322=99,C322=""),"",IF(E322="Per class",D322,D322*H322))</f>
        <v>8</v>
      </c>
      <c r="N322" s="0" t="str">
        <f aca="false">IF('Little Explorers Kits'!B353="","",'Little Explorers Kits'!B353)</f>
        <v>Computers &amp; Equipment</v>
      </c>
      <c r="O322" s="0" t="str">
        <f aca="false">IF('Little Explorers Kits'!F353="","",'Little Explorers Kits'!F353)</f>
        <v>Reusable</v>
      </c>
      <c r="P322" s="0" t="str">
        <f aca="false">IF('Little Explorers Kits'!G353="","",'Little Explorers Kits'!G353)</f>
        <v/>
      </c>
    </row>
    <row r="323" customFormat="false" ht="15" hidden="false" customHeight="false" outlineLevel="0" collapsed="false">
      <c r="A323" s="0" t="s">
        <v>146</v>
      </c>
      <c r="B323" s="0" t="n">
        <v>7</v>
      </c>
      <c r="C323" s="0" t="str">
        <f aca="false">IF('Little Explorers Kits'!C354="","",'Little Explorers Kits'!C354)</f>
        <v>Buzzer</v>
      </c>
      <c r="D323" s="0" t="n">
        <f aca="false">IF('Little Explorers Kits'!D354="","",'Little Explorers Kits'!D354)</f>
        <v>1</v>
      </c>
      <c r="E323" s="0" t="str">
        <f aca="false">IF('Little Explorers Kits'!E354="","",'Little Explorers Kits'!E354)</f>
        <v>Per group</v>
      </c>
      <c r="F323" s="0" t="str">
        <f aca="false">IFERROR(INDEX('Session Tracker'!$M$5:$M$149,MATCH($A323,'Session Tracker'!$D$5:$D$149,0))+0,"")</f>
        <v/>
      </c>
      <c r="G323" s="0" t="str">
        <f aca="false">IF(ISNUMBER(F323),IF(OR(B323=0,B323=99,C323&lt;&gt;""),F323*100+B323,""),"")</f>
        <v/>
      </c>
      <c r="H323" s="0" t="n">
        <f aca="false">IFERROR(INDEX('Session Tracker'!$J$5:$J$149,MATCH($A323,'Session Tracker'!$D$5:$D$149,0)),0)</f>
        <v>8</v>
      </c>
      <c r="I323" s="0" t="n">
        <f aca="false">IF(OR(B323=0,B323=99,C323=""),"",IF(E323="Per class",D323,D323*H323))</f>
        <v>8</v>
      </c>
      <c r="N323" s="0" t="str">
        <f aca="false">IF('Little Explorers Kits'!B354="","",'Little Explorers Kits'!B354)</f>
        <v>Actuators &amp; Motor Drivers</v>
      </c>
      <c r="O323" s="0" t="str">
        <f aca="false">IF('Little Explorers Kits'!F354="","",'Little Explorers Kits'!F354)</f>
        <v>Reusable</v>
      </c>
      <c r="P323" s="0" t="str">
        <f aca="false">IF('Little Explorers Kits'!G354="","",'Little Explorers Kits'!G354)</f>
        <v>Added: every Arduino class</v>
      </c>
    </row>
    <row r="324" customFormat="false" ht="15" hidden="false" customHeight="false" outlineLevel="0" collapsed="false">
      <c r="A324" s="0" t="s">
        <v>146</v>
      </c>
      <c r="B324" s="0" t="n">
        <v>8</v>
      </c>
      <c r="C324" s="0" t="str">
        <f aca="false">IF('Little Explorers Kits'!C355="","",'Little Explorers Kits'!C355)</f>
        <v/>
      </c>
      <c r="D324" s="0" t="str">
        <f aca="false">IF('Little Explorers Kits'!D355="","",'Little Explorers Kits'!D355)</f>
        <v/>
      </c>
      <c r="E324" s="0" t="str">
        <f aca="false">IF('Little Explorers Kits'!E355="","",'Little Explorers Kits'!E355)</f>
        <v/>
      </c>
      <c r="F324" s="0" t="str">
        <f aca="false">IFERROR(INDEX('Session Tracker'!$M$5:$M$149,MATCH($A324,'Session Tracker'!$D$5:$D$149,0))+0,"")</f>
        <v/>
      </c>
      <c r="G324" s="0" t="str">
        <f aca="false">IF(ISNUMBER(F324),IF(OR(B324=0,B324=99,C324&lt;&gt;""),F324*100+B324,""),"")</f>
        <v/>
      </c>
      <c r="H324" s="0" t="n">
        <f aca="false">IFERROR(INDEX('Session Tracker'!$J$5:$J$149,MATCH($A324,'Session Tracker'!$D$5:$D$149,0)),0)</f>
        <v>8</v>
      </c>
      <c r="I324" s="0" t="str">
        <f aca="false">IF(OR(B324=0,B324=99,C324=""),"",IF(E324="Per class",D324,D324*H324))</f>
        <v/>
      </c>
      <c r="N324" s="0" t="str">
        <f aca="false">IF('Little Explorers Kits'!B355="","",'Little Explorers Kits'!B355)</f>
        <v/>
      </c>
      <c r="O324" s="0" t="str">
        <f aca="false">IF('Little Explorers Kits'!F355="","",'Little Explorers Kits'!F355)</f>
        <v/>
      </c>
      <c r="P324" s="0" t="str">
        <f aca="false">IF('Little Explorers Kits'!G355="","",'Little Explorers Kits'!G355)</f>
        <v/>
      </c>
    </row>
    <row r="325" customFormat="false" ht="15" hidden="false" customHeight="false" outlineLevel="0" collapsed="false">
      <c r="A325" s="0" t="s">
        <v>146</v>
      </c>
      <c r="B325" s="0" t="n">
        <v>9</v>
      </c>
      <c r="C325" s="0" t="str">
        <f aca="false">IF('Little Explorers Kits'!C356="","",'Little Explorers Kits'!C356)</f>
        <v/>
      </c>
      <c r="D325" s="0" t="str">
        <f aca="false">IF('Little Explorers Kits'!D356="","",'Little Explorers Kits'!D356)</f>
        <v/>
      </c>
      <c r="E325" s="0" t="str">
        <f aca="false">IF('Little Explorers Kits'!E356="","",'Little Explorers Kits'!E356)</f>
        <v/>
      </c>
      <c r="F325" s="0" t="str">
        <f aca="false">IFERROR(INDEX('Session Tracker'!$M$5:$M$149,MATCH($A325,'Session Tracker'!$D$5:$D$149,0))+0,"")</f>
        <v/>
      </c>
      <c r="G325" s="0" t="str">
        <f aca="false">IF(ISNUMBER(F325),IF(OR(B325=0,B325=99,C325&lt;&gt;""),F325*100+B325,""),"")</f>
        <v/>
      </c>
      <c r="H325" s="0" t="n">
        <f aca="false">IFERROR(INDEX('Session Tracker'!$J$5:$J$149,MATCH($A325,'Session Tracker'!$D$5:$D$149,0)),0)</f>
        <v>8</v>
      </c>
      <c r="I325" s="0" t="str">
        <f aca="false">IF(OR(B325=0,B325=99,C325=""),"",IF(E325="Per class",D325,D325*H325))</f>
        <v/>
      </c>
      <c r="N325" s="0" t="str">
        <f aca="false">IF('Little Explorers Kits'!B356="","",'Little Explorers Kits'!B356)</f>
        <v/>
      </c>
      <c r="O325" s="0" t="str">
        <f aca="false">IF('Little Explorers Kits'!F356="","",'Little Explorers Kits'!F356)</f>
        <v/>
      </c>
      <c r="P325" s="0" t="str">
        <f aca="false">IF('Little Explorers Kits'!G356="","",'Little Explorers Kits'!G356)</f>
        <v/>
      </c>
    </row>
    <row r="326" customFormat="false" ht="15" hidden="false" customHeight="false" outlineLevel="0" collapsed="false">
      <c r="A326" s="0" t="s">
        <v>149</v>
      </c>
      <c r="B326" s="0" t="n">
        <v>0</v>
      </c>
      <c r="F326" s="0" t="str">
        <f aca="false">IFERROR(INDEX('Session Tracker'!$M$5:$M$149,MATCH($A326,'Session Tracker'!$D$5:$D$149,0))+0,"")</f>
        <v/>
      </c>
      <c r="G326" s="0" t="str">
        <f aca="false">IF(ISNUMBER(F326),IF(OR(B326=0,B326=99,C326&lt;&gt;""),F326*100+B326,""),"")</f>
        <v/>
      </c>
      <c r="H326" s="0" t="n">
        <f aca="false">IFERROR(INDEX('Session Tracker'!$J$5:$J$149,MATCH($A326,'Session Tracker'!$D$5:$D$149,0)),0)</f>
        <v>8</v>
      </c>
      <c r="I326" s="0" t="str">
        <f aca="false">IF(OR(B326=0,B326=99,C326=""),"",IF(E326="Per class",D326,D326*H326))</f>
        <v/>
      </c>
      <c r="K326" s="0" t="str">
        <f aca="false">IFERROR(INDEX('Session Tracker'!$E$5:$E$149,MATCH($A326,'Session Tracker'!$D$5:$D$149,0)),"")</f>
        <v>Welcome to Robotics (Distance Alarm)</v>
      </c>
      <c r="L326" s="0" t="str">
        <f aca="false">IFERROR(INDEX('Session Tracker'!$A$5:$A$149,MATCH($A326,'Session Tracker'!$D$5:$D$149,0)),"")</f>
        <v>Junior Makers (8-11)</v>
      </c>
      <c r="M326" s="0" t="str">
        <f aca="false">IFERROR(INDEX('Session Tracker'!$H$5:$H$149,MATCH($A326,'Session Tracker'!$D$5:$D$149,0))&amp;"","")</f>
        <v/>
      </c>
      <c r="Q326" s="0" t="str">
        <f aca="false">IFERROR("Status: "&amp;INDEX('Session Tracker'!$F$5:$F$149,MATCH($A326,'Session Tracker'!$D$5:$D$149,0))&amp;IF(INDEX('Session Tracker'!$G$5:$G$149,MATCH($A326,'Session Tracker'!$D$5:$D$149,0))&lt;&gt;""," ("&amp;INDEX('Session Tracker'!$G$5:$G$149,MATCH($A326,'Session Tracker'!$D$5:$D$149,0))&amp;")","")&amp;IF(M326&lt;&gt;"","  "&amp;M326,""),"")</f>
        <v>Status: Not started</v>
      </c>
    </row>
    <row r="327" customFormat="false" ht="15" hidden="false" customHeight="false" outlineLevel="0" collapsed="false">
      <c r="A327" s="0" t="s">
        <v>149</v>
      </c>
      <c r="B327" s="0" t="n">
        <v>1</v>
      </c>
      <c r="C327" s="0" t="str">
        <f aca="false">IF('Junior Makers Kits'!C6="","",'Junior Makers Kits'!C6)</f>
        <v>Arduino Uno + USB cable</v>
      </c>
      <c r="D327" s="0" t="n">
        <f aca="false">IF('Junior Makers Kits'!D6="","",'Junior Makers Kits'!D6)</f>
        <v>1</v>
      </c>
      <c r="E327" s="0" t="str">
        <f aca="false">IF('Junior Makers Kits'!E6="","",'Junior Makers Kits'!E6)</f>
        <v>Per group</v>
      </c>
      <c r="F327" s="0" t="str">
        <f aca="false">IFERROR(INDEX('Session Tracker'!$M$5:$M$149,MATCH($A327,'Session Tracker'!$D$5:$D$149,0))+0,"")</f>
        <v/>
      </c>
      <c r="G327" s="0" t="str">
        <f aca="false">IF(ISNUMBER(F327),IF(OR(B327=0,B327=99,C327&lt;&gt;""),F327*100+B327,""),"")</f>
        <v/>
      </c>
      <c r="H327" s="0" t="n">
        <f aca="false">IFERROR(INDEX('Session Tracker'!$J$5:$J$149,MATCH($A327,'Session Tracker'!$D$5:$D$149,0)),0)</f>
        <v>8</v>
      </c>
      <c r="I327" s="0" t="n">
        <f aca="false">IF(OR(B327=0,B327=99,C327=""),"",IF(E327="Per class",D327,D327*H327))</f>
        <v>8</v>
      </c>
      <c r="N327" s="0" t="str">
        <f aca="false">IF('Junior Makers Kits'!B6="","",'Junior Makers Kits'!B6)</f>
        <v>Microcontrollers &amp; Dev Boards</v>
      </c>
      <c r="O327" s="0" t="str">
        <f aca="false">IF('Junior Makers Kits'!F6="","",'Junior Makers Kits'!F6)</f>
        <v>Reusable</v>
      </c>
      <c r="P327" s="0" t="str">
        <f aca="false">IF('Junior Makers Kits'!G6="","",'Junior Makers Kits'!G6)</f>
        <v/>
      </c>
    </row>
    <row r="328" customFormat="false" ht="15" hidden="false" customHeight="false" outlineLevel="0" collapsed="false">
      <c r="A328" s="0" t="s">
        <v>149</v>
      </c>
      <c r="B328" s="0" t="n">
        <v>2</v>
      </c>
      <c r="C328" s="0" t="str">
        <f aca="false">IF('Junior Makers Kits'!C7="","",'Junior Makers Kits'!C7)</f>
        <v>Ultrasonic sensor HC-SR04</v>
      </c>
      <c r="D328" s="0" t="n">
        <f aca="false">IF('Junior Makers Kits'!D7="","",'Junior Makers Kits'!D7)</f>
        <v>1</v>
      </c>
      <c r="E328" s="0" t="str">
        <f aca="false">IF('Junior Makers Kits'!E7="","",'Junior Makers Kits'!E7)</f>
        <v>Per group</v>
      </c>
      <c r="F328" s="0" t="str">
        <f aca="false">IFERROR(INDEX('Session Tracker'!$M$5:$M$149,MATCH($A328,'Session Tracker'!$D$5:$D$149,0))+0,"")</f>
        <v/>
      </c>
      <c r="G328" s="0" t="str">
        <f aca="false">IF(ISNUMBER(F328),IF(OR(B328=0,B328=99,C328&lt;&gt;""),F328*100+B328,""),"")</f>
        <v/>
      </c>
      <c r="H328" s="0" t="n">
        <f aca="false">IFERROR(INDEX('Session Tracker'!$J$5:$J$149,MATCH($A328,'Session Tracker'!$D$5:$D$149,0)),0)</f>
        <v>8</v>
      </c>
      <c r="I328" s="0" t="n">
        <f aca="false">IF(OR(B328=0,B328=99,C328=""),"",IF(E328="Per class",D328,D328*H328))</f>
        <v>8</v>
      </c>
      <c r="N328" s="0" t="str">
        <f aca="false">IF('Junior Makers Kits'!B7="","",'Junior Makers Kits'!B7)</f>
        <v>Sensors</v>
      </c>
      <c r="O328" s="0" t="str">
        <f aca="false">IF('Junior Makers Kits'!F7="","",'Junior Makers Kits'!F7)</f>
        <v>Reusable</v>
      </c>
      <c r="P328" s="0" t="str">
        <f aca="false">IF('Junior Makers Kits'!G7="","",'Junior Makers Kits'!G7)</f>
        <v/>
      </c>
    </row>
    <row r="329" customFormat="false" ht="15" hidden="false" customHeight="false" outlineLevel="0" collapsed="false">
      <c r="A329" s="0" t="s">
        <v>149</v>
      </c>
      <c r="B329" s="0" t="n">
        <v>3</v>
      </c>
      <c r="C329" s="0" t="str">
        <f aca="false">IF('Junior Makers Kits'!C8="","",'Junior Makers Kits'!C8)</f>
        <v>LED 5 mm (assorted)</v>
      </c>
      <c r="D329" s="0" t="n">
        <f aca="false">IF('Junior Makers Kits'!D8="","",'Junior Makers Kits'!D8)</f>
        <v>1</v>
      </c>
      <c r="E329" s="0" t="str">
        <f aca="false">IF('Junior Makers Kits'!E8="","",'Junior Makers Kits'!E8)</f>
        <v>Per group</v>
      </c>
      <c r="F329" s="0" t="str">
        <f aca="false">IFERROR(INDEX('Session Tracker'!$M$5:$M$149,MATCH($A329,'Session Tracker'!$D$5:$D$149,0))+0,"")</f>
        <v/>
      </c>
      <c r="G329" s="0" t="str">
        <f aca="false">IF(ISNUMBER(F329),IF(OR(B329=0,B329=99,C329&lt;&gt;""),F329*100+B329,""),"")</f>
        <v/>
      </c>
      <c r="H329" s="0" t="n">
        <f aca="false">IFERROR(INDEX('Session Tracker'!$J$5:$J$149,MATCH($A329,'Session Tracker'!$D$5:$D$149,0)),0)</f>
        <v>8</v>
      </c>
      <c r="I329" s="0" t="n">
        <f aca="false">IF(OR(B329=0,B329=99,C329=""),"",IF(E329="Per class",D329,D329*H329))</f>
        <v>8</v>
      </c>
      <c r="N329" s="0" t="str">
        <f aca="false">IF('Junior Makers Kits'!B8="","",'Junior Makers Kits'!B8)</f>
        <v>Displays &amp; Output</v>
      </c>
      <c r="O329" s="0" t="str">
        <f aca="false">IF('Junior Makers Kits'!F8="","",'Junior Makers Kits'!F8)</f>
        <v>Consumable</v>
      </c>
      <c r="P329" s="0" t="str">
        <f aca="false">IF('Junior Makers Kits'!G8="","",'Junior Makers Kits'!G8)</f>
        <v>Red</v>
      </c>
    </row>
    <row r="330" customFormat="false" ht="15" hidden="false" customHeight="false" outlineLevel="0" collapsed="false">
      <c r="A330" s="0" t="s">
        <v>149</v>
      </c>
      <c r="B330" s="0" t="n">
        <v>4</v>
      </c>
      <c r="C330" s="0" t="str">
        <f aca="false">IF('Junior Makers Kits'!C9="","",'Junior Makers Kits'!C9)</f>
        <v>Resistor 220 ohm</v>
      </c>
      <c r="D330" s="0" t="n">
        <f aca="false">IF('Junior Makers Kits'!D9="","",'Junior Makers Kits'!D9)</f>
        <v>1</v>
      </c>
      <c r="E330" s="0" t="str">
        <f aca="false">IF('Junior Makers Kits'!E9="","",'Junior Makers Kits'!E9)</f>
        <v>Per group</v>
      </c>
      <c r="F330" s="0" t="str">
        <f aca="false">IFERROR(INDEX('Session Tracker'!$M$5:$M$149,MATCH($A330,'Session Tracker'!$D$5:$D$149,0))+0,"")</f>
        <v/>
      </c>
      <c r="G330" s="0" t="str">
        <f aca="false">IF(ISNUMBER(F330),IF(OR(B330=0,B330=99,C330&lt;&gt;""),F330*100+B330,""),"")</f>
        <v/>
      </c>
      <c r="H330" s="0" t="n">
        <f aca="false">IFERROR(INDEX('Session Tracker'!$J$5:$J$149,MATCH($A330,'Session Tracker'!$D$5:$D$149,0)),0)</f>
        <v>8</v>
      </c>
      <c r="I330" s="0" t="n">
        <f aca="false">IF(OR(B330=0,B330=99,C330=""),"",IF(E330="Per class",D330,D330*H330))</f>
        <v>8</v>
      </c>
      <c r="N330" s="0" t="str">
        <f aca="false">IF('Junior Makers Kits'!B9="","",'Junior Makers Kits'!B9)</f>
        <v>Passive Components &amp; ICs</v>
      </c>
      <c r="O330" s="0" t="str">
        <f aca="false">IF('Junior Makers Kits'!F9="","",'Junior Makers Kits'!F9)</f>
        <v>Consumable</v>
      </c>
      <c r="P330" s="0" t="str">
        <f aca="false">IF('Junior Makers Kits'!G9="","",'Junior Makers Kits'!G9)</f>
        <v/>
      </c>
    </row>
    <row r="331" customFormat="false" ht="15" hidden="false" customHeight="false" outlineLevel="0" collapsed="false">
      <c r="A331" s="0" t="s">
        <v>149</v>
      </c>
      <c r="B331" s="0" t="n">
        <v>5</v>
      </c>
      <c r="C331" s="0" t="str">
        <f aca="false">IF('Junior Makers Kits'!C10="","",'Junior Makers Kits'!C10)</f>
        <v>Buzzer</v>
      </c>
      <c r="D331" s="0" t="n">
        <f aca="false">IF('Junior Makers Kits'!D10="","",'Junior Makers Kits'!D10)</f>
        <v>1</v>
      </c>
      <c r="E331" s="0" t="str">
        <f aca="false">IF('Junior Makers Kits'!E10="","",'Junior Makers Kits'!E10)</f>
        <v>Per group</v>
      </c>
      <c r="F331" s="0" t="str">
        <f aca="false">IFERROR(INDEX('Session Tracker'!$M$5:$M$149,MATCH($A331,'Session Tracker'!$D$5:$D$149,0))+0,"")</f>
        <v/>
      </c>
      <c r="G331" s="0" t="str">
        <f aca="false">IF(ISNUMBER(F331),IF(OR(B331=0,B331=99,C331&lt;&gt;""),F331*100+B331,""),"")</f>
        <v/>
      </c>
      <c r="H331" s="0" t="n">
        <f aca="false">IFERROR(INDEX('Session Tracker'!$J$5:$J$149,MATCH($A331,'Session Tracker'!$D$5:$D$149,0)),0)</f>
        <v>8</v>
      </c>
      <c r="I331" s="0" t="n">
        <f aca="false">IF(OR(B331=0,B331=99,C331=""),"",IF(E331="Per class",D331,D331*H331))</f>
        <v>8</v>
      </c>
      <c r="N331" s="0" t="str">
        <f aca="false">IF('Junior Makers Kits'!B10="","",'Junior Makers Kits'!B10)</f>
        <v>Actuators &amp; Motor Drivers</v>
      </c>
      <c r="O331" s="0" t="str">
        <f aca="false">IF('Junior Makers Kits'!F10="","",'Junior Makers Kits'!F10)</f>
        <v>Reusable</v>
      </c>
      <c r="P331" s="0" t="str">
        <f aca="false">IF('Junior Makers Kits'!G10="","",'Junior Makers Kits'!G10)</f>
        <v/>
      </c>
    </row>
    <row r="332" customFormat="false" ht="15" hidden="false" customHeight="false" outlineLevel="0" collapsed="false">
      <c r="A332" s="0" t="s">
        <v>149</v>
      </c>
      <c r="B332" s="0" t="n">
        <v>6</v>
      </c>
      <c r="C332" s="0" t="str">
        <f aca="false">IF('Junior Makers Kits'!C11="","",'Junior Makers Kits'!C11)</f>
        <v>Breadboard (half size)</v>
      </c>
      <c r="D332" s="0" t="n">
        <f aca="false">IF('Junior Makers Kits'!D11="","",'Junior Makers Kits'!D11)</f>
        <v>1</v>
      </c>
      <c r="E332" s="0" t="str">
        <f aca="false">IF('Junior Makers Kits'!E11="","",'Junior Makers Kits'!E11)</f>
        <v>Per group</v>
      </c>
      <c r="F332" s="0" t="str">
        <f aca="false">IFERROR(INDEX('Session Tracker'!$M$5:$M$149,MATCH($A332,'Session Tracker'!$D$5:$D$149,0))+0,"")</f>
        <v/>
      </c>
      <c r="G332" s="0" t="str">
        <f aca="false">IF(ISNUMBER(F332),IF(OR(B332=0,B332=99,C332&lt;&gt;""),F332*100+B332,""),"")</f>
        <v/>
      </c>
      <c r="H332" s="0" t="n">
        <f aca="false">IFERROR(INDEX('Session Tracker'!$J$5:$J$149,MATCH($A332,'Session Tracker'!$D$5:$D$149,0)),0)</f>
        <v>8</v>
      </c>
      <c r="I332" s="0" t="n">
        <f aca="false">IF(OR(B332=0,B332=99,C332=""),"",IF(E332="Per class",D332,D332*H332))</f>
        <v>8</v>
      </c>
      <c r="N332" s="0" t="str">
        <f aca="false">IF('Junior Makers Kits'!B11="","",'Junior Makers Kits'!B11)</f>
        <v>Wiring &amp; Prototyping</v>
      </c>
      <c r="O332" s="0" t="str">
        <f aca="false">IF('Junior Makers Kits'!F11="","",'Junior Makers Kits'!F11)</f>
        <v>Reusable</v>
      </c>
      <c r="P332" s="0" t="str">
        <f aca="false">IF('Junior Makers Kits'!G11="","",'Junior Makers Kits'!G11)</f>
        <v/>
      </c>
    </row>
    <row r="333" customFormat="false" ht="15" hidden="false" customHeight="false" outlineLevel="0" collapsed="false">
      <c r="A333" s="0" t="s">
        <v>149</v>
      </c>
      <c r="B333" s="0" t="n">
        <v>7</v>
      </c>
      <c r="C333" s="0" t="str">
        <f aca="false">IF('Junior Makers Kits'!C12="","",'Junior Makers Kits'!C12)</f>
        <v>Jumper wires M-M</v>
      </c>
      <c r="D333" s="0" t="n">
        <f aca="false">IF('Junior Makers Kits'!D12="","",'Junior Makers Kits'!D12)</f>
        <v>6</v>
      </c>
      <c r="E333" s="0" t="str">
        <f aca="false">IF('Junior Makers Kits'!E12="","",'Junior Makers Kits'!E12)</f>
        <v>Per group</v>
      </c>
      <c r="F333" s="0" t="str">
        <f aca="false">IFERROR(INDEX('Session Tracker'!$M$5:$M$149,MATCH($A333,'Session Tracker'!$D$5:$D$149,0))+0,"")</f>
        <v/>
      </c>
      <c r="G333" s="0" t="str">
        <f aca="false">IF(ISNUMBER(F333),IF(OR(B333=0,B333=99,C333&lt;&gt;""),F333*100+B333,""),"")</f>
        <v/>
      </c>
      <c r="H333" s="0" t="n">
        <f aca="false">IFERROR(INDEX('Session Tracker'!$J$5:$J$149,MATCH($A333,'Session Tracker'!$D$5:$D$149,0)),0)</f>
        <v>8</v>
      </c>
      <c r="I333" s="0" t="n">
        <f aca="false">IF(OR(B333=0,B333=99,C333=""),"",IF(E333="Per class",D333,D333*H333))</f>
        <v>48</v>
      </c>
      <c r="N333" s="0" t="str">
        <f aca="false">IF('Junior Makers Kits'!B12="","",'Junior Makers Kits'!B12)</f>
        <v>Wiring &amp; Prototyping</v>
      </c>
      <c r="O333" s="0" t="str">
        <f aca="false">IF('Junior Makers Kits'!F12="","",'Junior Makers Kits'!F12)</f>
        <v>Reusable</v>
      </c>
      <c r="P333" s="0" t="str">
        <f aca="false">IF('Junior Makers Kits'!G12="","",'Junior Makers Kits'!G12)</f>
        <v/>
      </c>
    </row>
    <row r="334" customFormat="false" ht="15" hidden="false" customHeight="false" outlineLevel="0" collapsed="false">
      <c r="A334" s="0" t="s">
        <v>149</v>
      </c>
      <c r="B334" s="0" t="n">
        <v>8</v>
      </c>
      <c r="C334" s="0" t="str">
        <f aca="false">IF('Junior Makers Kits'!C13="","",'Junior Makers Kits'!C13)</f>
        <v>Laptop</v>
      </c>
      <c r="D334" s="0" t="n">
        <f aca="false">IF('Junior Makers Kits'!D13="","",'Junior Makers Kits'!D13)</f>
        <v>1</v>
      </c>
      <c r="E334" s="0" t="str">
        <f aca="false">IF('Junior Makers Kits'!E13="","",'Junior Makers Kits'!E13)</f>
        <v>Per group</v>
      </c>
      <c r="F334" s="0" t="str">
        <f aca="false">IFERROR(INDEX('Session Tracker'!$M$5:$M$149,MATCH($A334,'Session Tracker'!$D$5:$D$149,0))+0,"")</f>
        <v/>
      </c>
      <c r="G334" s="0" t="str">
        <f aca="false">IF(ISNUMBER(F334),IF(OR(B334=0,B334=99,C334&lt;&gt;""),F334*100+B334,""),"")</f>
        <v/>
      </c>
      <c r="H334" s="0" t="n">
        <f aca="false">IFERROR(INDEX('Session Tracker'!$J$5:$J$149,MATCH($A334,'Session Tracker'!$D$5:$D$149,0)),0)</f>
        <v>8</v>
      </c>
      <c r="I334" s="0" t="n">
        <f aca="false">IF(OR(B334=0,B334=99,C334=""),"",IF(E334="Per class",D334,D334*H334))</f>
        <v>8</v>
      </c>
      <c r="N334" s="0" t="str">
        <f aca="false">IF('Junior Makers Kits'!B13="","",'Junior Makers Kits'!B13)</f>
        <v>Computers &amp; Equipment</v>
      </c>
      <c r="O334" s="0" t="str">
        <f aca="false">IF('Junior Makers Kits'!F13="","",'Junior Makers Kits'!F13)</f>
        <v>Reusable</v>
      </c>
      <c r="P334" s="0" t="str">
        <f aca="false">IF('Junior Makers Kits'!G13="","",'Junior Makers Kits'!G13)</f>
        <v/>
      </c>
    </row>
    <row r="335" customFormat="false" ht="15" hidden="false" customHeight="false" outlineLevel="0" collapsed="false">
      <c r="A335" s="0" t="s">
        <v>149</v>
      </c>
      <c r="B335" s="0" t="n">
        <v>9</v>
      </c>
      <c r="C335" s="0" t="str">
        <f aca="false">IF('Junior Makers Kits'!C14="","",'Junior Makers Kits'!C14)</f>
        <v/>
      </c>
      <c r="D335" s="0" t="str">
        <f aca="false">IF('Junior Makers Kits'!D14="","",'Junior Makers Kits'!D14)</f>
        <v/>
      </c>
      <c r="E335" s="0" t="str">
        <f aca="false">IF('Junior Makers Kits'!E14="","",'Junior Makers Kits'!E14)</f>
        <v/>
      </c>
      <c r="F335" s="0" t="str">
        <f aca="false">IFERROR(INDEX('Session Tracker'!$M$5:$M$149,MATCH($A335,'Session Tracker'!$D$5:$D$149,0))+0,"")</f>
        <v/>
      </c>
      <c r="G335" s="0" t="str">
        <f aca="false">IF(ISNUMBER(F335),IF(OR(B335=0,B335=99,C335&lt;&gt;""),F335*100+B335,""),"")</f>
        <v/>
      </c>
      <c r="H335" s="0" t="n">
        <f aca="false">IFERROR(INDEX('Session Tracker'!$J$5:$J$149,MATCH($A335,'Session Tracker'!$D$5:$D$149,0)),0)</f>
        <v>8</v>
      </c>
      <c r="I335" s="0" t="str">
        <f aca="false">IF(OR(B335=0,B335=99,C335=""),"",IF(E335="Per class",D335,D335*H335))</f>
        <v/>
      </c>
      <c r="N335" s="0" t="str">
        <f aca="false">IF('Junior Makers Kits'!B14="","",'Junior Makers Kits'!B14)</f>
        <v/>
      </c>
      <c r="O335" s="0" t="str">
        <f aca="false">IF('Junior Makers Kits'!F14="","",'Junior Makers Kits'!F14)</f>
        <v/>
      </c>
      <c r="P335" s="0" t="str">
        <f aca="false">IF('Junior Makers Kits'!G14="","",'Junior Makers Kits'!G14)</f>
        <v/>
      </c>
    </row>
    <row r="336" customFormat="false" ht="15" hidden="false" customHeight="false" outlineLevel="0" collapsed="false">
      <c r="A336" s="0" t="s">
        <v>149</v>
      </c>
      <c r="B336" s="0" t="n">
        <v>10</v>
      </c>
      <c r="C336" s="0" t="str">
        <f aca="false">IF('Junior Makers Kits'!C15="","",'Junior Makers Kits'!C15)</f>
        <v/>
      </c>
      <c r="D336" s="0" t="str">
        <f aca="false">IF('Junior Makers Kits'!D15="","",'Junior Makers Kits'!D15)</f>
        <v/>
      </c>
      <c r="E336" s="0" t="str">
        <f aca="false">IF('Junior Makers Kits'!E15="","",'Junior Makers Kits'!E15)</f>
        <v/>
      </c>
      <c r="F336" s="0" t="str">
        <f aca="false">IFERROR(INDEX('Session Tracker'!$M$5:$M$149,MATCH($A336,'Session Tracker'!$D$5:$D$149,0))+0,"")</f>
        <v/>
      </c>
      <c r="G336" s="0" t="str">
        <f aca="false">IF(ISNUMBER(F336),IF(OR(B336=0,B336=99,C336&lt;&gt;""),F336*100+B336,""),"")</f>
        <v/>
      </c>
      <c r="H336" s="0" t="n">
        <f aca="false">IFERROR(INDEX('Session Tracker'!$J$5:$J$149,MATCH($A336,'Session Tracker'!$D$5:$D$149,0)),0)</f>
        <v>8</v>
      </c>
      <c r="I336" s="0" t="str">
        <f aca="false">IF(OR(B336=0,B336=99,C336=""),"",IF(E336="Per class",D336,D336*H336))</f>
        <v/>
      </c>
      <c r="N336" s="0" t="str">
        <f aca="false">IF('Junior Makers Kits'!B15="","",'Junior Makers Kits'!B15)</f>
        <v/>
      </c>
      <c r="O336" s="0" t="str">
        <f aca="false">IF('Junior Makers Kits'!F15="","",'Junior Makers Kits'!F15)</f>
        <v/>
      </c>
      <c r="P336" s="0" t="str">
        <f aca="false">IF('Junior Makers Kits'!G15="","",'Junior Makers Kits'!G15)</f>
        <v/>
      </c>
    </row>
    <row r="337" customFormat="false" ht="15" hidden="false" customHeight="false" outlineLevel="0" collapsed="false">
      <c r="A337" s="0" t="s">
        <v>150</v>
      </c>
      <c r="B337" s="0" t="n">
        <v>0</v>
      </c>
      <c r="F337" s="0" t="str">
        <f aca="false">IFERROR(INDEX('Session Tracker'!$M$5:$M$149,MATCH($A337,'Session Tracker'!$D$5:$D$149,0))+0,"")</f>
        <v/>
      </c>
      <c r="G337" s="0" t="str">
        <f aca="false">IF(ISNUMBER(F337),IF(OR(B337=0,B337=99,C337&lt;&gt;""),F337*100+B337,""),"")</f>
        <v/>
      </c>
      <c r="H337" s="0" t="n">
        <f aca="false">IFERROR(INDEX('Session Tracker'!$J$5:$J$149,MATCH($A337,'Session Tracker'!$D$5:$D$149,0)),0)</f>
        <v>8</v>
      </c>
      <c r="I337" s="0" t="str">
        <f aca="false">IF(OR(B337=0,B337=99,C337=""),"",IF(E337="Per class",D337,D337*H337))</f>
        <v/>
      </c>
      <c r="K337" s="0" t="str">
        <f aca="false">IFERROR(INDEX('Session Tracker'!$E$5:$E$149,MATCH($A337,'Session Tracker'!$D$5:$D$149,0)),"")</f>
        <v>Arduino Uno Basics</v>
      </c>
      <c r="L337" s="0" t="str">
        <f aca="false">IFERROR(INDEX('Session Tracker'!$A$5:$A$149,MATCH($A337,'Session Tracker'!$D$5:$D$149,0)),"")</f>
        <v>Junior Makers (8-11)</v>
      </c>
      <c r="M337" s="0" t="str">
        <f aca="false">IFERROR(INDEX('Session Tracker'!$H$5:$H$149,MATCH($A337,'Session Tracker'!$D$5:$D$149,0))&amp;"","")</f>
        <v/>
      </c>
      <c r="Q337" s="0" t="str">
        <f aca="false">IFERROR("Status: "&amp;INDEX('Session Tracker'!$F$5:$F$149,MATCH($A337,'Session Tracker'!$D$5:$D$149,0))&amp;IF(INDEX('Session Tracker'!$G$5:$G$149,MATCH($A337,'Session Tracker'!$D$5:$D$149,0))&lt;&gt;""," ("&amp;INDEX('Session Tracker'!$G$5:$G$149,MATCH($A337,'Session Tracker'!$D$5:$D$149,0))&amp;")","")&amp;IF(M337&lt;&gt;"","  "&amp;M337,""),"")</f>
        <v>Status: Not started</v>
      </c>
    </row>
    <row r="338" customFormat="false" ht="15" hidden="false" customHeight="false" outlineLevel="0" collapsed="false">
      <c r="A338" s="0" t="s">
        <v>150</v>
      </c>
      <c r="B338" s="0" t="n">
        <v>1</v>
      </c>
      <c r="C338" s="0" t="str">
        <f aca="false">IF('Junior Makers Kits'!C18="","",'Junior Makers Kits'!C18)</f>
        <v>Arduino Uno + USB cable</v>
      </c>
      <c r="D338" s="0" t="n">
        <f aca="false">IF('Junior Makers Kits'!D18="","",'Junior Makers Kits'!D18)</f>
        <v>1</v>
      </c>
      <c r="E338" s="0" t="str">
        <f aca="false">IF('Junior Makers Kits'!E18="","",'Junior Makers Kits'!E18)</f>
        <v>Per group</v>
      </c>
      <c r="F338" s="0" t="str">
        <f aca="false">IFERROR(INDEX('Session Tracker'!$M$5:$M$149,MATCH($A338,'Session Tracker'!$D$5:$D$149,0))+0,"")</f>
        <v/>
      </c>
      <c r="G338" s="0" t="str">
        <f aca="false">IF(ISNUMBER(F338),IF(OR(B338=0,B338=99,C338&lt;&gt;""),F338*100+B338,""),"")</f>
        <v/>
      </c>
      <c r="H338" s="0" t="n">
        <f aca="false">IFERROR(INDEX('Session Tracker'!$J$5:$J$149,MATCH($A338,'Session Tracker'!$D$5:$D$149,0)),0)</f>
        <v>8</v>
      </c>
      <c r="I338" s="0" t="n">
        <f aca="false">IF(OR(B338=0,B338=99,C338=""),"",IF(E338="Per class",D338,D338*H338))</f>
        <v>8</v>
      </c>
      <c r="N338" s="0" t="str">
        <f aca="false">IF('Junior Makers Kits'!B18="","",'Junior Makers Kits'!B18)</f>
        <v>Microcontrollers &amp; Dev Boards</v>
      </c>
      <c r="O338" s="0" t="str">
        <f aca="false">IF('Junior Makers Kits'!F18="","",'Junior Makers Kits'!F18)</f>
        <v>Reusable</v>
      </c>
      <c r="P338" s="0" t="str">
        <f aca="false">IF('Junior Makers Kits'!G18="","",'Junior Makers Kits'!G18)</f>
        <v/>
      </c>
    </row>
    <row r="339" customFormat="false" ht="15" hidden="false" customHeight="false" outlineLevel="0" collapsed="false">
      <c r="A339" s="0" t="s">
        <v>150</v>
      </c>
      <c r="B339" s="0" t="n">
        <v>2</v>
      </c>
      <c r="C339" s="0" t="str">
        <f aca="false">IF('Junior Makers Kits'!C19="","",'Junior Makers Kits'!C19)</f>
        <v>LED 5 mm (assorted)</v>
      </c>
      <c r="D339" s="0" t="n">
        <f aca="false">IF('Junior Makers Kits'!D19="","",'Junior Makers Kits'!D19)</f>
        <v>2</v>
      </c>
      <c r="E339" s="0" t="str">
        <f aca="false">IF('Junior Makers Kits'!E19="","",'Junior Makers Kits'!E19)</f>
        <v>Per group</v>
      </c>
      <c r="F339" s="0" t="str">
        <f aca="false">IFERROR(INDEX('Session Tracker'!$M$5:$M$149,MATCH($A339,'Session Tracker'!$D$5:$D$149,0))+0,"")</f>
        <v/>
      </c>
      <c r="G339" s="0" t="str">
        <f aca="false">IF(ISNUMBER(F339),IF(OR(B339=0,B339=99,C339&lt;&gt;""),F339*100+B339,""),"")</f>
        <v/>
      </c>
      <c r="H339" s="0" t="n">
        <f aca="false">IFERROR(INDEX('Session Tracker'!$J$5:$J$149,MATCH($A339,'Session Tracker'!$D$5:$D$149,0)),0)</f>
        <v>8</v>
      </c>
      <c r="I339" s="0" t="n">
        <f aca="false">IF(OR(B339=0,B339=99,C339=""),"",IF(E339="Per class",D339,D339*H339))</f>
        <v>16</v>
      </c>
      <c r="N339" s="0" t="str">
        <f aca="false">IF('Junior Makers Kits'!B19="","",'Junior Makers Kits'!B19)</f>
        <v>Displays &amp; Output</v>
      </c>
      <c r="O339" s="0" t="str">
        <f aca="false">IF('Junior Makers Kits'!F19="","",'Junior Makers Kits'!F19)</f>
        <v>Consumable</v>
      </c>
      <c r="P339" s="0" t="str">
        <f aca="false">IF('Junior Makers Kits'!G19="","",'Junior Makers Kits'!G19)</f>
        <v/>
      </c>
    </row>
    <row r="340" customFormat="false" ht="15" hidden="false" customHeight="false" outlineLevel="0" collapsed="false">
      <c r="A340" s="0" t="s">
        <v>150</v>
      </c>
      <c r="B340" s="0" t="n">
        <v>3</v>
      </c>
      <c r="C340" s="0" t="str">
        <f aca="false">IF('Junior Makers Kits'!C20="","",'Junior Makers Kits'!C20)</f>
        <v>Resistor 220 ohm</v>
      </c>
      <c r="D340" s="0" t="n">
        <f aca="false">IF('Junior Makers Kits'!D20="","",'Junior Makers Kits'!D20)</f>
        <v>2</v>
      </c>
      <c r="E340" s="0" t="str">
        <f aca="false">IF('Junior Makers Kits'!E20="","",'Junior Makers Kits'!E20)</f>
        <v>Per group</v>
      </c>
      <c r="F340" s="0" t="str">
        <f aca="false">IFERROR(INDEX('Session Tracker'!$M$5:$M$149,MATCH($A340,'Session Tracker'!$D$5:$D$149,0))+0,"")</f>
        <v/>
      </c>
      <c r="G340" s="0" t="str">
        <f aca="false">IF(ISNUMBER(F340),IF(OR(B340=0,B340=99,C340&lt;&gt;""),F340*100+B340,""),"")</f>
        <v/>
      </c>
      <c r="H340" s="0" t="n">
        <f aca="false">IFERROR(INDEX('Session Tracker'!$J$5:$J$149,MATCH($A340,'Session Tracker'!$D$5:$D$149,0)),0)</f>
        <v>8</v>
      </c>
      <c r="I340" s="0" t="n">
        <f aca="false">IF(OR(B340=0,B340=99,C340=""),"",IF(E340="Per class",D340,D340*H340))</f>
        <v>16</v>
      </c>
      <c r="N340" s="0" t="str">
        <f aca="false">IF('Junior Makers Kits'!B20="","",'Junior Makers Kits'!B20)</f>
        <v>Passive Components &amp; ICs</v>
      </c>
      <c r="O340" s="0" t="str">
        <f aca="false">IF('Junior Makers Kits'!F20="","",'Junior Makers Kits'!F20)</f>
        <v>Consumable</v>
      </c>
      <c r="P340" s="0" t="str">
        <f aca="false">IF('Junior Makers Kits'!G20="","",'Junior Makers Kits'!G20)</f>
        <v/>
      </c>
    </row>
    <row r="341" customFormat="false" ht="15" hidden="false" customHeight="false" outlineLevel="0" collapsed="false">
      <c r="A341" s="0" t="s">
        <v>150</v>
      </c>
      <c r="B341" s="0" t="n">
        <v>4</v>
      </c>
      <c r="C341" s="0" t="str">
        <f aca="false">IF('Junior Makers Kits'!C21="","",'Junior Makers Kits'!C21)</f>
        <v>Push button</v>
      </c>
      <c r="D341" s="0" t="n">
        <f aca="false">IF('Junior Makers Kits'!D21="","",'Junior Makers Kits'!D21)</f>
        <v>1</v>
      </c>
      <c r="E341" s="0" t="str">
        <f aca="false">IF('Junior Makers Kits'!E21="","",'Junior Makers Kits'!E21)</f>
        <v>Per group</v>
      </c>
      <c r="F341" s="0" t="str">
        <f aca="false">IFERROR(INDEX('Session Tracker'!$M$5:$M$149,MATCH($A341,'Session Tracker'!$D$5:$D$149,0))+0,"")</f>
        <v/>
      </c>
      <c r="G341" s="0" t="str">
        <f aca="false">IF(ISNUMBER(F341),IF(OR(B341=0,B341=99,C341&lt;&gt;""),F341*100+B341,""),"")</f>
        <v/>
      </c>
      <c r="H341" s="0" t="n">
        <f aca="false">IFERROR(INDEX('Session Tracker'!$J$5:$J$149,MATCH($A341,'Session Tracker'!$D$5:$D$149,0)),0)</f>
        <v>8</v>
      </c>
      <c r="I341" s="0" t="n">
        <f aca="false">IF(OR(B341=0,B341=99,C341=""),"",IF(E341="Per class",D341,D341*H341))</f>
        <v>8</v>
      </c>
      <c r="N341" s="0" t="str">
        <f aca="false">IF('Junior Makers Kits'!B21="","",'Junior Makers Kits'!B21)</f>
        <v>Passive Components &amp; ICs</v>
      </c>
      <c r="O341" s="0" t="str">
        <f aca="false">IF('Junior Makers Kits'!F21="","",'Junior Makers Kits'!F21)</f>
        <v>Reusable</v>
      </c>
      <c r="P341" s="0" t="str">
        <f aca="false">IF('Junior Makers Kits'!G21="","",'Junior Makers Kits'!G21)</f>
        <v>INPUT_PULLUP demo</v>
      </c>
    </row>
    <row r="342" customFormat="false" ht="15" hidden="false" customHeight="false" outlineLevel="0" collapsed="false">
      <c r="A342" s="0" t="s">
        <v>150</v>
      </c>
      <c r="B342" s="0" t="n">
        <v>5</v>
      </c>
      <c r="C342" s="0" t="str">
        <f aca="false">IF('Junior Makers Kits'!C22="","",'Junior Makers Kits'!C22)</f>
        <v>Potentiometer 10k</v>
      </c>
      <c r="D342" s="0" t="n">
        <f aca="false">IF('Junior Makers Kits'!D22="","",'Junior Makers Kits'!D22)</f>
        <v>1</v>
      </c>
      <c r="E342" s="0" t="str">
        <f aca="false">IF('Junior Makers Kits'!E22="","",'Junior Makers Kits'!E22)</f>
        <v>Per group</v>
      </c>
      <c r="F342" s="0" t="str">
        <f aca="false">IFERROR(INDEX('Session Tracker'!$M$5:$M$149,MATCH($A342,'Session Tracker'!$D$5:$D$149,0))+0,"")</f>
        <v/>
      </c>
      <c r="G342" s="0" t="str">
        <f aca="false">IF(ISNUMBER(F342),IF(OR(B342=0,B342=99,C342&lt;&gt;""),F342*100+B342,""),"")</f>
        <v/>
      </c>
      <c r="H342" s="0" t="n">
        <f aca="false">IFERROR(INDEX('Session Tracker'!$J$5:$J$149,MATCH($A342,'Session Tracker'!$D$5:$D$149,0)),0)</f>
        <v>8</v>
      </c>
      <c r="I342" s="0" t="n">
        <f aca="false">IF(OR(B342=0,B342=99,C342=""),"",IF(E342="Per class",D342,D342*H342))</f>
        <v>8</v>
      </c>
      <c r="N342" s="0" t="str">
        <f aca="false">IF('Junior Makers Kits'!B22="","",'Junior Makers Kits'!B22)</f>
        <v>Passive Components &amp; ICs</v>
      </c>
      <c r="O342" s="0" t="str">
        <f aca="false">IF('Junior Makers Kits'!F22="","",'Junior Makers Kits'!F22)</f>
        <v>Reusable</v>
      </c>
      <c r="P342" s="0" t="str">
        <f aca="false">IF('Junior Makers Kits'!G22="","",'Junior Makers Kits'!G22)</f>
        <v>Analog input demo</v>
      </c>
    </row>
    <row r="343" customFormat="false" ht="15" hidden="false" customHeight="false" outlineLevel="0" collapsed="false">
      <c r="A343" s="0" t="s">
        <v>150</v>
      </c>
      <c r="B343" s="0" t="n">
        <v>6</v>
      </c>
      <c r="C343" s="0" t="str">
        <f aca="false">IF('Junior Makers Kits'!C23="","",'Junior Makers Kits'!C23)</f>
        <v>Breadboard (half size)</v>
      </c>
      <c r="D343" s="0" t="n">
        <f aca="false">IF('Junior Makers Kits'!D23="","",'Junior Makers Kits'!D23)</f>
        <v>1</v>
      </c>
      <c r="E343" s="0" t="str">
        <f aca="false">IF('Junior Makers Kits'!E23="","",'Junior Makers Kits'!E23)</f>
        <v>Per group</v>
      </c>
      <c r="F343" s="0" t="str">
        <f aca="false">IFERROR(INDEX('Session Tracker'!$M$5:$M$149,MATCH($A343,'Session Tracker'!$D$5:$D$149,0))+0,"")</f>
        <v/>
      </c>
      <c r="G343" s="0" t="str">
        <f aca="false">IF(ISNUMBER(F343),IF(OR(B343=0,B343=99,C343&lt;&gt;""),F343*100+B343,""),"")</f>
        <v/>
      </c>
      <c r="H343" s="0" t="n">
        <f aca="false">IFERROR(INDEX('Session Tracker'!$J$5:$J$149,MATCH($A343,'Session Tracker'!$D$5:$D$149,0)),0)</f>
        <v>8</v>
      </c>
      <c r="I343" s="0" t="n">
        <f aca="false">IF(OR(B343=0,B343=99,C343=""),"",IF(E343="Per class",D343,D343*H343))</f>
        <v>8</v>
      </c>
      <c r="N343" s="0" t="str">
        <f aca="false">IF('Junior Makers Kits'!B23="","",'Junior Makers Kits'!B23)</f>
        <v>Wiring &amp; Prototyping</v>
      </c>
      <c r="O343" s="0" t="str">
        <f aca="false">IF('Junior Makers Kits'!F23="","",'Junior Makers Kits'!F23)</f>
        <v>Reusable</v>
      </c>
      <c r="P343" s="0" t="str">
        <f aca="false">IF('Junior Makers Kits'!G23="","",'Junior Makers Kits'!G23)</f>
        <v/>
      </c>
    </row>
    <row r="344" customFormat="false" ht="15" hidden="false" customHeight="false" outlineLevel="0" collapsed="false">
      <c r="A344" s="0" t="s">
        <v>150</v>
      </c>
      <c r="B344" s="0" t="n">
        <v>7</v>
      </c>
      <c r="C344" s="0" t="str">
        <f aca="false">IF('Junior Makers Kits'!C24="","",'Junior Makers Kits'!C24)</f>
        <v>Jumper wires M-M</v>
      </c>
      <c r="D344" s="0" t="n">
        <f aca="false">IF('Junior Makers Kits'!D24="","",'Junior Makers Kits'!D24)</f>
        <v>8</v>
      </c>
      <c r="E344" s="0" t="str">
        <f aca="false">IF('Junior Makers Kits'!E24="","",'Junior Makers Kits'!E24)</f>
        <v>Per group</v>
      </c>
      <c r="F344" s="0" t="str">
        <f aca="false">IFERROR(INDEX('Session Tracker'!$M$5:$M$149,MATCH($A344,'Session Tracker'!$D$5:$D$149,0))+0,"")</f>
        <v/>
      </c>
      <c r="G344" s="0" t="str">
        <f aca="false">IF(ISNUMBER(F344),IF(OR(B344=0,B344=99,C344&lt;&gt;""),F344*100+B344,""),"")</f>
        <v/>
      </c>
      <c r="H344" s="0" t="n">
        <f aca="false">IFERROR(INDEX('Session Tracker'!$J$5:$J$149,MATCH($A344,'Session Tracker'!$D$5:$D$149,0)),0)</f>
        <v>8</v>
      </c>
      <c r="I344" s="0" t="n">
        <f aca="false">IF(OR(B344=0,B344=99,C344=""),"",IF(E344="Per class",D344,D344*H344))</f>
        <v>64</v>
      </c>
      <c r="N344" s="0" t="str">
        <f aca="false">IF('Junior Makers Kits'!B24="","",'Junior Makers Kits'!B24)</f>
        <v>Wiring &amp; Prototyping</v>
      </c>
      <c r="O344" s="0" t="str">
        <f aca="false">IF('Junior Makers Kits'!F24="","",'Junior Makers Kits'!F24)</f>
        <v>Reusable</v>
      </c>
      <c r="P344" s="0" t="str">
        <f aca="false">IF('Junior Makers Kits'!G24="","",'Junior Makers Kits'!G24)</f>
        <v/>
      </c>
    </row>
    <row r="345" customFormat="false" ht="15" hidden="false" customHeight="false" outlineLevel="0" collapsed="false">
      <c r="A345" s="0" t="s">
        <v>150</v>
      </c>
      <c r="B345" s="0" t="n">
        <v>8</v>
      </c>
      <c r="C345" s="0" t="str">
        <f aca="false">IF('Junior Makers Kits'!C25="","",'Junior Makers Kits'!C25)</f>
        <v>Laptop</v>
      </c>
      <c r="D345" s="0" t="n">
        <f aca="false">IF('Junior Makers Kits'!D25="","",'Junior Makers Kits'!D25)</f>
        <v>1</v>
      </c>
      <c r="E345" s="0" t="str">
        <f aca="false">IF('Junior Makers Kits'!E25="","",'Junior Makers Kits'!E25)</f>
        <v>Per group</v>
      </c>
      <c r="F345" s="0" t="str">
        <f aca="false">IFERROR(INDEX('Session Tracker'!$M$5:$M$149,MATCH($A345,'Session Tracker'!$D$5:$D$149,0))+0,"")</f>
        <v/>
      </c>
      <c r="G345" s="0" t="str">
        <f aca="false">IF(ISNUMBER(F345),IF(OR(B345=0,B345=99,C345&lt;&gt;""),F345*100+B345,""),"")</f>
        <v/>
      </c>
      <c r="H345" s="0" t="n">
        <f aca="false">IFERROR(INDEX('Session Tracker'!$J$5:$J$149,MATCH($A345,'Session Tracker'!$D$5:$D$149,0)),0)</f>
        <v>8</v>
      </c>
      <c r="I345" s="0" t="n">
        <f aca="false">IF(OR(B345=0,B345=99,C345=""),"",IF(E345="Per class",D345,D345*H345))</f>
        <v>8</v>
      </c>
      <c r="N345" s="0" t="str">
        <f aca="false">IF('Junior Makers Kits'!B25="","",'Junior Makers Kits'!B25)</f>
        <v>Computers &amp; Equipment</v>
      </c>
      <c r="O345" s="0" t="str">
        <f aca="false">IF('Junior Makers Kits'!F25="","",'Junior Makers Kits'!F25)</f>
        <v>Reusable</v>
      </c>
      <c r="P345" s="0" t="str">
        <f aca="false">IF('Junior Makers Kits'!G25="","",'Junior Makers Kits'!G25)</f>
        <v/>
      </c>
    </row>
    <row r="346" customFormat="false" ht="15" hidden="false" customHeight="false" outlineLevel="0" collapsed="false">
      <c r="A346" s="0" t="s">
        <v>150</v>
      </c>
      <c r="B346" s="0" t="n">
        <v>9</v>
      </c>
      <c r="C346" s="0" t="str">
        <f aca="false">IF('Junior Makers Kits'!C26="","",'Junior Makers Kits'!C26)</f>
        <v>Buzzer</v>
      </c>
      <c r="D346" s="0" t="n">
        <f aca="false">IF('Junior Makers Kits'!D26="","",'Junior Makers Kits'!D26)</f>
        <v>1</v>
      </c>
      <c r="E346" s="0" t="str">
        <f aca="false">IF('Junior Makers Kits'!E26="","",'Junior Makers Kits'!E26)</f>
        <v>Per group</v>
      </c>
      <c r="F346" s="0" t="str">
        <f aca="false">IFERROR(INDEX('Session Tracker'!$M$5:$M$149,MATCH($A346,'Session Tracker'!$D$5:$D$149,0))+0,"")</f>
        <v/>
      </c>
      <c r="G346" s="0" t="str">
        <f aca="false">IF(ISNUMBER(F346),IF(OR(B346=0,B346=99,C346&lt;&gt;""),F346*100+B346,""),"")</f>
        <v/>
      </c>
      <c r="H346" s="0" t="n">
        <f aca="false">IFERROR(INDEX('Session Tracker'!$J$5:$J$149,MATCH($A346,'Session Tracker'!$D$5:$D$149,0)),0)</f>
        <v>8</v>
      </c>
      <c r="I346" s="0" t="n">
        <f aca="false">IF(OR(B346=0,B346=99,C346=""),"",IF(E346="Per class",D346,D346*H346))</f>
        <v>8</v>
      </c>
      <c r="N346" s="0" t="str">
        <f aca="false">IF('Junior Makers Kits'!B26="","",'Junior Makers Kits'!B26)</f>
        <v>Actuators &amp; Motor Drivers</v>
      </c>
      <c r="O346" s="0" t="str">
        <f aca="false">IF('Junior Makers Kits'!F26="","",'Junior Makers Kits'!F26)</f>
        <v>Reusable</v>
      </c>
      <c r="P346" s="0" t="str">
        <f aca="false">IF('Junior Makers Kits'!G26="","",'Junior Makers Kits'!G26)</f>
        <v>Added: every Arduino class</v>
      </c>
    </row>
    <row r="347" customFormat="false" ht="15" hidden="false" customHeight="false" outlineLevel="0" collapsed="false">
      <c r="A347" s="0" t="s">
        <v>150</v>
      </c>
      <c r="B347" s="0" t="n">
        <v>10</v>
      </c>
      <c r="C347" s="0" t="str">
        <f aca="false">IF('Junior Makers Kits'!C27="","",'Junior Makers Kits'!C27)</f>
        <v/>
      </c>
      <c r="D347" s="0" t="str">
        <f aca="false">IF('Junior Makers Kits'!D27="","",'Junior Makers Kits'!D27)</f>
        <v/>
      </c>
      <c r="E347" s="0" t="str">
        <f aca="false">IF('Junior Makers Kits'!E27="","",'Junior Makers Kits'!E27)</f>
        <v/>
      </c>
      <c r="F347" s="0" t="str">
        <f aca="false">IFERROR(INDEX('Session Tracker'!$M$5:$M$149,MATCH($A347,'Session Tracker'!$D$5:$D$149,0))+0,"")</f>
        <v/>
      </c>
      <c r="G347" s="0" t="str">
        <f aca="false">IF(ISNUMBER(F347),IF(OR(B347=0,B347=99,C347&lt;&gt;""),F347*100+B347,""),"")</f>
        <v/>
      </c>
      <c r="H347" s="0" t="n">
        <f aca="false">IFERROR(INDEX('Session Tracker'!$J$5:$J$149,MATCH($A347,'Session Tracker'!$D$5:$D$149,0)),0)</f>
        <v>8</v>
      </c>
      <c r="I347" s="0" t="str">
        <f aca="false">IF(OR(B347=0,B347=99,C347=""),"",IF(E347="Per class",D347,D347*H347))</f>
        <v/>
      </c>
      <c r="N347" s="0" t="str">
        <f aca="false">IF('Junior Makers Kits'!B27="","",'Junior Makers Kits'!B27)</f>
        <v/>
      </c>
      <c r="O347" s="0" t="str">
        <f aca="false">IF('Junior Makers Kits'!F27="","",'Junior Makers Kits'!F27)</f>
        <v/>
      </c>
      <c r="P347" s="0" t="str">
        <f aca="false">IF('Junior Makers Kits'!G27="","",'Junior Makers Kits'!G27)</f>
        <v/>
      </c>
    </row>
    <row r="348" customFormat="false" ht="15" hidden="false" customHeight="false" outlineLevel="0" collapsed="false">
      <c r="A348" s="0" t="s">
        <v>150</v>
      </c>
      <c r="B348" s="0" t="n">
        <v>11</v>
      </c>
      <c r="C348" s="0" t="str">
        <f aca="false">IF('Junior Makers Kits'!C28="","",'Junior Makers Kits'!C28)</f>
        <v/>
      </c>
      <c r="D348" s="0" t="str">
        <f aca="false">IF('Junior Makers Kits'!D28="","",'Junior Makers Kits'!D28)</f>
        <v/>
      </c>
      <c r="E348" s="0" t="str">
        <f aca="false">IF('Junior Makers Kits'!E28="","",'Junior Makers Kits'!E28)</f>
        <v/>
      </c>
      <c r="F348" s="0" t="str">
        <f aca="false">IFERROR(INDEX('Session Tracker'!$M$5:$M$149,MATCH($A348,'Session Tracker'!$D$5:$D$149,0))+0,"")</f>
        <v/>
      </c>
      <c r="G348" s="0" t="str">
        <f aca="false">IF(ISNUMBER(F348),IF(OR(B348=0,B348=99,C348&lt;&gt;""),F348*100+B348,""),"")</f>
        <v/>
      </c>
      <c r="H348" s="0" t="n">
        <f aca="false">IFERROR(INDEX('Session Tracker'!$J$5:$J$149,MATCH($A348,'Session Tracker'!$D$5:$D$149,0)),0)</f>
        <v>8</v>
      </c>
      <c r="I348" s="0" t="str">
        <f aca="false">IF(OR(B348=0,B348=99,C348=""),"",IF(E348="Per class",D348,D348*H348))</f>
        <v/>
      </c>
      <c r="N348" s="0" t="str">
        <f aca="false">IF('Junior Makers Kits'!B28="","",'Junior Makers Kits'!B28)</f>
        <v/>
      </c>
      <c r="O348" s="0" t="str">
        <f aca="false">IF('Junior Makers Kits'!F28="","",'Junior Makers Kits'!F28)</f>
        <v/>
      </c>
      <c r="P348" s="0" t="str">
        <f aca="false">IF('Junior Makers Kits'!G28="","",'Junior Makers Kits'!G28)</f>
        <v/>
      </c>
    </row>
    <row r="349" customFormat="false" ht="15" hidden="false" customHeight="false" outlineLevel="0" collapsed="false">
      <c r="A349" s="0" t="s">
        <v>151</v>
      </c>
      <c r="B349" s="0" t="n">
        <v>0</v>
      </c>
      <c r="F349" s="0" t="str">
        <f aca="false">IFERROR(INDEX('Session Tracker'!$M$5:$M$149,MATCH($A349,'Session Tracker'!$D$5:$D$149,0))+0,"")</f>
        <v/>
      </c>
      <c r="G349" s="0" t="str">
        <f aca="false">IF(ISNUMBER(F349),IF(OR(B349=0,B349=99,C349&lt;&gt;""),F349*100+B349,""),"")</f>
        <v/>
      </c>
      <c r="H349" s="0" t="n">
        <f aca="false">IFERROR(INDEX('Session Tracker'!$J$5:$J$149,MATCH($A349,'Session Tracker'!$D$5:$D$149,0)),0)</f>
        <v>8</v>
      </c>
      <c r="I349" s="0" t="str">
        <f aca="false">IF(OR(B349=0,B349=99,C349=""),"",IF(E349="Per class",D349,D349*H349))</f>
        <v/>
      </c>
      <c r="K349" s="0" t="str">
        <f aca="false">IFERROR(INDEX('Session Tracker'!$E$5:$E$149,MATCH($A349,'Session Tracker'!$D$5:$D$149,0)),"")</f>
        <v>ESP32 Basics</v>
      </c>
      <c r="L349" s="0" t="str">
        <f aca="false">IFERROR(INDEX('Session Tracker'!$A$5:$A$149,MATCH($A349,'Session Tracker'!$D$5:$D$149,0)),"")</f>
        <v>Junior Makers (8-11)</v>
      </c>
      <c r="M349" s="0" t="str">
        <f aca="false">IFERROR(INDEX('Session Tracker'!$H$5:$H$149,MATCH($A349,'Session Tracker'!$D$5:$D$149,0))&amp;"","")</f>
        <v/>
      </c>
      <c r="Q349" s="0" t="str">
        <f aca="false">IFERROR("Status: "&amp;INDEX('Session Tracker'!$F$5:$F$149,MATCH($A349,'Session Tracker'!$D$5:$D$149,0))&amp;IF(INDEX('Session Tracker'!$G$5:$G$149,MATCH($A349,'Session Tracker'!$D$5:$D$149,0))&lt;&gt;""," ("&amp;INDEX('Session Tracker'!$G$5:$G$149,MATCH($A349,'Session Tracker'!$D$5:$D$149,0))&amp;")","")&amp;IF(M349&lt;&gt;"","  "&amp;M349,""),"")</f>
        <v>Status: Not started</v>
      </c>
    </row>
    <row r="350" customFormat="false" ht="15" hidden="false" customHeight="false" outlineLevel="0" collapsed="false">
      <c r="A350" s="0" t="s">
        <v>151</v>
      </c>
      <c r="B350" s="0" t="n">
        <v>1</v>
      </c>
      <c r="C350" s="0" t="str">
        <f aca="false">IF('Junior Makers Kits'!C31="","",'Junior Makers Kits'!C31)</f>
        <v>ESP32 Dev Board + USB cable</v>
      </c>
      <c r="D350" s="0" t="n">
        <f aca="false">IF('Junior Makers Kits'!D31="","",'Junior Makers Kits'!D31)</f>
        <v>1</v>
      </c>
      <c r="E350" s="0" t="str">
        <f aca="false">IF('Junior Makers Kits'!E31="","",'Junior Makers Kits'!E31)</f>
        <v>Per group</v>
      </c>
      <c r="F350" s="0" t="str">
        <f aca="false">IFERROR(INDEX('Session Tracker'!$M$5:$M$149,MATCH($A350,'Session Tracker'!$D$5:$D$149,0))+0,"")</f>
        <v/>
      </c>
      <c r="G350" s="0" t="str">
        <f aca="false">IF(ISNUMBER(F350),IF(OR(B350=0,B350=99,C350&lt;&gt;""),F350*100+B350,""),"")</f>
        <v/>
      </c>
      <c r="H350" s="0" t="n">
        <f aca="false">IFERROR(INDEX('Session Tracker'!$J$5:$J$149,MATCH($A350,'Session Tracker'!$D$5:$D$149,0)),0)</f>
        <v>8</v>
      </c>
      <c r="I350" s="0" t="n">
        <f aca="false">IF(OR(B350=0,B350=99,C350=""),"",IF(E350="Per class",D350,D350*H350))</f>
        <v>8</v>
      </c>
      <c r="N350" s="0" t="str">
        <f aca="false">IF('Junior Makers Kits'!B31="","",'Junior Makers Kits'!B31)</f>
        <v>Microcontrollers &amp; Dev Boards</v>
      </c>
      <c r="O350" s="0" t="str">
        <f aca="false">IF('Junior Makers Kits'!F31="","",'Junior Makers Kits'!F31)</f>
        <v>Reusable</v>
      </c>
      <c r="P350" s="0" t="str">
        <f aca="false">IF('Junior Makers Kits'!G31="","",'Junior Makers Kits'!G31)</f>
        <v>Data cable, not charge-only</v>
      </c>
    </row>
    <row r="351" customFormat="false" ht="15" hidden="false" customHeight="false" outlineLevel="0" collapsed="false">
      <c r="A351" s="0" t="s">
        <v>151</v>
      </c>
      <c r="B351" s="0" t="n">
        <v>2</v>
      </c>
      <c r="C351" s="0" t="str">
        <f aca="false">IF('Junior Makers Kits'!C32="","",'Junior Makers Kits'!C32)</f>
        <v>LED 5 mm (assorted)</v>
      </c>
      <c r="D351" s="0" t="n">
        <f aca="false">IF('Junior Makers Kits'!D32="","",'Junior Makers Kits'!D32)</f>
        <v>1</v>
      </c>
      <c r="E351" s="0" t="str">
        <f aca="false">IF('Junior Makers Kits'!E32="","",'Junior Makers Kits'!E32)</f>
        <v>Per group</v>
      </c>
      <c r="F351" s="0" t="str">
        <f aca="false">IFERROR(INDEX('Session Tracker'!$M$5:$M$149,MATCH($A351,'Session Tracker'!$D$5:$D$149,0))+0,"")</f>
        <v/>
      </c>
      <c r="G351" s="0" t="str">
        <f aca="false">IF(ISNUMBER(F351),IF(OR(B351=0,B351=99,C351&lt;&gt;""),F351*100+B351,""),"")</f>
        <v/>
      </c>
      <c r="H351" s="0" t="n">
        <f aca="false">IFERROR(INDEX('Session Tracker'!$J$5:$J$149,MATCH($A351,'Session Tracker'!$D$5:$D$149,0)),0)</f>
        <v>8</v>
      </c>
      <c r="I351" s="0" t="n">
        <f aca="false">IF(OR(B351=0,B351=99,C351=""),"",IF(E351="Per class",D351,D351*H351))</f>
        <v>8</v>
      </c>
      <c r="N351" s="0" t="str">
        <f aca="false">IF('Junior Makers Kits'!B32="","",'Junior Makers Kits'!B32)</f>
        <v>Displays &amp; Output</v>
      </c>
      <c r="O351" s="0" t="str">
        <f aca="false">IF('Junior Makers Kits'!F32="","",'Junior Makers Kits'!F32)</f>
        <v>Consumable</v>
      </c>
      <c r="P351" s="0" t="str">
        <f aca="false">IF('Junior Makers Kits'!G32="","",'Junior Makers Kits'!G32)</f>
        <v/>
      </c>
    </row>
    <row r="352" customFormat="false" ht="15" hidden="false" customHeight="false" outlineLevel="0" collapsed="false">
      <c r="A352" s="0" t="s">
        <v>151</v>
      </c>
      <c r="B352" s="0" t="n">
        <v>3</v>
      </c>
      <c r="C352" s="0" t="str">
        <f aca="false">IF('Junior Makers Kits'!C33="","",'Junior Makers Kits'!C33)</f>
        <v>Resistor 220 ohm</v>
      </c>
      <c r="D352" s="0" t="n">
        <f aca="false">IF('Junior Makers Kits'!D33="","",'Junior Makers Kits'!D33)</f>
        <v>1</v>
      </c>
      <c r="E352" s="0" t="str">
        <f aca="false">IF('Junior Makers Kits'!E33="","",'Junior Makers Kits'!E33)</f>
        <v>Per group</v>
      </c>
      <c r="F352" s="0" t="str">
        <f aca="false">IFERROR(INDEX('Session Tracker'!$M$5:$M$149,MATCH($A352,'Session Tracker'!$D$5:$D$149,0))+0,"")</f>
        <v/>
      </c>
      <c r="G352" s="0" t="str">
        <f aca="false">IF(ISNUMBER(F352),IF(OR(B352=0,B352=99,C352&lt;&gt;""),F352*100+B352,""),"")</f>
        <v/>
      </c>
      <c r="H352" s="0" t="n">
        <f aca="false">IFERROR(INDEX('Session Tracker'!$J$5:$J$149,MATCH($A352,'Session Tracker'!$D$5:$D$149,0)),0)</f>
        <v>8</v>
      </c>
      <c r="I352" s="0" t="n">
        <f aca="false">IF(OR(B352=0,B352=99,C352=""),"",IF(E352="Per class",D352,D352*H352))</f>
        <v>8</v>
      </c>
      <c r="N352" s="0" t="str">
        <f aca="false">IF('Junior Makers Kits'!B33="","",'Junior Makers Kits'!B33)</f>
        <v>Passive Components &amp; ICs</v>
      </c>
      <c r="O352" s="0" t="str">
        <f aca="false">IF('Junior Makers Kits'!F33="","",'Junior Makers Kits'!F33)</f>
        <v>Consumable</v>
      </c>
      <c r="P352" s="0" t="str">
        <f aca="false">IF('Junior Makers Kits'!G33="","",'Junior Makers Kits'!G33)</f>
        <v/>
      </c>
    </row>
    <row r="353" customFormat="false" ht="15" hidden="false" customHeight="false" outlineLevel="0" collapsed="false">
      <c r="A353" s="0" t="s">
        <v>151</v>
      </c>
      <c r="B353" s="0" t="n">
        <v>4</v>
      </c>
      <c r="C353" s="0" t="str">
        <f aca="false">IF('Junior Makers Kits'!C34="","",'Junior Makers Kits'!C34)</f>
        <v>Potentiometer 10k</v>
      </c>
      <c r="D353" s="0" t="n">
        <f aca="false">IF('Junior Makers Kits'!D34="","",'Junior Makers Kits'!D34)</f>
        <v>1</v>
      </c>
      <c r="E353" s="0" t="str">
        <f aca="false">IF('Junior Makers Kits'!E34="","",'Junior Makers Kits'!E34)</f>
        <v>Per group</v>
      </c>
      <c r="F353" s="0" t="str">
        <f aca="false">IFERROR(INDEX('Session Tracker'!$M$5:$M$149,MATCH($A353,'Session Tracker'!$D$5:$D$149,0))+0,"")</f>
        <v/>
      </c>
      <c r="G353" s="0" t="str">
        <f aca="false">IF(ISNUMBER(F353),IF(OR(B353=0,B353=99,C353&lt;&gt;""),F353*100+B353,""),"")</f>
        <v/>
      </c>
      <c r="H353" s="0" t="n">
        <f aca="false">IFERROR(INDEX('Session Tracker'!$J$5:$J$149,MATCH($A353,'Session Tracker'!$D$5:$D$149,0)),0)</f>
        <v>8</v>
      </c>
      <c r="I353" s="0" t="n">
        <f aca="false">IF(OR(B353=0,B353=99,C353=""),"",IF(E353="Per class",D353,D353*H353))</f>
        <v>8</v>
      </c>
      <c r="N353" s="0" t="str">
        <f aca="false">IF('Junior Makers Kits'!B34="","",'Junior Makers Kits'!B34)</f>
        <v>Passive Components &amp; ICs</v>
      </c>
      <c r="O353" s="0" t="str">
        <f aca="false">IF('Junior Makers Kits'!F34="","",'Junior Makers Kits'!F34)</f>
        <v>Reusable</v>
      </c>
      <c r="P353" s="0" t="str">
        <f aca="false">IF('Junior Makers Kits'!G34="","",'Junior Makers Kits'!G34)</f>
        <v>ADC demo</v>
      </c>
    </row>
    <row r="354" customFormat="false" ht="15" hidden="false" customHeight="false" outlineLevel="0" collapsed="false">
      <c r="A354" s="0" t="s">
        <v>151</v>
      </c>
      <c r="B354" s="0" t="n">
        <v>5</v>
      </c>
      <c r="C354" s="0" t="str">
        <f aca="false">IF('Junior Makers Kits'!C35="","",'Junior Makers Kits'!C35)</f>
        <v>Breadboard (half size)</v>
      </c>
      <c r="D354" s="0" t="n">
        <f aca="false">IF('Junior Makers Kits'!D35="","",'Junior Makers Kits'!D35)</f>
        <v>2</v>
      </c>
      <c r="E354" s="0" t="str">
        <f aca="false">IF('Junior Makers Kits'!E35="","",'Junior Makers Kits'!E35)</f>
        <v>Per group</v>
      </c>
      <c r="F354" s="0" t="str">
        <f aca="false">IFERROR(INDEX('Session Tracker'!$M$5:$M$149,MATCH($A354,'Session Tracker'!$D$5:$D$149,0))+0,"")</f>
        <v/>
      </c>
      <c r="G354" s="0" t="str">
        <f aca="false">IF(ISNUMBER(F354),IF(OR(B354=0,B354=99,C354&lt;&gt;""),F354*100+B354,""),"")</f>
        <v/>
      </c>
      <c r="H354" s="0" t="n">
        <f aca="false">IFERROR(INDEX('Session Tracker'!$J$5:$J$149,MATCH($A354,'Session Tracker'!$D$5:$D$149,0)),0)</f>
        <v>8</v>
      </c>
      <c r="I354" s="0" t="n">
        <f aca="false">IF(OR(B354=0,B354=99,C354=""),"",IF(E354="Per class",D354,D354*H354))</f>
        <v>16</v>
      </c>
      <c r="N354" s="0" t="str">
        <f aca="false">IF('Junior Makers Kits'!B35="","",'Junior Makers Kits'!B35)</f>
        <v>Wiring &amp; Prototyping</v>
      </c>
      <c r="O354" s="0" t="str">
        <f aca="false">IF('Junior Makers Kits'!F35="","",'Junior Makers Kits'!F35)</f>
        <v>Reusable</v>
      </c>
      <c r="P354" s="0" t="str">
        <f aca="false">IF('Junior Makers Kits'!G35="","",'Junior Makers Kits'!G35)</f>
        <v>ESP32 is wide: bridge 2 boards</v>
      </c>
    </row>
    <row r="355" customFormat="false" ht="15" hidden="false" customHeight="false" outlineLevel="0" collapsed="false">
      <c r="A355" s="0" t="s">
        <v>151</v>
      </c>
      <c r="B355" s="0" t="n">
        <v>6</v>
      </c>
      <c r="C355" s="0" t="str">
        <f aca="false">IF('Junior Makers Kits'!C36="","",'Junior Makers Kits'!C36)</f>
        <v>Jumper wires M-M</v>
      </c>
      <c r="D355" s="0" t="n">
        <f aca="false">IF('Junior Makers Kits'!D36="","",'Junior Makers Kits'!D36)</f>
        <v>6</v>
      </c>
      <c r="E355" s="0" t="str">
        <f aca="false">IF('Junior Makers Kits'!E36="","",'Junior Makers Kits'!E36)</f>
        <v>Per group</v>
      </c>
      <c r="F355" s="0" t="str">
        <f aca="false">IFERROR(INDEX('Session Tracker'!$M$5:$M$149,MATCH($A355,'Session Tracker'!$D$5:$D$149,0))+0,"")</f>
        <v/>
      </c>
      <c r="G355" s="0" t="str">
        <f aca="false">IF(ISNUMBER(F355),IF(OR(B355=0,B355=99,C355&lt;&gt;""),F355*100+B355,""),"")</f>
        <v/>
      </c>
      <c r="H355" s="0" t="n">
        <f aca="false">IFERROR(INDEX('Session Tracker'!$J$5:$J$149,MATCH($A355,'Session Tracker'!$D$5:$D$149,0)),0)</f>
        <v>8</v>
      </c>
      <c r="I355" s="0" t="n">
        <f aca="false">IF(OR(B355=0,B355=99,C355=""),"",IF(E355="Per class",D355,D355*H355))</f>
        <v>48</v>
      </c>
      <c r="N355" s="0" t="str">
        <f aca="false">IF('Junior Makers Kits'!B36="","",'Junior Makers Kits'!B36)</f>
        <v>Wiring &amp; Prototyping</v>
      </c>
      <c r="O355" s="0" t="str">
        <f aca="false">IF('Junior Makers Kits'!F36="","",'Junior Makers Kits'!F36)</f>
        <v>Reusable</v>
      </c>
      <c r="P355" s="0" t="str">
        <f aca="false">IF('Junior Makers Kits'!G36="","",'Junior Makers Kits'!G36)</f>
        <v/>
      </c>
    </row>
    <row r="356" customFormat="false" ht="15" hidden="false" customHeight="false" outlineLevel="0" collapsed="false">
      <c r="A356" s="0" t="s">
        <v>151</v>
      </c>
      <c r="B356" s="0" t="n">
        <v>7</v>
      </c>
      <c r="C356" s="0" t="str">
        <f aca="false">IF('Junior Makers Kits'!C37="","",'Junior Makers Kits'!C37)</f>
        <v>Jumper wires M-F</v>
      </c>
      <c r="D356" s="0" t="n">
        <f aca="false">IF('Junior Makers Kits'!D37="","",'Junior Makers Kits'!D37)</f>
        <v>4</v>
      </c>
      <c r="E356" s="0" t="str">
        <f aca="false">IF('Junior Makers Kits'!E37="","",'Junior Makers Kits'!E37)</f>
        <v>Per group</v>
      </c>
      <c r="F356" s="0" t="str">
        <f aca="false">IFERROR(INDEX('Session Tracker'!$M$5:$M$149,MATCH($A356,'Session Tracker'!$D$5:$D$149,0))+0,"")</f>
        <v/>
      </c>
      <c r="G356" s="0" t="str">
        <f aca="false">IF(ISNUMBER(F356),IF(OR(B356=0,B356=99,C356&lt;&gt;""),F356*100+B356,""),"")</f>
        <v/>
      </c>
      <c r="H356" s="0" t="n">
        <f aca="false">IFERROR(INDEX('Session Tracker'!$J$5:$J$149,MATCH($A356,'Session Tracker'!$D$5:$D$149,0)),0)</f>
        <v>8</v>
      </c>
      <c r="I356" s="0" t="n">
        <f aca="false">IF(OR(B356=0,B356=99,C356=""),"",IF(E356="Per class",D356,D356*H356))</f>
        <v>32</v>
      </c>
      <c r="N356" s="0" t="str">
        <f aca="false">IF('Junior Makers Kits'!B37="","",'Junior Makers Kits'!B37)</f>
        <v>Wiring &amp; Prototyping</v>
      </c>
      <c r="O356" s="0" t="str">
        <f aca="false">IF('Junior Makers Kits'!F37="","",'Junior Makers Kits'!F37)</f>
        <v>Reusable</v>
      </c>
      <c r="P356" s="0" t="str">
        <f aca="false">IF('Junior Makers Kits'!G37="","",'Junior Makers Kits'!G37)</f>
        <v>Touch-pin demo</v>
      </c>
    </row>
    <row r="357" customFormat="false" ht="15" hidden="false" customHeight="false" outlineLevel="0" collapsed="false">
      <c r="A357" s="0" t="s">
        <v>151</v>
      </c>
      <c r="B357" s="0" t="n">
        <v>8</v>
      </c>
      <c r="C357" s="0" t="str">
        <f aca="false">IF('Junior Makers Kits'!C38="","",'Junior Makers Kits'!C38)</f>
        <v>Laptop</v>
      </c>
      <c r="D357" s="0" t="n">
        <f aca="false">IF('Junior Makers Kits'!D38="","",'Junior Makers Kits'!D38)</f>
        <v>1</v>
      </c>
      <c r="E357" s="0" t="str">
        <f aca="false">IF('Junior Makers Kits'!E38="","",'Junior Makers Kits'!E38)</f>
        <v>Per group</v>
      </c>
      <c r="F357" s="0" t="str">
        <f aca="false">IFERROR(INDEX('Session Tracker'!$M$5:$M$149,MATCH($A357,'Session Tracker'!$D$5:$D$149,0))+0,"")</f>
        <v/>
      </c>
      <c r="G357" s="0" t="str">
        <f aca="false">IF(ISNUMBER(F357),IF(OR(B357=0,B357=99,C357&lt;&gt;""),F357*100+B357,""),"")</f>
        <v/>
      </c>
      <c r="H357" s="0" t="n">
        <f aca="false">IFERROR(INDEX('Session Tracker'!$J$5:$J$149,MATCH($A357,'Session Tracker'!$D$5:$D$149,0)),0)</f>
        <v>8</v>
      </c>
      <c r="I357" s="0" t="n">
        <f aca="false">IF(OR(B357=0,B357=99,C357=""),"",IF(E357="Per class",D357,D357*H357))</f>
        <v>8</v>
      </c>
      <c r="N357" s="0" t="str">
        <f aca="false">IF('Junior Makers Kits'!B38="","",'Junior Makers Kits'!B38)</f>
        <v>Computers &amp; Equipment</v>
      </c>
      <c r="O357" s="0" t="str">
        <f aca="false">IF('Junior Makers Kits'!F38="","",'Junior Makers Kits'!F38)</f>
        <v>Reusable</v>
      </c>
      <c r="P357" s="0" t="str">
        <f aca="false">IF('Junior Makers Kits'!G38="","",'Junior Makers Kits'!G38)</f>
        <v/>
      </c>
    </row>
    <row r="358" customFormat="false" ht="15" hidden="false" customHeight="false" outlineLevel="0" collapsed="false">
      <c r="A358" s="0" t="s">
        <v>151</v>
      </c>
      <c r="B358" s="0" t="n">
        <v>9</v>
      </c>
      <c r="C358" s="0" t="str">
        <f aca="false">IF('Junior Makers Kits'!C39="","",'Junior Makers Kits'!C39)</f>
        <v>Android smartphone</v>
      </c>
      <c r="D358" s="0" t="n">
        <f aca="false">IF('Junior Makers Kits'!D39="","",'Junior Makers Kits'!D39)</f>
        <v>1</v>
      </c>
      <c r="E358" s="0" t="str">
        <f aca="false">IF('Junior Makers Kits'!E39="","",'Junior Makers Kits'!E39)</f>
        <v>Per class</v>
      </c>
      <c r="F358" s="0" t="str">
        <f aca="false">IFERROR(INDEX('Session Tracker'!$M$5:$M$149,MATCH($A358,'Session Tracker'!$D$5:$D$149,0))+0,"")</f>
        <v/>
      </c>
      <c r="G358" s="0" t="str">
        <f aca="false">IF(ISNUMBER(F358),IF(OR(B358=0,B358=99,C358&lt;&gt;""),F358*100+B358,""),"")</f>
        <v/>
      </c>
      <c r="H358" s="0" t="n">
        <f aca="false">IFERROR(INDEX('Session Tracker'!$J$5:$J$149,MATCH($A358,'Session Tracker'!$D$5:$D$149,0)),0)</f>
        <v>8</v>
      </c>
      <c r="I358" s="0" t="n">
        <f aca="false">IF(OR(B358=0,B358=99,C358=""),"",IF(E358="Per class",D358,D358*H358))</f>
        <v>1</v>
      </c>
      <c r="N358" s="0" t="str">
        <f aca="false">IF('Junior Makers Kits'!B39="","",'Junior Makers Kits'!B39)</f>
        <v>Computers &amp; Equipment</v>
      </c>
      <c r="O358" s="0" t="str">
        <f aca="false">IF('Junior Makers Kits'!F39="","",'Junior Makers Kits'!F39)</f>
        <v>Reusable</v>
      </c>
      <c r="P358" s="0" t="str">
        <f aca="false">IF('Junior Makers Kits'!G39="","",'Junior Makers Kits'!G39)</f>
        <v>Wi-Fi / Bluetooth demo</v>
      </c>
    </row>
    <row r="359" customFormat="false" ht="15" hidden="false" customHeight="false" outlineLevel="0" collapsed="false">
      <c r="A359" s="0" t="s">
        <v>151</v>
      </c>
      <c r="B359" s="0" t="n">
        <v>10</v>
      </c>
      <c r="C359" s="0" t="str">
        <f aca="false">IF('Junior Makers Kits'!C40="","",'Junior Makers Kits'!C40)</f>
        <v/>
      </c>
      <c r="D359" s="0" t="str">
        <f aca="false">IF('Junior Makers Kits'!D40="","",'Junior Makers Kits'!D40)</f>
        <v/>
      </c>
      <c r="E359" s="0" t="str">
        <f aca="false">IF('Junior Makers Kits'!E40="","",'Junior Makers Kits'!E40)</f>
        <v/>
      </c>
      <c r="F359" s="0" t="str">
        <f aca="false">IFERROR(INDEX('Session Tracker'!$M$5:$M$149,MATCH($A359,'Session Tracker'!$D$5:$D$149,0))+0,"")</f>
        <v/>
      </c>
      <c r="G359" s="0" t="str">
        <f aca="false">IF(ISNUMBER(F359),IF(OR(B359=0,B359=99,C359&lt;&gt;""),F359*100+B359,""),"")</f>
        <v/>
      </c>
      <c r="H359" s="0" t="n">
        <f aca="false">IFERROR(INDEX('Session Tracker'!$J$5:$J$149,MATCH($A359,'Session Tracker'!$D$5:$D$149,0)),0)</f>
        <v>8</v>
      </c>
      <c r="I359" s="0" t="str">
        <f aca="false">IF(OR(B359=0,B359=99,C359=""),"",IF(E359="Per class",D359,D359*H359))</f>
        <v/>
      </c>
      <c r="N359" s="0" t="str">
        <f aca="false">IF('Junior Makers Kits'!B40="","",'Junior Makers Kits'!B40)</f>
        <v/>
      </c>
      <c r="O359" s="0" t="str">
        <f aca="false">IF('Junior Makers Kits'!F40="","",'Junior Makers Kits'!F40)</f>
        <v/>
      </c>
      <c r="P359" s="0" t="str">
        <f aca="false">IF('Junior Makers Kits'!G40="","",'Junior Makers Kits'!G40)</f>
        <v/>
      </c>
    </row>
    <row r="360" customFormat="false" ht="15" hidden="false" customHeight="false" outlineLevel="0" collapsed="false">
      <c r="A360" s="0" t="s">
        <v>151</v>
      </c>
      <c r="B360" s="0" t="n">
        <v>11</v>
      </c>
      <c r="C360" s="0" t="str">
        <f aca="false">IF('Junior Makers Kits'!C41="","",'Junior Makers Kits'!C41)</f>
        <v/>
      </c>
      <c r="D360" s="0" t="str">
        <f aca="false">IF('Junior Makers Kits'!D41="","",'Junior Makers Kits'!D41)</f>
        <v/>
      </c>
      <c r="E360" s="0" t="str">
        <f aca="false">IF('Junior Makers Kits'!E41="","",'Junior Makers Kits'!E41)</f>
        <v/>
      </c>
      <c r="F360" s="0" t="str">
        <f aca="false">IFERROR(INDEX('Session Tracker'!$M$5:$M$149,MATCH($A360,'Session Tracker'!$D$5:$D$149,0))+0,"")</f>
        <v/>
      </c>
      <c r="G360" s="0" t="str">
        <f aca="false">IF(ISNUMBER(F360),IF(OR(B360=0,B360=99,C360&lt;&gt;""),F360*100+B360,""),"")</f>
        <v/>
      </c>
      <c r="H360" s="0" t="n">
        <f aca="false">IFERROR(INDEX('Session Tracker'!$J$5:$J$149,MATCH($A360,'Session Tracker'!$D$5:$D$149,0)),0)</f>
        <v>8</v>
      </c>
      <c r="I360" s="0" t="str">
        <f aca="false">IF(OR(B360=0,B360=99,C360=""),"",IF(E360="Per class",D360,D360*H360))</f>
        <v/>
      </c>
      <c r="N360" s="0" t="str">
        <f aca="false">IF('Junior Makers Kits'!B41="","",'Junior Makers Kits'!B41)</f>
        <v/>
      </c>
      <c r="O360" s="0" t="str">
        <f aca="false">IF('Junior Makers Kits'!F41="","",'Junior Makers Kits'!F41)</f>
        <v/>
      </c>
      <c r="P360" s="0" t="str">
        <f aca="false">IF('Junior Makers Kits'!G41="","",'Junior Makers Kits'!G41)</f>
        <v/>
      </c>
    </row>
    <row r="361" customFormat="false" ht="15" hidden="false" customHeight="false" outlineLevel="0" collapsed="false">
      <c r="A361" s="0" t="s">
        <v>152</v>
      </c>
      <c r="B361" s="0" t="n">
        <v>0</v>
      </c>
      <c r="F361" s="0" t="str">
        <f aca="false">IFERROR(INDEX('Session Tracker'!$M$5:$M$149,MATCH($A361,'Session Tracker'!$D$5:$D$149,0))+0,"")</f>
        <v/>
      </c>
      <c r="G361" s="0" t="str">
        <f aca="false">IF(ISNUMBER(F361),IF(OR(B361=0,B361=99,C361&lt;&gt;""),F361*100+B361,""),"")</f>
        <v/>
      </c>
      <c r="H361" s="0" t="n">
        <f aca="false">IFERROR(INDEX('Session Tracker'!$J$5:$J$149,MATCH($A361,'Session Tracker'!$D$5:$D$149,0)),0)</f>
        <v>8</v>
      </c>
      <c r="I361" s="0" t="str">
        <f aca="false">IF(OR(B361=0,B361=99,C361=""),"",IF(E361="Per class",D361,D361*H361))</f>
        <v/>
      </c>
      <c r="K361" s="0" t="str">
        <f aca="false">IFERROR(INDEX('Session Tracker'!$E$5:$E$149,MATCH($A361,'Session Tracker'!$D$5:$D$149,0)),"")</f>
        <v>3D Modelling and Printing</v>
      </c>
      <c r="L361" s="0" t="str">
        <f aca="false">IFERROR(INDEX('Session Tracker'!$A$5:$A$149,MATCH($A361,'Session Tracker'!$D$5:$D$149,0)),"")</f>
        <v>Junior Makers (8-11)</v>
      </c>
      <c r="M361" s="0" t="str">
        <f aca="false">IFERROR(INDEX('Session Tracker'!$H$5:$H$149,MATCH($A361,'Session Tracker'!$D$5:$D$149,0))&amp;"","")</f>
        <v/>
      </c>
      <c r="Q361" s="0" t="str">
        <f aca="false">IFERROR("Status: "&amp;INDEX('Session Tracker'!$F$5:$F$149,MATCH($A361,'Session Tracker'!$D$5:$D$149,0))&amp;IF(INDEX('Session Tracker'!$G$5:$G$149,MATCH($A361,'Session Tracker'!$D$5:$D$149,0))&lt;&gt;""," ("&amp;INDEX('Session Tracker'!$G$5:$G$149,MATCH($A361,'Session Tracker'!$D$5:$D$149,0))&amp;")","")&amp;IF(M361&lt;&gt;"","  "&amp;M361,""),"")</f>
        <v>Status: Not started</v>
      </c>
    </row>
    <row r="362" customFormat="false" ht="15" hidden="false" customHeight="false" outlineLevel="0" collapsed="false">
      <c r="A362" s="0" t="s">
        <v>152</v>
      </c>
      <c r="B362" s="0" t="n">
        <v>1</v>
      </c>
      <c r="C362" s="0" t="str">
        <f aca="false">IF('Junior Makers Kits'!C44="","",'Junior Makers Kits'!C44)</f>
        <v>Laptop</v>
      </c>
      <c r="D362" s="0" t="n">
        <f aca="false">IF('Junior Makers Kits'!D44="","",'Junior Makers Kits'!D44)</f>
        <v>1</v>
      </c>
      <c r="E362" s="0" t="str">
        <f aca="false">IF('Junior Makers Kits'!E44="","",'Junior Makers Kits'!E44)</f>
        <v>Per group</v>
      </c>
      <c r="F362" s="0" t="str">
        <f aca="false">IFERROR(INDEX('Session Tracker'!$M$5:$M$149,MATCH($A362,'Session Tracker'!$D$5:$D$149,0))+0,"")</f>
        <v/>
      </c>
      <c r="G362" s="0" t="str">
        <f aca="false">IF(ISNUMBER(F362),IF(OR(B362=0,B362=99,C362&lt;&gt;""),F362*100+B362,""),"")</f>
        <v/>
      </c>
      <c r="H362" s="0" t="n">
        <f aca="false">IFERROR(INDEX('Session Tracker'!$J$5:$J$149,MATCH($A362,'Session Tracker'!$D$5:$D$149,0)),0)</f>
        <v>8</v>
      </c>
      <c r="I362" s="0" t="n">
        <f aca="false">IF(OR(B362=0,B362=99,C362=""),"",IF(E362="Per class",D362,D362*H362))</f>
        <v>8</v>
      </c>
      <c r="N362" s="0" t="str">
        <f aca="false">IF('Junior Makers Kits'!B44="","",'Junior Makers Kits'!B44)</f>
        <v>Computers &amp; Equipment</v>
      </c>
      <c r="O362" s="0" t="str">
        <f aca="false">IF('Junior Makers Kits'!F44="","",'Junior Makers Kits'!F44)</f>
        <v>Reusable</v>
      </c>
      <c r="P362" s="0" t="str">
        <f aca="false">IF('Junior Makers Kits'!G44="","",'Junior Makers Kits'!G44)</f>
        <v>Tinkercad in the browser</v>
      </c>
    </row>
    <row r="363" customFormat="false" ht="15" hidden="false" customHeight="false" outlineLevel="0" collapsed="false">
      <c r="A363" s="0" t="s">
        <v>152</v>
      </c>
      <c r="B363" s="0" t="n">
        <v>2</v>
      </c>
      <c r="C363" s="0" t="str">
        <f aca="false">IF('Junior Makers Kits'!C45="","",'Junior Makers Kits'!C45)</f>
        <v>3D printer</v>
      </c>
      <c r="D363" s="0" t="n">
        <f aca="false">IF('Junior Makers Kits'!D45="","",'Junior Makers Kits'!D45)</f>
        <v>1</v>
      </c>
      <c r="E363" s="0" t="str">
        <f aca="false">IF('Junior Makers Kits'!E45="","",'Junior Makers Kits'!E45)</f>
        <v>Per class</v>
      </c>
      <c r="F363" s="0" t="str">
        <f aca="false">IFERROR(INDEX('Session Tracker'!$M$5:$M$149,MATCH($A363,'Session Tracker'!$D$5:$D$149,0))+0,"")</f>
        <v/>
      </c>
      <c r="G363" s="0" t="str">
        <f aca="false">IF(ISNUMBER(F363),IF(OR(B363=0,B363=99,C363&lt;&gt;""),F363*100+B363,""),"")</f>
        <v/>
      </c>
      <c r="H363" s="0" t="n">
        <f aca="false">IFERROR(INDEX('Session Tracker'!$J$5:$J$149,MATCH($A363,'Session Tracker'!$D$5:$D$149,0)),0)</f>
        <v>8</v>
      </c>
      <c r="I363" s="0" t="n">
        <f aca="false">IF(OR(B363=0,B363=99,C363=""),"",IF(E363="Per class",D363,D363*H363))</f>
        <v>1</v>
      </c>
      <c r="N363" s="0" t="str">
        <f aca="false">IF('Junior Makers Kits'!B45="","",'Junior Makers Kits'!B45)</f>
        <v>Computers &amp; Equipment</v>
      </c>
      <c r="O363" s="0" t="str">
        <f aca="false">IF('Junior Makers Kits'!F45="","",'Junior Makers Kits'!F45)</f>
        <v>Reusable</v>
      </c>
      <c r="P363" s="0" t="str">
        <f aca="false">IF('Junior Makers Kits'!G45="","",'Junior Makers Kits'!G45)</f>
        <v/>
      </c>
    </row>
    <row r="364" customFormat="false" ht="15" hidden="false" customHeight="false" outlineLevel="0" collapsed="false">
      <c r="A364" s="0" t="s">
        <v>152</v>
      </c>
      <c r="B364" s="0" t="n">
        <v>3</v>
      </c>
      <c r="C364" s="0" t="str">
        <f aca="false">IF('Junior Makers Kits'!C46="","",'Junior Makers Kits'!C46)</f>
        <v>PLA filament</v>
      </c>
      <c r="D364" s="0" t="n">
        <f aca="false">IF('Junior Makers Kits'!D46="","",'Junior Makers Kits'!D46)</f>
        <v>1</v>
      </c>
      <c r="E364" s="0" t="str">
        <f aca="false">IF('Junior Makers Kits'!E46="","",'Junior Makers Kits'!E46)</f>
        <v>Per class</v>
      </c>
      <c r="F364" s="0" t="str">
        <f aca="false">IFERROR(INDEX('Session Tracker'!$M$5:$M$149,MATCH($A364,'Session Tracker'!$D$5:$D$149,0))+0,"")</f>
        <v/>
      </c>
      <c r="G364" s="0" t="str">
        <f aca="false">IF(ISNUMBER(F364),IF(OR(B364=0,B364=99,C364&lt;&gt;""),F364*100+B364,""),"")</f>
        <v/>
      </c>
      <c r="H364" s="0" t="n">
        <f aca="false">IFERROR(INDEX('Session Tracker'!$J$5:$J$149,MATCH($A364,'Session Tracker'!$D$5:$D$149,0)),0)</f>
        <v>8</v>
      </c>
      <c r="I364" s="0" t="n">
        <f aca="false">IF(OR(B364=0,B364=99,C364=""),"",IF(E364="Per class",D364,D364*H364))</f>
        <v>1</v>
      </c>
      <c r="N364" s="0" t="str">
        <f aca="false">IF('Junior Makers Kits'!B46="","",'Junior Makers Kits'!B46)</f>
        <v>Computers &amp; Equipment</v>
      </c>
      <c r="O364" s="0" t="str">
        <f aca="false">IF('Junior Makers Kits'!F46="","",'Junior Makers Kits'!F46)</f>
        <v>Consumable</v>
      </c>
      <c r="P364" s="0" t="str">
        <f aca="false">IF('Junior Makers Kits'!G46="","",'Junior Makers Kits'!G46)</f>
        <v>1 spool</v>
      </c>
    </row>
    <row r="365" customFormat="false" ht="15" hidden="false" customHeight="false" outlineLevel="0" collapsed="false">
      <c r="A365" s="0" t="s">
        <v>152</v>
      </c>
      <c r="B365" s="0" t="n">
        <v>4</v>
      </c>
      <c r="C365" s="0" t="str">
        <f aca="false">IF('Junior Makers Kits'!C47="","",'Junior Makers Kits'!C47)</f>
        <v>Screwdriver set</v>
      </c>
      <c r="D365" s="0" t="n">
        <f aca="false">IF('Junior Makers Kits'!D47="","",'Junior Makers Kits'!D47)</f>
        <v>1</v>
      </c>
      <c r="E365" s="0" t="str">
        <f aca="false">IF('Junior Makers Kits'!E47="","",'Junior Makers Kits'!E47)</f>
        <v>Per class</v>
      </c>
      <c r="F365" s="0" t="str">
        <f aca="false">IFERROR(INDEX('Session Tracker'!$M$5:$M$149,MATCH($A365,'Session Tracker'!$D$5:$D$149,0))+0,"")</f>
        <v/>
      </c>
      <c r="G365" s="0" t="str">
        <f aca="false">IF(ISNUMBER(F365),IF(OR(B365=0,B365=99,C365&lt;&gt;""),F365*100+B365,""),"")</f>
        <v/>
      </c>
      <c r="H365" s="0" t="n">
        <f aca="false">IFERROR(INDEX('Session Tracker'!$J$5:$J$149,MATCH($A365,'Session Tracker'!$D$5:$D$149,0)),0)</f>
        <v>8</v>
      </c>
      <c r="I365" s="0" t="n">
        <f aca="false">IF(OR(B365=0,B365=99,C365=""),"",IF(E365="Per class",D365,D365*H365))</f>
        <v>1</v>
      </c>
      <c r="N365" s="0" t="str">
        <f aca="false">IF('Junior Makers Kits'!B47="","",'Junior Makers Kits'!B47)</f>
        <v>Computers &amp; Equipment</v>
      </c>
      <c r="O365" s="0" t="str">
        <f aca="false">IF('Junior Makers Kits'!F47="","",'Junior Makers Kits'!F47)</f>
        <v>Reusable</v>
      </c>
      <c r="P365" s="0" t="str">
        <f aca="false">IF('Junior Makers Kits'!G47="","",'Junior Makers Kits'!G47)</f>
        <v>Scraper / print removal</v>
      </c>
    </row>
    <row r="366" customFormat="false" ht="15" hidden="false" customHeight="false" outlineLevel="0" collapsed="false">
      <c r="A366" s="0" t="s">
        <v>152</v>
      </c>
      <c r="B366" s="0" t="n">
        <v>5</v>
      </c>
      <c r="C366" s="0" t="str">
        <f aca="false">IF('Junior Makers Kits'!C48="","",'Junior Makers Kits'!C48)</f>
        <v/>
      </c>
      <c r="D366" s="0" t="str">
        <f aca="false">IF('Junior Makers Kits'!D48="","",'Junior Makers Kits'!D48)</f>
        <v/>
      </c>
      <c r="E366" s="0" t="str">
        <f aca="false">IF('Junior Makers Kits'!E48="","",'Junior Makers Kits'!E48)</f>
        <v/>
      </c>
      <c r="F366" s="0" t="str">
        <f aca="false">IFERROR(INDEX('Session Tracker'!$M$5:$M$149,MATCH($A366,'Session Tracker'!$D$5:$D$149,0))+0,"")</f>
        <v/>
      </c>
      <c r="G366" s="0" t="str">
        <f aca="false">IF(ISNUMBER(F366),IF(OR(B366=0,B366=99,C366&lt;&gt;""),F366*100+B366,""),"")</f>
        <v/>
      </c>
      <c r="H366" s="0" t="n">
        <f aca="false">IFERROR(INDEX('Session Tracker'!$J$5:$J$149,MATCH($A366,'Session Tracker'!$D$5:$D$149,0)),0)</f>
        <v>8</v>
      </c>
      <c r="I366" s="0" t="str">
        <f aca="false">IF(OR(B366=0,B366=99,C366=""),"",IF(E366="Per class",D366,D366*H366))</f>
        <v/>
      </c>
      <c r="N366" s="0" t="str">
        <f aca="false">IF('Junior Makers Kits'!B48="","",'Junior Makers Kits'!B48)</f>
        <v/>
      </c>
      <c r="O366" s="0" t="str">
        <f aca="false">IF('Junior Makers Kits'!F48="","",'Junior Makers Kits'!F48)</f>
        <v/>
      </c>
      <c r="P366" s="0" t="str">
        <f aca="false">IF('Junior Makers Kits'!G48="","",'Junior Makers Kits'!G48)</f>
        <v/>
      </c>
    </row>
    <row r="367" customFormat="false" ht="15" hidden="false" customHeight="false" outlineLevel="0" collapsed="false">
      <c r="A367" s="0" t="s">
        <v>152</v>
      </c>
      <c r="B367" s="0" t="n">
        <v>6</v>
      </c>
      <c r="C367" s="0" t="str">
        <f aca="false">IF('Junior Makers Kits'!C49="","",'Junior Makers Kits'!C49)</f>
        <v/>
      </c>
      <c r="D367" s="0" t="str">
        <f aca="false">IF('Junior Makers Kits'!D49="","",'Junior Makers Kits'!D49)</f>
        <v/>
      </c>
      <c r="E367" s="0" t="str">
        <f aca="false">IF('Junior Makers Kits'!E49="","",'Junior Makers Kits'!E49)</f>
        <v/>
      </c>
      <c r="F367" s="0" t="str">
        <f aca="false">IFERROR(INDEX('Session Tracker'!$M$5:$M$149,MATCH($A367,'Session Tracker'!$D$5:$D$149,0))+0,"")</f>
        <v/>
      </c>
      <c r="G367" s="0" t="str">
        <f aca="false">IF(ISNUMBER(F367),IF(OR(B367=0,B367=99,C367&lt;&gt;""),F367*100+B367,""),"")</f>
        <v/>
      </c>
      <c r="H367" s="0" t="n">
        <f aca="false">IFERROR(INDEX('Session Tracker'!$J$5:$J$149,MATCH($A367,'Session Tracker'!$D$5:$D$149,0)),0)</f>
        <v>8</v>
      </c>
      <c r="I367" s="0" t="str">
        <f aca="false">IF(OR(B367=0,B367=99,C367=""),"",IF(E367="Per class",D367,D367*H367))</f>
        <v/>
      </c>
      <c r="N367" s="0" t="str">
        <f aca="false">IF('Junior Makers Kits'!B49="","",'Junior Makers Kits'!B49)</f>
        <v/>
      </c>
      <c r="O367" s="0" t="str">
        <f aca="false">IF('Junior Makers Kits'!F49="","",'Junior Makers Kits'!F49)</f>
        <v/>
      </c>
      <c r="P367" s="0" t="str">
        <f aca="false">IF('Junior Makers Kits'!G49="","",'Junior Makers Kits'!G49)</f>
        <v/>
      </c>
    </row>
    <row r="368" customFormat="false" ht="15" hidden="false" customHeight="false" outlineLevel="0" collapsed="false">
      <c r="A368" s="0" t="s">
        <v>154</v>
      </c>
      <c r="B368" s="0" t="n">
        <v>0</v>
      </c>
      <c r="F368" s="0" t="str">
        <f aca="false">IFERROR(INDEX('Session Tracker'!$M$5:$M$149,MATCH($A368,'Session Tracker'!$D$5:$D$149,0))+0,"")</f>
        <v/>
      </c>
      <c r="G368" s="0" t="str">
        <f aca="false">IF(ISNUMBER(F368),IF(OR(B368=0,B368=99,C368&lt;&gt;""),F368*100+B368,""),"")</f>
        <v/>
      </c>
      <c r="H368" s="0" t="n">
        <f aca="false">IFERROR(INDEX('Session Tracker'!$J$5:$J$149,MATCH($A368,'Session Tracker'!$D$5:$D$149,0)),0)</f>
        <v>8</v>
      </c>
      <c r="I368" s="0" t="str">
        <f aca="false">IF(OR(B368=0,B368=99,C368=""),"",IF(E368="Per class",D368,D368*H368))</f>
        <v/>
      </c>
      <c r="K368" s="0" t="str">
        <f aca="false">IFERROR(INDEX('Session Tracker'!$E$5:$E$149,MATCH($A368,'Session Tracker'!$D$5:$D$149,0)),"")</f>
        <v>Intro to Robotics + Art Bot</v>
      </c>
      <c r="L368" s="0" t="str">
        <f aca="false">IFERROR(INDEX('Session Tracker'!$A$5:$A$149,MATCH($A368,'Session Tracker'!$D$5:$D$149,0)),"")</f>
        <v>Junior Makers (8-11)</v>
      </c>
      <c r="M368" s="0" t="str">
        <f aca="false">IFERROR(INDEX('Session Tracker'!$H$5:$H$149,MATCH($A368,'Session Tracker'!$D$5:$D$149,0))&amp;"","")</f>
        <v/>
      </c>
      <c r="Q368" s="0" t="str">
        <f aca="false">IFERROR("Status: "&amp;INDEX('Session Tracker'!$F$5:$F$149,MATCH($A368,'Session Tracker'!$D$5:$D$149,0))&amp;IF(INDEX('Session Tracker'!$G$5:$G$149,MATCH($A368,'Session Tracker'!$D$5:$D$149,0))&lt;&gt;""," ("&amp;INDEX('Session Tracker'!$G$5:$G$149,MATCH($A368,'Session Tracker'!$D$5:$D$149,0))&amp;")","")&amp;IF(M368&lt;&gt;"","  "&amp;M368,""),"")</f>
        <v>Status: Not started</v>
      </c>
    </row>
    <row r="369" customFormat="false" ht="15" hidden="false" customHeight="false" outlineLevel="0" collapsed="false">
      <c r="A369" s="0" t="s">
        <v>154</v>
      </c>
      <c r="B369" s="0" t="n">
        <v>1</v>
      </c>
      <c r="C369" s="0" t="str">
        <f aca="false">IF('Junior Makers Kits'!C52="","",'Junior Makers Kits'!C52)</f>
        <v>Plastic or paper cup</v>
      </c>
      <c r="D369" s="0" t="n">
        <f aca="false">IF('Junior Makers Kits'!D52="","",'Junior Makers Kits'!D52)</f>
        <v>1</v>
      </c>
      <c r="E369" s="0" t="str">
        <f aca="false">IF('Junior Makers Kits'!E52="","",'Junior Makers Kits'!E52)</f>
        <v>Per group</v>
      </c>
      <c r="F369" s="0" t="str">
        <f aca="false">IFERROR(INDEX('Session Tracker'!$M$5:$M$149,MATCH($A369,'Session Tracker'!$D$5:$D$149,0))+0,"")</f>
        <v/>
      </c>
      <c r="G369" s="0" t="str">
        <f aca="false">IF(ISNUMBER(F369),IF(OR(B369=0,B369=99,C369&lt;&gt;""),F369*100+B369,""),"")</f>
        <v/>
      </c>
      <c r="H369" s="0" t="n">
        <f aca="false">IFERROR(INDEX('Session Tracker'!$J$5:$J$149,MATCH($A369,'Session Tracker'!$D$5:$D$149,0)),0)</f>
        <v>8</v>
      </c>
      <c r="I369" s="0" t="n">
        <f aca="false">IF(OR(B369=0,B369=99,C369=""),"",IF(E369="Per class",D369,D369*H369))</f>
        <v>8</v>
      </c>
      <c r="N369" s="0" t="str">
        <f aca="false">IF('Junior Makers Kits'!B52="","",'Junior Makers Kits'!B52)</f>
        <v>Craft &amp; Stationery</v>
      </c>
      <c r="O369" s="0" t="str">
        <f aca="false">IF('Junior Makers Kits'!F52="","",'Junior Makers Kits'!F52)</f>
        <v>Consumable</v>
      </c>
      <c r="P369" s="0" t="str">
        <f aca="false">IF('Junior Makers Kits'!G52="","",'Junior Makers Kits'!G52)</f>
        <v>Never a real glass</v>
      </c>
    </row>
    <row r="370" customFormat="false" ht="15" hidden="false" customHeight="false" outlineLevel="0" collapsed="false">
      <c r="A370" s="0" t="s">
        <v>154</v>
      </c>
      <c r="B370" s="0" t="n">
        <v>2</v>
      </c>
      <c r="C370" s="0" t="str">
        <f aca="false">IF('Junior Makers Kits'!C53="","",'Junior Makers Kits'!C53)</f>
        <v>Markers</v>
      </c>
      <c r="D370" s="0" t="n">
        <f aca="false">IF('Junior Makers Kits'!D53="","",'Junior Makers Kits'!D53)</f>
        <v>1</v>
      </c>
      <c r="E370" s="0" t="str">
        <f aca="false">IF('Junior Makers Kits'!E53="","",'Junior Makers Kits'!E53)</f>
        <v>Per group</v>
      </c>
      <c r="F370" s="0" t="str">
        <f aca="false">IFERROR(INDEX('Session Tracker'!$M$5:$M$149,MATCH($A370,'Session Tracker'!$D$5:$D$149,0))+0,"")</f>
        <v/>
      </c>
      <c r="G370" s="0" t="str">
        <f aca="false">IF(ISNUMBER(F370),IF(OR(B370=0,B370=99,C370&lt;&gt;""),F370*100+B370,""),"")</f>
        <v/>
      </c>
      <c r="H370" s="0" t="n">
        <f aca="false">IFERROR(INDEX('Session Tracker'!$J$5:$J$149,MATCH($A370,'Session Tracker'!$D$5:$D$149,0)),0)</f>
        <v>8</v>
      </c>
      <c r="I370" s="0" t="n">
        <f aca="false">IF(OR(B370=0,B370=99,C370=""),"",IF(E370="Per class",D370,D370*H370))</f>
        <v>8</v>
      </c>
      <c r="N370" s="0" t="str">
        <f aca="false">IF('Junior Makers Kits'!B53="","",'Junior Makers Kits'!B53)</f>
        <v>Craft &amp; Stationery</v>
      </c>
      <c r="O370" s="0" t="str">
        <f aca="false">IF('Junior Makers Kits'!F53="","",'Junior Makers Kits'!F53)</f>
        <v>Consumable</v>
      </c>
      <c r="P370" s="0" t="str">
        <f aca="false">IF('Junior Makers Kits'!G53="","",'Junior Makers Kits'!G53)</f>
        <v>3-4 washable markers</v>
      </c>
    </row>
    <row r="371" customFormat="false" ht="15" hidden="false" customHeight="false" outlineLevel="0" collapsed="false">
      <c r="A371" s="0" t="s">
        <v>154</v>
      </c>
      <c r="B371" s="0" t="n">
        <v>3</v>
      </c>
      <c r="C371" s="0" t="str">
        <f aca="false">IF('Junior Makers Kits'!C54="","",'Junior Makers Kits'!C54)</f>
        <v>DC hobby motor</v>
      </c>
      <c r="D371" s="0" t="n">
        <f aca="false">IF('Junior Makers Kits'!D54="","",'Junior Makers Kits'!D54)</f>
        <v>1</v>
      </c>
      <c r="E371" s="0" t="str">
        <f aca="false">IF('Junior Makers Kits'!E54="","",'Junior Makers Kits'!E54)</f>
        <v>Per group</v>
      </c>
      <c r="F371" s="0" t="str">
        <f aca="false">IFERROR(INDEX('Session Tracker'!$M$5:$M$149,MATCH($A371,'Session Tracker'!$D$5:$D$149,0))+0,"")</f>
        <v/>
      </c>
      <c r="G371" s="0" t="str">
        <f aca="false">IF(ISNUMBER(F371),IF(OR(B371=0,B371=99,C371&lt;&gt;""),F371*100+B371,""),"")</f>
        <v/>
      </c>
      <c r="H371" s="0" t="n">
        <f aca="false">IFERROR(INDEX('Session Tracker'!$J$5:$J$149,MATCH($A371,'Session Tracker'!$D$5:$D$149,0)),0)</f>
        <v>8</v>
      </c>
      <c r="I371" s="0" t="n">
        <f aca="false">IF(OR(B371=0,B371=99,C371=""),"",IF(E371="Per class",D371,D371*H371))</f>
        <v>8</v>
      </c>
      <c r="N371" s="0" t="str">
        <f aca="false">IF('Junior Makers Kits'!B54="","",'Junior Makers Kits'!B54)</f>
        <v>Actuators &amp; Motor Drivers</v>
      </c>
      <c r="O371" s="0" t="str">
        <f aca="false">IF('Junior Makers Kits'!F54="","",'Junior Makers Kits'!F54)</f>
        <v>Reusable</v>
      </c>
      <c r="P371" s="0" t="str">
        <f aca="false">IF('Junior Makers Kits'!G54="","",'Junior Makers Kits'!G54)</f>
        <v/>
      </c>
    </row>
    <row r="372" customFormat="false" ht="15" hidden="false" customHeight="false" outlineLevel="0" collapsed="false">
      <c r="A372" s="0" t="s">
        <v>154</v>
      </c>
      <c r="B372" s="0" t="n">
        <v>4</v>
      </c>
      <c r="C372" s="0" t="str">
        <f aca="false">IF('Junior Makers Kits'!C55="","",'Junior Makers Kits'!C55)</f>
        <v>Cork</v>
      </c>
      <c r="D372" s="0" t="n">
        <f aca="false">IF('Junior Makers Kits'!D55="","",'Junior Makers Kits'!D55)</f>
        <v>1</v>
      </c>
      <c r="E372" s="0" t="str">
        <f aca="false">IF('Junior Makers Kits'!E55="","",'Junior Makers Kits'!E55)</f>
        <v>Per group</v>
      </c>
      <c r="F372" s="0" t="str">
        <f aca="false">IFERROR(INDEX('Session Tracker'!$M$5:$M$149,MATCH($A372,'Session Tracker'!$D$5:$D$149,0))+0,"")</f>
        <v/>
      </c>
      <c r="G372" s="0" t="str">
        <f aca="false">IF(ISNUMBER(F372),IF(OR(B372=0,B372=99,C372&lt;&gt;""),F372*100+B372,""),"")</f>
        <v/>
      </c>
      <c r="H372" s="0" t="n">
        <f aca="false">IFERROR(INDEX('Session Tracker'!$J$5:$J$149,MATCH($A372,'Session Tracker'!$D$5:$D$149,0)),0)</f>
        <v>8</v>
      </c>
      <c r="I372" s="0" t="n">
        <f aca="false">IF(OR(B372=0,B372=99,C372=""),"",IF(E372="Per class",D372,D372*H372))</f>
        <v>8</v>
      </c>
      <c r="N372" s="0" t="str">
        <f aca="false">IF('Junior Makers Kits'!B55="","",'Junior Makers Kits'!B55)</f>
        <v>Craft &amp; Stationery</v>
      </c>
      <c r="O372" s="0" t="str">
        <f aca="false">IF('Junior Makers Kits'!F55="","",'Junior Makers Kits'!F55)</f>
        <v>Consumable</v>
      </c>
      <c r="P372" s="0" t="str">
        <f aca="false">IF('Junior Makers Kits'!G55="","",'Junior Makers Kits'!G55)</f>
        <v>Fixed off-centre on the shaft</v>
      </c>
    </row>
    <row r="373" customFormat="false" ht="15" hidden="false" customHeight="false" outlineLevel="0" collapsed="false">
      <c r="A373" s="0" t="s">
        <v>154</v>
      </c>
      <c r="B373" s="0" t="n">
        <v>5</v>
      </c>
      <c r="C373" s="0" t="str">
        <f aca="false">IF('Junior Makers Kits'!C56="","",'Junior Makers Kits'!C56)</f>
        <v>2xAA battery holder + batteries</v>
      </c>
      <c r="D373" s="0" t="n">
        <f aca="false">IF('Junior Makers Kits'!D56="","",'Junior Makers Kits'!D56)</f>
        <v>1</v>
      </c>
      <c r="E373" s="0" t="str">
        <f aca="false">IF('Junior Makers Kits'!E56="","",'Junior Makers Kits'!E56)</f>
        <v>Per group</v>
      </c>
      <c r="F373" s="0" t="str">
        <f aca="false">IFERROR(INDEX('Session Tracker'!$M$5:$M$149,MATCH($A373,'Session Tracker'!$D$5:$D$149,0))+0,"")</f>
        <v/>
      </c>
      <c r="G373" s="0" t="str">
        <f aca="false">IF(ISNUMBER(F373),IF(OR(B373=0,B373=99,C373&lt;&gt;""),F373*100+B373,""),"")</f>
        <v/>
      </c>
      <c r="H373" s="0" t="n">
        <f aca="false">IFERROR(INDEX('Session Tracker'!$J$5:$J$149,MATCH($A373,'Session Tracker'!$D$5:$D$149,0)),0)</f>
        <v>8</v>
      </c>
      <c r="I373" s="0" t="n">
        <f aca="false">IF(OR(B373=0,B373=99,C373=""),"",IF(E373="Per class",D373,D373*H373))</f>
        <v>8</v>
      </c>
      <c r="N373" s="0" t="str">
        <f aca="false">IF('Junior Makers Kits'!B56="","",'Junior Makers Kits'!B56)</f>
        <v>Power</v>
      </c>
      <c r="O373" s="0" t="str">
        <f aca="false">IF('Junior Makers Kits'!F56="","",'Junior Makers Kits'!F56)</f>
        <v>Consumable</v>
      </c>
      <c r="P373" s="0" t="str">
        <f aca="false">IF('Junior Makers Kits'!G56="","",'Junior Makers Kits'!G56)</f>
        <v/>
      </c>
    </row>
    <row r="374" customFormat="false" ht="15" hidden="false" customHeight="false" outlineLevel="0" collapsed="false">
      <c r="A374" s="0" t="s">
        <v>154</v>
      </c>
      <c r="B374" s="0" t="n">
        <v>6</v>
      </c>
      <c r="C374" s="0" t="str">
        <f aca="false">IF('Junior Makers Kits'!C57="","",'Junior Makers Kits'!C57)</f>
        <v>Slide switch</v>
      </c>
      <c r="D374" s="0" t="n">
        <f aca="false">IF('Junior Makers Kits'!D57="","",'Junior Makers Kits'!D57)</f>
        <v>1</v>
      </c>
      <c r="E374" s="0" t="str">
        <f aca="false">IF('Junior Makers Kits'!E57="","",'Junior Makers Kits'!E57)</f>
        <v>Per group</v>
      </c>
      <c r="F374" s="0" t="str">
        <f aca="false">IFERROR(INDEX('Session Tracker'!$M$5:$M$149,MATCH($A374,'Session Tracker'!$D$5:$D$149,0))+0,"")</f>
        <v/>
      </c>
      <c r="G374" s="0" t="str">
        <f aca="false">IF(ISNUMBER(F374),IF(OR(B374=0,B374=99,C374&lt;&gt;""),F374*100+B374,""),"")</f>
        <v/>
      </c>
      <c r="H374" s="0" t="n">
        <f aca="false">IFERROR(INDEX('Session Tracker'!$J$5:$J$149,MATCH($A374,'Session Tracker'!$D$5:$D$149,0)),0)</f>
        <v>8</v>
      </c>
      <c r="I374" s="0" t="n">
        <f aca="false">IF(OR(B374=0,B374=99,C374=""),"",IF(E374="Per class",D374,D374*H374))</f>
        <v>8</v>
      </c>
      <c r="N374" s="0" t="str">
        <f aca="false">IF('Junior Makers Kits'!B57="","",'Junior Makers Kits'!B57)</f>
        <v>Passive Components &amp; ICs</v>
      </c>
      <c r="O374" s="0" t="str">
        <f aca="false">IF('Junior Makers Kits'!F57="","",'Junior Makers Kits'!F57)</f>
        <v>Reusable</v>
      </c>
      <c r="P374" s="0" t="str">
        <f aca="false">IF('Junior Makers Kits'!G57="","",'Junior Makers Kits'!G57)</f>
        <v>Optional</v>
      </c>
    </row>
    <row r="375" customFormat="false" ht="15" hidden="false" customHeight="false" outlineLevel="0" collapsed="false">
      <c r="A375" s="0" t="s">
        <v>154</v>
      </c>
      <c r="B375" s="0" t="n">
        <v>7</v>
      </c>
      <c r="C375" s="0" t="str">
        <f aca="false">IF('Junior Makers Kits'!C58="","",'Junior Makers Kits'!C58)</f>
        <v>Tape (paper + double-sided)</v>
      </c>
      <c r="D375" s="0" t="n">
        <f aca="false">IF('Junior Makers Kits'!D58="","",'Junior Makers Kits'!D58)</f>
        <v>1</v>
      </c>
      <c r="E375" s="0" t="str">
        <f aca="false">IF('Junior Makers Kits'!E58="","",'Junior Makers Kits'!E58)</f>
        <v>Per group</v>
      </c>
      <c r="F375" s="0" t="str">
        <f aca="false">IFERROR(INDEX('Session Tracker'!$M$5:$M$149,MATCH($A375,'Session Tracker'!$D$5:$D$149,0))+0,"")</f>
        <v/>
      </c>
      <c r="G375" s="0" t="str">
        <f aca="false">IF(ISNUMBER(F375),IF(OR(B375=0,B375=99,C375&lt;&gt;""),F375*100+B375,""),"")</f>
        <v/>
      </c>
      <c r="H375" s="0" t="n">
        <f aca="false">IFERROR(INDEX('Session Tracker'!$J$5:$J$149,MATCH($A375,'Session Tracker'!$D$5:$D$149,0)),0)</f>
        <v>8</v>
      </c>
      <c r="I375" s="0" t="n">
        <f aca="false">IF(OR(B375=0,B375=99,C375=""),"",IF(E375="Per class",D375,D375*H375))</f>
        <v>8</v>
      </c>
      <c r="N375" s="0" t="str">
        <f aca="false">IF('Junior Makers Kits'!B58="","",'Junior Makers Kits'!B58)</f>
        <v>Craft &amp; Stationery</v>
      </c>
      <c r="O375" s="0" t="str">
        <f aca="false">IF('Junior Makers Kits'!F58="","",'Junior Makers Kits'!F58)</f>
        <v>Consumable</v>
      </c>
      <c r="P375" s="0" t="str">
        <f aca="false">IF('Junior Makers Kits'!G58="","",'Junior Makers Kits'!G58)</f>
        <v/>
      </c>
    </row>
    <row r="376" customFormat="false" ht="15" hidden="false" customHeight="false" outlineLevel="0" collapsed="false">
      <c r="A376" s="0" t="s">
        <v>154</v>
      </c>
      <c r="B376" s="0" t="n">
        <v>8</v>
      </c>
      <c r="C376" s="0" t="str">
        <f aca="false">IF('Junior Makers Kits'!C59="","",'Junior Makers Kits'!C59)</f>
        <v>Card / chart paper</v>
      </c>
      <c r="D376" s="0" t="n">
        <f aca="false">IF('Junior Makers Kits'!D59="","",'Junior Makers Kits'!D59)</f>
        <v>2</v>
      </c>
      <c r="E376" s="0" t="str">
        <f aca="false">IF('Junior Makers Kits'!E59="","",'Junior Makers Kits'!E59)</f>
        <v>Per group</v>
      </c>
      <c r="F376" s="0" t="str">
        <f aca="false">IFERROR(INDEX('Session Tracker'!$M$5:$M$149,MATCH($A376,'Session Tracker'!$D$5:$D$149,0))+0,"")</f>
        <v/>
      </c>
      <c r="G376" s="0" t="str">
        <f aca="false">IF(ISNUMBER(F376),IF(OR(B376=0,B376=99,C376&lt;&gt;""),F376*100+B376,""),"")</f>
        <v/>
      </c>
      <c r="H376" s="0" t="n">
        <f aca="false">IFERROR(INDEX('Session Tracker'!$J$5:$J$149,MATCH($A376,'Session Tracker'!$D$5:$D$149,0)),0)</f>
        <v>8</v>
      </c>
      <c r="I376" s="0" t="n">
        <f aca="false">IF(OR(B376=0,B376=99,C376=""),"",IF(E376="Per class",D376,D376*H376))</f>
        <v>16</v>
      </c>
      <c r="N376" s="0" t="str">
        <f aca="false">IF('Junior Makers Kits'!B59="","",'Junior Makers Kits'!B59)</f>
        <v>Craft &amp; Stationery</v>
      </c>
      <c r="O376" s="0" t="str">
        <f aca="false">IF('Junior Makers Kits'!F59="","",'Junior Makers Kits'!F59)</f>
        <v>Consumable</v>
      </c>
      <c r="P376" s="0" t="str">
        <f aca="false">IF('Junior Makers Kits'!G59="","",'Junior Makers Kits'!G59)</f>
        <v>Big drawing paper</v>
      </c>
    </row>
    <row r="377" customFormat="false" ht="15" hidden="false" customHeight="false" outlineLevel="0" collapsed="false">
      <c r="A377" s="0" t="s">
        <v>154</v>
      </c>
      <c r="B377" s="0" t="n">
        <v>9</v>
      </c>
      <c r="C377" s="0" t="str">
        <f aca="false">IF('Junior Makers Kits'!C60="","",'Junior Makers Kits'!C60)</f>
        <v>Glue gun + glue sticks</v>
      </c>
      <c r="D377" s="0" t="n">
        <f aca="false">IF('Junior Makers Kits'!D60="","",'Junior Makers Kits'!D60)</f>
        <v>1</v>
      </c>
      <c r="E377" s="0" t="str">
        <f aca="false">IF('Junior Makers Kits'!E60="","",'Junior Makers Kits'!E60)</f>
        <v>Per class</v>
      </c>
      <c r="F377" s="0" t="str">
        <f aca="false">IFERROR(INDEX('Session Tracker'!$M$5:$M$149,MATCH($A377,'Session Tracker'!$D$5:$D$149,0))+0,"")</f>
        <v/>
      </c>
      <c r="G377" s="0" t="str">
        <f aca="false">IF(ISNUMBER(F377),IF(OR(B377=0,B377=99,C377&lt;&gt;""),F377*100+B377,""),"")</f>
        <v/>
      </c>
      <c r="H377" s="0" t="n">
        <f aca="false">IFERROR(INDEX('Session Tracker'!$J$5:$J$149,MATCH($A377,'Session Tracker'!$D$5:$D$149,0)),0)</f>
        <v>8</v>
      </c>
      <c r="I377" s="0" t="n">
        <f aca="false">IF(OR(B377=0,B377=99,C377=""),"",IF(E377="Per class",D377,D377*H377))</f>
        <v>1</v>
      </c>
      <c r="N377" s="0" t="str">
        <f aca="false">IF('Junior Makers Kits'!B60="","",'Junior Makers Kits'!B60)</f>
        <v>Computers &amp; Equipment</v>
      </c>
      <c r="O377" s="0" t="str">
        <f aca="false">IF('Junior Makers Kits'!F60="","",'Junior Makers Kits'!F60)</f>
        <v>Reusable</v>
      </c>
      <c r="P377" s="0" t="str">
        <f aca="false">IF('Junior Makers Kits'!G60="","",'Junior Makers Kits'!G60)</f>
        <v>Teacher only</v>
      </c>
    </row>
    <row r="378" customFormat="false" ht="15" hidden="false" customHeight="false" outlineLevel="0" collapsed="false">
      <c r="A378" s="0" t="s">
        <v>154</v>
      </c>
      <c r="B378" s="0" t="n">
        <v>10</v>
      </c>
      <c r="C378" s="0" t="str">
        <f aca="false">IF('Junior Makers Kits'!C61="","",'Junior Makers Kits'!C61)</f>
        <v/>
      </c>
      <c r="D378" s="0" t="str">
        <f aca="false">IF('Junior Makers Kits'!D61="","",'Junior Makers Kits'!D61)</f>
        <v/>
      </c>
      <c r="E378" s="0" t="str">
        <f aca="false">IF('Junior Makers Kits'!E61="","",'Junior Makers Kits'!E61)</f>
        <v/>
      </c>
      <c r="F378" s="0" t="str">
        <f aca="false">IFERROR(INDEX('Session Tracker'!$M$5:$M$149,MATCH($A378,'Session Tracker'!$D$5:$D$149,0))+0,"")</f>
        <v/>
      </c>
      <c r="G378" s="0" t="str">
        <f aca="false">IF(ISNUMBER(F378),IF(OR(B378=0,B378=99,C378&lt;&gt;""),F378*100+B378,""),"")</f>
        <v/>
      </c>
      <c r="H378" s="0" t="n">
        <f aca="false">IFERROR(INDEX('Session Tracker'!$J$5:$J$149,MATCH($A378,'Session Tracker'!$D$5:$D$149,0)),0)</f>
        <v>8</v>
      </c>
      <c r="I378" s="0" t="str">
        <f aca="false">IF(OR(B378=0,B378=99,C378=""),"",IF(E378="Per class",D378,D378*H378))</f>
        <v/>
      </c>
      <c r="N378" s="0" t="str">
        <f aca="false">IF('Junior Makers Kits'!B61="","",'Junior Makers Kits'!B61)</f>
        <v/>
      </c>
      <c r="O378" s="0" t="str">
        <f aca="false">IF('Junior Makers Kits'!F61="","",'Junior Makers Kits'!F61)</f>
        <v/>
      </c>
      <c r="P378" s="0" t="str">
        <f aca="false">IF('Junior Makers Kits'!G61="","",'Junior Makers Kits'!G61)</f>
        <v/>
      </c>
    </row>
    <row r="379" customFormat="false" ht="15" hidden="false" customHeight="false" outlineLevel="0" collapsed="false">
      <c r="A379" s="0" t="s">
        <v>154</v>
      </c>
      <c r="B379" s="0" t="n">
        <v>11</v>
      </c>
      <c r="C379" s="0" t="str">
        <f aca="false">IF('Junior Makers Kits'!C62="","",'Junior Makers Kits'!C62)</f>
        <v/>
      </c>
      <c r="D379" s="0" t="str">
        <f aca="false">IF('Junior Makers Kits'!D62="","",'Junior Makers Kits'!D62)</f>
        <v/>
      </c>
      <c r="E379" s="0" t="str">
        <f aca="false">IF('Junior Makers Kits'!E62="","",'Junior Makers Kits'!E62)</f>
        <v/>
      </c>
      <c r="F379" s="0" t="str">
        <f aca="false">IFERROR(INDEX('Session Tracker'!$M$5:$M$149,MATCH($A379,'Session Tracker'!$D$5:$D$149,0))+0,"")</f>
        <v/>
      </c>
      <c r="G379" s="0" t="str">
        <f aca="false">IF(ISNUMBER(F379),IF(OR(B379=0,B379=99,C379&lt;&gt;""),F379*100+B379,""),"")</f>
        <v/>
      </c>
      <c r="H379" s="0" t="n">
        <f aca="false">IFERROR(INDEX('Session Tracker'!$J$5:$J$149,MATCH($A379,'Session Tracker'!$D$5:$D$149,0)),0)</f>
        <v>8</v>
      </c>
      <c r="I379" s="0" t="str">
        <f aca="false">IF(OR(B379=0,B379=99,C379=""),"",IF(E379="Per class",D379,D379*H379))</f>
        <v/>
      </c>
      <c r="N379" s="0" t="str">
        <f aca="false">IF('Junior Makers Kits'!B62="","",'Junior Makers Kits'!B62)</f>
        <v/>
      </c>
      <c r="O379" s="0" t="str">
        <f aca="false">IF('Junior Makers Kits'!F62="","",'Junior Makers Kits'!F62)</f>
        <v/>
      </c>
      <c r="P379" s="0" t="str">
        <f aca="false">IF('Junior Makers Kits'!G62="","",'Junior Makers Kits'!G62)</f>
        <v/>
      </c>
    </row>
    <row r="380" customFormat="false" ht="15" hidden="false" customHeight="false" outlineLevel="0" collapsed="false">
      <c r="A380" s="0" t="s">
        <v>156</v>
      </c>
      <c r="B380" s="0" t="n">
        <v>0</v>
      </c>
      <c r="F380" s="0" t="str">
        <f aca="false">IFERROR(INDEX('Session Tracker'!$M$5:$M$149,MATCH($A380,'Session Tracker'!$D$5:$D$149,0))+0,"")</f>
        <v/>
      </c>
      <c r="G380" s="0" t="str">
        <f aca="false">IF(ISNUMBER(F380),IF(OR(B380=0,B380=99,C380&lt;&gt;""),F380*100+B380,""),"")</f>
        <v/>
      </c>
      <c r="H380" s="0" t="n">
        <f aca="false">IFERROR(INDEX('Session Tracker'!$J$5:$J$149,MATCH($A380,'Session Tracker'!$D$5:$D$149,0)),0)</f>
        <v>8</v>
      </c>
      <c r="I380" s="0" t="str">
        <f aca="false">IF(OR(B380=0,B380=99,C380=""),"",IF(E380="Per class",D380,D380*H380))</f>
        <v/>
      </c>
      <c r="K380" s="0" t="str">
        <f aca="false">IFERROR(INDEX('Session Tracker'!$E$5:$E$149,MATCH($A380,'Session Tracker'!$D$5:$D$149,0)),"")</f>
        <v>Series &amp; Parallel Circuit Lab</v>
      </c>
      <c r="L380" s="0" t="str">
        <f aca="false">IFERROR(INDEX('Session Tracker'!$A$5:$A$149,MATCH($A380,'Session Tracker'!$D$5:$D$149,0)),"")</f>
        <v>Junior Makers (8-11)</v>
      </c>
      <c r="M380" s="0" t="str">
        <f aca="false">IFERROR(INDEX('Session Tracker'!$H$5:$H$149,MATCH($A380,'Session Tracker'!$D$5:$D$149,0))&amp;"","")</f>
        <v/>
      </c>
      <c r="Q380" s="0" t="str">
        <f aca="false">IFERROR("Status: "&amp;INDEX('Session Tracker'!$F$5:$F$149,MATCH($A380,'Session Tracker'!$D$5:$D$149,0))&amp;IF(INDEX('Session Tracker'!$G$5:$G$149,MATCH($A380,'Session Tracker'!$D$5:$D$149,0))&lt;&gt;""," ("&amp;INDEX('Session Tracker'!$G$5:$G$149,MATCH($A380,'Session Tracker'!$D$5:$D$149,0))&amp;")","")&amp;IF(M380&lt;&gt;"","  "&amp;M380,""),"")</f>
        <v>Status: Not started</v>
      </c>
    </row>
    <row r="381" customFormat="false" ht="15" hidden="false" customHeight="false" outlineLevel="0" collapsed="false">
      <c r="A381" s="0" t="s">
        <v>156</v>
      </c>
      <c r="B381" s="0" t="n">
        <v>1</v>
      </c>
      <c r="C381" s="0" t="str">
        <f aca="false">IF('Junior Makers Kits'!C65="","",'Junior Makers Kits'!C65)</f>
        <v>Breadboard (half size)</v>
      </c>
      <c r="D381" s="0" t="n">
        <f aca="false">IF('Junior Makers Kits'!D65="","",'Junior Makers Kits'!D65)</f>
        <v>1</v>
      </c>
      <c r="E381" s="0" t="str">
        <f aca="false">IF('Junior Makers Kits'!E65="","",'Junior Makers Kits'!E65)</f>
        <v>Per group</v>
      </c>
      <c r="F381" s="0" t="str">
        <f aca="false">IFERROR(INDEX('Session Tracker'!$M$5:$M$149,MATCH($A381,'Session Tracker'!$D$5:$D$149,0))+0,"")</f>
        <v/>
      </c>
      <c r="G381" s="0" t="str">
        <f aca="false">IF(ISNUMBER(F381),IF(OR(B381=0,B381=99,C381&lt;&gt;""),F381*100+B381,""),"")</f>
        <v/>
      </c>
      <c r="H381" s="0" t="n">
        <f aca="false">IFERROR(INDEX('Session Tracker'!$J$5:$J$149,MATCH($A381,'Session Tracker'!$D$5:$D$149,0)),0)</f>
        <v>8</v>
      </c>
      <c r="I381" s="0" t="n">
        <f aca="false">IF(OR(B381=0,B381=99,C381=""),"",IF(E381="Per class",D381,D381*H381))</f>
        <v>8</v>
      </c>
      <c r="N381" s="0" t="str">
        <f aca="false">IF('Junior Makers Kits'!B65="","",'Junior Makers Kits'!B65)</f>
        <v>Wiring &amp; Prototyping</v>
      </c>
      <c r="O381" s="0" t="str">
        <f aca="false">IF('Junior Makers Kits'!F65="","",'Junior Makers Kits'!F65)</f>
        <v>Reusable</v>
      </c>
      <c r="P381" s="0" t="str">
        <f aca="false">IF('Junior Makers Kits'!G65="","",'Junior Makers Kits'!G65)</f>
        <v/>
      </c>
    </row>
    <row r="382" customFormat="false" ht="15" hidden="false" customHeight="false" outlineLevel="0" collapsed="false">
      <c r="A382" s="0" t="s">
        <v>156</v>
      </c>
      <c r="B382" s="0" t="n">
        <v>2</v>
      </c>
      <c r="C382" s="0" t="str">
        <f aca="false">IF('Junior Makers Kits'!C66="","",'Junior Makers Kits'!C66)</f>
        <v>LED 5 mm (assorted)</v>
      </c>
      <c r="D382" s="0" t="n">
        <f aca="false">IF('Junior Makers Kits'!D66="","",'Junior Makers Kits'!D66)</f>
        <v>4</v>
      </c>
      <c r="E382" s="0" t="str">
        <f aca="false">IF('Junior Makers Kits'!E66="","",'Junior Makers Kits'!E66)</f>
        <v>Per group</v>
      </c>
      <c r="F382" s="0" t="str">
        <f aca="false">IFERROR(INDEX('Session Tracker'!$M$5:$M$149,MATCH($A382,'Session Tracker'!$D$5:$D$149,0))+0,"")</f>
        <v/>
      </c>
      <c r="G382" s="0" t="str">
        <f aca="false">IF(ISNUMBER(F382),IF(OR(B382=0,B382=99,C382&lt;&gt;""),F382*100+B382,""),"")</f>
        <v/>
      </c>
      <c r="H382" s="0" t="n">
        <f aca="false">IFERROR(INDEX('Session Tracker'!$J$5:$J$149,MATCH($A382,'Session Tracker'!$D$5:$D$149,0)),0)</f>
        <v>8</v>
      </c>
      <c r="I382" s="0" t="n">
        <f aca="false">IF(OR(B382=0,B382=99,C382=""),"",IF(E382="Per class",D382,D382*H382))</f>
        <v>32</v>
      </c>
      <c r="N382" s="0" t="str">
        <f aca="false">IF('Junior Makers Kits'!B66="","",'Junior Makers Kits'!B66)</f>
        <v>Displays &amp; Output</v>
      </c>
      <c r="O382" s="0" t="str">
        <f aca="false">IF('Junior Makers Kits'!F66="","",'Junior Makers Kits'!F66)</f>
        <v>Consumable</v>
      </c>
      <c r="P382" s="0" t="str">
        <f aca="false">IF('Junior Makers Kits'!G66="","",'Junior Makers Kits'!G66)</f>
        <v/>
      </c>
    </row>
    <row r="383" customFormat="false" ht="15" hidden="false" customHeight="false" outlineLevel="0" collapsed="false">
      <c r="A383" s="0" t="s">
        <v>156</v>
      </c>
      <c r="B383" s="0" t="n">
        <v>3</v>
      </c>
      <c r="C383" s="0" t="str">
        <f aca="false">IF('Junior Makers Kits'!C67="","",'Junior Makers Kits'!C67)</f>
        <v>Resistor 220 ohm</v>
      </c>
      <c r="D383" s="0" t="n">
        <f aca="false">IF('Junior Makers Kits'!D67="","",'Junior Makers Kits'!D67)</f>
        <v>4</v>
      </c>
      <c r="E383" s="0" t="str">
        <f aca="false">IF('Junior Makers Kits'!E67="","",'Junior Makers Kits'!E67)</f>
        <v>Per group</v>
      </c>
      <c r="F383" s="0" t="str">
        <f aca="false">IFERROR(INDEX('Session Tracker'!$M$5:$M$149,MATCH($A383,'Session Tracker'!$D$5:$D$149,0))+0,"")</f>
        <v/>
      </c>
      <c r="G383" s="0" t="str">
        <f aca="false">IF(ISNUMBER(F383),IF(OR(B383=0,B383=99,C383&lt;&gt;""),F383*100+B383,""),"")</f>
        <v/>
      </c>
      <c r="H383" s="0" t="n">
        <f aca="false">IFERROR(INDEX('Session Tracker'!$J$5:$J$149,MATCH($A383,'Session Tracker'!$D$5:$D$149,0)),0)</f>
        <v>8</v>
      </c>
      <c r="I383" s="0" t="n">
        <f aca="false">IF(OR(B383=0,B383=99,C383=""),"",IF(E383="Per class",D383,D383*H383))</f>
        <v>32</v>
      </c>
      <c r="N383" s="0" t="str">
        <f aca="false">IF('Junior Makers Kits'!B67="","",'Junior Makers Kits'!B67)</f>
        <v>Passive Components &amp; ICs</v>
      </c>
      <c r="O383" s="0" t="str">
        <f aca="false">IF('Junior Makers Kits'!F67="","",'Junior Makers Kits'!F67)</f>
        <v>Consumable</v>
      </c>
      <c r="P383" s="0" t="str">
        <f aca="false">IF('Junior Makers Kits'!G67="","",'Junior Makers Kits'!G67)</f>
        <v/>
      </c>
    </row>
    <row r="384" customFormat="false" ht="15" hidden="false" customHeight="false" outlineLevel="0" collapsed="false">
      <c r="A384" s="0" t="s">
        <v>156</v>
      </c>
      <c r="B384" s="0" t="n">
        <v>4</v>
      </c>
      <c r="C384" s="0" t="str">
        <f aca="false">IF('Junior Makers Kits'!C68="","",'Junior Makers Kits'!C68)</f>
        <v>Slide switch</v>
      </c>
      <c r="D384" s="0" t="n">
        <f aca="false">IF('Junior Makers Kits'!D68="","",'Junior Makers Kits'!D68)</f>
        <v>2</v>
      </c>
      <c r="E384" s="0" t="str">
        <f aca="false">IF('Junior Makers Kits'!E68="","",'Junior Makers Kits'!E68)</f>
        <v>Per group</v>
      </c>
      <c r="F384" s="0" t="str">
        <f aca="false">IFERROR(INDEX('Session Tracker'!$M$5:$M$149,MATCH($A384,'Session Tracker'!$D$5:$D$149,0))+0,"")</f>
        <v/>
      </c>
      <c r="G384" s="0" t="str">
        <f aca="false">IF(ISNUMBER(F384),IF(OR(B384=0,B384=99,C384&lt;&gt;""),F384*100+B384,""),"")</f>
        <v/>
      </c>
      <c r="H384" s="0" t="n">
        <f aca="false">IFERROR(INDEX('Session Tracker'!$J$5:$J$149,MATCH($A384,'Session Tracker'!$D$5:$D$149,0)),0)</f>
        <v>8</v>
      </c>
      <c r="I384" s="0" t="n">
        <f aca="false">IF(OR(B384=0,B384=99,C384=""),"",IF(E384="Per class",D384,D384*H384))</f>
        <v>16</v>
      </c>
      <c r="N384" s="0" t="str">
        <f aca="false">IF('Junior Makers Kits'!B68="","",'Junior Makers Kits'!B68)</f>
        <v>Passive Components &amp; ICs</v>
      </c>
      <c r="O384" s="0" t="str">
        <f aca="false">IF('Junior Makers Kits'!F68="","",'Junior Makers Kits'!F68)</f>
        <v>Reusable</v>
      </c>
      <c r="P384" s="0" t="str">
        <f aca="false">IF('Junior Makers Kits'!G68="","",'Junior Makers Kits'!G68)</f>
        <v/>
      </c>
    </row>
    <row r="385" customFormat="false" ht="15" hidden="false" customHeight="false" outlineLevel="0" collapsed="false">
      <c r="A385" s="0" t="s">
        <v>156</v>
      </c>
      <c r="B385" s="0" t="n">
        <v>5</v>
      </c>
      <c r="C385" s="0" t="str">
        <f aca="false">IF('Junior Makers Kits'!C69="","",'Junior Makers Kits'!C69)</f>
        <v>9V battery + snap</v>
      </c>
      <c r="D385" s="0" t="n">
        <f aca="false">IF('Junior Makers Kits'!D69="","",'Junior Makers Kits'!D69)</f>
        <v>1</v>
      </c>
      <c r="E385" s="0" t="str">
        <f aca="false">IF('Junior Makers Kits'!E69="","",'Junior Makers Kits'!E69)</f>
        <v>Per group</v>
      </c>
      <c r="F385" s="0" t="str">
        <f aca="false">IFERROR(INDEX('Session Tracker'!$M$5:$M$149,MATCH($A385,'Session Tracker'!$D$5:$D$149,0))+0,"")</f>
        <v/>
      </c>
      <c r="G385" s="0" t="str">
        <f aca="false">IF(ISNUMBER(F385),IF(OR(B385=0,B385=99,C385&lt;&gt;""),F385*100+B385,""),"")</f>
        <v/>
      </c>
      <c r="H385" s="0" t="n">
        <f aca="false">IFERROR(INDEX('Session Tracker'!$J$5:$J$149,MATCH($A385,'Session Tracker'!$D$5:$D$149,0)),0)</f>
        <v>8</v>
      </c>
      <c r="I385" s="0" t="n">
        <f aca="false">IF(OR(B385=0,B385=99,C385=""),"",IF(E385="Per class",D385,D385*H385))</f>
        <v>8</v>
      </c>
      <c r="N385" s="0" t="str">
        <f aca="false">IF('Junior Makers Kits'!B69="","",'Junior Makers Kits'!B69)</f>
        <v>Power</v>
      </c>
      <c r="O385" s="0" t="str">
        <f aca="false">IF('Junior Makers Kits'!F69="","",'Junior Makers Kits'!F69)</f>
        <v>Consumable</v>
      </c>
      <c r="P385" s="0" t="str">
        <f aca="false">IF('Junior Makers Kits'!G69="","",'Junior Makers Kits'!G69)</f>
        <v/>
      </c>
    </row>
    <row r="386" customFormat="false" ht="15" hidden="false" customHeight="false" outlineLevel="0" collapsed="false">
      <c r="A386" s="0" t="s">
        <v>156</v>
      </c>
      <c r="B386" s="0" t="n">
        <v>6</v>
      </c>
      <c r="C386" s="0" t="str">
        <f aca="false">IF('Junior Makers Kits'!C70="","",'Junior Makers Kits'!C70)</f>
        <v>Digital multimeter</v>
      </c>
      <c r="D386" s="0" t="n">
        <f aca="false">IF('Junior Makers Kits'!D70="","",'Junior Makers Kits'!D70)</f>
        <v>1</v>
      </c>
      <c r="E386" s="0" t="str">
        <f aca="false">IF('Junior Makers Kits'!E70="","",'Junior Makers Kits'!E70)</f>
        <v>Per group</v>
      </c>
      <c r="F386" s="0" t="str">
        <f aca="false">IFERROR(INDEX('Session Tracker'!$M$5:$M$149,MATCH($A386,'Session Tracker'!$D$5:$D$149,0))+0,"")</f>
        <v/>
      </c>
      <c r="G386" s="0" t="str">
        <f aca="false">IF(ISNUMBER(F386),IF(OR(B386=0,B386=99,C386&lt;&gt;""),F386*100+B386,""),"")</f>
        <v/>
      </c>
      <c r="H386" s="0" t="n">
        <f aca="false">IFERROR(INDEX('Session Tracker'!$J$5:$J$149,MATCH($A386,'Session Tracker'!$D$5:$D$149,0)),0)</f>
        <v>8</v>
      </c>
      <c r="I386" s="0" t="n">
        <f aca="false">IF(OR(B386=0,B386=99,C386=""),"",IF(E386="Per class",D386,D386*H386))</f>
        <v>8</v>
      </c>
      <c r="N386" s="0" t="str">
        <f aca="false">IF('Junior Makers Kits'!B70="","",'Junior Makers Kits'!B70)</f>
        <v>Computers &amp; Equipment</v>
      </c>
      <c r="O386" s="0" t="str">
        <f aca="false">IF('Junior Makers Kits'!F70="","",'Junior Makers Kits'!F70)</f>
        <v>Reusable</v>
      </c>
      <c r="P386" s="0" t="str">
        <f aca="false">IF('Junior Makers Kits'!G70="","",'Junior Makers Kits'!G70)</f>
        <v/>
      </c>
    </row>
    <row r="387" customFormat="false" ht="15" hidden="false" customHeight="false" outlineLevel="0" collapsed="false">
      <c r="A387" s="0" t="s">
        <v>156</v>
      </c>
      <c r="B387" s="0" t="n">
        <v>7</v>
      </c>
      <c r="C387" s="0" t="str">
        <f aca="false">IF('Junior Makers Kits'!C71="","",'Junior Makers Kits'!C71)</f>
        <v>Jumper wires M-M</v>
      </c>
      <c r="D387" s="0" t="n">
        <f aca="false">IF('Junior Makers Kits'!D71="","",'Junior Makers Kits'!D71)</f>
        <v>10</v>
      </c>
      <c r="E387" s="0" t="str">
        <f aca="false">IF('Junior Makers Kits'!E71="","",'Junior Makers Kits'!E71)</f>
        <v>Per group</v>
      </c>
      <c r="F387" s="0" t="str">
        <f aca="false">IFERROR(INDEX('Session Tracker'!$M$5:$M$149,MATCH($A387,'Session Tracker'!$D$5:$D$149,0))+0,"")</f>
        <v/>
      </c>
      <c r="G387" s="0" t="str">
        <f aca="false">IF(ISNUMBER(F387),IF(OR(B387=0,B387=99,C387&lt;&gt;""),F387*100+B387,""),"")</f>
        <v/>
      </c>
      <c r="H387" s="0" t="n">
        <f aca="false">IFERROR(INDEX('Session Tracker'!$J$5:$J$149,MATCH($A387,'Session Tracker'!$D$5:$D$149,0)),0)</f>
        <v>8</v>
      </c>
      <c r="I387" s="0" t="n">
        <f aca="false">IF(OR(B387=0,B387=99,C387=""),"",IF(E387="Per class",D387,D387*H387))</f>
        <v>80</v>
      </c>
      <c r="N387" s="0" t="str">
        <f aca="false">IF('Junior Makers Kits'!B71="","",'Junior Makers Kits'!B71)</f>
        <v>Wiring &amp; Prototyping</v>
      </c>
      <c r="O387" s="0" t="str">
        <f aca="false">IF('Junior Makers Kits'!F71="","",'Junior Makers Kits'!F71)</f>
        <v>Reusable</v>
      </c>
      <c r="P387" s="0" t="str">
        <f aca="false">IF('Junior Makers Kits'!G71="","",'Junior Makers Kits'!G71)</f>
        <v/>
      </c>
    </row>
    <row r="388" customFormat="false" ht="15" hidden="false" customHeight="false" outlineLevel="0" collapsed="false">
      <c r="A388" s="0" t="s">
        <v>156</v>
      </c>
      <c r="B388" s="0" t="n">
        <v>8</v>
      </c>
      <c r="C388" s="0" t="str">
        <f aca="false">IF('Junior Makers Kits'!C72="","",'Junior Makers Kits'!C72)</f>
        <v>Laptop</v>
      </c>
      <c r="D388" s="0" t="n">
        <f aca="false">IF('Junior Makers Kits'!D72="","",'Junior Makers Kits'!D72)</f>
        <v>1</v>
      </c>
      <c r="E388" s="0" t="str">
        <f aca="false">IF('Junior Makers Kits'!E72="","",'Junior Makers Kits'!E72)</f>
        <v>Per group</v>
      </c>
      <c r="F388" s="0" t="str">
        <f aca="false">IFERROR(INDEX('Session Tracker'!$M$5:$M$149,MATCH($A388,'Session Tracker'!$D$5:$D$149,0))+0,"")</f>
        <v/>
      </c>
      <c r="G388" s="0" t="str">
        <f aca="false">IF(ISNUMBER(F388),IF(OR(B388=0,B388=99,C388&lt;&gt;""),F388*100+B388,""),"")</f>
        <v/>
      </c>
      <c r="H388" s="0" t="n">
        <f aca="false">IFERROR(INDEX('Session Tracker'!$J$5:$J$149,MATCH($A388,'Session Tracker'!$D$5:$D$149,0)),0)</f>
        <v>8</v>
      </c>
      <c r="I388" s="0" t="n">
        <f aca="false">IF(OR(B388=0,B388=99,C388=""),"",IF(E388="Per class",D388,D388*H388))</f>
        <v>8</v>
      </c>
      <c r="N388" s="0" t="str">
        <f aca="false">IF('Junior Makers Kits'!B72="","",'Junior Makers Kits'!B72)</f>
        <v>Computers &amp; Equipment</v>
      </c>
      <c r="O388" s="0" t="str">
        <f aca="false">IF('Junior Makers Kits'!F72="","",'Junior Makers Kits'!F72)</f>
        <v>Reusable</v>
      </c>
      <c r="P388" s="0" t="str">
        <f aca="false">IF('Junior Makers Kits'!G72="","",'Junior Makers Kits'!G72)</f>
        <v/>
      </c>
    </row>
    <row r="389" customFormat="false" ht="15" hidden="false" customHeight="false" outlineLevel="0" collapsed="false">
      <c r="A389" s="0" t="s">
        <v>156</v>
      </c>
      <c r="B389" s="0" t="n">
        <v>9</v>
      </c>
      <c r="C389" s="0" t="str">
        <f aca="false">IF('Junior Makers Kits'!C73="","",'Junior Makers Kits'!C73)</f>
        <v/>
      </c>
      <c r="D389" s="0" t="str">
        <f aca="false">IF('Junior Makers Kits'!D73="","",'Junior Makers Kits'!D73)</f>
        <v/>
      </c>
      <c r="E389" s="0" t="str">
        <f aca="false">IF('Junior Makers Kits'!E73="","",'Junior Makers Kits'!E73)</f>
        <v/>
      </c>
      <c r="F389" s="0" t="str">
        <f aca="false">IFERROR(INDEX('Session Tracker'!$M$5:$M$149,MATCH($A389,'Session Tracker'!$D$5:$D$149,0))+0,"")</f>
        <v/>
      </c>
      <c r="G389" s="0" t="str">
        <f aca="false">IF(ISNUMBER(F389),IF(OR(B389=0,B389=99,C389&lt;&gt;""),F389*100+B389,""),"")</f>
        <v/>
      </c>
      <c r="H389" s="0" t="n">
        <f aca="false">IFERROR(INDEX('Session Tracker'!$J$5:$J$149,MATCH($A389,'Session Tracker'!$D$5:$D$149,0)),0)</f>
        <v>8</v>
      </c>
      <c r="I389" s="0" t="str">
        <f aca="false">IF(OR(B389=0,B389=99,C389=""),"",IF(E389="Per class",D389,D389*H389))</f>
        <v/>
      </c>
      <c r="N389" s="0" t="str">
        <f aca="false">IF('Junior Makers Kits'!B73="","",'Junior Makers Kits'!B73)</f>
        <v/>
      </c>
      <c r="O389" s="0" t="str">
        <f aca="false">IF('Junior Makers Kits'!F73="","",'Junior Makers Kits'!F73)</f>
        <v/>
      </c>
      <c r="P389" s="0" t="str">
        <f aca="false">IF('Junior Makers Kits'!G73="","",'Junior Makers Kits'!G73)</f>
        <v/>
      </c>
    </row>
    <row r="390" customFormat="false" ht="15" hidden="false" customHeight="false" outlineLevel="0" collapsed="false">
      <c r="A390" s="0" t="s">
        <v>156</v>
      </c>
      <c r="B390" s="0" t="n">
        <v>10</v>
      </c>
      <c r="C390" s="0" t="str">
        <f aca="false">IF('Junior Makers Kits'!C74="","",'Junior Makers Kits'!C74)</f>
        <v/>
      </c>
      <c r="D390" s="0" t="str">
        <f aca="false">IF('Junior Makers Kits'!D74="","",'Junior Makers Kits'!D74)</f>
        <v/>
      </c>
      <c r="E390" s="0" t="str">
        <f aca="false">IF('Junior Makers Kits'!E74="","",'Junior Makers Kits'!E74)</f>
        <v/>
      </c>
      <c r="F390" s="0" t="str">
        <f aca="false">IFERROR(INDEX('Session Tracker'!$M$5:$M$149,MATCH($A390,'Session Tracker'!$D$5:$D$149,0))+0,"")</f>
        <v/>
      </c>
      <c r="G390" s="0" t="str">
        <f aca="false">IF(ISNUMBER(F390),IF(OR(B390=0,B390=99,C390&lt;&gt;""),F390*100+B390,""),"")</f>
        <v/>
      </c>
      <c r="H390" s="0" t="n">
        <f aca="false">IFERROR(INDEX('Session Tracker'!$J$5:$J$149,MATCH($A390,'Session Tracker'!$D$5:$D$149,0)),0)</f>
        <v>8</v>
      </c>
      <c r="I390" s="0" t="str">
        <f aca="false">IF(OR(B390=0,B390=99,C390=""),"",IF(E390="Per class",D390,D390*H390))</f>
        <v/>
      </c>
      <c r="N390" s="0" t="str">
        <f aca="false">IF('Junior Makers Kits'!B74="","",'Junior Makers Kits'!B74)</f>
        <v/>
      </c>
      <c r="O390" s="0" t="str">
        <f aca="false">IF('Junior Makers Kits'!F74="","",'Junior Makers Kits'!F74)</f>
        <v/>
      </c>
      <c r="P390" s="0" t="str">
        <f aca="false">IF('Junior Makers Kits'!G74="","",'Junior Makers Kits'!G74)</f>
        <v/>
      </c>
    </row>
    <row r="391" customFormat="false" ht="15" hidden="false" customHeight="false" outlineLevel="0" collapsed="false">
      <c r="A391" s="0" t="s">
        <v>158</v>
      </c>
      <c r="B391" s="0" t="n">
        <v>0</v>
      </c>
      <c r="F391" s="0" t="str">
        <f aca="false">IFERROR(INDEX('Session Tracker'!$M$5:$M$149,MATCH($A391,'Session Tracker'!$D$5:$D$149,0))+0,"")</f>
        <v/>
      </c>
      <c r="G391" s="0" t="str">
        <f aca="false">IF(ISNUMBER(F391),IF(OR(B391=0,B391=99,C391&lt;&gt;""),F391*100+B391,""),"")</f>
        <v/>
      </c>
      <c r="H391" s="0" t="n">
        <f aca="false">IFERROR(INDEX('Session Tracker'!$J$5:$J$149,MATCH($A391,'Session Tracker'!$D$5:$D$149,0)),0)</f>
        <v>8</v>
      </c>
      <c r="I391" s="0" t="str">
        <f aca="false">IF(OR(B391=0,B391=99,C391=""),"",IF(E391="Per class",D391,D391*H391))</f>
        <v/>
      </c>
      <c r="K391" s="0" t="str">
        <f aca="false">IFERROR(INDEX('Session Tracker'!$E$5:$E$149,MATCH($A391,'Session Tracker'!$D$5:$D$149,0)),"")</f>
        <v>Two-Player Reaction Timer with Scoreboard</v>
      </c>
      <c r="L391" s="0" t="str">
        <f aca="false">IFERROR(INDEX('Session Tracker'!$A$5:$A$149,MATCH($A391,'Session Tracker'!$D$5:$D$149,0)),"")</f>
        <v>Junior Makers (8-11)</v>
      </c>
      <c r="M391" s="0" t="str">
        <f aca="false">IFERROR(INDEX('Session Tracker'!$H$5:$H$149,MATCH($A391,'Session Tracker'!$D$5:$D$149,0))&amp;"","")</f>
        <v/>
      </c>
      <c r="Q391" s="0" t="str">
        <f aca="false">IFERROR("Status: "&amp;INDEX('Session Tracker'!$F$5:$F$149,MATCH($A391,'Session Tracker'!$D$5:$D$149,0))&amp;IF(INDEX('Session Tracker'!$G$5:$G$149,MATCH($A391,'Session Tracker'!$D$5:$D$149,0))&lt;&gt;""," ("&amp;INDEX('Session Tracker'!$G$5:$G$149,MATCH($A391,'Session Tracker'!$D$5:$D$149,0))&amp;")","")&amp;IF(M391&lt;&gt;"","  "&amp;M391,""),"")</f>
        <v>Status: Not started</v>
      </c>
    </row>
    <row r="392" customFormat="false" ht="15" hidden="false" customHeight="false" outlineLevel="0" collapsed="false">
      <c r="A392" s="0" t="s">
        <v>158</v>
      </c>
      <c r="B392" s="0" t="n">
        <v>1</v>
      </c>
      <c r="C392" s="0" t="str">
        <f aca="false">IF('Junior Makers Kits'!C77="","",'Junior Makers Kits'!C77)</f>
        <v>Arduino Uno + USB cable</v>
      </c>
      <c r="D392" s="0" t="n">
        <f aca="false">IF('Junior Makers Kits'!D77="","",'Junior Makers Kits'!D77)</f>
        <v>1</v>
      </c>
      <c r="E392" s="0" t="str">
        <f aca="false">IF('Junior Makers Kits'!E77="","",'Junior Makers Kits'!E77)</f>
        <v>Per group</v>
      </c>
      <c r="F392" s="0" t="str">
        <f aca="false">IFERROR(INDEX('Session Tracker'!$M$5:$M$149,MATCH($A392,'Session Tracker'!$D$5:$D$149,0))+0,"")</f>
        <v/>
      </c>
      <c r="G392" s="0" t="str">
        <f aca="false">IF(ISNUMBER(F392),IF(OR(B392=0,B392=99,C392&lt;&gt;""),F392*100+B392,""),"")</f>
        <v/>
      </c>
      <c r="H392" s="0" t="n">
        <f aca="false">IFERROR(INDEX('Session Tracker'!$J$5:$J$149,MATCH($A392,'Session Tracker'!$D$5:$D$149,0)),0)</f>
        <v>8</v>
      </c>
      <c r="I392" s="0" t="n">
        <f aca="false">IF(OR(B392=0,B392=99,C392=""),"",IF(E392="Per class",D392,D392*H392))</f>
        <v>8</v>
      </c>
      <c r="N392" s="0" t="str">
        <f aca="false">IF('Junior Makers Kits'!B77="","",'Junior Makers Kits'!B77)</f>
        <v>Microcontrollers &amp; Dev Boards</v>
      </c>
      <c r="O392" s="0" t="str">
        <f aca="false">IF('Junior Makers Kits'!F77="","",'Junior Makers Kits'!F77)</f>
        <v>Reusable</v>
      </c>
      <c r="P392" s="0" t="str">
        <f aca="false">IF('Junior Makers Kits'!G77="","",'Junior Makers Kits'!G77)</f>
        <v/>
      </c>
    </row>
    <row r="393" customFormat="false" ht="15" hidden="false" customHeight="false" outlineLevel="0" collapsed="false">
      <c r="A393" s="0" t="s">
        <v>158</v>
      </c>
      <c r="B393" s="0" t="n">
        <v>2</v>
      </c>
      <c r="C393" s="0" t="str">
        <f aca="false">IF('Junior Makers Kits'!C78="","",'Junior Makers Kits'!C78)</f>
        <v>Push button</v>
      </c>
      <c r="D393" s="0" t="n">
        <f aca="false">IF('Junior Makers Kits'!D78="","",'Junior Makers Kits'!D78)</f>
        <v>2</v>
      </c>
      <c r="E393" s="0" t="str">
        <f aca="false">IF('Junior Makers Kits'!E78="","",'Junior Makers Kits'!E78)</f>
        <v>Per group</v>
      </c>
      <c r="F393" s="0" t="str">
        <f aca="false">IFERROR(INDEX('Session Tracker'!$M$5:$M$149,MATCH($A393,'Session Tracker'!$D$5:$D$149,0))+0,"")</f>
        <v/>
      </c>
      <c r="G393" s="0" t="str">
        <f aca="false">IF(ISNUMBER(F393),IF(OR(B393=0,B393=99,C393&lt;&gt;""),F393*100+B393,""),"")</f>
        <v/>
      </c>
      <c r="H393" s="0" t="n">
        <f aca="false">IFERROR(INDEX('Session Tracker'!$J$5:$J$149,MATCH($A393,'Session Tracker'!$D$5:$D$149,0)),0)</f>
        <v>8</v>
      </c>
      <c r="I393" s="0" t="n">
        <f aca="false">IF(OR(B393=0,B393=99,C393=""),"",IF(E393="Per class",D393,D393*H393))</f>
        <v>16</v>
      </c>
      <c r="N393" s="0" t="str">
        <f aca="false">IF('Junior Makers Kits'!B78="","",'Junior Makers Kits'!B78)</f>
        <v>Passive Components &amp; ICs</v>
      </c>
      <c r="O393" s="0" t="str">
        <f aca="false">IF('Junior Makers Kits'!F78="","",'Junior Makers Kits'!F78)</f>
        <v>Reusable</v>
      </c>
      <c r="P393" s="0" t="str">
        <f aca="false">IF('Junior Makers Kits'!G78="","",'Junior Makers Kits'!G78)</f>
        <v/>
      </c>
    </row>
    <row r="394" customFormat="false" ht="15" hidden="false" customHeight="false" outlineLevel="0" collapsed="false">
      <c r="A394" s="0" t="s">
        <v>158</v>
      </c>
      <c r="B394" s="0" t="n">
        <v>3</v>
      </c>
      <c r="C394" s="0" t="str">
        <f aca="false">IF('Junior Makers Kits'!C79="","",'Junior Makers Kits'!C79)</f>
        <v>LED 5 mm (assorted)</v>
      </c>
      <c r="D394" s="0" t="n">
        <f aca="false">IF('Junior Makers Kits'!D79="","",'Junior Makers Kits'!D79)</f>
        <v>2</v>
      </c>
      <c r="E394" s="0" t="str">
        <f aca="false">IF('Junior Makers Kits'!E79="","",'Junior Makers Kits'!E79)</f>
        <v>Per group</v>
      </c>
      <c r="F394" s="0" t="str">
        <f aca="false">IFERROR(INDEX('Session Tracker'!$M$5:$M$149,MATCH($A394,'Session Tracker'!$D$5:$D$149,0))+0,"")</f>
        <v/>
      </c>
      <c r="G394" s="0" t="str">
        <f aca="false">IF(ISNUMBER(F394),IF(OR(B394=0,B394=99,C394&lt;&gt;""),F394*100+B394,""),"")</f>
        <v/>
      </c>
      <c r="H394" s="0" t="n">
        <f aca="false">IFERROR(INDEX('Session Tracker'!$J$5:$J$149,MATCH($A394,'Session Tracker'!$D$5:$D$149,0)),0)</f>
        <v>8</v>
      </c>
      <c r="I394" s="0" t="n">
        <f aca="false">IF(OR(B394=0,B394=99,C394=""),"",IF(E394="Per class",D394,D394*H394))</f>
        <v>16</v>
      </c>
      <c r="N394" s="0" t="str">
        <f aca="false">IF('Junior Makers Kits'!B79="","",'Junior Makers Kits'!B79)</f>
        <v>Displays &amp; Output</v>
      </c>
      <c r="O394" s="0" t="str">
        <f aca="false">IF('Junior Makers Kits'!F79="","",'Junior Makers Kits'!F79)</f>
        <v>Consumable</v>
      </c>
      <c r="P394" s="0" t="str">
        <f aca="false">IF('Junior Makers Kits'!G79="","",'Junior Makers Kits'!G79)</f>
        <v/>
      </c>
    </row>
    <row r="395" customFormat="false" ht="15" hidden="false" customHeight="false" outlineLevel="0" collapsed="false">
      <c r="A395" s="0" t="s">
        <v>158</v>
      </c>
      <c r="B395" s="0" t="n">
        <v>4</v>
      </c>
      <c r="C395" s="0" t="str">
        <f aca="false">IF('Junior Makers Kits'!C80="","",'Junior Makers Kits'!C80)</f>
        <v>Resistor 220 ohm</v>
      </c>
      <c r="D395" s="0" t="n">
        <f aca="false">IF('Junior Makers Kits'!D80="","",'Junior Makers Kits'!D80)</f>
        <v>2</v>
      </c>
      <c r="E395" s="0" t="str">
        <f aca="false">IF('Junior Makers Kits'!E80="","",'Junior Makers Kits'!E80)</f>
        <v>Per group</v>
      </c>
      <c r="F395" s="0" t="str">
        <f aca="false">IFERROR(INDEX('Session Tracker'!$M$5:$M$149,MATCH($A395,'Session Tracker'!$D$5:$D$149,0))+0,"")</f>
        <v/>
      </c>
      <c r="G395" s="0" t="str">
        <f aca="false">IF(ISNUMBER(F395),IF(OR(B395=0,B395=99,C395&lt;&gt;""),F395*100+B395,""),"")</f>
        <v/>
      </c>
      <c r="H395" s="0" t="n">
        <f aca="false">IFERROR(INDEX('Session Tracker'!$J$5:$J$149,MATCH($A395,'Session Tracker'!$D$5:$D$149,0)),0)</f>
        <v>8</v>
      </c>
      <c r="I395" s="0" t="n">
        <f aca="false">IF(OR(B395=0,B395=99,C395=""),"",IF(E395="Per class",D395,D395*H395))</f>
        <v>16</v>
      </c>
      <c r="N395" s="0" t="str">
        <f aca="false">IF('Junior Makers Kits'!B80="","",'Junior Makers Kits'!B80)</f>
        <v>Passive Components &amp; ICs</v>
      </c>
      <c r="O395" s="0" t="str">
        <f aca="false">IF('Junior Makers Kits'!F80="","",'Junior Makers Kits'!F80)</f>
        <v>Consumable</v>
      </c>
      <c r="P395" s="0" t="str">
        <f aca="false">IF('Junior Makers Kits'!G80="","",'Junior Makers Kits'!G80)</f>
        <v/>
      </c>
    </row>
    <row r="396" customFormat="false" ht="15" hidden="false" customHeight="false" outlineLevel="0" collapsed="false">
      <c r="A396" s="0" t="s">
        <v>158</v>
      </c>
      <c r="B396" s="0" t="n">
        <v>5</v>
      </c>
      <c r="C396" s="0" t="str">
        <f aca="false">IF('Junior Makers Kits'!C81="","",'Junior Makers Kits'!C81)</f>
        <v>Resistor 10k ohm</v>
      </c>
      <c r="D396" s="0" t="n">
        <f aca="false">IF('Junior Makers Kits'!D81="","",'Junior Makers Kits'!D81)</f>
        <v>2</v>
      </c>
      <c r="E396" s="0" t="str">
        <f aca="false">IF('Junior Makers Kits'!E81="","",'Junior Makers Kits'!E81)</f>
        <v>Per group</v>
      </c>
      <c r="F396" s="0" t="str">
        <f aca="false">IFERROR(INDEX('Session Tracker'!$M$5:$M$149,MATCH($A396,'Session Tracker'!$D$5:$D$149,0))+0,"")</f>
        <v/>
      </c>
      <c r="G396" s="0" t="str">
        <f aca="false">IF(ISNUMBER(F396),IF(OR(B396=0,B396=99,C396&lt;&gt;""),F396*100+B396,""),"")</f>
        <v/>
      </c>
      <c r="H396" s="0" t="n">
        <f aca="false">IFERROR(INDEX('Session Tracker'!$J$5:$J$149,MATCH($A396,'Session Tracker'!$D$5:$D$149,0)),0)</f>
        <v>8</v>
      </c>
      <c r="I396" s="0" t="n">
        <f aca="false">IF(OR(B396=0,B396=99,C396=""),"",IF(E396="Per class",D396,D396*H396))</f>
        <v>16</v>
      </c>
      <c r="N396" s="0" t="str">
        <f aca="false">IF('Junior Makers Kits'!B81="","",'Junior Makers Kits'!B81)</f>
        <v>Passive Components &amp; ICs</v>
      </c>
      <c r="O396" s="0" t="str">
        <f aca="false">IF('Junior Makers Kits'!F81="","",'Junior Makers Kits'!F81)</f>
        <v>Consumable</v>
      </c>
      <c r="P396" s="0" t="str">
        <f aca="false">IF('Junior Makers Kits'!G81="","",'Junior Makers Kits'!G81)</f>
        <v/>
      </c>
    </row>
    <row r="397" customFormat="false" ht="15" hidden="false" customHeight="false" outlineLevel="0" collapsed="false">
      <c r="A397" s="0" t="s">
        <v>158</v>
      </c>
      <c r="B397" s="0" t="n">
        <v>6</v>
      </c>
      <c r="C397" s="0" t="str">
        <f aca="false">IF('Junior Makers Kits'!C82="","",'Junior Makers Kits'!C82)</f>
        <v>Buzzer</v>
      </c>
      <c r="D397" s="0" t="n">
        <f aca="false">IF('Junior Makers Kits'!D82="","",'Junior Makers Kits'!D82)</f>
        <v>1</v>
      </c>
      <c r="E397" s="0" t="str">
        <f aca="false">IF('Junior Makers Kits'!E82="","",'Junior Makers Kits'!E82)</f>
        <v>Per group</v>
      </c>
      <c r="F397" s="0" t="str">
        <f aca="false">IFERROR(INDEX('Session Tracker'!$M$5:$M$149,MATCH($A397,'Session Tracker'!$D$5:$D$149,0))+0,"")</f>
        <v/>
      </c>
      <c r="G397" s="0" t="str">
        <f aca="false">IF(ISNUMBER(F397),IF(OR(B397=0,B397=99,C397&lt;&gt;""),F397*100+B397,""),"")</f>
        <v/>
      </c>
      <c r="H397" s="0" t="n">
        <f aca="false">IFERROR(INDEX('Session Tracker'!$J$5:$J$149,MATCH($A397,'Session Tracker'!$D$5:$D$149,0)),0)</f>
        <v>8</v>
      </c>
      <c r="I397" s="0" t="n">
        <f aca="false">IF(OR(B397=0,B397=99,C397=""),"",IF(E397="Per class",D397,D397*H397))</f>
        <v>8</v>
      </c>
      <c r="N397" s="0" t="str">
        <f aca="false">IF('Junior Makers Kits'!B82="","",'Junior Makers Kits'!B82)</f>
        <v>Actuators &amp; Motor Drivers</v>
      </c>
      <c r="O397" s="0" t="str">
        <f aca="false">IF('Junior Makers Kits'!F82="","",'Junior Makers Kits'!F82)</f>
        <v>Reusable</v>
      </c>
      <c r="P397" s="0" t="str">
        <f aca="false">IF('Junior Makers Kits'!G82="","",'Junior Makers Kits'!G82)</f>
        <v/>
      </c>
    </row>
    <row r="398" customFormat="false" ht="15" hidden="false" customHeight="false" outlineLevel="0" collapsed="false">
      <c r="A398" s="0" t="s">
        <v>158</v>
      </c>
      <c r="B398" s="0" t="n">
        <v>7</v>
      </c>
      <c r="C398" s="0" t="str">
        <f aca="false">IF('Junior Makers Kits'!C83="","",'Junior Makers Kits'!C83)</f>
        <v>OLED 0.96 in I2C</v>
      </c>
      <c r="D398" s="0" t="n">
        <f aca="false">IF('Junior Makers Kits'!D83="","",'Junior Makers Kits'!D83)</f>
        <v>1</v>
      </c>
      <c r="E398" s="0" t="str">
        <f aca="false">IF('Junior Makers Kits'!E83="","",'Junior Makers Kits'!E83)</f>
        <v>Per group</v>
      </c>
      <c r="F398" s="0" t="str">
        <f aca="false">IFERROR(INDEX('Session Tracker'!$M$5:$M$149,MATCH($A398,'Session Tracker'!$D$5:$D$149,0))+0,"")</f>
        <v/>
      </c>
      <c r="G398" s="0" t="str">
        <f aca="false">IF(ISNUMBER(F398),IF(OR(B398=0,B398=99,C398&lt;&gt;""),F398*100+B398,""),"")</f>
        <v/>
      </c>
      <c r="H398" s="0" t="n">
        <f aca="false">IFERROR(INDEX('Session Tracker'!$J$5:$J$149,MATCH($A398,'Session Tracker'!$D$5:$D$149,0)),0)</f>
        <v>8</v>
      </c>
      <c r="I398" s="0" t="n">
        <f aca="false">IF(OR(B398=0,B398=99,C398=""),"",IF(E398="Per class",D398,D398*H398))</f>
        <v>8</v>
      </c>
      <c r="N398" s="0" t="str">
        <f aca="false">IF('Junior Makers Kits'!B83="","",'Junior Makers Kits'!B83)</f>
        <v>Displays &amp; Output</v>
      </c>
      <c r="O398" s="0" t="str">
        <f aca="false">IF('Junior Makers Kits'!F83="","",'Junior Makers Kits'!F83)</f>
        <v>Reusable</v>
      </c>
      <c r="P398" s="0" t="str">
        <f aca="false">IF('Junior Makers Kits'!G83="","",'Junior Makers Kits'!G83)</f>
        <v/>
      </c>
    </row>
    <row r="399" customFormat="false" ht="15" hidden="false" customHeight="false" outlineLevel="0" collapsed="false">
      <c r="A399" s="0" t="s">
        <v>158</v>
      </c>
      <c r="B399" s="0" t="n">
        <v>8</v>
      </c>
      <c r="C399" s="0" t="str">
        <f aca="false">IF('Junior Makers Kits'!C84="","",'Junior Makers Kits'!C84)</f>
        <v>Breadboard (half size)</v>
      </c>
      <c r="D399" s="0" t="n">
        <f aca="false">IF('Junior Makers Kits'!D84="","",'Junior Makers Kits'!D84)</f>
        <v>1</v>
      </c>
      <c r="E399" s="0" t="str">
        <f aca="false">IF('Junior Makers Kits'!E84="","",'Junior Makers Kits'!E84)</f>
        <v>Per group</v>
      </c>
      <c r="F399" s="0" t="str">
        <f aca="false">IFERROR(INDEX('Session Tracker'!$M$5:$M$149,MATCH($A399,'Session Tracker'!$D$5:$D$149,0))+0,"")</f>
        <v/>
      </c>
      <c r="G399" s="0" t="str">
        <f aca="false">IF(ISNUMBER(F399),IF(OR(B399=0,B399=99,C399&lt;&gt;""),F399*100+B399,""),"")</f>
        <v/>
      </c>
      <c r="H399" s="0" t="n">
        <f aca="false">IFERROR(INDEX('Session Tracker'!$J$5:$J$149,MATCH($A399,'Session Tracker'!$D$5:$D$149,0)),0)</f>
        <v>8</v>
      </c>
      <c r="I399" s="0" t="n">
        <f aca="false">IF(OR(B399=0,B399=99,C399=""),"",IF(E399="Per class",D399,D399*H399))</f>
        <v>8</v>
      </c>
      <c r="N399" s="0" t="str">
        <f aca="false">IF('Junior Makers Kits'!B84="","",'Junior Makers Kits'!B84)</f>
        <v>Wiring &amp; Prototyping</v>
      </c>
      <c r="O399" s="0" t="str">
        <f aca="false">IF('Junior Makers Kits'!F84="","",'Junior Makers Kits'!F84)</f>
        <v>Reusable</v>
      </c>
      <c r="P399" s="0" t="str">
        <f aca="false">IF('Junior Makers Kits'!G84="","",'Junior Makers Kits'!G84)</f>
        <v/>
      </c>
    </row>
    <row r="400" customFormat="false" ht="15" hidden="false" customHeight="false" outlineLevel="0" collapsed="false">
      <c r="A400" s="0" t="s">
        <v>158</v>
      </c>
      <c r="B400" s="0" t="n">
        <v>9</v>
      </c>
      <c r="C400" s="0" t="str">
        <f aca="false">IF('Junior Makers Kits'!C85="","",'Junior Makers Kits'!C85)</f>
        <v>Jumper wires M-M</v>
      </c>
      <c r="D400" s="0" t="n">
        <f aca="false">IF('Junior Makers Kits'!D85="","",'Junior Makers Kits'!D85)</f>
        <v>14</v>
      </c>
      <c r="E400" s="0" t="str">
        <f aca="false">IF('Junior Makers Kits'!E85="","",'Junior Makers Kits'!E85)</f>
        <v>Per group</v>
      </c>
      <c r="F400" s="0" t="str">
        <f aca="false">IFERROR(INDEX('Session Tracker'!$M$5:$M$149,MATCH($A400,'Session Tracker'!$D$5:$D$149,0))+0,"")</f>
        <v/>
      </c>
      <c r="G400" s="0" t="str">
        <f aca="false">IF(ISNUMBER(F400),IF(OR(B400=0,B400=99,C400&lt;&gt;""),F400*100+B400,""),"")</f>
        <v/>
      </c>
      <c r="H400" s="0" t="n">
        <f aca="false">IFERROR(INDEX('Session Tracker'!$J$5:$J$149,MATCH($A400,'Session Tracker'!$D$5:$D$149,0)),0)</f>
        <v>8</v>
      </c>
      <c r="I400" s="0" t="n">
        <f aca="false">IF(OR(B400=0,B400=99,C400=""),"",IF(E400="Per class",D400,D400*H400))</f>
        <v>112</v>
      </c>
      <c r="N400" s="0" t="str">
        <f aca="false">IF('Junior Makers Kits'!B85="","",'Junior Makers Kits'!B85)</f>
        <v>Wiring &amp; Prototyping</v>
      </c>
      <c r="O400" s="0" t="str">
        <f aca="false">IF('Junior Makers Kits'!F85="","",'Junior Makers Kits'!F85)</f>
        <v>Reusable</v>
      </c>
      <c r="P400" s="0" t="str">
        <f aca="false">IF('Junior Makers Kits'!G85="","",'Junior Makers Kits'!G85)</f>
        <v/>
      </c>
    </row>
    <row r="401" customFormat="false" ht="15" hidden="false" customHeight="false" outlineLevel="0" collapsed="false">
      <c r="A401" s="0" t="s">
        <v>158</v>
      </c>
      <c r="B401" s="0" t="n">
        <v>10</v>
      </c>
      <c r="C401" s="0" t="str">
        <f aca="false">IF('Junior Makers Kits'!C86="","",'Junior Makers Kits'!C86)</f>
        <v>Jumper wires M-F</v>
      </c>
      <c r="D401" s="0" t="n">
        <f aca="false">IF('Junior Makers Kits'!D86="","",'Junior Makers Kits'!D86)</f>
        <v>4</v>
      </c>
      <c r="E401" s="0" t="str">
        <f aca="false">IF('Junior Makers Kits'!E86="","",'Junior Makers Kits'!E86)</f>
        <v>Per group</v>
      </c>
      <c r="F401" s="0" t="str">
        <f aca="false">IFERROR(INDEX('Session Tracker'!$M$5:$M$149,MATCH($A401,'Session Tracker'!$D$5:$D$149,0))+0,"")</f>
        <v/>
      </c>
      <c r="G401" s="0" t="str">
        <f aca="false">IF(ISNUMBER(F401),IF(OR(B401=0,B401=99,C401&lt;&gt;""),F401*100+B401,""),"")</f>
        <v/>
      </c>
      <c r="H401" s="0" t="n">
        <f aca="false">IFERROR(INDEX('Session Tracker'!$J$5:$J$149,MATCH($A401,'Session Tracker'!$D$5:$D$149,0)),0)</f>
        <v>8</v>
      </c>
      <c r="I401" s="0" t="n">
        <f aca="false">IF(OR(B401=0,B401=99,C401=""),"",IF(E401="Per class",D401,D401*H401))</f>
        <v>32</v>
      </c>
      <c r="N401" s="0" t="str">
        <f aca="false">IF('Junior Makers Kits'!B86="","",'Junior Makers Kits'!B86)</f>
        <v>Wiring &amp; Prototyping</v>
      </c>
      <c r="O401" s="0" t="str">
        <f aca="false">IF('Junior Makers Kits'!F86="","",'Junior Makers Kits'!F86)</f>
        <v>Reusable</v>
      </c>
      <c r="P401" s="0" t="str">
        <f aca="false">IF('Junior Makers Kits'!G86="","",'Junior Makers Kits'!G86)</f>
        <v/>
      </c>
    </row>
    <row r="402" customFormat="false" ht="15" hidden="false" customHeight="false" outlineLevel="0" collapsed="false">
      <c r="A402" s="0" t="s">
        <v>158</v>
      </c>
      <c r="B402" s="0" t="n">
        <v>11</v>
      </c>
      <c r="C402" s="0" t="str">
        <f aca="false">IF('Junior Makers Kits'!C87="","",'Junior Makers Kits'!C87)</f>
        <v>Laptop</v>
      </c>
      <c r="D402" s="0" t="n">
        <f aca="false">IF('Junior Makers Kits'!D87="","",'Junior Makers Kits'!D87)</f>
        <v>1</v>
      </c>
      <c r="E402" s="0" t="str">
        <f aca="false">IF('Junior Makers Kits'!E87="","",'Junior Makers Kits'!E87)</f>
        <v>Per group</v>
      </c>
      <c r="F402" s="0" t="str">
        <f aca="false">IFERROR(INDEX('Session Tracker'!$M$5:$M$149,MATCH($A402,'Session Tracker'!$D$5:$D$149,0))+0,"")</f>
        <v/>
      </c>
      <c r="G402" s="0" t="str">
        <f aca="false">IF(ISNUMBER(F402),IF(OR(B402=0,B402=99,C402&lt;&gt;""),F402*100+B402,""),"")</f>
        <v/>
      </c>
      <c r="H402" s="0" t="n">
        <f aca="false">IFERROR(INDEX('Session Tracker'!$J$5:$J$149,MATCH($A402,'Session Tracker'!$D$5:$D$149,0)),0)</f>
        <v>8</v>
      </c>
      <c r="I402" s="0" t="n">
        <f aca="false">IF(OR(B402=0,B402=99,C402=""),"",IF(E402="Per class",D402,D402*H402))</f>
        <v>8</v>
      </c>
      <c r="N402" s="0" t="str">
        <f aca="false">IF('Junior Makers Kits'!B87="","",'Junior Makers Kits'!B87)</f>
        <v>Computers &amp; Equipment</v>
      </c>
      <c r="O402" s="0" t="str">
        <f aca="false">IF('Junior Makers Kits'!F87="","",'Junior Makers Kits'!F87)</f>
        <v>Reusable</v>
      </c>
      <c r="P402" s="0" t="str">
        <f aca="false">IF('Junior Makers Kits'!G87="","",'Junior Makers Kits'!G87)</f>
        <v/>
      </c>
    </row>
    <row r="403" customFormat="false" ht="15" hidden="false" customHeight="false" outlineLevel="0" collapsed="false">
      <c r="A403" s="0" t="s">
        <v>158</v>
      </c>
      <c r="B403" s="0" t="n">
        <v>12</v>
      </c>
      <c r="C403" s="0" t="str">
        <f aca="false">IF('Junior Makers Kits'!C88="","",'Junior Makers Kits'!C88)</f>
        <v/>
      </c>
      <c r="D403" s="0" t="str">
        <f aca="false">IF('Junior Makers Kits'!D88="","",'Junior Makers Kits'!D88)</f>
        <v/>
      </c>
      <c r="E403" s="0" t="str">
        <f aca="false">IF('Junior Makers Kits'!E88="","",'Junior Makers Kits'!E88)</f>
        <v/>
      </c>
      <c r="F403" s="0" t="str">
        <f aca="false">IFERROR(INDEX('Session Tracker'!$M$5:$M$149,MATCH($A403,'Session Tracker'!$D$5:$D$149,0))+0,"")</f>
        <v/>
      </c>
      <c r="G403" s="0" t="str">
        <f aca="false">IF(ISNUMBER(F403),IF(OR(B403=0,B403=99,C403&lt;&gt;""),F403*100+B403,""),"")</f>
        <v/>
      </c>
      <c r="H403" s="0" t="n">
        <f aca="false">IFERROR(INDEX('Session Tracker'!$J$5:$J$149,MATCH($A403,'Session Tracker'!$D$5:$D$149,0)),0)</f>
        <v>8</v>
      </c>
      <c r="I403" s="0" t="str">
        <f aca="false">IF(OR(B403=0,B403=99,C403=""),"",IF(E403="Per class",D403,D403*H403))</f>
        <v/>
      </c>
      <c r="N403" s="0" t="str">
        <f aca="false">IF('Junior Makers Kits'!B88="","",'Junior Makers Kits'!B88)</f>
        <v/>
      </c>
      <c r="O403" s="0" t="str">
        <f aca="false">IF('Junior Makers Kits'!F88="","",'Junior Makers Kits'!F88)</f>
        <v/>
      </c>
      <c r="P403" s="0" t="str">
        <f aca="false">IF('Junior Makers Kits'!G88="","",'Junior Makers Kits'!G88)</f>
        <v/>
      </c>
    </row>
    <row r="404" customFormat="false" ht="15" hidden="false" customHeight="false" outlineLevel="0" collapsed="false">
      <c r="A404" s="0" t="s">
        <v>158</v>
      </c>
      <c r="B404" s="0" t="n">
        <v>13</v>
      </c>
      <c r="C404" s="0" t="str">
        <f aca="false">IF('Junior Makers Kits'!C89="","",'Junior Makers Kits'!C89)</f>
        <v/>
      </c>
      <c r="D404" s="0" t="str">
        <f aca="false">IF('Junior Makers Kits'!D89="","",'Junior Makers Kits'!D89)</f>
        <v/>
      </c>
      <c r="E404" s="0" t="str">
        <f aca="false">IF('Junior Makers Kits'!E89="","",'Junior Makers Kits'!E89)</f>
        <v/>
      </c>
      <c r="F404" s="0" t="str">
        <f aca="false">IFERROR(INDEX('Session Tracker'!$M$5:$M$149,MATCH($A404,'Session Tracker'!$D$5:$D$149,0))+0,"")</f>
        <v/>
      </c>
      <c r="G404" s="0" t="str">
        <f aca="false">IF(ISNUMBER(F404),IF(OR(B404=0,B404=99,C404&lt;&gt;""),F404*100+B404,""),"")</f>
        <v/>
      </c>
      <c r="H404" s="0" t="n">
        <f aca="false">IFERROR(INDEX('Session Tracker'!$J$5:$J$149,MATCH($A404,'Session Tracker'!$D$5:$D$149,0)),0)</f>
        <v>8</v>
      </c>
      <c r="I404" s="0" t="str">
        <f aca="false">IF(OR(B404=0,B404=99,C404=""),"",IF(E404="Per class",D404,D404*H404))</f>
        <v/>
      </c>
      <c r="N404" s="0" t="str">
        <f aca="false">IF('Junior Makers Kits'!B89="","",'Junior Makers Kits'!B89)</f>
        <v/>
      </c>
      <c r="O404" s="0" t="str">
        <f aca="false">IF('Junior Makers Kits'!F89="","",'Junior Makers Kits'!F89)</f>
        <v/>
      </c>
      <c r="P404" s="0" t="str">
        <f aca="false">IF('Junior Makers Kits'!G89="","",'Junior Makers Kits'!G89)</f>
        <v/>
      </c>
    </row>
    <row r="405" customFormat="false" ht="15" hidden="false" customHeight="false" outlineLevel="0" collapsed="false">
      <c r="A405" s="0" t="s">
        <v>160</v>
      </c>
      <c r="B405" s="0" t="n">
        <v>0</v>
      </c>
      <c r="F405" s="0" t="str">
        <f aca="false">IFERROR(INDEX('Session Tracker'!$M$5:$M$149,MATCH($A405,'Session Tracker'!$D$5:$D$149,0))+0,"")</f>
        <v/>
      </c>
      <c r="G405" s="0" t="str">
        <f aca="false">IF(ISNUMBER(F405),IF(OR(B405=0,B405=99,C405&lt;&gt;""),F405*100+B405,""),"")</f>
        <v/>
      </c>
      <c r="H405" s="0" t="n">
        <f aca="false">IFERROR(INDEX('Session Tracker'!$J$5:$J$149,MATCH($A405,'Session Tracker'!$D$5:$D$149,0)),0)</f>
        <v>8</v>
      </c>
      <c r="I405" s="0" t="str">
        <f aca="false">IF(OR(B405=0,B405=99,C405=""),"",IF(E405="Per class",D405,D405*H405))</f>
        <v/>
      </c>
      <c r="K405" s="0" t="str">
        <f aca="false">IFERROR(INDEX('Session Tracker'!$E$5:$E$149,MATCH($A405,'Session Tracker'!$D$5:$D$149,0)),"")</f>
        <v>Mini Weather Station with OLED Display</v>
      </c>
      <c r="L405" s="0" t="str">
        <f aca="false">IFERROR(INDEX('Session Tracker'!$A$5:$A$149,MATCH($A405,'Session Tracker'!$D$5:$D$149,0)),"")</f>
        <v>Junior Makers (8-11)</v>
      </c>
      <c r="M405" s="0" t="str">
        <f aca="false">IFERROR(INDEX('Session Tracker'!$H$5:$H$149,MATCH($A405,'Session Tracker'!$D$5:$D$149,0))&amp;"","")</f>
        <v/>
      </c>
      <c r="Q405" s="0" t="str">
        <f aca="false">IFERROR("Status: "&amp;INDEX('Session Tracker'!$F$5:$F$149,MATCH($A405,'Session Tracker'!$D$5:$D$149,0))&amp;IF(INDEX('Session Tracker'!$G$5:$G$149,MATCH($A405,'Session Tracker'!$D$5:$D$149,0))&lt;&gt;""," ("&amp;INDEX('Session Tracker'!$G$5:$G$149,MATCH($A405,'Session Tracker'!$D$5:$D$149,0))&amp;")","")&amp;IF(M405&lt;&gt;"","  "&amp;M405,""),"")</f>
        <v>Status: Not started</v>
      </c>
    </row>
    <row r="406" customFormat="false" ht="15" hidden="false" customHeight="false" outlineLevel="0" collapsed="false">
      <c r="A406" s="0" t="s">
        <v>160</v>
      </c>
      <c r="B406" s="0" t="n">
        <v>1</v>
      </c>
      <c r="C406" s="0" t="str">
        <f aca="false">IF('Junior Makers Kits'!C92="","",'Junior Makers Kits'!C92)</f>
        <v>Arduino Uno + USB cable</v>
      </c>
      <c r="D406" s="0" t="n">
        <f aca="false">IF('Junior Makers Kits'!D92="","",'Junior Makers Kits'!D92)</f>
        <v>1</v>
      </c>
      <c r="E406" s="0" t="str">
        <f aca="false">IF('Junior Makers Kits'!E92="","",'Junior Makers Kits'!E92)</f>
        <v>Per group</v>
      </c>
      <c r="F406" s="0" t="str">
        <f aca="false">IFERROR(INDEX('Session Tracker'!$M$5:$M$149,MATCH($A406,'Session Tracker'!$D$5:$D$149,0))+0,"")</f>
        <v/>
      </c>
      <c r="G406" s="0" t="str">
        <f aca="false">IF(ISNUMBER(F406),IF(OR(B406=0,B406=99,C406&lt;&gt;""),F406*100+B406,""),"")</f>
        <v/>
      </c>
      <c r="H406" s="0" t="n">
        <f aca="false">IFERROR(INDEX('Session Tracker'!$J$5:$J$149,MATCH($A406,'Session Tracker'!$D$5:$D$149,0)),0)</f>
        <v>8</v>
      </c>
      <c r="I406" s="0" t="n">
        <f aca="false">IF(OR(B406=0,B406=99,C406=""),"",IF(E406="Per class",D406,D406*H406))</f>
        <v>8</v>
      </c>
      <c r="N406" s="0" t="str">
        <f aca="false">IF('Junior Makers Kits'!B92="","",'Junior Makers Kits'!B92)</f>
        <v>Microcontrollers &amp; Dev Boards</v>
      </c>
      <c r="O406" s="0" t="str">
        <f aca="false">IF('Junior Makers Kits'!F92="","",'Junior Makers Kits'!F92)</f>
        <v>Reusable</v>
      </c>
      <c r="P406" s="0" t="str">
        <f aca="false">IF('Junior Makers Kits'!G92="","",'Junior Makers Kits'!G92)</f>
        <v/>
      </c>
    </row>
    <row r="407" customFormat="false" ht="15" hidden="false" customHeight="false" outlineLevel="0" collapsed="false">
      <c r="A407" s="0" t="s">
        <v>160</v>
      </c>
      <c r="B407" s="0" t="n">
        <v>2</v>
      </c>
      <c r="C407" s="0" t="str">
        <f aca="false">IF('Junior Makers Kits'!C93="","",'Junior Makers Kits'!C93)</f>
        <v>DHT22 sensor</v>
      </c>
      <c r="D407" s="0" t="n">
        <f aca="false">IF('Junior Makers Kits'!D93="","",'Junior Makers Kits'!D93)</f>
        <v>1</v>
      </c>
      <c r="E407" s="0" t="str">
        <f aca="false">IF('Junior Makers Kits'!E93="","",'Junior Makers Kits'!E93)</f>
        <v>Per group</v>
      </c>
      <c r="F407" s="0" t="str">
        <f aca="false">IFERROR(INDEX('Session Tracker'!$M$5:$M$149,MATCH($A407,'Session Tracker'!$D$5:$D$149,0))+0,"")</f>
        <v/>
      </c>
      <c r="G407" s="0" t="str">
        <f aca="false">IF(ISNUMBER(F407),IF(OR(B407=0,B407=99,C407&lt;&gt;""),F407*100+B407,""),"")</f>
        <v/>
      </c>
      <c r="H407" s="0" t="n">
        <f aca="false">IFERROR(INDEX('Session Tracker'!$J$5:$J$149,MATCH($A407,'Session Tracker'!$D$5:$D$149,0)),0)</f>
        <v>8</v>
      </c>
      <c r="I407" s="0" t="n">
        <f aca="false">IF(OR(B407=0,B407=99,C407=""),"",IF(E407="Per class",D407,D407*H407))</f>
        <v>8</v>
      </c>
      <c r="N407" s="0" t="str">
        <f aca="false">IF('Junior Makers Kits'!B93="","",'Junior Makers Kits'!B93)</f>
        <v>Sensors</v>
      </c>
      <c r="O407" s="0" t="str">
        <f aca="false">IF('Junior Makers Kits'!F93="","",'Junior Makers Kits'!F93)</f>
        <v>Reusable</v>
      </c>
      <c r="P407" s="0" t="str">
        <f aca="false">IF('Junior Makers Kits'!G93="","",'Junior Makers Kits'!G93)</f>
        <v/>
      </c>
    </row>
    <row r="408" customFormat="false" ht="15" hidden="false" customHeight="false" outlineLevel="0" collapsed="false">
      <c r="A408" s="0" t="s">
        <v>160</v>
      </c>
      <c r="B408" s="0" t="n">
        <v>3</v>
      </c>
      <c r="C408" s="0" t="str">
        <f aca="false">IF('Junior Makers Kits'!C94="","",'Junior Makers Kits'!C94)</f>
        <v>LDR module</v>
      </c>
      <c r="D408" s="0" t="n">
        <f aca="false">IF('Junior Makers Kits'!D94="","",'Junior Makers Kits'!D94)</f>
        <v>1</v>
      </c>
      <c r="E408" s="0" t="str">
        <f aca="false">IF('Junior Makers Kits'!E94="","",'Junior Makers Kits'!E94)</f>
        <v>Per group</v>
      </c>
      <c r="F408" s="0" t="str">
        <f aca="false">IFERROR(INDEX('Session Tracker'!$M$5:$M$149,MATCH($A408,'Session Tracker'!$D$5:$D$149,0))+0,"")</f>
        <v/>
      </c>
      <c r="G408" s="0" t="str">
        <f aca="false">IF(ISNUMBER(F408),IF(OR(B408=0,B408=99,C408&lt;&gt;""),F408*100+B408,""),"")</f>
        <v/>
      </c>
      <c r="H408" s="0" t="n">
        <f aca="false">IFERROR(INDEX('Session Tracker'!$J$5:$J$149,MATCH($A408,'Session Tracker'!$D$5:$D$149,0)),0)</f>
        <v>8</v>
      </c>
      <c r="I408" s="0" t="n">
        <f aca="false">IF(OR(B408=0,B408=99,C408=""),"",IF(E408="Per class",D408,D408*H408))</f>
        <v>8</v>
      </c>
      <c r="N408" s="0" t="str">
        <f aca="false">IF('Junior Makers Kits'!B94="","",'Junior Makers Kits'!B94)</f>
        <v>Sensors</v>
      </c>
      <c r="O408" s="0" t="str">
        <f aca="false">IF('Junior Makers Kits'!F94="","",'Junior Makers Kits'!F94)</f>
        <v>Reusable</v>
      </c>
      <c r="P408" s="0" t="str">
        <f aca="false">IF('Junior Makers Kits'!G94="","",'Junior Makers Kits'!G94)</f>
        <v/>
      </c>
    </row>
    <row r="409" customFormat="false" ht="15" hidden="false" customHeight="false" outlineLevel="0" collapsed="false">
      <c r="A409" s="0" t="s">
        <v>160</v>
      </c>
      <c r="B409" s="0" t="n">
        <v>4</v>
      </c>
      <c r="C409" s="0" t="str">
        <f aca="false">IF('Junior Makers Kits'!C95="","",'Junior Makers Kits'!C95)</f>
        <v>OLED 0.96 in I2C</v>
      </c>
      <c r="D409" s="0" t="n">
        <f aca="false">IF('Junior Makers Kits'!D95="","",'Junior Makers Kits'!D95)</f>
        <v>1</v>
      </c>
      <c r="E409" s="0" t="str">
        <f aca="false">IF('Junior Makers Kits'!E95="","",'Junior Makers Kits'!E95)</f>
        <v>Per group</v>
      </c>
      <c r="F409" s="0" t="str">
        <f aca="false">IFERROR(INDEX('Session Tracker'!$M$5:$M$149,MATCH($A409,'Session Tracker'!$D$5:$D$149,0))+0,"")</f>
        <v/>
      </c>
      <c r="G409" s="0" t="str">
        <f aca="false">IF(ISNUMBER(F409),IF(OR(B409=0,B409=99,C409&lt;&gt;""),F409*100+B409,""),"")</f>
        <v/>
      </c>
      <c r="H409" s="0" t="n">
        <f aca="false">IFERROR(INDEX('Session Tracker'!$J$5:$J$149,MATCH($A409,'Session Tracker'!$D$5:$D$149,0)),0)</f>
        <v>8</v>
      </c>
      <c r="I409" s="0" t="n">
        <f aca="false">IF(OR(B409=0,B409=99,C409=""),"",IF(E409="Per class",D409,D409*H409))</f>
        <v>8</v>
      </c>
      <c r="N409" s="0" t="str">
        <f aca="false">IF('Junior Makers Kits'!B95="","",'Junior Makers Kits'!B95)</f>
        <v>Displays &amp; Output</v>
      </c>
      <c r="O409" s="0" t="str">
        <f aca="false">IF('Junior Makers Kits'!F95="","",'Junior Makers Kits'!F95)</f>
        <v>Reusable</v>
      </c>
      <c r="P409" s="0" t="str">
        <f aca="false">IF('Junior Makers Kits'!G95="","",'Junior Makers Kits'!G95)</f>
        <v/>
      </c>
    </row>
    <row r="410" customFormat="false" ht="15" hidden="false" customHeight="false" outlineLevel="0" collapsed="false">
      <c r="A410" s="0" t="s">
        <v>160</v>
      </c>
      <c r="B410" s="0" t="n">
        <v>5</v>
      </c>
      <c r="C410" s="0" t="str">
        <f aca="false">IF('Junior Makers Kits'!C96="","",'Junior Makers Kits'!C96)</f>
        <v>Resistor 10k ohm</v>
      </c>
      <c r="D410" s="0" t="n">
        <f aca="false">IF('Junior Makers Kits'!D96="","",'Junior Makers Kits'!D96)</f>
        <v>1</v>
      </c>
      <c r="E410" s="0" t="str">
        <f aca="false">IF('Junior Makers Kits'!E96="","",'Junior Makers Kits'!E96)</f>
        <v>Per group</v>
      </c>
      <c r="F410" s="0" t="str">
        <f aca="false">IFERROR(INDEX('Session Tracker'!$M$5:$M$149,MATCH($A410,'Session Tracker'!$D$5:$D$149,0))+0,"")</f>
        <v/>
      </c>
      <c r="G410" s="0" t="str">
        <f aca="false">IF(ISNUMBER(F410),IF(OR(B410=0,B410=99,C410&lt;&gt;""),F410*100+B410,""),"")</f>
        <v/>
      </c>
      <c r="H410" s="0" t="n">
        <f aca="false">IFERROR(INDEX('Session Tracker'!$J$5:$J$149,MATCH($A410,'Session Tracker'!$D$5:$D$149,0)),0)</f>
        <v>8</v>
      </c>
      <c r="I410" s="0" t="n">
        <f aca="false">IF(OR(B410=0,B410=99,C410=""),"",IF(E410="Per class",D410,D410*H410))</f>
        <v>8</v>
      </c>
      <c r="N410" s="0" t="str">
        <f aca="false">IF('Junior Makers Kits'!B96="","",'Junior Makers Kits'!B96)</f>
        <v>Passive Components &amp; ICs</v>
      </c>
      <c r="O410" s="0" t="str">
        <f aca="false">IF('Junior Makers Kits'!F96="","",'Junior Makers Kits'!F96)</f>
        <v>Consumable</v>
      </c>
      <c r="P410" s="0" t="str">
        <f aca="false">IF('Junior Makers Kits'!G96="","",'Junior Makers Kits'!G96)</f>
        <v/>
      </c>
    </row>
    <row r="411" customFormat="false" ht="15" hidden="false" customHeight="false" outlineLevel="0" collapsed="false">
      <c r="A411" s="0" t="s">
        <v>160</v>
      </c>
      <c r="B411" s="0" t="n">
        <v>6</v>
      </c>
      <c r="C411" s="0" t="str">
        <f aca="false">IF('Junior Makers Kits'!C97="","",'Junior Makers Kits'!C97)</f>
        <v>Breadboard (half size)</v>
      </c>
      <c r="D411" s="0" t="n">
        <f aca="false">IF('Junior Makers Kits'!D97="","",'Junior Makers Kits'!D97)</f>
        <v>1</v>
      </c>
      <c r="E411" s="0" t="str">
        <f aca="false">IF('Junior Makers Kits'!E97="","",'Junior Makers Kits'!E97)</f>
        <v>Per group</v>
      </c>
      <c r="F411" s="0" t="str">
        <f aca="false">IFERROR(INDEX('Session Tracker'!$M$5:$M$149,MATCH($A411,'Session Tracker'!$D$5:$D$149,0))+0,"")</f>
        <v/>
      </c>
      <c r="G411" s="0" t="str">
        <f aca="false">IF(ISNUMBER(F411),IF(OR(B411=0,B411=99,C411&lt;&gt;""),F411*100+B411,""),"")</f>
        <v/>
      </c>
      <c r="H411" s="0" t="n">
        <f aca="false">IFERROR(INDEX('Session Tracker'!$J$5:$J$149,MATCH($A411,'Session Tracker'!$D$5:$D$149,0)),0)</f>
        <v>8</v>
      </c>
      <c r="I411" s="0" t="n">
        <f aca="false">IF(OR(B411=0,B411=99,C411=""),"",IF(E411="Per class",D411,D411*H411))</f>
        <v>8</v>
      </c>
      <c r="N411" s="0" t="str">
        <f aca="false">IF('Junior Makers Kits'!B97="","",'Junior Makers Kits'!B97)</f>
        <v>Wiring &amp; Prototyping</v>
      </c>
      <c r="O411" s="0" t="str">
        <f aca="false">IF('Junior Makers Kits'!F97="","",'Junior Makers Kits'!F97)</f>
        <v>Reusable</v>
      </c>
      <c r="P411" s="0" t="str">
        <f aca="false">IF('Junior Makers Kits'!G97="","",'Junior Makers Kits'!G97)</f>
        <v/>
      </c>
    </row>
    <row r="412" customFormat="false" ht="15" hidden="false" customHeight="false" outlineLevel="0" collapsed="false">
      <c r="A412" s="0" t="s">
        <v>160</v>
      </c>
      <c r="B412" s="0" t="n">
        <v>7</v>
      </c>
      <c r="C412" s="0" t="str">
        <f aca="false">IF('Junior Makers Kits'!C98="","",'Junior Makers Kits'!C98)</f>
        <v>Jumper wires M-M</v>
      </c>
      <c r="D412" s="0" t="n">
        <f aca="false">IF('Junior Makers Kits'!D98="","",'Junior Makers Kits'!D98)</f>
        <v>10</v>
      </c>
      <c r="E412" s="0" t="str">
        <f aca="false">IF('Junior Makers Kits'!E98="","",'Junior Makers Kits'!E98)</f>
        <v>Per group</v>
      </c>
      <c r="F412" s="0" t="str">
        <f aca="false">IFERROR(INDEX('Session Tracker'!$M$5:$M$149,MATCH($A412,'Session Tracker'!$D$5:$D$149,0))+0,"")</f>
        <v/>
      </c>
      <c r="G412" s="0" t="str">
        <f aca="false">IF(ISNUMBER(F412),IF(OR(B412=0,B412=99,C412&lt;&gt;""),F412*100+B412,""),"")</f>
        <v/>
      </c>
      <c r="H412" s="0" t="n">
        <f aca="false">IFERROR(INDEX('Session Tracker'!$J$5:$J$149,MATCH($A412,'Session Tracker'!$D$5:$D$149,0)),0)</f>
        <v>8</v>
      </c>
      <c r="I412" s="0" t="n">
        <f aca="false">IF(OR(B412=0,B412=99,C412=""),"",IF(E412="Per class",D412,D412*H412))</f>
        <v>80</v>
      </c>
      <c r="N412" s="0" t="str">
        <f aca="false">IF('Junior Makers Kits'!B98="","",'Junior Makers Kits'!B98)</f>
        <v>Wiring &amp; Prototyping</v>
      </c>
      <c r="O412" s="0" t="str">
        <f aca="false">IF('Junior Makers Kits'!F98="","",'Junior Makers Kits'!F98)</f>
        <v>Reusable</v>
      </c>
      <c r="P412" s="0" t="str">
        <f aca="false">IF('Junior Makers Kits'!G98="","",'Junior Makers Kits'!G98)</f>
        <v/>
      </c>
    </row>
    <row r="413" customFormat="false" ht="15" hidden="false" customHeight="false" outlineLevel="0" collapsed="false">
      <c r="A413" s="0" t="s">
        <v>160</v>
      </c>
      <c r="B413" s="0" t="n">
        <v>8</v>
      </c>
      <c r="C413" s="0" t="str">
        <f aca="false">IF('Junior Makers Kits'!C99="","",'Junior Makers Kits'!C99)</f>
        <v>Jumper wires M-F</v>
      </c>
      <c r="D413" s="0" t="n">
        <f aca="false">IF('Junior Makers Kits'!D99="","",'Junior Makers Kits'!D99)</f>
        <v>6</v>
      </c>
      <c r="E413" s="0" t="str">
        <f aca="false">IF('Junior Makers Kits'!E99="","",'Junior Makers Kits'!E99)</f>
        <v>Per group</v>
      </c>
      <c r="F413" s="0" t="str">
        <f aca="false">IFERROR(INDEX('Session Tracker'!$M$5:$M$149,MATCH($A413,'Session Tracker'!$D$5:$D$149,0))+0,"")</f>
        <v/>
      </c>
      <c r="G413" s="0" t="str">
        <f aca="false">IF(ISNUMBER(F413),IF(OR(B413=0,B413=99,C413&lt;&gt;""),F413*100+B413,""),"")</f>
        <v/>
      </c>
      <c r="H413" s="0" t="n">
        <f aca="false">IFERROR(INDEX('Session Tracker'!$J$5:$J$149,MATCH($A413,'Session Tracker'!$D$5:$D$149,0)),0)</f>
        <v>8</v>
      </c>
      <c r="I413" s="0" t="n">
        <f aca="false">IF(OR(B413=0,B413=99,C413=""),"",IF(E413="Per class",D413,D413*H413))</f>
        <v>48</v>
      </c>
      <c r="N413" s="0" t="str">
        <f aca="false">IF('Junior Makers Kits'!B99="","",'Junior Makers Kits'!B99)</f>
        <v>Wiring &amp; Prototyping</v>
      </c>
      <c r="O413" s="0" t="str">
        <f aca="false">IF('Junior Makers Kits'!F99="","",'Junior Makers Kits'!F99)</f>
        <v>Reusable</v>
      </c>
      <c r="P413" s="0" t="str">
        <f aca="false">IF('Junior Makers Kits'!G99="","",'Junior Makers Kits'!G99)</f>
        <v/>
      </c>
    </row>
    <row r="414" customFormat="false" ht="15" hidden="false" customHeight="false" outlineLevel="0" collapsed="false">
      <c r="A414" s="0" t="s">
        <v>160</v>
      </c>
      <c r="B414" s="0" t="n">
        <v>9</v>
      </c>
      <c r="C414" s="0" t="str">
        <f aca="false">IF('Junior Makers Kits'!C100="","",'Junior Makers Kits'!C100)</f>
        <v>Laptop</v>
      </c>
      <c r="D414" s="0" t="n">
        <f aca="false">IF('Junior Makers Kits'!D100="","",'Junior Makers Kits'!D100)</f>
        <v>1</v>
      </c>
      <c r="E414" s="0" t="str">
        <f aca="false">IF('Junior Makers Kits'!E100="","",'Junior Makers Kits'!E100)</f>
        <v>Per group</v>
      </c>
      <c r="F414" s="0" t="str">
        <f aca="false">IFERROR(INDEX('Session Tracker'!$M$5:$M$149,MATCH($A414,'Session Tracker'!$D$5:$D$149,0))+0,"")</f>
        <v/>
      </c>
      <c r="G414" s="0" t="str">
        <f aca="false">IF(ISNUMBER(F414),IF(OR(B414=0,B414=99,C414&lt;&gt;""),F414*100+B414,""),"")</f>
        <v/>
      </c>
      <c r="H414" s="0" t="n">
        <f aca="false">IFERROR(INDEX('Session Tracker'!$J$5:$J$149,MATCH($A414,'Session Tracker'!$D$5:$D$149,0)),0)</f>
        <v>8</v>
      </c>
      <c r="I414" s="0" t="n">
        <f aca="false">IF(OR(B414=0,B414=99,C414=""),"",IF(E414="Per class",D414,D414*H414))</f>
        <v>8</v>
      </c>
      <c r="N414" s="0" t="str">
        <f aca="false">IF('Junior Makers Kits'!B100="","",'Junior Makers Kits'!B100)</f>
        <v>Computers &amp; Equipment</v>
      </c>
      <c r="O414" s="0" t="str">
        <f aca="false">IF('Junior Makers Kits'!F100="","",'Junior Makers Kits'!F100)</f>
        <v>Reusable</v>
      </c>
      <c r="P414" s="0" t="str">
        <f aca="false">IF('Junior Makers Kits'!G100="","",'Junior Makers Kits'!G100)</f>
        <v/>
      </c>
    </row>
    <row r="415" customFormat="false" ht="15" hidden="false" customHeight="false" outlineLevel="0" collapsed="false">
      <c r="A415" s="0" t="s">
        <v>160</v>
      </c>
      <c r="B415" s="0" t="n">
        <v>10</v>
      </c>
      <c r="C415" s="0" t="str">
        <f aca="false">IF('Junior Makers Kits'!C101="","",'Junior Makers Kits'!C101)</f>
        <v>LED 5 mm (assorted)</v>
      </c>
      <c r="D415" s="0" t="n">
        <f aca="false">IF('Junior Makers Kits'!D101="","",'Junior Makers Kits'!D101)</f>
        <v>1</v>
      </c>
      <c r="E415" s="0" t="str">
        <f aca="false">IF('Junior Makers Kits'!E101="","",'Junior Makers Kits'!E101)</f>
        <v>Per group</v>
      </c>
      <c r="F415" s="0" t="str">
        <f aca="false">IFERROR(INDEX('Session Tracker'!$M$5:$M$149,MATCH($A415,'Session Tracker'!$D$5:$D$149,0))+0,"")</f>
        <v/>
      </c>
      <c r="G415" s="0" t="str">
        <f aca="false">IF(ISNUMBER(F415),IF(OR(B415=0,B415=99,C415&lt;&gt;""),F415*100+B415,""),"")</f>
        <v/>
      </c>
      <c r="H415" s="0" t="n">
        <f aca="false">IFERROR(INDEX('Session Tracker'!$J$5:$J$149,MATCH($A415,'Session Tracker'!$D$5:$D$149,0)),0)</f>
        <v>8</v>
      </c>
      <c r="I415" s="0" t="n">
        <f aca="false">IF(OR(B415=0,B415=99,C415=""),"",IF(E415="Per class",D415,D415*H415))</f>
        <v>8</v>
      </c>
      <c r="N415" s="0" t="str">
        <f aca="false">IF('Junior Makers Kits'!B101="","",'Junior Makers Kits'!B101)</f>
        <v>Displays &amp; Output</v>
      </c>
      <c r="O415" s="0" t="str">
        <f aca="false">IF('Junior Makers Kits'!F101="","",'Junior Makers Kits'!F101)</f>
        <v>Consumable</v>
      </c>
      <c r="P415" s="0" t="str">
        <f aca="false">IF('Junior Makers Kits'!G101="","",'Junior Makers Kits'!G101)</f>
        <v>Added: every Arduino class</v>
      </c>
    </row>
    <row r="416" customFormat="false" ht="15" hidden="false" customHeight="false" outlineLevel="0" collapsed="false">
      <c r="A416" s="0" t="s">
        <v>160</v>
      </c>
      <c r="B416" s="0" t="n">
        <v>11</v>
      </c>
      <c r="C416" s="0" t="str">
        <f aca="false">IF('Junior Makers Kits'!C102="","",'Junior Makers Kits'!C102)</f>
        <v>Resistor 220 ohm</v>
      </c>
      <c r="D416" s="0" t="n">
        <f aca="false">IF('Junior Makers Kits'!D102="","",'Junior Makers Kits'!D102)</f>
        <v>1</v>
      </c>
      <c r="E416" s="0" t="str">
        <f aca="false">IF('Junior Makers Kits'!E102="","",'Junior Makers Kits'!E102)</f>
        <v>Per group</v>
      </c>
      <c r="F416" s="0" t="str">
        <f aca="false">IFERROR(INDEX('Session Tracker'!$M$5:$M$149,MATCH($A416,'Session Tracker'!$D$5:$D$149,0))+0,"")</f>
        <v/>
      </c>
      <c r="G416" s="0" t="str">
        <f aca="false">IF(ISNUMBER(F416),IF(OR(B416=0,B416=99,C416&lt;&gt;""),F416*100+B416,""),"")</f>
        <v/>
      </c>
      <c r="H416" s="0" t="n">
        <f aca="false">IFERROR(INDEX('Session Tracker'!$J$5:$J$149,MATCH($A416,'Session Tracker'!$D$5:$D$149,0)),0)</f>
        <v>8</v>
      </c>
      <c r="I416" s="0" t="n">
        <f aca="false">IF(OR(B416=0,B416=99,C416=""),"",IF(E416="Per class",D416,D416*H416))</f>
        <v>8</v>
      </c>
      <c r="N416" s="0" t="str">
        <f aca="false">IF('Junior Makers Kits'!B102="","",'Junior Makers Kits'!B102)</f>
        <v>Passive Components &amp; ICs</v>
      </c>
      <c r="O416" s="0" t="str">
        <f aca="false">IF('Junior Makers Kits'!F102="","",'Junior Makers Kits'!F102)</f>
        <v>Consumable</v>
      </c>
      <c r="P416" s="0" t="str">
        <f aca="false">IF('Junior Makers Kits'!G102="","",'Junior Makers Kits'!G102)</f>
        <v>Added: for the LED</v>
      </c>
    </row>
    <row r="417" customFormat="false" ht="15" hidden="false" customHeight="false" outlineLevel="0" collapsed="false">
      <c r="A417" s="0" t="s">
        <v>160</v>
      </c>
      <c r="B417" s="0" t="n">
        <v>12</v>
      </c>
      <c r="C417" s="0" t="str">
        <f aca="false">IF('Junior Makers Kits'!C103="","",'Junior Makers Kits'!C103)</f>
        <v>Buzzer</v>
      </c>
      <c r="D417" s="0" t="n">
        <f aca="false">IF('Junior Makers Kits'!D103="","",'Junior Makers Kits'!D103)</f>
        <v>1</v>
      </c>
      <c r="E417" s="0" t="str">
        <f aca="false">IF('Junior Makers Kits'!E103="","",'Junior Makers Kits'!E103)</f>
        <v>Per group</v>
      </c>
      <c r="F417" s="0" t="str">
        <f aca="false">IFERROR(INDEX('Session Tracker'!$M$5:$M$149,MATCH($A417,'Session Tracker'!$D$5:$D$149,0))+0,"")</f>
        <v/>
      </c>
      <c r="G417" s="0" t="str">
        <f aca="false">IF(ISNUMBER(F417),IF(OR(B417=0,B417=99,C417&lt;&gt;""),F417*100+B417,""),"")</f>
        <v/>
      </c>
      <c r="H417" s="0" t="n">
        <f aca="false">IFERROR(INDEX('Session Tracker'!$J$5:$J$149,MATCH($A417,'Session Tracker'!$D$5:$D$149,0)),0)</f>
        <v>8</v>
      </c>
      <c r="I417" s="0" t="n">
        <f aca="false">IF(OR(B417=0,B417=99,C417=""),"",IF(E417="Per class",D417,D417*H417))</f>
        <v>8</v>
      </c>
      <c r="N417" s="0" t="str">
        <f aca="false">IF('Junior Makers Kits'!B103="","",'Junior Makers Kits'!B103)</f>
        <v>Actuators &amp; Motor Drivers</v>
      </c>
      <c r="O417" s="0" t="str">
        <f aca="false">IF('Junior Makers Kits'!F103="","",'Junior Makers Kits'!F103)</f>
        <v>Reusable</v>
      </c>
      <c r="P417" s="0" t="str">
        <f aca="false">IF('Junior Makers Kits'!G103="","",'Junior Makers Kits'!G103)</f>
        <v>Added: every Arduino class</v>
      </c>
    </row>
    <row r="418" customFormat="false" ht="15" hidden="false" customHeight="false" outlineLevel="0" collapsed="false">
      <c r="A418" s="0" t="s">
        <v>160</v>
      </c>
      <c r="B418" s="0" t="n">
        <v>13</v>
      </c>
      <c r="C418" s="0" t="str">
        <f aca="false">IF('Junior Makers Kits'!C104="","",'Junior Makers Kits'!C104)</f>
        <v/>
      </c>
      <c r="D418" s="0" t="str">
        <f aca="false">IF('Junior Makers Kits'!D104="","",'Junior Makers Kits'!D104)</f>
        <v/>
      </c>
      <c r="E418" s="0" t="str">
        <f aca="false">IF('Junior Makers Kits'!E104="","",'Junior Makers Kits'!E104)</f>
        <v/>
      </c>
      <c r="F418" s="0" t="str">
        <f aca="false">IFERROR(INDEX('Session Tracker'!$M$5:$M$149,MATCH($A418,'Session Tracker'!$D$5:$D$149,0))+0,"")</f>
        <v/>
      </c>
      <c r="G418" s="0" t="str">
        <f aca="false">IF(ISNUMBER(F418),IF(OR(B418=0,B418=99,C418&lt;&gt;""),F418*100+B418,""),"")</f>
        <v/>
      </c>
      <c r="H418" s="0" t="n">
        <f aca="false">IFERROR(INDEX('Session Tracker'!$J$5:$J$149,MATCH($A418,'Session Tracker'!$D$5:$D$149,0)),0)</f>
        <v>8</v>
      </c>
      <c r="I418" s="0" t="str">
        <f aca="false">IF(OR(B418=0,B418=99,C418=""),"",IF(E418="Per class",D418,D418*H418))</f>
        <v/>
      </c>
      <c r="N418" s="0" t="str">
        <f aca="false">IF('Junior Makers Kits'!B104="","",'Junior Makers Kits'!B104)</f>
        <v/>
      </c>
      <c r="O418" s="0" t="str">
        <f aca="false">IF('Junior Makers Kits'!F104="","",'Junior Makers Kits'!F104)</f>
        <v/>
      </c>
      <c r="P418" s="0" t="str">
        <f aca="false">IF('Junior Makers Kits'!G104="","",'Junior Makers Kits'!G104)</f>
        <v/>
      </c>
    </row>
    <row r="419" customFormat="false" ht="15" hidden="false" customHeight="false" outlineLevel="0" collapsed="false">
      <c r="A419" s="0" t="s">
        <v>160</v>
      </c>
      <c r="B419" s="0" t="n">
        <v>14</v>
      </c>
      <c r="C419" s="0" t="str">
        <f aca="false">IF('Junior Makers Kits'!C105="","",'Junior Makers Kits'!C105)</f>
        <v/>
      </c>
      <c r="D419" s="0" t="str">
        <f aca="false">IF('Junior Makers Kits'!D105="","",'Junior Makers Kits'!D105)</f>
        <v/>
      </c>
      <c r="E419" s="0" t="str">
        <f aca="false">IF('Junior Makers Kits'!E105="","",'Junior Makers Kits'!E105)</f>
        <v/>
      </c>
      <c r="F419" s="0" t="str">
        <f aca="false">IFERROR(INDEX('Session Tracker'!$M$5:$M$149,MATCH($A419,'Session Tracker'!$D$5:$D$149,0))+0,"")</f>
        <v/>
      </c>
      <c r="G419" s="0" t="str">
        <f aca="false">IF(ISNUMBER(F419),IF(OR(B419=0,B419=99,C419&lt;&gt;""),F419*100+B419,""),"")</f>
        <v/>
      </c>
      <c r="H419" s="0" t="n">
        <f aca="false">IFERROR(INDEX('Session Tracker'!$J$5:$J$149,MATCH($A419,'Session Tracker'!$D$5:$D$149,0)),0)</f>
        <v>8</v>
      </c>
      <c r="I419" s="0" t="str">
        <f aca="false">IF(OR(B419=0,B419=99,C419=""),"",IF(E419="Per class",D419,D419*H419))</f>
        <v/>
      </c>
      <c r="N419" s="0" t="str">
        <f aca="false">IF('Junior Makers Kits'!B105="","",'Junior Makers Kits'!B105)</f>
        <v/>
      </c>
      <c r="O419" s="0" t="str">
        <f aca="false">IF('Junior Makers Kits'!F105="","",'Junior Makers Kits'!F105)</f>
        <v/>
      </c>
      <c r="P419" s="0" t="str">
        <f aca="false">IF('Junior Makers Kits'!G105="","",'Junior Makers Kits'!G105)</f>
        <v/>
      </c>
    </row>
    <row r="420" customFormat="false" ht="15" hidden="false" customHeight="false" outlineLevel="0" collapsed="false">
      <c r="A420" s="0" t="s">
        <v>162</v>
      </c>
      <c r="B420" s="0" t="n">
        <v>0</v>
      </c>
      <c r="F420" s="0" t="str">
        <f aca="false">IFERROR(INDEX('Session Tracker'!$M$5:$M$149,MATCH($A420,'Session Tracker'!$D$5:$D$149,0))+0,"")</f>
        <v/>
      </c>
      <c r="G420" s="0" t="str">
        <f aca="false">IF(ISNUMBER(F420),IF(OR(B420=0,B420=99,C420&lt;&gt;""),F420*100+B420,""),"")</f>
        <v/>
      </c>
      <c r="H420" s="0" t="n">
        <f aca="false">IFERROR(INDEX('Session Tracker'!$J$5:$J$149,MATCH($A420,'Session Tracker'!$D$5:$D$149,0)),0)</f>
        <v>8</v>
      </c>
      <c r="I420" s="0" t="str">
        <f aca="false">IF(OR(B420=0,B420=99,C420=""),"",IF(E420="Per class",D420,D420*H420))</f>
        <v/>
      </c>
      <c r="K420" s="0" t="str">
        <f aca="false">IFERROR(INDEX('Session Tracker'!$E$5:$E$149,MATCH($A420,'Session Tracker'!$D$5:$D$149,0)),"")</f>
        <v>Smart Dustbin with Fill-Level Indicator</v>
      </c>
      <c r="L420" s="0" t="str">
        <f aca="false">IFERROR(INDEX('Session Tracker'!$A$5:$A$149,MATCH($A420,'Session Tracker'!$D$5:$D$149,0)),"")</f>
        <v>Junior Makers (8-11)</v>
      </c>
      <c r="M420" s="0" t="str">
        <f aca="false">IFERROR(INDEX('Session Tracker'!$H$5:$H$149,MATCH($A420,'Session Tracker'!$D$5:$D$149,0))&amp;"","")</f>
        <v/>
      </c>
      <c r="Q420" s="0" t="str">
        <f aca="false">IFERROR("Status: "&amp;INDEX('Session Tracker'!$F$5:$F$149,MATCH($A420,'Session Tracker'!$D$5:$D$149,0))&amp;IF(INDEX('Session Tracker'!$G$5:$G$149,MATCH($A420,'Session Tracker'!$D$5:$D$149,0))&lt;&gt;""," ("&amp;INDEX('Session Tracker'!$G$5:$G$149,MATCH($A420,'Session Tracker'!$D$5:$D$149,0))&amp;")","")&amp;IF(M420&lt;&gt;"","  "&amp;M420,""),"")</f>
        <v>Status: Not started</v>
      </c>
    </row>
    <row r="421" customFormat="false" ht="15" hidden="false" customHeight="false" outlineLevel="0" collapsed="false">
      <c r="A421" s="0" t="s">
        <v>162</v>
      </c>
      <c r="B421" s="0" t="n">
        <v>1</v>
      </c>
      <c r="C421" s="0" t="str">
        <f aca="false">IF('Junior Makers Kits'!C108="","",'Junior Makers Kits'!C108)</f>
        <v>Arduino Uno + USB cable</v>
      </c>
      <c r="D421" s="0" t="n">
        <f aca="false">IF('Junior Makers Kits'!D108="","",'Junior Makers Kits'!D108)</f>
        <v>1</v>
      </c>
      <c r="E421" s="0" t="str">
        <f aca="false">IF('Junior Makers Kits'!E108="","",'Junior Makers Kits'!E108)</f>
        <v>Per group</v>
      </c>
      <c r="F421" s="0" t="str">
        <f aca="false">IFERROR(INDEX('Session Tracker'!$M$5:$M$149,MATCH($A421,'Session Tracker'!$D$5:$D$149,0))+0,"")</f>
        <v/>
      </c>
      <c r="G421" s="0" t="str">
        <f aca="false">IF(ISNUMBER(F421),IF(OR(B421=0,B421=99,C421&lt;&gt;""),F421*100+B421,""),"")</f>
        <v/>
      </c>
      <c r="H421" s="0" t="n">
        <f aca="false">IFERROR(INDEX('Session Tracker'!$J$5:$J$149,MATCH($A421,'Session Tracker'!$D$5:$D$149,0)),0)</f>
        <v>8</v>
      </c>
      <c r="I421" s="0" t="n">
        <f aca="false">IF(OR(B421=0,B421=99,C421=""),"",IF(E421="Per class",D421,D421*H421))</f>
        <v>8</v>
      </c>
      <c r="N421" s="0" t="str">
        <f aca="false">IF('Junior Makers Kits'!B108="","",'Junior Makers Kits'!B108)</f>
        <v>Microcontrollers &amp; Dev Boards</v>
      </c>
      <c r="O421" s="0" t="str">
        <f aca="false">IF('Junior Makers Kits'!F108="","",'Junior Makers Kits'!F108)</f>
        <v>Reusable</v>
      </c>
      <c r="P421" s="0" t="str">
        <f aca="false">IF('Junior Makers Kits'!G108="","",'Junior Makers Kits'!G108)</f>
        <v/>
      </c>
    </row>
    <row r="422" customFormat="false" ht="15" hidden="false" customHeight="false" outlineLevel="0" collapsed="false">
      <c r="A422" s="0" t="s">
        <v>162</v>
      </c>
      <c r="B422" s="0" t="n">
        <v>2</v>
      </c>
      <c r="C422" s="0" t="str">
        <f aca="false">IF('Junior Makers Kits'!C109="","",'Junior Makers Kits'!C109)</f>
        <v>Ultrasonic sensor HC-SR04</v>
      </c>
      <c r="D422" s="0" t="n">
        <f aca="false">IF('Junior Makers Kits'!D109="","",'Junior Makers Kits'!D109)</f>
        <v>2</v>
      </c>
      <c r="E422" s="0" t="str">
        <f aca="false">IF('Junior Makers Kits'!E109="","",'Junior Makers Kits'!E109)</f>
        <v>Per group</v>
      </c>
      <c r="F422" s="0" t="str">
        <f aca="false">IFERROR(INDEX('Session Tracker'!$M$5:$M$149,MATCH($A422,'Session Tracker'!$D$5:$D$149,0))+0,"")</f>
        <v/>
      </c>
      <c r="G422" s="0" t="str">
        <f aca="false">IF(ISNUMBER(F422),IF(OR(B422=0,B422=99,C422&lt;&gt;""),F422*100+B422,""),"")</f>
        <v/>
      </c>
      <c r="H422" s="0" t="n">
        <f aca="false">IFERROR(INDEX('Session Tracker'!$J$5:$J$149,MATCH($A422,'Session Tracker'!$D$5:$D$149,0)),0)</f>
        <v>8</v>
      </c>
      <c r="I422" s="0" t="n">
        <f aca="false">IF(OR(B422=0,B422=99,C422=""),"",IF(E422="Per class",D422,D422*H422))</f>
        <v>16</v>
      </c>
      <c r="N422" s="0" t="str">
        <f aca="false">IF('Junior Makers Kits'!B109="","",'Junior Makers Kits'!B109)</f>
        <v>Sensors</v>
      </c>
      <c r="O422" s="0" t="str">
        <f aca="false">IF('Junior Makers Kits'!F109="","",'Junior Makers Kits'!F109)</f>
        <v>Reusable</v>
      </c>
      <c r="P422" s="0" t="str">
        <f aca="false">IF('Junior Makers Kits'!G109="","",'Junior Makers Kits'!G109)</f>
        <v/>
      </c>
    </row>
    <row r="423" customFormat="false" ht="15" hidden="false" customHeight="false" outlineLevel="0" collapsed="false">
      <c r="A423" s="0" t="s">
        <v>162</v>
      </c>
      <c r="B423" s="0" t="n">
        <v>3</v>
      </c>
      <c r="C423" s="0" t="str">
        <f aca="false">IF('Junior Makers Kits'!C110="","",'Junior Makers Kits'!C110)</f>
        <v>Servo SG90</v>
      </c>
      <c r="D423" s="0" t="n">
        <f aca="false">IF('Junior Makers Kits'!D110="","",'Junior Makers Kits'!D110)</f>
        <v>1</v>
      </c>
      <c r="E423" s="0" t="str">
        <f aca="false">IF('Junior Makers Kits'!E110="","",'Junior Makers Kits'!E110)</f>
        <v>Per group</v>
      </c>
      <c r="F423" s="0" t="str">
        <f aca="false">IFERROR(INDEX('Session Tracker'!$M$5:$M$149,MATCH($A423,'Session Tracker'!$D$5:$D$149,0))+0,"")</f>
        <v/>
      </c>
      <c r="G423" s="0" t="str">
        <f aca="false">IF(ISNUMBER(F423),IF(OR(B423=0,B423=99,C423&lt;&gt;""),F423*100+B423,""),"")</f>
        <v/>
      </c>
      <c r="H423" s="0" t="n">
        <f aca="false">IFERROR(INDEX('Session Tracker'!$J$5:$J$149,MATCH($A423,'Session Tracker'!$D$5:$D$149,0)),0)</f>
        <v>8</v>
      </c>
      <c r="I423" s="0" t="n">
        <f aca="false">IF(OR(B423=0,B423=99,C423=""),"",IF(E423="Per class",D423,D423*H423))</f>
        <v>8</v>
      </c>
      <c r="N423" s="0" t="str">
        <f aca="false">IF('Junior Makers Kits'!B110="","",'Junior Makers Kits'!B110)</f>
        <v>Actuators &amp; Motor Drivers</v>
      </c>
      <c r="O423" s="0" t="str">
        <f aca="false">IF('Junior Makers Kits'!F110="","",'Junior Makers Kits'!F110)</f>
        <v>Reusable</v>
      </c>
      <c r="P423" s="0" t="str">
        <f aca="false">IF('Junior Makers Kits'!G110="","",'Junior Makers Kits'!G110)</f>
        <v/>
      </c>
    </row>
    <row r="424" customFormat="false" ht="15" hidden="false" customHeight="false" outlineLevel="0" collapsed="false">
      <c r="A424" s="0" t="s">
        <v>162</v>
      </c>
      <c r="B424" s="0" t="n">
        <v>4</v>
      </c>
      <c r="C424" s="0" t="str">
        <f aca="false">IF('Junior Makers Kits'!C111="","",'Junior Makers Kits'!C111)</f>
        <v>LED 5 mm (assorted)</v>
      </c>
      <c r="D424" s="0" t="n">
        <f aca="false">IF('Junior Makers Kits'!D111="","",'Junior Makers Kits'!D111)</f>
        <v>3</v>
      </c>
      <c r="E424" s="0" t="str">
        <f aca="false">IF('Junior Makers Kits'!E111="","",'Junior Makers Kits'!E111)</f>
        <v>Per group</v>
      </c>
      <c r="F424" s="0" t="str">
        <f aca="false">IFERROR(INDEX('Session Tracker'!$M$5:$M$149,MATCH($A424,'Session Tracker'!$D$5:$D$149,0))+0,"")</f>
        <v/>
      </c>
      <c r="G424" s="0" t="str">
        <f aca="false">IF(ISNUMBER(F424),IF(OR(B424=0,B424=99,C424&lt;&gt;""),F424*100+B424,""),"")</f>
        <v/>
      </c>
      <c r="H424" s="0" t="n">
        <f aca="false">IFERROR(INDEX('Session Tracker'!$J$5:$J$149,MATCH($A424,'Session Tracker'!$D$5:$D$149,0)),0)</f>
        <v>8</v>
      </c>
      <c r="I424" s="0" t="n">
        <f aca="false">IF(OR(B424=0,B424=99,C424=""),"",IF(E424="Per class",D424,D424*H424))</f>
        <v>24</v>
      </c>
      <c r="N424" s="0" t="str">
        <f aca="false">IF('Junior Makers Kits'!B111="","",'Junior Makers Kits'!B111)</f>
        <v>Displays &amp; Output</v>
      </c>
      <c r="O424" s="0" t="str">
        <f aca="false">IF('Junior Makers Kits'!F111="","",'Junior Makers Kits'!F111)</f>
        <v>Consumable</v>
      </c>
      <c r="P424" s="0" t="str">
        <f aca="false">IF('Junior Makers Kits'!G111="","",'Junior Makers Kits'!G111)</f>
        <v>Green, yellow, red</v>
      </c>
    </row>
    <row r="425" customFormat="false" ht="15" hidden="false" customHeight="false" outlineLevel="0" collapsed="false">
      <c r="A425" s="0" t="s">
        <v>162</v>
      </c>
      <c r="B425" s="0" t="n">
        <v>5</v>
      </c>
      <c r="C425" s="0" t="str">
        <f aca="false">IF('Junior Makers Kits'!C112="","",'Junior Makers Kits'!C112)</f>
        <v>Resistor 220 ohm</v>
      </c>
      <c r="D425" s="0" t="n">
        <f aca="false">IF('Junior Makers Kits'!D112="","",'Junior Makers Kits'!D112)</f>
        <v>3</v>
      </c>
      <c r="E425" s="0" t="str">
        <f aca="false">IF('Junior Makers Kits'!E112="","",'Junior Makers Kits'!E112)</f>
        <v>Per group</v>
      </c>
      <c r="F425" s="0" t="str">
        <f aca="false">IFERROR(INDEX('Session Tracker'!$M$5:$M$149,MATCH($A425,'Session Tracker'!$D$5:$D$149,0))+0,"")</f>
        <v/>
      </c>
      <c r="G425" s="0" t="str">
        <f aca="false">IF(ISNUMBER(F425),IF(OR(B425=0,B425=99,C425&lt;&gt;""),F425*100+B425,""),"")</f>
        <v/>
      </c>
      <c r="H425" s="0" t="n">
        <f aca="false">IFERROR(INDEX('Session Tracker'!$J$5:$J$149,MATCH($A425,'Session Tracker'!$D$5:$D$149,0)),0)</f>
        <v>8</v>
      </c>
      <c r="I425" s="0" t="n">
        <f aca="false">IF(OR(B425=0,B425=99,C425=""),"",IF(E425="Per class",D425,D425*H425))</f>
        <v>24</v>
      </c>
      <c r="N425" s="0" t="str">
        <f aca="false">IF('Junior Makers Kits'!B112="","",'Junior Makers Kits'!B112)</f>
        <v>Passive Components &amp; ICs</v>
      </c>
      <c r="O425" s="0" t="str">
        <f aca="false">IF('Junior Makers Kits'!F112="","",'Junior Makers Kits'!F112)</f>
        <v>Consumable</v>
      </c>
      <c r="P425" s="0" t="str">
        <f aca="false">IF('Junior Makers Kits'!G112="","",'Junior Makers Kits'!G112)</f>
        <v/>
      </c>
    </row>
    <row r="426" customFormat="false" ht="15" hidden="false" customHeight="false" outlineLevel="0" collapsed="false">
      <c r="A426" s="0" t="s">
        <v>162</v>
      </c>
      <c r="B426" s="0" t="n">
        <v>6</v>
      </c>
      <c r="C426" s="0" t="str">
        <f aca="false">IF('Junior Makers Kits'!C113="","",'Junior Makers Kits'!C113)</f>
        <v>Cardboard sheet</v>
      </c>
      <c r="D426" s="0" t="n">
        <f aca="false">IF('Junior Makers Kits'!D113="","",'Junior Makers Kits'!D113)</f>
        <v>1</v>
      </c>
      <c r="E426" s="0" t="str">
        <f aca="false">IF('Junior Makers Kits'!E113="","",'Junior Makers Kits'!E113)</f>
        <v>Per group</v>
      </c>
      <c r="F426" s="0" t="str">
        <f aca="false">IFERROR(INDEX('Session Tracker'!$M$5:$M$149,MATCH($A426,'Session Tracker'!$D$5:$D$149,0))+0,"")</f>
        <v/>
      </c>
      <c r="G426" s="0" t="str">
        <f aca="false">IF(ISNUMBER(F426),IF(OR(B426=0,B426=99,C426&lt;&gt;""),F426*100+B426,""),"")</f>
        <v/>
      </c>
      <c r="H426" s="0" t="n">
        <f aca="false">IFERROR(INDEX('Session Tracker'!$J$5:$J$149,MATCH($A426,'Session Tracker'!$D$5:$D$149,0)),0)</f>
        <v>8</v>
      </c>
      <c r="I426" s="0" t="n">
        <f aca="false">IF(OR(B426=0,B426=99,C426=""),"",IF(E426="Per class",D426,D426*H426))</f>
        <v>8</v>
      </c>
      <c r="N426" s="0" t="str">
        <f aca="false">IF('Junior Makers Kits'!B113="","",'Junior Makers Kits'!B113)</f>
        <v>Craft &amp; Stationery</v>
      </c>
      <c r="O426" s="0" t="str">
        <f aca="false">IF('Junior Makers Kits'!F113="","",'Junior Makers Kits'!F113)</f>
        <v>Consumable</v>
      </c>
      <c r="P426" s="0" t="str">
        <f aca="false">IF('Junior Makers Kits'!G113="","",'Junior Makers Kits'!G113)</f>
        <v>Box for bin</v>
      </c>
    </row>
    <row r="427" customFormat="false" ht="15" hidden="false" customHeight="false" outlineLevel="0" collapsed="false">
      <c r="A427" s="0" t="s">
        <v>162</v>
      </c>
      <c r="B427" s="0" t="n">
        <v>7</v>
      </c>
      <c r="C427" s="0" t="str">
        <f aca="false">IF('Junior Makers Kits'!C114="","",'Junior Makers Kits'!C114)</f>
        <v>Breadboard (half size)</v>
      </c>
      <c r="D427" s="0" t="n">
        <f aca="false">IF('Junior Makers Kits'!D114="","",'Junior Makers Kits'!D114)</f>
        <v>1</v>
      </c>
      <c r="E427" s="0" t="str">
        <f aca="false">IF('Junior Makers Kits'!E114="","",'Junior Makers Kits'!E114)</f>
        <v>Per group</v>
      </c>
      <c r="F427" s="0" t="str">
        <f aca="false">IFERROR(INDEX('Session Tracker'!$M$5:$M$149,MATCH($A427,'Session Tracker'!$D$5:$D$149,0))+0,"")</f>
        <v/>
      </c>
      <c r="G427" s="0" t="str">
        <f aca="false">IF(ISNUMBER(F427),IF(OR(B427=0,B427=99,C427&lt;&gt;""),F427*100+B427,""),"")</f>
        <v/>
      </c>
      <c r="H427" s="0" t="n">
        <f aca="false">IFERROR(INDEX('Session Tracker'!$J$5:$J$149,MATCH($A427,'Session Tracker'!$D$5:$D$149,0)),0)</f>
        <v>8</v>
      </c>
      <c r="I427" s="0" t="n">
        <f aca="false">IF(OR(B427=0,B427=99,C427=""),"",IF(E427="Per class",D427,D427*H427))</f>
        <v>8</v>
      </c>
      <c r="N427" s="0" t="str">
        <f aca="false">IF('Junior Makers Kits'!B114="","",'Junior Makers Kits'!B114)</f>
        <v>Wiring &amp; Prototyping</v>
      </c>
      <c r="O427" s="0" t="str">
        <f aca="false">IF('Junior Makers Kits'!F114="","",'Junior Makers Kits'!F114)</f>
        <v>Reusable</v>
      </c>
      <c r="P427" s="0" t="str">
        <f aca="false">IF('Junior Makers Kits'!G114="","",'Junior Makers Kits'!G114)</f>
        <v/>
      </c>
    </row>
    <row r="428" customFormat="false" ht="15" hidden="false" customHeight="false" outlineLevel="0" collapsed="false">
      <c r="A428" s="0" t="s">
        <v>162</v>
      </c>
      <c r="B428" s="0" t="n">
        <v>8</v>
      </c>
      <c r="C428" s="0" t="str">
        <f aca="false">IF('Junior Makers Kits'!C115="","",'Junior Makers Kits'!C115)</f>
        <v>Jumper wires M-M</v>
      </c>
      <c r="D428" s="0" t="n">
        <f aca="false">IF('Junior Makers Kits'!D115="","",'Junior Makers Kits'!D115)</f>
        <v>14</v>
      </c>
      <c r="E428" s="0" t="str">
        <f aca="false">IF('Junior Makers Kits'!E115="","",'Junior Makers Kits'!E115)</f>
        <v>Per group</v>
      </c>
      <c r="F428" s="0" t="str">
        <f aca="false">IFERROR(INDEX('Session Tracker'!$M$5:$M$149,MATCH($A428,'Session Tracker'!$D$5:$D$149,0))+0,"")</f>
        <v/>
      </c>
      <c r="G428" s="0" t="str">
        <f aca="false">IF(ISNUMBER(F428),IF(OR(B428=0,B428=99,C428&lt;&gt;""),F428*100+B428,""),"")</f>
        <v/>
      </c>
      <c r="H428" s="0" t="n">
        <f aca="false">IFERROR(INDEX('Session Tracker'!$J$5:$J$149,MATCH($A428,'Session Tracker'!$D$5:$D$149,0)),0)</f>
        <v>8</v>
      </c>
      <c r="I428" s="0" t="n">
        <f aca="false">IF(OR(B428=0,B428=99,C428=""),"",IF(E428="Per class",D428,D428*H428))</f>
        <v>112</v>
      </c>
      <c r="N428" s="0" t="str">
        <f aca="false">IF('Junior Makers Kits'!B115="","",'Junior Makers Kits'!B115)</f>
        <v>Wiring &amp; Prototyping</v>
      </c>
      <c r="O428" s="0" t="str">
        <f aca="false">IF('Junior Makers Kits'!F115="","",'Junior Makers Kits'!F115)</f>
        <v>Reusable</v>
      </c>
      <c r="P428" s="0" t="str">
        <f aca="false">IF('Junior Makers Kits'!G115="","",'Junior Makers Kits'!G115)</f>
        <v/>
      </c>
    </row>
    <row r="429" customFormat="false" ht="15" hidden="false" customHeight="false" outlineLevel="0" collapsed="false">
      <c r="A429" s="0" t="s">
        <v>162</v>
      </c>
      <c r="B429" s="0" t="n">
        <v>9</v>
      </c>
      <c r="C429" s="0" t="str">
        <f aca="false">IF('Junior Makers Kits'!C116="","",'Junior Makers Kits'!C116)</f>
        <v>Jumper wires M-F</v>
      </c>
      <c r="D429" s="0" t="n">
        <f aca="false">IF('Junior Makers Kits'!D116="","",'Junior Makers Kits'!D116)</f>
        <v>8</v>
      </c>
      <c r="E429" s="0" t="str">
        <f aca="false">IF('Junior Makers Kits'!E116="","",'Junior Makers Kits'!E116)</f>
        <v>Per group</v>
      </c>
      <c r="F429" s="0" t="str">
        <f aca="false">IFERROR(INDEX('Session Tracker'!$M$5:$M$149,MATCH($A429,'Session Tracker'!$D$5:$D$149,0))+0,"")</f>
        <v/>
      </c>
      <c r="G429" s="0" t="str">
        <f aca="false">IF(ISNUMBER(F429),IF(OR(B429=0,B429=99,C429&lt;&gt;""),F429*100+B429,""),"")</f>
        <v/>
      </c>
      <c r="H429" s="0" t="n">
        <f aca="false">IFERROR(INDEX('Session Tracker'!$J$5:$J$149,MATCH($A429,'Session Tracker'!$D$5:$D$149,0)),0)</f>
        <v>8</v>
      </c>
      <c r="I429" s="0" t="n">
        <f aca="false">IF(OR(B429=0,B429=99,C429=""),"",IF(E429="Per class",D429,D429*H429))</f>
        <v>64</v>
      </c>
      <c r="N429" s="0" t="str">
        <f aca="false">IF('Junior Makers Kits'!B116="","",'Junior Makers Kits'!B116)</f>
        <v>Wiring &amp; Prototyping</v>
      </c>
      <c r="O429" s="0" t="str">
        <f aca="false">IF('Junior Makers Kits'!F116="","",'Junior Makers Kits'!F116)</f>
        <v>Reusable</v>
      </c>
      <c r="P429" s="0" t="str">
        <f aca="false">IF('Junior Makers Kits'!G116="","",'Junior Makers Kits'!G116)</f>
        <v/>
      </c>
    </row>
    <row r="430" customFormat="false" ht="15" hidden="false" customHeight="false" outlineLevel="0" collapsed="false">
      <c r="A430" s="0" t="s">
        <v>162</v>
      </c>
      <c r="B430" s="0" t="n">
        <v>10</v>
      </c>
      <c r="C430" s="0" t="str">
        <f aca="false">IF('Junior Makers Kits'!C117="","",'Junior Makers Kits'!C117)</f>
        <v>Laptop</v>
      </c>
      <c r="D430" s="0" t="n">
        <f aca="false">IF('Junior Makers Kits'!D117="","",'Junior Makers Kits'!D117)</f>
        <v>1</v>
      </c>
      <c r="E430" s="0" t="str">
        <f aca="false">IF('Junior Makers Kits'!E117="","",'Junior Makers Kits'!E117)</f>
        <v>Per group</v>
      </c>
      <c r="F430" s="0" t="str">
        <f aca="false">IFERROR(INDEX('Session Tracker'!$M$5:$M$149,MATCH($A430,'Session Tracker'!$D$5:$D$149,0))+0,"")</f>
        <v/>
      </c>
      <c r="G430" s="0" t="str">
        <f aca="false">IF(ISNUMBER(F430),IF(OR(B430=0,B430=99,C430&lt;&gt;""),F430*100+B430,""),"")</f>
        <v/>
      </c>
      <c r="H430" s="0" t="n">
        <f aca="false">IFERROR(INDEX('Session Tracker'!$J$5:$J$149,MATCH($A430,'Session Tracker'!$D$5:$D$149,0)),0)</f>
        <v>8</v>
      </c>
      <c r="I430" s="0" t="n">
        <f aca="false">IF(OR(B430=0,B430=99,C430=""),"",IF(E430="Per class",D430,D430*H430))</f>
        <v>8</v>
      </c>
      <c r="N430" s="0" t="str">
        <f aca="false">IF('Junior Makers Kits'!B117="","",'Junior Makers Kits'!B117)</f>
        <v>Computers &amp; Equipment</v>
      </c>
      <c r="O430" s="0" t="str">
        <f aca="false">IF('Junior Makers Kits'!F117="","",'Junior Makers Kits'!F117)</f>
        <v>Reusable</v>
      </c>
      <c r="P430" s="0" t="str">
        <f aca="false">IF('Junior Makers Kits'!G117="","",'Junior Makers Kits'!G117)</f>
        <v/>
      </c>
    </row>
    <row r="431" customFormat="false" ht="15" hidden="false" customHeight="false" outlineLevel="0" collapsed="false">
      <c r="A431" s="0" t="s">
        <v>162</v>
      </c>
      <c r="B431" s="0" t="n">
        <v>11</v>
      </c>
      <c r="C431" s="0" t="str">
        <f aca="false">IF('Junior Makers Kits'!C118="","",'Junior Makers Kits'!C118)</f>
        <v>Buzzer</v>
      </c>
      <c r="D431" s="0" t="n">
        <f aca="false">IF('Junior Makers Kits'!D118="","",'Junior Makers Kits'!D118)</f>
        <v>1</v>
      </c>
      <c r="E431" s="0" t="str">
        <f aca="false">IF('Junior Makers Kits'!E118="","",'Junior Makers Kits'!E118)</f>
        <v>Per group</v>
      </c>
      <c r="F431" s="0" t="str">
        <f aca="false">IFERROR(INDEX('Session Tracker'!$M$5:$M$149,MATCH($A431,'Session Tracker'!$D$5:$D$149,0))+0,"")</f>
        <v/>
      </c>
      <c r="G431" s="0" t="str">
        <f aca="false">IF(ISNUMBER(F431),IF(OR(B431=0,B431=99,C431&lt;&gt;""),F431*100+B431,""),"")</f>
        <v/>
      </c>
      <c r="H431" s="0" t="n">
        <f aca="false">IFERROR(INDEX('Session Tracker'!$J$5:$J$149,MATCH($A431,'Session Tracker'!$D$5:$D$149,0)),0)</f>
        <v>8</v>
      </c>
      <c r="I431" s="0" t="n">
        <f aca="false">IF(OR(B431=0,B431=99,C431=""),"",IF(E431="Per class",D431,D431*H431))</f>
        <v>8</v>
      </c>
      <c r="N431" s="0" t="str">
        <f aca="false">IF('Junior Makers Kits'!B118="","",'Junior Makers Kits'!B118)</f>
        <v>Actuators &amp; Motor Drivers</v>
      </c>
      <c r="O431" s="0" t="str">
        <f aca="false">IF('Junior Makers Kits'!F118="","",'Junior Makers Kits'!F118)</f>
        <v>Reusable</v>
      </c>
      <c r="P431" s="0" t="str">
        <f aca="false">IF('Junior Makers Kits'!G118="","",'Junior Makers Kits'!G118)</f>
        <v>Added: every Arduino class</v>
      </c>
    </row>
    <row r="432" customFormat="false" ht="15" hidden="false" customHeight="false" outlineLevel="0" collapsed="false">
      <c r="A432" s="0" t="s">
        <v>162</v>
      </c>
      <c r="B432" s="0" t="n">
        <v>12</v>
      </c>
      <c r="C432" s="0" t="str">
        <f aca="false">IF('Junior Makers Kits'!C119="","",'Junior Makers Kits'!C119)</f>
        <v/>
      </c>
      <c r="D432" s="0" t="str">
        <f aca="false">IF('Junior Makers Kits'!D119="","",'Junior Makers Kits'!D119)</f>
        <v/>
      </c>
      <c r="E432" s="0" t="str">
        <f aca="false">IF('Junior Makers Kits'!E119="","",'Junior Makers Kits'!E119)</f>
        <v/>
      </c>
      <c r="F432" s="0" t="str">
        <f aca="false">IFERROR(INDEX('Session Tracker'!$M$5:$M$149,MATCH($A432,'Session Tracker'!$D$5:$D$149,0))+0,"")</f>
        <v/>
      </c>
      <c r="G432" s="0" t="str">
        <f aca="false">IF(ISNUMBER(F432),IF(OR(B432=0,B432=99,C432&lt;&gt;""),F432*100+B432,""),"")</f>
        <v/>
      </c>
      <c r="H432" s="0" t="n">
        <f aca="false">IFERROR(INDEX('Session Tracker'!$J$5:$J$149,MATCH($A432,'Session Tracker'!$D$5:$D$149,0)),0)</f>
        <v>8</v>
      </c>
      <c r="I432" s="0" t="str">
        <f aca="false">IF(OR(B432=0,B432=99,C432=""),"",IF(E432="Per class",D432,D432*H432))</f>
        <v/>
      </c>
      <c r="N432" s="0" t="str">
        <f aca="false">IF('Junior Makers Kits'!B119="","",'Junior Makers Kits'!B119)</f>
        <v/>
      </c>
      <c r="O432" s="0" t="str">
        <f aca="false">IF('Junior Makers Kits'!F119="","",'Junior Makers Kits'!F119)</f>
        <v/>
      </c>
      <c r="P432" s="0" t="str">
        <f aca="false">IF('Junior Makers Kits'!G119="","",'Junior Makers Kits'!G119)</f>
        <v/>
      </c>
    </row>
    <row r="433" customFormat="false" ht="15" hidden="false" customHeight="false" outlineLevel="0" collapsed="false">
      <c r="A433" s="0" t="s">
        <v>162</v>
      </c>
      <c r="B433" s="0" t="n">
        <v>13</v>
      </c>
      <c r="C433" s="0" t="str">
        <f aca="false">IF('Junior Makers Kits'!C120="","",'Junior Makers Kits'!C120)</f>
        <v/>
      </c>
      <c r="D433" s="0" t="str">
        <f aca="false">IF('Junior Makers Kits'!D120="","",'Junior Makers Kits'!D120)</f>
        <v/>
      </c>
      <c r="E433" s="0" t="str">
        <f aca="false">IF('Junior Makers Kits'!E120="","",'Junior Makers Kits'!E120)</f>
        <v/>
      </c>
      <c r="F433" s="0" t="str">
        <f aca="false">IFERROR(INDEX('Session Tracker'!$M$5:$M$149,MATCH($A433,'Session Tracker'!$D$5:$D$149,0))+0,"")</f>
        <v/>
      </c>
      <c r="G433" s="0" t="str">
        <f aca="false">IF(ISNUMBER(F433),IF(OR(B433=0,B433=99,C433&lt;&gt;""),F433*100+B433,""),"")</f>
        <v/>
      </c>
      <c r="H433" s="0" t="n">
        <f aca="false">IFERROR(INDEX('Session Tracker'!$J$5:$J$149,MATCH($A433,'Session Tracker'!$D$5:$D$149,0)),0)</f>
        <v>8</v>
      </c>
      <c r="I433" s="0" t="str">
        <f aca="false">IF(OR(B433=0,B433=99,C433=""),"",IF(E433="Per class",D433,D433*H433))</f>
        <v/>
      </c>
      <c r="N433" s="0" t="str">
        <f aca="false">IF('Junior Makers Kits'!B120="","",'Junior Makers Kits'!B120)</f>
        <v/>
      </c>
      <c r="O433" s="0" t="str">
        <f aca="false">IF('Junior Makers Kits'!F120="","",'Junior Makers Kits'!F120)</f>
        <v/>
      </c>
      <c r="P433" s="0" t="str">
        <f aca="false">IF('Junior Makers Kits'!G120="","",'Junior Makers Kits'!G120)</f>
        <v/>
      </c>
    </row>
    <row r="434" customFormat="false" ht="15" hidden="false" customHeight="false" outlineLevel="0" collapsed="false">
      <c r="A434" s="0" t="s">
        <v>164</v>
      </c>
      <c r="B434" s="0" t="n">
        <v>0</v>
      </c>
      <c r="F434" s="0" t="str">
        <f aca="false">IFERROR(INDEX('Session Tracker'!$M$5:$M$149,MATCH($A434,'Session Tracker'!$D$5:$D$149,0))+0,"")</f>
        <v/>
      </c>
      <c r="G434" s="0" t="str">
        <f aca="false">IF(ISNUMBER(F434),IF(OR(B434=0,B434=99,C434&lt;&gt;""),F434*100+B434,""),"")</f>
        <v/>
      </c>
      <c r="H434" s="0" t="n">
        <f aca="false">IFERROR(INDEX('Session Tracker'!$J$5:$J$149,MATCH($A434,'Session Tracker'!$D$5:$D$149,0)),0)</f>
        <v>8</v>
      </c>
      <c r="I434" s="0" t="str">
        <f aca="false">IF(OR(B434=0,B434=99,C434=""),"",IF(E434="Per class",D434,D434*H434))</f>
        <v/>
      </c>
      <c r="K434" s="0" t="str">
        <f aca="false">IFERROR(INDEX('Session Tracker'!$E$5:$E$149,MATCH($A434,'Session Tracker'!$D$5:$D$149,0)),"")</f>
        <v>Rain-Sensing Automatic Window</v>
      </c>
      <c r="L434" s="0" t="str">
        <f aca="false">IFERROR(INDEX('Session Tracker'!$A$5:$A$149,MATCH($A434,'Session Tracker'!$D$5:$D$149,0)),"")</f>
        <v>Junior Makers (8-11)</v>
      </c>
      <c r="M434" s="0" t="str">
        <f aca="false">IFERROR(INDEX('Session Tracker'!$H$5:$H$149,MATCH($A434,'Session Tracker'!$D$5:$D$149,0))&amp;"","")</f>
        <v/>
      </c>
      <c r="Q434" s="0" t="str">
        <f aca="false">IFERROR("Status: "&amp;INDEX('Session Tracker'!$F$5:$F$149,MATCH($A434,'Session Tracker'!$D$5:$D$149,0))&amp;IF(INDEX('Session Tracker'!$G$5:$G$149,MATCH($A434,'Session Tracker'!$D$5:$D$149,0))&lt;&gt;""," ("&amp;INDEX('Session Tracker'!$G$5:$G$149,MATCH($A434,'Session Tracker'!$D$5:$D$149,0))&amp;")","")&amp;IF(M434&lt;&gt;"","  "&amp;M434,""),"")</f>
        <v>Status: Not started</v>
      </c>
    </row>
    <row r="435" customFormat="false" ht="15" hidden="false" customHeight="false" outlineLevel="0" collapsed="false">
      <c r="A435" s="0" t="s">
        <v>164</v>
      </c>
      <c r="B435" s="0" t="n">
        <v>1</v>
      </c>
      <c r="C435" s="0" t="str">
        <f aca="false">IF('Junior Makers Kits'!C123="","",'Junior Makers Kits'!C123)</f>
        <v>Arduino Uno + USB cable</v>
      </c>
      <c r="D435" s="0" t="n">
        <f aca="false">IF('Junior Makers Kits'!D123="","",'Junior Makers Kits'!D123)</f>
        <v>1</v>
      </c>
      <c r="E435" s="0" t="str">
        <f aca="false">IF('Junior Makers Kits'!E123="","",'Junior Makers Kits'!E123)</f>
        <v>Per group</v>
      </c>
      <c r="F435" s="0" t="str">
        <f aca="false">IFERROR(INDEX('Session Tracker'!$M$5:$M$149,MATCH($A435,'Session Tracker'!$D$5:$D$149,0))+0,"")</f>
        <v/>
      </c>
      <c r="G435" s="0" t="str">
        <f aca="false">IF(ISNUMBER(F435),IF(OR(B435=0,B435=99,C435&lt;&gt;""),F435*100+B435,""),"")</f>
        <v/>
      </c>
      <c r="H435" s="0" t="n">
        <f aca="false">IFERROR(INDEX('Session Tracker'!$J$5:$J$149,MATCH($A435,'Session Tracker'!$D$5:$D$149,0)),0)</f>
        <v>8</v>
      </c>
      <c r="I435" s="0" t="n">
        <f aca="false">IF(OR(B435=0,B435=99,C435=""),"",IF(E435="Per class",D435,D435*H435))</f>
        <v>8</v>
      </c>
      <c r="N435" s="0" t="str">
        <f aca="false">IF('Junior Makers Kits'!B123="","",'Junior Makers Kits'!B123)</f>
        <v>Microcontrollers &amp; Dev Boards</v>
      </c>
      <c r="O435" s="0" t="str">
        <f aca="false">IF('Junior Makers Kits'!F123="","",'Junior Makers Kits'!F123)</f>
        <v>Reusable</v>
      </c>
      <c r="P435" s="0" t="str">
        <f aca="false">IF('Junior Makers Kits'!G123="","",'Junior Makers Kits'!G123)</f>
        <v/>
      </c>
    </row>
    <row r="436" customFormat="false" ht="15" hidden="false" customHeight="false" outlineLevel="0" collapsed="false">
      <c r="A436" s="0" t="s">
        <v>164</v>
      </c>
      <c r="B436" s="0" t="n">
        <v>2</v>
      </c>
      <c r="C436" s="0" t="str">
        <f aca="false">IF('Junior Makers Kits'!C124="","",'Junior Makers Kits'!C124)</f>
        <v>Rain sensor</v>
      </c>
      <c r="D436" s="0" t="n">
        <f aca="false">IF('Junior Makers Kits'!D124="","",'Junior Makers Kits'!D124)</f>
        <v>1</v>
      </c>
      <c r="E436" s="0" t="str">
        <f aca="false">IF('Junior Makers Kits'!E124="","",'Junior Makers Kits'!E124)</f>
        <v>Per group</v>
      </c>
      <c r="F436" s="0" t="str">
        <f aca="false">IFERROR(INDEX('Session Tracker'!$M$5:$M$149,MATCH($A436,'Session Tracker'!$D$5:$D$149,0))+0,"")</f>
        <v/>
      </c>
      <c r="G436" s="0" t="str">
        <f aca="false">IF(ISNUMBER(F436),IF(OR(B436=0,B436=99,C436&lt;&gt;""),F436*100+B436,""),"")</f>
        <v/>
      </c>
      <c r="H436" s="0" t="n">
        <f aca="false">IFERROR(INDEX('Session Tracker'!$J$5:$J$149,MATCH($A436,'Session Tracker'!$D$5:$D$149,0)),0)</f>
        <v>8</v>
      </c>
      <c r="I436" s="0" t="n">
        <f aca="false">IF(OR(B436=0,B436=99,C436=""),"",IF(E436="Per class",D436,D436*H436))</f>
        <v>8</v>
      </c>
      <c r="N436" s="0" t="str">
        <f aca="false">IF('Junior Makers Kits'!B124="","",'Junior Makers Kits'!B124)</f>
        <v>Sensors</v>
      </c>
      <c r="O436" s="0" t="str">
        <f aca="false">IF('Junior Makers Kits'!F124="","",'Junior Makers Kits'!F124)</f>
        <v>Reusable</v>
      </c>
      <c r="P436" s="0" t="str">
        <f aca="false">IF('Junior Makers Kits'!G124="","",'Junior Makers Kits'!G124)</f>
        <v/>
      </c>
    </row>
    <row r="437" customFormat="false" ht="15" hidden="false" customHeight="false" outlineLevel="0" collapsed="false">
      <c r="A437" s="0" t="s">
        <v>164</v>
      </c>
      <c r="B437" s="0" t="n">
        <v>3</v>
      </c>
      <c r="C437" s="0" t="str">
        <f aca="false">IF('Junior Makers Kits'!C125="","",'Junior Makers Kits'!C125)</f>
        <v>Servo SG90</v>
      </c>
      <c r="D437" s="0" t="n">
        <f aca="false">IF('Junior Makers Kits'!D125="","",'Junior Makers Kits'!D125)</f>
        <v>1</v>
      </c>
      <c r="E437" s="0" t="str">
        <f aca="false">IF('Junior Makers Kits'!E125="","",'Junior Makers Kits'!E125)</f>
        <v>Per group</v>
      </c>
      <c r="F437" s="0" t="str">
        <f aca="false">IFERROR(INDEX('Session Tracker'!$M$5:$M$149,MATCH($A437,'Session Tracker'!$D$5:$D$149,0))+0,"")</f>
        <v/>
      </c>
      <c r="G437" s="0" t="str">
        <f aca="false">IF(ISNUMBER(F437),IF(OR(B437=0,B437=99,C437&lt;&gt;""),F437*100+B437,""),"")</f>
        <v/>
      </c>
      <c r="H437" s="0" t="n">
        <f aca="false">IFERROR(INDEX('Session Tracker'!$J$5:$J$149,MATCH($A437,'Session Tracker'!$D$5:$D$149,0)),0)</f>
        <v>8</v>
      </c>
      <c r="I437" s="0" t="n">
        <f aca="false">IF(OR(B437=0,B437=99,C437=""),"",IF(E437="Per class",D437,D437*H437))</f>
        <v>8</v>
      </c>
      <c r="N437" s="0" t="str">
        <f aca="false">IF('Junior Makers Kits'!B125="","",'Junior Makers Kits'!B125)</f>
        <v>Actuators &amp; Motor Drivers</v>
      </c>
      <c r="O437" s="0" t="str">
        <f aca="false">IF('Junior Makers Kits'!F125="","",'Junior Makers Kits'!F125)</f>
        <v>Reusable</v>
      </c>
      <c r="P437" s="0" t="str">
        <f aca="false">IF('Junior Makers Kits'!G125="","",'Junior Makers Kits'!G125)</f>
        <v/>
      </c>
    </row>
    <row r="438" customFormat="false" ht="15" hidden="false" customHeight="false" outlineLevel="0" collapsed="false">
      <c r="A438" s="0" t="s">
        <v>164</v>
      </c>
      <c r="B438" s="0" t="n">
        <v>4</v>
      </c>
      <c r="C438" s="0" t="str">
        <f aca="false">IF('Junior Makers Kits'!C126="","",'Junior Makers Kits'!C126)</f>
        <v>Buzzer</v>
      </c>
      <c r="D438" s="0" t="n">
        <f aca="false">IF('Junior Makers Kits'!D126="","",'Junior Makers Kits'!D126)</f>
        <v>1</v>
      </c>
      <c r="E438" s="0" t="str">
        <f aca="false">IF('Junior Makers Kits'!E126="","",'Junior Makers Kits'!E126)</f>
        <v>Per group</v>
      </c>
      <c r="F438" s="0" t="str">
        <f aca="false">IFERROR(INDEX('Session Tracker'!$M$5:$M$149,MATCH($A438,'Session Tracker'!$D$5:$D$149,0))+0,"")</f>
        <v/>
      </c>
      <c r="G438" s="0" t="str">
        <f aca="false">IF(ISNUMBER(F438),IF(OR(B438=0,B438=99,C438&lt;&gt;""),F438*100+B438,""),"")</f>
        <v/>
      </c>
      <c r="H438" s="0" t="n">
        <f aca="false">IFERROR(INDEX('Session Tracker'!$J$5:$J$149,MATCH($A438,'Session Tracker'!$D$5:$D$149,0)),0)</f>
        <v>8</v>
      </c>
      <c r="I438" s="0" t="n">
        <f aca="false">IF(OR(B438=0,B438=99,C438=""),"",IF(E438="Per class",D438,D438*H438))</f>
        <v>8</v>
      </c>
      <c r="N438" s="0" t="str">
        <f aca="false">IF('Junior Makers Kits'!B126="","",'Junior Makers Kits'!B126)</f>
        <v>Actuators &amp; Motor Drivers</v>
      </c>
      <c r="O438" s="0" t="str">
        <f aca="false">IF('Junior Makers Kits'!F126="","",'Junior Makers Kits'!F126)</f>
        <v>Reusable</v>
      </c>
      <c r="P438" s="0" t="str">
        <f aca="false">IF('Junior Makers Kits'!G126="","",'Junior Makers Kits'!G126)</f>
        <v/>
      </c>
    </row>
    <row r="439" customFormat="false" ht="15" hidden="false" customHeight="false" outlineLevel="0" collapsed="false">
      <c r="A439" s="0" t="s">
        <v>164</v>
      </c>
      <c r="B439" s="0" t="n">
        <v>5</v>
      </c>
      <c r="C439" s="0" t="str">
        <f aca="false">IF('Junior Makers Kits'!C127="","",'Junior Makers Kits'!C127)</f>
        <v>LED 5 mm (assorted)</v>
      </c>
      <c r="D439" s="0" t="n">
        <f aca="false">IF('Junior Makers Kits'!D127="","",'Junior Makers Kits'!D127)</f>
        <v>1</v>
      </c>
      <c r="E439" s="0" t="str">
        <f aca="false">IF('Junior Makers Kits'!E127="","",'Junior Makers Kits'!E127)</f>
        <v>Per group</v>
      </c>
      <c r="F439" s="0" t="str">
        <f aca="false">IFERROR(INDEX('Session Tracker'!$M$5:$M$149,MATCH($A439,'Session Tracker'!$D$5:$D$149,0))+0,"")</f>
        <v/>
      </c>
      <c r="G439" s="0" t="str">
        <f aca="false">IF(ISNUMBER(F439),IF(OR(B439=0,B439=99,C439&lt;&gt;""),F439*100+B439,""),"")</f>
        <v/>
      </c>
      <c r="H439" s="0" t="n">
        <f aca="false">IFERROR(INDEX('Session Tracker'!$J$5:$J$149,MATCH($A439,'Session Tracker'!$D$5:$D$149,0)),0)</f>
        <v>8</v>
      </c>
      <c r="I439" s="0" t="n">
        <f aca="false">IF(OR(B439=0,B439=99,C439=""),"",IF(E439="Per class",D439,D439*H439))</f>
        <v>8</v>
      </c>
      <c r="N439" s="0" t="str">
        <f aca="false">IF('Junior Makers Kits'!B127="","",'Junior Makers Kits'!B127)</f>
        <v>Displays &amp; Output</v>
      </c>
      <c r="O439" s="0" t="str">
        <f aca="false">IF('Junior Makers Kits'!F127="","",'Junior Makers Kits'!F127)</f>
        <v>Consumable</v>
      </c>
      <c r="P439" s="0" t="str">
        <f aca="false">IF('Junior Makers Kits'!G127="","",'Junior Makers Kits'!G127)</f>
        <v/>
      </c>
    </row>
    <row r="440" customFormat="false" ht="15" hidden="false" customHeight="false" outlineLevel="0" collapsed="false">
      <c r="A440" s="0" t="s">
        <v>164</v>
      </c>
      <c r="B440" s="0" t="n">
        <v>6</v>
      </c>
      <c r="C440" s="0" t="str">
        <f aca="false">IF('Junior Makers Kits'!C128="","",'Junior Makers Kits'!C128)</f>
        <v>Resistor 220 ohm</v>
      </c>
      <c r="D440" s="0" t="n">
        <f aca="false">IF('Junior Makers Kits'!D128="","",'Junior Makers Kits'!D128)</f>
        <v>1</v>
      </c>
      <c r="E440" s="0" t="str">
        <f aca="false">IF('Junior Makers Kits'!E128="","",'Junior Makers Kits'!E128)</f>
        <v>Per group</v>
      </c>
      <c r="F440" s="0" t="str">
        <f aca="false">IFERROR(INDEX('Session Tracker'!$M$5:$M$149,MATCH($A440,'Session Tracker'!$D$5:$D$149,0))+0,"")</f>
        <v/>
      </c>
      <c r="G440" s="0" t="str">
        <f aca="false">IF(ISNUMBER(F440),IF(OR(B440=0,B440=99,C440&lt;&gt;""),F440*100+B440,""),"")</f>
        <v/>
      </c>
      <c r="H440" s="0" t="n">
        <f aca="false">IFERROR(INDEX('Session Tracker'!$J$5:$J$149,MATCH($A440,'Session Tracker'!$D$5:$D$149,0)),0)</f>
        <v>8</v>
      </c>
      <c r="I440" s="0" t="n">
        <f aca="false">IF(OR(B440=0,B440=99,C440=""),"",IF(E440="Per class",D440,D440*H440))</f>
        <v>8</v>
      </c>
      <c r="N440" s="0" t="str">
        <f aca="false">IF('Junior Makers Kits'!B128="","",'Junior Makers Kits'!B128)</f>
        <v>Passive Components &amp; ICs</v>
      </c>
      <c r="O440" s="0" t="str">
        <f aca="false">IF('Junior Makers Kits'!F128="","",'Junior Makers Kits'!F128)</f>
        <v>Consumable</v>
      </c>
      <c r="P440" s="0" t="str">
        <f aca="false">IF('Junior Makers Kits'!G128="","",'Junior Makers Kits'!G128)</f>
        <v/>
      </c>
    </row>
    <row r="441" customFormat="false" ht="15" hidden="false" customHeight="false" outlineLevel="0" collapsed="false">
      <c r="A441" s="0" t="s">
        <v>164</v>
      </c>
      <c r="B441" s="0" t="n">
        <v>7</v>
      </c>
      <c r="C441" s="0" t="str">
        <f aca="false">IF('Junior Makers Kits'!C129="","",'Junior Makers Kits'!C129)</f>
        <v>Cardboard sheet</v>
      </c>
      <c r="D441" s="0" t="n">
        <f aca="false">IF('Junior Makers Kits'!D129="","",'Junior Makers Kits'!D129)</f>
        <v>1</v>
      </c>
      <c r="E441" s="0" t="str">
        <f aca="false">IF('Junior Makers Kits'!E129="","",'Junior Makers Kits'!E129)</f>
        <v>Per group</v>
      </c>
      <c r="F441" s="0" t="str">
        <f aca="false">IFERROR(INDEX('Session Tracker'!$M$5:$M$149,MATCH($A441,'Session Tracker'!$D$5:$D$149,0))+0,"")</f>
        <v/>
      </c>
      <c r="G441" s="0" t="str">
        <f aca="false">IF(ISNUMBER(F441),IF(OR(B441=0,B441=99,C441&lt;&gt;""),F441*100+B441,""),"")</f>
        <v/>
      </c>
      <c r="H441" s="0" t="n">
        <f aca="false">IFERROR(INDEX('Session Tracker'!$J$5:$J$149,MATCH($A441,'Session Tracker'!$D$5:$D$149,0)),0)</f>
        <v>8</v>
      </c>
      <c r="I441" s="0" t="n">
        <f aca="false">IF(OR(B441=0,B441=99,C441=""),"",IF(E441="Per class",D441,D441*H441))</f>
        <v>8</v>
      </c>
      <c r="N441" s="0" t="str">
        <f aca="false">IF('Junior Makers Kits'!B129="","",'Junior Makers Kits'!B129)</f>
        <v>Craft &amp; Stationery</v>
      </c>
      <c r="O441" s="0" t="str">
        <f aca="false">IF('Junior Makers Kits'!F129="","",'Junior Makers Kits'!F129)</f>
        <v>Consumable</v>
      </c>
      <c r="P441" s="0" t="str">
        <f aca="false">IF('Junior Makers Kits'!G129="","",'Junior Makers Kits'!G129)</f>
        <v>Model window</v>
      </c>
    </row>
    <row r="442" customFormat="false" ht="15" hidden="false" customHeight="false" outlineLevel="0" collapsed="false">
      <c r="A442" s="0" t="s">
        <v>164</v>
      </c>
      <c r="B442" s="0" t="n">
        <v>8</v>
      </c>
      <c r="C442" s="0" t="str">
        <f aca="false">IF('Junior Makers Kits'!C130="","",'Junior Makers Kits'!C130)</f>
        <v>Breadboard (half size)</v>
      </c>
      <c r="D442" s="0" t="n">
        <f aca="false">IF('Junior Makers Kits'!D130="","",'Junior Makers Kits'!D130)</f>
        <v>1</v>
      </c>
      <c r="E442" s="0" t="str">
        <f aca="false">IF('Junior Makers Kits'!E130="","",'Junior Makers Kits'!E130)</f>
        <v>Per group</v>
      </c>
      <c r="F442" s="0" t="str">
        <f aca="false">IFERROR(INDEX('Session Tracker'!$M$5:$M$149,MATCH($A442,'Session Tracker'!$D$5:$D$149,0))+0,"")</f>
        <v/>
      </c>
      <c r="G442" s="0" t="str">
        <f aca="false">IF(ISNUMBER(F442),IF(OR(B442=0,B442=99,C442&lt;&gt;""),F442*100+B442,""),"")</f>
        <v/>
      </c>
      <c r="H442" s="0" t="n">
        <f aca="false">IFERROR(INDEX('Session Tracker'!$J$5:$J$149,MATCH($A442,'Session Tracker'!$D$5:$D$149,0)),0)</f>
        <v>8</v>
      </c>
      <c r="I442" s="0" t="n">
        <f aca="false">IF(OR(B442=0,B442=99,C442=""),"",IF(E442="Per class",D442,D442*H442))</f>
        <v>8</v>
      </c>
      <c r="N442" s="0" t="str">
        <f aca="false">IF('Junior Makers Kits'!B130="","",'Junior Makers Kits'!B130)</f>
        <v>Wiring &amp; Prototyping</v>
      </c>
      <c r="O442" s="0" t="str">
        <f aca="false">IF('Junior Makers Kits'!F130="","",'Junior Makers Kits'!F130)</f>
        <v>Reusable</v>
      </c>
      <c r="P442" s="0" t="str">
        <f aca="false">IF('Junior Makers Kits'!G130="","",'Junior Makers Kits'!G130)</f>
        <v/>
      </c>
    </row>
    <row r="443" customFormat="false" ht="15" hidden="false" customHeight="false" outlineLevel="0" collapsed="false">
      <c r="A443" s="0" t="s">
        <v>164</v>
      </c>
      <c r="B443" s="0" t="n">
        <v>9</v>
      </c>
      <c r="C443" s="0" t="str">
        <f aca="false">IF('Junior Makers Kits'!C131="","",'Junior Makers Kits'!C131)</f>
        <v>Jumper wires M-M</v>
      </c>
      <c r="D443" s="0" t="n">
        <f aca="false">IF('Junior Makers Kits'!D131="","",'Junior Makers Kits'!D131)</f>
        <v>10</v>
      </c>
      <c r="E443" s="0" t="str">
        <f aca="false">IF('Junior Makers Kits'!E131="","",'Junior Makers Kits'!E131)</f>
        <v>Per group</v>
      </c>
      <c r="F443" s="0" t="str">
        <f aca="false">IFERROR(INDEX('Session Tracker'!$M$5:$M$149,MATCH($A443,'Session Tracker'!$D$5:$D$149,0))+0,"")</f>
        <v/>
      </c>
      <c r="G443" s="0" t="str">
        <f aca="false">IF(ISNUMBER(F443),IF(OR(B443=0,B443=99,C443&lt;&gt;""),F443*100+B443,""),"")</f>
        <v/>
      </c>
      <c r="H443" s="0" t="n">
        <f aca="false">IFERROR(INDEX('Session Tracker'!$J$5:$J$149,MATCH($A443,'Session Tracker'!$D$5:$D$149,0)),0)</f>
        <v>8</v>
      </c>
      <c r="I443" s="0" t="n">
        <f aca="false">IF(OR(B443=0,B443=99,C443=""),"",IF(E443="Per class",D443,D443*H443))</f>
        <v>80</v>
      </c>
      <c r="N443" s="0" t="str">
        <f aca="false">IF('Junior Makers Kits'!B131="","",'Junior Makers Kits'!B131)</f>
        <v>Wiring &amp; Prototyping</v>
      </c>
      <c r="O443" s="0" t="str">
        <f aca="false">IF('Junior Makers Kits'!F131="","",'Junior Makers Kits'!F131)</f>
        <v>Reusable</v>
      </c>
      <c r="P443" s="0" t="str">
        <f aca="false">IF('Junior Makers Kits'!G131="","",'Junior Makers Kits'!G131)</f>
        <v/>
      </c>
    </row>
    <row r="444" customFormat="false" ht="15" hidden="false" customHeight="false" outlineLevel="0" collapsed="false">
      <c r="A444" s="0" t="s">
        <v>164</v>
      </c>
      <c r="B444" s="0" t="n">
        <v>10</v>
      </c>
      <c r="C444" s="0" t="str">
        <f aca="false">IF('Junior Makers Kits'!C132="","",'Junior Makers Kits'!C132)</f>
        <v>Jumper wires M-F</v>
      </c>
      <c r="D444" s="0" t="n">
        <f aca="false">IF('Junior Makers Kits'!D132="","",'Junior Makers Kits'!D132)</f>
        <v>4</v>
      </c>
      <c r="E444" s="0" t="str">
        <f aca="false">IF('Junior Makers Kits'!E132="","",'Junior Makers Kits'!E132)</f>
        <v>Per group</v>
      </c>
      <c r="F444" s="0" t="str">
        <f aca="false">IFERROR(INDEX('Session Tracker'!$M$5:$M$149,MATCH($A444,'Session Tracker'!$D$5:$D$149,0))+0,"")</f>
        <v/>
      </c>
      <c r="G444" s="0" t="str">
        <f aca="false">IF(ISNUMBER(F444),IF(OR(B444=0,B444=99,C444&lt;&gt;""),F444*100+B444,""),"")</f>
        <v/>
      </c>
      <c r="H444" s="0" t="n">
        <f aca="false">IFERROR(INDEX('Session Tracker'!$J$5:$J$149,MATCH($A444,'Session Tracker'!$D$5:$D$149,0)),0)</f>
        <v>8</v>
      </c>
      <c r="I444" s="0" t="n">
        <f aca="false">IF(OR(B444=0,B444=99,C444=""),"",IF(E444="Per class",D444,D444*H444))</f>
        <v>32</v>
      </c>
      <c r="N444" s="0" t="str">
        <f aca="false">IF('Junior Makers Kits'!B132="","",'Junior Makers Kits'!B132)</f>
        <v>Wiring &amp; Prototyping</v>
      </c>
      <c r="O444" s="0" t="str">
        <f aca="false">IF('Junior Makers Kits'!F132="","",'Junior Makers Kits'!F132)</f>
        <v>Reusable</v>
      </c>
      <c r="P444" s="0" t="str">
        <f aca="false">IF('Junior Makers Kits'!G132="","",'Junior Makers Kits'!G132)</f>
        <v/>
      </c>
    </row>
    <row r="445" customFormat="false" ht="15" hidden="false" customHeight="false" outlineLevel="0" collapsed="false">
      <c r="A445" s="0" t="s">
        <v>164</v>
      </c>
      <c r="B445" s="0" t="n">
        <v>11</v>
      </c>
      <c r="C445" s="0" t="str">
        <f aca="false">IF('Junior Makers Kits'!C133="","",'Junior Makers Kits'!C133)</f>
        <v>Laptop</v>
      </c>
      <c r="D445" s="0" t="n">
        <f aca="false">IF('Junior Makers Kits'!D133="","",'Junior Makers Kits'!D133)</f>
        <v>1</v>
      </c>
      <c r="E445" s="0" t="str">
        <f aca="false">IF('Junior Makers Kits'!E133="","",'Junior Makers Kits'!E133)</f>
        <v>Per group</v>
      </c>
      <c r="F445" s="0" t="str">
        <f aca="false">IFERROR(INDEX('Session Tracker'!$M$5:$M$149,MATCH($A445,'Session Tracker'!$D$5:$D$149,0))+0,"")</f>
        <v/>
      </c>
      <c r="G445" s="0" t="str">
        <f aca="false">IF(ISNUMBER(F445),IF(OR(B445=0,B445=99,C445&lt;&gt;""),F445*100+B445,""),"")</f>
        <v/>
      </c>
      <c r="H445" s="0" t="n">
        <f aca="false">IFERROR(INDEX('Session Tracker'!$J$5:$J$149,MATCH($A445,'Session Tracker'!$D$5:$D$149,0)),0)</f>
        <v>8</v>
      </c>
      <c r="I445" s="0" t="n">
        <f aca="false">IF(OR(B445=0,B445=99,C445=""),"",IF(E445="Per class",D445,D445*H445))</f>
        <v>8</v>
      </c>
      <c r="N445" s="0" t="str">
        <f aca="false">IF('Junior Makers Kits'!B133="","",'Junior Makers Kits'!B133)</f>
        <v>Computers &amp; Equipment</v>
      </c>
      <c r="O445" s="0" t="str">
        <f aca="false">IF('Junior Makers Kits'!F133="","",'Junior Makers Kits'!F133)</f>
        <v>Reusable</v>
      </c>
      <c r="P445" s="0" t="str">
        <f aca="false">IF('Junior Makers Kits'!G133="","",'Junior Makers Kits'!G133)</f>
        <v/>
      </c>
    </row>
    <row r="446" customFormat="false" ht="15" hidden="false" customHeight="false" outlineLevel="0" collapsed="false">
      <c r="A446" s="0" t="s">
        <v>164</v>
      </c>
      <c r="B446" s="0" t="n">
        <v>12</v>
      </c>
      <c r="C446" s="0" t="str">
        <f aca="false">IF('Junior Makers Kits'!C134="","",'Junior Makers Kits'!C134)</f>
        <v/>
      </c>
      <c r="D446" s="0" t="str">
        <f aca="false">IF('Junior Makers Kits'!D134="","",'Junior Makers Kits'!D134)</f>
        <v/>
      </c>
      <c r="E446" s="0" t="str">
        <f aca="false">IF('Junior Makers Kits'!E134="","",'Junior Makers Kits'!E134)</f>
        <v/>
      </c>
      <c r="F446" s="0" t="str">
        <f aca="false">IFERROR(INDEX('Session Tracker'!$M$5:$M$149,MATCH($A446,'Session Tracker'!$D$5:$D$149,0))+0,"")</f>
        <v/>
      </c>
      <c r="G446" s="0" t="str">
        <f aca="false">IF(ISNUMBER(F446),IF(OR(B446=0,B446=99,C446&lt;&gt;""),F446*100+B446,""),"")</f>
        <v/>
      </c>
      <c r="H446" s="0" t="n">
        <f aca="false">IFERROR(INDEX('Session Tracker'!$J$5:$J$149,MATCH($A446,'Session Tracker'!$D$5:$D$149,0)),0)</f>
        <v>8</v>
      </c>
      <c r="I446" s="0" t="str">
        <f aca="false">IF(OR(B446=0,B446=99,C446=""),"",IF(E446="Per class",D446,D446*H446))</f>
        <v/>
      </c>
      <c r="N446" s="0" t="str">
        <f aca="false">IF('Junior Makers Kits'!B134="","",'Junior Makers Kits'!B134)</f>
        <v/>
      </c>
      <c r="O446" s="0" t="str">
        <f aca="false">IF('Junior Makers Kits'!F134="","",'Junior Makers Kits'!F134)</f>
        <v/>
      </c>
      <c r="P446" s="0" t="str">
        <f aca="false">IF('Junior Makers Kits'!G134="","",'Junior Makers Kits'!G134)</f>
        <v/>
      </c>
    </row>
    <row r="447" customFormat="false" ht="15" hidden="false" customHeight="false" outlineLevel="0" collapsed="false">
      <c r="A447" s="0" t="s">
        <v>164</v>
      </c>
      <c r="B447" s="0" t="n">
        <v>13</v>
      </c>
      <c r="C447" s="0" t="str">
        <f aca="false">IF('Junior Makers Kits'!C135="","",'Junior Makers Kits'!C135)</f>
        <v/>
      </c>
      <c r="D447" s="0" t="str">
        <f aca="false">IF('Junior Makers Kits'!D135="","",'Junior Makers Kits'!D135)</f>
        <v/>
      </c>
      <c r="E447" s="0" t="str">
        <f aca="false">IF('Junior Makers Kits'!E135="","",'Junior Makers Kits'!E135)</f>
        <v/>
      </c>
      <c r="F447" s="0" t="str">
        <f aca="false">IFERROR(INDEX('Session Tracker'!$M$5:$M$149,MATCH($A447,'Session Tracker'!$D$5:$D$149,0))+0,"")</f>
        <v/>
      </c>
      <c r="G447" s="0" t="str">
        <f aca="false">IF(ISNUMBER(F447),IF(OR(B447=0,B447=99,C447&lt;&gt;""),F447*100+B447,""),"")</f>
        <v/>
      </c>
      <c r="H447" s="0" t="n">
        <f aca="false">IFERROR(INDEX('Session Tracker'!$J$5:$J$149,MATCH($A447,'Session Tracker'!$D$5:$D$149,0)),0)</f>
        <v>8</v>
      </c>
      <c r="I447" s="0" t="str">
        <f aca="false">IF(OR(B447=0,B447=99,C447=""),"",IF(E447="Per class",D447,D447*H447))</f>
        <v/>
      </c>
      <c r="N447" s="0" t="str">
        <f aca="false">IF('Junior Makers Kits'!B135="","",'Junior Makers Kits'!B135)</f>
        <v/>
      </c>
      <c r="O447" s="0" t="str">
        <f aca="false">IF('Junior Makers Kits'!F135="","",'Junior Makers Kits'!F135)</f>
        <v/>
      </c>
      <c r="P447" s="0" t="str">
        <f aca="false">IF('Junior Makers Kits'!G135="","",'Junior Makers Kits'!G135)</f>
        <v/>
      </c>
    </row>
    <row r="448" customFormat="false" ht="15" hidden="false" customHeight="false" outlineLevel="0" collapsed="false">
      <c r="A448" s="0" t="s">
        <v>166</v>
      </c>
      <c r="B448" s="0" t="n">
        <v>0</v>
      </c>
      <c r="F448" s="0" t="str">
        <f aca="false">IFERROR(INDEX('Session Tracker'!$M$5:$M$149,MATCH($A448,'Session Tracker'!$D$5:$D$149,0))+0,"")</f>
        <v/>
      </c>
      <c r="G448" s="0" t="str">
        <f aca="false">IF(ISNUMBER(F448),IF(OR(B448=0,B448=99,C448&lt;&gt;""),F448*100+B448,""),"")</f>
        <v/>
      </c>
      <c r="H448" s="0" t="n">
        <f aca="false">IFERROR(INDEX('Session Tracker'!$J$5:$J$149,MATCH($A448,'Session Tracker'!$D$5:$D$149,0)),0)</f>
        <v>8</v>
      </c>
      <c r="I448" s="0" t="str">
        <f aca="false">IF(OR(B448=0,B448=99,C448=""),"",IF(E448="Per class",D448,D448*H448))</f>
        <v/>
      </c>
      <c r="K448" s="0" t="str">
        <f aca="false">IFERROR(INDEX('Session Tracker'!$E$5:$E$149,MATCH($A448,'Session Tracker'!$D$5:$D$149,0)),"")</f>
        <v>Fire &amp; Gas Safety Alarm Panel</v>
      </c>
      <c r="L448" s="0" t="str">
        <f aca="false">IFERROR(INDEX('Session Tracker'!$A$5:$A$149,MATCH($A448,'Session Tracker'!$D$5:$D$149,0)),"")</f>
        <v>Junior Makers (8-11)</v>
      </c>
      <c r="M448" s="0" t="str">
        <f aca="false">IFERROR(INDEX('Session Tracker'!$H$5:$H$149,MATCH($A448,'Session Tracker'!$D$5:$D$149,0))&amp;"","")</f>
        <v/>
      </c>
      <c r="Q448" s="0" t="str">
        <f aca="false">IFERROR("Status: "&amp;INDEX('Session Tracker'!$F$5:$F$149,MATCH($A448,'Session Tracker'!$D$5:$D$149,0))&amp;IF(INDEX('Session Tracker'!$G$5:$G$149,MATCH($A448,'Session Tracker'!$D$5:$D$149,0))&lt;&gt;""," ("&amp;INDEX('Session Tracker'!$G$5:$G$149,MATCH($A448,'Session Tracker'!$D$5:$D$149,0))&amp;")","")&amp;IF(M448&lt;&gt;"","  "&amp;M448,""),"")</f>
        <v>Status: Not started</v>
      </c>
    </row>
    <row r="449" customFormat="false" ht="15" hidden="false" customHeight="false" outlineLevel="0" collapsed="false">
      <c r="A449" s="0" t="s">
        <v>166</v>
      </c>
      <c r="B449" s="0" t="n">
        <v>1</v>
      </c>
      <c r="C449" s="0" t="str">
        <f aca="false">IF('Junior Makers Kits'!C138="","",'Junior Makers Kits'!C138)</f>
        <v>Arduino Uno + USB cable</v>
      </c>
      <c r="D449" s="0" t="n">
        <f aca="false">IF('Junior Makers Kits'!D138="","",'Junior Makers Kits'!D138)</f>
        <v>1</v>
      </c>
      <c r="E449" s="0" t="str">
        <f aca="false">IF('Junior Makers Kits'!E138="","",'Junior Makers Kits'!E138)</f>
        <v>Per group</v>
      </c>
      <c r="F449" s="0" t="str">
        <f aca="false">IFERROR(INDEX('Session Tracker'!$M$5:$M$149,MATCH($A449,'Session Tracker'!$D$5:$D$149,0))+0,"")</f>
        <v/>
      </c>
      <c r="G449" s="0" t="str">
        <f aca="false">IF(ISNUMBER(F449),IF(OR(B449=0,B449=99,C449&lt;&gt;""),F449*100+B449,""),"")</f>
        <v/>
      </c>
      <c r="H449" s="0" t="n">
        <f aca="false">IFERROR(INDEX('Session Tracker'!$J$5:$J$149,MATCH($A449,'Session Tracker'!$D$5:$D$149,0)),0)</f>
        <v>8</v>
      </c>
      <c r="I449" s="0" t="n">
        <f aca="false">IF(OR(B449=0,B449=99,C449=""),"",IF(E449="Per class",D449,D449*H449))</f>
        <v>8</v>
      </c>
      <c r="N449" s="0" t="str">
        <f aca="false">IF('Junior Makers Kits'!B138="","",'Junior Makers Kits'!B138)</f>
        <v>Microcontrollers &amp; Dev Boards</v>
      </c>
      <c r="O449" s="0" t="str">
        <f aca="false">IF('Junior Makers Kits'!F138="","",'Junior Makers Kits'!F138)</f>
        <v>Reusable</v>
      </c>
      <c r="P449" s="0" t="str">
        <f aca="false">IF('Junior Makers Kits'!G138="","",'Junior Makers Kits'!G138)</f>
        <v/>
      </c>
    </row>
    <row r="450" customFormat="false" ht="15" hidden="false" customHeight="false" outlineLevel="0" collapsed="false">
      <c r="A450" s="0" t="s">
        <v>166</v>
      </c>
      <c r="B450" s="0" t="n">
        <v>2</v>
      </c>
      <c r="C450" s="0" t="str">
        <f aca="false">IF('Junior Makers Kits'!C139="","",'Junior Makers Kits'!C139)</f>
        <v>Flame sensor</v>
      </c>
      <c r="D450" s="0" t="n">
        <f aca="false">IF('Junior Makers Kits'!D139="","",'Junior Makers Kits'!D139)</f>
        <v>1</v>
      </c>
      <c r="E450" s="0" t="str">
        <f aca="false">IF('Junior Makers Kits'!E139="","",'Junior Makers Kits'!E139)</f>
        <v>Per group</v>
      </c>
      <c r="F450" s="0" t="str">
        <f aca="false">IFERROR(INDEX('Session Tracker'!$M$5:$M$149,MATCH($A450,'Session Tracker'!$D$5:$D$149,0))+0,"")</f>
        <v/>
      </c>
      <c r="G450" s="0" t="str">
        <f aca="false">IF(ISNUMBER(F450),IF(OR(B450=0,B450=99,C450&lt;&gt;""),F450*100+B450,""),"")</f>
        <v/>
      </c>
      <c r="H450" s="0" t="n">
        <f aca="false">IFERROR(INDEX('Session Tracker'!$J$5:$J$149,MATCH($A450,'Session Tracker'!$D$5:$D$149,0)),0)</f>
        <v>8</v>
      </c>
      <c r="I450" s="0" t="n">
        <f aca="false">IF(OR(B450=0,B450=99,C450=""),"",IF(E450="Per class",D450,D450*H450))</f>
        <v>8</v>
      </c>
      <c r="N450" s="0" t="str">
        <f aca="false">IF('Junior Makers Kits'!B139="","",'Junior Makers Kits'!B139)</f>
        <v>Sensors</v>
      </c>
      <c r="O450" s="0" t="str">
        <f aca="false">IF('Junior Makers Kits'!F139="","",'Junior Makers Kits'!F139)</f>
        <v>Reusable</v>
      </c>
      <c r="P450" s="0" t="str">
        <f aca="false">IF('Junior Makers Kits'!G139="","",'Junior Makers Kits'!G139)</f>
        <v/>
      </c>
    </row>
    <row r="451" customFormat="false" ht="15" hidden="false" customHeight="false" outlineLevel="0" collapsed="false">
      <c r="A451" s="0" t="s">
        <v>166</v>
      </c>
      <c r="B451" s="0" t="n">
        <v>3</v>
      </c>
      <c r="C451" s="0" t="str">
        <f aca="false">IF('Junior Makers Kits'!C140="","",'Junior Makers Kits'!C140)</f>
        <v>MQ-2 gas sensor</v>
      </c>
      <c r="D451" s="0" t="n">
        <f aca="false">IF('Junior Makers Kits'!D140="","",'Junior Makers Kits'!D140)</f>
        <v>1</v>
      </c>
      <c r="E451" s="0" t="str">
        <f aca="false">IF('Junior Makers Kits'!E140="","",'Junior Makers Kits'!E140)</f>
        <v>Per group</v>
      </c>
      <c r="F451" s="0" t="str">
        <f aca="false">IFERROR(INDEX('Session Tracker'!$M$5:$M$149,MATCH($A451,'Session Tracker'!$D$5:$D$149,0))+0,"")</f>
        <v/>
      </c>
      <c r="G451" s="0" t="str">
        <f aca="false">IF(ISNUMBER(F451),IF(OR(B451=0,B451=99,C451&lt;&gt;""),F451*100+B451,""),"")</f>
        <v/>
      </c>
      <c r="H451" s="0" t="n">
        <f aca="false">IFERROR(INDEX('Session Tracker'!$J$5:$J$149,MATCH($A451,'Session Tracker'!$D$5:$D$149,0)),0)</f>
        <v>8</v>
      </c>
      <c r="I451" s="0" t="n">
        <f aca="false">IF(OR(B451=0,B451=99,C451=""),"",IF(E451="Per class",D451,D451*H451))</f>
        <v>8</v>
      </c>
      <c r="N451" s="0" t="str">
        <f aca="false">IF('Junior Makers Kits'!B140="","",'Junior Makers Kits'!B140)</f>
        <v>Sensors</v>
      </c>
      <c r="O451" s="0" t="str">
        <f aca="false">IF('Junior Makers Kits'!F140="","",'Junior Makers Kits'!F140)</f>
        <v>Reusable</v>
      </c>
      <c r="P451" s="0" t="str">
        <f aca="false">IF('Junior Makers Kits'!G140="","",'Junior Makers Kits'!G140)</f>
        <v/>
      </c>
    </row>
    <row r="452" customFormat="false" ht="15" hidden="false" customHeight="false" outlineLevel="0" collapsed="false">
      <c r="A452" s="0" t="s">
        <v>166</v>
      </c>
      <c r="B452" s="0" t="n">
        <v>4</v>
      </c>
      <c r="C452" s="0" t="str">
        <f aca="false">IF('Junior Makers Kits'!C141="","",'Junior Makers Kits'!C141)</f>
        <v>Buzzer</v>
      </c>
      <c r="D452" s="0" t="n">
        <f aca="false">IF('Junior Makers Kits'!D141="","",'Junior Makers Kits'!D141)</f>
        <v>1</v>
      </c>
      <c r="E452" s="0" t="str">
        <f aca="false">IF('Junior Makers Kits'!E141="","",'Junior Makers Kits'!E141)</f>
        <v>Per group</v>
      </c>
      <c r="F452" s="0" t="str">
        <f aca="false">IFERROR(INDEX('Session Tracker'!$M$5:$M$149,MATCH($A452,'Session Tracker'!$D$5:$D$149,0))+0,"")</f>
        <v/>
      </c>
      <c r="G452" s="0" t="str">
        <f aca="false">IF(ISNUMBER(F452),IF(OR(B452=0,B452=99,C452&lt;&gt;""),F452*100+B452,""),"")</f>
        <v/>
      </c>
      <c r="H452" s="0" t="n">
        <f aca="false">IFERROR(INDEX('Session Tracker'!$J$5:$J$149,MATCH($A452,'Session Tracker'!$D$5:$D$149,0)),0)</f>
        <v>8</v>
      </c>
      <c r="I452" s="0" t="n">
        <f aca="false">IF(OR(B452=0,B452=99,C452=""),"",IF(E452="Per class",D452,D452*H452))</f>
        <v>8</v>
      </c>
      <c r="N452" s="0" t="str">
        <f aca="false">IF('Junior Makers Kits'!B141="","",'Junior Makers Kits'!B141)</f>
        <v>Actuators &amp; Motor Drivers</v>
      </c>
      <c r="O452" s="0" t="str">
        <f aca="false">IF('Junior Makers Kits'!F141="","",'Junior Makers Kits'!F141)</f>
        <v>Reusable</v>
      </c>
      <c r="P452" s="0" t="str">
        <f aca="false">IF('Junior Makers Kits'!G141="","",'Junior Makers Kits'!G141)</f>
        <v/>
      </c>
    </row>
    <row r="453" customFormat="false" ht="15" hidden="false" customHeight="false" outlineLevel="0" collapsed="false">
      <c r="A453" s="0" t="s">
        <v>166</v>
      </c>
      <c r="B453" s="0" t="n">
        <v>5</v>
      </c>
      <c r="C453" s="0" t="str">
        <f aca="false">IF('Junior Makers Kits'!C142="","",'Junior Makers Kits'!C142)</f>
        <v>LED 5 mm (assorted)</v>
      </c>
      <c r="D453" s="0" t="n">
        <f aca="false">IF('Junior Makers Kits'!D142="","",'Junior Makers Kits'!D142)</f>
        <v>2</v>
      </c>
      <c r="E453" s="0" t="str">
        <f aca="false">IF('Junior Makers Kits'!E142="","",'Junior Makers Kits'!E142)</f>
        <v>Per group</v>
      </c>
      <c r="F453" s="0" t="str">
        <f aca="false">IFERROR(INDEX('Session Tracker'!$M$5:$M$149,MATCH($A453,'Session Tracker'!$D$5:$D$149,0))+0,"")</f>
        <v/>
      </c>
      <c r="G453" s="0" t="str">
        <f aca="false">IF(ISNUMBER(F453),IF(OR(B453=0,B453=99,C453&lt;&gt;""),F453*100+B453,""),"")</f>
        <v/>
      </c>
      <c r="H453" s="0" t="n">
        <f aca="false">IFERROR(INDEX('Session Tracker'!$J$5:$J$149,MATCH($A453,'Session Tracker'!$D$5:$D$149,0)),0)</f>
        <v>8</v>
      </c>
      <c r="I453" s="0" t="n">
        <f aca="false">IF(OR(B453=0,B453=99,C453=""),"",IF(E453="Per class",D453,D453*H453))</f>
        <v>16</v>
      </c>
      <c r="N453" s="0" t="str">
        <f aca="false">IF('Junior Makers Kits'!B142="","",'Junior Makers Kits'!B142)</f>
        <v>Displays &amp; Output</v>
      </c>
      <c r="O453" s="0" t="str">
        <f aca="false">IF('Junior Makers Kits'!F142="","",'Junior Makers Kits'!F142)</f>
        <v>Consumable</v>
      </c>
      <c r="P453" s="0" t="str">
        <f aca="false">IF('Junior Makers Kits'!G142="","",'Junior Makers Kits'!G142)</f>
        <v>Green, red</v>
      </c>
    </row>
    <row r="454" customFormat="false" ht="15" hidden="false" customHeight="false" outlineLevel="0" collapsed="false">
      <c r="A454" s="0" t="s">
        <v>166</v>
      </c>
      <c r="B454" s="0" t="n">
        <v>6</v>
      </c>
      <c r="C454" s="0" t="str">
        <f aca="false">IF('Junior Makers Kits'!C143="","",'Junior Makers Kits'!C143)</f>
        <v>Resistor 220 ohm</v>
      </c>
      <c r="D454" s="0" t="n">
        <f aca="false">IF('Junior Makers Kits'!D143="","",'Junior Makers Kits'!D143)</f>
        <v>2</v>
      </c>
      <c r="E454" s="0" t="str">
        <f aca="false">IF('Junior Makers Kits'!E143="","",'Junior Makers Kits'!E143)</f>
        <v>Per group</v>
      </c>
      <c r="F454" s="0" t="str">
        <f aca="false">IFERROR(INDEX('Session Tracker'!$M$5:$M$149,MATCH($A454,'Session Tracker'!$D$5:$D$149,0))+0,"")</f>
        <v/>
      </c>
      <c r="G454" s="0" t="str">
        <f aca="false">IF(ISNUMBER(F454),IF(OR(B454=0,B454=99,C454&lt;&gt;""),F454*100+B454,""),"")</f>
        <v/>
      </c>
      <c r="H454" s="0" t="n">
        <f aca="false">IFERROR(INDEX('Session Tracker'!$J$5:$J$149,MATCH($A454,'Session Tracker'!$D$5:$D$149,0)),0)</f>
        <v>8</v>
      </c>
      <c r="I454" s="0" t="n">
        <f aca="false">IF(OR(B454=0,B454=99,C454=""),"",IF(E454="Per class",D454,D454*H454))</f>
        <v>16</v>
      </c>
      <c r="N454" s="0" t="str">
        <f aca="false">IF('Junior Makers Kits'!B143="","",'Junior Makers Kits'!B143)</f>
        <v>Passive Components &amp; ICs</v>
      </c>
      <c r="O454" s="0" t="str">
        <f aca="false">IF('Junior Makers Kits'!F143="","",'Junior Makers Kits'!F143)</f>
        <v>Consumable</v>
      </c>
      <c r="P454" s="0" t="str">
        <f aca="false">IF('Junior Makers Kits'!G143="","",'Junior Makers Kits'!G143)</f>
        <v/>
      </c>
    </row>
    <row r="455" customFormat="false" ht="15" hidden="false" customHeight="false" outlineLevel="0" collapsed="false">
      <c r="A455" s="0" t="s">
        <v>166</v>
      </c>
      <c r="B455" s="0" t="n">
        <v>7</v>
      </c>
      <c r="C455" s="0" t="str">
        <f aca="false">IF('Junior Makers Kits'!C144="","",'Junior Makers Kits'!C144)</f>
        <v>OLED 0.96 in I2C</v>
      </c>
      <c r="D455" s="0" t="n">
        <f aca="false">IF('Junior Makers Kits'!D144="","",'Junior Makers Kits'!D144)</f>
        <v>1</v>
      </c>
      <c r="E455" s="0" t="str">
        <f aca="false">IF('Junior Makers Kits'!E144="","",'Junior Makers Kits'!E144)</f>
        <v>Per group</v>
      </c>
      <c r="F455" s="0" t="str">
        <f aca="false">IFERROR(INDEX('Session Tracker'!$M$5:$M$149,MATCH($A455,'Session Tracker'!$D$5:$D$149,0))+0,"")</f>
        <v/>
      </c>
      <c r="G455" s="0" t="str">
        <f aca="false">IF(ISNUMBER(F455),IF(OR(B455=0,B455=99,C455&lt;&gt;""),F455*100+B455,""),"")</f>
        <v/>
      </c>
      <c r="H455" s="0" t="n">
        <f aca="false">IFERROR(INDEX('Session Tracker'!$J$5:$J$149,MATCH($A455,'Session Tracker'!$D$5:$D$149,0)),0)</f>
        <v>8</v>
      </c>
      <c r="I455" s="0" t="n">
        <f aca="false">IF(OR(B455=0,B455=99,C455=""),"",IF(E455="Per class",D455,D455*H455))</f>
        <v>8</v>
      </c>
      <c r="N455" s="0" t="str">
        <f aca="false">IF('Junior Makers Kits'!B144="","",'Junior Makers Kits'!B144)</f>
        <v>Displays &amp; Output</v>
      </c>
      <c r="O455" s="0" t="str">
        <f aca="false">IF('Junior Makers Kits'!F144="","",'Junior Makers Kits'!F144)</f>
        <v>Reusable</v>
      </c>
      <c r="P455" s="0" t="str">
        <f aca="false">IF('Junior Makers Kits'!G144="","",'Junior Makers Kits'!G144)</f>
        <v/>
      </c>
    </row>
    <row r="456" customFormat="false" ht="15" hidden="false" customHeight="false" outlineLevel="0" collapsed="false">
      <c r="A456" s="0" t="s">
        <v>166</v>
      </c>
      <c r="B456" s="0" t="n">
        <v>8</v>
      </c>
      <c r="C456" s="0" t="str">
        <f aca="false">IF('Junior Makers Kits'!C145="","",'Junior Makers Kits'!C145)</f>
        <v>Candle</v>
      </c>
      <c r="D456" s="0" t="n">
        <f aca="false">IF('Junior Makers Kits'!D145="","",'Junior Makers Kits'!D145)</f>
        <v>1</v>
      </c>
      <c r="E456" s="0" t="str">
        <f aca="false">IF('Junior Makers Kits'!E145="","",'Junior Makers Kits'!E145)</f>
        <v>Per class</v>
      </c>
      <c r="F456" s="0" t="str">
        <f aca="false">IFERROR(INDEX('Session Tracker'!$M$5:$M$149,MATCH($A456,'Session Tracker'!$D$5:$D$149,0))+0,"")</f>
        <v/>
      </c>
      <c r="G456" s="0" t="str">
        <f aca="false">IF(ISNUMBER(F456),IF(OR(B456=0,B456=99,C456&lt;&gt;""),F456*100+B456,""),"")</f>
        <v/>
      </c>
      <c r="H456" s="0" t="n">
        <f aca="false">IFERROR(INDEX('Session Tracker'!$J$5:$J$149,MATCH($A456,'Session Tracker'!$D$5:$D$149,0)),0)</f>
        <v>8</v>
      </c>
      <c r="I456" s="0" t="n">
        <f aca="false">IF(OR(B456=0,B456=99,C456=""),"",IF(E456="Per class",D456,D456*H456))</f>
        <v>1</v>
      </c>
      <c r="N456" s="0" t="str">
        <f aca="false">IF('Junior Makers Kits'!B145="","",'Junior Makers Kits'!B145)</f>
        <v>Science Consumables</v>
      </c>
      <c r="O456" s="0" t="str">
        <f aca="false">IF('Junior Makers Kits'!F145="","",'Junior Makers Kits'!F145)</f>
        <v>Consumable</v>
      </c>
      <c r="P456" s="0" t="str">
        <f aca="false">IF('Junior Makers Kits'!G145="","",'Junior Makers Kits'!G145)</f>
        <v>Teacher only</v>
      </c>
    </row>
    <row r="457" customFormat="false" ht="15" hidden="false" customHeight="false" outlineLevel="0" collapsed="false">
      <c r="A457" s="0" t="s">
        <v>166</v>
      </c>
      <c r="B457" s="0" t="n">
        <v>9</v>
      </c>
      <c r="C457" s="0" t="str">
        <f aca="false">IF('Junior Makers Kits'!C146="","",'Junior Makers Kits'!C146)</f>
        <v>Breadboard (half size)</v>
      </c>
      <c r="D457" s="0" t="n">
        <f aca="false">IF('Junior Makers Kits'!D146="","",'Junior Makers Kits'!D146)</f>
        <v>1</v>
      </c>
      <c r="E457" s="0" t="str">
        <f aca="false">IF('Junior Makers Kits'!E146="","",'Junior Makers Kits'!E146)</f>
        <v>Per group</v>
      </c>
      <c r="F457" s="0" t="str">
        <f aca="false">IFERROR(INDEX('Session Tracker'!$M$5:$M$149,MATCH($A457,'Session Tracker'!$D$5:$D$149,0))+0,"")</f>
        <v/>
      </c>
      <c r="G457" s="0" t="str">
        <f aca="false">IF(ISNUMBER(F457),IF(OR(B457=0,B457=99,C457&lt;&gt;""),F457*100+B457,""),"")</f>
        <v/>
      </c>
      <c r="H457" s="0" t="n">
        <f aca="false">IFERROR(INDEX('Session Tracker'!$J$5:$J$149,MATCH($A457,'Session Tracker'!$D$5:$D$149,0)),0)</f>
        <v>8</v>
      </c>
      <c r="I457" s="0" t="n">
        <f aca="false">IF(OR(B457=0,B457=99,C457=""),"",IF(E457="Per class",D457,D457*H457))</f>
        <v>8</v>
      </c>
      <c r="N457" s="0" t="str">
        <f aca="false">IF('Junior Makers Kits'!B146="","",'Junior Makers Kits'!B146)</f>
        <v>Wiring &amp; Prototyping</v>
      </c>
      <c r="O457" s="0" t="str">
        <f aca="false">IF('Junior Makers Kits'!F146="","",'Junior Makers Kits'!F146)</f>
        <v>Reusable</v>
      </c>
      <c r="P457" s="0" t="str">
        <f aca="false">IF('Junior Makers Kits'!G146="","",'Junior Makers Kits'!G146)</f>
        <v/>
      </c>
    </row>
    <row r="458" customFormat="false" ht="15" hidden="false" customHeight="false" outlineLevel="0" collapsed="false">
      <c r="A458" s="0" t="s">
        <v>166</v>
      </c>
      <c r="B458" s="0" t="n">
        <v>10</v>
      </c>
      <c r="C458" s="0" t="str">
        <f aca="false">IF('Junior Makers Kits'!C147="","",'Junior Makers Kits'!C147)</f>
        <v>Jumper wires M-M</v>
      </c>
      <c r="D458" s="0" t="n">
        <f aca="false">IF('Junior Makers Kits'!D147="","",'Junior Makers Kits'!D147)</f>
        <v>12</v>
      </c>
      <c r="E458" s="0" t="str">
        <f aca="false">IF('Junior Makers Kits'!E147="","",'Junior Makers Kits'!E147)</f>
        <v>Per group</v>
      </c>
      <c r="F458" s="0" t="str">
        <f aca="false">IFERROR(INDEX('Session Tracker'!$M$5:$M$149,MATCH($A458,'Session Tracker'!$D$5:$D$149,0))+0,"")</f>
        <v/>
      </c>
      <c r="G458" s="0" t="str">
        <f aca="false">IF(ISNUMBER(F458),IF(OR(B458=0,B458=99,C458&lt;&gt;""),F458*100+B458,""),"")</f>
        <v/>
      </c>
      <c r="H458" s="0" t="n">
        <f aca="false">IFERROR(INDEX('Session Tracker'!$J$5:$J$149,MATCH($A458,'Session Tracker'!$D$5:$D$149,0)),0)</f>
        <v>8</v>
      </c>
      <c r="I458" s="0" t="n">
        <f aca="false">IF(OR(B458=0,B458=99,C458=""),"",IF(E458="Per class",D458,D458*H458))</f>
        <v>96</v>
      </c>
      <c r="N458" s="0" t="str">
        <f aca="false">IF('Junior Makers Kits'!B147="","",'Junior Makers Kits'!B147)</f>
        <v>Wiring &amp; Prototyping</v>
      </c>
      <c r="O458" s="0" t="str">
        <f aca="false">IF('Junior Makers Kits'!F147="","",'Junior Makers Kits'!F147)</f>
        <v>Reusable</v>
      </c>
      <c r="P458" s="0" t="str">
        <f aca="false">IF('Junior Makers Kits'!G147="","",'Junior Makers Kits'!G147)</f>
        <v/>
      </c>
    </row>
    <row r="459" customFormat="false" ht="15" hidden="false" customHeight="false" outlineLevel="0" collapsed="false">
      <c r="A459" s="0" t="s">
        <v>166</v>
      </c>
      <c r="B459" s="0" t="n">
        <v>11</v>
      </c>
      <c r="C459" s="0" t="str">
        <f aca="false">IF('Junior Makers Kits'!C148="","",'Junior Makers Kits'!C148)</f>
        <v>Jumper wires M-F</v>
      </c>
      <c r="D459" s="0" t="n">
        <f aca="false">IF('Junior Makers Kits'!D148="","",'Junior Makers Kits'!D148)</f>
        <v>8</v>
      </c>
      <c r="E459" s="0" t="str">
        <f aca="false">IF('Junior Makers Kits'!E148="","",'Junior Makers Kits'!E148)</f>
        <v>Per group</v>
      </c>
      <c r="F459" s="0" t="str">
        <f aca="false">IFERROR(INDEX('Session Tracker'!$M$5:$M$149,MATCH($A459,'Session Tracker'!$D$5:$D$149,0))+0,"")</f>
        <v/>
      </c>
      <c r="G459" s="0" t="str">
        <f aca="false">IF(ISNUMBER(F459),IF(OR(B459=0,B459=99,C459&lt;&gt;""),F459*100+B459,""),"")</f>
        <v/>
      </c>
      <c r="H459" s="0" t="n">
        <f aca="false">IFERROR(INDEX('Session Tracker'!$J$5:$J$149,MATCH($A459,'Session Tracker'!$D$5:$D$149,0)),0)</f>
        <v>8</v>
      </c>
      <c r="I459" s="0" t="n">
        <f aca="false">IF(OR(B459=0,B459=99,C459=""),"",IF(E459="Per class",D459,D459*H459))</f>
        <v>64</v>
      </c>
      <c r="N459" s="0" t="str">
        <f aca="false">IF('Junior Makers Kits'!B148="","",'Junior Makers Kits'!B148)</f>
        <v>Wiring &amp; Prototyping</v>
      </c>
      <c r="O459" s="0" t="str">
        <f aca="false">IF('Junior Makers Kits'!F148="","",'Junior Makers Kits'!F148)</f>
        <v>Reusable</v>
      </c>
      <c r="P459" s="0" t="str">
        <f aca="false">IF('Junior Makers Kits'!G148="","",'Junior Makers Kits'!G148)</f>
        <v/>
      </c>
    </row>
    <row r="460" customFormat="false" ht="15" hidden="false" customHeight="false" outlineLevel="0" collapsed="false">
      <c r="A460" s="0" t="s">
        <v>166</v>
      </c>
      <c r="B460" s="0" t="n">
        <v>12</v>
      </c>
      <c r="C460" s="0" t="str">
        <f aca="false">IF('Junior Makers Kits'!C149="","",'Junior Makers Kits'!C149)</f>
        <v>Laptop</v>
      </c>
      <c r="D460" s="0" t="n">
        <f aca="false">IF('Junior Makers Kits'!D149="","",'Junior Makers Kits'!D149)</f>
        <v>1</v>
      </c>
      <c r="E460" s="0" t="str">
        <f aca="false">IF('Junior Makers Kits'!E149="","",'Junior Makers Kits'!E149)</f>
        <v>Per group</v>
      </c>
      <c r="F460" s="0" t="str">
        <f aca="false">IFERROR(INDEX('Session Tracker'!$M$5:$M$149,MATCH($A460,'Session Tracker'!$D$5:$D$149,0))+0,"")</f>
        <v/>
      </c>
      <c r="G460" s="0" t="str">
        <f aca="false">IF(ISNUMBER(F460),IF(OR(B460=0,B460=99,C460&lt;&gt;""),F460*100+B460,""),"")</f>
        <v/>
      </c>
      <c r="H460" s="0" t="n">
        <f aca="false">IFERROR(INDEX('Session Tracker'!$J$5:$J$149,MATCH($A460,'Session Tracker'!$D$5:$D$149,0)),0)</f>
        <v>8</v>
      </c>
      <c r="I460" s="0" t="n">
        <f aca="false">IF(OR(B460=0,B460=99,C460=""),"",IF(E460="Per class",D460,D460*H460))</f>
        <v>8</v>
      </c>
      <c r="N460" s="0" t="str">
        <f aca="false">IF('Junior Makers Kits'!B149="","",'Junior Makers Kits'!B149)</f>
        <v>Computers &amp; Equipment</v>
      </c>
      <c r="O460" s="0" t="str">
        <f aca="false">IF('Junior Makers Kits'!F149="","",'Junior Makers Kits'!F149)</f>
        <v>Reusable</v>
      </c>
      <c r="P460" s="0" t="str">
        <f aca="false">IF('Junior Makers Kits'!G149="","",'Junior Makers Kits'!G149)</f>
        <v/>
      </c>
    </row>
    <row r="461" customFormat="false" ht="15" hidden="false" customHeight="false" outlineLevel="0" collapsed="false">
      <c r="A461" s="0" t="s">
        <v>166</v>
      </c>
      <c r="B461" s="0" t="n">
        <v>13</v>
      </c>
      <c r="C461" s="0" t="str">
        <f aca="false">IF('Junior Makers Kits'!C150="","",'Junior Makers Kits'!C150)</f>
        <v/>
      </c>
      <c r="D461" s="0" t="str">
        <f aca="false">IF('Junior Makers Kits'!D150="","",'Junior Makers Kits'!D150)</f>
        <v/>
      </c>
      <c r="E461" s="0" t="str">
        <f aca="false">IF('Junior Makers Kits'!E150="","",'Junior Makers Kits'!E150)</f>
        <v/>
      </c>
      <c r="F461" s="0" t="str">
        <f aca="false">IFERROR(INDEX('Session Tracker'!$M$5:$M$149,MATCH($A461,'Session Tracker'!$D$5:$D$149,0))+0,"")</f>
        <v/>
      </c>
      <c r="G461" s="0" t="str">
        <f aca="false">IF(ISNUMBER(F461),IF(OR(B461=0,B461=99,C461&lt;&gt;""),F461*100+B461,""),"")</f>
        <v/>
      </c>
      <c r="H461" s="0" t="n">
        <f aca="false">IFERROR(INDEX('Session Tracker'!$J$5:$J$149,MATCH($A461,'Session Tracker'!$D$5:$D$149,0)),0)</f>
        <v>8</v>
      </c>
      <c r="I461" s="0" t="str">
        <f aca="false">IF(OR(B461=0,B461=99,C461=""),"",IF(E461="Per class",D461,D461*H461))</f>
        <v/>
      </c>
      <c r="N461" s="0" t="str">
        <f aca="false">IF('Junior Makers Kits'!B150="","",'Junior Makers Kits'!B150)</f>
        <v/>
      </c>
      <c r="O461" s="0" t="str">
        <f aca="false">IF('Junior Makers Kits'!F150="","",'Junior Makers Kits'!F150)</f>
        <v/>
      </c>
      <c r="P461" s="0" t="str">
        <f aca="false">IF('Junior Makers Kits'!G150="","",'Junior Makers Kits'!G150)</f>
        <v/>
      </c>
    </row>
    <row r="462" customFormat="false" ht="15" hidden="false" customHeight="false" outlineLevel="0" collapsed="false">
      <c r="A462" s="0" t="s">
        <v>166</v>
      </c>
      <c r="B462" s="0" t="n">
        <v>14</v>
      </c>
      <c r="C462" s="0" t="str">
        <f aca="false">IF('Junior Makers Kits'!C151="","",'Junior Makers Kits'!C151)</f>
        <v/>
      </c>
      <c r="D462" s="0" t="str">
        <f aca="false">IF('Junior Makers Kits'!D151="","",'Junior Makers Kits'!D151)</f>
        <v/>
      </c>
      <c r="E462" s="0" t="str">
        <f aca="false">IF('Junior Makers Kits'!E151="","",'Junior Makers Kits'!E151)</f>
        <v/>
      </c>
      <c r="F462" s="0" t="str">
        <f aca="false">IFERROR(INDEX('Session Tracker'!$M$5:$M$149,MATCH($A462,'Session Tracker'!$D$5:$D$149,0))+0,"")</f>
        <v/>
      </c>
      <c r="G462" s="0" t="str">
        <f aca="false">IF(ISNUMBER(F462),IF(OR(B462=0,B462=99,C462&lt;&gt;""),F462*100+B462,""),"")</f>
        <v/>
      </c>
      <c r="H462" s="0" t="n">
        <f aca="false">IFERROR(INDEX('Session Tracker'!$J$5:$J$149,MATCH($A462,'Session Tracker'!$D$5:$D$149,0)),0)</f>
        <v>8</v>
      </c>
      <c r="I462" s="0" t="str">
        <f aca="false">IF(OR(B462=0,B462=99,C462=""),"",IF(E462="Per class",D462,D462*H462))</f>
        <v/>
      </c>
      <c r="N462" s="0" t="str">
        <f aca="false">IF('Junior Makers Kits'!B151="","",'Junior Makers Kits'!B151)</f>
        <v/>
      </c>
      <c r="O462" s="0" t="str">
        <f aca="false">IF('Junior Makers Kits'!F151="","",'Junior Makers Kits'!F151)</f>
        <v/>
      </c>
      <c r="P462" s="0" t="str">
        <f aca="false">IF('Junior Makers Kits'!G151="","",'Junior Makers Kits'!G151)</f>
        <v/>
      </c>
    </row>
    <row r="463" customFormat="false" ht="15" hidden="false" customHeight="false" outlineLevel="0" collapsed="false">
      <c r="A463" s="0" t="s">
        <v>168</v>
      </c>
      <c r="B463" s="0" t="n">
        <v>0</v>
      </c>
      <c r="F463" s="0" t="str">
        <f aca="false">IFERROR(INDEX('Session Tracker'!$M$5:$M$149,MATCH($A463,'Session Tracker'!$D$5:$D$149,0))+0,"")</f>
        <v/>
      </c>
      <c r="G463" s="0" t="str">
        <f aca="false">IF(ISNUMBER(F463),IF(OR(B463=0,B463=99,C463&lt;&gt;""),F463*100+B463,""),"")</f>
        <v/>
      </c>
      <c r="H463" s="0" t="n">
        <f aca="false">IFERROR(INDEX('Session Tracker'!$J$5:$J$149,MATCH($A463,'Session Tracker'!$D$5:$D$149,0)),0)</f>
        <v>8</v>
      </c>
      <c r="I463" s="0" t="str">
        <f aca="false">IF(OR(B463=0,B463=99,C463=""),"",IF(E463="Per class",D463,D463*H463))</f>
        <v/>
      </c>
      <c r="K463" s="0" t="str">
        <f aca="false">IFERROR(INDEX('Session Tracker'!$E$5:$E$149,MATCH($A463,'Session Tracker'!$D$5:$D$149,0)),"")</f>
        <v>Temperature-Controlled Smart Fan</v>
      </c>
      <c r="L463" s="0" t="str">
        <f aca="false">IFERROR(INDEX('Session Tracker'!$A$5:$A$149,MATCH($A463,'Session Tracker'!$D$5:$D$149,0)),"")</f>
        <v>Junior Makers (8-11)</v>
      </c>
      <c r="M463" s="0" t="str">
        <f aca="false">IFERROR(INDEX('Session Tracker'!$H$5:$H$149,MATCH($A463,'Session Tracker'!$D$5:$D$149,0))&amp;"","")</f>
        <v/>
      </c>
      <c r="Q463" s="0" t="str">
        <f aca="false">IFERROR("Status: "&amp;INDEX('Session Tracker'!$F$5:$F$149,MATCH($A463,'Session Tracker'!$D$5:$D$149,0))&amp;IF(INDEX('Session Tracker'!$G$5:$G$149,MATCH($A463,'Session Tracker'!$D$5:$D$149,0))&lt;&gt;""," ("&amp;INDEX('Session Tracker'!$G$5:$G$149,MATCH($A463,'Session Tracker'!$D$5:$D$149,0))&amp;")","")&amp;IF(M463&lt;&gt;"","  "&amp;M463,""),"")</f>
        <v>Status: Not started</v>
      </c>
    </row>
    <row r="464" customFormat="false" ht="15" hidden="false" customHeight="false" outlineLevel="0" collapsed="false">
      <c r="A464" s="0" t="s">
        <v>168</v>
      </c>
      <c r="B464" s="0" t="n">
        <v>1</v>
      </c>
      <c r="C464" s="0" t="str">
        <f aca="false">IF('Junior Makers Kits'!C154="","",'Junior Makers Kits'!C154)</f>
        <v>Arduino Uno + USB cable</v>
      </c>
      <c r="D464" s="0" t="n">
        <f aca="false">IF('Junior Makers Kits'!D154="","",'Junior Makers Kits'!D154)</f>
        <v>1</v>
      </c>
      <c r="E464" s="0" t="str">
        <f aca="false">IF('Junior Makers Kits'!E154="","",'Junior Makers Kits'!E154)</f>
        <v>Per group</v>
      </c>
      <c r="F464" s="0" t="str">
        <f aca="false">IFERROR(INDEX('Session Tracker'!$M$5:$M$149,MATCH($A464,'Session Tracker'!$D$5:$D$149,0))+0,"")</f>
        <v/>
      </c>
      <c r="G464" s="0" t="str">
        <f aca="false">IF(ISNUMBER(F464),IF(OR(B464=0,B464=99,C464&lt;&gt;""),F464*100+B464,""),"")</f>
        <v/>
      </c>
      <c r="H464" s="0" t="n">
        <f aca="false">IFERROR(INDEX('Session Tracker'!$J$5:$J$149,MATCH($A464,'Session Tracker'!$D$5:$D$149,0)),0)</f>
        <v>8</v>
      </c>
      <c r="I464" s="0" t="n">
        <f aca="false">IF(OR(B464=0,B464=99,C464=""),"",IF(E464="Per class",D464,D464*H464))</f>
        <v>8</v>
      </c>
      <c r="N464" s="0" t="str">
        <f aca="false">IF('Junior Makers Kits'!B154="","",'Junior Makers Kits'!B154)</f>
        <v>Microcontrollers &amp; Dev Boards</v>
      </c>
      <c r="O464" s="0" t="str">
        <f aca="false">IF('Junior Makers Kits'!F154="","",'Junior Makers Kits'!F154)</f>
        <v>Reusable</v>
      </c>
      <c r="P464" s="0" t="str">
        <f aca="false">IF('Junior Makers Kits'!G154="","",'Junior Makers Kits'!G154)</f>
        <v/>
      </c>
    </row>
    <row r="465" customFormat="false" ht="15" hidden="false" customHeight="false" outlineLevel="0" collapsed="false">
      <c r="A465" s="0" t="s">
        <v>168</v>
      </c>
      <c r="B465" s="0" t="n">
        <v>2</v>
      </c>
      <c r="C465" s="0" t="str">
        <f aca="false">IF('Junior Makers Kits'!C155="","",'Junior Makers Kits'!C155)</f>
        <v>DHT22 sensor</v>
      </c>
      <c r="D465" s="0" t="n">
        <f aca="false">IF('Junior Makers Kits'!D155="","",'Junior Makers Kits'!D155)</f>
        <v>1</v>
      </c>
      <c r="E465" s="0" t="str">
        <f aca="false">IF('Junior Makers Kits'!E155="","",'Junior Makers Kits'!E155)</f>
        <v>Per group</v>
      </c>
      <c r="F465" s="0" t="str">
        <f aca="false">IFERROR(INDEX('Session Tracker'!$M$5:$M$149,MATCH($A465,'Session Tracker'!$D$5:$D$149,0))+0,"")</f>
        <v/>
      </c>
      <c r="G465" s="0" t="str">
        <f aca="false">IF(ISNUMBER(F465),IF(OR(B465=0,B465=99,C465&lt;&gt;""),F465*100+B465,""),"")</f>
        <v/>
      </c>
      <c r="H465" s="0" t="n">
        <f aca="false">IFERROR(INDEX('Session Tracker'!$J$5:$J$149,MATCH($A465,'Session Tracker'!$D$5:$D$149,0)),0)</f>
        <v>8</v>
      </c>
      <c r="I465" s="0" t="n">
        <f aca="false">IF(OR(B465=0,B465=99,C465=""),"",IF(E465="Per class",D465,D465*H465))</f>
        <v>8</v>
      </c>
      <c r="N465" s="0" t="str">
        <f aca="false">IF('Junior Makers Kits'!B155="","",'Junior Makers Kits'!B155)</f>
        <v>Sensors</v>
      </c>
      <c r="O465" s="0" t="str">
        <f aca="false">IF('Junior Makers Kits'!F155="","",'Junior Makers Kits'!F155)</f>
        <v>Reusable</v>
      </c>
      <c r="P465" s="0" t="str">
        <f aca="false">IF('Junior Makers Kits'!G155="","",'Junior Makers Kits'!G155)</f>
        <v/>
      </c>
    </row>
    <row r="466" customFormat="false" ht="15" hidden="false" customHeight="false" outlineLevel="0" collapsed="false">
      <c r="A466" s="0" t="s">
        <v>168</v>
      </c>
      <c r="B466" s="0" t="n">
        <v>3</v>
      </c>
      <c r="C466" s="0" t="str">
        <f aca="false">IF('Junior Makers Kits'!C156="","",'Junior Makers Kits'!C156)</f>
        <v>DC hobby motor</v>
      </c>
      <c r="D466" s="0" t="n">
        <f aca="false">IF('Junior Makers Kits'!D156="","",'Junior Makers Kits'!D156)</f>
        <v>1</v>
      </c>
      <c r="E466" s="0" t="str">
        <f aca="false">IF('Junior Makers Kits'!E156="","",'Junior Makers Kits'!E156)</f>
        <v>Per group</v>
      </c>
      <c r="F466" s="0" t="str">
        <f aca="false">IFERROR(INDEX('Session Tracker'!$M$5:$M$149,MATCH($A466,'Session Tracker'!$D$5:$D$149,0))+0,"")</f>
        <v/>
      </c>
      <c r="G466" s="0" t="str">
        <f aca="false">IF(ISNUMBER(F466),IF(OR(B466=0,B466=99,C466&lt;&gt;""),F466*100+B466,""),"")</f>
        <v/>
      </c>
      <c r="H466" s="0" t="n">
        <f aca="false">IFERROR(INDEX('Session Tracker'!$J$5:$J$149,MATCH($A466,'Session Tracker'!$D$5:$D$149,0)),0)</f>
        <v>8</v>
      </c>
      <c r="I466" s="0" t="n">
        <f aca="false">IF(OR(B466=0,B466=99,C466=""),"",IF(E466="Per class",D466,D466*H466))</f>
        <v>8</v>
      </c>
      <c r="N466" s="0" t="str">
        <f aca="false">IF('Junior Makers Kits'!B156="","",'Junior Makers Kits'!B156)</f>
        <v>Actuators &amp; Motor Drivers</v>
      </c>
      <c r="O466" s="0" t="str">
        <f aca="false">IF('Junior Makers Kits'!F156="","",'Junior Makers Kits'!F156)</f>
        <v>Reusable</v>
      </c>
      <c r="P466" s="0" t="str">
        <f aca="false">IF('Junior Makers Kits'!G156="","",'Junior Makers Kits'!G156)</f>
        <v>With fan blade</v>
      </c>
    </row>
    <row r="467" customFormat="false" ht="15" hidden="false" customHeight="false" outlineLevel="0" collapsed="false">
      <c r="A467" s="0" t="s">
        <v>168</v>
      </c>
      <c r="B467" s="0" t="n">
        <v>4</v>
      </c>
      <c r="C467" s="0" t="str">
        <f aca="false">IF('Junior Makers Kits'!C157="","",'Junior Makers Kits'!C157)</f>
        <v>L298N motor driver</v>
      </c>
      <c r="D467" s="0" t="n">
        <f aca="false">IF('Junior Makers Kits'!D157="","",'Junior Makers Kits'!D157)</f>
        <v>1</v>
      </c>
      <c r="E467" s="0" t="str">
        <f aca="false">IF('Junior Makers Kits'!E157="","",'Junior Makers Kits'!E157)</f>
        <v>Per group</v>
      </c>
      <c r="F467" s="0" t="str">
        <f aca="false">IFERROR(INDEX('Session Tracker'!$M$5:$M$149,MATCH($A467,'Session Tracker'!$D$5:$D$149,0))+0,"")</f>
        <v/>
      </c>
      <c r="G467" s="0" t="str">
        <f aca="false">IF(ISNUMBER(F467),IF(OR(B467=0,B467=99,C467&lt;&gt;""),F467*100+B467,""),"")</f>
        <v/>
      </c>
      <c r="H467" s="0" t="n">
        <f aca="false">IFERROR(INDEX('Session Tracker'!$J$5:$J$149,MATCH($A467,'Session Tracker'!$D$5:$D$149,0)),0)</f>
        <v>8</v>
      </c>
      <c r="I467" s="0" t="n">
        <f aca="false">IF(OR(B467=0,B467=99,C467=""),"",IF(E467="Per class",D467,D467*H467))</f>
        <v>8</v>
      </c>
      <c r="N467" s="0" t="str">
        <f aca="false">IF('Junior Makers Kits'!B157="","",'Junior Makers Kits'!B157)</f>
        <v>Actuators &amp; Motor Drivers</v>
      </c>
      <c r="O467" s="0" t="str">
        <f aca="false">IF('Junior Makers Kits'!F157="","",'Junior Makers Kits'!F157)</f>
        <v>Reusable</v>
      </c>
      <c r="P467" s="0" t="str">
        <f aca="false">IF('Junior Makers Kits'!G157="","",'Junior Makers Kits'!G157)</f>
        <v/>
      </c>
    </row>
    <row r="468" customFormat="false" ht="15" hidden="false" customHeight="false" outlineLevel="0" collapsed="false">
      <c r="A468" s="0" t="s">
        <v>168</v>
      </c>
      <c r="B468" s="0" t="n">
        <v>5</v>
      </c>
      <c r="C468" s="0" t="str">
        <f aca="false">IF('Junior Makers Kits'!C158="","",'Junior Makers Kits'!C158)</f>
        <v>Potentiometer 10k</v>
      </c>
      <c r="D468" s="0" t="n">
        <f aca="false">IF('Junior Makers Kits'!D158="","",'Junior Makers Kits'!D158)</f>
        <v>1</v>
      </c>
      <c r="E468" s="0" t="str">
        <f aca="false">IF('Junior Makers Kits'!E158="","",'Junior Makers Kits'!E158)</f>
        <v>Per group</v>
      </c>
      <c r="F468" s="0" t="str">
        <f aca="false">IFERROR(INDEX('Session Tracker'!$M$5:$M$149,MATCH($A468,'Session Tracker'!$D$5:$D$149,0))+0,"")</f>
        <v/>
      </c>
      <c r="G468" s="0" t="str">
        <f aca="false">IF(ISNUMBER(F468),IF(OR(B468=0,B468=99,C468&lt;&gt;""),F468*100+B468,""),"")</f>
        <v/>
      </c>
      <c r="H468" s="0" t="n">
        <f aca="false">IFERROR(INDEX('Session Tracker'!$J$5:$J$149,MATCH($A468,'Session Tracker'!$D$5:$D$149,0)),0)</f>
        <v>8</v>
      </c>
      <c r="I468" s="0" t="n">
        <f aca="false">IF(OR(B468=0,B468=99,C468=""),"",IF(E468="Per class",D468,D468*H468))</f>
        <v>8</v>
      </c>
      <c r="N468" s="0" t="str">
        <f aca="false">IF('Junior Makers Kits'!B158="","",'Junior Makers Kits'!B158)</f>
        <v>Passive Components &amp; ICs</v>
      </c>
      <c r="O468" s="0" t="str">
        <f aca="false">IF('Junior Makers Kits'!F158="","",'Junior Makers Kits'!F158)</f>
        <v>Reusable</v>
      </c>
      <c r="P468" s="0" t="str">
        <f aca="false">IF('Junior Makers Kits'!G158="","",'Junior Makers Kits'!G158)</f>
        <v/>
      </c>
    </row>
    <row r="469" customFormat="false" ht="15" hidden="false" customHeight="false" outlineLevel="0" collapsed="false">
      <c r="A469" s="0" t="s">
        <v>168</v>
      </c>
      <c r="B469" s="0" t="n">
        <v>6</v>
      </c>
      <c r="C469" s="0" t="str">
        <f aca="false">IF('Junior Makers Kits'!C159="","",'Junior Makers Kits'!C159)</f>
        <v>OLED 0.96 in I2C</v>
      </c>
      <c r="D469" s="0" t="n">
        <f aca="false">IF('Junior Makers Kits'!D159="","",'Junior Makers Kits'!D159)</f>
        <v>1</v>
      </c>
      <c r="E469" s="0" t="str">
        <f aca="false">IF('Junior Makers Kits'!E159="","",'Junior Makers Kits'!E159)</f>
        <v>Per group</v>
      </c>
      <c r="F469" s="0" t="str">
        <f aca="false">IFERROR(INDEX('Session Tracker'!$M$5:$M$149,MATCH($A469,'Session Tracker'!$D$5:$D$149,0))+0,"")</f>
        <v/>
      </c>
      <c r="G469" s="0" t="str">
        <f aca="false">IF(ISNUMBER(F469),IF(OR(B469=0,B469=99,C469&lt;&gt;""),F469*100+B469,""),"")</f>
        <v/>
      </c>
      <c r="H469" s="0" t="n">
        <f aca="false">IFERROR(INDEX('Session Tracker'!$J$5:$J$149,MATCH($A469,'Session Tracker'!$D$5:$D$149,0)),0)</f>
        <v>8</v>
      </c>
      <c r="I469" s="0" t="n">
        <f aca="false">IF(OR(B469=0,B469=99,C469=""),"",IF(E469="Per class",D469,D469*H469))</f>
        <v>8</v>
      </c>
      <c r="N469" s="0" t="str">
        <f aca="false">IF('Junior Makers Kits'!B159="","",'Junior Makers Kits'!B159)</f>
        <v>Displays &amp; Output</v>
      </c>
      <c r="O469" s="0" t="str">
        <f aca="false">IF('Junior Makers Kits'!F159="","",'Junior Makers Kits'!F159)</f>
        <v>Reusable</v>
      </c>
      <c r="P469" s="0" t="str">
        <f aca="false">IF('Junior Makers Kits'!G159="","",'Junior Makers Kits'!G159)</f>
        <v/>
      </c>
    </row>
    <row r="470" customFormat="false" ht="15" hidden="false" customHeight="false" outlineLevel="0" collapsed="false">
      <c r="A470" s="0" t="s">
        <v>168</v>
      </c>
      <c r="B470" s="0" t="n">
        <v>7</v>
      </c>
      <c r="C470" s="0" t="str">
        <f aca="false">IF('Junior Makers Kits'!C160="","",'Junior Makers Kits'!C160)</f>
        <v>4xAA battery pack</v>
      </c>
      <c r="D470" s="0" t="n">
        <f aca="false">IF('Junior Makers Kits'!D160="","",'Junior Makers Kits'!D160)</f>
        <v>1</v>
      </c>
      <c r="E470" s="0" t="str">
        <f aca="false">IF('Junior Makers Kits'!E160="","",'Junior Makers Kits'!E160)</f>
        <v>Per group</v>
      </c>
      <c r="F470" s="0" t="str">
        <f aca="false">IFERROR(INDEX('Session Tracker'!$M$5:$M$149,MATCH($A470,'Session Tracker'!$D$5:$D$149,0))+0,"")</f>
        <v/>
      </c>
      <c r="G470" s="0" t="str">
        <f aca="false">IF(ISNUMBER(F470),IF(OR(B470=0,B470=99,C470&lt;&gt;""),F470*100+B470,""),"")</f>
        <v/>
      </c>
      <c r="H470" s="0" t="n">
        <f aca="false">IFERROR(INDEX('Session Tracker'!$J$5:$J$149,MATCH($A470,'Session Tracker'!$D$5:$D$149,0)),0)</f>
        <v>8</v>
      </c>
      <c r="I470" s="0" t="n">
        <f aca="false">IF(OR(B470=0,B470=99,C470=""),"",IF(E470="Per class",D470,D470*H470))</f>
        <v>8</v>
      </c>
      <c r="N470" s="0" t="str">
        <f aca="false">IF('Junior Makers Kits'!B160="","",'Junior Makers Kits'!B160)</f>
        <v>Power</v>
      </c>
      <c r="O470" s="0" t="str">
        <f aca="false">IF('Junior Makers Kits'!F160="","",'Junior Makers Kits'!F160)</f>
        <v>Consumable</v>
      </c>
      <c r="P470" s="0" t="str">
        <f aca="false">IF('Junior Makers Kits'!G160="","",'Junior Makers Kits'!G160)</f>
        <v>Motor power</v>
      </c>
    </row>
    <row r="471" customFormat="false" ht="15" hidden="false" customHeight="false" outlineLevel="0" collapsed="false">
      <c r="A471" s="0" t="s">
        <v>168</v>
      </c>
      <c r="B471" s="0" t="n">
        <v>8</v>
      </c>
      <c r="C471" s="0" t="str">
        <f aca="false">IF('Junior Makers Kits'!C161="","",'Junior Makers Kits'!C161)</f>
        <v>Breadboard (half size)</v>
      </c>
      <c r="D471" s="0" t="n">
        <f aca="false">IF('Junior Makers Kits'!D161="","",'Junior Makers Kits'!D161)</f>
        <v>1</v>
      </c>
      <c r="E471" s="0" t="str">
        <f aca="false">IF('Junior Makers Kits'!E161="","",'Junior Makers Kits'!E161)</f>
        <v>Per group</v>
      </c>
      <c r="F471" s="0" t="str">
        <f aca="false">IFERROR(INDEX('Session Tracker'!$M$5:$M$149,MATCH($A471,'Session Tracker'!$D$5:$D$149,0))+0,"")</f>
        <v/>
      </c>
      <c r="G471" s="0" t="str">
        <f aca="false">IF(ISNUMBER(F471),IF(OR(B471=0,B471=99,C471&lt;&gt;""),F471*100+B471,""),"")</f>
        <v/>
      </c>
      <c r="H471" s="0" t="n">
        <f aca="false">IFERROR(INDEX('Session Tracker'!$J$5:$J$149,MATCH($A471,'Session Tracker'!$D$5:$D$149,0)),0)</f>
        <v>8</v>
      </c>
      <c r="I471" s="0" t="n">
        <f aca="false">IF(OR(B471=0,B471=99,C471=""),"",IF(E471="Per class",D471,D471*H471))</f>
        <v>8</v>
      </c>
      <c r="N471" s="0" t="str">
        <f aca="false">IF('Junior Makers Kits'!B161="","",'Junior Makers Kits'!B161)</f>
        <v>Wiring &amp; Prototyping</v>
      </c>
      <c r="O471" s="0" t="str">
        <f aca="false">IF('Junior Makers Kits'!F161="","",'Junior Makers Kits'!F161)</f>
        <v>Reusable</v>
      </c>
      <c r="P471" s="0" t="str">
        <f aca="false">IF('Junior Makers Kits'!G161="","",'Junior Makers Kits'!G161)</f>
        <v/>
      </c>
    </row>
    <row r="472" customFormat="false" ht="15" hidden="false" customHeight="false" outlineLevel="0" collapsed="false">
      <c r="A472" s="0" t="s">
        <v>168</v>
      </c>
      <c r="B472" s="0" t="n">
        <v>9</v>
      </c>
      <c r="C472" s="0" t="str">
        <f aca="false">IF('Junior Makers Kits'!C162="","",'Junior Makers Kits'!C162)</f>
        <v>Jumper wires M-M</v>
      </c>
      <c r="D472" s="0" t="n">
        <f aca="false">IF('Junior Makers Kits'!D162="","",'Junior Makers Kits'!D162)</f>
        <v>12</v>
      </c>
      <c r="E472" s="0" t="str">
        <f aca="false">IF('Junior Makers Kits'!E162="","",'Junior Makers Kits'!E162)</f>
        <v>Per group</v>
      </c>
      <c r="F472" s="0" t="str">
        <f aca="false">IFERROR(INDEX('Session Tracker'!$M$5:$M$149,MATCH($A472,'Session Tracker'!$D$5:$D$149,0))+0,"")</f>
        <v/>
      </c>
      <c r="G472" s="0" t="str">
        <f aca="false">IF(ISNUMBER(F472),IF(OR(B472=0,B472=99,C472&lt;&gt;""),F472*100+B472,""),"")</f>
        <v/>
      </c>
      <c r="H472" s="0" t="n">
        <f aca="false">IFERROR(INDEX('Session Tracker'!$J$5:$J$149,MATCH($A472,'Session Tracker'!$D$5:$D$149,0)),0)</f>
        <v>8</v>
      </c>
      <c r="I472" s="0" t="n">
        <f aca="false">IF(OR(B472=0,B472=99,C472=""),"",IF(E472="Per class",D472,D472*H472))</f>
        <v>96</v>
      </c>
      <c r="N472" s="0" t="str">
        <f aca="false">IF('Junior Makers Kits'!B162="","",'Junior Makers Kits'!B162)</f>
        <v>Wiring &amp; Prototyping</v>
      </c>
      <c r="O472" s="0" t="str">
        <f aca="false">IF('Junior Makers Kits'!F162="","",'Junior Makers Kits'!F162)</f>
        <v>Reusable</v>
      </c>
      <c r="P472" s="0" t="str">
        <f aca="false">IF('Junior Makers Kits'!G162="","",'Junior Makers Kits'!G162)</f>
        <v/>
      </c>
    </row>
    <row r="473" customFormat="false" ht="15" hidden="false" customHeight="false" outlineLevel="0" collapsed="false">
      <c r="A473" s="0" t="s">
        <v>168</v>
      </c>
      <c r="B473" s="0" t="n">
        <v>10</v>
      </c>
      <c r="C473" s="0" t="str">
        <f aca="false">IF('Junior Makers Kits'!C163="","",'Junior Makers Kits'!C163)</f>
        <v>Jumper wires M-F</v>
      </c>
      <c r="D473" s="0" t="n">
        <f aca="false">IF('Junior Makers Kits'!D163="","",'Junior Makers Kits'!D163)</f>
        <v>8</v>
      </c>
      <c r="E473" s="0" t="str">
        <f aca="false">IF('Junior Makers Kits'!E163="","",'Junior Makers Kits'!E163)</f>
        <v>Per group</v>
      </c>
      <c r="F473" s="0" t="str">
        <f aca="false">IFERROR(INDEX('Session Tracker'!$M$5:$M$149,MATCH($A473,'Session Tracker'!$D$5:$D$149,0))+0,"")</f>
        <v/>
      </c>
      <c r="G473" s="0" t="str">
        <f aca="false">IF(ISNUMBER(F473),IF(OR(B473=0,B473=99,C473&lt;&gt;""),F473*100+B473,""),"")</f>
        <v/>
      </c>
      <c r="H473" s="0" t="n">
        <f aca="false">IFERROR(INDEX('Session Tracker'!$J$5:$J$149,MATCH($A473,'Session Tracker'!$D$5:$D$149,0)),0)</f>
        <v>8</v>
      </c>
      <c r="I473" s="0" t="n">
        <f aca="false">IF(OR(B473=0,B473=99,C473=""),"",IF(E473="Per class",D473,D473*H473))</f>
        <v>64</v>
      </c>
      <c r="N473" s="0" t="str">
        <f aca="false">IF('Junior Makers Kits'!B163="","",'Junior Makers Kits'!B163)</f>
        <v>Wiring &amp; Prototyping</v>
      </c>
      <c r="O473" s="0" t="str">
        <f aca="false">IF('Junior Makers Kits'!F163="","",'Junior Makers Kits'!F163)</f>
        <v>Reusable</v>
      </c>
      <c r="P473" s="0" t="str">
        <f aca="false">IF('Junior Makers Kits'!G163="","",'Junior Makers Kits'!G163)</f>
        <v/>
      </c>
    </row>
    <row r="474" customFormat="false" ht="15" hidden="false" customHeight="false" outlineLevel="0" collapsed="false">
      <c r="A474" s="0" t="s">
        <v>168</v>
      </c>
      <c r="B474" s="0" t="n">
        <v>11</v>
      </c>
      <c r="C474" s="0" t="str">
        <f aca="false">IF('Junior Makers Kits'!C164="","",'Junior Makers Kits'!C164)</f>
        <v>Laptop</v>
      </c>
      <c r="D474" s="0" t="n">
        <f aca="false">IF('Junior Makers Kits'!D164="","",'Junior Makers Kits'!D164)</f>
        <v>1</v>
      </c>
      <c r="E474" s="0" t="str">
        <f aca="false">IF('Junior Makers Kits'!E164="","",'Junior Makers Kits'!E164)</f>
        <v>Per group</v>
      </c>
      <c r="F474" s="0" t="str">
        <f aca="false">IFERROR(INDEX('Session Tracker'!$M$5:$M$149,MATCH($A474,'Session Tracker'!$D$5:$D$149,0))+0,"")</f>
        <v/>
      </c>
      <c r="G474" s="0" t="str">
        <f aca="false">IF(ISNUMBER(F474),IF(OR(B474=0,B474=99,C474&lt;&gt;""),F474*100+B474,""),"")</f>
        <v/>
      </c>
      <c r="H474" s="0" t="n">
        <f aca="false">IFERROR(INDEX('Session Tracker'!$J$5:$J$149,MATCH($A474,'Session Tracker'!$D$5:$D$149,0)),0)</f>
        <v>8</v>
      </c>
      <c r="I474" s="0" t="n">
        <f aca="false">IF(OR(B474=0,B474=99,C474=""),"",IF(E474="Per class",D474,D474*H474))</f>
        <v>8</v>
      </c>
      <c r="N474" s="0" t="str">
        <f aca="false">IF('Junior Makers Kits'!B164="","",'Junior Makers Kits'!B164)</f>
        <v>Computers &amp; Equipment</v>
      </c>
      <c r="O474" s="0" t="str">
        <f aca="false">IF('Junior Makers Kits'!F164="","",'Junior Makers Kits'!F164)</f>
        <v>Reusable</v>
      </c>
      <c r="P474" s="0" t="str">
        <f aca="false">IF('Junior Makers Kits'!G164="","",'Junior Makers Kits'!G164)</f>
        <v/>
      </c>
    </row>
    <row r="475" customFormat="false" ht="15" hidden="false" customHeight="false" outlineLevel="0" collapsed="false">
      <c r="A475" s="0" t="s">
        <v>168</v>
      </c>
      <c r="B475" s="0" t="n">
        <v>12</v>
      </c>
      <c r="C475" s="0" t="str">
        <f aca="false">IF('Junior Makers Kits'!C165="","",'Junior Makers Kits'!C165)</f>
        <v>LED 5 mm (assorted)</v>
      </c>
      <c r="D475" s="0" t="n">
        <f aca="false">IF('Junior Makers Kits'!D165="","",'Junior Makers Kits'!D165)</f>
        <v>1</v>
      </c>
      <c r="E475" s="0" t="str">
        <f aca="false">IF('Junior Makers Kits'!E165="","",'Junior Makers Kits'!E165)</f>
        <v>Per group</v>
      </c>
      <c r="F475" s="0" t="str">
        <f aca="false">IFERROR(INDEX('Session Tracker'!$M$5:$M$149,MATCH($A475,'Session Tracker'!$D$5:$D$149,0))+0,"")</f>
        <v/>
      </c>
      <c r="G475" s="0" t="str">
        <f aca="false">IF(ISNUMBER(F475),IF(OR(B475=0,B475=99,C475&lt;&gt;""),F475*100+B475,""),"")</f>
        <v/>
      </c>
      <c r="H475" s="0" t="n">
        <f aca="false">IFERROR(INDEX('Session Tracker'!$J$5:$J$149,MATCH($A475,'Session Tracker'!$D$5:$D$149,0)),0)</f>
        <v>8</v>
      </c>
      <c r="I475" s="0" t="n">
        <f aca="false">IF(OR(B475=0,B475=99,C475=""),"",IF(E475="Per class",D475,D475*H475))</f>
        <v>8</v>
      </c>
      <c r="N475" s="0" t="str">
        <f aca="false">IF('Junior Makers Kits'!B165="","",'Junior Makers Kits'!B165)</f>
        <v>Displays &amp; Output</v>
      </c>
      <c r="O475" s="0" t="str">
        <f aca="false">IF('Junior Makers Kits'!F165="","",'Junior Makers Kits'!F165)</f>
        <v>Consumable</v>
      </c>
      <c r="P475" s="0" t="str">
        <f aca="false">IF('Junior Makers Kits'!G165="","",'Junior Makers Kits'!G165)</f>
        <v>Added: every Arduino class</v>
      </c>
    </row>
    <row r="476" customFormat="false" ht="15" hidden="false" customHeight="false" outlineLevel="0" collapsed="false">
      <c r="A476" s="0" t="s">
        <v>168</v>
      </c>
      <c r="B476" s="0" t="n">
        <v>13</v>
      </c>
      <c r="C476" s="0" t="str">
        <f aca="false">IF('Junior Makers Kits'!C166="","",'Junior Makers Kits'!C166)</f>
        <v>Resistor 220 ohm</v>
      </c>
      <c r="D476" s="0" t="n">
        <f aca="false">IF('Junior Makers Kits'!D166="","",'Junior Makers Kits'!D166)</f>
        <v>1</v>
      </c>
      <c r="E476" s="0" t="str">
        <f aca="false">IF('Junior Makers Kits'!E166="","",'Junior Makers Kits'!E166)</f>
        <v>Per group</v>
      </c>
      <c r="F476" s="0" t="str">
        <f aca="false">IFERROR(INDEX('Session Tracker'!$M$5:$M$149,MATCH($A476,'Session Tracker'!$D$5:$D$149,0))+0,"")</f>
        <v/>
      </c>
      <c r="G476" s="0" t="str">
        <f aca="false">IF(ISNUMBER(F476),IF(OR(B476=0,B476=99,C476&lt;&gt;""),F476*100+B476,""),"")</f>
        <v/>
      </c>
      <c r="H476" s="0" t="n">
        <f aca="false">IFERROR(INDEX('Session Tracker'!$J$5:$J$149,MATCH($A476,'Session Tracker'!$D$5:$D$149,0)),0)</f>
        <v>8</v>
      </c>
      <c r="I476" s="0" t="n">
        <f aca="false">IF(OR(B476=0,B476=99,C476=""),"",IF(E476="Per class",D476,D476*H476))</f>
        <v>8</v>
      </c>
      <c r="N476" s="0" t="str">
        <f aca="false">IF('Junior Makers Kits'!B166="","",'Junior Makers Kits'!B166)</f>
        <v>Passive Components &amp; ICs</v>
      </c>
      <c r="O476" s="0" t="str">
        <f aca="false">IF('Junior Makers Kits'!F166="","",'Junior Makers Kits'!F166)</f>
        <v>Consumable</v>
      </c>
      <c r="P476" s="0" t="str">
        <f aca="false">IF('Junior Makers Kits'!G166="","",'Junior Makers Kits'!G166)</f>
        <v>Added: for the LED</v>
      </c>
    </row>
    <row r="477" customFormat="false" ht="15" hidden="false" customHeight="false" outlineLevel="0" collapsed="false">
      <c r="A477" s="0" t="s">
        <v>168</v>
      </c>
      <c r="B477" s="0" t="n">
        <v>14</v>
      </c>
      <c r="C477" s="0" t="str">
        <f aca="false">IF('Junior Makers Kits'!C167="","",'Junior Makers Kits'!C167)</f>
        <v>Buzzer</v>
      </c>
      <c r="D477" s="0" t="n">
        <f aca="false">IF('Junior Makers Kits'!D167="","",'Junior Makers Kits'!D167)</f>
        <v>1</v>
      </c>
      <c r="E477" s="0" t="str">
        <f aca="false">IF('Junior Makers Kits'!E167="","",'Junior Makers Kits'!E167)</f>
        <v>Per group</v>
      </c>
      <c r="F477" s="0" t="str">
        <f aca="false">IFERROR(INDEX('Session Tracker'!$M$5:$M$149,MATCH($A477,'Session Tracker'!$D$5:$D$149,0))+0,"")</f>
        <v/>
      </c>
      <c r="G477" s="0" t="str">
        <f aca="false">IF(ISNUMBER(F477),IF(OR(B477=0,B477=99,C477&lt;&gt;""),F477*100+B477,""),"")</f>
        <v/>
      </c>
      <c r="H477" s="0" t="n">
        <f aca="false">IFERROR(INDEX('Session Tracker'!$J$5:$J$149,MATCH($A477,'Session Tracker'!$D$5:$D$149,0)),0)</f>
        <v>8</v>
      </c>
      <c r="I477" s="0" t="n">
        <f aca="false">IF(OR(B477=0,B477=99,C477=""),"",IF(E477="Per class",D477,D477*H477))</f>
        <v>8</v>
      </c>
      <c r="N477" s="0" t="str">
        <f aca="false">IF('Junior Makers Kits'!B167="","",'Junior Makers Kits'!B167)</f>
        <v>Actuators &amp; Motor Drivers</v>
      </c>
      <c r="O477" s="0" t="str">
        <f aca="false">IF('Junior Makers Kits'!F167="","",'Junior Makers Kits'!F167)</f>
        <v>Reusable</v>
      </c>
      <c r="P477" s="0" t="str">
        <f aca="false">IF('Junior Makers Kits'!G167="","",'Junior Makers Kits'!G167)</f>
        <v>Added: every Arduino class</v>
      </c>
    </row>
    <row r="478" customFormat="false" ht="15" hidden="false" customHeight="false" outlineLevel="0" collapsed="false">
      <c r="A478" s="0" t="s">
        <v>168</v>
      </c>
      <c r="B478" s="0" t="n">
        <v>15</v>
      </c>
      <c r="C478" s="0" t="str">
        <f aca="false">IF('Junior Makers Kits'!C168="","",'Junior Makers Kits'!C168)</f>
        <v/>
      </c>
      <c r="D478" s="0" t="str">
        <f aca="false">IF('Junior Makers Kits'!D168="","",'Junior Makers Kits'!D168)</f>
        <v/>
      </c>
      <c r="E478" s="0" t="str">
        <f aca="false">IF('Junior Makers Kits'!E168="","",'Junior Makers Kits'!E168)</f>
        <v/>
      </c>
      <c r="F478" s="0" t="str">
        <f aca="false">IFERROR(INDEX('Session Tracker'!$M$5:$M$149,MATCH($A478,'Session Tracker'!$D$5:$D$149,0))+0,"")</f>
        <v/>
      </c>
      <c r="G478" s="0" t="str">
        <f aca="false">IF(ISNUMBER(F478),IF(OR(B478=0,B478=99,C478&lt;&gt;""),F478*100+B478,""),"")</f>
        <v/>
      </c>
      <c r="H478" s="0" t="n">
        <f aca="false">IFERROR(INDEX('Session Tracker'!$J$5:$J$149,MATCH($A478,'Session Tracker'!$D$5:$D$149,0)),0)</f>
        <v>8</v>
      </c>
      <c r="I478" s="0" t="str">
        <f aca="false">IF(OR(B478=0,B478=99,C478=""),"",IF(E478="Per class",D478,D478*H478))</f>
        <v/>
      </c>
      <c r="N478" s="0" t="str">
        <f aca="false">IF('Junior Makers Kits'!B168="","",'Junior Makers Kits'!B168)</f>
        <v/>
      </c>
      <c r="O478" s="0" t="str">
        <f aca="false">IF('Junior Makers Kits'!F168="","",'Junior Makers Kits'!F168)</f>
        <v/>
      </c>
      <c r="P478" s="0" t="str">
        <f aca="false">IF('Junior Makers Kits'!G168="","",'Junior Makers Kits'!G168)</f>
        <v/>
      </c>
    </row>
    <row r="479" customFormat="false" ht="15" hidden="false" customHeight="false" outlineLevel="0" collapsed="false">
      <c r="A479" s="0" t="s">
        <v>168</v>
      </c>
      <c r="B479" s="0" t="n">
        <v>16</v>
      </c>
      <c r="C479" s="0" t="str">
        <f aca="false">IF('Junior Makers Kits'!C169="","",'Junior Makers Kits'!C169)</f>
        <v/>
      </c>
      <c r="D479" s="0" t="str">
        <f aca="false">IF('Junior Makers Kits'!D169="","",'Junior Makers Kits'!D169)</f>
        <v/>
      </c>
      <c r="E479" s="0" t="str">
        <f aca="false">IF('Junior Makers Kits'!E169="","",'Junior Makers Kits'!E169)</f>
        <v/>
      </c>
      <c r="F479" s="0" t="str">
        <f aca="false">IFERROR(INDEX('Session Tracker'!$M$5:$M$149,MATCH($A479,'Session Tracker'!$D$5:$D$149,0))+0,"")</f>
        <v/>
      </c>
      <c r="G479" s="0" t="str">
        <f aca="false">IF(ISNUMBER(F479),IF(OR(B479=0,B479=99,C479&lt;&gt;""),F479*100+B479,""),"")</f>
        <v/>
      </c>
      <c r="H479" s="0" t="n">
        <f aca="false">IFERROR(INDEX('Session Tracker'!$J$5:$J$149,MATCH($A479,'Session Tracker'!$D$5:$D$149,0)),0)</f>
        <v>8</v>
      </c>
      <c r="I479" s="0" t="str">
        <f aca="false">IF(OR(B479=0,B479=99,C479=""),"",IF(E479="Per class",D479,D479*H479))</f>
        <v/>
      </c>
      <c r="N479" s="0" t="str">
        <f aca="false">IF('Junior Makers Kits'!B169="","",'Junior Makers Kits'!B169)</f>
        <v/>
      </c>
      <c r="O479" s="0" t="str">
        <f aca="false">IF('Junior Makers Kits'!F169="","",'Junior Makers Kits'!F169)</f>
        <v/>
      </c>
      <c r="P479" s="0" t="str">
        <f aca="false">IF('Junior Makers Kits'!G169="","",'Junior Makers Kits'!G169)</f>
        <v/>
      </c>
    </row>
    <row r="480" customFormat="false" ht="15" hidden="false" customHeight="false" outlineLevel="0" collapsed="false">
      <c r="A480" s="0" t="s">
        <v>170</v>
      </c>
      <c r="B480" s="0" t="n">
        <v>0</v>
      </c>
      <c r="F480" s="0" t="str">
        <f aca="false">IFERROR(INDEX('Session Tracker'!$M$5:$M$149,MATCH($A480,'Session Tracker'!$D$5:$D$149,0))+0,"")</f>
        <v/>
      </c>
      <c r="G480" s="0" t="str">
        <f aca="false">IF(ISNUMBER(F480),IF(OR(B480=0,B480=99,C480&lt;&gt;""),F480*100+B480,""),"")</f>
        <v/>
      </c>
      <c r="H480" s="0" t="n">
        <f aca="false">IFERROR(INDEX('Session Tracker'!$J$5:$J$149,MATCH($A480,'Session Tracker'!$D$5:$D$149,0)),0)</f>
        <v>8</v>
      </c>
      <c r="I480" s="0" t="str">
        <f aca="false">IF(OR(B480=0,B480=99,C480=""),"",IF(E480="Per class",D480,D480*H480))</f>
        <v/>
      </c>
      <c r="K480" s="0" t="str">
        <f aca="false">IFERROR(INDEX('Session Tracker'!$E$5:$E$149,MATCH($A480,'Session Tracker'!$D$5:$D$149,0)),"")</f>
        <v>Sun-Tracking Solar Panel</v>
      </c>
      <c r="L480" s="0" t="str">
        <f aca="false">IFERROR(INDEX('Session Tracker'!$A$5:$A$149,MATCH($A480,'Session Tracker'!$D$5:$D$149,0)),"")</f>
        <v>Junior Makers (8-11)</v>
      </c>
      <c r="M480" s="0" t="str">
        <f aca="false">IFERROR(INDEX('Session Tracker'!$H$5:$H$149,MATCH($A480,'Session Tracker'!$D$5:$D$149,0))&amp;"","")</f>
        <v/>
      </c>
      <c r="Q480" s="0" t="str">
        <f aca="false">IFERROR("Status: "&amp;INDEX('Session Tracker'!$F$5:$F$149,MATCH($A480,'Session Tracker'!$D$5:$D$149,0))&amp;IF(INDEX('Session Tracker'!$G$5:$G$149,MATCH($A480,'Session Tracker'!$D$5:$D$149,0))&lt;&gt;""," ("&amp;INDEX('Session Tracker'!$G$5:$G$149,MATCH($A480,'Session Tracker'!$D$5:$D$149,0))&amp;")","")&amp;IF(M480&lt;&gt;"","  "&amp;M480,""),"")</f>
        <v>Status: Not started</v>
      </c>
    </row>
    <row r="481" customFormat="false" ht="15" hidden="false" customHeight="false" outlineLevel="0" collapsed="false">
      <c r="A481" s="0" t="s">
        <v>170</v>
      </c>
      <c r="B481" s="0" t="n">
        <v>1</v>
      </c>
      <c r="C481" s="0" t="str">
        <f aca="false">IF('Junior Makers Kits'!C172="","",'Junior Makers Kits'!C172)</f>
        <v>Arduino Uno + USB cable</v>
      </c>
      <c r="D481" s="0" t="n">
        <f aca="false">IF('Junior Makers Kits'!D172="","",'Junior Makers Kits'!D172)</f>
        <v>1</v>
      </c>
      <c r="E481" s="0" t="str">
        <f aca="false">IF('Junior Makers Kits'!E172="","",'Junior Makers Kits'!E172)</f>
        <v>Per group</v>
      </c>
      <c r="F481" s="0" t="str">
        <f aca="false">IFERROR(INDEX('Session Tracker'!$M$5:$M$149,MATCH($A481,'Session Tracker'!$D$5:$D$149,0))+0,"")</f>
        <v/>
      </c>
      <c r="G481" s="0" t="str">
        <f aca="false">IF(ISNUMBER(F481),IF(OR(B481=0,B481=99,C481&lt;&gt;""),F481*100+B481,""),"")</f>
        <v/>
      </c>
      <c r="H481" s="0" t="n">
        <f aca="false">IFERROR(INDEX('Session Tracker'!$J$5:$J$149,MATCH($A481,'Session Tracker'!$D$5:$D$149,0)),0)</f>
        <v>8</v>
      </c>
      <c r="I481" s="0" t="n">
        <f aca="false">IF(OR(B481=0,B481=99,C481=""),"",IF(E481="Per class",D481,D481*H481))</f>
        <v>8</v>
      </c>
      <c r="N481" s="0" t="str">
        <f aca="false">IF('Junior Makers Kits'!B172="","",'Junior Makers Kits'!B172)</f>
        <v>Microcontrollers &amp; Dev Boards</v>
      </c>
      <c r="O481" s="0" t="str">
        <f aca="false">IF('Junior Makers Kits'!F172="","",'Junior Makers Kits'!F172)</f>
        <v>Reusable</v>
      </c>
      <c r="P481" s="0" t="str">
        <f aca="false">IF('Junior Makers Kits'!G172="","",'Junior Makers Kits'!G172)</f>
        <v/>
      </c>
    </row>
    <row r="482" customFormat="false" ht="15" hidden="false" customHeight="false" outlineLevel="0" collapsed="false">
      <c r="A482" s="0" t="s">
        <v>170</v>
      </c>
      <c r="B482" s="0" t="n">
        <v>2</v>
      </c>
      <c r="C482" s="0" t="str">
        <f aca="false">IF('Junior Makers Kits'!C173="","",'Junior Makers Kits'!C173)</f>
        <v>LDR module</v>
      </c>
      <c r="D482" s="0" t="n">
        <f aca="false">IF('Junior Makers Kits'!D173="","",'Junior Makers Kits'!D173)</f>
        <v>2</v>
      </c>
      <c r="E482" s="0" t="str">
        <f aca="false">IF('Junior Makers Kits'!E173="","",'Junior Makers Kits'!E173)</f>
        <v>Per group</v>
      </c>
      <c r="F482" s="0" t="str">
        <f aca="false">IFERROR(INDEX('Session Tracker'!$M$5:$M$149,MATCH($A482,'Session Tracker'!$D$5:$D$149,0))+0,"")</f>
        <v/>
      </c>
      <c r="G482" s="0" t="str">
        <f aca="false">IF(ISNUMBER(F482),IF(OR(B482=0,B482=99,C482&lt;&gt;""),F482*100+B482,""),"")</f>
        <v/>
      </c>
      <c r="H482" s="0" t="n">
        <f aca="false">IFERROR(INDEX('Session Tracker'!$J$5:$J$149,MATCH($A482,'Session Tracker'!$D$5:$D$149,0)),0)</f>
        <v>8</v>
      </c>
      <c r="I482" s="0" t="n">
        <f aca="false">IF(OR(B482=0,B482=99,C482=""),"",IF(E482="Per class",D482,D482*H482))</f>
        <v>16</v>
      </c>
      <c r="N482" s="0" t="str">
        <f aca="false">IF('Junior Makers Kits'!B173="","",'Junior Makers Kits'!B173)</f>
        <v>Sensors</v>
      </c>
      <c r="O482" s="0" t="str">
        <f aca="false">IF('Junior Makers Kits'!F173="","",'Junior Makers Kits'!F173)</f>
        <v>Reusable</v>
      </c>
      <c r="P482" s="0" t="str">
        <f aca="false">IF('Junior Makers Kits'!G173="","",'Junior Makers Kits'!G173)</f>
        <v/>
      </c>
    </row>
    <row r="483" customFormat="false" ht="15" hidden="false" customHeight="false" outlineLevel="0" collapsed="false">
      <c r="A483" s="0" t="s">
        <v>170</v>
      </c>
      <c r="B483" s="0" t="n">
        <v>3</v>
      </c>
      <c r="C483" s="0" t="str">
        <f aca="false">IF('Junior Makers Kits'!C174="","",'Junior Makers Kits'!C174)</f>
        <v>Servo SG90</v>
      </c>
      <c r="D483" s="0" t="n">
        <f aca="false">IF('Junior Makers Kits'!D174="","",'Junior Makers Kits'!D174)</f>
        <v>1</v>
      </c>
      <c r="E483" s="0" t="str">
        <f aca="false">IF('Junior Makers Kits'!E174="","",'Junior Makers Kits'!E174)</f>
        <v>Per group</v>
      </c>
      <c r="F483" s="0" t="str">
        <f aca="false">IFERROR(INDEX('Session Tracker'!$M$5:$M$149,MATCH($A483,'Session Tracker'!$D$5:$D$149,0))+0,"")</f>
        <v/>
      </c>
      <c r="G483" s="0" t="str">
        <f aca="false">IF(ISNUMBER(F483),IF(OR(B483=0,B483=99,C483&lt;&gt;""),F483*100+B483,""),"")</f>
        <v/>
      </c>
      <c r="H483" s="0" t="n">
        <f aca="false">IFERROR(INDEX('Session Tracker'!$J$5:$J$149,MATCH($A483,'Session Tracker'!$D$5:$D$149,0)),0)</f>
        <v>8</v>
      </c>
      <c r="I483" s="0" t="n">
        <f aca="false">IF(OR(B483=0,B483=99,C483=""),"",IF(E483="Per class",D483,D483*H483))</f>
        <v>8</v>
      </c>
      <c r="N483" s="0" t="str">
        <f aca="false">IF('Junior Makers Kits'!B174="","",'Junior Makers Kits'!B174)</f>
        <v>Actuators &amp; Motor Drivers</v>
      </c>
      <c r="O483" s="0" t="str">
        <f aca="false">IF('Junior Makers Kits'!F174="","",'Junior Makers Kits'!F174)</f>
        <v>Reusable</v>
      </c>
      <c r="P483" s="0" t="str">
        <f aca="false">IF('Junior Makers Kits'!G174="","",'Junior Makers Kits'!G174)</f>
        <v/>
      </c>
    </row>
    <row r="484" customFormat="false" ht="15" hidden="false" customHeight="false" outlineLevel="0" collapsed="false">
      <c r="A484" s="0" t="s">
        <v>170</v>
      </c>
      <c r="B484" s="0" t="n">
        <v>4</v>
      </c>
      <c r="C484" s="0" t="str">
        <f aca="false">IF('Junior Makers Kits'!C175="","",'Junior Makers Kits'!C175)</f>
        <v>Small solar panel</v>
      </c>
      <c r="D484" s="0" t="n">
        <f aca="false">IF('Junior Makers Kits'!D175="","",'Junior Makers Kits'!D175)</f>
        <v>1</v>
      </c>
      <c r="E484" s="0" t="str">
        <f aca="false">IF('Junior Makers Kits'!E175="","",'Junior Makers Kits'!E175)</f>
        <v>Per group</v>
      </c>
      <c r="F484" s="0" t="str">
        <f aca="false">IFERROR(INDEX('Session Tracker'!$M$5:$M$149,MATCH($A484,'Session Tracker'!$D$5:$D$149,0))+0,"")</f>
        <v/>
      </c>
      <c r="G484" s="0" t="str">
        <f aca="false">IF(ISNUMBER(F484),IF(OR(B484=0,B484=99,C484&lt;&gt;""),F484*100+B484,""),"")</f>
        <v/>
      </c>
      <c r="H484" s="0" t="n">
        <f aca="false">IFERROR(INDEX('Session Tracker'!$J$5:$J$149,MATCH($A484,'Session Tracker'!$D$5:$D$149,0)),0)</f>
        <v>8</v>
      </c>
      <c r="I484" s="0" t="n">
        <f aca="false">IF(OR(B484=0,B484=99,C484=""),"",IF(E484="Per class",D484,D484*H484))</f>
        <v>8</v>
      </c>
      <c r="N484" s="0" t="str">
        <f aca="false">IF('Junior Makers Kits'!B175="","",'Junior Makers Kits'!B175)</f>
        <v>Power</v>
      </c>
      <c r="O484" s="0" t="str">
        <f aca="false">IF('Junior Makers Kits'!F175="","",'Junior Makers Kits'!F175)</f>
        <v>Reusable</v>
      </c>
      <c r="P484" s="0" t="str">
        <f aca="false">IF('Junior Makers Kits'!G175="","",'Junior Makers Kits'!G175)</f>
        <v/>
      </c>
    </row>
    <row r="485" customFormat="false" ht="15" hidden="false" customHeight="false" outlineLevel="0" collapsed="false">
      <c r="A485" s="0" t="s">
        <v>170</v>
      </c>
      <c r="B485" s="0" t="n">
        <v>5</v>
      </c>
      <c r="C485" s="0" t="str">
        <f aca="false">IF('Junior Makers Kits'!C176="","",'Junior Makers Kits'!C176)</f>
        <v>LED 5 mm (assorted)</v>
      </c>
      <c r="D485" s="0" t="n">
        <f aca="false">IF('Junior Makers Kits'!D176="","",'Junior Makers Kits'!D176)</f>
        <v>1</v>
      </c>
      <c r="E485" s="0" t="str">
        <f aca="false">IF('Junior Makers Kits'!E176="","",'Junior Makers Kits'!E176)</f>
        <v>Per group</v>
      </c>
      <c r="F485" s="0" t="str">
        <f aca="false">IFERROR(INDEX('Session Tracker'!$M$5:$M$149,MATCH($A485,'Session Tracker'!$D$5:$D$149,0))+0,"")</f>
        <v/>
      </c>
      <c r="G485" s="0" t="str">
        <f aca="false">IF(ISNUMBER(F485),IF(OR(B485=0,B485=99,C485&lt;&gt;""),F485*100+B485,""),"")</f>
        <v/>
      </c>
      <c r="H485" s="0" t="n">
        <f aca="false">IFERROR(INDEX('Session Tracker'!$J$5:$J$149,MATCH($A485,'Session Tracker'!$D$5:$D$149,0)),0)</f>
        <v>8</v>
      </c>
      <c r="I485" s="0" t="n">
        <f aca="false">IF(OR(B485=0,B485=99,C485=""),"",IF(E485="Per class",D485,D485*H485))</f>
        <v>8</v>
      </c>
      <c r="N485" s="0" t="str">
        <f aca="false">IF('Junior Makers Kits'!B176="","",'Junior Makers Kits'!B176)</f>
        <v>Displays &amp; Output</v>
      </c>
      <c r="O485" s="0" t="str">
        <f aca="false">IF('Junior Makers Kits'!F176="","",'Junior Makers Kits'!F176)</f>
        <v>Consumable</v>
      </c>
      <c r="P485" s="0" t="str">
        <f aca="false">IF('Junior Makers Kits'!G176="","",'Junior Makers Kits'!G176)</f>
        <v/>
      </c>
    </row>
    <row r="486" customFormat="false" ht="15" hidden="false" customHeight="false" outlineLevel="0" collapsed="false">
      <c r="A486" s="0" t="s">
        <v>170</v>
      </c>
      <c r="B486" s="0" t="n">
        <v>6</v>
      </c>
      <c r="C486" s="0" t="str">
        <f aca="false">IF('Junior Makers Kits'!C177="","",'Junior Makers Kits'!C177)</f>
        <v>Digital multimeter</v>
      </c>
      <c r="D486" s="0" t="n">
        <f aca="false">IF('Junior Makers Kits'!D177="","",'Junior Makers Kits'!D177)</f>
        <v>1</v>
      </c>
      <c r="E486" s="0" t="str">
        <f aca="false">IF('Junior Makers Kits'!E177="","",'Junior Makers Kits'!E177)</f>
        <v>Per group</v>
      </c>
      <c r="F486" s="0" t="str">
        <f aca="false">IFERROR(INDEX('Session Tracker'!$M$5:$M$149,MATCH($A486,'Session Tracker'!$D$5:$D$149,0))+0,"")</f>
        <v/>
      </c>
      <c r="G486" s="0" t="str">
        <f aca="false">IF(ISNUMBER(F486),IF(OR(B486=0,B486=99,C486&lt;&gt;""),F486*100+B486,""),"")</f>
        <v/>
      </c>
      <c r="H486" s="0" t="n">
        <f aca="false">IFERROR(INDEX('Session Tracker'!$J$5:$J$149,MATCH($A486,'Session Tracker'!$D$5:$D$149,0)),0)</f>
        <v>8</v>
      </c>
      <c r="I486" s="0" t="n">
        <f aca="false">IF(OR(B486=0,B486=99,C486=""),"",IF(E486="Per class",D486,D486*H486))</f>
        <v>8</v>
      </c>
      <c r="N486" s="0" t="str">
        <f aca="false">IF('Junior Makers Kits'!B177="","",'Junior Makers Kits'!B177)</f>
        <v>Computers &amp; Equipment</v>
      </c>
      <c r="O486" s="0" t="str">
        <f aca="false">IF('Junior Makers Kits'!F177="","",'Junior Makers Kits'!F177)</f>
        <v>Reusable</v>
      </c>
      <c r="P486" s="0" t="str">
        <f aca="false">IF('Junior Makers Kits'!G177="","",'Junior Makers Kits'!G177)</f>
        <v/>
      </c>
    </row>
    <row r="487" customFormat="false" ht="15" hidden="false" customHeight="false" outlineLevel="0" collapsed="false">
      <c r="A487" s="0" t="s">
        <v>170</v>
      </c>
      <c r="B487" s="0" t="n">
        <v>7</v>
      </c>
      <c r="C487" s="0" t="str">
        <f aca="false">IF('Junior Makers Kits'!C178="","",'Junior Makers Kits'!C178)</f>
        <v>Cardboard sheet</v>
      </c>
      <c r="D487" s="0" t="n">
        <f aca="false">IF('Junior Makers Kits'!D178="","",'Junior Makers Kits'!D178)</f>
        <v>1</v>
      </c>
      <c r="E487" s="0" t="str">
        <f aca="false">IF('Junior Makers Kits'!E178="","",'Junior Makers Kits'!E178)</f>
        <v>Per group</v>
      </c>
      <c r="F487" s="0" t="str">
        <f aca="false">IFERROR(INDEX('Session Tracker'!$M$5:$M$149,MATCH($A487,'Session Tracker'!$D$5:$D$149,0))+0,"")</f>
        <v/>
      </c>
      <c r="G487" s="0" t="str">
        <f aca="false">IF(ISNUMBER(F487),IF(OR(B487=0,B487=99,C487&lt;&gt;""),F487*100+B487,""),"")</f>
        <v/>
      </c>
      <c r="H487" s="0" t="n">
        <f aca="false">IFERROR(INDEX('Session Tracker'!$J$5:$J$149,MATCH($A487,'Session Tracker'!$D$5:$D$149,0)),0)</f>
        <v>8</v>
      </c>
      <c r="I487" s="0" t="n">
        <f aca="false">IF(OR(B487=0,B487=99,C487=""),"",IF(E487="Per class",D487,D487*H487))</f>
        <v>8</v>
      </c>
      <c r="N487" s="0" t="str">
        <f aca="false">IF('Junior Makers Kits'!B178="","",'Junior Makers Kits'!B178)</f>
        <v>Craft &amp; Stationery</v>
      </c>
      <c r="O487" s="0" t="str">
        <f aca="false">IF('Junior Makers Kits'!F178="","",'Junior Makers Kits'!F178)</f>
        <v>Consumable</v>
      </c>
      <c r="P487" s="0" t="str">
        <f aca="false">IF('Junior Makers Kits'!G178="","",'Junior Makers Kits'!G178)</f>
        <v>Panel mount</v>
      </c>
    </row>
    <row r="488" customFormat="false" ht="15" hidden="false" customHeight="false" outlineLevel="0" collapsed="false">
      <c r="A488" s="0" t="s">
        <v>170</v>
      </c>
      <c r="B488" s="0" t="n">
        <v>8</v>
      </c>
      <c r="C488" s="0" t="str">
        <f aca="false">IF('Junior Makers Kits'!C179="","",'Junior Makers Kits'!C179)</f>
        <v>Breadboard (half size)</v>
      </c>
      <c r="D488" s="0" t="n">
        <f aca="false">IF('Junior Makers Kits'!D179="","",'Junior Makers Kits'!D179)</f>
        <v>1</v>
      </c>
      <c r="E488" s="0" t="str">
        <f aca="false">IF('Junior Makers Kits'!E179="","",'Junior Makers Kits'!E179)</f>
        <v>Per group</v>
      </c>
      <c r="F488" s="0" t="str">
        <f aca="false">IFERROR(INDEX('Session Tracker'!$M$5:$M$149,MATCH($A488,'Session Tracker'!$D$5:$D$149,0))+0,"")</f>
        <v/>
      </c>
      <c r="G488" s="0" t="str">
        <f aca="false">IF(ISNUMBER(F488),IF(OR(B488=0,B488=99,C488&lt;&gt;""),F488*100+B488,""),"")</f>
        <v/>
      </c>
      <c r="H488" s="0" t="n">
        <f aca="false">IFERROR(INDEX('Session Tracker'!$J$5:$J$149,MATCH($A488,'Session Tracker'!$D$5:$D$149,0)),0)</f>
        <v>8</v>
      </c>
      <c r="I488" s="0" t="n">
        <f aca="false">IF(OR(B488=0,B488=99,C488=""),"",IF(E488="Per class",D488,D488*H488))</f>
        <v>8</v>
      </c>
      <c r="N488" s="0" t="str">
        <f aca="false">IF('Junior Makers Kits'!B179="","",'Junior Makers Kits'!B179)</f>
        <v>Wiring &amp; Prototyping</v>
      </c>
      <c r="O488" s="0" t="str">
        <f aca="false">IF('Junior Makers Kits'!F179="","",'Junior Makers Kits'!F179)</f>
        <v>Reusable</v>
      </c>
      <c r="P488" s="0" t="str">
        <f aca="false">IF('Junior Makers Kits'!G179="","",'Junior Makers Kits'!G179)</f>
        <v/>
      </c>
    </row>
    <row r="489" customFormat="false" ht="15" hidden="false" customHeight="false" outlineLevel="0" collapsed="false">
      <c r="A489" s="0" t="s">
        <v>170</v>
      </c>
      <c r="B489" s="0" t="n">
        <v>9</v>
      </c>
      <c r="C489" s="0" t="str">
        <f aca="false">IF('Junior Makers Kits'!C180="","",'Junior Makers Kits'!C180)</f>
        <v>Jumper wires M-M</v>
      </c>
      <c r="D489" s="0" t="n">
        <f aca="false">IF('Junior Makers Kits'!D180="","",'Junior Makers Kits'!D180)</f>
        <v>10</v>
      </c>
      <c r="E489" s="0" t="str">
        <f aca="false">IF('Junior Makers Kits'!E180="","",'Junior Makers Kits'!E180)</f>
        <v>Per group</v>
      </c>
      <c r="F489" s="0" t="str">
        <f aca="false">IFERROR(INDEX('Session Tracker'!$M$5:$M$149,MATCH($A489,'Session Tracker'!$D$5:$D$149,0))+0,"")</f>
        <v/>
      </c>
      <c r="G489" s="0" t="str">
        <f aca="false">IF(ISNUMBER(F489),IF(OR(B489=0,B489=99,C489&lt;&gt;""),F489*100+B489,""),"")</f>
        <v/>
      </c>
      <c r="H489" s="0" t="n">
        <f aca="false">IFERROR(INDEX('Session Tracker'!$J$5:$J$149,MATCH($A489,'Session Tracker'!$D$5:$D$149,0)),0)</f>
        <v>8</v>
      </c>
      <c r="I489" s="0" t="n">
        <f aca="false">IF(OR(B489=0,B489=99,C489=""),"",IF(E489="Per class",D489,D489*H489))</f>
        <v>80</v>
      </c>
      <c r="N489" s="0" t="str">
        <f aca="false">IF('Junior Makers Kits'!B180="","",'Junior Makers Kits'!B180)</f>
        <v>Wiring &amp; Prototyping</v>
      </c>
      <c r="O489" s="0" t="str">
        <f aca="false">IF('Junior Makers Kits'!F180="","",'Junior Makers Kits'!F180)</f>
        <v>Reusable</v>
      </c>
      <c r="P489" s="0" t="str">
        <f aca="false">IF('Junior Makers Kits'!G180="","",'Junior Makers Kits'!G180)</f>
        <v/>
      </c>
    </row>
    <row r="490" customFormat="false" ht="15" hidden="false" customHeight="false" outlineLevel="0" collapsed="false">
      <c r="A490" s="0" t="s">
        <v>170</v>
      </c>
      <c r="B490" s="0" t="n">
        <v>10</v>
      </c>
      <c r="C490" s="0" t="str">
        <f aca="false">IF('Junior Makers Kits'!C181="","",'Junior Makers Kits'!C181)</f>
        <v>Jumper wires M-F</v>
      </c>
      <c r="D490" s="0" t="n">
        <f aca="false">IF('Junior Makers Kits'!D181="","",'Junior Makers Kits'!D181)</f>
        <v>6</v>
      </c>
      <c r="E490" s="0" t="str">
        <f aca="false">IF('Junior Makers Kits'!E181="","",'Junior Makers Kits'!E181)</f>
        <v>Per group</v>
      </c>
      <c r="F490" s="0" t="str">
        <f aca="false">IFERROR(INDEX('Session Tracker'!$M$5:$M$149,MATCH($A490,'Session Tracker'!$D$5:$D$149,0))+0,"")</f>
        <v/>
      </c>
      <c r="G490" s="0" t="str">
        <f aca="false">IF(ISNUMBER(F490),IF(OR(B490=0,B490=99,C490&lt;&gt;""),F490*100+B490,""),"")</f>
        <v/>
      </c>
      <c r="H490" s="0" t="n">
        <f aca="false">IFERROR(INDEX('Session Tracker'!$J$5:$J$149,MATCH($A490,'Session Tracker'!$D$5:$D$149,0)),0)</f>
        <v>8</v>
      </c>
      <c r="I490" s="0" t="n">
        <f aca="false">IF(OR(B490=0,B490=99,C490=""),"",IF(E490="Per class",D490,D490*H490))</f>
        <v>48</v>
      </c>
      <c r="N490" s="0" t="str">
        <f aca="false">IF('Junior Makers Kits'!B181="","",'Junior Makers Kits'!B181)</f>
        <v>Wiring &amp; Prototyping</v>
      </c>
      <c r="O490" s="0" t="str">
        <f aca="false">IF('Junior Makers Kits'!F181="","",'Junior Makers Kits'!F181)</f>
        <v>Reusable</v>
      </c>
      <c r="P490" s="0" t="str">
        <f aca="false">IF('Junior Makers Kits'!G181="","",'Junior Makers Kits'!G181)</f>
        <v/>
      </c>
    </row>
    <row r="491" customFormat="false" ht="15" hidden="false" customHeight="false" outlineLevel="0" collapsed="false">
      <c r="A491" s="0" t="s">
        <v>170</v>
      </c>
      <c r="B491" s="0" t="n">
        <v>11</v>
      </c>
      <c r="C491" s="0" t="str">
        <f aca="false">IF('Junior Makers Kits'!C182="","",'Junior Makers Kits'!C182)</f>
        <v>Laptop</v>
      </c>
      <c r="D491" s="0" t="n">
        <f aca="false">IF('Junior Makers Kits'!D182="","",'Junior Makers Kits'!D182)</f>
        <v>1</v>
      </c>
      <c r="E491" s="0" t="str">
        <f aca="false">IF('Junior Makers Kits'!E182="","",'Junior Makers Kits'!E182)</f>
        <v>Per group</v>
      </c>
      <c r="F491" s="0" t="str">
        <f aca="false">IFERROR(INDEX('Session Tracker'!$M$5:$M$149,MATCH($A491,'Session Tracker'!$D$5:$D$149,0))+0,"")</f>
        <v/>
      </c>
      <c r="G491" s="0" t="str">
        <f aca="false">IF(ISNUMBER(F491),IF(OR(B491=0,B491=99,C491&lt;&gt;""),F491*100+B491,""),"")</f>
        <v/>
      </c>
      <c r="H491" s="0" t="n">
        <f aca="false">IFERROR(INDEX('Session Tracker'!$J$5:$J$149,MATCH($A491,'Session Tracker'!$D$5:$D$149,0)),0)</f>
        <v>8</v>
      </c>
      <c r="I491" s="0" t="n">
        <f aca="false">IF(OR(B491=0,B491=99,C491=""),"",IF(E491="Per class",D491,D491*H491))</f>
        <v>8</v>
      </c>
      <c r="N491" s="0" t="str">
        <f aca="false">IF('Junior Makers Kits'!B182="","",'Junior Makers Kits'!B182)</f>
        <v>Computers &amp; Equipment</v>
      </c>
      <c r="O491" s="0" t="str">
        <f aca="false">IF('Junior Makers Kits'!F182="","",'Junior Makers Kits'!F182)</f>
        <v>Reusable</v>
      </c>
      <c r="P491" s="0" t="str">
        <f aca="false">IF('Junior Makers Kits'!G182="","",'Junior Makers Kits'!G182)</f>
        <v/>
      </c>
    </row>
    <row r="492" customFormat="false" ht="15" hidden="false" customHeight="false" outlineLevel="0" collapsed="false">
      <c r="A492" s="0" t="s">
        <v>170</v>
      </c>
      <c r="B492" s="0" t="n">
        <v>12</v>
      </c>
      <c r="C492" s="0" t="str">
        <f aca="false">IF('Junior Makers Kits'!C183="","",'Junior Makers Kits'!C183)</f>
        <v>Resistor 220 ohm</v>
      </c>
      <c r="D492" s="0" t="n">
        <f aca="false">IF('Junior Makers Kits'!D183="","",'Junior Makers Kits'!D183)</f>
        <v>1</v>
      </c>
      <c r="E492" s="0" t="str">
        <f aca="false">IF('Junior Makers Kits'!E183="","",'Junior Makers Kits'!E183)</f>
        <v>Per group</v>
      </c>
      <c r="F492" s="0" t="str">
        <f aca="false">IFERROR(INDEX('Session Tracker'!$M$5:$M$149,MATCH($A492,'Session Tracker'!$D$5:$D$149,0))+0,"")</f>
        <v/>
      </c>
      <c r="G492" s="0" t="str">
        <f aca="false">IF(ISNUMBER(F492),IF(OR(B492=0,B492=99,C492&lt;&gt;""),F492*100+B492,""),"")</f>
        <v/>
      </c>
      <c r="H492" s="0" t="n">
        <f aca="false">IFERROR(INDEX('Session Tracker'!$J$5:$J$149,MATCH($A492,'Session Tracker'!$D$5:$D$149,0)),0)</f>
        <v>8</v>
      </c>
      <c r="I492" s="0" t="n">
        <f aca="false">IF(OR(B492=0,B492=99,C492=""),"",IF(E492="Per class",D492,D492*H492))</f>
        <v>8</v>
      </c>
      <c r="N492" s="0" t="str">
        <f aca="false">IF('Junior Makers Kits'!B183="","",'Junior Makers Kits'!B183)</f>
        <v>Passive Components &amp; ICs</v>
      </c>
      <c r="O492" s="0" t="str">
        <f aca="false">IF('Junior Makers Kits'!F183="","",'Junior Makers Kits'!F183)</f>
        <v>Consumable</v>
      </c>
      <c r="P492" s="0" t="str">
        <f aca="false">IF('Junior Makers Kits'!G183="","",'Junior Makers Kits'!G183)</f>
        <v>Added: for the LED</v>
      </c>
    </row>
    <row r="493" customFormat="false" ht="15" hidden="false" customHeight="false" outlineLevel="0" collapsed="false">
      <c r="A493" s="0" t="s">
        <v>170</v>
      </c>
      <c r="B493" s="0" t="n">
        <v>13</v>
      </c>
      <c r="C493" s="0" t="str">
        <f aca="false">IF('Junior Makers Kits'!C184="","",'Junior Makers Kits'!C184)</f>
        <v>Buzzer</v>
      </c>
      <c r="D493" s="0" t="n">
        <f aca="false">IF('Junior Makers Kits'!D184="","",'Junior Makers Kits'!D184)</f>
        <v>1</v>
      </c>
      <c r="E493" s="0" t="str">
        <f aca="false">IF('Junior Makers Kits'!E184="","",'Junior Makers Kits'!E184)</f>
        <v>Per group</v>
      </c>
      <c r="F493" s="0" t="str">
        <f aca="false">IFERROR(INDEX('Session Tracker'!$M$5:$M$149,MATCH($A493,'Session Tracker'!$D$5:$D$149,0))+0,"")</f>
        <v/>
      </c>
      <c r="G493" s="0" t="str">
        <f aca="false">IF(ISNUMBER(F493),IF(OR(B493=0,B493=99,C493&lt;&gt;""),F493*100+B493,""),"")</f>
        <v/>
      </c>
      <c r="H493" s="0" t="n">
        <f aca="false">IFERROR(INDEX('Session Tracker'!$J$5:$J$149,MATCH($A493,'Session Tracker'!$D$5:$D$149,0)),0)</f>
        <v>8</v>
      </c>
      <c r="I493" s="0" t="n">
        <f aca="false">IF(OR(B493=0,B493=99,C493=""),"",IF(E493="Per class",D493,D493*H493))</f>
        <v>8</v>
      </c>
      <c r="N493" s="0" t="str">
        <f aca="false">IF('Junior Makers Kits'!B184="","",'Junior Makers Kits'!B184)</f>
        <v>Actuators &amp; Motor Drivers</v>
      </c>
      <c r="O493" s="0" t="str">
        <f aca="false">IF('Junior Makers Kits'!F184="","",'Junior Makers Kits'!F184)</f>
        <v>Reusable</v>
      </c>
      <c r="P493" s="0" t="str">
        <f aca="false">IF('Junior Makers Kits'!G184="","",'Junior Makers Kits'!G184)</f>
        <v>Added: every Arduino class</v>
      </c>
    </row>
    <row r="494" customFormat="false" ht="15" hidden="false" customHeight="false" outlineLevel="0" collapsed="false">
      <c r="A494" s="0" t="s">
        <v>170</v>
      </c>
      <c r="B494" s="0" t="n">
        <v>14</v>
      </c>
      <c r="C494" s="0" t="str">
        <f aca="false">IF('Junior Makers Kits'!C185="","",'Junior Makers Kits'!C185)</f>
        <v/>
      </c>
      <c r="D494" s="0" t="str">
        <f aca="false">IF('Junior Makers Kits'!D185="","",'Junior Makers Kits'!D185)</f>
        <v/>
      </c>
      <c r="E494" s="0" t="str">
        <f aca="false">IF('Junior Makers Kits'!E185="","",'Junior Makers Kits'!E185)</f>
        <v/>
      </c>
      <c r="F494" s="0" t="str">
        <f aca="false">IFERROR(INDEX('Session Tracker'!$M$5:$M$149,MATCH($A494,'Session Tracker'!$D$5:$D$149,0))+0,"")</f>
        <v/>
      </c>
      <c r="G494" s="0" t="str">
        <f aca="false">IF(ISNUMBER(F494),IF(OR(B494=0,B494=99,C494&lt;&gt;""),F494*100+B494,""),"")</f>
        <v/>
      </c>
      <c r="H494" s="0" t="n">
        <f aca="false">IFERROR(INDEX('Session Tracker'!$J$5:$J$149,MATCH($A494,'Session Tracker'!$D$5:$D$149,0)),0)</f>
        <v>8</v>
      </c>
      <c r="I494" s="0" t="str">
        <f aca="false">IF(OR(B494=0,B494=99,C494=""),"",IF(E494="Per class",D494,D494*H494))</f>
        <v/>
      </c>
      <c r="N494" s="0" t="str">
        <f aca="false">IF('Junior Makers Kits'!B185="","",'Junior Makers Kits'!B185)</f>
        <v/>
      </c>
      <c r="O494" s="0" t="str">
        <f aca="false">IF('Junior Makers Kits'!F185="","",'Junior Makers Kits'!F185)</f>
        <v/>
      </c>
      <c r="P494" s="0" t="str">
        <f aca="false">IF('Junior Makers Kits'!G185="","",'Junior Makers Kits'!G185)</f>
        <v/>
      </c>
    </row>
    <row r="495" customFormat="false" ht="15" hidden="false" customHeight="false" outlineLevel="0" collapsed="false">
      <c r="A495" s="0" t="s">
        <v>170</v>
      </c>
      <c r="B495" s="0" t="n">
        <v>15</v>
      </c>
      <c r="C495" s="0" t="str">
        <f aca="false">IF('Junior Makers Kits'!C186="","",'Junior Makers Kits'!C186)</f>
        <v/>
      </c>
      <c r="D495" s="0" t="str">
        <f aca="false">IF('Junior Makers Kits'!D186="","",'Junior Makers Kits'!D186)</f>
        <v/>
      </c>
      <c r="E495" s="0" t="str">
        <f aca="false">IF('Junior Makers Kits'!E186="","",'Junior Makers Kits'!E186)</f>
        <v/>
      </c>
      <c r="F495" s="0" t="str">
        <f aca="false">IFERROR(INDEX('Session Tracker'!$M$5:$M$149,MATCH($A495,'Session Tracker'!$D$5:$D$149,0))+0,"")</f>
        <v/>
      </c>
      <c r="G495" s="0" t="str">
        <f aca="false">IF(ISNUMBER(F495),IF(OR(B495=0,B495=99,C495&lt;&gt;""),F495*100+B495,""),"")</f>
        <v/>
      </c>
      <c r="H495" s="0" t="n">
        <f aca="false">IFERROR(INDEX('Session Tracker'!$J$5:$J$149,MATCH($A495,'Session Tracker'!$D$5:$D$149,0)),0)</f>
        <v>8</v>
      </c>
      <c r="I495" s="0" t="str">
        <f aca="false">IF(OR(B495=0,B495=99,C495=""),"",IF(E495="Per class",D495,D495*H495))</f>
        <v/>
      </c>
      <c r="N495" s="0" t="str">
        <f aca="false">IF('Junior Makers Kits'!B186="","",'Junior Makers Kits'!B186)</f>
        <v/>
      </c>
      <c r="O495" s="0" t="str">
        <f aca="false">IF('Junior Makers Kits'!F186="","",'Junior Makers Kits'!F186)</f>
        <v/>
      </c>
      <c r="P495" s="0" t="str">
        <f aca="false">IF('Junior Makers Kits'!G186="","",'Junior Makers Kits'!G186)</f>
        <v/>
      </c>
    </row>
    <row r="496" customFormat="false" ht="15" hidden="false" customHeight="false" outlineLevel="0" collapsed="false">
      <c r="A496" s="0" t="s">
        <v>172</v>
      </c>
      <c r="B496" s="0" t="n">
        <v>0</v>
      </c>
      <c r="F496" s="0" t="str">
        <f aca="false">IFERROR(INDEX('Session Tracker'!$M$5:$M$149,MATCH($A496,'Session Tracker'!$D$5:$D$149,0))+0,"")</f>
        <v/>
      </c>
      <c r="G496" s="0" t="str">
        <f aca="false">IF(ISNUMBER(F496),IF(OR(B496=0,B496=99,C496&lt;&gt;""),F496*100+B496,""),"")</f>
        <v/>
      </c>
      <c r="H496" s="0" t="n">
        <f aca="false">IFERROR(INDEX('Session Tracker'!$J$5:$J$149,MATCH($A496,'Session Tracker'!$D$5:$D$149,0)),0)</f>
        <v>8</v>
      </c>
      <c r="I496" s="0" t="str">
        <f aca="false">IF(OR(B496=0,B496=99,C496=""),"",IF(E496="Per class",D496,D496*H496))</f>
        <v/>
      </c>
      <c r="K496" s="0" t="str">
        <f aca="false">IFERROR(INDEX('Session Tracker'!$E$5:$E$149,MATCH($A496,'Session Tracker'!$D$5:$D$149,0)),"")</f>
        <v>Home Burglar Alarm with Secret Code</v>
      </c>
      <c r="L496" s="0" t="str">
        <f aca="false">IFERROR(INDEX('Session Tracker'!$A$5:$A$149,MATCH($A496,'Session Tracker'!$D$5:$D$149,0)),"")</f>
        <v>Junior Makers (8-11)</v>
      </c>
      <c r="M496" s="0" t="str">
        <f aca="false">IFERROR(INDEX('Session Tracker'!$H$5:$H$149,MATCH($A496,'Session Tracker'!$D$5:$D$149,0))&amp;"","")</f>
        <v/>
      </c>
      <c r="Q496" s="0" t="str">
        <f aca="false">IFERROR("Status: "&amp;INDEX('Session Tracker'!$F$5:$F$149,MATCH($A496,'Session Tracker'!$D$5:$D$149,0))&amp;IF(INDEX('Session Tracker'!$G$5:$G$149,MATCH($A496,'Session Tracker'!$D$5:$D$149,0))&lt;&gt;""," ("&amp;INDEX('Session Tracker'!$G$5:$G$149,MATCH($A496,'Session Tracker'!$D$5:$D$149,0))&amp;")","")&amp;IF(M496&lt;&gt;"","  "&amp;M496,""),"")</f>
        <v>Status: Not started</v>
      </c>
    </row>
    <row r="497" customFormat="false" ht="15" hidden="false" customHeight="false" outlineLevel="0" collapsed="false">
      <c r="A497" s="0" t="s">
        <v>172</v>
      </c>
      <c r="B497" s="0" t="n">
        <v>1</v>
      </c>
      <c r="C497" s="0" t="str">
        <f aca="false">IF('Junior Makers Kits'!C189="","",'Junior Makers Kits'!C189)</f>
        <v>Arduino Uno + USB cable</v>
      </c>
      <c r="D497" s="0" t="n">
        <f aca="false">IF('Junior Makers Kits'!D189="","",'Junior Makers Kits'!D189)</f>
        <v>1</v>
      </c>
      <c r="E497" s="0" t="str">
        <f aca="false">IF('Junior Makers Kits'!E189="","",'Junior Makers Kits'!E189)</f>
        <v>Per group</v>
      </c>
      <c r="F497" s="0" t="str">
        <f aca="false">IFERROR(INDEX('Session Tracker'!$M$5:$M$149,MATCH($A497,'Session Tracker'!$D$5:$D$149,0))+0,"")</f>
        <v/>
      </c>
      <c r="G497" s="0" t="str">
        <f aca="false">IF(ISNUMBER(F497),IF(OR(B497=0,B497=99,C497&lt;&gt;""),F497*100+B497,""),"")</f>
        <v/>
      </c>
      <c r="H497" s="0" t="n">
        <f aca="false">IFERROR(INDEX('Session Tracker'!$J$5:$J$149,MATCH($A497,'Session Tracker'!$D$5:$D$149,0)),0)</f>
        <v>8</v>
      </c>
      <c r="I497" s="0" t="n">
        <f aca="false">IF(OR(B497=0,B497=99,C497=""),"",IF(E497="Per class",D497,D497*H497))</f>
        <v>8</v>
      </c>
      <c r="N497" s="0" t="str">
        <f aca="false">IF('Junior Makers Kits'!B189="","",'Junior Makers Kits'!B189)</f>
        <v>Microcontrollers &amp; Dev Boards</v>
      </c>
      <c r="O497" s="0" t="str">
        <f aca="false">IF('Junior Makers Kits'!F189="","",'Junior Makers Kits'!F189)</f>
        <v>Reusable</v>
      </c>
      <c r="P497" s="0" t="str">
        <f aca="false">IF('Junior Makers Kits'!G189="","",'Junior Makers Kits'!G189)</f>
        <v/>
      </c>
    </row>
    <row r="498" customFormat="false" ht="15" hidden="false" customHeight="false" outlineLevel="0" collapsed="false">
      <c r="A498" s="0" t="s">
        <v>172</v>
      </c>
      <c r="B498" s="0" t="n">
        <v>2</v>
      </c>
      <c r="C498" s="0" t="str">
        <f aca="false">IF('Junior Makers Kits'!C190="","",'Junior Makers Kits'!C190)</f>
        <v>PIR motion sensor</v>
      </c>
      <c r="D498" s="0" t="n">
        <f aca="false">IF('Junior Makers Kits'!D190="","",'Junior Makers Kits'!D190)</f>
        <v>1</v>
      </c>
      <c r="E498" s="0" t="str">
        <f aca="false">IF('Junior Makers Kits'!E190="","",'Junior Makers Kits'!E190)</f>
        <v>Per group</v>
      </c>
      <c r="F498" s="0" t="str">
        <f aca="false">IFERROR(INDEX('Session Tracker'!$M$5:$M$149,MATCH($A498,'Session Tracker'!$D$5:$D$149,0))+0,"")</f>
        <v/>
      </c>
      <c r="G498" s="0" t="str">
        <f aca="false">IF(ISNUMBER(F498),IF(OR(B498=0,B498=99,C498&lt;&gt;""),F498*100+B498,""),"")</f>
        <v/>
      </c>
      <c r="H498" s="0" t="n">
        <f aca="false">IFERROR(INDEX('Session Tracker'!$J$5:$J$149,MATCH($A498,'Session Tracker'!$D$5:$D$149,0)),0)</f>
        <v>8</v>
      </c>
      <c r="I498" s="0" t="n">
        <f aca="false">IF(OR(B498=0,B498=99,C498=""),"",IF(E498="Per class",D498,D498*H498))</f>
        <v>8</v>
      </c>
      <c r="N498" s="0" t="str">
        <f aca="false">IF('Junior Makers Kits'!B190="","",'Junior Makers Kits'!B190)</f>
        <v>Sensors</v>
      </c>
      <c r="O498" s="0" t="str">
        <f aca="false">IF('Junior Makers Kits'!F190="","",'Junior Makers Kits'!F190)</f>
        <v>Reusable</v>
      </c>
      <c r="P498" s="0" t="str">
        <f aca="false">IF('Junior Makers Kits'!G190="","",'Junior Makers Kits'!G190)</f>
        <v/>
      </c>
    </row>
    <row r="499" customFormat="false" ht="15" hidden="false" customHeight="false" outlineLevel="0" collapsed="false">
      <c r="A499" s="0" t="s">
        <v>172</v>
      </c>
      <c r="B499" s="0" t="n">
        <v>3</v>
      </c>
      <c r="C499" s="0" t="str">
        <f aca="false">IF('Junior Makers Kits'!C191="","",'Junior Makers Kits'!C191)</f>
        <v>Push button</v>
      </c>
      <c r="D499" s="0" t="n">
        <f aca="false">IF('Junior Makers Kits'!D191="","",'Junior Makers Kits'!D191)</f>
        <v>3</v>
      </c>
      <c r="E499" s="0" t="str">
        <f aca="false">IF('Junior Makers Kits'!E191="","",'Junior Makers Kits'!E191)</f>
        <v>Per group</v>
      </c>
      <c r="F499" s="0" t="str">
        <f aca="false">IFERROR(INDEX('Session Tracker'!$M$5:$M$149,MATCH($A499,'Session Tracker'!$D$5:$D$149,0))+0,"")</f>
        <v/>
      </c>
      <c r="G499" s="0" t="str">
        <f aca="false">IF(ISNUMBER(F499),IF(OR(B499=0,B499=99,C499&lt;&gt;""),F499*100+B499,""),"")</f>
        <v/>
      </c>
      <c r="H499" s="0" t="n">
        <f aca="false">IFERROR(INDEX('Session Tracker'!$J$5:$J$149,MATCH($A499,'Session Tracker'!$D$5:$D$149,0)),0)</f>
        <v>8</v>
      </c>
      <c r="I499" s="0" t="n">
        <f aca="false">IF(OR(B499=0,B499=99,C499=""),"",IF(E499="Per class",D499,D499*H499))</f>
        <v>24</v>
      </c>
      <c r="N499" s="0" t="str">
        <f aca="false">IF('Junior Makers Kits'!B191="","",'Junior Makers Kits'!B191)</f>
        <v>Passive Components &amp; ICs</v>
      </c>
      <c r="O499" s="0" t="str">
        <f aca="false">IF('Junior Makers Kits'!F191="","",'Junior Makers Kits'!F191)</f>
        <v>Reusable</v>
      </c>
      <c r="P499" s="0" t="str">
        <f aca="false">IF('Junior Makers Kits'!G191="","",'Junior Makers Kits'!G191)</f>
        <v/>
      </c>
    </row>
    <row r="500" customFormat="false" ht="15" hidden="false" customHeight="false" outlineLevel="0" collapsed="false">
      <c r="A500" s="0" t="s">
        <v>172</v>
      </c>
      <c r="B500" s="0" t="n">
        <v>4</v>
      </c>
      <c r="C500" s="0" t="str">
        <f aca="false">IF('Junior Makers Kits'!C192="","",'Junior Makers Kits'!C192)</f>
        <v>Resistor 10k ohm</v>
      </c>
      <c r="D500" s="0" t="n">
        <f aca="false">IF('Junior Makers Kits'!D192="","",'Junior Makers Kits'!D192)</f>
        <v>3</v>
      </c>
      <c r="E500" s="0" t="str">
        <f aca="false">IF('Junior Makers Kits'!E192="","",'Junior Makers Kits'!E192)</f>
        <v>Per group</v>
      </c>
      <c r="F500" s="0" t="str">
        <f aca="false">IFERROR(INDEX('Session Tracker'!$M$5:$M$149,MATCH($A500,'Session Tracker'!$D$5:$D$149,0))+0,"")</f>
        <v/>
      </c>
      <c r="G500" s="0" t="str">
        <f aca="false">IF(ISNUMBER(F500),IF(OR(B500=0,B500=99,C500&lt;&gt;""),F500*100+B500,""),"")</f>
        <v/>
      </c>
      <c r="H500" s="0" t="n">
        <f aca="false">IFERROR(INDEX('Session Tracker'!$J$5:$J$149,MATCH($A500,'Session Tracker'!$D$5:$D$149,0)),0)</f>
        <v>8</v>
      </c>
      <c r="I500" s="0" t="n">
        <f aca="false">IF(OR(B500=0,B500=99,C500=""),"",IF(E500="Per class",D500,D500*H500))</f>
        <v>24</v>
      </c>
      <c r="N500" s="0" t="str">
        <f aca="false">IF('Junior Makers Kits'!B192="","",'Junior Makers Kits'!B192)</f>
        <v>Passive Components &amp; ICs</v>
      </c>
      <c r="O500" s="0" t="str">
        <f aca="false">IF('Junior Makers Kits'!F192="","",'Junior Makers Kits'!F192)</f>
        <v>Consumable</v>
      </c>
      <c r="P500" s="0" t="str">
        <f aca="false">IF('Junior Makers Kits'!G192="","",'Junior Makers Kits'!G192)</f>
        <v/>
      </c>
    </row>
    <row r="501" customFormat="false" ht="15" hidden="false" customHeight="false" outlineLevel="0" collapsed="false">
      <c r="A501" s="0" t="s">
        <v>172</v>
      </c>
      <c r="B501" s="0" t="n">
        <v>5</v>
      </c>
      <c r="C501" s="0" t="str">
        <f aca="false">IF('Junior Makers Kits'!C193="","",'Junior Makers Kits'!C193)</f>
        <v>Buzzer</v>
      </c>
      <c r="D501" s="0" t="n">
        <f aca="false">IF('Junior Makers Kits'!D193="","",'Junior Makers Kits'!D193)</f>
        <v>1</v>
      </c>
      <c r="E501" s="0" t="str">
        <f aca="false">IF('Junior Makers Kits'!E193="","",'Junior Makers Kits'!E193)</f>
        <v>Per group</v>
      </c>
      <c r="F501" s="0" t="str">
        <f aca="false">IFERROR(INDEX('Session Tracker'!$M$5:$M$149,MATCH($A501,'Session Tracker'!$D$5:$D$149,0))+0,"")</f>
        <v/>
      </c>
      <c r="G501" s="0" t="str">
        <f aca="false">IF(ISNUMBER(F501),IF(OR(B501=0,B501=99,C501&lt;&gt;""),F501*100+B501,""),"")</f>
        <v/>
      </c>
      <c r="H501" s="0" t="n">
        <f aca="false">IFERROR(INDEX('Session Tracker'!$J$5:$J$149,MATCH($A501,'Session Tracker'!$D$5:$D$149,0)),0)</f>
        <v>8</v>
      </c>
      <c r="I501" s="0" t="n">
        <f aca="false">IF(OR(B501=0,B501=99,C501=""),"",IF(E501="Per class",D501,D501*H501))</f>
        <v>8</v>
      </c>
      <c r="N501" s="0" t="str">
        <f aca="false">IF('Junior Makers Kits'!B193="","",'Junior Makers Kits'!B193)</f>
        <v>Actuators &amp; Motor Drivers</v>
      </c>
      <c r="O501" s="0" t="str">
        <f aca="false">IF('Junior Makers Kits'!F193="","",'Junior Makers Kits'!F193)</f>
        <v>Reusable</v>
      </c>
      <c r="P501" s="0" t="str">
        <f aca="false">IF('Junior Makers Kits'!G193="","",'Junior Makers Kits'!G193)</f>
        <v/>
      </c>
    </row>
    <row r="502" customFormat="false" ht="15" hidden="false" customHeight="false" outlineLevel="0" collapsed="false">
      <c r="A502" s="0" t="s">
        <v>172</v>
      </c>
      <c r="B502" s="0" t="n">
        <v>6</v>
      </c>
      <c r="C502" s="0" t="str">
        <f aca="false">IF('Junior Makers Kits'!C194="","",'Junior Makers Kits'!C194)</f>
        <v>LED 5 mm (assorted)</v>
      </c>
      <c r="D502" s="0" t="n">
        <f aca="false">IF('Junior Makers Kits'!D194="","",'Junior Makers Kits'!D194)</f>
        <v>2</v>
      </c>
      <c r="E502" s="0" t="str">
        <f aca="false">IF('Junior Makers Kits'!E194="","",'Junior Makers Kits'!E194)</f>
        <v>Per group</v>
      </c>
      <c r="F502" s="0" t="str">
        <f aca="false">IFERROR(INDEX('Session Tracker'!$M$5:$M$149,MATCH($A502,'Session Tracker'!$D$5:$D$149,0))+0,"")</f>
        <v/>
      </c>
      <c r="G502" s="0" t="str">
        <f aca="false">IF(ISNUMBER(F502),IF(OR(B502=0,B502=99,C502&lt;&gt;""),F502*100+B502,""),"")</f>
        <v/>
      </c>
      <c r="H502" s="0" t="n">
        <f aca="false">IFERROR(INDEX('Session Tracker'!$J$5:$J$149,MATCH($A502,'Session Tracker'!$D$5:$D$149,0)),0)</f>
        <v>8</v>
      </c>
      <c r="I502" s="0" t="n">
        <f aca="false">IF(OR(B502=0,B502=99,C502=""),"",IF(E502="Per class",D502,D502*H502))</f>
        <v>16</v>
      </c>
      <c r="N502" s="0" t="str">
        <f aca="false">IF('Junior Makers Kits'!B194="","",'Junior Makers Kits'!B194)</f>
        <v>Displays &amp; Output</v>
      </c>
      <c r="O502" s="0" t="str">
        <f aca="false">IF('Junior Makers Kits'!F194="","",'Junior Makers Kits'!F194)</f>
        <v>Consumable</v>
      </c>
      <c r="P502" s="0" t="str">
        <f aca="false">IF('Junior Makers Kits'!G194="","",'Junior Makers Kits'!G194)</f>
        <v>Green, red</v>
      </c>
    </row>
    <row r="503" customFormat="false" ht="15" hidden="false" customHeight="false" outlineLevel="0" collapsed="false">
      <c r="A503" s="0" t="s">
        <v>172</v>
      </c>
      <c r="B503" s="0" t="n">
        <v>7</v>
      </c>
      <c r="C503" s="0" t="str">
        <f aca="false">IF('Junior Makers Kits'!C195="","",'Junior Makers Kits'!C195)</f>
        <v>Resistor 220 ohm</v>
      </c>
      <c r="D503" s="0" t="n">
        <f aca="false">IF('Junior Makers Kits'!D195="","",'Junior Makers Kits'!D195)</f>
        <v>2</v>
      </c>
      <c r="E503" s="0" t="str">
        <f aca="false">IF('Junior Makers Kits'!E195="","",'Junior Makers Kits'!E195)</f>
        <v>Per group</v>
      </c>
      <c r="F503" s="0" t="str">
        <f aca="false">IFERROR(INDEX('Session Tracker'!$M$5:$M$149,MATCH($A503,'Session Tracker'!$D$5:$D$149,0))+0,"")</f>
        <v/>
      </c>
      <c r="G503" s="0" t="str">
        <f aca="false">IF(ISNUMBER(F503),IF(OR(B503=0,B503=99,C503&lt;&gt;""),F503*100+B503,""),"")</f>
        <v/>
      </c>
      <c r="H503" s="0" t="n">
        <f aca="false">IFERROR(INDEX('Session Tracker'!$J$5:$J$149,MATCH($A503,'Session Tracker'!$D$5:$D$149,0)),0)</f>
        <v>8</v>
      </c>
      <c r="I503" s="0" t="n">
        <f aca="false">IF(OR(B503=0,B503=99,C503=""),"",IF(E503="Per class",D503,D503*H503))</f>
        <v>16</v>
      </c>
      <c r="N503" s="0" t="str">
        <f aca="false">IF('Junior Makers Kits'!B195="","",'Junior Makers Kits'!B195)</f>
        <v>Passive Components &amp; ICs</v>
      </c>
      <c r="O503" s="0" t="str">
        <f aca="false">IF('Junior Makers Kits'!F195="","",'Junior Makers Kits'!F195)</f>
        <v>Consumable</v>
      </c>
      <c r="P503" s="0" t="str">
        <f aca="false">IF('Junior Makers Kits'!G195="","",'Junior Makers Kits'!G195)</f>
        <v/>
      </c>
    </row>
    <row r="504" customFormat="false" ht="15" hidden="false" customHeight="false" outlineLevel="0" collapsed="false">
      <c r="A504" s="0" t="s">
        <v>172</v>
      </c>
      <c r="B504" s="0" t="n">
        <v>8</v>
      </c>
      <c r="C504" s="0" t="str">
        <f aca="false">IF('Junior Makers Kits'!C196="","",'Junior Makers Kits'!C196)</f>
        <v>Breadboard (half size)</v>
      </c>
      <c r="D504" s="0" t="n">
        <f aca="false">IF('Junior Makers Kits'!D196="","",'Junior Makers Kits'!D196)</f>
        <v>1</v>
      </c>
      <c r="E504" s="0" t="str">
        <f aca="false">IF('Junior Makers Kits'!E196="","",'Junior Makers Kits'!E196)</f>
        <v>Per group</v>
      </c>
      <c r="F504" s="0" t="str">
        <f aca="false">IFERROR(INDEX('Session Tracker'!$M$5:$M$149,MATCH($A504,'Session Tracker'!$D$5:$D$149,0))+0,"")</f>
        <v/>
      </c>
      <c r="G504" s="0" t="str">
        <f aca="false">IF(ISNUMBER(F504),IF(OR(B504=0,B504=99,C504&lt;&gt;""),F504*100+B504,""),"")</f>
        <v/>
      </c>
      <c r="H504" s="0" t="n">
        <f aca="false">IFERROR(INDEX('Session Tracker'!$J$5:$J$149,MATCH($A504,'Session Tracker'!$D$5:$D$149,0)),0)</f>
        <v>8</v>
      </c>
      <c r="I504" s="0" t="n">
        <f aca="false">IF(OR(B504=0,B504=99,C504=""),"",IF(E504="Per class",D504,D504*H504))</f>
        <v>8</v>
      </c>
      <c r="N504" s="0" t="str">
        <f aca="false">IF('Junior Makers Kits'!B196="","",'Junior Makers Kits'!B196)</f>
        <v>Wiring &amp; Prototyping</v>
      </c>
      <c r="O504" s="0" t="str">
        <f aca="false">IF('Junior Makers Kits'!F196="","",'Junior Makers Kits'!F196)</f>
        <v>Reusable</v>
      </c>
      <c r="P504" s="0" t="str">
        <f aca="false">IF('Junior Makers Kits'!G196="","",'Junior Makers Kits'!G196)</f>
        <v/>
      </c>
    </row>
    <row r="505" customFormat="false" ht="15" hidden="false" customHeight="false" outlineLevel="0" collapsed="false">
      <c r="A505" s="0" t="s">
        <v>172</v>
      </c>
      <c r="B505" s="0" t="n">
        <v>9</v>
      </c>
      <c r="C505" s="0" t="str">
        <f aca="false">IF('Junior Makers Kits'!C197="","",'Junior Makers Kits'!C197)</f>
        <v>Jumper wires M-M</v>
      </c>
      <c r="D505" s="0" t="n">
        <f aca="false">IF('Junior Makers Kits'!D197="","",'Junior Makers Kits'!D197)</f>
        <v>14</v>
      </c>
      <c r="E505" s="0" t="str">
        <f aca="false">IF('Junior Makers Kits'!E197="","",'Junior Makers Kits'!E197)</f>
        <v>Per group</v>
      </c>
      <c r="F505" s="0" t="str">
        <f aca="false">IFERROR(INDEX('Session Tracker'!$M$5:$M$149,MATCH($A505,'Session Tracker'!$D$5:$D$149,0))+0,"")</f>
        <v/>
      </c>
      <c r="G505" s="0" t="str">
        <f aca="false">IF(ISNUMBER(F505),IF(OR(B505=0,B505=99,C505&lt;&gt;""),F505*100+B505,""),"")</f>
        <v/>
      </c>
      <c r="H505" s="0" t="n">
        <f aca="false">IFERROR(INDEX('Session Tracker'!$J$5:$J$149,MATCH($A505,'Session Tracker'!$D$5:$D$149,0)),0)</f>
        <v>8</v>
      </c>
      <c r="I505" s="0" t="n">
        <f aca="false">IF(OR(B505=0,B505=99,C505=""),"",IF(E505="Per class",D505,D505*H505))</f>
        <v>112</v>
      </c>
      <c r="N505" s="0" t="str">
        <f aca="false">IF('Junior Makers Kits'!B197="","",'Junior Makers Kits'!B197)</f>
        <v>Wiring &amp; Prototyping</v>
      </c>
      <c r="O505" s="0" t="str">
        <f aca="false">IF('Junior Makers Kits'!F197="","",'Junior Makers Kits'!F197)</f>
        <v>Reusable</v>
      </c>
      <c r="P505" s="0" t="str">
        <f aca="false">IF('Junior Makers Kits'!G197="","",'Junior Makers Kits'!G197)</f>
        <v/>
      </c>
    </row>
    <row r="506" customFormat="false" ht="15" hidden="false" customHeight="false" outlineLevel="0" collapsed="false">
      <c r="A506" s="0" t="s">
        <v>172</v>
      </c>
      <c r="B506" s="0" t="n">
        <v>10</v>
      </c>
      <c r="C506" s="0" t="str">
        <f aca="false">IF('Junior Makers Kits'!C198="","",'Junior Makers Kits'!C198)</f>
        <v>Jumper wires M-F</v>
      </c>
      <c r="D506" s="0" t="n">
        <f aca="false">IF('Junior Makers Kits'!D198="","",'Junior Makers Kits'!D198)</f>
        <v>3</v>
      </c>
      <c r="E506" s="0" t="str">
        <f aca="false">IF('Junior Makers Kits'!E198="","",'Junior Makers Kits'!E198)</f>
        <v>Per group</v>
      </c>
      <c r="F506" s="0" t="str">
        <f aca="false">IFERROR(INDEX('Session Tracker'!$M$5:$M$149,MATCH($A506,'Session Tracker'!$D$5:$D$149,0))+0,"")</f>
        <v/>
      </c>
      <c r="G506" s="0" t="str">
        <f aca="false">IF(ISNUMBER(F506),IF(OR(B506=0,B506=99,C506&lt;&gt;""),F506*100+B506,""),"")</f>
        <v/>
      </c>
      <c r="H506" s="0" t="n">
        <f aca="false">IFERROR(INDEX('Session Tracker'!$J$5:$J$149,MATCH($A506,'Session Tracker'!$D$5:$D$149,0)),0)</f>
        <v>8</v>
      </c>
      <c r="I506" s="0" t="n">
        <f aca="false">IF(OR(B506=0,B506=99,C506=""),"",IF(E506="Per class",D506,D506*H506))</f>
        <v>24</v>
      </c>
      <c r="N506" s="0" t="str">
        <f aca="false">IF('Junior Makers Kits'!B198="","",'Junior Makers Kits'!B198)</f>
        <v>Wiring &amp; Prototyping</v>
      </c>
      <c r="O506" s="0" t="str">
        <f aca="false">IF('Junior Makers Kits'!F198="","",'Junior Makers Kits'!F198)</f>
        <v>Reusable</v>
      </c>
      <c r="P506" s="0" t="str">
        <f aca="false">IF('Junior Makers Kits'!G198="","",'Junior Makers Kits'!G198)</f>
        <v/>
      </c>
    </row>
    <row r="507" customFormat="false" ht="15" hidden="false" customHeight="false" outlineLevel="0" collapsed="false">
      <c r="A507" s="0" t="s">
        <v>172</v>
      </c>
      <c r="B507" s="0" t="n">
        <v>11</v>
      </c>
      <c r="C507" s="0" t="str">
        <f aca="false">IF('Junior Makers Kits'!C199="","",'Junior Makers Kits'!C199)</f>
        <v>Laptop</v>
      </c>
      <c r="D507" s="0" t="n">
        <f aca="false">IF('Junior Makers Kits'!D199="","",'Junior Makers Kits'!D199)</f>
        <v>1</v>
      </c>
      <c r="E507" s="0" t="str">
        <f aca="false">IF('Junior Makers Kits'!E199="","",'Junior Makers Kits'!E199)</f>
        <v>Per group</v>
      </c>
      <c r="F507" s="0" t="str">
        <f aca="false">IFERROR(INDEX('Session Tracker'!$M$5:$M$149,MATCH($A507,'Session Tracker'!$D$5:$D$149,0))+0,"")</f>
        <v/>
      </c>
      <c r="G507" s="0" t="str">
        <f aca="false">IF(ISNUMBER(F507),IF(OR(B507=0,B507=99,C507&lt;&gt;""),F507*100+B507,""),"")</f>
        <v/>
      </c>
      <c r="H507" s="0" t="n">
        <f aca="false">IFERROR(INDEX('Session Tracker'!$J$5:$J$149,MATCH($A507,'Session Tracker'!$D$5:$D$149,0)),0)</f>
        <v>8</v>
      </c>
      <c r="I507" s="0" t="n">
        <f aca="false">IF(OR(B507=0,B507=99,C507=""),"",IF(E507="Per class",D507,D507*H507))</f>
        <v>8</v>
      </c>
      <c r="N507" s="0" t="str">
        <f aca="false">IF('Junior Makers Kits'!B199="","",'Junior Makers Kits'!B199)</f>
        <v>Computers &amp; Equipment</v>
      </c>
      <c r="O507" s="0" t="str">
        <f aca="false">IF('Junior Makers Kits'!F199="","",'Junior Makers Kits'!F199)</f>
        <v>Reusable</v>
      </c>
      <c r="P507" s="0" t="str">
        <f aca="false">IF('Junior Makers Kits'!G199="","",'Junior Makers Kits'!G199)</f>
        <v/>
      </c>
    </row>
    <row r="508" customFormat="false" ht="15" hidden="false" customHeight="false" outlineLevel="0" collapsed="false">
      <c r="A508" s="0" t="s">
        <v>172</v>
      </c>
      <c r="B508" s="0" t="n">
        <v>12</v>
      </c>
      <c r="C508" s="0" t="str">
        <f aca="false">IF('Junior Makers Kits'!C200="","",'Junior Makers Kits'!C200)</f>
        <v/>
      </c>
      <c r="D508" s="0" t="str">
        <f aca="false">IF('Junior Makers Kits'!D200="","",'Junior Makers Kits'!D200)</f>
        <v/>
      </c>
      <c r="E508" s="0" t="str">
        <f aca="false">IF('Junior Makers Kits'!E200="","",'Junior Makers Kits'!E200)</f>
        <v/>
      </c>
      <c r="F508" s="0" t="str">
        <f aca="false">IFERROR(INDEX('Session Tracker'!$M$5:$M$149,MATCH($A508,'Session Tracker'!$D$5:$D$149,0))+0,"")</f>
        <v/>
      </c>
      <c r="G508" s="0" t="str">
        <f aca="false">IF(ISNUMBER(F508),IF(OR(B508=0,B508=99,C508&lt;&gt;""),F508*100+B508,""),"")</f>
        <v/>
      </c>
      <c r="H508" s="0" t="n">
        <f aca="false">IFERROR(INDEX('Session Tracker'!$J$5:$J$149,MATCH($A508,'Session Tracker'!$D$5:$D$149,0)),0)</f>
        <v>8</v>
      </c>
      <c r="I508" s="0" t="str">
        <f aca="false">IF(OR(B508=0,B508=99,C508=""),"",IF(E508="Per class",D508,D508*H508))</f>
        <v/>
      </c>
      <c r="N508" s="0" t="str">
        <f aca="false">IF('Junior Makers Kits'!B200="","",'Junior Makers Kits'!B200)</f>
        <v/>
      </c>
      <c r="O508" s="0" t="str">
        <f aca="false">IF('Junior Makers Kits'!F200="","",'Junior Makers Kits'!F200)</f>
        <v/>
      </c>
      <c r="P508" s="0" t="str">
        <f aca="false">IF('Junior Makers Kits'!G200="","",'Junior Makers Kits'!G200)</f>
        <v/>
      </c>
    </row>
    <row r="509" customFormat="false" ht="15" hidden="false" customHeight="false" outlineLevel="0" collapsed="false">
      <c r="A509" s="0" t="s">
        <v>172</v>
      </c>
      <c r="B509" s="0" t="n">
        <v>13</v>
      </c>
      <c r="C509" s="0" t="str">
        <f aca="false">IF('Junior Makers Kits'!C201="","",'Junior Makers Kits'!C201)</f>
        <v/>
      </c>
      <c r="D509" s="0" t="str">
        <f aca="false">IF('Junior Makers Kits'!D201="","",'Junior Makers Kits'!D201)</f>
        <v/>
      </c>
      <c r="E509" s="0" t="str">
        <f aca="false">IF('Junior Makers Kits'!E201="","",'Junior Makers Kits'!E201)</f>
        <v/>
      </c>
      <c r="F509" s="0" t="str">
        <f aca="false">IFERROR(INDEX('Session Tracker'!$M$5:$M$149,MATCH($A509,'Session Tracker'!$D$5:$D$149,0))+0,"")</f>
        <v/>
      </c>
      <c r="G509" s="0" t="str">
        <f aca="false">IF(ISNUMBER(F509),IF(OR(B509=0,B509=99,C509&lt;&gt;""),F509*100+B509,""),"")</f>
        <v/>
      </c>
      <c r="H509" s="0" t="n">
        <f aca="false">IFERROR(INDEX('Session Tracker'!$J$5:$J$149,MATCH($A509,'Session Tracker'!$D$5:$D$149,0)),0)</f>
        <v>8</v>
      </c>
      <c r="I509" s="0" t="str">
        <f aca="false">IF(OR(B509=0,B509=99,C509=""),"",IF(E509="Per class",D509,D509*H509))</f>
        <v/>
      </c>
      <c r="N509" s="0" t="str">
        <f aca="false">IF('Junior Makers Kits'!B201="","",'Junior Makers Kits'!B201)</f>
        <v/>
      </c>
      <c r="O509" s="0" t="str">
        <f aca="false">IF('Junior Makers Kits'!F201="","",'Junior Makers Kits'!F201)</f>
        <v/>
      </c>
      <c r="P509" s="0" t="str">
        <f aca="false">IF('Junior Makers Kits'!G201="","",'Junior Makers Kits'!G201)</f>
        <v/>
      </c>
    </row>
    <row r="510" customFormat="false" ht="15" hidden="false" customHeight="false" outlineLevel="0" collapsed="false">
      <c r="A510" s="0" t="s">
        <v>174</v>
      </c>
      <c r="B510" s="0" t="n">
        <v>0</v>
      </c>
      <c r="F510" s="0" t="str">
        <f aca="false">IFERROR(INDEX('Session Tracker'!$M$5:$M$149,MATCH($A510,'Session Tracker'!$D$5:$D$149,0))+0,"")</f>
        <v/>
      </c>
      <c r="G510" s="0" t="str">
        <f aca="false">IF(ISNUMBER(F510),IF(OR(B510=0,B510=99,C510&lt;&gt;""),F510*100+B510,""),"")</f>
        <v/>
      </c>
      <c r="H510" s="0" t="n">
        <f aca="false">IFERROR(INDEX('Session Tracker'!$J$5:$J$149,MATCH($A510,'Session Tracker'!$D$5:$D$149,0)),0)</f>
        <v>8</v>
      </c>
      <c r="I510" s="0" t="str">
        <f aca="false">IF(OR(B510=0,B510=99,C510=""),"",IF(E510="Per class",D510,D510*H510))</f>
        <v/>
      </c>
      <c r="K510" s="0" t="str">
        <f aca="false">IFERROR(INDEX('Session Tracker'!$E$5:$E$149,MATCH($A510,'Session Tracker'!$D$5:$D$149,0)),"")</f>
        <v>3D-Designed Name Badge &amp; Sensor Mount</v>
      </c>
      <c r="L510" s="0" t="str">
        <f aca="false">IFERROR(INDEX('Session Tracker'!$A$5:$A$149,MATCH($A510,'Session Tracker'!$D$5:$D$149,0)),"")</f>
        <v>Junior Makers (8-11)</v>
      </c>
      <c r="M510" s="0" t="str">
        <f aca="false">IFERROR(INDEX('Session Tracker'!$H$5:$H$149,MATCH($A510,'Session Tracker'!$D$5:$D$149,0))&amp;"","")</f>
        <v/>
      </c>
      <c r="Q510" s="0" t="str">
        <f aca="false">IFERROR("Status: "&amp;INDEX('Session Tracker'!$F$5:$F$149,MATCH($A510,'Session Tracker'!$D$5:$D$149,0))&amp;IF(INDEX('Session Tracker'!$G$5:$G$149,MATCH($A510,'Session Tracker'!$D$5:$D$149,0))&lt;&gt;""," ("&amp;INDEX('Session Tracker'!$G$5:$G$149,MATCH($A510,'Session Tracker'!$D$5:$D$149,0))&amp;")","")&amp;IF(M510&lt;&gt;"","  "&amp;M510,""),"")</f>
        <v>Status: Not started</v>
      </c>
    </row>
    <row r="511" customFormat="false" ht="15" hidden="false" customHeight="false" outlineLevel="0" collapsed="false">
      <c r="A511" s="0" t="s">
        <v>174</v>
      </c>
      <c r="B511" s="0" t="n">
        <v>1</v>
      </c>
      <c r="C511" s="0" t="str">
        <f aca="false">IF('Junior Makers Kits'!C204="","",'Junior Makers Kits'!C204)</f>
        <v>Laptop</v>
      </c>
      <c r="D511" s="0" t="n">
        <f aca="false">IF('Junior Makers Kits'!D204="","",'Junior Makers Kits'!D204)</f>
        <v>1</v>
      </c>
      <c r="E511" s="0" t="str">
        <f aca="false">IF('Junior Makers Kits'!E204="","",'Junior Makers Kits'!E204)</f>
        <v>Per group</v>
      </c>
      <c r="F511" s="0" t="str">
        <f aca="false">IFERROR(INDEX('Session Tracker'!$M$5:$M$149,MATCH($A511,'Session Tracker'!$D$5:$D$149,0))+0,"")</f>
        <v/>
      </c>
      <c r="G511" s="0" t="str">
        <f aca="false">IF(ISNUMBER(F511),IF(OR(B511=0,B511=99,C511&lt;&gt;""),F511*100+B511,""),"")</f>
        <v/>
      </c>
      <c r="H511" s="0" t="n">
        <f aca="false">IFERROR(INDEX('Session Tracker'!$J$5:$J$149,MATCH($A511,'Session Tracker'!$D$5:$D$149,0)),0)</f>
        <v>8</v>
      </c>
      <c r="I511" s="0" t="n">
        <f aca="false">IF(OR(B511=0,B511=99,C511=""),"",IF(E511="Per class",D511,D511*H511))</f>
        <v>8</v>
      </c>
      <c r="N511" s="0" t="str">
        <f aca="false">IF('Junior Makers Kits'!B204="","",'Junior Makers Kits'!B204)</f>
        <v>Computers &amp; Equipment</v>
      </c>
      <c r="O511" s="0" t="str">
        <f aca="false">IF('Junior Makers Kits'!F204="","",'Junior Makers Kits'!F204)</f>
        <v>Reusable</v>
      </c>
      <c r="P511" s="0" t="str">
        <f aca="false">IF('Junior Makers Kits'!G204="","",'Junior Makers Kits'!G204)</f>
        <v/>
      </c>
    </row>
    <row r="512" customFormat="false" ht="15" hidden="false" customHeight="false" outlineLevel="0" collapsed="false">
      <c r="A512" s="0" t="s">
        <v>174</v>
      </c>
      <c r="B512" s="0" t="n">
        <v>2</v>
      </c>
      <c r="C512" s="0" t="str">
        <f aca="false">IF('Junior Makers Kits'!C205="","",'Junior Makers Kits'!C205)</f>
        <v>3D printer</v>
      </c>
      <c r="D512" s="0" t="n">
        <f aca="false">IF('Junior Makers Kits'!D205="","",'Junior Makers Kits'!D205)</f>
        <v>1</v>
      </c>
      <c r="E512" s="0" t="str">
        <f aca="false">IF('Junior Makers Kits'!E205="","",'Junior Makers Kits'!E205)</f>
        <v>Per class</v>
      </c>
      <c r="F512" s="0" t="str">
        <f aca="false">IFERROR(INDEX('Session Tracker'!$M$5:$M$149,MATCH($A512,'Session Tracker'!$D$5:$D$149,0))+0,"")</f>
        <v/>
      </c>
      <c r="G512" s="0" t="str">
        <f aca="false">IF(ISNUMBER(F512),IF(OR(B512=0,B512=99,C512&lt;&gt;""),F512*100+B512,""),"")</f>
        <v/>
      </c>
      <c r="H512" s="0" t="n">
        <f aca="false">IFERROR(INDEX('Session Tracker'!$J$5:$J$149,MATCH($A512,'Session Tracker'!$D$5:$D$149,0)),0)</f>
        <v>8</v>
      </c>
      <c r="I512" s="0" t="n">
        <f aca="false">IF(OR(B512=0,B512=99,C512=""),"",IF(E512="Per class",D512,D512*H512))</f>
        <v>1</v>
      </c>
      <c r="N512" s="0" t="str">
        <f aca="false">IF('Junior Makers Kits'!B205="","",'Junior Makers Kits'!B205)</f>
        <v>Computers &amp; Equipment</v>
      </c>
      <c r="O512" s="0" t="str">
        <f aca="false">IF('Junior Makers Kits'!F205="","",'Junior Makers Kits'!F205)</f>
        <v>Reusable</v>
      </c>
      <c r="P512" s="0" t="str">
        <f aca="false">IF('Junior Makers Kits'!G205="","",'Junior Makers Kits'!G205)</f>
        <v/>
      </c>
    </row>
    <row r="513" customFormat="false" ht="15" hidden="false" customHeight="false" outlineLevel="0" collapsed="false">
      <c r="A513" s="0" t="s">
        <v>174</v>
      </c>
      <c r="B513" s="0" t="n">
        <v>3</v>
      </c>
      <c r="C513" s="0" t="str">
        <f aca="false">IF('Junior Makers Kits'!C206="","",'Junior Makers Kits'!C206)</f>
        <v>PLA filament</v>
      </c>
      <c r="D513" s="0" t="n">
        <f aca="false">IF('Junior Makers Kits'!D206="","",'Junior Makers Kits'!D206)</f>
        <v>1</v>
      </c>
      <c r="E513" s="0" t="str">
        <f aca="false">IF('Junior Makers Kits'!E206="","",'Junior Makers Kits'!E206)</f>
        <v>Per class</v>
      </c>
      <c r="F513" s="0" t="str">
        <f aca="false">IFERROR(INDEX('Session Tracker'!$M$5:$M$149,MATCH($A513,'Session Tracker'!$D$5:$D$149,0))+0,"")</f>
        <v/>
      </c>
      <c r="G513" s="0" t="str">
        <f aca="false">IF(ISNUMBER(F513),IF(OR(B513=0,B513=99,C513&lt;&gt;""),F513*100+B513,""),"")</f>
        <v/>
      </c>
      <c r="H513" s="0" t="n">
        <f aca="false">IFERROR(INDEX('Session Tracker'!$J$5:$J$149,MATCH($A513,'Session Tracker'!$D$5:$D$149,0)),0)</f>
        <v>8</v>
      </c>
      <c r="I513" s="0" t="n">
        <f aca="false">IF(OR(B513=0,B513=99,C513=""),"",IF(E513="Per class",D513,D513*H513))</f>
        <v>1</v>
      </c>
      <c r="N513" s="0" t="str">
        <f aca="false">IF('Junior Makers Kits'!B206="","",'Junior Makers Kits'!B206)</f>
        <v>Computers &amp; Equipment</v>
      </c>
      <c r="O513" s="0" t="str">
        <f aca="false">IF('Junior Makers Kits'!F206="","",'Junior Makers Kits'!F206)</f>
        <v>Consumable</v>
      </c>
      <c r="P513" s="0" t="str">
        <f aca="false">IF('Junior Makers Kits'!G206="","",'Junior Makers Kits'!G206)</f>
        <v>1 spool per term</v>
      </c>
    </row>
    <row r="514" customFormat="false" ht="15" hidden="false" customHeight="false" outlineLevel="0" collapsed="false">
      <c r="A514" s="0" t="s">
        <v>174</v>
      </c>
      <c r="B514" s="0" t="n">
        <v>4</v>
      </c>
      <c r="C514" s="0" t="str">
        <f aca="false">IF('Junior Makers Kits'!C207="","",'Junior Makers Kits'!C207)</f>
        <v/>
      </c>
      <c r="D514" s="0" t="str">
        <f aca="false">IF('Junior Makers Kits'!D207="","",'Junior Makers Kits'!D207)</f>
        <v/>
      </c>
      <c r="E514" s="0" t="str">
        <f aca="false">IF('Junior Makers Kits'!E207="","",'Junior Makers Kits'!E207)</f>
        <v/>
      </c>
      <c r="F514" s="0" t="str">
        <f aca="false">IFERROR(INDEX('Session Tracker'!$M$5:$M$149,MATCH($A514,'Session Tracker'!$D$5:$D$149,0))+0,"")</f>
        <v/>
      </c>
      <c r="G514" s="0" t="str">
        <f aca="false">IF(ISNUMBER(F514),IF(OR(B514=0,B514=99,C514&lt;&gt;""),F514*100+B514,""),"")</f>
        <v/>
      </c>
      <c r="H514" s="0" t="n">
        <f aca="false">IFERROR(INDEX('Session Tracker'!$J$5:$J$149,MATCH($A514,'Session Tracker'!$D$5:$D$149,0)),0)</f>
        <v>8</v>
      </c>
      <c r="I514" s="0" t="str">
        <f aca="false">IF(OR(B514=0,B514=99,C514=""),"",IF(E514="Per class",D514,D514*H514))</f>
        <v/>
      </c>
      <c r="N514" s="0" t="str">
        <f aca="false">IF('Junior Makers Kits'!B207="","",'Junior Makers Kits'!B207)</f>
        <v/>
      </c>
      <c r="O514" s="0" t="str">
        <f aca="false">IF('Junior Makers Kits'!F207="","",'Junior Makers Kits'!F207)</f>
        <v/>
      </c>
      <c r="P514" s="0" t="str">
        <f aca="false">IF('Junior Makers Kits'!G207="","",'Junior Makers Kits'!G207)</f>
        <v/>
      </c>
    </row>
    <row r="515" customFormat="false" ht="15" hidden="false" customHeight="false" outlineLevel="0" collapsed="false">
      <c r="A515" s="0" t="s">
        <v>174</v>
      </c>
      <c r="B515" s="0" t="n">
        <v>5</v>
      </c>
      <c r="C515" s="0" t="str">
        <f aca="false">IF('Junior Makers Kits'!C208="","",'Junior Makers Kits'!C208)</f>
        <v/>
      </c>
      <c r="D515" s="0" t="str">
        <f aca="false">IF('Junior Makers Kits'!D208="","",'Junior Makers Kits'!D208)</f>
        <v/>
      </c>
      <c r="E515" s="0" t="str">
        <f aca="false">IF('Junior Makers Kits'!E208="","",'Junior Makers Kits'!E208)</f>
        <v/>
      </c>
      <c r="F515" s="0" t="str">
        <f aca="false">IFERROR(INDEX('Session Tracker'!$M$5:$M$149,MATCH($A515,'Session Tracker'!$D$5:$D$149,0))+0,"")</f>
        <v/>
      </c>
      <c r="G515" s="0" t="str">
        <f aca="false">IF(ISNUMBER(F515),IF(OR(B515=0,B515=99,C515&lt;&gt;""),F515*100+B515,""),"")</f>
        <v/>
      </c>
      <c r="H515" s="0" t="n">
        <f aca="false">IFERROR(INDEX('Session Tracker'!$J$5:$J$149,MATCH($A515,'Session Tracker'!$D$5:$D$149,0)),0)</f>
        <v>8</v>
      </c>
      <c r="I515" s="0" t="str">
        <f aca="false">IF(OR(B515=0,B515=99,C515=""),"",IF(E515="Per class",D515,D515*H515))</f>
        <v/>
      </c>
      <c r="N515" s="0" t="str">
        <f aca="false">IF('Junior Makers Kits'!B208="","",'Junior Makers Kits'!B208)</f>
        <v/>
      </c>
      <c r="O515" s="0" t="str">
        <f aca="false">IF('Junior Makers Kits'!F208="","",'Junior Makers Kits'!F208)</f>
        <v/>
      </c>
      <c r="P515" s="0" t="str">
        <f aca="false">IF('Junior Makers Kits'!G208="","",'Junior Makers Kits'!G208)</f>
        <v/>
      </c>
    </row>
    <row r="516" customFormat="false" ht="15" hidden="false" customHeight="false" outlineLevel="0" collapsed="false">
      <c r="A516" s="0" t="s">
        <v>176</v>
      </c>
      <c r="B516" s="0" t="n">
        <v>0</v>
      </c>
      <c r="F516" s="0" t="str">
        <f aca="false">IFERROR(INDEX('Session Tracker'!$M$5:$M$149,MATCH($A516,'Session Tracker'!$D$5:$D$149,0))+0,"")</f>
        <v/>
      </c>
      <c r="G516" s="0" t="str">
        <f aca="false">IF(ISNUMBER(F516),IF(OR(B516=0,B516=99,C516&lt;&gt;""),F516*100+B516,""),"")</f>
        <v/>
      </c>
      <c r="H516" s="0" t="n">
        <f aca="false">IFERROR(INDEX('Session Tracker'!$J$5:$J$149,MATCH($A516,'Session Tracker'!$D$5:$D$149,0)),0)</f>
        <v>8</v>
      </c>
      <c r="I516" s="0" t="str">
        <f aca="false">IF(OR(B516=0,B516=99,C516=""),"",IF(E516="Per class",D516,D516*H516))</f>
        <v/>
      </c>
      <c r="K516" s="0" t="str">
        <f aca="false">IFERROR(INDEX('Session Tracker'!$E$5:$E$149,MATCH($A516,'Session Tracker'!$D$5:$D$149,0)),"")</f>
        <v>Line Following Robot</v>
      </c>
      <c r="L516" s="0" t="str">
        <f aca="false">IFERROR(INDEX('Session Tracker'!$A$5:$A$149,MATCH($A516,'Session Tracker'!$D$5:$D$149,0)),"")</f>
        <v>Junior Makers (8-11)</v>
      </c>
      <c r="M516" s="0" t="str">
        <f aca="false">IFERROR(INDEX('Session Tracker'!$H$5:$H$149,MATCH($A516,'Session Tracker'!$D$5:$D$149,0))&amp;"","")</f>
        <v/>
      </c>
      <c r="Q516" s="0" t="str">
        <f aca="false">IFERROR("Status: "&amp;INDEX('Session Tracker'!$F$5:$F$149,MATCH($A516,'Session Tracker'!$D$5:$D$149,0))&amp;IF(INDEX('Session Tracker'!$G$5:$G$149,MATCH($A516,'Session Tracker'!$D$5:$D$149,0))&lt;&gt;""," ("&amp;INDEX('Session Tracker'!$G$5:$G$149,MATCH($A516,'Session Tracker'!$D$5:$D$149,0))&amp;")","")&amp;IF(M516&lt;&gt;"","  "&amp;M516,""),"")</f>
        <v>Status: Not started</v>
      </c>
    </row>
    <row r="517" customFormat="false" ht="15" hidden="false" customHeight="false" outlineLevel="0" collapsed="false">
      <c r="A517" s="0" t="s">
        <v>176</v>
      </c>
      <c r="B517" s="0" t="n">
        <v>1</v>
      </c>
      <c r="C517" s="0" t="str">
        <f aca="false">IF('Junior Makers Kits'!C211="","",'Junior Makers Kits'!C211)</f>
        <v>Arduino Uno + USB cable</v>
      </c>
      <c r="D517" s="0" t="n">
        <f aca="false">IF('Junior Makers Kits'!D211="","",'Junior Makers Kits'!D211)</f>
        <v>1</v>
      </c>
      <c r="E517" s="0" t="str">
        <f aca="false">IF('Junior Makers Kits'!E211="","",'Junior Makers Kits'!E211)</f>
        <v>Per group</v>
      </c>
      <c r="F517" s="0" t="str">
        <f aca="false">IFERROR(INDEX('Session Tracker'!$M$5:$M$149,MATCH($A517,'Session Tracker'!$D$5:$D$149,0))+0,"")</f>
        <v/>
      </c>
      <c r="G517" s="0" t="str">
        <f aca="false">IF(ISNUMBER(F517),IF(OR(B517=0,B517=99,C517&lt;&gt;""),F517*100+B517,""),"")</f>
        <v/>
      </c>
      <c r="H517" s="0" t="n">
        <f aca="false">IFERROR(INDEX('Session Tracker'!$J$5:$J$149,MATCH($A517,'Session Tracker'!$D$5:$D$149,0)),0)</f>
        <v>8</v>
      </c>
      <c r="I517" s="0" t="n">
        <f aca="false">IF(OR(B517=0,B517=99,C517=""),"",IF(E517="Per class",D517,D517*H517))</f>
        <v>8</v>
      </c>
      <c r="N517" s="0" t="str">
        <f aca="false">IF('Junior Makers Kits'!B211="","",'Junior Makers Kits'!B211)</f>
        <v>Microcontrollers &amp; Dev Boards</v>
      </c>
      <c r="O517" s="0" t="str">
        <f aca="false">IF('Junior Makers Kits'!F211="","",'Junior Makers Kits'!F211)</f>
        <v>Reusable</v>
      </c>
      <c r="P517" s="0" t="str">
        <f aca="false">IF('Junior Makers Kits'!G211="","",'Junior Makers Kits'!G211)</f>
        <v/>
      </c>
    </row>
    <row r="518" customFormat="false" ht="15" hidden="false" customHeight="false" outlineLevel="0" collapsed="false">
      <c r="A518" s="0" t="s">
        <v>176</v>
      </c>
      <c r="B518" s="0" t="n">
        <v>2</v>
      </c>
      <c r="C518" s="0" t="str">
        <f aca="false">IF('Junior Makers Kits'!C212="","",'Junior Makers Kits'!C212)</f>
        <v>2WD robot chassis kit</v>
      </c>
      <c r="D518" s="0" t="n">
        <f aca="false">IF('Junior Makers Kits'!D212="","",'Junior Makers Kits'!D212)</f>
        <v>1</v>
      </c>
      <c r="E518" s="0" t="str">
        <f aca="false">IF('Junior Makers Kits'!E212="","",'Junior Makers Kits'!E212)</f>
        <v>Per group</v>
      </c>
      <c r="F518" s="0" t="str">
        <f aca="false">IFERROR(INDEX('Session Tracker'!$M$5:$M$149,MATCH($A518,'Session Tracker'!$D$5:$D$149,0))+0,"")</f>
        <v/>
      </c>
      <c r="G518" s="0" t="str">
        <f aca="false">IF(ISNUMBER(F518),IF(OR(B518=0,B518=99,C518&lt;&gt;""),F518*100+B518,""),"")</f>
        <v/>
      </c>
      <c r="H518" s="0" t="n">
        <f aca="false">IFERROR(INDEX('Session Tracker'!$J$5:$J$149,MATCH($A518,'Session Tracker'!$D$5:$D$149,0)),0)</f>
        <v>8</v>
      </c>
      <c r="I518" s="0" t="n">
        <f aca="false">IF(OR(B518=0,B518=99,C518=""),"",IF(E518="Per class",D518,D518*H518))</f>
        <v>8</v>
      </c>
      <c r="N518" s="0" t="str">
        <f aca="false">IF('Junior Makers Kits'!B212="","",'Junior Makers Kits'!B212)</f>
        <v>Robot Platforms &amp; Kits</v>
      </c>
      <c r="O518" s="0" t="str">
        <f aca="false">IF('Junior Makers Kits'!F212="","",'Junior Makers Kits'!F212)</f>
        <v>Reusable</v>
      </c>
      <c r="P518" s="0" t="str">
        <f aca="false">IF('Junior Makers Kits'!G212="","",'Junior Makers Kits'!G212)</f>
        <v/>
      </c>
    </row>
    <row r="519" customFormat="false" ht="15" hidden="false" customHeight="false" outlineLevel="0" collapsed="false">
      <c r="A519" s="0" t="s">
        <v>176</v>
      </c>
      <c r="B519" s="0" t="n">
        <v>3</v>
      </c>
      <c r="C519" s="0" t="str">
        <f aca="false">IF('Junior Makers Kits'!C213="","",'Junior Makers Kits'!C213)</f>
        <v>IR sensor module</v>
      </c>
      <c r="D519" s="0" t="n">
        <f aca="false">IF('Junior Makers Kits'!D213="","",'Junior Makers Kits'!D213)</f>
        <v>2</v>
      </c>
      <c r="E519" s="0" t="str">
        <f aca="false">IF('Junior Makers Kits'!E213="","",'Junior Makers Kits'!E213)</f>
        <v>Per group</v>
      </c>
      <c r="F519" s="0" t="str">
        <f aca="false">IFERROR(INDEX('Session Tracker'!$M$5:$M$149,MATCH($A519,'Session Tracker'!$D$5:$D$149,0))+0,"")</f>
        <v/>
      </c>
      <c r="G519" s="0" t="str">
        <f aca="false">IF(ISNUMBER(F519),IF(OR(B519=0,B519=99,C519&lt;&gt;""),F519*100+B519,""),"")</f>
        <v/>
      </c>
      <c r="H519" s="0" t="n">
        <f aca="false">IFERROR(INDEX('Session Tracker'!$J$5:$J$149,MATCH($A519,'Session Tracker'!$D$5:$D$149,0)),0)</f>
        <v>8</v>
      </c>
      <c r="I519" s="0" t="n">
        <f aca="false">IF(OR(B519=0,B519=99,C519=""),"",IF(E519="Per class",D519,D519*H519))</f>
        <v>16</v>
      </c>
      <c r="N519" s="0" t="str">
        <f aca="false">IF('Junior Makers Kits'!B213="","",'Junior Makers Kits'!B213)</f>
        <v>Sensors</v>
      </c>
      <c r="O519" s="0" t="str">
        <f aca="false">IF('Junior Makers Kits'!F213="","",'Junior Makers Kits'!F213)</f>
        <v>Reusable</v>
      </c>
      <c r="P519" s="0" t="str">
        <f aca="false">IF('Junior Makers Kits'!G213="","",'Junior Makers Kits'!G213)</f>
        <v/>
      </c>
    </row>
    <row r="520" customFormat="false" ht="15" hidden="false" customHeight="false" outlineLevel="0" collapsed="false">
      <c r="A520" s="0" t="s">
        <v>176</v>
      </c>
      <c r="B520" s="0" t="n">
        <v>4</v>
      </c>
      <c r="C520" s="0" t="str">
        <f aca="false">IF('Junior Makers Kits'!C214="","",'Junior Makers Kits'!C214)</f>
        <v>L298N motor driver</v>
      </c>
      <c r="D520" s="0" t="n">
        <f aca="false">IF('Junior Makers Kits'!D214="","",'Junior Makers Kits'!D214)</f>
        <v>1</v>
      </c>
      <c r="E520" s="0" t="str">
        <f aca="false">IF('Junior Makers Kits'!E214="","",'Junior Makers Kits'!E214)</f>
        <v>Per group</v>
      </c>
      <c r="F520" s="0" t="str">
        <f aca="false">IFERROR(INDEX('Session Tracker'!$M$5:$M$149,MATCH($A520,'Session Tracker'!$D$5:$D$149,0))+0,"")</f>
        <v/>
      </c>
      <c r="G520" s="0" t="str">
        <f aca="false">IF(ISNUMBER(F520),IF(OR(B520=0,B520=99,C520&lt;&gt;""),F520*100+B520,""),"")</f>
        <v/>
      </c>
      <c r="H520" s="0" t="n">
        <f aca="false">IFERROR(INDEX('Session Tracker'!$J$5:$J$149,MATCH($A520,'Session Tracker'!$D$5:$D$149,0)),0)</f>
        <v>8</v>
      </c>
      <c r="I520" s="0" t="n">
        <f aca="false">IF(OR(B520=0,B520=99,C520=""),"",IF(E520="Per class",D520,D520*H520))</f>
        <v>8</v>
      </c>
      <c r="N520" s="0" t="str">
        <f aca="false">IF('Junior Makers Kits'!B214="","",'Junior Makers Kits'!B214)</f>
        <v>Actuators &amp; Motor Drivers</v>
      </c>
      <c r="O520" s="0" t="str">
        <f aca="false">IF('Junior Makers Kits'!F214="","",'Junior Makers Kits'!F214)</f>
        <v>Reusable</v>
      </c>
      <c r="P520" s="0" t="str">
        <f aca="false">IF('Junior Makers Kits'!G214="","",'Junior Makers Kits'!G214)</f>
        <v/>
      </c>
    </row>
    <row r="521" customFormat="false" ht="15" hidden="false" customHeight="false" outlineLevel="0" collapsed="false">
      <c r="A521" s="0" t="s">
        <v>176</v>
      </c>
      <c r="B521" s="0" t="n">
        <v>5</v>
      </c>
      <c r="C521" s="0" t="str">
        <f aca="false">IF('Junior Makers Kits'!C215="","",'Junior Makers Kits'!C215)</f>
        <v>4xAA battery pack</v>
      </c>
      <c r="D521" s="0" t="n">
        <f aca="false">IF('Junior Makers Kits'!D215="","",'Junior Makers Kits'!D215)</f>
        <v>1</v>
      </c>
      <c r="E521" s="0" t="str">
        <f aca="false">IF('Junior Makers Kits'!E215="","",'Junior Makers Kits'!E215)</f>
        <v>Per group</v>
      </c>
      <c r="F521" s="0" t="str">
        <f aca="false">IFERROR(INDEX('Session Tracker'!$M$5:$M$149,MATCH($A521,'Session Tracker'!$D$5:$D$149,0))+0,"")</f>
        <v/>
      </c>
      <c r="G521" s="0" t="str">
        <f aca="false">IF(ISNUMBER(F521),IF(OR(B521=0,B521=99,C521&lt;&gt;""),F521*100+B521,""),"")</f>
        <v/>
      </c>
      <c r="H521" s="0" t="n">
        <f aca="false">IFERROR(INDEX('Session Tracker'!$J$5:$J$149,MATCH($A521,'Session Tracker'!$D$5:$D$149,0)),0)</f>
        <v>8</v>
      </c>
      <c r="I521" s="0" t="n">
        <f aca="false">IF(OR(B521=0,B521=99,C521=""),"",IF(E521="Per class",D521,D521*H521))</f>
        <v>8</v>
      </c>
      <c r="N521" s="0" t="str">
        <f aca="false">IF('Junior Makers Kits'!B215="","",'Junior Makers Kits'!B215)</f>
        <v>Power</v>
      </c>
      <c r="O521" s="0" t="str">
        <f aca="false">IF('Junior Makers Kits'!F215="","",'Junior Makers Kits'!F215)</f>
        <v>Consumable</v>
      </c>
      <c r="P521" s="0" t="str">
        <f aca="false">IF('Junior Makers Kits'!G215="","",'Junior Makers Kits'!G215)</f>
        <v/>
      </c>
    </row>
    <row r="522" customFormat="false" ht="15" hidden="false" customHeight="false" outlineLevel="0" collapsed="false">
      <c r="A522" s="0" t="s">
        <v>176</v>
      </c>
      <c r="B522" s="0" t="n">
        <v>6</v>
      </c>
      <c r="C522" s="0" t="str">
        <f aca="false">IF('Junior Makers Kits'!C216="","",'Junior Makers Kits'!C216)</f>
        <v>Screwdriver set</v>
      </c>
      <c r="D522" s="0" t="n">
        <f aca="false">IF('Junior Makers Kits'!D216="","",'Junior Makers Kits'!D216)</f>
        <v>1</v>
      </c>
      <c r="E522" s="0" t="str">
        <f aca="false">IF('Junior Makers Kits'!E216="","",'Junior Makers Kits'!E216)</f>
        <v>Per group</v>
      </c>
      <c r="F522" s="0" t="str">
        <f aca="false">IFERROR(INDEX('Session Tracker'!$M$5:$M$149,MATCH($A522,'Session Tracker'!$D$5:$D$149,0))+0,"")</f>
        <v/>
      </c>
      <c r="G522" s="0" t="str">
        <f aca="false">IF(ISNUMBER(F522),IF(OR(B522=0,B522=99,C522&lt;&gt;""),F522*100+B522,""),"")</f>
        <v/>
      </c>
      <c r="H522" s="0" t="n">
        <f aca="false">IFERROR(INDEX('Session Tracker'!$J$5:$J$149,MATCH($A522,'Session Tracker'!$D$5:$D$149,0)),0)</f>
        <v>8</v>
      </c>
      <c r="I522" s="0" t="n">
        <f aca="false">IF(OR(B522=0,B522=99,C522=""),"",IF(E522="Per class",D522,D522*H522))</f>
        <v>8</v>
      </c>
      <c r="N522" s="0" t="str">
        <f aca="false">IF('Junior Makers Kits'!B216="","",'Junior Makers Kits'!B216)</f>
        <v>Computers &amp; Equipment</v>
      </c>
      <c r="O522" s="0" t="str">
        <f aca="false">IF('Junior Makers Kits'!F216="","",'Junior Makers Kits'!F216)</f>
        <v>Reusable</v>
      </c>
      <c r="P522" s="0" t="str">
        <f aca="false">IF('Junior Makers Kits'!G216="","",'Junior Makers Kits'!G216)</f>
        <v/>
      </c>
    </row>
    <row r="523" customFormat="false" ht="15" hidden="false" customHeight="false" outlineLevel="0" collapsed="false">
      <c r="A523" s="0" t="s">
        <v>176</v>
      </c>
      <c r="B523" s="0" t="n">
        <v>7</v>
      </c>
      <c r="C523" s="0" t="str">
        <f aca="false">IF('Junior Makers Kits'!C217="","",'Junior Makers Kits'!C217)</f>
        <v>Jumper wires M-F</v>
      </c>
      <c r="D523" s="0" t="n">
        <f aca="false">IF('Junior Makers Kits'!D217="","",'Junior Makers Kits'!D217)</f>
        <v>10</v>
      </c>
      <c r="E523" s="0" t="str">
        <f aca="false">IF('Junior Makers Kits'!E217="","",'Junior Makers Kits'!E217)</f>
        <v>Per group</v>
      </c>
      <c r="F523" s="0" t="str">
        <f aca="false">IFERROR(INDEX('Session Tracker'!$M$5:$M$149,MATCH($A523,'Session Tracker'!$D$5:$D$149,0))+0,"")</f>
        <v/>
      </c>
      <c r="G523" s="0" t="str">
        <f aca="false">IF(ISNUMBER(F523),IF(OR(B523=0,B523=99,C523&lt;&gt;""),F523*100+B523,""),"")</f>
        <v/>
      </c>
      <c r="H523" s="0" t="n">
        <f aca="false">IFERROR(INDEX('Session Tracker'!$J$5:$J$149,MATCH($A523,'Session Tracker'!$D$5:$D$149,0)),0)</f>
        <v>8</v>
      </c>
      <c r="I523" s="0" t="n">
        <f aca="false">IF(OR(B523=0,B523=99,C523=""),"",IF(E523="Per class",D523,D523*H523))</f>
        <v>80</v>
      </c>
      <c r="N523" s="0" t="str">
        <f aca="false">IF('Junior Makers Kits'!B217="","",'Junior Makers Kits'!B217)</f>
        <v>Wiring &amp; Prototyping</v>
      </c>
      <c r="O523" s="0" t="str">
        <f aca="false">IF('Junior Makers Kits'!F217="","",'Junior Makers Kits'!F217)</f>
        <v>Reusable</v>
      </c>
      <c r="P523" s="0" t="str">
        <f aca="false">IF('Junior Makers Kits'!G217="","",'Junior Makers Kits'!G217)</f>
        <v/>
      </c>
    </row>
    <row r="524" customFormat="false" ht="15" hidden="false" customHeight="false" outlineLevel="0" collapsed="false">
      <c r="A524" s="0" t="s">
        <v>176</v>
      </c>
      <c r="B524" s="0" t="n">
        <v>8</v>
      </c>
      <c r="C524" s="0" t="str">
        <f aca="false">IF('Junior Makers Kits'!C218="","",'Junior Makers Kits'!C218)</f>
        <v>Jumper wires M-M</v>
      </c>
      <c r="D524" s="0" t="n">
        <f aca="false">IF('Junior Makers Kits'!D218="","",'Junior Makers Kits'!D218)</f>
        <v>6</v>
      </c>
      <c r="E524" s="0" t="str">
        <f aca="false">IF('Junior Makers Kits'!E218="","",'Junior Makers Kits'!E218)</f>
        <v>Per group</v>
      </c>
      <c r="F524" s="0" t="str">
        <f aca="false">IFERROR(INDEX('Session Tracker'!$M$5:$M$149,MATCH($A524,'Session Tracker'!$D$5:$D$149,0))+0,"")</f>
        <v/>
      </c>
      <c r="G524" s="0" t="str">
        <f aca="false">IF(ISNUMBER(F524),IF(OR(B524=0,B524=99,C524&lt;&gt;""),F524*100+B524,""),"")</f>
        <v/>
      </c>
      <c r="H524" s="0" t="n">
        <f aca="false">IFERROR(INDEX('Session Tracker'!$J$5:$J$149,MATCH($A524,'Session Tracker'!$D$5:$D$149,0)),0)</f>
        <v>8</v>
      </c>
      <c r="I524" s="0" t="n">
        <f aca="false">IF(OR(B524=0,B524=99,C524=""),"",IF(E524="Per class",D524,D524*H524))</f>
        <v>48</v>
      </c>
      <c r="N524" s="0" t="str">
        <f aca="false">IF('Junior Makers Kits'!B218="","",'Junior Makers Kits'!B218)</f>
        <v>Wiring &amp; Prototyping</v>
      </c>
      <c r="O524" s="0" t="str">
        <f aca="false">IF('Junior Makers Kits'!F218="","",'Junior Makers Kits'!F218)</f>
        <v>Reusable</v>
      </c>
      <c r="P524" s="0" t="str">
        <f aca="false">IF('Junior Makers Kits'!G218="","",'Junior Makers Kits'!G218)</f>
        <v/>
      </c>
    </row>
    <row r="525" customFormat="false" ht="15" hidden="false" customHeight="false" outlineLevel="0" collapsed="false">
      <c r="A525" s="0" t="s">
        <v>176</v>
      </c>
      <c r="B525" s="0" t="n">
        <v>9</v>
      </c>
      <c r="C525" s="0" t="str">
        <f aca="false">IF('Junior Makers Kits'!C219="","",'Junior Makers Kits'!C219)</f>
        <v>Laptop</v>
      </c>
      <c r="D525" s="0" t="n">
        <f aca="false">IF('Junior Makers Kits'!D219="","",'Junior Makers Kits'!D219)</f>
        <v>1</v>
      </c>
      <c r="E525" s="0" t="str">
        <f aca="false">IF('Junior Makers Kits'!E219="","",'Junior Makers Kits'!E219)</f>
        <v>Per group</v>
      </c>
      <c r="F525" s="0" t="str">
        <f aca="false">IFERROR(INDEX('Session Tracker'!$M$5:$M$149,MATCH($A525,'Session Tracker'!$D$5:$D$149,0))+0,"")</f>
        <v/>
      </c>
      <c r="G525" s="0" t="str">
        <f aca="false">IF(ISNUMBER(F525),IF(OR(B525=0,B525=99,C525&lt;&gt;""),F525*100+B525,""),"")</f>
        <v/>
      </c>
      <c r="H525" s="0" t="n">
        <f aca="false">IFERROR(INDEX('Session Tracker'!$J$5:$J$149,MATCH($A525,'Session Tracker'!$D$5:$D$149,0)),0)</f>
        <v>8</v>
      </c>
      <c r="I525" s="0" t="n">
        <f aca="false">IF(OR(B525=0,B525=99,C525=""),"",IF(E525="Per class",D525,D525*H525))</f>
        <v>8</v>
      </c>
      <c r="N525" s="0" t="str">
        <f aca="false">IF('Junior Makers Kits'!B219="","",'Junior Makers Kits'!B219)</f>
        <v>Computers &amp; Equipment</v>
      </c>
      <c r="O525" s="0" t="str">
        <f aca="false">IF('Junior Makers Kits'!F219="","",'Junior Makers Kits'!F219)</f>
        <v>Reusable</v>
      </c>
      <c r="P525" s="0" t="str">
        <f aca="false">IF('Junior Makers Kits'!G219="","",'Junior Makers Kits'!G219)</f>
        <v/>
      </c>
    </row>
    <row r="526" customFormat="false" ht="15" hidden="false" customHeight="false" outlineLevel="0" collapsed="false">
      <c r="A526" s="0" t="s">
        <v>176</v>
      </c>
      <c r="B526" s="0" t="n">
        <v>10</v>
      </c>
      <c r="C526" s="0" t="str">
        <f aca="false">IF('Junior Makers Kits'!C220="","",'Junior Makers Kits'!C220)</f>
        <v>LED 5 mm (assorted)</v>
      </c>
      <c r="D526" s="0" t="n">
        <f aca="false">IF('Junior Makers Kits'!D220="","",'Junior Makers Kits'!D220)</f>
        <v>1</v>
      </c>
      <c r="E526" s="0" t="str">
        <f aca="false">IF('Junior Makers Kits'!E220="","",'Junior Makers Kits'!E220)</f>
        <v>Per group</v>
      </c>
      <c r="F526" s="0" t="str">
        <f aca="false">IFERROR(INDEX('Session Tracker'!$M$5:$M$149,MATCH($A526,'Session Tracker'!$D$5:$D$149,0))+0,"")</f>
        <v/>
      </c>
      <c r="G526" s="0" t="str">
        <f aca="false">IF(ISNUMBER(F526),IF(OR(B526=0,B526=99,C526&lt;&gt;""),F526*100+B526,""),"")</f>
        <v/>
      </c>
      <c r="H526" s="0" t="n">
        <f aca="false">IFERROR(INDEX('Session Tracker'!$J$5:$J$149,MATCH($A526,'Session Tracker'!$D$5:$D$149,0)),0)</f>
        <v>8</v>
      </c>
      <c r="I526" s="0" t="n">
        <f aca="false">IF(OR(B526=0,B526=99,C526=""),"",IF(E526="Per class",D526,D526*H526))</f>
        <v>8</v>
      </c>
      <c r="N526" s="0" t="str">
        <f aca="false">IF('Junior Makers Kits'!B220="","",'Junior Makers Kits'!B220)</f>
        <v>Displays &amp; Output</v>
      </c>
      <c r="O526" s="0" t="str">
        <f aca="false">IF('Junior Makers Kits'!F220="","",'Junior Makers Kits'!F220)</f>
        <v>Consumable</v>
      </c>
      <c r="P526" s="0" t="str">
        <f aca="false">IF('Junior Makers Kits'!G220="","",'Junior Makers Kits'!G220)</f>
        <v>Added: every Arduino class</v>
      </c>
    </row>
    <row r="527" customFormat="false" ht="15" hidden="false" customHeight="false" outlineLevel="0" collapsed="false">
      <c r="A527" s="0" t="s">
        <v>176</v>
      </c>
      <c r="B527" s="0" t="n">
        <v>11</v>
      </c>
      <c r="C527" s="0" t="str">
        <f aca="false">IF('Junior Makers Kits'!C221="","",'Junior Makers Kits'!C221)</f>
        <v>Resistor 220 ohm</v>
      </c>
      <c r="D527" s="0" t="n">
        <f aca="false">IF('Junior Makers Kits'!D221="","",'Junior Makers Kits'!D221)</f>
        <v>1</v>
      </c>
      <c r="E527" s="0" t="str">
        <f aca="false">IF('Junior Makers Kits'!E221="","",'Junior Makers Kits'!E221)</f>
        <v>Per group</v>
      </c>
      <c r="F527" s="0" t="str">
        <f aca="false">IFERROR(INDEX('Session Tracker'!$M$5:$M$149,MATCH($A527,'Session Tracker'!$D$5:$D$149,0))+0,"")</f>
        <v/>
      </c>
      <c r="G527" s="0" t="str">
        <f aca="false">IF(ISNUMBER(F527),IF(OR(B527=0,B527=99,C527&lt;&gt;""),F527*100+B527,""),"")</f>
        <v/>
      </c>
      <c r="H527" s="0" t="n">
        <f aca="false">IFERROR(INDEX('Session Tracker'!$J$5:$J$149,MATCH($A527,'Session Tracker'!$D$5:$D$149,0)),0)</f>
        <v>8</v>
      </c>
      <c r="I527" s="0" t="n">
        <f aca="false">IF(OR(B527=0,B527=99,C527=""),"",IF(E527="Per class",D527,D527*H527))</f>
        <v>8</v>
      </c>
      <c r="N527" s="0" t="str">
        <f aca="false">IF('Junior Makers Kits'!B221="","",'Junior Makers Kits'!B221)</f>
        <v>Passive Components &amp; ICs</v>
      </c>
      <c r="O527" s="0" t="str">
        <f aca="false">IF('Junior Makers Kits'!F221="","",'Junior Makers Kits'!F221)</f>
        <v>Consumable</v>
      </c>
      <c r="P527" s="0" t="str">
        <f aca="false">IF('Junior Makers Kits'!G221="","",'Junior Makers Kits'!G221)</f>
        <v>Added: for the LED</v>
      </c>
    </row>
    <row r="528" customFormat="false" ht="15" hidden="false" customHeight="false" outlineLevel="0" collapsed="false">
      <c r="A528" s="0" t="s">
        <v>176</v>
      </c>
      <c r="B528" s="0" t="n">
        <v>12</v>
      </c>
      <c r="C528" s="0" t="str">
        <f aca="false">IF('Junior Makers Kits'!C222="","",'Junior Makers Kits'!C222)</f>
        <v>Buzzer</v>
      </c>
      <c r="D528" s="0" t="n">
        <f aca="false">IF('Junior Makers Kits'!D222="","",'Junior Makers Kits'!D222)</f>
        <v>1</v>
      </c>
      <c r="E528" s="0" t="str">
        <f aca="false">IF('Junior Makers Kits'!E222="","",'Junior Makers Kits'!E222)</f>
        <v>Per group</v>
      </c>
      <c r="F528" s="0" t="str">
        <f aca="false">IFERROR(INDEX('Session Tracker'!$M$5:$M$149,MATCH($A528,'Session Tracker'!$D$5:$D$149,0))+0,"")</f>
        <v/>
      </c>
      <c r="G528" s="0" t="str">
        <f aca="false">IF(ISNUMBER(F528),IF(OR(B528=0,B528=99,C528&lt;&gt;""),F528*100+B528,""),"")</f>
        <v/>
      </c>
      <c r="H528" s="0" t="n">
        <f aca="false">IFERROR(INDEX('Session Tracker'!$J$5:$J$149,MATCH($A528,'Session Tracker'!$D$5:$D$149,0)),0)</f>
        <v>8</v>
      </c>
      <c r="I528" s="0" t="n">
        <f aca="false">IF(OR(B528=0,B528=99,C528=""),"",IF(E528="Per class",D528,D528*H528))</f>
        <v>8</v>
      </c>
      <c r="N528" s="0" t="str">
        <f aca="false">IF('Junior Makers Kits'!B222="","",'Junior Makers Kits'!B222)</f>
        <v>Actuators &amp; Motor Drivers</v>
      </c>
      <c r="O528" s="0" t="str">
        <f aca="false">IF('Junior Makers Kits'!F222="","",'Junior Makers Kits'!F222)</f>
        <v>Reusable</v>
      </c>
      <c r="P528" s="0" t="str">
        <f aca="false">IF('Junior Makers Kits'!G222="","",'Junior Makers Kits'!G222)</f>
        <v>Added: every Arduino class</v>
      </c>
    </row>
    <row r="529" customFormat="false" ht="15" hidden="false" customHeight="false" outlineLevel="0" collapsed="false">
      <c r="A529" s="0" t="s">
        <v>176</v>
      </c>
      <c r="B529" s="0" t="n">
        <v>13</v>
      </c>
      <c r="C529" s="0" t="str">
        <f aca="false">IF('Junior Makers Kits'!C223="","",'Junior Makers Kits'!C223)</f>
        <v/>
      </c>
      <c r="D529" s="0" t="str">
        <f aca="false">IF('Junior Makers Kits'!D223="","",'Junior Makers Kits'!D223)</f>
        <v/>
      </c>
      <c r="E529" s="0" t="str">
        <f aca="false">IF('Junior Makers Kits'!E223="","",'Junior Makers Kits'!E223)</f>
        <v/>
      </c>
      <c r="F529" s="0" t="str">
        <f aca="false">IFERROR(INDEX('Session Tracker'!$M$5:$M$149,MATCH($A529,'Session Tracker'!$D$5:$D$149,0))+0,"")</f>
        <v/>
      </c>
      <c r="G529" s="0" t="str">
        <f aca="false">IF(ISNUMBER(F529),IF(OR(B529=0,B529=99,C529&lt;&gt;""),F529*100+B529,""),"")</f>
        <v/>
      </c>
      <c r="H529" s="0" t="n">
        <f aca="false">IFERROR(INDEX('Session Tracker'!$J$5:$J$149,MATCH($A529,'Session Tracker'!$D$5:$D$149,0)),0)</f>
        <v>8</v>
      </c>
      <c r="I529" s="0" t="str">
        <f aca="false">IF(OR(B529=0,B529=99,C529=""),"",IF(E529="Per class",D529,D529*H529))</f>
        <v/>
      </c>
      <c r="N529" s="0" t="str">
        <f aca="false">IF('Junior Makers Kits'!B223="","",'Junior Makers Kits'!B223)</f>
        <v/>
      </c>
      <c r="O529" s="0" t="str">
        <f aca="false">IF('Junior Makers Kits'!F223="","",'Junior Makers Kits'!F223)</f>
        <v/>
      </c>
      <c r="P529" s="0" t="str">
        <f aca="false">IF('Junior Makers Kits'!G223="","",'Junior Makers Kits'!G223)</f>
        <v/>
      </c>
    </row>
    <row r="530" customFormat="false" ht="15" hidden="false" customHeight="false" outlineLevel="0" collapsed="false">
      <c r="A530" s="0" t="s">
        <v>176</v>
      </c>
      <c r="B530" s="0" t="n">
        <v>14</v>
      </c>
      <c r="C530" s="0" t="str">
        <f aca="false">IF('Junior Makers Kits'!C224="","",'Junior Makers Kits'!C224)</f>
        <v/>
      </c>
      <c r="D530" s="0" t="str">
        <f aca="false">IF('Junior Makers Kits'!D224="","",'Junior Makers Kits'!D224)</f>
        <v/>
      </c>
      <c r="E530" s="0" t="str">
        <f aca="false">IF('Junior Makers Kits'!E224="","",'Junior Makers Kits'!E224)</f>
        <v/>
      </c>
      <c r="F530" s="0" t="str">
        <f aca="false">IFERROR(INDEX('Session Tracker'!$M$5:$M$149,MATCH($A530,'Session Tracker'!$D$5:$D$149,0))+0,"")</f>
        <v/>
      </c>
      <c r="G530" s="0" t="str">
        <f aca="false">IF(ISNUMBER(F530),IF(OR(B530=0,B530=99,C530&lt;&gt;""),F530*100+B530,""),"")</f>
        <v/>
      </c>
      <c r="H530" s="0" t="n">
        <f aca="false">IFERROR(INDEX('Session Tracker'!$J$5:$J$149,MATCH($A530,'Session Tracker'!$D$5:$D$149,0)),0)</f>
        <v>8</v>
      </c>
      <c r="I530" s="0" t="str">
        <f aca="false">IF(OR(B530=0,B530=99,C530=""),"",IF(E530="Per class",D530,D530*H530))</f>
        <v/>
      </c>
      <c r="N530" s="0" t="str">
        <f aca="false">IF('Junior Makers Kits'!B224="","",'Junior Makers Kits'!B224)</f>
        <v/>
      </c>
      <c r="O530" s="0" t="str">
        <f aca="false">IF('Junior Makers Kits'!F224="","",'Junior Makers Kits'!F224)</f>
        <v/>
      </c>
      <c r="P530" s="0" t="str">
        <f aca="false">IF('Junior Makers Kits'!G224="","",'Junior Makers Kits'!G224)</f>
        <v/>
      </c>
    </row>
    <row r="531" customFormat="false" ht="15" hidden="false" customHeight="false" outlineLevel="0" collapsed="false">
      <c r="A531" s="0" t="s">
        <v>178</v>
      </c>
      <c r="B531" s="0" t="n">
        <v>0</v>
      </c>
      <c r="F531" s="0" t="str">
        <f aca="false">IFERROR(INDEX('Session Tracker'!$M$5:$M$149,MATCH($A531,'Session Tracker'!$D$5:$D$149,0))+0,"")</f>
        <v/>
      </c>
      <c r="G531" s="0" t="str">
        <f aca="false">IF(ISNUMBER(F531),IF(OR(B531=0,B531=99,C531&lt;&gt;""),F531*100+B531,""),"")</f>
        <v/>
      </c>
      <c r="H531" s="0" t="n">
        <f aca="false">IFERROR(INDEX('Session Tracker'!$J$5:$J$149,MATCH($A531,'Session Tracker'!$D$5:$D$149,0)),0)</f>
        <v>8</v>
      </c>
      <c r="I531" s="0" t="str">
        <f aca="false">IF(OR(B531=0,B531=99,C531=""),"",IF(E531="Per class",D531,D531*H531))</f>
        <v/>
      </c>
      <c r="K531" s="0" t="str">
        <f aca="false">IFERROR(INDEX('Session Tracker'!$E$5:$E$149,MATCH($A531,'Session Tracker'!$D$5:$D$149,0)),"")</f>
        <v>Phone-Controlled RGB Mood Lamp</v>
      </c>
      <c r="L531" s="0" t="str">
        <f aca="false">IFERROR(INDEX('Session Tracker'!$A$5:$A$149,MATCH($A531,'Session Tracker'!$D$5:$D$149,0)),"")</f>
        <v>Junior Makers (8-11)</v>
      </c>
      <c r="M531" s="0" t="str">
        <f aca="false">IFERROR(INDEX('Session Tracker'!$H$5:$H$149,MATCH($A531,'Session Tracker'!$D$5:$D$149,0))&amp;"","")</f>
        <v/>
      </c>
      <c r="Q531" s="0" t="str">
        <f aca="false">IFERROR("Status: "&amp;INDEX('Session Tracker'!$F$5:$F$149,MATCH($A531,'Session Tracker'!$D$5:$D$149,0))&amp;IF(INDEX('Session Tracker'!$G$5:$G$149,MATCH($A531,'Session Tracker'!$D$5:$D$149,0))&lt;&gt;""," ("&amp;INDEX('Session Tracker'!$G$5:$G$149,MATCH($A531,'Session Tracker'!$D$5:$D$149,0))&amp;")","")&amp;IF(M531&lt;&gt;"","  "&amp;M531,""),"")</f>
        <v>Status: Not started</v>
      </c>
    </row>
    <row r="532" customFormat="false" ht="15" hidden="false" customHeight="false" outlineLevel="0" collapsed="false">
      <c r="A532" s="0" t="s">
        <v>178</v>
      </c>
      <c r="B532" s="0" t="n">
        <v>1</v>
      </c>
      <c r="C532" s="0" t="str">
        <f aca="false">IF('Junior Makers Kits'!C227="","",'Junior Makers Kits'!C227)</f>
        <v>Arduino Uno + USB cable</v>
      </c>
      <c r="D532" s="0" t="n">
        <f aca="false">IF('Junior Makers Kits'!D227="","",'Junior Makers Kits'!D227)</f>
        <v>1</v>
      </c>
      <c r="E532" s="0" t="str">
        <f aca="false">IF('Junior Makers Kits'!E227="","",'Junior Makers Kits'!E227)</f>
        <v>Per group</v>
      </c>
      <c r="F532" s="0" t="str">
        <f aca="false">IFERROR(INDEX('Session Tracker'!$M$5:$M$149,MATCH($A532,'Session Tracker'!$D$5:$D$149,0))+0,"")</f>
        <v/>
      </c>
      <c r="G532" s="0" t="str">
        <f aca="false">IF(ISNUMBER(F532),IF(OR(B532=0,B532=99,C532&lt;&gt;""),F532*100+B532,""),"")</f>
        <v/>
      </c>
      <c r="H532" s="0" t="n">
        <f aca="false">IFERROR(INDEX('Session Tracker'!$J$5:$J$149,MATCH($A532,'Session Tracker'!$D$5:$D$149,0)),0)</f>
        <v>8</v>
      </c>
      <c r="I532" s="0" t="n">
        <f aca="false">IF(OR(B532=0,B532=99,C532=""),"",IF(E532="Per class",D532,D532*H532))</f>
        <v>8</v>
      </c>
      <c r="N532" s="0" t="str">
        <f aca="false">IF('Junior Makers Kits'!B227="","",'Junior Makers Kits'!B227)</f>
        <v>Microcontrollers &amp; Dev Boards</v>
      </c>
      <c r="O532" s="0" t="str">
        <f aca="false">IF('Junior Makers Kits'!F227="","",'Junior Makers Kits'!F227)</f>
        <v>Reusable</v>
      </c>
      <c r="P532" s="0" t="str">
        <f aca="false">IF('Junior Makers Kits'!G227="","",'Junior Makers Kits'!G227)</f>
        <v/>
      </c>
    </row>
    <row r="533" customFormat="false" ht="15" hidden="false" customHeight="false" outlineLevel="0" collapsed="false">
      <c r="A533" s="0" t="s">
        <v>178</v>
      </c>
      <c r="B533" s="0" t="n">
        <v>2</v>
      </c>
      <c r="C533" s="0" t="str">
        <f aca="false">IF('Junior Makers Kits'!C228="","",'Junior Makers Kits'!C228)</f>
        <v>Bluetooth module HC-05</v>
      </c>
      <c r="D533" s="0" t="n">
        <f aca="false">IF('Junior Makers Kits'!D228="","",'Junior Makers Kits'!D228)</f>
        <v>1</v>
      </c>
      <c r="E533" s="0" t="str">
        <f aca="false">IF('Junior Makers Kits'!E228="","",'Junior Makers Kits'!E228)</f>
        <v>Per group</v>
      </c>
      <c r="F533" s="0" t="str">
        <f aca="false">IFERROR(INDEX('Session Tracker'!$M$5:$M$149,MATCH($A533,'Session Tracker'!$D$5:$D$149,0))+0,"")</f>
        <v/>
      </c>
      <c r="G533" s="0" t="str">
        <f aca="false">IF(ISNUMBER(F533),IF(OR(B533=0,B533=99,C533&lt;&gt;""),F533*100+B533,""),"")</f>
        <v/>
      </c>
      <c r="H533" s="0" t="n">
        <f aca="false">IFERROR(INDEX('Session Tracker'!$J$5:$J$149,MATCH($A533,'Session Tracker'!$D$5:$D$149,0)),0)</f>
        <v>8</v>
      </c>
      <c r="I533" s="0" t="n">
        <f aca="false">IF(OR(B533=0,B533=99,C533=""),"",IF(E533="Per class",D533,D533*H533))</f>
        <v>8</v>
      </c>
      <c r="N533" s="0" t="str">
        <f aca="false">IF('Junior Makers Kits'!B228="","",'Junior Makers Kits'!B228)</f>
        <v>Communication Modules</v>
      </c>
      <c r="O533" s="0" t="str">
        <f aca="false">IF('Junior Makers Kits'!F228="","",'Junior Makers Kits'!F228)</f>
        <v>Reusable</v>
      </c>
      <c r="P533" s="0" t="str">
        <f aca="false">IF('Junior Makers Kits'!G228="","",'Junior Makers Kits'!G228)</f>
        <v/>
      </c>
    </row>
    <row r="534" customFormat="false" ht="15" hidden="false" customHeight="false" outlineLevel="0" collapsed="false">
      <c r="A534" s="0" t="s">
        <v>178</v>
      </c>
      <c r="B534" s="0" t="n">
        <v>3</v>
      </c>
      <c r="C534" s="0" t="str">
        <f aca="false">IF('Junior Makers Kits'!C229="","",'Junior Makers Kits'!C229)</f>
        <v>RGB LED</v>
      </c>
      <c r="D534" s="0" t="n">
        <f aca="false">IF('Junior Makers Kits'!D229="","",'Junior Makers Kits'!D229)</f>
        <v>1</v>
      </c>
      <c r="E534" s="0" t="str">
        <f aca="false">IF('Junior Makers Kits'!E229="","",'Junior Makers Kits'!E229)</f>
        <v>Per group</v>
      </c>
      <c r="F534" s="0" t="str">
        <f aca="false">IFERROR(INDEX('Session Tracker'!$M$5:$M$149,MATCH($A534,'Session Tracker'!$D$5:$D$149,0))+0,"")</f>
        <v/>
      </c>
      <c r="G534" s="0" t="str">
        <f aca="false">IF(ISNUMBER(F534),IF(OR(B534=0,B534=99,C534&lt;&gt;""),F534*100+B534,""),"")</f>
        <v/>
      </c>
      <c r="H534" s="0" t="n">
        <f aca="false">IFERROR(INDEX('Session Tracker'!$J$5:$J$149,MATCH($A534,'Session Tracker'!$D$5:$D$149,0)),0)</f>
        <v>8</v>
      </c>
      <c r="I534" s="0" t="n">
        <f aca="false">IF(OR(B534=0,B534=99,C534=""),"",IF(E534="Per class",D534,D534*H534))</f>
        <v>8</v>
      </c>
      <c r="N534" s="0" t="str">
        <f aca="false">IF('Junior Makers Kits'!B229="","",'Junior Makers Kits'!B229)</f>
        <v>Displays &amp; Output</v>
      </c>
      <c r="O534" s="0" t="str">
        <f aca="false">IF('Junior Makers Kits'!F229="","",'Junior Makers Kits'!F229)</f>
        <v>Reusable</v>
      </c>
      <c r="P534" s="0" t="str">
        <f aca="false">IF('Junior Makers Kits'!G229="","",'Junior Makers Kits'!G229)</f>
        <v/>
      </c>
    </row>
    <row r="535" customFormat="false" ht="15" hidden="false" customHeight="false" outlineLevel="0" collapsed="false">
      <c r="A535" s="0" t="s">
        <v>178</v>
      </c>
      <c r="B535" s="0" t="n">
        <v>4</v>
      </c>
      <c r="C535" s="0" t="str">
        <f aca="false">IF('Junior Makers Kits'!C230="","",'Junior Makers Kits'!C230)</f>
        <v>Resistor 220 ohm</v>
      </c>
      <c r="D535" s="0" t="n">
        <f aca="false">IF('Junior Makers Kits'!D230="","",'Junior Makers Kits'!D230)</f>
        <v>3</v>
      </c>
      <c r="E535" s="0" t="str">
        <f aca="false">IF('Junior Makers Kits'!E230="","",'Junior Makers Kits'!E230)</f>
        <v>Per group</v>
      </c>
      <c r="F535" s="0" t="str">
        <f aca="false">IFERROR(INDEX('Session Tracker'!$M$5:$M$149,MATCH($A535,'Session Tracker'!$D$5:$D$149,0))+0,"")</f>
        <v/>
      </c>
      <c r="G535" s="0" t="str">
        <f aca="false">IF(ISNUMBER(F535),IF(OR(B535=0,B535=99,C535&lt;&gt;""),F535*100+B535,""),"")</f>
        <v/>
      </c>
      <c r="H535" s="0" t="n">
        <f aca="false">IFERROR(INDEX('Session Tracker'!$J$5:$J$149,MATCH($A535,'Session Tracker'!$D$5:$D$149,0)),0)</f>
        <v>8</v>
      </c>
      <c r="I535" s="0" t="n">
        <f aca="false">IF(OR(B535=0,B535=99,C535=""),"",IF(E535="Per class",D535,D535*H535))</f>
        <v>24</v>
      </c>
      <c r="N535" s="0" t="str">
        <f aca="false">IF('Junior Makers Kits'!B230="","",'Junior Makers Kits'!B230)</f>
        <v>Passive Components &amp; ICs</v>
      </c>
      <c r="O535" s="0" t="str">
        <f aca="false">IF('Junior Makers Kits'!F230="","",'Junior Makers Kits'!F230)</f>
        <v>Consumable</v>
      </c>
      <c r="P535" s="0" t="str">
        <f aca="false">IF('Junior Makers Kits'!G230="","",'Junior Makers Kits'!G230)</f>
        <v/>
      </c>
    </row>
    <row r="536" customFormat="false" ht="15" hidden="false" customHeight="false" outlineLevel="0" collapsed="false">
      <c r="A536" s="0" t="s">
        <v>178</v>
      </c>
      <c r="B536" s="0" t="n">
        <v>5</v>
      </c>
      <c r="C536" s="0" t="str">
        <f aca="false">IF('Junior Makers Kits'!C231="","",'Junior Makers Kits'!C231)</f>
        <v>Resistor 1k ohm</v>
      </c>
      <c r="D536" s="0" t="n">
        <f aca="false">IF('Junior Makers Kits'!D231="","",'Junior Makers Kits'!D231)</f>
        <v>1</v>
      </c>
      <c r="E536" s="0" t="str">
        <f aca="false">IF('Junior Makers Kits'!E231="","",'Junior Makers Kits'!E231)</f>
        <v>Per group</v>
      </c>
      <c r="F536" s="0" t="str">
        <f aca="false">IFERROR(INDEX('Session Tracker'!$M$5:$M$149,MATCH($A536,'Session Tracker'!$D$5:$D$149,0))+0,"")</f>
        <v/>
      </c>
      <c r="G536" s="0" t="str">
        <f aca="false">IF(ISNUMBER(F536),IF(OR(B536=0,B536=99,C536&lt;&gt;""),F536*100+B536,""),"")</f>
        <v/>
      </c>
      <c r="H536" s="0" t="n">
        <f aca="false">IFERROR(INDEX('Session Tracker'!$J$5:$J$149,MATCH($A536,'Session Tracker'!$D$5:$D$149,0)),0)</f>
        <v>8</v>
      </c>
      <c r="I536" s="0" t="n">
        <f aca="false">IF(OR(B536=0,B536=99,C536=""),"",IF(E536="Per class",D536,D536*H536))</f>
        <v>8</v>
      </c>
      <c r="N536" s="0" t="str">
        <f aca="false">IF('Junior Makers Kits'!B231="","",'Junior Makers Kits'!B231)</f>
        <v>Passive Components &amp; ICs</v>
      </c>
      <c r="O536" s="0" t="str">
        <f aca="false">IF('Junior Makers Kits'!F231="","",'Junior Makers Kits'!F231)</f>
        <v>Consumable</v>
      </c>
      <c r="P536" s="0" t="str">
        <f aca="false">IF('Junior Makers Kits'!G231="","",'Junior Makers Kits'!G231)</f>
        <v>HC-05 divider</v>
      </c>
    </row>
    <row r="537" customFormat="false" ht="15" hidden="false" customHeight="false" outlineLevel="0" collapsed="false">
      <c r="A537" s="0" t="s">
        <v>178</v>
      </c>
      <c r="B537" s="0" t="n">
        <v>6</v>
      </c>
      <c r="C537" s="0" t="str">
        <f aca="false">IF('Junior Makers Kits'!C232="","",'Junior Makers Kits'!C232)</f>
        <v>Resistor 10k ohm</v>
      </c>
      <c r="D537" s="0" t="n">
        <f aca="false">IF('Junior Makers Kits'!D232="","",'Junior Makers Kits'!D232)</f>
        <v>1</v>
      </c>
      <c r="E537" s="0" t="str">
        <f aca="false">IF('Junior Makers Kits'!E232="","",'Junior Makers Kits'!E232)</f>
        <v>Per group</v>
      </c>
      <c r="F537" s="0" t="str">
        <f aca="false">IFERROR(INDEX('Session Tracker'!$M$5:$M$149,MATCH($A537,'Session Tracker'!$D$5:$D$149,0))+0,"")</f>
        <v/>
      </c>
      <c r="G537" s="0" t="str">
        <f aca="false">IF(ISNUMBER(F537),IF(OR(B537=0,B537=99,C537&lt;&gt;""),F537*100+B537,""),"")</f>
        <v/>
      </c>
      <c r="H537" s="0" t="n">
        <f aca="false">IFERROR(INDEX('Session Tracker'!$J$5:$J$149,MATCH($A537,'Session Tracker'!$D$5:$D$149,0)),0)</f>
        <v>8</v>
      </c>
      <c r="I537" s="0" t="n">
        <f aca="false">IF(OR(B537=0,B537=99,C537=""),"",IF(E537="Per class",D537,D537*H537))</f>
        <v>8</v>
      </c>
      <c r="N537" s="0" t="str">
        <f aca="false">IF('Junior Makers Kits'!B232="","",'Junior Makers Kits'!B232)</f>
        <v>Passive Components &amp; ICs</v>
      </c>
      <c r="O537" s="0" t="str">
        <f aca="false">IF('Junior Makers Kits'!F232="","",'Junior Makers Kits'!F232)</f>
        <v>Consumable</v>
      </c>
      <c r="P537" s="0" t="str">
        <f aca="false">IF('Junior Makers Kits'!G232="","",'Junior Makers Kits'!G232)</f>
        <v>HC-05 divider</v>
      </c>
    </row>
    <row r="538" customFormat="false" ht="15" hidden="false" customHeight="false" outlineLevel="0" collapsed="false">
      <c r="A538" s="0" t="s">
        <v>178</v>
      </c>
      <c r="B538" s="0" t="n">
        <v>7</v>
      </c>
      <c r="C538" s="0" t="str">
        <f aca="false">IF('Junior Makers Kits'!C233="","",'Junior Makers Kits'!C233)</f>
        <v>Buzzer</v>
      </c>
      <c r="D538" s="0" t="n">
        <f aca="false">IF('Junior Makers Kits'!D233="","",'Junior Makers Kits'!D233)</f>
        <v>1</v>
      </c>
      <c r="E538" s="0" t="str">
        <f aca="false">IF('Junior Makers Kits'!E233="","",'Junior Makers Kits'!E233)</f>
        <v>Per group</v>
      </c>
      <c r="F538" s="0" t="str">
        <f aca="false">IFERROR(INDEX('Session Tracker'!$M$5:$M$149,MATCH($A538,'Session Tracker'!$D$5:$D$149,0))+0,"")</f>
        <v/>
      </c>
      <c r="G538" s="0" t="str">
        <f aca="false">IF(ISNUMBER(F538),IF(OR(B538=0,B538=99,C538&lt;&gt;""),F538*100+B538,""),"")</f>
        <v/>
      </c>
      <c r="H538" s="0" t="n">
        <f aca="false">IFERROR(INDEX('Session Tracker'!$J$5:$J$149,MATCH($A538,'Session Tracker'!$D$5:$D$149,0)),0)</f>
        <v>8</v>
      </c>
      <c r="I538" s="0" t="n">
        <f aca="false">IF(OR(B538=0,B538=99,C538=""),"",IF(E538="Per class",D538,D538*H538))</f>
        <v>8</v>
      </c>
      <c r="N538" s="0" t="str">
        <f aca="false">IF('Junior Makers Kits'!B233="","",'Junior Makers Kits'!B233)</f>
        <v>Actuators &amp; Motor Drivers</v>
      </c>
      <c r="O538" s="0" t="str">
        <f aca="false">IF('Junior Makers Kits'!F233="","",'Junior Makers Kits'!F233)</f>
        <v>Reusable</v>
      </c>
      <c r="P538" s="0" t="str">
        <f aca="false">IF('Junior Makers Kits'!G233="","",'Junior Makers Kits'!G233)</f>
        <v/>
      </c>
    </row>
    <row r="539" customFormat="false" ht="15" hidden="false" customHeight="false" outlineLevel="0" collapsed="false">
      <c r="A539" s="0" t="s">
        <v>178</v>
      </c>
      <c r="B539" s="0" t="n">
        <v>8</v>
      </c>
      <c r="C539" s="0" t="str">
        <f aca="false">IF('Junior Makers Kits'!C234="","",'Junior Makers Kits'!C234)</f>
        <v>Android smartphone</v>
      </c>
      <c r="D539" s="0" t="n">
        <f aca="false">IF('Junior Makers Kits'!D234="","",'Junior Makers Kits'!D234)</f>
        <v>1</v>
      </c>
      <c r="E539" s="0" t="str">
        <f aca="false">IF('Junior Makers Kits'!E234="","",'Junior Makers Kits'!E234)</f>
        <v>Per group</v>
      </c>
      <c r="F539" s="0" t="str">
        <f aca="false">IFERROR(INDEX('Session Tracker'!$M$5:$M$149,MATCH($A539,'Session Tracker'!$D$5:$D$149,0))+0,"")</f>
        <v/>
      </c>
      <c r="G539" s="0" t="str">
        <f aca="false">IF(ISNUMBER(F539),IF(OR(B539=0,B539=99,C539&lt;&gt;""),F539*100+B539,""),"")</f>
        <v/>
      </c>
      <c r="H539" s="0" t="n">
        <f aca="false">IFERROR(INDEX('Session Tracker'!$J$5:$J$149,MATCH($A539,'Session Tracker'!$D$5:$D$149,0)),0)</f>
        <v>8</v>
      </c>
      <c r="I539" s="0" t="n">
        <f aca="false">IF(OR(B539=0,B539=99,C539=""),"",IF(E539="Per class",D539,D539*H539))</f>
        <v>8</v>
      </c>
      <c r="N539" s="0" t="str">
        <f aca="false">IF('Junior Makers Kits'!B234="","",'Junior Makers Kits'!B234)</f>
        <v>Computers &amp; Equipment</v>
      </c>
      <c r="O539" s="0" t="str">
        <f aca="false">IF('Junior Makers Kits'!F234="","",'Junior Makers Kits'!F234)</f>
        <v>Reusable</v>
      </c>
      <c r="P539" s="0" t="str">
        <f aca="false">IF('Junior Makers Kits'!G234="","",'Junior Makers Kits'!G234)</f>
        <v/>
      </c>
    </row>
    <row r="540" customFormat="false" ht="15" hidden="false" customHeight="false" outlineLevel="0" collapsed="false">
      <c r="A540" s="0" t="s">
        <v>178</v>
      </c>
      <c r="B540" s="0" t="n">
        <v>9</v>
      </c>
      <c r="C540" s="0" t="str">
        <f aca="false">IF('Junior Makers Kits'!C235="","",'Junior Makers Kits'!C235)</f>
        <v>Breadboard (half size)</v>
      </c>
      <c r="D540" s="0" t="n">
        <f aca="false">IF('Junior Makers Kits'!D235="","",'Junior Makers Kits'!D235)</f>
        <v>1</v>
      </c>
      <c r="E540" s="0" t="str">
        <f aca="false">IF('Junior Makers Kits'!E235="","",'Junior Makers Kits'!E235)</f>
        <v>Per group</v>
      </c>
      <c r="F540" s="0" t="str">
        <f aca="false">IFERROR(INDEX('Session Tracker'!$M$5:$M$149,MATCH($A540,'Session Tracker'!$D$5:$D$149,0))+0,"")</f>
        <v/>
      </c>
      <c r="G540" s="0" t="str">
        <f aca="false">IF(ISNUMBER(F540),IF(OR(B540=0,B540=99,C540&lt;&gt;""),F540*100+B540,""),"")</f>
        <v/>
      </c>
      <c r="H540" s="0" t="n">
        <f aca="false">IFERROR(INDEX('Session Tracker'!$J$5:$J$149,MATCH($A540,'Session Tracker'!$D$5:$D$149,0)),0)</f>
        <v>8</v>
      </c>
      <c r="I540" s="0" t="n">
        <f aca="false">IF(OR(B540=0,B540=99,C540=""),"",IF(E540="Per class",D540,D540*H540))</f>
        <v>8</v>
      </c>
      <c r="N540" s="0" t="str">
        <f aca="false">IF('Junior Makers Kits'!B235="","",'Junior Makers Kits'!B235)</f>
        <v>Wiring &amp; Prototyping</v>
      </c>
      <c r="O540" s="0" t="str">
        <f aca="false">IF('Junior Makers Kits'!F235="","",'Junior Makers Kits'!F235)</f>
        <v>Reusable</v>
      </c>
      <c r="P540" s="0" t="str">
        <f aca="false">IF('Junior Makers Kits'!G235="","",'Junior Makers Kits'!G235)</f>
        <v/>
      </c>
    </row>
    <row r="541" customFormat="false" ht="15" hidden="false" customHeight="false" outlineLevel="0" collapsed="false">
      <c r="A541" s="0" t="s">
        <v>178</v>
      </c>
      <c r="B541" s="0" t="n">
        <v>10</v>
      </c>
      <c r="C541" s="0" t="str">
        <f aca="false">IF('Junior Makers Kits'!C236="","",'Junior Makers Kits'!C236)</f>
        <v>Jumper wires M-M</v>
      </c>
      <c r="D541" s="0" t="n">
        <f aca="false">IF('Junior Makers Kits'!D236="","",'Junior Makers Kits'!D236)</f>
        <v>10</v>
      </c>
      <c r="E541" s="0" t="str">
        <f aca="false">IF('Junior Makers Kits'!E236="","",'Junior Makers Kits'!E236)</f>
        <v>Per group</v>
      </c>
      <c r="F541" s="0" t="str">
        <f aca="false">IFERROR(INDEX('Session Tracker'!$M$5:$M$149,MATCH($A541,'Session Tracker'!$D$5:$D$149,0))+0,"")</f>
        <v/>
      </c>
      <c r="G541" s="0" t="str">
        <f aca="false">IF(ISNUMBER(F541),IF(OR(B541=0,B541=99,C541&lt;&gt;""),F541*100+B541,""),"")</f>
        <v/>
      </c>
      <c r="H541" s="0" t="n">
        <f aca="false">IFERROR(INDEX('Session Tracker'!$J$5:$J$149,MATCH($A541,'Session Tracker'!$D$5:$D$149,0)),0)</f>
        <v>8</v>
      </c>
      <c r="I541" s="0" t="n">
        <f aca="false">IF(OR(B541=0,B541=99,C541=""),"",IF(E541="Per class",D541,D541*H541))</f>
        <v>80</v>
      </c>
      <c r="N541" s="0" t="str">
        <f aca="false">IF('Junior Makers Kits'!B236="","",'Junior Makers Kits'!B236)</f>
        <v>Wiring &amp; Prototyping</v>
      </c>
      <c r="O541" s="0" t="str">
        <f aca="false">IF('Junior Makers Kits'!F236="","",'Junior Makers Kits'!F236)</f>
        <v>Reusable</v>
      </c>
      <c r="P541" s="0" t="str">
        <f aca="false">IF('Junior Makers Kits'!G236="","",'Junior Makers Kits'!G236)</f>
        <v/>
      </c>
    </row>
    <row r="542" customFormat="false" ht="15" hidden="false" customHeight="false" outlineLevel="0" collapsed="false">
      <c r="A542" s="0" t="s">
        <v>178</v>
      </c>
      <c r="B542" s="0" t="n">
        <v>11</v>
      </c>
      <c r="C542" s="0" t="str">
        <f aca="false">IF('Junior Makers Kits'!C237="","",'Junior Makers Kits'!C237)</f>
        <v>Jumper wires M-F</v>
      </c>
      <c r="D542" s="0" t="n">
        <f aca="false">IF('Junior Makers Kits'!D237="","",'Junior Makers Kits'!D237)</f>
        <v>4</v>
      </c>
      <c r="E542" s="0" t="str">
        <f aca="false">IF('Junior Makers Kits'!E237="","",'Junior Makers Kits'!E237)</f>
        <v>Per group</v>
      </c>
      <c r="F542" s="0" t="str">
        <f aca="false">IFERROR(INDEX('Session Tracker'!$M$5:$M$149,MATCH($A542,'Session Tracker'!$D$5:$D$149,0))+0,"")</f>
        <v/>
      </c>
      <c r="G542" s="0" t="str">
        <f aca="false">IF(ISNUMBER(F542),IF(OR(B542=0,B542=99,C542&lt;&gt;""),F542*100+B542,""),"")</f>
        <v/>
      </c>
      <c r="H542" s="0" t="n">
        <f aca="false">IFERROR(INDEX('Session Tracker'!$J$5:$J$149,MATCH($A542,'Session Tracker'!$D$5:$D$149,0)),0)</f>
        <v>8</v>
      </c>
      <c r="I542" s="0" t="n">
        <f aca="false">IF(OR(B542=0,B542=99,C542=""),"",IF(E542="Per class",D542,D542*H542))</f>
        <v>32</v>
      </c>
      <c r="N542" s="0" t="str">
        <f aca="false">IF('Junior Makers Kits'!B237="","",'Junior Makers Kits'!B237)</f>
        <v>Wiring &amp; Prototyping</v>
      </c>
      <c r="O542" s="0" t="str">
        <f aca="false">IF('Junior Makers Kits'!F237="","",'Junior Makers Kits'!F237)</f>
        <v>Reusable</v>
      </c>
      <c r="P542" s="0" t="str">
        <f aca="false">IF('Junior Makers Kits'!G237="","",'Junior Makers Kits'!G237)</f>
        <v/>
      </c>
    </row>
    <row r="543" customFormat="false" ht="15" hidden="false" customHeight="false" outlineLevel="0" collapsed="false">
      <c r="A543" s="0" t="s">
        <v>178</v>
      </c>
      <c r="B543" s="0" t="n">
        <v>12</v>
      </c>
      <c r="C543" s="0" t="str">
        <f aca="false">IF('Junior Makers Kits'!C238="","",'Junior Makers Kits'!C238)</f>
        <v>Laptop</v>
      </c>
      <c r="D543" s="0" t="n">
        <f aca="false">IF('Junior Makers Kits'!D238="","",'Junior Makers Kits'!D238)</f>
        <v>1</v>
      </c>
      <c r="E543" s="0" t="str">
        <f aca="false">IF('Junior Makers Kits'!E238="","",'Junior Makers Kits'!E238)</f>
        <v>Per group</v>
      </c>
      <c r="F543" s="0" t="str">
        <f aca="false">IFERROR(INDEX('Session Tracker'!$M$5:$M$149,MATCH($A543,'Session Tracker'!$D$5:$D$149,0))+0,"")</f>
        <v/>
      </c>
      <c r="G543" s="0" t="str">
        <f aca="false">IF(ISNUMBER(F543),IF(OR(B543=0,B543=99,C543&lt;&gt;""),F543*100+B543,""),"")</f>
        <v/>
      </c>
      <c r="H543" s="0" t="n">
        <f aca="false">IFERROR(INDEX('Session Tracker'!$J$5:$J$149,MATCH($A543,'Session Tracker'!$D$5:$D$149,0)),0)</f>
        <v>8</v>
      </c>
      <c r="I543" s="0" t="n">
        <f aca="false">IF(OR(B543=0,B543=99,C543=""),"",IF(E543="Per class",D543,D543*H543))</f>
        <v>8</v>
      </c>
      <c r="N543" s="0" t="str">
        <f aca="false">IF('Junior Makers Kits'!B238="","",'Junior Makers Kits'!B238)</f>
        <v>Computers &amp; Equipment</v>
      </c>
      <c r="O543" s="0" t="str">
        <f aca="false">IF('Junior Makers Kits'!F238="","",'Junior Makers Kits'!F238)</f>
        <v>Reusable</v>
      </c>
      <c r="P543" s="0" t="str">
        <f aca="false">IF('Junior Makers Kits'!G238="","",'Junior Makers Kits'!G238)</f>
        <v/>
      </c>
    </row>
    <row r="544" customFormat="false" ht="15" hidden="false" customHeight="false" outlineLevel="0" collapsed="false">
      <c r="A544" s="0" t="s">
        <v>178</v>
      </c>
      <c r="B544" s="0" t="n">
        <v>13</v>
      </c>
      <c r="C544" s="0" t="str">
        <f aca="false">IF('Junior Makers Kits'!C239="","",'Junior Makers Kits'!C239)</f>
        <v>LED 5 mm (assorted)</v>
      </c>
      <c r="D544" s="0" t="n">
        <f aca="false">IF('Junior Makers Kits'!D239="","",'Junior Makers Kits'!D239)</f>
        <v>1</v>
      </c>
      <c r="E544" s="0" t="str">
        <f aca="false">IF('Junior Makers Kits'!E239="","",'Junior Makers Kits'!E239)</f>
        <v>Per group</v>
      </c>
      <c r="F544" s="0" t="str">
        <f aca="false">IFERROR(INDEX('Session Tracker'!$M$5:$M$149,MATCH($A544,'Session Tracker'!$D$5:$D$149,0))+0,"")</f>
        <v/>
      </c>
      <c r="G544" s="0" t="str">
        <f aca="false">IF(ISNUMBER(F544),IF(OR(B544=0,B544=99,C544&lt;&gt;""),F544*100+B544,""),"")</f>
        <v/>
      </c>
      <c r="H544" s="0" t="n">
        <f aca="false">IFERROR(INDEX('Session Tracker'!$J$5:$J$149,MATCH($A544,'Session Tracker'!$D$5:$D$149,0)),0)</f>
        <v>8</v>
      </c>
      <c r="I544" s="0" t="n">
        <f aca="false">IF(OR(B544=0,B544=99,C544=""),"",IF(E544="Per class",D544,D544*H544))</f>
        <v>8</v>
      </c>
      <c r="N544" s="0" t="str">
        <f aca="false">IF('Junior Makers Kits'!B239="","",'Junior Makers Kits'!B239)</f>
        <v>Displays &amp; Output</v>
      </c>
      <c r="O544" s="0" t="str">
        <f aca="false">IF('Junior Makers Kits'!F239="","",'Junior Makers Kits'!F239)</f>
        <v>Consumable</v>
      </c>
      <c r="P544" s="0" t="str">
        <f aca="false">IF('Junior Makers Kits'!G239="","",'Junior Makers Kits'!G239)</f>
        <v>Added: every Arduino class</v>
      </c>
    </row>
    <row r="545" customFormat="false" ht="15" hidden="false" customHeight="false" outlineLevel="0" collapsed="false">
      <c r="A545" s="0" t="s">
        <v>178</v>
      </c>
      <c r="B545" s="0" t="n">
        <v>14</v>
      </c>
      <c r="C545" s="0" t="str">
        <f aca="false">IF('Junior Makers Kits'!C240="","",'Junior Makers Kits'!C240)</f>
        <v/>
      </c>
      <c r="D545" s="0" t="str">
        <f aca="false">IF('Junior Makers Kits'!D240="","",'Junior Makers Kits'!D240)</f>
        <v/>
      </c>
      <c r="E545" s="0" t="str">
        <f aca="false">IF('Junior Makers Kits'!E240="","",'Junior Makers Kits'!E240)</f>
        <v/>
      </c>
      <c r="F545" s="0" t="str">
        <f aca="false">IFERROR(INDEX('Session Tracker'!$M$5:$M$149,MATCH($A545,'Session Tracker'!$D$5:$D$149,0))+0,"")</f>
        <v/>
      </c>
      <c r="G545" s="0" t="str">
        <f aca="false">IF(ISNUMBER(F545),IF(OR(B545=0,B545=99,C545&lt;&gt;""),F545*100+B545,""),"")</f>
        <v/>
      </c>
      <c r="H545" s="0" t="n">
        <f aca="false">IFERROR(INDEX('Session Tracker'!$J$5:$J$149,MATCH($A545,'Session Tracker'!$D$5:$D$149,0)),0)</f>
        <v>8</v>
      </c>
      <c r="I545" s="0" t="str">
        <f aca="false">IF(OR(B545=0,B545=99,C545=""),"",IF(E545="Per class",D545,D545*H545))</f>
        <v/>
      </c>
      <c r="N545" s="0" t="str">
        <f aca="false">IF('Junior Makers Kits'!B240="","",'Junior Makers Kits'!B240)</f>
        <v/>
      </c>
      <c r="O545" s="0" t="str">
        <f aca="false">IF('Junior Makers Kits'!F240="","",'Junior Makers Kits'!F240)</f>
        <v/>
      </c>
      <c r="P545" s="0" t="str">
        <f aca="false">IF('Junior Makers Kits'!G240="","",'Junior Makers Kits'!G240)</f>
        <v/>
      </c>
    </row>
    <row r="546" customFormat="false" ht="15" hidden="false" customHeight="false" outlineLevel="0" collapsed="false">
      <c r="A546" s="0" t="s">
        <v>178</v>
      </c>
      <c r="B546" s="0" t="n">
        <v>15</v>
      </c>
      <c r="C546" s="0" t="str">
        <f aca="false">IF('Junior Makers Kits'!C241="","",'Junior Makers Kits'!C241)</f>
        <v/>
      </c>
      <c r="D546" s="0" t="str">
        <f aca="false">IF('Junior Makers Kits'!D241="","",'Junior Makers Kits'!D241)</f>
        <v/>
      </c>
      <c r="E546" s="0" t="str">
        <f aca="false">IF('Junior Makers Kits'!E241="","",'Junior Makers Kits'!E241)</f>
        <v/>
      </c>
      <c r="F546" s="0" t="str">
        <f aca="false">IFERROR(INDEX('Session Tracker'!$M$5:$M$149,MATCH($A546,'Session Tracker'!$D$5:$D$149,0))+0,"")</f>
        <v/>
      </c>
      <c r="G546" s="0" t="str">
        <f aca="false">IF(ISNUMBER(F546),IF(OR(B546=0,B546=99,C546&lt;&gt;""),F546*100+B546,""),"")</f>
        <v/>
      </c>
      <c r="H546" s="0" t="n">
        <f aca="false">IFERROR(INDEX('Session Tracker'!$J$5:$J$149,MATCH($A546,'Session Tracker'!$D$5:$D$149,0)),0)</f>
        <v>8</v>
      </c>
      <c r="I546" s="0" t="str">
        <f aca="false">IF(OR(B546=0,B546=99,C546=""),"",IF(E546="Per class",D546,D546*H546))</f>
        <v/>
      </c>
      <c r="N546" s="0" t="str">
        <f aca="false">IF('Junior Makers Kits'!B241="","",'Junior Makers Kits'!B241)</f>
        <v/>
      </c>
      <c r="O546" s="0" t="str">
        <f aca="false">IF('Junior Makers Kits'!F241="","",'Junior Makers Kits'!F241)</f>
        <v/>
      </c>
      <c r="P546" s="0" t="str">
        <f aca="false">IF('Junior Makers Kits'!G241="","",'Junior Makers Kits'!G241)</f>
        <v/>
      </c>
    </row>
    <row r="547" customFormat="false" ht="15" hidden="false" customHeight="false" outlineLevel="0" collapsed="false">
      <c r="A547" s="0" t="s">
        <v>180</v>
      </c>
      <c r="B547" s="0" t="n">
        <v>0</v>
      </c>
      <c r="F547" s="0" t="str">
        <f aca="false">IFERROR(INDEX('Session Tracker'!$M$5:$M$149,MATCH($A547,'Session Tracker'!$D$5:$D$149,0))+0,"")</f>
        <v/>
      </c>
      <c r="G547" s="0" t="str">
        <f aca="false">IF(ISNUMBER(F547),IF(OR(B547=0,B547=99,C547&lt;&gt;""),F547*100+B547,""),"")</f>
        <v/>
      </c>
      <c r="H547" s="0" t="n">
        <f aca="false">IFERROR(INDEX('Session Tracker'!$J$5:$J$149,MATCH($A547,'Session Tracker'!$D$5:$D$149,0)),0)</f>
        <v>8</v>
      </c>
      <c r="I547" s="0" t="str">
        <f aca="false">IF(OR(B547=0,B547=99,C547=""),"",IF(E547="Per class",D547,D547*H547))</f>
        <v/>
      </c>
      <c r="K547" s="0" t="str">
        <f aca="false">IFERROR(INDEX('Session Tracker'!$E$5:$E$149,MATCH($A547,'Session Tracker'!$D$5:$D$149,0)),"")</f>
        <v>Step Counter Fitness Tracker</v>
      </c>
      <c r="L547" s="0" t="str">
        <f aca="false">IFERROR(INDEX('Session Tracker'!$A$5:$A$149,MATCH($A547,'Session Tracker'!$D$5:$D$149,0)),"")</f>
        <v>Junior Makers (8-11)</v>
      </c>
      <c r="M547" s="0" t="str">
        <f aca="false">IFERROR(INDEX('Session Tracker'!$H$5:$H$149,MATCH($A547,'Session Tracker'!$D$5:$D$149,0))&amp;"","")</f>
        <v/>
      </c>
      <c r="Q547" s="0" t="str">
        <f aca="false">IFERROR("Status: "&amp;INDEX('Session Tracker'!$F$5:$F$149,MATCH($A547,'Session Tracker'!$D$5:$D$149,0))&amp;IF(INDEX('Session Tracker'!$G$5:$G$149,MATCH($A547,'Session Tracker'!$D$5:$D$149,0))&lt;&gt;""," ("&amp;INDEX('Session Tracker'!$G$5:$G$149,MATCH($A547,'Session Tracker'!$D$5:$D$149,0))&amp;")","")&amp;IF(M547&lt;&gt;"","  "&amp;M547,""),"")</f>
        <v>Status: Not started</v>
      </c>
    </row>
    <row r="548" customFormat="false" ht="15" hidden="false" customHeight="false" outlineLevel="0" collapsed="false">
      <c r="A548" s="0" t="s">
        <v>180</v>
      </c>
      <c r="B548" s="0" t="n">
        <v>1</v>
      </c>
      <c r="C548" s="0" t="str">
        <f aca="false">IF('Junior Makers Kits'!C244="","",'Junior Makers Kits'!C244)</f>
        <v>Arduino Uno + USB cable</v>
      </c>
      <c r="D548" s="0" t="n">
        <f aca="false">IF('Junior Makers Kits'!D244="","",'Junior Makers Kits'!D244)</f>
        <v>1</v>
      </c>
      <c r="E548" s="0" t="str">
        <f aca="false">IF('Junior Makers Kits'!E244="","",'Junior Makers Kits'!E244)</f>
        <v>Per group</v>
      </c>
      <c r="F548" s="0" t="str">
        <f aca="false">IFERROR(INDEX('Session Tracker'!$M$5:$M$149,MATCH($A548,'Session Tracker'!$D$5:$D$149,0))+0,"")</f>
        <v/>
      </c>
      <c r="G548" s="0" t="str">
        <f aca="false">IF(ISNUMBER(F548),IF(OR(B548=0,B548=99,C548&lt;&gt;""),F548*100+B548,""),"")</f>
        <v/>
      </c>
      <c r="H548" s="0" t="n">
        <f aca="false">IFERROR(INDEX('Session Tracker'!$J$5:$J$149,MATCH($A548,'Session Tracker'!$D$5:$D$149,0)),0)</f>
        <v>8</v>
      </c>
      <c r="I548" s="0" t="n">
        <f aca="false">IF(OR(B548=0,B548=99,C548=""),"",IF(E548="Per class",D548,D548*H548))</f>
        <v>8</v>
      </c>
      <c r="N548" s="0" t="str">
        <f aca="false">IF('Junior Makers Kits'!B244="","",'Junior Makers Kits'!B244)</f>
        <v>Microcontrollers &amp; Dev Boards</v>
      </c>
      <c r="O548" s="0" t="str">
        <f aca="false">IF('Junior Makers Kits'!F244="","",'Junior Makers Kits'!F244)</f>
        <v>Reusable</v>
      </c>
      <c r="P548" s="0" t="str">
        <f aca="false">IF('Junior Makers Kits'!G244="","",'Junior Makers Kits'!G244)</f>
        <v/>
      </c>
    </row>
    <row r="549" customFormat="false" ht="15" hidden="false" customHeight="false" outlineLevel="0" collapsed="false">
      <c r="A549" s="0" t="s">
        <v>180</v>
      </c>
      <c r="B549" s="0" t="n">
        <v>2</v>
      </c>
      <c r="C549" s="0" t="str">
        <f aca="false">IF('Junior Makers Kits'!C245="","",'Junior Makers Kits'!C245)</f>
        <v>MPU6050 IMU</v>
      </c>
      <c r="D549" s="0" t="n">
        <f aca="false">IF('Junior Makers Kits'!D245="","",'Junior Makers Kits'!D245)</f>
        <v>1</v>
      </c>
      <c r="E549" s="0" t="str">
        <f aca="false">IF('Junior Makers Kits'!E245="","",'Junior Makers Kits'!E245)</f>
        <v>Per group</v>
      </c>
      <c r="F549" s="0" t="str">
        <f aca="false">IFERROR(INDEX('Session Tracker'!$M$5:$M$149,MATCH($A549,'Session Tracker'!$D$5:$D$149,0))+0,"")</f>
        <v/>
      </c>
      <c r="G549" s="0" t="str">
        <f aca="false">IF(ISNUMBER(F549),IF(OR(B549=0,B549=99,C549&lt;&gt;""),F549*100+B549,""),"")</f>
        <v/>
      </c>
      <c r="H549" s="0" t="n">
        <f aca="false">IFERROR(INDEX('Session Tracker'!$J$5:$J$149,MATCH($A549,'Session Tracker'!$D$5:$D$149,0)),0)</f>
        <v>8</v>
      </c>
      <c r="I549" s="0" t="n">
        <f aca="false">IF(OR(B549=0,B549=99,C549=""),"",IF(E549="Per class",D549,D549*H549))</f>
        <v>8</v>
      </c>
      <c r="N549" s="0" t="str">
        <f aca="false">IF('Junior Makers Kits'!B245="","",'Junior Makers Kits'!B245)</f>
        <v>Sensors</v>
      </c>
      <c r="O549" s="0" t="str">
        <f aca="false">IF('Junior Makers Kits'!F245="","",'Junior Makers Kits'!F245)</f>
        <v>Reusable</v>
      </c>
      <c r="P549" s="0" t="str">
        <f aca="false">IF('Junior Makers Kits'!G245="","",'Junior Makers Kits'!G245)</f>
        <v/>
      </c>
    </row>
    <row r="550" customFormat="false" ht="15" hidden="false" customHeight="false" outlineLevel="0" collapsed="false">
      <c r="A550" s="0" t="s">
        <v>180</v>
      </c>
      <c r="B550" s="0" t="n">
        <v>3</v>
      </c>
      <c r="C550" s="0" t="str">
        <f aca="false">IF('Junior Makers Kits'!C246="","",'Junior Makers Kits'!C246)</f>
        <v>OLED 0.96 in I2C</v>
      </c>
      <c r="D550" s="0" t="n">
        <f aca="false">IF('Junior Makers Kits'!D246="","",'Junior Makers Kits'!D246)</f>
        <v>1</v>
      </c>
      <c r="E550" s="0" t="str">
        <f aca="false">IF('Junior Makers Kits'!E246="","",'Junior Makers Kits'!E246)</f>
        <v>Per group</v>
      </c>
      <c r="F550" s="0" t="str">
        <f aca="false">IFERROR(INDEX('Session Tracker'!$M$5:$M$149,MATCH($A550,'Session Tracker'!$D$5:$D$149,0))+0,"")</f>
        <v/>
      </c>
      <c r="G550" s="0" t="str">
        <f aca="false">IF(ISNUMBER(F550),IF(OR(B550=0,B550=99,C550&lt;&gt;""),F550*100+B550,""),"")</f>
        <v/>
      </c>
      <c r="H550" s="0" t="n">
        <f aca="false">IFERROR(INDEX('Session Tracker'!$J$5:$J$149,MATCH($A550,'Session Tracker'!$D$5:$D$149,0)),0)</f>
        <v>8</v>
      </c>
      <c r="I550" s="0" t="n">
        <f aca="false">IF(OR(B550=0,B550=99,C550=""),"",IF(E550="Per class",D550,D550*H550))</f>
        <v>8</v>
      </c>
      <c r="N550" s="0" t="str">
        <f aca="false">IF('Junior Makers Kits'!B246="","",'Junior Makers Kits'!B246)</f>
        <v>Displays &amp; Output</v>
      </c>
      <c r="O550" s="0" t="str">
        <f aca="false">IF('Junior Makers Kits'!F246="","",'Junior Makers Kits'!F246)</f>
        <v>Reusable</v>
      </c>
      <c r="P550" s="0" t="str">
        <f aca="false">IF('Junior Makers Kits'!G246="","",'Junior Makers Kits'!G246)</f>
        <v/>
      </c>
    </row>
    <row r="551" customFormat="false" ht="15" hidden="false" customHeight="false" outlineLevel="0" collapsed="false">
      <c r="A551" s="0" t="s">
        <v>180</v>
      </c>
      <c r="B551" s="0" t="n">
        <v>4</v>
      </c>
      <c r="C551" s="0" t="str">
        <f aca="false">IF('Junior Makers Kits'!C247="","",'Junior Makers Kits'!C247)</f>
        <v>Push button</v>
      </c>
      <c r="D551" s="0" t="n">
        <f aca="false">IF('Junior Makers Kits'!D247="","",'Junior Makers Kits'!D247)</f>
        <v>1</v>
      </c>
      <c r="E551" s="0" t="str">
        <f aca="false">IF('Junior Makers Kits'!E247="","",'Junior Makers Kits'!E247)</f>
        <v>Per group</v>
      </c>
      <c r="F551" s="0" t="str">
        <f aca="false">IFERROR(INDEX('Session Tracker'!$M$5:$M$149,MATCH($A551,'Session Tracker'!$D$5:$D$149,0))+0,"")</f>
        <v/>
      </c>
      <c r="G551" s="0" t="str">
        <f aca="false">IF(ISNUMBER(F551),IF(OR(B551=0,B551=99,C551&lt;&gt;""),F551*100+B551,""),"")</f>
        <v/>
      </c>
      <c r="H551" s="0" t="n">
        <f aca="false">IFERROR(INDEX('Session Tracker'!$J$5:$J$149,MATCH($A551,'Session Tracker'!$D$5:$D$149,0)),0)</f>
        <v>8</v>
      </c>
      <c r="I551" s="0" t="n">
        <f aca="false">IF(OR(B551=0,B551=99,C551=""),"",IF(E551="Per class",D551,D551*H551))</f>
        <v>8</v>
      </c>
      <c r="N551" s="0" t="str">
        <f aca="false">IF('Junior Makers Kits'!B247="","",'Junior Makers Kits'!B247)</f>
        <v>Passive Components &amp; ICs</v>
      </c>
      <c r="O551" s="0" t="str">
        <f aca="false">IF('Junior Makers Kits'!F247="","",'Junior Makers Kits'!F247)</f>
        <v>Reusable</v>
      </c>
      <c r="P551" s="0" t="str">
        <f aca="false">IF('Junior Makers Kits'!G247="","",'Junior Makers Kits'!G247)</f>
        <v/>
      </c>
    </row>
    <row r="552" customFormat="false" ht="15" hidden="false" customHeight="false" outlineLevel="0" collapsed="false">
      <c r="A552" s="0" t="s">
        <v>180</v>
      </c>
      <c r="B552" s="0" t="n">
        <v>5</v>
      </c>
      <c r="C552" s="0" t="str">
        <f aca="false">IF('Junior Makers Kits'!C248="","",'Junior Makers Kits'!C248)</f>
        <v>Resistor 10k ohm</v>
      </c>
      <c r="D552" s="0" t="n">
        <f aca="false">IF('Junior Makers Kits'!D248="","",'Junior Makers Kits'!D248)</f>
        <v>1</v>
      </c>
      <c r="E552" s="0" t="str">
        <f aca="false">IF('Junior Makers Kits'!E248="","",'Junior Makers Kits'!E248)</f>
        <v>Per group</v>
      </c>
      <c r="F552" s="0" t="str">
        <f aca="false">IFERROR(INDEX('Session Tracker'!$M$5:$M$149,MATCH($A552,'Session Tracker'!$D$5:$D$149,0))+0,"")</f>
        <v/>
      </c>
      <c r="G552" s="0" t="str">
        <f aca="false">IF(ISNUMBER(F552),IF(OR(B552=0,B552=99,C552&lt;&gt;""),F552*100+B552,""),"")</f>
        <v/>
      </c>
      <c r="H552" s="0" t="n">
        <f aca="false">IFERROR(INDEX('Session Tracker'!$J$5:$J$149,MATCH($A552,'Session Tracker'!$D$5:$D$149,0)),0)</f>
        <v>8</v>
      </c>
      <c r="I552" s="0" t="n">
        <f aca="false">IF(OR(B552=0,B552=99,C552=""),"",IF(E552="Per class",D552,D552*H552))</f>
        <v>8</v>
      </c>
      <c r="N552" s="0" t="str">
        <f aca="false">IF('Junior Makers Kits'!B248="","",'Junior Makers Kits'!B248)</f>
        <v>Passive Components &amp; ICs</v>
      </c>
      <c r="O552" s="0" t="str">
        <f aca="false">IF('Junior Makers Kits'!F248="","",'Junior Makers Kits'!F248)</f>
        <v>Consumable</v>
      </c>
      <c r="P552" s="0" t="str">
        <f aca="false">IF('Junior Makers Kits'!G248="","",'Junior Makers Kits'!G248)</f>
        <v/>
      </c>
    </row>
    <row r="553" customFormat="false" ht="15" hidden="false" customHeight="false" outlineLevel="0" collapsed="false">
      <c r="A553" s="0" t="s">
        <v>180</v>
      </c>
      <c r="B553" s="0" t="n">
        <v>6</v>
      </c>
      <c r="C553" s="0" t="str">
        <f aca="false">IF('Junior Makers Kits'!C249="","",'Junior Makers Kits'!C249)</f>
        <v>Breadboard (half size)</v>
      </c>
      <c r="D553" s="0" t="n">
        <f aca="false">IF('Junior Makers Kits'!D249="","",'Junior Makers Kits'!D249)</f>
        <v>1</v>
      </c>
      <c r="E553" s="0" t="str">
        <f aca="false">IF('Junior Makers Kits'!E249="","",'Junior Makers Kits'!E249)</f>
        <v>Per group</v>
      </c>
      <c r="F553" s="0" t="str">
        <f aca="false">IFERROR(INDEX('Session Tracker'!$M$5:$M$149,MATCH($A553,'Session Tracker'!$D$5:$D$149,0))+0,"")</f>
        <v/>
      </c>
      <c r="G553" s="0" t="str">
        <f aca="false">IF(ISNUMBER(F553),IF(OR(B553=0,B553=99,C553&lt;&gt;""),F553*100+B553,""),"")</f>
        <v/>
      </c>
      <c r="H553" s="0" t="n">
        <f aca="false">IFERROR(INDEX('Session Tracker'!$J$5:$J$149,MATCH($A553,'Session Tracker'!$D$5:$D$149,0)),0)</f>
        <v>8</v>
      </c>
      <c r="I553" s="0" t="n">
        <f aca="false">IF(OR(B553=0,B553=99,C553=""),"",IF(E553="Per class",D553,D553*H553))</f>
        <v>8</v>
      </c>
      <c r="N553" s="0" t="str">
        <f aca="false">IF('Junior Makers Kits'!B249="","",'Junior Makers Kits'!B249)</f>
        <v>Wiring &amp; Prototyping</v>
      </c>
      <c r="O553" s="0" t="str">
        <f aca="false">IF('Junior Makers Kits'!F249="","",'Junior Makers Kits'!F249)</f>
        <v>Reusable</v>
      </c>
      <c r="P553" s="0" t="str">
        <f aca="false">IF('Junior Makers Kits'!G249="","",'Junior Makers Kits'!G249)</f>
        <v/>
      </c>
    </row>
    <row r="554" customFormat="false" ht="15" hidden="false" customHeight="false" outlineLevel="0" collapsed="false">
      <c r="A554" s="0" t="s">
        <v>180</v>
      </c>
      <c r="B554" s="0" t="n">
        <v>7</v>
      </c>
      <c r="C554" s="0" t="str">
        <f aca="false">IF('Junior Makers Kits'!C250="","",'Junior Makers Kits'!C250)</f>
        <v>Jumper wires M-M</v>
      </c>
      <c r="D554" s="0" t="n">
        <f aca="false">IF('Junior Makers Kits'!D250="","",'Junior Makers Kits'!D250)</f>
        <v>10</v>
      </c>
      <c r="E554" s="0" t="str">
        <f aca="false">IF('Junior Makers Kits'!E250="","",'Junior Makers Kits'!E250)</f>
        <v>Per group</v>
      </c>
      <c r="F554" s="0" t="str">
        <f aca="false">IFERROR(INDEX('Session Tracker'!$M$5:$M$149,MATCH($A554,'Session Tracker'!$D$5:$D$149,0))+0,"")</f>
        <v/>
      </c>
      <c r="G554" s="0" t="str">
        <f aca="false">IF(ISNUMBER(F554),IF(OR(B554=0,B554=99,C554&lt;&gt;""),F554*100+B554,""),"")</f>
        <v/>
      </c>
      <c r="H554" s="0" t="n">
        <f aca="false">IFERROR(INDEX('Session Tracker'!$J$5:$J$149,MATCH($A554,'Session Tracker'!$D$5:$D$149,0)),0)</f>
        <v>8</v>
      </c>
      <c r="I554" s="0" t="n">
        <f aca="false">IF(OR(B554=0,B554=99,C554=""),"",IF(E554="Per class",D554,D554*H554))</f>
        <v>80</v>
      </c>
      <c r="N554" s="0" t="str">
        <f aca="false">IF('Junior Makers Kits'!B250="","",'Junior Makers Kits'!B250)</f>
        <v>Wiring &amp; Prototyping</v>
      </c>
      <c r="O554" s="0" t="str">
        <f aca="false">IF('Junior Makers Kits'!F250="","",'Junior Makers Kits'!F250)</f>
        <v>Reusable</v>
      </c>
      <c r="P554" s="0" t="str">
        <f aca="false">IF('Junior Makers Kits'!G250="","",'Junior Makers Kits'!G250)</f>
        <v/>
      </c>
    </row>
    <row r="555" customFormat="false" ht="15" hidden="false" customHeight="false" outlineLevel="0" collapsed="false">
      <c r="A555" s="0" t="s">
        <v>180</v>
      </c>
      <c r="B555" s="0" t="n">
        <v>8</v>
      </c>
      <c r="C555" s="0" t="str">
        <f aca="false">IF('Junior Makers Kits'!C251="","",'Junior Makers Kits'!C251)</f>
        <v>Jumper wires M-F</v>
      </c>
      <c r="D555" s="0" t="n">
        <f aca="false">IF('Junior Makers Kits'!D251="","",'Junior Makers Kits'!D251)</f>
        <v>6</v>
      </c>
      <c r="E555" s="0" t="str">
        <f aca="false">IF('Junior Makers Kits'!E251="","",'Junior Makers Kits'!E251)</f>
        <v>Per group</v>
      </c>
      <c r="F555" s="0" t="str">
        <f aca="false">IFERROR(INDEX('Session Tracker'!$M$5:$M$149,MATCH($A555,'Session Tracker'!$D$5:$D$149,0))+0,"")</f>
        <v/>
      </c>
      <c r="G555" s="0" t="str">
        <f aca="false">IF(ISNUMBER(F555),IF(OR(B555=0,B555=99,C555&lt;&gt;""),F555*100+B555,""),"")</f>
        <v/>
      </c>
      <c r="H555" s="0" t="n">
        <f aca="false">IFERROR(INDEX('Session Tracker'!$J$5:$J$149,MATCH($A555,'Session Tracker'!$D$5:$D$149,0)),0)</f>
        <v>8</v>
      </c>
      <c r="I555" s="0" t="n">
        <f aca="false">IF(OR(B555=0,B555=99,C555=""),"",IF(E555="Per class",D555,D555*H555))</f>
        <v>48</v>
      </c>
      <c r="N555" s="0" t="str">
        <f aca="false">IF('Junior Makers Kits'!B251="","",'Junior Makers Kits'!B251)</f>
        <v>Wiring &amp; Prototyping</v>
      </c>
      <c r="O555" s="0" t="str">
        <f aca="false">IF('Junior Makers Kits'!F251="","",'Junior Makers Kits'!F251)</f>
        <v>Reusable</v>
      </c>
      <c r="P555" s="0" t="str">
        <f aca="false">IF('Junior Makers Kits'!G251="","",'Junior Makers Kits'!G251)</f>
        <v/>
      </c>
    </row>
    <row r="556" customFormat="false" ht="15" hidden="false" customHeight="false" outlineLevel="0" collapsed="false">
      <c r="A556" s="0" t="s">
        <v>180</v>
      </c>
      <c r="B556" s="0" t="n">
        <v>9</v>
      </c>
      <c r="C556" s="0" t="str">
        <f aca="false">IF('Junior Makers Kits'!C252="","",'Junior Makers Kits'!C252)</f>
        <v>Laptop</v>
      </c>
      <c r="D556" s="0" t="n">
        <f aca="false">IF('Junior Makers Kits'!D252="","",'Junior Makers Kits'!D252)</f>
        <v>1</v>
      </c>
      <c r="E556" s="0" t="str">
        <f aca="false">IF('Junior Makers Kits'!E252="","",'Junior Makers Kits'!E252)</f>
        <v>Per group</v>
      </c>
      <c r="F556" s="0" t="str">
        <f aca="false">IFERROR(INDEX('Session Tracker'!$M$5:$M$149,MATCH($A556,'Session Tracker'!$D$5:$D$149,0))+0,"")</f>
        <v/>
      </c>
      <c r="G556" s="0" t="str">
        <f aca="false">IF(ISNUMBER(F556),IF(OR(B556=0,B556=99,C556&lt;&gt;""),F556*100+B556,""),"")</f>
        <v/>
      </c>
      <c r="H556" s="0" t="n">
        <f aca="false">IFERROR(INDEX('Session Tracker'!$J$5:$J$149,MATCH($A556,'Session Tracker'!$D$5:$D$149,0)),0)</f>
        <v>8</v>
      </c>
      <c r="I556" s="0" t="n">
        <f aca="false">IF(OR(B556=0,B556=99,C556=""),"",IF(E556="Per class",D556,D556*H556))</f>
        <v>8</v>
      </c>
      <c r="N556" s="0" t="str">
        <f aca="false">IF('Junior Makers Kits'!B252="","",'Junior Makers Kits'!B252)</f>
        <v>Computers &amp; Equipment</v>
      </c>
      <c r="O556" s="0" t="str">
        <f aca="false">IF('Junior Makers Kits'!F252="","",'Junior Makers Kits'!F252)</f>
        <v>Reusable</v>
      </c>
      <c r="P556" s="0" t="str">
        <f aca="false">IF('Junior Makers Kits'!G252="","",'Junior Makers Kits'!G252)</f>
        <v/>
      </c>
    </row>
    <row r="557" customFormat="false" ht="15" hidden="false" customHeight="false" outlineLevel="0" collapsed="false">
      <c r="A557" s="0" t="s">
        <v>180</v>
      </c>
      <c r="B557" s="0" t="n">
        <v>10</v>
      </c>
      <c r="C557" s="0" t="str">
        <f aca="false">IF('Junior Makers Kits'!C253="","",'Junior Makers Kits'!C253)</f>
        <v>LED 5 mm (assorted)</v>
      </c>
      <c r="D557" s="0" t="n">
        <f aca="false">IF('Junior Makers Kits'!D253="","",'Junior Makers Kits'!D253)</f>
        <v>1</v>
      </c>
      <c r="E557" s="0" t="str">
        <f aca="false">IF('Junior Makers Kits'!E253="","",'Junior Makers Kits'!E253)</f>
        <v>Per group</v>
      </c>
      <c r="F557" s="0" t="str">
        <f aca="false">IFERROR(INDEX('Session Tracker'!$M$5:$M$149,MATCH($A557,'Session Tracker'!$D$5:$D$149,0))+0,"")</f>
        <v/>
      </c>
      <c r="G557" s="0" t="str">
        <f aca="false">IF(ISNUMBER(F557),IF(OR(B557=0,B557=99,C557&lt;&gt;""),F557*100+B557,""),"")</f>
        <v/>
      </c>
      <c r="H557" s="0" t="n">
        <f aca="false">IFERROR(INDEX('Session Tracker'!$J$5:$J$149,MATCH($A557,'Session Tracker'!$D$5:$D$149,0)),0)</f>
        <v>8</v>
      </c>
      <c r="I557" s="0" t="n">
        <f aca="false">IF(OR(B557=0,B557=99,C557=""),"",IF(E557="Per class",D557,D557*H557))</f>
        <v>8</v>
      </c>
      <c r="N557" s="0" t="str">
        <f aca="false">IF('Junior Makers Kits'!B253="","",'Junior Makers Kits'!B253)</f>
        <v>Displays &amp; Output</v>
      </c>
      <c r="O557" s="0" t="str">
        <f aca="false">IF('Junior Makers Kits'!F253="","",'Junior Makers Kits'!F253)</f>
        <v>Consumable</v>
      </c>
      <c r="P557" s="0" t="str">
        <f aca="false">IF('Junior Makers Kits'!G253="","",'Junior Makers Kits'!G253)</f>
        <v>Added: every Arduino class</v>
      </c>
    </row>
    <row r="558" customFormat="false" ht="15" hidden="false" customHeight="false" outlineLevel="0" collapsed="false">
      <c r="A558" s="0" t="s">
        <v>180</v>
      </c>
      <c r="B558" s="0" t="n">
        <v>11</v>
      </c>
      <c r="C558" s="0" t="str">
        <f aca="false">IF('Junior Makers Kits'!C254="","",'Junior Makers Kits'!C254)</f>
        <v>Resistor 220 ohm</v>
      </c>
      <c r="D558" s="0" t="n">
        <f aca="false">IF('Junior Makers Kits'!D254="","",'Junior Makers Kits'!D254)</f>
        <v>1</v>
      </c>
      <c r="E558" s="0" t="str">
        <f aca="false">IF('Junior Makers Kits'!E254="","",'Junior Makers Kits'!E254)</f>
        <v>Per group</v>
      </c>
      <c r="F558" s="0" t="str">
        <f aca="false">IFERROR(INDEX('Session Tracker'!$M$5:$M$149,MATCH($A558,'Session Tracker'!$D$5:$D$149,0))+0,"")</f>
        <v/>
      </c>
      <c r="G558" s="0" t="str">
        <f aca="false">IF(ISNUMBER(F558),IF(OR(B558=0,B558=99,C558&lt;&gt;""),F558*100+B558,""),"")</f>
        <v/>
      </c>
      <c r="H558" s="0" t="n">
        <f aca="false">IFERROR(INDEX('Session Tracker'!$J$5:$J$149,MATCH($A558,'Session Tracker'!$D$5:$D$149,0)),0)</f>
        <v>8</v>
      </c>
      <c r="I558" s="0" t="n">
        <f aca="false">IF(OR(B558=0,B558=99,C558=""),"",IF(E558="Per class",D558,D558*H558))</f>
        <v>8</v>
      </c>
      <c r="N558" s="0" t="str">
        <f aca="false">IF('Junior Makers Kits'!B254="","",'Junior Makers Kits'!B254)</f>
        <v>Passive Components &amp; ICs</v>
      </c>
      <c r="O558" s="0" t="str">
        <f aca="false">IF('Junior Makers Kits'!F254="","",'Junior Makers Kits'!F254)</f>
        <v>Consumable</v>
      </c>
      <c r="P558" s="0" t="str">
        <f aca="false">IF('Junior Makers Kits'!G254="","",'Junior Makers Kits'!G254)</f>
        <v>Added: for the LED</v>
      </c>
    </row>
    <row r="559" customFormat="false" ht="15" hidden="false" customHeight="false" outlineLevel="0" collapsed="false">
      <c r="A559" s="0" t="s">
        <v>180</v>
      </c>
      <c r="B559" s="0" t="n">
        <v>12</v>
      </c>
      <c r="C559" s="0" t="str">
        <f aca="false">IF('Junior Makers Kits'!C255="","",'Junior Makers Kits'!C255)</f>
        <v>Buzzer</v>
      </c>
      <c r="D559" s="0" t="n">
        <f aca="false">IF('Junior Makers Kits'!D255="","",'Junior Makers Kits'!D255)</f>
        <v>1</v>
      </c>
      <c r="E559" s="0" t="str">
        <f aca="false">IF('Junior Makers Kits'!E255="","",'Junior Makers Kits'!E255)</f>
        <v>Per group</v>
      </c>
      <c r="F559" s="0" t="str">
        <f aca="false">IFERROR(INDEX('Session Tracker'!$M$5:$M$149,MATCH($A559,'Session Tracker'!$D$5:$D$149,0))+0,"")</f>
        <v/>
      </c>
      <c r="G559" s="0" t="str">
        <f aca="false">IF(ISNUMBER(F559),IF(OR(B559=0,B559=99,C559&lt;&gt;""),F559*100+B559,""),"")</f>
        <v/>
      </c>
      <c r="H559" s="0" t="n">
        <f aca="false">IFERROR(INDEX('Session Tracker'!$J$5:$J$149,MATCH($A559,'Session Tracker'!$D$5:$D$149,0)),0)</f>
        <v>8</v>
      </c>
      <c r="I559" s="0" t="n">
        <f aca="false">IF(OR(B559=0,B559=99,C559=""),"",IF(E559="Per class",D559,D559*H559))</f>
        <v>8</v>
      </c>
      <c r="N559" s="0" t="str">
        <f aca="false">IF('Junior Makers Kits'!B255="","",'Junior Makers Kits'!B255)</f>
        <v>Actuators &amp; Motor Drivers</v>
      </c>
      <c r="O559" s="0" t="str">
        <f aca="false">IF('Junior Makers Kits'!F255="","",'Junior Makers Kits'!F255)</f>
        <v>Reusable</v>
      </c>
      <c r="P559" s="0" t="str">
        <f aca="false">IF('Junior Makers Kits'!G255="","",'Junior Makers Kits'!G255)</f>
        <v>Added: every Arduino class</v>
      </c>
    </row>
    <row r="560" customFormat="false" ht="15" hidden="false" customHeight="false" outlineLevel="0" collapsed="false">
      <c r="A560" s="0" t="s">
        <v>180</v>
      </c>
      <c r="B560" s="0" t="n">
        <v>13</v>
      </c>
      <c r="C560" s="0" t="str">
        <f aca="false">IF('Junior Makers Kits'!C256="","",'Junior Makers Kits'!C256)</f>
        <v/>
      </c>
      <c r="D560" s="0" t="str">
        <f aca="false">IF('Junior Makers Kits'!D256="","",'Junior Makers Kits'!D256)</f>
        <v/>
      </c>
      <c r="E560" s="0" t="str">
        <f aca="false">IF('Junior Makers Kits'!E256="","",'Junior Makers Kits'!E256)</f>
        <v/>
      </c>
      <c r="F560" s="0" t="str">
        <f aca="false">IFERROR(INDEX('Session Tracker'!$M$5:$M$149,MATCH($A560,'Session Tracker'!$D$5:$D$149,0))+0,"")</f>
        <v/>
      </c>
      <c r="G560" s="0" t="str">
        <f aca="false">IF(ISNUMBER(F560),IF(OR(B560=0,B560=99,C560&lt;&gt;""),F560*100+B560,""),"")</f>
        <v/>
      </c>
      <c r="H560" s="0" t="n">
        <f aca="false">IFERROR(INDEX('Session Tracker'!$J$5:$J$149,MATCH($A560,'Session Tracker'!$D$5:$D$149,0)),0)</f>
        <v>8</v>
      </c>
      <c r="I560" s="0" t="str">
        <f aca="false">IF(OR(B560=0,B560=99,C560=""),"",IF(E560="Per class",D560,D560*H560))</f>
        <v/>
      </c>
      <c r="N560" s="0" t="str">
        <f aca="false">IF('Junior Makers Kits'!B256="","",'Junior Makers Kits'!B256)</f>
        <v/>
      </c>
      <c r="O560" s="0" t="str">
        <f aca="false">IF('Junior Makers Kits'!F256="","",'Junior Makers Kits'!F256)</f>
        <v/>
      </c>
      <c r="P560" s="0" t="str">
        <f aca="false">IF('Junior Makers Kits'!G256="","",'Junior Makers Kits'!G256)</f>
        <v/>
      </c>
    </row>
    <row r="561" customFormat="false" ht="15" hidden="false" customHeight="false" outlineLevel="0" collapsed="false">
      <c r="A561" s="0" t="s">
        <v>180</v>
      </c>
      <c r="B561" s="0" t="n">
        <v>14</v>
      </c>
      <c r="C561" s="0" t="str">
        <f aca="false">IF('Junior Makers Kits'!C257="","",'Junior Makers Kits'!C257)</f>
        <v/>
      </c>
      <c r="D561" s="0" t="str">
        <f aca="false">IF('Junior Makers Kits'!D257="","",'Junior Makers Kits'!D257)</f>
        <v/>
      </c>
      <c r="E561" s="0" t="str">
        <f aca="false">IF('Junior Makers Kits'!E257="","",'Junior Makers Kits'!E257)</f>
        <v/>
      </c>
      <c r="F561" s="0" t="str">
        <f aca="false">IFERROR(INDEX('Session Tracker'!$M$5:$M$149,MATCH($A561,'Session Tracker'!$D$5:$D$149,0))+0,"")</f>
        <v/>
      </c>
      <c r="G561" s="0" t="str">
        <f aca="false">IF(ISNUMBER(F561),IF(OR(B561=0,B561=99,C561&lt;&gt;""),F561*100+B561,""),"")</f>
        <v/>
      </c>
      <c r="H561" s="0" t="n">
        <f aca="false">IFERROR(INDEX('Session Tracker'!$J$5:$J$149,MATCH($A561,'Session Tracker'!$D$5:$D$149,0)),0)</f>
        <v>8</v>
      </c>
      <c r="I561" s="0" t="str">
        <f aca="false">IF(OR(B561=0,B561=99,C561=""),"",IF(E561="Per class",D561,D561*H561))</f>
        <v/>
      </c>
      <c r="N561" s="0" t="str">
        <f aca="false">IF('Junior Makers Kits'!B257="","",'Junior Makers Kits'!B257)</f>
        <v/>
      </c>
      <c r="O561" s="0" t="str">
        <f aca="false">IF('Junior Makers Kits'!F257="","",'Junior Makers Kits'!F257)</f>
        <v/>
      </c>
      <c r="P561" s="0" t="str">
        <f aca="false">IF('Junior Makers Kits'!G257="","",'Junior Makers Kits'!G257)</f>
        <v/>
      </c>
    </row>
    <row r="562" customFormat="false" ht="15" hidden="false" customHeight="false" outlineLevel="0" collapsed="false">
      <c r="A562" s="0" t="s">
        <v>182</v>
      </c>
      <c r="B562" s="0" t="n">
        <v>0</v>
      </c>
      <c r="F562" s="0" t="str">
        <f aca="false">IFERROR(INDEX('Session Tracker'!$M$5:$M$149,MATCH($A562,'Session Tracker'!$D$5:$D$149,0))+0,"")</f>
        <v/>
      </c>
      <c r="G562" s="0" t="str">
        <f aca="false">IF(ISNUMBER(F562),IF(OR(B562=0,B562=99,C562&lt;&gt;""),F562*100+B562,""),"")</f>
        <v/>
      </c>
      <c r="H562" s="0" t="n">
        <f aca="false">IFERROR(INDEX('Session Tracker'!$J$5:$J$149,MATCH($A562,'Session Tracker'!$D$5:$D$149,0)),0)</f>
        <v>8</v>
      </c>
      <c r="I562" s="0" t="str">
        <f aca="false">IF(OR(B562=0,B562=99,C562=""),"",IF(E562="Per class",D562,D562*H562))</f>
        <v/>
      </c>
      <c r="K562" s="0" t="str">
        <f aca="false">IFERROR(INDEX('Session Tracker'!$E$5:$E$149,MATCH($A562,'Session Tracker'!$D$5:$D$149,0)),"")</f>
        <v>Weather Report Webpage</v>
      </c>
      <c r="L562" s="0" t="str">
        <f aca="false">IFERROR(INDEX('Session Tracker'!$A$5:$A$149,MATCH($A562,'Session Tracker'!$D$5:$D$149,0)),"")</f>
        <v>Junior Makers (8-11)</v>
      </c>
      <c r="M562" s="0" t="str">
        <f aca="false">IFERROR(INDEX('Session Tracker'!$H$5:$H$149,MATCH($A562,'Session Tracker'!$D$5:$D$149,0))&amp;"","")</f>
        <v/>
      </c>
      <c r="Q562" s="0" t="str">
        <f aca="false">IFERROR("Status: "&amp;INDEX('Session Tracker'!$F$5:$F$149,MATCH($A562,'Session Tracker'!$D$5:$D$149,0))&amp;IF(INDEX('Session Tracker'!$G$5:$G$149,MATCH($A562,'Session Tracker'!$D$5:$D$149,0))&lt;&gt;""," ("&amp;INDEX('Session Tracker'!$G$5:$G$149,MATCH($A562,'Session Tracker'!$D$5:$D$149,0))&amp;")","")&amp;IF(M562&lt;&gt;"","  "&amp;M562,""),"")</f>
        <v>Status: Not started</v>
      </c>
    </row>
    <row r="563" customFormat="false" ht="15" hidden="false" customHeight="false" outlineLevel="0" collapsed="false">
      <c r="A563" s="0" t="s">
        <v>182</v>
      </c>
      <c r="B563" s="0" t="n">
        <v>1</v>
      </c>
      <c r="C563" s="0" t="str">
        <f aca="false">IF('Junior Makers Kits'!C260="","",'Junior Makers Kits'!C260)</f>
        <v>Laptop</v>
      </c>
      <c r="D563" s="0" t="n">
        <f aca="false">IF('Junior Makers Kits'!D260="","",'Junior Makers Kits'!D260)</f>
        <v>1</v>
      </c>
      <c r="E563" s="0" t="str">
        <f aca="false">IF('Junior Makers Kits'!E260="","",'Junior Makers Kits'!E260)</f>
        <v>Per group</v>
      </c>
      <c r="F563" s="0" t="str">
        <f aca="false">IFERROR(INDEX('Session Tracker'!$M$5:$M$149,MATCH($A563,'Session Tracker'!$D$5:$D$149,0))+0,"")</f>
        <v/>
      </c>
      <c r="G563" s="0" t="str">
        <f aca="false">IF(ISNUMBER(F563),IF(OR(B563=0,B563=99,C563&lt;&gt;""),F563*100+B563,""),"")</f>
        <v/>
      </c>
      <c r="H563" s="0" t="n">
        <f aca="false">IFERROR(INDEX('Session Tracker'!$J$5:$J$149,MATCH($A563,'Session Tracker'!$D$5:$D$149,0)),0)</f>
        <v>8</v>
      </c>
      <c r="I563" s="0" t="n">
        <f aca="false">IF(OR(B563=0,B563=99,C563=""),"",IF(E563="Per class",D563,D563*H563))</f>
        <v>8</v>
      </c>
      <c r="N563" s="0" t="str">
        <f aca="false">IF('Junior Makers Kits'!B260="","",'Junior Makers Kits'!B260)</f>
        <v>Computers &amp; Equipment</v>
      </c>
      <c r="O563" s="0" t="str">
        <f aca="false">IF('Junior Makers Kits'!F260="","",'Junior Makers Kits'!F260)</f>
        <v>Reusable</v>
      </c>
      <c r="P563" s="0" t="str">
        <f aca="false">IF('Junior Makers Kits'!G260="","",'Junior Makers Kits'!G260)</f>
        <v/>
      </c>
    </row>
    <row r="564" customFormat="false" ht="15" hidden="false" customHeight="false" outlineLevel="0" collapsed="false">
      <c r="A564" s="0" t="s">
        <v>182</v>
      </c>
      <c r="B564" s="0" t="n">
        <v>2</v>
      </c>
      <c r="C564" s="0" t="str">
        <f aca="false">IF('Junior Makers Kits'!C261="","",'Junior Makers Kits'!C261)</f>
        <v/>
      </c>
      <c r="D564" s="0" t="str">
        <f aca="false">IF('Junior Makers Kits'!D261="","",'Junior Makers Kits'!D261)</f>
        <v/>
      </c>
      <c r="E564" s="0" t="str">
        <f aca="false">IF('Junior Makers Kits'!E261="","",'Junior Makers Kits'!E261)</f>
        <v/>
      </c>
      <c r="F564" s="0" t="str">
        <f aca="false">IFERROR(INDEX('Session Tracker'!$M$5:$M$149,MATCH($A564,'Session Tracker'!$D$5:$D$149,0))+0,"")</f>
        <v/>
      </c>
      <c r="G564" s="0" t="str">
        <f aca="false">IF(ISNUMBER(F564),IF(OR(B564=0,B564=99,C564&lt;&gt;""),F564*100+B564,""),"")</f>
        <v/>
      </c>
      <c r="H564" s="0" t="n">
        <f aca="false">IFERROR(INDEX('Session Tracker'!$J$5:$J$149,MATCH($A564,'Session Tracker'!$D$5:$D$149,0)),0)</f>
        <v>8</v>
      </c>
      <c r="I564" s="0" t="str">
        <f aca="false">IF(OR(B564=0,B564=99,C564=""),"",IF(E564="Per class",D564,D564*H564))</f>
        <v/>
      </c>
      <c r="N564" s="0" t="str">
        <f aca="false">IF('Junior Makers Kits'!B261="","",'Junior Makers Kits'!B261)</f>
        <v/>
      </c>
      <c r="O564" s="0" t="str">
        <f aca="false">IF('Junior Makers Kits'!F261="","",'Junior Makers Kits'!F261)</f>
        <v/>
      </c>
      <c r="P564" s="0" t="str">
        <f aca="false">IF('Junior Makers Kits'!G261="","",'Junior Makers Kits'!G261)</f>
        <v/>
      </c>
    </row>
    <row r="565" customFormat="false" ht="15" hidden="false" customHeight="false" outlineLevel="0" collapsed="false">
      <c r="A565" s="0" t="s">
        <v>182</v>
      </c>
      <c r="B565" s="0" t="n">
        <v>3</v>
      </c>
      <c r="C565" s="0" t="str">
        <f aca="false">IF('Junior Makers Kits'!C262="","",'Junior Makers Kits'!C262)</f>
        <v/>
      </c>
      <c r="D565" s="0" t="str">
        <f aca="false">IF('Junior Makers Kits'!D262="","",'Junior Makers Kits'!D262)</f>
        <v/>
      </c>
      <c r="E565" s="0" t="str">
        <f aca="false">IF('Junior Makers Kits'!E262="","",'Junior Makers Kits'!E262)</f>
        <v/>
      </c>
      <c r="F565" s="0" t="str">
        <f aca="false">IFERROR(INDEX('Session Tracker'!$M$5:$M$149,MATCH($A565,'Session Tracker'!$D$5:$D$149,0))+0,"")</f>
        <v/>
      </c>
      <c r="G565" s="0" t="str">
        <f aca="false">IF(ISNUMBER(F565),IF(OR(B565=0,B565=99,C565&lt;&gt;""),F565*100+B565,""),"")</f>
        <v/>
      </c>
      <c r="H565" s="0" t="n">
        <f aca="false">IFERROR(INDEX('Session Tracker'!$J$5:$J$149,MATCH($A565,'Session Tracker'!$D$5:$D$149,0)),0)</f>
        <v>8</v>
      </c>
      <c r="I565" s="0" t="str">
        <f aca="false">IF(OR(B565=0,B565=99,C565=""),"",IF(E565="Per class",D565,D565*H565))</f>
        <v/>
      </c>
      <c r="N565" s="0" t="str">
        <f aca="false">IF('Junior Makers Kits'!B262="","",'Junior Makers Kits'!B262)</f>
        <v/>
      </c>
      <c r="O565" s="0" t="str">
        <f aca="false">IF('Junior Makers Kits'!F262="","",'Junior Makers Kits'!F262)</f>
        <v/>
      </c>
      <c r="P565" s="0" t="str">
        <f aca="false">IF('Junior Makers Kits'!G262="","",'Junior Makers Kits'!G262)</f>
        <v/>
      </c>
    </row>
    <row r="566" customFormat="false" ht="15" hidden="false" customHeight="false" outlineLevel="0" collapsed="false">
      <c r="A566" s="0" t="s">
        <v>184</v>
      </c>
      <c r="B566" s="0" t="n">
        <v>0</v>
      </c>
      <c r="F566" s="0" t="str">
        <f aca="false">IFERROR(INDEX('Session Tracker'!$M$5:$M$149,MATCH($A566,'Session Tracker'!$D$5:$D$149,0))+0,"")</f>
        <v/>
      </c>
      <c r="G566" s="0" t="str">
        <f aca="false">IF(ISNUMBER(F566),IF(OR(B566=0,B566=99,C566&lt;&gt;""),F566*100+B566,""),"")</f>
        <v/>
      </c>
      <c r="H566" s="0" t="n">
        <f aca="false">IFERROR(INDEX('Session Tracker'!$J$5:$J$149,MATCH($A566,'Session Tracker'!$D$5:$D$149,0)),0)</f>
        <v>8</v>
      </c>
      <c r="I566" s="0" t="str">
        <f aca="false">IF(OR(B566=0,B566=99,C566=""),"",IF(E566="Per class",D566,D566*H566))</f>
        <v/>
      </c>
      <c r="K566" s="0" t="str">
        <f aca="false">IFERROR(INDEX('Session Tracker'!$E$5:$E$149,MATCH($A566,'Session Tracker'!$D$5:$D$149,0)),"")</f>
        <v>Pong Game with a Knob Controller</v>
      </c>
      <c r="L566" s="0" t="str">
        <f aca="false">IFERROR(INDEX('Session Tracker'!$A$5:$A$149,MATCH($A566,'Session Tracker'!$D$5:$D$149,0)),"")</f>
        <v>Junior Makers (8-11)</v>
      </c>
      <c r="M566" s="0" t="str">
        <f aca="false">IFERROR(INDEX('Session Tracker'!$H$5:$H$149,MATCH($A566,'Session Tracker'!$D$5:$D$149,0))&amp;"","")</f>
        <v/>
      </c>
      <c r="Q566" s="0" t="str">
        <f aca="false">IFERROR("Status: "&amp;INDEX('Session Tracker'!$F$5:$F$149,MATCH($A566,'Session Tracker'!$D$5:$D$149,0))&amp;IF(INDEX('Session Tracker'!$G$5:$G$149,MATCH($A566,'Session Tracker'!$D$5:$D$149,0))&lt;&gt;""," ("&amp;INDEX('Session Tracker'!$G$5:$G$149,MATCH($A566,'Session Tracker'!$D$5:$D$149,0))&amp;")","")&amp;IF(M566&lt;&gt;"","  "&amp;M566,""),"")</f>
        <v>Status: Not started</v>
      </c>
    </row>
    <row r="567" customFormat="false" ht="15" hidden="false" customHeight="false" outlineLevel="0" collapsed="false">
      <c r="A567" s="0" t="s">
        <v>184</v>
      </c>
      <c r="B567" s="0" t="n">
        <v>1</v>
      </c>
      <c r="C567" s="0" t="str">
        <f aca="false">IF('Junior Makers Kits'!C265="","",'Junior Makers Kits'!C265)</f>
        <v>Arduino Uno + USB cable</v>
      </c>
      <c r="D567" s="0" t="n">
        <f aca="false">IF('Junior Makers Kits'!D265="","",'Junior Makers Kits'!D265)</f>
        <v>1</v>
      </c>
      <c r="E567" s="0" t="str">
        <f aca="false">IF('Junior Makers Kits'!E265="","",'Junior Makers Kits'!E265)</f>
        <v>Per group</v>
      </c>
      <c r="F567" s="0" t="str">
        <f aca="false">IFERROR(INDEX('Session Tracker'!$M$5:$M$149,MATCH($A567,'Session Tracker'!$D$5:$D$149,0))+0,"")</f>
        <v/>
      </c>
      <c r="G567" s="0" t="str">
        <f aca="false">IF(ISNUMBER(F567),IF(OR(B567=0,B567=99,C567&lt;&gt;""),F567*100+B567,""),"")</f>
        <v/>
      </c>
      <c r="H567" s="0" t="n">
        <f aca="false">IFERROR(INDEX('Session Tracker'!$J$5:$J$149,MATCH($A567,'Session Tracker'!$D$5:$D$149,0)),0)</f>
        <v>8</v>
      </c>
      <c r="I567" s="0" t="n">
        <f aca="false">IF(OR(B567=0,B567=99,C567=""),"",IF(E567="Per class",D567,D567*H567))</f>
        <v>8</v>
      </c>
      <c r="N567" s="0" t="str">
        <f aca="false">IF('Junior Makers Kits'!B265="","",'Junior Makers Kits'!B265)</f>
        <v>Microcontrollers &amp; Dev Boards</v>
      </c>
      <c r="O567" s="0" t="str">
        <f aca="false">IF('Junior Makers Kits'!F265="","",'Junior Makers Kits'!F265)</f>
        <v>Reusable</v>
      </c>
      <c r="P567" s="0" t="str">
        <f aca="false">IF('Junior Makers Kits'!G265="","",'Junior Makers Kits'!G265)</f>
        <v/>
      </c>
    </row>
    <row r="568" customFormat="false" ht="15" hidden="false" customHeight="false" outlineLevel="0" collapsed="false">
      <c r="A568" s="0" t="s">
        <v>184</v>
      </c>
      <c r="B568" s="0" t="n">
        <v>2</v>
      </c>
      <c r="C568" s="0" t="str">
        <f aca="false">IF('Junior Makers Kits'!C266="","",'Junior Makers Kits'!C266)</f>
        <v>Potentiometer 10k</v>
      </c>
      <c r="D568" s="0" t="n">
        <f aca="false">IF('Junior Makers Kits'!D266="","",'Junior Makers Kits'!D266)</f>
        <v>1</v>
      </c>
      <c r="E568" s="0" t="str">
        <f aca="false">IF('Junior Makers Kits'!E266="","",'Junior Makers Kits'!E266)</f>
        <v>Per group</v>
      </c>
      <c r="F568" s="0" t="str">
        <f aca="false">IFERROR(INDEX('Session Tracker'!$M$5:$M$149,MATCH($A568,'Session Tracker'!$D$5:$D$149,0))+0,"")</f>
        <v/>
      </c>
      <c r="G568" s="0" t="str">
        <f aca="false">IF(ISNUMBER(F568),IF(OR(B568=0,B568=99,C568&lt;&gt;""),F568*100+B568,""),"")</f>
        <v/>
      </c>
      <c r="H568" s="0" t="n">
        <f aca="false">IFERROR(INDEX('Session Tracker'!$J$5:$J$149,MATCH($A568,'Session Tracker'!$D$5:$D$149,0)),0)</f>
        <v>8</v>
      </c>
      <c r="I568" s="0" t="n">
        <f aca="false">IF(OR(B568=0,B568=99,C568=""),"",IF(E568="Per class",D568,D568*H568))</f>
        <v>8</v>
      </c>
      <c r="N568" s="0" t="str">
        <f aca="false">IF('Junior Makers Kits'!B266="","",'Junior Makers Kits'!B266)</f>
        <v>Passive Components &amp; ICs</v>
      </c>
      <c r="O568" s="0" t="str">
        <f aca="false">IF('Junior Makers Kits'!F266="","",'Junior Makers Kits'!F266)</f>
        <v>Reusable</v>
      </c>
      <c r="P568" s="0" t="str">
        <f aca="false">IF('Junior Makers Kits'!G266="","",'Junior Makers Kits'!G266)</f>
        <v/>
      </c>
    </row>
    <row r="569" customFormat="false" ht="15" hidden="false" customHeight="false" outlineLevel="0" collapsed="false">
      <c r="A569" s="0" t="s">
        <v>184</v>
      </c>
      <c r="B569" s="0" t="n">
        <v>3</v>
      </c>
      <c r="C569" s="0" t="str">
        <f aca="false">IF('Junior Makers Kits'!C267="","",'Junior Makers Kits'!C267)</f>
        <v>Push button</v>
      </c>
      <c r="D569" s="0" t="n">
        <f aca="false">IF('Junior Makers Kits'!D267="","",'Junior Makers Kits'!D267)</f>
        <v>1</v>
      </c>
      <c r="E569" s="0" t="str">
        <f aca="false">IF('Junior Makers Kits'!E267="","",'Junior Makers Kits'!E267)</f>
        <v>Per group</v>
      </c>
      <c r="F569" s="0" t="str">
        <f aca="false">IFERROR(INDEX('Session Tracker'!$M$5:$M$149,MATCH($A569,'Session Tracker'!$D$5:$D$149,0))+0,"")</f>
        <v/>
      </c>
      <c r="G569" s="0" t="str">
        <f aca="false">IF(ISNUMBER(F569),IF(OR(B569=0,B569=99,C569&lt;&gt;""),F569*100+B569,""),"")</f>
        <v/>
      </c>
      <c r="H569" s="0" t="n">
        <f aca="false">IFERROR(INDEX('Session Tracker'!$J$5:$J$149,MATCH($A569,'Session Tracker'!$D$5:$D$149,0)),0)</f>
        <v>8</v>
      </c>
      <c r="I569" s="0" t="n">
        <f aca="false">IF(OR(B569=0,B569=99,C569=""),"",IF(E569="Per class",D569,D569*H569))</f>
        <v>8</v>
      </c>
      <c r="N569" s="0" t="str">
        <f aca="false">IF('Junior Makers Kits'!B267="","",'Junior Makers Kits'!B267)</f>
        <v>Passive Components &amp; ICs</v>
      </c>
      <c r="O569" s="0" t="str">
        <f aca="false">IF('Junior Makers Kits'!F267="","",'Junior Makers Kits'!F267)</f>
        <v>Reusable</v>
      </c>
      <c r="P569" s="0" t="str">
        <f aca="false">IF('Junior Makers Kits'!G267="","",'Junior Makers Kits'!G267)</f>
        <v/>
      </c>
    </row>
    <row r="570" customFormat="false" ht="15" hidden="false" customHeight="false" outlineLevel="0" collapsed="false">
      <c r="A570" s="0" t="s">
        <v>184</v>
      </c>
      <c r="B570" s="0" t="n">
        <v>4</v>
      </c>
      <c r="C570" s="0" t="str">
        <f aca="false">IF('Junior Makers Kits'!C268="","",'Junior Makers Kits'!C268)</f>
        <v>Resistor 10k ohm</v>
      </c>
      <c r="D570" s="0" t="n">
        <f aca="false">IF('Junior Makers Kits'!D268="","",'Junior Makers Kits'!D268)</f>
        <v>1</v>
      </c>
      <c r="E570" s="0" t="str">
        <f aca="false">IF('Junior Makers Kits'!E268="","",'Junior Makers Kits'!E268)</f>
        <v>Per group</v>
      </c>
      <c r="F570" s="0" t="str">
        <f aca="false">IFERROR(INDEX('Session Tracker'!$M$5:$M$149,MATCH($A570,'Session Tracker'!$D$5:$D$149,0))+0,"")</f>
        <v/>
      </c>
      <c r="G570" s="0" t="str">
        <f aca="false">IF(ISNUMBER(F570),IF(OR(B570=0,B570=99,C570&lt;&gt;""),F570*100+B570,""),"")</f>
        <v/>
      </c>
      <c r="H570" s="0" t="n">
        <f aca="false">IFERROR(INDEX('Session Tracker'!$J$5:$J$149,MATCH($A570,'Session Tracker'!$D$5:$D$149,0)),0)</f>
        <v>8</v>
      </c>
      <c r="I570" s="0" t="n">
        <f aca="false">IF(OR(B570=0,B570=99,C570=""),"",IF(E570="Per class",D570,D570*H570))</f>
        <v>8</v>
      </c>
      <c r="N570" s="0" t="str">
        <f aca="false">IF('Junior Makers Kits'!B268="","",'Junior Makers Kits'!B268)</f>
        <v>Passive Components &amp; ICs</v>
      </c>
      <c r="O570" s="0" t="str">
        <f aca="false">IF('Junior Makers Kits'!F268="","",'Junior Makers Kits'!F268)</f>
        <v>Consumable</v>
      </c>
      <c r="P570" s="0" t="str">
        <f aca="false">IF('Junior Makers Kits'!G268="","",'Junior Makers Kits'!G268)</f>
        <v/>
      </c>
    </row>
    <row r="571" customFormat="false" ht="15" hidden="false" customHeight="false" outlineLevel="0" collapsed="false">
      <c r="A571" s="0" t="s">
        <v>184</v>
      </c>
      <c r="B571" s="0" t="n">
        <v>5</v>
      </c>
      <c r="C571" s="0" t="str">
        <f aca="false">IF('Junior Makers Kits'!C269="","",'Junior Makers Kits'!C269)</f>
        <v>Breadboard (half size)</v>
      </c>
      <c r="D571" s="0" t="n">
        <f aca="false">IF('Junior Makers Kits'!D269="","",'Junior Makers Kits'!D269)</f>
        <v>1</v>
      </c>
      <c r="E571" s="0" t="str">
        <f aca="false">IF('Junior Makers Kits'!E269="","",'Junior Makers Kits'!E269)</f>
        <v>Per group</v>
      </c>
      <c r="F571" s="0" t="str">
        <f aca="false">IFERROR(INDEX('Session Tracker'!$M$5:$M$149,MATCH($A571,'Session Tracker'!$D$5:$D$149,0))+0,"")</f>
        <v/>
      </c>
      <c r="G571" s="0" t="str">
        <f aca="false">IF(ISNUMBER(F571),IF(OR(B571=0,B571=99,C571&lt;&gt;""),F571*100+B571,""),"")</f>
        <v/>
      </c>
      <c r="H571" s="0" t="n">
        <f aca="false">IFERROR(INDEX('Session Tracker'!$J$5:$J$149,MATCH($A571,'Session Tracker'!$D$5:$D$149,0)),0)</f>
        <v>8</v>
      </c>
      <c r="I571" s="0" t="n">
        <f aca="false">IF(OR(B571=0,B571=99,C571=""),"",IF(E571="Per class",D571,D571*H571))</f>
        <v>8</v>
      </c>
      <c r="N571" s="0" t="str">
        <f aca="false">IF('Junior Makers Kits'!B269="","",'Junior Makers Kits'!B269)</f>
        <v>Wiring &amp; Prototyping</v>
      </c>
      <c r="O571" s="0" t="str">
        <f aca="false">IF('Junior Makers Kits'!F269="","",'Junior Makers Kits'!F269)</f>
        <v>Reusable</v>
      </c>
      <c r="P571" s="0" t="str">
        <f aca="false">IF('Junior Makers Kits'!G269="","",'Junior Makers Kits'!G269)</f>
        <v/>
      </c>
    </row>
    <row r="572" customFormat="false" ht="15" hidden="false" customHeight="false" outlineLevel="0" collapsed="false">
      <c r="A572" s="0" t="s">
        <v>184</v>
      </c>
      <c r="B572" s="0" t="n">
        <v>6</v>
      </c>
      <c r="C572" s="0" t="str">
        <f aca="false">IF('Junior Makers Kits'!C270="","",'Junior Makers Kits'!C270)</f>
        <v>Jumper wires M-M</v>
      </c>
      <c r="D572" s="0" t="n">
        <f aca="false">IF('Junior Makers Kits'!D270="","",'Junior Makers Kits'!D270)</f>
        <v>6</v>
      </c>
      <c r="E572" s="0" t="str">
        <f aca="false">IF('Junior Makers Kits'!E270="","",'Junior Makers Kits'!E270)</f>
        <v>Per group</v>
      </c>
      <c r="F572" s="0" t="str">
        <f aca="false">IFERROR(INDEX('Session Tracker'!$M$5:$M$149,MATCH($A572,'Session Tracker'!$D$5:$D$149,0))+0,"")</f>
        <v/>
      </c>
      <c r="G572" s="0" t="str">
        <f aca="false">IF(ISNUMBER(F572),IF(OR(B572=0,B572=99,C572&lt;&gt;""),F572*100+B572,""),"")</f>
        <v/>
      </c>
      <c r="H572" s="0" t="n">
        <f aca="false">IFERROR(INDEX('Session Tracker'!$J$5:$J$149,MATCH($A572,'Session Tracker'!$D$5:$D$149,0)),0)</f>
        <v>8</v>
      </c>
      <c r="I572" s="0" t="n">
        <f aca="false">IF(OR(B572=0,B572=99,C572=""),"",IF(E572="Per class",D572,D572*H572))</f>
        <v>48</v>
      </c>
      <c r="N572" s="0" t="str">
        <f aca="false">IF('Junior Makers Kits'!B270="","",'Junior Makers Kits'!B270)</f>
        <v>Wiring &amp; Prototyping</v>
      </c>
      <c r="O572" s="0" t="str">
        <f aca="false">IF('Junior Makers Kits'!F270="","",'Junior Makers Kits'!F270)</f>
        <v>Reusable</v>
      </c>
      <c r="P572" s="0" t="str">
        <f aca="false">IF('Junior Makers Kits'!G270="","",'Junior Makers Kits'!G270)</f>
        <v/>
      </c>
    </row>
    <row r="573" customFormat="false" ht="15" hidden="false" customHeight="false" outlineLevel="0" collapsed="false">
      <c r="A573" s="0" t="s">
        <v>184</v>
      </c>
      <c r="B573" s="0" t="n">
        <v>7</v>
      </c>
      <c r="C573" s="0" t="str">
        <f aca="false">IF('Junior Makers Kits'!C271="","",'Junior Makers Kits'!C271)</f>
        <v>Laptop</v>
      </c>
      <c r="D573" s="0" t="n">
        <f aca="false">IF('Junior Makers Kits'!D271="","",'Junior Makers Kits'!D271)</f>
        <v>1</v>
      </c>
      <c r="E573" s="0" t="str">
        <f aca="false">IF('Junior Makers Kits'!E271="","",'Junior Makers Kits'!E271)</f>
        <v>Per group</v>
      </c>
      <c r="F573" s="0" t="str">
        <f aca="false">IFERROR(INDEX('Session Tracker'!$M$5:$M$149,MATCH($A573,'Session Tracker'!$D$5:$D$149,0))+0,"")</f>
        <v/>
      </c>
      <c r="G573" s="0" t="str">
        <f aca="false">IF(ISNUMBER(F573),IF(OR(B573=0,B573=99,C573&lt;&gt;""),F573*100+B573,""),"")</f>
        <v/>
      </c>
      <c r="H573" s="0" t="n">
        <f aca="false">IFERROR(INDEX('Session Tracker'!$J$5:$J$149,MATCH($A573,'Session Tracker'!$D$5:$D$149,0)),0)</f>
        <v>8</v>
      </c>
      <c r="I573" s="0" t="n">
        <f aca="false">IF(OR(B573=0,B573=99,C573=""),"",IF(E573="Per class",D573,D573*H573))</f>
        <v>8</v>
      </c>
      <c r="N573" s="0" t="str">
        <f aca="false">IF('Junior Makers Kits'!B271="","",'Junior Makers Kits'!B271)</f>
        <v>Computers &amp; Equipment</v>
      </c>
      <c r="O573" s="0" t="str">
        <f aca="false">IF('Junior Makers Kits'!F271="","",'Junior Makers Kits'!F271)</f>
        <v>Reusable</v>
      </c>
      <c r="P573" s="0" t="str">
        <f aca="false">IF('Junior Makers Kits'!G271="","",'Junior Makers Kits'!G271)</f>
        <v/>
      </c>
    </row>
    <row r="574" customFormat="false" ht="15" hidden="false" customHeight="false" outlineLevel="0" collapsed="false">
      <c r="A574" s="0" t="s">
        <v>184</v>
      </c>
      <c r="B574" s="0" t="n">
        <v>8</v>
      </c>
      <c r="C574" s="0" t="str">
        <f aca="false">IF('Junior Makers Kits'!C272="","",'Junior Makers Kits'!C272)</f>
        <v>LED 5 mm (assorted)</v>
      </c>
      <c r="D574" s="0" t="n">
        <f aca="false">IF('Junior Makers Kits'!D272="","",'Junior Makers Kits'!D272)</f>
        <v>1</v>
      </c>
      <c r="E574" s="0" t="str">
        <f aca="false">IF('Junior Makers Kits'!E272="","",'Junior Makers Kits'!E272)</f>
        <v>Per group</v>
      </c>
      <c r="F574" s="0" t="str">
        <f aca="false">IFERROR(INDEX('Session Tracker'!$M$5:$M$149,MATCH($A574,'Session Tracker'!$D$5:$D$149,0))+0,"")</f>
        <v/>
      </c>
      <c r="G574" s="0" t="str">
        <f aca="false">IF(ISNUMBER(F574),IF(OR(B574=0,B574=99,C574&lt;&gt;""),F574*100+B574,""),"")</f>
        <v/>
      </c>
      <c r="H574" s="0" t="n">
        <f aca="false">IFERROR(INDEX('Session Tracker'!$J$5:$J$149,MATCH($A574,'Session Tracker'!$D$5:$D$149,0)),0)</f>
        <v>8</v>
      </c>
      <c r="I574" s="0" t="n">
        <f aca="false">IF(OR(B574=0,B574=99,C574=""),"",IF(E574="Per class",D574,D574*H574))</f>
        <v>8</v>
      </c>
      <c r="N574" s="0" t="str">
        <f aca="false">IF('Junior Makers Kits'!B272="","",'Junior Makers Kits'!B272)</f>
        <v>Displays &amp; Output</v>
      </c>
      <c r="O574" s="0" t="str">
        <f aca="false">IF('Junior Makers Kits'!F272="","",'Junior Makers Kits'!F272)</f>
        <v>Consumable</v>
      </c>
      <c r="P574" s="0" t="str">
        <f aca="false">IF('Junior Makers Kits'!G272="","",'Junior Makers Kits'!G272)</f>
        <v>Added: every Arduino class</v>
      </c>
    </row>
    <row r="575" customFormat="false" ht="15" hidden="false" customHeight="false" outlineLevel="0" collapsed="false">
      <c r="A575" s="0" t="s">
        <v>184</v>
      </c>
      <c r="B575" s="0" t="n">
        <v>9</v>
      </c>
      <c r="C575" s="0" t="str">
        <f aca="false">IF('Junior Makers Kits'!C273="","",'Junior Makers Kits'!C273)</f>
        <v>Resistor 220 ohm</v>
      </c>
      <c r="D575" s="0" t="n">
        <f aca="false">IF('Junior Makers Kits'!D273="","",'Junior Makers Kits'!D273)</f>
        <v>1</v>
      </c>
      <c r="E575" s="0" t="str">
        <f aca="false">IF('Junior Makers Kits'!E273="","",'Junior Makers Kits'!E273)</f>
        <v>Per group</v>
      </c>
      <c r="F575" s="0" t="str">
        <f aca="false">IFERROR(INDEX('Session Tracker'!$M$5:$M$149,MATCH($A575,'Session Tracker'!$D$5:$D$149,0))+0,"")</f>
        <v/>
      </c>
      <c r="G575" s="0" t="str">
        <f aca="false">IF(ISNUMBER(F575),IF(OR(B575=0,B575=99,C575&lt;&gt;""),F575*100+B575,""),"")</f>
        <v/>
      </c>
      <c r="H575" s="0" t="n">
        <f aca="false">IFERROR(INDEX('Session Tracker'!$J$5:$J$149,MATCH($A575,'Session Tracker'!$D$5:$D$149,0)),0)</f>
        <v>8</v>
      </c>
      <c r="I575" s="0" t="n">
        <f aca="false">IF(OR(B575=0,B575=99,C575=""),"",IF(E575="Per class",D575,D575*H575))</f>
        <v>8</v>
      </c>
      <c r="N575" s="0" t="str">
        <f aca="false">IF('Junior Makers Kits'!B273="","",'Junior Makers Kits'!B273)</f>
        <v>Passive Components &amp; ICs</v>
      </c>
      <c r="O575" s="0" t="str">
        <f aca="false">IF('Junior Makers Kits'!F273="","",'Junior Makers Kits'!F273)</f>
        <v>Consumable</v>
      </c>
      <c r="P575" s="0" t="str">
        <f aca="false">IF('Junior Makers Kits'!G273="","",'Junior Makers Kits'!G273)</f>
        <v>Added: for the LED</v>
      </c>
    </row>
    <row r="576" customFormat="false" ht="15" hidden="false" customHeight="false" outlineLevel="0" collapsed="false">
      <c r="A576" s="0" t="s">
        <v>184</v>
      </c>
      <c r="B576" s="0" t="n">
        <v>10</v>
      </c>
      <c r="C576" s="0" t="str">
        <f aca="false">IF('Junior Makers Kits'!C274="","",'Junior Makers Kits'!C274)</f>
        <v>Buzzer</v>
      </c>
      <c r="D576" s="0" t="n">
        <f aca="false">IF('Junior Makers Kits'!D274="","",'Junior Makers Kits'!D274)</f>
        <v>1</v>
      </c>
      <c r="E576" s="0" t="str">
        <f aca="false">IF('Junior Makers Kits'!E274="","",'Junior Makers Kits'!E274)</f>
        <v>Per group</v>
      </c>
      <c r="F576" s="0" t="str">
        <f aca="false">IFERROR(INDEX('Session Tracker'!$M$5:$M$149,MATCH($A576,'Session Tracker'!$D$5:$D$149,0))+0,"")</f>
        <v/>
      </c>
      <c r="G576" s="0" t="str">
        <f aca="false">IF(ISNUMBER(F576),IF(OR(B576=0,B576=99,C576&lt;&gt;""),F576*100+B576,""),"")</f>
        <v/>
      </c>
      <c r="H576" s="0" t="n">
        <f aca="false">IFERROR(INDEX('Session Tracker'!$J$5:$J$149,MATCH($A576,'Session Tracker'!$D$5:$D$149,0)),0)</f>
        <v>8</v>
      </c>
      <c r="I576" s="0" t="n">
        <f aca="false">IF(OR(B576=0,B576=99,C576=""),"",IF(E576="Per class",D576,D576*H576))</f>
        <v>8</v>
      </c>
      <c r="N576" s="0" t="str">
        <f aca="false">IF('Junior Makers Kits'!B274="","",'Junior Makers Kits'!B274)</f>
        <v>Actuators &amp; Motor Drivers</v>
      </c>
      <c r="O576" s="0" t="str">
        <f aca="false">IF('Junior Makers Kits'!F274="","",'Junior Makers Kits'!F274)</f>
        <v>Reusable</v>
      </c>
      <c r="P576" s="0" t="str">
        <f aca="false">IF('Junior Makers Kits'!G274="","",'Junior Makers Kits'!G274)</f>
        <v>Added: every Arduino class</v>
      </c>
    </row>
    <row r="577" customFormat="false" ht="15" hidden="false" customHeight="false" outlineLevel="0" collapsed="false">
      <c r="A577" s="0" t="s">
        <v>184</v>
      </c>
      <c r="B577" s="0" t="n">
        <v>11</v>
      </c>
      <c r="C577" s="0" t="str">
        <f aca="false">IF('Junior Makers Kits'!C275="","",'Junior Makers Kits'!C275)</f>
        <v/>
      </c>
      <c r="D577" s="0" t="str">
        <f aca="false">IF('Junior Makers Kits'!D275="","",'Junior Makers Kits'!D275)</f>
        <v/>
      </c>
      <c r="E577" s="0" t="str">
        <f aca="false">IF('Junior Makers Kits'!E275="","",'Junior Makers Kits'!E275)</f>
        <v/>
      </c>
      <c r="F577" s="0" t="str">
        <f aca="false">IFERROR(INDEX('Session Tracker'!$M$5:$M$149,MATCH($A577,'Session Tracker'!$D$5:$D$149,0))+0,"")</f>
        <v/>
      </c>
      <c r="G577" s="0" t="str">
        <f aca="false">IF(ISNUMBER(F577),IF(OR(B577=0,B577=99,C577&lt;&gt;""),F577*100+B577,""),"")</f>
        <v/>
      </c>
      <c r="H577" s="0" t="n">
        <f aca="false">IFERROR(INDEX('Session Tracker'!$J$5:$J$149,MATCH($A577,'Session Tracker'!$D$5:$D$149,0)),0)</f>
        <v>8</v>
      </c>
      <c r="I577" s="0" t="str">
        <f aca="false">IF(OR(B577=0,B577=99,C577=""),"",IF(E577="Per class",D577,D577*H577))</f>
        <v/>
      </c>
      <c r="N577" s="0" t="str">
        <f aca="false">IF('Junior Makers Kits'!B275="","",'Junior Makers Kits'!B275)</f>
        <v/>
      </c>
      <c r="O577" s="0" t="str">
        <f aca="false">IF('Junior Makers Kits'!F275="","",'Junior Makers Kits'!F275)</f>
        <v/>
      </c>
      <c r="P577" s="0" t="str">
        <f aca="false">IF('Junior Makers Kits'!G275="","",'Junior Makers Kits'!G275)</f>
        <v/>
      </c>
    </row>
    <row r="578" customFormat="false" ht="15" hidden="false" customHeight="false" outlineLevel="0" collapsed="false">
      <c r="A578" s="0" t="s">
        <v>184</v>
      </c>
      <c r="B578" s="0" t="n">
        <v>12</v>
      </c>
      <c r="C578" s="0" t="str">
        <f aca="false">IF('Junior Makers Kits'!C276="","",'Junior Makers Kits'!C276)</f>
        <v/>
      </c>
      <c r="D578" s="0" t="str">
        <f aca="false">IF('Junior Makers Kits'!D276="","",'Junior Makers Kits'!D276)</f>
        <v/>
      </c>
      <c r="E578" s="0" t="str">
        <f aca="false">IF('Junior Makers Kits'!E276="","",'Junior Makers Kits'!E276)</f>
        <v/>
      </c>
      <c r="F578" s="0" t="str">
        <f aca="false">IFERROR(INDEX('Session Tracker'!$M$5:$M$149,MATCH($A578,'Session Tracker'!$D$5:$D$149,0))+0,"")</f>
        <v/>
      </c>
      <c r="G578" s="0" t="str">
        <f aca="false">IF(ISNUMBER(F578),IF(OR(B578=0,B578=99,C578&lt;&gt;""),F578*100+B578,""),"")</f>
        <v/>
      </c>
      <c r="H578" s="0" t="n">
        <f aca="false">IFERROR(INDEX('Session Tracker'!$J$5:$J$149,MATCH($A578,'Session Tracker'!$D$5:$D$149,0)),0)</f>
        <v>8</v>
      </c>
      <c r="I578" s="0" t="str">
        <f aca="false">IF(OR(B578=0,B578=99,C578=""),"",IF(E578="Per class",D578,D578*H578))</f>
        <v/>
      </c>
      <c r="N578" s="0" t="str">
        <f aca="false">IF('Junior Makers Kits'!B276="","",'Junior Makers Kits'!B276)</f>
        <v/>
      </c>
      <c r="O578" s="0" t="str">
        <f aca="false">IF('Junior Makers Kits'!F276="","",'Junior Makers Kits'!F276)</f>
        <v/>
      </c>
      <c r="P578" s="0" t="str">
        <f aca="false">IF('Junior Makers Kits'!G276="","",'Junior Makers Kits'!G276)</f>
        <v/>
      </c>
    </row>
    <row r="579" customFormat="false" ht="15" hidden="false" customHeight="false" outlineLevel="0" collapsed="false">
      <c r="A579" s="0" t="s">
        <v>186</v>
      </c>
      <c r="B579" s="0" t="n">
        <v>0</v>
      </c>
      <c r="F579" s="0" t="str">
        <f aca="false">IFERROR(INDEX('Session Tracker'!$M$5:$M$149,MATCH($A579,'Session Tracker'!$D$5:$D$149,0))+0,"")</f>
        <v/>
      </c>
      <c r="G579" s="0" t="str">
        <f aca="false">IF(ISNUMBER(F579),IF(OR(B579=0,B579=99,C579&lt;&gt;""),F579*100+B579,""),"")</f>
        <v/>
      </c>
      <c r="H579" s="0" t="n">
        <f aca="false">IFERROR(INDEX('Session Tracker'!$J$5:$J$149,MATCH($A579,'Session Tracker'!$D$5:$D$149,0)),0)</f>
        <v>8</v>
      </c>
      <c r="I579" s="0" t="str">
        <f aca="false">IF(OR(B579=0,B579=99,C579=""),"",IF(E579="Per class",D579,D579*H579))</f>
        <v/>
      </c>
      <c r="K579" s="0" t="str">
        <f aca="false">IFERROR(INDEX('Session Tracker'!$E$5:$E$149,MATCH($A579,'Session Tracker'!$D$5:$D$149,0)),"")</f>
        <v>AI Recycling Sorter</v>
      </c>
      <c r="L579" s="0" t="str">
        <f aca="false">IFERROR(INDEX('Session Tracker'!$A$5:$A$149,MATCH($A579,'Session Tracker'!$D$5:$D$149,0)),"")</f>
        <v>Junior Makers (8-11)</v>
      </c>
      <c r="M579" s="0" t="str">
        <f aca="false">IFERROR(INDEX('Session Tracker'!$H$5:$H$149,MATCH($A579,'Session Tracker'!$D$5:$D$149,0))&amp;"","")</f>
        <v/>
      </c>
      <c r="Q579" s="0" t="str">
        <f aca="false">IFERROR("Status: "&amp;INDEX('Session Tracker'!$F$5:$F$149,MATCH($A579,'Session Tracker'!$D$5:$D$149,0))&amp;IF(INDEX('Session Tracker'!$G$5:$G$149,MATCH($A579,'Session Tracker'!$D$5:$D$149,0))&lt;&gt;""," ("&amp;INDEX('Session Tracker'!$G$5:$G$149,MATCH($A579,'Session Tracker'!$D$5:$D$149,0))&amp;")","")&amp;IF(M579&lt;&gt;"","  "&amp;M579,""),"")</f>
        <v>Status: Not started</v>
      </c>
    </row>
    <row r="580" customFormat="false" ht="15" hidden="false" customHeight="false" outlineLevel="0" collapsed="false">
      <c r="A580" s="0" t="s">
        <v>186</v>
      </c>
      <c r="B580" s="0" t="n">
        <v>1</v>
      </c>
      <c r="C580" s="0" t="str">
        <f aca="false">IF('Junior Makers Kits'!C279="","",'Junior Makers Kits'!C279)</f>
        <v>Laptop</v>
      </c>
      <c r="D580" s="0" t="n">
        <f aca="false">IF('Junior Makers Kits'!D279="","",'Junior Makers Kits'!D279)</f>
        <v>1</v>
      </c>
      <c r="E580" s="0" t="str">
        <f aca="false">IF('Junior Makers Kits'!E279="","",'Junior Makers Kits'!E279)</f>
        <v>Per group</v>
      </c>
      <c r="F580" s="0" t="str">
        <f aca="false">IFERROR(INDEX('Session Tracker'!$M$5:$M$149,MATCH($A580,'Session Tracker'!$D$5:$D$149,0))+0,"")</f>
        <v/>
      </c>
      <c r="G580" s="0" t="str">
        <f aca="false">IF(ISNUMBER(F580),IF(OR(B580=0,B580=99,C580&lt;&gt;""),F580*100+B580,""),"")</f>
        <v/>
      </c>
      <c r="H580" s="0" t="n">
        <f aca="false">IFERROR(INDEX('Session Tracker'!$J$5:$J$149,MATCH($A580,'Session Tracker'!$D$5:$D$149,0)),0)</f>
        <v>8</v>
      </c>
      <c r="I580" s="0" t="n">
        <f aca="false">IF(OR(B580=0,B580=99,C580=""),"",IF(E580="Per class",D580,D580*H580))</f>
        <v>8</v>
      </c>
      <c r="N580" s="0" t="str">
        <f aca="false">IF('Junior Makers Kits'!B279="","",'Junior Makers Kits'!B279)</f>
        <v>Computers &amp; Equipment</v>
      </c>
      <c r="O580" s="0" t="str">
        <f aca="false">IF('Junior Makers Kits'!F279="","",'Junior Makers Kits'!F279)</f>
        <v>Reusable</v>
      </c>
      <c r="P580" s="0" t="str">
        <f aca="false">IF('Junior Makers Kits'!G279="","",'Junior Makers Kits'!G279)</f>
        <v/>
      </c>
    </row>
    <row r="581" customFormat="false" ht="15" hidden="false" customHeight="false" outlineLevel="0" collapsed="false">
      <c r="A581" s="0" t="s">
        <v>186</v>
      </c>
      <c r="B581" s="0" t="n">
        <v>2</v>
      </c>
      <c r="C581" s="0" t="str">
        <f aca="false">IF('Junior Makers Kits'!C280="","",'Junior Makers Kits'!C280)</f>
        <v>Webcam</v>
      </c>
      <c r="D581" s="0" t="n">
        <f aca="false">IF('Junior Makers Kits'!D280="","",'Junior Makers Kits'!D280)</f>
        <v>1</v>
      </c>
      <c r="E581" s="0" t="str">
        <f aca="false">IF('Junior Makers Kits'!E280="","",'Junior Makers Kits'!E280)</f>
        <v>Per group</v>
      </c>
      <c r="F581" s="0" t="str">
        <f aca="false">IFERROR(INDEX('Session Tracker'!$M$5:$M$149,MATCH($A581,'Session Tracker'!$D$5:$D$149,0))+0,"")</f>
        <v/>
      </c>
      <c r="G581" s="0" t="str">
        <f aca="false">IF(ISNUMBER(F581),IF(OR(B581=0,B581=99,C581&lt;&gt;""),F581*100+B581,""),"")</f>
        <v/>
      </c>
      <c r="H581" s="0" t="n">
        <f aca="false">IFERROR(INDEX('Session Tracker'!$J$5:$J$149,MATCH($A581,'Session Tracker'!$D$5:$D$149,0)),0)</f>
        <v>8</v>
      </c>
      <c r="I581" s="0" t="n">
        <f aca="false">IF(OR(B581=0,B581=99,C581=""),"",IF(E581="Per class",D581,D581*H581))</f>
        <v>8</v>
      </c>
      <c r="N581" s="0" t="str">
        <f aca="false">IF('Junior Makers Kits'!B280="","",'Junior Makers Kits'!B280)</f>
        <v>Computers &amp; Equipment</v>
      </c>
      <c r="O581" s="0" t="str">
        <f aca="false">IF('Junior Makers Kits'!F280="","",'Junior Makers Kits'!F280)</f>
        <v>Reusable</v>
      </c>
      <c r="P581" s="0" t="str">
        <f aca="false">IF('Junior Makers Kits'!G280="","",'Junior Makers Kits'!G280)</f>
        <v>Or built-in camera</v>
      </c>
    </row>
    <row r="582" customFormat="false" ht="15" hidden="false" customHeight="false" outlineLevel="0" collapsed="false">
      <c r="A582" s="0" t="s">
        <v>186</v>
      </c>
      <c r="B582" s="0" t="n">
        <v>3</v>
      </c>
      <c r="C582" s="0" t="str">
        <f aca="false">IF('Junior Makers Kits'!C281="","",'Junior Makers Kits'!C281)</f>
        <v>Printed templates</v>
      </c>
      <c r="D582" s="0" t="n">
        <f aca="false">IF('Junior Makers Kits'!D281="","",'Junior Makers Kits'!D281)</f>
        <v>1</v>
      </c>
      <c r="E582" s="0" t="str">
        <f aca="false">IF('Junior Makers Kits'!E281="","",'Junior Makers Kits'!E281)</f>
        <v>Per group</v>
      </c>
      <c r="F582" s="0" t="str">
        <f aca="false">IFERROR(INDEX('Session Tracker'!$M$5:$M$149,MATCH($A582,'Session Tracker'!$D$5:$D$149,0))+0,"")</f>
        <v/>
      </c>
      <c r="G582" s="0" t="str">
        <f aca="false">IF(ISNUMBER(F582),IF(OR(B582=0,B582=99,C582&lt;&gt;""),F582*100+B582,""),"")</f>
        <v/>
      </c>
      <c r="H582" s="0" t="n">
        <f aca="false">IFERROR(INDEX('Session Tracker'!$J$5:$J$149,MATCH($A582,'Session Tracker'!$D$5:$D$149,0)),0)</f>
        <v>8</v>
      </c>
      <c r="I582" s="0" t="n">
        <f aca="false">IF(OR(B582=0,B582=99,C582=""),"",IF(E582="Per class",D582,D582*H582))</f>
        <v>8</v>
      </c>
      <c r="N582" s="0" t="str">
        <f aca="false">IF('Junior Makers Kits'!B281="","",'Junior Makers Kits'!B281)</f>
        <v>Craft &amp; Stationery</v>
      </c>
      <c r="O582" s="0" t="str">
        <f aca="false">IF('Junior Makers Kits'!F281="","",'Junior Makers Kits'!F281)</f>
        <v>Consumable</v>
      </c>
      <c r="P582" s="0" t="str">
        <f aca="false">IF('Junior Makers Kits'!G281="","",'Junior Makers Kits'!G281)</f>
        <v>Results sheet</v>
      </c>
    </row>
    <row r="583" customFormat="false" ht="15" hidden="false" customHeight="false" outlineLevel="0" collapsed="false">
      <c r="A583" s="0" t="s">
        <v>186</v>
      </c>
      <c r="B583" s="0" t="n">
        <v>4</v>
      </c>
      <c r="C583" s="0" t="str">
        <f aca="false">IF('Junior Makers Kits'!C282="","",'Junior Makers Kits'!C282)</f>
        <v/>
      </c>
      <c r="D583" s="0" t="str">
        <f aca="false">IF('Junior Makers Kits'!D282="","",'Junior Makers Kits'!D282)</f>
        <v/>
      </c>
      <c r="E583" s="0" t="str">
        <f aca="false">IF('Junior Makers Kits'!E282="","",'Junior Makers Kits'!E282)</f>
        <v/>
      </c>
      <c r="F583" s="0" t="str">
        <f aca="false">IFERROR(INDEX('Session Tracker'!$M$5:$M$149,MATCH($A583,'Session Tracker'!$D$5:$D$149,0))+0,"")</f>
        <v/>
      </c>
      <c r="G583" s="0" t="str">
        <f aca="false">IF(ISNUMBER(F583),IF(OR(B583=0,B583=99,C583&lt;&gt;""),F583*100+B583,""),"")</f>
        <v/>
      </c>
      <c r="H583" s="0" t="n">
        <f aca="false">IFERROR(INDEX('Session Tracker'!$J$5:$J$149,MATCH($A583,'Session Tracker'!$D$5:$D$149,0)),0)</f>
        <v>8</v>
      </c>
      <c r="I583" s="0" t="str">
        <f aca="false">IF(OR(B583=0,B583=99,C583=""),"",IF(E583="Per class",D583,D583*H583))</f>
        <v/>
      </c>
      <c r="N583" s="0" t="str">
        <f aca="false">IF('Junior Makers Kits'!B282="","",'Junior Makers Kits'!B282)</f>
        <v/>
      </c>
      <c r="O583" s="0" t="str">
        <f aca="false">IF('Junior Makers Kits'!F282="","",'Junior Makers Kits'!F282)</f>
        <v/>
      </c>
      <c r="P583" s="0" t="str">
        <f aca="false">IF('Junior Makers Kits'!G282="","",'Junior Makers Kits'!G282)</f>
        <v/>
      </c>
    </row>
    <row r="584" customFormat="false" ht="15" hidden="false" customHeight="false" outlineLevel="0" collapsed="false">
      <c r="A584" s="0" t="s">
        <v>186</v>
      </c>
      <c r="B584" s="0" t="n">
        <v>5</v>
      </c>
      <c r="C584" s="0" t="str">
        <f aca="false">IF('Junior Makers Kits'!C283="","",'Junior Makers Kits'!C283)</f>
        <v/>
      </c>
      <c r="D584" s="0" t="str">
        <f aca="false">IF('Junior Makers Kits'!D283="","",'Junior Makers Kits'!D283)</f>
        <v/>
      </c>
      <c r="E584" s="0" t="str">
        <f aca="false">IF('Junior Makers Kits'!E283="","",'Junior Makers Kits'!E283)</f>
        <v/>
      </c>
      <c r="F584" s="0" t="str">
        <f aca="false">IFERROR(INDEX('Session Tracker'!$M$5:$M$149,MATCH($A584,'Session Tracker'!$D$5:$D$149,0))+0,"")</f>
        <v/>
      </c>
      <c r="G584" s="0" t="str">
        <f aca="false">IF(ISNUMBER(F584),IF(OR(B584=0,B584=99,C584&lt;&gt;""),F584*100+B584,""),"")</f>
        <v/>
      </c>
      <c r="H584" s="0" t="n">
        <f aca="false">IFERROR(INDEX('Session Tracker'!$J$5:$J$149,MATCH($A584,'Session Tracker'!$D$5:$D$149,0)),0)</f>
        <v>8</v>
      </c>
      <c r="I584" s="0" t="str">
        <f aca="false">IF(OR(B584=0,B584=99,C584=""),"",IF(E584="Per class",D584,D584*H584))</f>
        <v/>
      </c>
      <c r="N584" s="0" t="str">
        <f aca="false">IF('Junior Makers Kits'!B283="","",'Junior Makers Kits'!B283)</f>
        <v/>
      </c>
      <c r="O584" s="0" t="str">
        <f aca="false">IF('Junior Makers Kits'!F283="","",'Junior Makers Kits'!F283)</f>
        <v/>
      </c>
      <c r="P584" s="0" t="str">
        <f aca="false">IF('Junior Makers Kits'!G283="","",'Junior Makers Kits'!G283)</f>
        <v/>
      </c>
    </row>
    <row r="585" customFormat="false" ht="15" hidden="false" customHeight="false" outlineLevel="0" collapsed="false">
      <c r="A585" s="0" t="s">
        <v>188</v>
      </c>
      <c r="B585" s="0" t="n">
        <v>0</v>
      </c>
      <c r="F585" s="0" t="str">
        <f aca="false">IFERROR(INDEX('Session Tracker'!$M$5:$M$149,MATCH($A585,'Session Tracker'!$D$5:$D$149,0))+0,"")</f>
        <v/>
      </c>
      <c r="G585" s="0" t="str">
        <f aca="false">IF(ISNUMBER(F585),IF(OR(B585=0,B585=99,C585&lt;&gt;""),F585*100+B585,""),"")</f>
        <v/>
      </c>
      <c r="H585" s="0" t="n">
        <f aca="false">IFERROR(INDEX('Session Tracker'!$J$5:$J$149,MATCH($A585,'Session Tracker'!$D$5:$D$149,0)),0)</f>
        <v>8</v>
      </c>
      <c r="I585" s="0" t="str">
        <f aca="false">IF(OR(B585=0,B585=99,C585=""),"",IF(E585="Per class",D585,D585*H585))</f>
        <v/>
      </c>
      <c r="K585" s="0" t="str">
        <f aca="false">IFERROR(INDEX('Session Tracker'!$E$5:$E$149,MATCH($A585,'Session Tracker'!$D$5:$D$149,0)),"")</f>
        <v>Python Turtle Art: Shapes and Patterns</v>
      </c>
      <c r="L585" s="0" t="str">
        <f aca="false">IFERROR(INDEX('Session Tracker'!$A$5:$A$149,MATCH($A585,'Session Tracker'!$D$5:$D$149,0)),"")</f>
        <v>Junior Makers (8-11)</v>
      </c>
      <c r="M585" s="0" t="str">
        <f aca="false">IFERROR(INDEX('Session Tracker'!$H$5:$H$149,MATCH($A585,'Session Tracker'!$D$5:$D$149,0))&amp;"","")</f>
        <v/>
      </c>
      <c r="Q585" s="0" t="str">
        <f aca="false">IFERROR("Status: "&amp;INDEX('Session Tracker'!$F$5:$F$149,MATCH($A585,'Session Tracker'!$D$5:$D$149,0))&amp;IF(INDEX('Session Tracker'!$G$5:$G$149,MATCH($A585,'Session Tracker'!$D$5:$D$149,0))&lt;&gt;""," ("&amp;INDEX('Session Tracker'!$G$5:$G$149,MATCH($A585,'Session Tracker'!$D$5:$D$149,0))&amp;")","")&amp;IF(M585&lt;&gt;"","  "&amp;M585,""),"")</f>
        <v>Status: Not started</v>
      </c>
    </row>
    <row r="586" customFormat="false" ht="15" hidden="false" customHeight="false" outlineLevel="0" collapsed="false">
      <c r="A586" s="0" t="s">
        <v>188</v>
      </c>
      <c r="B586" s="0" t="n">
        <v>1</v>
      </c>
      <c r="C586" s="0" t="str">
        <f aca="false">IF('Junior Makers Kits'!C286="","",'Junior Makers Kits'!C286)</f>
        <v>Laptop</v>
      </c>
      <c r="D586" s="0" t="n">
        <f aca="false">IF('Junior Makers Kits'!D286="","",'Junior Makers Kits'!D286)</f>
        <v>1</v>
      </c>
      <c r="E586" s="0" t="str">
        <f aca="false">IF('Junior Makers Kits'!E286="","",'Junior Makers Kits'!E286)</f>
        <v>Per group</v>
      </c>
      <c r="F586" s="0" t="str">
        <f aca="false">IFERROR(INDEX('Session Tracker'!$M$5:$M$149,MATCH($A586,'Session Tracker'!$D$5:$D$149,0))+0,"")</f>
        <v/>
      </c>
      <c r="G586" s="0" t="str">
        <f aca="false">IF(ISNUMBER(F586),IF(OR(B586=0,B586=99,C586&lt;&gt;""),F586*100+B586,""),"")</f>
        <v/>
      </c>
      <c r="H586" s="0" t="n">
        <f aca="false">IFERROR(INDEX('Session Tracker'!$J$5:$J$149,MATCH($A586,'Session Tracker'!$D$5:$D$149,0)),0)</f>
        <v>8</v>
      </c>
      <c r="I586" s="0" t="n">
        <f aca="false">IF(OR(B586=0,B586=99,C586=""),"",IF(E586="Per class",D586,D586*H586))</f>
        <v>8</v>
      </c>
      <c r="N586" s="0" t="str">
        <f aca="false">IF('Junior Makers Kits'!B286="","",'Junior Makers Kits'!B286)</f>
        <v>Computers &amp; Equipment</v>
      </c>
      <c r="O586" s="0" t="str">
        <f aca="false">IF('Junior Makers Kits'!F286="","",'Junior Makers Kits'!F286)</f>
        <v>Reusable</v>
      </c>
      <c r="P586" s="0" t="str">
        <f aca="false">IF('Junior Makers Kits'!G286="","",'Junior Makers Kits'!G286)</f>
        <v/>
      </c>
    </row>
    <row r="587" customFormat="false" ht="15" hidden="false" customHeight="false" outlineLevel="0" collapsed="false">
      <c r="A587" s="0" t="s">
        <v>188</v>
      </c>
      <c r="B587" s="0" t="n">
        <v>2</v>
      </c>
      <c r="C587" s="0" t="str">
        <f aca="false">IF('Junior Makers Kits'!C287="","",'Junior Makers Kits'!C287)</f>
        <v/>
      </c>
      <c r="D587" s="0" t="str">
        <f aca="false">IF('Junior Makers Kits'!D287="","",'Junior Makers Kits'!D287)</f>
        <v/>
      </c>
      <c r="E587" s="0" t="str">
        <f aca="false">IF('Junior Makers Kits'!E287="","",'Junior Makers Kits'!E287)</f>
        <v/>
      </c>
      <c r="F587" s="0" t="str">
        <f aca="false">IFERROR(INDEX('Session Tracker'!$M$5:$M$149,MATCH($A587,'Session Tracker'!$D$5:$D$149,0))+0,"")</f>
        <v/>
      </c>
      <c r="G587" s="0" t="str">
        <f aca="false">IF(ISNUMBER(F587),IF(OR(B587=0,B587=99,C587&lt;&gt;""),F587*100+B587,""),"")</f>
        <v/>
      </c>
      <c r="H587" s="0" t="n">
        <f aca="false">IFERROR(INDEX('Session Tracker'!$J$5:$J$149,MATCH($A587,'Session Tracker'!$D$5:$D$149,0)),0)</f>
        <v>8</v>
      </c>
      <c r="I587" s="0" t="str">
        <f aca="false">IF(OR(B587=0,B587=99,C587=""),"",IF(E587="Per class",D587,D587*H587))</f>
        <v/>
      </c>
      <c r="N587" s="0" t="str">
        <f aca="false">IF('Junior Makers Kits'!B287="","",'Junior Makers Kits'!B287)</f>
        <v/>
      </c>
      <c r="O587" s="0" t="str">
        <f aca="false">IF('Junior Makers Kits'!F287="","",'Junior Makers Kits'!F287)</f>
        <v/>
      </c>
      <c r="P587" s="0" t="str">
        <f aca="false">IF('Junior Makers Kits'!G287="","",'Junior Makers Kits'!G287)</f>
        <v/>
      </c>
    </row>
    <row r="588" customFormat="false" ht="15" hidden="false" customHeight="false" outlineLevel="0" collapsed="false">
      <c r="A588" s="0" t="s">
        <v>188</v>
      </c>
      <c r="B588" s="0" t="n">
        <v>3</v>
      </c>
      <c r="C588" s="0" t="str">
        <f aca="false">IF('Junior Makers Kits'!C288="","",'Junior Makers Kits'!C288)</f>
        <v/>
      </c>
      <c r="D588" s="0" t="str">
        <f aca="false">IF('Junior Makers Kits'!D288="","",'Junior Makers Kits'!D288)</f>
        <v/>
      </c>
      <c r="E588" s="0" t="str">
        <f aca="false">IF('Junior Makers Kits'!E288="","",'Junior Makers Kits'!E288)</f>
        <v/>
      </c>
      <c r="F588" s="0" t="str">
        <f aca="false">IFERROR(INDEX('Session Tracker'!$M$5:$M$149,MATCH($A588,'Session Tracker'!$D$5:$D$149,0))+0,"")</f>
        <v/>
      </c>
      <c r="G588" s="0" t="str">
        <f aca="false">IF(ISNUMBER(F588),IF(OR(B588=0,B588=99,C588&lt;&gt;""),F588*100+B588,""),"")</f>
        <v/>
      </c>
      <c r="H588" s="0" t="n">
        <f aca="false">IFERROR(INDEX('Session Tracker'!$J$5:$J$149,MATCH($A588,'Session Tracker'!$D$5:$D$149,0)),0)</f>
        <v>8</v>
      </c>
      <c r="I588" s="0" t="str">
        <f aca="false">IF(OR(B588=0,B588=99,C588=""),"",IF(E588="Per class",D588,D588*H588))</f>
        <v/>
      </c>
      <c r="N588" s="0" t="str">
        <f aca="false">IF('Junior Makers Kits'!B288="","",'Junior Makers Kits'!B288)</f>
        <v/>
      </c>
      <c r="O588" s="0" t="str">
        <f aca="false">IF('Junior Makers Kits'!F288="","",'Junior Makers Kits'!F288)</f>
        <v/>
      </c>
      <c r="P588" s="0" t="str">
        <f aca="false">IF('Junior Makers Kits'!G288="","",'Junior Makers Kits'!G288)</f>
        <v/>
      </c>
    </row>
    <row r="589" customFormat="false" ht="15" hidden="false" customHeight="false" outlineLevel="0" collapsed="false">
      <c r="A589" s="0" t="s">
        <v>190</v>
      </c>
      <c r="B589" s="0" t="n">
        <v>0</v>
      </c>
      <c r="F589" s="0" t="str">
        <f aca="false">IFERROR(INDEX('Session Tracker'!$M$5:$M$149,MATCH($A589,'Session Tracker'!$D$5:$D$149,0))+0,"")</f>
        <v/>
      </c>
      <c r="G589" s="0" t="str">
        <f aca="false">IF(ISNUMBER(F589),IF(OR(B589=0,B589=99,C589&lt;&gt;""),F589*100+B589,""),"")</f>
        <v/>
      </c>
      <c r="H589" s="0" t="n">
        <f aca="false">IFERROR(INDEX('Session Tracker'!$J$5:$J$149,MATCH($A589,'Session Tracker'!$D$5:$D$149,0)),0)</f>
        <v>8</v>
      </c>
      <c r="I589" s="0" t="str">
        <f aca="false">IF(OR(B589=0,B589=99,C589=""),"",IF(E589="Per class",D589,D589*H589))</f>
        <v/>
      </c>
      <c r="K589" s="0" t="str">
        <f aca="false">IFERROR(INDEX('Session Tracker'!$E$5:$E$149,MATCH($A589,'Session Tracker'!$D$5:$D$149,0)),"")</f>
        <v>MakeCode Arcade: My First Platform Game</v>
      </c>
      <c r="L589" s="0" t="str">
        <f aca="false">IFERROR(INDEX('Session Tracker'!$A$5:$A$149,MATCH($A589,'Session Tracker'!$D$5:$D$149,0)),"")</f>
        <v>Junior Makers (8-11)</v>
      </c>
      <c r="M589" s="0" t="str">
        <f aca="false">IFERROR(INDEX('Session Tracker'!$H$5:$H$149,MATCH($A589,'Session Tracker'!$D$5:$D$149,0))&amp;"","")</f>
        <v/>
      </c>
      <c r="Q589" s="0" t="str">
        <f aca="false">IFERROR("Status: "&amp;INDEX('Session Tracker'!$F$5:$F$149,MATCH($A589,'Session Tracker'!$D$5:$D$149,0))&amp;IF(INDEX('Session Tracker'!$G$5:$G$149,MATCH($A589,'Session Tracker'!$D$5:$D$149,0))&lt;&gt;""," ("&amp;INDEX('Session Tracker'!$G$5:$G$149,MATCH($A589,'Session Tracker'!$D$5:$D$149,0))&amp;")","")&amp;IF(M589&lt;&gt;"","  "&amp;M589,""),"")</f>
        <v>Status: Not started</v>
      </c>
    </row>
    <row r="590" customFormat="false" ht="15" hidden="false" customHeight="false" outlineLevel="0" collapsed="false">
      <c r="A590" s="0" t="s">
        <v>190</v>
      </c>
      <c r="B590" s="0" t="n">
        <v>1</v>
      </c>
      <c r="C590" s="0" t="str">
        <f aca="false">IF('Junior Makers Kits'!C291="","",'Junior Makers Kits'!C291)</f>
        <v>Laptop</v>
      </c>
      <c r="D590" s="0" t="n">
        <f aca="false">IF('Junior Makers Kits'!D291="","",'Junior Makers Kits'!D291)</f>
        <v>1</v>
      </c>
      <c r="E590" s="0" t="str">
        <f aca="false">IF('Junior Makers Kits'!E291="","",'Junior Makers Kits'!E291)</f>
        <v>Per group</v>
      </c>
      <c r="F590" s="0" t="str">
        <f aca="false">IFERROR(INDEX('Session Tracker'!$M$5:$M$149,MATCH($A590,'Session Tracker'!$D$5:$D$149,0))+0,"")</f>
        <v/>
      </c>
      <c r="G590" s="0" t="str">
        <f aca="false">IF(ISNUMBER(F590),IF(OR(B590=0,B590=99,C590&lt;&gt;""),F590*100+B590,""),"")</f>
        <v/>
      </c>
      <c r="H590" s="0" t="n">
        <f aca="false">IFERROR(INDEX('Session Tracker'!$J$5:$J$149,MATCH($A590,'Session Tracker'!$D$5:$D$149,0)),0)</f>
        <v>8</v>
      </c>
      <c r="I590" s="0" t="n">
        <f aca="false">IF(OR(B590=0,B590=99,C590=""),"",IF(E590="Per class",D590,D590*H590))</f>
        <v>8</v>
      </c>
      <c r="N590" s="0" t="str">
        <f aca="false">IF('Junior Makers Kits'!B291="","",'Junior Makers Kits'!B291)</f>
        <v>Computers &amp; Equipment</v>
      </c>
      <c r="O590" s="0" t="str">
        <f aca="false">IF('Junior Makers Kits'!F291="","",'Junior Makers Kits'!F291)</f>
        <v>Reusable</v>
      </c>
      <c r="P590" s="0" t="str">
        <f aca="false">IF('Junior Makers Kits'!G291="","",'Junior Makers Kits'!G291)</f>
        <v/>
      </c>
    </row>
    <row r="591" customFormat="false" ht="15" hidden="false" customHeight="false" outlineLevel="0" collapsed="false">
      <c r="A591" s="0" t="s">
        <v>190</v>
      </c>
      <c r="B591" s="0" t="n">
        <v>2</v>
      </c>
      <c r="C591" s="0" t="str">
        <f aca="false">IF('Junior Makers Kits'!C292="","",'Junior Makers Kits'!C292)</f>
        <v/>
      </c>
      <c r="D591" s="0" t="str">
        <f aca="false">IF('Junior Makers Kits'!D292="","",'Junior Makers Kits'!D292)</f>
        <v/>
      </c>
      <c r="E591" s="0" t="str">
        <f aca="false">IF('Junior Makers Kits'!E292="","",'Junior Makers Kits'!E292)</f>
        <v/>
      </c>
      <c r="F591" s="0" t="str">
        <f aca="false">IFERROR(INDEX('Session Tracker'!$M$5:$M$149,MATCH($A591,'Session Tracker'!$D$5:$D$149,0))+0,"")</f>
        <v/>
      </c>
      <c r="G591" s="0" t="str">
        <f aca="false">IF(ISNUMBER(F591),IF(OR(B591=0,B591=99,C591&lt;&gt;""),F591*100+B591,""),"")</f>
        <v/>
      </c>
      <c r="H591" s="0" t="n">
        <f aca="false">IFERROR(INDEX('Session Tracker'!$J$5:$J$149,MATCH($A591,'Session Tracker'!$D$5:$D$149,0)),0)</f>
        <v>8</v>
      </c>
      <c r="I591" s="0" t="str">
        <f aca="false">IF(OR(B591=0,B591=99,C591=""),"",IF(E591="Per class",D591,D591*H591))</f>
        <v/>
      </c>
      <c r="N591" s="0" t="str">
        <f aca="false">IF('Junior Makers Kits'!B292="","",'Junior Makers Kits'!B292)</f>
        <v/>
      </c>
      <c r="O591" s="0" t="str">
        <f aca="false">IF('Junior Makers Kits'!F292="","",'Junior Makers Kits'!F292)</f>
        <v/>
      </c>
      <c r="P591" s="0" t="str">
        <f aca="false">IF('Junior Makers Kits'!G292="","",'Junior Makers Kits'!G292)</f>
        <v/>
      </c>
    </row>
    <row r="592" customFormat="false" ht="15" hidden="false" customHeight="false" outlineLevel="0" collapsed="false">
      <c r="A592" s="0" t="s">
        <v>190</v>
      </c>
      <c r="B592" s="0" t="n">
        <v>3</v>
      </c>
      <c r="C592" s="0" t="str">
        <f aca="false">IF('Junior Makers Kits'!C293="","",'Junior Makers Kits'!C293)</f>
        <v/>
      </c>
      <c r="D592" s="0" t="str">
        <f aca="false">IF('Junior Makers Kits'!D293="","",'Junior Makers Kits'!D293)</f>
        <v/>
      </c>
      <c r="E592" s="0" t="str">
        <f aca="false">IF('Junior Makers Kits'!E293="","",'Junior Makers Kits'!E293)</f>
        <v/>
      </c>
      <c r="F592" s="0" t="str">
        <f aca="false">IFERROR(INDEX('Session Tracker'!$M$5:$M$149,MATCH($A592,'Session Tracker'!$D$5:$D$149,0))+0,"")</f>
        <v/>
      </c>
      <c r="G592" s="0" t="str">
        <f aca="false">IF(ISNUMBER(F592),IF(OR(B592=0,B592=99,C592&lt;&gt;""),F592*100+B592,""),"")</f>
        <v/>
      </c>
      <c r="H592" s="0" t="n">
        <f aca="false">IFERROR(INDEX('Session Tracker'!$J$5:$J$149,MATCH($A592,'Session Tracker'!$D$5:$D$149,0)),0)</f>
        <v>8</v>
      </c>
      <c r="I592" s="0" t="str">
        <f aca="false">IF(OR(B592=0,B592=99,C592=""),"",IF(E592="Per class",D592,D592*H592))</f>
        <v/>
      </c>
      <c r="N592" s="0" t="str">
        <f aca="false">IF('Junior Makers Kits'!B293="","",'Junior Makers Kits'!B293)</f>
        <v/>
      </c>
      <c r="O592" s="0" t="str">
        <f aca="false">IF('Junior Makers Kits'!F293="","",'Junior Makers Kits'!F293)</f>
        <v/>
      </c>
      <c r="P592" s="0" t="str">
        <f aca="false">IF('Junior Makers Kits'!G293="","",'Junior Makers Kits'!G293)</f>
        <v/>
      </c>
    </row>
    <row r="593" customFormat="false" ht="15" hidden="false" customHeight="false" outlineLevel="0" collapsed="false">
      <c r="A593" s="0" t="s">
        <v>192</v>
      </c>
      <c r="B593" s="0" t="n">
        <v>0</v>
      </c>
      <c r="F593" s="0" t="str">
        <f aca="false">IFERROR(INDEX('Session Tracker'!$M$5:$M$149,MATCH($A593,'Session Tracker'!$D$5:$D$149,0))+0,"")</f>
        <v/>
      </c>
      <c r="G593" s="0" t="str">
        <f aca="false">IF(ISNUMBER(F593),IF(OR(B593=0,B593=99,C593&lt;&gt;""),F593*100+B593,""),"")</f>
        <v/>
      </c>
      <c r="H593" s="0" t="n">
        <f aca="false">IFERROR(INDEX('Session Tracker'!$J$5:$J$149,MATCH($A593,'Session Tracker'!$D$5:$D$149,0)),0)</f>
        <v>8</v>
      </c>
      <c r="I593" s="0" t="str">
        <f aca="false">IF(OR(B593=0,B593=99,C593=""),"",IF(E593="Per class",D593,D593*H593))</f>
        <v/>
      </c>
      <c r="K593" s="0" t="str">
        <f aca="false">IFERROR(INDEX('Session Tracker'!$E$5:$E$149,MATCH($A593,'Session Tracker'!$D$5:$D$149,0)),"")</f>
        <v>Binary Bracelets &amp; Secret Codes</v>
      </c>
      <c r="L593" s="0" t="str">
        <f aca="false">IFERROR(INDEX('Session Tracker'!$A$5:$A$149,MATCH($A593,'Session Tracker'!$D$5:$D$149,0)),"")</f>
        <v>Junior Makers (8-11)</v>
      </c>
      <c r="M593" s="0" t="str">
        <f aca="false">IFERROR(INDEX('Session Tracker'!$H$5:$H$149,MATCH($A593,'Session Tracker'!$D$5:$D$149,0))&amp;"","")</f>
        <v/>
      </c>
      <c r="Q593" s="0" t="str">
        <f aca="false">IFERROR("Status: "&amp;INDEX('Session Tracker'!$F$5:$F$149,MATCH($A593,'Session Tracker'!$D$5:$D$149,0))&amp;IF(INDEX('Session Tracker'!$G$5:$G$149,MATCH($A593,'Session Tracker'!$D$5:$D$149,0))&lt;&gt;""," ("&amp;INDEX('Session Tracker'!$G$5:$G$149,MATCH($A593,'Session Tracker'!$D$5:$D$149,0))&amp;")","")&amp;IF(M593&lt;&gt;"","  "&amp;M593,""),"")</f>
        <v>Status: Not started</v>
      </c>
    </row>
    <row r="594" customFormat="false" ht="15" hidden="false" customHeight="false" outlineLevel="0" collapsed="false">
      <c r="A594" s="0" t="s">
        <v>192</v>
      </c>
      <c r="B594" s="0" t="n">
        <v>1</v>
      </c>
      <c r="C594" s="0" t="str">
        <f aca="false">IF('Junior Makers Kits'!C296="","",'Junior Makers Kits'!C296)</f>
        <v>Printed templates</v>
      </c>
      <c r="D594" s="0" t="n">
        <f aca="false">IF('Junior Makers Kits'!D296="","",'Junior Makers Kits'!D296)</f>
        <v>1</v>
      </c>
      <c r="E594" s="0" t="str">
        <f aca="false">IF('Junior Makers Kits'!E296="","",'Junior Makers Kits'!E296)</f>
        <v>Per group</v>
      </c>
      <c r="F594" s="0" t="str">
        <f aca="false">IFERROR(INDEX('Session Tracker'!$M$5:$M$149,MATCH($A594,'Session Tracker'!$D$5:$D$149,0))+0,"")</f>
        <v/>
      </c>
      <c r="G594" s="0" t="str">
        <f aca="false">IF(ISNUMBER(F594),IF(OR(B594=0,B594=99,C594&lt;&gt;""),F594*100+B594,""),"")</f>
        <v/>
      </c>
      <c r="H594" s="0" t="n">
        <f aca="false">IFERROR(INDEX('Session Tracker'!$J$5:$J$149,MATCH($A594,'Session Tracker'!$D$5:$D$149,0)),0)</f>
        <v>8</v>
      </c>
      <c r="I594" s="0" t="n">
        <f aca="false">IF(OR(B594=0,B594=99,C594=""),"",IF(E594="Per class",D594,D594*H594))</f>
        <v>8</v>
      </c>
      <c r="N594" s="0" t="str">
        <f aca="false">IF('Junior Makers Kits'!B296="","",'Junior Makers Kits'!B296)</f>
        <v>Craft &amp; Stationery</v>
      </c>
      <c r="O594" s="0" t="str">
        <f aca="false">IF('Junior Makers Kits'!F296="","",'Junior Makers Kits'!F296)</f>
        <v>Consumable</v>
      </c>
      <c r="P594" s="0" t="str">
        <f aca="false">IF('Junior Makers Kits'!G296="","",'Junior Makers Kits'!G296)</f>
        <v/>
      </c>
    </row>
    <row r="595" customFormat="false" ht="15" hidden="false" customHeight="false" outlineLevel="0" collapsed="false">
      <c r="A595" s="0" t="s">
        <v>192</v>
      </c>
      <c r="B595" s="0" t="n">
        <v>2</v>
      </c>
      <c r="C595" s="0" t="str">
        <f aca="false">IF('Junior Makers Kits'!C297="","",'Junior Makers Kits'!C297)</f>
        <v>Markers</v>
      </c>
      <c r="D595" s="0" t="n">
        <f aca="false">IF('Junior Makers Kits'!D297="","",'Junior Makers Kits'!D297)</f>
        <v>1</v>
      </c>
      <c r="E595" s="0" t="str">
        <f aca="false">IF('Junior Makers Kits'!E297="","",'Junior Makers Kits'!E297)</f>
        <v>Per group</v>
      </c>
      <c r="F595" s="0" t="str">
        <f aca="false">IFERROR(INDEX('Session Tracker'!$M$5:$M$149,MATCH($A595,'Session Tracker'!$D$5:$D$149,0))+0,"")</f>
        <v/>
      </c>
      <c r="G595" s="0" t="str">
        <f aca="false">IF(ISNUMBER(F595),IF(OR(B595=0,B595=99,C595&lt;&gt;""),F595*100+B595,""),"")</f>
        <v/>
      </c>
      <c r="H595" s="0" t="n">
        <f aca="false">IFERROR(INDEX('Session Tracker'!$J$5:$J$149,MATCH($A595,'Session Tracker'!$D$5:$D$149,0)),0)</f>
        <v>8</v>
      </c>
      <c r="I595" s="0" t="n">
        <f aca="false">IF(OR(B595=0,B595=99,C595=""),"",IF(E595="Per class",D595,D595*H595))</f>
        <v>8</v>
      </c>
      <c r="N595" s="0" t="str">
        <f aca="false">IF('Junior Makers Kits'!B297="","",'Junior Makers Kits'!B297)</f>
        <v>Craft &amp; Stationery</v>
      </c>
      <c r="O595" s="0" t="str">
        <f aca="false">IF('Junior Makers Kits'!F297="","",'Junior Makers Kits'!F297)</f>
        <v>Consumable</v>
      </c>
      <c r="P595" s="0" t="str">
        <f aca="false">IF('Junior Makers Kits'!G297="","",'Junior Makers Kits'!G297)</f>
        <v>Or beads</v>
      </c>
    </row>
    <row r="596" customFormat="false" ht="15" hidden="false" customHeight="false" outlineLevel="0" collapsed="false">
      <c r="A596" s="0" t="s">
        <v>192</v>
      </c>
      <c r="B596" s="0" t="n">
        <v>3</v>
      </c>
      <c r="C596" s="0" t="str">
        <f aca="false">IF('Junior Makers Kits'!C298="","",'Junior Makers Kits'!C298)</f>
        <v/>
      </c>
      <c r="D596" s="0" t="str">
        <f aca="false">IF('Junior Makers Kits'!D298="","",'Junior Makers Kits'!D298)</f>
        <v/>
      </c>
      <c r="E596" s="0" t="str">
        <f aca="false">IF('Junior Makers Kits'!E298="","",'Junior Makers Kits'!E298)</f>
        <v/>
      </c>
      <c r="F596" s="0" t="str">
        <f aca="false">IFERROR(INDEX('Session Tracker'!$M$5:$M$149,MATCH($A596,'Session Tracker'!$D$5:$D$149,0))+0,"")</f>
        <v/>
      </c>
      <c r="G596" s="0" t="str">
        <f aca="false">IF(ISNUMBER(F596),IF(OR(B596=0,B596=99,C596&lt;&gt;""),F596*100+B596,""),"")</f>
        <v/>
      </c>
      <c r="H596" s="0" t="n">
        <f aca="false">IFERROR(INDEX('Session Tracker'!$J$5:$J$149,MATCH($A596,'Session Tracker'!$D$5:$D$149,0)),0)</f>
        <v>8</v>
      </c>
      <c r="I596" s="0" t="str">
        <f aca="false">IF(OR(B596=0,B596=99,C596=""),"",IF(E596="Per class",D596,D596*H596))</f>
        <v/>
      </c>
      <c r="N596" s="0" t="str">
        <f aca="false">IF('Junior Makers Kits'!B298="","",'Junior Makers Kits'!B298)</f>
        <v/>
      </c>
      <c r="O596" s="0" t="str">
        <f aca="false">IF('Junior Makers Kits'!F298="","",'Junior Makers Kits'!F298)</f>
        <v/>
      </c>
      <c r="P596" s="0" t="str">
        <f aca="false">IF('Junior Makers Kits'!G298="","",'Junior Makers Kits'!G298)</f>
        <v/>
      </c>
    </row>
    <row r="597" customFormat="false" ht="15" hidden="false" customHeight="false" outlineLevel="0" collapsed="false">
      <c r="A597" s="0" t="s">
        <v>192</v>
      </c>
      <c r="B597" s="0" t="n">
        <v>4</v>
      </c>
      <c r="C597" s="0" t="str">
        <f aca="false">IF('Junior Makers Kits'!C299="","",'Junior Makers Kits'!C299)</f>
        <v/>
      </c>
      <c r="D597" s="0" t="str">
        <f aca="false">IF('Junior Makers Kits'!D299="","",'Junior Makers Kits'!D299)</f>
        <v/>
      </c>
      <c r="E597" s="0" t="str">
        <f aca="false">IF('Junior Makers Kits'!E299="","",'Junior Makers Kits'!E299)</f>
        <v/>
      </c>
      <c r="F597" s="0" t="str">
        <f aca="false">IFERROR(INDEX('Session Tracker'!$M$5:$M$149,MATCH($A597,'Session Tracker'!$D$5:$D$149,0))+0,"")</f>
        <v/>
      </c>
      <c r="G597" s="0" t="str">
        <f aca="false">IF(ISNUMBER(F597),IF(OR(B597=0,B597=99,C597&lt;&gt;""),F597*100+B597,""),"")</f>
        <v/>
      </c>
      <c r="H597" s="0" t="n">
        <f aca="false">IFERROR(INDEX('Session Tracker'!$J$5:$J$149,MATCH($A597,'Session Tracker'!$D$5:$D$149,0)),0)</f>
        <v>8</v>
      </c>
      <c r="I597" s="0" t="str">
        <f aca="false">IF(OR(B597=0,B597=99,C597=""),"",IF(E597="Per class",D597,D597*H597))</f>
        <v/>
      </c>
      <c r="N597" s="0" t="str">
        <f aca="false">IF('Junior Makers Kits'!B299="","",'Junior Makers Kits'!B299)</f>
        <v/>
      </c>
      <c r="O597" s="0" t="str">
        <f aca="false">IF('Junior Makers Kits'!F299="","",'Junior Makers Kits'!F299)</f>
        <v/>
      </c>
      <c r="P597" s="0" t="str">
        <f aca="false">IF('Junior Makers Kits'!G299="","",'Junior Makers Kits'!G299)</f>
        <v/>
      </c>
    </row>
    <row r="598" customFormat="false" ht="15" hidden="false" customHeight="false" outlineLevel="0" collapsed="false">
      <c r="A598" s="0" t="s">
        <v>194</v>
      </c>
      <c r="B598" s="0" t="n">
        <v>0</v>
      </c>
      <c r="F598" s="0" t="str">
        <f aca="false">IFERROR(INDEX('Session Tracker'!$M$5:$M$149,MATCH($A598,'Session Tracker'!$D$5:$D$149,0))+0,"")</f>
        <v/>
      </c>
      <c r="G598" s="0" t="str">
        <f aca="false">IF(ISNUMBER(F598),IF(OR(B598=0,B598=99,C598&lt;&gt;""),F598*100+B598,""),"")</f>
        <v/>
      </c>
      <c r="H598" s="0" t="n">
        <f aca="false">IFERROR(INDEX('Session Tracker'!$J$5:$J$149,MATCH($A598,'Session Tracker'!$D$5:$D$149,0)),0)</f>
        <v>8</v>
      </c>
      <c r="I598" s="0" t="str">
        <f aca="false">IF(OR(B598=0,B598=99,C598=""),"",IF(E598="Per class",D598,D598*H598))</f>
        <v/>
      </c>
      <c r="K598" s="0" t="str">
        <f aca="false">IFERROR(INDEX('Session Tracker'!$E$5:$E$149,MATCH($A598,'Session Tracker'!$D$5:$D$149,0)),"")</f>
        <v>Joystick Maze Game</v>
      </c>
      <c r="L598" s="0" t="str">
        <f aca="false">IFERROR(INDEX('Session Tracker'!$A$5:$A$149,MATCH($A598,'Session Tracker'!$D$5:$D$149,0)),"")</f>
        <v>Junior Makers (8-11)</v>
      </c>
      <c r="M598" s="0" t="str">
        <f aca="false">IFERROR(INDEX('Session Tracker'!$H$5:$H$149,MATCH($A598,'Session Tracker'!$D$5:$D$149,0))&amp;"","")</f>
        <v/>
      </c>
      <c r="Q598" s="0" t="str">
        <f aca="false">IFERROR("Status: "&amp;INDEX('Session Tracker'!$F$5:$F$149,MATCH($A598,'Session Tracker'!$D$5:$D$149,0))&amp;IF(INDEX('Session Tracker'!$G$5:$G$149,MATCH($A598,'Session Tracker'!$D$5:$D$149,0))&lt;&gt;""," ("&amp;INDEX('Session Tracker'!$G$5:$G$149,MATCH($A598,'Session Tracker'!$D$5:$D$149,0))&amp;")","")&amp;IF(M598&lt;&gt;"","  "&amp;M598,""),"")</f>
        <v>Status: Not started</v>
      </c>
    </row>
    <row r="599" customFormat="false" ht="15" hidden="false" customHeight="false" outlineLevel="0" collapsed="false">
      <c r="A599" s="0" t="s">
        <v>194</v>
      </c>
      <c r="B599" s="0" t="n">
        <v>1</v>
      </c>
      <c r="C599" s="0" t="str">
        <f aca="false">IF('Junior Makers Kits'!C302="","",'Junior Makers Kits'!C302)</f>
        <v>Arduino Uno + USB cable</v>
      </c>
      <c r="D599" s="0" t="n">
        <f aca="false">IF('Junior Makers Kits'!D302="","",'Junior Makers Kits'!D302)</f>
        <v>1</v>
      </c>
      <c r="E599" s="0" t="str">
        <f aca="false">IF('Junior Makers Kits'!E302="","",'Junior Makers Kits'!E302)</f>
        <v>Per group</v>
      </c>
      <c r="F599" s="0" t="str">
        <f aca="false">IFERROR(INDEX('Session Tracker'!$M$5:$M$149,MATCH($A599,'Session Tracker'!$D$5:$D$149,0))+0,"")</f>
        <v/>
      </c>
      <c r="G599" s="0" t="str">
        <f aca="false">IF(ISNUMBER(F599),IF(OR(B599=0,B599=99,C599&lt;&gt;""),F599*100+B599,""),"")</f>
        <v/>
      </c>
      <c r="H599" s="0" t="n">
        <f aca="false">IFERROR(INDEX('Session Tracker'!$J$5:$J$149,MATCH($A599,'Session Tracker'!$D$5:$D$149,0)),0)</f>
        <v>8</v>
      </c>
      <c r="I599" s="0" t="n">
        <f aca="false">IF(OR(B599=0,B599=99,C599=""),"",IF(E599="Per class",D599,D599*H599))</f>
        <v>8</v>
      </c>
      <c r="N599" s="0" t="str">
        <f aca="false">IF('Junior Makers Kits'!B302="","",'Junior Makers Kits'!B302)</f>
        <v>Microcontrollers &amp; Dev Boards</v>
      </c>
      <c r="O599" s="0" t="str">
        <f aca="false">IF('Junior Makers Kits'!F302="","",'Junior Makers Kits'!F302)</f>
        <v>Reusable</v>
      </c>
      <c r="P599" s="0" t="str">
        <f aca="false">IF('Junior Makers Kits'!G302="","",'Junior Makers Kits'!G302)</f>
        <v/>
      </c>
    </row>
    <row r="600" customFormat="false" ht="15" hidden="false" customHeight="false" outlineLevel="0" collapsed="false">
      <c r="A600" s="0" t="s">
        <v>194</v>
      </c>
      <c r="B600" s="0" t="n">
        <v>2</v>
      </c>
      <c r="C600" s="0" t="str">
        <f aca="false">IF('Junior Makers Kits'!C303="","",'Junior Makers Kits'!C303)</f>
        <v>Joystick module</v>
      </c>
      <c r="D600" s="0" t="n">
        <f aca="false">IF('Junior Makers Kits'!D303="","",'Junior Makers Kits'!D303)</f>
        <v>1</v>
      </c>
      <c r="E600" s="0" t="str">
        <f aca="false">IF('Junior Makers Kits'!E303="","",'Junior Makers Kits'!E303)</f>
        <v>Per group</v>
      </c>
      <c r="F600" s="0" t="str">
        <f aca="false">IFERROR(INDEX('Session Tracker'!$M$5:$M$149,MATCH($A600,'Session Tracker'!$D$5:$D$149,0))+0,"")</f>
        <v/>
      </c>
      <c r="G600" s="0" t="str">
        <f aca="false">IF(ISNUMBER(F600),IF(OR(B600=0,B600=99,C600&lt;&gt;""),F600*100+B600,""),"")</f>
        <v/>
      </c>
      <c r="H600" s="0" t="n">
        <f aca="false">IFERROR(INDEX('Session Tracker'!$J$5:$J$149,MATCH($A600,'Session Tracker'!$D$5:$D$149,0)),0)</f>
        <v>8</v>
      </c>
      <c r="I600" s="0" t="n">
        <f aca="false">IF(OR(B600=0,B600=99,C600=""),"",IF(E600="Per class",D600,D600*H600))</f>
        <v>8</v>
      </c>
      <c r="N600" s="0" t="str">
        <f aca="false">IF('Junior Makers Kits'!B303="","",'Junior Makers Kits'!B303)</f>
        <v>Sensors</v>
      </c>
      <c r="O600" s="0" t="str">
        <f aca="false">IF('Junior Makers Kits'!F303="","",'Junior Makers Kits'!F303)</f>
        <v>Reusable</v>
      </c>
      <c r="P600" s="0" t="str">
        <f aca="false">IF('Junior Makers Kits'!G303="","",'Junior Makers Kits'!G303)</f>
        <v/>
      </c>
    </row>
    <row r="601" customFormat="false" ht="15" hidden="false" customHeight="false" outlineLevel="0" collapsed="false">
      <c r="A601" s="0" t="s">
        <v>194</v>
      </c>
      <c r="B601" s="0" t="n">
        <v>3</v>
      </c>
      <c r="C601" s="0" t="str">
        <f aca="false">IF('Junior Makers Kits'!C304="","",'Junior Makers Kits'!C304)</f>
        <v>Jumper wires M-F</v>
      </c>
      <c r="D601" s="0" t="n">
        <f aca="false">IF('Junior Makers Kits'!D304="","",'Junior Makers Kits'!D304)</f>
        <v>5</v>
      </c>
      <c r="E601" s="0" t="str">
        <f aca="false">IF('Junior Makers Kits'!E304="","",'Junior Makers Kits'!E304)</f>
        <v>Per group</v>
      </c>
      <c r="F601" s="0" t="str">
        <f aca="false">IFERROR(INDEX('Session Tracker'!$M$5:$M$149,MATCH($A601,'Session Tracker'!$D$5:$D$149,0))+0,"")</f>
        <v/>
      </c>
      <c r="G601" s="0" t="str">
        <f aca="false">IF(ISNUMBER(F601),IF(OR(B601=0,B601=99,C601&lt;&gt;""),F601*100+B601,""),"")</f>
        <v/>
      </c>
      <c r="H601" s="0" t="n">
        <f aca="false">IFERROR(INDEX('Session Tracker'!$J$5:$J$149,MATCH($A601,'Session Tracker'!$D$5:$D$149,0)),0)</f>
        <v>8</v>
      </c>
      <c r="I601" s="0" t="n">
        <f aca="false">IF(OR(B601=0,B601=99,C601=""),"",IF(E601="Per class",D601,D601*H601))</f>
        <v>40</v>
      </c>
      <c r="N601" s="0" t="str">
        <f aca="false">IF('Junior Makers Kits'!B304="","",'Junior Makers Kits'!B304)</f>
        <v>Wiring &amp; Prototyping</v>
      </c>
      <c r="O601" s="0" t="str">
        <f aca="false">IF('Junior Makers Kits'!F304="","",'Junior Makers Kits'!F304)</f>
        <v>Reusable</v>
      </c>
      <c r="P601" s="0" t="str">
        <f aca="false">IF('Junior Makers Kits'!G304="","",'Junior Makers Kits'!G304)</f>
        <v/>
      </c>
    </row>
    <row r="602" customFormat="false" ht="15" hidden="false" customHeight="false" outlineLevel="0" collapsed="false">
      <c r="A602" s="0" t="s">
        <v>194</v>
      </c>
      <c r="B602" s="0" t="n">
        <v>4</v>
      </c>
      <c r="C602" s="0" t="str">
        <f aca="false">IF('Junior Makers Kits'!C305="","",'Junior Makers Kits'!C305)</f>
        <v>Laptop</v>
      </c>
      <c r="D602" s="0" t="n">
        <f aca="false">IF('Junior Makers Kits'!D305="","",'Junior Makers Kits'!D305)</f>
        <v>1</v>
      </c>
      <c r="E602" s="0" t="str">
        <f aca="false">IF('Junior Makers Kits'!E305="","",'Junior Makers Kits'!E305)</f>
        <v>Per group</v>
      </c>
      <c r="F602" s="0" t="str">
        <f aca="false">IFERROR(INDEX('Session Tracker'!$M$5:$M$149,MATCH($A602,'Session Tracker'!$D$5:$D$149,0))+0,"")</f>
        <v/>
      </c>
      <c r="G602" s="0" t="str">
        <f aca="false">IF(ISNUMBER(F602),IF(OR(B602=0,B602=99,C602&lt;&gt;""),F602*100+B602,""),"")</f>
        <v/>
      </c>
      <c r="H602" s="0" t="n">
        <f aca="false">IFERROR(INDEX('Session Tracker'!$J$5:$J$149,MATCH($A602,'Session Tracker'!$D$5:$D$149,0)),0)</f>
        <v>8</v>
      </c>
      <c r="I602" s="0" t="n">
        <f aca="false">IF(OR(B602=0,B602=99,C602=""),"",IF(E602="Per class",D602,D602*H602))</f>
        <v>8</v>
      </c>
      <c r="N602" s="0" t="str">
        <f aca="false">IF('Junior Makers Kits'!B305="","",'Junior Makers Kits'!B305)</f>
        <v>Computers &amp; Equipment</v>
      </c>
      <c r="O602" s="0" t="str">
        <f aca="false">IF('Junior Makers Kits'!F305="","",'Junior Makers Kits'!F305)</f>
        <v>Reusable</v>
      </c>
      <c r="P602" s="0" t="str">
        <f aca="false">IF('Junior Makers Kits'!G305="","",'Junior Makers Kits'!G305)</f>
        <v/>
      </c>
    </row>
    <row r="603" customFormat="false" ht="15" hidden="false" customHeight="false" outlineLevel="0" collapsed="false">
      <c r="A603" s="0" t="s">
        <v>194</v>
      </c>
      <c r="B603" s="0" t="n">
        <v>5</v>
      </c>
      <c r="C603" s="0" t="str">
        <f aca="false">IF('Junior Makers Kits'!C306="","",'Junior Makers Kits'!C306)</f>
        <v>LED 5 mm (assorted)</v>
      </c>
      <c r="D603" s="0" t="n">
        <f aca="false">IF('Junior Makers Kits'!D306="","",'Junior Makers Kits'!D306)</f>
        <v>1</v>
      </c>
      <c r="E603" s="0" t="str">
        <f aca="false">IF('Junior Makers Kits'!E306="","",'Junior Makers Kits'!E306)</f>
        <v>Per group</v>
      </c>
      <c r="F603" s="0" t="str">
        <f aca="false">IFERROR(INDEX('Session Tracker'!$M$5:$M$149,MATCH($A603,'Session Tracker'!$D$5:$D$149,0))+0,"")</f>
        <v/>
      </c>
      <c r="G603" s="0" t="str">
        <f aca="false">IF(ISNUMBER(F603),IF(OR(B603=0,B603=99,C603&lt;&gt;""),F603*100+B603,""),"")</f>
        <v/>
      </c>
      <c r="H603" s="0" t="n">
        <f aca="false">IFERROR(INDEX('Session Tracker'!$J$5:$J$149,MATCH($A603,'Session Tracker'!$D$5:$D$149,0)),0)</f>
        <v>8</v>
      </c>
      <c r="I603" s="0" t="n">
        <f aca="false">IF(OR(B603=0,B603=99,C603=""),"",IF(E603="Per class",D603,D603*H603))</f>
        <v>8</v>
      </c>
      <c r="N603" s="0" t="str">
        <f aca="false">IF('Junior Makers Kits'!B306="","",'Junior Makers Kits'!B306)</f>
        <v>Displays &amp; Output</v>
      </c>
      <c r="O603" s="0" t="str">
        <f aca="false">IF('Junior Makers Kits'!F306="","",'Junior Makers Kits'!F306)</f>
        <v>Consumable</v>
      </c>
      <c r="P603" s="0" t="str">
        <f aca="false">IF('Junior Makers Kits'!G306="","",'Junior Makers Kits'!G306)</f>
        <v>Added: every Arduino class</v>
      </c>
    </row>
    <row r="604" customFormat="false" ht="15" hidden="false" customHeight="false" outlineLevel="0" collapsed="false">
      <c r="A604" s="0" t="s">
        <v>194</v>
      </c>
      <c r="B604" s="0" t="n">
        <v>6</v>
      </c>
      <c r="C604" s="0" t="str">
        <f aca="false">IF('Junior Makers Kits'!C307="","",'Junior Makers Kits'!C307)</f>
        <v>Resistor 220 ohm</v>
      </c>
      <c r="D604" s="0" t="n">
        <f aca="false">IF('Junior Makers Kits'!D307="","",'Junior Makers Kits'!D307)</f>
        <v>1</v>
      </c>
      <c r="E604" s="0" t="str">
        <f aca="false">IF('Junior Makers Kits'!E307="","",'Junior Makers Kits'!E307)</f>
        <v>Per group</v>
      </c>
      <c r="F604" s="0" t="str">
        <f aca="false">IFERROR(INDEX('Session Tracker'!$M$5:$M$149,MATCH($A604,'Session Tracker'!$D$5:$D$149,0))+0,"")</f>
        <v/>
      </c>
      <c r="G604" s="0" t="str">
        <f aca="false">IF(ISNUMBER(F604),IF(OR(B604=0,B604=99,C604&lt;&gt;""),F604*100+B604,""),"")</f>
        <v/>
      </c>
      <c r="H604" s="0" t="n">
        <f aca="false">IFERROR(INDEX('Session Tracker'!$J$5:$J$149,MATCH($A604,'Session Tracker'!$D$5:$D$149,0)),0)</f>
        <v>8</v>
      </c>
      <c r="I604" s="0" t="n">
        <f aca="false">IF(OR(B604=0,B604=99,C604=""),"",IF(E604="Per class",D604,D604*H604))</f>
        <v>8</v>
      </c>
      <c r="N604" s="0" t="str">
        <f aca="false">IF('Junior Makers Kits'!B307="","",'Junior Makers Kits'!B307)</f>
        <v>Passive Components &amp; ICs</v>
      </c>
      <c r="O604" s="0" t="str">
        <f aca="false">IF('Junior Makers Kits'!F307="","",'Junior Makers Kits'!F307)</f>
        <v>Consumable</v>
      </c>
      <c r="P604" s="0" t="str">
        <f aca="false">IF('Junior Makers Kits'!G307="","",'Junior Makers Kits'!G307)</f>
        <v>Added: for the LED</v>
      </c>
    </row>
    <row r="605" customFormat="false" ht="15" hidden="false" customHeight="false" outlineLevel="0" collapsed="false">
      <c r="A605" s="0" t="s">
        <v>194</v>
      </c>
      <c r="B605" s="0" t="n">
        <v>7</v>
      </c>
      <c r="C605" s="0" t="str">
        <f aca="false">IF('Junior Makers Kits'!C308="","",'Junior Makers Kits'!C308)</f>
        <v>Buzzer</v>
      </c>
      <c r="D605" s="0" t="n">
        <f aca="false">IF('Junior Makers Kits'!D308="","",'Junior Makers Kits'!D308)</f>
        <v>1</v>
      </c>
      <c r="E605" s="0" t="str">
        <f aca="false">IF('Junior Makers Kits'!E308="","",'Junior Makers Kits'!E308)</f>
        <v>Per group</v>
      </c>
      <c r="F605" s="0" t="str">
        <f aca="false">IFERROR(INDEX('Session Tracker'!$M$5:$M$149,MATCH($A605,'Session Tracker'!$D$5:$D$149,0))+0,"")</f>
        <v/>
      </c>
      <c r="G605" s="0" t="str">
        <f aca="false">IF(ISNUMBER(F605),IF(OR(B605=0,B605=99,C605&lt;&gt;""),F605*100+B605,""),"")</f>
        <v/>
      </c>
      <c r="H605" s="0" t="n">
        <f aca="false">IFERROR(INDEX('Session Tracker'!$J$5:$J$149,MATCH($A605,'Session Tracker'!$D$5:$D$149,0)),0)</f>
        <v>8</v>
      </c>
      <c r="I605" s="0" t="n">
        <f aca="false">IF(OR(B605=0,B605=99,C605=""),"",IF(E605="Per class",D605,D605*H605))</f>
        <v>8</v>
      </c>
      <c r="N605" s="0" t="str">
        <f aca="false">IF('Junior Makers Kits'!B308="","",'Junior Makers Kits'!B308)</f>
        <v>Actuators &amp; Motor Drivers</v>
      </c>
      <c r="O605" s="0" t="str">
        <f aca="false">IF('Junior Makers Kits'!F308="","",'Junior Makers Kits'!F308)</f>
        <v>Reusable</v>
      </c>
      <c r="P605" s="0" t="str">
        <f aca="false">IF('Junior Makers Kits'!G308="","",'Junior Makers Kits'!G308)</f>
        <v>Added: every Arduino class</v>
      </c>
    </row>
    <row r="606" customFormat="false" ht="15" hidden="false" customHeight="false" outlineLevel="0" collapsed="false">
      <c r="A606" s="0" t="s">
        <v>194</v>
      </c>
      <c r="B606" s="0" t="n">
        <v>8</v>
      </c>
      <c r="C606" s="0" t="str">
        <f aca="false">IF('Junior Makers Kits'!C309="","",'Junior Makers Kits'!C309)</f>
        <v/>
      </c>
      <c r="D606" s="0" t="str">
        <f aca="false">IF('Junior Makers Kits'!D309="","",'Junior Makers Kits'!D309)</f>
        <v/>
      </c>
      <c r="E606" s="0" t="str">
        <f aca="false">IF('Junior Makers Kits'!E309="","",'Junior Makers Kits'!E309)</f>
        <v/>
      </c>
      <c r="F606" s="0" t="str">
        <f aca="false">IFERROR(INDEX('Session Tracker'!$M$5:$M$149,MATCH($A606,'Session Tracker'!$D$5:$D$149,0))+0,"")</f>
        <v/>
      </c>
      <c r="G606" s="0" t="str">
        <f aca="false">IF(ISNUMBER(F606),IF(OR(B606=0,B606=99,C606&lt;&gt;""),F606*100+B606,""),"")</f>
        <v/>
      </c>
      <c r="H606" s="0" t="n">
        <f aca="false">IFERROR(INDEX('Session Tracker'!$J$5:$J$149,MATCH($A606,'Session Tracker'!$D$5:$D$149,0)),0)</f>
        <v>8</v>
      </c>
      <c r="I606" s="0" t="str">
        <f aca="false">IF(OR(B606=0,B606=99,C606=""),"",IF(E606="Per class",D606,D606*H606))</f>
        <v/>
      </c>
      <c r="N606" s="0" t="str">
        <f aca="false">IF('Junior Makers Kits'!B309="","",'Junior Makers Kits'!B309)</f>
        <v/>
      </c>
      <c r="O606" s="0" t="str">
        <f aca="false">IF('Junior Makers Kits'!F309="","",'Junior Makers Kits'!F309)</f>
        <v/>
      </c>
      <c r="P606" s="0" t="str">
        <f aca="false">IF('Junior Makers Kits'!G309="","",'Junior Makers Kits'!G309)</f>
        <v/>
      </c>
    </row>
    <row r="607" customFormat="false" ht="15" hidden="false" customHeight="false" outlineLevel="0" collapsed="false">
      <c r="A607" s="0" t="s">
        <v>194</v>
      </c>
      <c r="B607" s="0" t="n">
        <v>9</v>
      </c>
      <c r="C607" s="0" t="str">
        <f aca="false">IF('Junior Makers Kits'!C310="","",'Junior Makers Kits'!C310)</f>
        <v/>
      </c>
      <c r="D607" s="0" t="str">
        <f aca="false">IF('Junior Makers Kits'!D310="","",'Junior Makers Kits'!D310)</f>
        <v/>
      </c>
      <c r="E607" s="0" t="str">
        <f aca="false">IF('Junior Makers Kits'!E310="","",'Junior Makers Kits'!E310)</f>
        <v/>
      </c>
      <c r="F607" s="0" t="str">
        <f aca="false">IFERROR(INDEX('Session Tracker'!$M$5:$M$149,MATCH($A607,'Session Tracker'!$D$5:$D$149,0))+0,"")</f>
        <v/>
      </c>
      <c r="G607" s="0" t="str">
        <f aca="false">IF(ISNUMBER(F607),IF(OR(B607=0,B607=99,C607&lt;&gt;""),F607*100+B607,""),"")</f>
        <v/>
      </c>
      <c r="H607" s="0" t="n">
        <f aca="false">IFERROR(INDEX('Session Tracker'!$J$5:$J$149,MATCH($A607,'Session Tracker'!$D$5:$D$149,0)),0)</f>
        <v>8</v>
      </c>
      <c r="I607" s="0" t="str">
        <f aca="false">IF(OR(B607=0,B607=99,C607=""),"",IF(E607="Per class",D607,D607*H607))</f>
        <v/>
      </c>
      <c r="N607" s="0" t="str">
        <f aca="false">IF('Junior Makers Kits'!B310="","",'Junior Makers Kits'!B310)</f>
        <v/>
      </c>
      <c r="O607" s="0" t="str">
        <f aca="false">IF('Junior Makers Kits'!F310="","",'Junior Makers Kits'!F310)</f>
        <v/>
      </c>
      <c r="P607" s="0" t="str">
        <f aca="false">IF('Junior Makers Kits'!G310="","",'Junior Makers Kits'!G310)</f>
        <v/>
      </c>
    </row>
    <row r="608" customFormat="false" ht="15" hidden="false" customHeight="false" outlineLevel="0" collapsed="false">
      <c r="A608" s="0" t="s">
        <v>196</v>
      </c>
      <c r="B608" s="0" t="n">
        <v>0</v>
      </c>
      <c r="F608" s="0" t="str">
        <f aca="false">IFERROR(INDEX('Session Tracker'!$M$5:$M$149,MATCH($A608,'Session Tracker'!$D$5:$D$149,0))+0,"")</f>
        <v/>
      </c>
      <c r="G608" s="0" t="str">
        <f aca="false">IF(ISNUMBER(F608),IF(OR(B608=0,B608=99,C608&lt;&gt;""),F608*100+B608,""),"")</f>
        <v/>
      </c>
      <c r="H608" s="0" t="n">
        <f aca="false">IFERROR(INDEX('Session Tracker'!$J$5:$J$149,MATCH($A608,'Session Tracker'!$D$5:$D$149,0)),0)</f>
        <v>8</v>
      </c>
      <c r="I608" s="0" t="str">
        <f aca="false">IF(OR(B608=0,B608=99,C608=""),"",IF(E608="Per class",D608,D608*H608))</f>
        <v/>
      </c>
      <c r="K608" s="0" t="str">
        <f aca="false">IFERROR(INDEX('Session Tracker'!$E$5:$E$149,MATCH($A608,'Session Tracker'!$D$5:$D$149,0)),"")</f>
        <v>NeoPixel Light Show to the Beat</v>
      </c>
      <c r="L608" s="0" t="str">
        <f aca="false">IFERROR(INDEX('Session Tracker'!$A$5:$A$149,MATCH($A608,'Session Tracker'!$D$5:$D$149,0)),"")</f>
        <v>Junior Makers (8-11)</v>
      </c>
      <c r="M608" s="0" t="str">
        <f aca="false">IFERROR(INDEX('Session Tracker'!$H$5:$H$149,MATCH($A608,'Session Tracker'!$D$5:$D$149,0))&amp;"","")</f>
        <v/>
      </c>
      <c r="Q608" s="0" t="str">
        <f aca="false">IFERROR("Status: "&amp;INDEX('Session Tracker'!$F$5:$F$149,MATCH($A608,'Session Tracker'!$D$5:$D$149,0))&amp;IF(INDEX('Session Tracker'!$G$5:$G$149,MATCH($A608,'Session Tracker'!$D$5:$D$149,0))&lt;&gt;""," ("&amp;INDEX('Session Tracker'!$G$5:$G$149,MATCH($A608,'Session Tracker'!$D$5:$D$149,0))&amp;")","")&amp;IF(M608&lt;&gt;"","  "&amp;M608,""),"")</f>
        <v>Status: Not started</v>
      </c>
    </row>
    <row r="609" customFormat="false" ht="15" hidden="false" customHeight="false" outlineLevel="0" collapsed="false">
      <c r="A609" s="0" t="s">
        <v>196</v>
      </c>
      <c r="B609" s="0" t="n">
        <v>1</v>
      </c>
      <c r="C609" s="0" t="str">
        <f aca="false">IF('Junior Makers Kits'!C313="","",'Junior Makers Kits'!C313)</f>
        <v>Arduino Uno + USB cable</v>
      </c>
      <c r="D609" s="0" t="n">
        <f aca="false">IF('Junior Makers Kits'!D313="","",'Junior Makers Kits'!D313)</f>
        <v>1</v>
      </c>
      <c r="E609" s="0" t="str">
        <f aca="false">IF('Junior Makers Kits'!E313="","",'Junior Makers Kits'!E313)</f>
        <v>Per group</v>
      </c>
      <c r="F609" s="0" t="str">
        <f aca="false">IFERROR(INDEX('Session Tracker'!$M$5:$M$149,MATCH($A609,'Session Tracker'!$D$5:$D$149,0))+0,"")</f>
        <v/>
      </c>
      <c r="G609" s="0" t="str">
        <f aca="false">IF(ISNUMBER(F609),IF(OR(B609=0,B609=99,C609&lt;&gt;""),F609*100+B609,""),"")</f>
        <v/>
      </c>
      <c r="H609" s="0" t="n">
        <f aca="false">IFERROR(INDEX('Session Tracker'!$J$5:$J$149,MATCH($A609,'Session Tracker'!$D$5:$D$149,0)),0)</f>
        <v>8</v>
      </c>
      <c r="I609" s="0" t="n">
        <f aca="false">IF(OR(B609=0,B609=99,C609=""),"",IF(E609="Per class",D609,D609*H609))</f>
        <v>8</v>
      </c>
      <c r="N609" s="0" t="str">
        <f aca="false">IF('Junior Makers Kits'!B313="","",'Junior Makers Kits'!B313)</f>
        <v>Microcontrollers &amp; Dev Boards</v>
      </c>
      <c r="O609" s="0" t="str">
        <f aca="false">IF('Junior Makers Kits'!F313="","",'Junior Makers Kits'!F313)</f>
        <v>Reusable</v>
      </c>
      <c r="P609" s="0" t="str">
        <f aca="false">IF('Junior Makers Kits'!G313="","",'Junior Makers Kits'!G313)</f>
        <v/>
      </c>
    </row>
    <row r="610" customFormat="false" ht="15" hidden="false" customHeight="false" outlineLevel="0" collapsed="false">
      <c r="A610" s="0" t="s">
        <v>196</v>
      </c>
      <c r="B610" s="0" t="n">
        <v>2</v>
      </c>
      <c r="C610" s="0" t="str">
        <f aca="false">IF('Junior Makers Kits'!C314="","",'Junior Makers Kits'!C314)</f>
        <v>WS2812B LED strip (1 m, 30 LEDs)</v>
      </c>
      <c r="D610" s="0" t="n">
        <f aca="false">IF('Junior Makers Kits'!D314="","",'Junior Makers Kits'!D314)</f>
        <v>1</v>
      </c>
      <c r="E610" s="0" t="str">
        <f aca="false">IF('Junior Makers Kits'!E314="","",'Junior Makers Kits'!E314)</f>
        <v>Per group</v>
      </c>
      <c r="F610" s="0" t="str">
        <f aca="false">IFERROR(INDEX('Session Tracker'!$M$5:$M$149,MATCH($A610,'Session Tracker'!$D$5:$D$149,0))+0,"")</f>
        <v/>
      </c>
      <c r="G610" s="0" t="str">
        <f aca="false">IF(ISNUMBER(F610),IF(OR(B610=0,B610=99,C610&lt;&gt;""),F610*100+B610,""),"")</f>
        <v/>
      </c>
      <c r="H610" s="0" t="n">
        <f aca="false">IFERROR(INDEX('Session Tracker'!$J$5:$J$149,MATCH($A610,'Session Tracker'!$D$5:$D$149,0)),0)</f>
        <v>8</v>
      </c>
      <c r="I610" s="0" t="n">
        <f aca="false">IF(OR(B610=0,B610=99,C610=""),"",IF(E610="Per class",D610,D610*H610))</f>
        <v>8</v>
      </c>
      <c r="N610" s="0" t="str">
        <f aca="false">IF('Junior Makers Kits'!B314="","",'Junior Makers Kits'!B314)</f>
        <v>Displays &amp; Output</v>
      </c>
      <c r="O610" s="0" t="str">
        <f aca="false">IF('Junior Makers Kits'!F314="","",'Junior Makers Kits'!F314)</f>
        <v>Reusable</v>
      </c>
      <c r="P610" s="0" t="str">
        <f aca="false">IF('Junior Makers Kits'!G314="","",'Junior Makers Kits'!G314)</f>
        <v/>
      </c>
    </row>
    <row r="611" customFormat="false" ht="15" hidden="false" customHeight="false" outlineLevel="0" collapsed="false">
      <c r="A611" s="0" t="s">
        <v>196</v>
      </c>
      <c r="B611" s="0" t="n">
        <v>3</v>
      </c>
      <c r="C611" s="0" t="str">
        <f aca="false">IF('Junior Makers Kits'!C315="","",'Junior Makers Kits'!C315)</f>
        <v>Sound sensor KY-037</v>
      </c>
      <c r="D611" s="0" t="n">
        <f aca="false">IF('Junior Makers Kits'!D315="","",'Junior Makers Kits'!D315)</f>
        <v>1</v>
      </c>
      <c r="E611" s="0" t="str">
        <f aca="false">IF('Junior Makers Kits'!E315="","",'Junior Makers Kits'!E315)</f>
        <v>Per group</v>
      </c>
      <c r="F611" s="0" t="str">
        <f aca="false">IFERROR(INDEX('Session Tracker'!$M$5:$M$149,MATCH($A611,'Session Tracker'!$D$5:$D$149,0))+0,"")</f>
        <v/>
      </c>
      <c r="G611" s="0" t="str">
        <f aca="false">IF(ISNUMBER(F611),IF(OR(B611=0,B611=99,C611&lt;&gt;""),F611*100+B611,""),"")</f>
        <v/>
      </c>
      <c r="H611" s="0" t="n">
        <f aca="false">IFERROR(INDEX('Session Tracker'!$J$5:$J$149,MATCH($A611,'Session Tracker'!$D$5:$D$149,0)),0)</f>
        <v>8</v>
      </c>
      <c r="I611" s="0" t="n">
        <f aca="false">IF(OR(B611=0,B611=99,C611=""),"",IF(E611="Per class",D611,D611*H611))</f>
        <v>8</v>
      </c>
      <c r="N611" s="0" t="str">
        <f aca="false">IF('Junior Makers Kits'!B315="","",'Junior Makers Kits'!B315)</f>
        <v>Sensors</v>
      </c>
      <c r="O611" s="0" t="str">
        <f aca="false">IF('Junior Makers Kits'!F315="","",'Junior Makers Kits'!F315)</f>
        <v>Reusable</v>
      </c>
      <c r="P611" s="0" t="str">
        <f aca="false">IF('Junior Makers Kits'!G315="","",'Junior Makers Kits'!G315)</f>
        <v/>
      </c>
    </row>
    <row r="612" customFormat="false" ht="15" hidden="false" customHeight="false" outlineLevel="0" collapsed="false">
      <c r="A612" s="0" t="s">
        <v>196</v>
      </c>
      <c r="B612" s="0" t="n">
        <v>4</v>
      </c>
      <c r="C612" s="0" t="str">
        <f aca="false">IF('Junior Makers Kits'!C316="","",'Junior Makers Kits'!C316)</f>
        <v>Capacitor 100 uF</v>
      </c>
      <c r="D612" s="0" t="n">
        <f aca="false">IF('Junior Makers Kits'!D316="","",'Junior Makers Kits'!D316)</f>
        <v>1</v>
      </c>
      <c r="E612" s="0" t="str">
        <f aca="false">IF('Junior Makers Kits'!E316="","",'Junior Makers Kits'!E316)</f>
        <v>Per group</v>
      </c>
      <c r="F612" s="0" t="str">
        <f aca="false">IFERROR(INDEX('Session Tracker'!$M$5:$M$149,MATCH($A612,'Session Tracker'!$D$5:$D$149,0))+0,"")</f>
        <v/>
      </c>
      <c r="G612" s="0" t="str">
        <f aca="false">IF(ISNUMBER(F612),IF(OR(B612=0,B612=99,C612&lt;&gt;""),F612*100+B612,""),"")</f>
        <v/>
      </c>
      <c r="H612" s="0" t="n">
        <f aca="false">IFERROR(INDEX('Session Tracker'!$J$5:$J$149,MATCH($A612,'Session Tracker'!$D$5:$D$149,0)),0)</f>
        <v>8</v>
      </c>
      <c r="I612" s="0" t="n">
        <f aca="false">IF(OR(B612=0,B612=99,C612=""),"",IF(E612="Per class",D612,D612*H612))</f>
        <v>8</v>
      </c>
      <c r="N612" s="0" t="str">
        <f aca="false">IF('Junior Makers Kits'!B316="","",'Junior Makers Kits'!B316)</f>
        <v>Passive Components &amp; ICs</v>
      </c>
      <c r="O612" s="0" t="str">
        <f aca="false">IF('Junior Makers Kits'!F316="","",'Junior Makers Kits'!F316)</f>
        <v>Consumable</v>
      </c>
      <c r="P612" s="0" t="str">
        <f aca="false">IF('Junior Makers Kits'!G316="","",'Junior Makers Kits'!G316)</f>
        <v>Strip power</v>
      </c>
    </row>
    <row r="613" customFormat="false" ht="15" hidden="false" customHeight="false" outlineLevel="0" collapsed="false">
      <c r="A613" s="0" t="s">
        <v>196</v>
      </c>
      <c r="B613" s="0" t="n">
        <v>5</v>
      </c>
      <c r="C613" s="0" t="str">
        <f aca="false">IF('Junior Makers Kits'!C317="","",'Junior Makers Kits'!C317)</f>
        <v>Resistor 220 ohm</v>
      </c>
      <c r="D613" s="0" t="n">
        <f aca="false">IF('Junior Makers Kits'!D317="","",'Junior Makers Kits'!D317)</f>
        <v>1</v>
      </c>
      <c r="E613" s="0" t="str">
        <f aca="false">IF('Junior Makers Kits'!E317="","",'Junior Makers Kits'!E317)</f>
        <v>Per group</v>
      </c>
      <c r="F613" s="0" t="str">
        <f aca="false">IFERROR(INDEX('Session Tracker'!$M$5:$M$149,MATCH($A613,'Session Tracker'!$D$5:$D$149,0))+0,"")</f>
        <v/>
      </c>
      <c r="G613" s="0" t="str">
        <f aca="false">IF(ISNUMBER(F613),IF(OR(B613=0,B613=99,C613&lt;&gt;""),F613*100+B613,""),"")</f>
        <v/>
      </c>
      <c r="H613" s="0" t="n">
        <f aca="false">IFERROR(INDEX('Session Tracker'!$J$5:$J$149,MATCH($A613,'Session Tracker'!$D$5:$D$149,0)),0)</f>
        <v>8</v>
      </c>
      <c r="I613" s="0" t="n">
        <f aca="false">IF(OR(B613=0,B613=99,C613=""),"",IF(E613="Per class",D613,D613*H613))</f>
        <v>8</v>
      </c>
      <c r="N613" s="0" t="str">
        <f aca="false">IF('Junior Makers Kits'!B317="","",'Junior Makers Kits'!B317)</f>
        <v>Passive Components &amp; ICs</v>
      </c>
      <c r="O613" s="0" t="str">
        <f aca="false">IF('Junior Makers Kits'!F317="","",'Junior Makers Kits'!F317)</f>
        <v>Consumable</v>
      </c>
      <c r="P613" s="0" t="str">
        <f aca="false">IF('Junior Makers Kits'!G317="","",'Junior Makers Kits'!G317)</f>
        <v>Data line</v>
      </c>
    </row>
    <row r="614" customFormat="false" ht="15" hidden="false" customHeight="false" outlineLevel="0" collapsed="false">
      <c r="A614" s="0" t="s">
        <v>196</v>
      </c>
      <c r="B614" s="0" t="n">
        <v>6</v>
      </c>
      <c r="C614" s="0" t="str">
        <f aca="false">IF('Junior Makers Kits'!C318="","",'Junior Makers Kits'!C318)</f>
        <v>Breadboard (half size)</v>
      </c>
      <c r="D614" s="0" t="n">
        <f aca="false">IF('Junior Makers Kits'!D318="","",'Junior Makers Kits'!D318)</f>
        <v>1</v>
      </c>
      <c r="E614" s="0" t="str">
        <f aca="false">IF('Junior Makers Kits'!E318="","",'Junior Makers Kits'!E318)</f>
        <v>Per group</v>
      </c>
      <c r="F614" s="0" t="str">
        <f aca="false">IFERROR(INDEX('Session Tracker'!$M$5:$M$149,MATCH($A614,'Session Tracker'!$D$5:$D$149,0))+0,"")</f>
        <v/>
      </c>
      <c r="G614" s="0" t="str">
        <f aca="false">IF(ISNUMBER(F614),IF(OR(B614=0,B614=99,C614&lt;&gt;""),F614*100+B614,""),"")</f>
        <v/>
      </c>
      <c r="H614" s="0" t="n">
        <f aca="false">IFERROR(INDEX('Session Tracker'!$J$5:$J$149,MATCH($A614,'Session Tracker'!$D$5:$D$149,0)),0)</f>
        <v>8</v>
      </c>
      <c r="I614" s="0" t="n">
        <f aca="false">IF(OR(B614=0,B614=99,C614=""),"",IF(E614="Per class",D614,D614*H614))</f>
        <v>8</v>
      </c>
      <c r="N614" s="0" t="str">
        <f aca="false">IF('Junior Makers Kits'!B318="","",'Junior Makers Kits'!B318)</f>
        <v>Wiring &amp; Prototyping</v>
      </c>
      <c r="O614" s="0" t="str">
        <f aca="false">IF('Junior Makers Kits'!F318="","",'Junior Makers Kits'!F318)</f>
        <v>Reusable</v>
      </c>
      <c r="P614" s="0" t="str">
        <f aca="false">IF('Junior Makers Kits'!G318="","",'Junior Makers Kits'!G318)</f>
        <v/>
      </c>
    </row>
    <row r="615" customFormat="false" ht="15" hidden="false" customHeight="false" outlineLevel="0" collapsed="false">
      <c r="A615" s="0" t="s">
        <v>196</v>
      </c>
      <c r="B615" s="0" t="n">
        <v>7</v>
      </c>
      <c r="C615" s="0" t="str">
        <f aca="false">IF('Junior Makers Kits'!C319="","",'Junior Makers Kits'!C319)</f>
        <v>Jumper wires M-M</v>
      </c>
      <c r="D615" s="0" t="n">
        <f aca="false">IF('Junior Makers Kits'!D319="","",'Junior Makers Kits'!D319)</f>
        <v>8</v>
      </c>
      <c r="E615" s="0" t="str">
        <f aca="false">IF('Junior Makers Kits'!E319="","",'Junior Makers Kits'!E319)</f>
        <v>Per group</v>
      </c>
      <c r="F615" s="0" t="str">
        <f aca="false">IFERROR(INDEX('Session Tracker'!$M$5:$M$149,MATCH($A615,'Session Tracker'!$D$5:$D$149,0))+0,"")</f>
        <v/>
      </c>
      <c r="G615" s="0" t="str">
        <f aca="false">IF(ISNUMBER(F615),IF(OR(B615=0,B615=99,C615&lt;&gt;""),F615*100+B615,""),"")</f>
        <v/>
      </c>
      <c r="H615" s="0" t="n">
        <f aca="false">IFERROR(INDEX('Session Tracker'!$J$5:$J$149,MATCH($A615,'Session Tracker'!$D$5:$D$149,0)),0)</f>
        <v>8</v>
      </c>
      <c r="I615" s="0" t="n">
        <f aca="false">IF(OR(B615=0,B615=99,C615=""),"",IF(E615="Per class",D615,D615*H615))</f>
        <v>64</v>
      </c>
      <c r="N615" s="0" t="str">
        <f aca="false">IF('Junior Makers Kits'!B319="","",'Junior Makers Kits'!B319)</f>
        <v>Wiring &amp; Prototyping</v>
      </c>
      <c r="O615" s="0" t="str">
        <f aca="false">IF('Junior Makers Kits'!F319="","",'Junior Makers Kits'!F319)</f>
        <v>Reusable</v>
      </c>
      <c r="P615" s="0" t="str">
        <f aca="false">IF('Junior Makers Kits'!G319="","",'Junior Makers Kits'!G319)</f>
        <v/>
      </c>
    </row>
    <row r="616" customFormat="false" ht="15" hidden="false" customHeight="false" outlineLevel="0" collapsed="false">
      <c r="A616" s="0" t="s">
        <v>196</v>
      </c>
      <c r="B616" s="0" t="n">
        <v>8</v>
      </c>
      <c r="C616" s="0" t="str">
        <f aca="false">IF('Junior Makers Kits'!C320="","",'Junior Makers Kits'!C320)</f>
        <v>Laptop</v>
      </c>
      <c r="D616" s="0" t="n">
        <f aca="false">IF('Junior Makers Kits'!D320="","",'Junior Makers Kits'!D320)</f>
        <v>1</v>
      </c>
      <c r="E616" s="0" t="str">
        <f aca="false">IF('Junior Makers Kits'!E320="","",'Junior Makers Kits'!E320)</f>
        <v>Per group</v>
      </c>
      <c r="F616" s="0" t="str">
        <f aca="false">IFERROR(INDEX('Session Tracker'!$M$5:$M$149,MATCH($A616,'Session Tracker'!$D$5:$D$149,0))+0,"")</f>
        <v/>
      </c>
      <c r="G616" s="0" t="str">
        <f aca="false">IF(ISNUMBER(F616),IF(OR(B616=0,B616=99,C616&lt;&gt;""),F616*100+B616,""),"")</f>
        <v/>
      </c>
      <c r="H616" s="0" t="n">
        <f aca="false">IFERROR(INDEX('Session Tracker'!$J$5:$J$149,MATCH($A616,'Session Tracker'!$D$5:$D$149,0)),0)</f>
        <v>8</v>
      </c>
      <c r="I616" s="0" t="n">
        <f aca="false">IF(OR(B616=0,B616=99,C616=""),"",IF(E616="Per class",D616,D616*H616))</f>
        <v>8</v>
      </c>
      <c r="N616" s="0" t="str">
        <f aca="false">IF('Junior Makers Kits'!B320="","",'Junior Makers Kits'!B320)</f>
        <v>Computers &amp; Equipment</v>
      </c>
      <c r="O616" s="0" t="str">
        <f aca="false">IF('Junior Makers Kits'!F320="","",'Junior Makers Kits'!F320)</f>
        <v>Reusable</v>
      </c>
      <c r="P616" s="0" t="str">
        <f aca="false">IF('Junior Makers Kits'!G320="","",'Junior Makers Kits'!G320)</f>
        <v/>
      </c>
    </row>
    <row r="617" customFormat="false" ht="15" hidden="false" customHeight="false" outlineLevel="0" collapsed="false">
      <c r="A617" s="0" t="s">
        <v>196</v>
      </c>
      <c r="B617" s="0" t="n">
        <v>9</v>
      </c>
      <c r="C617" s="0" t="str">
        <f aca="false">IF('Junior Makers Kits'!C321="","",'Junior Makers Kits'!C321)</f>
        <v>LED 5 mm (assorted)</v>
      </c>
      <c r="D617" s="0" t="n">
        <f aca="false">IF('Junior Makers Kits'!D321="","",'Junior Makers Kits'!D321)</f>
        <v>1</v>
      </c>
      <c r="E617" s="0" t="str">
        <f aca="false">IF('Junior Makers Kits'!E321="","",'Junior Makers Kits'!E321)</f>
        <v>Per group</v>
      </c>
      <c r="F617" s="0" t="str">
        <f aca="false">IFERROR(INDEX('Session Tracker'!$M$5:$M$149,MATCH($A617,'Session Tracker'!$D$5:$D$149,0))+0,"")</f>
        <v/>
      </c>
      <c r="G617" s="0" t="str">
        <f aca="false">IF(ISNUMBER(F617),IF(OR(B617=0,B617=99,C617&lt;&gt;""),F617*100+B617,""),"")</f>
        <v/>
      </c>
      <c r="H617" s="0" t="n">
        <f aca="false">IFERROR(INDEX('Session Tracker'!$J$5:$J$149,MATCH($A617,'Session Tracker'!$D$5:$D$149,0)),0)</f>
        <v>8</v>
      </c>
      <c r="I617" s="0" t="n">
        <f aca="false">IF(OR(B617=0,B617=99,C617=""),"",IF(E617="Per class",D617,D617*H617))</f>
        <v>8</v>
      </c>
      <c r="N617" s="0" t="str">
        <f aca="false">IF('Junior Makers Kits'!B321="","",'Junior Makers Kits'!B321)</f>
        <v>Displays &amp; Output</v>
      </c>
      <c r="O617" s="0" t="str">
        <f aca="false">IF('Junior Makers Kits'!F321="","",'Junior Makers Kits'!F321)</f>
        <v>Consumable</v>
      </c>
      <c r="P617" s="0" t="str">
        <f aca="false">IF('Junior Makers Kits'!G321="","",'Junior Makers Kits'!G321)</f>
        <v>Added: every Arduino class</v>
      </c>
    </row>
    <row r="618" customFormat="false" ht="15" hidden="false" customHeight="false" outlineLevel="0" collapsed="false">
      <c r="A618" s="0" t="s">
        <v>196</v>
      </c>
      <c r="B618" s="0" t="n">
        <v>10</v>
      </c>
      <c r="C618" s="0" t="str">
        <f aca="false">IF('Junior Makers Kits'!C322="","",'Junior Makers Kits'!C322)</f>
        <v>Buzzer</v>
      </c>
      <c r="D618" s="0" t="n">
        <f aca="false">IF('Junior Makers Kits'!D322="","",'Junior Makers Kits'!D322)</f>
        <v>1</v>
      </c>
      <c r="E618" s="0" t="str">
        <f aca="false">IF('Junior Makers Kits'!E322="","",'Junior Makers Kits'!E322)</f>
        <v>Per group</v>
      </c>
      <c r="F618" s="0" t="str">
        <f aca="false">IFERROR(INDEX('Session Tracker'!$M$5:$M$149,MATCH($A618,'Session Tracker'!$D$5:$D$149,0))+0,"")</f>
        <v/>
      </c>
      <c r="G618" s="0" t="str">
        <f aca="false">IF(ISNUMBER(F618),IF(OR(B618=0,B618=99,C618&lt;&gt;""),F618*100+B618,""),"")</f>
        <v/>
      </c>
      <c r="H618" s="0" t="n">
        <f aca="false">IFERROR(INDEX('Session Tracker'!$J$5:$J$149,MATCH($A618,'Session Tracker'!$D$5:$D$149,0)),0)</f>
        <v>8</v>
      </c>
      <c r="I618" s="0" t="n">
        <f aca="false">IF(OR(B618=0,B618=99,C618=""),"",IF(E618="Per class",D618,D618*H618))</f>
        <v>8</v>
      </c>
      <c r="N618" s="0" t="str">
        <f aca="false">IF('Junior Makers Kits'!B322="","",'Junior Makers Kits'!B322)</f>
        <v>Actuators &amp; Motor Drivers</v>
      </c>
      <c r="O618" s="0" t="str">
        <f aca="false">IF('Junior Makers Kits'!F322="","",'Junior Makers Kits'!F322)</f>
        <v>Reusable</v>
      </c>
      <c r="P618" s="0" t="str">
        <f aca="false">IF('Junior Makers Kits'!G322="","",'Junior Makers Kits'!G322)</f>
        <v>Added: every Arduino class</v>
      </c>
    </row>
    <row r="619" customFormat="false" ht="15" hidden="false" customHeight="false" outlineLevel="0" collapsed="false">
      <c r="A619" s="0" t="s">
        <v>196</v>
      </c>
      <c r="B619" s="0" t="n">
        <v>11</v>
      </c>
      <c r="C619" s="0" t="str">
        <f aca="false">IF('Junior Makers Kits'!C323="","",'Junior Makers Kits'!C323)</f>
        <v/>
      </c>
      <c r="D619" s="0" t="str">
        <f aca="false">IF('Junior Makers Kits'!D323="","",'Junior Makers Kits'!D323)</f>
        <v/>
      </c>
      <c r="E619" s="0" t="str">
        <f aca="false">IF('Junior Makers Kits'!E323="","",'Junior Makers Kits'!E323)</f>
        <v/>
      </c>
      <c r="F619" s="0" t="str">
        <f aca="false">IFERROR(INDEX('Session Tracker'!$M$5:$M$149,MATCH($A619,'Session Tracker'!$D$5:$D$149,0))+0,"")</f>
        <v/>
      </c>
      <c r="G619" s="0" t="str">
        <f aca="false">IF(ISNUMBER(F619),IF(OR(B619=0,B619=99,C619&lt;&gt;""),F619*100+B619,""),"")</f>
        <v/>
      </c>
      <c r="H619" s="0" t="n">
        <f aca="false">IFERROR(INDEX('Session Tracker'!$J$5:$J$149,MATCH($A619,'Session Tracker'!$D$5:$D$149,0)),0)</f>
        <v>8</v>
      </c>
      <c r="I619" s="0" t="str">
        <f aca="false">IF(OR(B619=0,B619=99,C619=""),"",IF(E619="Per class",D619,D619*H619))</f>
        <v/>
      </c>
      <c r="N619" s="0" t="str">
        <f aca="false">IF('Junior Makers Kits'!B323="","",'Junior Makers Kits'!B323)</f>
        <v/>
      </c>
      <c r="O619" s="0" t="str">
        <f aca="false">IF('Junior Makers Kits'!F323="","",'Junior Makers Kits'!F323)</f>
        <v/>
      </c>
      <c r="P619" s="0" t="str">
        <f aca="false">IF('Junior Makers Kits'!G323="","",'Junior Makers Kits'!G323)</f>
        <v/>
      </c>
    </row>
    <row r="620" customFormat="false" ht="15" hidden="false" customHeight="false" outlineLevel="0" collapsed="false">
      <c r="A620" s="0" t="s">
        <v>196</v>
      </c>
      <c r="B620" s="0" t="n">
        <v>12</v>
      </c>
      <c r="C620" s="0" t="str">
        <f aca="false">IF('Junior Makers Kits'!C324="","",'Junior Makers Kits'!C324)</f>
        <v/>
      </c>
      <c r="D620" s="0" t="str">
        <f aca="false">IF('Junior Makers Kits'!D324="","",'Junior Makers Kits'!D324)</f>
        <v/>
      </c>
      <c r="E620" s="0" t="str">
        <f aca="false">IF('Junior Makers Kits'!E324="","",'Junior Makers Kits'!E324)</f>
        <v/>
      </c>
      <c r="F620" s="0" t="str">
        <f aca="false">IFERROR(INDEX('Session Tracker'!$M$5:$M$149,MATCH($A620,'Session Tracker'!$D$5:$D$149,0))+0,"")</f>
        <v/>
      </c>
      <c r="G620" s="0" t="str">
        <f aca="false">IF(ISNUMBER(F620),IF(OR(B620=0,B620=99,C620&lt;&gt;""),F620*100+B620,""),"")</f>
        <v/>
      </c>
      <c r="H620" s="0" t="n">
        <f aca="false">IFERROR(INDEX('Session Tracker'!$J$5:$J$149,MATCH($A620,'Session Tracker'!$D$5:$D$149,0)),0)</f>
        <v>8</v>
      </c>
      <c r="I620" s="0" t="str">
        <f aca="false">IF(OR(B620=0,B620=99,C620=""),"",IF(E620="Per class",D620,D620*H620))</f>
        <v/>
      </c>
      <c r="N620" s="0" t="str">
        <f aca="false">IF('Junior Makers Kits'!B324="","",'Junior Makers Kits'!B324)</f>
        <v/>
      </c>
      <c r="O620" s="0" t="str">
        <f aca="false">IF('Junior Makers Kits'!F324="","",'Junior Makers Kits'!F324)</f>
        <v/>
      </c>
      <c r="P620" s="0" t="str">
        <f aca="false">IF('Junior Makers Kits'!G324="","",'Junior Makers Kits'!G324)</f>
        <v/>
      </c>
    </row>
    <row r="621" customFormat="false" ht="15" hidden="false" customHeight="false" outlineLevel="0" collapsed="false">
      <c r="A621" s="0" t="s">
        <v>198</v>
      </c>
      <c r="B621" s="0" t="n">
        <v>0</v>
      </c>
      <c r="F621" s="0" t="str">
        <f aca="false">IFERROR(INDEX('Session Tracker'!$M$5:$M$149,MATCH($A621,'Session Tracker'!$D$5:$D$149,0))+0,"")</f>
        <v/>
      </c>
      <c r="G621" s="0" t="str">
        <f aca="false">IF(ISNUMBER(F621),IF(OR(B621=0,B621=99,C621&lt;&gt;""),F621*100+B621,""),"")</f>
        <v/>
      </c>
      <c r="H621" s="0" t="n">
        <f aca="false">IFERROR(INDEX('Session Tracker'!$J$5:$J$149,MATCH($A621,'Session Tracker'!$D$5:$D$149,0)),0)</f>
        <v>8</v>
      </c>
      <c r="I621" s="0" t="str">
        <f aca="false">IF(OR(B621=0,B621=99,C621=""),"",IF(E621="Per class",D621,D621*H621))</f>
        <v/>
      </c>
      <c r="K621" s="0" t="str">
        <f aca="false">IFERROR(INDEX('Session Tracker'!$E$5:$E$149,MATCH($A621,'Session Tracker'!$D$5:$D$149,0)),"")</f>
        <v>8x8 LED Matrix Emoji Display</v>
      </c>
      <c r="L621" s="0" t="str">
        <f aca="false">IFERROR(INDEX('Session Tracker'!$A$5:$A$149,MATCH($A621,'Session Tracker'!$D$5:$D$149,0)),"")</f>
        <v>Junior Makers (8-11)</v>
      </c>
      <c r="M621" s="0" t="str">
        <f aca="false">IFERROR(INDEX('Session Tracker'!$H$5:$H$149,MATCH($A621,'Session Tracker'!$D$5:$D$149,0))&amp;"","")</f>
        <v/>
      </c>
      <c r="Q621" s="0" t="str">
        <f aca="false">IFERROR("Status: "&amp;INDEX('Session Tracker'!$F$5:$F$149,MATCH($A621,'Session Tracker'!$D$5:$D$149,0))&amp;IF(INDEX('Session Tracker'!$G$5:$G$149,MATCH($A621,'Session Tracker'!$D$5:$D$149,0))&lt;&gt;""," ("&amp;INDEX('Session Tracker'!$G$5:$G$149,MATCH($A621,'Session Tracker'!$D$5:$D$149,0))&amp;")","")&amp;IF(M621&lt;&gt;"","  "&amp;M621,""),"")</f>
        <v>Status: Not started</v>
      </c>
    </row>
    <row r="622" customFormat="false" ht="15" hidden="false" customHeight="false" outlineLevel="0" collapsed="false">
      <c r="A622" s="0" t="s">
        <v>198</v>
      </c>
      <c r="B622" s="0" t="n">
        <v>1</v>
      </c>
      <c r="C622" s="0" t="str">
        <f aca="false">IF('Junior Makers Kits'!C327="","",'Junior Makers Kits'!C327)</f>
        <v>Arduino Uno + USB cable</v>
      </c>
      <c r="D622" s="0" t="n">
        <f aca="false">IF('Junior Makers Kits'!D327="","",'Junior Makers Kits'!D327)</f>
        <v>1</v>
      </c>
      <c r="E622" s="0" t="str">
        <f aca="false">IF('Junior Makers Kits'!E327="","",'Junior Makers Kits'!E327)</f>
        <v>Per group</v>
      </c>
      <c r="F622" s="0" t="str">
        <f aca="false">IFERROR(INDEX('Session Tracker'!$M$5:$M$149,MATCH($A622,'Session Tracker'!$D$5:$D$149,0))+0,"")</f>
        <v/>
      </c>
      <c r="G622" s="0" t="str">
        <f aca="false">IF(ISNUMBER(F622),IF(OR(B622=0,B622=99,C622&lt;&gt;""),F622*100+B622,""),"")</f>
        <v/>
      </c>
      <c r="H622" s="0" t="n">
        <f aca="false">IFERROR(INDEX('Session Tracker'!$J$5:$J$149,MATCH($A622,'Session Tracker'!$D$5:$D$149,0)),0)</f>
        <v>8</v>
      </c>
      <c r="I622" s="0" t="n">
        <f aca="false">IF(OR(B622=0,B622=99,C622=""),"",IF(E622="Per class",D622,D622*H622))</f>
        <v>8</v>
      </c>
      <c r="N622" s="0" t="str">
        <f aca="false">IF('Junior Makers Kits'!B327="","",'Junior Makers Kits'!B327)</f>
        <v>Microcontrollers &amp; Dev Boards</v>
      </c>
      <c r="O622" s="0" t="str">
        <f aca="false">IF('Junior Makers Kits'!F327="","",'Junior Makers Kits'!F327)</f>
        <v>Reusable</v>
      </c>
      <c r="P622" s="0" t="str">
        <f aca="false">IF('Junior Makers Kits'!G327="","",'Junior Makers Kits'!G327)</f>
        <v/>
      </c>
    </row>
    <row r="623" customFormat="false" ht="15" hidden="false" customHeight="false" outlineLevel="0" collapsed="false">
      <c r="A623" s="0" t="s">
        <v>198</v>
      </c>
      <c r="B623" s="0" t="n">
        <v>2</v>
      </c>
      <c r="C623" s="0" t="str">
        <f aca="false">IF('Junior Makers Kits'!C328="","",'Junior Makers Kits'!C328)</f>
        <v>MAX7219 8x8 LED matrix</v>
      </c>
      <c r="D623" s="0" t="n">
        <f aca="false">IF('Junior Makers Kits'!D328="","",'Junior Makers Kits'!D328)</f>
        <v>1</v>
      </c>
      <c r="E623" s="0" t="str">
        <f aca="false">IF('Junior Makers Kits'!E328="","",'Junior Makers Kits'!E328)</f>
        <v>Per group</v>
      </c>
      <c r="F623" s="0" t="str">
        <f aca="false">IFERROR(INDEX('Session Tracker'!$M$5:$M$149,MATCH($A623,'Session Tracker'!$D$5:$D$149,0))+0,"")</f>
        <v/>
      </c>
      <c r="G623" s="0" t="str">
        <f aca="false">IF(ISNUMBER(F623),IF(OR(B623=0,B623=99,C623&lt;&gt;""),F623*100+B623,""),"")</f>
        <v/>
      </c>
      <c r="H623" s="0" t="n">
        <f aca="false">IFERROR(INDEX('Session Tracker'!$J$5:$J$149,MATCH($A623,'Session Tracker'!$D$5:$D$149,0)),0)</f>
        <v>8</v>
      </c>
      <c r="I623" s="0" t="n">
        <f aca="false">IF(OR(B623=0,B623=99,C623=""),"",IF(E623="Per class",D623,D623*H623))</f>
        <v>8</v>
      </c>
      <c r="N623" s="0" t="str">
        <f aca="false">IF('Junior Makers Kits'!B328="","",'Junior Makers Kits'!B328)</f>
        <v>Displays &amp; Output</v>
      </c>
      <c r="O623" s="0" t="str">
        <f aca="false">IF('Junior Makers Kits'!F328="","",'Junior Makers Kits'!F328)</f>
        <v>Reusable</v>
      </c>
      <c r="P623" s="0" t="str">
        <f aca="false">IF('Junior Makers Kits'!G328="","",'Junior Makers Kits'!G328)</f>
        <v/>
      </c>
    </row>
    <row r="624" customFormat="false" ht="15" hidden="false" customHeight="false" outlineLevel="0" collapsed="false">
      <c r="A624" s="0" t="s">
        <v>198</v>
      </c>
      <c r="B624" s="0" t="n">
        <v>3</v>
      </c>
      <c r="C624" s="0" t="str">
        <f aca="false">IF('Junior Makers Kits'!C329="","",'Junior Makers Kits'!C329)</f>
        <v>Printed templates</v>
      </c>
      <c r="D624" s="0" t="n">
        <f aca="false">IF('Junior Makers Kits'!D329="","",'Junior Makers Kits'!D329)</f>
        <v>1</v>
      </c>
      <c r="E624" s="0" t="str">
        <f aca="false">IF('Junior Makers Kits'!E329="","",'Junior Makers Kits'!E329)</f>
        <v>Per group</v>
      </c>
      <c r="F624" s="0" t="str">
        <f aca="false">IFERROR(INDEX('Session Tracker'!$M$5:$M$149,MATCH($A624,'Session Tracker'!$D$5:$D$149,0))+0,"")</f>
        <v/>
      </c>
      <c r="G624" s="0" t="str">
        <f aca="false">IF(ISNUMBER(F624),IF(OR(B624=0,B624=99,C624&lt;&gt;""),F624*100+B624,""),"")</f>
        <v/>
      </c>
      <c r="H624" s="0" t="n">
        <f aca="false">IFERROR(INDEX('Session Tracker'!$J$5:$J$149,MATCH($A624,'Session Tracker'!$D$5:$D$149,0)),0)</f>
        <v>8</v>
      </c>
      <c r="I624" s="0" t="n">
        <f aca="false">IF(OR(B624=0,B624=99,C624=""),"",IF(E624="Per class",D624,D624*H624))</f>
        <v>8</v>
      </c>
      <c r="N624" s="0" t="str">
        <f aca="false">IF('Junior Makers Kits'!B329="","",'Junior Makers Kits'!B329)</f>
        <v>Craft &amp; Stationery</v>
      </c>
      <c r="O624" s="0" t="str">
        <f aca="false">IF('Junior Makers Kits'!F329="","",'Junior Makers Kits'!F329)</f>
        <v>Consumable</v>
      </c>
      <c r="P624" s="0" t="str">
        <f aca="false">IF('Junior Makers Kits'!G329="","",'Junior Makers Kits'!G329)</f>
        <v/>
      </c>
    </row>
    <row r="625" customFormat="false" ht="15" hidden="false" customHeight="false" outlineLevel="0" collapsed="false">
      <c r="A625" s="0" t="s">
        <v>198</v>
      </c>
      <c r="B625" s="0" t="n">
        <v>4</v>
      </c>
      <c r="C625" s="0" t="str">
        <f aca="false">IF('Junior Makers Kits'!C330="","",'Junior Makers Kits'!C330)</f>
        <v>Jumper wires M-F</v>
      </c>
      <c r="D625" s="0" t="n">
        <f aca="false">IF('Junior Makers Kits'!D330="","",'Junior Makers Kits'!D330)</f>
        <v>5</v>
      </c>
      <c r="E625" s="0" t="str">
        <f aca="false">IF('Junior Makers Kits'!E330="","",'Junior Makers Kits'!E330)</f>
        <v>Per group</v>
      </c>
      <c r="F625" s="0" t="str">
        <f aca="false">IFERROR(INDEX('Session Tracker'!$M$5:$M$149,MATCH($A625,'Session Tracker'!$D$5:$D$149,0))+0,"")</f>
        <v/>
      </c>
      <c r="G625" s="0" t="str">
        <f aca="false">IF(ISNUMBER(F625),IF(OR(B625=0,B625=99,C625&lt;&gt;""),F625*100+B625,""),"")</f>
        <v/>
      </c>
      <c r="H625" s="0" t="n">
        <f aca="false">IFERROR(INDEX('Session Tracker'!$J$5:$J$149,MATCH($A625,'Session Tracker'!$D$5:$D$149,0)),0)</f>
        <v>8</v>
      </c>
      <c r="I625" s="0" t="n">
        <f aca="false">IF(OR(B625=0,B625=99,C625=""),"",IF(E625="Per class",D625,D625*H625))</f>
        <v>40</v>
      </c>
      <c r="N625" s="0" t="str">
        <f aca="false">IF('Junior Makers Kits'!B330="","",'Junior Makers Kits'!B330)</f>
        <v>Wiring &amp; Prototyping</v>
      </c>
      <c r="O625" s="0" t="str">
        <f aca="false">IF('Junior Makers Kits'!F330="","",'Junior Makers Kits'!F330)</f>
        <v>Reusable</v>
      </c>
      <c r="P625" s="0" t="str">
        <f aca="false">IF('Junior Makers Kits'!G330="","",'Junior Makers Kits'!G330)</f>
        <v/>
      </c>
    </row>
    <row r="626" customFormat="false" ht="15" hidden="false" customHeight="false" outlineLevel="0" collapsed="false">
      <c r="A626" s="0" t="s">
        <v>198</v>
      </c>
      <c r="B626" s="0" t="n">
        <v>5</v>
      </c>
      <c r="C626" s="0" t="str">
        <f aca="false">IF('Junior Makers Kits'!C331="","",'Junior Makers Kits'!C331)</f>
        <v>Laptop</v>
      </c>
      <c r="D626" s="0" t="n">
        <f aca="false">IF('Junior Makers Kits'!D331="","",'Junior Makers Kits'!D331)</f>
        <v>1</v>
      </c>
      <c r="E626" s="0" t="str">
        <f aca="false">IF('Junior Makers Kits'!E331="","",'Junior Makers Kits'!E331)</f>
        <v>Per group</v>
      </c>
      <c r="F626" s="0" t="str">
        <f aca="false">IFERROR(INDEX('Session Tracker'!$M$5:$M$149,MATCH($A626,'Session Tracker'!$D$5:$D$149,0))+0,"")</f>
        <v/>
      </c>
      <c r="G626" s="0" t="str">
        <f aca="false">IF(ISNUMBER(F626),IF(OR(B626=0,B626=99,C626&lt;&gt;""),F626*100+B626,""),"")</f>
        <v/>
      </c>
      <c r="H626" s="0" t="n">
        <f aca="false">IFERROR(INDEX('Session Tracker'!$J$5:$J$149,MATCH($A626,'Session Tracker'!$D$5:$D$149,0)),0)</f>
        <v>8</v>
      </c>
      <c r="I626" s="0" t="n">
        <f aca="false">IF(OR(B626=0,B626=99,C626=""),"",IF(E626="Per class",D626,D626*H626))</f>
        <v>8</v>
      </c>
      <c r="N626" s="0" t="str">
        <f aca="false">IF('Junior Makers Kits'!B331="","",'Junior Makers Kits'!B331)</f>
        <v>Computers &amp; Equipment</v>
      </c>
      <c r="O626" s="0" t="str">
        <f aca="false">IF('Junior Makers Kits'!F331="","",'Junior Makers Kits'!F331)</f>
        <v>Reusable</v>
      </c>
      <c r="P626" s="0" t="str">
        <f aca="false">IF('Junior Makers Kits'!G331="","",'Junior Makers Kits'!G331)</f>
        <v/>
      </c>
    </row>
    <row r="627" customFormat="false" ht="15" hidden="false" customHeight="false" outlineLevel="0" collapsed="false">
      <c r="A627" s="0" t="s">
        <v>198</v>
      </c>
      <c r="B627" s="0" t="n">
        <v>6</v>
      </c>
      <c r="C627" s="0" t="str">
        <f aca="false">IF('Junior Makers Kits'!C332="","",'Junior Makers Kits'!C332)</f>
        <v>LED 5 mm (assorted)</v>
      </c>
      <c r="D627" s="0" t="n">
        <f aca="false">IF('Junior Makers Kits'!D332="","",'Junior Makers Kits'!D332)</f>
        <v>1</v>
      </c>
      <c r="E627" s="0" t="str">
        <f aca="false">IF('Junior Makers Kits'!E332="","",'Junior Makers Kits'!E332)</f>
        <v>Per group</v>
      </c>
      <c r="F627" s="0" t="str">
        <f aca="false">IFERROR(INDEX('Session Tracker'!$M$5:$M$149,MATCH($A627,'Session Tracker'!$D$5:$D$149,0))+0,"")</f>
        <v/>
      </c>
      <c r="G627" s="0" t="str">
        <f aca="false">IF(ISNUMBER(F627),IF(OR(B627=0,B627=99,C627&lt;&gt;""),F627*100+B627,""),"")</f>
        <v/>
      </c>
      <c r="H627" s="0" t="n">
        <f aca="false">IFERROR(INDEX('Session Tracker'!$J$5:$J$149,MATCH($A627,'Session Tracker'!$D$5:$D$149,0)),0)</f>
        <v>8</v>
      </c>
      <c r="I627" s="0" t="n">
        <f aca="false">IF(OR(B627=0,B627=99,C627=""),"",IF(E627="Per class",D627,D627*H627))</f>
        <v>8</v>
      </c>
      <c r="N627" s="0" t="str">
        <f aca="false">IF('Junior Makers Kits'!B332="","",'Junior Makers Kits'!B332)</f>
        <v>Displays &amp; Output</v>
      </c>
      <c r="O627" s="0" t="str">
        <f aca="false">IF('Junior Makers Kits'!F332="","",'Junior Makers Kits'!F332)</f>
        <v>Consumable</v>
      </c>
      <c r="P627" s="0" t="str">
        <f aca="false">IF('Junior Makers Kits'!G332="","",'Junior Makers Kits'!G332)</f>
        <v>Added: every Arduino class</v>
      </c>
    </row>
    <row r="628" customFormat="false" ht="15" hidden="false" customHeight="false" outlineLevel="0" collapsed="false">
      <c r="A628" s="0" t="s">
        <v>198</v>
      </c>
      <c r="B628" s="0" t="n">
        <v>7</v>
      </c>
      <c r="C628" s="0" t="str">
        <f aca="false">IF('Junior Makers Kits'!C333="","",'Junior Makers Kits'!C333)</f>
        <v>Resistor 220 ohm</v>
      </c>
      <c r="D628" s="0" t="n">
        <f aca="false">IF('Junior Makers Kits'!D333="","",'Junior Makers Kits'!D333)</f>
        <v>1</v>
      </c>
      <c r="E628" s="0" t="str">
        <f aca="false">IF('Junior Makers Kits'!E333="","",'Junior Makers Kits'!E333)</f>
        <v>Per group</v>
      </c>
      <c r="F628" s="0" t="str">
        <f aca="false">IFERROR(INDEX('Session Tracker'!$M$5:$M$149,MATCH($A628,'Session Tracker'!$D$5:$D$149,0))+0,"")</f>
        <v/>
      </c>
      <c r="G628" s="0" t="str">
        <f aca="false">IF(ISNUMBER(F628),IF(OR(B628=0,B628=99,C628&lt;&gt;""),F628*100+B628,""),"")</f>
        <v/>
      </c>
      <c r="H628" s="0" t="n">
        <f aca="false">IFERROR(INDEX('Session Tracker'!$J$5:$J$149,MATCH($A628,'Session Tracker'!$D$5:$D$149,0)),0)</f>
        <v>8</v>
      </c>
      <c r="I628" s="0" t="n">
        <f aca="false">IF(OR(B628=0,B628=99,C628=""),"",IF(E628="Per class",D628,D628*H628))</f>
        <v>8</v>
      </c>
      <c r="N628" s="0" t="str">
        <f aca="false">IF('Junior Makers Kits'!B333="","",'Junior Makers Kits'!B333)</f>
        <v>Passive Components &amp; ICs</v>
      </c>
      <c r="O628" s="0" t="str">
        <f aca="false">IF('Junior Makers Kits'!F333="","",'Junior Makers Kits'!F333)</f>
        <v>Consumable</v>
      </c>
      <c r="P628" s="0" t="str">
        <f aca="false">IF('Junior Makers Kits'!G333="","",'Junior Makers Kits'!G333)</f>
        <v>Added: for the LED</v>
      </c>
    </row>
    <row r="629" customFormat="false" ht="15" hidden="false" customHeight="false" outlineLevel="0" collapsed="false">
      <c r="A629" s="0" t="s">
        <v>198</v>
      </c>
      <c r="B629" s="0" t="n">
        <v>8</v>
      </c>
      <c r="C629" s="0" t="str">
        <f aca="false">IF('Junior Makers Kits'!C334="","",'Junior Makers Kits'!C334)</f>
        <v>Buzzer</v>
      </c>
      <c r="D629" s="0" t="n">
        <f aca="false">IF('Junior Makers Kits'!D334="","",'Junior Makers Kits'!D334)</f>
        <v>1</v>
      </c>
      <c r="E629" s="0" t="str">
        <f aca="false">IF('Junior Makers Kits'!E334="","",'Junior Makers Kits'!E334)</f>
        <v>Per group</v>
      </c>
      <c r="F629" s="0" t="str">
        <f aca="false">IFERROR(INDEX('Session Tracker'!$M$5:$M$149,MATCH($A629,'Session Tracker'!$D$5:$D$149,0))+0,"")</f>
        <v/>
      </c>
      <c r="G629" s="0" t="str">
        <f aca="false">IF(ISNUMBER(F629),IF(OR(B629=0,B629=99,C629&lt;&gt;""),F629*100+B629,""),"")</f>
        <v/>
      </c>
      <c r="H629" s="0" t="n">
        <f aca="false">IFERROR(INDEX('Session Tracker'!$J$5:$J$149,MATCH($A629,'Session Tracker'!$D$5:$D$149,0)),0)</f>
        <v>8</v>
      </c>
      <c r="I629" s="0" t="n">
        <f aca="false">IF(OR(B629=0,B629=99,C629=""),"",IF(E629="Per class",D629,D629*H629))</f>
        <v>8</v>
      </c>
      <c r="N629" s="0" t="str">
        <f aca="false">IF('Junior Makers Kits'!B334="","",'Junior Makers Kits'!B334)</f>
        <v>Actuators &amp; Motor Drivers</v>
      </c>
      <c r="O629" s="0" t="str">
        <f aca="false">IF('Junior Makers Kits'!F334="","",'Junior Makers Kits'!F334)</f>
        <v>Reusable</v>
      </c>
      <c r="P629" s="0" t="str">
        <f aca="false">IF('Junior Makers Kits'!G334="","",'Junior Makers Kits'!G334)</f>
        <v>Added: every Arduino class</v>
      </c>
    </row>
    <row r="630" customFormat="false" ht="15" hidden="false" customHeight="false" outlineLevel="0" collapsed="false">
      <c r="A630" s="0" t="s">
        <v>198</v>
      </c>
      <c r="B630" s="0" t="n">
        <v>9</v>
      </c>
      <c r="C630" s="0" t="str">
        <f aca="false">IF('Junior Makers Kits'!C335="","",'Junior Makers Kits'!C335)</f>
        <v/>
      </c>
      <c r="D630" s="0" t="str">
        <f aca="false">IF('Junior Makers Kits'!D335="","",'Junior Makers Kits'!D335)</f>
        <v/>
      </c>
      <c r="E630" s="0" t="str">
        <f aca="false">IF('Junior Makers Kits'!E335="","",'Junior Makers Kits'!E335)</f>
        <v/>
      </c>
      <c r="F630" s="0" t="str">
        <f aca="false">IFERROR(INDEX('Session Tracker'!$M$5:$M$149,MATCH($A630,'Session Tracker'!$D$5:$D$149,0))+0,"")</f>
        <v/>
      </c>
      <c r="G630" s="0" t="str">
        <f aca="false">IF(ISNUMBER(F630),IF(OR(B630=0,B630=99,C630&lt;&gt;""),F630*100+B630,""),"")</f>
        <v/>
      </c>
      <c r="H630" s="0" t="n">
        <f aca="false">IFERROR(INDEX('Session Tracker'!$J$5:$J$149,MATCH($A630,'Session Tracker'!$D$5:$D$149,0)),0)</f>
        <v>8</v>
      </c>
      <c r="I630" s="0" t="str">
        <f aca="false">IF(OR(B630=0,B630=99,C630=""),"",IF(E630="Per class",D630,D630*H630))</f>
        <v/>
      </c>
      <c r="N630" s="0" t="str">
        <f aca="false">IF('Junior Makers Kits'!B335="","",'Junior Makers Kits'!B335)</f>
        <v/>
      </c>
      <c r="O630" s="0" t="str">
        <f aca="false">IF('Junior Makers Kits'!F335="","",'Junior Makers Kits'!F335)</f>
        <v/>
      </c>
      <c r="P630" s="0" t="str">
        <f aca="false">IF('Junior Makers Kits'!G335="","",'Junior Makers Kits'!G335)</f>
        <v/>
      </c>
    </row>
    <row r="631" customFormat="false" ht="15" hidden="false" customHeight="false" outlineLevel="0" collapsed="false">
      <c r="A631" s="0" t="s">
        <v>198</v>
      </c>
      <c r="B631" s="0" t="n">
        <v>10</v>
      </c>
      <c r="C631" s="0" t="str">
        <f aca="false">IF('Junior Makers Kits'!C336="","",'Junior Makers Kits'!C336)</f>
        <v/>
      </c>
      <c r="D631" s="0" t="str">
        <f aca="false">IF('Junior Makers Kits'!D336="","",'Junior Makers Kits'!D336)</f>
        <v/>
      </c>
      <c r="E631" s="0" t="str">
        <f aca="false">IF('Junior Makers Kits'!E336="","",'Junior Makers Kits'!E336)</f>
        <v/>
      </c>
      <c r="F631" s="0" t="str">
        <f aca="false">IFERROR(INDEX('Session Tracker'!$M$5:$M$149,MATCH($A631,'Session Tracker'!$D$5:$D$149,0))+0,"")</f>
        <v/>
      </c>
      <c r="G631" s="0" t="str">
        <f aca="false">IF(ISNUMBER(F631),IF(OR(B631=0,B631=99,C631&lt;&gt;""),F631*100+B631,""),"")</f>
        <v/>
      </c>
      <c r="H631" s="0" t="n">
        <f aca="false">IFERROR(INDEX('Session Tracker'!$J$5:$J$149,MATCH($A631,'Session Tracker'!$D$5:$D$149,0)),0)</f>
        <v>8</v>
      </c>
      <c r="I631" s="0" t="str">
        <f aca="false">IF(OR(B631=0,B631=99,C631=""),"",IF(E631="Per class",D631,D631*H631))</f>
        <v/>
      </c>
      <c r="N631" s="0" t="str">
        <f aca="false">IF('Junior Makers Kits'!B336="","",'Junior Makers Kits'!B336)</f>
        <v/>
      </c>
      <c r="O631" s="0" t="str">
        <f aca="false">IF('Junior Makers Kits'!F336="","",'Junior Makers Kits'!F336)</f>
        <v/>
      </c>
      <c r="P631" s="0" t="str">
        <f aca="false">IF('Junior Makers Kits'!G336="","",'Junior Makers Kits'!G336)</f>
        <v/>
      </c>
    </row>
    <row r="632" customFormat="false" ht="15" hidden="false" customHeight="false" outlineLevel="0" collapsed="false">
      <c r="A632" s="0" t="s">
        <v>200</v>
      </c>
      <c r="B632" s="0" t="n">
        <v>0</v>
      </c>
      <c r="F632" s="0" t="str">
        <f aca="false">IFERROR(INDEX('Session Tracker'!$M$5:$M$149,MATCH($A632,'Session Tracker'!$D$5:$D$149,0))+0,"")</f>
        <v/>
      </c>
      <c r="G632" s="0" t="str">
        <f aca="false">IF(ISNUMBER(F632),IF(OR(B632=0,B632=99,C632&lt;&gt;""),F632*100+B632,""),"")</f>
        <v/>
      </c>
      <c r="H632" s="0" t="n">
        <f aca="false">IFERROR(INDEX('Session Tracker'!$J$5:$J$149,MATCH($A632,'Session Tracker'!$D$5:$D$149,0)),0)</f>
        <v>8</v>
      </c>
      <c r="I632" s="0" t="str">
        <f aca="false">IF(OR(B632=0,B632=99,C632=""),"",IF(E632="Per class",D632,D632*H632))</f>
        <v/>
      </c>
      <c r="K632" s="0" t="str">
        <f aca="false">IFERROR(INDEX('Session Tracker'!$E$5:$E$149,MATCH($A632,'Session Tracker'!$D$5:$D$149,0)),"")</f>
        <v>Ultrasonic Theremin: Music in the Air</v>
      </c>
      <c r="L632" s="0" t="str">
        <f aca="false">IFERROR(INDEX('Session Tracker'!$A$5:$A$149,MATCH($A632,'Session Tracker'!$D$5:$D$149,0)),"")</f>
        <v>Junior Makers (8-11)</v>
      </c>
      <c r="M632" s="0" t="str">
        <f aca="false">IFERROR(INDEX('Session Tracker'!$H$5:$H$149,MATCH($A632,'Session Tracker'!$D$5:$D$149,0))&amp;"","")</f>
        <v/>
      </c>
      <c r="Q632" s="0" t="str">
        <f aca="false">IFERROR("Status: "&amp;INDEX('Session Tracker'!$F$5:$F$149,MATCH($A632,'Session Tracker'!$D$5:$D$149,0))&amp;IF(INDEX('Session Tracker'!$G$5:$G$149,MATCH($A632,'Session Tracker'!$D$5:$D$149,0))&lt;&gt;""," ("&amp;INDEX('Session Tracker'!$G$5:$G$149,MATCH($A632,'Session Tracker'!$D$5:$D$149,0))&amp;")","")&amp;IF(M632&lt;&gt;"","  "&amp;M632,""),"")</f>
        <v>Status: Not started</v>
      </c>
    </row>
    <row r="633" customFormat="false" ht="15" hidden="false" customHeight="false" outlineLevel="0" collapsed="false">
      <c r="A633" s="0" t="s">
        <v>200</v>
      </c>
      <c r="B633" s="0" t="n">
        <v>1</v>
      </c>
      <c r="C633" s="0" t="str">
        <f aca="false">IF('Junior Makers Kits'!C339="","",'Junior Makers Kits'!C339)</f>
        <v>Arduino Uno + USB cable</v>
      </c>
      <c r="D633" s="0" t="n">
        <f aca="false">IF('Junior Makers Kits'!D339="","",'Junior Makers Kits'!D339)</f>
        <v>1</v>
      </c>
      <c r="E633" s="0" t="str">
        <f aca="false">IF('Junior Makers Kits'!E339="","",'Junior Makers Kits'!E339)</f>
        <v>Per group</v>
      </c>
      <c r="F633" s="0" t="str">
        <f aca="false">IFERROR(INDEX('Session Tracker'!$M$5:$M$149,MATCH($A633,'Session Tracker'!$D$5:$D$149,0))+0,"")</f>
        <v/>
      </c>
      <c r="G633" s="0" t="str">
        <f aca="false">IF(ISNUMBER(F633),IF(OR(B633=0,B633=99,C633&lt;&gt;""),F633*100+B633,""),"")</f>
        <v/>
      </c>
      <c r="H633" s="0" t="n">
        <f aca="false">IFERROR(INDEX('Session Tracker'!$J$5:$J$149,MATCH($A633,'Session Tracker'!$D$5:$D$149,0)),0)</f>
        <v>8</v>
      </c>
      <c r="I633" s="0" t="n">
        <f aca="false">IF(OR(B633=0,B633=99,C633=""),"",IF(E633="Per class",D633,D633*H633))</f>
        <v>8</v>
      </c>
      <c r="N633" s="0" t="str">
        <f aca="false">IF('Junior Makers Kits'!B339="","",'Junior Makers Kits'!B339)</f>
        <v>Microcontrollers &amp; Dev Boards</v>
      </c>
      <c r="O633" s="0" t="str">
        <f aca="false">IF('Junior Makers Kits'!F339="","",'Junior Makers Kits'!F339)</f>
        <v>Reusable</v>
      </c>
      <c r="P633" s="0" t="str">
        <f aca="false">IF('Junior Makers Kits'!G339="","",'Junior Makers Kits'!G339)</f>
        <v/>
      </c>
    </row>
    <row r="634" customFormat="false" ht="15" hidden="false" customHeight="false" outlineLevel="0" collapsed="false">
      <c r="A634" s="0" t="s">
        <v>200</v>
      </c>
      <c r="B634" s="0" t="n">
        <v>2</v>
      </c>
      <c r="C634" s="0" t="str">
        <f aca="false">IF('Junior Makers Kits'!C340="","",'Junior Makers Kits'!C340)</f>
        <v>Ultrasonic sensor HC-SR04</v>
      </c>
      <c r="D634" s="0" t="n">
        <f aca="false">IF('Junior Makers Kits'!D340="","",'Junior Makers Kits'!D340)</f>
        <v>1</v>
      </c>
      <c r="E634" s="0" t="str">
        <f aca="false">IF('Junior Makers Kits'!E340="","",'Junior Makers Kits'!E340)</f>
        <v>Per group</v>
      </c>
      <c r="F634" s="0" t="str">
        <f aca="false">IFERROR(INDEX('Session Tracker'!$M$5:$M$149,MATCH($A634,'Session Tracker'!$D$5:$D$149,0))+0,"")</f>
        <v/>
      </c>
      <c r="G634" s="0" t="str">
        <f aca="false">IF(ISNUMBER(F634),IF(OR(B634=0,B634=99,C634&lt;&gt;""),F634*100+B634,""),"")</f>
        <v/>
      </c>
      <c r="H634" s="0" t="n">
        <f aca="false">IFERROR(INDEX('Session Tracker'!$J$5:$J$149,MATCH($A634,'Session Tracker'!$D$5:$D$149,0)),0)</f>
        <v>8</v>
      </c>
      <c r="I634" s="0" t="n">
        <f aca="false">IF(OR(B634=0,B634=99,C634=""),"",IF(E634="Per class",D634,D634*H634))</f>
        <v>8</v>
      </c>
      <c r="N634" s="0" t="str">
        <f aca="false">IF('Junior Makers Kits'!B340="","",'Junior Makers Kits'!B340)</f>
        <v>Sensors</v>
      </c>
      <c r="O634" s="0" t="str">
        <f aca="false">IF('Junior Makers Kits'!F340="","",'Junior Makers Kits'!F340)</f>
        <v>Reusable</v>
      </c>
      <c r="P634" s="0" t="str">
        <f aca="false">IF('Junior Makers Kits'!G340="","",'Junior Makers Kits'!G340)</f>
        <v/>
      </c>
    </row>
    <row r="635" customFormat="false" ht="15" hidden="false" customHeight="false" outlineLevel="0" collapsed="false">
      <c r="A635" s="0" t="s">
        <v>200</v>
      </c>
      <c r="B635" s="0" t="n">
        <v>3</v>
      </c>
      <c r="C635" s="0" t="str">
        <f aca="false">IF('Junior Makers Kits'!C341="","",'Junior Makers Kits'!C341)</f>
        <v>Passive buzzer</v>
      </c>
      <c r="D635" s="0" t="n">
        <f aca="false">IF('Junior Makers Kits'!D341="","",'Junior Makers Kits'!D341)</f>
        <v>1</v>
      </c>
      <c r="E635" s="0" t="str">
        <f aca="false">IF('Junior Makers Kits'!E341="","",'Junior Makers Kits'!E341)</f>
        <v>Per group</v>
      </c>
      <c r="F635" s="0" t="str">
        <f aca="false">IFERROR(INDEX('Session Tracker'!$M$5:$M$149,MATCH($A635,'Session Tracker'!$D$5:$D$149,0))+0,"")</f>
        <v/>
      </c>
      <c r="G635" s="0" t="str">
        <f aca="false">IF(ISNUMBER(F635),IF(OR(B635=0,B635=99,C635&lt;&gt;""),F635*100+B635,""),"")</f>
        <v/>
      </c>
      <c r="H635" s="0" t="n">
        <f aca="false">IFERROR(INDEX('Session Tracker'!$J$5:$J$149,MATCH($A635,'Session Tracker'!$D$5:$D$149,0)),0)</f>
        <v>8</v>
      </c>
      <c r="I635" s="0" t="n">
        <f aca="false">IF(OR(B635=0,B635=99,C635=""),"",IF(E635="Per class",D635,D635*H635))</f>
        <v>8</v>
      </c>
      <c r="N635" s="0" t="str">
        <f aca="false">IF('Junior Makers Kits'!B341="","",'Junior Makers Kits'!B341)</f>
        <v>Actuators &amp; Motor Drivers</v>
      </c>
      <c r="O635" s="0" t="str">
        <f aca="false">IF('Junior Makers Kits'!F341="","",'Junior Makers Kits'!F341)</f>
        <v>Reusable</v>
      </c>
      <c r="P635" s="0" t="str">
        <f aca="false">IF('Junior Makers Kits'!G341="","",'Junior Makers Kits'!G341)</f>
        <v/>
      </c>
    </row>
    <row r="636" customFormat="false" ht="15" hidden="false" customHeight="false" outlineLevel="0" collapsed="false">
      <c r="A636" s="0" t="s">
        <v>200</v>
      </c>
      <c r="B636" s="0" t="n">
        <v>4</v>
      </c>
      <c r="C636" s="0" t="str">
        <f aca="false">IF('Junior Makers Kits'!C342="","",'Junior Makers Kits'!C342)</f>
        <v>Push button</v>
      </c>
      <c r="D636" s="0" t="n">
        <f aca="false">IF('Junior Makers Kits'!D342="","",'Junior Makers Kits'!D342)</f>
        <v>1</v>
      </c>
      <c r="E636" s="0" t="str">
        <f aca="false">IF('Junior Makers Kits'!E342="","",'Junior Makers Kits'!E342)</f>
        <v>Per group</v>
      </c>
      <c r="F636" s="0" t="str">
        <f aca="false">IFERROR(INDEX('Session Tracker'!$M$5:$M$149,MATCH($A636,'Session Tracker'!$D$5:$D$149,0))+0,"")</f>
        <v/>
      </c>
      <c r="G636" s="0" t="str">
        <f aca="false">IF(ISNUMBER(F636),IF(OR(B636=0,B636=99,C636&lt;&gt;""),F636*100+B636,""),"")</f>
        <v/>
      </c>
      <c r="H636" s="0" t="n">
        <f aca="false">IFERROR(INDEX('Session Tracker'!$J$5:$J$149,MATCH($A636,'Session Tracker'!$D$5:$D$149,0)),0)</f>
        <v>8</v>
      </c>
      <c r="I636" s="0" t="n">
        <f aca="false">IF(OR(B636=0,B636=99,C636=""),"",IF(E636="Per class",D636,D636*H636))</f>
        <v>8</v>
      </c>
      <c r="N636" s="0" t="str">
        <f aca="false">IF('Junior Makers Kits'!B342="","",'Junior Makers Kits'!B342)</f>
        <v>Passive Components &amp; ICs</v>
      </c>
      <c r="O636" s="0" t="str">
        <f aca="false">IF('Junior Makers Kits'!F342="","",'Junior Makers Kits'!F342)</f>
        <v>Reusable</v>
      </c>
      <c r="P636" s="0" t="str">
        <f aca="false">IF('Junior Makers Kits'!G342="","",'Junior Makers Kits'!G342)</f>
        <v/>
      </c>
    </row>
    <row r="637" customFormat="false" ht="15" hidden="false" customHeight="false" outlineLevel="0" collapsed="false">
      <c r="A637" s="0" t="s">
        <v>200</v>
      </c>
      <c r="B637" s="0" t="n">
        <v>5</v>
      </c>
      <c r="C637" s="0" t="str">
        <f aca="false">IF('Junior Makers Kits'!C343="","",'Junior Makers Kits'!C343)</f>
        <v>Resistor 10k ohm</v>
      </c>
      <c r="D637" s="0" t="n">
        <f aca="false">IF('Junior Makers Kits'!D343="","",'Junior Makers Kits'!D343)</f>
        <v>1</v>
      </c>
      <c r="E637" s="0" t="str">
        <f aca="false">IF('Junior Makers Kits'!E343="","",'Junior Makers Kits'!E343)</f>
        <v>Per group</v>
      </c>
      <c r="F637" s="0" t="str">
        <f aca="false">IFERROR(INDEX('Session Tracker'!$M$5:$M$149,MATCH($A637,'Session Tracker'!$D$5:$D$149,0))+0,"")</f>
        <v/>
      </c>
      <c r="G637" s="0" t="str">
        <f aca="false">IF(ISNUMBER(F637),IF(OR(B637=0,B637=99,C637&lt;&gt;""),F637*100+B637,""),"")</f>
        <v/>
      </c>
      <c r="H637" s="0" t="n">
        <f aca="false">IFERROR(INDEX('Session Tracker'!$J$5:$J$149,MATCH($A637,'Session Tracker'!$D$5:$D$149,0)),0)</f>
        <v>8</v>
      </c>
      <c r="I637" s="0" t="n">
        <f aca="false">IF(OR(B637=0,B637=99,C637=""),"",IF(E637="Per class",D637,D637*H637))</f>
        <v>8</v>
      </c>
      <c r="N637" s="0" t="str">
        <f aca="false">IF('Junior Makers Kits'!B343="","",'Junior Makers Kits'!B343)</f>
        <v>Passive Components &amp; ICs</v>
      </c>
      <c r="O637" s="0" t="str">
        <f aca="false">IF('Junior Makers Kits'!F343="","",'Junior Makers Kits'!F343)</f>
        <v>Consumable</v>
      </c>
      <c r="P637" s="0" t="str">
        <f aca="false">IF('Junior Makers Kits'!G343="","",'Junior Makers Kits'!G343)</f>
        <v/>
      </c>
    </row>
    <row r="638" customFormat="false" ht="15" hidden="false" customHeight="false" outlineLevel="0" collapsed="false">
      <c r="A638" s="0" t="s">
        <v>200</v>
      </c>
      <c r="B638" s="0" t="n">
        <v>6</v>
      </c>
      <c r="C638" s="0" t="str">
        <f aca="false">IF('Junior Makers Kits'!C344="","",'Junior Makers Kits'!C344)</f>
        <v>Breadboard (half size)</v>
      </c>
      <c r="D638" s="0" t="n">
        <f aca="false">IF('Junior Makers Kits'!D344="","",'Junior Makers Kits'!D344)</f>
        <v>1</v>
      </c>
      <c r="E638" s="0" t="str">
        <f aca="false">IF('Junior Makers Kits'!E344="","",'Junior Makers Kits'!E344)</f>
        <v>Per group</v>
      </c>
      <c r="F638" s="0" t="str">
        <f aca="false">IFERROR(INDEX('Session Tracker'!$M$5:$M$149,MATCH($A638,'Session Tracker'!$D$5:$D$149,0))+0,"")</f>
        <v/>
      </c>
      <c r="G638" s="0" t="str">
        <f aca="false">IF(ISNUMBER(F638),IF(OR(B638=0,B638=99,C638&lt;&gt;""),F638*100+B638,""),"")</f>
        <v/>
      </c>
      <c r="H638" s="0" t="n">
        <f aca="false">IFERROR(INDEX('Session Tracker'!$J$5:$J$149,MATCH($A638,'Session Tracker'!$D$5:$D$149,0)),0)</f>
        <v>8</v>
      </c>
      <c r="I638" s="0" t="n">
        <f aca="false">IF(OR(B638=0,B638=99,C638=""),"",IF(E638="Per class",D638,D638*H638))</f>
        <v>8</v>
      </c>
      <c r="N638" s="0" t="str">
        <f aca="false">IF('Junior Makers Kits'!B344="","",'Junior Makers Kits'!B344)</f>
        <v>Wiring &amp; Prototyping</v>
      </c>
      <c r="O638" s="0" t="str">
        <f aca="false">IF('Junior Makers Kits'!F344="","",'Junior Makers Kits'!F344)</f>
        <v>Reusable</v>
      </c>
      <c r="P638" s="0" t="str">
        <f aca="false">IF('Junior Makers Kits'!G344="","",'Junior Makers Kits'!G344)</f>
        <v/>
      </c>
    </row>
    <row r="639" customFormat="false" ht="15" hidden="false" customHeight="false" outlineLevel="0" collapsed="false">
      <c r="A639" s="0" t="s">
        <v>200</v>
      </c>
      <c r="B639" s="0" t="n">
        <v>7</v>
      </c>
      <c r="C639" s="0" t="str">
        <f aca="false">IF('Junior Makers Kits'!C345="","",'Junior Makers Kits'!C345)</f>
        <v>Jumper wires M-M</v>
      </c>
      <c r="D639" s="0" t="n">
        <f aca="false">IF('Junior Makers Kits'!D345="","",'Junior Makers Kits'!D345)</f>
        <v>8</v>
      </c>
      <c r="E639" s="0" t="str">
        <f aca="false">IF('Junior Makers Kits'!E345="","",'Junior Makers Kits'!E345)</f>
        <v>Per group</v>
      </c>
      <c r="F639" s="0" t="str">
        <f aca="false">IFERROR(INDEX('Session Tracker'!$M$5:$M$149,MATCH($A639,'Session Tracker'!$D$5:$D$149,0))+0,"")</f>
        <v/>
      </c>
      <c r="G639" s="0" t="str">
        <f aca="false">IF(ISNUMBER(F639),IF(OR(B639=0,B639=99,C639&lt;&gt;""),F639*100+B639,""),"")</f>
        <v/>
      </c>
      <c r="H639" s="0" t="n">
        <f aca="false">IFERROR(INDEX('Session Tracker'!$J$5:$J$149,MATCH($A639,'Session Tracker'!$D$5:$D$149,0)),0)</f>
        <v>8</v>
      </c>
      <c r="I639" s="0" t="n">
        <f aca="false">IF(OR(B639=0,B639=99,C639=""),"",IF(E639="Per class",D639,D639*H639))</f>
        <v>64</v>
      </c>
      <c r="N639" s="0" t="str">
        <f aca="false">IF('Junior Makers Kits'!B345="","",'Junior Makers Kits'!B345)</f>
        <v>Wiring &amp; Prototyping</v>
      </c>
      <c r="O639" s="0" t="str">
        <f aca="false">IF('Junior Makers Kits'!F345="","",'Junior Makers Kits'!F345)</f>
        <v>Reusable</v>
      </c>
      <c r="P639" s="0" t="str">
        <f aca="false">IF('Junior Makers Kits'!G345="","",'Junior Makers Kits'!G345)</f>
        <v/>
      </c>
    </row>
    <row r="640" customFormat="false" ht="15" hidden="false" customHeight="false" outlineLevel="0" collapsed="false">
      <c r="A640" s="0" t="s">
        <v>200</v>
      </c>
      <c r="B640" s="0" t="n">
        <v>8</v>
      </c>
      <c r="C640" s="0" t="str">
        <f aca="false">IF('Junior Makers Kits'!C346="","",'Junior Makers Kits'!C346)</f>
        <v>Laptop</v>
      </c>
      <c r="D640" s="0" t="n">
        <f aca="false">IF('Junior Makers Kits'!D346="","",'Junior Makers Kits'!D346)</f>
        <v>1</v>
      </c>
      <c r="E640" s="0" t="str">
        <f aca="false">IF('Junior Makers Kits'!E346="","",'Junior Makers Kits'!E346)</f>
        <v>Per group</v>
      </c>
      <c r="F640" s="0" t="str">
        <f aca="false">IFERROR(INDEX('Session Tracker'!$M$5:$M$149,MATCH($A640,'Session Tracker'!$D$5:$D$149,0))+0,"")</f>
        <v/>
      </c>
      <c r="G640" s="0" t="str">
        <f aca="false">IF(ISNUMBER(F640),IF(OR(B640=0,B640=99,C640&lt;&gt;""),F640*100+B640,""),"")</f>
        <v/>
      </c>
      <c r="H640" s="0" t="n">
        <f aca="false">IFERROR(INDEX('Session Tracker'!$J$5:$J$149,MATCH($A640,'Session Tracker'!$D$5:$D$149,0)),0)</f>
        <v>8</v>
      </c>
      <c r="I640" s="0" t="n">
        <f aca="false">IF(OR(B640=0,B640=99,C640=""),"",IF(E640="Per class",D640,D640*H640))</f>
        <v>8</v>
      </c>
      <c r="N640" s="0" t="str">
        <f aca="false">IF('Junior Makers Kits'!B346="","",'Junior Makers Kits'!B346)</f>
        <v>Computers &amp; Equipment</v>
      </c>
      <c r="O640" s="0" t="str">
        <f aca="false">IF('Junior Makers Kits'!F346="","",'Junior Makers Kits'!F346)</f>
        <v>Reusable</v>
      </c>
      <c r="P640" s="0" t="str">
        <f aca="false">IF('Junior Makers Kits'!G346="","",'Junior Makers Kits'!G346)</f>
        <v/>
      </c>
    </row>
    <row r="641" customFormat="false" ht="15" hidden="false" customHeight="false" outlineLevel="0" collapsed="false">
      <c r="A641" s="0" t="s">
        <v>200</v>
      </c>
      <c r="B641" s="0" t="n">
        <v>9</v>
      </c>
      <c r="C641" s="0" t="str">
        <f aca="false">IF('Junior Makers Kits'!C347="","",'Junior Makers Kits'!C347)</f>
        <v>LED 5 mm (assorted)</v>
      </c>
      <c r="D641" s="0" t="n">
        <f aca="false">IF('Junior Makers Kits'!D347="","",'Junior Makers Kits'!D347)</f>
        <v>1</v>
      </c>
      <c r="E641" s="0" t="str">
        <f aca="false">IF('Junior Makers Kits'!E347="","",'Junior Makers Kits'!E347)</f>
        <v>Per group</v>
      </c>
      <c r="F641" s="0" t="str">
        <f aca="false">IFERROR(INDEX('Session Tracker'!$M$5:$M$149,MATCH($A641,'Session Tracker'!$D$5:$D$149,0))+0,"")</f>
        <v/>
      </c>
      <c r="G641" s="0" t="str">
        <f aca="false">IF(ISNUMBER(F641),IF(OR(B641=0,B641=99,C641&lt;&gt;""),F641*100+B641,""),"")</f>
        <v/>
      </c>
      <c r="H641" s="0" t="n">
        <f aca="false">IFERROR(INDEX('Session Tracker'!$J$5:$J$149,MATCH($A641,'Session Tracker'!$D$5:$D$149,0)),0)</f>
        <v>8</v>
      </c>
      <c r="I641" s="0" t="n">
        <f aca="false">IF(OR(B641=0,B641=99,C641=""),"",IF(E641="Per class",D641,D641*H641))</f>
        <v>8</v>
      </c>
      <c r="N641" s="0" t="str">
        <f aca="false">IF('Junior Makers Kits'!B347="","",'Junior Makers Kits'!B347)</f>
        <v>Displays &amp; Output</v>
      </c>
      <c r="O641" s="0" t="str">
        <f aca="false">IF('Junior Makers Kits'!F347="","",'Junior Makers Kits'!F347)</f>
        <v>Consumable</v>
      </c>
      <c r="P641" s="0" t="str">
        <f aca="false">IF('Junior Makers Kits'!G347="","",'Junior Makers Kits'!G347)</f>
        <v>Added: every Arduino class</v>
      </c>
    </row>
    <row r="642" customFormat="false" ht="15" hidden="false" customHeight="false" outlineLevel="0" collapsed="false">
      <c r="A642" s="0" t="s">
        <v>200</v>
      </c>
      <c r="B642" s="0" t="n">
        <v>10</v>
      </c>
      <c r="C642" s="0" t="str">
        <f aca="false">IF('Junior Makers Kits'!C348="","",'Junior Makers Kits'!C348)</f>
        <v>Resistor 220 ohm</v>
      </c>
      <c r="D642" s="0" t="n">
        <f aca="false">IF('Junior Makers Kits'!D348="","",'Junior Makers Kits'!D348)</f>
        <v>1</v>
      </c>
      <c r="E642" s="0" t="str">
        <f aca="false">IF('Junior Makers Kits'!E348="","",'Junior Makers Kits'!E348)</f>
        <v>Per group</v>
      </c>
      <c r="F642" s="0" t="str">
        <f aca="false">IFERROR(INDEX('Session Tracker'!$M$5:$M$149,MATCH($A642,'Session Tracker'!$D$5:$D$149,0))+0,"")</f>
        <v/>
      </c>
      <c r="G642" s="0" t="str">
        <f aca="false">IF(ISNUMBER(F642),IF(OR(B642=0,B642=99,C642&lt;&gt;""),F642*100+B642,""),"")</f>
        <v/>
      </c>
      <c r="H642" s="0" t="n">
        <f aca="false">IFERROR(INDEX('Session Tracker'!$J$5:$J$149,MATCH($A642,'Session Tracker'!$D$5:$D$149,0)),0)</f>
        <v>8</v>
      </c>
      <c r="I642" s="0" t="n">
        <f aca="false">IF(OR(B642=0,B642=99,C642=""),"",IF(E642="Per class",D642,D642*H642))</f>
        <v>8</v>
      </c>
      <c r="N642" s="0" t="str">
        <f aca="false">IF('Junior Makers Kits'!B348="","",'Junior Makers Kits'!B348)</f>
        <v>Passive Components &amp; ICs</v>
      </c>
      <c r="O642" s="0" t="str">
        <f aca="false">IF('Junior Makers Kits'!F348="","",'Junior Makers Kits'!F348)</f>
        <v>Consumable</v>
      </c>
      <c r="P642" s="0" t="str">
        <f aca="false">IF('Junior Makers Kits'!G348="","",'Junior Makers Kits'!G348)</f>
        <v>Added: for the LED</v>
      </c>
    </row>
    <row r="643" customFormat="false" ht="15" hidden="false" customHeight="false" outlineLevel="0" collapsed="false">
      <c r="A643" s="0" t="s">
        <v>200</v>
      </c>
      <c r="B643" s="0" t="n">
        <v>11</v>
      </c>
      <c r="C643" s="0" t="str">
        <f aca="false">IF('Junior Makers Kits'!C349="","",'Junior Makers Kits'!C349)</f>
        <v>Buzzer</v>
      </c>
      <c r="D643" s="0" t="n">
        <f aca="false">IF('Junior Makers Kits'!D349="","",'Junior Makers Kits'!D349)</f>
        <v>1</v>
      </c>
      <c r="E643" s="0" t="str">
        <f aca="false">IF('Junior Makers Kits'!E349="","",'Junior Makers Kits'!E349)</f>
        <v>Per group</v>
      </c>
      <c r="F643" s="0" t="str">
        <f aca="false">IFERROR(INDEX('Session Tracker'!$M$5:$M$149,MATCH($A643,'Session Tracker'!$D$5:$D$149,0))+0,"")</f>
        <v/>
      </c>
      <c r="G643" s="0" t="str">
        <f aca="false">IF(ISNUMBER(F643),IF(OR(B643=0,B643=99,C643&lt;&gt;""),F643*100+B643,""),"")</f>
        <v/>
      </c>
      <c r="H643" s="0" t="n">
        <f aca="false">IFERROR(INDEX('Session Tracker'!$J$5:$J$149,MATCH($A643,'Session Tracker'!$D$5:$D$149,0)),0)</f>
        <v>8</v>
      </c>
      <c r="I643" s="0" t="n">
        <f aca="false">IF(OR(B643=0,B643=99,C643=""),"",IF(E643="Per class",D643,D643*H643))</f>
        <v>8</v>
      </c>
      <c r="N643" s="0" t="str">
        <f aca="false">IF('Junior Makers Kits'!B349="","",'Junior Makers Kits'!B349)</f>
        <v>Actuators &amp; Motor Drivers</v>
      </c>
      <c r="O643" s="0" t="str">
        <f aca="false">IF('Junior Makers Kits'!F349="","",'Junior Makers Kits'!F349)</f>
        <v>Reusable</v>
      </c>
      <c r="P643" s="0" t="str">
        <f aca="false">IF('Junior Makers Kits'!G349="","",'Junior Makers Kits'!G349)</f>
        <v>Added: every Arduino class</v>
      </c>
    </row>
    <row r="644" customFormat="false" ht="15" hidden="false" customHeight="false" outlineLevel="0" collapsed="false">
      <c r="A644" s="0" t="s">
        <v>200</v>
      </c>
      <c r="B644" s="0" t="n">
        <v>12</v>
      </c>
      <c r="C644" s="0" t="str">
        <f aca="false">IF('Junior Makers Kits'!C350="","",'Junior Makers Kits'!C350)</f>
        <v/>
      </c>
      <c r="D644" s="0" t="str">
        <f aca="false">IF('Junior Makers Kits'!D350="","",'Junior Makers Kits'!D350)</f>
        <v/>
      </c>
      <c r="E644" s="0" t="str">
        <f aca="false">IF('Junior Makers Kits'!E350="","",'Junior Makers Kits'!E350)</f>
        <v/>
      </c>
      <c r="F644" s="0" t="str">
        <f aca="false">IFERROR(INDEX('Session Tracker'!$M$5:$M$149,MATCH($A644,'Session Tracker'!$D$5:$D$149,0))+0,"")</f>
        <v/>
      </c>
      <c r="G644" s="0" t="str">
        <f aca="false">IF(ISNUMBER(F644),IF(OR(B644=0,B644=99,C644&lt;&gt;""),F644*100+B644,""),"")</f>
        <v/>
      </c>
      <c r="H644" s="0" t="n">
        <f aca="false">IFERROR(INDEX('Session Tracker'!$J$5:$J$149,MATCH($A644,'Session Tracker'!$D$5:$D$149,0)),0)</f>
        <v>8</v>
      </c>
      <c r="I644" s="0" t="str">
        <f aca="false">IF(OR(B644=0,B644=99,C644=""),"",IF(E644="Per class",D644,D644*H644))</f>
        <v/>
      </c>
      <c r="N644" s="0" t="str">
        <f aca="false">IF('Junior Makers Kits'!B350="","",'Junior Makers Kits'!B350)</f>
        <v/>
      </c>
      <c r="O644" s="0" t="str">
        <f aca="false">IF('Junior Makers Kits'!F350="","",'Junior Makers Kits'!F350)</f>
        <v/>
      </c>
      <c r="P644" s="0" t="str">
        <f aca="false">IF('Junior Makers Kits'!G350="","",'Junior Makers Kits'!G350)</f>
        <v/>
      </c>
    </row>
    <row r="645" customFormat="false" ht="15" hidden="false" customHeight="false" outlineLevel="0" collapsed="false">
      <c r="A645" s="0" t="s">
        <v>200</v>
      </c>
      <c r="B645" s="0" t="n">
        <v>13</v>
      </c>
      <c r="C645" s="0" t="str">
        <f aca="false">IF('Junior Makers Kits'!C351="","",'Junior Makers Kits'!C351)</f>
        <v/>
      </c>
      <c r="D645" s="0" t="str">
        <f aca="false">IF('Junior Makers Kits'!D351="","",'Junior Makers Kits'!D351)</f>
        <v/>
      </c>
      <c r="E645" s="0" t="str">
        <f aca="false">IF('Junior Makers Kits'!E351="","",'Junior Makers Kits'!E351)</f>
        <v/>
      </c>
      <c r="F645" s="0" t="str">
        <f aca="false">IFERROR(INDEX('Session Tracker'!$M$5:$M$149,MATCH($A645,'Session Tracker'!$D$5:$D$149,0))+0,"")</f>
        <v/>
      </c>
      <c r="G645" s="0" t="str">
        <f aca="false">IF(ISNUMBER(F645),IF(OR(B645=0,B645=99,C645&lt;&gt;""),F645*100+B645,""),"")</f>
        <v/>
      </c>
      <c r="H645" s="0" t="n">
        <f aca="false">IFERROR(INDEX('Session Tracker'!$J$5:$J$149,MATCH($A645,'Session Tracker'!$D$5:$D$149,0)),0)</f>
        <v>8</v>
      </c>
      <c r="I645" s="0" t="str">
        <f aca="false">IF(OR(B645=0,B645=99,C645=""),"",IF(E645="Per class",D645,D645*H645))</f>
        <v/>
      </c>
      <c r="N645" s="0" t="str">
        <f aca="false">IF('Junior Makers Kits'!B351="","",'Junior Makers Kits'!B351)</f>
        <v/>
      </c>
      <c r="O645" s="0" t="str">
        <f aca="false">IF('Junior Makers Kits'!F351="","",'Junior Makers Kits'!F351)</f>
        <v/>
      </c>
      <c r="P645" s="0" t="str">
        <f aca="false">IF('Junior Makers Kits'!G351="","",'Junior Makers Kits'!G351)</f>
        <v/>
      </c>
    </row>
    <row r="646" customFormat="false" ht="15" hidden="false" customHeight="false" outlineLevel="0" collapsed="false">
      <c r="A646" s="0" t="s">
        <v>202</v>
      </c>
      <c r="B646" s="0" t="n">
        <v>0</v>
      </c>
      <c r="F646" s="0" t="str">
        <f aca="false">IFERROR(INDEX('Session Tracker'!$M$5:$M$149,MATCH($A646,'Session Tracker'!$D$5:$D$149,0))+0,"")</f>
        <v/>
      </c>
      <c r="G646" s="0" t="str">
        <f aca="false">IF(ISNUMBER(F646),IF(OR(B646=0,B646=99,C646&lt;&gt;""),F646*100+B646,""),"")</f>
        <v/>
      </c>
      <c r="H646" s="0" t="n">
        <f aca="false">IFERROR(INDEX('Session Tracker'!$J$5:$J$149,MATCH($A646,'Session Tracker'!$D$5:$D$149,0)),0)</f>
        <v>8</v>
      </c>
      <c r="I646" s="0" t="str">
        <f aca="false">IF(OR(B646=0,B646=99,C646=""),"",IF(E646="Per class",D646,D646*H646))</f>
        <v/>
      </c>
      <c r="K646" s="0" t="str">
        <f aca="false">IFERROR(INDEX('Session Tracker'!$E$5:$E$149,MATCH($A646,'Session Tracker'!$D$5:$D$149,0)),"")</f>
        <v>Processing: Interactive Drawing Machine</v>
      </c>
      <c r="L646" s="0" t="str">
        <f aca="false">IFERROR(INDEX('Session Tracker'!$A$5:$A$149,MATCH($A646,'Session Tracker'!$D$5:$D$149,0)),"")</f>
        <v>Junior Makers (8-11)</v>
      </c>
      <c r="M646" s="0" t="str">
        <f aca="false">IFERROR(INDEX('Session Tracker'!$H$5:$H$149,MATCH($A646,'Session Tracker'!$D$5:$D$149,0))&amp;"","")</f>
        <v/>
      </c>
      <c r="Q646" s="0" t="str">
        <f aca="false">IFERROR("Status: "&amp;INDEX('Session Tracker'!$F$5:$F$149,MATCH($A646,'Session Tracker'!$D$5:$D$149,0))&amp;IF(INDEX('Session Tracker'!$G$5:$G$149,MATCH($A646,'Session Tracker'!$D$5:$D$149,0))&lt;&gt;""," ("&amp;INDEX('Session Tracker'!$G$5:$G$149,MATCH($A646,'Session Tracker'!$D$5:$D$149,0))&amp;")","")&amp;IF(M646&lt;&gt;"","  "&amp;M646,""),"")</f>
        <v>Status: Not started</v>
      </c>
    </row>
    <row r="647" customFormat="false" ht="15" hidden="false" customHeight="false" outlineLevel="0" collapsed="false">
      <c r="A647" s="0" t="s">
        <v>202</v>
      </c>
      <c r="B647" s="0" t="n">
        <v>1</v>
      </c>
      <c r="C647" s="0" t="str">
        <f aca="false">IF('Junior Makers Kits'!C354="","",'Junior Makers Kits'!C354)</f>
        <v>Laptop</v>
      </c>
      <c r="D647" s="0" t="n">
        <f aca="false">IF('Junior Makers Kits'!D354="","",'Junior Makers Kits'!D354)</f>
        <v>1</v>
      </c>
      <c r="E647" s="0" t="str">
        <f aca="false">IF('Junior Makers Kits'!E354="","",'Junior Makers Kits'!E354)</f>
        <v>Per group</v>
      </c>
      <c r="F647" s="0" t="str">
        <f aca="false">IFERROR(INDEX('Session Tracker'!$M$5:$M$149,MATCH($A647,'Session Tracker'!$D$5:$D$149,0))+0,"")</f>
        <v/>
      </c>
      <c r="G647" s="0" t="str">
        <f aca="false">IF(ISNUMBER(F647),IF(OR(B647=0,B647=99,C647&lt;&gt;""),F647*100+B647,""),"")</f>
        <v/>
      </c>
      <c r="H647" s="0" t="n">
        <f aca="false">IFERROR(INDEX('Session Tracker'!$J$5:$J$149,MATCH($A647,'Session Tracker'!$D$5:$D$149,0)),0)</f>
        <v>8</v>
      </c>
      <c r="I647" s="0" t="n">
        <f aca="false">IF(OR(B647=0,B647=99,C647=""),"",IF(E647="Per class",D647,D647*H647))</f>
        <v>8</v>
      </c>
      <c r="N647" s="0" t="str">
        <f aca="false">IF('Junior Makers Kits'!B354="","",'Junior Makers Kits'!B354)</f>
        <v>Computers &amp; Equipment</v>
      </c>
      <c r="O647" s="0" t="str">
        <f aca="false">IF('Junior Makers Kits'!F354="","",'Junior Makers Kits'!F354)</f>
        <v>Reusable</v>
      </c>
      <c r="P647" s="0" t="str">
        <f aca="false">IF('Junior Makers Kits'!G354="","",'Junior Makers Kits'!G354)</f>
        <v/>
      </c>
    </row>
    <row r="648" customFormat="false" ht="15" hidden="false" customHeight="false" outlineLevel="0" collapsed="false">
      <c r="A648" s="0" t="s">
        <v>202</v>
      </c>
      <c r="B648" s="0" t="n">
        <v>2</v>
      </c>
      <c r="C648" s="0" t="str">
        <f aca="false">IF('Junior Makers Kits'!C355="","",'Junior Makers Kits'!C355)</f>
        <v/>
      </c>
      <c r="D648" s="0" t="str">
        <f aca="false">IF('Junior Makers Kits'!D355="","",'Junior Makers Kits'!D355)</f>
        <v/>
      </c>
      <c r="E648" s="0" t="str">
        <f aca="false">IF('Junior Makers Kits'!E355="","",'Junior Makers Kits'!E355)</f>
        <v/>
      </c>
      <c r="F648" s="0" t="str">
        <f aca="false">IFERROR(INDEX('Session Tracker'!$M$5:$M$149,MATCH($A648,'Session Tracker'!$D$5:$D$149,0))+0,"")</f>
        <v/>
      </c>
      <c r="G648" s="0" t="str">
        <f aca="false">IF(ISNUMBER(F648),IF(OR(B648=0,B648=99,C648&lt;&gt;""),F648*100+B648,""),"")</f>
        <v/>
      </c>
      <c r="H648" s="0" t="n">
        <f aca="false">IFERROR(INDEX('Session Tracker'!$J$5:$J$149,MATCH($A648,'Session Tracker'!$D$5:$D$149,0)),0)</f>
        <v>8</v>
      </c>
      <c r="I648" s="0" t="str">
        <f aca="false">IF(OR(B648=0,B648=99,C648=""),"",IF(E648="Per class",D648,D648*H648))</f>
        <v/>
      </c>
      <c r="N648" s="0" t="str">
        <f aca="false">IF('Junior Makers Kits'!B355="","",'Junior Makers Kits'!B355)</f>
        <v/>
      </c>
      <c r="O648" s="0" t="str">
        <f aca="false">IF('Junior Makers Kits'!F355="","",'Junior Makers Kits'!F355)</f>
        <v/>
      </c>
      <c r="P648" s="0" t="str">
        <f aca="false">IF('Junior Makers Kits'!G355="","",'Junior Makers Kits'!G355)</f>
        <v/>
      </c>
    </row>
    <row r="649" customFormat="false" ht="15" hidden="false" customHeight="false" outlineLevel="0" collapsed="false">
      <c r="A649" s="0" t="s">
        <v>202</v>
      </c>
      <c r="B649" s="0" t="n">
        <v>3</v>
      </c>
      <c r="C649" s="0" t="str">
        <f aca="false">IF('Junior Makers Kits'!C356="","",'Junior Makers Kits'!C356)</f>
        <v/>
      </c>
      <c r="D649" s="0" t="str">
        <f aca="false">IF('Junior Makers Kits'!D356="","",'Junior Makers Kits'!D356)</f>
        <v/>
      </c>
      <c r="E649" s="0" t="str">
        <f aca="false">IF('Junior Makers Kits'!E356="","",'Junior Makers Kits'!E356)</f>
        <v/>
      </c>
      <c r="F649" s="0" t="str">
        <f aca="false">IFERROR(INDEX('Session Tracker'!$M$5:$M$149,MATCH($A649,'Session Tracker'!$D$5:$D$149,0))+0,"")</f>
        <v/>
      </c>
      <c r="G649" s="0" t="str">
        <f aca="false">IF(ISNUMBER(F649),IF(OR(B649=0,B649=99,C649&lt;&gt;""),F649*100+B649,""),"")</f>
        <v/>
      </c>
      <c r="H649" s="0" t="n">
        <f aca="false">IFERROR(INDEX('Session Tracker'!$J$5:$J$149,MATCH($A649,'Session Tracker'!$D$5:$D$149,0)),0)</f>
        <v>8</v>
      </c>
      <c r="I649" s="0" t="str">
        <f aca="false">IF(OR(B649=0,B649=99,C649=""),"",IF(E649="Per class",D649,D649*H649))</f>
        <v/>
      </c>
      <c r="N649" s="0" t="str">
        <f aca="false">IF('Junior Makers Kits'!B356="","",'Junior Makers Kits'!B356)</f>
        <v/>
      </c>
      <c r="O649" s="0" t="str">
        <f aca="false">IF('Junior Makers Kits'!F356="","",'Junior Makers Kits'!F356)</f>
        <v/>
      </c>
      <c r="P649" s="0" t="str">
        <f aca="false">IF('Junior Makers Kits'!G356="","",'Junior Makers Kits'!G356)</f>
        <v/>
      </c>
    </row>
    <row r="650" customFormat="false" ht="15" hidden="false" customHeight="false" outlineLevel="0" collapsed="false">
      <c r="A650" s="0" t="s">
        <v>204</v>
      </c>
      <c r="B650" s="0" t="n">
        <v>0</v>
      </c>
      <c r="F650" s="0" t="str">
        <f aca="false">IFERROR(INDEX('Session Tracker'!$M$5:$M$149,MATCH($A650,'Session Tracker'!$D$5:$D$149,0))+0,"")</f>
        <v/>
      </c>
      <c r="G650" s="0" t="str">
        <f aca="false">IF(ISNUMBER(F650),IF(OR(B650=0,B650=99,C650&lt;&gt;""),F650*100+B650,""),"")</f>
        <v/>
      </c>
      <c r="H650" s="0" t="n">
        <f aca="false">IFERROR(INDEX('Session Tracker'!$J$5:$J$149,MATCH($A650,'Session Tracker'!$D$5:$D$149,0)),0)</f>
        <v>8</v>
      </c>
      <c r="I650" s="0" t="str">
        <f aca="false">IF(OR(B650=0,B650=99,C650=""),"",IF(E650="Per class",D650,D650*H650))</f>
        <v/>
      </c>
      <c r="K650" s="0" t="str">
        <f aca="false">IFERROR(INDEX('Session Tracker'!$E$5:$E$149,MATCH($A650,'Session Tracker'!$D$5:$D$149,0)),"")</f>
        <v>Smart Traffic Junction with Car Counter</v>
      </c>
      <c r="L650" s="0" t="str">
        <f aca="false">IFERROR(INDEX('Session Tracker'!$A$5:$A$149,MATCH($A650,'Session Tracker'!$D$5:$D$149,0)),"")</f>
        <v>Junior Makers (8-11)</v>
      </c>
      <c r="M650" s="0" t="str">
        <f aca="false">IFERROR(INDEX('Session Tracker'!$H$5:$H$149,MATCH($A650,'Session Tracker'!$D$5:$D$149,0))&amp;"","")</f>
        <v/>
      </c>
      <c r="Q650" s="0" t="str">
        <f aca="false">IFERROR("Status: "&amp;INDEX('Session Tracker'!$F$5:$F$149,MATCH($A650,'Session Tracker'!$D$5:$D$149,0))&amp;IF(INDEX('Session Tracker'!$G$5:$G$149,MATCH($A650,'Session Tracker'!$D$5:$D$149,0))&lt;&gt;""," ("&amp;INDEX('Session Tracker'!$G$5:$G$149,MATCH($A650,'Session Tracker'!$D$5:$D$149,0))&amp;")","")&amp;IF(M650&lt;&gt;"","  "&amp;M650,""),"")</f>
        <v>Status: Not started</v>
      </c>
    </row>
    <row r="651" customFormat="false" ht="15" hidden="false" customHeight="false" outlineLevel="0" collapsed="false">
      <c r="A651" s="0" t="s">
        <v>204</v>
      </c>
      <c r="B651" s="0" t="n">
        <v>1</v>
      </c>
      <c r="C651" s="0" t="str">
        <f aca="false">IF('Junior Makers Kits'!C359="","",'Junior Makers Kits'!C359)</f>
        <v>Arduino Uno + USB cable</v>
      </c>
      <c r="D651" s="0" t="n">
        <f aca="false">IF('Junior Makers Kits'!D359="","",'Junior Makers Kits'!D359)</f>
        <v>1</v>
      </c>
      <c r="E651" s="0" t="str">
        <f aca="false">IF('Junior Makers Kits'!E359="","",'Junior Makers Kits'!E359)</f>
        <v>Per group</v>
      </c>
      <c r="F651" s="0" t="str">
        <f aca="false">IFERROR(INDEX('Session Tracker'!$M$5:$M$149,MATCH($A651,'Session Tracker'!$D$5:$D$149,0))+0,"")</f>
        <v/>
      </c>
      <c r="G651" s="0" t="str">
        <f aca="false">IF(ISNUMBER(F651),IF(OR(B651=0,B651=99,C651&lt;&gt;""),F651*100+B651,""),"")</f>
        <v/>
      </c>
      <c r="H651" s="0" t="n">
        <f aca="false">IFERROR(INDEX('Session Tracker'!$J$5:$J$149,MATCH($A651,'Session Tracker'!$D$5:$D$149,0)),0)</f>
        <v>8</v>
      </c>
      <c r="I651" s="0" t="n">
        <f aca="false">IF(OR(B651=0,B651=99,C651=""),"",IF(E651="Per class",D651,D651*H651))</f>
        <v>8</v>
      </c>
      <c r="N651" s="0" t="str">
        <f aca="false">IF('Junior Makers Kits'!B359="","",'Junior Makers Kits'!B359)</f>
        <v>Microcontrollers &amp; Dev Boards</v>
      </c>
      <c r="O651" s="0" t="str">
        <f aca="false">IF('Junior Makers Kits'!F359="","",'Junior Makers Kits'!F359)</f>
        <v>Reusable</v>
      </c>
      <c r="P651" s="0" t="str">
        <f aca="false">IF('Junior Makers Kits'!G359="","",'Junior Makers Kits'!G359)</f>
        <v/>
      </c>
    </row>
    <row r="652" customFormat="false" ht="15" hidden="false" customHeight="false" outlineLevel="0" collapsed="false">
      <c r="A652" s="0" t="s">
        <v>204</v>
      </c>
      <c r="B652" s="0" t="n">
        <v>2</v>
      </c>
      <c r="C652" s="0" t="str">
        <f aca="false">IF('Junior Makers Kits'!C360="","",'Junior Makers Kits'!C360)</f>
        <v>IR sensor module</v>
      </c>
      <c r="D652" s="0" t="n">
        <f aca="false">IF('Junior Makers Kits'!D360="","",'Junior Makers Kits'!D360)</f>
        <v>2</v>
      </c>
      <c r="E652" s="0" t="str">
        <f aca="false">IF('Junior Makers Kits'!E360="","",'Junior Makers Kits'!E360)</f>
        <v>Per group</v>
      </c>
      <c r="F652" s="0" t="str">
        <f aca="false">IFERROR(INDEX('Session Tracker'!$M$5:$M$149,MATCH($A652,'Session Tracker'!$D$5:$D$149,0))+0,"")</f>
        <v/>
      </c>
      <c r="G652" s="0" t="str">
        <f aca="false">IF(ISNUMBER(F652),IF(OR(B652=0,B652=99,C652&lt;&gt;""),F652*100+B652,""),"")</f>
        <v/>
      </c>
      <c r="H652" s="0" t="n">
        <f aca="false">IFERROR(INDEX('Session Tracker'!$J$5:$J$149,MATCH($A652,'Session Tracker'!$D$5:$D$149,0)),0)</f>
        <v>8</v>
      </c>
      <c r="I652" s="0" t="n">
        <f aca="false">IF(OR(B652=0,B652=99,C652=""),"",IF(E652="Per class",D652,D652*H652))</f>
        <v>16</v>
      </c>
      <c r="N652" s="0" t="str">
        <f aca="false">IF('Junior Makers Kits'!B360="","",'Junior Makers Kits'!B360)</f>
        <v>Sensors</v>
      </c>
      <c r="O652" s="0" t="str">
        <f aca="false">IF('Junior Makers Kits'!F360="","",'Junior Makers Kits'!F360)</f>
        <v>Reusable</v>
      </c>
      <c r="P652" s="0" t="str">
        <f aca="false">IF('Junior Makers Kits'!G360="","",'Junior Makers Kits'!G360)</f>
        <v/>
      </c>
    </row>
    <row r="653" customFormat="false" ht="15" hidden="false" customHeight="false" outlineLevel="0" collapsed="false">
      <c r="A653" s="0" t="s">
        <v>204</v>
      </c>
      <c r="B653" s="0" t="n">
        <v>3</v>
      </c>
      <c r="C653" s="0" t="str">
        <f aca="false">IF('Junior Makers Kits'!C361="","",'Junior Makers Kits'!C361)</f>
        <v>LED 5 mm (assorted)</v>
      </c>
      <c r="D653" s="0" t="n">
        <f aca="false">IF('Junior Makers Kits'!D361="","",'Junior Makers Kits'!D361)</f>
        <v>6</v>
      </c>
      <c r="E653" s="0" t="str">
        <f aca="false">IF('Junior Makers Kits'!E361="","",'Junior Makers Kits'!E361)</f>
        <v>Per group</v>
      </c>
      <c r="F653" s="0" t="str">
        <f aca="false">IFERROR(INDEX('Session Tracker'!$M$5:$M$149,MATCH($A653,'Session Tracker'!$D$5:$D$149,0))+0,"")</f>
        <v/>
      </c>
      <c r="G653" s="0" t="str">
        <f aca="false">IF(ISNUMBER(F653),IF(OR(B653=0,B653=99,C653&lt;&gt;""),F653*100+B653,""),"")</f>
        <v/>
      </c>
      <c r="H653" s="0" t="n">
        <f aca="false">IFERROR(INDEX('Session Tracker'!$J$5:$J$149,MATCH($A653,'Session Tracker'!$D$5:$D$149,0)),0)</f>
        <v>8</v>
      </c>
      <c r="I653" s="0" t="n">
        <f aca="false">IF(OR(B653=0,B653=99,C653=""),"",IF(E653="Per class",D653,D653*H653))</f>
        <v>48</v>
      </c>
      <c r="N653" s="0" t="str">
        <f aca="false">IF('Junior Makers Kits'!B361="","",'Junior Makers Kits'!B361)</f>
        <v>Displays &amp; Output</v>
      </c>
      <c r="O653" s="0" t="str">
        <f aca="false">IF('Junior Makers Kits'!F361="","",'Junior Makers Kits'!F361)</f>
        <v>Consumable</v>
      </c>
      <c r="P653" s="0" t="str">
        <f aca="false">IF('Junior Makers Kits'!G361="","",'Junior Makers Kits'!G361)</f>
        <v>2 sets of R/Y/G</v>
      </c>
    </row>
    <row r="654" customFormat="false" ht="15" hidden="false" customHeight="false" outlineLevel="0" collapsed="false">
      <c r="A654" s="0" t="s">
        <v>204</v>
      </c>
      <c r="B654" s="0" t="n">
        <v>4</v>
      </c>
      <c r="C654" s="0" t="str">
        <f aca="false">IF('Junior Makers Kits'!C362="","",'Junior Makers Kits'!C362)</f>
        <v>Resistor 220 ohm</v>
      </c>
      <c r="D654" s="0" t="n">
        <f aca="false">IF('Junior Makers Kits'!D362="","",'Junior Makers Kits'!D362)</f>
        <v>6</v>
      </c>
      <c r="E654" s="0" t="str">
        <f aca="false">IF('Junior Makers Kits'!E362="","",'Junior Makers Kits'!E362)</f>
        <v>Per group</v>
      </c>
      <c r="F654" s="0" t="str">
        <f aca="false">IFERROR(INDEX('Session Tracker'!$M$5:$M$149,MATCH($A654,'Session Tracker'!$D$5:$D$149,0))+0,"")</f>
        <v/>
      </c>
      <c r="G654" s="0" t="str">
        <f aca="false">IF(ISNUMBER(F654),IF(OR(B654=0,B654=99,C654&lt;&gt;""),F654*100+B654,""),"")</f>
        <v/>
      </c>
      <c r="H654" s="0" t="n">
        <f aca="false">IFERROR(INDEX('Session Tracker'!$J$5:$J$149,MATCH($A654,'Session Tracker'!$D$5:$D$149,0)),0)</f>
        <v>8</v>
      </c>
      <c r="I654" s="0" t="n">
        <f aca="false">IF(OR(B654=0,B654=99,C654=""),"",IF(E654="Per class",D654,D654*H654))</f>
        <v>48</v>
      </c>
      <c r="N654" s="0" t="str">
        <f aca="false">IF('Junior Makers Kits'!B362="","",'Junior Makers Kits'!B362)</f>
        <v>Passive Components &amp; ICs</v>
      </c>
      <c r="O654" s="0" t="str">
        <f aca="false">IF('Junior Makers Kits'!F362="","",'Junior Makers Kits'!F362)</f>
        <v>Consumable</v>
      </c>
      <c r="P654" s="0" t="str">
        <f aca="false">IF('Junior Makers Kits'!G362="","",'Junior Makers Kits'!G362)</f>
        <v/>
      </c>
    </row>
    <row r="655" customFormat="false" ht="15" hidden="false" customHeight="false" outlineLevel="0" collapsed="false">
      <c r="A655" s="0" t="s">
        <v>204</v>
      </c>
      <c r="B655" s="0" t="n">
        <v>5</v>
      </c>
      <c r="C655" s="0" t="str">
        <f aca="false">IF('Junior Makers Kits'!C363="","",'Junior Makers Kits'!C363)</f>
        <v>OLED 0.96 in I2C</v>
      </c>
      <c r="D655" s="0" t="n">
        <f aca="false">IF('Junior Makers Kits'!D363="","",'Junior Makers Kits'!D363)</f>
        <v>1</v>
      </c>
      <c r="E655" s="0" t="str">
        <f aca="false">IF('Junior Makers Kits'!E363="","",'Junior Makers Kits'!E363)</f>
        <v>Per group</v>
      </c>
      <c r="F655" s="0" t="str">
        <f aca="false">IFERROR(INDEX('Session Tracker'!$M$5:$M$149,MATCH($A655,'Session Tracker'!$D$5:$D$149,0))+0,"")</f>
        <v/>
      </c>
      <c r="G655" s="0" t="str">
        <f aca="false">IF(ISNUMBER(F655),IF(OR(B655=0,B655=99,C655&lt;&gt;""),F655*100+B655,""),"")</f>
        <v/>
      </c>
      <c r="H655" s="0" t="n">
        <f aca="false">IFERROR(INDEX('Session Tracker'!$J$5:$J$149,MATCH($A655,'Session Tracker'!$D$5:$D$149,0)),0)</f>
        <v>8</v>
      </c>
      <c r="I655" s="0" t="n">
        <f aca="false">IF(OR(B655=0,B655=99,C655=""),"",IF(E655="Per class",D655,D655*H655))</f>
        <v>8</v>
      </c>
      <c r="N655" s="0" t="str">
        <f aca="false">IF('Junior Makers Kits'!B363="","",'Junior Makers Kits'!B363)</f>
        <v>Displays &amp; Output</v>
      </c>
      <c r="O655" s="0" t="str">
        <f aca="false">IF('Junior Makers Kits'!F363="","",'Junior Makers Kits'!F363)</f>
        <v>Reusable</v>
      </c>
      <c r="P655" s="0" t="str">
        <f aca="false">IF('Junior Makers Kits'!G363="","",'Junior Makers Kits'!G363)</f>
        <v/>
      </c>
    </row>
    <row r="656" customFormat="false" ht="15" hidden="false" customHeight="false" outlineLevel="0" collapsed="false">
      <c r="A656" s="0" t="s">
        <v>204</v>
      </c>
      <c r="B656" s="0" t="n">
        <v>6</v>
      </c>
      <c r="C656" s="0" t="str">
        <f aca="false">IF('Junior Makers Kits'!C364="","",'Junior Makers Kits'!C364)</f>
        <v>Cardboard sheet</v>
      </c>
      <c r="D656" s="0" t="n">
        <f aca="false">IF('Junior Makers Kits'!D364="","",'Junior Makers Kits'!D364)</f>
        <v>1</v>
      </c>
      <c r="E656" s="0" t="str">
        <f aca="false">IF('Junior Makers Kits'!E364="","",'Junior Makers Kits'!E364)</f>
        <v>Per group</v>
      </c>
      <c r="F656" s="0" t="str">
        <f aca="false">IFERROR(INDEX('Session Tracker'!$M$5:$M$149,MATCH($A656,'Session Tracker'!$D$5:$D$149,0))+0,"")</f>
        <v/>
      </c>
      <c r="G656" s="0" t="str">
        <f aca="false">IF(ISNUMBER(F656),IF(OR(B656=0,B656=99,C656&lt;&gt;""),F656*100+B656,""),"")</f>
        <v/>
      </c>
      <c r="H656" s="0" t="n">
        <f aca="false">IFERROR(INDEX('Session Tracker'!$J$5:$J$149,MATCH($A656,'Session Tracker'!$D$5:$D$149,0)),0)</f>
        <v>8</v>
      </c>
      <c r="I656" s="0" t="n">
        <f aca="false">IF(OR(B656=0,B656=99,C656=""),"",IF(E656="Per class",D656,D656*H656))</f>
        <v>8</v>
      </c>
      <c r="N656" s="0" t="str">
        <f aca="false">IF('Junior Makers Kits'!B364="","",'Junior Makers Kits'!B364)</f>
        <v>Craft &amp; Stationery</v>
      </c>
      <c r="O656" s="0" t="str">
        <f aca="false">IF('Junior Makers Kits'!F364="","",'Junior Makers Kits'!F364)</f>
        <v>Consumable</v>
      </c>
      <c r="P656" s="0" t="str">
        <f aca="false">IF('Junior Makers Kits'!G364="","",'Junior Makers Kits'!G364)</f>
        <v>Road model</v>
      </c>
    </row>
    <row r="657" customFormat="false" ht="15" hidden="false" customHeight="false" outlineLevel="0" collapsed="false">
      <c r="A657" s="0" t="s">
        <v>204</v>
      </c>
      <c r="B657" s="0" t="n">
        <v>7</v>
      </c>
      <c r="C657" s="0" t="str">
        <f aca="false">IF('Junior Makers Kits'!C365="","",'Junior Makers Kits'!C365)</f>
        <v>Breadboard (half size)</v>
      </c>
      <c r="D657" s="0" t="n">
        <f aca="false">IF('Junior Makers Kits'!D365="","",'Junior Makers Kits'!D365)</f>
        <v>1</v>
      </c>
      <c r="E657" s="0" t="str">
        <f aca="false">IF('Junior Makers Kits'!E365="","",'Junior Makers Kits'!E365)</f>
        <v>Per group</v>
      </c>
      <c r="F657" s="0" t="str">
        <f aca="false">IFERROR(INDEX('Session Tracker'!$M$5:$M$149,MATCH($A657,'Session Tracker'!$D$5:$D$149,0))+0,"")</f>
        <v/>
      </c>
      <c r="G657" s="0" t="str">
        <f aca="false">IF(ISNUMBER(F657),IF(OR(B657=0,B657=99,C657&lt;&gt;""),F657*100+B657,""),"")</f>
        <v/>
      </c>
      <c r="H657" s="0" t="n">
        <f aca="false">IFERROR(INDEX('Session Tracker'!$J$5:$J$149,MATCH($A657,'Session Tracker'!$D$5:$D$149,0)),0)</f>
        <v>8</v>
      </c>
      <c r="I657" s="0" t="n">
        <f aca="false">IF(OR(B657=0,B657=99,C657=""),"",IF(E657="Per class",D657,D657*H657))</f>
        <v>8</v>
      </c>
      <c r="N657" s="0" t="str">
        <f aca="false">IF('Junior Makers Kits'!B365="","",'Junior Makers Kits'!B365)</f>
        <v>Wiring &amp; Prototyping</v>
      </c>
      <c r="O657" s="0" t="str">
        <f aca="false">IF('Junior Makers Kits'!F365="","",'Junior Makers Kits'!F365)</f>
        <v>Reusable</v>
      </c>
      <c r="P657" s="0" t="str">
        <f aca="false">IF('Junior Makers Kits'!G365="","",'Junior Makers Kits'!G365)</f>
        <v/>
      </c>
    </row>
    <row r="658" customFormat="false" ht="15" hidden="false" customHeight="false" outlineLevel="0" collapsed="false">
      <c r="A658" s="0" t="s">
        <v>204</v>
      </c>
      <c r="B658" s="0" t="n">
        <v>8</v>
      </c>
      <c r="C658" s="0" t="str">
        <f aca="false">IF('Junior Makers Kits'!C366="","",'Junior Makers Kits'!C366)</f>
        <v>Jumper wires M-M</v>
      </c>
      <c r="D658" s="0" t="n">
        <f aca="false">IF('Junior Makers Kits'!D366="","",'Junior Makers Kits'!D366)</f>
        <v>16</v>
      </c>
      <c r="E658" s="0" t="str">
        <f aca="false">IF('Junior Makers Kits'!E366="","",'Junior Makers Kits'!E366)</f>
        <v>Per group</v>
      </c>
      <c r="F658" s="0" t="str">
        <f aca="false">IFERROR(INDEX('Session Tracker'!$M$5:$M$149,MATCH($A658,'Session Tracker'!$D$5:$D$149,0))+0,"")</f>
        <v/>
      </c>
      <c r="G658" s="0" t="str">
        <f aca="false">IF(ISNUMBER(F658),IF(OR(B658=0,B658=99,C658&lt;&gt;""),F658*100+B658,""),"")</f>
        <v/>
      </c>
      <c r="H658" s="0" t="n">
        <f aca="false">IFERROR(INDEX('Session Tracker'!$J$5:$J$149,MATCH($A658,'Session Tracker'!$D$5:$D$149,0)),0)</f>
        <v>8</v>
      </c>
      <c r="I658" s="0" t="n">
        <f aca="false">IF(OR(B658=0,B658=99,C658=""),"",IF(E658="Per class",D658,D658*H658))</f>
        <v>128</v>
      </c>
      <c r="N658" s="0" t="str">
        <f aca="false">IF('Junior Makers Kits'!B366="","",'Junior Makers Kits'!B366)</f>
        <v>Wiring &amp; Prototyping</v>
      </c>
      <c r="O658" s="0" t="str">
        <f aca="false">IF('Junior Makers Kits'!F366="","",'Junior Makers Kits'!F366)</f>
        <v>Reusable</v>
      </c>
      <c r="P658" s="0" t="str">
        <f aca="false">IF('Junior Makers Kits'!G366="","",'Junior Makers Kits'!G366)</f>
        <v/>
      </c>
    </row>
    <row r="659" customFormat="false" ht="15" hidden="false" customHeight="false" outlineLevel="0" collapsed="false">
      <c r="A659" s="0" t="s">
        <v>204</v>
      </c>
      <c r="B659" s="0" t="n">
        <v>9</v>
      </c>
      <c r="C659" s="0" t="str">
        <f aca="false">IF('Junior Makers Kits'!C367="","",'Junior Makers Kits'!C367)</f>
        <v>Jumper wires M-F</v>
      </c>
      <c r="D659" s="0" t="n">
        <f aca="false">IF('Junior Makers Kits'!D367="","",'Junior Makers Kits'!D367)</f>
        <v>6</v>
      </c>
      <c r="E659" s="0" t="str">
        <f aca="false">IF('Junior Makers Kits'!E367="","",'Junior Makers Kits'!E367)</f>
        <v>Per group</v>
      </c>
      <c r="F659" s="0" t="str">
        <f aca="false">IFERROR(INDEX('Session Tracker'!$M$5:$M$149,MATCH($A659,'Session Tracker'!$D$5:$D$149,0))+0,"")</f>
        <v/>
      </c>
      <c r="G659" s="0" t="str">
        <f aca="false">IF(ISNUMBER(F659),IF(OR(B659=0,B659=99,C659&lt;&gt;""),F659*100+B659,""),"")</f>
        <v/>
      </c>
      <c r="H659" s="0" t="n">
        <f aca="false">IFERROR(INDEX('Session Tracker'!$J$5:$J$149,MATCH($A659,'Session Tracker'!$D$5:$D$149,0)),0)</f>
        <v>8</v>
      </c>
      <c r="I659" s="0" t="n">
        <f aca="false">IF(OR(B659=0,B659=99,C659=""),"",IF(E659="Per class",D659,D659*H659))</f>
        <v>48</v>
      </c>
      <c r="N659" s="0" t="str">
        <f aca="false">IF('Junior Makers Kits'!B367="","",'Junior Makers Kits'!B367)</f>
        <v>Wiring &amp; Prototyping</v>
      </c>
      <c r="O659" s="0" t="str">
        <f aca="false">IF('Junior Makers Kits'!F367="","",'Junior Makers Kits'!F367)</f>
        <v>Reusable</v>
      </c>
      <c r="P659" s="0" t="str">
        <f aca="false">IF('Junior Makers Kits'!G367="","",'Junior Makers Kits'!G367)</f>
        <v/>
      </c>
    </row>
    <row r="660" customFormat="false" ht="15" hidden="false" customHeight="false" outlineLevel="0" collapsed="false">
      <c r="A660" s="0" t="s">
        <v>204</v>
      </c>
      <c r="B660" s="0" t="n">
        <v>10</v>
      </c>
      <c r="C660" s="0" t="str">
        <f aca="false">IF('Junior Makers Kits'!C368="","",'Junior Makers Kits'!C368)</f>
        <v>Laptop</v>
      </c>
      <c r="D660" s="0" t="n">
        <f aca="false">IF('Junior Makers Kits'!D368="","",'Junior Makers Kits'!D368)</f>
        <v>1</v>
      </c>
      <c r="E660" s="0" t="str">
        <f aca="false">IF('Junior Makers Kits'!E368="","",'Junior Makers Kits'!E368)</f>
        <v>Per group</v>
      </c>
      <c r="F660" s="0" t="str">
        <f aca="false">IFERROR(INDEX('Session Tracker'!$M$5:$M$149,MATCH($A660,'Session Tracker'!$D$5:$D$149,0))+0,"")</f>
        <v/>
      </c>
      <c r="G660" s="0" t="str">
        <f aca="false">IF(ISNUMBER(F660),IF(OR(B660=0,B660=99,C660&lt;&gt;""),F660*100+B660,""),"")</f>
        <v/>
      </c>
      <c r="H660" s="0" t="n">
        <f aca="false">IFERROR(INDEX('Session Tracker'!$J$5:$J$149,MATCH($A660,'Session Tracker'!$D$5:$D$149,0)),0)</f>
        <v>8</v>
      </c>
      <c r="I660" s="0" t="n">
        <f aca="false">IF(OR(B660=0,B660=99,C660=""),"",IF(E660="Per class",D660,D660*H660))</f>
        <v>8</v>
      </c>
      <c r="N660" s="0" t="str">
        <f aca="false">IF('Junior Makers Kits'!B368="","",'Junior Makers Kits'!B368)</f>
        <v>Computers &amp; Equipment</v>
      </c>
      <c r="O660" s="0" t="str">
        <f aca="false">IF('Junior Makers Kits'!F368="","",'Junior Makers Kits'!F368)</f>
        <v>Reusable</v>
      </c>
      <c r="P660" s="0" t="str">
        <f aca="false">IF('Junior Makers Kits'!G368="","",'Junior Makers Kits'!G368)</f>
        <v/>
      </c>
    </row>
    <row r="661" customFormat="false" ht="15" hidden="false" customHeight="false" outlineLevel="0" collapsed="false">
      <c r="A661" s="0" t="s">
        <v>204</v>
      </c>
      <c r="B661" s="0" t="n">
        <v>11</v>
      </c>
      <c r="C661" s="0" t="str">
        <f aca="false">IF('Junior Makers Kits'!C369="","",'Junior Makers Kits'!C369)</f>
        <v>Buzzer</v>
      </c>
      <c r="D661" s="0" t="n">
        <f aca="false">IF('Junior Makers Kits'!D369="","",'Junior Makers Kits'!D369)</f>
        <v>1</v>
      </c>
      <c r="E661" s="0" t="str">
        <f aca="false">IF('Junior Makers Kits'!E369="","",'Junior Makers Kits'!E369)</f>
        <v>Per group</v>
      </c>
      <c r="F661" s="0" t="str">
        <f aca="false">IFERROR(INDEX('Session Tracker'!$M$5:$M$149,MATCH($A661,'Session Tracker'!$D$5:$D$149,0))+0,"")</f>
        <v/>
      </c>
      <c r="G661" s="0" t="str">
        <f aca="false">IF(ISNUMBER(F661),IF(OR(B661=0,B661=99,C661&lt;&gt;""),F661*100+B661,""),"")</f>
        <v/>
      </c>
      <c r="H661" s="0" t="n">
        <f aca="false">IFERROR(INDEX('Session Tracker'!$J$5:$J$149,MATCH($A661,'Session Tracker'!$D$5:$D$149,0)),0)</f>
        <v>8</v>
      </c>
      <c r="I661" s="0" t="n">
        <f aca="false">IF(OR(B661=0,B661=99,C661=""),"",IF(E661="Per class",D661,D661*H661))</f>
        <v>8</v>
      </c>
      <c r="N661" s="0" t="str">
        <f aca="false">IF('Junior Makers Kits'!B369="","",'Junior Makers Kits'!B369)</f>
        <v>Actuators &amp; Motor Drivers</v>
      </c>
      <c r="O661" s="0" t="str">
        <f aca="false">IF('Junior Makers Kits'!F369="","",'Junior Makers Kits'!F369)</f>
        <v>Reusable</v>
      </c>
      <c r="P661" s="0" t="str">
        <f aca="false">IF('Junior Makers Kits'!G369="","",'Junior Makers Kits'!G369)</f>
        <v>Added: every Arduino class</v>
      </c>
    </row>
    <row r="662" customFormat="false" ht="15" hidden="false" customHeight="false" outlineLevel="0" collapsed="false">
      <c r="A662" s="0" t="s">
        <v>204</v>
      </c>
      <c r="B662" s="0" t="n">
        <v>12</v>
      </c>
      <c r="C662" s="0" t="str">
        <f aca="false">IF('Junior Makers Kits'!C370="","",'Junior Makers Kits'!C370)</f>
        <v/>
      </c>
      <c r="D662" s="0" t="str">
        <f aca="false">IF('Junior Makers Kits'!D370="","",'Junior Makers Kits'!D370)</f>
        <v/>
      </c>
      <c r="E662" s="0" t="str">
        <f aca="false">IF('Junior Makers Kits'!E370="","",'Junior Makers Kits'!E370)</f>
        <v/>
      </c>
      <c r="F662" s="0" t="str">
        <f aca="false">IFERROR(INDEX('Session Tracker'!$M$5:$M$149,MATCH($A662,'Session Tracker'!$D$5:$D$149,0))+0,"")</f>
        <v/>
      </c>
      <c r="G662" s="0" t="str">
        <f aca="false">IF(ISNUMBER(F662),IF(OR(B662=0,B662=99,C662&lt;&gt;""),F662*100+B662,""),"")</f>
        <v/>
      </c>
      <c r="H662" s="0" t="n">
        <f aca="false">IFERROR(INDEX('Session Tracker'!$J$5:$J$149,MATCH($A662,'Session Tracker'!$D$5:$D$149,0)),0)</f>
        <v>8</v>
      </c>
      <c r="I662" s="0" t="str">
        <f aca="false">IF(OR(B662=0,B662=99,C662=""),"",IF(E662="Per class",D662,D662*H662))</f>
        <v/>
      </c>
      <c r="N662" s="0" t="str">
        <f aca="false">IF('Junior Makers Kits'!B370="","",'Junior Makers Kits'!B370)</f>
        <v/>
      </c>
      <c r="O662" s="0" t="str">
        <f aca="false">IF('Junior Makers Kits'!F370="","",'Junior Makers Kits'!F370)</f>
        <v/>
      </c>
      <c r="P662" s="0" t="str">
        <f aca="false">IF('Junior Makers Kits'!G370="","",'Junior Makers Kits'!G370)</f>
        <v/>
      </c>
    </row>
    <row r="663" customFormat="false" ht="15" hidden="false" customHeight="false" outlineLevel="0" collapsed="false">
      <c r="A663" s="0" t="s">
        <v>204</v>
      </c>
      <c r="B663" s="0" t="n">
        <v>13</v>
      </c>
      <c r="C663" s="0" t="str">
        <f aca="false">IF('Junior Makers Kits'!C371="","",'Junior Makers Kits'!C371)</f>
        <v/>
      </c>
      <c r="D663" s="0" t="str">
        <f aca="false">IF('Junior Makers Kits'!D371="","",'Junior Makers Kits'!D371)</f>
        <v/>
      </c>
      <c r="E663" s="0" t="str">
        <f aca="false">IF('Junior Makers Kits'!E371="","",'Junior Makers Kits'!E371)</f>
        <v/>
      </c>
      <c r="F663" s="0" t="str">
        <f aca="false">IFERROR(INDEX('Session Tracker'!$M$5:$M$149,MATCH($A663,'Session Tracker'!$D$5:$D$149,0))+0,"")</f>
        <v/>
      </c>
      <c r="G663" s="0" t="str">
        <f aca="false">IF(ISNUMBER(F663),IF(OR(B663=0,B663=99,C663&lt;&gt;""),F663*100+B663,""),"")</f>
        <v/>
      </c>
      <c r="H663" s="0" t="n">
        <f aca="false">IFERROR(INDEX('Session Tracker'!$J$5:$J$149,MATCH($A663,'Session Tracker'!$D$5:$D$149,0)),0)</f>
        <v>8</v>
      </c>
      <c r="I663" s="0" t="str">
        <f aca="false">IF(OR(B663=0,B663=99,C663=""),"",IF(E663="Per class",D663,D663*H663))</f>
        <v/>
      </c>
      <c r="N663" s="0" t="str">
        <f aca="false">IF('Junior Makers Kits'!B371="","",'Junior Makers Kits'!B371)</f>
        <v/>
      </c>
      <c r="O663" s="0" t="str">
        <f aca="false">IF('Junior Makers Kits'!F371="","",'Junior Makers Kits'!F371)</f>
        <v/>
      </c>
      <c r="P663" s="0" t="str">
        <f aca="false">IF('Junior Makers Kits'!G371="","",'Junior Makers Kits'!G371)</f>
        <v/>
      </c>
    </row>
    <row r="664" customFormat="false" ht="15" hidden="false" customHeight="false" outlineLevel="0" collapsed="false">
      <c r="A664" s="0" t="s">
        <v>206</v>
      </c>
      <c r="B664" s="0" t="n">
        <v>0</v>
      </c>
      <c r="F664" s="0" t="str">
        <f aca="false">IFERROR(INDEX('Session Tracker'!$M$5:$M$149,MATCH($A664,'Session Tracker'!$D$5:$D$149,0))+0,"")</f>
        <v/>
      </c>
      <c r="G664" s="0" t="str">
        <f aca="false">IF(ISNUMBER(F664),IF(OR(B664=0,B664=99,C664&lt;&gt;""),F664*100+B664,""),"")</f>
        <v/>
      </c>
      <c r="H664" s="0" t="n">
        <f aca="false">IFERROR(INDEX('Session Tracker'!$J$5:$J$149,MATCH($A664,'Session Tracker'!$D$5:$D$149,0)),0)</f>
        <v>8</v>
      </c>
      <c r="I664" s="0" t="str">
        <f aca="false">IF(OR(B664=0,B664=99,C664=""),"",IF(E664="Per class",D664,D664*H664))</f>
        <v/>
      </c>
      <c r="K664" s="0" t="str">
        <f aca="false">IFERROR(INDEX('Session Tracker'!$E$5:$E$149,MATCH($A664,'Session Tracker'!$D$5:$D$149,0)),"")</f>
        <v>Smart Kitchen Scale</v>
      </c>
      <c r="L664" s="0" t="str">
        <f aca="false">IFERROR(INDEX('Session Tracker'!$A$5:$A$149,MATCH($A664,'Session Tracker'!$D$5:$D$149,0)),"")</f>
        <v>Junior Makers (8-11)</v>
      </c>
      <c r="M664" s="0" t="str">
        <f aca="false">IFERROR(INDEX('Session Tracker'!$H$5:$H$149,MATCH($A664,'Session Tracker'!$D$5:$D$149,0))&amp;"","")</f>
        <v/>
      </c>
      <c r="Q664" s="0" t="str">
        <f aca="false">IFERROR("Status: "&amp;INDEX('Session Tracker'!$F$5:$F$149,MATCH($A664,'Session Tracker'!$D$5:$D$149,0))&amp;IF(INDEX('Session Tracker'!$G$5:$G$149,MATCH($A664,'Session Tracker'!$D$5:$D$149,0))&lt;&gt;""," ("&amp;INDEX('Session Tracker'!$G$5:$G$149,MATCH($A664,'Session Tracker'!$D$5:$D$149,0))&amp;")","")&amp;IF(M664&lt;&gt;"","  "&amp;M664,""),"")</f>
        <v>Status: Not started</v>
      </c>
    </row>
    <row r="665" customFormat="false" ht="15" hidden="false" customHeight="false" outlineLevel="0" collapsed="false">
      <c r="A665" s="0" t="s">
        <v>206</v>
      </c>
      <c r="B665" s="0" t="n">
        <v>1</v>
      </c>
      <c r="C665" s="0" t="str">
        <f aca="false">IF('Junior Makers Kits'!C374="","",'Junior Makers Kits'!C374)</f>
        <v>Arduino Uno + USB cable</v>
      </c>
      <c r="D665" s="0" t="n">
        <f aca="false">IF('Junior Makers Kits'!D374="","",'Junior Makers Kits'!D374)</f>
        <v>1</v>
      </c>
      <c r="E665" s="0" t="str">
        <f aca="false">IF('Junior Makers Kits'!E374="","",'Junior Makers Kits'!E374)</f>
        <v>Per group</v>
      </c>
      <c r="F665" s="0" t="str">
        <f aca="false">IFERROR(INDEX('Session Tracker'!$M$5:$M$149,MATCH($A665,'Session Tracker'!$D$5:$D$149,0))+0,"")</f>
        <v/>
      </c>
      <c r="G665" s="0" t="str">
        <f aca="false">IF(ISNUMBER(F665),IF(OR(B665=0,B665=99,C665&lt;&gt;""),F665*100+B665,""),"")</f>
        <v/>
      </c>
      <c r="H665" s="0" t="n">
        <f aca="false">IFERROR(INDEX('Session Tracker'!$J$5:$J$149,MATCH($A665,'Session Tracker'!$D$5:$D$149,0)),0)</f>
        <v>8</v>
      </c>
      <c r="I665" s="0" t="n">
        <f aca="false">IF(OR(B665=0,B665=99,C665=""),"",IF(E665="Per class",D665,D665*H665))</f>
        <v>8</v>
      </c>
      <c r="N665" s="0" t="str">
        <f aca="false">IF('Junior Makers Kits'!B374="","",'Junior Makers Kits'!B374)</f>
        <v>Microcontrollers &amp; Dev Boards</v>
      </c>
      <c r="O665" s="0" t="str">
        <f aca="false">IF('Junior Makers Kits'!F374="","",'Junior Makers Kits'!F374)</f>
        <v>Reusable</v>
      </c>
      <c r="P665" s="0" t="str">
        <f aca="false">IF('Junior Makers Kits'!G374="","",'Junior Makers Kits'!G374)</f>
        <v/>
      </c>
    </row>
    <row r="666" customFormat="false" ht="15" hidden="false" customHeight="false" outlineLevel="0" collapsed="false">
      <c r="A666" s="0" t="s">
        <v>206</v>
      </c>
      <c r="B666" s="0" t="n">
        <v>2</v>
      </c>
      <c r="C666" s="0" t="str">
        <f aca="false">IF('Junior Makers Kits'!C375="","",'Junior Makers Kits'!C375)</f>
        <v>Load cell 5 kg + HX711</v>
      </c>
      <c r="D666" s="0" t="n">
        <f aca="false">IF('Junior Makers Kits'!D375="","",'Junior Makers Kits'!D375)</f>
        <v>1</v>
      </c>
      <c r="E666" s="0" t="str">
        <f aca="false">IF('Junior Makers Kits'!E375="","",'Junior Makers Kits'!E375)</f>
        <v>Per group</v>
      </c>
      <c r="F666" s="0" t="str">
        <f aca="false">IFERROR(INDEX('Session Tracker'!$M$5:$M$149,MATCH($A666,'Session Tracker'!$D$5:$D$149,0))+0,"")</f>
        <v/>
      </c>
      <c r="G666" s="0" t="str">
        <f aca="false">IF(ISNUMBER(F666),IF(OR(B666=0,B666=99,C666&lt;&gt;""),F666*100+B666,""),"")</f>
        <v/>
      </c>
      <c r="H666" s="0" t="n">
        <f aca="false">IFERROR(INDEX('Session Tracker'!$J$5:$J$149,MATCH($A666,'Session Tracker'!$D$5:$D$149,0)),0)</f>
        <v>8</v>
      </c>
      <c r="I666" s="0" t="n">
        <f aca="false">IF(OR(B666=0,B666=99,C666=""),"",IF(E666="Per class",D666,D666*H666))</f>
        <v>8</v>
      </c>
      <c r="N666" s="0" t="str">
        <f aca="false">IF('Junior Makers Kits'!B375="","",'Junior Makers Kits'!B375)</f>
        <v>Sensors</v>
      </c>
      <c r="O666" s="0" t="str">
        <f aca="false">IF('Junior Makers Kits'!F375="","",'Junior Makers Kits'!F375)</f>
        <v>Reusable</v>
      </c>
      <c r="P666" s="0" t="str">
        <f aca="false">IF('Junior Makers Kits'!G375="","",'Junior Makers Kits'!G375)</f>
        <v/>
      </c>
    </row>
    <row r="667" customFormat="false" ht="15" hidden="false" customHeight="false" outlineLevel="0" collapsed="false">
      <c r="A667" s="0" t="s">
        <v>206</v>
      </c>
      <c r="B667" s="0" t="n">
        <v>3</v>
      </c>
      <c r="C667" s="0" t="str">
        <f aca="false">IF('Junior Makers Kits'!C376="","",'Junior Makers Kits'!C376)</f>
        <v>OLED 0.96 in I2C</v>
      </c>
      <c r="D667" s="0" t="n">
        <f aca="false">IF('Junior Makers Kits'!D376="","",'Junior Makers Kits'!D376)</f>
        <v>1</v>
      </c>
      <c r="E667" s="0" t="str">
        <f aca="false">IF('Junior Makers Kits'!E376="","",'Junior Makers Kits'!E376)</f>
        <v>Per group</v>
      </c>
      <c r="F667" s="0" t="str">
        <f aca="false">IFERROR(INDEX('Session Tracker'!$M$5:$M$149,MATCH($A667,'Session Tracker'!$D$5:$D$149,0))+0,"")</f>
        <v/>
      </c>
      <c r="G667" s="0" t="str">
        <f aca="false">IF(ISNUMBER(F667),IF(OR(B667=0,B667=99,C667&lt;&gt;""),F667*100+B667,""),"")</f>
        <v/>
      </c>
      <c r="H667" s="0" t="n">
        <f aca="false">IFERROR(INDEX('Session Tracker'!$J$5:$J$149,MATCH($A667,'Session Tracker'!$D$5:$D$149,0)),0)</f>
        <v>8</v>
      </c>
      <c r="I667" s="0" t="n">
        <f aca="false">IF(OR(B667=0,B667=99,C667=""),"",IF(E667="Per class",D667,D667*H667))</f>
        <v>8</v>
      </c>
      <c r="N667" s="0" t="str">
        <f aca="false">IF('Junior Makers Kits'!B376="","",'Junior Makers Kits'!B376)</f>
        <v>Displays &amp; Output</v>
      </c>
      <c r="O667" s="0" t="str">
        <f aca="false">IF('Junior Makers Kits'!F376="","",'Junior Makers Kits'!F376)</f>
        <v>Reusable</v>
      </c>
      <c r="P667" s="0" t="str">
        <f aca="false">IF('Junior Makers Kits'!G376="","",'Junior Makers Kits'!G376)</f>
        <v/>
      </c>
    </row>
    <row r="668" customFormat="false" ht="15" hidden="false" customHeight="false" outlineLevel="0" collapsed="false">
      <c r="A668" s="0" t="s">
        <v>206</v>
      </c>
      <c r="B668" s="0" t="n">
        <v>4</v>
      </c>
      <c r="C668" s="0" t="str">
        <f aca="false">IF('Junior Makers Kits'!C377="","",'Junior Makers Kits'!C377)</f>
        <v>Push button</v>
      </c>
      <c r="D668" s="0" t="n">
        <f aca="false">IF('Junior Makers Kits'!D377="","",'Junior Makers Kits'!D377)</f>
        <v>1</v>
      </c>
      <c r="E668" s="0" t="str">
        <f aca="false">IF('Junior Makers Kits'!E377="","",'Junior Makers Kits'!E377)</f>
        <v>Per group</v>
      </c>
      <c r="F668" s="0" t="str">
        <f aca="false">IFERROR(INDEX('Session Tracker'!$M$5:$M$149,MATCH($A668,'Session Tracker'!$D$5:$D$149,0))+0,"")</f>
        <v/>
      </c>
      <c r="G668" s="0" t="str">
        <f aca="false">IF(ISNUMBER(F668),IF(OR(B668=0,B668=99,C668&lt;&gt;""),F668*100+B668,""),"")</f>
        <v/>
      </c>
      <c r="H668" s="0" t="n">
        <f aca="false">IFERROR(INDEX('Session Tracker'!$J$5:$J$149,MATCH($A668,'Session Tracker'!$D$5:$D$149,0)),0)</f>
        <v>8</v>
      </c>
      <c r="I668" s="0" t="n">
        <f aca="false">IF(OR(B668=0,B668=99,C668=""),"",IF(E668="Per class",D668,D668*H668))</f>
        <v>8</v>
      </c>
      <c r="N668" s="0" t="str">
        <f aca="false">IF('Junior Makers Kits'!B377="","",'Junior Makers Kits'!B377)</f>
        <v>Passive Components &amp; ICs</v>
      </c>
      <c r="O668" s="0" t="str">
        <f aca="false">IF('Junior Makers Kits'!F377="","",'Junior Makers Kits'!F377)</f>
        <v>Reusable</v>
      </c>
      <c r="P668" s="0" t="str">
        <f aca="false">IF('Junior Makers Kits'!G377="","",'Junior Makers Kits'!G377)</f>
        <v/>
      </c>
    </row>
    <row r="669" customFormat="false" ht="15" hidden="false" customHeight="false" outlineLevel="0" collapsed="false">
      <c r="A669" s="0" t="s">
        <v>206</v>
      </c>
      <c r="B669" s="0" t="n">
        <v>5</v>
      </c>
      <c r="C669" s="0" t="str">
        <f aca="false">IF('Junior Makers Kits'!C378="","",'Junior Makers Kits'!C378)</f>
        <v>Resistor 10k ohm</v>
      </c>
      <c r="D669" s="0" t="n">
        <f aca="false">IF('Junior Makers Kits'!D378="","",'Junior Makers Kits'!D378)</f>
        <v>1</v>
      </c>
      <c r="E669" s="0" t="str">
        <f aca="false">IF('Junior Makers Kits'!E378="","",'Junior Makers Kits'!E378)</f>
        <v>Per group</v>
      </c>
      <c r="F669" s="0" t="str">
        <f aca="false">IFERROR(INDEX('Session Tracker'!$M$5:$M$149,MATCH($A669,'Session Tracker'!$D$5:$D$149,0))+0,"")</f>
        <v/>
      </c>
      <c r="G669" s="0" t="str">
        <f aca="false">IF(ISNUMBER(F669),IF(OR(B669=0,B669=99,C669&lt;&gt;""),F669*100+B669,""),"")</f>
        <v/>
      </c>
      <c r="H669" s="0" t="n">
        <f aca="false">IFERROR(INDEX('Session Tracker'!$J$5:$J$149,MATCH($A669,'Session Tracker'!$D$5:$D$149,0)),0)</f>
        <v>8</v>
      </c>
      <c r="I669" s="0" t="n">
        <f aca="false">IF(OR(B669=0,B669=99,C669=""),"",IF(E669="Per class",D669,D669*H669))</f>
        <v>8</v>
      </c>
      <c r="N669" s="0" t="str">
        <f aca="false">IF('Junior Makers Kits'!B378="","",'Junior Makers Kits'!B378)</f>
        <v>Passive Components &amp; ICs</v>
      </c>
      <c r="O669" s="0" t="str">
        <f aca="false">IF('Junior Makers Kits'!F378="","",'Junior Makers Kits'!F378)</f>
        <v>Consumable</v>
      </c>
      <c r="P669" s="0" t="str">
        <f aca="false">IF('Junior Makers Kits'!G378="","",'Junior Makers Kits'!G378)</f>
        <v/>
      </c>
    </row>
    <row r="670" customFormat="false" ht="15" hidden="false" customHeight="false" outlineLevel="0" collapsed="false">
      <c r="A670" s="0" t="s">
        <v>206</v>
      </c>
      <c r="B670" s="0" t="n">
        <v>6</v>
      </c>
      <c r="C670" s="0" t="str">
        <f aca="false">IF('Junior Makers Kits'!C379="","",'Junior Makers Kits'!C379)</f>
        <v>Cardboard sheet</v>
      </c>
      <c r="D670" s="0" t="n">
        <f aca="false">IF('Junior Makers Kits'!D379="","",'Junior Makers Kits'!D379)</f>
        <v>1</v>
      </c>
      <c r="E670" s="0" t="str">
        <f aca="false">IF('Junior Makers Kits'!E379="","",'Junior Makers Kits'!E379)</f>
        <v>Per group</v>
      </c>
      <c r="F670" s="0" t="str">
        <f aca="false">IFERROR(INDEX('Session Tracker'!$M$5:$M$149,MATCH($A670,'Session Tracker'!$D$5:$D$149,0))+0,"")</f>
        <v/>
      </c>
      <c r="G670" s="0" t="str">
        <f aca="false">IF(ISNUMBER(F670),IF(OR(B670=0,B670=99,C670&lt;&gt;""),F670*100+B670,""),"")</f>
        <v/>
      </c>
      <c r="H670" s="0" t="n">
        <f aca="false">IFERROR(INDEX('Session Tracker'!$J$5:$J$149,MATCH($A670,'Session Tracker'!$D$5:$D$149,0)),0)</f>
        <v>8</v>
      </c>
      <c r="I670" s="0" t="n">
        <f aca="false">IF(OR(B670=0,B670=99,C670=""),"",IF(E670="Per class",D670,D670*H670))</f>
        <v>8</v>
      </c>
      <c r="N670" s="0" t="str">
        <f aca="false">IF('Junior Makers Kits'!B379="","",'Junior Makers Kits'!B379)</f>
        <v>Craft &amp; Stationery</v>
      </c>
      <c r="O670" s="0" t="str">
        <f aca="false">IF('Junior Makers Kits'!F379="","",'Junior Makers Kits'!F379)</f>
        <v>Consumable</v>
      </c>
      <c r="P670" s="0" t="str">
        <f aca="false">IF('Junior Makers Kits'!G379="","",'Junior Makers Kits'!G379)</f>
        <v>Scale platform</v>
      </c>
    </row>
    <row r="671" customFormat="false" ht="15" hidden="false" customHeight="false" outlineLevel="0" collapsed="false">
      <c r="A671" s="0" t="s">
        <v>206</v>
      </c>
      <c r="B671" s="0" t="n">
        <v>7</v>
      </c>
      <c r="C671" s="0" t="str">
        <f aca="false">IF('Junior Makers Kits'!C380="","",'Junior Makers Kits'!C380)</f>
        <v>Breadboard (half size)</v>
      </c>
      <c r="D671" s="0" t="n">
        <f aca="false">IF('Junior Makers Kits'!D380="","",'Junior Makers Kits'!D380)</f>
        <v>1</v>
      </c>
      <c r="E671" s="0" t="str">
        <f aca="false">IF('Junior Makers Kits'!E380="","",'Junior Makers Kits'!E380)</f>
        <v>Per group</v>
      </c>
      <c r="F671" s="0" t="str">
        <f aca="false">IFERROR(INDEX('Session Tracker'!$M$5:$M$149,MATCH($A671,'Session Tracker'!$D$5:$D$149,0))+0,"")</f>
        <v/>
      </c>
      <c r="G671" s="0" t="str">
        <f aca="false">IF(ISNUMBER(F671),IF(OR(B671=0,B671=99,C671&lt;&gt;""),F671*100+B671,""),"")</f>
        <v/>
      </c>
      <c r="H671" s="0" t="n">
        <f aca="false">IFERROR(INDEX('Session Tracker'!$J$5:$J$149,MATCH($A671,'Session Tracker'!$D$5:$D$149,0)),0)</f>
        <v>8</v>
      </c>
      <c r="I671" s="0" t="n">
        <f aca="false">IF(OR(B671=0,B671=99,C671=""),"",IF(E671="Per class",D671,D671*H671))</f>
        <v>8</v>
      </c>
      <c r="N671" s="0" t="str">
        <f aca="false">IF('Junior Makers Kits'!B380="","",'Junior Makers Kits'!B380)</f>
        <v>Wiring &amp; Prototyping</v>
      </c>
      <c r="O671" s="0" t="str">
        <f aca="false">IF('Junior Makers Kits'!F380="","",'Junior Makers Kits'!F380)</f>
        <v>Reusable</v>
      </c>
      <c r="P671" s="0" t="str">
        <f aca="false">IF('Junior Makers Kits'!G380="","",'Junior Makers Kits'!G380)</f>
        <v/>
      </c>
    </row>
    <row r="672" customFormat="false" ht="15" hidden="false" customHeight="false" outlineLevel="0" collapsed="false">
      <c r="A672" s="0" t="s">
        <v>206</v>
      </c>
      <c r="B672" s="0" t="n">
        <v>8</v>
      </c>
      <c r="C672" s="0" t="str">
        <f aca="false">IF('Junior Makers Kits'!C381="","",'Junior Makers Kits'!C381)</f>
        <v>Jumper wires M-M</v>
      </c>
      <c r="D672" s="0" t="n">
        <f aca="false">IF('Junior Makers Kits'!D381="","",'Junior Makers Kits'!D381)</f>
        <v>10</v>
      </c>
      <c r="E672" s="0" t="str">
        <f aca="false">IF('Junior Makers Kits'!E381="","",'Junior Makers Kits'!E381)</f>
        <v>Per group</v>
      </c>
      <c r="F672" s="0" t="str">
        <f aca="false">IFERROR(INDEX('Session Tracker'!$M$5:$M$149,MATCH($A672,'Session Tracker'!$D$5:$D$149,0))+0,"")</f>
        <v/>
      </c>
      <c r="G672" s="0" t="str">
        <f aca="false">IF(ISNUMBER(F672),IF(OR(B672=0,B672=99,C672&lt;&gt;""),F672*100+B672,""),"")</f>
        <v/>
      </c>
      <c r="H672" s="0" t="n">
        <f aca="false">IFERROR(INDEX('Session Tracker'!$J$5:$J$149,MATCH($A672,'Session Tracker'!$D$5:$D$149,0)),0)</f>
        <v>8</v>
      </c>
      <c r="I672" s="0" t="n">
        <f aca="false">IF(OR(B672=0,B672=99,C672=""),"",IF(E672="Per class",D672,D672*H672))</f>
        <v>80</v>
      </c>
      <c r="N672" s="0" t="str">
        <f aca="false">IF('Junior Makers Kits'!B381="","",'Junior Makers Kits'!B381)</f>
        <v>Wiring &amp; Prototyping</v>
      </c>
      <c r="O672" s="0" t="str">
        <f aca="false">IF('Junior Makers Kits'!F381="","",'Junior Makers Kits'!F381)</f>
        <v>Reusable</v>
      </c>
      <c r="P672" s="0" t="str">
        <f aca="false">IF('Junior Makers Kits'!G381="","",'Junior Makers Kits'!G381)</f>
        <v/>
      </c>
    </row>
    <row r="673" customFormat="false" ht="15" hidden="false" customHeight="false" outlineLevel="0" collapsed="false">
      <c r="A673" s="0" t="s">
        <v>206</v>
      </c>
      <c r="B673" s="0" t="n">
        <v>9</v>
      </c>
      <c r="C673" s="0" t="str">
        <f aca="false">IF('Junior Makers Kits'!C382="","",'Junior Makers Kits'!C382)</f>
        <v>Jumper wires M-F</v>
      </c>
      <c r="D673" s="0" t="n">
        <f aca="false">IF('Junior Makers Kits'!D382="","",'Junior Makers Kits'!D382)</f>
        <v>6</v>
      </c>
      <c r="E673" s="0" t="str">
        <f aca="false">IF('Junior Makers Kits'!E382="","",'Junior Makers Kits'!E382)</f>
        <v>Per group</v>
      </c>
      <c r="F673" s="0" t="str">
        <f aca="false">IFERROR(INDEX('Session Tracker'!$M$5:$M$149,MATCH($A673,'Session Tracker'!$D$5:$D$149,0))+0,"")</f>
        <v/>
      </c>
      <c r="G673" s="0" t="str">
        <f aca="false">IF(ISNUMBER(F673),IF(OR(B673=0,B673=99,C673&lt;&gt;""),F673*100+B673,""),"")</f>
        <v/>
      </c>
      <c r="H673" s="0" t="n">
        <f aca="false">IFERROR(INDEX('Session Tracker'!$J$5:$J$149,MATCH($A673,'Session Tracker'!$D$5:$D$149,0)),0)</f>
        <v>8</v>
      </c>
      <c r="I673" s="0" t="n">
        <f aca="false">IF(OR(B673=0,B673=99,C673=""),"",IF(E673="Per class",D673,D673*H673))</f>
        <v>48</v>
      </c>
      <c r="N673" s="0" t="str">
        <f aca="false">IF('Junior Makers Kits'!B382="","",'Junior Makers Kits'!B382)</f>
        <v>Wiring &amp; Prototyping</v>
      </c>
      <c r="O673" s="0" t="str">
        <f aca="false">IF('Junior Makers Kits'!F382="","",'Junior Makers Kits'!F382)</f>
        <v>Reusable</v>
      </c>
      <c r="P673" s="0" t="str">
        <f aca="false">IF('Junior Makers Kits'!G382="","",'Junior Makers Kits'!G382)</f>
        <v/>
      </c>
    </row>
    <row r="674" customFormat="false" ht="15" hidden="false" customHeight="false" outlineLevel="0" collapsed="false">
      <c r="A674" s="0" t="s">
        <v>206</v>
      </c>
      <c r="B674" s="0" t="n">
        <v>10</v>
      </c>
      <c r="C674" s="0" t="str">
        <f aca="false">IF('Junior Makers Kits'!C383="","",'Junior Makers Kits'!C383)</f>
        <v>Laptop</v>
      </c>
      <c r="D674" s="0" t="n">
        <f aca="false">IF('Junior Makers Kits'!D383="","",'Junior Makers Kits'!D383)</f>
        <v>1</v>
      </c>
      <c r="E674" s="0" t="str">
        <f aca="false">IF('Junior Makers Kits'!E383="","",'Junior Makers Kits'!E383)</f>
        <v>Per group</v>
      </c>
      <c r="F674" s="0" t="str">
        <f aca="false">IFERROR(INDEX('Session Tracker'!$M$5:$M$149,MATCH($A674,'Session Tracker'!$D$5:$D$149,0))+0,"")</f>
        <v/>
      </c>
      <c r="G674" s="0" t="str">
        <f aca="false">IF(ISNUMBER(F674),IF(OR(B674=0,B674=99,C674&lt;&gt;""),F674*100+B674,""),"")</f>
        <v/>
      </c>
      <c r="H674" s="0" t="n">
        <f aca="false">IFERROR(INDEX('Session Tracker'!$J$5:$J$149,MATCH($A674,'Session Tracker'!$D$5:$D$149,0)),0)</f>
        <v>8</v>
      </c>
      <c r="I674" s="0" t="n">
        <f aca="false">IF(OR(B674=0,B674=99,C674=""),"",IF(E674="Per class",D674,D674*H674))</f>
        <v>8</v>
      </c>
      <c r="N674" s="0" t="str">
        <f aca="false">IF('Junior Makers Kits'!B383="","",'Junior Makers Kits'!B383)</f>
        <v>Computers &amp; Equipment</v>
      </c>
      <c r="O674" s="0" t="str">
        <f aca="false">IF('Junior Makers Kits'!F383="","",'Junior Makers Kits'!F383)</f>
        <v>Reusable</v>
      </c>
      <c r="P674" s="0" t="str">
        <f aca="false">IF('Junior Makers Kits'!G383="","",'Junior Makers Kits'!G383)</f>
        <v/>
      </c>
    </row>
    <row r="675" customFormat="false" ht="15" hidden="false" customHeight="false" outlineLevel="0" collapsed="false">
      <c r="A675" s="0" t="s">
        <v>206</v>
      </c>
      <c r="B675" s="0" t="n">
        <v>11</v>
      </c>
      <c r="C675" s="0" t="str">
        <f aca="false">IF('Junior Makers Kits'!C384="","",'Junior Makers Kits'!C384)</f>
        <v>LED 5 mm (assorted)</v>
      </c>
      <c r="D675" s="0" t="n">
        <f aca="false">IF('Junior Makers Kits'!D384="","",'Junior Makers Kits'!D384)</f>
        <v>1</v>
      </c>
      <c r="E675" s="0" t="str">
        <f aca="false">IF('Junior Makers Kits'!E384="","",'Junior Makers Kits'!E384)</f>
        <v>Per group</v>
      </c>
      <c r="F675" s="0" t="str">
        <f aca="false">IFERROR(INDEX('Session Tracker'!$M$5:$M$149,MATCH($A675,'Session Tracker'!$D$5:$D$149,0))+0,"")</f>
        <v/>
      </c>
      <c r="G675" s="0" t="str">
        <f aca="false">IF(ISNUMBER(F675),IF(OR(B675=0,B675=99,C675&lt;&gt;""),F675*100+B675,""),"")</f>
        <v/>
      </c>
      <c r="H675" s="0" t="n">
        <f aca="false">IFERROR(INDEX('Session Tracker'!$J$5:$J$149,MATCH($A675,'Session Tracker'!$D$5:$D$149,0)),0)</f>
        <v>8</v>
      </c>
      <c r="I675" s="0" t="n">
        <f aca="false">IF(OR(B675=0,B675=99,C675=""),"",IF(E675="Per class",D675,D675*H675))</f>
        <v>8</v>
      </c>
      <c r="N675" s="0" t="str">
        <f aca="false">IF('Junior Makers Kits'!B384="","",'Junior Makers Kits'!B384)</f>
        <v>Displays &amp; Output</v>
      </c>
      <c r="O675" s="0" t="str">
        <f aca="false">IF('Junior Makers Kits'!F384="","",'Junior Makers Kits'!F384)</f>
        <v>Consumable</v>
      </c>
      <c r="P675" s="0" t="str">
        <f aca="false">IF('Junior Makers Kits'!G384="","",'Junior Makers Kits'!G384)</f>
        <v>Added: every Arduino class</v>
      </c>
    </row>
    <row r="676" customFormat="false" ht="15" hidden="false" customHeight="false" outlineLevel="0" collapsed="false">
      <c r="A676" s="0" t="s">
        <v>206</v>
      </c>
      <c r="B676" s="0" t="n">
        <v>12</v>
      </c>
      <c r="C676" s="0" t="str">
        <f aca="false">IF('Junior Makers Kits'!C385="","",'Junior Makers Kits'!C385)</f>
        <v>Resistor 220 ohm</v>
      </c>
      <c r="D676" s="0" t="n">
        <f aca="false">IF('Junior Makers Kits'!D385="","",'Junior Makers Kits'!D385)</f>
        <v>1</v>
      </c>
      <c r="E676" s="0" t="str">
        <f aca="false">IF('Junior Makers Kits'!E385="","",'Junior Makers Kits'!E385)</f>
        <v>Per group</v>
      </c>
      <c r="F676" s="0" t="str">
        <f aca="false">IFERROR(INDEX('Session Tracker'!$M$5:$M$149,MATCH($A676,'Session Tracker'!$D$5:$D$149,0))+0,"")</f>
        <v/>
      </c>
      <c r="G676" s="0" t="str">
        <f aca="false">IF(ISNUMBER(F676),IF(OR(B676=0,B676=99,C676&lt;&gt;""),F676*100+B676,""),"")</f>
        <v/>
      </c>
      <c r="H676" s="0" t="n">
        <f aca="false">IFERROR(INDEX('Session Tracker'!$J$5:$J$149,MATCH($A676,'Session Tracker'!$D$5:$D$149,0)),0)</f>
        <v>8</v>
      </c>
      <c r="I676" s="0" t="n">
        <f aca="false">IF(OR(B676=0,B676=99,C676=""),"",IF(E676="Per class",D676,D676*H676))</f>
        <v>8</v>
      </c>
      <c r="N676" s="0" t="str">
        <f aca="false">IF('Junior Makers Kits'!B385="","",'Junior Makers Kits'!B385)</f>
        <v>Passive Components &amp; ICs</v>
      </c>
      <c r="O676" s="0" t="str">
        <f aca="false">IF('Junior Makers Kits'!F385="","",'Junior Makers Kits'!F385)</f>
        <v>Consumable</v>
      </c>
      <c r="P676" s="0" t="str">
        <f aca="false">IF('Junior Makers Kits'!G385="","",'Junior Makers Kits'!G385)</f>
        <v>Added: for the LED</v>
      </c>
    </row>
    <row r="677" customFormat="false" ht="15" hidden="false" customHeight="false" outlineLevel="0" collapsed="false">
      <c r="A677" s="0" t="s">
        <v>206</v>
      </c>
      <c r="B677" s="0" t="n">
        <v>13</v>
      </c>
      <c r="C677" s="0" t="str">
        <f aca="false">IF('Junior Makers Kits'!C386="","",'Junior Makers Kits'!C386)</f>
        <v>Buzzer</v>
      </c>
      <c r="D677" s="0" t="n">
        <f aca="false">IF('Junior Makers Kits'!D386="","",'Junior Makers Kits'!D386)</f>
        <v>1</v>
      </c>
      <c r="E677" s="0" t="str">
        <f aca="false">IF('Junior Makers Kits'!E386="","",'Junior Makers Kits'!E386)</f>
        <v>Per group</v>
      </c>
      <c r="F677" s="0" t="str">
        <f aca="false">IFERROR(INDEX('Session Tracker'!$M$5:$M$149,MATCH($A677,'Session Tracker'!$D$5:$D$149,0))+0,"")</f>
        <v/>
      </c>
      <c r="G677" s="0" t="str">
        <f aca="false">IF(ISNUMBER(F677),IF(OR(B677=0,B677=99,C677&lt;&gt;""),F677*100+B677,""),"")</f>
        <v/>
      </c>
      <c r="H677" s="0" t="n">
        <f aca="false">IFERROR(INDEX('Session Tracker'!$J$5:$J$149,MATCH($A677,'Session Tracker'!$D$5:$D$149,0)),0)</f>
        <v>8</v>
      </c>
      <c r="I677" s="0" t="n">
        <f aca="false">IF(OR(B677=0,B677=99,C677=""),"",IF(E677="Per class",D677,D677*H677))</f>
        <v>8</v>
      </c>
      <c r="N677" s="0" t="str">
        <f aca="false">IF('Junior Makers Kits'!B386="","",'Junior Makers Kits'!B386)</f>
        <v>Actuators &amp; Motor Drivers</v>
      </c>
      <c r="O677" s="0" t="str">
        <f aca="false">IF('Junior Makers Kits'!F386="","",'Junior Makers Kits'!F386)</f>
        <v>Reusable</v>
      </c>
      <c r="P677" s="0" t="str">
        <f aca="false">IF('Junior Makers Kits'!G386="","",'Junior Makers Kits'!G386)</f>
        <v>Added: every Arduino class</v>
      </c>
    </row>
    <row r="678" customFormat="false" ht="15" hidden="false" customHeight="false" outlineLevel="0" collapsed="false">
      <c r="A678" s="0" t="s">
        <v>206</v>
      </c>
      <c r="B678" s="0" t="n">
        <v>14</v>
      </c>
      <c r="C678" s="0" t="str">
        <f aca="false">IF('Junior Makers Kits'!C387="","",'Junior Makers Kits'!C387)</f>
        <v/>
      </c>
      <c r="D678" s="0" t="str">
        <f aca="false">IF('Junior Makers Kits'!D387="","",'Junior Makers Kits'!D387)</f>
        <v/>
      </c>
      <c r="E678" s="0" t="str">
        <f aca="false">IF('Junior Makers Kits'!E387="","",'Junior Makers Kits'!E387)</f>
        <v/>
      </c>
      <c r="F678" s="0" t="str">
        <f aca="false">IFERROR(INDEX('Session Tracker'!$M$5:$M$149,MATCH($A678,'Session Tracker'!$D$5:$D$149,0))+0,"")</f>
        <v/>
      </c>
      <c r="G678" s="0" t="str">
        <f aca="false">IF(ISNUMBER(F678),IF(OR(B678=0,B678=99,C678&lt;&gt;""),F678*100+B678,""),"")</f>
        <v/>
      </c>
      <c r="H678" s="0" t="n">
        <f aca="false">IFERROR(INDEX('Session Tracker'!$J$5:$J$149,MATCH($A678,'Session Tracker'!$D$5:$D$149,0)),0)</f>
        <v>8</v>
      </c>
      <c r="I678" s="0" t="str">
        <f aca="false">IF(OR(B678=0,B678=99,C678=""),"",IF(E678="Per class",D678,D678*H678))</f>
        <v/>
      </c>
      <c r="N678" s="0" t="str">
        <f aca="false">IF('Junior Makers Kits'!B387="","",'Junior Makers Kits'!B387)</f>
        <v/>
      </c>
      <c r="O678" s="0" t="str">
        <f aca="false">IF('Junior Makers Kits'!F387="","",'Junior Makers Kits'!F387)</f>
        <v/>
      </c>
      <c r="P678" s="0" t="str">
        <f aca="false">IF('Junior Makers Kits'!G387="","",'Junior Makers Kits'!G387)</f>
        <v/>
      </c>
    </row>
    <row r="679" customFormat="false" ht="15" hidden="false" customHeight="false" outlineLevel="0" collapsed="false">
      <c r="A679" s="0" t="s">
        <v>206</v>
      </c>
      <c r="B679" s="0" t="n">
        <v>15</v>
      </c>
      <c r="C679" s="0" t="str">
        <f aca="false">IF('Junior Makers Kits'!C388="","",'Junior Makers Kits'!C388)</f>
        <v/>
      </c>
      <c r="D679" s="0" t="str">
        <f aca="false">IF('Junior Makers Kits'!D388="","",'Junior Makers Kits'!D388)</f>
        <v/>
      </c>
      <c r="E679" s="0" t="str">
        <f aca="false">IF('Junior Makers Kits'!E388="","",'Junior Makers Kits'!E388)</f>
        <v/>
      </c>
      <c r="F679" s="0" t="str">
        <f aca="false">IFERROR(INDEX('Session Tracker'!$M$5:$M$149,MATCH($A679,'Session Tracker'!$D$5:$D$149,0))+0,"")</f>
        <v/>
      </c>
      <c r="G679" s="0" t="str">
        <f aca="false">IF(ISNUMBER(F679),IF(OR(B679=0,B679=99,C679&lt;&gt;""),F679*100+B679,""),"")</f>
        <v/>
      </c>
      <c r="H679" s="0" t="n">
        <f aca="false">IFERROR(INDEX('Session Tracker'!$J$5:$J$149,MATCH($A679,'Session Tracker'!$D$5:$D$149,0)),0)</f>
        <v>8</v>
      </c>
      <c r="I679" s="0" t="str">
        <f aca="false">IF(OR(B679=0,B679=99,C679=""),"",IF(E679="Per class",D679,D679*H679))</f>
        <v/>
      </c>
      <c r="N679" s="0" t="str">
        <f aca="false">IF('Junior Makers Kits'!B388="","",'Junior Makers Kits'!B388)</f>
        <v/>
      </c>
      <c r="O679" s="0" t="str">
        <f aca="false">IF('Junior Makers Kits'!F388="","",'Junior Makers Kits'!F388)</f>
        <v/>
      </c>
      <c r="P679" s="0" t="str">
        <f aca="false">IF('Junior Makers Kits'!G388="","",'Junior Makers Kits'!G388)</f>
        <v/>
      </c>
    </row>
    <row r="680" customFormat="false" ht="15" hidden="false" customHeight="false" outlineLevel="0" collapsed="false">
      <c r="A680" s="0" t="s">
        <v>208</v>
      </c>
      <c r="B680" s="0" t="n">
        <v>0</v>
      </c>
      <c r="F680" s="0" t="str">
        <f aca="false">IFERROR(INDEX('Session Tracker'!$M$5:$M$149,MATCH($A680,'Session Tracker'!$D$5:$D$149,0))+0,"")</f>
        <v/>
      </c>
      <c r="G680" s="0" t="str">
        <f aca="false">IF(ISNUMBER(F680),IF(OR(B680=0,B680=99,C680&lt;&gt;""),F680*100+B680,""),"")</f>
        <v/>
      </c>
      <c r="H680" s="0" t="n">
        <f aca="false">IFERROR(INDEX('Session Tracker'!$J$5:$J$149,MATCH($A680,'Session Tracker'!$D$5:$D$149,0)),0)</f>
        <v>8</v>
      </c>
      <c r="I680" s="0" t="str">
        <f aca="false">IF(OR(B680=0,B680=99,C680=""),"",IF(E680="Per class",D680,D680*H680))</f>
        <v/>
      </c>
      <c r="K680" s="0" t="str">
        <f aca="false">IFERROR(INDEX('Session Tracker'!$E$5:$E$149,MATCH($A680,'Session Tracker'!$D$5:$D$149,0)),"")</f>
        <v>Arcade Claw Machine</v>
      </c>
      <c r="L680" s="0" t="str">
        <f aca="false">IFERROR(INDEX('Session Tracker'!$A$5:$A$149,MATCH($A680,'Session Tracker'!$D$5:$D$149,0)),"")</f>
        <v>Junior Makers (8-11)</v>
      </c>
      <c r="M680" s="0" t="str">
        <f aca="false">IFERROR(INDEX('Session Tracker'!$H$5:$H$149,MATCH($A680,'Session Tracker'!$D$5:$D$149,0))&amp;"","")</f>
        <v/>
      </c>
      <c r="Q680" s="0" t="str">
        <f aca="false">IFERROR("Status: "&amp;INDEX('Session Tracker'!$F$5:$F$149,MATCH($A680,'Session Tracker'!$D$5:$D$149,0))&amp;IF(INDEX('Session Tracker'!$G$5:$G$149,MATCH($A680,'Session Tracker'!$D$5:$D$149,0))&lt;&gt;""," ("&amp;INDEX('Session Tracker'!$G$5:$G$149,MATCH($A680,'Session Tracker'!$D$5:$D$149,0))&amp;")","")&amp;IF(M680&lt;&gt;"","  "&amp;M680,""),"")</f>
        <v>Status: Not started</v>
      </c>
    </row>
    <row r="681" customFormat="false" ht="15" hidden="false" customHeight="false" outlineLevel="0" collapsed="false">
      <c r="A681" s="0" t="s">
        <v>208</v>
      </c>
      <c r="B681" s="0" t="n">
        <v>1</v>
      </c>
      <c r="C681" s="0" t="str">
        <f aca="false">IF('Junior Makers Kits'!C391="","",'Junior Makers Kits'!C391)</f>
        <v>Arduino Uno + USB cable</v>
      </c>
      <c r="D681" s="0" t="n">
        <f aca="false">IF('Junior Makers Kits'!D391="","",'Junior Makers Kits'!D391)</f>
        <v>1</v>
      </c>
      <c r="E681" s="0" t="str">
        <f aca="false">IF('Junior Makers Kits'!E391="","",'Junior Makers Kits'!E391)</f>
        <v>Per group</v>
      </c>
      <c r="F681" s="0" t="str">
        <f aca="false">IFERROR(INDEX('Session Tracker'!$M$5:$M$149,MATCH($A681,'Session Tracker'!$D$5:$D$149,0))+0,"")</f>
        <v/>
      </c>
      <c r="G681" s="0" t="str">
        <f aca="false">IF(ISNUMBER(F681),IF(OR(B681=0,B681=99,C681&lt;&gt;""),F681*100+B681,""),"")</f>
        <v/>
      </c>
      <c r="H681" s="0" t="n">
        <f aca="false">IFERROR(INDEX('Session Tracker'!$J$5:$J$149,MATCH($A681,'Session Tracker'!$D$5:$D$149,0)),0)</f>
        <v>8</v>
      </c>
      <c r="I681" s="0" t="n">
        <f aca="false">IF(OR(B681=0,B681=99,C681=""),"",IF(E681="Per class",D681,D681*H681))</f>
        <v>8</v>
      </c>
      <c r="N681" s="0" t="str">
        <f aca="false">IF('Junior Makers Kits'!B391="","",'Junior Makers Kits'!B391)</f>
        <v>Microcontrollers &amp; Dev Boards</v>
      </c>
      <c r="O681" s="0" t="str">
        <f aca="false">IF('Junior Makers Kits'!F391="","",'Junior Makers Kits'!F391)</f>
        <v>Reusable</v>
      </c>
      <c r="P681" s="0" t="str">
        <f aca="false">IF('Junior Makers Kits'!G391="","",'Junior Makers Kits'!G391)</f>
        <v/>
      </c>
    </row>
    <row r="682" customFormat="false" ht="15" hidden="false" customHeight="false" outlineLevel="0" collapsed="false">
      <c r="A682" s="0" t="s">
        <v>208</v>
      </c>
      <c r="B682" s="0" t="n">
        <v>2</v>
      </c>
      <c r="C682" s="0" t="str">
        <f aca="false">IF('Junior Makers Kits'!C392="","",'Junior Makers Kits'!C392)</f>
        <v>Servo SG90</v>
      </c>
      <c r="D682" s="0" t="n">
        <f aca="false">IF('Junior Makers Kits'!D392="","",'Junior Makers Kits'!D392)</f>
        <v>2</v>
      </c>
      <c r="E682" s="0" t="str">
        <f aca="false">IF('Junior Makers Kits'!E392="","",'Junior Makers Kits'!E392)</f>
        <v>Per group</v>
      </c>
      <c r="F682" s="0" t="str">
        <f aca="false">IFERROR(INDEX('Session Tracker'!$M$5:$M$149,MATCH($A682,'Session Tracker'!$D$5:$D$149,0))+0,"")</f>
        <v/>
      </c>
      <c r="G682" s="0" t="str">
        <f aca="false">IF(ISNUMBER(F682),IF(OR(B682=0,B682=99,C682&lt;&gt;""),F682*100+B682,""),"")</f>
        <v/>
      </c>
      <c r="H682" s="0" t="n">
        <f aca="false">IFERROR(INDEX('Session Tracker'!$J$5:$J$149,MATCH($A682,'Session Tracker'!$D$5:$D$149,0)),0)</f>
        <v>8</v>
      </c>
      <c r="I682" s="0" t="n">
        <f aca="false">IF(OR(B682=0,B682=99,C682=""),"",IF(E682="Per class",D682,D682*H682))</f>
        <v>16</v>
      </c>
      <c r="N682" s="0" t="str">
        <f aca="false">IF('Junior Makers Kits'!B392="","",'Junior Makers Kits'!B392)</f>
        <v>Actuators &amp; Motor Drivers</v>
      </c>
      <c r="O682" s="0" t="str">
        <f aca="false">IF('Junior Makers Kits'!F392="","",'Junior Makers Kits'!F392)</f>
        <v>Reusable</v>
      </c>
      <c r="P682" s="0" t="str">
        <f aca="false">IF('Junior Makers Kits'!G392="","",'Junior Makers Kits'!G392)</f>
        <v/>
      </c>
    </row>
    <row r="683" customFormat="false" ht="15" hidden="false" customHeight="false" outlineLevel="0" collapsed="false">
      <c r="A683" s="0" t="s">
        <v>208</v>
      </c>
      <c r="B683" s="0" t="n">
        <v>3</v>
      </c>
      <c r="C683" s="0" t="str">
        <f aca="false">IF('Junior Makers Kits'!C393="","",'Junior Makers Kits'!C393)</f>
        <v>Joystick module</v>
      </c>
      <c r="D683" s="0" t="n">
        <f aca="false">IF('Junior Makers Kits'!D393="","",'Junior Makers Kits'!D393)</f>
        <v>1</v>
      </c>
      <c r="E683" s="0" t="str">
        <f aca="false">IF('Junior Makers Kits'!E393="","",'Junior Makers Kits'!E393)</f>
        <v>Per group</v>
      </c>
      <c r="F683" s="0" t="str">
        <f aca="false">IFERROR(INDEX('Session Tracker'!$M$5:$M$149,MATCH($A683,'Session Tracker'!$D$5:$D$149,0))+0,"")</f>
        <v/>
      </c>
      <c r="G683" s="0" t="str">
        <f aca="false">IF(ISNUMBER(F683),IF(OR(B683=0,B683=99,C683&lt;&gt;""),F683*100+B683,""),"")</f>
        <v/>
      </c>
      <c r="H683" s="0" t="n">
        <f aca="false">IFERROR(INDEX('Session Tracker'!$J$5:$J$149,MATCH($A683,'Session Tracker'!$D$5:$D$149,0)),0)</f>
        <v>8</v>
      </c>
      <c r="I683" s="0" t="n">
        <f aca="false">IF(OR(B683=0,B683=99,C683=""),"",IF(E683="Per class",D683,D683*H683))</f>
        <v>8</v>
      </c>
      <c r="N683" s="0" t="str">
        <f aca="false">IF('Junior Makers Kits'!B393="","",'Junior Makers Kits'!B393)</f>
        <v>Sensors</v>
      </c>
      <c r="O683" s="0" t="str">
        <f aca="false">IF('Junior Makers Kits'!F393="","",'Junior Makers Kits'!F393)</f>
        <v>Reusable</v>
      </c>
      <c r="P683" s="0" t="str">
        <f aca="false">IF('Junior Makers Kits'!G393="","",'Junior Makers Kits'!G393)</f>
        <v/>
      </c>
    </row>
    <row r="684" customFormat="false" ht="15" hidden="false" customHeight="false" outlineLevel="0" collapsed="false">
      <c r="A684" s="0" t="s">
        <v>208</v>
      </c>
      <c r="B684" s="0" t="n">
        <v>4</v>
      </c>
      <c r="C684" s="0" t="str">
        <f aca="false">IF('Junior Makers Kits'!C394="","",'Junior Makers Kits'!C394)</f>
        <v>Ice cream sticks</v>
      </c>
      <c r="D684" s="0" t="n">
        <f aca="false">IF('Junior Makers Kits'!D394="","",'Junior Makers Kits'!D394)</f>
        <v>10</v>
      </c>
      <c r="E684" s="0" t="str">
        <f aca="false">IF('Junior Makers Kits'!E394="","",'Junior Makers Kits'!E394)</f>
        <v>Per group</v>
      </c>
      <c r="F684" s="0" t="str">
        <f aca="false">IFERROR(INDEX('Session Tracker'!$M$5:$M$149,MATCH($A684,'Session Tracker'!$D$5:$D$149,0))+0,"")</f>
        <v/>
      </c>
      <c r="G684" s="0" t="str">
        <f aca="false">IF(ISNUMBER(F684),IF(OR(B684=0,B684=99,C684&lt;&gt;""),F684*100+B684,""),"")</f>
        <v/>
      </c>
      <c r="H684" s="0" t="n">
        <f aca="false">IFERROR(INDEX('Session Tracker'!$J$5:$J$149,MATCH($A684,'Session Tracker'!$D$5:$D$149,0)),0)</f>
        <v>8</v>
      </c>
      <c r="I684" s="0" t="n">
        <f aca="false">IF(OR(B684=0,B684=99,C684=""),"",IF(E684="Per class",D684,D684*H684))</f>
        <v>80</v>
      </c>
      <c r="N684" s="0" t="str">
        <f aca="false">IF('Junior Makers Kits'!B394="","",'Junior Makers Kits'!B394)</f>
        <v>Craft &amp; Stationery</v>
      </c>
      <c r="O684" s="0" t="str">
        <f aca="false">IF('Junior Makers Kits'!F394="","",'Junior Makers Kits'!F394)</f>
        <v>Consumable</v>
      </c>
      <c r="P684" s="0" t="str">
        <f aca="false">IF('Junior Makers Kits'!G394="","",'Junior Makers Kits'!G394)</f>
        <v/>
      </c>
    </row>
    <row r="685" customFormat="false" ht="15" hidden="false" customHeight="false" outlineLevel="0" collapsed="false">
      <c r="A685" s="0" t="s">
        <v>208</v>
      </c>
      <c r="B685" s="0" t="n">
        <v>5</v>
      </c>
      <c r="C685" s="0" t="str">
        <f aca="false">IF('Junior Makers Kits'!C395="","",'Junior Makers Kits'!C395)</f>
        <v>Cardboard sheet</v>
      </c>
      <c r="D685" s="0" t="n">
        <f aca="false">IF('Junior Makers Kits'!D395="","",'Junior Makers Kits'!D395)</f>
        <v>1</v>
      </c>
      <c r="E685" s="0" t="str">
        <f aca="false">IF('Junior Makers Kits'!E395="","",'Junior Makers Kits'!E395)</f>
        <v>Per group</v>
      </c>
      <c r="F685" s="0" t="str">
        <f aca="false">IFERROR(INDEX('Session Tracker'!$M$5:$M$149,MATCH($A685,'Session Tracker'!$D$5:$D$149,0))+0,"")</f>
        <v/>
      </c>
      <c r="G685" s="0" t="str">
        <f aca="false">IF(ISNUMBER(F685),IF(OR(B685=0,B685=99,C685&lt;&gt;""),F685*100+B685,""),"")</f>
        <v/>
      </c>
      <c r="H685" s="0" t="n">
        <f aca="false">IFERROR(INDEX('Session Tracker'!$J$5:$J$149,MATCH($A685,'Session Tracker'!$D$5:$D$149,0)),0)</f>
        <v>8</v>
      </c>
      <c r="I685" s="0" t="n">
        <f aca="false">IF(OR(B685=0,B685=99,C685=""),"",IF(E685="Per class",D685,D685*H685))</f>
        <v>8</v>
      </c>
      <c r="N685" s="0" t="str">
        <f aca="false">IF('Junior Makers Kits'!B395="","",'Junior Makers Kits'!B395)</f>
        <v>Craft &amp; Stationery</v>
      </c>
      <c r="O685" s="0" t="str">
        <f aca="false">IF('Junior Makers Kits'!F395="","",'Junior Makers Kits'!F395)</f>
        <v>Consumable</v>
      </c>
      <c r="P685" s="0" t="str">
        <f aca="false">IF('Junior Makers Kits'!G395="","",'Junior Makers Kits'!G395)</f>
        <v/>
      </c>
    </row>
    <row r="686" customFormat="false" ht="15" hidden="false" customHeight="false" outlineLevel="0" collapsed="false">
      <c r="A686" s="0" t="s">
        <v>208</v>
      </c>
      <c r="B686" s="0" t="n">
        <v>6</v>
      </c>
      <c r="C686" s="0" t="str">
        <f aca="false">IF('Junior Makers Kits'!C396="","",'Junior Makers Kits'!C396)</f>
        <v>Glue gun + glue sticks</v>
      </c>
      <c r="D686" s="0" t="n">
        <f aca="false">IF('Junior Makers Kits'!D396="","",'Junior Makers Kits'!D396)</f>
        <v>1</v>
      </c>
      <c r="E686" s="0" t="str">
        <f aca="false">IF('Junior Makers Kits'!E396="","",'Junior Makers Kits'!E396)</f>
        <v>Per class</v>
      </c>
      <c r="F686" s="0" t="str">
        <f aca="false">IFERROR(INDEX('Session Tracker'!$M$5:$M$149,MATCH($A686,'Session Tracker'!$D$5:$D$149,0))+0,"")</f>
        <v/>
      </c>
      <c r="G686" s="0" t="str">
        <f aca="false">IF(ISNUMBER(F686),IF(OR(B686=0,B686=99,C686&lt;&gt;""),F686*100+B686,""),"")</f>
        <v/>
      </c>
      <c r="H686" s="0" t="n">
        <f aca="false">IFERROR(INDEX('Session Tracker'!$J$5:$J$149,MATCH($A686,'Session Tracker'!$D$5:$D$149,0)),0)</f>
        <v>8</v>
      </c>
      <c r="I686" s="0" t="n">
        <f aca="false">IF(OR(B686=0,B686=99,C686=""),"",IF(E686="Per class",D686,D686*H686))</f>
        <v>1</v>
      </c>
      <c r="N686" s="0" t="str">
        <f aca="false">IF('Junior Makers Kits'!B396="","",'Junior Makers Kits'!B396)</f>
        <v>Computers &amp; Equipment</v>
      </c>
      <c r="O686" s="0" t="str">
        <f aca="false">IF('Junior Makers Kits'!F396="","",'Junior Makers Kits'!F396)</f>
        <v>Reusable</v>
      </c>
      <c r="P686" s="0" t="str">
        <f aca="false">IF('Junior Makers Kits'!G396="","",'Junior Makers Kits'!G396)</f>
        <v>Teacher help</v>
      </c>
    </row>
    <row r="687" customFormat="false" ht="15" hidden="false" customHeight="false" outlineLevel="0" collapsed="false">
      <c r="A687" s="0" t="s">
        <v>208</v>
      </c>
      <c r="B687" s="0" t="n">
        <v>7</v>
      </c>
      <c r="C687" s="0" t="str">
        <f aca="false">IF('Junior Makers Kits'!C397="","",'Junior Makers Kits'!C397)</f>
        <v>Breadboard (half size)</v>
      </c>
      <c r="D687" s="0" t="n">
        <f aca="false">IF('Junior Makers Kits'!D397="","",'Junior Makers Kits'!D397)</f>
        <v>1</v>
      </c>
      <c r="E687" s="0" t="str">
        <f aca="false">IF('Junior Makers Kits'!E397="","",'Junior Makers Kits'!E397)</f>
        <v>Per group</v>
      </c>
      <c r="F687" s="0" t="str">
        <f aca="false">IFERROR(INDEX('Session Tracker'!$M$5:$M$149,MATCH($A687,'Session Tracker'!$D$5:$D$149,0))+0,"")</f>
        <v/>
      </c>
      <c r="G687" s="0" t="str">
        <f aca="false">IF(ISNUMBER(F687),IF(OR(B687=0,B687=99,C687&lt;&gt;""),F687*100+B687,""),"")</f>
        <v/>
      </c>
      <c r="H687" s="0" t="n">
        <f aca="false">IFERROR(INDEX('Session Tracker'!$J$5:$J$149,MATCH($A687,'Session Tracker'!$D$5:$D$149,0)),0)</f>
        <v>8</v>
      </c>
      <c r="I687" s="0" t="n">
        <f aca="false">IF(OR(B687=0,B687=99,C687=""),"",IF(E687="Per class",D687,D687*H687))</f>
        <v>8</v>
      </c>
      <c r="N687" s="0" t="str">
        <f aca="false">IF('Junior Makers Kits'!B397="","",'Junior Makers Kits'!B397)</f>
        <v>Wiring &amp; Prototyping</v>
      </c>
      <c r="O687" s="0" t="str">
        <f aca="false">IF('Junior Makers Kits'!F397="","",'Junior Makers Kits'!F397)</f>
        <v>Reusable</v>
      </c>
      <c r="P687" s="0" t="str">
        <f aca="false">IF('Junior Makers Kits'!G397="","",'Junior Makers Kits'!G397)</f>
        <v/>
      </c>
    </row>
    <row r="688" customFormat="false" ht="15" hidden="false" customHeight="false" outlineLevel="0" collapsed="false">
      <c r="A688" s="0" t="s">
        <v>208</v>
      </c>
      <c r="B688" s="0" t="n">
        <v>8</v>
      </c>
      <c r="C688" s="0" t="str">
        <f aca="false">IF('Junior Makers Kits'!C398="","",'Junior Makers Kits'!C398)</f>
        <v>Jumper wires M-M</v>
      </c>
      <c r="D688" s="0" t="n">
        <f aca="false">IF('Junior Makers Kits'!D398="","",'Junior Makers Kits'!D398)</f>
        <v>10</v>
      </c>
      <c r="E688" s="0" t="str">
        <f aca="false">IF('Junior Makers Kits'!E398="","",'Junior Makers Kits'!E398)</f>
        <v>Per group</v>
      </c>
      <c r="F688" s="0" t="str">
        <f aca="false">IFERROR(INDEX('Session Tracker'!$M$5:$M$149,MATCH($A688,'Session Tracker'!$D$5:$D$149,0))+0,"")</f>
        <v/>
      </c>
      <c r="G688" s="0" t="str">
        <f aca="false">IF(ISNUMBER(F688),IF(OR(B688=0,B688=99,C688&lt;&gt;""),F688*100+B688,""),"")</f>
        <v/>
      </c>
      <c r="H688" s="0" t="n">
        <f aca="false">IFERROR(INDEX('Session Tracker'!$J$5:$J$149,MATCH($A688,'Session Tracker'!$D$5:$D$149,0)),0)</f>
        <v>8</v>
      </c>
      <c r="I688" s="0" t="n">
        <f aca="false">IF(OR(B688=0,B688=99,C688=""),"",IF(E688="Per class",D688,D688*H688))</f>
        <v>80</v>
      </c>
      <c r="N688" s="0" t="str">
        <f aca="false">IF('Junior Makers Kits'!B398="","",'Junior Makers Kits'!B398)</f>
        <v>Wiring &amp; Prototyping</v>
      </c>
      <c r="O688" s="0" t="str">
        <f aca="false">IF('Junior Makers Kits'!F398="","",'Junior Makers Kits'!F398)</f>
        <v>Reusable</v>
      </c>
      <c r="P688" s="0" t="str">
        <f aca="false">IF('Junior Makers Kits'!G398="","",'Junior Makers Kits'!G398)</f>
        <v/>
      </c>
    </row>
    <row r="689" customFormat="false" ht="15" hidden="false" customHeight="false" outlineLevel="0" collapsed="false">
      <c r="A689" s="0" t="s">
        <v>208</v>
      </c>
      <c r="B689" s="0" t="n">
        <v>9</v>
      </c>
      <c r="C689" s="0" t="str">
        <f aca="false">IF('Junior Makers Kits'!C399="","",'Junior Makers Kits'!C399)</f>
        <v>Jumper wires M-F</v>
      </c>
      <c r="D689" s="0" t="n">
        <f aca="false">IF('Junior Makers Kits'!D399="","",'Junior Makers Kits'!D399)</f>
        <v>5</v>
      </c>
      <c r="E689" s="0" t="str">
        <f aca="false">IF('Junior Makers Kits'!E399="","",'Junior Makers Kits'!E399)</f>
        <v>Per group</v>
      </c>
      <c r="F689" s="0" t="str">
        <f aca="false">IFERROR(INDEX('Session Tracker'!$M$5:$M$149,MATCH($A689,'Session Tracker'!$D$5:$D$149,0))+0,"")</f>
        <v/>
      </c>
      <c r="G689" s="0" t="str">
        <f aca="false">IF(ISNUMBER(F689),IF(OR(B689=0,B689=99,C689&lt;&gt;""),F689*100+B689,""),"")</f>
        <v/>
      </c>
      <c r="H689" s="0" t="n">
        <f aca="false">IFERROR(INDEX('Session Tracker'!$J$5:$J$149,MATCH($A689,'Session Tracker'!$D$5:$D$149,0)),0)</f>
        <v>8</v>
      </c>
      <c r="I689" s="0" t="n">
        <f aca="false">IF(OR(B689=0,B689=99,C689=""),"",IF(E689="Per class",D689,D689*H689))</f>
        <v>40</v>
      </c>
      <c r="N689" s="0" t="str">
        <f aca="false">IF('Junior Makers Kits'!B399="","",'Junior Makers Kits'!B399)</f>
        <v>Wiring &amp; Prototyping</v>
      </c>
      <c r="O689" s="0" t="str">
        <f aca="false">IF('Junior Makers Kits'!F399="","",'Junior Makers Kits'!F399)</f>
        <v>Reusable</v>
      </c>
      <c r="P689" s="0" t="str">
        <f aca="false">IF('Junior Makers Kits'!G399="","",'Junior Makers Kits'!G399)</f>
        <v/>
      </c>
    </row>
    <row r="690" customFormat="false" ht="15" hidden="false" customHeight="false" outlineLevel="0" collapsed="false">
      <c r="A690" s="0" t="s">
        <v>208</v>
      </c>
      <c r="B690" s="0" t="n">
        <v>10</v>
      </c>
      <c r="C690" s="0" t="str">
        <f aca="false">IF('Junior Makers Kits'!C400="","",'Junior Makers Kits'!C400)</f>
        <v>Laptop</v>
      </c>
      <c r="D690" s="0" t="n">
        <f aca="false">IF('Junior Makers Kits'!D400="","",'Junior Makers Kits'!D400)</f>
        <v>1</v>
      </c>
      <c r="E690" s="0" t="str">
        <f aca="false">IF('Junior Makers Kits'!E400="","",'Junior Makers Kits'!E400)</f>
        <v>Per group</v>
      </c>
      <c r="F690" s="0" t="str">
        <f aca="false">IFERROR(INDEX('Session Tracker'!$M$5:$M$149,MATCH($A690,'Session Tracker'!$D$5:$D$149,0))+0,"")</f>
        <v/>
      </c>
      <c r="G690" s="0" t="str">
        <f aca="false">IF(ISNUMBER(F690),IF(OR(B690=0,B690=99,C690&lt;&gt;""),F690*100+B690,""),"")</f>
        <v/>
      </c>
      <c r="H690" s="0" t="n">
        <f aca="false">IFERROR(INDEX('Session Tracker'!$J$5:$J$149,MATCH($A690,'Session Tracker'!$D$5:$D$149,0)),0)</f>
        <v>8</v>
      </c>
      <c r="I690" s="0" t="n">
        <f aca="false">IF(OR(B690=0,B690=99,C690=""),"",IF(E690="Per class",D690,D690*H690))</f>
        <v>8</v>
      </c>
      <c r="N690" s="0" t="str">
        <f aca="false">IF('Junior Makers Kits'!B400="","",'Junior Makers Kits'!B400)</f>
        <v>Computers &amp; Equipment</v>
      </c>
      <c r="O690" s="0" t="str">
        <f aca="false">IF('Junior Makers Kits'!F400="","",'Junior Makers Kits'!F400)</f>
        <v>Reusable</v>
      </c>
      <c r="P690" s="0" t="str">
        <f aca="false">IF('Junior Makers Kits'!G400="","",'Junior Makers Kits'!G400)</f>
        <v/>
      </c>
    </row>
    <row r="691" customFormat="false" ht="15" hidden="false" customHeight="false" outlineLevel="0" collapsed="false">
      <c r="A691" s="0" t="s">
        <v>208</v>
      </c>
      <c r="B691" s="0" t="n">
        <v>11</v>
      </c>
      <c r="C691" s="0" t="str">
        <f aca="false">IF('Junior Makers Kits'!C401="","",'Junior Makers Kits'!C401)</f>
        <v>LED 5 mm (assorted)</v>
      </c>
      <c r="D691" s="0" t="n">
        <f aca="false">IF('Junior Makers Kits'!D401="","",'Junior Makers Kits'!D401)</f>
        <v>1</v>
      </c>
      <c r="E691" s="0" t="str">
        <f aca="false">IF('Junior Makers Kits'!E401="","",'Junior Makers Kits'!E401)</f>
        <v>Per group</v>
      </c>
      <c r="F691" s="0" t="str">
        <f aca="false">IFERROR(INDEX('Session Tracker'!$M$5:$M$149,MATCH($A691,'Session Tracker'!$D$5:$D$149,0))+0,"")</f>
        <v/>
      </c>
      <c r="G691" s="0" t="str">
        <f aca="false">IF(ISNUMBER(F691),IF(OR(B691=0,B691=99,C691&lt;&gt;""),F691*100+B691,""),"")</f>
        <v/>
      </c>
      <c r="H691" s="0" t="n">
        <f aca="false">IFERROR(INDEX('Session Tracker'!$J$5:$J$149,MATCH($A691,'Session Tracker'!$D$5:$D$149,0)),0)</f>
        <v>8</v>
      </c>
      <c r="I691" s="0" t="n">
        <f aca="false">IF(OR(B691=0,B691=99,C691=""),"",IF(E691="Per class",D691,D691*H691))</f>
        <v>8</v>
      </c>
      <c r="N691" s="0" t="str">
        <f aca="false">IF('Junior Makers Kits'!B401="","",'Junior Makers Kits'!B401)</f>
        <v>Displays &amp; Output</v>
      </c>
      <c r="O691" s="0" t="str">
        <f aca="false">IF('Junior Makers Kits'!F401="","",'Junior Makers Kits'!F401)</f>
        <v>Consumable</v>
      </c>
      <c r="P691" s="0" t="str">
        <f aca="false">IF('Junior Makers Kits'!G401="","",'Junior Makers Kits'!G401)</f>
        <v>Added: every Arduino class</v>
      </c>
    </row>
    <row r="692" customFormat="false" ht="15" hidden="false" customHeight="false" outlineLevel="0" collapsed="false">
      <c r="A692" s="0" t="s">
        <v>208</v>
      </c>
      <c r="B692" s="0" t="n">
        <v>12</v>
      </c>
      <c r="C692" s="0" t="str">
        <f aca="false">IF('Junior Makers Kits'!C402="","",'Junior Makers Kits'!C402)</f>
        <v>Resistor 220 ohm</v>
      </c>
      <c r="D692" s="0" t="n">
        <f aca="false">IF('Junior Makers Kits'!D402="","",'Junior Makers Kits'!D402)</f>
        <v>1</v>
      </c>
      <c r="E692" s="0" t="str">
        <f aca="false">IF('Junior Makers Kits'!E402="","",'Junior Makers Kits'!E402)</f>
        <v>Per group</v>
      </c>
      <c r="F692" s="0" t="str">
        <f aca="false">IFERROR(INDEX('Session Tracker'!$M$5:$M$149,MATCH($A692,'Session Tracker'!$D$5:$D$149,0))+0,"")</f>
        <v/>
      </c>
      <c r="G692" s="0" t="str">
        <f aca="false">IF(ISNUMBER(F692),IF(OR(B692=0,B692=99,C692&lt;&gt;""),F692*100+B692,""),"")</f>
        <v/>
      </c>
      <c r="H692" s="0" t="n">
        <f aca="false">IFERROR(INDEX('Session Tracker'!$J$5:$J$149,MATCH($A692,'Session Tracker'!$D$5:$D$149,0)),0)</f>
        <v>8</v>
      </c>
      <c r="I692" s="0" t="n">
        <f aca="false">IF(OR(B692=0,B692=99,C692=""),"",IF(E692="Per class",D692,D692*H692))</f>
        <v>8</v>
      </c>
      <c r="N692" s="0" t="str">
        <f aca="false">IF('Junior Makers Kits'!B402="","",'Junior Makers Kits'!B402)</f>
        <v>Passive Components &amp; ICs</v>
      </c>
      <c r="O692" s="0" t="str">
        <f aca="false">IF('Junior Makers Kits'!F402="","",'Junior Makers Kits'!F402)</f>
        <v>Consumable</v>
      </c>
      <c r="P692" s="0" t="str">
        <f aca="false">IF('Junior Makers Kits'!G402="","",'Junior Makers Kits'!G402)</f>
        <v>Added: for the LED</v>
      </c>
    </row>
    <row r="693" customFormat="false" ht="15" hidden="false" customHeight="false" outlineLevel="0" collapsed="false">
      <c r="A693" s="0" t="s">
        <v>208</v>
      </c>
      <c r="B693" s="0" t="n">
        <v>13</v>
      </c>
      <c r="C693" s="0" t="str">
        <f aca="false">IF('Junior Makers Kits'!C403="","",'Junior Makers Kits'!C403)</f>
        <v>Buzzer</v>
      </c>
      <c r="D693" s="0" t="n">
        <f aca="false">IF('Junior Makers Kits'!D403="","",'Junior Makers Kits'!D403)</f>
        <v>1</v>
      </c>
      <c r="E693" s="0" t="str">
        <f aca="false">IF('Junior Makers Kits'!E403="","",'Junior Makers Kits'!E403)</f>
        <v>Per group</v>
      </c>
      <c r="F693" s="0" t="str">
        <f aca="false">IFERROR(INDEX('Session Tracker'!$M$5:$M$149,MATCH($A693,'Session Tracker'!$D$5:$D$149,0))+0,"")</f>
        <v/>
      </c>
      <c r="G693" s="0" t="str">
        <f aca="false">IF(ISNUMBER(F693),IF(OR(B693=0,B693=99,C693&lt;&gt;""),F693*100+B693,""),"")</f>
        <v/>
      </c>
      <c r="H693" s="0" t="n">
        <f aca="false">IFERROR(INDEX('Session Tracker'!$J$5:$J$149,MATCH($A693,'Session Tracker'!$D$5:$D$149,0)),0)</f>
        <v>8</v>
      </c>
      <c r="I693" s="0" t="n">
        <f aca="false">IF(OR(B693=0,B693=99,C693=""),"",IF(E693="Per class",D693,D693*H693))</f>
        <v>8</v>
      </c>
      <c r="N693" s="0" t="str">
        <f aca="false">IF('Junior Makers Kits'!B403="","",'Junior Makers Kits'!B403)</f>
        <v>Actuators &amp; Motor Drivers</v>
      </c>
      <c r="O693" s="0" t="str">
        <f aca="false">IF('Junior Makers Kits'!F403="","",'Junior Makers Kits'!F403)</f>
        <v>Reusable</v>
      </c>
      <c r="P693" s="0" t="str">
        <f aca="false">IF('Junior Makers Kits'!G403="","",'Junior Makers Kits'!G403)</f>
        <v>Added: every Arduino class</v>
      </c>
    </row>
    <row r="694" customFormat="false" ht="15" hidden="false" customHeight="false" outlineLevel="0" collapsed="false">
      <c r="A694" s="0" t="s">
        <v>208</v>
      </c>
      <c r="B694" s="0" t="n">
        <v>14</v>
      </c>
      <c r="C694" s="0" t="str">
        <f aca="false">IF('Junior Makers Kits'!C404="","",'Junior Makers Kits'!C404)</f>
        <v/>
      </c>
      <c r="D694" s="0" t="str">
        <f aca="false">IF('Junior Makers Kits'!D404="","",'Junior Makers Kits'!D404)</f>
        <v/>
      </c>
      <c r="E694" s="0" t="str">
        <f aca="false">IF('Junior Makers Kits'!E404="","",'Junior Makers Kits'!E404)</f>
        <v/>
      </c>
      <c r="F694" s="0" t="str">
        <f aca="false">IFERROR(INDEX('Session Tracker'!$M$5:$M$149,MATCH($A694,'Session Tracker'!$D$5:$D$149,0))+0,"")</f>
        <v/>
      </c>
      <c r="G694" s="0" t="str">
        <f aca="false">IF(ISNUMBER(F694),IF(OR(B694=0,B694=99,C694&lt;&gt;""),F694*100+B694,""),"")</f>
        <v/>
      </c>
      <c r="H694" s="0" t="n">
        <f aca="false">IFERROR(INDEX('Session Tracker'!$J$5:$J$149,MATCH($A694,'Session Tracker'!$D$5:$D$149,0)),0)</f>
        <v>8</v>
      </c>
      <c r="I694" s="0" t="str">
        <f aca="false">IF(OR(B694=0,B694=99,C694=""),"",IF(E694="Per class",D694,D694*H694))</f>
        <v/>
      </c>
      <c r="N694" s="0" t="str">
        <f aca="false">IF('Junior Makers Kits'!B404="","",'Junior Makers Kits'!B404)</f>
        <v/>
      </c>
      <c r="O694" s="0" t="str">
        <f aca="false">IF('Junior Makers Kits'!F404="","",'Junior Makers Kits'!F404)</f>
        <v/>
      </c>
      <c r="P694" s="0" t="str">
        <f aca="false">IF('Junior Makers Kits'!G404="","",'Junior Makers Kits'!G404)</f>
        <v/>
      </c>
    </row>
    <row r="695" customFormat="false" ht="15" hidden="false" customHeight="false" outlineLevel="0" collapsed="false">
      <c r="A695" s="0" t="s">
        <v>208</v>
      </c>
      <c r="B695" s="0" t="n">
        <v>15</v>
      </c>
      <c r="C695" s="0" t="str">
        <f aca="false">IF('Junior Makers Kits'!C405="","",'Junior Makers Kits'!C405)</f>
        <v/>
      </c>
      <c r="D695" s="0" t="str">
        <f aca="false">IF('Junior Makers Kits'!D405="","",'Junior Makers Kits'!D405)</f>
        <v/>
      </c>
      <c r="E695" s="0" t="str">
        <f aca="false">IF('Junior Makers Kits'!E405="","",'Junior Makers Kits'!E405)</f>
        <v/>
      </c>
      <c r="F695" s="0" t="str">
        <f aca="false">IFERROR(INDEX('Session Tracker'!$M$5:$M$149,MATCH($A695,'Session Tracker'!$D$5:$D$149,0))+0,"")</f>
        <v/>
      </c>
      <c r="G695" s="0" t="str">
        <f aca="false">IF(ISNUMBER(F695),IF(OR(B695=0,B695=99,C695&lt;&gt;""),F695*100+B695,""),"")</f>
        <v/>
      </c>
      <c r="H695" s="0" t="n">
        <f aca="false">IFERROR(INDEX('Session Tracker'!$J$5:$J$149,MATCH($A695,'Session Tracker'!$D$5:$D$149,0)),0)</f>
        <v>8</v>
      </c>
      <c r="I695" s="0" t="str">
        <f aca="false">IF(OR(B695=0,B695=99,C695=""),"",IF(E695="Per class",D695,D695*H695))</f>
        <v/>
      </c>
      <c r="N695" s="0" t="str">
        <f aca="false">IF('Junior Makers Kits'!B405="","",'Junior Makers Kits'!B405)</f>
        <v/>
      </c>
      <c r="O695" s="0" t="str">
        <f aca="false">IF('Junior Makers Kits'!F405="","",'Junior Makers Kits'!F405)</f>
        <v/>
      </c>
      <c r="P695" s="0" t="str">
        <f aca="false">IF('Junior Makers Kits'!G405="","",'Junior Makers Kits'!G405)</f>
        <v/>
      </c>
    </row>
    <row r="696" customFormat="false" ht="15" hidden="false" customHeight="false" outlineLevel="0" collapsed="false">
      <c r="A696" s="0" t="s">
        <v>210</v>
      </c>
      <c r="B696" s="0" t="n">
        <v>0</v>
      </c>
      <c r="F696" s="0" t="str">
        <f aca="false">IFERROR(INDEX('Session Tracker'!$M$5:$M$149,MATCH($A696,'Session Tracker'!$D$5:$D$149,0))+0,"")</f>
        <v/>
      </c>
      <c r="G696" s="0" t="str">
        <f aca="false">IF(ISNUMBER(F696),IF(OR(B696=0,B696=99,C696&lt;&gt;""),F696*100+B696,""),"")</f>
        <v/>
      </c>
      <c r="H696" s="0" t="n">
        <f aca="false">IFERROR(INDEX('Session Tracker'!$J$5:$J$149,MATCH($A696,'Session Tracker'!$D$5:$D$149,0)),0)</f>
        <v>8</v>
      </c>
      <c r="I696" s="0" t="str">
        <f aca="false">IF(OR(B696=0,B696=99,C696=""),"",IF(E696="Per class",D696,D696*H696))</f>
        <v/>
      </c>
      <c r="K696" s="0" t="str">
        <f aca="false">IFERROR(INDEX('Session Tracker'!$E$5:$E$149,MATCH($A696,'Session Tracker'!$D$5:$D$149,0)),"")</f>
        <v>Wind Turbine Power Lab</v>
      </c>
      <c r="L696" s="0" t="str">
        <f aca="false">IFERROR(INDEX('Session Tracker'!$A$5:$A$149,MATCH($A696,'Session Tracker'!$D$5:$D$149,0)),"")</f>
        <v>Junior Makers (8-11)</v>
      </c>
      <c r="M696" s="0" t="str">
        <f aca="false">IFERROR(INDEX('Session Tracker'!$H$5:$H$149,MATCH($A696,'Session Tracker'!$D$5:$D$149,0))&amp;"","")</f>
        <v/>
      </c>
      <c r="Q696" s="0" t="str">
        <f aca="false">IFERROR("Status: "&amp;INDEX('Session Tracker'!$F$5:$F$149,MATCH($A696,'Session Tracker'!$D$5:$D$149,0))&amp;IF(INDEX('Session Tracker'!$G$5:$G$149,MATCH($A696,'Session Tracker'!$D$5:$D$149,0))&lt;&gt;""," ("&amp;INDEX('Session Tracker'!$G$5:$G$149,MATCH($A696,'Session Tracker'!$D$5:$D$149,0))&amp;")","")&amp;IF(M696&lt;&gt;"","  "&amp;M696,""),"")</f>
        <v>Status: Not started</v>
      </c>
    </row>
    <row r="697" customFormat="false" ht="15" hidden="false" customHeight="false" outlineLevel="0" collapsed="false">
      <c r="A697" s="0" t="s">
        <v>210</v>
      </c>
      <c r="B697" s="0" t="n">
        <v>1</v>
      </c>
      <c r="C697" s="0" t="str">
        <f aca="false">IF('Junior Makers Kits'!C408="","",'Junior Makers Kits'!C408)</f>
        <v>DC hobby motor</v>
      </c>
      <c r="D697" s="0" t="n">
        <f aca="false">IF('Junior Makers Kits'!D408="","",'Junior Makers Kits'!D408)</f>
        <v>1</v>
      </c>
      <c r="E697" s="0" t="str">
        <f aca="false">IF('Junior Makers Kits'!E408="","",'Junior Makers Kits'!E408)</f>
        <v>Per group</v>
      </c>
      <c r="F697" s="0" t="str">
        <f aca="false">IFERROR(INDEX('Session Tracker'!$M$5:$M$149,MATCH($A697,'Session Tracker'!$D$5:$D$149,0))+0,"")</f>
        <v/>
      </c>
      <c r="G697" s="0" t="str">
        <f aca="false">IF(ISNUMBER(F697),IF(OR(B697=0,B697=99,C697&lt;&gt;""),F697*100+B697,""),"")</f>
        <v/>
      </c>
      <c r="H697" s="0" t="n">
        <f aca="false">IFERROR(INDEX('Session Tracker'!$J$5:$J$149,MATCH($A697,'Session Tracker'!$D$5:$D$149,0)),0)</f>
        <v>8</v>
      </c>
      <c r="I697" s="0" t="n">
        <f aca="false">IF(OR(B697=0,B697=99,C697=""),"",IF(E697="Per class",D697,D697*H697))</f>
        <v>8</v>
      </c>
      <c r="N697" s="0" t="str">
        <f aca="false">IF('Junior Makers Kits'!B408="","",'Junior Makers Kits'!B408)</f>
        <v>Actuators &amp; Motor Drivers</v>
      </c>
      <c r="O697" s="0" t="str">
        <f aca="false">IF('Junior Makers Kits'!F408="","",'Junior Makers Kits'!F408)</f>
        <v>Reusable</v>
      </c>
      <c r="P697" s="0" t="str">
        <f aca="false">IF('Junior Makers Kits'!G408="","",'Junior Makers Kits'!G408)</f>
        <v/>
      </c>
    </row>
    <row r="698" customFormat="false" ht="15" hidden="false" customHeight="false" outlineLevel="0" collapsed="false">
      <c r="A698" s="0" t="s">
        <v>210</v>
      </c>
      <c r="B698" s="0" t="n">
        <v>2</v>
      </c>
      <c r="C698" s="0" t="str">
        <f aca="false">IF('Junior Makers Kits'!C409="","",'Junior Makers Kits'!C409)</f>
        <v>Digital multimeter</v>
      </c>
      <c r="D698" s="0" t="n">
        <f aca="false">IF('Junior Makers Kits'!D409="","",'Junior Makers Kits'!D409)</f>
        <v>1</v>
      </c>
      <c r="E698" s="0" t="str">
        <f aca="false">IF('Junior Makers Kits'!E409="","",'Junior Makers Kits'!E409)</f>
        <v>Per group</v>
      </c>
      <c r="F698" s="0" t="str">
        <f aca="false">IFERROR(INDEX('Session Tracker'!$M$5:$M$149,MATCH($A698,'Session Tracker'!$D$5:$D$149,0))+0,"")</f>
        <v/>
      </c>
      <c r="G698" s="0" t="str">
        <f aca="false">IF(ISNUMBER(F698),IF(OR(B698=0,B698=99,C698&lt;&gt;""),F698*100+B698,""),"")</f>
        <v/>
      </c>
      <c r="H698" s="0" t="n">
        <f aca="false">IFERROR(INDEX('Session Tracker'!$J$5:$J$149,MATCH($A698,'Session Tracker'!$D$5:$D$149,0)),0)</f>
        <v>8</v>
      </c>
      <c r="I698" s="0" t="n">
        <f aca="false">IF(OR(B698=0,B698=99,C698=""),"",IF(E698="Per class",D698,D698*H698))</f>
        <v>8</v>
      </c>
      <c r="N698" s="0" t="str">
        <f aca="false">IF('Junior Makers Kits'!B409="","",'Junior Makers Kits'!B409)</f>
        <v>Computers &amp; Equipment</v>
      </c>
      <c r="O698" s="0" t="str">
        <f aca="false">IF('Junior Makers Kits'!F409="","",'Junior Makers Kits'!F409)</f>
        <v>Reusable</v>
      </c>
      <c r="P698" s="0" t="str">
        <f aca="false">IF('Junior Makers Kits'!G409="","",'Junior Makers Kits'!G409)</f>
        <v/>
      </c>
    </row>
    <row r="699" customFormat="false" ht="15" hidden="false" customHeight="false" outlineLevel="0" collapsed="false">
      <c r="A699" s="0" t="s">
        <v>210</v>
      </c>
      <c r="B699" s="0" t="n">
        <v>3</v>
      </c>
      <c r="C699" s="0" t="str">
        <f aca="false">IF('Junior Makers Kits'!C410="","",'Junior Makers Kits'!C410)</f>
        <v>Card / chart paper</v>
      </c>
      <c r="D699" s="0" t="n">
        <f aca="false">IF('Junior Makers Kits'!D410="","",'Junior Makers Kits'!D410)</f>
        <v>2</v>
      </c>
      <c r="E699" s="0" t="str">
        <f aca="false">IF('Junior Makers Kits'!E410="","",'Junior Makers Kits'!E410)</f>
        <v>Per group</v>
      </c>
      <c r="F699" s="0" t="str">
        <f aca="false">IFERROR(INDEX('Session Tracker'!$M$5:$M$149,MATCH($A699,'Session Tracker'!$D$5:$D$149,0))+0,"")</f>
        <v/>
      </c>
      <c r="G699" s="0" t="str">
        <f aca="false">IF(ISNUMBER(F699),IF(OR(B699=0,B699=99,C699&lt;&gt;""),F699*100+B699,""),"")</f>
        <v/>
      </c>
      <c r="H699" s="0" t="n">
        <f aca="false">IFERROR(INDEX('Session Tracker'!$J$5:$J$149,MATCH($A699,'Session Tracker'!$D$5:$D$149,0)),0)</f>
        <v>8</v>
      </c>
      <c r="I699" s="0" t="n">
        <f aca="false">IF(OR(B699=0,B699=99,C699=""),"",IF(E699="Per class",D699,D699*H699))</f>
        <v>16</v>
      </c>
      <c r="N699" s="0" t="str">
        <f aca="false">IF('Junior Makers Kits'!B410="","",'Junior Makers Kits'!B410)</f>
        <v>Craft &amp; Stationery</v>
      </c>
      <c r="O699" s="0" t="str">
        <f aca="false">IF('Junior Makers Kits'!F410="","",'Junior Makers Kits'!F410)</f>
        <v>Consumable</v>
      </c>
      <c r="P699" s="0" t="str">
        <f aca="false">IF('Junior Makers Kits'!G410="","",'Junior Makers Kits'!G410)</f>
        <v/>
      </c>
    </row>
    <row r="700" customFormat="false" ht="15" hidden="false" customHeight="false" outlineLevel="0" collapsed="false">
      <c r="A700" s="0" t="s">
        <v>210</v>
      </c>
      <c r="B700" s="0" t="n">
        <v>4</v>
      </c>
      <c r="C700" s="0" t="str">
        <f aca="false">IF('Junior Makers Kits'!C411="","",'Junior Makers Kits'!C411)</f>
        <v>Wooden skewers</v>
      </c>
      <c r="D700" s="0" t="n">
        <f aca="false">IF('Junior Makers Kits'!D411="","",'Junior Makers Kits'!D411)</f>
        <v>2</v>
      </c>
      <c r="E700" s="0" t="str">
        <f aca="false">IF('Junior Makers Kits'!E411="","",'Junior Makers Kits'!E411)</f>
        <v>Per group</v>
      </c>
      <c r="F700" s="0" t="str">
        <f aca="false">IFERROR(INDEX('Session Tracker'!$M$5:$M$149,MATCH($A700,'Session Tracker'!$D$5:$D$149,0))+0,"")</f>
        <v/>
      </c>
      <c r="G700" s="0" t="str">
        <f aca="false">IF(ISNUMBER(F700),IF(OR(B700=0,B700=99,C700&lt;&gt;""),F700*100+B700,""),"")</f>
        <v/>
      </c>
      <c r="H700" s="0" t="n">
        <f aca="false">IFERROR(INDEX('Session Tracker'!$J$5:$J$149,MATCH($A700,'Session Tracker'!$D$5:$D$149,0)),0)</f>
        <v>8</v>
      </c>
      <c r="I700" s="0" t="n">
        <f aca="false">IF(OR(B700=0,B700=99,C700=""),"",IF(E700="Per class",D700,D700*H700))</f>
        <v>16</v>
      </c>
      <c r="N700" s="0" t="str">
        <f aca="false">IF('Junior Makers Kits'!B411="","",'Junior Makers Kits'!B411)</f>
        <v>Craft &amp; Stationery</v>
      </c>
      <c r="O700" s="0" t="str">
        <f aca="false">IF('Junior Makers Kits'!F411="","",'Junior Makers Kits'!F411)</f>
        <v>Consumable</v>
      </c>
      <c r="P700" s="0" t="str">
        <f aca="false">IF('Junior Makers Kits'!G411="","",'Junior Makers Kits'!G411)</f>
        <v/>
      </c>
    </row>
    <row r="701" customFormat="false" ht="15" hidden="false" customHeight="false" outlineLevel="0" collapsed="false">
      <c r="A701" s="0" t="s">
        <v>210</v>
      </c>
      <c r="B701" s="0" t="n">
        <v>5</v>
      </c>
      <c r="C701" s="0" t="str">
        <f aca="false">IF('Junior Makers Kits'!C412="","",'Junior Makers Kits'!C412)</f>
        <v>5 V DC fan</v>
      </c>
      <c r="D701" s="0" t="n">
        <f aca="false">IF('Junior Makers Kits'!D412="","",'Junior Makers Kits'!D412)</f>
        <v>1</v>
      </c>
      <c r="E701" s="0" t="str">
        <f aca="false">IF('Junior Makers Kits'!E412="","",'Junior Makers Kits'!E412)</f>
        <v>Per class</v>
      </c>
      <c r="F701" s="0" t="str">
        <f aca="false">IFERROR(INDEX('Session Tracker'!$M$5:$M$149,MATCH($A701,'Session Tracker'!$D$5:$D$149,0))+0,"")</f>
        <v/>
      </c>
      <c r="G701" s="0" t="str">
        <f aca="false">IF(ISNUMBER(F701),IF(OR(B701=0,B701=99,C701&lt;&gt;""),F701*100+B701,""),"")</f>
        <v/>
      </c>
      <c r="H701" s="0" t="n">
        <f aca="false">IFERROR(INDEX('Session Tracker'!$J$5:$J$149,MATCH($A701,'Session Tracker'!$D$5:$D$149,0)),0)</f>
        <v>8</v>
      </c>
      <c r="I701" s="0" t="n">
        <f aca="false">IF(OR(B701=0,B701=99,C701=""),"",IF(E701="Per class",D701,D701*H701))</f>
        <v>1</v>
      </c>
      <c r="N701" s="0" t="str">
        <f aca="false">IF('Junior Makers Kits'!B412="","",'Junior Makers Kits'!B412)</f>
        <v>Displays &amp; Output</v>
      </c>
      <c r="O701" s="0" t="str">
        <f aca="false">IF('Junior Makers Kits'!F412="","",'Junior Makers Kits'!F412)</f>
        <v>Reusable</v>
      </c>
      <c r="P701" s="0" t="str">
        <f aca="false">IF('Junior Makers Kits'!G412="","",'Junior Makers Kits'!G412)</f>
        <v>Or a desk fan as the wind</v>
      </c>
    </row>
    <row r="702" customFormat="false" ht="15" hidden="false" customHeight="false" outlineLevel="0" collapsed="false">
      <c r="A702" s="0" t="s">
        <v>210</v>
      </c>
      <c r="B702" s="0" t="n">
        <v>6</v>
      </c>
      <c r="C702" s="0" t="str">
        <f aca="false">IF('Junior Makers Kits'!C413="","",'Junior Makers Kits'!C413)</f>
        <v>Alligator clip leads</v>
      </c>
      <c r="D702" s="0" t="n">
        <f aca="false">IF('Junior Makers Kits'!D413="","",'Junior Makers Kits'!D413)</f>
        <v>2</v>
      </c>
      <c r="E702" s="0" t="str">
        <f aca="false">IF('Junior Makers Kits'!E413="","",'Junior Makers Kits'!E413)</f>
        <v>Per group</v>
      </c>
      <c r="F702" s="0" t="str">
        <f aca="false">IFERROR(INDEX('Session Tracker'!$M$5:$M$149,MATCH($A702,'Session Tracker'!$D$5:$D$149,0))+0,"")</f>
        <v/>
      </c>
      <c r="G702" s="0" t="str">
        <f aca="false">IF(ISNUMBER(F702),IF(OR(B702=0,B702=99,C702&lt;&gt;""),F702*100+B702,""),"")</f>
        <v/>
      </c>
      <c r="H702" s="0" t="n">
        <f aca="false">IFERROR(INDEX('Session Tracker'!$J$5:$J$149,MATCH($A702,'Session Tracker'!$D$5:$D$149,0)),0)</f>
        <v>8</v>
      </c>
      <c r="I702" s="0" t="n">
        <f aca="false">IF(OR(B702=0,B702=99,C702=""),"",IF(E702="Per class",D702,D702*H702))</f>
        <v>16</v>
      </c>
      <c r="N702" s="0" t="str">
        <f aca="false">IF('Junior Makers Kits'!B413="","",'Junior Makers Kits'!B413)</f>
        <v>Wiring &amp; Prototyping</v>
      </c>
      <c r="O702" s="0" t="str">
        <f aca="false">IF('Junior Makers Kits'!F413="","",'Junior Makers Kits'!F413)</f>
        <v>Reusable</v>
      </c>
      <c r="P702" s="0" t="str">
        <f aca="false">IF('Junior Makers Kits'!G413="","",'Junior Makers Kits'!G413)</f>
        <v/>
      </c>
    </row>
    <row r="703" customFormat="false" ht="15" hidden="false" customHeight="false" outlineLevel="0" collapsed="false">
      <c r="A703" s="0" t="s">
        <v>210</v>
      </c>
      <c r="B703" s="0" t="n">
        <v>7</v>
      </c>
      <c r="C703" s="0" t="str">
        <f aca="false">IF('Junior Makers Kits'!C414="","",'Junior Makers Kits'!C414)</f>
        <v/>
      </c>
      <c r="D703" s="0" t="str">
        <f aca="false">IF('Junior Makers Kits'!D414="","",'Junior Makers Kits'!D414)</f>
        <v/>
      </c>
      <c r="E703" s="0" t="str">
        <f aca="false">IF('Junior Makers Kits'!E414="","",'Junior Makers Kits'!E414)</f>
        <v/>
      </c>
      <c r="F703" s="0" t="str">
        <f aca="false">IFERROR(INDEX('Session Tracker'!$M$5:$M$149,MATCH($A703,'Session Tracker'!$D$5:$D$149,0))+0,"")</f>
        <v/>
      </c>
      <c r="G703" s="0" t="str">
        <f aca="false">IF(ISNUMBER(F703),IF(OR(B703=0,B703=99,C703&lt;&gt;""),F703*100+B703,""),"")</f>
        <v/>
      </c>
      <c r="H703" s="0" t="n">
        <f aca="false">IFERROR(INDEX('Session Tracker'!$J$5:$J$149,MATCH($A703,'Session Tracker'!$D$5:$D$149,0)),0)</f>
        <v>8</v>
      </c>
      <c r="I703" s="0" t="str">
        <f aca="false">IF(OR(B703=0,B703=99,C703=""),"",IF(E703="Per class",D703,D703*H703))</f>
        <v/>
      </c>
      <c r="N703" s="0" t="str">
        <f aca="false">IF('Junior Makers Kits'!B414="","",'Junior Makers Kits'!B414)</f>
        <v/>
      </c>
      <c r="O703" s="0" t="str">
        <f aca="false">IF('Junior Makers Kits'!F414="","",'Junior Makers Kits'!F414)</f>
        <v/>
      </c>
      <c r="P703" s="0" t="str">
        <f aca="false">IF('Junior Makers Kits'!G414="","",'Junior Makers Kits'!G414)</f>
        <v/>
      </c>
    </row>
    <row r="704" customFormat="false" ht="15" hidden="false" customHeight="false" outlineLevel="0" collapsed="false">
      <c r="A704" s="0" t="s">
        <v>210</v>
      </c>
      <c r="B704" s="0" t="n">
        <v>8</v>
      </c>
      <c r="C704" s="0" t="str">
        <f aca="false">IF('Junior Makers Kits'!C415="","",'Junior Makers Kits'!C415)</f>
        <v/>
      </c>
      <c r="D704" s="0" t="str">
        <f aca="false">IF('Junior Makers Kits'!D415="","",'Junior Makers Kits'!D415)</f>
        <v/>
      </c>
      <c r="E704" s="0" t="str">
        <f aca="false">IF('Junior Makers Kits'!E415="","",'Junior Makers Kits'!E415)</f>
        <v/>
      </c>
      <c r="F704" s="0" t="str">
        <f aca="false">IFERROR(INDEX('Session Tracker'!$M$5:$M$149,MATCH($A704,'Session Tracker'!$D$5:$D$149,0))+0,"")</f>
        <v/>
      </c>
      <c r="G704" s="0" t="str">
        <f aca="false">IF(ISNUMBER(F704),IF(OR(B704=0,B704=99,C704&lt;&gt;""),F704*100+B704,""),"")</f>
        <v/>
      </c>
      <c r="H704" s="0" t="n">
        <f aca="false">IFERROR(INDEX('Session Tracker'!$J$5:$J$149,MATCH($A704,'Session Tracker'!$D$5:$D$149,0)),0)</f>
        <v>8</v>
      </c>
      <c r="I704" s="0" t="str">
        <f aca="false">IF(OR(B704=0,B704=99,C704=""),"",IF(E704="Per class",D704,D704*H704))</f>
        <v/>
      </c>
      <c r="N704" s="0" t="str">
        <f aca="false">IF('Junior Makers Kits'!B415="","",'Junior Makers Kits'!B415)</f>
        <v/>
      </c>
      <c r="O704" s="0" t="str">
        <f aca="false">IF('Junior Makers Kits'!F415="","",'Junior Makers Kits'!F415)</f>
        <v/>
      </c>
      <c r="P704" s="0" t="str">
        <f aca="false">IF('Junior Makers Kits'!G415="","",'Junior Makers Kits'!G415)</f>
        <v/>
      </c>
    </row>
    <row r="705" customFormat="false" ht="15" hidden="false" customHeight="false" outlineLevel="0" collapsed="false">
      <c r="A705" s="0" t="s">
        <v>212</v>
      </c>
      <c r="B705" s="0" t="n">
        <v>0</v>
      </c>
      <c r="F705" s="0" t="str">
        <f aca="false">IFERROR(INDEX('Session Tracker'!$M$5:$M$149,MATCH($A705,'Session Tracker'!$D$5:$D$149,0))+0,"")</f>
        <v/>
      </c>
      <c r="G705" s="0" t="str">
        <f aca="false">IF(ISNUMBER(F705),IF(OR(B705=0,B705=99,C705&lt;&gt;""),F705*100+B705,""),"")</f>
        <v/>
      </c>
      <c r="H705" s="0" t="n">
        <f aca="false">IFERROR(INDEX('Session Tracker'!$J$5:$J$149,MATCH($A705,'Session Tracker'!$D$5:$D$149,0)),0)</f>
        <v>8</v>
      </c>
      <c r="I705" s="0" t="str">
        <f aca="false">IF(OR(B705=0,B705=99,C705=""),"",IF(E705="Per class",D705,D705*H705))</f>
        <v/>
      </c>
      <c r="K705" s="0" t="str">
        <f aca="false">IFERROR(INDEX('Session Tracker'!$E$5:$E$149,MATCH($A705,'Session Tracker'!$D$5:$D$149,0)),"")</f>
        <v>Python Number Guessing Game</v>
      </c>
      <c r="L705" s="0" t="str">
        <f aca="false">IFERROR(INDEX('Session Tracker'!$A$5:$A$149,MATCH($A705,'Session Tracker'!$D$5:$D$149,0)),"")</f>
        <v>Junior Makers (8-11)</v>
      </c>
      <c r="M705" s="0" t="str">
        <f aca="false">IFERROR(INDEX('Session Tracker'!$H$5:$H$149,MATCH($A705,'Session Tracker'!$D$5:$D$149,0))&amp;"","")</f>
        <v/>
      </c>
      <c r="Q705" s="0" t="str">
        <f aca="false">IFERROR("Status: "&amp;INDEX('Session Tracker'!$F$5:$F$149,MATCH($A705,'Session Tracker'!$D$5:$D$149,0))&amp;IF(INDEX('Session Tracker'!$G$5:$G$149,MATCH($A705,'Session Tracker'!$D$5:$D$149,0))&lt;&gt;""," ("&amp;INDEX('Session Tracker'!$G$5:$G$149,MATCH($A705,'Session Tracker'!$D$5:$D$149,0))&amp;")","")&amp;IF(M705&lt;&gt;"","  "&amp;M705,""),"")</f>
        <v>Status: Not started</v>
      </c>
    </row>
    <row r="706" customFormat="false" ht="15" hidden="false" customHeight="false" outlineLevel="0" collapsed="false">
      <c r="A706" s="0" t="s">
        <v>212</v>
      </c>
      <c r="B706" s="0" t="n">
        <v>1</v>
      </c>
      <c r="C706" s="0" t="str">
        <f aca="false">IF('Junior Makers Kits'!C418="","",'Junior Makers Kits'!C418)</f>
        <v>Laptop</v>
      </c>
      <c r="D706" s="0" t="n">
        <f aca="false">IF('Junior Makers Kits'!D418="","",'Junior Makers Kits'!D418)</f>
        <v>1</v>
      </c>
      <c r="E706" s="0" t="str">
        <f aca="false">IF('Junior Makers Kits'!E418="","",'Junior Makers Kits'!E418)</f>
        <v>Per group</v>
      </c>
      <c r="F706" s="0" t="str">
        <f aca="false">IFERROR(INDEX('Session Tracker'!$M$5:$M$149,MATCH($A706,'Session Tracker'!$D$5:$D$149,0))+0,"")</f>
        <v/>
      </c>
      <c r="G706" s="0" t="str">
        <f aca="false">IF(ISNUMBER(F706),IF(OR(B706=0,B706=99,C706&lt;&gt;""),F706*100+B706,""),"")</f>
        <v/>
      </c>
      <c r="H706" s="0" t="n">
        <f aca="false">IFERROR(INDEX('Session Tracker'!$J$5:$J$149,MATCH($A706,'Session Tracker'!$D$5:$D$149,0)),0)</f>
        <v>8</v>
      </c>
      <c r="I706" s="0" t="n">
        <f aca="false">IF(OR(B706=0,B706=99,C706=""),"",IF(E706="Per class",D706,D706*H706))</f>
        <v>8</v>
      </c>
      <c r="N706" s="0" t="str">
        <f aca="false">IF('Junior Makers Kits'!B418="","",'Junior Makers Kits'!B418)</f>
        <v>Computers &amp; Equipment</v>
      </c>
      <c r="O706" s="0" t="str">
        <f aca="false">IF('Junior Makers Kits'!F418="","",'Junior Makers Kits'!F418)</f>
        <v>Reusable</v>
      </c>
      <c r="P706" s="0" t="str">
        <f aca="false">IF('Junior Makers Kits'!G418="","",'Junior Makers Kits'!G418)</f>
        <v/>
      </c>
    </row>
    <row r="707" customFormat="false" ht="15" hidden="false" customHeight="false" outlineLevel="0" collapsed="false">
      <c r="A707" s="0" t="s">
        <v>212</v>
      </c>
      <c r="B707" s="0" t="n">
        <v>2</v>
      </c>
      <c r="C707" s="0" t="str">
        <f aca="false">IF('Junior Makers Kits'!C419="","",'Junior Makers Kits'!C419)</f>
        <v/>
      </c>
      <c r="D707" s="0" t="str">
        <f aca="false">IF('Junior Makers Kits'!D419="","",'Junior Makers Kits'!D419)</f>
        <v/>
      </c>
      <c r="E707" s="0" t="str">
        <f aca="false">IF('Junior Makers Kits'!E419="","",'Junior Makers Kits'!E419)</f>
        <v/>
      </c>
      <c r="F707" s="0" t="str">
        <f aca="false">IFERROR(INDEX('Session Tracker'!$M$5:$M$149,MATCH($A707,'Session Tracker'!$D$5:$D$149,0))+0,"")</f>
        <v/>
      </c>
      <c r="G707" s="0" t="str">
        <f aca="false">IF(ISNUMBER(F707),IF(OR(B707=0,B707=99,C707&lt;&gt;""),F707*100+B707,""),"")</f>
        <v/>
      </c>
      <c r="H707" s="0" t="n">
        <f aca="false">IFERROR(INDEX('Session Tracker'!$J$5:$J$149,MATCH($A707,'Session Tracker'!$D$5:$D$149,0)),0)</f>
        <v>8</v>
      </c>
      <c r="I707" s="0" t="str">
        <f aca="false">IF(OR(B707=0,B707=99,C707=""),"",IF(E707="Per class",D707,D707*H707))</f>
        <v/>
      </c>
      <c r="N707" s="0" t="str">
        <f aca="false">IF('Junior Makers Kits'!B419="","",'Junior Makers Kits'!B419)</f>
        <v/>
      </c>
      <c r="O707" s="0" t="str">
        <f aca="false">IF('Junior Makers Kits'!F419="","",'Junior Makers Kits'!F419)</f>
        <v/>
      </c>
      <c r="P707" s="0" t="str">
        <f aca="false">IF('Junior Makers Kits'!G419="","",'Junior Makers Kits'!G419)</f>
        <v/>
      </c>
    </row>
    <row r="708" customFormat="false" ht="15" hidden="false" customHeight="false" outlineLevel="0" collapsed="false">
      <c r="A708" s="0" t="s">
        <v>212</v>
      </c>
      <c r="B708" s="0" t="n">
        <v>3</v>
      </c>
      <c r="C708" s="0" t="str">
        <f aca="false">IF('Junior Makers Kits'!C420="","",'Junior Makers Kits'!C420)</f>
        <v/>
      </c>
      <c r="D708" s="0" t="str">
        <f aca="false">IF('Junior Makers Kits'!D420="","",'Junior Makers Kits'!D420)</f>
        <v/>
      </c>
      <c r="E708" s="0" t="str">
        <f aca="false">IF('Junior Makers Kits'!E420="","",'Junior Makers Kits'!E420)</f>
        <v/>
      </c>
      <c r="F708" s="0" t="str">
        <f aca="false">IFERROR(INDEX('Session Tracker'!$M$5:$M$149,MATCH($A708,'Session Tracker'!$D$5:$D$149,0))+0,"")</f>
        <v/>
      </c>
      <c r="G708" s="0" t="str">
        <f aca="false">IF(ISNUMBER(F708),IF(OR(B708=0,B708=99,C708&lt;&gt;""),F708*100+B708,""),"")</f>
        <v/>
      </c>
      <c r="H708" s="0" t="n">
        <f aca="false">IFERROR(INDEX('Session Tracker'!$J$5:$J$149,MATCH($A708,'Session Tracker'!$D$5:$D$149,0)),0)</f>
        <v>8</v>
      </c>
      <c r="I708" s="0" t="str">
        <f aca="false">IF(OR(B708=0,B708=99,C708=""),"",IF(E708="Per class",D708,D708*H708))</f>
        <v/>
      </c>
      <c r="N708" s="0" t="str">
        <f aca="false">IF('Junior Makers Kits'!B420="","",'Junior Makers Kits'!B420)</f>
        <v/>
      </c>
      <c r="O708" s="0" t="str">
        <f aca="false">IF('Junior Makers Kits'!F420="","",'Junior Makers Kits'!F420)</f>
        <v/>
      </c>
      <c r="P708" s="0" t="str">
        <f aca="false">IF('Junior Makers Kits'!G420="","",'Junior Makers Kits'!G420)</f>
        <v/>
      </c>
    </row>
    <row r="709" customFormat="false" ht="15" hidden="false" customHeight="false" outlineLevel="0" collapsed="false">
      <c r="A709" s="0" t="s">
        <v>214</v>
      </c>
      <c r="B709" s="0" t="n">
        <v>0</v>
      </c>
      <c r="F709" s="0" t="str">
        <f aca="false">IFERROR(INDEX('Session Tracker'!$M$5:$M$149,MATCH($A709,'Session Tracker'!$D$5:$D$149,0))+0,"")</f>
        <v/>
      </c>
      <c r="G709" s="0" t="str">
        <f aca="false">IF(ISNUMBER(F709),IF(OR(B709=0,B709=99,C709&lt;&gt;""),F709*100+B709,""),"")</f>
        <v/>
      </c>
      <c r="H709" s="0" t="n">
        <f aca="false">IFERROR(INDEX('Session Tracker'!$J$5:$J$149,MATCH($A709,'Session Tracker'!$D$5:$D$149,0)),0)</f>
        <v>8</v>
      </c>
      <c r="I709" s="0" t="str">
        <f aca="false">IF(OR(B709=0,B709=99,C709=""),"",IF(E709="Per class",D709,D709*H709))</f>
        <v/>
      </c>
      <c r="K709" s="0" t="str">
        <f aca="false">IFERROR(INDEX('Session Tracker'!$E$5:$E$149,MATCH($A709,'Session Tracker'!$D$5:$D$149,0)),"")</f>
        <v>Data Detectives: Class Survey Charts</v>
      </c>
      <c r="L709" s="0" t="str">
        <f aca="false">IFERROR(INDEX('Session Tracker'!$A$5:$A$149,MATCH($A709,'Session Tracker'!$D$5:$D$149,0)),"")</f>
        <v>Junior Makers (8-11)</v>
      </c>
      <c r="M709" s="0" t="str">
        <f aca="false">IFERROR(INDEX('Session Tracker'!$H$5:$H$149,MATCH($A709,'Session Tracker'!$D$5:$D$149,0))&amp;"","")</f>
        <v/>
      </c>
      <c r="Q709" s="0" t="str">
        <f aca="false">IFERROR("Status: "&amp;INDEX('Session Tracker'!$F$5:$F$149,MATCH($A709,'Session Tracker'!$D$5:$D$149,0))&amp;IF(INDEX('Session Tracker'!$G$5:$G$149,MATCH($A709,'Session Tracker'!$D$5:$D$149,0))&lt;&gt;""," ("&amp;INDEX('Session Tracker'!$G$5:$G$149,MATCH($A709,'Session Tracker'!$D$5:$D$149,0))&amp;")","")&amp;IF(M709&lt;&gt;"","  "&amp;M709,""),"")</f>
        <v>Status: Not started</v>
      </c>
    </row>
    <row r="710" customFormat="false" ht="15" hidden="false" customHeight="false" outlineLevel="0" collapsed="false">
      <c r="A710" s="0" t="s">
        <v>214</v>
      </c>
      <c r="B710" s="0" t="n">
        <v>1</v>
      </c>
      <c r="C710" s="0" t="str">
        <f aca="false">IF('Junior Makers Kits'!C423="","",'Junior Makers Kits'!C423)</f>
        <v>Laptop</v>
      </c>
      <c r="D710" s="0" t="n">
        <f aca="false">IF('Junior Makers Kits'!D423="","",'Junior Makers Kits'!D423)</f>
        <v>1</v>
      </c>
      <c r="E710" s="0" t="str">
        <f aca="false">IF('Junior Makers Kits'!E423="","",'Junior Makers Kits'!E423)</f>
        <v>Per group</v>
      </c>
      <c r="F710" s="0" t="str">
        <f aca="false">IFERROR(INDEX('Session Tracker'!$M$5:$M$149,MATCH($A710,'Session Tracker'!$D$5:$D$149,0))+0,"")</f>
        <v/>
      </c>
      <c r="G710" s="0" t="str">
        <f aca="false">IF(ISNUMBER(F710),IF(OR(B710=0,B710=99,C710&lt;&gt;""),F710*100+B710,""),"")</f>
        <v/>
      </c>
      <c r="H710" s="0" t="n">
        <f aca="false">IFERROR(INDEX('Session Tracker'!$J$5:$J$149,MATCH($A710,'Session Tracker'!$D$5:$D$149,0)),0)</f>
        <v>8</v>
      </c>
      <c r="I710" s="0" t="n">
        <f aca="false">IF(OR(B710=0,B710=99,C710=""),"",IF(E710="Per class",D710,D710*H710))</f>
        <v>8</v>
      </c>
      <c r="N710" s="0" t="str">
        <f aca="false">IF('Junior Makers Kits'!B423="","",'Junior Makers Kits'!B423)</f>
        <v>Computers &amp; Equipment</v>
      </c>
      <c r="O710" s="0" t="str">
        <f aca="false">IF('Junior Makers Kits'!F423="","",'Junior Makers Kits'!F423)</f>
        <v>Reusable</v>
      </c>
      <c r="P710" s="0" t="str">
        <f aca="false">IF('Junior Makers Kits'!G423="","",'Junior Makers Kits'!G423)</f>
        <v/>
      </c>
    </row>
    <row r="711" customFormat="false" ht="15" hidden="false" customHeight="false" outlineLevel="0" collapsed="false">
      <c r="A711" s="0" t="s">
        <v>214</v>
      </c>
      <c r="B711" s="0" t="n">
        <v>2</v>
      </c>
      <c r="C711" s="0" t="str">
        <f aca="false">IF('Junior Makers Kits'!C424="","",'Junior Makers Kits'!C424)</f>
        <v>Printed templates</v>
      </c>
      <c r="D711" s="0" t="n">
        <f aca="false">IF('Junior Makers Kits'!D424="","",'Junior Makers Kits'!D424)</f>
        <v>1</v>
      </c>
      <c r="E711" s="0" t="str">
        <f aca="false">IF('Junior Makers Kits'!E424="","",'Junior Makers Kits'!E424)</f>
        <v>Per group</v>
      </c>
      <c r="F711" s="0" t="str">
        <f aca="false">IFERROR(INDEX('Session Tracker'!$M$5:$M$149,MATCH($A711,'Session Tracker'!$D$5:$D$149,0))+0,"")</f>
        <v/>
      </c>
      <c r="G711" s="0" t="str">
        <f aca="false">IF(ISNUMBER(F711),IF(OR(B711=0,B711=99,C711&lt;&gt;""),F711*100+B711,""),"")</f>
        <v/>
      </c>
      <c r="H711" s="0" t="n">
        <f aca="false">IFERROR(INDEX('Session Tracker'!$J$5:$J$149,MATCH($A711,'Session Tracker'!$D$5:$D$149,0)),0)</f>
        <v>8</v>
      </c>
      <c r="I711" s="0" t="n">
        <f aca="false">IF(OR(B711=0,B711=99,C711=""),"",IF(E711="Per class",D711,D711*H711))</f>
        <v>8</v>
      </c>
      <c r="N711" s="0" t="str">
        <f aca="false">IF('Junior Makers Kits'!B424="","",'Junior Makers Kits'!B424)</f>
        <v>Craft &amp; Stationery</v>
      </c>
      <c r="O711" s="0" t="str">
        <f aca="false">IF('Junior Makers Kits'!F424="","",'Junior Makers Kits'!F424)</f>
        <v>Consumable</v>
      </c>
      <c r="P711" s="0" t="str">
        <f aca="false">IF('Junior Makers Kits'!G424="","",'Junior Makers Kits'!G424)</f>
        <v/>
      </c>
    </row>
    <row r="712" customFormat="false" ht="15" hidden="false" customHeight="false" outlineLevel="0" collapsed="false">
      <c r="A712" s="0" t="s">
        <v>214</v>
      </c>
      <c r="B712" s="0" t="n">
        <v>3</v>
      </c>
      <c r="C712" s="0" t="str">
        <f aca="false">IF('Junior Makers Kits'!C425="","",'Junior Makers Kits'!C425)</f>
        <v/>
      </c>
      <c r="D712" s="0" t="str">
        <f aca="false">IF('Junior Makers Kits'!D425="","",'Junior Makers Kits'!D425)</f>
        <v/>
      </c>
      <c r="E712" s="0" t="str">
        <f aca="false">IF('Junior Makers Kits'!E425="","",'Junior Makers Kits'!E425)</f>
        <v/>
      </c>
      <c r="F712" s="0" t="str">
        <f aca="false">IFERROR(INDEX('Session Tracker'!$M$5:$M$149,MATCH($A712,'Session Tracker'!$D$5:$D$149,0))+0,"")</f>
        <v/>
      </c>
      <c r="G712" s="0" t="str">
        <f aca="false">IF(ISNUMBER(F712),IF(OR(B712=0,B712=99,C712&lt;&gt;""),F712*100+B712,""),"")</f>
        <v/>
      </c>
      <c r="H712" s="0" t="n">
        <f aca="false">IFERROR(INDEX('Session Tracker'!$J$5:$J$149,MATCH($A712,'Session Tracker'!$D$5:$D$149,0)),0)</f>
        <v>8</v>
      </c>
      <c r="I712" s="0" t="str">
        <f aca="false">IF(OR(B712=0,B712=99,C712=""),"",IF(E712="Per class",D712,D712*H712))</f>
        <v/>
      </c>
      <c r="N712" s="0" t="str">
        <f aca="false">IF('Junior Makers Kits'!B425="","",'Junior Makers Kits'!B425)</f>
        <v/>
      </c>
      <c r="O712" s="0" t="str">
        <f aca="false">IF('Junior Makers Kits'!F425="","",'Junior Makers Kits'!F425)</f>
        <v/>
      </c>
      <c r="P712" s="0" t="str">
        <f aca="false">IF('Junior Makers Kits'!G425="","",'Junior Makers Kits'!G425)</f>
        <v/>
      </c>
    </row>
    <row r="713" customFormat="false" ht="15" hidden="false" customHeight="false" outlineLevel="0" collapsed="false">
      <c r="A713" s="0" t="s">
        <v>214</v>
      </c>
      <c r="B713" s="0" t="n">
        <v>4</v>
      </c>
      <c r="C713" s="0" t="str">
        <f aca="false">IF('Junior Makers Kits'!C426="","",'Junior Makers Kits'!C426)</f>
        <v/>
      </c>
      <c r="D713" s="0" t="str">
        <f aca="false">IF('Junior Makers Kits'!D426="","",'Junior Makers Kits'!D426)</f>
        <v/>
      </c>
      <c r="E713" s="0" t="str">
        <f aca="false">IF('Junior Makers Kits'!E426="","",'Junior Makers Kits'!E426)</f>
        <v/>
      </c>
      <c r="F713" s="0" t="str">
        <f aca="false">IFERROR(INDEX('Session Tracker'!$M$5:$M$149,MATCH($A713,'Session Tracker'!$D$5:$D$149,0))+0,"")</f>
        <v/>
      </c>
      <c r="G713" s="0" t="str">
        <f aca="false">IF(ISNUMBER(F713),IF(OR(B713=0,B713=99,C713&lt;&gt;""),F713*100+B713,""),"")</f>
        <v/>
      </c>
      <c r="H713" s="0" t="n">
        <f aca="false">IFERROR(INDEX('Session Tracker'!$J$5:$J$149,MATCH($A713,'Session Tracker'!$D$5:$D$149,0)),0)</f>
        <v>8</v>
      </c>
      <c r="I713" s="0" t="str">
        <f aca="false">IF(OR(B713=0,B713=99,C713=""),"",IF(E713="Per class",D713,D713*H713))</f>
        <v/>
      </c>
      <c r="N713" s="0" t="str">
        <f aca="false">IF('Junior Makers Kits'!B426="","",'Junior Makers Kits'!B426)</f>
        <v/>
      </c>
      <c r="O713" s="0" t="str">
        <f aca="false">IF('Junior Makers Kits'!F426="","",'Junior Makers Kits'!F426)</f>
        <v/>
      </c>
      <c r="P713" s="0" t="str">
        <f aca="false">IF('Junior Makers Kits'!G426="","",'Junior Makers Kits'!G426)</f>
        <v/>
      </c>
    </row>
    <row r="714" customFormat="false" ht="15" hidden="false" customHeight="false" outlineLevel="0" collapsed="false">
      <c r="A714" s="0" t="s">
        <v>216</v>
      </c>
      <c r="B714" s="0" t="n">
        <v>0</v>
      </c>
      <c r="F714" s="0" t="str">
        <f aca="false">IFERROR(INDEX('Session Tracker'!$M$5:$M$149,MATCH($A714,'Session Tracker'!$D$5:$D$149,0))+0,"")</f>
        <v/>
      </c>
      <c r="G714" s="0" t="str">
        <f aca="false">IF(ISNUMBER(F714),IF(OR(B714=0,B714=99,C714&lt;&gt;""),F714*100+B714,""),"")</f>
        <v/>
      </c>
      <c r="H714" s="0" t="n">
        <f aca="false">IFERROR(INDEX('Session Tracker'!$J$5:$J$149,MATCH($A714,'Session Tracker'!$D$5:$D$149,0)),0)</f>
        <v>8</v>
      </c>
      <c r="I714" s="0" t="str">
        <f aca="false">IF(OR(B714=0,B714=99,C714=""),"",IF(E714="Per class",D714,D714*H714))</f>
        <v/>
      </c>
      <c r="K714" s="0" t="str">
        <f aca="false">IFERROR(INDEX('Session Tracker'!$E$5:$E$149,MATCH($A714,'Session Tracker'!$D$5:$D$149,0)),"")</f>
        <v>AI Emotion Mirror</v>
      </c>
      <c r="L714" s="0" t="str">
        <f aca="false">IFERROR(INDEX('Session Tracker'!$A$5:$A$149,MATCH($A714,'Session Tracker'!$D$5:$D$149,0)),"")</f>
        <v>Junior Makers (8-11)</v>
      </c>
      <c r="M714" s="0" t="str">
        <f aca="false">IFERROR(INDEX('Session Tracker'!$H$5:$H$149,MATCH($A714,'Session Tracker'!$D$5:$D$149,0))&amp;"","")</f>
        <v/>
      </c>
      <c r="Q714" s="0" t="str">
        <f aca="false">IFERROR("Status: "&amp;INDEX('Session Tracker'!$F$5:$F$149,MATCH($A714,'Session Tracker'!$D$5:$D$149,0))&amp;IF(INDEX('Session Tracker'!$G$5:$G$149,MATCH($A714,'Session Tracker'!$D$5:$D$149,0))&lt;&gt;""," ("&amp;INDEX('Session Tracker'!$G$5:$G$149,MATCH($A714,'Session Tracker'!$D$5:$D$149,0))&amp;")","")&amp;IF(M714&lt;&gt;"","  "&amp;M714,""),"")</f>
        <v>Status: Not started</v>
      </c>
    </row>
    <row r="715" customFormat="false" ht="15" hidden="false" customHeight="false" outlineLevel="0" collapsed="false">
      <c r="A715" s="0" t="s">
        <v>216</v>
      </c>
      <c r="B715" s="0" t="n">
        <v>1</v>
      </c>
      <c r="C715" s="0" t="str">
        <f aca="false">IF('Junior Makers Kits'!C429="","",'Junior Makers Kits'!C429)</f>
        <v>Laptop</v>
      </c>
      <c r="D715" s="0" t="n">
        <f aca="false">IF('Junior Makers Kits'!D429="","",'Junior Makers Kits'!D429)</f>
        <v>1</v>
      </c>
      <c r="E715" s="0" t="str">
        <f aca="false">IF('Junior Makers Kits'!E429="","",'Junior Makers Kits'!E429)</f>
        <v>Per group</v>
      </c>
      <c r="F715" s="0" t="str">
        <f aca="false">IFERROR(INDEX('Session Tracker'!$M$5:$M$149,MATCH($A715,'Session Tracker'!$D$5:$D$149,0))+0,"")</f>
        <v/>
      </c>
      <c r="G715" s="0" t="str">
        <f aca="false">IF(ISNUMBER(F715),IF(OR(B715=0,B715=99,C715&lt;&gt;""),F715*100+B715,""),"")</f>
        <v/>
      </c>
      <c r="H715" s="0" t="n">
        <f aca="false">IFERROR(INDEX('Session Tracker'!$J$5:$J$149,MATCH($A715,'Session Tracker'!$D$5:$D$149,0)),0)</f>
        <v>8</v>
      </c>
      <c r="I715" s="0" t="n">
        <f aca="false">IF(OR(B715=0,B715=99,C715=""),"",IF(E715="Per class",D715,D715*H715))</f>
        <v>8</v>
      </c>
      <c r="N715" s="0" t="str">
        <f aca="false">IF('Junior Makers Kits'!B429="","",'Junior Makers Kits'!B429)</f>
        <v>Computers &amp; Equipment</v>
      </c>
      <c r="O715" s="0" t="str">
        <f aca="false">IF('Junior Makers Kits'!F429="","",'Junior Makers Kits'!F429)</f>
        <v>Reusable</v>
      </c>
      <c r="P715" s="0" t="str">
        <f aca="false">IF('Junior Makers Kits'!G429="","",'Junior Makers Kits'!G429)</f>
        <v/>
      </c>
    </row>
    <row r="716" customFormat="false" ht="15" hidden="false" customHeight="false" outlineLevel="0" collapsed="false">
      <c r="A716" s="0" t="s">
        <v>216</v>
      </c>
      <c r="B716" s="0" t="n">
        <v>2</v>
      </c>
      <c r="C716" s="0" t="str">
        <f aca="false">IF('Junior Makers Kits'!C430="","",'Junior Makers Kits'!C430)</f>
        <v>Webcam</v>
      </c>
      <c r="D716" s="0" t="n">
        <f aca="false">IF('Junior Makers Kits'!D430="","",'Junior Makers Kits'!D430)</f>
        <v>1</v>
      </c>
      <c r="E716" s="0" t="str">
        <f aca="false">IF('Junior Makers Kits'!E430="","",'Junior Makers Kits'!E430)</f>
        <v>Per group</v>
      </c>
      <c r="F716" s="0" t="str">
        <f aca="false">IFERROR(INDEX('Session Tracker'!$M$5:$M$149,MATCH($A716,'Session Tracker'!$D$5:$D$149,0))+0,"")</f>
        <v/>
      </c>
      <c r="G716" s="0" t="str">
        <f aca="false">IF(ISNUMBER(F716),IF(OR(B716=0,B716=99,C716&lt;&gt;""),F716*100+B716,""),"")</f>
        <v/>
      </c>
      <c r="H716" s="0" t="n">
        <f aca="false">IFERROR(INDEX('Session Tracker'!$J$5:$J$149,MATCH($A716,'Session Tracker'!$D$5:$D$149,0)),0)</f>
        <v>8</v>
      </c>
      <c r="I716" s="0" t="n">
        <f aca="false">IF(OR(B716=0,B716=99,C716=""),"",IF(E716="Per class",D716,D716*H716))</f>
        <v>8</v>
      </c>
      <c r="N716" s="0" t="str">
        <f aca="false">IF('Junior Makers Kits'!B430="","",'Junior Makers Kits'!B430)</f>
        <v>Computers &amp; Equipment</v>
      </c>
      <c r="O716" s="0" t="str">
        <f aca="false">IF('Junior Makers Kits'!F430="","",'Junior Makers Kits'!F430)</f>
        <v>Reusable</v>
      </c>
      <c r="P716" s="0" t="str">
        <f aca="false">IF('Junior Makers Kits'!G430="","",'Junior Makers Kits'!G430)</f>
        <v>Or built-in camera</v>
      </c>
    </row>
    <row r="717" customFormat="false" ht="15" hidden="false" customHeight="false" outlineLevel="0" collapsed="false">
      <c r="A717" s="0" t="s">
        <v>216</v>
      </c>
      <c r="B717" s="0" t="n">
        <v>3</v>
      </c>
      <c r="C717" s="0" t="str">
        <f aca="false">IF('Junior Makers Kits'!C431="","",'Junior Makers Kits'!C431)</f>
        <v/>
      </c>
      <c r="D717" s="0" t="str">
        <f aca="false">IF('Junior Makers Kits'!D431="","",'Junior Makers Kits'!D431)</f>
        <v/>
      </c>
      <c r="E717" s="0" t="str">
        <f aca="false">IF('Junior Makers Kits'!E431="","",'Junior Makers Kits'!E431)</f>
        <v/>
      </c>
      <c r="F717" s="0" t="str">
        <f aca="false">IFERROR(INDEX('Session Tracker'!$M$5:$M$149,MATCH($A717,'Session Tracker'!$D$5:$D$149,0))+0,"")</f>
        <v/>
      </c>
      <c r="G717" s="0" t="str">
        <f aca="false">IF(ISNUMBER(F717),IF(OR(B717=0,B717=99,C717&lt;&gt;""),F717*100+B717,""),"")</f>
        <v/>
      </c>
      <c r="H717" s="0" t="n">
        <f aca="false">IFERROR(INDEX('Session Tracker'!$J$5:$J$149,MATCH($A717,'Session Tracker'!$D$5:$D$149,0)),0)</f>
        <v>8</v>
      </c>
      <c r="I717" s="0" t="str">
        <f aca="false">IF(OR(B717=0,B717=99,C717=""),"",IF(E717="Per class",D717,D717*H717))</f>
        <v/>
      </c>
      <c r="N717" s="0" t="str">
        <f aca="false">IF('Junior Makers Kits'!B431="","",'Junior Makers Kits'!B431)</f>
        <v/>
      </c>
      <c r="O717" s="0" t="str">
        <f aca="false">IF('Junior Makers Kits'!F431="","",'Junior Makers Kits'!F431)</f>
        <v/>
      </c>
      <c r="P717" s="0" t="str">
        <f aca="false">IF('Junior Makers Kits'!G431="","",'Junior Makers Kits'!G431)</f>
        <v/>
      </c>
    </row>
    <row r="718" customFormat="false" ht="15" hidden="false" customHeight="false" outlineLevel="0" collapsed="false">
      <c r="A718" s="0" t="s">
        <v>216</v>
      </c>
      <c r="B718" s="0" t="n">
        <v>4</v>
      </c>
      <c r="C718" s="0" t="str">
        <f aca="false">IF('Junior Makers Kits'!C432="","",'Junior Makers Kits'!C432)</f>
        <v/>
      </c>
      <c r="D718" s="0" t="str">
        <f aca="false">IF('Junior Makers Kits'!D432="","",'Junior Makers Kits'!D432)</f>
        <v/>
      </c>
      <c r="E718" s="0" t="str">
        <f aca="false">IF('Junior Makers Kits'!E432="","",'Junior Makers Kits'!E432)</f>
        <v/>
      </c>
      <c r="F718" s="0" t="str">
        <f aca="false">IFERROR(INDEX('Session Tracker'!$M$5:$M$149,MATCH($A718,'Session Tracker'!$D$5:$D$149,0))+0,"")</f>
        <v/>
      </c>
      <c r="G718" s="0" t="str">
        <f aca="false">IF(ISNUMBER(F718),IF(OR(B718=0,B718=99,C718&lt;&gt;""),F718*100+B718,""),"")</f>
        <v/>
      </c>
      <c r="H718" s="0" t="n">
        <f aca="false">IFERROR(INDEX('Session Tracker'!$J$5:$J$149,MATCH($A718,'Session Tracker'!$D$5:$D$149,0)),0)</f>
        <v>8</v>
      </c>
      <c r="I718" s="0" t="str">
        <f aca="false">IF(OR(B718=0,B718=99,C718=""),"",IF(E718="Per class",D718,D718*H718))</f>
        <v/>
      </c>
      <c r="N718" s="0" t="str">
        <f aca="false">IF('Junior Makers Kits'!B432="","",'Junior Makers Kits'!B432)</f>
        <v/>
      </c>
      <c r="O718" s="0" t="str">
        <f aca="false">IF('Junior Makers Kits'!F432="","",'Junior Makers Kits'!F432)</f>
        <v/>
      </c>
      <c r="P718" s="0" t="str">
        <f aca="false">IF('Junior Makers Kits'!G432="","",'Junior Makers Kits'!G432)</f>
        <v/>
      </c>
    </row>
    <row r="719" customFormat="false" ht="15" hidden="false" customHeight="false" outlineLevel="0" collapsed="false">
      <c r="A719" s="0" t="s">
        <v>218</v>
      </c>
      <c r="B719" s="0" t="n">
        <v>0</v>
      </c>
      <c r="F719" s="0" t="str">
        <f aca="false">IFERROR(INDEX('Session Tracker'!$M$5:$M$149,MATCH($A719,'Session Tracker'!$D$5:$D$149,0))+0,"")</f>
        <v/>
      </c>
      <c r="G719" s="0" t="str">
        <f aca="false">IF(ISNUMBER(F719),IF(OR(B719=0,B719=99,C719&lt;&gt;""),F719*100+B719,""),"")</f>
        <v/>
      </c>
      <c r="H719" s="0" t="n">
        <f aca="false">IFERROR(INDEX('Session Tracker'!$J$5:$J$149,MATCH($A719,'Session Tracker'!$D$5:$D$149,0)),0)</f>
        <v>8</v>
      </c>
      <c r="I719" s="0" t="str">
        <f aca="false">IF(OR(B719=0,B719=99,C719=""),"",IF(E719="Per class",D719,D719*H719))</f>
        <v/>
      </c>
      <c r="K719" s="0" t="str">
        <f aca="false">IFERROR(INDEX('Session Tracker'!$E$5:$E$149,MATCH($A719,'Session Tracker'!$D$5:$D$149,0)),"")</f>
        <v>Cyber Safety Escape Room</v>
      </c>
      <c r="L719" s="0" t="str">
        <f aca="false">IFERROR(INDEX('Session Tracker'!$A$5:$A$149,MATCH($A719,'Session Tracker'!$D$5:$D$149,0)),"")</f>
        <v>Junior Makers (8-11)</v>
      </c>
      <c r="M719" s="0" t="str">
        <f aca="false">IFERROR(INDEX('Session Tracker'!$H$5:$H$149,MATCH($A719,'Session Tracker'!$D$5:$D$149,0))&amp;"","")</f>
        <v/>
      </c>
      <c r="Q719" s="0" t="str">
        <f aca="false">IFERROR("Status: "&amp;INDEX('Session Tracker'!$F$5:$F$149,MATCH($A719,'Session Tracker'!$D$5:$D$149,0))&amp;IF(INDEX('Session Tracker'!$G$5:$G$149,MATCH($A719,'Session Tracker'!$D$5:$D$149,0))&lt;&gt;""," ("&amp;INDEX('Session Tracker'!$G$5:$G$149,MATCH($A719,'Session Tracker'!$D$5:$D$149,0))&amp;")","")&amp;IF(M719&lt;&gt;"","  "&amp;M719,""),"")</f>
        <v>Status: Not started</v>
      </c>
    </row>
    <row r="720" customFormat="false" ht="15" hidden="false" customHeight="false" outlineLevel="0" collapsed="false">
      <c r="A720" s="0" t="s">
        <v>218</v>
      </c>
      <c r="B720" s="0" t="n">
        <v>1</v>
      </c>
      <c r="C720" s="0" t="str">
        <f aca="false">IF('Junior Makers Kits'!C435="","",'Junior Makers Kits'!C435)</f>
        <v>Printed templates</v>
      </c>
      <c r="D720" s="0" t="n">
        <f aca="false">IF('Junior Makers Kits'!D435="","",'Junior Makers Kits'!D435)</f>
        <v>1</v>
      </c>
      <c r="E720" s="0" t="str">
        <f aca="false">IF('Junior Makers Kits'!E435="","",'Junior Makers Kits'!E435)</f>
        <v>Per group</v>
      </c>
      <c r="F720" s="0" t="str">
        <f aca="false">IFERROR(INDEX('Session Tracker'!$M$5:$M$149,MATCH($A720,'Session Tracker'!$D$5:$D$149,0))+0,"")</f>
        <v/>
      </c>
      <c r="G720" s="0" t="str">
        <f aca="false">IF(ISNUMBER(F720),IF(OR(B720=0,B720=99,C720&lt;&gt;""),F720*100+B720,""),"")</f>
        <v/>
      </c>
      <c r="H720" s="0" t="n">
        <f aca="false">IFERROR(INDEX('Session Tracker'!$J$5:$J$149,MATCH($A720,'Session Tracker'!$D$5:$D$149,0)),0)</f>
        <v>8</v>
      </c>
      <c r="I720" s="0" t="n">
        <f aca="false">IF(OR(B720=0,B720=99,C720=""),"",IF(E720="Per class",D720,D720*H720))</f>
        <v>8</v>
      </c>
      <c r="N720" s="0" t="str">
        <f aca="false">IF('Junior Makers Kits'!B435="","",'Junior Makers Kits'!B435)</f>
        <v>Craft &amp; Stationery</v>
      </c>
      <c r="O720" s="0" t="str">
        <f aca="false">IF('Junior Makers Kits'!F435="","",'Junior Makers Kits'!F435)</f>
        <v>Consumable</v>
      </c>
      <c r="P720" s="0" t="str">
        <f aca="false">IF('Junior Makers Kits'!G435="","",'Junior Makers Kits'!G435)</f>
        <v/>
      </c>
    </row>
    <row r="721" customFormat="false" ht="15" hidden="false" customHeight="false" outlineLevel="0" collapsed="false">
      <c r="A721" s="0" t="s">
        <v>218</v>
      </c>
      <c r="B721" s="0" t="n">
        <v>2</v>
      </c>
      <c r="C721" s="0" t="str">
        <f aca="false">IF('Junior Makers Kits'!C436="","",'Junior Makers Kits'!C436)</f>
        <v>4x4 matrix keypad</v>
      </c>
      <c r="D721" s="0" t="n">
        <f aca="false">IF('Junior Makers Kits'!D436="","",'Junior Makers Kits'!D436)</f>
        <v>1</v>
      </c>
      <c r="E721" s="0" t="str">
        <f aca="false">IF('Junior Makers Kits'!E436="","",'Junior Makers Kits'!E436)</f>
        <v>Per class</v>
      </c>
      <c r="F721" s="0" t="str">
        <f aca="false">IFERROR(INDEX('Session Tracker'!$M$5:$M$149,MATCH($A721,'Session Tracker'!$D$5:$D$149,0))+0,"")</f>
        <v/>
      </c>
      <c r="G721" s="0" t="str">
        <f aca="false">IF(ISNUMBER(F721),IF(OR(B721=0,B721=99,C721&lt;&gt;""),F721*100+B721,""),"")</f>
        <v/>
      </c>
      <c r="H721" s="0" t="n">
        <f aca="false">IFERROR(INDEX('Session Tracker'!$J$5:$J$149,MATCH($A721,'Session Tracker'!$D$5:$D$149,0)),0)</f>
        <v>8</v>
      </c>
      <c r="I721" s="0" t="n">
        <f aca="false">IF(OR(B721=0,B721=99,C721=""),"",IF(E721="Per class",D721,D721*H721))</f>
        <v>1</v>
      </c>
      <c r="N721" s="0" t="str">
        <f aca="false">IF('Junior Makers Kits'!B436="","",'Junior Makers Kits'!B436)</f>
        <v>Security &amp; Identification</v>
      </c>
      <c r="O721" s="0" t="str">
        <f aca="false">IF('Junior Makers Kits'!F436="","",'Junior Makers Kits'!F436)</f>
        <v>Reusable</v>
      </c>
      <c r="P721" s="0" t="str">
        <f aca="false">IF('Junior Makers Kits'!G436="","",'Junior Makers Kits'!G436)</f>
        <v>Optional final lock prop</v>
      </c>
    </row>
    <row r="722" customFormat="false" ht="15" hidden="false" customHeight="false" outlineLevel="0" collapsed="false">
      <c r="A722" s="0" t="s">
        <v>218</v>
      </c>
      <c r="B722" s="0" t="n">
        <v>3</v>
      </c>
      <c r="C722" s="0" t="str">
        <f aca="false">IF('Junior Makers Kits'!C437="","",'Junior Makers Kits'!C437)</f>
        <v/>
      </c>
      <c r="D722" s="0" t="str">
        <f aca="false">IF('Junior Makers Kits'!D437="","",'Junior Makers Kits'!D437)</f>
        <v/>
      </c>
      <c r="E722" s="0" t="str">
        <f aca="false">IF('Junior Makers Kits'!E437="","",'Junior Makers Kits'!E437)</f>
        <v/>
      </c>
      <c r="F722" s="0" t="str">
        <f aca="false">IFERROR(INDEX('Session Tracker'!$M$5:$M$149,MATCH($A722,'Session Tracker'!$D$5:$D$149,0))+0,"")</f>
        <v/>
      </c>
      <c r="G722" s="0" t="str">
        <f aca="false">IF(ISNUMBER(F722),IF(OR(B722=0,B722=99,C722&lt;&gt;""),F722*100+B722,""),"")</f>
        <v/>
      </c>
      <c r="H722" s="0" t="n">
        <f aca="false">IFERROR(INDEX('Session Tracker'!$J$5:$J$149,MATCH($A722,'Session Tracker'!$D$5:$D$149,0)),0)</f>
        <v>8</v>
      </c>
      <c r="I722" s="0" t="str">
        <f aca="false">IF(OR(B722=0,B722=99,C722=""),"",IF(E722="Per class",D722,D722*H722))</f>
        <v/>
      </c>
      <c r="N722" s="0" t="str">
        <f aca="false">IF('Junior Makers Kits'!B437="","",'Junior Makers Kits'!B437)</f>
        <v/>
      </c>
      <c r="O722" s="0" t="str">
        <f aca="false">IF('Junior Makers Kits'!F437="","",'Junior Makers Kits'!F437)</f>
        <v/>
      </c>
      <c r="P722" s="0" t="str">
        <f aca="false">IF('Junior Makers Kits'!G437="","",'Junior Makers Kits'!G437)</f>
        <v/>
      </c>
    </row>
    <row r="723" customFormat="false" ht="15" hidden="false" customHeight="false" outlineLevel="0" collapsed="false">
      <c r="A723" s="0" t="s">
        <v>218</v>
      </c>
      <c r="B723" s="0" t="n">
        <v>4</v>
      </c>
      <c r="C723" s="0" t="str">
        <f aca="false">IF('Junior Makers Kits'!C438="","",'Junior Makers Kits'!C438)</f>
        <v/>
      </c>
      <c r="D723" s="0" t="str">
        <f aca="false">IF('Junior Makers Kits'!D438="","",'Junior Makers Kits'!D438)</f>
        <v/>
      </c>
      <c r="E723" s="0" t="str">
        <f aca="false">IF('Junior Makers Kits'!E438="","",'Junior Makers Kits'!E438)</f>
        <v/>
      </c>
      <c r="F723" s="0" t="str">
        <f aca="false">IFERROR(INDEX('Session Tracker'!$M$5:$M$149,MATCH($A723,'Session Tracker'!$D$5:$D$149,0))+0,"")</f>
        <v/>
      </c>
      <c r="G723" s="0" t="str">
        <f aca="false">IF(ISNUMBER(F723),IF(OR(B723=0,B723=99,C723&lt;&gt;""),F723*100+B723,""),"")</f>
        <v/>
      </c>
      <c r="H723" s="0" t="n">
        <f aca="false">IFERROR(INDEX('Session Tracker'!$J$5:$J$149,MATCH($A723,'Session Tracker'!$D$5:$D$149,0)),0)</f>
        <v>8</v>
      </c>
      <c r="I723" s="0" t="str">
        <f aca="false">IF(OR(B723=0,B723=99,C723=""),"",IF(E723="Per class",D723,D723*H723))</f>
        <v/>
      </c>
      <c r="N723" s="0" t="str">
        <f aca="false">IF('Junior Makers Kits'!B438="","",'Junior Makers Kits'!B438)</f>
        <v/>
      </c>
      <c r="O723" s="0" t="str">
        <f aca="false">IF('Junior Makers Kits'!F438="","",'Junior Makers Kits'!F438)</f>
        <v/>
      </c>
      <c r="P723" s="0" t="str">
        <f aca="false">IF('Junior Makers Kits'!G438="","",'Junior Makers Kits'!G438)</f>
        <v/>
      </c>
    </row>
    <row r="724" customFormat="false" ht="15" hidden="false" customHeight="false" outlineLevel="0" collapsed="false">
      <c r="A724" s="0" t="s">
        <v>221</v>
      </c>
      <c r="B724" s="0" t="n">
        <v>0</v>
      </c>
      <c r="F724" s="0" t="str">
        <f aca="false">IFERROR(INDEX('Session Tracker'!$M$5:$M$149,MATCH($A724,'Session Tracker'!$D$5:$D$149,0))+0,"")</f>
        <v/>
      </c>
      <c r="G724" s="0" t="str">
        <f aca="false">IF(ISNUMBER(F724),IF(OR(B724=0,B724=99,C724&lt;&gt;""),F724*100+B724,""),"")</f>
        <v/>
      </c>
      <c r="H724" s="0" t="n">
        <f aca="false">IFERROR(INDEX('Session Tracker'!$J$5:$J$149,MATCH($A724,'Session Tracker'!$D$5:$D$149,0)),0)</f>
        <v>8</v>
      </c>
      <c r="I724" s="0" t="str">
        <f aca="false">IF(OR(B724=0,B724=99,C724=""),"",IF(E724="Per class",D724,D724*H724))</f>
        <v/>
      </c>
      <c r="K724" s="0" t="str">
        <f aca="false">IFERROR(INDEX('Session Tracker'!$E$5:$E$149,MATCH($A724,'Session Tracker'!$D$5:$D$149,0)),"")</f>
        <v>Welcome to Robotics (Distance Alarm)</v>
      </c>
      <c r="L724" s="0" t="str">
        <f aca="false">IFERROR(INDEX('Session Tracker'!$A$5:$A$149,MATCH($A724,'Session Tracker'!$D$5:$D$149,0)),"")</f>
        <v>Young Innovators (12-14)</v>
      </c>
      <c r="M724" s="0" t="str">
        <f aca="false">IFERROR(INDEX('Session Tracker'!$H$5:$H$149,MATCH($A724,'Session Tracker'!$D$5:$D$149,0))&amp;"","")</f>
        <v/>
      </c>
      <c r="Q724" s="0" t="str">
        <f aca="false">IFERROR("Status: "&amp;INDEX('Session Tracker'!$F$5:$F$149,MATCH($A724,'Session Tracker'!$D$5:$D$149,0))&amp;IF(INDEX('Session Tracker'!$G$5:$G$149,MATCH($A724,'Session Tracker'!$D$5:$D$149,0))&lt;&gt;""," ("&amp;INDEX('Session Tracker'!$G$5:$G$149,MATCH($A724,'Session Tracker'!$D$5:$D$149,0))&amp;")","")&amp;IF(M724&lt;&gt;"","  "&amp;M724,""),"")</f>
        <v>Status: Not started</v>
      </c>
    </row>
    <row r="725" customFormat="false" ht="15" hidden="false" customHeight="false" outlineLevel="0" collapsed="false">
      <c r="A725" s="0" t="s">
        <v>221</v>
      </c>
      <c r="B725" s="0" t="n">
        <v>1</v>
      </c>
      <c r="C725" s="0" t="str">
        <f aca="false">IF('Young Innovators Kits'!C6="","",'Young Innovators Kits'!C6)</f>
        <v>Arduino Uno + USB cable</v>
      </c>
      <c r="D725" s="0" t="n">
        <f aca="false">IF('Young Innovators Kits'!D6="","",'Young Innovators Kits'!D6)</f>
        <v>1</v>
      </c>
      <c r="E725" s="0" t="str">
        <f aca="false">IF('Young Innovators Kits'!E6="","",'Young Innovators Kits'!E6)</f>
        <v>Per group</v>
      </c>
      <c r="F725" s="0" t="str">
        <f aca="false">IFERROR(INDEX('Session Tracker'!$M$5:$M$149,MATCH($A725,'Session Tracker'!$D$5:$D$149,0))+0,"")</f>
        <v/>
      </c>
      <c r="G725" s="0" t="str">
        <f aca="false">IF(ISNUMBER(F725),IF(OR(B725=0,B725=99,C725&lt;&gt;""),F725*100+B725,""),"")</f>
        <v/>
      </c>
      <c r="H725" s="0" t="n">
        <f aca="false">IFERROR(INDEX('Session Tracker'!$J$5:$J$149,MATCH($A725,'Session Tracker'!$D$5:$D$149,0)),0)</f>
        <v>8</v>
      </c>
      <c r="I725" s="0" t="n">
        <f aca="false">IF(OR(B725=0,B725=99,C725=""),"",IF(E725="Per class",D725,D725*H725))</f>
        <v>8</v>
      </c>
      <c r="N725" s="0" t="str">
        <f aca="false">IF('Young Innovators Kits'!B6="","",'Young Innovators Kits'!B6)</f>
        <v>Microcontrollers &amp; Dev Boards</v>
      </c>
      <c r="O725" s="0" t="str">
        <f aca="false">IF('Young Innovators Kits'!F6="","",'Young Innovators Kits'!F6)</f>
        <v>Reusable</v>
      </c>
      <c r="P725" s="0" t="str">
        <f aca="false">IF('Young Innovators Kits'!G6="","",'Young Innovators Kits'!G6)</f>
        <v/>
      </c>
    </row>
    <row r="726" customFormat="false" ht="15" hidden="false" customHeight="false" outlineLevel="0" collapsed="false">
      <c r="A726" s="0" t="s">
        <v>221</v>
      </c>
      <c r="B726" s="0" t="n">
        <v>2</v>
      </c>
      <c r="C726" s="0" t="str">
        <f aca="false">IF('Young Innovators Kits'!C7="","",'Young Innovators Kits'!C7)</f>
        <v>Ultrasonic sensor HC-SR04</v>
      </c>
      <c r="D726" s="0" t="n">
        <f aca="false">IF('Young Innovators Kits'!D7="","",'Young Innovators Kits'!D7)</f>
        <v>1</v>
      </c>
      <c r="E726" s="0" t="str">
        <f aca="false">IF('Young Innovators Kits'!E7="","",'Young Innovators Kits'!E7)</f>
        <v>Per group</v>
      </c>
      <c r="F726" s="0" t="str">
        <f aca="false">IFERROR(INDEX('Session Tracker'!$M$5:$M$149,MATCH($A726,'Session Tracker'!$D$5:$D$149,0))+0,"")</f>
        <v/>
      </c>
      <c r="G726" s="0" t="str">
        <f aca="false">IF(ISNUMBER(F726),IF(OR(B726=0,B726=99,C726&lt;&gt;""),F726*100+B726,""),"")</f>
        <v/>
      </c>
      <c r="H726" s="0" t="n">
        <f aca="false">IFERROR(INDEX('Session Tracker'!$J$5:$J$149,MATCH($A726,'Session Tracker'!$D$5:$D$149,0)),0)</f>
        <v>8</v>
      </c>
      <c r="I726" s="0" t="n">
        <f aca="false">IF(OR(B726=0,B726=99,C726=""),"",IF(E726="Per class",D726,D726*H726))</f>
        <v>8</v>
      </c>
      <c r="N726" s="0" t="str">
        <f aca="false">IF('Young Innovators Kits'!B7="","",'Young Innovators Kits'!B7)</f>
        <v>Sensors</v>
      </c>
      <c r="O726" s="0" t="str">
        <f aca="false">IF('Young Innovators Kits'!F7="","",'Young Innovators Kits'!F7)</f>
        <v>Reusable</v>
      </c>
      <c r="P726" s="0" t="str">
        <f aca="false">IF('Young Innovators Kits'!G7="","",'Young Innovators Kits'!G7)</f>
        <v/>
      </c>
    </row>
    <row r="727" customFormat="false" ht="15" hidden="false" customHeight="false" outlineLevel="0" collapsed="false">
      <c r="A727" s="0" t="s">
        <v>221</v>
      </c>
      <c r="B727" s="0" t="n">
        <v>3</v>
      </c>
      <c r="C727" s="0" t="str">
        <f aca="false">IF('Young Innovators Kits'!C8="","",'Young Innovators Kits'!C8)</f>
        <v>LED 5 mm (assorted)</v>
      </c>
      <c r="D727" s="0" t="n">
        <f aca="false">IF('Young Innovators Kits'!D8="","",'Young Innovators Kits'!D8)</f>
        <v>1</v>
      </c>
      <c r="E727" s="0" t="str">
        <f aca="false">IF('Young Innovators Kits'!E8="","",'Young Innovators Kits'!E8)</f>
        <v>Per group</v>
      </c>
      <c r="F727" s="0" t="str">
        <f aca="false">IFERROR(INDEX('Session Tracker'!$M$5:$M$149,MATCH($A727,'Session Tracker'!$D$5:$D$149,0))+0,"")</f>
        <v/>
      </c>
      <c r="G727" s="0" t="str">
        <f aca="false">IF(ISNUMBER(F727),IF(OR(B727=0,B727=99,C727&lt;&gt;""),F727*100+B727,""),"")</f>
        <v/>
      </c>
      <c r="H727" s="0" t="n">
        <f aca="false">IFERROR(INDEX('Session Tracker'!$J$5:$J$149,MATCH($A727,'Session Tracker'!$D$5:$D$149,0)),0)</f>
        <v>8</v>
      </c>
      <c r="I727" s="0" t="n">
        <f aca="false">IF(OR(B727=0,B727=99,C727=""),"",IF(E727="Per class",D727,D727*H727))</f>
        <v>8</v>
      </c>
      <c r="N727" s="0" t="str">
        <f aca="false">IF('Young Innovators Kits'!B8="","",'Young Innovators Kits'!B8)</f>
        <v>Displays &amp; Output</v>
      </c>
      <c r="O727" s="0" t="str">
        <f aca="false">IF('Young Innovators Kits'!F8="","",'Young Innovators Kits'!F8)</f>
        <v>Consumable</v>
      </c>
      <c r="P727" s="0" t="str">
        <f aca="false">IF('Young Innovators Kits'!G8="","",'Young Innovators Kits'!G8)</f>
        <v>Red</v>
      </c>
    </row>
    <row r="728" customFormat="false" ht="15" hidden="false" customHeight="false" outlineLevel="0" collapsed="false">
      <c r="A728" s="0" t="s">
        <v>221</v>
      </c>
      <c r="B728" s="0" t="n">
        <v>4</v>
      </c>
      <c r="C728" s="0" t="str">
        <f aca="false">IF('Young Innovators Kits'!C9="","",'Young Innovators Kits'!C9)</f>
        <v>Resistor 220 ohm</v>
      </c>
      <c r="D728" s="0" t="n">
        <f aca="false">IF('Young Innovators Kits'!D9="","",'Young Innovators Kits'!D9)</f>
        <v>1</v>
      </c>
      <c r="E728" s="0" t="str">
        <f aca="false">IF('Young Innovators Kits'!E9="","",'Young Innovators Kits'!E9)</f>
        <v>Per group</v>
      </c>
      <c r="F728" s="0" t="str">
        <f aca="false">IFERROR(INDEX('Session Tracker'!$M$5:$M$149,MATCH($A728,'Session Tracker'!$D$5:$D$149,0))+0,"")</f>
        <v/>
      </c>
      <c r="G728" s="0" t="str">
        <f aca="false">IF(ISNUMBER(F728),IF(OR(B728=0,B728=99,C728&lt;&gt;""),F728*100+B728,""),"")</f>
        <v/>
      </c>
      <c r="H728" s="0" t="n">
        <f aca="false">IFERROR(INDEX('Session Tracker'!$J$5:$J$149,MATCH($A728,'Session Tracker'!$D$5:$D$149,0)),0)</f>
        <v>8</v>
      </c>
      <c r="I728" s="0" t="n">
        <f aca="false">IF(OR(B728=0,B728=99,C728=""),"",IF(E728="Per class",D728,D728*H728))</f>
        <v>8</v>
      </c>
      <c r="N728" s="0" t="str">
        <f aca="false">IF('Young Innovators Kits'!B9="","",'Young Innovators Kits'!B9)</f>
        <v>Passive Components &amp; ICs</v>
      </c>
      <c r="O728" s="0" t="str">
        <f aca="false">IF('Young Innovators Kits'!F9="","",'Young Innovators Kits'!F9)</f>
        <v>Consumable</v>
      </c>
      <c r="P728" s="0" t="str">
        <f aca="false">IF('Young Innovators Kits'!G9="","",'Young Innovators Kits'!G9)</f>
        <v/>
      </c>
    </row>
    <row r="729" customFormat="false" ht="15" hidden="false" customHeight="false" outlineLevel="0" collapsed="false">
      <c r="A729" s="0" t="s">
        <v>221</v>
      </c>
      <c r="B729" s="0" t="n">
        <v>5</v>
      </c>
      <c r="C729" s="0" t="str">
        <f aca="false">IF('Young Innovators Kits'!C10="","",'Young Innovators Kits'!C10)</f>
        <v>Buzzer</v>
      </c>
      <c r="D729" s="0" t="n">
        <f aca="false">IF('Young Innovators Kits'!D10="","",'Young Innovators Kits'!D10)</f>
        <v>1</v>
      </c>
      <c r="E729" s="0" t="str">
        <f aca="false">IF('Young Innovators Kits'!E10="","",'Young Innovators Kits'!E10)</f>
        <v>Per group</v>
      </c>
      <c r="F729" s="0" t="str">
        <f aca="false">IFERROR(INDEX('Session Tracker'!$M$5:$M$149,MATCH($A729,'Session Tracker'!$D$5:$D$149,0))+0,"")</f>
        <v/>
      </c>
      <c r="G729" s="0" t="str">
        <f aca="false">IF(ISNUMBER(F729),IF(OR(B729=0,B729=99,C729&lt;&gt;""),F729*100+B729,""),"")</f>
        <v/>
      </c>
      <c r="H729" s="0" t="n">
        <f aca="false">IFERROR(INDEX('Session Tracker'!$J$5:$J$149,MATCH($A729,'Session Tracker'!$D$5:$D$149,0)),0)</f>
        <v>8</v>
      </c>
      <c r="I729" s="0" t="n">
        <f aca="false">IF(OR(B729=0,B729=99,C729=""),"",IF(E729="Per class",D729,D729*H729))</f>
        <v>8</v>
      </c>
      <c r="N729" s="0" t="str">
        <f aca="false">IF('Young Innovators Kits'!B10="","",'Young Innovators Kits'!B10)</f>
        <v>Actuators &amp; Motor Drivers</v>
      </c>
      <c r="O729" s="0" t="str">
        <f aca="false">IF('Young Innovators Kits'!F10="","",'Young Innovators Kits'!F10)</f>
        <v>Reusable</v>
      </c>
      <c r="P729" s="0" t="str">
        <f aca="false">IF('Young Innovators Kits'!G10="","",'Young Innovators Kits'!G10)</f>
        <v/>
      </c>
    </row>
    <row r="730" customFormat="false" ht="15" hidden="false" customHeight="false" outlineLevel="0" collapsed="false">
      <c r="A730" s="0" t="s">
        <v>221</v>
      </c>
      <c r="B730" s="0" t="n">
        <v>6</v>
      </c>
      <c r="C730" s="0" t="str">
        <f aca="false">IF('Young Innovators Kits'!C11="","",'Young Innovators Kits'!C11)</f>
        <v>Breadboard (half size)</v>
      </c>
      <c r="D730" s="0" t="n">
        <f aca="false">IF('Young Innovators Kits'!D11="","",'Young Innovators Kits'!D11)</f>
        <v>1</v>
      </c>
      <c r="E730" s="0" t="str">
        <f aca="false">IF('Young Innovators Kits'!E11="","",'Young Innovators Kits'!E11)</f>
        <v>Per group</v>
      </c>
      <c r="F730" s="0" t="str">
        <f aca="false">IFERROR(INDEX('Session Tracker'!$M$5:$M$149,MATCH($A730,'Session Tracker'!$D$5:$D$149,0))+0,"")</f>
        <v/>
      </c>
      <c r="G730" s="0" t="str">
        <f aca="false">IF(ISNUMBER(F730),IF(OR(B730=0,B730=99,C730&lt;&gt;""),F730*100+B730,""),"")</f>
        <v/>
      </c>
      <c r="H730" s="0" t="n">
        <f aca="false">IFERROR(INDEX('Session Tracker'!$J$5:$J$149,MATCH($A730,'Session Tracker'!$D$5:$D$149,0)),0)</f>
        <v>8</v>
      </c>
      <c r="I730" s="0" t="n">
        <f aca="false">IF(OR(B730=0,B730=99,C730=""),"",IF(E730="Per class",D730,D730*H730))</f>
        <v>8</v>
      </c>
      <c r="N730" s="0" t="str">
        <f aca="false">IF('Young Innovators Kits'!B11="","",'Young Innovators Kits'!B11)</f>
        <v>Wiring &amp; Prototyping</v>
      </c>
      <c r="O730" s="0" t="str">
        <f aca="false">IF('Young Innovators Kits'!F11="","",'Young Innovators Kits'!F11)</f>
        <v>Reusable</v>
      </c>
      <c r="P730" s="0" t="str">
        <f aca="false">IF('Young Innovators Kits'!G11="","",'Young Innovators Kits'!G11)</f>
        <v/>
      </c>
    </row>
    <row r="731" customFormat="false" ht="15" hidden="false" customHeight="false" outlineLevel="0" collapsed="false">
      <c r="A731" s="0" t="s">
        <v>221</v>
      </c>
      <c r="B731" s="0" t="n">
        <v>7</v>
      </c>
      <c r="C731" s="0" t="str">
        <f aca="false">IF('Young Innovators Kits'!C12="","",'Young Innovators Kits'!C12)</f>
        <v>Jumper wires M-M</v>
      </c>
      <c r="D731" s="0" t="n">
        <f aca="false">IF('Young Innovators Kits'!D12="","",'Young Innovators Kits'!D12)</f>
        <v>6</v>
      </c>
      <c r="E731" s="0" t="str">
        <f aca="false">IF('Young Innovators Kits'!E12="","",'Young Innovators Kits'!E12)</f>
        <v>Per group</v>
      </c>
      <c r="F731" s="0" t="str">
        <f aca="false">IFERROR(INDEX('Session Tracker'!$M$5:$M$149,MATCH($A731,'Session Tracker'!$D$5:$D$149,0))+0,"")</f>
        <v/>
      </c>
      <c r="G731" s="0" t="str">
        <f aca="false">IF(ISNUMBER(F731),IF(OR(B731=0,B731=99,C731&lt;&gt;""),F731*100+B731,""),"")</f>
        <v/>
      </c>
      <c r="H731" s="0" t="n">
        <f aca="false">IFERROR(INDEX('Session Tracker'!$J$5:$J$149,MATCH($A731,'Session Tracker'!$D$5:$D$149,0)),0)</f>
        <v>8</v>
      </c>
      <c r="I731" s="0" t="n">
        <f aca="false">IF(OR(B731=0,B731=99,C731=""),"",IF(E731="Per class",D731,D731*H731))</f>
        <v>48</v>
      </c>
      <c r="N731" s="0" t="str">
        <f aca="false">IF('Young Innovators Kits'!B12="","",'Young Innovators Kits'!B12)</f>
        <v>Wiring &amp; Prototyping</v>
      </c>
      <c r="O731" s="0" t="str">
        <f aca="false">IF('Young Innovators Kits'!F12="","",'Young Innovators Kits'!F12)</f>
        <v>Reusable</v>
      </c>
      <c r="P731" s="0" t="str">
        <f aca="false">IF('Young Innovators Kits'!G12="","",'Young Innovators Kits'!G12)</f>
        <v/>
      </c>
    </row>
    <row r="732" customFormat="false" ht="15" hidden="false" customHeight="false" outlineLevel="0" collapsed="false">
      <c r="A732" s="0" t="s">
        <v>221</v>
      </c>
      <c r="B732" s="0" t="n">
        <v>8</v>
      </c>
      <c r="C732" s="0" t="str">
        <f aca="false">IF('Young Innovators Kits'!C13="","",'Young Innovators Kits'!C13)</f>
        <v>Laptop</v>
      </c>
      <c r="D732" s="0" t="n">
        <f aca="false">IF('Young Innovators Kits'!D13="","",'Young Innovators Kits'!D13)</f>
        <v>1</v>
      </c>
      <c r="E732" s="0" t="str">
        <f aca="false">IF('Young Innovators Kits'!E13="","",'Young Innovators Kits'!E13)</f>
        <v>Per group</v>
      </c>
      <c r="F732" s="0" t="str">
        <f aca="false">IFERROR(INDEX('Session Tracker'!$M$5:$M$149,MATCH($A732,'Session Tracker'!$D$5:$D$149,0))+0,"")</f>
        <v/>
      </c>
      <c r="G732" s="0" t="str">
        <f aca="false">IF(ISNUMBER(F732),IF(OR(B732=0,B732=99,C732&lt;&gt;""),F732*100+B732,""),"")</f>
        <v/>
      </c>
      <c r="H732" s="0" t="n">
        <f aca="false">IFERROR(INDEX('Session Tracker'!$J$5:$J$149,MATCH($A732,'Session Tracker'!$D$5:$D$149,0)),0)</f>
        <v>8</v>
      </c>
      <c r="I732" s="0" t="n">
        <f aca="false">IF(OR(B732=0,B732=99,C732=""),"",IF(E732="Per class",D732,D732*H732))</f>
        <v>8</v>
      </c>
      <c r="N732" s="0" t="str">
        <f aca="false">IF('Young Innovators Kits'!B13="","",'Young Innovators Kits'!B13)</f>
        <v>Computers &amp; Equipment</v>
      </c>
      <c r="O732" s="0" t="str">
        <f aca="false">IF('Young Innovators Kits'!F13="","",'Young Innovators Kits'!F13)</f>
        <v>Reusable</v>
      </c>
      <c r="P732" s="0" t="str">
        <f aca="false">IF('Young Innovators Kits'!G13="","",'Young Innovators Kits'!G13)</f>
        <v/>
      </c>
    </row>
    <row r="733" customFormat="false" ht="15" hidden="false" customHeight="false" outlineLevel="0" collapsed="false">
      <c r="A733" s="0" t="s">
        <v>221</v>
      </c>
      <c r="B733" s="0" t="n">
        <v>9</v>
      </c>
      <c r="C733" s="0" t="str">
        <f aca="false">IF('Young Innovators Kits'!C14="","",'Young Innovators Kits'!C14)</f>
        <v/>
      </c>
      <c r="D733" s="0" t="str">
        <f aca="false">IF('Young Innovators Kits'!D14="","",'Young Innovators Kits'!D14)</f>
        <v/>
      </c>
      <c r="E733" s="0" t="str">
        <f aca="false">IF('Young Innovators Kits'!E14="","",'Young Innovators Kits'!E14)</f>
        <v/>
      </c>
      <c r="F733" s="0" t="str">
        <f aca="false">IFERROR(INDEX('Session Tracker'!$M$5:$M$149,MATCH($A733,'Session Tracker'!$D$5:$D$149,0))+0,"")</f>
        <v/>
      </c>
      <c r="G733" s="0" t="str">
        <f aca="false">IF(ISNUMBER(F733),IF(OR(B733=0,B733=99,C733&lt;&gt;""),F733*100+B733,""),"")</f>
        <v/>
      </c>
      <c r="H733" s="0" t="n">
        <f aca="false">IFERROR(INDEX('Session Tracker'!$J$5:$J$149,MATCH($A733,'Session Tracker'!$D$5:$D$149,0)),0)</f>
        <v>8</v>
      </c>
      <c r="I733" s="0" t="str">
        <f aca="false">IF(OR(B733=0,B733=99,C733=""),"",IF(E733="Per class",D733,D733*H733))</f>
        <v/>
      </c>
      <c r="N733" s="0" t="str">
        <f aca="false">IF('Young Innovators Kits'!B14="","",'Young Innovators Kits'!B14)</f>
        <v/>
      </c>
      <c r="O733" s="0" t="str">
        <f aca="false">IF('Young Innovators Kits'!F14="","",'Young Innovators Kits'!F14)</f>
        <v/>
      </c>
      <c r="P733" s="0" t="str">
        <f aca="false">IF('Young Innovators Kits'!G14="","",'Young Innovators Kits'!G14)</f>
        <v/>
      </c>
    </row>
    <row r="734" customFormat="false" ht="15" hidden="false" customHeight="false" outlineLevel="0" collapsed="false">
      <c r="A734" s="0" t="s">
        <v>221</v>
      </c>
      <c r="B734" s="0" t="n">
        <v>10</v>
      </c>
      <c r="C734" s="0" t="str">
        <f aca="false">IF('Young Innovators Kits'!C15="","",'Young Innovators Kits'!C15)</f>
        <v/>
      </c>
      <c r="D734" s="0" t="str">
        <f aca="false">IF('Young Innovators Kits'!D15="","",'Young Innovators Kits'!D15)</f>
        <v/>
      </c>
      <c r="E734" s="0" t="str">
        <f aca="false">IF('Young Innovators Kits'!E15="","",'Young Innovators Kits'!E15)</f>
        <v/>
      </c>
      <c r="F734" s="0" t="str">
        <f aca="false">IFERROR(INDEX('Session Tracker'!$M$5:$M$149,MATCH($A734,'Session Tracker'!$D$5:$D$149,0))+0,"")</f>
        <v/>
      </c>
      <c r="G734" s="0" t="str">
        <f aca="false">IF(ISNUMBER(F734),IF(OR(B734=0,B734=99,C734&lt;&gt;""),F734*100+B734,""),"")</f>
        <v/>
      </c>
      <c r="H734" s="0" t="n">
        <f aca="false">IFERROR(INDEX('Session Tracker'!$J$5:$J$149,MATCH($A734,'Session Tracker'!$D$5:$D$149,0)),0)</f>
        <v>8</v>
      </c>
      <c r="I734" s="0" t="str">
        <f aca="false">IF(OR(B734=0,B734=99,C734=""),"",IF(E734="Per class",D734,D734*H734))</f>
        <v/>
      </c>
      <c r="N734" s="0" t="str">
        <f aca="false">IF('Young Innovators Kits'!B15="","",'Young Innovators Kits'!B15)</f>
        <v/>
      </c>
      <c r="O734" s="0" t="str">
        <f aca="false">IF('Young Innovators Kits'!F15="","",'Young Innovators Kits'!F15)</f>
        <v/>
      </c>
      <c r="P734" s="0" t="str">
        <f aca="false">IF('Young Innovators Kits'!G15="","",'Young Innovators Kits'!G15)</f>
        <v/>
      </c>
    </row>
    <row r="735" customFormat="false" ht="15" hidden="false" customHeight="false" outlineLevel="0" collapsed="false">
      <c r="A735" s="0" t="s">
        <v>222</v>
      </c>
      <c r="B735" s="0" t="n">
        <v>0</v>
      </c>
      <c r="F735" s="0" t="str">
        <f aca="false">IFERROR(INDEX('Session Tracker'!$M$5:$M$149,MATCH($A735,'Session Tracker'!$D$5:$D$149,0))+0,"")</f>
        <v/>
      </c>
      <c r="G735" s="0" t="str">
        <f aca="false">IF(ISNUMBER(F735),IF(OR(B735=0,B735=99,C735&lt;&gt;""),F735*100+B735,""),"")</f>
        <v/>
      </c>
      <c r="H735" s="0" t="n">
        <f aca="false">IFERROR(INDEX('Session Tracker'!$J$5:$J$149,MATCH($A735,'Session Tracker'!$D$5:$D$149,0)),0)</f>
        <v>8</v>
      </c>
      <c r="I735" s="0" t="str">
        <f aca="false">IF(OR(B735=0,B735=99,C735=""),"",IF(E735="Per class",D735,D735*H735))</f>
        <v/>
      </c>
      <c r="K735" s="0" t="str">
        <f aca="false">IFERROR(INDEX('Session Tracker'!$E$5:$E$149,MATCH($A735,'Session Tracker'!$D$5:$D$149,0)),"")</f>
        <v>Arduino Uno Basics</v>
      </c>
      <c r="L735" s="0" t="str">
        <f aca="false">IFERROR(INDEX('Session Tracker'!$A$5:$A$149,MATCH($A735,'Session Tracker'!$D$5:$D$149,0)),"")</f>
        <v>Young Innovators (12-14)</v>
      </c>
      <c r="M735" s="0" t="str">
        <f aca="false">IFERROR(INDEX('Session Tracker'!$H$5:$H$149,MATCH($A735,'Session Tracker'!$D$5:$D$149,0))&amp;"","")</f>
        <v/>
      </c>
      <c r="Q735" s="0" t="str">
        <f aca="false">IFERROR("Status: "&amp;INDEX('Session Tracker'!$F$5:$F$149,MATCH($A735,'Session Tracker'!$D$5:$D$149,0))&amp;IF(INDEX('Session Tracker'!$G$5:$G$149,MATCH($A735,'Session Tracker'!$D$5:$D$149,0))&lt;&gt;""," ("&amp;INDEX('Session Tracker'!$G$5:$G$149,MATCH($A735,'Session Tracker'!$D$5:$D$149,0))&amp;")","")&amp;IF(M735&lt;&gt;"","  "&amp;M735,""),"")</f>
        <v>Status: Not started</v>
      </c>
    </row>
    <row r="736" customFormat="false" ht="15" hidden="false" customHeight="false" outlineLevel="0" collapsed="false">
      <c r="A736" s="0" t="s">
        <v>222</v>
      </c>
      <c r="B736" s="0" t="n">
        <v>1</v>
      </c>
      <c r="C736" s="0" t="str">
        <f aca="false">IF('Young Innovators Kits'!C18="","",'Young Innovators Kits'!C18)</f>
        <v>Arduino Uno + USB cable</v>
      </c>
      <c r="D736" s="0" t="n">
        <f aca="false">IF('Young Innovators Kits'!D18="","",'Young Innovators Kits'!D18)</f>
        <v>1</v>
      </c>
      <c r="E736" s="0" t="str">
        <f aca="false">IF('Young Innovators Kits'!E18="","",'Young Innovators Kits'!E18)</f>
        <v>Per group</v>
      </c>
      <c r="F736" s="0" t="str">
        <f aca="false">IFERROR(INDEX('Session Tracker'!$M$5:$M$149,MATCH($A736,'Session Tracker'!$D$5:$D$149,0))+0,"")</f>
        <v/>
      </c>
      <c r="G736" s="0" t="str">
        <f aca="false">IF(ISNUMBER(F736),IF(OR(B736=0,B736=99,C736&lt;&gt;""),F736*100+B736,""),"")</f>
        <v/>
      </c>
      <c r="H736" s="0" t="n">
        <f aca="false">IFERROR(INDEX('Session Tracker'!$J$5:$J$149,MATCH($A736,'Session Tracker'!$D$5:$D$149,0)),0)</f>
        <v>8</v>
      </c>
      <c r="I736" s="0" t="n">
        <f aca="false">IF(OR(B736=0,B736=99,C736=""),"",IF(E736="Per class",D736,D736*H736))</f>
        <v>8</v>
      </c>
      <c r="N736" s="0" t="str">
        <f aca="false">IF('Young Innovators Kits'!B18="","",'Young Innovators Kits'!B18)</f>
        <v>Microcontrollers &amp; Dev Boards</v>
      </c>
      <c r="O736" s="0" t="str">
        <f aca="false">IF('Young Innovators Kits'!F18="","",'Young Innovators Kits'!F18)</f>
        <v>Reusable</v>
      </c>
      <c r="P736" s="0" t="str">
        <f aca="false">IF('Young Innovators Kits'!G18="","",'Young Innovators Kits'!G18)</f>
        <v/>
      </c>
    </row>
    <row r="737" customFormat="false" ht="15" hidden="false" customHeight="false" outlineLevel="0" collapsed="false">
      <c r="A737" s="0" t="s">
        <v>222</v>
      </c>
      <c r="B737" s="0" t="n">
        <v>2</v>
      </c>
      <c r="C737" s="0" t="str">
        <f aca="false">IF('Young Innovators Kits'!C19="","",'Young Innovators Kits'!C19)</f>
        <v>LED 5 mm (assorted)</v>
      </c>
      <c r="D737" s="0" t="n">
        <f aca="false">IF('Young Innovators Kits'!D19="","",'Young Innovators Kits'!D19)</f>
        <v>2</v>
      </c>
      <c r="E737" s="0" t="str">
        <f aca="false">IF('Young Innovators Kits'!E19="","",'Young Innovators Kits'!E19)</f>
        <v>Per group</v>
      </c>
      <c r="F737" s="0" t="str">
        <f aca="false">IFERROR(INDEX('Session Tracker'!$M$5:$M$149,MATCH($A737,'Session Tracker'!$D$5:$D$149,0))+0,"")</f>
        <v/>
      </c>
      <c r="G737" s="0" t="str">
        <f aca="false">IF(ISNUMBER(F737),IF(OR(B737=0,B737=99,C737&lt;&gt;""),F737*100+B737,""),"")</f>
        <v/>
      </c>
      <c r="H737" s="0" t="n">
        <f aca="false">IFERROR(INDEX('Session Tracker'!$J$5:$J$149,MATCH($A737,'Session Tracker'!$D$5:$D$149,0)),0)</f>
        <v>8</v>
      </c>
      <c r="I737" s="0" t="n">
        <f aca="false">IF(OR(B737=0,B737=99,C737=""),"",IF(E737="Per class",D737,D737*H737))</f>
        <v>16</v>
      </c>
      <c r="N737" s="0" t="str">
        <f aca="false">IF('Young Innovators Kits'!B19="","",'Young Innovators Kits'!B19)</f>
        <v>Displays &amp; Output</v>
      </c>
      <c r="O737" s="0" t="str">
        <f aca="false">IF('Young Innovators Kits'!F19="","",'Young Innovators Kits'!F19)</f>
        <v>Consumable</v>
      </c>
      <c r="P737" s="0" t="str">
        <f aca="false">IF('Young Innovators Kits'!G19="","",'Young Innovators Kits'!G19)</f>
        <v/>
      </c>
    </row>
    <row r="738" customFormat="false" ht="15" hidden="false" customHeight="false" outlineLevel="0" collapsed="false">
      <c r="A738" s="0" t="s">
        <v>222</v>
      </c>
      <c r="B738" s="0" t="n">
        <v>3</v>
      </c>
      <c r="C738" s="0" t="str">
        <f aca="false">IF('Young Innovators Kits'!C20="","",'Young Innovators Kits'!C20)</f>
        <v>Resistor 220 ohm</v>
      </c>
      <c r="D738" s="0" t="n">
        <f aca="false">IF('Young Innovators Kits'!D20="","",'Young Innovators Kits'!D20)</f>
        <v>2</v>
      </c>
      <c r="E738" s="0" t="str">
        <f aca="false">IF('Young Innovators Kits'!E20="","",'Young Innovators Kits'!E20)</f>
        <v>Per group</v>
      </c>
      <c r="F738" s="0" t="str">
        <f aca="false">IFERROR(INDEX('Session Tracker'!$M$5:$M$149,MATCH($A738,'Session Tracker'!$D$5:$D$149,0))+0,"")</f>
        <v/>
      </c>
      <c r="G738" s="0" t="str">
        <f aca="false">IF(ISNUMBER(F738),IF(OR(B738=0,B738=99,C738&lt;&gt;""),F738*100+B738,""),"")</f>
        <v/>
      </c>
      <c r="H738" s="0" t="n">
        <f aca="false">IFERROR(INDEX('Session Tracker'!$J$5:$J$149,MATCH($A738,'Session Tracker'!$D$5:$D$149,0)),0)</f>
        <v>8</v>
      </c>
      <c r="I738" s="0" t="n">
        <f aca="false">IF(OR(B738=0,B738=99,C738=""),"",IF(E738="Per class",D738,D738*H738))</f>
        <v>16</v>
      </c>
      <c r="N738" s="0" t="str">
        <f aca="false">IF('Young Innovators Kits'!B20="","",'Young Innovators Kits'!B20)</f>
        <v>Passive Components &amp; ICs</v>
      </c>
      <c r="O738" s="0" t="str">
        <f aca="false">IF('Young Innovators Kits'!F20="","",'Young Innovators Kits'!F20)</f>
        <v>Consumable</v>
      </c>
      <c r="P738" s="0" t="str">
        <f aca="false">IF('Young Innovators Kits'!G20="","",'Young Innovators Kits'!G20)</f>
        <v/>
      </c>
    </row>
    <row r="739" customFormat="false" ht="15" hidden="false" customHeight="false" outlineLevel="0" collapsed="false">
      <c r="A739" s="0" t="s">
        <v>222</v>
      </c>
      <c r="B739" s="0" t="n">
        <v>4</v>
      </c>
      <c r="C739" s="0" t="str">
        <f aca="false">IF('Young Innovators Kits'!C21="","",'Young Innovators Kits'!C21)</f>
        <v>Push button</v>
      </c>
      <c r="D739" s="0" t="n">
        <f aca="false">IF('Young Innovators Kits'!D21="","",'Young Innovators Kits'!D21)</f>
        <v>1</v>
      </c>
      <c r="E739" s="0" t="str">
        <f aca="false">IF('Young Innovators Kits'!E21="","",'Young Innovators Kits'!E21)</f>
        <v>Per group</v>
      </c>
      <c r="F739" s="0" t="str">
        <f aca="false">IFERROR(INDEX('Session Tracker'!$M$5:$M$149,MATCH($A739,'Session Tracker'!$D$5:$D$149,0))+0,"")</f>
        <v/>
      </c>
      <c r="G739" s="0" t="str">
        <f aca="false">IF(ISNUMBER(F739),IF(OR(B739=0,B739=99,C739&lt;&gt;""),F739*100+B739,""),"")</f>
        <v/>
      </c>
      <c r="H739" s="0" t="n">
        <f aca="false">IFERROR(INDEX('Session Tracker'!$J$5:$J$149,MATCH($A739,'Session Tracker'!$D$5:$D$149,0)),0)</f>
        <v>8</v>
      </c>
      <c r="I739" s="0" t="n">
        <f aca="false">IF(OR(B739=0,B739=99,C739=""),"",IF(E739="Per class",D739,D739*H739))</f>
        <v>8</v>
      </c>
      <c r="N739" s="0" t="str">
        <f aca="false">IF('Young Innovators Kits'!B21="","",'Young Innovators Kits'!B21)</f>
        <v>Passive Components &amp; ICs</v>
      </c>
      <c r="O739" s="0" t="str">
        <f aca="false">IF('Young Innovators Kits'!F21="","",'Young Innovators Kits'!F21)</f>
        <v>Reusable</v>
      </c>
      <c r="P739" s="0" t="str">
        <f aca="false">IF('Young Innovators Kits'!G21="","",'Young Innovators Kits'!G21)</f>
        <v>INPUT_PULLUP demo</v>
      </c>
    </row>
    <row r="740" customFormat="false" ht="15" hidden="false" customHeight="false" outlineLevel="0" collapsed="false">
      <c r="A740" s="0" t="s">
        <v>222</v>
      </c>
      <c r="B740" s="0" t="n">
        <v>5</v>
      </c>
      <c r="C740" s="0" t="str">
        <f aca="false">IF('Young Innovators Kits'!C22="","",'Young Innovators Kits'!C22)</f>
        <v>Potentiometer 10k</v>
      </c>
      <c r="D740" s="0" t="n">
        <f aca="false">IF('Young Innovators Kits'!D22="","",'Young Innovators Kits'!D22)</f>
        <v>1</v>
      </c>
      <c r="E740" s="0" t="str">
        <f aca="false">IF('Young Innovators Kits'!E22="","",'Young Innovators Kits'!E22)</f>
        <v>Per group</v>
      </c>
      <c r="F740" s="0" t="str">
        <f aca="false">IFERROR(INDEX('Session Tracker'!$M$5:$M$149,MATCH($A740,'Session Tracker'!$D$5:$D$149,0))+0,"")</f>
        <v/>
      </c>
      <c r="G740" s="0" t="str">
        <f aca="false">IF(ISNUMBER(F740),IF(OR(B740=0,B740=99,C740&lt;&gt;""),F740*100+B740,""),"")</f>
        <v/>
      </c>
      <c r="H740" s="0" t="n">
        <f aca="false">IFERROR(INDEX('Session Tracker'!$J$5:$J$149,MATCH($A740,'Session Tracker'!$D$5:$D$149,0)),0)</f>
        <v>8</v>
      </c>
      <c r="I740" s="0" t="n">
        <f aca="false">IF(OR(B740=0,B740=99,C740=""),"",IF(E740="Per class",D740,D740*H740))</f>
        <v>8</v>
      </c>
      <c r="N740" s="0" t="str">
        <f aca="false">IF('Young Innovators Kits'!B22="","",'Young Innovators Kits'!B22)</f>
        <v>Passive Components &amp; ICs</v>
      </c>
      <c r="O740" s="0" t="str">
        <f aca="false">IF('Young Innovators Kits'!F22="","",'Young Innovators Kits'!F22)</f>
        <v>Reusable</v>
      </c>
      <c r="P740" s="0" t="str">
        <f aca="false">IF('Young Innovators Kits'!G22="","",'Young Innovators Kits'!G22)</f>
        <v>Analog input demo</v>
      </c>
    </row>
    <row r="741" customFormat="false" ht="15" hidden="false" customHeight="false" outlineLevel="0" collapsed="false">
      <c r="A741" s="0" t="s">
        <v>222</v>
      </c>
      <c r="B741" s="0" t="n">
        <v>6</v>
      </c>
      <c r="C741" s="0" t="str">
        <f aca="false">IF('Young Innovators Kits'!C23="","",'Young Innovators Kits'!C23)</f>
        <v>Breadboard (half size)</v>
      </c>
      <c r="D741" s="0" t="n">
        <f aca="false">IF('Young Innovators Kits'!D23="","",'Young Innovators Kits'!D23)</f>
        <v>1</v>
      </c>
      <c r="E741" s="0" t="str">
        <f aca="false">IF('Young Innovators Kits'!E23="","",'Young Innovators Kits'!E23)</f>
        <v>Per group</v>
      </c>
      <c r="F741" s="0" t="str">
        <f aca="false">IFERROR(INDEX('Session Tracker'!$M$5:$M$149,MATCH($A741,'Session Tracker'!$D$5:$D$149,0))+0,"")</f>
        <v/>
      </c>
      <c r="G741" s="0" t="str">
        <f aca="false">IF(ISNUMBER(F741),IF(OR(B741=0,B741=99,C741&lt;&gt;""),F741*100+B741,""),"")</f>
        <v/>
      </c>
      <c r="H741" s="0" t="n">
        <f aca="false">IFERROR(INDEX('Session Tracker'!$J$5:$J$149,MATCH($A741,'Session Tracker'!$D$5:$D$149,0)),0)</f>
        <v>8</v>
      </c>
      <c r="I741" s="0" t="n">
        <f aca="false">IF(OR(B741=0,B741=99,C741=""),"",IF(E741="Per class",D741,D741*H741))</f>
        <v>8</v>
      </c>
      <c r="N741" s="0" t="str">
        <f aca="false">IF('Young Innovators Kits'!B23="","",'Young Innovators Kits'!B23)</f>
        <v>Wiring &amp; Prototyping</v>
      </c>
      <c r="O741" s="0" t="str">
        <f aca="false">IF('Young Innovators Kits'!F23="","",'Young Innovators Kits'!F23)</f>
        <v>Reusable</v>
      </c>
      <c r="P741" s="0" t="str">
        <f aca="false">IF('Young Innovators Kits'!G23="","",'Young Innovators Kits'!G23)</f>
        <v/>
      </c>
    </row>
    <row r="742" customFormat="false" ht="15" hidden="false" customHeight="false" outlineLevel="0" collapsed="false">
      <c r="A742" s="0" t="s">
        <v>222</v>
      </c>
      <c r="B742" s="0" t="n">
        <v>7</v>
      </c>
      <c r="C742" s="0" t="str">
        <f aca="false">IF('Young Innovators Kits'!C24="","",'Young Innovators Kits'!C24)</f>
        <v>Jumper wires M-M</v>
      </c>
      <c r="D742" s="0" t="n">
        <f aca="false">IF('Young Innovators Kits'!D24="","",'Young Innovators Kits'!D24)</f>
        <v>8</v>
      </c>
      <c r="E742" s="0" t="str">
        <f aca="false">IF('Young Innovators Kits'!E24="","",'Young Innovators Kits'!E24)</f>
        <v>Per group</v>
      </c>
      <c r="F742" s="0" t="str">
        <f aca="false">IFERROR(INDEX('Session Tracker'!$M$5:$M$149,MATCH($A742,'Session Tracker'!$D$5:$D$149,0))+0,"")</f>
        <v/>
      </c>
      <c r="G742" s="0" t="str">
        <f aca="false">IF(ISNUMBER(F742),IF(OR(B742=0,B742=99,C742&lt;&gt;""),F742*100+B742,""),"")</f>
        <v/>
      </c>
      <c r="H742" s="0" t="n">
        <f aca="false">IFERROR(INDEX('Session Tracker'!$J$5:$J$149,MATCH($A742,'Session Tracker'!$D$5:$D$149,0)),0)</f>
        <v>8</v>
      </c>
      <c r="I742" s="0" t="n">
        <f aca="false">IF(OR(B742=0,B742=99,C742=""),"",IF(E742="Per class",D742,D742*H742))</f>
        <v>64</v>
      </c>
      <c r="N742" s="0" t="str">
        <f aca="false">IF('Young Innovators Kits'!B24="","",'Young Innovators Kits'!B24)</f>
        <v>Wiring &amp; Prototyping</v>
      </c>
      <c r="O742" s="0" t="str">
        <f aca="false">IF('Young Innovators Kits'!F24="","",'Young Innovators Kits'!F24)</f>
        <v>Reusable</v>
      </c>
      <c r="P742" s="0" t="str">
        <f aca="false">IF('Young Innovators Kits'!G24="","",'Young Innovators Kits'!G24)</f>
        <v/>
      </c>
    </row>
    <row r="743" customFormat="false" ht="15" hidden="false" customHeight="false" outlineLevel="0" collapsed="false">
      <c r="A743" s="0" t="s">
        <v>222</v>
      </c>
      <c r="B743" s="0" t="n">
        <v>8</v>
      </c>
      <c r="C743" s="0" t="str">
        <f aca="false">IF('Young Innovators Kits'!C25="","",'Young Innovators Kits'!C25)</f>
        <v>Laptop</v>
      </c>
      <c r="D743" s="0" t="n">
        <f aca="false">IF('Young Innovators Kits'!D25="","",'Young Innovators Kits'!D25)</f>
        <v>1</v>
      </c>
      <c r="E743" s="0" t="str">
        <f aca="false">IF('Young Innovators Kits'!E25="","",'Young Innovators Kits'!E25)</f>
        <v>Per group</v>
      </c>
      <c r="F743" s="0" t="str">
        <f aca="false">IFERROR(INDEX('Session Tracker'!$M$5:$M$149,MATCH($A743,'Session Tracker'!$D$5:$D$149,0))+0,"")</f>
        <v/>
      </c>
      <c r="G743" s="0" t="str">
        <f aca="false">IF(ISNUMBER(F743),IF(OR(B743=0,B743=99,C743&lt;&gt;""),F743*100+B743,""),"")</f>
        <v/>
      </c>
      <c r="H743" s="0" t="n">
        <f aca="false">IFERROR(INDEX('Session Tracker'!$J$5:$J$149,MATCH($A743,'Session Tracker'!$D$5:$D$149,0)),0)</f>
        <v>8</v>
      </c>
      <c r="I743" s="0" t="n">
        <f aca="false">IF(OR(B743=0,B743=99,C743=""),"",IF(E743="Per class",D743,D743*H743))</f>
        <v>8</v>
      </c>
      <c r="N743" s="0" t="str">
        <f aca="false">IF('Young Innovators Kits'!B25="","",'Young Innovators Kits'!B25)</f>
        <v>Computers &amp; Equipment</v>
      </c>
      <c r="O743" s="0" t="str">
        <f aca="false">IF('Young Innovators Kits'!F25="","",'Young Innovators Kits'!F25)</f>
        <v>Reusable</v>
      </c>
      <c r="P743" s="0" t="str">
        <f aca="false">IF('Young Innovators Kits'!G25="","",'Young Innovators Kits'!G25)</f>
        <v/>
      </c>
    </row>
    <row r="744" customFormat="false" ht="15" hidden="false" customHeight="false" outlineLevel="0" collapsed="false">
      <c r="A744" s="0" t="s">
        <v>222</v>
      </c>
      <c r="B744" s="0" t="n">
        <v>9</v>
      </c>
      <c r="C744" s="0" t="str">
        <f aca="false">IF('Young Innovators Kits'!C26="","",'Young Innovators Kits'!C26)</f>
        <v>Buzzer</v>
      </c>
      <c r="D744" s="0" t="n">
        <f aca="false">IF('Young Innovators Kits'!D26="","",'Young Innovators Kits'!D26)</f>
        <v>1</v>
      </c>
      <c r="E744" s="0" t="str">
        <f aca="false">IF('Young Innovators Kits'!E26="","",'Young Innovators Kits'!E26)</f>
        <v>Per group</v>
      </c>
      <c r="F744" s="0" t="str">
        <f aca="false">IFERROR(INDEX('Session Tracker'!$M$5:$M$149,MATCH($A744,'Session Tracker'!$D$5:$D$149,0))+0,"")</f>
        <v/>
      </c>
      <c r="G744" s="0" t="str">
        <f aca="false">IF(ISNUMBER(F744),IF(OR(B744=0,B744=99,C744&lt;&gt;""),F744*100+B744,""),"")</f>
        <v/>
      </c>
      <c r="H744" s="0" t="n">
        <f aca="false">IFERROR(INDEX('Session Tracker'!$J$5:$J$149,MATCH($A744,'Session Tracker'!$D$5:$D$149,0)),0)</f>
        <v>8</v>
      </c>
      <c r="I744" s="0" t="n">
        <f aca="false">IF(OR(B744=0,B744=99,C744=""),"",IF(E744="Per class",D744,D744*H744))</f>
        <v>8</v>
      </c>
      <c r="N744" s="0" t="str">
        <f aca="false">IF('Young Innovators Kits'!B26="","",'Young Innovators Kits'!B26)</f>
        <v>Actuators &amp; Motor Drivers</v>
      </c>
      <c r="O744" s="0" t="str">
        <f aca="false">IF('Young Innovators Kits'!F26="","",'Young Innovators Kits'!F26)</f>
        <v>Reusable</v>
      </c>
      <c r="P744" s="0" t="str">
        <f aca="false">IF('Young Innovators Kits'!G26="","",'Young Innovators Kits'!G26)</f>
        <v>Added: every Arduino class</v>
      </c>
    </row>
    <row r="745" customFormat="false" ht="15" hidden="false" customHeight="false" outlineLevel="0" collapsed="false">
      <c r="A745" s="0" t="s">
        <v>222</v>
      </c>
      <c r="B745" s="0" t="n">
        <v>10</v>
      </c>
      <c r="C745" s="0" t="str">
        <f aca="false">IF('Young Innovators Kits'!C27="","",'Young Innovators Kits'!C27)</f>
        <v/>
      </c>
      <c r="D745" s="0" t="str">
        <f aca="false">IF('Young Innovators Kits'!D27="","",'Young Innovators Kits'!D27)</f>
        <v/>
      </c>
      <c r="E745" s="0" t="str">
        <f aca="false">IF('Young Innovators Kits'!E27="","",'Young Innovators Kits'!E27)</f>
        <v/>
      </c>
      <c r="F745" s="0" t="str">
        <f aca="false">IFERROR(INDEX('Session Tracker'!$M$5:$M$149,MATCH($A745,'Session Tracker'!$D$5:$D$149,0))+0,"")</f>
        <v/>
      </c>
      <c r="G745" s="0" t="str">
        <f aca="false">IF(ISNUMBER(F745),IF(OR(B745=0,B745=99,C745&lt;&gt;""),F745*100+B745,""),"")</f>
        <v/>
      </c>
      <c r="H745" s="0" t="n">
        <f aca="false">IFERROR(INDEX('Session Tracker'!$J$5:$J$149,MATCH($A745,'Session Tracker'!$D$5:$D$149,0)),0)</f>
        <v>8</v>
      </c>
      <c r="I745" s="0" t="str">
        <f aca="false">IF(OR(B745=0,B745=99,C745=""),"",IF(E745="Per class",D745,D745*H745))</f>
        <v/>
      </c>
      <c r="N745" s="0" t="str">
        <f aca="false">IF('Young Innovators Kits'!B27="","",'Young Innovators Kits'!B27)</f>
        <v/>
      </c>
      <c r="O745" s="0" t="str">
        <f aca="false">IF('Young Innovators Kits'!F27="","",'Young Innovators Kits'!F27)</f>
        <v/>
      </c>
      <c r="P745" s="0" t="str">
        <f aca="false">IF('Young Innovators Kits'!G27="","",'Young Innovators Kits'!G27)</f>
        <v/>
      </c>
    </row>
    <row r="746" customFormat="false" ht="15" hidden="false" customHeight="false" outlineLevel="0" collapsed="false">
      <c r="A746" s="0" t="s">
        <v>222</v>
      </c>
      <c r="B746" s="0" t="n">
        <v>11</v>
      </c>
      <c r="C746" s="0" t="str">
        <f aca="false">IF('Young Innovators Kits'!C28="","",'Young Innovators Kits'!C28)</f>
        <v/>
      </c>
      <c r="D746" s="0" t="str">
        <f aca="false">IF('Young Innovators Kits'!D28="","",'Young Innovators Kits'!D28)</f>
        <v/>
      </c>
      <c r="E746" s="0" t="str">
        <f aca="false">IF('Young Innovators Kits'!E28="","",'Young Innovators Kits'!E28)</f>
        <v/>
      </c>
      <c r="F746" s="0" t="str">
        <f aca="false">IFERROR(INDEX('Session Tracker'!$M$5:$M$149,MATCH($A746,'Session Tracker'!$D$5:$D$149,0))+0,"")</f>
        <v/>
      </c>
      <c r="G746" s="0" t="str">
        <f aca="false">IF(ISNUMBER(F746),IF(OR(B746=0,B746=99,C746&lt;&gt;""),F746*100+B746,""),"")</f>
        <v/>
      </c>
      <c r="H746" s="0" t="n">
        <f aca="false">IFERROR(INDEX('Session Tracker'!$J$5:$J$149,MATCH($A746,'Session Tracker'!$D$5:$D$149,0)),0)</f>
        <v>8</v>
      </c>
      <c r="I746" s="0" t="str">
        <f aca="false">IF(OR(B746=0,B746=99,C746=""),"",IF(E746="Per class",D746,D746*H746))</f>
        <v/>
      </c>
      <c r="N746" s="0" t="str">
        <f aca="false">IF('Young Innovators Kits'!B28="","",'Young Innovators Kits'!B28)</f>
        <v/>
      </c>
      <c r="O746" s="0" t="str">
        <f aca="false">IF('Young Innovators Kits'!F28="","",'Young Innovators Kits'!F28)</f>
        <v/>
      </c>
      <c r="P746" s="0" t="str">
        <f aca="false">IF('Young Innovators Kits'!G28="","",'Young Innovators Kits'!G28)</f>
        <v/>
      </c>
    </row>
    <row r="747" customFormat="false" ht="15" hidden="false" customHeight="false" outlineLevel="0" collapsed="false">
      <c r="A747" s="0" t="s">
        <v>223</v>
      </c>
      <c r="B747" s="0" t="n">
        <v>0</v>
      </c>
      <c r="F747" s="0" t="str">
        <f aca="false">IFERROR(INDEX('Session Tracker'!$M$5:$M$149,MATCH($A747,'Session Tracker'!$D$5:$D$149,0))+0,"")</f>
        <v/>
      </c>
      <c r="G747" s="0" t="str">
        <f aca="false">IF(ISNUMBER(F747),IF(OR(B747=0,B747=99,C747&lt;&gt;""),F747*100+B747,""),"")</f>
        <v/>
      </c>
      <c r="H747" s="0" t="n">
        <f aca="false">IFERROR(INDEX('Session Tracker'!$J$5:$J$149,MATCH($A747,'Session Tracker'!$D$5:$D$149,0)),0)</f>
        <v>8</v>
      </c>
      <c r="I747" s="0" t="str">
        <f aca="false">IF(OR(B747=0,B747=99,C747=""),"",IF(E747="Per class",D747,D747*H747))</f>
        <v/>
      </c>
      <c r="K747" s="0" t="str">
        <f aca="false">IFERROR(INDEX('Session Tracker'!$E$5:$E$149,MATCH($A747,'Session Tracker'!$D$5:$D$149,0)),"")</f>
        <v>ESP32 Basics</v>
      </c>
      <c r="L747" s="0" t="str">
        <f aca="false">IFERROR(INDEX('Session Tracker'!$A$5:$A$149,MATCH($A747,'Session Tracker'!$D$5:$D$149,0)),"")</f>
        <v>Young Innovators (12-14)</v>
      </c>
      <c r="M747" s="0" t="str">
        <f aca="false">IFERROR(INDEX('Session Tracker'!$H$5:$H$149,MATCH($A747,'Session Tracker'!$D$5:$D$149,0))&amp;"","")</f>
        <v/>
      </c>
      <c r="Q747" s="0" t="str">
        <f aca="false">IFERROR("Status: "&amp;INDEX('Session Tracker'!$F$5:$F$149,MATCH($A747,'Session Tracker'!$D$5:$D$149,0))&amp;IF(INDEX('Session Tracker'!$G$5:$G$149,MATCH($A747,'Session Tracker'!$D$5:$D$149,0))&lt;&gt;""," ("&amp;INDEX('Session Tracker'!$G$5:$G$149,MATCH($A747,'Session Tracker'!$D$5:$D$149,0))&amp;")","")&amp;IF(M747&lt;&gt;"","  "&amp;M747,""),"")</f>
        <v>Status: Not started</v>
      </c>
    </row>
    <row r="748" customFormat="false" ht="15" hidden="false" customHeight="false" outlineLevel="0" collapsed="false">
      <c r="A748" s="0" t="s">
        <v>223</v>
      </c>
      <c r="B748" s="0" t="n">
        <v>1</v>
      </c>
      <c r="C748" s="0" t="str">
        <f aca="false">IF('Young Innovators Kits'!C31="","",'Young Innovators Kits'!C31)</f>
        <v>ESP32 Dev Board + USB cable</v>
      </c>
      <c r="D748" s="0" t="n">
        <f aca="false">IF('Young Innovators Kits'!D31="","",'Young Innovators Kits'!D31)</f>
        <v>1</v>
      </c>
      <c r="E748" s="0" t="str">
        <f aca="false">IF('Young Innovators Kits'!E31="","",'Young Innovators Kits'!E31)</f>
        <v>Per group</v>
      </c>
      <c r="F748" s="0" t="str">
        <f aca="false">IFERROR(INDEX('Session Tracker'!$M$5:$M$149,MATCH($A748,'Session Tracker'!$D$5:$D$149,0))+0,"")</f>
        <v/>
      </c>
      <c r="G748" s="0" t="str">
        <f aca="false">IF(ISNUMBER(F748),IF(OR(B748=0,B748=99,C748&lt;&gt;""),F748*100+B748,""),"")</f>
        <v/>
      </c>
      <c r="H748" s="0" t="n">
        <f aca="false">IFERROR(INDEX('Session Tracker'!$J$5:$J$149,MATCH($A748,'Session Tracker'!$D$5:$D$149,0)),0)</f>
        <v>8</v>
      </c>
      <c r="I748" s="0" t="n">
        <f aca="false">IF(OR(B748=0,B748=99,C748=""),"",IF(E748="Per class",D748,D748*H748))</f>
        <v>8</v>
      </c>
      <c r="N748" s="0" t="str">
        <f aca="false">IF('Young Innovators Kits'!B31="","",'Young Innovators Kits'!B31)</f>
        <v>Microcontrollers &amp; Dev Boards</v>
      </c>
      <c r="O748" s="0" t="str">
        <f aca="false">IF('Young Innovators Kits'!F31="","",'Young Innovators Kits'!F31)</f>
        <v>Reusable</v>
      </c>
      <c r="P748" s="0" t="str">
        <f aca="false">IF('Young Innovators Kits'!G31="","",'Young Innovators Kits'!G31)</f>
        <v>Data cable, not charge-only</v>
      </c>
    </row>
    <row r="749" customFormat="false" ht="15" hidden="false" customHeight="false" outlineLevel="0" collapsed="false">
      <c r="A749" s="0" t="s">
        <v>223</v>
      </c>
      <c r="B749" s="0" t="n">
        <v>2</v>
      </c>
      <c r="C749" s="0" t="str">
        <f aca="false">IF('Young Innovators Kits'!C32="","",'Young Innovators Kits'!C32)</f>
        <v>LED 5 mm (assorted)</v>
      </c>
      <c r="D749" s="0" t="n">
        <f aca="false">IF('Young Innovators Kits'!D32="","",'Young Innovators Kits'!D32)</f>
        <v>1</v>
      </c>
      <c r="E749" s="0" t="str">
        <f aca="false">IF('Young Innovators Kits'!E32="","",'Young Innovators Kits'!E32)</f>
        <v>Per group</v>
      </c>
      <c r="F749" s="0" t="str">
        <f aca="false">IFERROR(INDEX('Session Tracker'!$M$5:$M$149,MATCH($A749,'Session Tracker'!$D$5:$D$149,0))+0,"")</f>
        <v/>
      </c>
      <c r="G749" s="0" t="str">
        <f aca="false">IF(ISNUMBER(F749),IF(OR(B749=0,B749=99,C749&lt;&gt;""),F749*100+B749,""),"")</f>
        <v/>
      </c>
      <c r="H749" s="0" t="n">
        <f aca="false">IFERROR(INDEX('Session Tracker'!$J$5:$J$149,MATCH($A749,'Session Tracker'!$D$5:$D$149,0)),0)</f>
        <v>8</v>
      </c>
      <c r="I749" s="0" t="n">
        <f aca="false">IF(OR(B749=0,B749=99,C749=""),"",IF(E749="Per class",D749,D749*H749))</f>
        <v>8</v>
      </c>
      <c r="N749" s="0" t="str">
        <f aca="false">IF('Young Innovators Kits'!B32="","",'Young Innovators Kits'!B32)</f>
        <v>Displays &amp; Output</v>
      </c>
      <c r="O749" s="0" t="str">
        <f aca="false">IF('Young Innovators Kits'!F32="","",'Young Innovators Kits'!F32)</f>
        <v>Consumable</v>
      </c>
      <c r="P749" s="0" t="str">
        <f aca="false">IF('Young Innovators Kits'!G32="","",'Young Innovators Kits'!G32)</f>
        <v/>
      </c>
    </row>
    <row r="750" customFormat="false" ht="15" hidden="false" customHeight="false" outlineLevel="0" collapsed="false">
      <c r="A750" s="0" t="s">
        <v>223</v>
      </c>
      <c r="B750" s="0" t="n">
        <v>3</v>
      </c>
      <c r="C750" s="0" t="str">
        <f aca="false">IF('Young Innovators Kits'!C33="","",'Young Innovators Kits'!C33)</f>
        <v>Resistor 220 ohm</v>
      </c>
      <c r="D750" s="0" t="n">
        <f aca="false">IF('Young Innovators Kits'!D33="","",'Young Innovators Kits'!D33)</f>
        <v>1</v>
      </c>
      <c r="E750" s="0" t="str">
        <f aca="false">IF('Young Innovators Kits'!E33="","",'Young Innovators Kits'!E33)</f>
        <v>Per group</v>
      </c>
      <c r="F750" s="0" t="str">
        <f aca="false">IFERROR(INDEX('Session Tracker'!$M$5:$M$149,MATCH($A750,'Session Tracker'!$D$5:$D$149,0))+0,"")</f>
        <v/>
      </c>
      <c r="G750" s="0" t="str">
        <f aca="false">IF(ISNUMBER(F750),IF(OR(B750=0,B750=99,C750&lt;&gt;""),F750*100+B750,""),"")</f>
        <v/>
      </c>
      <c r="H750" s="0" t="n">
        <f aca="false">IFERROR(INDEX('Session Tracker'!$J$5:$J$149,MATCH($A750,'Session Tracker'!$D$5:$D$149,0)),0)</f>
        <v>8</v>
      </c>
      <c r="I750" s="0" t="n">
        <f aca="false">IF(OR(B750=0,B750=99,C750=""),"",IF(E750="Per class",D750,D750*H750))</f>
        <v>8</v>
      </c>
      <c r="N750" s="0" t="str">
        <f aca="false">IF('Young Innovators Kits'!B33="","",'Young Innovators Kits'!B33)</f>
        <v>Passive Components &amp; ICs</v>
      </c>
      <c r="O750" s="0" t="str">
        <f aca="false">IF('Young Innovators Kits'!F33="","",'Young Innovators Kits'!F33)</f>
        <v>Consumable</v>
      </c>
      <c r="P750" s="0" t="str">
        <f aca="false">IF('Young Innovators Kits'!G33="","",'Young Innovators Kits'!G33)</f>
        <v/>
      </c>
    </row>
    <row r="751" customFormat="false" ht="15" hidden="false" customHeight="false" outlineLevel="0" collapsed="false">
      <c r="A751" s="0" t="s">
        <v>223</v>
      </c>
      <c r="B751" s="0" t="n">
        <v>4</v>
      </c>
      <c r="C751" s="0" t="str">
        <f aca="false">IF('Young Innovators Kits'!C34="","",'Young Innovators Kits'!C34)</f>
        <v>Potentiometer 10k</v>
      </c>
      <c r="D751" s="0" t="n">
        <f aca="false">IF('Young Innovators Kits'!D34="","",'Young Innovators Kits'!D34)</f>
        <v>1</v>
      </c>
      <c r="E751" s="0" t="str">
        <f aca="false">IF('Young Innovators Kits'!E34="","",'Young Innovators Kits'!E34)</f>
        <v>Per group</v>
      </c>
      <c r="F751" s="0" t="str">
        <f aca="false">IFERROR(INDEX('Session Tracker'!$M$5:$M$149,MATCH($A751,'Session Tracker'!$D$5:$D$149,0))+0,"")</f>
        <v/>
      </c>
      <c r="G751" s="0" t="str">
        <f aca="false">IF(ISNUMBER(F751),IF(OR(B751=0,B751=99,C751&lt;&gt;""),F751*100+B751,""),"")</f>
        <v/>
      </c>
      <c r="H751" s="0" t="n">
        <f aca="false">IFERROR(INDEX('Session Tracker'!$J$5:$J$149,MATCH($A751,'Session Tracker'!$D$5:$D$149,0)),0)</f>
        <v>8</v>
      </c>
      <c r="I751" s="0" t="n">
        <f aca="false">IF(OR(B751=0,B751=99,C751=""),"",IF(E751="Per class",D751,D751*H751))</f>
        <v>8</v>
      </c>
      <c r="N751" s="0" t="str">
        <f aca="false">IF('Young Innovators Kits'!B34="","",'Young Innovators Kits'!B34)</f>
        <v>Passive Components &amp; ICs</v>
      </c>
      <c r="O751" s="0" t="str">
        <f aca="false">IF('Young Innovators Kits'!F34="","",'Young Innovators Kits'!F34)</f>
        <v>Reusable</v>
      </c>
      <c r="P751" s="0" t="str">
        <f aca="false">IF('Young Innovators Kits'!G34="","",'Young Innovators Kits'!G34)</f>
        <v>ADC demo</v>
      </c>
    </row>
    <row r="752" customFormat="false" ht="15" hidden="false" customHeight="false" outlineLevel="0" collapsed="false">
      <c r="A752" s="0" t="s">
        <v>223</v>
      </c>
      <c r="B752" s="0" t="n">
        <v>5</v>
      </c>
      <c r="C752" s="0" t="str">
        <f aca="false">IF('Young Innovators Kits'!C35="","",'Young Innovators Kits'!C35)</f>
        <v>Breadboard (half size)</v>
      </c>
      <c r="D752" s="0" t="n">
        <f aca="false">IF('Young Innovators Kits'!D35="","",'Young Innovators Kits'!D35)</f>
        <v>2</v>
      </c>
      <c r="E752" s="0" t="str">
        <f aca="false">IF('Young Innovators Kits'!E35="","",'Young Innovators Kits'!E35)</f>
        <v>Per group</v>
      </c>
      <c r="F752" s="0" t="str">
        <f aca="false">IFERROR(INDEX('Session Tracker'!$M$5:$M$149,MATCH($A752,'Session Tracker'!$D$5:$D$149,0))+0,"")</f>
        <v/>
      </c>
      <c r="G752" s="0" t="str">
        <f aca="false">IF(ISNUMBER(F752),IF(OR(B752=0,B752=99,C752&lt;&gt;""),F752*100+B752,""),"")</f>
        <v/>
      </c>
      <c r="H752" s="0" t="n">
        <f aca="false">IFERROR(INDEX('Session Tracker'!$J$5:$J$149,MATCH($A752,'Session Tracker'!$D$5:$D$149,0)),0)</f>
        <v>8</v>
      </c>
      <c r="I752" s="0" t="n">
        <f aca="false">IF(OR(B752=0,B752=99,C752=""),"",IF(E752="Per class",D752,D752*H752))</f>
        <v>16</v>
      </c>
      <c r="N752" s="0" t="str">
        <f aca="false">IF('Young Innovators Kits'!B35="","",'Young Innovators Kits'!B35)</f>
        <v>Wiring &amp; Prototyping</v>
      </c>
      <c r="O752" s="0" t="str">
        <f aca="false">IF('Young Innovators Kits'!F35="","",'Young Innovators Kits'!F35)</f>
        <v>Reusable</v>
      </c>
      <c r="P752" s="0" t="str">
        <f aca="false">IF('Young Innovators Kits'!G35="","",'Young Innovators Kits'!G35)</f>
        <v>ESP32 is wide: bridge 2 boards</v>
      </c>
    </row>
    <row r="753" customFormat="false" ht="15" hidden="false" customHeight="false" outlineLevel="0" collapsed="false">
      <c r="A753" s="0" t="s">
        <v>223</v>
      </c>
      <c r="B753" s="0" t="n">
        <v>6</v>
      </c>
      <c r="C753" s="0" t="str">
        <f aca="false">IF('Young Innovators Kits'!C36="","",'Young Innovators Kits'!C36)</f>
        <v>Jumper wires M-M</v>
      </c>
      <c r="D753" s="0" t="n">
        <f aca="false">IF('Young Innovators Kits'!D36="","",'Young Innovators Kits'!D36)</f>
        <v>6</v>
      </c>
      <c r="E753" s="0" t="str">
        <f aca="false">IF('Young Innovators Kits'!E36="","",'Young Innovators Kits'!E36)</f>
        <v>Per group</v>
      </c>
      <c r="F753" s="0" t="str">
        <f aca="false">IFERROR(INDEX('Session Tracker'!$M$5:$M$149,MATCH($A753,'Session Tracker'!$D$5:$D$149,0))+0,"")</f>
        <v/>
      </c>
      <c r="G753" s="0" t="str">
        <f aca="false">IF(ISNUMBER(F753),IF(OR(B753=0,B753=99,C753&lt;&gt;""),F753*100+B753,""),"")</f>
        <v/>
      </c>
      <c r="H753" s="0" t="n">
        <f aca="false">IFERROR(INDEX('Session Tracker'!$J$5:$J$149,MATCH($A753,'Session Tracker'!$D$5:$D$149,0)),0)</f>
        <v>8</v>
      </c>
      <c r="I753" s="0" t="n">
        <f aca="false">IF(OR(B753=0,B753=99,C753=""),"",IF(E753="Per class",D753,D753*H753))</f>
        <v>48</v>
      </c>
      <c r="N753" s="0" t="str">
        <f aca="false">IF('Young Innovators Kits'!B36="","",'Young Innovators Kits'!B36)</f>
        <v>Wiring &amp; Prototyping</v>
      </c>
      <c r="O753" s="0" t="str">
        <f aca="false">IF('Young Innovators Kits'!F36="","",'Young Innovators Kits'!F36)</f>
        <v>Reusable</v>
      </c>
      <c r="P753" s="0" t="str">
        <f aca="false">IF('Young Innovators Kits'!G36="","",'Young Innovators Kits'!G36)</f>
        <v/>
      </c>
    </row>
    <row r="754" customFormat="false" ht="15" hidden="false" customHeight="false" outlineLevel="0" collapsed="false">
      <c r="A754" s="0" t="s">
        <v>223</v>
      </c>
      <c r="B754" s="0" t="n">
        <v>7</v>
      </c>
      <c r="C754" s="0" t="str">
        <f aca="false">IF('Young Innovators Kits'!C37="","",'Young Innovators Kits'!C37)</f>
        <v>Jumper wires M-F</v>
      </c>
      <c r="D754" s="0" t="n">
        <f aca="false">IF('Young Innovators Kits'!D37="","",'Young Innovators Kits'!D37)</f>
        <v>4</v>
      </c>
      <c r="E754" s="0" t="str">
        <f aca="false">IF('Young Innovators Kits'!E37="","",'Young Innovators Kits'!E37)</f>
        <v>Per group</v>
      </c>
      <c r="F754" s="0" t="str">
        <f aca="false">IFERROR(INDEX('Session Tracker'!$M$5:$M$149,MATCH($A754,'Session Tracker'!$D$5:$D$149,0))+0,"")</f>
        <v/>
      </c>
      <c r="G754" s="0" t="str">
        <f aca="false">IF(ISNUMBER(F754),IF(OR(B754=0,B754=99,C754&lt;&gt;""),F754*100+B754,""),"")</f>
        <v/>
      </c>
      <c r="H754" s="0" t="n">
        <f aca="false">IFERROR(INDEX('Session Tracker'!$J$5:$J$149,MATCH($A754,'Session Tracker'!$D$5:$D$149,0)),0)</f>
        <v>8</v>
      </c>
      <c r="I754" s="0" t="n">
        <f aca="false">IF(OR(B754=0,B754=99,C754=""),"",IF(E754="Per class",D754,D754*H754))</f>
        <v>32</v>
      </c>
      <c r="N754" s="0" t="str">
        <f aca="false">IF('Young Innovators Kits'!B37="","",'Young Innovators Kits'!B37)</f>
        <v>Wiring &amp; Prototyping</v>
      </c>
      <c r="O754" s="0" t="str">
        <f aca="false">IF('Young Innovators Kits'!F37="","",'Young Innovators Kits'!F37)</f>
        <v>Reusable</v>
      </c>
      <c r="P754" s="0" t="str">
        <f aca="false">IF('Young Innovators Kits'!G37="","",'Young Innovators Kits'!G37)</f>
        <v>Touch-pin demo</v>
      </c>
    </row>
    <row r="755" customFormat="false" ht="15" hidden="false" customHeight="false" outlineLevel="0" collapsed="false">
      <c r="A755" s="0" t="s">
        <v>223</v>
      </c>
      <c r="B755" s="0" t="n">
        <v>8</v>
      </c>
      <c r="C755" s="0" t="str">
        <f aca="false">IF('Young Innovators Kits'!C38="","",'Young Innovators Kits'!C38)</f>
        <v>Laptop</v>
      </c>
      <c r="D755" s="0" t="n">
        <f aca="false">IF('Young Innovators Kits'!D38="","",'Young Innovators Kits'!D38)</f>
        <v>1</v>
      </c>
      <c r="E755" s="0" t="str">
        <f aca="false">IF('Young Innovators Kits'!E38="","",'Young Innovators Kits'!E38)</f>
        <v>Per group</v>
      </c>
      <c r="F755" s="0" t="str">
        <f aca="false">IFERROR(INDEX('Session Tracker'!$M$5:$M$149,MATCH($A755,'Session Tracker'!$D$5:$D$149,0))+0,"")</f>
        <v/>
      </c>
      <c r="G755" s="0" t="str">
        <f aca="false">IF(ISNUMBER(F755),IF(OR(B755=0,B755=99,C755&lt;&gt;""),F755*100+B755,""),"")</f>
        <v/>
      </c>
      <c r="H755" s="0" t="n">
        <f aca="false">IFERROR(INDEX('Session Tracker'!$J$5:$J$149,MATCH($A755,'Session Tracker'!$D$5:$D$149,0)),0)</f>
        <v>8</v>
      </c>
      <c r="I755" s="0" t="n">
        <f aca="false">IF(OR(B755=0,B755=99,C755=""),"",IF(E755="Per class",D755,D755*H755))</f>
        <v>8</v>
      </c>
      <c r="N755" s="0" t="str">
        <f aca="false">IF('Young Innovators Kits'!B38="","",'Young Innovators Kits'!B38)</f>
        <v>Computers &amp; Equipment</v>
      </c>
      <c r="O755" s="0" t="str">
        <f aca="false">IF('Young Innovators Kits'!F38="","",'Young Innovators Kits'!F38)</f>
        <v>Reusable</v>
      </c>
      <c r="P755" s="0" t="str">
        <f aca="false">IF('Young Innovators Kits'!G38="","",'Young Innovators Kits'!G38)</f>
        <v/>
      </c>
    </row>
    <row r="756" customFormat="false" ht="15" hidden="false" customHeight="false" outlineLevel="0" collapsed="false">
      <c r="A756" s="0" t="s">
        <v>223</v>
      </c>
      <c r="B756" s="0" t="n">
        <v>9</v>
      </c>
      <c r="C756" s="0" t="str">
        <f aca="false">IF('Young Innovators Kits'!C39="","",'Young Innovators Kits'!C39)</f>
        <v>Android smartphone</v>
      </c>
      <c r="D756" s="0" t="n">
        <f aca="false">IF('Young Innovators Kits'!D39="","",'Young Innovators Kits'!D39)</f>
        <v>1</v>
      </c>
      <c r="E756" s="0" t="str">
        <f aca="false">IF('Young Innovators Kits'!E39="","",'Young Innovators Kits'!E39)</f>
        <v>Per class</v>
      </c>
      <c r="F756" s="0" t="str">
        <f aca="false">IFERROR(INDEX('Session Tracker'!$M$5:$M$149,MATCH($A756,'Session Tracker'!$D$5:$D$149,0))+0,"")</f>
        <v/>
      </c>
      <c r="G756" s="0" t="str">
        <f aca="false">IF(ISNUMBER(F756),IF(OR(B756=0,B756=99,C756&lt;&gt;""),F756*100+B756,""),"")</f>
        <v/>
      </c>
      <c r="H756" s="0" t="n">
        <f aca="false">IFERROR(INDEX('Session Tracker'!$J$5:$J$149,MATCH($A756,'Session Tracker'!$D$5:$D$149,0)),0)</f>
        <v>8</v>
      </c>
      <c r="I756" s="0" t="n">
        <f aca="false">IF(OR(B756=0,B756=99,C756=""),"",IF(E756="Per class",D756,D756*H756))</f>
        <v>1</v>
      </c>
      <c r="N756" s="0" t="str">
        <f aca="false">IF('Young Innovators Kits'!B39="","",'Young Innovators Kits'!B39)</f>
        <v>Computers &amp; Equipment</v>
      </c>
      <c r="O756" s="0" t="str">
        <f aca="false">IF('Young Innovators Kits'!F39="","",'Young Innovators Kits'!F39)</f>
        <v>Reusable</v>
      </c>
      <c r="P756" s="0" t="str">
        <f aca="false">IF('Young Innovators Kits'!G39="","",'Young Innovators Kits'!G39)</f>
        <v>Wi-Fi / Bluetooth demo</v>
      </c>
    </row>
    <row r="757" customFormat="false" ht="15" hidden="false" customHeight="false" outlineLevel="0" collapsed="false">
      <c r="A757" s="0" t="s">
        <v>223</v>
      </c>
      <c r="B757" s="0" t="n">
        <v>10</v>
      </c>
      <c r="C757" s="0" t="str">
        <f aca="false">IF('Young Innovators Kits'!C40="","",'Young Innovators Kits'!C40)</f>
        <v/>
      </c>
      <c r="D757" s="0" t="str">
        <f aca="false">IF('Young Innovators Kits'!D40="","",'Young Innovators Kits'!D40)</f>
        <v/>
      </c>
      <c r="E757" s="0" t="str">
        <f aca="false">IF('Young Innovators Kits'!E40="","",'Young Innovators Kits'!E40)</f>
        <v/>
      </c>
      <c r="F757" s="0" t="str">
        <f aca="false">IFERROR(INDEX('Session Tracker'!$M$5:$M$149,MATCH($A757,'Session Tracker'!$D$5:$D$149,0))+0,"")</f>
        <v/>
      </c>
      <c r="G757" s="0" t="str">
        <f aca="false">IF(ISNUMBER(F757),IF(OR(B757=0,B757=99,C757&lt;&gt;""),F757*100+B757,""),"")</f>
        <v/>
      </c>
      <c r="H757" s="0" t="n">
        <f aca="false">IFERROR(INDEX('Session Tracker'!$J$5:$J$149,MATCH($A757,'Session Tracker'!$D$5:$D$149,0)),0)</f>
        <v>8</v>
      </c>
      <c r="I757" s="0" t="str">
        <f aca="false">IF(OR(B757=0,B757=99,C757=""),"",IF(E757="Per class",D757,D757*H757))</f>
        <v/>
      </c>
      <c r="N757" s="0" t="str">
        <f aca="false">IF('Young Innovators Kits'!B40="","",'Young Innovators Kits'!B40)</f>
        <v/>
      </c>
      <c r="O757" s="0" t="str">
        <f aca="false">IF('Young Innovators Kits'!F40="","",'Young Innovators Kits'!F40)</f>
        <v/>
      </c>
      <c r="P757" s="0" t="str">
        <f aca="false">IF('Young Innovators Kits'!G40="","",'Young Innovators Kits'!G40)</f>
        <v/>
      </c>
    </row>
    <row r="758" customFormat="false" ht="15" hidden="false" customHeight="false" outlineLevel="0" collapsed="false">
      <c r="A758" s="0" t="s">
        <v>223</v>
      </c>
      <c r="B758" s="0" t="n">
        <v>11</v>
      </c>
      <c r="C758" s="0" t="str">
        <f aca="false">IF('Young Innovators Kits'!C41="","",'Young Innovators Kits'!C41)</f>
        <v/>
      </c>
      <c r="D758" s="0" t="str">
        <f aca="false">IF('Young Innovators Kits'!D41="","",'Young Innovators Kits'!D41)</f>
        <v/>
      </c>
      <c r="E758" s="0" t="str">
        <f aca="false">IF('Young Innovators Kits'!E41="","",'Young Innovators Kits'!E41)</f>
        <v/>
      </c>
      <c r="F758" s="0" t="str">
        <f aca="false">IFERROR(INDEX('Session Tracker'!$M$5:$M$149,MATCH($A758,'Session Tracker'!$D$5:$D$149,0))+0,"")</f>
        <v/>
      </c>
      <c r="G758" s="0" t="str">
        <f aca="false">IF(ISNUMBER(F758),IF(OR(B758=0,B758=99,C758&lt;&gt;""),F758*100+B758,""),"")</f>
        <v/>
      </c>
      <c r="H758" s="0" t="n">
        <f aca="false">IFERROR(INDEX('Session Tracker'!$J$5:$J$149,MATCH($A758,'Session Tracker'!$D$5:$D$149,0)),0)</f>
        <v>8</v>
      </c>
      <c r="I758" s="0" t="str">
        <f aca="false">IF(OR(B758=0,B758=99,C758=""),"",IF(E758="Per class",D758,D758*H758))</f>
        <v/>
      </c>
      <c r="N758" s="0" t="str">
        <f aca="false">IF('Young Innovators Kits'!B41="","",'Young Innovators Kits'!B41)</f>
        <v/>
      </c>
      <c r="O758" s="0" t="str">
        <f aca="false">IF('Young Innovators Kits'!F41="","",'Young Innovators Kits'!F41)</f>
        <v/>
      </c>
      <c r="P758" s="0" t="str">
        <f aca="false">IF('Young Innovators Kits'!G41="","",'Young Innovators Kits'!G41)</f>
        <v/>
      </c>
    </row>
    <row r="759" customFormat="false" ht="15" hidden="false" customHeight="false" outlineLevel="0" collapsed="false">
      <c r="A759" s="0" t="s">
        <v>224</v>
      </c>
      <c r="B759" s="0" t="n">
        <v>0</v>
      </c>
      <c r="F759" s="0" t="str">
        <f aca="false">IFERROR(INDEX('Session Tracker'!$M$5:$M$149,MATCH($A759,'Session Tracker'!$D$5:$D$149,0))+0,"")</f>
        <v/>
      </c>
      <c r="G759" s="0" t="str">
        <f aca="false">IF(ISNUMBER(F759),IF(OR(B759=0,B759=99,C759&lt;&gt;""),F759*100+B759,""),"")</f>
        <v/>
      </c>
      <c r="H759" s="0" t="n">
        <f aca="false">IFERROR(INDEX('Session Tracker'!$J$5:$J$149,MATCH($A759,'Session Tracker'!$D$5:$D$149,0)),0)</f>
        <v>8</v>
      </c>
      <c r="I759" s="0" t="str">
        <f aca="false">IF(OR(B759=0,B759=99,C759=""),"",IF(E759="Per class",D759,D759*H759))</f>
        <v/>
      </c>
      <c r="K759" s="0" t="str">
        <f aca="false">IFERROR(INDEX('Session Tracker'!$E$5:$E$149,MATCH($A759,'Session Tracker'!$D$5:$D$149,0)),"")</f>
        <v>3D Modelling and Printing</v>
      </c>
      <c r="L759" s="0" t="str">
        <f aca="false">IFERROR(INDEX('Session Tracker'!$A$5:$A$149,MATCH($A759,'Session Tracker'!$D$5:$D$149,0)),"")</f>
        <v>Young Innovators (12-14)</v>
      </c>
      <c r="M759" s="0" t="str">
        <f aca="false">IFERROR(INDEX('Session Tracker'!$H$5:$H$149,MATCH($A759,'Session Tracker'!$D$5:$D$149,0))&amp;"","")</f>
        <v/>
      </c>
      <c r="Q759" s="0" t="str">
        <f aca="false">IFERROR("Status: "&amp;INDEX('Session Tracker'!$F$5:$F$149,MATCH($A759,'Session Tracker'!$D$5:$D$149,0))&amp;IF(INDEX('Session Tracker'!$G$5:$G$149,MATCH($A759,'Session Tracker'!$D$5:$D$149,0))&lt;&gt;""," ("&amp;INDEX('Session Tracker'!$G$5:$G$149,MATCH($A759,'Session Tracker'!$D$5:$D$149,0))&amp;")","")&amp;IF(M759&lt;&gt;"","  "&amp;M759,""),"")</f>
        <v>Status: Not started</v>
      </c>
    </row>
    <row r="760" customFormat="false" ht="15" hidden="false" customHeight="false" outlineLevel="0" collapsed="false">
      <c r="A760" s="0" t="s">
        <v>224</v>
      </c>
      <c r="B760" s="0" t="n">
        <v>1</v>
      </c>
      <c r="C760" s="0" t="str">
        <f aca="false">IF('Young Innovators Kits'!C44="","",'Young Innovators Kits'!C44)</f>
        <v>Laptop</v>
      </c>
      <c r="D760" s="0" t="n">
        <f aca="false">IF('Young Innovators Kits'!D44="","",'Young Innovators Kits'!D44)</f>
        <v>1</v>
      </c>
      <c r="E760" s="0" t="str">
        <f aca="false">IF('Young Innovators Kits'!E44="","",'Young Innovators Kits'!E44)</f>
        <v>Per group</v>
      </c>
      <c r="F760" s="0" t="str">
        <f aca="false">IFERROR(INDEX('Session Tracker'!$M$5:$M$149,MATCH($A760,'Session Tracker'!$D$5:$D$149,0))+0,"")</f>
        <v/>
      </c>
      <c r="G760" s="0" t="str">
        <f aca="false">IF(ISNUMBER(F760),IF(OR(B760=0,B760=99,C760&lt;&gt;""),F760*100+B760,""),"")</f>
        <v/>
      </c>
      <c r="H760" s="0" t="n">
        <f aca="false">IFERROR(INDEX('Session Tracker'!$J$5:$J$149,MATCH($A760,'Session Tracker'!$D$5:$D$149,0)),0)</f>
        <v>8</v>
      </c>
      <c r="I760" s="0" t="n">
        <f aca="false">IF(OR(B760=0,B760=99,C760=""),"",IF(E760="Per class",D760,D760*H760))</f>
        <v>8</v>
      </c>
      <c r="N760" s="0" t="str">
        <f aca="false">IF('Young Innovators Kits'!B44="","",'Young Innovators Kits'!B44)</f>
        <v>Computers &amp; Equipment</v>
      </c>
      <c r="O760" s="0" t="str">
        <f aca="false">IF('Young Innovators Kits'!F44="","",'Young Innovators Kits'!F44)</f>
        <v>Reusable</v>
      </c>
      <c r="P760" s="0" t="str">
        <f aca="false">IF('Young Innovators Kits'!G44="","",'Young Innovators Kits'!G44)</f>
        <v>Tinkercad in the browser</v>
      </c>
    </row>
    <row r="761" customFormat="false" ht="15" hidden="false" customHeight="false" outlineLevel="0" collapsed="false">
      <c r="A761" s="0" t="s">
        <v>224</v>
      </c>
      <c r="B761" s="0" t="n">
        <v>2</v>
      </c>
      <c r="C761" s="0" t="str">
        <f aca="false">IF('Young Innovators Kits'!C45="","",'Young Innovators Kits'!C45)</f>
        <v>3D printer</v>
      </c>
      <c r="D761" s="0" t="n">
        <f aca="false">IF('Young Innovators Kits'!D45="","",'Young Innovators Kits'!D45)</f>
        <v>1</v>
      </c>
      <c r="E761" s="0" t="str">
        <f aca="false">IF('Young Innovators Kits'!E45="","",'Young Innovators Kits'!E45)</f>
        <v>Per class</v>
      </c>
      <c r="F761" s="0" t="str">
        <f aca="false">IFERROR(INDEX('Session Tracker'!$M$5:$M$149,MATCH($A761,'Session Tracker'!$D$5:$D$149,0))+0,"")</f>
        <v/>
      </c>
      <c r="G761" s="0" t="str">
        <f aca="false">IF(ISNUMBER(F761),IF(OR(B761=0,B761=99,C761&lt;&gt;""),F761*100+B761,""),"")</f>
        <v/>
      </c>
      <c r="H761" s="0" t="n">
        <f aca="false">IFERROR(INDEX('Session Tracker'!$J$5:$J$149,MATCH($A761,'Session Tracker'!$D$5:$D$149,0)),0)</f>
        <v>8</v>
      </c>
      <c r="I761" s="0" t="n">
        <f aca="false">IF(OR(B761=0,B761=99,C761=""),"",IF(E761="Per class",D761,D761*H761))</f>
        <v>1</v>
      </c>
      <c r="N761" s="0" t="str">
        <f aca="false">IF('Young Innovators Kits'!B45="","",'Young Innovators Kits'!B45)</f>
        <v>Computers &amp; Equipment</v>
      </c>
      <c r="O761" s="0" t="str">
        <f aca="false">IF('Young Innovators Kits'!F45="","",'Young Innovators Kits'!F45)</f>
        <v>Reusable</v>
      </c>
      <c r="P761" s="0" t="str">
        <f aca="false">IF('Young Innovators Kits'!G45="","",'Young Innovators Kits'!G45)</f>
        <v/>
      </c>
    </row>
    <row r="762" customFormat="false" ht="15" hidden="false" customHeight="false" outlineLevel="0" collapsed="false">
      <c r="A762" s="0" t="s">
        <v>224</v>
      </c>
      <c r="B762" s="0" t="n">
        <v>3</v>
      </c>
      <c r="C762" s="0" t="str">
        <f aca="false">IF('Young Innovators Kits'!C46="","",'Young Innovators Kits'!C46)</f>
        <v>PLA filament</v>
      </c>
      <c r="D762" s="0" t="n">
        <f aca="false">IF('Young Innovators Kits'!D46="","",'Young Innovators Kits'!D46)</f>
        <v>1</v>
      </c>
      <c r="E762" s="0" t="str">
        <f aca="false">IF('Young Innovators Kits'!E46="","",'Young Innovators Kits'!E46)</f>
        <v>Per class</v>
      </c>
      <c r="F762" s="0" t="str">
        <f aca="false">IFERROR(INDEX('Session Tracker'!$M$5:$M$149,MATCH($A762,'Session Tracker'!$D$5:$D$149,0))+0,"")</f>
        <v/>
      </c>
      <c r="G762" s="0" t="str">
        <f aca="false">IF(ISNUMBER(F762),IF(OR(B762=0,B762=99,C762&lt;&gt;""),F762*100+B762,""),"")</f>
        <v/>
      </c>
      <c r="H762" s="0" t="n">
        <f aca="false">IFERROR(INDEX('Session Tracker'!$J$5:$J$149,MATCH($A762,'Session Tracker'!$D$5:$D$149,0)),0)</f>
        <v>8</v>
      </c>
      <c r="I762" s="0" t="n">
        <f aca="false">IF(OR(B762=0,B762=99,C762=""),"",IF(E762="Per class",D762,D762*H762))</f>
        <v>1</v>
      </c>
      <c r="N762" s="0" t="str">
        <f aca="false">IF('Young Innovators Kits'!B46="","",'Young Innovators Kits'!B46)</f>
        <v>Computers &amp; Equipment</v>
      </c>
      <c r="O762" s="0" t="str">
        <f aca="false">IF('Young Innovators Kits'!F46="","",'Young Innovators Kits'!F46)</f>
        <v>Consumable</v>
      </c>
      <c r="P762" s="0" t="str">
        <f aca="false">IF('Young Innovators Kits'!G46="","",'Young Innovators Kits'!G46)</f>
        <v>1 spool</v>
      </c>
    </row>
    <row r="763" customFormat="false" ht="15" hidden="false" customHeight="false" outlineLevel="0" collapsed="false">
      <c r="A763" s="0" t="s">
        <v>224</v>
      </c>
      <c r="B763" s="0" t="n">
        <v>4</v>
      </c>
      <c r="C763" s="0" t="str">
        <f aca="false">IF('Young Innovators Kits'!C47="","",'Young Innovators Kits'!C47)</f>
        <v>Screwdriver set</v>
      </c>
      <c r="D763" s="0" t="n">
        <f aca="false">IF('Young Innovators Kits'!D47="","",'Young Innovators Kits'!D47)</f>
        <v>1</v>
      </c>
      <c r="E763" s="0" t="str">
        <f aca="false">IF('Young Innovators Kits'!E47="","",'Young Innovators Kits'!E47)</f>
        <v>Per class</v>
      </c>
      <c r="F763" s="0" t="str">
        <f aca="false">IFERROR(INDEX('Session Tracker'!$M$5:$M$149,MATCH($A763,'Session Tracker'!$D$5:$D$149,0))+0,"")</f>
        <v/>
      </c>
      <c r="G763" s="0" t="str">
        <f aca="false">IF(ISNUMBER(F763),IF(OR(B763=0,B763=99,C763&lt;&gt;""),F763*100+B763,""),"")</f>
        <v/>
      </c>
      <c r="H763" s="0" t="n">
        <f aca="false">IFERROR(INDEX('Session Tracker'!$J$5:$J$149,MATCH($A763,'Session Tracker'!$D$5:$D$149,0)),0)</f>
        <v>8</v>
      </c>
      <c r="I763" s="0" t="n">
        <f aca="false">IF(OR(B763=0,B763=99,C763=""),"",IF(E763="Per class",D763,D763*H763))</f>
        <v>1</v>
      </c>
      <c r="N763" s="0" t="str">
        <f aca="false">IF('Young Innovators Kits'!B47="","",'Young Innovators Kits'!B47)</f>
        <v>Computers &amp; Equipment</v>
      </c>
      <c r="O763" s="0" t="str">
        <f aca="false">IF('Young Innovators Kits'!F47="","",'Young Innovators Kits'!F47)</f>
        <v>Reusable</v>
      </c>
      <c r="P763" s="0" t="str">
        <f aca="false">IF('Young Innovators Kits'!G47="","",'Young Innovators Kits'!G47)</f>
        <v>Scraper / print removal</v>
      </c>
    </row>
    <row r="764" customFormat="false" ht="15" hidden="false" customHeight="false" outlineLevel="0" collapsed="false">
      <c r="A764" s="0" t="s">
        <v>224</v>
      </c>
      <c r="B764" s="0" t="n">
        <v>5</v>
      </c>
      <c r="C764" s="0" t="str">
        <f aca="false">IF('Young Innovators Kits'!C48="","",'Young Innovators Kits'!C48)</f>
        <v/>
      </c>
      <c r="D764" s="0" t="str">
        <f aca="false">IF('Young Innovators Kits'!D48="","",'Young Innovators Kits'!D48)</f>
        <v/>
      </c>
      <c r="E764" s="0" t="str">
        <f aca="false">IF('Young Innovators Kits'!E48="","",'Young Innovators Kits'!E48)</f>
        <v/>
      </c>
      <c r="F764" s="0" t="str">
        <f aca="false">IFERROR(INDEX('Session Tracker'!$M$5:$M$149,MATCH($A764,'Session Tracker'!$D$5:$D$149,0))+0,"")</f>
        <v/>
      </c>
      <c r="G764" s="0" t="str">
        <f aca="false">IF(ISNUMBER(F764),IF(OR(B764=0,B764=99,C764&lt;&gt;""),F764*100+B764,""),"")</f>
        <v/>
      </c>
      <c r="H764" s="0" t="n">
        <f aca="false">IFERROR(INDEX('Session Tracker'!$J$5:$J$149,MATCH($A764,'Session Tracker'!$D$5:$D$149,0)),0)</f>
        <v>8</v>
      </c>
      <c r="I764" s="0" t="str">
        <f aca="false">IF(OR(B764=0,B764=99,C764=""),"",IF(E764="Per class",D764,D764*H764))</f>
        <v/>
      </c>
      <c r="N764" s="0" t="str">
        <f aca="false">IF('Young Innovators Kits'!B48="","",'Young Innovators Kits'!B48)</f>
        <v/>
      </c>
      <c r="O764" s="0" t="str">
        <f aca="false">IF('Young Innovators Kits'!F48="","",'Young Innovators Kits'!F48)</f>
        <v/>
      </c>
      <c r="P764" s="0" t="str">
        <f aca="false">IF('Young Innovators Kits'!G48="","",'Young Innovators Kits'!G48)</f>
        <v/>
      </c>
    </row>
    <row r="765" customFormat="false" ht="15" hidden="false" customHeight="false" outlineLevel="0" collapsed="false">
      <c r="A765" s="0" t="s">
        <v>224</v>
      </c>
      <c r="B765" s="0" t="n">
        <v>6</v>
      </c>
      <c r="C765" s="0" t="str">
        <f aca="false">IF('Young Innovators Kits'!C49="","",'Young Innovators Kits'!C49)</f>
        <v/>
      </c>
      <c r="D765" s="0" t="str">
        <f aca="false">IF('Young Innovators Kits'!D49="","",'Young Innovators Kits'!D49)</f>
        <v/>
      </c>
      <c r="E765" s="0" t="str">
        <f aca="false">IF('Young Innovators Kits'!E49="","",'Young Innovators Kits'!E49)</f>
        <v/>
      </c>
      <c r="F765" s="0" t="str">
        <f aca="false">IFERROR(INDEX('Session Tracker'!$M$5:$M$149,MATCH($A765,'Session Tracker'!$D$5:$D$149,0))+0,"")</f>
        <v/>
      </c>
      <c r="G765" s="0" t="str">
        <f aca="false">IF(ISNUMBER(F765),IF(OR(B765=0,B765=99,C765&lt;&gt;""),F765*100+B765,""),"")</f>
        <v/>
      </c>
      <c r="H765" s="0" t="n">
        <f aca="false">IFERROR(INDEX('Session Tracker'!$J$5:$J$149,MATCH($A765,'Session Tracker'!$D$5:$D$149,0)),0)</f>
        <v>8</v>
      </c>
      <c r="I765" s="0" t="str">
        <f aca="false">IF(OR(B765=0,B765=99,C765=""),"",IF(E765="Per class",D765,D765*H765))</f>
        <v/>
      </c>
      <c r="N765" s="0" t="str">
        <f aca="false">IF('Young Innovators Kits'!B49="","",'Young Innovators Kits'!B49)</f>
        <v/>
      </c>
      <c r="O765" s="0" t="str">
        <f aca="false">IF('Young Innovators Kits'!F49="","",'Young Innovators Kits'!F49)</f>
        <v/>
      </c>
      <c r="P765" s="0" t="str">
        <f aca="false">IF('Young Innovators Kits'!G49="","",'Young Innovators Kits'!G49)</f>
        <v/>
      </c>
    </row>
    <row r="766" customFormat="false" ht="15" hidden="false" customHeight="false" outlineLevel="0" collapsed="false">
      <c r="A766" s="0" t="s">
        <v>225</v>
      </c>
      <c r="B766" s="0" t="n">
        <v>0</v>
      </c>
      <c r="F766" s="0" t="str">
        <f aca="false">IFERROR(INDEX('Session Tracker'!$M$5:$M$149,MATCH($A766,'Session Tracker'!$D$5:$D$149,0))+0,"")</f>
        <v/>
      </c>
      <c r="G766" s="0" t="str">
        <f aca="false">IF(ISNUMBER(F766),IF(OR(B766=0,B766=99,C766&lt;&gt;""),F766*100+B766,""),"")</f>
        <v/>
      </c>
      <c r="H766" s="0" t="n">
        <f aca="false">IFERROR(INDEX('Session Tracker'!$J$5:$J$149,MATCH($A766,'Session Tracker'!$D$5:$D$149,0)),0)</f>
        <v>8</v>
      </c>
      <c r="I766" s="0" t="str">
        <f aca="false">IF(OR(B766=0,B766=99,C766=""),"",IF(E766="Per class",D766,D766*H766))</f>
        <v/>
      </c>
      <c r="K766" s="0" t="str">
        <f aca="false">IFERROR(INDEX('Session Tracker'!$E$5:$E$149,MATCH($A766,'Session Tracker'!$D$5:$D$149,0)),"")</f>
        <v>555 Timer Alarm Siren Circuit</v>
      </c>
      <c r="L766" s="0" t="str">
        <f aca="false">IFERROR(INDEX('Session Tracker'!$A$5:$A$149,MATCH($A766,'Session Tracker'!$D$5:$D$149,0)),"")</f>
        <v>Young Innovators (12-14)</v>
      </c>
      <c r="M766" s="0" t="str">
        <f aca="false">IFERROR(INDEX('Session Tracker'!$H$5:$H$149,MATCH($A766,'Session Tracker'!$D$5:$D$149,0))&amp;"","")</f>
        <v/>
      </c>
      <c r="Q766" s="0" t="str">
        <f aca="false">IFERROR("Status: "&amp;INDEX('Session Tracker'!$F$5:$F$149,MATCH($A766,'Session Tracker'!$D$5:$D$149,0))&amp;IF(INDEX('Session Tracker'!$G$5:$G$149,MATCH($A766,'Session Tracker'!$D$5:$D$149,0))&lt;&gt;""," ("&amp;INDEX('Session Tracker'!$G$5:$G$149,MATCH($A766,'Session Tracker'!$D$5:$D$149,0))&amp;")","")&amp;IF(M766&lt;&gt;"","  "&amp;M766,""),"")</f>
        <v>Status: Not started</v>
      </c>
    </row>
    <row r="767" customFormat="false" ht="15" hidden="false" customHeight="false" outlineLevel="0" collapsed="false">
      <c r="A767" s="0" t="s">
        <v>225</v>
      </c>
      <c r="B767" s="0" t="n">
        <v>1</v>
      </c>
      <c r="C767" s="0" t="str">
        <f aca="false">IF('Young Innovators Kits'!C52="","",'Young Innovators Kits'!C52)</f>
        <v>555 timer IC</v>
      </c>
      <c r="D767" s="0" t="n">
        <f aca="false">IF('Young Innovators Kits'!D52="","",'Young Innovators Kits'!D52)</f>
        <v>1</v>
      </c>
      <c r="E767" s="0" t="str">
        <f aca="false">IF('Young Innovators Kits'!E52="","",'Young Innovators Kits'!E52)</f>
        <v>Per group</v>
      </c>
      <c r="F767" s="0" t="str">
        <f aca="false">IFERROR(INDEX('Session Tracker'!$M$5:$M$149,MATCH($A767,'Session Tracker'!$D$5:$D$149,0))+0,"")</f>
        <v/>
      </c>
      <c r="G767" s="0" t="str">
        <f aca="false">IF(ISNUMBER(F767),IF(OR(B767=0,B767=99,C767&lt;&gt;""),F767*100+B767,""),"")</f>
        <v/>
      </c>
      <c r="H767" s="0" t="n">
        <f aca="false">IFERROR(INDEX('Session Tracker'!$J$5:$J$149,MATCH($A767,'Session Tracker'!$D$5:$D$149,0)),0)</f>
        <v>8</v>
      </c>
      <c r="I767" s="0" t="n">
        <f aca="false">IF(OR(B767=0,B767=99,C767=""),"",IF(E767="Per class",D767,D767*H767))</f>
        <v>8</v>
      </c>
      <c r="N767" s="0" t="str">
        <f aca="false">IF('Young Innovators Kits'!B52="","",'Young Innovators Kits'!B52)</f>
        <v>Passive Components &amp; ICs</v>
      </c>
      <c r="O767" s="0" t="str">
        <f aca="false">IF('Young Innovators Kits'!F52="","",'Young Innovators Kits'!F52)</f>
        <v>Consumable</v>
      </c>
      <c r="P767" s="0" t="str">
        <f aca="false">IF('Young Innovators Kits'!G52="","",'Young Innovators Kits'!G52)</f>
        <v/>
      </c>
    </row>
    <row r="768" customFormat="false" ht="15" hidden="false" customHeight="false" outlineLevel="0" collapsed="false">
      <c r="A768" s="0" t="s">
        <v>225</v>
      </c>
      <c r="B768" s="0" t="n">
        <v>2</v>
      </c>
      <c r="C768" s="0" t="str">
        <f aca="false">IF('Young Innovators Kits'!C53="","",'Young Innovators Kits'!C53)</f>
        <v>Capacitor 10 uF</v>
      </c>
      <c r="D768" s="0" t="n">
        <f aca="false">IF('Young Innovators Kits'!D53="","",'Young Innovators Kits'!D53)</f>
        <v>1</v>
      </c>
      <c r="E768" s="0" t="str">
        <f aca="false">IF('Young Innovators Kits'!E53="","",'Young Innovators Kits'!E53)</f>
        <v>Per group</v>
      </c>
      <c r="F768" s="0" t="str">
        <f aca="false">IFERROR(INDEX('Session Tracker'!$M$5:$M$149,MATCH($A768,'Session Tracker'!$D$5:$D$149,0))+0,"")</f>
        <v/>
      </c>
      <c r="G768" s="0" t="str">
        <f aca="false">IF(ISNUMBER(F768),IF(OR(B768=0,B768=99,C768&lt;&gt;""),F768*100+B768,""),"")</f>
        <v/>
      </c>
      <c r="H768" s="0" t="n">
        <f aca="false">IFERROR(INDEX('Session Tracker'!$J$5:$J$149,MATCH($A768,'Session Tracker'!$D$5:$D$149,0)),0)</f>
        <v>8</v>
      </c>
      <c r="I768" s="0" t="n">
        <f aca="false">IF(OR(B768=0,B768=99,C768=""),"",IF(E768="Per class",D768,D768*H768))</f>
        <v>8</v>
      </c>
      <c r="N768" s="0" t="str">
        <f aca="false">IF('Young Innovators Kits'!B53="","",'Young Innovators Kits'!B53)</f>
        <v>Passive Components &amp; ICs</v>
      </c>
      <c r="O768" s="0" t="str">
        <f aca="false">IF('Young Innovators Kits'!F53="","",'Young Innovators Kits'!F53)</f>
        <v>Consumable</v>
      </c>
      <c r="P768" s="0" t="str">
        <f aca="false">IF('Young Innovators Kits'!G53="","",'Young Innovators Kits'!G53)</f>
        <v/>
      </c>
    </row>
    <row r="769" customFormat="false" ht="15" hidden="false" customHeight="false" outlineLevel="0" collapsed="false">
      <c r="A769" s="0" t="s">
        <v>225</v>
      </c>
      <c r="B769" s="0" t="n">
        <v>3</v>
      </c>
      <c r="C769" s="0" t="str">
        <f aca="false">IF('Young Innovators Kits'!C54="","",'Young Innovators Kits'!C54)</f>
        <v>Capacitor 10 nF</v>
      </c>
      <c r="D769" s="0" t="n">
        <f aca="false">IF('Young Innovators Kits'!D54="","",'Young Innovators Kits'!D54)</f>
        <v>1</v>
      </c>
      <c r="E769" s="0" t="str">
        <f aca="false">IF('Young Innovators Kits'!E54="","",'Young Innovators Kits'!E54)</f>
        <v>Per group</v>
      </c>
      <c r="F769" s="0" t="str">
        <f aca="false">IFERROR(INDEX('Session Tracker'!$M$5:$M$149,MATCH($A769,'Session Tracker'!$D$5:$D$149,0))+0,"")</f>
        <v/>
      </c>
      <c r="G769" s="0" t="str">
        <f aca="false">IF(ISNUMBER(F769),IF(OR(B769=0,B769=99,C769&lt;&gt;""),F769*100+B769,""),"")</f>
        <v/>
      </c>
      <c r="H769" s="0" t="n">
        <f aca="false">IFERROR(INDEX('Session Tracker'!$J$5:$J$149,MATCH($A769,'Session Tracker'!$D$5:$D$149,0)),0)</f>
        <v>8</v>
      </c>
      <c r="I769" s="0" t="n">
        <f aca="false">IF(OR(B769=0,B769=99,C769=""),"",IF(E769="Per class",D769,D769*H769))</f>
        <v>8</v>
      </c>
      <c r="N769" s="0" t="str">
        <f aca="false">IF('Young Innovators Kits'!B54="","",'Young Innovators Kits'!B54)</f>
        <v>Passive Components &amp; ICs</v>
      </c>
      <c r="O769" s="0" t="str">
        <f aca="false">IF('Young Innovators Kits'!F54="","",'Young Innovators Kits'!F54)</f>
        <v>Consumable</v>
      </c>
      <c r="P769" s="0" t="str">
        <f aca="false">IF('Young Innovators Kits'!G54="","",'Young Innovators Kits'!G54)</f>
        <v/>
      </c>
    </row>
    <row r="770" customFormat="false" ht="15" hidden="false" customHeight="false" outlineLevel="0" collapsed="false">
      <c r="A770" s="0" t="s">
        <v>225</v>
      </c>
      <c r="B770" s="0" t="n">
        <v>4</v>
      </c>
      <c r="C770" s="0" t="str">
        <f aca="false">IF('Young Innovators Kits'!C55="","",'Young Innovators Kits'!C55)</f>
        <v>Capacitor 100 uF</v>
      </c>
      <c r="D770" s="0" t="n">
        <f aca="false">IF('Young Innovators Kits'!D55="","",'Young Innovators Kits'!D55)</f>
        <v>1</v>
      </c>
      <c r="E770" s="0" t="str">
        <f aca="false">IF('Young Innovators Kits'!E55="","",'Young Innovators Kits'!E55)</f>
        <v>Per group</v>
      </c>
      <c r="F770" s="0" t="str">
        <f aca="false">IFERROR(INDEX('Session Tracker'!$M$5:$M$149,MATCH($A770,'Session Tracker'!$D$5:$D$149,0))+0,"")</f>
        <v/>
      </c>
      <c r="G770" s="0" t="str">
        <f aca="false">IF(ISNUMBER(F770),IF(OR(B770=0,B770=99,C770&lt;&gt;""),F770*100+B770,""),"")</f>
        <v/>
      </c>
      <c r="H770" s="0" t="n">
        <f aca="false">IFERROR(INDEX('Session Tracker'!$J$5:$J$149,MATCH($A770,'Session Tracker'!$D$5:$D$149,0)),0)</f>
        <v>8</v>
      </c>
      <c r="I770" s="0" t="n">
        <f aca="false">IF(OR(B770=0,B770=99,C770=""),"",IF(E770="Per class",D770,D770*H770))</f>
        <v>8</v>
      </c>
      <c r="N770" s="0" t="str">
        <f aca="false">IF('Young Innovators Kits'!B55="","",'Young Innovators Kits'!B55)</f>
        <v>Passive Components &amp; ICs</v>
      </c>
      <c r="O770" s="0" t="str">
        <f aca="false">IF('Young Innovators Kits'!F55="","",'Young Innovators Kits'!F55)</f>
        <v>Consumable</v>
      </c>
      <c r="P770" s="0" t="str">
        <f aca="false">IF('Young Innovators Kits'!G55="","",'Young Innovators Kits'!G55)</f>
        <v/>
      </c>
    </row>
    <row r="771" customFormat="false" ht="15" hidden="false" customHeight="false" outlineLevel="0" collapsed="false">
      <c r="A771" s="0" t="s">
        <v>225</v>
      </c>
      <c r="B771" s="0" t="n">
        <v>5</v>
      </c>
      <c r="C771" s="0" t="str">
        <f aca="false">IF('Young Innovators Kits'!C56="","",'Young Innovators Kits'!C56)</f>
        <v>Resistor 1k ohm</v>
      </c>
      <c r="D771" s="0" t="n">
        <f aca="false">IF('Young Innovators Kits'!D56="","",'Young Innovators Kits'!D56)</f>
        <v>2</v>
      </c>
      <c r="E771" s="0" t="str">
        <f aca="false">IF('Young Innovators Kits'!E56="","",'Young Innovators Kits'!E56)</f>
        <v>Per group</v>
      </c>
      <c r="F771" s="0" t="str">
        <f aca="false">IFERROR(INDEX('Session Tracker'!$M$5:$M$149,MATCH($A771,'Session Tracker'!$D$5:$D$149,0))+0,"")</f>
        <v/>
      </c>
      <c r="G771" s="0" t="str">
        <f aca="false">IF(ISNUMBER(F771),IF(OR(B771=0,B771=99,C771&lt;&gt;""),F771*100+B771,""),"")</f>
        <v/>
      </c>
      <c r="H771" s="0" t="n">
        <f aca="false">IFERROR(INDEX('Session Tracker'!$J$5:$J$149,MATCH($A771,'Session Tracker'!$D$5:$D$149,0)),0)</f>
        <v>8</v>
      </c>
      <c r="I771" s="0" t="n">
        <f aca="false">IF(OR(B771=0,B771=99,C771=""),"",IF(E771="Per class",D771,D771*H771))</f>
        <v>16</v>
      </c>
      <c r="N771" s="0" t="str">
        <f aca="false">IF('Young Innovators Kits'!B56="","",'Young Innovators Kits'!B56)</f>
        <v>Passive Components &amp; ICs</v>
      </c>
      <c r="O771" s="0" t="str">
        <f aca="false">IF('Young Innovators Kits'!F56="","",'Young Innovators Kits'!F56)</f>
        <v>Consumable</v>
      </c>
      <c r="P771" s="0" t="str">
        <f aca="false">IF('Young Innovators Kits'!G56="","",'Young Innovators Kits'!G56)</f>
        <v/>
      </c>
    </row>
    <row r="772" customFormat="false" ht="15" hidden="false" customHeight="false" outlineLevel="0" collapsed="false">
      <c r="A772" s="0" t="s">
        <v>225</v>
      </c>
      <c r="B772" s="0" t="n">
        <v>6</v>
      </c>
      <c r="C772" s="0" t="str">
        <f aca="false">IF('Young Innovators Kits'!C57="","",'Young Innovators Kits'!C57)</f>
        <v>Resistor 10k ohm</v>
      </c>
      <c r="D772" s="0" t="n">
        <f aca="false">IF('Young Innovators Kits'!D57="","",'Young Innovators Kits'!D57)</f>
        <v>1</v>
      </c>
      <c r="E772" s="0" t="str">
        <f aca="false">IF('Young Innovators Kits'!E57="","",'Young Innovators Kits'!E57)</f>
        <v>Per group</v>
      </c>
      <c r="F772" s="0" t="str">
        <f aca="false">IFERROR(INDEX('Session Tracker'!$M$5:$M$149,MATCH($A772,'Session Tracker'!$D$5:$D$149,0))+0,"")</f>
        <v/>
      </c>
      <c r="G772" s="0" t="str">
        <f aca="false">IF(ISNUMBER(F772),IF(OR(B772=0,B772=99,C772&lt;&gt;""),F772*100+B772,""),"")</f>
        <v/>
      </c>
      <c r="H772" s="0" t="n">
        <f aca="false">IFERROR(INDEX('Session Tracker'!$J$5:$J$149,MATCH($A772,'Session Tracker'!$D$5:$D$149,0)),0)</f>
        <v>8</v>
      </c>
      <c r="I772" s="0" t="n">
        <f aca="false">IF(OR(B772=0,B772=99,C772=""),"",IF(E772="Per class",D772,D772*H772))</f>
        <v>8</v>
      </c>
      <c r="N772" s="0" t="str">
        <f aca="false">IF('Young Innovators Kits'!B57="","",'Young Innovators Kits'!B57)</f>
        <v>Passive Components &amp; ICs</v>
      </c>
      <c r="O772" s="0" t="str">
        <f aca="false">IF('Young Innovators Kits'!F57="","",'Young Innovators Kits'!F57)</f>
        <v>Consumable</v>
      </c>
      <c r="P772" s="0" t="str">
        <f aca="false">IF('Young Innovators Kits'!G57="","",'Young Innovators Kits'!G57)</f>
        <v/>
      </c>
    </row>
    <row r="773" customFormat="false" ht="15" hidden="false" customHeight="false" outlineLevel="0" collapsed="false">
      <c r="A773" s="0" t="s">
        <v>225</v>
      </c>
      <c r="B773" s="0" t="n">
        <v>7</v>
      </c>
      <c r="C773" s="0" t="str">
        <f aca="false">IF('Young Innovators Kits'!C58="","",'Young Innovators Kits'!C58)</f>
        <v>Resistor 220 ohm</v>
      </c>
      <c r="D773" s="0" t="n">
        <f aca="false">IF('Young Innovators Kits'!D58="","",'Young Innovators Kits'!D58)</f>
        <v>1</v>
      </c>
      <c r="E773" s="0" t="str">
        <f aca="false">IF('Young Innovators Kits'!E58="","",'Young Innovators Kits'!E58)</f>
        <v>Per group</v>
      </c>
      <c r="F773" s="0" t="str">
        <f aca="false">IFERROR(INDEX('Session Tracker'!$M$5:$M$149,MATCH($A773,'Session Tracker'!$D$5:$D$149,0))+0,"")</f>
        <v/>
      </c>
      <c r="G773" s="0" t="str">
        <f aca="false">IF(ISNUMBER(F773),IF(OR(B773=0,B773=99,C773&lt;&gt;""),F773*100+B773,""),"")</f>
        <v/>
      </c>
      <c r="H773" s="0" t="n">
        <f aca="false">IFERROR(INDEX('Session Tracker'!$J$5:$J$149,MATCH($A773,'Session Tracker'!$D$5:$D$149,0)),0)</f>
        <v>8</v>
      </c>
      <c r="I773" s="0" t="n">
        <f aca="false">IF(OR(B773=0,B773=99,C773=""),"",IF(E773="Per class",D773,D773*H773))</f>
        <v>8</v>
      </c>
      <c r="N773" s="0" t="str">
        <f aca="false">IF('Young Innovators Kits'!B58="","",'Young Innovators Kits'!B58)</f>
        <v>Passive Components &amp; ICs</v>
      </c>
      <c r="O773" s="0" t="str">
        <f aca="false">IF('Young Innovators Kits'!F58="","",'Young Innovators Kits'!F58)</f>
        <v>Consumable</v>
      </c>
      <c r="P773" s="0" t="str">
        <f aca="false">IF('Young Innovators Kits'!G58="","",'Young Innovators Kits'!G58)</f>
        <v/>
      </c>
    </row>
    <row r="774" customFormat="false" ht="15" hidden="false" customHeight="false" outlineLevel="0" collapsed="false">
      <c r="A774" s="0" t="s">
        <v>225</v>
      </c>
      <c r="B774" s="0" t="n">
        <v>8</v>
      </c>
      <c r="C774" s="0" t="str">
        <f aca="false">IF('Young Innovators Kits'!C59="","",'Young Innovators Kits'!C59)</f>
        <v>Potentiometer 10k</v>
      </c>
      <c r="D774" s="0" t="n">
        <f aca="false">IF('Young Innovators Kits'!D59="","",'Young Innovators Kits'!D59)</f>
        <v>1</v>
      </c>
      <c r="E774" s="0" t="str">
        <f aca="false">IF('Young Innovators Kits'!E59="","",'Young Innovators Kits'!E59)</f>
        <v>Per group</v>
      </c>
      <c r="F774" s="0" t="str">
        <f aca="false">IFERROR(INDEX('Session Tracker'!$M$5:$M$149,MATCH($A774,'Session Tracker'!$D$5:$D$149,0))+0,"")</f>
        <v/>
      </c>
      <c r="G774" s="0" t="str">
        <f aca="false">IF(ISNUMBER(F774),IF(OR(B774=0,B774=99,C774&lt;&gt;""),F774*100+B774,""),"")</f>
        <v/>
      </c>
      <c r="H774" s="0" t="n">
        <f aca="false">IFERROR(INDEX('Session Tracker'!$J$5:$J$149,MATCH($A774,'Session Tracker'!$D$5:$D$149,0)),0)</f>
        <v>8</v>
      </c>
      <c r="I774" s="0" t="n">
        <f aca="false">IF(OR(B774=0,B774=99,C774=""),"",IF(E774="Per class",D774,D774*H774))</f>
        <v>8</v>
      </c>
      <c r="N774" s="0" t="str">
        <f aca="false">IF('Young Innovators Kits'!B59="","",'Young Innovators Kits'!B59)</f>
        <v>Passive Components &amp; ICs</v>
      </c>
      <c r="O774" s="0" t="str">
        <f aca="false">IF('Young Innovators Kits'!F59="","",'Young Innovators Kits'!F59)</f>
        <v>Reusable</v>
      </c>
      <c r="P774" s="0" t="str">
        <f aca="false">IF('Young Innovators Kits'!G59="","",'Young Innovators Kits'!G59)</f>
        <v/>
      </c>
    </row>
    <row r="775" customFormat="false" ht="15" hidden="false" customHeight="false" outlineLevel="0" collapsed="false">
      <c r="A775" s="0" t="s">
        <v>225</v>
      </c>
      <c r="B775" s="0" t="n">
        <v>9</v>
      </c>
      <c r="C775" s="0" t="str">
        <f aca="false">IF('Young Innovators Kits'!C60="","",'Young Innovators Kits'!C60)</f>
        <v>Buzzer</v>
      </c>
      <c r="D775" s="0" t="n">
        <f aca="false">IF('Young Innovators Kits'!D60="","",'Young Innovators Kits'!D60)</f>
        <v>1</v>
      </c>
      <c r="E775" s="0" t="str">
        <f aca="false">IF('Young Innovators Kits'!E60="","",'Young Innovators Kits'!E60)</f>
        <v>Per group</v>
      </c>
      <c r="F775" s="0" t="str">
        <f aca="false">IFERROR(INDEX('Session Tracker'!$M$5:$M$149,MATCH($A775,'Session Tracker'!$D$5:$D$149,0))+0,"")</f>
        <v/>
      </c>
      <c r="G775" s="0" t="str">
        <f aca="false">IF(ISNUMBER(F775),IF(OR(B775=0,B775=99,C775&lt;&gt;""),F775*100+B775,""),"")</f>
        <v/>
      </c>
      <c r="H775" s="0" t="n">
        <f aca="false">IFERROR(INDEX('Session Tracker'!$J$5:$J$149,MATCH($A775,'Session Tracker'!$D$5:$D$149,0)),0)</f>
        <v>8</v>
      </c>
      <c r="I775" s="0" t="n">
        <f aca="false">IF(OR(B775=0,B775=99,C775=""),"",IF(E775="Per class",D775,D775*H775))</f>
        <v>8</v>
      </c>
      <c r="N775" s="0" t="str">
        <f aca="false">IF('Young Innovators Kits'!B60="","",'Young Innovators Kits'!B60)</f>
        <v>Actuators &amp; Motor Drivers</v>
      </c>
      <c r="O775" s="0" t="str">
        <f aca="false">IF('Young Innovators Kits'!F60="","",'Young Innovators Kits'!F60)</f>
        <v>Reusable</v>
      </c>
      <c r="P775" s="0" t="str">
        <f aca="false">IF('Young Innovators Kits'!G60="","",'Young Innovators Kits'!G60)</f>
        <v/>
      </c>
    </row>
    <row r="776" customFormat="false" ht="15" hidden="false" customHeight="false" outlineLevel="0" collapsed="false">
      <c r="A776" s="0" t="s">
        <v>225</v>
      </c>
      <c r="B776" s="0" t="n">
        <v>10</v>
      </c>
      <c r="C776" s="0" t="str">
        <f aca="false">IF('Young Innovators Kits'!C61="","",'Young Innovators Kits'!C61)</f>
        <v>LED 5 mm (assorted)</v>
      </c>
      <c r="D776" s="0" t="n">
        <f aca="false">IF('Young Innovators Kits'!D61="","",'Young Innovators Kits'!D61)</f>
        <v>1</v>
      </c>
      <c r="E776" s="0" t="str">
        <f aca="false">IF('Young Innovators Kits'!E61="","",'Young Innovators Kits'!E61)</f>
        <v>Per group</v>
      </c>
      <c r="F776" s="0" t="str">
        <f aca="false">IFERROR(INDEX('Session Tracker'!$M$5:$M$149,MATCH($A776,'Session Tracker'!$D$5:$D$149,0))+0,"")</f>
        <v/>
      </c>
      <c r="G776" s="0" t="str">
        <f aca="false">IF(ISNUMBER(F776),IF(OR(B776=0,B776=99,C776&lt;&gt;""),F776*100+B776,""),"")</f>
        <v/>
      </c>
      <c r="H776" s="0" t="n">
        <f aca="false">IFERROR(INDEX('Session Tracker'!$J$5:$J$149,MATCH($A776,'Session Tracker'!$D$5:$D$149,0)),0)</f>
        <v>8</v>
      </c>
      <c r="I776" s="0" t="n">
        <f aca="false">IF(OR(B776=0,B776=99,C776=""),"",IF(E776="Per class",D776,D776*H776))</f>
        <v>8</v>
      </c>
      <c r="N776" s="0" t="str">
        <f aca="false">IF('Young Innovators Kits'!B61="","",'Young Innovators Kits'!B61)</f>
        <v>Displays &amp; Output</v>
      </c>
      <c r="O776" s="0" t="str">
        <f aca="false">IF('Young Innovators Kits'!F61="","",'Young Innovators Kits'!F61)</f>
        <v>Consumable</v>
      </c>
      <c r="P776" s="0" t="str">
        <f aca="false">IF('Young Innovators Kits'!G61="","",'Young Innovators Kits'!G61)</f>
        <v/>
      </c>
    </row>
    <row r="777" customFormat="false" ht="15" hidden="false" customHeight="false" outlineLevel="0" collapsed="false">
      <c r="A777" s="0" t="s">
        <v>225</v>
      </c>
      <c r="B777" s="0" t="n">
        <v>11</v>
      </c>
      <c r="C777" s="0" t="str">
        <f aca="false">IF('Young Innovators Kits'!C62="","",'Young Innovators Kits'!C62)</f>
        <v>9V battery + snap</v>
      </c>
      <c r="D777" s="0" t="n">
        <f aca="false">IF('Young Innovators Kits'!D62="","",'Young Innovators Kits'!D62)</f>
        <v>1</v>
      </c>
      <c r="E777" s="0" t="str">
        <f aca="false">IF('Young Innovators Kits'!E62="","",'Young Innovators Kits'!E62)</f>
        <v>Per group</v>
      </c>
      <c r="F777" s="0" t="str">
        <f aca="false">IFERROR(INDEX('Session Tracker'!$M$5:$M$149,MATCH($A777,'Session Tracker'!$D$5:$D$149,0))+0,"")</f>
        <v/>
      </c>
      <c r="G777" s="0" t="str">
        <f aca="false">IF(ISNUMBER(F777),IF(OR(B777=0,B777=99,C777&lt;&gt;""),F777*100+B777,""),"")</f>
        <v/>
      </c>
      <c r="H777" s="0" t="n">
        <f aca="false">IFERROR(INDEX('Session Tracker'!$J$5:$J$149,MATCH($A777,'Session Tracker'!$D$5:$D$149,0)),0)</f>
        <v>8</v>
      </c>
      <c r="I777" s="0" t="n">
        <f aca="false">IF(OR(B777=0,B777=99,C777=""),"",IF(E777="Per class",D777,D777*H777))</f>
        <v>8</v>
      </c>
      <c r="N777" s="0" t="str">
        <f aca="false">IF('Young Innovators Kits'!B62="","",'Young Innovators Kits'!B62)</f>
        <v>Power</v>
      </c>
      <c r="O777" s="0" t="str">
        <f aca="false">IF('Young Innovators Kits'!F62="","",'Young Innovators Kits'!F62)</f>
        <v>Consumable</v>
      </c>
      <c r="P777" s="0" t="str">
        <f aca="false">IF('Young Innovators Kits'!G62="","",'Young Innovators Kits'!G62)</f>
        <v/>
      </c>
    </row>
    <row r="778" customFormat="false" ht="15" hidden="false" customHeight="false" outlineLevel="0" collapsed="false">
      <c r="A778" s="0" t="s">
        <v>225</v>
      </c>
      <c r="B778" s="0" t="n">
        <v>12</v>
      </c>
      <c r="C778" s="0" t="str">
        <f aca="false">IF('Young Innovators Kits'!C63="","",'Young Innovators Kits'!C63)</f>
        <v>Digital multimeter</v>
      </c>
      <c r="D778" s="0" t="n">
        <f aca="false">IF('Young Innovators Kits'!D63="","",'Young Innovators Kits'!D63)</f>
        <v>1</v>
      </c>
      <c r="E778" s="0" t="str">
        <f aca="false">IF('Young Innovators Kits'!E63="","",'Young Innovators Kits'!E63)</f>
        <v>Per group</v>
      </c>
      <c r="F778" s="0" t="str">
        <f aca="false">IFERROR(INDEX('Session Tracker'!$M$5:$M$149,MATCH($A778,'Session Tracker'!$D$5:$D$149,0))+0,"")</f>
        <v/>
      </c>
      <c r="G778" s="0" t="str">
        <f aca="false">IF(ISNUMBER(F778),IF(OR(B778=0,B778=99,C778&lt;&gt;""),F778*100+B778,""),"")</f>
        <v/>
      </c>
      <c r="H778" s="0" t="n">
        <f aca="false">IFERROR(INDEX('Session Tracker'!$J$5:$J$149,MATCH($A778,'Session Tracker'!$D$5:$D$149,0)),0)</f>
        <v>8</v>
      </c>
      <c r="I778" s="0" t="n">
        <f aca="false">IF(OR(B778=0,B778=99,C778=""),"",IF(E778="Per class",D778,D778*H778))</f>
        <v>8</v>
      </c>
      <c r="N778" s="0" t="str">
        <f aca="false">IF('Young Innovators Kits'!B63="","",'Young Innovators Kits'!B63)</f>
        <v>Computers &amp; Equipment</v>
      </c>
      <c r="O778" s="0" t="str">
        <f aca="false">IF('Young Innovators Kits'!F63="","",'Young Innovators Kits'!F63)</f>
        <v>Reusable</v>
      </c>
      <c r="P778" s="0" t="str">
        <f aca="false">IF('Young Innovators Kits'!G63="","",'Young Innovators Kits'!G63)</f>
        <v/>
      </c>
    </row>
    <row r="779" customFormat="false" ht="15" hidden="false" customHeight="false" outlineLevel="0" collapsed="false">
      <c r="A779" s="0" t="s">
        <v>225</v>
      </c>
      <c r="B779" s="0" t="n">
        <v>13</v>
      </c>
      <c r="C779" s="0" t="str">
        <f aca="false">IF('Young Innovators Kits'!C64="","",'Young Innovators Kits'!C64)</f>
        <v>Breadboard (half size)</v>
      </c>
      <c r="D779" s="0" t="n">
        <f aca="false">IF('Young Innovators Kits'!D64="","",'Young Innovators Kits'!D64)</f>
        <v>1</v>
      </c>
      <c r="E779" s="0" t="str">
        <f aca="false">IF('Young Innovators Kits'!E64="","",'Young Innovators Kits'!E64)</f>
        <v>Per group</v>
      </c>
      <c r="F779" s="0" t="str">
        <f aca="false">IFERROR(INDEX('Session Tracker'!$M$5:$M$149,MATCH($A779,'Session Tracker'!$D$5:$D$149,0))+0,"")</f>
        <v/>
      </c>
      <c r="G779" s="0" t="str">
        <f aca="false">IF(ISNUMBER(F779),IF(OR(B779=0,B779=99,C779&lt;&gt;""),F779*100+B779,""),"")</f>
        <v/>
      </c>
      <c r="H779" s="0" t="n">
        <f aca="false">IFERROR(INDEX('Session Tracker'!$J$5:$J$149,MATCH($A779,'Session Tracker'!$D$5:$D$149,0)),0)</f>
        <v>8</v>
      </c>
      <c r="I779" s="0" t="n">
        <f aca="false">IF(OR(B779=0,B779=99,C779=""),"",IF(E779="Per class",D779,D779*H779))</f>
        <v>8</v>
      </c>
      <c r="N779" s="0" t="str">
        <f aca="false">IF('Young Innovators Kits'!B64="","",'Young Innovators Kits'!B64)</f>
        <v>Wiring &amp; Prototyping</v>
      </c>
      <c r="O779" s="0" t="str">
        <f aca="false">IF('Young Innovators Kits'!F64="","",'Young Innovators Kits'!F64)</f>
        <v>Reusable</v>
      </c>
      <c r="P779" s="0" t="str">
        <f aca="false">IF('Young Innovators Kits'!G64="","",'Young Innovators Kits'!G64)</f>
        <v/>
      </c>
    </row>
    <row r="780" customFormat="false" ht="15" hidden="false" customHeight="false" outlineLevel="0" collapsed="false">
      <c r="A780" s="0" t="s">
        <v>225</v>
      </c>
      <c r="B780" s="0" t="n">
        <v>14</v>
      </c>
      <c r="C780" s="0" t="str">
        <f aca="false">IF('Young Innovators Kits'!C65="","",'Young Innovators Kits'!C65)</f>
        <v>Jumper wires M-M</v>
      </c>
      <c r="D780" s="0" t="n">
        <f aca="false">IF('Young Innovators Kits'!D65="","",'Young Innovators Kits'!D65)</f>
        <v>12</v>
      </c>
      <c r="E780" s="0" t="str">
        <f aca="false">IF('Young Innovators Kits'!E65="","",'Young Innovators Kits'!E65)</f>
        <v>Per group</v>
      </c>
      <c r="F780" s="0" t="str">
        <f aca="false">IFERROR(INDEX('Session Tracker'!$M$5:$M$149,MATCH($A780,'Session Tracker'!$D$5:$D$149,0))+0,"")</f>
        <v/>
      </c>
      <c r="G780" s="0" t="str">
        <f aca="false">IF(ISNUMBER(F780),IF(OR(B780=0,B780=99,C780&lt;&gt;""),F780*100+B780,""),"")</f>
        <v/>
      </c>
      <c r="H780" s="0" t="n">
        <f aca="false">IFERROR(INDEX('Session Tracker'!$J$5:$J$149,MATCH($A780,'Session Tracker'!$D$5:$D$149,0)),0)</f>
        <v>8</v>
      </c>
      <c r="I780" s="0" t="n">
        <f aca="false">IF(OR(B780=0,B780=99,C780=""),"",IF(E780="Per class",D780,D780*H780))</f>
        <v>96</v>
      </c>
      <c r="N780" s="0" t="str">
        <f aca="false">IF('Young Innovators Kits'!B65="","",'Young Innovators Kits'!B65)</f>
        <v>Wiring &amp; Prototyping</v>
      </c>
      <c r="O780" s="0" t="str">
        <f aca="false">IF('Young Innovators Kits'!F65="","",'Young Innovators Kits'!F65)</f>
        <v>Reusable</v>
      </c>
      <c r="P780" s="0" t="str">
        <f aca="false">IF('Young Innovators Kits'!G65="","",'Young Innovators Kits'!G65)</f>
        <v/>
      </c>
    </row>
    <row r="781" customFormat="false" ht="15" hidden="false" customHeight="false" outlineLevel="0" collapsed="false">
      <c r="A781" s="0" t="s">
        <v>225</v>
      </c>
      <c r="B781" s="0" t="n">
        <v>15</v>
      </c>
      <c r="C781" s="0" t="str">
        <f aca="false">IF('Young Innovators Kits'!C66="","",'Young Innovators Kits'!C66)</f>
        <v/>
      </c>
      <c r="D781" s="0" t="str">
        <f aca="false">IF('Young Innovators Kits'!D66="","",'Young Innovators Kits'!D66)</f>
        <v/>
      </c>
      <c r="E781" s="0" t="str">
        <f aca="false">IF('Young Innovators Kits'!E66="","",'Young Innovators Kits'!E66)</f>
        <v/>
      </c>
      <c r="F781" s="0" t="str">
        <f aca="false">IFERROR(INDEX('Session Tracker'!$M$5:$M$149,MATCH($A781,'Session Tracker'!$D$5:$D$149,0))+0,"")</f>
        <v/>
      </c>
      <c r="G781" s="0" t="str">
        <f aca="false">IF(ISNUMBER(F781),IF(OR(B781=0,B781=99,C781&lt;&gt;""),F781*100+B781,""),"")</f>
        <v/>
      </c>
      <c r="H781" s="0" t="n">
        <f aca="false">IFERROR(INDEX('Session Tracker'!$J$5:$J$149,MATCH($A781,'Session Tracker'!$D$5:$D$149,0)),0)</f>
        <v>8</v>
      </c>
      <c r="I781" s="0" t="str">
        <f aca="false">IF(OR(B781=0,B781=99,C781=""),"",IF(E781="Per class",D781,D781*H781))</f>
        <v/>
      </c>
      <c r="N781" s="0" t="str">
        <f aca="false">IF('Young Innovators Kits'!B66="","",'Young Innovators Kits'!B66)</f>
        <v/>
      </c>
      <c r="O781" s="0" t="str">
        <f aca="false">IF('Young Innovators Kits'!F66="","",'Young Innovators Kits'!F66)</f>
        <v/>
      </c>
      <c r="P781" s="0" t="str">
        <f aca="false">IF('Young Innovators Kits'!G66="","",'Young Innovators Kits'!G66)</f>
        <v/>
      </c>
    </row>
    <row r="782" customFormat="false" ht="15" hidden="false" customHeight="false" outlineLevel="0" collapsed="false">
      <c r="A782" s="0" t="s">
        <v>225</v>
      </c>
      <c r="B782" s="0" t="n">
        <v>16</v>
      </c>
      <c r="C782" s="0" t="str">
        <f aca="false">IF('Young Innovators Kits'!C67="","",'Young Innovators Kits'!C67)</f>
        <v/>
      </c>
      <c r="D782" s="0" t="str">
        <f aca="false">IF('Young Innovators Kits'!D67="","",'Young Innovators Kits'!D67)</f>
        <v/>
      </c>
      <c r="E782" s="0" t="str">
        <f aca="false">IF('Young Innovators Kits'!E67="","",'Young Innovators Kits'!E67)</f>
        <v/>
      </c>
      <c r="F782" s="0" t="str">
        <f aca="false">IFERROR(INDEX('Session Tracker'!$M$5:$M$149,MATCH($A782,'Session Tracker'!$D$5:$D$149,0))+0,"")</f>
        <v/>
      </c>
      <c r="G782" s="0" t="str">
        <f aca="false">IF(ISNUMBER(F782),IF(OR(B782=0,B782=99,C782&lt;&gt;""),F782*100+B782,""),"")</f>
        <v/>
      </c>
      <c r="H782" s="0" t="n">
        <f aca="false">IFERROR(INDEX('Session Tracker'!$J$5:$J$149,MATCH($A782,'Session Tracker'!$D$5:$D$149,0)),0)</f>
        <v>8</v>
      </c>
      <c r="I782" s="0" t="str">
        <f aca="false">IF(OR(B782=0,B782=99,C782=""),"",IF(E782="Per class",D782,D782*H782))</f>
        <v/>
      </c>
      <c r="N782" s="0" t="str">
        <f aca="false">IF('Young Innovators Kits'!B67="","",'Young Innovators Kits'!B67)</f>
        <v/>
      </c>
      <c r="O782" s="0" t="str">
        <f aca="false">IF('Young Innovators Kits'!F67="","",'Young Innovators Kits'!F67)</f>
        <v/>
      </c>
      <c r="P782" s="0" t="str">
        <f aca="false">IF('Young Innovators Kits'!G67="","",'Young Innovators Kits'!G67)</f>
        <v/>
      </c>
    </row>
    <row r="783" customFormat="false" ht="15" hidden="false" customHeight="false" outlineLevel="0" collapsed="false">
      <c r="A783" s="0" t="s">
        <v>227</v>
      </c>
      <c r="B783" s="0" t="n">
        <v>0</v>
      </c>
      <c r="F783" s="0" t="str">
        <f aca="false">IFERROR(INDEX('Session Tracker'!$M$5:$M$149,MATCH($A783,'Session Tracker'!$D$5:$D$149,0))+0,"")</f>
        <v/>
      </c>
      <c r="G783" s="0" t="str">
        <f aca="false">IF(ISNUMBER(F783),IF(OR(B783=0,B783=99,C783&lt;&gt;""),F783*100+B783,""),"")</f>
        <v/>
      </c>
      <c r="H783" s="0" t="n">
        <f aca="false">IFERROR(INDEX('Session Tracker'!$J$5:$J$149,MATCH($A783,'Session Tracker'!$D$5:$D$149,0)),0)</f>
        <v>8</v>
      </c>
      <c r="I783" s="0" t="str">
        <f aca="false">IF(OR(B783=0,B783=99,C783=""),"",IF(E783="Per class",D783,D783*H783))</f>
        <v/>
      </c>
      <c r="K783" s="0" t="str">
        <f aca="false">IFERROR(INDEX('Session Tracker'!$E$5:$E$149,MATCH($A783,'Session Tracker'!$D$5:$D$149,0)),"")</f>
        <v>Heart Rate Monitoring System</v>
      </c>
      <c r="L783" s="0" t="str">
        <f aca="false">IFERROR(INDEX('Session Tracker'!$A$5:$A$149,MATCH($A783,'Session Tracker'!$D$5:$D$149,0)),"")</f>
        <v>Young Innovators (12-14)</v>
      </c>
      <c r="M783" s="0" t="str">
        <f aca="false">IFERROR(INDEX('Session Tracker'!$H$5:$H$149,MATCH($A783,'Session Tracker'!$D$5:$D$149,0))&amp;"","")</f>
        <v/>
      </c>
      <c r="Q783" s="0" t="str">
        <f aca="false">IFERROR("Status: "&amp;INDEX('Session Tracker'!$F$5:$F$149,MATCH($A783,'Session Tracker'!$D$5:$D$149,0))&amp;IF(INDEX('Session Tracker'!$G$5:$G$149,MATCH($A783,'Session Tracker'!$D$5:$D$149,0))&lt;&gt;""," ("&amp;INDEX('Session Tracker'!$G$5:$G$149,MATCH($A783,'Session Tracker'!$D$5:$D$149,0))&amp;")","")&amp;IF(M783&lt;&gt;"","  "&amp;M783,""),"")</f>
        <v>Status: Not started</v>
      </c>
    </row>
    <row r="784" customFormat="false" ht="15" hidden="false" customHeight="false" outlineLevel="0" collapsed="false">
      <c r="A784" s="0" t="s">
        <v>227</v>
      </c>
      <c r="B784" s="0" t="n">
        <v>1</v>
      </c>
      <c r="C784" s="0" t="str">
        <f aca="false">IF('Young Innovators Kits'!C70="","",'Young Innovators Kits'!C70)</f>
        <v>Arduino Uno + USB cable</v>
      </c>
      <c r="D784" s="0" t="n">
        <f aca="false">IF('Young Innovators Kits'!D70="","",'Young Innovators Kits'!D70)</f>
        <v>1</v>
      </c>
      <c r="E784" s="0" t="str">
        <f aca="false">IF('Young Innovators Kits'!E70="","",'Young Innovators Kits'!E70)</f>
        <v>Per group</v>
      </c>
      <c r="F784" s="0" t="str">
        <f aca="false">IFERROR(INDEX('Session Tracker'!$M$5:$M$149,MATCH($A784,'Session Tracker'!$D$5:$D$149,0))+0,"")</f>
        <v/>
      </c>
      <c r="G784" s="0" t="str">
        <f aca="false">IF(ISNUMBER(F784),IF(OR(B784=0,B784=99,C784&lt;&gt;""),F784*100+B784,""),"")</f>
        <v/>
      </c>
      <c r="H784" s="0" t="n">
        <f aca="false">IFERROR(INDEX('Session Tracker'!$J$5:$J$149,MATCH($A784,'Session Tracker'!$D$5:$D$149,0)),0)</f>
        <v>8</v>
      </c>
      <c r="I784" s="0" t="n">
        <f aca="false">IF(OR(B784=0,B784=99,C784=""),"",IF(E784="Per class",D784,D784*H784))</f>
        <v>8</v>
      </c>
      <c r="N784" s="0" t="str">
        <f aca="false">IF('Young Innovators Kits'!B70="","",'Young Innovators Kits'!B70)</f>
        <v>Microcontrollers &amp; Dev Boards</v>
      </c>
      <c r="O784" s="0" t="str">
        <f aca="false">IF('Young Innovators Kits'!F70="","",'Young Innovators Kits'!F70)</f>
        <v>Reusable</v>
      </c>
      <c r="P784" s="0" t="str">
        <f aca="false">IF('Young Innovators Kits'!G70="","",'Young Innovators Kits'!G70)</f>
        <v/>
      </c>
    </row>
    <row r="785" customFormat="false" ht="15" hidden="false" customHeight="false" outlineLevel="0" collapsed="false">
      <c r="A785" s="0" t="s">
        <v>227</v>
      </c>
      <c r="B785" s="0" t="n">
        <v>2</v>
      </c>
      <c r="C785" s="0" t="str">
        <f aca="false">IF('Young Innovators Kits'!C71="","",'Young Innovators Kits'!C71)</f>
        <v>Pulse sensor</v>
      </c>
      <c r="D785" s="0" t="n">
        <f aca="false">IF('Young Innovators Kits'!D71="","",'Young Innovators Kits'!D71)</f>
        <v>1</v>
      </c>
      <c r="E785" s="0" t="str">
        <f aca="false">IF('Young Innovators Kits'!E71="","",'Young Innovators Kits'!E71)</f>
        <v>Per group</v>
      </c>
      <c r="F785" s="0" t="str">
        <f aca="false">IFERROR(INDEX('Session Tracker'!$M$5:$M$149,MATCH($A785,'Session Tracker'!$D$5:$D$149,0))+0,"")</f>
        <v/>
      </c>
      <c r="G785" s="0" t="str">
        <f aca="false">IF(ISNUMBER(F785),IF(OR(B785=0,B785=99,C785&lt;&gt;""),F785*100+B785,""),"")</f>
        <v/>
      </c>
      <c r="H785" s="0" t="n">
        <f aca="false">IFERROR(INDEX('Session Tracker'!$J$5:$J$149,MATCH($A785,'Session Tracker'!$D$5:$D$149,0)),0)</f>
        <v>8</v>
      </c>
      <c r="I785" s="0" t="n">
        <f aca="false">IF(OR(B785=0,B785=99,C785=""),"",IF(E785="Per class",D785,D785*H785))</f>
        <v>8</v>
      </c>
      <c r="N785" s="0" t="str">
        <f aca="false">IF('Young Innovators Kits'!B71="","",'Young Innovators Kits'!B71)</f>
        <v>Sensors</v>
      </c>
      <c r="O785" s="0" t="str">
        <f aca="false">IF('Young Innovators Kits'!F71="","",'Young Innovators Kits'!F71)</f>
        <v>Reusable</v>
      </c>
      <c r="P785" s="0" t="str">
        <f aca="false">IF('Young Innovators Kits'!G71="","",'Young Innovators Kits'!G71)</f>
        <v/>
      </c>
    </row>
    <row r="786" customFormat="false" ht="15" hidden="false" customHeight="false" outlineLevel="0" collapsed="false">
      <c r="A786" s="0" t="s">
        <v>227</v>
      </c>
      <c r="B786" s="0" t="n">
        <v>3</v>
      </c>
      <c r="C786" s="0" t="str">
        <f aca="false">IF('Young Innovators Kits'!C72="","",'Young Innovators Kits'!C72)</f>
        <v>OLED 0.96 in I2C</v>
      </c>
      <c r="D786" s="0" t="n">
        <f aca="false">IF('Young Innovators Kits'!D72="","",'Young Innovators Kits'!D72)</f>
        <v>1</v>
      </c>
      <c r="E786" s="0" t="str">
        <f aca="false">IF('Young Innovators Kits'!E72="","",'Young Innovators Kits'!E72)</f>
        <v>Per group</v>
      </c>
      <c r="F786" s="0" t="str">
        <f aca="false">IFERROR(INDEX('Session Tracker'!$M$5:$M$149,MATCH($A786,'Session Tracker'!$D$5:$D$149,0))+0,"")</f>
        <v/>
      </c>
      <c r="G786" s="0" t="str">
        <f aca="false">IF(ISNUMBER(F786),IF(OR(B786=0,B786=99,C786&lt;&gt;""),F786*100+B786,""),"")</f>
        <v/>
      </c>
      <c r="H786" s="0" t="n">
        <f aca="false">IFERROR(INDEX('Session Tracker'!$J$5:$J$149,MATCH($A786,'Session Tracker'!$D$5:$D$149,0)),0)</f>
        <v>8</v>
      </c>
      <c r="I786" s="0" t="n">
        <f aca="false">IF(OR(B786=0,B786=99,C786=""),"",IF(E786="Per class",D786,D786*H786))</f>
        <v>8</v>
      </c>
      <c r="N786" s="0" t="str">
        <f aca="false">IF('Young Innovators Kits'!B72="","",'Young Innovators Kits'!B72)</f>
        <v>Displays &amp; Output</v>
      </c>
      <c r="O786" s="0" t="str">
        <f aca="false">IF('Young Innovators Kits'!F72="","",'Young Innovators Kits'!F72)</f>
        <v>Reusable</v>
      </c>
      <c r="P786" s="0" t="str">
        <f aca="false">IF('Young Innovators Kits'!G72="","",'Young Innovators Kits'!G72)</f>
        <v/>
      </c>
    </row>
    <row r="787" customFormat="false" ht="15" hidden="false" customHeight="false" outlineLevel="0" collapsed="false">
      <c r="A787" s="0" t="s">
        <v>227</v>
      </c>
      <c r="B787" s="0" t="n">
        <v>4</v>
      </c>
      <c r="C787" s="0" t="str">
        <f aca="false">IF('Young Innovators Kits'!C73="","",'Young Innovators Kits'!C73)</f>
        <v>Buzzer</v>
      </c>
      <c r="D787" s="0" t="n">
        <f aca="false">IF('Young Innovators Kits'!D73="","",'Young Innovators Kits'!D73)</f>
        <v>1</v>
      </c>
      <c r="E787" s="0" t="str">
        <f aca="false">IF('Young Innovators Kits'!E73="","",'Young Innovators Kits'!E73)</f>
        <v>Per group</v>
      </c>
      <c r="F787" s="0" t="str">
        <f aca="false">IFERROR(INDEX('Session Tracker'!$M$5:$M$149,MATCH($A787,'Session Tracker'!$D$5:$D$149,0))+0,"")</f>
        <v/>
      </c>
      <c r="G787" s="0" t="str">
        <f aca="false">IF(ISNUMBER(F787),IF(OR(B787=0,B787=99,C787&lt;&gt;""),F787*100+B787,""),"")</f>
        <v/>
      </c>
      <c r="H787" s="0" t="n">
        <f aca="false">IFERROR(INDEX('Session Tracker'!$J$5:$J$149,MATCH($A787,'Session Tracker'!$D$5:$D$149,0)),0)</f>
        <v>8</v>
      </c>
      <c r="I787" s="0" t="n">
        <f aca="false">IF(OR(B787=0,B787=99,C787=""),"",IF(E787="Per class",D787,D787*H787))</f>
        <v>8</v>
      </c>
      <c r="N787" s="0" t="str">
        <f aca="false">IF('Young Innovators Kits'!B73="","",'Young Innovators Kits'!B73)</f>
        <v>Actuators &amp; Motor Drivers</v>
      </c>
      <c r="O787" s="0" t="str">
        <f aca="false">IF('Young Innovators Kits'!F73="","",'Young Innovators Kits'!F73)</f>
        <v>Reusable</v>
      </c>
      <c r="P787" s="0" t="str">
        <f aca="false">IF('Young Innovators Kits'!G73="","",'Young Innovators Kits'!G73)</f>
        <v/>
      </c>
    </row>
    <row r="788" customFormat="false" ht="15" hidden="false" customHeight="false" outlineLevel="0" collapsed="false">
      <c r="A788" s="0" t="s">
        <v>227</v>
      </c>
      <c r="B788" s="0" t="n">
        <v>5</v>
      </c>
      <c r="C788" s="0" t="str">
        <f aca="false">IF('Young Innovators Kits'!C74="","",'Young Innovators Kits'!C74)</f>
        <v>LED 5 mm (assorted)</v>
      </c>
      <c r="D788" s="0" t="n">
        <f aca="false">IF('Young Innovators Kits'!D74="","",'Young Innovators Kits'!D74)</f>
        <v>1</v>
      </c>
      <c r="E788" s="0" t="str">
        <f aca="false">IF('Young Innovators Kits'!E74="","",'Young Innovators Kits'!E74)</f>
        <v>Per group</v>
      </c>
      <c r="F788" s="0" t="str">
        <f aca="false">IFERROR(INDEX('Session Tracker'!$M$5:$M$149,MATCH($A788,'Session Tracker'!$D$5:$D$149,0))+0,"")</f>
        <v/>
      </c>
      <c r="G788" s="0" t="str">
        <f aca="false">IF(ISNUMBER(F788),IF(OR(B788=0,B788=99,C788&lt;&gt;""),F788*100+B788,""),"")</f>
        <v/>
      </c>
      <c r="H788" s="0" t="n">
        <f aca="false">IFERROR(INDEX('Session Tracker'!$J$5:$J$149,MATCH($A788,'Session Tracker'!$D$5:$D$149,0)),0)</f>
        <v>8</v>
      </c>
      <c r="I788" s="0" t="n">
        <f aca="false">IF(OR(B788=0,B788=99,C788=""),"",IF(E788="Per class",D788,D788*H788))</f>
        <v>8</v>
      </c>
      <c r="N788" s="0" t="str">
        <f aca="false">IF('Young Innovators Kits'!B74="","",'Young Innovators Kits'!B74)</f>
        <v>Displays &amp; Output</v>
      </c>
      <c r="O788" s="0" t="str">
        <f aca="false">IF('Young Innovators Kits'!F74="","",'Young Innovators Kits'!F74)</f>
        <v>Consumable</v>
      </c>
      <c r="P788" s="0" t="str">
        <f aca="false">IF('Young Innovators Kits'!G74="","",'Young Innovators Kits'!G74)</f>
        <v/>
      </c>
    </row>
    <row r="789" customFormat="false" ht="15" hidden="false" customHeight="false" outlineLevel="0" collapsed="false">
      <c r="A789" s="0" t="s">
        <v>227</v>
      </c>
      <c r="B789" s="0" t="n">
        <v>6</v>
      </c>
      <c r="C789" s="0" t="str">
        <f aca="false">IF('Young Innovators Kits'!C75="","",'Young Innovators Kits'!C75)</f>
        <v>Resistor 220 ohm</v>
      </c>
      <c r="D789" s="0" t="n">
        <f aca="false">IF('Young Innovators Kits'!D75="","",'Young Innovators Kits'!D75)</f>
        <v>1</v>
      </c>
      <c r="E789" s="0" t="str">
        <f aca="false">IF('Young Innovators Kits'!E75="","",'Young Innovators Kits'!E75)</f>
        <v>Per group</v>
      </c>
      <c r="F789" s="0" t="str">
        <f aca="false">IFERROR(INDEX('Session Tracker'!$M$5:$M$149,MATCH($A789,'Session Tracker'!$D$5:$D$149,0))+0,"")</f>
        <v/>
      </c>
      <c r="G789" s="0" t="str">
        <f aca="false">IF(ISNUMBER(F789),IF(OR(B789=0,B789=99,C789&lt;&gt;""),F789*100+B789,""),"")</f>
        <v/>
      </c>
      <c r="H789" s="0" t="n">
        <f aca="false">IFERROR(INDEX('Session Tracker'!$J$5:$J$149,MATCH($A789,'Session Tracker'!$D$5:$D$149,0)),0)</f>
        <v>8</v>
      </c>
      <c r="I789" s="0" t="n">
        <f aca="false">IF(OR(B789=0,B789=99,C789=""),"",IF(E789="Per class",D789,D789*H789))</f>
        <v>8</v>
      </c>
      <c r="N789" s="0" t="str">
        <f aca="false">IF('Young Innovators Kits'!B75="","",'Young Innovators Kits'!B75)</f>
        <v>Passive Components &amp; ICs</v>
      </c>
      <c r="O789" s="0" t="str">
        <f aca="false">IF('Young Innovators Kits'!F75="","",'Young Innovators Kits'!F75)</f>
        <v>Consumable</v>
      </c>
      <c r="P789" s="0" t="str">
        <f aca="false">IF('Young Innovators Kits'!G75="","",'Young Innovators Kits'!G75)</f>
        <v/>
      </c>
    </row>
    <row r="790" customFormat="false" ht="15" hidden="false" customHeight="false" outlineLevel="0" collapsed="false">
      <c r="A790" s="0" t="s">
        <v>227</v>
      </c>
      <c r="B790" s="0" t="n">
        <v>7</v>
      </c>
      <c r="C790" s="0" t="str">
        <f aca="false">IF('Young Innovators Kits'!C76="","",'Young Innovators Kits'!C76)</f>
        <v>Breadboard (half size)</v>
      </c>
      <c r="D790" s="0" t="n">
        <f aca="false">IF('Young Innovators Kits'!D76="","",'Young Innovators Kits'!D76)</f>
        <v>1</v>
      </c>
      <c r="E790" s="0" t="str">
        <f aca="false">IF('Young Innovators Kits'!E76="","",'Young Innovators Kits'!E76)</f>
        <v>Per group</v>
      </c>
      <c r="F790" s="0" t="str">
        <f aca="false">IFERROR(INDEX('Session Tracker'!$M$5:$M$149,MATCH($A790,'Session Tracker'!$D$5:$D$149,0))+0,"")</f>
        <v/>
      </c>
      <c r="G790" s="0" t="str">
        <f aca="false">IF(ISNUMBER(F790),IF(OR(B790=0,B790=99,C790&lt;&gt;""),F790*100+B790,""),"")</f>
        <v/>
      </c>
      <c r="H790" s="0" t="n">
        <f aca="false">IFERROR(INDEX('Session Tracker'!$J$5:$J$149,MATCH($A790,'Session Tracker'!$D$5:$D$149,0)),0)</f>
        <v>8</v>
      </c>
      <c r="I790" s="0" t="n">
        <f aca="false">IF(OR(B790=0,B790=99,C790=""),"",IF(E790="Per class",D790,D790*H790))</f>
        <v>8</v>
      </c>
      <c r="N790" s="0" t="str">
        <f aca="false">IF('Young Innovators Kits'!B76="","",'Young Innovators Kits'!B76)</f>
        <v>Wiring &amp; Prototyping</v>
      </c>
      <c r="O790" s="0" t="str">
        <f aca="false">IF('Young Innovators Kits'!F76="","",'Young Innovators Kits'!F76)</f>
        <v>Reusable</v>
      </c>
      <c r="P790" s="0" t="str">
        <f aca="false">IF('Young Innovators Kits'!G76="","",'Young Innovators Kits'!G76)</f>
        <v/>
      </c>
    </row>
    <row r="791" customFormat="false" ht="15" hidden="false" customHeight="false" outlineLevel="0" collapsed="false">
      <c r="A791" s="0" t="s">
        <v>227</v>
      </c>
      <c r="B791" s="0" t="n">
        <v>8</v>
      </c>
      <c r="C791" s="0" t="str">
        <f aca="false">IF('Young Innovators Kits'!C77="","",'Young Innovators Kits'!C77)</f>
        <v>Jumper wires M-M</v>
      </c>
      <c r="D791" s="0" t="n">
        <f aca="false">IF('Young Innovators Kits'!D77="","",'Young Innovators Kits'!D77)</f>
        <v>10</v>
      </c>
      <c r="E791" s="0" t="str">
        <f aca="false">IF('Young Innovators Kits'!E77="","",'Young Innovators Kits'!E77)</f>
        <v>Per group</v>
      </c>
      <c r="F791" s="0" t="str">
        <f aca="false">IFERROR(INDEX('Session Tracker'!$M$5:$M$149,MATCH($A791,'Session Tracker'!$D$5:$D$149,0))+0,"")</f>
        <v/>
      </c>
      <c r="G791" s="0" t="str">
        <f aca="false">IF(ISNUMBER(F791),IF(OR(B791=0,B791=99,C791&lt;&gt;""),F791*100+B791,""),"")</f>
        <v/>
      </c>
      <c r="H791" s="0" t="n">
        <f aca="false">IFERROR(INDEX('Session Tracker'!$J$5:$J$149,MATCH($A791,'Session Tracker'!$D$5:$D$149,0)),0)</f>
        <v>8</v>
      </c>
      <c r="I791" s="0" t="n">
        <f aca="false">IF(OR(B791=0,B791=99,C791=""),"",IF(E791="Per class",D791,D791*H791))</f>
        <v>80</v>
      </c>
      <c r="N791" s="0" t="str">
        <f aca="false">IF('Young Innovators Kits'!B77="","",'Young Innovators Kits'!B77)</f>
        <v>Wiring &amp; Prototyping</v>
      </c>
      <c r="O791" s="0" t="str">
        <f aca="false">IF('Young Innovators Kits'!F77="","",'Young Innovators Kits'!F77)</f>
        <v>Reusable</v>
      </c>
      <c r="P791" s="0" t="str">
        <f aca="false">IF('Young Innovators Kits'!G77="","",'Young Innovators Kits'!G77)</f>
        <v/>
      </c>
    </row>
    <row r="792" customFormat="false" ht="15" hidden="false" customHeight="false" outlineLevel="0" collapsed="false">
      <c r="A792" s="0" t="s">
        <v>227</v>
      </c>
      <c r="B792" s="0" t="n">
        <v>9</v>
      </c>
      <c r="C792" s="0" t="str">
        <f aca="false">IF('Young Innovators Kits'!C78="","",'Young Innovators Kits'!C78)</f>
        <v>Jumper wires M-F</v>
      </c>
      <c r="D792" s="0" t="n">
        <f aca="false">IF('Young Innovators Kits'!D78="","",'Young Innovators Kits'!D78)</f>
        <v>6</v>
      </c>
      <c r="E792" s="0" t="str">
        <f aca="false">IF('Young Innovators Kits'!E78="","",'Young Innovators Kits'!E78)</f>
        <v>Per group</v>
      </c>
      <c r="F792" s="0" t="str">
        <f aca="false">IFERROR(INDEX('Session Tracker'!$M$5:$M$149,MATCH($A792,'Session Tracker'!$D$5:$D$149,0))+0,"")</f>
        <v/>
      </c>
      <c r="G792" s="0" t="str">
        <f aca="false">IF(ISNUMBER(F792),IF(OR(B792=0,B792=99,C792&lt;&gt;""),F792*100+B792,""),"")</f>
        <v/>
      </c>
      <c r="H792" s="0" t="n">
        <f aca="false">IFERROR(INDEX('Session Tracker'!$J$5:$J$149,MATCH($A792,'Session Tracker'!$D$5:$D$149,0)),0)</f>
        <v>8</v>
      </c>
      <c r="I792" s="0" t="n">
        <f aca="false">IF(OR(B792=0,B792=99,C792=""),"",IF(E792="Per class",D792,D792*H792))</f>
        <v>48</v>
      </c>
      <c r="N792" s="0" t="str">
        <f aca="false">IF('Young Innovators Kits'!B78="","",'Young Innovators Kits'!B78)</f>
        <v>Wiring &amp; Prototyping</v>
      </c>
      <c r="O792" s="0" t="str">
        <f aca="false">IF('Young Innovators Kits'!F78="","",'Young Innovators Kits'!F78)</f>
        <v>Reusable</v>
      </c>
      <c r="P792" s="0" t="str">
        <f aca="false">IF('Young Innovators Kits'!G78="","",'Young Innovators Kits'!G78)</f>
        <v/>
      </c>
    </row>
    <row r="793" customFormat="false" ht="15" hidden="false" customHeight="false" outlineLevel="0" collapsed="false">
      <c r="A793" s="0" t="s">
        <v>227</v>
      </c>
      <c r="B793" s="0" t="n">
        <v>10</v>
      </c>
      <c r="C793" s="0" t="str">
        <f aca="false">IF('Young Innovators Kits'!C79="","",'Young Innovators Kits'!C79)</f>
        <v>Laptop</v>
      </c>
      <c r="D793" s="0" t="n">
        <f aca="false">IF('Young Innovators Kits'!D79="","",'Young Innovators Kits'!D79)</f>
        <v>1</v>
      </c>
      <c r="E793" s="0" t="str">
        <f aca="false">IF('Young Innovators Kits'!E79="","",'Young Innovators Kits'!E79)</f>
        <v>Per group</v>
      </c>
      <c r="F793" s="0" t="str">
        <f aca="false">IFERROR(INDEX('Session Tracker'!$M$5:$M$149,MATCH($A793,'Session Tracker'!$D$5:$D$149,0))+0,"")</f>
        <v/>
      </c>
      <c r="G793" s="0" t="str">
        <f aca="false">IF(ISNUMBER(F793),IF(OR(B793=0,B793=99,C793&lt;&gt;""),F793*100+B793,""),"")</f>
        <v/>
      </c>
      <c r="H793" s="0" t="n">
        <f aca="false">IFERROR(INDEX('Session Tracker'!$J$5:$J$149,MATCH($A793,'Session Tracker'!$D$5:$D$149,0)),0)</f>
        <v>8</v>
      </c>
      <c r="I793" s="0" t="n">
        <f aca="false">IF(OR(B793=0,B793=99,C793=""),"",IF(E793="Per class",D793,D793*H793))</f>
        <v>8</v>
      </c>
      <c r="N793" s="0" t="str">
        <f aca="false">IF('Young Innovators Kits'!B79="","",'Young Innovators Kits'!B79)</f>
        <v>Computers &amp; Equipment</v>
      </c>
      <c r="O793" s="0" t="str">
        <f aca="false">IF('Young Innovators Kits'!F79="","",'Young Innovators Kits'!F79)</f>
        <v>Reusable</v>
      </c>
      <c r="P793" s="0" t="str">
        <f aca="false">IF('Young Innovators Kits'!G79="","",'Young Innovators Kits'!G79)</f>
        <v/>
      </c>
    </row>
    <row r="794" customFormat="false" ht="15" hidden="false" customHeight="false" outlineLevel="0" collapsed="false">
      <c r="A794" s="0" t="s">
        <v>227</v>
      </c>
      <c r="B794" s="0" t="n">
        <v>11</v>
      </c>
      <c r="C794" s="0" t="str">
        <f aca="false">IF('Young Innovators Kits'!C80="","",'Young Innovators Kits'!C80)</f>
        <v/>
      </c>
      <c r="D794" s="0" t="str">
        <f aca="false">IF('Young Innovators Kits'!D80="","",'Young Innovators Kits'!D80)</f>
        <v/>
      </c>
      <c r="E794" s="0" t="str">
        <f aca="false">IF('Young Innovators Kits'!E80="","",'Young Innovators Kits'!E80)</f>
        <v/>
      </c>
      <c r="F794" s="0" t="str">
        <f aca="false">IFERROR(INDEX('Session Tracker'!$M$5:$M$149,MATCH($A794,'Session Tracker'!$D$5:$D$149,0))+0,"")</f>
        <v/>
      </c>
      <c r="G794" s="0" t="str">
        <f aca="false">IF(ISNUMBER(F794),IF(OR(B794=0,B794=99,C794&lt;&gt;""),F794*100+B794,""),"")</f>
        <v/>
      </c>
      <c r="H794" s="0" t="n">
        <f aca="false">IFERROR(INDEX('Session Tracker'!$J$5:$J$149,MATCH($A794,'Session Tracker'!$D$5:$D$149,0)),0)</f>
        <v>8</v>
      </c>
      <c r="I794" s="0" t="str">
        <f aca="false">IF(OR(B794=0,B794=99,C794=""),"",IF(E794="Per class",D794,D794*H794))</f>
        <v/>
      </c>
      <c r="N794" s="0" t="str">
        <f aca="false">IF('Young Innovators Kits'!B80="","",'Young Innovators Kits'!B80)</f>
        <v/>
      </c>
      <c r="O794" s="0" t="str">
        <f aca="false">IF('Young Innovators Kits'!F80="","",'Young Innovators Kits'!F80)</f>
        <v/>
      </c>
      <c r="P794" s="0" t="str">
        <f aca="false">IF('Young Innovators Kits'!G80="","",'Young Innovators Kits'!G80)</f>
        <v/>
      </c>
    </row>
    <row r="795" customFormat="false" ht="15" hidden="false" customHeight="false" outlineLevel="0" collapsed="false">
      <c r="A795" s="0" t="s">
        <v>227</v>
      </c>
      <c r="B795" s="0" t="n">
        <v>12</v>
      </c>
      <c r="C795" s="0" t="str">
        <f aca="false">IF('Young Innovators Kits'!C81="","",'Young Innovators Kits'!C81)</f>
        <v/>
      </c>
      <c r="D795" s="0" t="str">
        <f aca="false">IF('Young Innovators Kits'!D81="","",'Young Innovators Kits'!D81)</f>
        <v/>
      </c>
      <c r="E795" s="0" t="str">
        <f aca="false">IF('Young Innovators Kits'!E81="","",'Young Innovators Kits'!E81)</f>
        <v/>
      </c>
      <c r="F795" s="0" t="str">
        <f aca="false">IFERROR(INDEX('Session Tracker'!$M$5:$M$149,MATCH($A795,'Session Tracker'!$D$5:$D$149,0))+0,"")</f>
        <v/>
      </c>
      <c r="G795" s="0" t="str">
        <f aca="false">IF(ISNUMBER(F795),IF(OR(B795=0,B795=99,C795&lt;&gt;""),F795*100+B795,""),"")</f>
        <v/>
      </c>
      <c r="H795" s="0" t="n">
        <f aca="false">IFERROR(INDEX('Session Tracker'!$J$5:$J$149,MATCH($A795,'Session Tracker'!$D$5:$D$149,0)),0)</f>
        <v>8</v>
      </c>
      <c r="I795" s="0" t="str">
        <f aca="false">IF(OR(B795=0,B795=99,C795=""),"",IF(E795="Per class",D795,D795*H795))</f>
        <v/>
      </c>
      <c r="N795" s="0" t="str">
        <f aca="false">IF('Young Innovators Kits'!B81="","",'Young Innovators Kits'!B81)</f>
        <v/>
      </c>
      <c r="O795" s="0" t="str">
        <f aca="false">IF('Young Innovators Kits'!F81="","",'Young Innovators Kits'!F81)</f>
        <v/>
      </c>
      <c r="P795" s="0" t="str">
        <f aca="false">IF('Young Innovators Kits'!G81="","",'Young Innovators Kits'!G81)</f>
        <v/>
      </c>
    </row>
    <row r="796" customFormat="false" ht="15" hidden="false" customHeight="false" outlineLevel="0" collapsed="false">
      <c r="A796" s="0" t="s">
        <v>229</v>
      </c>
      <c r="B796" s="0" t="n">
        <v>0</v>
      </c>
      <c r="F796" s="0" t="str">
        <f aca="false">IFERROR(INDEX('Session Tracker'!$M$5:$M$149,MATCH($A796,'Session Tracker'!$D$5:$D$149,0))+0,"")</f>
        <v/>
      </c>
      <c r="G796" s="0" t="str">
        <f aca="false">IF(ISNUMBER(F796),IF(OR(B796=0,B796=99,C796&lt;&gt;""),F796*100+B796,""),"")</f>
        <v/>
      </c>
      <c r="H796" s="0" t="n">
        <f aca="false">IFERROR(INDEX('Session Tracker'!$J$5:$J$149,MATCH($A796,'Session Tracker'!$D$5:$D$149,0)),0)</f>
        <v>8</v>
      </c>
      <c r="I796" s="0" t="str">
        <f aca="false">IF(OR(B796=0,B796=99,C796=""),"",IF(E796="Per class",D796,D796*H796))</f>
        <v/>
      </c>
      <c r="K796" s="0" t="str">
        <f aca="false">IFERROR(INDEX('Session Tracker'!$E$5:$E$149,MATCH($A796,'Session Tracker'!$D$5:$D$149,0)),"")</f>
        <v>Smart Classroom Energy Saver</v>
      </c>
      <c r="L796" s="0" t="str">
        <f aca="false">IFERROR(INDEX('Session Tracker'!$A$5:$A$149,MATCH($A796,'Session Tracker'!$D$5:$D$149,0)),"")</f>
        <v>Young Innovators (12-14)</v>
      </c>
      <c r="M796" s="0" t="str">
        <f aca="false">IFERROR(INDEX('Session Tracker'!$H$5:$H$149,MATCH($A796,'Session Tracker'!$D$5:$D$149,0))&amp;"","")</f>
        <v/>
      </c>
      <c r="Q796" s="0" t="str">
        <f aca="false">IFERROR("Status: "&amp;INDEX('Session Tracker'!$F$5:$F$149,MATCH($A796,'Session Tracker'!$D$5:$D$149,0))&amp;IF(INDEX('Session Tracker'!$G$5:$G$149,MATCH($A796,'Session Tracker'!$D$5:$D$149,0))&lt;&gt;""," ("&amp;INDEX('Session Tracker'!$G$5:$G$149,MATCH($A796,'Session Tracker'!$D$5:$D$149,0))&amp;")","")&amp;IF(M796&lt;&gt;"","  "&amp;M796,""),"")</f>
        <v>Status: Not started</v>
      </c>
    </row>
    <row r="797" customFormat="false" ht="15" hidden="false" customHeight="false" outlineLevel="0" collapsed="false">
      <c r="A797" s="0" t="s">
        <v>229</v>
      </c>
      <c r="B797" s="0" t="n">
        <v>1</v>
      </c>
      <c r="C797" s="0" t="str">
        <f aca="false">IF('Young Innovators Kits'!C84="","",'Young Innovators Kits'!C84)</f>
        <v>Arduino Uno + USB cable</v>
      </c>
      <c r="D797" s="0" t="n">
        <f aca="false">IF('Young Innovators Kits'!D84="","",'Young Innovators Kits'!D84)</f>
        <v>1</v>
      </c>
      <c r="E797" s="0" t="str">
        <f aca="false">IF('Young Innovators Kits'!E84="","",'Young Innovators Kits'!E84)</f>
        <v>Per group</v>
      </c>
      <c r="F797" s="0" t="str">
        <f aca="false">IFERROR(INDEX('Session Tracker'!$M$5:$M$149,MATCH($A797,'Session Tracker'!$D$5:$D$149,0))+0,"")</f>
        <v/>
      </c>
      <c r="G797" s="0" t="str">
        <f aca="false">IF(ISNUMBER(F797),IF(OR(B797=0,B797=99,C797&lt;&gt;""),F797*100+B797,""),"")</f>
        <v/>
      </c>
      <c r="H797" s="0" t="n">
        <f aca="false">IFERROR(INDEX('Session Tracker'!$J$5:$J$149,MATCH($A797,'Session Tracker'!$D$5:$D$149,0)),0)</f>
        <v>8</v>
      </c>
      <c r="I797" s="0" t="n">
        <f aca="false">IF(OR(B797=0,B797=99,C797=""),"",IF(E797="Per class",D797,D797*H797))</f>
        <v>8</v>
      </c>
      <c r="N797" s="0" t="str">
        <f aca="false">IF('Young Innovators Kits'!B84="","",'Young Innovators Kits'!B84)</f>
        <v>Microcontrollers &amp; Dev Boards</v>
      </c>
      <c r="O797" s="0" t="str">
        <f aca="false">IF('Young Innovators Kits'!F84="","",'Young Innovators Kits'!F84)</f>
        <v>Reusable</v>
      </c>
      <c r="P797" s="0" t="str">
        <f aca="false">IF('Young Innovators Kits'!G84="","",'Young Innovators Kits'!G84)</f>
        <v/>
      </c>
    </row>
    <row r="798" customFormat="false" ht="15" hidden="false" customHeight="false" outlineLevel="0" collapsed="false">
      <c r="A798" s="0" t="s">
        <v>229</v>
      </c>
      <c r="B798" s="0" t="n">
        <v>2</v>
      </c>
      <c r="C798" s="0" t="str">
        <f aca="false">IF('Young Innovators Kits'!C85="","",'Young Innovators Kits'!C85)</f>
        <v>PIR motion sensor</v>
      </c>
      <c r="D798" s="0" t="n">
        <f aca="false">IF('Young Innovators Kits'!D85="","",'Young Innovators Kits'!D85)</f>
        <v>1</v>
      </c>
      <c r="E798" s="0" t="str">
        <f aca="false">IF('Young Innovators Kits'!E85="","",'Young Innovators Kits'!E85)</f>
        <v>Per group</v>
      </c>
      <c r="F798" s="0" t="str">
        <f aca="false">IFERROR(INDEX('Session Tracker'!$M$5:$M$149,MATCH($A798,'Session Tracker'!$D$5:$D$149,0))+0,"")</f>
        <v/>
      </c>
      <c r="G798" s="0" t="str">
        <f aca="false">IF(ISNUMBER(F798),IF(OR(B798=0,B798=99,C798&lt;&gt;""),F798*100+B798,""),"")</f>
        <v/>
      </c>
      <c r="H798" s="0" t="n">
        <f aca="false">IFERROR(INDEX('Session Tracker'!$J$5:$J$149,MATCH($A798,'Session Tracker'!$D$5:$D$149,0)),0)</f>
        <v>8</v>
      </c>
      <c r="I798" s="0" t="n">
        <f aca="false">IF(OR(B798=0,B798=99,C798=""),"",IF(E798="Per class",D798,D798*H798))</f>
        <v>8</v>
      </c>
      <c r="N798" s="0" t="str">
        <f aca="false">IF('Young Innovators Kits'!B85="","",'Young Innovators Kits'!B85)</f>
        <v>Sensors</v>
      </c>
      <c r="O798" s="0" t="str">
        <f aca="false">IF('Young Innovators Kits'!F85="","",'Young Innovators Kits'!F85)</f>
        <v>Reusable</v>
      </c>
      <c r="P798" s="0" t="str">
        <f aca="false">IF('Young Innovators Kits'!G85="","",'Young Innovators Kits'!G85)</f>
        <v/>
      </c>
    </row>
    <row r="799" customFormat="false" ht="15" hidden="false" customHeight="false" outlineLevel="0" collapsed="false">
      <c r="A799" s="0" t="s">
        <v>229</v>
      </c>
      <c r="B799" s="0" t="n">
        <v>3</v>
      </c>
      <c r="C799" s="0" t="str">
        <f aca="false">IF('Young Innovators Kits'!C86="","",'Young Innovators Kits'!C86)</f>
        <v>LDR module</v>
      </c>
      <c r="D799" s="0" t="n">
        <f aca="false">IF('Young Innovators Kits'!D86="","",'Young Innovators Kits'!D86)</f>
        <v>1</v>
      </c>
      <c r="E799" s="0" t="str">
        <f aca="false">IF('Young Innovators Kits'!E86="","",'Young Innovators Kits'!E86)</f>
        <v>Per group</v>
      </c>
      <c r="F799" s="0" t="str">
        <f aca="false">IFERROR(INDEX('Session Tracker'!$M$5:$M$149,MATCH($A799,'Session Tracker'!$D$5:$D$149,0))+0,"")</f>
        <v/>
      </c>
      <c r="G799" s="0" t="str">
        <f aca="false">IF(ISNUMBER(F799),IF(OR(B799=0,B799=99,C799&lt;&gt;""),F799*100+B799,""),"")</f>
        <v/>
      </c>
      <c r="H799" s="0" t="n">
        <f aca="false">IFERROR(INDEX('Session Tracker'!$J$5:$J$149,MATCH($A799,'Session Tracker'!$D$5:$D$149,0)),0)</f>
        <v>8</v>
      </c>
      <c r="I799" s="0" t="n">
        <f aca="false">IF(OR(B799=0,B799=99,C799=""),"",IF(E799="Per class",D799,D799*H799))</f>
        <v>8</v>
      </c>
      <c r="N799" s="0" t="str">
        <f aca="false">IF('Young Innovators Kits'!B86="","",'Young Innovators Kits'!B86)</f>
        <v>Sensors</v>
      </c>
      <c r="O799" s="0" t="str">
        <f aca="false">IF('Young Innovators Kits'!F86="","",'Young Innovators Kits'!F86)</f>
        <v>Reusable</v>
      </c>
      <c r="P799" s="0" t="str">
        <f aca="false">IF('Young Innovators Kits'!G86="","",'Young Innovators Kits'!G86)</f>
        <v/>
      </c>
    </row>
    <row r="800" customFormat="false" ht="15" hidden="false" customHeight="false" outlineLevel="0" collapsed="false">
      <c r="A800" s="0" t="s">
        <v>229</v>
      </c>
      <c r="B800" s="0" t="n">
        <v>4</v>
      </c>
      <c r="C800" s="0" t="str">
        <f aca="false">IF('Young Innovators Kits'!C87="","",'Young Innovators Kits'!C87)</f>
        <v>Relay module (1-channel)</v>
      </c>
      <c r="D800" s="0" t="n">
        <f aca="false">IF('Young Innovators Kits'!D87="","",'Young Innovators Kits'!D87)</f>
        <v>1</v>
      </c>
      <c r="E800" s="0" t="str">
        <f aca="false">IF('Young Innovators Kits'!E87="","",'Young Innovators Kits'!E87)</f>
        <v>Per group</v>
      </c>
      <c r="F800" s="0" t="str">
        <f aca="false">IFERROR(INDEX('Session Tracker'!$M$5:$M$149,MATCH($A800,'Session Tracker'!$D$5:$D$149,0))+0,"")</f>
        <v/>
      </c>
      <c r="G800" s="0" t="str">
        <f aca="false">IF(ISNUMBER(F800),IF(OR(B800=0,B800=99,C800&lt;&gt;""),F800*100+B800,""),"")</f>
        <v/>
      </c>
      <c r="H800" s="0" t="n">
        <f aca="false">IFERROR(INDEX('Session Tracker'!$J$5:$J$149,MATCH($A800,'Session Tracker'!$D$5:$D$149,0)),0)</f>
        <v>8</v>
      </c>
      <c r="I800" s="0" t="n">
        <f aca="false">IF(OR(B800=0,B800=99,C800=""),"",IF(E800="Per class",D800,D800*H800))</f>
        <v>8</v>
      </c>
      <c r="N800" s="0" t="str">
        <f aca="false">IF('Young Innovators Kits'!B87="","",'Young Innovators Kits'!B87)</f>
        <v>Actuators &amp; Motor Drivers</v>
      </c>
      <c r="O800" s="0" t="str">
        <f aca="false">IF('Young Innovators Kits'!F87="","",'Young Innovators Kits'!F87)</f>
        <v>Reusable</v>
      </c>
      <c r="P800" s="0" t="str">
        <f aca="false">IF('Young Innovators Kits'!G87="","",'Young Innovators Kits'!G87)</f>
        <v/>
      </c>
    </row>
    <row r="801" customFormat="false" ht="15" hidden="false" customHeight="false" outlineLevel="0" collapsed="false">
      <c r="A801" s="0" t="s">
        <v>229</v>
      </c>
      <c r="B801" s="0" t="n">
        <v>5</v>
      </c>
      <c r="C801" s="0" t="str">
        <f aca="false">IF('Young Innovators Kits'!C88="","",'Young Innovators Kits'!C88)</f>
        <v>Low-voltage LED lamp (5 V)</v>
      </c>
      <c r="D801" s="0" t="n">
        <f aca="false">IF('Young Innovators Kits'!D88="","",'Young Innovators Kits'!D88)</f>
        <v>1</v>
      </c>
      <c r="E801" s="0" t="str">
        <f aca="false">IF('Young Innovators Kits'!E88="","",'Young Innovators Kits'!E88)</f>
        <v>Per group</v>
      </c>
      <c r="F801" s="0" t="str">
        <f aca="false">IFERROR(INDEX('Session Tracker'!$M$5:$M$149,MATCH($A801,'Session Tracker'!$D$5:$D$149,0))+0,"")</f>
        <v/>
      </c>
      <c r="G801" s="0" t="str">
        <f aca="false">IF(ISNUMBER(F801),IF(OR(B801=0,B801=99,C801&lt;&gt;""),F801*100+B801,""),"")</f>
        <v/>
      </c>
      <c r="H801" s="0" t="n">
        <f aca="false">IFERROR(INDEX('Session Tracker'!$J$5:$J$149,MATCH($A801,'Session Tracker'!$D$5:$D$149,0)),0)</f>
        <v>8</v>
      </c>
      <c r="I801" s="0" t="n">
        <f aca="false">IF(OR(B801=0,B801=99,C801=""),"",IF(E801="Per class",D801,D801*H801))</f>
        <v>8</v>
      </c>
      <c r="N801" s="0" t="str">
        <f aca="false">IF('Young Innovators Kits'!B88="","",'Young Innovators Kits'!B88)</f>
        <v>Displays &amp; Output</v>
      </c>
      <c r="O801" s="0" t="str">
        <f aca="false">IF('Young Innovators Kits'!F88="","",'Young Innovators Kits'!F88)</f>
        <v>Reusable</v>
      </c>
      <c r="P801" s="0" t="str">
        <f aca="false">IF('Young Innovators Kits'!G88="","",'Young Innovators Kits'!G88)</f>
        <v/>
      </c>
    </row>
    <row r="802" customFormat="false" ht="15" hidden="false" customHeight="false" outlineLevel="0" collapsed="false">
      <c r="A802" s="0" t="s">
        <v>229</v>
      </c>
      <c r="B802" s="0" t="n">
        <v>6</v>
      </c>
      <c r="C802" s="0" t="str">
        <f aca="false">IF('Young Innovators Kits'!C89="","",'Young Innovators Kits'!C89)</f>
        <v>OLED 0.96 in I2C</v>
      </c>
      <c r="D802" s="0" t="n">
        <f aca="false">IF('Young Innovators Kits'!D89="","",'Young Innovators Kits'!D89)</f>
        <v>1</v>
      </c>
      <c r="E802" s="0" t="str">
        <f aca="false">IF('Young Innovators Kits'!E89="","",'Young Innovators Kits'!E89)</f>
        <v>Per group</v>
      </c>
      <c r="F802" s="0" t="str">
        <f aca="false">IFERROR(INDEX('Session Tracker'!$M$5:$M$149,MATCH($A802,'Session Tracker'!$D$5:$D$149,0))+0,"")</f>
        <v/>
      </c>
      <c r="G802" s="0" t="str">
        <f aca="false">IF(ISNUMBER(F802),IF(OR(B802=0,B802=99,C802&lt;&gt;""),F802*100+B802,""),"")</f>
        <v/>
      </c>
      <c r="H802" s="0" t="n">
        <f aca="false">IFERROR(INDEX('Session Tracker'!$J$5:$J$149,MATCH($A802,'Session Tracker'!$D$5:$D$149,0)),0)</f>
        <v>8</v>
      </c>
      <c r="I802" s="0" t="n">
        <f aca="false">IF(OR(B802=0,B802=99,C802=""),"",IF(E802="Per class",D802,D802*H802))</f>
        <v>8</v>
      </c>
      <c r="N802" s="0" t="str">
        <f aca="false">IF('Young Innovators Kits'!B89="","",'Young Innovators Kits'!B89)</f>
        <v>Displays &amp; Output</v>
      </c>
      <c r="O802" s="0" t="str">
        <f aca="false">IF('Young Innovators Kits'!F89="","",'Young Innovators Kits'!F89)</f>
        <v>Reusable</v>
      </c>
      <c r="P802" s="0" t="str">
        <f aca="false">IF('Young Innovators Kits'!G89="","",'Young Innovators Kits'!G89)</f>
        <v/>
      </c>
    </row>
    <row r="803" customFormat="false" ht="15" hidden="false" customHeight="false" outlineLevel="0" collapsed="false">
      <c r="A803" s="0" t="s">
        <v>229</v>
      </c>
      <c r="B803" s="0" t="n">
        <v>7</v>
      </c>
      <c r="C803" s="0" t="str">
        <f aca="false">IF('Young Innovators Kits'!C90="","",'Young Innovators Kits'!C90)</f>
        <v>Breadboard (half size)</v>
      </c>
      <c r="D803" s="0" t="n">
        <f aca="false">IF('Young Innovators Kits'!D90="","",'Young Innovators Kits'!D90)</f>
        <v>1</v>
      </c>
      <c r="E803" s="0" t="str">
        <f aca="false">IF('Young Innovators Kits'!E90="","",'Young Innovators Kits'!E90)</f>
        <v>Per group</v>
      </c>
      <c r="F803" s="0" t="str">
        <f aca="false">IFERROR(INDEX('Session Tracker'!$M$5:$M$149,MATCH($A803,'Session Tracker'!$D$5:$D$149,0))+0,"")</f>
        <v/>
      </c>
      <c r="G803" s="0" t="str">
        <f aca="false">IF(ISNUMBER(F803),IF(OR(B803=0,B803=99,C803&lt;&gt;""),F803*100+B803,""),"")</f>
        <v/>
      </c>
      <c r="H803" s="0" t="n">
        <f aca="false">IFERROR(INDEX('Session Tracker'!$J$5:$J$149,MATCH($A803,'Session Tracker'!$D$5:$D$149,0)),0)</f>
        <v>8</v>
      </c>
      <c r="I803" s="0" t="n">
        <f aca="false">IF(OR(B803=0,B803=99,C803=""),"",IF(E803="Per class",D803,D803*H803))</f>
        <v>8</v>
      </c>
      <c r="N803" s="0" t="str">
        <f aca="false">IF('Young Innovators Kits'!B90="","",'Young Innovators Kits'!B90)</f>
        <v>Wiring &amp; Prototyping</v>
      </c>
      <c r="O803" s="0" t="str">
        <f aca="false">IF('Young Innovators Kits'!F90="","",'Young Innovators Kits'!F90)</f>
        <v>Reusable</v>
      </c>
      <c r="P803" s="0" t="str">
        <f aca="false">IF('Young Innovators Kits'!G90="","",'Young Innovators Kits'!G90)</f>
        <v/>
      </c>
    </row>
    <row r="804" customFormat="false" ht="15" hidden="false" customHeight="false" outlineLevel="0" collapsed="false">
      <c r="A804" s="0" t="s">
        <v>229</v>
      </c>
      <c r="B804" s="0" t="n">
        <v>8</v>
      </c>
      <c r="C804" s="0" t="str">
        <f aca="false">IF('Young Innovators Kits'!C91="","",'Young Innovators Kits'!C91)</f>
        <v>Jumper wires M-M</v>
      </c>
      <c r="D804" s="0" t="n">
        <f aca="false">IF('Young Innovators Kits'!D91="","",'Young Innovators Kits'!D91)</f>
        <v>10</v>
      </c>
      <c r="E804" s="0" t="str">
        <f aca="false">IF('Young Innovators Kits'!E91="","",'Young Innovators Kits'!E91)</f>
        <v>Per group</v>
      </c>
      <c r="F804" s="0" t="str">
        <f aca="false">IFERROR(INDEX('Session Tracker'!$M$5:$M$149,MATCH($A804,'Session Tracker'!$D$5:$D$149,0))+0,"")</f>
        <v/>
      </c>
      <c r="G804" s="0" t="str">
        <f aca="false">IF(ISNUMBER(F804),IF(OR(B804=0,B804=99,C804&lt;&gt;""),F804*100+B804,""),"")</f>
        <v/>
      </c>
      <c r="H804" s="0" t="n">
        <f aca="false">IFERROR(INDEX('Session Tracker'!$J$5:$J$149,MATCH($A804,'Session Tracker'!$D$5:$D$149,0)),0)</f>
        <v>8</v>
      </c>
      <c r="I804" s="0" t="n">
        <f aca="false">IF(OR(B804=0,B804=99,C804=""),"",IF(E804="Per class",D804,D804*H804))</f>
        <v>80</v>
      </c>
      <c r="N804" s="0" t="str">
        <f aca="false">IF('Young Innovators Kits'!B91="","",'Young Innovators Kits'!B91)</f>
        <v>Wiring &amp; Prototyping</v>
      </c>
      <c r="O804" s="0" t="str">
        <f aca="false">IF('Young Innovators Kits'!F91="","",'Young Innovators Kits'!F91)</f>
        <v>Reusable</v>
      </c>
      <c r="P804" s="0" t="str">
        <f aca="false">IF('Young Innovators Kits'!G91="","",'Young Innovators Kits'!G91)</f>
        <v/>
      </c>
    </row>
    <row r="805" customFormat="false" ht="15" hidden="false" customHeight="false" outlineLevel="0" collapsed="false">
      <c r="A805" s="0" t="s">
        <v>229</v>
      </c>
      <c r="B805" s="0" t="n">
        <v>9</v>
      </c>
      <c r="C805" s="0" t="str">
        <f aca="false">IF('Young Innovators Kits'!C92="","",'Young Innovators Kits'!C92)</f>
        <v>Jumper wires M-F</v>
      </c>
      <c r="D805" s="0" t="n">
        <f aca="false">IF('Young Innovators Kits'!D92="","",'Young Innovators Kits'!D92)</f>
        <v>8</v>
      </c>
      <c r="E805" s="0" t="str">
        <f aca="false">IF('Young Innovators Kits'!E92="","",'Young Innovators Kits'!E92)</f>
        <v>Per group</v>
      </c>
      <c r="F805" s="0" t="str">
        <f aca="false">IFERROR(INDEX('Session Tracker'!$M$5:$M$149,MATCH($A805,'Session Tracker'!$D$5:$D$149,0))+0,"")</f>
        <v/>
      </c>
      <c r="G805" s="0" t="str">
        <f aca="false">IF(ISNUMBER(F805),IF(OR(B805=0,B805=99,C805&lt;&gt;""),F805*100+B805,""),"")</f>
        <v/>
      </c>
      <c r="H805" s="0" t="n">
        <f aca="false">IFERROR(INDEX('Session Tracker'!$J$5:$J$149,MATCH($A805,'Session Tracker'!$D$5:$D$149,0)),0)</f>
        <v>8</v>
      </c>
      <c r="I805" s="0" t="n">
        <f aca="false">IF(OR(B805=0,B805=99,C805=""),"",IF(E805="Per class",D805,D805*H805))</f>
        <v>64</v>
      </c>
      <c r="N805" s="0" t="str">
        <f aca="false">IF('Young Innovators Kits'!B92="","",'Young Innovators Kits'!B92)</f>
        <v>Wiring &amp; Prototyping</v>
      </c>
      <c r="O805" s="0" t="str">
        <f aca="false">IF('Young Innovators Kits'!F92="","",'Young Innovators Kits'!F92)</f>
        <v>Reusable</v>
      </c>
      <c r="P805" s="0" t="str">
        <f aca="false">IF('Young Innovators Kits'!G92="","",'Young Innovators Kits'!G92)</f>
        <v/>
      </c>
    </row>
    <row r="806" customFormat="false" ht="15" hidden="false" customHeight="false" outlineLevel="0" collapsed="false">
      <c r="A806" s="0" t="s">
        <v>229</v>
      </c>
      <c r="B806" s="0" t="n">
        <v>10</v>
      </c>
      <c r="C806" s="0" t="str">
        <f aca="false">IF('Young Innovators Kits'!C93="","",'Young Innovators Kits'!C93)</f>
        <v>Laptop</v>
      </c>
      <c r="D806" s="0" t="n">
        <f aca="false">IF('Young Innovators Kits'!D93="","",'Young Innovators Kits'!D93)</f>
        <v>1</v>
      </c>
      <c r="E806" s="0" t="str">
        <f aca="false">IF('Young Innovators Kits'!E93="","",'Young Innovators Kits'!E93)</f>
        <v>Per group</v>
      </c>
      <c r="F806" s="0" t="str">
        <f aca="false">IFERROR(INDEX('Session Tracker'!$M$5:$M$149,MATCH($A806,'Session Tracker'!$D$5:$D$149,0))+0,"")</f>
        <v/>
      </c>
      <c r="G806" s="0" t="str">
        <f aca="false">IF(ISNUMBER(F806),IF(OR(B806=0,B806=99,C806&lt;&gt;""),F806*100+B806,""),"")</f>
        <v/>
      </c>
      <c r="H806" s="0" t="n">
        <f aca="false">IFERROR(INDEX('Session Tracker'!$J$5:$J$149,MATCH($A806,'Session Tracker'!$D$5:$D$149,0)),0)</f>
        <v>8</v>
      </c>
      <c r="I806" s="0" t="n">
        <f aca="false">IF(OR(B806=0,B806=99,C806=""),"",IF(E806="Per class",D806,D806*H806))</f>
        <v>8</v>
      </c>
      <c r="N806" s="0" t="str">
        <f aca="false">IF('Young Innovators Kits'!B93="","",'Young Innovators Kits'!B93)</f>
        <v>Computers &amp; Equipment</v>
      </c>
      <c r="O806" s="0" t="str">
        <f aca="false">IF('Young Innovators Kits'!F93="","",'Young Innovators Kits'!F93)</f>
        <v>Reusable</v>
      </c>
      <c r="P806" s="0" t="str">
        <f aca="false">IF('Young Innovators Kits'!G93="","",'Young Innovators Kits'!G93)</f>
        <v/>
      </c>
    </row>
    <row r="807" customFormat="false" ht="15" hidden="false" customHeight="false" outlineLevel="0" collapsed="false">
      <c r="A807" s="0" t="s">
        <v>229</v>
      </c>
      <c r="B807" s="0" t="n">
        <v>11</v>
      </c>
      <c r="C807" s="0" t="str">
        <f aca="false">IF('Young Innovators Kits'!C94="","",'Young Innovators Kits'!C94)</f>
        <v>LED 5 mm (assorted)</v>
      </c>
      <c r="D807" s="0" t="n">
        <f aca="false">IF('Young Innovators Kits'!D94="","",'Young Innovators Kits'!D94)</f>
        <v>1</v>
      </c>
      <c r="E807" s="0" t="str">
        <f aca="false">IF('Young Innovators Kits'!E94="","",'Young Innovators Kits'!E94)</f>
        <v>Per group</v>
      </c>
      <c r="F807" s="0" t="str">
        <f aca="false">IFERROR(INDEX('Session Tracker'!$M$5:$M$149,MATCH($A807,'Session Tracker'!$D$5:$D$149,0))+0,"")</f>
        <v/>
      </c>
      <c r="G807" s="0" t="str">
        <f aca="false">IF(ISNUMBER(F807),IF(OR(B807=0,B807=99,C807&lt;&gt;""),F807*100+B807,""),"")</f>
        <v/>
      </c>
      <c r="H807" s="0" t="n">
        <f aca="false">IFERROR(INDEX('Session Tracker'!$J$5:$J$149,MATCH($A807,'Session Tracker'!$D$5:$D$149,0)),0)</f>
        <v>8</v>
      </c>
      <c r="I807" s="0" t="n">
        <f aca="false">IF(OR(B807=0,B807=99,C807=""),"",IF(E807="Per class",D807,D807*H807))</f>
        <v>8</v>
      </c>
      <c r="N807" s="0" t="str">
        <f aca="false">IF('Young Innovators Kits'!B94="","",'Young Innovators Kits'!B94)</f>
        <v>Displays &amp; Output</v>
      </c>
      <c r="O807" s="0" t="str">
        <f aca="false">IF('Young Innovators Kits'!F94="","",'Young Innovators Kits'!F94)</f>
        <v>Consumable</v>
      </c>
      <c r="P807" s="0" t="str">
        <f aca="false">IF('Young Innovators Kits'!G94="","",'Young Innovators Kits'!G94)</f>
        <v>Added: every Arduino class</v>
      </c>
    </row>
    <row r="808" customFormat="false" ht="15" hidden="false" customHeight="false" outlineLevel="0" collapsed="false">
      <c r="A808" s="0" t="s">
        <v>229</v>
      </c>
      <c r="B808" s="0" t="n">
        <v>12</v>
      </c>
      <c r="C808" s="0" t="str">
        <f aca="false">IF('Young Innovators Kits'!C95="","",'Young Innovators Kits'!C95)</f>
        <v>Resistor 220 ohm</v>
      </c>
      <c r="D808" s="0" t="n">
        <f aca="false">IF('Young Innovators Kits'!D95="","",'Young Innovators Kits'!D95)</f>
        <v>1</v>
      </c>
      <c r="E808" s="0" t="str">
        <f aca="false">IF('Young Innovators Kits'!E95="","",'Young Innovators Kits'!E95)</f>
        <v>Per group</v>
      </c>
      <c r="F808" s="0" t="str">
        <f aca="false">IFERROR(INDEX('Session Tracker'!$M$5:$M$149,MATCH($A808,'Session Tracker'!$D$5:$D$149,0))+0,"")</f>
        <v/>
      </c>
      <c r="G808" s="0" t="str">
        <f aca="false">IF(ISNUMBER(F808),IF(OR(B808=0,B808=99,C808&lt;&gt;""),F808*100+B808,""),"")</f>
        <v/>
      </c>
      <c r="H808" s="0" t="n">
        <f aca="false">IFERROR(INDEX('Session Tracker'!$J$5:$J$149,MATCH($A808,'Session Tracker'!$D$5:$D$149,0)),0)</f>
        <v>8</v>
      </c>
      <c r="I808" s="0" t="n">
        <f aca="false">IF(OR(B808=0,B808=99,C808=""),"",IF(E808="Per class",D808,D808*H808))</f>
        <v>8</v>
      </c>
      <c r="N808" s="0" t="str">
        <f aca="false">IF('Young Innovators Kits'!B95="","",'Young Innovators Kits'!B95)</f>
        <v>Passive Components &amp; ICs</v>
      </c>
      <c r="O808" s="0" t="str">
        <f aca="false">IF('Young Innovators Kits'!F95="","",'Young Innovators Kits'!F95)</f>
        <v>Consumable</v>
      </c>
      <c r="P808" s="0" t="str">
        <f aca="false">IF('Young Innovators Kits'!G95="","",'Young Innovators Kits'!G95)</f>
        <v>Added: for the LED</v>
      </c>
    </row>
    <row r="809" customFormat="false" ht="15" hidden="false" customHeight="false" outlineLevel="0" collapsed="false">
      <c r="A809" s="0" t="s">
        <v>229</v>
      </c>
      <c r="B809" s="0" t="n">
        <v>13</v>
      </c>
      <c r="C809" s="0" t="str">
        <f aca="false">IF('Young Innovators Kits'!C96="","",'Young Innovators Kits'!C96)</f>
        <v>Buzzer</v>
      </c>
      <c r="D809" s="0" t="n">
        <f aca="false">IF('Young Innovators Kits'!D96="","",'Young Innovators Kits'!D96)</f>
        <v>1</v>
      </c>
      <c r="E809" s="0" t="str">
        <f aca="false">IF('Young Innovators Kits'!E96="","",'Young Innovators Kits'!E96)</f>
        <v>Per group</v>
      </c>
      <c r="F809" s="0" t="str">
        <f aca="false">IFERROR(INDEX('Session Tracker'!$M$5:$M$149,MATCH($A809,'Session Tracker'!$D$5:$D$149,0))+0,"")</f>
        <v/>
      </c>
      <c r="G809" s="0" t="str">
        <f aca="false">IF(ISNUMBER(F809),IF(OR(B809=0,B809=99,C809&lt;&gt;""),F809*100+B809,""),"")</f>
        <v/>
      </c>
      <c r="H809" s="0" t="n">
        <f aca="false">IFERROR(INDEX('Session Tracker'!$J$5:$J$149,MATCH($A809,'Session Tracker'!$D$5:$D$149,0)),0)</f>
        <v>8</v>
      </c>
      <c r="I809" s="0" t="n">
        <f aca="false">IF(OR(B809=0,B809=99,C809=""),"",IF(E809="Per class",D809,D809*H809))</f>
        <v>8</v>
      </c>
      <c r="N809" s="0" t="str">
        <f aca="false">IF('Young Innovators Kits'!B96="","",'Young Innovators Kits'!B96)</f>
        <v>Actuators &amp; Motor Drivers</v>
      </c>
      <c r="O809" s="0" t="str">
        <f aca="false">IF('Young Innovators Kits'!F96="","",'Young Innovators Kits'!F96)</f>
        <v>Reusable</v>
      </c>
      <c r="P809" s="0" t="str">
        <f aca="false">IF('Young Innovators Kits'!G96="","",'Young Innovators Kits'!G96)</f>
        <v>Added: every Arduino class</v>
      </c>
    </row>
    <row r="810" customFormat="false" ht="15" hidden="false" customHeight="false" outlineLevel="0" collapsed="false">
      <c r="A810" s="0" t="s">
        <v>229</v>
      </c>
      <c r="B810" s="0" t="n">
        <v>14</v>
      </c>
      <c r="C810" s="0" t="str">
        <f aca="false">IF('Young Innovators Kits'!C97="","",'Young Innovators Kits'!C97)</f>
        <v/>
      </c>
      <c r="D810" s="0" t="str">
        <f aca="false">IF('Young Innovators Kits'!D97="","",'Young Innovators Kits'!D97)</f>
        <v/>
      </c>
      <c r="E810" s="0" t="str">
        <f aca="false">IF('Young Innovators Kits'!E97="","",'Young Innovators Kits'!E97)</f>
        <v/>
      </c>
      <c r="F810" s="0" t="str">
        <f aca="false">IFERROR(INDEX('Session Tracker'!$M$5:$M$149,MATCH($A810,'Session Tracker'!$D$5:$D$149,0))+0,"")</f>
        <v/>
      </c>
      <c r="G810" s="0" t="str">
        <f aca="false">IF(ISNUMBER(F810),IF(OR(B810=0,B810=99,C810&lt;&gt;""),F810*100+B810,""),"")</f>
        <v/>
      </c>
      <c r="H810" s="0" t="n">
        <f aca="false">IFERROR(INDEX('Session Tracker'!$J$5:$J$149,MATCH($A810,'Session Tracker'!$D$5:$D$149,0)),0)</f>
        <v>8</v>
      </c>
      <c r="I810" s="0" t="str">
        <f aca="false">IF(OR(B810=0,B810=99,C810=""),"",IF(E810="Per class",D810,D810*H810))</f>
        <v/>
      </c>
      <c r="N810" s="0" t="str">
        <f aca="false">IF('Young Innovators Kits'!B97="","",'Young Innovators Kits'!B97)</f>
        <v/>
      </c>
      <c r="O810" s="0" t="str">
        <f aca="false">IF('Young Innovators Kits'!F97="","",'Young Innovators Kits'!F97)</f>
        <v/>
      </c>
      <c r="P810" s="0" t="str">
        <f aca="false">IF('Young Innovators Kits'!G97="","",'Young Innovators Kits'!G97)</f>
        <v/>
      </c>
    </row>
    <row r="811" customFormat="false" ht="15" hidden="false" customHeight="false" outlineLevel="0" collapsed="false">
      <c r="A811" s="0" t="s">
        <v>229</v>
      </c>
      <c r="B811" s="0" t="n">
        <v>15</v>
      </c>
      <c r="C811" s="0" t="str">
        <f aca="false">IF('Young Innovators Kits'!C98="","",'Young Innovators Kits'!C98)</f>
        <v/>
      </c>
      <c r="D811" s="0" t="str">
        <f aca="false">IF('Young Innovators Kits'!D98="","",'Young Innovators Kits'!D98)</f>
        <v/>
      </c>
      <c r="E811" s="0" t="str">
        <f aca="false">IF('Young Innovators Kits'!E98="","",'Young Innovators Kits'!E98)</f>
        <v/>
      </c>
      <c r="F811" s="0" t="str">
        <f aca="false">IFERROR(INDEX('Session Tracker'!$M$5:$M$149,MATCH($A811,'Session Tracker'!$D$5:$D$149,0))+0,"")</f>
        <v/>
      </c>
      <c r="G811" s="0" t="str">
        <f aca="false">IF(ISNUMBER(F811),IF(OR(B811=0,B811=99,C811&lt;&gt;""),F811*100+B811,""),"")</f>
        <v/>
      </c>
      <c r="H811" s="0" t="n">
        <f aca="false">IFERROR(INDEX('Session Tracker'!$J$5:$J$149,MATCH($A811,'Session Tracker'!$D$5:$D$149,0)),0)</f>
        <v>8</v>
      </c>
      <c r="I811" s="0" t="str">
        <f aca="false">IF(OR(B811=0,B811=99,C811=""),"",IF(E811="Per class",D811,D811*H811))</f>
        <v/>
      </c>
      <c r="N811" s="0" t="str">
        <f aca="false">IF('Young Innovators Kits'!B98="","",'Young Innovators Kits'!B98)</f>
        <v/>
      </c>
      <c r="O811" s="0" t="str">
        <f aca="false">IF('Young Innovators Kits'!F98="","",'Young Innovators Kits'!F98)</f>
        <v/>
      </c>
      <c r="P811" s="0" t="str">
        <f aca="false">IF('Young Innovators Kits'!G98="","",'Young Innovators Kits'!G98)</f>
        <v/>
      </c>
    </row>
    <row r="812" customFormat="false" ht="15" hidden="false" customHeight="false" outlineLevel="0" collapsed="false">
      <c r="A812" s="0" t="s">
        <v>231</v>
      </c>
      <c r="B812" s="0" t="n">
        <v>0</v>
      </c>
      <c r="F812" s="0" t="str">
        <f aca="false">IFERROR(INDEX('Session Tracker'!$M$5:$M$149,MATCH($A812,'Session Tracker'!$D$5:$D$149,0))+0,"")</f>
        <v/>
      </c>
      <c r="G812" s="0" t="str">
        <f aca="false">IF(ISNUMBER(F812),IF(OR(B812=0,B812=99,C812&lt;&gt;""),F812*100+B812,""),"")</f>
        <v/>
      </c>
      <c r="H812" s="0" t="n">
        <f aca="false">IFERROR(INDEX('Session Tracker'!$J$5:$J$149,MATCH($A812,'Session Tracker'!$D$5:$D$149,0)),0)</f>
        <v>8</v>
      </c>
      <c r="I812" s="0" t="str">
        <f aca="false">IF(OR(B812=0,B812=99,C812=""),"",IF(E812="Per class",D812,D812*H812))</f>
        <v/>
      </c>
      <c r="K812" s="0" t="str">
        <f aca="false">IFERROR(INDEX('Session Tracker'!$E$5:$E$149,MATCH($A812,'Session Tracker'!$D$5:$D$149,0)),"")</f>
        <v>Stepper Motor Drawing Plotter</v>
      </c>
      <c r="L812" s="0" t="str">
        <f aca="false">IFERROR(INDEX('Session Tracker'!$A$5:$A$149,MATCH($A812,'Session Tracker'!$D$5:$D$149,0)),"")</f>
        <v>Young Innovators (12-14)</v>
      </c>
      <c r="M812" s="0" t="str">
        <f aca="false">IFERROR(INDEX('Session Tracker'!$H$5:$H$149,MATCH($A812,'Session Tracker'!$D$5:$D$149,0))&amp;"","")</f>
        <v/>
      </c>
      <c r="Q812" s="0" t="str">
        <f aca="false">IFERROR("Status: "&amp;INDEX('Session Tracker'!$F$5:$F$149,MATCH($A812,'Session Tracker'!$D$5:$D$149,0))&amp;IF(INDEX('Session Tracker'!$G$5:$G$149,MATCH($A812,'Session Tracker'!$D$5:$D$149,0))&lt;&gt;""," ("&amp;INDEX('Session Tracker'!$G$5:$G$149,MATCH($A812,'Session Tracker'!$D$5:$D$149,0))&amp;")","")&amp;IF(M812&lt;&gt;"","  "&amp;M812,""),"")</f>
        <v>Status: Not started</v>
      </c>
    </row>
    <row r="813" customFormat="false" ht="15" hidden="false" customHeight="false" outlineLevel="0" collapsed="false">
      <c r="A813" s="0" t="s">
        <v>231</v>
      </c>
      <c r="B813" s="0" t="n">
        <v>1</v>
      </c>
      <c r="C813" s="0" t="str">
        <f aca="false">IF('Young Innovators Kits'!C101="","",'Young Innovators Kits'!C101)</f>
        <v>Arduino Uno + USB cable</v>
      </c>
      <c r="D813" s="0" t="n">
        <f aca="false">IF('Young Innovators Kits'!D101="","",'Young Innovators Kits'!D101)</f>
        <v>1</v>
      </c>
      <c r="E813" s="0" t="str">
        <f aca="false">IF('Young Innovators Kits'!E101="","",'Young Innovators Kits'!E101)</f>
        <v>Per group</v>
      </c>
      <c r="F813" s="0" t="str">
        <f aca="false">IFERROR(INDEX('Session Tracker'!$M$5:$M$149,MATCH($A813,'Session Tracker'!$D$5:$D$149,0))+0,"")</f>
        <v/>
      </c>
      <c r="G813" s="0" t="str">
        <f aca="false">IF(ISNUMBER(F813),IF(OR(B813=0,B813=99,C813&lt;&gt;""),F813*100+B813,""),"")</f>
        <v/>
      </c>
      <c r="H813" s="0" t="n">
        <f aca="false">IFERROR(INDEX('Session Tracker'!$J$5:$J$149,MATCH($A813,'Session Tracker'!$D$5:$D$149,0)),0)</f>
        <v>8</v>
      </c>
      <c r="I813" s="0" t="n">
        <f aca="false">IF(OR(B813=0,B813=99,C813=""),"",IF(E813="Per class",D813,D813*H813))</f>
        <v>8</v>
      </c>
      <c r="N813" s="0" t="str">
        <f aca="false">IF('Young Innovators Kits'!B101="","",'Young Innovators Kits'!B101)</f>
        <v>Microcontrollers &amp; Dev Boards</v>
      </c>
      <c r="O813" s="0" t="str">
        <f aca="false">IF('Young Innovators Kits'!F101="","",'Young Innovators Kits'!F101)</f>
        <v>Reusable</v>
      </c>
      <c r="P813" s="0" t="str">
        <f aca="false">IF('Young Innovators Kits'!G101="","",'Young Innovators Kits'!G101)</f>
        <v/>
      </c>
    </row>
    <row r="814" customFormat="false" ht="15" hidden="false" customHeight="false" outlineLevel="0" collapsed="false">
      <c r="A814" s="0" t="s">
        <v>231</v>
      </c>
      <c r="B814" s="0" t="n">
        <v>2</v>
      </c>
      <c r="C814" s="0" t="str">
        <f aca="false">IF('Young Innovators Kits'!C102="","",'Young Innovators Kits'!C102)</f>
        <v>Stepper 28BYJ-48 + ULN2003</v>
      </c>
      <c r="D814" s="0" t="n">
        <f aca="false">IF('Young Innovators Kits'!D102="","",'Young Innovators Kits'!D102)</f>
        <v>2</v>
      </c>
      <c r="E814" s="0" t="str">
        <f aca="false">IF('Young Innovators Kits'!E102="","",'Young Innovators Kits'!E102)</f>
        <v>Per group</v>
      </c>
      <c r="F814" s="0" t="str">
        <f aca="false">IFERROR(INDEX('Session Tracker'!$M$5:$M$149,MATCH($A814,'Session Tracker'!$D$5:$D$149,0))+0,"")</f>
        <v/>
      </c>
      <c r="G814" s="0" t="str">
        <f aca="false">IF(ISNUMBER(F814),IF(OR(B814=0,B814=99,C814&lt;&gt;""),F814*100+B814,""),"")</f>
        <v/>
      </c>
      <c r="H814" s="0" t="n">
        <f aca="false">IFERROR(INDEX('Session Tracker'!$J$5:$J$149,MATCH($A814,'Session Tracker'!$D$5:$D$149,0)),0)</f>
        <v>8</v>
      </c>
      <c r="I814" s="0" t="n">
        <f aca="false">IF(OR(B814=0,B814=99,C814=""),"",IF(E814="Per class",D814,D814*H814))</f>
        <v>16</v>
      </c>
      <c r="N814" s="0" t="str">
        <f aca="false">IF('Young Innovators Kits'!B102="","",'Young Innovators Kits'!B102)</f>
        <v>Actuators &amp; Motor Drivers</v>
      </c>
      <c r="O814" s="0" t="str">
        <f aca="false">IF('Young Innovators Kits'!F102="","",'Young Innovators Kits'!F102)</f>
        <v>Reusable</v>
      </c>
      <c r="P814" s="0" t="str">
        <f aca="false">IF('Young Innovators Kits'!G102="","",'Young Innovators Kits'!G102)</f>
        <v/>
      </c>
    </row>
    <row r="815" customFormat="false" ht="15" hidden="false" customHeight="false" outlineLevel="0" collapsed="false">
      <c r="A815" s="0" t="s">
        <v>231</v>
      </c>
      <c r="B815" s="0" t="n">
        <v>3</v>
      </c>
      <c r="C815" s="0" t="str">
        <f aca="false">IF('Young Innovators Kits'!C103="","",'Young Innovators Kits'!C103)</f>
        <v>Servo SG90</v>
      </c>
      <c r="D815" s="0" t="n">
        <f aca="false">IF('Young Innovators Kits'!D103="","",'Young Innovators Kits'!D103)</f>
        <v>1</v>
      </c>
      <c r="E815" s="0" t="str">
        <f aca="false">IF('Young Innovators Kits'!E103="","",'Young Innovators Kits'!E103)</f>
        <v>Per group</v>
      </c>
      <c r="F815" s="0" t="str">
        <f aca="false">IFERROR(INDEX('Session Tracker'!$M$5:$M$149,MATCH($A815,'Session Tracker'!$D$5:$D$149,0))+0,"")</f>
        <v/>
      </c>
      <c r="G815" s="0" t="str">
        <f aca="false">IF(ISNUMBER(F815),IF(OR(B815=0,B815=99,C815&lt;&gt;""),F815*100+B815,""),"")</f>
        <v/>
      </c>
      <c r="H815" s="0" t="n">
        <f aca="false">IFERROR(INDEX('Session Tracker'!$J$5:$J$149,MATCH($A815,'Session Tracker'!$D$5:$D$149,0)),0)</f>
        <v>8</v>
      </c>
      <c r="I815" s="0" t="n">
        <f aca="false">IF(OR(B815=0,B815=99,C815=""),"",IF(E815="Per class",D815,D815*H815))</f>
        <v>8</v>
      </c>
      <c r="N815" s="0" t="str">
        <f aca="false">IF('Young Innovators Kits'!B103="","",'Young Innovators Kits'!B103)</f>
        <v>Actuators &amp; Motor Drivers</v>
      </c>
      <c r="O815" s="0" t="str">
        <f aca="false">IF('Young Innovators Kits'!F103="","",'Young Innovators Kits'!F103)</f>
        <v>Reusable</v>
      </c>
      <c r="P815" s="0" t="str">
        <f aca="false">IF('Young Innovators Kits'!G103="","",'Young Innovators Kits'!G103)</f>
        <v>Pen lift</v>
      </c>
    </row>
    <row r="816" customFormat="false" ht="15" hidden="false" customHeight="false" outlineLevel="0" collapsed="false">
      <c r="A816" s="0" t="s">
        <v>231</v>
      </c>
      <c r="B816" s="0" t="n">
        <v>4</v>
      </c>
      <c r="C816" s="0" t="str">
        <f aca="false">IF('Young Innovators Kits'!C104="","",'Young Innovators Kits'!C104)</f>
        <v>Cardboard sheet</v>
      </c>
      <c r="D816" s="0" t="n">
        <f aca="false">IF('Young Innovators Kits'!D104="","",'Young Innovators Kits'!D104)</f>
        <v>2</v>
      </c>
      <c r="E816" s="0" t="str">
        <f aca="false">IF('Young Innovators Kits'!E104="","",'Young Innovators Kits'!E104)</f>
        <v>Per group</v>
      </c>
      <c r="F816" s="0" t="str">
        <f aca="false">IFERROR(INDEX('Session Tracker'!$M$5:$M$149,MATCH($A816,'Session Tracker'!$D$5:$D$149,0))+0,"")</f>
        <v/>
      </c>
      <c r="G816" s="0" t="str">
        <f aca="false">IF(ISNUMBER(F816),IF(OR(B816=0,B816=99,C816&lt;&gt;""),F816*100+B816,""),"")</f>
        <v/>
      </c>
      <c r="H816" s="0" t="n">
        <f aca="false">IFERROR(INDEX('Session Tracker'!$J$5:$J$149,MATCH($A816,'Session Tracker'!$D$5:$D$149,0)),0)</f>
        <v>8</v>
      </c>
      <c r="I816" s="0" t="n">
        <f aca="false">IF(OR(B816=0,B816=99,C816=""),"",IF(E816="Per class",D816,D816*H816))</f>
        <v>16</v>
      </c>
      <c r="N816" s="0" t="str">
        <f aca="false">IF('Young Innovators Kits'!B104="","",'Young Innovators Kits'!B104)</f>
        <v>Craft &amp; Stationery</v>
      </c>
      <c r="O816" s="0" t="str">
        <f aca="false">IF('Young Innovators Kits'!F104="","",'Young Innovators Kits'!F104)</f>
        <v>Consumable</v>
      </c>
      <c r="P816" s="0" t="str">
        <f aca="false">IF('Young Innovators Kits'!G104="","",'Young Innovators Kits'!G104)</f>
        <v>Frame</v>
      </c>
    </row>
    <row r="817" customFormat="false" ht="15" hidden="false" customHeight="false" outlineLevel="0" collapsed="false">
      <c r="A817" s="0" t="s">
        <v>231</v>
      </c>
      <c r="B817" s="0" t="n">
        <v>5</v>
      </c>
      <c r="C817" s="0" t="str">
        <f aca="false">IF('Young Innovators Kits'!C105="","",'Young Innovators Kits'!C105)</f>
        <v>Markers</v>
      </c>
      <c r="D817" s="0" t="n">
        <f aca="false">IF('Young Innovators Kits'!D105="","",'Young Innovators Kits'!D105)</f>
        <v>1</v>
      </c>
      <c r="E817" s="0" t="str">
        <f aca="false">IF('Young Innovators Kits'!E105="","",'Young Innovators Kits'!E105)</f>
        <v>Per group</v>
      </c>
      <c r="F817" s="0" t="str">
        <f aca="false">IFERROR(INDEX('Session Tracker'!$M$5:$M$149,MATCH($A817,'Session Tracker'!$D$5:$D$149,0))+0,"")</f>
        <v/>
      </c>
      <c r="G817" s="0" t="str">
        <f aca="false">IF(ISNUMBER(F817),IF(OR(B817=0,B817=99,C817&lt;&gt;""),F817*100+B817,""),"")</f>
        <v/>
      </c>
      <c r="H817" s="0" t="n">
        <f aca="false">IFERROR(INDEX('Session Tracker'!$J$5:$J$149,MATCH($A817,'Session Tracker'!$D$5:$D$149,0)),0)</f>
        <v>8</v>
      </c>
      <c r="I817" s="0" t="n">
        <f aca="false">IF(OR(B817=0,B817=99,C817=""),"",IF(E817="Per class",D817,D817*H817))</f>
        <v>8</v>
      </c>
      <c r="N817" s="0" t="str">
        <f aca="false">IF('Young Innovators Kits'!B105="","",'Young Innovators Kits'!B105)</f>
        <v>Craft &amp; Stationery</v>
      </c>
      <c r="O817" s="0" t="str">
        <f aca="false">IF('Young Innovators Kits'!F105="","",'Young Innovators Kits'!F105)</f>
        <v>Consumable</v>
      </c>
      <c r="P817" s="0" t="str">
        <f aca="false">IF('Young Innovators Kits'!G105="","",'Young Innovators Kits'!G105)</f>
        <v/>
      </c>
    </row>
    <row r="818" customFormat="false" ht="15" hidden="false" customHeight="false" outlineLevel="0" collapsed="false">
      <c r="A818" s="0" t="s">
        <v>231</v>
      </c>
      <c r="B818" s="0" t="n">
        <v>6</v>
      </c>
      <c r="C818" s="0" t="str">
        <f aca="false">IF('Young Innovators Kits'!C106="","",'Young Innovators Kits'!C106)</f>
        <v>Tape (paper + double-sided)</v>
      </c>
      <c r="D818" s="0" t="n">
        <f aca="false">IF('Young Innovators Kits'!D106="","",'Young Innovators Kits'!D106)</f>
        <v>1</v>
      </c>
      <c r="E818" s="0" t="str">
        <f aca="false">IF('Young Innovators Kits'!E106="","",'Young Innovators Kits'!E106)</f>
        <v>Per class</v>
      </c>
      <c r="F818" s="0" t="str">
        <f aca="false">IFERROR(INDEX('Session Tracker'!$M$5:$M$149,MATCH($A818,'Session Tracker'!$D$5:$D$149,0))+0,"")</f>
        <v/>
      </c>
      <c r="G818" s="0" t="str">
        <f aca="false">IF(ISNUMBER(F818),IF(OR(B818=0,B818=99,C818&lt;&gt;""),F818*100+B818,""),"")</f>
        <v/>
      </c>
      <c r="H818" s="0" t="n">
        <f aca="false">IFERROR(INDEX('Session Tracker'!$J$5:$J$149,MATCH($A818,'Session Tracker'!$D$5:$D$149,0)),0)</f>
        <v>8</v>
      </c>
      <c r="I818" s="0" t="n">
        <f aca="false">IF(OR(B818=0,B818=99,C818=""),"",IF(E818="Per class",D818,D818*H818))</f>
        <v>1</v>
      </c>
      <c r="N818" s="0" t="str">
        <f aca="false">IF('Young Innovators Kits'!B106="","",'Young Innovators Kits'!B106)</f>
        <v>Craft &amp; Stationery</v>
      </c>
      <c r="O818" s="0" t="str">
        <f aca="false">IF('Young Innovators Kits'!F106="","",'Young Innovators Kits'!F106)</f>
        <v>Consumable</v>
      </c>
      <c r="P818" s="0" t="str">
        <f aca="false">IF('Young Innovators Kits'!G106="","",'Young Innovators Kits'!G106)</f>
        <v/>
      </c>
    </row>
    <row r="819" customFormat="false" ht="15" hidden="false" customHeight="false" outlineLevel="0" collapsed="false">
      <c r="A819" s="0" t="s">
        <v>231</v>
      </c>
      <c r="B819" s="0" t="n">
        <v>7</v>
      </c>
      <c r="C819" s="0" t="str">
        <f aca="false">IF('Young Innovators Kits'!C107="","",'Young Innovators Kits'!C107)</f>
        <v>4xAA battery pack</v>
      </c>
      <c r="D819" s="0" t="n">
        <f aca="false">IF('Young Innovators Kits'!D107="","",'Young Innovators Kits'!D107)</f>
        <v>1</v>
      </c>
      <c r="E819" s="0" t="str">
        <f aca="false">IF('Young Innovators Kits'!E107="","",'Young Innovators Kits'!E107)</f>
        <v>Per group</v>
      </c>
      <c r="F819" s="0" t="str">
        <f aca="false">IFERROR(INDEX('Session Tracker'!$M$5:$M$149,MATCH($A819,'Session Tracker'!$D$5:$D$149,0))+0,"")</f>
        <v/>
      </c>
      <c r="G819" s="0" t="str">
        <f aca="false">IF(ISNUMBER(F819),IF(OR(B819=0,B819=99,C819&lt;&gt;""),F819*100+B819,""),"")</f>
        <v/>
      </c>
      <c r="H819" s="0" t="n">
        <f aca="false">IFERROR(INDEX('Session Tracker'!$J$5:$J$149,MATCH($A819,'Session Tracker'!$D$5:$D$149,0)),0)</f>
        <v>8</v>
      </c>
      <c r="I819" s="0" t="n">
        <f aca="false">IF(OR(B819=0,B819=99,C819=""),"",IF(E819="Per class",D819,D819*H819))</f>
        <v>8</v>
      </c>
      <c r="N819" s="0" t="str">
        <f aca="false">IF('Young Innovators Kits'!B107="","",'Young Innovators Kits'!B107)</f>
        <v>Power</v>
      </c>
      <c r="O819" s="0" t="str">
        <f aca="false">IF('Young Innovators Kits'!F107="","",'Young Innovators Kits'!F107)</f>
        <v>Consumable</v>
      </c>
      <c r="P819" s="0" t="str">
        <f aca="false">IF('Young Innovators Kits'!G107="","",'Young Innovators Kits'!G107)</f>
        <v>Motor power</v>
      </c>
    </row>
    <row r="820" customFormat="false" ht="15" hidden="false" customHeight="false" outlineLevel="0" collapsed="false">
      <c r="A820" s="0" t="s">
        <v>231</v>
      </c>
      <c r="B820" s="0" t="n">
        <v>8</v>
      </c>
      <c r="C820" s="0" t="str">
        <f aca="false">IF('Young Innovators Kits'!C108="","",'Young Innovators Kits'!C108)</f>
        <v>Jumper wires M-F</v>
      </c>
      <c r="D820" s="0" t="n">
        <f aca="false">IF('Young Innovators Kits'!D108="","",'Young Innovators Kits'!D108)</f>
        <v>12</v>
      </c>
      <c r="E820" s="0" t="str">
        <f aca="false">IF('Young Innovators Kits'!E108="","",'Young Innovators Kits'!E108)</f>
        <v>Per group</v>
      </c>
      <c r="F820" s="0" t="str">
        <f aca="false">IFERROR(INDEX('Session Tracker'!$M$5:$M$149,MATCH($A820,'Session Tracker'!$D$5:$D$149,0))+0,"")</f>
        <v/>
      </c>
      <c r="G820" s="0" t="str">
        <f aca="false">IF(ISNUMBER(F820),IF(OR(B820=0,B820=99,C820&lt;&gt;""),F820*100+B820,""),"")</f>
        <v/>
      </c>
      <c r="H820" s="0" t="n">
        <f aca="false">IFERROR(INDEX('Session Tracker'!$J$5:$J$149,MATCH($A820,'Session Tracker'!$D$5:$D$149,0)),0)</f>
        <v>8</v>
      </c>
      <c r="I820" s="0" t="n">
        <f aca="false">IF(OR(B820=0,B820=99,C820=""),"",IF(E820="Per class",D820,D820*H820))</f>
        <v>96</v>
      </c>
      <c r="N820" s="0" t="str">
        <f aca="false">IF('Young Innovators Kits'!B108="","",'Young Innovators Kits'!B108)</f>
        <v>Wiring &amp; Prototyping</v>
      </c>
      <c r="O820" s="0" t="str">
        <f aca="false">IF('Young Innovators Kits'!F108="","",'Young Innovators Kits'!F108)</f>
        <v>Reusable</v>
      </c>
      <c r="P820" s="0" t="str">
        <f aca="false">IF('Young Innovators Kits'!G108="","",'Young Innovators Kits'!G108)</f>
        <v/>
      </c>
    </row>
    <row r="821" customFormat="false" ht="15" hidden="false" customHeight="false" outlineLevel="0" collapsed="false">
      <c r="A821" s="0" t="s">
        <v>231</v>
      </c>
      <c r="B821" s="0" t="n">
        <v>9</v>
      </c>
      <c r="C821" s="0" t="str">
        <f aca="false">IF('Young Innovators Kits'!C109="","",'Young Innovators Kits'!C109)</f>
        <v>Jumper wires M-M</v>
      </c>
      <c r="D821" s="0" t="n">
        <f aca="false">IF('Young Innovators Kits'!D109="","",'Young Innovators Kits'!D109)</f>
        <v>6</v>
      </c>
      <c r="E821" s="0" t="str">
        <f aca="false">IF('Young Innovators Kits'!E109="","",'Young Innovators Kits'!E109)</f>
        <v>Per group</v>
      </c>
      <c r="F821" s="0" t="str">
        <f aca="false">IFERROR(INDEX('Session Tracker'!$M$5:$M$149,MATCH($A821,'Session Tracker'!$D$5:$D$149,0))+0,"")</f>
        <v/>
      </c>
      <c r="G821" s="0" t="str">
        <f aca="false">IF(ISNUMBER(F821),IF(OR(B821=0,B821=99,C821&lt;&gt;""),F821*100+B821,""),"")</f>
        <v/>
      </c>
      <c r="H821" s="0" t="n">
        <f aca="false">IFERROR(INDEX('Session Tracker'!$J$5:$J$149,MATCH($A821,'Session Tracker'!$D$5:$D$149,0)),0)</f>
        <v>8</v>
      </c>
      <c r="I821" s="0" t="n">
        <f aca="false">IF(OR(B821=0,B821=99,C821=""),"",IF(E821="Per class",D821,D821*H821))</f>
        <v>48</v>
      </c>
      <c r="N821" s="0" t="str">
        <f aca="false">IF('Young Innovators Kits'!B109="","",'Young Innovators Kits'!B109)</f>
        <v>Wiring &amp; Prototyping</v>
      </c>
      <c r="O821" s="0" t="str">
        <f aca="false">IF('Young Innovators Kits'!F109="","",'Young Innovators Kits'!F109)</f>
        <v>Reusable</v>
      </c>
      <c r="P821" s="0" t="str">
        <f aca="false">IF('Young Innovators Kits'!G109="","",'Young Innovators Kits'!G109)</f>
        <v/>
      </c>
    </row>
    <row r="822" customFormat="false" ht="15" hidden="false" customHeight="false" outlineLevel="0" collapsed="false">
      <c r="A822" s="0" t="s">
        <v>231</v>
      </c>
      <c r="B822" s="0" t="n">
        <v>10</v>
      </c>
      <c r="C822" s="0" t="str">
        <f aca="false">IF('Young Innovators Kits'!C110="","",'Young Innovators Kits'!C110)</f>
        <v>Laptop</v>
      </c>
      <c r="D822" s="0" t="n">
        <f aca="false">IF('Young Innovators Kits'!D110="","",'Young Innovators Kits'!D110)</f>
        <v>1</v>
      </c>
      <c r="E822" s="0" t="str">
        <f aca="false">IF('Young Innovators Kits'!E110="","",'Young Innovators Kits'!E110)</f>
        <v>Per group</v>
      </c>
      <c r="F822" s="0" t="str">
        <f aca="false">IFERROR(INDEX('Session Tracker'!$M$5:$M$149,MATCH($A822,'Session Tracker'!$D$5:$D$149,0))+0,"")</f>
        <v/>
      </c>
      <c r="G822" s="0" t="str">
        <f aca="false">IF(ISNUMBER(F822),IF(OR(B822=0,B822=99,C822&lt;&gt;""),F822*100+B822,""),"")</f>
        <v/>
      </c>
      <c r="H822" s="0" t="n">
        <f aca="false">IFERROR(INDEX('Session Tracker'!$J$5:$J$149,MATCH($A822,'Session Tracker'!$D$5:$D$149,0)),0)</f>
        <v>8</v>
      </c>
      <c r="I822" s="0" t="n">
        <f aca="false">IF(OR(B822=0,B822=99,C822=""),"",IF(E822="Per class",D822,D822*H822))</f>
        <v>8</v>
      </c>
      <c r="N822" s="0" t="str">
        <f aca="false">IF('Young Innovators Kits'!B110="","",'Young Innovators Kits'!B110)</f>
        <v>Computers &amp; Equipment</v>
      </c>
      <c r="O822" s="0" t="str">
        <f aca="false">IF('Young Innovators Kits'!F110="","",'Young Innovators Kits'!F110)</f>
        <v>Reusable</v>
      </c>
      <c r="P822" s="0" t="str">
        <f aca="false">IF('Young Innovators Kits'!G110="","",'Young Innovators Kits'!G110)</f>
        <v/>
      </c>
    </row>
    <row r="823" customFormat="false" ht="15" hidden="false" customHeight="false" outlineLevel="0" collapsed="false">
      <c r="A823" s="0" t="s">
        <v>231</v>
      </c>
      <c r="B823" s="0" t="n">
        <v>11</v>
      </c>
      <c r="C823" s="0" t="str">
        <f aca="false">IF('Young Innovators Kits'!C111="","",'Young Innovators Kits'!C111)</f>
        <v>LED 5 mm (assorted)</v>
      </c>
      <c r="D823" s="0" t="n">
        <f aca="false">IF('Young Innovators Kits'!D111="","",'Young Innovators Kits'!D111)</f>
        <v>1</v>
      </c>
      <c r="E823" s="0" t="str">
        <f aca="false">IF('Young Innovators Kits'!E111="","",'Young Innovators Kits'!E111)</f>
        <v>Per group</v>
      </c>
      <c r="F823" s="0" t="str">
        <f aca="false">IFERROR(INDEX('Session Tracker'!$M$5:$M$149,MATCH($A823,'Session Tracker'!$D$5:$D$149,0))+0,"")</f>
        <v/>
      </c>
      <c r="G823" s="0" t="str">
        <f aca="false">IF(ISNUMBER(F823),IF(OR(B823=0,B823=99,C823&lt;&gt;""),F823*100+B823,""),"")</f>
        <v/>
      </c>
      <c r="H823" s="0" t="n">
        <f aca="false">IFERROR(INDEX('Session Tracker'!$J$5:$J$149,MATCH($A823,'Session Tracker'!$D$5:$D$149,0)),0)</f>
        <v>8</v>
      </c>
      <c r="I823" s="0" t="n">
        <f aca="false">IF(OR(B823=0,B823=99,C823=""),"",IF(E823="Per class",D823,D823*H823))</f>
        <v>8</v>
      </c>
      <c r="N823" s="0" t="str">
        <f aca="false">IF('Young Innovators Kits'!B111="","",'Young Innovators Kits'!B111)</f>
        <v>Displays &amp; Output</v>
      </c>
      <c r="O823" s="0" t="str">
        <f aca="false">IF('Young Innovators Kits'!F111="","",'Young Innovators Kits'!F111)</f>
        <v>Consumable</v>
      </c>
      <c r="P823" s="0" t="str">
        <f aca="false">IF('Young Innovators Kits'!G111="","",'Young Innovators Kits'!G111)</f>
        <v>Added: every Arduino class</v>
      </c>
    </row>
    <row r="824" customFormat="false" ht="15" hidden="false" customHeight="false" outlineLevel="0" collapsed="false">
      <c r="A824" s="0" t="s">
        <v>231</v>
      </c>
      <c r="B824" s="0" t="n">
        <v>12</v>
      </c>
      <c r="C824" s="0" t="str">
        <f aca="false">IF('Young Innovators Kits'!C112="","",'Young Innovators Kits'!C112)</f>
        <v>Resistor 220 ohm</v>
      </c>
      <c r="D824" s="0" t="n">
        <f aca="false">IF('Young Innovators Kits'!D112="","",'Young Innovators Kits'!D112)</f>
        <v>1</v>
      </c>
      <c r="E824" s="0" t="str">
        <f aca="false">IF('Young Innovators Kits'!E112="","",'Young Innovators Kits'!E112)</f>
        <v>Per group</v>
      </c>
      <c r="F824" s="0" t="str">
        <f aca="false">IFERROR(INDEX('Session Tracker'!$M$5:$M$149,MATCH($A824,'Session Tracker'!$D$5:$D$149,0))+0,"")</f>
        <v/>
      </c>
      <c r="G824" s="0" t="str">
        <f aca="false">IF(ISNUMBER(F824),IF(OR(B824=0,B824=99,C824&lt;&gt;""),F824*100+B824,""),"")</f>
        <v/>
      </c>
      <c r="H824" s="0" t="n">
        <f aca="false">IFERROR(INDEX('Session Tracker'!$J$5:$J$149,MATCH($A824,'Session Tracker'!$D$5:$D$149,0)),0)</f>
        <v>8</v>
      </c>
      <c r="I824" s="0" t="n">
        <f aca="false">IF(OR(B824=0,B824=99,C824=""),"",IF(E824="Per class",D824,D824*H824))</f>
        <v>8</v>
      </c>
      <c r="N824" s="0" t="str">
        <f aca="false">IF('Young Innovators Kits'!B112="","",'Young Innovators Kits'!B112)</f>
        <v>Passive Components &amp; ICs</v>
      </c>
      <c r="O824" s="0" t="str">
        <f aca="false">IF('Young Innovators Kits'!F112="","",'Young Innovators Kits'!F112)</f>
        <v>Consumable</v>
      </c>
      <c r="P824" s="0" t="str">
        <f aca="false">IF('Young Innovators Kits'!G112="","",'Young Innovators Kits'!G112)</f>
        <v>Added: for the LED</v>
      </c>
    </row>
    <row r="825" customFormat="false" ht="15" hidden="false" customHeight="false" outlineLevel="0" collapsed="false">
      <c r="A825" s="0" t="s">
        <v>231</v>
      </c>
      <c r="B825" s="0" t="n">
        <v>13</v>
      </c>
      <c r="C825" s="0" t="str">
        <f aca="false">IF('Young Innovators Kits'!C113="","",'Young Innovators Kits'!C113)</f>
        <v>Buzzer</v>
      </c>
      <c r="D825" s="0" t="n">
        <f aca="false">IF('Young Innovators Kits'!D113="","",'Young Innovators Kits'!D113)</f>
        <v>1</v>
      </c>
      <c r="E825" s="0" t="str">
        <f aca="false">IF('Young Innovators Kits'!E113="","",'Young Innovators Kits'!E113)</f>
        <v>Per group</v>
      </c>
      <c r="F825" s="0" t="str">
        <f aca="false">IFERROR(INDEX('Session Tracker'!$M$5:$M$149,MATCH($A825,'Session Tracker'!$D$5:$D$149,0))+0,"")</f>
        <v/>
      </c>
      <c r="G825" s="0" t="str">
        <f aca="false">IF(ISNUMBER(F825),IF(OR(B825=0,B825=99,C825&lt;&gt;""),F825*100+B825,""),"")</f>
        <v/>
      </c>
      <c r="H825" s="0" t="n">
        <f aca="false">IFERROR(INDEX('Session Tracker'!$J$5:$J$149,MATCH($A825,'Session Tracker'!$D$5:$D$149,0)),0)</f>
        <v>8</v>
      </c>
      <c r="I825" s="0" t="n">
        <f aca="false">IF(OR(B825=0,B825=99,C825=""),"",IF(E825="Per class",D825,D825*H825))</f>
        <v>8</v>
      </c>
      <c r="N825" s="0" t="str">
        <f aca="false">IF('Young Innovators Kits'!B113="","",'Young Innovators Kits'!B113)</f>
        <v>Actuators &amp; Motor Drivers</v>
      </c>
      <c r="O825" s="0" t="str">
        <f aca="false">IF('Young Innovators Kits'!F113="","",'Young Innovators Kits'!F113)</f>
        <v>Reusable</v>
      </c>
      <c r="P825" s="0" t="str">
        <f aca="false">IF('Young Innovators Kits'!G113="","",'Young Innovators Kits'!G113)</f>
        <v>Added: every Arduino class</v>
      </c>
    </row>
    <row r="826" customFormat="false" ht="15" hidden="false" customHeight="false" outlineLevel="0" collapsed="false">
      <c r="A826" s="0" t="s">
        <v>231</v>
      </c>
      <c r="B826" s="0" t="n">
        <v>14</v>
      </c>
      <c r="C826" s="0" t="str">
        <f aca="false">IF('Young Innovators Kits'!C114="","",'Young Innovators Kits'!C114)</f>
        <v/>
      </c>
      <c r="D826" s="0" t="str">
        <f aca="false">IF('Young Innovators Kits'!D114="","",'Young Innovators Kits'!D114)</f>
        <v/>
      </c>
      <c r="E826" s="0" t="str">
        <f aca="false">IF('Young Innovators Kits'!E114="","",'Young Innovators Kits'!E114)</f>
        <v/>
      </c>
      <c r="F826" s="0" t="str">
        <f aca="false">IFERROR(INDEX('Session Tracker'!$M$5:$M$149,MATCH($A826,'Session Tracker'!$D$5:$D$149,0))+0,"")</f>
        <v/>
      </c>
      <c r="G826" s="0" t="str">
        <f aca="false">IF(ISNUMBER(F826),IF(OR(B826=0,B826=99,C826&lt;&gt;""),F826*100+B826,""),"")</f>
        <v/>
      </c>
      <c r="H826" s="0" t="n">
        <f aca="false">IFERROR(INDEX('Session Tracker'!$J$5:$J$149,MATCH($A826,'Session Tracker'!$D$5:$D$149,0)),0)</f>
        <v>8</v>
      </c>
      <c r="I826" s="0" t="str">
        <f aca="false">IF(OR(B826=0,B826=99,C826=""),"",IF(E826="Per class",D826,D826*H826))</f>
        <v/>
      </c>
      <c r="N826" s="0" t="str">
        <f aca="false">IF('Young Innovators Kits'!B114="","",'Young Innovators Kits'!B114)</f>
        <v/>
      </c>
      <c r="O826" s="0" t="str">
        <f aca="false">IF('Young Innovators Kits'!F114="","",'Young Innovators Kits'!F114)</f>
        <v/>
      </c>
      <c r="P826" s="0" t="str">
        <f aca="false">IF('Young Innovators Kits'!G114="","",'Young Innovators Kits'!G114)</f>
        <v/>
      </c>
    </row>
    <row r="827" customFormat="false" ht="15" hidden="false" customHeight="false" outlineLevel="0" collapsed="false">
      <c r="A827" s="0" t="s">
        <v>231</v>
      </c>
      <c r="B827" s="0" t="n">
        <v>15</v>
      </c>
      <c r="C827" s="0" t="str">
        <f aca="false">IF('Young Innovators Kits'!C115="","",'Young Innovators Kits'!C115)</f>
        <v/>
      </c>
      <c r="D827" s="0" t="str">
        <f aca="false">IF('Young Innovators Kits'!D115="","",'Young Innovators Kits'!D115)</f>
        <v/>
      </c>
      <c r="E827" s="0" t="str">
        <f aca="false">IF('Young Innovators Kits'!E115="","",'Young Innovators Kits'!E115)</f>
        <v/>
      </c>
      <c r="F827" s="0" t="str">
        <f aca="false">IFERROR(INDEX('Session Tracker'!$M$5:$M$149,MATCH($A827,'Session Tracker'!$D$5:$D$149,0))+0,"")</f>
        <v/>
      </c>
      <c r="G827" s="0" t="str">
        <f aca="false">IF(ISNUMBER(F827),IF(OR(B827=0,B827=99,C827&lt;&gt;""),F827*100+B827,""),"")</f>
        <v/>
      </c>
      <c r="H827" s="0" t="n">
        <f aca="false">IFERROR(INDEX('Session Tracker'!$J$5:$J$149,MATCH($A827,'Session Tracker'!$D$5:$D$149,0)),0)</f>
        <v>8</v>
      </c>
      <c r="I827" s="0" t="str">
        <f aca="false">IF(OR(B827=0,B827=99,C827=""),"",IF(E827="Per class",D827,D827*H827))</f>
        <v/>
      </c>
      <c r="N827" s="0" t="str">
        <f aca="false">IF('Young Innovators Kits'!B115="","",'Young Innovators Kits'!B115)</f>
        <v/>
      </c>
      <c r="O827" s="0" t="str">
        <f aca="false">IF('Young Innovators Kits'!F115="","",'Young Innovators Kits'!F115)</f>
        <v/>
      </c>
      <c r="P827" s="0" t="str">
        <f aca="false">IF('Young Innovators Kits'!G115="","",'Young Innovators Kits'!G115)</f>
        <v/>
      </c>
    </row>
    <row r="828" customFormat="false" ht="15" hidden="false" customHeight="false" outlineLevel="0" collapsed="false">
      <c r="A828" s="0" t="s">
        <v>233</v>
      </c>
      <c r="B828" s="0" t="n">
        <v>0</v>
      </c>
      <c r="F828" s="0" t="str">
        <f aca="false">IFERROR(INDEX('Session Tracker'!$M$5:$M$149,MATCH($A828,'Session Tracker'!$D$5:$D$149,0))+0,"")</f>
        <v/>
      </c>
      <c r="G828" s="0" t="str">
        <f aca="false">IF(ISNUMBER(F828),IF(OR(B828=0,B828=99,C828&lt;&gt;""),F828*100+B828,""),"")</f>
        <v/>
      </c>
      <c r="H828" s="0" t="n">
        <f aca="false">IFERROR(INDEX('Session Tracker'!$J$5:$J$149,MATCH($A828,'Session Tracker'!$D$5:$D$149,0)),0)</f>
        <v>8</v>
      </c>
      <c r="I828" s="0" t="str">
        <f aca="false">IF(OR(B828=0,B828=99,C828=""),"",IF(E828="Per class",D828,D828*H828))</f>
        <v/>
      </c>
      <c r="K828" s="0" t="str">
        <f aca="false">IFERROR(INDEX('Session Tracker'!$E$5:$E$149,MATCH($A828,'Session Tracker'!$D$5:$D$149,0)),"")</f>
        <v>Obstacle Avoiding Robot with Scanning Sonar</v>
      </c>
      <c r="L828" s="0" t="str">
        <f aca="false">IFERROR(INDEX('Session Tracker'!$A$5:$A$149,MATCH($A828,'Session Tracker'!$D$5:$D$149,0)),"")</f>
        <v>Young Innovators (12-14)</v>
      </c>
      <c r="M828" s="0" t="str">
        <f aca="false">IFERROR(INDEX('Session Tracker'!$H$5:$H$149,MATCH($A828,'Session Tracker'!$D$5:$D$149,0))&amp;"","")</f>
        <v/>
      </c>
      <c r="Q828" s="0" t="str">
        <f aca="false">IFERROR("Status: "&amp;INDEX('Session Tracker'!$F$5:$F$149,MATCH($A828,'Session Tracker'!$D$5:$D$149,0))&amp;IF(INDEX('Session Tracker'!$G$5:$G$149,MATCH($A828,'Session Tracker'!$D$5:$D$149,0))&lt;&gt;""," ("&amp;INDEX('Session Tracker'!$G$5:$G$149,MATCH($A828,'Session Tracker'!$D$5:$D$149,0))&amp;")","")&amp;IF(M828&lt;&gt;"","  "&amp;M828,""),"")</f>
        <v>Status: Not started</v>
      </c>
    </row>
    <row r="829" customFormat="false" ht="15" hidden="false" customHeight="false" outlineLevel="0" collapsed="false">
      <c r="A829" s="0" t="s">
        <v>233</v>
      </c>
      <c r="B829" s="0" t="n">
        <v>1</v>
      </c>
      <c r="C829" s="0" t="str">
        <f aca="false">IF('Young Innovators Kits'!C118="","",'Young Innovators Kits'!C118)</f>
        <v>Arduino Uno + USB cable</v>
      </c>
      <c r="D829" s="0" t="n">
        <f aca="false">IF('Young Innovators Kits'!D118="","",'Young Innovators Kits'!D118)</f>
        <v>1</v>
      </c>
      <c r="E829" s="0" t="str">
        <f aca="false">IF('Young Innovators Kits'!E118="","",'Young Innovators Kits'!E118)</f>
        <v>Per group</v>
      </c>
      <c r="F829" s="0" t="str">
        <f aca="false">IFERROR(INDEX('Session Tracker'!$M$5:$M$149,MATCH($A829,'Session Tracker'!$D$5:$D$149,0))+0,"")</f>
        <v/>
      </c>
      <c r="G829" s="0" t="str">
        <f aca="false">IF(ISNUMBER(F829),IF(OR(B829=0,B829=99,C829&lt;&gt;""),F829*100+B829,""),"")</f>
        <v/>
      </c>
      <c r="H829" s="0" t="n">
        <f aca="false">IFERROR(INDEX('Session Tracker'!$J$5:$J$149,MATCH($A829,'Session Tracker'!$D$5:$D$149,0)),0)</f>
        <v>8</v>
      </c>
      <c r="I829" s="0" t="n">
        <f aca="false">IF(OR(B829=0,B829=99,C829=""),"",IF(E829="Per class",D829,D829*H829))</f>
        <v>8</v>
      </c>
      <c r="N829" s="0" t="str">
        <f aca="false">IF('Young Innovators Kits'!B118="","",'Young Innovators Kits'!B118)</f>
        <v>Microcontrollers &amp; Dev Boards</v>
      </c>
      <c r="O829" s="0" t="str">
        <f aca="false">IF('Young Innovators Kits'!F118="","",'Young Innovators Kits'!F118)</f>
        <v>Reusable</v>
      </c>
      <c r="P829" s="0" t="str">
        <f aca="false">IF('Young Innovators Kits'!G118="","",'Young Innovators Kits'!G118)</f>
        <v/>
      </c>
    </row>
    <row r="830" customFormat="false" ht="15" hidden="false" customHeight="false" outlineLevel="0" collapsed="false">
      <c r="A830" s="0" t="s">
        <v>233</v>
      </c>
      <c r="B830" s="0" t="n">
        <v>2</v>
      </c>
      <c r="C830" s="0" t="str">
        <f aca="false">IF('Young Innovators Kits'!C119="","",'Young Innovators Kits'!C119)</f>
        <v>2WD robot chassis kit</v>
      </c>
      <c r="D830" s="0" t="n">
        <f aca="false">IF('Young Innovators Kits'!D119="","",'Young Innovators Kits'!D119)</f>
        <v>1</v>
      </c>
      <c r="E830" s="0" t="str">
        <f aca="false">IF('Young Innovators Kits'!E119="","",'Young Innovators Kits'!E119)</f>
        <v>Per group</v>
      </c>
      <c r="F830" s="0" t="str">
        <f aca="false">IFERROR(INDEX('Session Tracker'!$M$5:$M$149,MATCH($A830,'Session Tracker'!$D$5:$D$149,0))+0,"")</f>
        <v/>
      </c>
      <c r="G830" s="0" t="str">
        <f aca="false">IF(ISNUMBER(F830),IF(OR(B830=0,B830=99,C830&lt;&gt;""),F830*100+B830,""),"")</f>
        <v/>
      </c>
      <c r="H830" s="0" t="n">
        <f aca="false">IFERROR(INDEX('Session Tracker'!$J$5:$J$149,MATCH($A830,'Session Tracker'!$D$5:$D$149,0)),0)</f>
        <v>8</v>
      </c>
      <c r="I830" s="0" t="n">
        <f aca="false">IF(OR(B830=0,B830=99,C830=""),"",IF(E830="Per class",D830,D830*H830))</f>
        <v>8</v>
      </c>
      <c r="N830" s="0" t="str">
        <f aca="false">IF('Young Innovators Kits'!B119="","",'Young Innovators Kits'!B119)</f>
        <v>Robot Platforms &amp; Kits</v>
      </c>
      <c r="O830" s="0" t="str">
        <f aca="false">IF('Young Innovators Kits'!F119="","",'Young Innovators Kits'!F119)</f>
        <v>Reusable</v>
      </c>
      <c r="P830" s="0" t="str">
        <f aca="false">IF('Young Innovators Kits'!G119="","",'Young Innovators Kits'!G119)</f>
        <v/>
      </c>
    </row>
    <row r="831" customFormat="false" ht="15" hidden="false" customHeight="false" outlineLevel="0" collapsed="false">
      <c r="A831" s="0" t="s">
        <v>233</v>
      </c>
      <c r="B831" s="0" t="n">
        <v>3</v>
      </c>
      <c r="C831" s="0" t="str">
        <f aca="false">IF('Young Innovators Kits'!C120="","",'Young Innovators Kits'!C120)</f>
        <v>L298N motor driver</v>
      </c>
      <c r="D831" s="0" t="n">
        <f aca="false">IF('Young Innovators Kits'!D120="","",'Young Innovators Kits'!D120)</f>
        <v>1</v>
      </c>
      <c r="E831" s="0" t="str">
        <f aca="false">IF('Young Innovators Kits'!E120="","",'Young Innovators Kits'!E120)</f>
        <v>Per group</v>
      </c>
      <c r="F831" s="0" t="str">
        <f aca="false">IFERROR(INDEX('Session Tracker'!$M$5:$M$149,MATCH($A831,'Session Tracker'!$D$5:$D$149,0))+0,"")</f>
        <v/>
      </c>
      <c r="G831" s="0" t="str">
        <f aca="false">IF(ISNUMBER(F831),IF(OR(B831=0,B831=99,C831&lt;&gt;""),F831*100+B831,""),"")</f>
        <v/>
      </c>
      <c r="H831" s="0" t="n">
        <f aca="false">IFERROR(INDEX('Session Tracker'!$J$5:$J$149,MATCH($A831,'Session Tracker'!$D$5:$D$149,0)),0)</f>
        <v>8</v>
      </c>
      <c r="I831" s="0" t="n">
        <f aca="false">IF(OR(B831=0,B831=99,C831=""),"",IF(E831="Per class",D831,D831*H831))</f>
        <v>8</v>
      </c>
      <c r="N831" s="0" t="str">
        <f aca="false">IF('Young Innovators Kits'!B120="","",'Young Innovators Kits'!B120)</f>
        <v>Actuators &amp; Motor Drivers</v>
      </c>
      <c r="O831" s="0" t="str">
        <f aca="false">IF('Young Innovators Kits'!F120="","",'Young Innovators Kits'!F120)</f>
        <v>Reusable</v>
      </c>
      <c r="P831" s="0" t="str">
        <f aca="false">IF('Young Innovators Kits'!G120="","",'Young Innovators Kits'!G120)</f>
        <v/>
      </c>
    </row>
    <row r="832" customFormat="false" ht="15" hidden="false" customHeight="false" outlineLevel="0" collapsed="false">
      <c r="A832" s="0" t="s">
        <v>233</v>
      </c>
      <c r="B832" s="0" t="n">
        <v>4</v>
      </c>
      <c r="C832" s="0" t="str">
        <f aca="false">IF('Young Innovators Kits'!C121="","",'Young Innovators Kits'!C121)</f>
        <v>Ultrasonic sensor HC-SR04</v>
      </c>
      <c r="D832" s="0" t="n">
        <f aca="false">IF('Young Innovators Kits'!D121="","",'Young Innovators Kits'!D121)</f>
        <v>1</v>
      </c>
      <c r="E832" s="0" t="str">
        <f aca="false">IF('Young Innovators Kits'!E121="","",'Young Innovators Kits'!E121)</f>
        <v>Per group</v>
      </c>
      <c r="F832" s="0" t="str">
        <f aca="false">IFERROR(INDEX('Session Tracker'!$M$5:$M$149,MATCH($A832,'Session Tracker'!$D$5:$D$149,0))+0,"")</f>
        <v/>
      </c>
      <c r="G832" s="0" t="str">
        <f aca="false">IF(ISNUMBER(F832),IF(OR(B832=0,B832=99,C832&lt;&gt;""),F832*100+B832,""),"")</f>
        <v/>
      </c>
      <c r="H832" s="0" t="n">
        <f aca="false">IFERROR(INDEX('Session Tracker'!$J$5:$J$149,MATCH($A832,'Session Tracker'!$D$5:$D$149,0)),0)</f>
        <v>8</v>
      </c>
      <c r="I832" s="0" t="n">
        <f aca="false">IF(OR(B832=0,B832=99,C832=""),"",IF(E832="Per class",D832,D832*H832))</f>
        <v>8</v>
      </c>
      <c r="N832" s="0" t="str">
        <f aca="false">IF('Young Innovators Kits'!B121="","",'Young Innovators Kits'!B121)</f>
        <v>Sensors</v>
      </c>
      <c r="O832" s="0" t="str">
        <f aca="false">IF('Young Innovators Kits'!F121="","",'Young Innovators Kits'!F121)</f>
        <v>Reusable</v>
      </c>
      <c r="P832" s="0" t="str">
        <f aca="false">IF('Young Innovators Kits'!G121="","",'Young Innovators Kits'!G121)</f>
        <v/>
      </c>
    </row>
    <row r="833" customFormat="false" ht="15" hidden="false" customHeight="false" outlineLevel="0" collapsed="false">
      <c r="A833" s="0" t="s">
        <v>233</v>
      </c>
      <c r="B833" s="0" t="n">
        <v>5</v>
      </c>
      <c r="C833" s="0" t="str">
        <f aca="false">IF('Young Innovators Kits'!C122="","",'Young Innovators Kits'!C122)</f>
        <v>Servo SG90</v>
      </c>
      <c r="D833" s="0" t="n">
        <f aca="false">IF('Young Innovators Kits'!D122="","",'Young Innovators Kits'!D122)</f>
        <v>1</v>
      </c>
      <c r="E833" s="0" t="str">
        <f aca="false">IF('Young Innovators Kits'!E122="","",'Young Innovators Kits'!E122)</f>
        <v>Per group</v>
      </c>
      <c r="F833" s="0" t="str">
        <f aca="false">IFERROR(INDEX('Session Tracker'!$M$5:$M$149,MATCH($A833,'Session Tracker'!$D$5:$D$149,0))+0,"")</f>
        <v/>
      </c>
      <c r="G833" s="0" t="str">
        <f aca="false">IF(ISNUMBER(F833),IF(OR(B833=0,B833=99,C833&lt;&gt;""),F833*100+B833,""),"")</f>
        <v/>
      </c>
      <c r="H833" s="0" t="n">
        <f aca="false">IFERROR(INDEX('Session Tracker'!$J$5:$J$149,MATCH($A833,'Session Tracker'!$D$5:$D$149,0)),0)</f>
        <v>8</v>
      </c>
      <c r="I833" s="0" t="n">
        <f aca="false">IF(OR(B833=0,B833=99,C833=""),"",IF(E833="Per class",D833,D833*H833))</f>
        <v>8</v>
      </c>
      <c r="N833" s="0" t="str">
        <f aca="false">IF('Young Innovators Kits'!B122="","",'Young Innovators Kits'!B122)</f>
        <v>Actuators &amp; Motor Drivers</v>
      </c>
      <c r="O833" s="0" t="str">
        <f aca="false">IF('Young Innovators Kits'!F122="","",'Young Innovators Kits'!F122)</f>
        <v>Reusable</v>
      </c>
      <c r="P833" s="0" t="str">
        <f aca="false">IF('Young Innovators Kits'!G122="","",'Young Innovators Kits'!G122)</f>
        <v/>
      </c>
    </row>
    <row r="834" customFormat="false" ht="15" hidden="false" customHeight="false" outlineLevel="0" collapsed="false">
      <c r="A834" s="0" t="s">
        <v>233</v>
      </c>
      <c r="B834" s="0" t="n">
        <v>6</v>
      </c>
      <c r="C834" s="0" t="str">
        <f aca="false">IF('Young Innovators Kits'!C123="","",'Young Innovators Kits'!C123)</f>
        <v>4xAA battery pack</v>
      </c>
      <c r="D834" s="0" t="n">
        <f aca="false">IF('Young Innovators Kits'!D123="","",'Young Innovators Kits'!D123)</f>
        <v>1</v>
      </c>
      <c r="E834" s="0" t="str">
        <f aca="false">IF('Young Innovators Kits'!E123="","",'Young Innovators Kits'!E123)</f>
        <v>Per group</v>
      </c>
      <c r="F834" s="0" t="str">
        <f aca="false">IFERROR(INDEX('Session Tracker'!$M$5:$M$149,MATCH($A834,'Session Tracker'!$D$5:$D$149,0))+0,"")</f>
        <v/>
      </c>
      <c r="G834" s="0" t="str">
        <f aca="false">IF(ISNUMBER(F834),IF(OR(B834=0,B834=99,C834&lt;&gt;""),F834*100+B834,""),"")</f>
        <v/>
      </c>
      <c r="H834" s="0" t="n">
        <f aca="false">IFERROR(INDEX('Session Tracker'!$J$5:$J$149,MATCH($A834,'Session Tracker'!$D$5:$D$149,0)),0)</f>
        <v>8</v>
      </c>
      <c r="I834" s="0" t="n">
        <f aca="false">IF(OR(B834=0,B834=99,C834=""),"",IF(E834="Per class",D834,D834*H834))</f>
        <v>8</v>
      </c>
      <c r="N834" s="0" t="str">
        <f aca="false">IF('Young Innovators Kits'!B123="","",'Young Innovators Kits'!B123)</f>
        <v>Power</v>
      </c>
      <c r="O834" s="0" t="str">
        <f aca="false">IF('Young Innovators Kits'!F123="","",'Young Innovators Kits'!F123)</f>
        <v>Consumable</v>
      </c>
      <c r="P834" s="0" t="str">
        <f aca="false">IF('Young Innovators Kits'!G123="","",'Young Innovators Kits'!G123)</f>
        <v/>
      </c>
    </row>
    <row r="835" customFormat="false" ht="15" hidden="false" customHeight="false" outlineLevel="0" collapsed="false">
      <c r="A835" s="0" t="s">
        <v>233</v>
      </c>
      <c r="B835" s="0" t="n">
        <v>7</v>
      </c>
      <c r="C835" s="0" t="str">
        <f aca="false">IF('Young Innovators Kits'!C124="","",'Young Innovators Kits'!C124)</f>
        <v>Screwdriver set</v>
      </c>
      <c r="D835" s="0" t="n">
        <f aca="false">IF('Young Innovators Kits'!D124="","",'Young Innovators Kits'!D124)</f>
        <v>1</v>
      </c>
      <c r="E835" s="0" t="str">
        <f aca="false">IF('Young Innovators Kits'!E124="","",'Young Innovators Kits'!E124)</f>
        <v>Per group</v>
      </c>
      <c r="F835" s="0" t="str">
        <f aca="false">IFERROR(INDEX('Session Tracker'!$M$5:$M$149,MATCH($A835,'Session Tracker'!$D$5:$D$149,0))+0,"")</f>
        <v/>
      </c>
      <c r="G835" s="0" t="str">
        <f aca="false">IF(ISNUMBER(F835),IF(OR(B835=0,B835=99,C835&lt;&gt;""),F835*100+B835,""),"")</f>
        <v/>
      </c>
      <c r="H835" s="0" t="n">
        <f aca="false">IFERROR(INDEX('Session Tracker'!$J$5:$J$149,MATCH($A835,'Session Tracker'!$D$5:$D$149,0)),0)</f>
        <v>8</v>
      </c>
      <c r="I835" s="0" t="n">
        <f aca="false">IF(OR(B835=0,B835=99,C835=""),"",IF(E835="Per class",D835,D835*H835))</f>
        <v>8</v>
      </c>
      <c r="N835" s="0" t="str">
        <f aca="false">IF('Young Innovators Kits'!B124="","",'Young Innovators Kits'!B124)</f>
        <v>Computers &amp; Equipment</v>
      </c>
      <c r="O835" s="0" t="str">
        <f aca="false">IF('Young Innovators Kits'!F124="","",'Young Innovators Kits'!F124)</f>
        <v>Reusable</v>
      </c>
      <c r="P835" s="0" t="str">
        <f aca="false">IF('Young Innovators Kits'!G124="","",'Young Innovators Kits'!G124)</f>
        <v/>
      </c>
    </row>
    <row r="836" customFormat="false" ht="15" hidden="false" customHeight="false" outlineLevel="0" collapsed="false">
      <c r="A836" s="0" t="s">
        <v>233</v>
      </c>
      <c r="B836" s="0" t="n">
        <v>8</v>
      </c>
      <c r="C836" s="0" t="str">
        <f aca="false">IF('Young Innovators Kits'!C125="","",'Young Innovators Kits'!C125)</f>
        <v>Jumper wires M-F</v>
      </c>
      <c r="D836" s="0" t="n">
        <f aca="false">IF('Young Innovators Kits'!D125="","",'Young Innovators Kits'!D125)</f>
        <v>10</v>
      </c>
      <c r="E836" s="0" t="str">
        <f aca="false">IF('Young Innovators Kits'!E125="","",'Young Innovators Kits'!E125)</f>
        <v>Per group</v>
      </c>
      <c r="F836" s="0" t="str">
        <f aca="false">IFERROR(INDEX('Session Tracker'!$M$5:$M$149,MATCH($A836,'Session Tracker'!$D$5:$D$149,0))+0,"")</f>
        <v/>
      </c>
      <c r="G836" s="0" t="str">
        <f aca="false">IF(ISNUMBER(F836),IF(OR(B836=0,B836=99,C836&lt;&gt;""),F836*100+B836,""),"")</f>
        <v/>
      </c>
      <c r="H836" s="0" t="n">
        <f aca="false">IFERROR(INDEX('Session Tracker'!$J$5:$J$149,MATCH($A836,'Session Tracker'!$D$5:$D$149,0)),0)</f>
        <v>8</v>
      </c>
      <c r="I836" s="0" t="n">
        <f aca="false">IF(OR(B836=0,B836=99,C836=""),"",IF(E836="Per class",D836,D836*H836))</f>
        <v>80</v>
      </c>
      <c r="N836" s="0" t="str">
        <f aca="false">IF('Young Innovators Kits'!B125="","",'Young Innovators Kits'!B125)</f>
        <v>Wiring &amp; Prototyping</v>
      </c>
      <c r="O836" s="0" t="str">
        <f aca="false">IF('Young Innovators Kits'!F125="","",'Young Innovators Kits'!F125)</f>
        <v>Reusable</v>
      </c>
      <c r="P836" s="0" t="str">
        <f aca="false">IF('Young Innovators Kits'!G125="","",'Young Innovators Kits'!G125)</f>
        <v/>
      </c>
    </row>
    <row r="837" customFormat="false" ht="15" hidden="false" customHeight="false" outlineLevel="0" collapsed="false">
      <c r="A837" s="0" t="s">
        <v>233</v>
      </c>
      <c r="B837" s="0" t="n">
        <v>9</v>
      </c>
      <c r="C837" s="0" t="str">
        <f aca="false">IF('Young Innovators Kits'!C126="","",'Young Innovators Kits'!C126)</f>
        <v>Jumper wires M-M</v>
      </c>
      <c r="D837" s="0" t="n">
        <f aca="false">IF('Young Innovators Kits'!D126="","",'Young Innovators Kits'!D126)</f>
        <v>8</v>
      </c>
      <c r="E837" s="0" t="str">
        <f aca="false">IF('Young Innovators Kits'!E126="","",'Young Innovators Kits'!E126)</f>
        <v>Per group</v>
      </c>
      <c r="F837" s="0" t="str">
        <f aca="false">IFERROR(INDEX('Session Tracker'!$M$5:$M$149,MATCH($A837,'Session Tracker'!$D$5:$D$149,0))+0,"")</f>
        <v/>
      </c>
      <c r="G837" s="0" t="str">
        <f aca="false">IF(ISNUMBER(F837),IF(OR(B837=0,B837=99,C837&lt;&gt;""),F837*100+B837,""),"")</f>
        <v/>
      </c>
      <c r="H837" s="0" t="n">
        <f aca="false">IFERROR(INDEX('Session Tracker'!$J$5:$J$149,MATCH($A837,'Session Tracker'!$D$5:$D$149,0)),0)</f>
        <v>8</v>
      </c>
      <c r="I837" s="0" t="n">
        <f aca="false">IF(OR(B837=0,B837=99,C837=""),"",IF(E837="Per class",D837,D837*H837))</f>
        <v>64</v>
      </c>
      <c r="N837" s="0" t="str">
        <f aca="false">IF('Young Innovators Kits'!B126="","",'Young Innovators Kits'!B126)</f>
        <v>Wiring &amp; Prototyping</v>
      </c>
      <c r="O837" s="0" t="str">
        <f aca="false">IF('Young Innovators Kits'!F126="","",'Young Innovators Kits'!F126)</f>
        <v>Reusable</v>
      </c>
      <c r="P837" s="0" t="str">
        <f aca="false">IF('Young Innovators Kits'!G126="","",'Young Innovators Kits'!G126)</f>
        <v/>
      </c>
    </row>
    <row r="838" customFormat="false" ht="15" hidden="false" customHeight="false" outlineLevel="0" collapsed="false">
      <c r="A838" s="0" t="s">
        <v>233</v>
      </c>
      <c r="B838" s="0" t="n">
        <v>10</v>
      </c>
      <c r="C838" s="0" t="str">
        <f aca="false">IF('Young Innovators Kits'!C127="","",'Young Innovators Kits'!C127)</f>
        <v>Laptop</v>
      </c>
      <c r="D838" s="0" t="n">
        <f aca="false">IF('Young Innovators Kits'!D127="","",'Young Innovators Kits'!D127)</f>
        <v>1</v>
      </c>
      <c r="E838" s="0" t="str">
        <f aca="false">IF('Young Innovators Kits'!E127="","",'Young Innovators Kits'!E127)</f>
        <v>Per group</v>
      </c>
      <c r="F838" s="0" t="str">
        <f aca="false">IFERROR(INDEX('Session Tracker'!$M$5:$M$149,MATCH($A838,'Session Tracker'!$D$5:$D$149,0))+0,"")</f>
        <v/>
      </c>
      <c r="G838" s="0" t="str">
        <f aca="false">IF(ISNUMBER(F838),IF(OR(B838=0,B838=99,C838&lt;&gt;""),F838*100+B838,""),"")</f>
        <v/>
      </c>
      <c r="H838" s="0" t="n">
        <f aca="false">IFERROR(INDEX('Session Tracker'!$J$5:$J$149,MATCH($A838,'Session Tracker'!$D$5:$D$149,0)),0)</f>
        <v>8</v>
      </c>
      <c r="I838" s="0" t="n">
        <f aca="false">IF(OR(B838=0,B838=99,C838=""),"",IF(E838="Per class",D838,D838*H838))</f>
        <v>8</v>
      </c>
      <c r="N838" s="0" t="str">
        <f aca="false">IF('Young Innovators Kits'!B127="","",'Young Innovators Kits'!B127)</f>
        <v>Computers &amp; Equipment</v>
      </c>
      <c r="O838" s="0" t="str">
        <f aca="false">IF('Young Innovators Kits'!F127="","",'Young Innovators Kits'!F127)</f>
        <v>Reusable</v>
      </c>
      <c r="P838" s="0" t="str">
        <f aca="false">IF('Young Innovators Kits'!G127="","",'Young Innovators Kits'!G127)</f>
        <v/>
      </c>
    </row>
    <row r="839" customFormat="false" ht="15" hidden="false" customHeight="false" outlineLevel="0" collapsed="false">
      <c r="A839" s="0" t="s">
        <v>233</v>
      </c>
      <c r="B839" s="0" t="n">
        <v>11</v>
      </c>
      <c r="C839" s="0" t="str">
        <f aca="false">IF('Young Innovators Kits'!C128="","",'Young Innovators Kits'!C128)</f>
        <v>LED 5 mm (assorted)</v>
      </c>
      <c r="D839" s="0" t="n">
        <f aca="false">IF('Young Innovators Kits'!D128="","",'Young Innovators Kits'!D128)</f>
        <v>1</v>
      </c>
      <c r="E839" s="0" t="str">
        <f aca="false">IF('Young Innovators Kits'!E128="","",'Young Innovators Kits'!E128)</f>
        <v>Per group</v>
      </c>
      <c r="F839" s="0" t="str">
        <f aca="false">IFERROR(INDEX('Session Tracker'!$M$5:$M$149,MATCH($A839,'Session Tracker'!$D$5:$D$149,0))+0,"")</f>
        <v/>
      </c>
      <c r="G839" s="0" t="str">
        <f aca="false">IF(ISNUMBER(F839),IF(OR(B839=0,B839=99,C839&lt;&gt;""),F839*100+B839,""),"")</f>
        <v/>
      </c>
      <c r="H839" s="0" t="n">
        <f aca="false">IFERROR(INDEX('Session Tracker'!$J$5:$J$149,MATCH($A839,'Session Tracker'!$D$5:$D$149,0)),0)</f>
        <v>8</v>
      </c>
      <c r="I839" s="0" t="n">
        <f aca="false">IF(OR(B839=0,B839=99,C839=""),"",IF(E839="Per class",D839,D839*H839))</f>
        <v>8</v>
      </c>
      <c r="N839" s="0" t="str">
        <f aca="false">IF('Young Innovators Kits'!B128="","",'Young Innovators Kits'!B128)</f>
        <v>Displays &amp; Output</v>
      </c>
      <c r="O839" s="0" t="str">
        <f aca="false">IF('Young Innovators Kits'!F128="","",'Young Innovators Kits'!F128)</f>
        <v>Consumable</v>
      </c>
      <c r="P839" s="0" t="str">
        <f aca="false">IF('Young Innovators Kits'!G128="","",'Young Innovators Kits'!G128)</f>
        <v>Added: every Arduino class</v>
      </c>
    </row>
    <row r="840" customFormat="false" ht="15" hidden="false" customHeight="false" outlineLevel="0" collapsed="false">
      <c r="A840" s="0" t="s">
        <v>233</v>
      </c>
      <c r="B840" s="0" t="n">
        <v>12</v>
      </c>
      <c r="C840" s="0" t="str">
        <f aca="false">IF('Young Innovators Kits'!C129="","",'Young Innovators Kits'!C129)</f>
        <v>Resistor 220 ohm</v>
      </c>
      <c r="D840" s="0" t="n">
        <f aca="false">IF('Young Innovators Kits'!D129="","",'Young Innovators Kits'!D129)</f>
        <v>1</v>
      </c>
      <c r="E840" s="0" t="str">
        <f aca="false">IF('Young Innovators Kits'!E129="","",'Young Innovators Kits'!E129)</f>
        <v>Per group</v>
      </c>
      <c r="F840" s="0" t="str">
        <f aca="false">IFERROR(INDEX('Session Tracker'!$M$5:$M$149,MATCH($A840,'Session Tracker'!$D$5:$D$149,0))+0,"")</f>
        <v/>
      </c>
      <c r="G840" s="0" t="str">
        <f aca="false">IF(ISNUMBER(F840),IF(OR(B840=0,B840=99,C840&lt;&gt;""),F840*100+B840,""),"")</f>
        <v/>
      </c>
      <c r="H840" s="0" t="n">
        <f aca="false">IFERROR(INDEX('Session Tracker'!$J$5:$J$149,MATCH($A840,'Session Tracker'!$D$5:$D$149,0)),0)</f>
        <v>8</v>
      </c>
      <c r="I840" s="0" t="n">
        <f aca="false">IF(OR(B840=0,B840=99,C840=""),"",IF(E840="Per class",D840,D840*H840))</f>
        <v>8</v>
      </c>
      <c r="N840" s="0" t="str">
        <f aca="false">IF('Young Innovators Kits'!B129="","",'Young Innovators Kits'!B129)</f>
        <v>Passive Components &amp; ICs</v>
      </c>
      <c r="O840" s="0" t="str">
        <f aca="false">IF('Young Innovators Kits'!F129="","",'Young Innovators Kits'!F129)</f>
        <v>Consumable</v>
      </c>
      <c r="P840" s="0" t="str">
        <f aca="false">IF('Young Innovators Kits'!G129="","",'Young Innovators Kits'!G129)</f>
        <v>Added: for the LED</v>
      </c>
    </row>
    <row r="841" customFormat="false" ht="15" hidden="false" customHeight="false" outlineLevel="0" collapsed="false">
      <c r="A841" s="0" t="s">
        <v>233</v>
      </c>
      <c r="B841" s="0" t="n">
        <v>13</v>
      </c>
      <c r="C841" s="0" t="str">
        <f aca="false">IF('Young Innovators Kits'!C130="","",'Young Innovators Kits'!C130)</f>
        <v>Buzzer</v>
      </c>
      <c r="D841" s="0" t="n">
        <f aca="false">IF('Young Innovators Kits'!D130="","",'Young Innovators Kits'!D130)</f>
        <v>1</v>
      </c>
      <c r="E841" s="0" t="str">
        <f aca="false">IF('Young Innovators Kits'!E130="","",'Young Innovators Kits'!E130)</f>
        <v>Per group</v>
      </c>
      <c r="F841" s="0" t="str">
        <f aca="false">IFERROR(INDEX('Session Tracker'!$M$5:$M$149,MATCH($A841,'Session Tracker'!$D$5:$D$149,0))+0,"")</f>
        <v/>
      </c>
      <c r="G841" s="0" t="str">
        <f aca="false">IF(ISNUMBER(F841),IF(OR(B841=0,B841=99,C841&lt;&gt;""),F841*100+B841,""),"")</f>
        <v/>
      </c>
      <c r="H841" s="0" t="n">
        <f aca="false">IFERROR(INDEX('Session Tracker'!$J$5:$J$149,MATCH($A841,'Session Tracker'!$D$5:$D$149,0)),0)</f>
        <v>8</v>
      </c>
      <c r="I841" s="0" t="n">
        <f aca="false">IF(OR(B841=0,B841=99,C841=""),"",IF(E841="Per class",D841,D841*H841))</f>
        <v>8</v>
      </c>
      <c r="N841" s="0" t="str">
        <f aca="false">IF('Young Innovators Kits'!B130="","",'Young Innovators Kits'!B130)</f>
        <v>Actuators &amp; Motor Drivers</v>
      </c>
      <c r="O841" s="0" t="str">
        <f aca="false">IF('Young Innovators Kits'!F130="","",'Young Innovators Kits'!F130)</f>
        <v>Reusable</v>
      </c>
      <c r="P841" s="0" t="str">
        <f aca="false">IF('Young Innovators Kits'!G130="","",'Young Innovators Kits'!G130)</f>
        <v>Added: every Arduino class</v>
      </c>
    </row>
    <row r="842" customFormat="false" ht="15" hidden="false" customHeight="false" outlineLevel="0" collapsed="false">
      <c r="A842" s="0" t="s">
        <v>233</v>
      </c>
      <c r="B842" s="0" t="n">
        <v>14</v>
      </c>
      <c r="C842" s="0" t="str">
        <f aca="false">IF('Young Innovators Kits'!C131="","",'Young Innovators Kits'!C131)</f>
        <v/>
      </c>
      <c r="D842" s="0" t="str">
        <f aca="false">IF('Young Innovators Kits'!D131="","",'Young Innovators Kits'!D131)</f>
        <v/>
      </c>
      <c r="E842" s="0" t="str">
        <f aca="false">IF('Young Innovators Kits'!E131="","",'Young Innovators Kits'!E131)</f>
        <v/>
      </c>
      <c r="F842" s="0" t="str">
        <f aca="false">IFERROR(INDEX('Session Tracker'!$M$5:$M$149,MATCH($A842,'Session Tracker'!$D$5:$D$149,0))+0,"")</f>
        <v/>
      </c>
      <c r="G842" s="0" t="str">
        <f aca="false">IF(ISNUMBER(F842),IF(OR(B842=0,B842=99,C842&lt;&gt;""),F842*100+B842,""),"")</f>
        <v/>
      </c>
      <c r="H842" s="0" t="n">
        <f aca="false">IFERROR(INDEX('Session Tracker'!$J$5:$J$149,MATCH($A842,'Session Tracker'!$D$5:$D$149,0)),0)</f>
        <v>8</v>
      </c>
      <c r="I842" s="0" t="str">
        <f aca="false">IF(OR(B842=0,B842=99,C842=""),"",IF(E842="Per class",D842,D842*H842))</f>
        <v/>
      </c>
      <c r="N842" s="0" t="str">
        <f aca="false">IF('Young Innovators Kits'!B131="","",'Young Innovators Kits'!B131)</f>
        <v/>
      </c>
      <c r="O842" s="0" t="str">
        <f aca="false">IF('Young Innovators Kits'!F131="","",'Young Innovators Kits'!F131)</f>
        <v/>
      </c>
      <c r="P842" s="0" t="str">
        <f aca="false">IF('Young Innovators Kits'!G131="","",'Young Innovators Kits'!G131)</f>
        <v/>
      </c>
    </row>
    <row r="843" customFormat="false" ht="15" hidden="false" customHeight="false" outlineLevel="0" collapsed="false">
      <c r="A843" s="0" t="s">
        <v>233</v>
      </c>
      <c r="B843" s="0" t="n">
        <v>15</v>
      </c>
      <c r="C843" s="0" t="str">
        <f aca="false">IF('Young Innovators Kits'!C132="","",'Young Innovators Kits'!C132)</f>
        <v/>
      </c>
      <c r="D843" s="0" t="str">
        <f aca="false">IF('Young Innovators Kits'!D132="","",'Young Innovators Kits'!D132)</f>
        <v/>
      </c>
      <c r="E843" s="0" t="str">
        <f aca="false">IF('Young Innovators Kits'!E132="","",'Young Innovators Kits'!E132)</f>
        <v/>
      </c>
      <c r="F843" s="0" t="str">
        <f aca="false">IFERROR(INDEX('Session Tracker'!$M$5:$M$149,MATCH($A843,'Session Tracker'!$D$5:$D$149,0))+0,"")</f>
        <v/>
      </c>
      <c r="G843" s="0" t="str">
        <f aca="false">IF(ISNUMBER(F843),IF(OR(B843=0,B843=99,C843&lt;&gt;""),F843*100+B843,""),"")</f>
        <v/>
      </c>
      <c r="H843" s="0" t="n">
        <f aca="false">IFERROR(INDEX('Session Tracker'!$J$5:$J$149,MATCH($A843,'Session Tracker'!$D$5:$D$149,0)),0)</f>
        <v>8</v>
      </c>
      <c r="I843" s="0" t="str">
        <f aca="false">IF(OR(B843=0,B843=99,C843=""),"",IF(E843="Per class",D843,D843*H843))</f>
        <v/>
      </c>
      <c r="N843" s="0" t="str">
        <f aca="false">IF('Young Innovators Kits'!B132="","",'Young Innovators Kits'!B132)</f>
        <v/>
      </c>
      <c r="O843" s="0" t="str">
        <f aca="false">IF('Young Innovators Kits'!F132="","",'Young Innovators Kits'!F132)</f>
        <v/>
      </c>
      <c r="P843" s="0" t="str">
        <f aca="false">IF('Young Innovators Kits'!G132="","",'Young Innovators Kits'!G132)</f>
        <v/>
      </c>
    </row>
    <row r="844" customFormat="false" ht="15" hidden="false" customHeight="false" outlineLevel="0" collapsed="false">
      <c r="A844" s="0" t="s">
        <v>235</v>
      </c>
      <c r="B844" s="0" t="n">
        <v>0</v>
      </c>
      <c r="F844" s="0" t="str">
        <f aca="false">IFERROR(INDEX('Session Tracker'!$M$5:$M$149,MATCH($A844,'Session Tracker'!$D$5:$D$149,0))+0,"")</f>
        <v/>
      </c>
      <c r="G844" s="0" t="str">
        <f aca="false">IF(ISNUMBER(F844),IF(OR(B844=0,B844=99,C844&lt;&gt;""),F844*100+B844,""),"")</f>
        <v/>
      </c>
      <c r="H844" s="0" t="n">
        <f aca="false">IFERROR(INDEX('Session Tracker'!$J$5:$J$149,MATCH($A844,'Session Tracker'!$D$5:$D$149,0)),0)</f>
        <v>8</v>
      </c>
      <c r="I844" s="0" t="str">
        <f aca="false">IF(OR(B844=0,B844=99,C844=""),"",IF(E844="Per class",D844,D844*H844))</f>
        <v/>
      </c>
      <c r="K844" s="0" t="str">
        <f aca="false">IFERROR(INDEX('Session Tracker'!$E$5:$E$149,MATCH($A844,'Session Tracker'!$D$5:$D$149,0)),"")</f>
        <v>Bluetooth Robot Car with Phone App</v>
      </c>
      <c r="L844" s="0" t="str">
        <f aca="false">IFERROR(INDEX('Session Tracker'!$A$5:$A$149,MATCH($A844,'Session Tracker'!$D$5:$D$149,0)),"")</f>
        <v>Young Innovators (12-14)</v>
      </c>
      <c r="M844" s="0" t="str">
        <f aca="false">IFERROR(INDEX('Session Tracker'!$H$5:$H$149,MATCH($A844,'Session Tracker'!$D$5:$D$149,0))&amp;"","")</f>
        <v/>
      </c>
      <c r="Q844" s="0" t="str">
        <f aca="false">IFERROR("Status: "&amp;INDEX('Session Tracker'!$F$5:$F$149,MATCH($A844,'Session Tracker'!$D$5:$D$149,0))&amp;IF(INDEX('Session Tracker'!$G$5:$G$149,MATCH($A844,'Session Tracker'!$D$5:$D$149,0))&lt;&gt;""," ("&amp;INDEX('Session Tracker'!$G$5:$G$149,MATCH($A844,'Session Tracker'!$D$5:$D$149,0))&amp;")","")&amp;IF(M844&lt;&gt;"","  "&amp;M844,""),"")</f>
        <v>Status: Not started</v>
      </c>
    </row>
    <row r="845" customFormat="false" ht="15" hidden="false" customHeight="false" outlineLevel="0" collapsed="false">
      <c r="A845" s="0" t="s">
        <v>235</v>
      </c>
      <c r="B845" s="0" t="n">
        <v>1</v>
      </c>
      <c r="C845" s="0" t="str">
        <f aca="false">IF('Young Innovators Kits'!C135="","",'Young Innovators Kits'!C135)</f>
        <v>Arduino Uno + USB cable</v>
      </c>
      <c r="D845" s="0" t="n">
        <f aca="false">IF('Young Innovators Kits'!D135="","",'Young Innovators Kits'!D135)</f>
        <v>1</v>
      </c>
      <c r="E845" s="0" t="str">
        <f aca="false">IF('Young Innovators Kits'!E135="","",'Young Innovators Kits'!E135)</f>
        <v>Per group</v>
      </c>
      <c r="F845" s="0" t="str">
        <f aca="false">IFERROR(INDEX('Session Tracker'!$M$5:$M$149,MATCH($A845,'Session Tracker'!$D$5:$D$149,0))+0,"")</f>
        <v/>
      </c>
      <c r="G845" s="0" t="str">
        <f aca="false">IF(ISNUMBER(F845),IF(OR(B845=0,B845=99,C845&lt;&gt;""),F845*100+B845,""),"")</f>
        <v/>
      </c>
      <c r="H845" s="0" t="n">
        <f aca="false">IFERROR(INDEX('Session Tracker'!$J$5:$J$149,MATCH($A845,'Session Tracker'!$D$5:$D$149,0)),0)</f>
        <v>8</v>
      </c>
      <c r="I845" s="0" t="n">
        <f aca="false">IF(OR(B845=0,B845=99,C845=""),"",IF(E845="Per class",D845,D845*H845))</f>
        <v>8</v>
      </c>
      <c r="N845" s="0" t="str">
        <f aca="false">IF('Young Innovators Kits'!B135="","",'Young Innovators Kits'!B135)</f>
        <v>Microcontrollers &amp; Dev Boards</v>
      </c>
      <c r="O845" s="0" t="str">
        <f aca="false">IF('Young Innovators Kits'!F135="","",'Young Innovators Kits'!F135)</f>
        <v>Reusable</v>
      </c>
      <c r="P845" s="0" t="str">
        <f aca="false">IF('Young Innovators Kits'!G135="","",'Young Innovators Kits'!G135)</f>
        <v/>
      </c>
    </row>
    <row r="846" customFormat="false" ht="15" hidden="false" customHeight="false" outlineLevel="0" collapsed="false">
      <c r="A846" s="0" t="s">
        <v>235</v>
      </c>
      <c r="B846" s="0" t="n">
        <v>2</v>
      </c>
      <c r="C846" s="0" t="str">
        <f aca="false">IF('Young Innovators Kits'!C136="","",'Young Innovators Kits'!C136)</f>
        <v>2WD robot chassis kit</v>
      </c>
      <c r="D846" s="0" t="n">
        <f aca="false">IF('Young Innovators Kits'!D136="","",'Young Innovators Kits'!D136)</f>
        <v>1</v>
      </c>
      <c r="E846" s="0" t="str">
        <f aca="false">IF('Young Innovators Kits'!E136="","",'Young Innovators Kits'!E136)</f>
        <v>Per group</v>
      </c>
      <c r="F846" s="0" t="str">
        <f aca="false">IFERROR(INDEX('Session Tracker'!$M$5:$M$149,MATCH($A846,'Session Tracker'!$D$5:$D$149,0))+0,"")</f>
        <v/>
      </c>
      <c r="G846" s="0" t="str">
        <f aca="false">IF(ISNUMBER(F846),IF(OR(B846=0,B846=99,C846&lt;&gt;""),F846*100+B846,""),"")</f>
        <v/>
      </c>
      <c r="H846" s="0" t="n">
        <f aca="false">IFERROR(INDEX('Session Tracker'!$J$5:$J$149,MATCH($A846,'Session Tracker'!$D$5:$D$149,0)),0)</f>
        <v>8</v>
      </c>
      <c r="I846" s="0" t="n">
        <f aca="false">IF(OR(B846=0,B846=99,C846=""),"",IF(E846="Per class",D846,D846*H846))</f>
        <v>8</v>
      </c>
      <c r="N846" s="0" t="str">
        <f aca="false">IF('Young Innovators Kits'!B136="","",'Young Innovators Kits'!B136)</f>
        <v>Robot Platforms &amp; Kits</v>
      </c>
      <c r="O846" s="0" t="str">
        <f aca="false">IF('Young Innovators Kits'!F136="","",'Young Innovators Kits'!F136)</f>
        <v>Reusable</v>
      </c>
      <c r="P846" s="0" t="str">
        <f aca="false">IF('Young Innovators Kits'!G136="","",'Young Innovators Kits'!G136)</f>
        <v/>
      </c>
    </row>
    <row r="847" customFormat="false" ht="15" hidden="false" customHeight="false" outlineLevel="0" collapsed="false">
      <c r="A847" s="0" t="s">
        <v>235</v>
      </c>
      <c r="B847" s="0" t="n">
        <v>3</v>
      </c>
      <c r="C847" s="0" t="str">
        <f aca="false">IF('Young Innovators Kits'!C137="","",'Young Innovators Kits'!C137)</f>
        <v>L298N motor driver</v>
      </c>
      <c r="D847" s="0" t="n">
        <f aca="false">IF('Young Innovators Kits'!D137="","",'Young Innovators Kits'!D137)</f>
        <v>1</v>
      </c>
      <c r="E847" s="0" t="str">
        <f aca="false">IF('Young Innovators Kits'!E137="","",'Young Innovators Kits'!E137)</f>
        <v>Per group</v>
      </c>
      <c r="F847" s="0" t="str">
        <f aca="false">IFERROR(INDEX('Session Tracker'!$M$5:$M$149,MATCH($A847,'Session Tracker'!$D$5:$D$149,0))+0,"")</f>
        <v/>
      </c>
      <c r="G847" s="0" t="str">
        <f aca="false">IF(ISNUMBER(F847),IF(OR(B847=0,B847=99,C847&lt;&gt;""),F847*100+B847,""),"")</f>
        <v/>
      </c>
      <c r="H847" s="0" t="n">
        <f aca="false">IFERROR(INDEX('Session Tracker'!$J$5:$J$149,MATCH($A847,'Session Tracker'!$D$5:$D$149,0)),0)</f>
        <v>8</v>
      </c>
      <c r="I847" s="0" t="n">
        <f aca="false">IF(OR(B847=0,B847=99,C847=""),"",IF(E847="Per class",D847,D847*H847))</f>
        <v>8</v>
      </c>
      <c r="N847" s="0" t="str">
        <f aca="false">IF('Young Innovators Kits'!B137="","",'Young Innovators Kits'!B137)</f>
        <v>Actuators &amp; Motor Drivers</v>
      </c>
      <c r="O847" s="0" t="str">
        <f aca="false">IF('Young Innovators Kits'!F137="","",'Young Innovators Kits'!F137)</f>
        <v>Reusable</v>
      </c>
      <c r="P847" s="0" t="str">
        <f aca="false">IF('Young Innovators Kits'!G137="","",'Young Innovators Kits'!G137)</f>
        <v/>
      </c>
    </row>
    <row r="848" customFormat="false" ht="15" hidden="false" customHeight="false" outlineLevel="0" collapsed="false">
      <c r="A848" s="0" t="s">
        <v>235</v>
      </c>
      <c r="B848" s="0" t="n">
        <v>4</v>
      </c>
      <c r="C848" s="0" t="str">
        <f aca="false">IF('Young Innovators Kits'!C138="","",'Young Innovators Kits'!C138)</f>
        <v>Bluetooth module HC-05</v>
      </c>
      <c r="D848" s="0" t="n">
        <f aca="false">IF('Young Innovators Kits'!D138="","",'Young Innovators Kits'!D138)</f>
        <v>1</v>
      </c>
      <c r="E848" s="0" t="str">
        <f aca="false">IF('Young Innovators Kits'!E138="","",'Young Innovators Kits'!E138)</f>
        <v>Per group</v>
      </c>
      <c r="F848" s="0" t="str">
        <f aca="false">IFERROR(INDEX('Session Tracker'!$M$5:$M$149,MATCH($A848,'Session Tracker'!$D$5:$D$149,0))+0,"")</f>
        <v/>
      </c>
      <c r="G848" s="0" t="str">
        <f aca="false">IF(ISNUMBER(F848),IF(OR(B848=0,B848=99,C848&lt;&gt;""),F848*100+B848,""),"")</f>
        <v/>
      </c>
      <c r="H848" s="0" t="n">
        <f aca="false">IFERROR(INDEX('Session Tracker'!$J$5:$J$149,MATCH($A848,'Session Tracker'!$D$5:$D$149,0)),0)</f>
        <v>8</v>
      </c>
      <c r="I848" s="0" t="n">
        <f aca="false">IF(OR(B848=0,B848=99,C848=""),"",IF(E848="Per class",D848,D848*H848))</f>
        <v>8</v>
      </c>
      <c r="N848" s="0" t="str">
        <f aca="false">IF('Young Innovators Kits'!B138="","",'Young Innovators Kits'!B138)</f>
        <v>Communication Modules</v>
      </c>
      <c r="O848" s="0" t="str">
        <f aca="false">IF('Young Innovators Kits'!F138="","",'Young Innovators Kits'!F138)</f>
        <v>Reusable</v>
      </c>
      <c r="P848" s="0" t="str">
        <f aca="false">IF('Young Innovators Kits'!G138="","",'Young Innovators Kits'!G138)</f>
        <v/>
      </c>
    </row>
    <row r="849" customFormat="false" ht="15" hidden="false" customHeight="false" outlineLevel="0" collapsed="false">
      <c r="A849" s="0" t="s">
        <v>235</v>
      </c>
      <c r="B849" s="0" t="n">
        <v>5</v>
      </c>
      <c r="C849" s="0" t="str">
        <f aca="false">IF('Young Innovators Kits'!C139="","",'Young Innovators Kits'!C139)</f>
        <v>LED 5 mm (assorted)</v>
      </c>
      <c r="D849" s="0" t="n">
        <f aca="false">IF('Young Innovators Kits'!D139="","",'Young Innovators Kits'!D139)</f>
        <v>2</v>
      </c>
      <c r="E849" s="0" t="str">
        <f aca="false">IF('Young Innovators Kits'!E139="","",'Young Innovators Kits'!E139)</f>
        <v>Per group</v>
      </c>
      <c r="F849" s="0" t="str">
        <f aca="false">IFERROR(INDEX('Session Tracker'!$M$5:$M$149,MATCH($A849,'Session Tracker'!$D$5:$D$149,0))+0,"")</f>
        <v/>
      </c>
      <c r="G849" s="0" t="str">
        <f aca="false">IF(ISNUMBER(F849),IF(OR(B849=0,B849=99,C849&lt;&gt;""),F849*100+B849,""),"")</f>
        <v/>
      </c>
      <c r="H849" s="0" t="n">
        <f aca="false">IFERROR(INDEX('Session Tracker'!$J$5:$J$149,MATCH($A849,'Session Tracker'!$D$5:$D$149,0)),0)</f>
        <v>8</v>
      </c>
      <c r="I849" s="0" t="n">
        <f aca="false">IF(OR(B849=0,B849=99,C849=""),"",IF(E849="Per class",D849,D849*H849))</f>
        <v>16</v>
      </c>
      <c r="N849" s="0" t="str">
        <f aca="false">IF('Young Innovators Kits'!B139="","",'Young Innovators Kits'!B139)</f>
        <v>Displays &amp; Output</v>
      </c>
      <c r="O849" s="0" t="str">
        <f aca="false">IF('Young Innovators Kits'!F139="","",'Young Innovators Kits'!F139)</f>
        <v>Consumable</v>
      </c>
      <c r="P849" s="0" t="str">
        <f aca="false">IF('Young Innovators Kits'!G139="","",'Young Innovators Kits'!G139)</f>
        <v>Headlights</v>
      </c>
    </row>
    <row r="850" customFormat="false" ht="15" hidden="false" customHeight="false" outlineLevel="0" collapsed="false">
      <c r="A850" s="0" t="s">
        <v>235</v>
      </c>
      <c r="B850" s="0" t="n">
        <v>6</v>
      </c>
      <c r="C850" s="0" t="str">
        <f aca="false">IF('Young Innovators Kits'!C140="","",'Young Innovators Kits'!C140)</f>
        <v>Resistor 220 ohm</v>
      </c>
      <c r="D850" s="0" t="n">
        <f aca="false">IF('Young Innovators Kits'!D140="","",'Young Innovators Kits'!D140)</f>
        <v>2</v>
      </c>
      <c r="E850" s="0" t="str">
        <f aca="false">IF('Young Innovators Kits'!E140="","",'Young Innovators Kits'!E140)</f>
        <v>Per group</v>
      </c>
      <c r="F850" s="0" t="str">
        <f aca="false">IFERROR(INDEX('Session Tracker'!$M$5:$M$149,MATCH($A850,'Session Tracker'!$D$5:$D$149,0))+0,"")</f>
        <v/>
      </c>
      <c r="G850" s="0" t="str">
        <f aca="false">IF(ISNUMBER(F850),IF(OR(B850=0,B850=99,C850&lt;&gt;""),F850*100+B850,""),"")</f>
        <v/>
      </c>
      <c r="H850" s="0" t="n">
        <f aca="false">IFERROR(INDEX('Session Tracker'!$J$5:$J$149,MATCH($A850,'Session Tracker'!$D$5:$D$149,0)),0)</f>
        <v>8</v>
      </c>
      <c r="I850" s="0" t="n">
        <f aca="false">IF(OR(B850=0,B850=99,C850=""),"",IF(E850="Per class",D850,D850*H850))</f>
        <v>16</v>
      </c>
      <c r="N850" s="0" t="str">
        <f aca="false">IF('Young Innovators Kits'!B140="","",'Young Innovators Kits'!B140)</f>
        <v>Passive Components &amp; ICs</v>
      </c>
      <c r="O850" s="0" t="str">
        <f aca="false">IF('Young Innovators Kits'!F140="","",'Young Innovators Kits'!F140)</f>
        <v>Consumable</v>
      </c>
      <c r="P850" s="0" t="str">
        <f aca="false">IF('Young Innovators Kits'!G140="","",'Young Innovators Kits'!G140)</f>
        <v/>
      </c>
    </row>
    <row r="851" customFormat="false" ht="15" hidden="false" customHeight="false" outlineLevel="0" collapsed="false">
      <c r="A851" s="0" t="s">
        <v>235</v>
      </c>
      <c r="B851" s="0" t="n">
        <v>7</v>
      </c>
      <c r="C851" s="0" t="str">
        <f aca="false">IF('Young Innovators Kits'!C141="","",'Young Innovators Kits'!C141)</f>
        <v>Resistor 1k ohm</v>
      </c>
      <c r="D851" s="0" t="n">
        <f aca="false">IF('Young Innovators Kits'!D141="","",'Young Innovators Kits'!D141)</f>
        <v>1</v>
      </c>
      <c r="E851" s="0" t="str">
        <f aca="false">IF('Young Innovators Kits'!E141="","",'Young Innovators Kits'!E141)</f>
        <v>Per group</v>
      </c>
      <c r="F851" s="0" t="str">
        <f aca="false">IFERROR(INDEX('Session Tracker'!$M$5:$M$149,MATCH($A851,'Session Tracker'!$D$5:$D$149,0))+0,"")</f>
        <v/>
      </c>
      <c r="G851" s="0" t="str">
        <f aca="false">IF(ISNUMBER(F851),IF(OR(B851=0,B851=99,C851&lt;&gt;""),F851*100+B851,""),"")</f>
        <v/>
      </c>
      <c r="H851" s="0" t="n">
        <f aca="false">IFERROR(INDEX('Session Tracker'!$J$5:$J$149,MATCH($A851,'Session Tracker'!$D$5:$D$149,0)),0)</f>
        <v>8</v>
      </c>
      <c r="I851" s="0" t="n">
        <f aca="false">IF(OR(B851=0,B851=99,C851=""),"",IF(E851="Per class",D851,D851*H851))</f>
        <v>8</v>
      </c>
      <c r="N851" s="0" t="str">
        <f aca="false">IF('Young Innovators Kits'!B141="","",'Young Innovators Kits'!B141)</f>
        <v>Passive Components &amp; ICs</v>
      </c>
      <c r="O851" s="0" t="str">
        <f aca="false">IF('Young Innovators Kits'!F141="","",'Young Innovators Kits'!F141)</f>
        <v>Consumable</v>
      </c>
      <c r="P851" s="0" t="str">
        <f aca="false">IF('Young Innovators Kits'!G141="","",'Young Innovators Kits'!G141)</f>
        <v/>
      </c>
    </row>
    <row r="852" customFormat="false" ht="15" hidden="false" customHeight="false" outlineLevel="0" collapsed="false">
      <c r="A852" s="0" t="s">
        <v>235</v>
      </c>
      <c r="B852" s="0" t="n">
        <v>8</v>
      </c>
      <c r="C852" s="0" t="str">
        <f aca="false">IF('Young Innovators Kits'!C142="","",'Young Innovators Kits'!C142)</f>
        <v>Resistor 10k ohm</v>
      </c>
      <c r="D852" s="0" t="n">
        <f aca="false">IF('Young Innovators Kits'!D142="","",'Young Innovators Kits'!D142)</f>
        <v>1</v>
      </c>
      <c r="E852" s="0" t="str">
        <f aca="false">IF('Young Innovators Kits'!E142="","",'Young Innovators Kits'!E142)</f>
        <v>Per group</v>
      </c>
      <c r="F852" s="0" t="str">
        <f aca="false">IFERROR(INDEX('Session Tracker'!$M$5:$M$149,MATCH($A852,'Session Tracker'!$D$5:$D$149,0))+0,"")</f>
        <v/>
      </c>
      <c r="G852" s="0" t="str">
        <f aca="false">IF(ISNUMBER(F852),IF(OR(B852=0,B852=99,C852&lt;&gt;""),F852*100+B852,""),"")</f>
        <v/>
      </c>
      <c r="H852" s="0" t="n">
        <f aca="false">IFERROR(INDEX('Session Tracker'!$J$5:$J$149,MATCH($A852,'Session Tracker'!$D$5:$D$149,0)),0)</f>
        <v>8</v>
      </c>
      <c r="I852" s="0" t="n">
        <f aca="false">IF(OR(B852=0,B852=99,C852=""),"",IF(E852="Per class",D852,D852*H852))</f>
        <v>8</v>
      </c>
      <c r="N852" s="0" t="str">
        <f aca="false">IF('Young Innovators Kits'!B142="","",'Young Innovators Kits'!B142)</f>
        <v>Passive Components &amp; ICs</v>
      </c>
      <c r="O852" s="0" t="str">
        <f aca="false">IF('Young Innovators Kits'!F142="","",'Young Innovators Kits'!F142)</f>
        <v>Consumable</v>
      </c>
      <c r="P852" s="0" t="str">
        <f aca="false">IF('Young Innovators Kits'!G142="","",'Young Innovators Kits'!G142)</f>
        <v/>
      </c>
    </row>
    <row r="853" customFormat="false" ht="15" hidden="false" customHeight="false" outlineLevel="0" collapsed="false">
      <c r="A853" s="0" t="s">
        <v>235</v>
      </c>
      <c r="B853" s="0" t="n">
        <v>9</v>
      </c>
      <c r="C853" s="0" t="str">
        <f aca="false">IF('Young Innovators Kits'!C143="","",'Young Innovators Kits'!C143)</f>
        <v>Buzzer</v>
      </c>
      <c r="D853" s="0" t="n">
        <f aca="false">IF('Young Innovators Kits'!D143="","",'Young Innovators Kits'!D143)</f>
        <v>1</v>
      </c>
      <c r="E853" s="0" t="str">
        <f aca="false">IF('Young Innovators Kits'!E143="","",'Young Innovators Kits'!E143)</f>
        <v>Per group</v>
      </c>
      <c r="F853" s="0" t="str">
        <f aca="false">IFERROR(INDEX('Session Tracker'!$M$5:$M$149,MATCH($A853,'Session Tracker'!$D$5:$D$149,0))+0,"")</f>
        <v/>
      </c>
      <c r="G853" s="0" t="str">
        <f aca="false">IF(ISNUMBER(F853),IF(OR(B853=0,B853=99,C853&lt;&gt;""),F853*100+B853,""),"")</f>
        <v/>
      </c>
      <c r="H853" s="0" t="n">
        <f aca="false">IFERROR(INDEX('Session Tracker'!$J$5:$J$149,MATCH($A853,'Session Tracker'!$D$5:$D$149,0)),0)</f>
        <v>8</v>
      </c>
      <c r="I853" s="0" t="n">
        <f aca="false">IF(OR(B853=0,B853=99,C853=""),"",IF(E853="Per class",D853,D853*H853))</f>
        <v>8</v>
      </c>
      <c r="N853" s="0" t="str">
        <f aca="false">IF('Young Innovators Kits'!B143="","",'Young Innovators Kits'!B143)</f>
        <v>Actuators &amp; Motor Drivers</v>
      </c>
      <c r="O853" s="0" t="str">
        <f aca="false">IF('Young Innovators Kits'!F143="","",'Young Innovators Kits'!F143)</f>
        <v>Reusable</v>
      </c>
      <c r="P853" s="0" t="str">
        <f aca="false">IF('Young Innovators Kits'!G143="","",'Young Innovators Kits'!G143)</f>
        <v/>
      </c>
    </row>
    <row r="854" customFormat="false" ht="15" hidden="false" customHeight="false" outlineLevel="0" collapsed="false">
      <c r="A854" s="0" t="s">
        <v>235</v>
      </c>
      <c r="B854" s="0" t="n">
        <v>10</v>
      </c>
      <c r="C854" s="0" t="str">
        <f aca="false">IF('Young Innovators Kits'!C144="","",'Young Innovators Kits'!C144)</f>
        <v>4xAA battery pack</v>
      </c>
      <c r="D854" s="0" t="n">
        <f aca="false">IF('Young Innovators Kits'!D144="","",'Young Innovators Kits'!D144)</f>
        <v>1</v>
      </c>
      <c r="E854" s="0" t="str">
        <f aca="false">IF('Young Innovators Kits'!E144="","",'Young Innovators Kits'!E144)</f>
        <v>Per group</v>
      </c>
      <c r="F854" s="0" t="str">
        <f aca="false">IFERROR(INDEX('Session Tracker'!$M$5:$M$149,MATCH($A854,'Session Tracker'!$D$5:$D$149,0))+0,"")</f>
        <v/>
      </c>
      <c r="G854" s="0" t="str">
        <f aca="false">IF(ISNUMBER(F854),IF(OR(B854=0,B854=99,C854&lt;&gt;""),F854*100+B854,""),"")</f>
        <v/>
      </c>
      <c r="H854" s="0" t="n">
        <f aca="false">IFERROR(INDEX('Session Tracker'!$J$5:$J$149,MATCH($A854,'Session Tracker'!$D$5:$D$149,0)),0)</f>
        <v>8</v>
      </c>
      <c r="I854" s="0" t="n">
        <f aca="false">IF(OR(B854=0,B854=99,C854=""),"",IF(E854="Per class",D854,D854*H854))</f>
        <v>8</v>
      </c>
      <c r="N854" s="0" t="str">
        <f aca="false">IF('Young Innovators Kits'!B144="","",'Young Innovators Kits'!B144)</f>
        <v>Power</v>
      </c>
      <c r="O854" s="0" t="str">
        <f aca="false">IF('Young Innovators Kits'!F144="","",'Young Innovators Kits'!F144)</f>
        <v>Consumable</v>
      </c>
      <c r="P854" s="0" t="str">
        <f aca="false">IF('Young Innovators Kits'!G144="","",'Young Innovators Kits'!G144)</f>
        <v/>
      </c>
    </row>
    <row r="855" customFormat="false" ht="15" hidden="false" customHeight="false" outlineLevel="0" collapsed="false">
      <c r="A855" s="0" t="s">
        <v>235</v>
      </c>
      <c r="B855" s="0" t="n">
        <v>11</v>
      </c>
      <c r="C855" s="0" t="str">
        <f aca="false">IF('Young Innovators Kits'!C145="","",'Young Innovators Kits'!C145)</f>
        <v>Android smartphone</v>
      </c>
      <c r="D855" s="0" t="n">
        <f aca="false">IF('Young Innovators Kits'!D145="","",'Young Innovators Kits'!D145)</f>
        <v>1</v>
      </c>
      <c r="E855" s="0" t="str">
        <f aca="false">IF('Young Innovators Kits'!E145="","",'Young Innovators Kits'!E145)</f>
        <v>Per group</v>
      </c>
      <c r="F855" s="0" t="str">
        <f aca="false">IFERROR(INDEX('Session Tracker'!$M$5:$M$149,MATCH($A855,'Session Tracker'!$D$5:$D$149,0))+0,"")</f>
        <v/>
      </c>
      <c r="G855" s="0" t="str">
        <f aca="false">IF(ISNUMBER(F855),IF(OR(B855=0,B855=99,C855&lt;&gt;""),F855*100+B855,""),"")</f>
        <v/>
      </c>
      <c r="H855" s="0" t="n">
        <f aca="false">IFERROR(INDEX('Session Tracker'!$J$5:$J$149,MATCH($A855,'Session Tracker'!$D$5:$D$149,0)),0)</f>
        <v>8</v>
      </c>
      <c r="I855" s="0" t="n">
        <f aca="false">IF(OR(B855=0,B855=99,C855=""),"",IF(E855="Per class",D855,D855*H855))</f>
        <v>8</v>
      </c>
      <c r="N855" s="0" t="str">
        <f aca="false">IF('Young Innovators Kits'!B145="","",'Young Innovators Kits'!B145)</f>
        <v>Computers &amp; Equipment</v>
      </c>
      <c r="O855" s="0" t="str">
        <f aca="false">IF('Young Innovators Kits'!F145="","",'Young Innovators Kits'!F145)</f>
        <v>Reusable</v>
      </c>
      <c r="P855" s="0" t="str">
        <f aca="false">IF('Young Innovators Kits'!G145="","",'Young Innovators Kits'!G145)</f>
        <v/>
      </c>
    </row>
    <row r="856" customFormat="false" ht="15" hidden="false" customHeight="false" outlineLevel="0" collapsed="false">
      <c r="A856" s="0" t="s">
        <v>235</v>
      </c>
      <c r="B856" s="0" t="n">
        <v>12</v>
      </c>
      <c r="C856" s="0" t="str">
        <f aca="false">IF('Young Innovators Kits'!C146="","",'Young Innovators Kits'!C146)</f>
        <v>Jumper wires M-F</v>
      </c>
      <c r="D856" s="0" t="n">
        <f aca="false">IF('Young Innovators Kits'!D146="","",'Young Innovators Kits'!D146)</f>
        <v>10</v>
      </c>
      <c r="E856" s="0" t="str">
        <f aca="false">IF('Young Innovators Kits'!E146="","",'Young Innovators Kits'!E146)</f>
        <v>Per group</v>
      </c>
      <c r="F856" s="0" t="str">
        <f aca="false">IFERROR(INDEX('Session Tracker'!$M$5:$M$149,MATCH($A856,'Session Tracker'!$D$5:$D$149,0))+0,"")</f>
        <v/>
      </c>
      <c r="G856" s="0" t="str">
        <f aca="false">IF(ISNUMBER(F856),IF(OR(B856=0,B856=99,C856&lt;&gt;""),F856*100+B856,""),"")</f>
        <v/>
      </c>
      <c r="H856" s="0" t="n">
        <f aca="false">IFERROR(INDEX('Session Tracker'!$J$5:$J$149,MATCH($A856,'Session Tracker'!$D$5:$D$149,0)),0)</f>
        <v>8</v>
      </c>
      <c r="I856" s="0" t="n">
        <f aca="false">IF(OR(B856=0,B856=99,C856=""),"",IF(E856="Per class",D856,D856*H856))</f>
        <v>80</v>
      </c>
      <c r="N856" s="0" t="str">
        <f aca="false">IF('Young Innovators Kits'!B146="","",'Young Innovators Kits'!B146)</f>
        <v>Wiring &amp; Prototyping</v>
      </c>
      <c r="O856" s="0" t="str">
        <f aca="false">IF('Young Innovators Kits'!F146="","",'Young Innovators Kits'!F146)</f>
        <v>Reusable</v>
      </c>
      <c r="P856" s="0" t="str">
        <f aca="false">IF('Young Innovators Kits'!G146="","",'Young Innovators Kits'!G146)</f>
        <v/>
      </c>
    </row>
    <row r="857" customFormat="false" ht="15" hidden="false" customHeight="false" outlineLevel="0" collapsed="false">
      <c r="A857" s="0" t="s">
        <v>235</v>
      </c>
      <c r="B857" s="0" t="n">
        <v>13</v>
      </c>
      <c r="C857" s="0" t="str">
        <f aca="false">IF('Young Innovators Kits'!C147="","",'Young Innovators Kits'!C147)</f>
        <v>Jumper wires M-M</v>
      </c>
      <c r="D857" s="0" t="n">
        <f aca="false">IF('Young Innovators Kits'!D147="","",'Young Innovators Kits'!D147)</f>
        <v>8</v>
      </c>
      <c r="E857" s="0" t="str">
        <f aca="false">IF('Young Innovators Kits'!E147="","",'Young Innovators Kits'!E147)</f>
        <v>Per group</v>
      </c>
      <c r="F857" s="0" t="str">
        <f aca="false">IFERROR(INDEX('Session Tracker'!$M$5:$M$149,MATCH($A857,'Session Tracker'!$D$5:$D$149,0))+0,"")</f>
        <v/>
      </c>
      <c r="G857" s="0" t="str">
        <f aca="false">IF(ISNUMBER(F857),IF(OR(B857=0,B857=99,C857&lt;&gt;""),F857*100+B857,""),"")</f>
        <v/>
      </c>
      <c r="H857" s="0" t="n">
        <f aca="false">IFERROR(INDEX('Session Tracker'!$J$5:$J$149,MATCH($A857,'Session Tracker'!$D$5:$D$149,0)),0)</f>
        <v>8</v>
      </c>
      <c r="I857" s="0" t="n">
        <f aca="false">IF(OR(B857=0,B857=99,C857=""),"",IF(E857="Per class",D857,D857*H857))</f>
        <v>64</v>
      </c>
      <c r="N857" s="0" t="str">
        <f aca="false">IF('Young Innovators Kits'!B147="","",'Young Innovators Kits'!B147)</f>
        <v>Wiring &amp; Prototyping</v>
      </c>
      <c r="O857" s="0" t="str">
        <f aca="false">IF('Young Innovators Kits'!F147="","",'Young Innovators Kits'!F147)</f>
        <v>Reusable</v>
      </c>
      <c r="P857" s="0" t="str">
        <f aca="false">IF('Young Innovators Kits'!G147="","",'Young Innovators Kits'!G147)</f>
        <v/>
      </c>
    </row>
    <row r="858" customFormat="false" ht="15" hidden="false" customHeight="false" outlineLevel="0" collapsed="false">
      <c r="A858" s="0" t="s">
        <v>235</v>
      </c>
      <c r="B858" s="0" t="n">
        <v>14</v>
      </c>
      <c r="C858" s="0" t="str">
        <f aca="false">IF('Young Innovators Kits'!C148="","",'Young Innovators Kits'!C148)</f>
        <v>Laptop</v>
      </c>
      <c r="D858" s="0" t="n">
        <f aca="false">IF('Young Innovators Kits'!D148="","",'Young Innovators Kits'!D148)</f>
        <v>1</v>
      </c>
      <c r="E858" s="0" t="str">
        <f aca="false">IF('Young Innovators Kits'!E148="","",'Young Innovators Kits'!E148)</f>
        <v>Per group</v>
      </c>
      <c r="F858" s="0" t="str">
        <f aca="false">IFERROR(INDEX('Session Tracker'!$M$5:$M$149,MATCH($A858,'Session Tracker'!$D$5:$D$149,0))+0,"")</f>
        <v/>
      </c>
      <c r="G858" s="0" t="str">
        <f aca="false">IF(ISNUMBER(F858),IF(OR(B858=0,B858=99,C858&lt;&gt;""),F858*100+B858,""),"")</f>
        <v/>
      </c>
      <c r="H858" s="0" t="n">
        <f aca="false">IFERROR(INDEX('Session Tracker'!$J$5:$J$149,MATCH($A858,'Session Tracker'!$D$5:$D$149,0)),0)</f>
        <v>8</v>
      </c>
      <c r="I858" s="0" t="n">
        <f aca="false">IF(OR(B858=0,B858=99,C858=""),"",IF(E858="Per class",D858,D858*H858))</f>
        <v>8</v>
      </c>
      <c r="N858" s="0" t="str">
        <f aca="false">IF('Young Innovators Kits'!B148="","",'Young Innovators Kits'!B148)</f>
        <v>Computers &amp; Equipment</v>
      </c>
      <c r="O858" s="0" t="str">
        <f aca="false">IF('Young Innovators Kits'!F148="","",'Young Innovators Kits'!F148)</f>
        <v>Reusable</v>
      </c>
      <c r="P858" s="0" t="str">
        <f aca="false">IF('Young Innovators Kits'!G148="","",'Young Innovators Kits'!G148)</f>
        <v/>
      </c>
    </row>
    <row r="859" customFormat="false" ht="15" hidden="false" customHeight="false" outlineLevel="0" collapsed="false">
      <c r="A859" s="0" t="s">
        <v>235</v>
      </c>
      <c r="B859" s="0" t="n">
        <v>15</v>
      </c>
      <c r="C859" s="0" t="str">
        <f aca="false">IF('Young Innovators Kits'!C149="","",'Young Innovators Kits'!C149)</f>
        <v/>
      </c>
      <c r="D859" s="0" t="str">
        <f aca="false">IF('Young Innovators Kits'!D149="","",'Young Innovators Kits'!D149)</f>
        <v/>
      </c>
      <c r="E859" s="0" t="str">
        <f aca="false">IF('Young Innovators Kits'!E149="","",'Young Innovators Kits'!E149)</f>
        <v/>
      </c>
      <c r="F859" s="0" t="str">
        <f aca="false">IFERROR(INDEX('Session Tracker'!$M$5:$M$149,MATCH($A859,'Session Tracker'!$D$5:$D$149,0))+0,"")</f>
        <v/>
      </c>
      <c r="G859" s="0" t="str">
        <f aca="false">IF(ISNUMBER(F859),IF(OR(B859=0,B859=99,C859&lt;&gt;""),F859*100+B859,""),"")</f>
        <v/>
      </c>
      <c r="H859" s="0" t="n">
        <f aca="false">IFERROR(INDEX('Session Tracker'!$J$5:$J$149,MATCH($A859,'Session Tracker'!$D$5:$D$149,0)),0)</f>
        <v>8</v>
      </c>
      <c r="I859" s="0" t="str">
        <f aca="false">IF(OR(B859=0,B859=99,C859=""),"",IF(E859="Per class",D859,D859*H859))</f>
        <v/>
      </c>
      <c r="N859" s="0" t="str">
        <f aca="false">IF('Young Innovators Kits'!B149="","",'Young Innovators Kits'!B149)</f>
        <v/>
      </c>
      <c r="O859" s="0" t="str">
        <f aca="false">IF('Young Innovators Kits'!F149="","",'Young Innovators Kits'!F149)</f>
        <v/>
      </c>
      <c r="P859" s="0" t="str">
        <f aca="false">IF('Young Innovators Kits'!G149="","",'Young Innovators Kits'!G149)</f>
        <v/>
      </c>
    </row>
    <row r="860" customFormat="false" ht="15" hidden="false" customHeight="false" outlineLevel="0" collapsed="false">
      <c r="A860" s="0" t="s">
        <v>235</v>
      </c>
      <c r="B860" s="0" t="n">
        <v>16</v>
      </c>
      <c r="C860" s="0" t="str">
        <f aca="false">IF('Young Innovators Kits'!C150="","",'Young Innovators Kits'!C150)</f>
        <v/>
      </c>
      <c r="D860" s="0" t="str">
        <f aca="false">IF('Young Innovators Kits'!D150="","",'Young Innovators Kits'!D150)</f>
        <v/>
      </c>
      <c r="E860" s="0" t="str">
        <f aca="false">IF('Young Innovators Kits'!E150="","",'Young Innovators Kits'!E150)</f>
        <v/>
      </c>
      <c r="F860" s="0" t="str">
        <f aca="false">IFERROR(INDEX('Session Tracker'!$M$5:$M$149,MATCH($A860,'Session Tracker'!$D$5:$D$149,0))+0,"")</f>
        <v/>
      </c>
      <c r="G860" s="0" t="str">
        <f aca="false">IF(ISNUMBER(F860),IF(OR(B860=0,B860=99,C860&lt;&gt;""),F860*100+B860,""),"")</f>
        <v/>
      </c>
      <c r="H860" s="0" t="n">
        <f aca="false">IFERROR(INDEX('Session Tracker'!$J$5:$J$149,MATCH($A860,'Session Tracker'!$D$5:$D$149,0)),0)</f>
        <v>8</v>
      </c>
      <c r="I860" s="0" t="str">
        <f aca="false">IF(OR(B860=0,B860=99,C860=""),"",IF(E860="Per class",D860,D860*H860))</f>
        <v/>
      </c>
      <c r="N860" s="0" t="str">
        <f aca="false">IF('Young Innovators Kits'!B150="","",'Young Innovators Kits'!B150)</f>
        <v/>
      </c>
      <c r="O860" s="0" t="str">
        <f aca="false">IF('Young Innovators Kits'!F150="","",'Young Innovators Kits'!F150)</f>
        <v/>
      </c>
      <c r="P860" s="0" t="str">
        <f aca="false">IF('Young Innovators Kits'!G150="","",'Young Innovators Kits'!G150)</f>
        <v/>
      </c>
    </row>
    <row r="861" customFormat="false" ht="15" hidden="false" customHeight="false" outlineLevel="0" collapsed="false">
      <c r="A861" s="0" t="s">
        <v>237</v>
      </c>
      <c r="B861" s="0" t="n">
        <v>0</v>
      </c>
      <c r="F861" s="0" t="str">
        <f aca="false">IFERROR(INDEX('Session Tracker'!$M$5:$M$149,MATCH($A861,'Session Tracker'!$D$5:$D$149,0))+0,"")</f>
        <v/>
      </c>
      <c r="G861" s="0" t="str">
        <f aca="false">IF(ISNUMBER(F861),IF(OR(B861=0,B861=99,C861&lt;&gt;""),F861*100+B861,""),"")</f>
        <v/>
      </c>
      <c r="H861" s="0" t="n">
        <f aca="false">IFERROR(INDEX('Session Tracker'!$J$5:$J$149,MATCH($A861,'Session Tracker'!$D$5:$D$149,0)),0)</f>
        <v>8</v>
      </c>
      <c r="I861" s="0" t="str">
        <f aca="false">IF(OR(B861=0,B861=99,C861=""),"",IF(E861="Per class",D861,D861*H861))</f>
        <v/>
      </c>
      <c r="K861" s="0" t="str">
        <f aca="false">IFERROR(INDEX('Session Tracker'!$E$5:$E$149,MATCH($A861,'Session Tracker'!$D$5:$D$149,0)),"")</f>
        <v>Gesture-Controlled Robot Arm</v>
      </c>
      <c r="L861" s="0" t="str">
        <f aca="false">IFERROR(INDEX('Session Tracker'!$A$5:$A$149,MATCH($A861,'Session Tracker'!$D$5:$D$149,0)),"")</f>
        <v>Young Innovators (12-14)</v>
      </c>
      <c r="M861" s="0" t="str">
        <f aca="false">IFERROR(INDEX('Session Tracker'!$H$5:$H$149,MATCH($A861,'Session Tracker'!$D$5:$D$149,0))&amp;"","")</f>
        <v/>
      </c>
      <c r="Q861" s="0" t="str">
        <f aca="false">IFERROR("Status: "&amp;INDEX('Session Tracker'!$F$5:$F$149,MATCH($A861,'Session Tracker'!$D$5:$D$149,0))&amp;IF(INDEX('Session Tracker'!$G$5:$G$149,MATCH($A861,'Session Tracker'!$D$5:$D$149,0))&lt;&gt;""," ("&amp;INDEX('Session Tracker'!$G$5:$G$149,MATCH($A861,'Session Tracker'!$D$5:$D$149,0))&amp;")","")&amp;IF(M861&lt;&gt;"","  "&amp;M861,""),"")</f>
        <v>Status: Not started</v>
      </c>
    </row>
    <row r="862" customFormat="false" ht="15" hidden="false" customHeight="false" outlineLevel="0" collapsed="false">
      <c r="A862" s="0" t="s">
        <v>237</v>
      </c>
      <c r="B862" s="0" t="n">
        <v>1</v>
      </c>
      <c r="C862" s="0" t="str">
        <f aca="false">IF('Young Innovators Kits'!C153="","",'Young Innovators Kits'!C153)</f>
        <v>Arduino Uno + USB cable</v>
      </c>
      <c r="D862" s="0" t="n">
        <f aca="false">IF('Young Innovators Kits'!D153="","",'Young Innovators Kits'!D153)</f>
        <v>1</v>
      </c>
      <c r="E862" s="0" t="str">
        <f aca="false">IF('Young Innovators Kits'!E153="","",'Young Innovators Kits'!E153)</f>
        <v>Per group</v>
      </c>
      <c r="F862" s="0" t="str">
        <f aca="false">IFERROR(INDEX('Session Tracker'!$M$5:$M$149,MATCH($A862,'Session Tracker'!$D$5:$D$149,0))+0,"")</f>
        <v/>
      </c>
      <c r="G862" s="0" t="str">
        <f aca="false">IF(ISNUMBER(F862),IF(OR(B862=0,B862=99,C862&lt;&gt;""),F862*100+B862,""),"")</f>
        <v/>
      </c>
      <c r="H862" s="0" t="n">
        <f aca="false">IFERROR(INDEX('Session Tracker'!$J$5:$J$149,MATCH($A862,'Session Tracker'!$D$5:$D$149,0)),0)</f>
        <v>8</v>
      </c>
      <c r="I862" s="0" t="n">
        <f aca="false">IF(OR(B862=0,B862=99,C862=""),"",IF(E862="Per class",D862,D862*H862))</f>
        <v>8</v>
      </c>
      <c r="N862" s="0" t="str">
        <f aca="false">IF('Young Innovators Kits'!B153="","",'Young Innovators Kits'!B153)</f>
        <v>Microcontrollers &amp; Dev Boards</v>
      </c>
      <c r="O862" s="0" t="str">
        <f aca="false">IF('Young Innovators Kits'!F153="","",'Young Innovators Kits'!F153)</f>
        <v>Reusable</v>
      </c>
      <c r="P862" s="0" t="str">
        <f aca="false">IF('Young Innovators Kits'!G153="","",'Young Innovators Kits'!G153)</f>
        <v/>
      </c>
    </row>
    <row r="863" customFormat="false" ht="15" hidden="false" customHeight="false" outlineLevel="0" collapsed="false">
      <c r="A863" s="0" t="s">
        <v>237</v>
      </c>
      <c r="B863" s="0" t="n">
        <v>2</v>
      </c>
      <c r="C863" s="0" t="str">
        <f aca="false">IF('Young Innovators Kits'!C154="","",'Young Innovators Kits'!C154)</f>
        <v>MPU6050 IMU</v>
      </c>
      <c r="D863" s="0" t="n">
        <f aca="false">IF('Young Innovators Kits'!D154="","",'Young Innovators Kits'!D154)</f>
        <v>1</v>
      </c>
      <c r="E863" s="0" t="str">
        <f aca="false">IF('Young Innovators Kits'!E154="","",'Young Innovators Kits'!E154)</f>
        <v>Per group</v>
      </c>
      <c r="F863" s="0" t="str">
        <f aca="false">IFERROR(INDEX('Session Tracker'!$M$5:$M$149,MATCH($A863,'Session Tracker'!$D$5:$D$149,0))+0,"")</f>
        <v/>
      </c>
      <c r="G863" s="0" t="str">
        <f aca="false">IF(ISNUMBER(F863),IF(OR(B863=0,B863=99,C863&lt;&gt;""),F863*100+B863,""),"")</f>
        <v/>
      </c>
      <c r="H863" s="0" t="n">
        <f aca="false">IFERROR(INDEX('Session Tracker'!$J$5:$J$149,MATCH($A863,'Session Tracker'!$D$5:$D$149,0)),0)</f>
        <v>8</v>
      </c>
      <c r="I863" s="0" t="n">
        <f aca="false">IF(OR(B863=0,B863=99,C863=""),"",IF(E863="Per class",D863,D863*H863))</f>
        <v>8</v>
      </c>
      <c r="N863" s="0" t="str">
        <f aca="false">IF('Young Innovators Kits'!B154="","",'Young Innovators Kits'!B154)</f>
        <v>Sensors</v>
      </c>
      <c r="O863" s="0" t="str">
        <f aca="false">IF('Young Innovators Kits'!F154="","",'Young Innovators Kits'!F154)</f>
        <v>Reusable</v>
      </c>
      <c r="P863" s="0" t="str">
        <f aca="false">IF('Young Innovators Kits'!G154="","",'Young Innovators Kits'!G154)</f>
        <v/>
      </c>
    </row>
    <row r="864" customFormat="false" ht="15" hidden="false" customHeight="false" outlineLevel="0" collapsed="false">
      <c r="A864" s="0" t="s">
        <v>237</v>
      </c>
      <c r="B864" s="0" t="n">
        <v>3</v>
      </c>
      <c r="C864" s="0" t="str">
        <f aca="false">IF('Young Innovators Kits'!C155="","",'Young Innovators Kits'!C155)</f>
        <v>Servo SG90</v>
      </c>
      <c r="D864" s="0" t="n">
        <f aca="false">IF('Young Innovators Kits'!D155="","",'Young Innovators Kits'!D155)</f>
        <v>3</v>
      </c>
      <c r="E864" s="0" t="str">
        <f aca="false">IF('Young Innovators Kits'!E155="","",'Young Innovators Kits'!E155)</f>
        <v>Per group</v>
      </c>
      <c r="F864" s="0" t="str">
        <f aca="false">IFERROR(INDEX('Session Tracker'!$M$5:$M$149,MATCH($A864,'Session Tracker'!$D$5:$D$149,0))+0,"")</f>
        <v/>
      </c>
      <c r="G864" s="0" t="str">
        <f aca="false">IF(ISNUMBER(F864),IF(OR(B864=0,B864=99,C864&lt;&gt;""),F864*100+B864,""),"")</f>
        <v/>
      </c>
      <c r="H864" s="0" t="n">
        <f aca="false">IFERROR(INDEX('Session Tracker'!$J$5:$J$149,MATCH($A864,'Session Tracker'!$D$5:$D$149,0)),0)</f>
        <v>8</v>
      </c>
      <c r="I864" s="0" t="n">
        <f aca="false">IF(OR(B864=0,B864=99,C864=""),"",IF(E864="Per class",D864,D864*H864))</f>
        <v>24</v>
      </c>
      <c r="N864" s="0" t="str">
        <f aca="false">IF('Young Innovators Kits'!B155="","",'Young Innovators Kits'!B155)</f>
        <v>Actuators &amp; Motor Drivers</v>
      </c>
      <c r="O864" s="0" t="str">
        <f aca="false">IF('Young Innovators Kits'!F155="","",'Young Innovators Kits'!F155)</f>
        <v>Reusable</v>
      </c>
      <c r="P864" s="0" t="str">
        <f aca="false">IF('Young Innovators Kits'!G155="","",'Young Innovators Kits'!G155)</f>
        <v/>
      </c>
    </row>
    <row r="865" customFormat="false" ht="15" hidden="false" customHeight="false" outlineLevel="0" collapsed="false">
      <c r="A865" s="0" t="s">
        <v>237</v>
      </c>
      <c r="B865" s="0" t="n">
        <v>4</v>
      </c>
      <c r="C865" s="0" t="str">
        <f aca="false">IF('Young Innovators Kits'!C156="","",'Young Innovators Kits'!C156)</f>
        <v>Push button</v>
      </c>
      <c r="D865" s="0" t="n">
        <f aca="false">IF('Young Innovators Kits'!D156="","",'Young Innovators Kits'!D156)</f>
        <v>1</v>
      </c>
      <c r="E865" s="0" t="str">
        <f aca="false">IF('Young Innovators Kits'!E156="","",'Young Innovators Kits'!E156)</f>
        <v>Per group</v>
      </c>
      <c r="F865" s="0" t="str">
        <f aca="false">IFERROR(INDEX('Session Tracker'!$M$5:$M$149,MATCH($A865,'Session Tracker'!$D$5:$D$149,0))+0,"")</f>
        <v/>
      </c>
      <c r="G865" s="0" t="str">
        <f aca="false">IF(ISNUMBER(F865),IF(OR(B865=0,B865=99,C865&lt;&gt;""),F865*100+B865,""),"")</f>
        <v/>
      </c>
      <c r="H865" s="0" t="n">
        <f aca="false">IFERROR(INDEX('Session Tracker'!$J$5:$J$149,MATCH($A865,'Session Tracker'!$D$5:$D$149,0)),0)</f>
        <v>8</v>
      </c>
      <c r="I865" s="0" t="n">
        <f aca="false">IF(OR(B865=0,B865=99,C865=""),"",IF(E865="Per class",D865,D865*H865))</f>
        <v>8</v>
      </c>
      <c r="N865" s="0" t="str">
        <f aca="false">IF('Young Innovators Kits'!B156="","",'Young Innovators Kits'!B156)</f>
        <v>Passive Components &amp; ICs</v>
      </c>
      <c r="O865" s="0" t="str">
        <f aca="false">IF('Young Innovators Kits'!F156="","",'Young Innovators Kits'!F156)</f>
        <v>Reusable</v>
      </c>
      <c r="P865" s="0" t="str">
        <f aca="false">IF('Young Innovators Kits'!G156="","",'Young Innovators Kits'!G156)</f>
        <v/>
      </c>
    </row>
    <row r="866" customFormat="false" ht="15" hidden="false" customHeight="false" outlineLevel="0" collapsed="false">
      <c r="A866" s="0" t="s">
        <v>237</v>
      </c>
      <c r="B866" s="0" t="n">
        <v>5</v>
      </c>
      <c r="C866" s="0" t="str">
        <f aca="false">IF('Young Innovators Kits'!C157="","",'Young Innovators Kits'!C157)</f>
        <v>Ice cream sticks</v>
      </c>
      <c r="D866" s="0" t="n">
        <f aca="false">IF('Young Innovators Kits'!D157="","",'Young Innovators Kits'!D157)</f>
        <v>10</v>
      </c>
      <c r="E866" s="0" t="str">
        <f aca="false">IF('Young Innovators Kits'!E157="","",'Young Innovators Kits'!E157)</f>
        <v>Per group</v>
      </c>
      <c r="F866" s="0" t="str">
        <f aca="false">IFERROR(INDEX('Session Tracker'!$M$5:$M$149,MATCH($A866,'Session Tracker'!$D$5:$D$149,0))+0,"")</f>
        <v/>
      </c>
      <c r="G866" s="0" t="str">
        <f aca="false">IF(ISNUMBER(F866),IF(OR(B866=0,B866=99,C866&lt;&gt;""),F866*100+B866,""),"")</f>
        <v/>
      </c>
      <c r="H866" s="0" t="n">
        <f aca="false">IFERROR(INDEX('Session Tracker'!$J$5:$J$149,MATCH($A866,'Session Tracker'!$D$5:$D$149,0)),0)</f>
        <v>8</v>
      </c>
      <c r="I866" s="0" t="n">
        <f aca="false">IF(OR(B866=0,B866=99,C866=""),"",IF(E866="Per class",D866,D866*H866))</f>
        <v>80</v>
      </c>
      <c r="N866" s="0" t="str">
        <f aca="false">IF('Young Innovators Kits'!B157="","",'Young Innovators Kits'!B157)</f>
        <v>Craft &amp; Stationery</v>
      </c>
      <c r="O866" s="0" t="str">
        <f aca="false">IF('Young Innovators Kits'!F157="","",'Young Innovators Kits'!F157)</f>
        <v>Consumable</v>
      </c>
      <c r="P866" s="0" t="str">
        <f aca="false">IF('Young Innovators Kits'!G157="","",'Young Innovators Kits'!G157)</f>
        <v>Arm structure</v>
      </c>
    </row>
    <row r="867" customFormat="false" ht="15" hidden="false" customHeight="false" outlineLevel="0" collapsed="false">
      <c r="A867" s="0" t="s">
        <v>237</v>
      </c>
      <c r="B867" s="0" t="n">
        <v>6</v>
      </c>
      <c r="C867" s="0" t="str">
        <f aca="false">IF('Young Innovators Kits'!C158="","",'Young Innovators Kits'!C158)</f>
        <v>Glue gun + glue sticks</v>
      </c>
      <c r="D867" s="0" t="n">
        <f aca="false">IF('Young Innovators Kits'!D158="","",'Young Innovators Kits'!D158)</f>
        <v>1</v>
      </c>
      <c r="E867" s="0" t="str">
        <f aca="false">IF('Young Innovators Kits'!E158="","",'Young Innovators Kits'!E158)</f>
        <v>Per class</v>
      </c>
      <c r="F867" s="0" t="str">
        <f aca="false">IFERROR(INDEX('Session Tracker'!$M$5:$M$149,MATCH($A867,'Session Tracker'!$D$5:$D$149,0))+0,"")</f>
        <v/>
      </c>
      <c r="G867" s="0" t="str">
        <f aca="false">IF(ISNUMBER(F867),IF(OR(B867=0,B867=99,C867&lt;&gt;""),F867*100+B867,""),"")</f>
        <v/>
      </c>
      <c r="H867" s="0" t="n">
        <f aca="false">IFERROR(INDEX('Session Tracker'!$J$5:$J$149,MATCH($A867,'Session Tracker'!$D$5:$D$149,0)),0)</f>
        <v>8</v>
      </c>
      <c r="I867" s="0" t="n">
        <f aca="false">IF(OR(B867=0,B867=99,C867=""),"",IF(E867="Per class",D867,D867*H867))</f>
        <v>1</v>
      </c>
      <c r="N867" s="0" t="str">
        <f aca="false">IF('Young Innovators Kits'!B158="","",'Young Innovators Kits'!B158)</f>
        <v>Computers &amp; Equipment</v>
      </c>
      <c r="O867" s="0" t="str">
        <f aca="false">IF('Young Innovators Kits'!F158="","",'Young Innovators Kits'!F158)</f>
        <v>Reusable</v>
      </c>
      <c r="P867" s="0" t="str">
        <f aca="false">IF('Young Innovators Kits'!G158="","",'Young Innovators Kits'!G158)</f>
        <v/>
      </c>
    </row>
    <row r="868" customFormat="false" ht="15" hidden="false" customHeight="false" outlineLevel="0" collapsed="false">
      <c r="A868" s="0" t="s">
        <v>237</v>
      </c>
      <c r="B868" s="0" t="n">
        <v>7</v>
      </c>
      <c r="C868" s="0" t="str">
        <f aca="false">IF('Young Innovators Kits'!C159="","",'Young Innovators Kits'!C159)</f>
        <v>4xAA battery pack</v>
      </c>
      <c r="D868" s="0" t="n">
        <f aca="false">IF('Young Innovators Kits'!D159="","",'Young Innovators Kits'!D159)</f>
        <v>1</v>
      </c>
      <c r="E868" s="0" t="str">
        <f aca="false">IF('Young Innovators Kits'!E159="","",'Young Innovators Kits'!E159)</f>
        <v>Per group</v>
      </c>
      <c r="F868" s="0" t="str">
        <f aca="false">IFERROR(INDEX('Session Tracker'!$M$5:$M$149,MATCH($A868,'Session Tracker'!$D$5:$D$149,0))+0,"")</f>
        <v/>
      </c>
      <c r="G868" s="0" t="str">
        <f aca="false">IF(ISNUMBER(F868),IF(OR(B868=0,B868=99,C868&lt;&gt;""),F868*100+B868,""),"")</f>
        <v/>
      </c>
      <c r="H868" s="0" t="n">
        <f aca="false">IFERROR(INDEX('Session Tracker'!$J$5:$J$149,MATCH($A868,'Session Tracker'!$D$5:$D$149,0)),0)</f>
        <v>8</v>
      </c>
      <c r="I868" s="0" t="n">
        <f aca="false">IF(OR(B868=0,B868=99,C868=""),"",IF(E868="Per class",D868,D868*H868))</f>
        <v>8</v>
      </c>
      <c r="N868" s="0" t="str">
        <f aca="false">IF('Young Innovators Kits'!B159="","",'Young Innovators Kits'!B159)</f>
        <v>Power</v>
      </c>
      <c r="O868" s="0" t="str">
        <f aca="false">IF('Young Innovators Kits'!F159="","",'Young Innovators Kits'!F159)</f>
        <v>Consumable</v>
      </c>
      <c r="P868" s="0" t="str">
        <f aca="false">IF('Young Innovators Kits'!G159="","",'Young Innovators Kits'!G159)</f>
        <v>Servo power</v>
      </c>
    </row>
    <row r="869" customFormat="false" ht="15" hidden="false" customHeight="false" outlineLevel="0" collapsed="false">
      <c r="A869" s="0" t="s">
        <v>237</v>
      </c>
      <c r="B869" s="0" t="n">
        <v>8</v>
      </c>
      <c r="C869" s="0" t="str">
        <f aca="false">IF('Young Innovators Kits'!C160="","",'Young Innovators Kits'!C160)</f>
        <v>Breadboard (half size)</v>
      </c>
      <c r="D869" s="0" t="n">
        <f aca="false">IF('Young Innovators Kits'!D160="","",'Young Innovators Kits'!D160)</f>
        <v>1</v>
      </c>
      <c r="E869" s="0" t="str">
        <f aca="false">IF('Young Innovators Kits'!E160="","",'Young Innovators Kits'!E160)</f>
        <v>Per group</v>
      </c>
      <c r="F869" s="0" t="str">
        <f aca="false">IFERROR(INDEX('Session Tracker'!$M$5:$M$149,MATCH($A869,'Session Tracker'!$D$5:$D$149,0))+0,"")</f>
        <v/>
      </c>
      <c r="G869" s="0" t="str">
        <f aca="false">IF(ISNUMBER(F869),IF(OR(B869=0,B869=99,C869&lt;&gt;""),F869*100+B869,""),"")</f>
        <v/>
      </c>
      <c r="H869" s="0" t="n">
        <f aca="false">IFERROR(INDEX('Session Tracker'!$J$5:$J$149,MATCH($A869,'Session Tracker'!$D$5:$D$149,0)),0)</f>
        <v>8</v>
      </c>
      <c r="I869" s="0" t="n">
        <f aca="false">IF(OR(B869=0,B869=99,C869=""),"",IF(E869="Per class",D869,D869*H869))</f>
        <v>8</v>
      </c>
      <c r="N869" s="0" t="str">
        <f aca="false">IF('Young Innovators Kits'!B160="","",'Young Innovators Kits'!B160)</f>
        <v>Wiring &amp; Prototyping</v>
      </c>
      <c r="O869" s="0" t="str">
        <f aca="false">IF('Young Innovators Kits'!F160="","",'Young Innovators Kits'!F160)</f>
        <v>Reusable</v>
      </c>
      <c r="P869" s="0" t="str">
        <f aca="false">IF('Young Innovators Kits'!G160="","",'Young Innovators Kits'!G160)</f>
        <v/>
      </c>
    </row>
    <row r="870" customFormat="false" ht="15" hidden="false" customHeight="false" outlineLevel="0" collapsed="false">
      <c r="A870" s="0" t="s">
        <v>237</v>
      </c>
      <c r="B870" s="0" t="n">
        <v>9</v>
      </c>
      <c r="C870" s="0" t="str">
        <f aca="false">IF('Young Innovators Kits'!C161="","",'Young Innovators Kits'!C161)</f>
        <v>Jumper wires M-M</v>
      </c>
      <c r="D870" s="0" t="n">
        <f aca="false">IF('Young Innovators Kits'!D161="","",'Young Innovators Kits'!D161)</f>
        <v>12</v>
      </c>
      <c r="E870" s="0" t="str">
        <f aca="false">IF('Young Innovators Kits'!E161="","",'Young Innovators Kits'!E161)</f>
        <v>Per group</v>
      </c>
      <c r="F870" s="0" t="str">
        <f aca="false">IFERROR(INDEX('Session Tracker'!$M$5:$M$149,MATCH($A870,'Session Tracker'!$D$5:$D$149,0))+0,"")</f>
        <v/>
      </c>
      <c r="G870" s="0" t="str">
        <f aca="false">IF(ISNUMBER(F870),IF(OR(B870=0,B870=99,C870&lt;&gt;""),F870*100+B870,""),"")</f>
        <v/>
      </c>
      <c r="H870" s="0" t="n">
        <f aca="false">IFERROR(INDEX('Session Tracker'!$J$5:$J$149,MATCH($A870,'Session Tracker'!$D$5:$D$149,0)),0)</f>
        <v>8</v>
      </c>
      <c r="I870" s="0" t="n">
        <f aca="false">IF(OR(B870=0,B870=99,C870=""),"",IF(E870="Per class",D870,D870*H870))</f>
        <v>96</v>
      </c>
      <c r="N870" s="0" t="str">
        <f aca="false">IF('Young Innovators Kits'!B161="","",'Young Innovators Kits'!B161)</f>
        <v>Wiring &amp; Prototyping</v>
      </c>
      <c r="O870" s="0" t="str">
        <f aca="false">IF('Young Innovators Kits'!F161="","",'Young Innovators Kits'!F161)</f>
        <v>Reusable</v>
      </c>
      <c r="P870" s="0" t="str">
        <f aca="false">IF('Young Innovators Kits'!G161="","",'Young Innovators Kits'!G161)</f>
        <v/>
      </c>
    </row>
    <row r="871" customFormat="false" ht="15" hidden="false" customHeight="false" outlineLevel="0" collapsed="false">
      <c r="A871" s="0" t="s">
        <v>237</v>
      </c>
      <c r="B871" s="0" t="n">
        <v>10</v>
      </c>
      <c r="C871" s="0" t="str">
        <f aca="false">IF('Young Innovators Kits'!C162="","",'Young Innovators Kits'!C162)</f>
        <v>Jumper wires M-F</v>
      </c>
      <c r="D871" s="0" t="n">
        <f aca="false">IF('Young Innovators Kits'!D162="","",'Young Innovators Kits'!D162)</f>
        <v>6</v>
      </c>
      <c r="E871" s="0" t="str">
        <f aca="false">IF('Young Innovators Kits'!E162="","",'Young Innovators Kits'!E162)</f>
        <v>Per group</v>
      </c>
      <c r="F871" s="0" t="str">
        <f aca="false">IFERROR(INDEX('Session Tracker'!$M$5:$M$149,MATCH($A871,'Session Tracker'!$D$5:$D$149,0))+0,"")</f>
        <v/>
      </c>
      <c r="G871" s="0" t="str">
        <f aca="false">IF(ISNUMBER(F871),IF(OR(B871=0,B871=99,C871&lt;&gt;""),F871*100+B871,""),"")</f>
        <v/>
      </c>
      <c r="H871" s="0" t="n">
        <f aca="false">IFERROR(INDEX('Session Tracker'!$J$5:$J$149,MATCH($A871,'Session Tracker'!$D$5:$D$149,0)),0)</f>
        <v>8</v>
      </c>
      <c r="I871" s="0" t="n">
        <f aca="false">IF(OR(B871=0,B871=99,C871=""),"",IF(E871="Per class",D871,D871*H871))</f>
        <v>48</v>
      </c>
      <c r="N871" s="0" t="str">
        <f aca="false">IF('Young Innovators Kits'!B162="","",'Young Innovators Kits'!B162)</f>
        <v>Wiring &amp; Prototyping</v>
      </c>
      <c r="O871" s="0" t="str">
        <f aca="false">IF('Young Innovators Kits'!F162="","",'Young Innovators Kits'!F162)</f>
        <v>Reusable</v>
      </c>
      <c r="P871" s="0" t="str">
        <f aca="false">IF('Young Innovators Kits'!G162="","",'Young Innovators Kits'!G162)</f>
        <v/>
      </c>
    </row>
    <row r="872" customFormat="false" ht="15" hidden="false" customHeight="false" outlineLevel="0" collapsed="false">
      <c r="A872" s="0" t="s">
        <v>237</v>
      </c>
      <c r="B872" s="0" t="n">
        <v>11</v>
      </c>
      <c r="C872" s="0" t="str">
        <f aca="false">IF('Young Innovators Kits'!C163="","",'Young Innovators Kits'!C163)</f>
        <v>Laptop</v>
      </c>
      <c r="D872" s="0" t="n">
        <f aca="false">IF('Young Innovators Kits'!D163="","",'Young Innovators Kits'!D163)</f>
        <v>1</v>
      </c>
      <c r="E872" s="0" t="str">
        <f aca="false">IF('Young Innovators Kits'!E163="","",'Young Innovators Kits'!E163)</f>
        <v>Per group</v>
      </c>
      <c r="F872" s="0" t="str">
        <f aca="false">IFERROR(INDEX('Session Tracker'!$M$5:$M$149,MATCH($A872,'Session Tracker'!$D$5:$D$149,0))+0,"")</f>
        <v/>
      </c>
      <c r="G872" s="0" t="str">
        <f aca="false">IF(ISNUMBER(F872),IF(OR(B872=0,B872=99,C872&lt;&gt;""),F872*100+B872,""),"")</f>
        <v/>
      </c>
      <c r="H872" s="0" t="n">
        <f aca="false">IFERROR(INDEX('Session Tracker'!$J$5:$J$149,MATCH($A872,'Session Tracker'!$D$5:$D$149,0)),0)</f>
        <v>8</v>
      </c>
      <c r="I872" s="0" t="n">
        <f aca="false">IF(OR(B872=0,B872=99,C872=""),"",IF(E872="Per class",D872,D872*H872))</f>
        <v>8</v>
      </c>
      <c r="N872" s="0" t="str">
        <f aca="false">IF('Young Innovators Kits'!B163="","",'Young Innovators Kits'!B163)</f>
        <v>Computers &amp; Equipment</v>
      </c>
      <c r="O872" s="0" t="str">
        <f aca="false">IF('Young Innovators Kits'!F163="","",'Young Innovators Kits'!F163)</f>
        <v>Reusable</v>
      </c>
      <c r="P872" s="0" t="str">
        <f aca="false">IF('Young Innovators Kits'!G163="","",'Young Innovators Kits'!G163)</f>
        <v/>
      </c>
    </row>
    <row r="873" customFormat="false" ht="15" hidden="false" customHeight="false" outlineLevel="0" collapsed="false">
      <c r="A873" s="0" t="s">
        <v>237</v>
      </c>
      <c r="B873" s="0" t="n">
        <v>12</v>
      </c>
      <c r="C873" s="0" t="str">
        <f aca="false">IF('Young Innovators Kits'!C164="","",'Young Innovators Kits'!C164)</f>
        <v>LED 5 mm (assorted)</v>
      </c>
      <c r="D873" s="0" t="n">
        <f aca="false">IF('Young Innovators Kits'!D164="","",'Young Innovators Kits'!D164)</f>
        <v>1</v>
      </c>
      <c r="E873" s="0" t="str">
        <f aca="false">IF('Young Innovators Kits'!E164="","",'Young Innovators Kits'!E164)</f>
        <v>Per group</v>
      </c>
      <c r="F873" s="0" t="str">
        <f aca="false">IFERROR(INDEX('Session Tracker'!$M$5:$M$149,MATCH($A873,'Session Tracker'!$D$5:$D$149,0))+0,"")</f>
        <v/>
      </c>
      <c r="G873" s="0" t="str">
        <f aca="false">IF(ISNUMBER(F873),IF(OR(B873=0,B873=99,C873&lt;&gt;""),F873*100+B873,""),"")</f>
        <v/>
      </c>
      <c r="H873" s="0" t="n">
        <f aca="false">IFERROR(INDEX('Session Tracker'!$J$5:$J$149,MATCH($A873,'Session Tracker'!$D$5:$D$149,0)),0)</f>
        <v>8</v>
      </c>
      <c r="I873" s="0" t="n">
        <f aca="false">IF(OR(B873=0,B873=99,C873=""),"",IF(E873="Per class",D873,D873*H873))</f>
        <v>8</v>
      </c>
      <c r="N873" s="0" t="str">
        <f aca="false">IF('Young Innovators Kits'!B164="","",'Young Innovators Kits'!B164)</f>
        <v>Displays &amp; Output</v>
      </c>
      <c r="O873" s="0" t="str">
        <f aca="false">IF('Young Innovators Kits'!F164="","",'Young Innovators Kits'!F164)</f>
        <v>Consumable</v>
      </c>
      <c r="P873" s="0" t="str">
        <f aca="false">IF('Young Innovators Kits'!G164="","",'Young Innovators Kits'!G164)</f>
        <v>Added: every Arduino class</v>
      </c>
    </row>
    <row r="874" customFormat="false" ht="15" hidden="false" customHeight="false" outlineLevel="0" collapsed="false">
      <c r="A874" s="0" t="s">
        <v>237</v>
      </c>
      <c r="B874" s="0" t="n">
        <v>13</v>
      </c>
      <c r="C874" s="0" t="str">
        <f aca="false">IF('Young Innovators Kits'!C165="","",'Young Innovators Kits'!C165)</f>
        <v>Resistor 220 ohm</v>
      </c>
      <c r="D874" s="0" t="n">
        <f aca="false">IF('Young Innovators Kits'!D165="","",'Young Innovators Kits'!D165)</f>
        <v>1</v>
      </c>
      <c r="E874" s="0" t="str">
        <f aca="false">IF('Young Innovators Kits'!E165="","",'Young Innovators Kits'!E165)</f>
        <v>Per group</v>
      </c>
      <c r="F874" s="0" t="str">
        <f aca="false">IFERROR(INDEX('Session Tracker'!$M$5:$M$149,MATCH($A874,'Session Tracker'!$D$5:$D$149,0))+0,"")</f>
        <v/>
      </c>
      <c r="G874" s="0" t="str">
        <f aca="false">IF(ISNUMBER(F874),IF(OR(B874=0,B874=99,C874&lt;&gt;""),F874*100+B874,""),"")</f>
        <v/>
      </c>
      <c r="H874" s="0" t="n">
        <f aca="false">IFERROR(INDEX('Session Tracker'!$J$5:$J$149,MATCH($A874,'Session Tracker'!$D$5:$D$149,0)),0)</f>
        <v>8</v>
      </c>
      <c r="I874" s="0" t="n">
        <f aca="false">IF(OR(B874=0,B874=99,C874=""),"",IF(E874="Per class",D874,D874*H874))</f>
        <v>8</v>
      </c>
      <c r="N874" s="0" t="str">
        <f aca="false">IF('Young Innovators Kits'!B165="","",'Young Innovators Kits'!B165)</f>
        <v>Passive Components &amp; ICs</v>
      </c>
      <c r="O874" s="0" t="str">
        <f aca="false">IF('Young Innovators Kits'!F165="","",'Young Innovators Kits'!F165)</f>
        <v>Consumable</v>
      </c>
      <c r="P874" s="0" t="str">
        <f aca="false">IF('Young Innovators Kits'!G165="","",'Young Innovators Kits'!G165)</f>
        <v>Added: for the LED</v>
      </c>
    </row>
    <row r="875" customFormat="false" ht="15" hidden="false" customHeight="false" outlineLevel="0" collapsed="false">
      <c r="A875" s="0" t="s">
        <v>237</v>
      </c>
      <c r="B875" s="0" t="n">
        <v>14</v>
      </c>
      <c r="C875" s="0" t="str">
        <f aca="false">IF('Young Innovators Kits'!C166="","",'Young Innovators Kits'!C166)</f>
        <v>Buzzer</v>
      </c>
      <c r="D875" s="0" t="n">
        <f aca="false">IF('Young Innovators Kits'!D166="","",'Young Innovators Kits'!D166)</f>
        <v>1</v>
      </c>
      <c r="E875" s="0" t="str">
        <f aca="false">IF('Young Innovators Kits'!E166="","",'Young Innovators Kits'!E166)</f>
        <v>Per group</v>
      </c>
      <c r="F875" s="0" t="str">
        <f aca="false">IFERROR(INDEX('Session Tracker'!$M$5:$M$149,MATCH($A875,'Session Tracker'!$D$5:$D$149,0))+0,"")</f>
        <v/>
      </c>
      <c r="G875" s="0" t="str">
        <f aca="false">IF(ISNUMBER(F875),IF(OR(B875=0,B875=99,C875&lt;&gt;""),F875*100+B875,""),"")</f>
        <v/>
      </c>
      <c r="H875" s="0" t="n">
        <f aca="false">IFERROR(INDEX('Session Tracker'!$J$5:$J$149,MATCH($A875,'Session Tracker'!$D$5:$D$149,0)),0)</f>
        <v>8</v>
      </c>
      <c r="I875" s="0" t="n">
        <f aca="false">IF(OR(B875=0,B875=99,C875=""),"",IF(E875="Per class",D875,D875*H875))</f>
        <v>8</v>
      </c>
      <c r="N875" s="0" t="str">
        <f aca="false">IF('Young Innovators Kits'!B166="","",'Young Innovators Kits'!B166)</f>
        <v>Actuators &amp; Motor Drivers</v>
      </c>
      <c r="O875" s="0" t="str">
        <f aca="false">IF('Young Innovators Kits'!F166="","",'Young Innovators Kits'!F166)</f>
        <v>Reusable</v>
      </c>
      <c r="P875" s="0" t="str">
        <f aca="false">IF('Young Innovators Kits'!G166="","",'Young Innovators Kits'!G166)</f>
        <v>Added: every Arduino class</v>
      </c>
    </row>
    <row r="876" customFormat="false" ht="15" hidden="false" customHeight="false" outlineLevel="0" collapsed="false">
      <c r="A876" s="0" t="s">
        <v>237</v>
      </c>
      <c r="B876" s="0" t="n">
        <v>15</v>
      </c>
      <c r="C876" s="0" t="str">
        <f aca="false">IF('Young Innovators Kits'!C167="","",'Young Innovators Kits'!C167)</f>
        <v/>
      </c>
      <c r="D876" s="0" t="str">
        <f aca="false">IF('Young Innovators Kits'!D167="","",'Young Innovators Kits'!D167)</f>
        <v/>
      </c>
      <c r="E876" s="0" t="str">
        <f aca="false">IF('Young Innovators Kits'!E167="","",'Young Innovators Kits'!E167)</f>
        <v/>
      </c>
      <c r="F876" s="0" t="str">
        <f aca="false">IFERROR(INDEX('Session Tracker'!$M$5:$M$149,MATCH($A876,'Session Tracker'!$D$5:$D$149,0))+0,"")</f>
        <v/>
      </c>
      <c r="G876" s="0" t="str">
        <f aca="false">IF(ISNUMBER(F876),IF(OR(B876=0,B876=99,C876&lt;&gt;""),F876*100+B876,""),"")</f>
        <v/>
      </c>
      <c r="H876" s="0" t="n">
        <f aca="false">IFERROR(INDEX('Session Tracker'!$J$5:$J$149,MATCH($A876,'Session Tracker'!$D$5:$D$149,0)),0)</f>
        <v>8</v>
      </c>
      <c r="I876" s="0" t="str">
        <f aca="false">IF(OR(B876=0,B876=99,C876=""),"",IF(E876="Per class",D876,D876*H876))</f>
        <v/>
      </c>
      <c r="N876" s="0" t="str">
        <f aca="false">IF('Young Innovators Kits'!B167="","",'Young Innovators Kits'!B167)</f>
        <v/>
      </c>
      <c r="O876" s="0" t="str">
        <f aca="false">IF('Young Innovators Kits'!F167="","",'Young Innovators Kits'!F167)</f>
        <v/>
      </c>
      <c r="P876" s="0" t="str">
        <f aca="false">IF('Young Innovators Kits'!G167="","",'Young Innovators Kits'!G167)</f>
        <v/>
      </c>
    </row>
    <row r="877" customFormat="false" ht="15" hidden="false" customHeight="false" outlineLevel="0" collapsed="false">
      <c r="A877" s="0" t="s">
        <v>237</v>
      </c>
      <c r="B877" s="0" t="n">
        <v>16</v>
      </c>
      <c r="C877" s="0" t="str">
        <f aca="false">IF('Young Innovators Kits'!C168="","",'Young Innovators Kits'!C168)</f>
        <v/>
      </c>
      <c r="D877" s="0" t="str">
        <f aca="false">IF('Young Innovators Kits'!D168="","",'Young Innovators Kits'!D168)</f>
        <v/>
      </c>
      <c r="E877" s="0" t="str">
        <f aca="false">IF('Young Innovators Kits'!E168="","",'Young Innovators Kits'!E168)</f>
        <v/>
      </c>
      <c r="F877" s="0" t="str">
        <f aca="false">IFERROR(INDEX('Session Tracker'!$M$5:$M$149,MATCH($A877,'Session Tracker'!$D$5:$D$149,0))+0,"")</f>
        <v/>
      </c>
      <c r="G877" s="0" t="str">
        <f aca="false">IF(ISNUMBER(F877),IF(OR(B877=0,B877=99,C877&lt;&gt;""),F877*100+B877,""),"")</f>
        <v/>
      </c>
      <c r="H877" s="0" t="n">
        <f aca="false">IFERROR(INDEX('Session Tracker'!$J$5:$J$149,MATCH($A877,'Session Tracker'!$D$5:$D$149,0)),0)</f>
        <v>8</v>
      </c>
      <c r="I877" s="0" t="str">
        <f aca="false">IF(OR(B877=0,B877=99,C877=""),"",IF(E877="Per class",D877,D877*H877))</f>
        <v/>
      </c>
      <c r="N877" s="0" t="str">
        <f aca="false">IF('Young Innovators Kits'!B168="","",'Young Innovators Kits'!B168)</f>
        <v/>
      </c>
      <c r="O877" s="0" t="str">
        <f aca="false">IF('Young Innovators Kits'!F168="","",'Young Innovators Kits'!F168)</f>
        <v/>
      </c>
      <c r="P877" s="0" t="str">
        <f aca="false">IF('Young Innovators Kits'!G168="","",'Young Innovators Kits'!G168)</f>
        <v/>
      </c>
    </row>
    <row r="878" customFormat="false" ht="15" hidden="false" customHeight="false" outlineLevel="0" collapsed="false">
      <c r="A878" s="0" t="s">
        <v>239</v>
      </c>
      <c r="B878" s="0" t="n">
        <v>0</v>
      </c>
      <c r="F878" s="0" t="str">
        <f aca="false">IFERROR(INDEX('Session Tracker'!$M$5:$M$149,MATCH($A878,'Session Tracker'!$D$5:$D$149,0))+0,"")</f>
        <v/>
      </c>
      <c r="G878" s="0" t="str">
        <f aca="false">IF(ISNUMBER(F878),IF(OR(B878=0,B878=99,C878&lt;&gt;""),F878*100+B878,""),"")</f>
        <v/>
      </c>
      <c r="H878" s="0" t="n">
        <f aca="false">IFERROR(INDEX('Session Tracker'!$J$5:$J$149,MATCH($A878,'Session Tracker'!$D$5:$D$149,0)),0)</f>
        <v>8</v>
      </c>
      <c r="I878" s="0" t="str">
        <f aca="false">IF(OR(B878=0,B878=99,C878=""),"",IF(E878="Per class",D878,D878*H878))</f>
        <v/>
      </c>
      <c r="K878" s="0" t="str">
        <f aca="false">IFERROR(INDEX('Session Tracker'!$E$5:$E$149,MATCH($A878,'Session Tracker'!$D$5:$D$149,0)),"")</f>
        <v>RFID Smart Door Lock with Access Log</v>
      </c>
      <c r="L878" s="0" t="str">
        <f aca="false">IFERROR(INDEX('Session Tracker'!$A$5:$A$149,MATCH($A878,'Session Tracker'!$D$5:$D$149,0)),"")</f>
        <v>Young Innovators (12-14)</v>
      </c>
      <c r="M878" s="0" t="str">
        <f aca="false">IFERROR(INDEX('Session Tracker'!$H$5:$H$149,MATCH($A878,'Session Tracker'!$D$5:$D$149,0))&amp;"","")</f>
        <v/>
      </c>
      <c r="Q878" s="0" t="str">
        <f aca="false">IFERROR("Status: "&amp;INDEX('Session Tracker'!$F$5:$F$149,MATCH($A878,'Session Tracker'!$D$5:$D$149,0))&amp;IF(INDEX('Session Tracker'!$G$5:$G$149,MATCH($A878,'Session Tracker'!$D$5:$D$149,0))&lt;&gt;""," ("&amp;INDEX('Session Tracker'!$G$5:$G$149,MATCH($A878,'Session Tracker'!$D$5:$D$149,0))&amp;")","")&amp;IF(M878&lt;&gt;"","  "&amp;M878,""),"")</f>
        <v>Status: Not started</v>
      </c>
    </row>
    <row r="879" customFormat="false" ht="15" hidden="false" customHeight="false" outlineLevel="0" collapsed="false">
      <c r="A879" s="0" t="s">
        <v>239</v>
      </c>
      <c r="B879" s="0" t="n">
        <v>1</v>
      </c>
      <c r="C879" s="0" t="str">
        <f aca="false">IF('Young Innovators Kits'!C171="","",'Young Innovators Kits'!C171)</f>
        <v>Arduino Uno + USB cable</v>
      </c>
      <c r="D879" s="0" t="n">
        <f aca="false">IF('Young Innovators Kits'!D171="","",'Young Innovators Kits'!D171)</f>
        <v>1</v>
      </c>
      <c r="E879" s="0" t="str">
        <f aca="false">IF('Young Innovators Kits'!E171="","",'Young Innovators Kits'!E171)</f>
        <v>Per group</v>
      </c>
      <c r="F879" s="0" t="str">
        <f aca="false">IFERROR(INDEX('Session Tracker'!$M$5:$M$149,MATCH($A879,'Session Tracker'!$D$5:$D$149,0))+0,"")</f>
        <v/>
      </c>
      <c r="G879" s="0" t="str">
        <f aca="false">IF(ISNUMBER(F879),IF(OR(B879=0,B879=99,C879&lt;&gt;""),F879*100+B879,""),"")</f>
        <v/>
      </c>
      <c r="H879" s="0" t="n">
        <f aca="false">IFERROR(INDEX('Session Tracker'!$J$5:$J$149,MATCH($A879,'Session Tracker'!$D$5:$D$149,0)),0)</f>
        <v>8</v>
      </c>
      <c r="I879" s="0" t="n">
        <f aca="false">IF(OR(B879=0,B879=99,C879=""),"",IF(E879="Per class",D879,D879*H879))</f>
        <v>8</v>
      </c>
      <c r="N879" s="0" t="str">
        <f aca="false">IF('Young Innovators Kits'!B171="","",'Young Innovators Kits'!B171)</f>
        <v>Microcontrollers &amp; Dev Boards</v>
      </c>
      <c r="O879" s="0" t="str">
        <f aca="false">IF('Young Innovators Kits'!F171="","",'Young Innovators Kits'!F171)</f>
        <v>Reusable</v>
      </c>
      <c r="P879" s="0" t="str">
        <f aca="false">IF('Young Innovators Kits'!G171="","",'Young Innovators Kits'!G171)</f>
        <v/>
      </c>
    </row>
    <row r="880" customFormat="false" ht="15" hidden="false" customHeight="false" outlineLevel="0" collapsed="false">
      <c r="A880" s="0" t="s">
        <v>239</v>
      </c>
      <c r="B880" s="0" t="n">
        <v>2</v>
      </c>
      <c r="C880" s="0" t="str">
        <f aca="false">IF('Young Innovators Kits'!C172="","",'Young Innovators Kits'!C172)</f>
        <v>RFID RC522 + cards</v>
      </c>
      <c r="D880" s="0" t="n">
        <f aca="false">IF('Young Innovators Kits'!D172="","",'Young Innovators Kits'!D172)</f>
        <v>1</v>
      </c>
      <c r="E880" s="0" t="str">
        <f aca="false">IF('Young Innovators Kits'!E172="","",'Young Innovators Kits'!E172)</f>
        <v>Per group</v>
      </c>
      <c r="F880" s="0" t="str">
        <f aca="false">IFERROR(INDEX('Session Tracker'!$M$5:$M$149,MATCH($A880,'Session Tracker'!$D$5:$D$149,0))+0,"")</f>
        <v/>
      </c>
      <c r="G880" s="0" t="str">
        <f aca="false">IF(ISNUMBER(F880),IF(OR(B880=0,B880=99,C880&lt;&gt;""),F880*100+B880,""),"")</f>
        <v/>
      </c>
      <c r="H880" s="0" t="n">
        <f aca="false">IFERROR(INDEX('Session Tracker'!$J$5:$J$149,MATCH($A880,'Session Tracker'!$D$5:$D$149,0)),0)</f>
        <v>8</v>
      </c>
      <c r="I880" s="0" t="n">
        <f aca="false">IF(OR(B880=0,B880=99,C880=""),"",IF(E880="Per class",D880,D880*H880))</f>
        <v>8</v>
      </c>
      <c r="N880" s="0" t="str">
        <f aca="false">IF('Young Innovators Kits'!B172="","",'Young Innovators Kits'!B172)</f>
        <v>Security &amp; Identification</v>
      </c>
      <c r="O880" s="0" t="str">
        <f aca="false">IF('Young Innovators Kits'!F172="","",'Young Innovators Kits'!F172)</f>
        <v>Reusable</v>
      </c>
      <c r="P880" s="0" t="str">
        <f aca="false">IF('Young Innovators Kits'!G172="","",'Young Innovators Kits'!G172)</f>
        <v/>
      </c>
    </row>
    <row r="881" customFormat="false" ht="15" hidden="false" customHeight="false" outlineLevel="0" collapsed="false">
      <c r="A881" s="0" t="s">
        <v>239</v>
      </c>
      <c r="B881" s="0" t="n">
        <v>3</v>
      </c>
      <c r="C881" s="0" t="str">
        <f aca="false">IF('Young Innovators Kits'!C173="","",'Young Innovators Kits'!C173)</f>
        <v>Servo SG90</v>
      </c>
      <c r="D881" s="0" t="n">
        <f aca="false">IF('Young Innovators Kits'!D173="","",'Young Innovators Kits'!D173)</f>
        <v>1</v>
      </c>
      <c r="E881" s="0" t="str">
        <f aca="false">IF('Young Innovators Kits'!E173="","",'Young Innovators Kits'!E173)</f>
        <v>Per group</v>
      </c>
      <c r="F881" s="0" t="str">
        <f aca="false">IFERROR(INDEX('Session Tracker'!$M$5:$M$149,MATCH($A881,'Session Tracker'!$D$5:$D$149,0))+0,"")</f>
        <v/>
      </c>
      <c r="G881" s="0" t="str">
        <f aca="false">IF(ISNUMBER(F881),IF(OR(B881=0,B881=99,C881&lt;&gt;""),F881*100+B881,""),"")</f>
        <v/>
      </c>
      <c r="H881" s="0" t="n">
        <f aca="false">IFERROR(INDEX('Session Tracker'!$J$5:$J$149,MATCH($A881,'Session Tracker'!$D$5:$D$149,0)),0)</f>
        <v>8</v>
      </c>
      <c r="I881" s="0" t="n">
        <f aca="false">IF(OR(B881=0,B881=99,C881=""),"",IF(E881="Per class",D881,D881*H881))</f>
        <v>8</v>
      </c>
      <c r="N881" s="0" t="str">
        <f aca="false">IF('Young Innovators Kits'!B173="","",'Young Innovators Kits'!B173)</f>
        <v>Actuators &amp; Motor Drivers</v>
      </c>
      <c r="O881" s="0" t="str">
        <f aca="false">IF('Young Innovators Kits'!F173="","",'Young Innovators Kits'!F173)</f>
        <v>Reusable</v>
      </c>
      <c r="P881" s="0" t="str">
        <f aca="false">IF('Young Innovators Kits'!G173="","",'Young Innovators Kits'!G173)</f>
        <v/>
      </c>
    </row>
    <row r="882" customFormat="false" ht="15" hidden="false" customHeight="false" outlineLevel="0" collapsed="false">
      <c r="A882" s="0" t="s">
        <v>239</v>
      </c>
      <c r="B882" s="0" t="n">
        <v>4</v>
      </c>
      <c r="C882" s="0" t="str">
        <f aca="false">IF('Young Innovators Kits'!C174="","",'Young Innovators Kits'!C174)</f>
        <v>OLED 0.96 in I2C</v>
      </c>
      <c r="D882" s="0" t="n">
        <f aca="false">IF('Young Innovators Kits'!D174="","",'Young Innovators Kits'!D174)</f>
        <v>1</v>
      </c>
      <c r="E882" s="0" t="str">
        <f aca="false">IF('Young Innovators Kits'!E174="","",'Young Innovators Kits'!E174)</f>
        <v>Per group</v>
      </c>
      <c r="F882" s="0" t="str">
        <f aca="false">IFERROR(INDEX('Session Tracker'!$M$5:$M$149,MATCH($A882,'Session Tracker'!$D$5:$D$149,0))+0,"")</f>
        <v/>
      </c>
      <c r="G882" s="0" t="str">
        <f aca="false">IF(ISNUMBER(F882),IF(OR(B882=0,B882=99,C882&lt;&gt;""),F882*100+B882,""),"")</f>
        <v/>
      </c>
      <c r="H882" s="0" t="n">
        <f aca="false">IFERROR(INDEX('Session Tracker'!$J$5:$J$149,MATCH($A882,'Session Tracker'!$D$5:$D$149,0)),0)</f>
        <v>8</v>
      </c>
      <c r="I882" s="0" t="n">
        <f aca="false">IF(OR(B882=0,B882=99,C882=""),"",IF(E882="Per class",D882,D882*H882))</f>
        <v>8</v>
      </c>
      <c r="N882" s="0" t="str">
        <f aca="false">IF('Young Innovators Kits'!B174="","",'Young Innovators Kits'!B174)</f>
        <v>Displays &amp; Output</v>
      </c>
      <c r="O882" s="0" t="str">
        <f aca="false">IF('Young Innovators Kits'!F174="","",'Young Innovators Kits'!F174)</f>
        <v>Reusable</v>
      </c>
      <c r="P882" s="0" t="str">
        <f aca="false">IF('Young Innovators Kits'!G174="","",'Young Innovators Kits'!G174)</f>
        <v/>
      </c>
    </row>
    <row r="883" customFormat="false" ht="15" hidden="false" customHeight="false" outlineLevel="0" collapsed="false">
      <c r="A883" s="0" t="s">
        <v>239</v>
      </c>
      <c r="B883" s="0" t="n">
        <v>5</v>
      </c>
      <c r="C883" s="0" t="str">
        <f aca="false">IF('Young Innovators Kits'!C175="","",'Young Innovators Kits'!C175)</f>
        <v>Buzzer</v>
      </c>
      <c r="D883" s="0" t="n">
        <f aca="false">IF('Young Innovators Kits'!D175="","",'Young Innovators Kits'!D175)</f>
        <v>1</v>
      </c>
      <c r="E883" s="0" t="str">
        <f aca="false">IF('Young Innovators Kits'!E175="","",'Young Innovators Kits'!E175)</f>
        <v>Per group</v>
      </c>
      <c r="F883" s="0" t="str">
        <f aca="false">IFERROR(INDEX('Session Tracker'!$M$5:$M$149,MATCH($A883,'Session Tracker'!$D$5:$D$149,0))+0,"")</f>
        <v/>
      </c>
      <c r="G883" s="0" t="str">
        <f aca="false">IF(ISNUMBER(F883),IF(OR(B883=0,B883=99,C883&lt;&gt;""),F883*100+B883,""),"")</f>
        <v/>
      </c>
      <c r="H883" s="0" t="n">
        <f aca="false">IFERROR(INDEX('Session Tracker'!$J$5:$J$149,MATCH($A883,'Session Tracker'!$D$5:$D$149,0)),0)</f>
        <v>8</v>
      </c>
      <c r="I883" s="0" t="n">
        <f aca="false">IF(OR(B883=0,B883=99,C883=""),"",IF(E883="Per class",D883,D883*H883))</f>
        <v>8</v>
      </c>
      <c r="N883" s="0" t="str">
        <f aca="false">IF('Young Innovators Kits'!B175="","",'Young Innovators Kits'!B175)</f>
        <v>Actuators &amp; Motor Drivers</v>
      </c>
      <c r="O883" s="0" t="str">
        <f aca="false">IF('Young Innovators Kits'!F175="","",'Young Innovators Kits'!F175)</f>
        <v>Reusable</v>
      </c>
      <c r="P883" s="0" t="str">
        <f aca="false">IF('Young Innovators Kits'!G175="","",'Young Innovators Kits'!G175)</f>
        <v/>
      </c>
    </row>
    <row r="884" customFormat="false" ht="15" hidden="false" customHeight="false" outlineLevel="0" collapsed="false">
      <c r="A884" s="0" t="s">
        <v>239</v>
      </c>
      <c r="B884" s="0" t="n">
        <v>6</v>
      </c>
      <c r="C884" s="0" t="str">
        <f aca="false">IF('Young Innovators Kits'!C176="","",'Young Innovators Kits'!C176)</f>
        <v>LED 5 mm (assorted)</v>
      </c>
      <c r="D884" s="0" t="n">
        <f aca="false">IF('Young Innovators Kits'!D176="","",'Young Innovators Kits'!D176)</f>
        <v>2</v>
      </c>
      <c r="E884" s="0" t="str">
        <f aca="false">IF('Young Innovators Kits'!E176="","",'Young Innovators Kits'!E176)</f>
        <v>Per group</v>
      </c>
      <c r="F884" s="0" t="str">
        <f aca="false">IFERROR(INDEX('Session Tracker'!$M$5:$M$149,MATCH($A884,'Session Tracker'!$D$5:$D$149,0))+0,"")</f>
        <v/>
      </c>
      <c r="G884" s="0" t="str">
        <f aca="false">IF(ISNUMBER(F884),IF(OR(B884=0,B884=99,C884&lt;&gt;""),F884*100+B884,""),"")</f>
        <v/>
      </c>
      <c r="H884" s="0" t="n">
        <f aca="false">IFERROR(INDEX('Session Tracker'!$J$5:$J$149,MATCH($A884,'Session Tracker'!$D$5:$D$149,0)),0)</f>
        <v>8</v>
      </c>
      <c r="I884" s="0" t="n">
        <f aca="false">IF(OR(B884=0,B884=99,C884=""),"",IF(E884="Per class",D884,D884*H884))</f>
        <v>16</v>
      </c>
      <c r="N884" s="0" t="str">
        <f aca="false">IF('Young Innovators Kits'!B176="","",'Young Innovators Kits'!B176)</f>
        <v>Displays &amp; Output</v>
      </c>
      <c r="O884" s="0" t="str">
        <f aca="false">IF('Young Innovators Kits'!F176="","",'Young Innovators Kits'!F176)</f>
        <v>Consumable</v>
      </c>
      <c r="P884" s="0" t="str">
        <f aca="false">IF('Young Innovators Kits'!G176="","",'Young Innovators Kits'!G176)</f>
        <v>Green, red</v>
      </c>
    </row>
    <row r="885" customFormat="false" ht="15" hidden="false" customHeight="false" outlineLevel="0" collapsed="false">
      <c r="A885" s="0" t="s">
        <v>239</v>
      </c>
      <c r="B885" s="0" t="n">
        <v>7</v>
      </c>
      <c r="C885" s="0" t="str">
        <f aca="false">IF('Young Innovators Kits'!C177="","",'Young Innovators Kits'!C177)</f>
        <v>Resistor 220 ohm</v>
      </c>
      <c r="D885" s="0" t="n">
        <f aca="false">IF('Young Innovators Kits'!D177="","",'Young Innovators Kits'!D177)</f>
        <v>2</v>
      </c>
      <c r="E885" s="0" t="str">
        <f aca="false">IF('Young Innovators Kits'!E177="","",'Young Innovators Kits'!E177)</f>
        <v>Per group</v>
      </c>
      <c r="F885" s="0" t="str">
        <f aca="false">IFERROR(INDEX('Session Tracker'!$M$5:$M$149,MATCH($A885,'Session Tracker'!$D$5:$D$149,0))+0,"")</f>
        <v/>
      </c>
      <c r="G885" s="0" t="str">
        <f aca="false">IF(ISNUMBER(F885),IF(OR(B885=0,B885=99,C885&lt;&gt;""),F885*100+B885,""),"")</f>
        <v/>
      </c>
      <c r="H885" s="0" t="n">
        <f aca="false">IFERROR(INDEX('Session Tracker'!$J$5:$J$149,MATCH($A885,'Session Tracker'!$D$5:$D$149,0)),0)</f>
        <v>8</v>
      </c>
      <c r="I885" s="0" t="n">
        <f aca="false">IF(OR(B885=0,B885=99,C885=""),"",IF(E885="Per class",D885,D885*H885))</f>
        <v>16</v>
      </c>
      <c r="N885" s="0" t="str">
        <f aca="false">IF('Young Innovators Kits'!B177="","",'Young Innovators Kits'!B177)</f>
        <v>Passive Components &amp; ICs</v>
      </c>
      <c r="O885" s="0" t="str">
        <f aca="false">IF('Young Innovators Kits'!F177="","",'Young Innovators Kits'!F177)</f>
        <v>Consumable</v>
      </c>
      <c r="P885" s="0" t="str">
        <f aca="false">IF('Young Innovators Kits'!G177="","",'Young Innovators Kits'!G177)</f>
        <v/>
      </c>
    </row>
    <row r="886" customFormat="false" ht="15" hidden="false" customHeight="false" outlineLevel="0" collapsed="false">
      <c r="A886" s="0" t="s">
        <v>239</v>
      </c>
      <c r="B886" s="0" t="n">
        <v>8</v>
      </c>
      <c r="C886" s="0" t="str">
        <f aca="false">IF('Young Innovators Kits'!C178="","",'Young Innovators Kits'!C178)</f>
        <v>Breadboard (half size)</v>
      </c>
      <c r="D886" s="0" t="n">
        <f aca="false">IF('Young Innovators Kits'!D178="","",'Young Innovators Kits'!D178)</f>
        <v>1</v>
      </c>
      <c r="E886" s="0" t="str">
        <f aca="false">IF('Young Innovators Kits'!E178="","",'Young Innovators Kits'!E178)</f>
        <v>Per group</v>
      </c>
      <c r="F886" s="0" t="str">
        <f aca="false">IFERROR(INDEX('Session Tracker'!$M$5:$M$149,MATCH($A886,'Session Tracker'!$D$5:$D$149,0))+0,"")</f>
        <v/>
      </c>
      <c r="G886" s="0" t="str">
        <f aca="false">IF(ISNUMBER(F886),IF(OR(B886=0,B886=99,C886&lt;&gt;""),F886*100+B886,""),"")</f>
        <v/>
      </c>
      <c r="H886" s="0" t="n">
        <f aca="false">IFERROR(INDEX('Session Tracker'!$J$5:$J$149,MATCH($A886,'Session Tracker'!$D$5:$D$149,0)),0)</f>
        <v>8</v>
      </c>
      <c r="I886" s="0" t="n">
        <f aca="false">IF(OR(B886=0,B886=99,C886=""),"",IF(E886="Per class",D886,D886*H886))</f>
        <v>8</v>
      </c>
      <c r="N886" s="0" t="str">
        <f aca="false">IF('Young Innovators Kits'!B178="","",'Young Innovators Kits'!B178)</f>
        <v>Wiring &amp; Prototyping</v>
      </c>
      <c r="O886" s="0" t="str">
        <f aca="false">IF('Young Innovators Kits'!F178="","",'Young Innovators Kits'!F178)</f>
        <v>Reusable</v>
      </c>
      <c r="P886" s="0" t="str">
        <f aca="false">IF('Young Innovators Kits'!G178="","",'Young Innovators Kits'!G178)</f>
        <v/>
      </c>
    </row>
    <row r="887" customFormat="false" ht="15" hidden="false" customHeight="false" outlineLevel="0" collapsed="false">
      <c r="A887" s="0" t="s">
        <v>239</v>
      </c>
      <c r="B887" s="0" t="n">
        <v>9</v>
      </c>
      <c r="C887" s="0" t="str">
        <f aca="false">IF('Young Innovators Kits'!C179="","",'Young Innovators Kits'!C179)</f>
        <v>Jumper wires M-M</v>
      </c>
      <c r="D887" s="0" t="n">
        <f aca="false">IF('Young Innovators Kits'!D179="","",'Young Innovators Kits'!D179)</f>
        <v>10</v>
      </c>
      <c r="E887" s="0" t="str">
        <f aca="false">IF('Young Innovators Kits'!E179="","",'Young Innovators Kits'!E179)</f>
        <v>Per group</v>
      </c>
      <c r="F887" s="0" t="str">
        <f aca="false">IFERROR(INDEX('Session Tracker'!$M$5:$M$149,MATCH($A887,'Session Tracker'!$D$5:$D$149,0))+0,"")</f>
        <v/>
      </c>
      <c r="G887" s="0" t="str">
        <f aca="false">IF(ISNUMBER(F887),IF(OR(B887=0,B887=99,C887&lt;&gt;""),F887*100+B887,""),"")</f>
        <v/>
      </c>
      <c r="H887" s="0" t="n">
        <f aca="false">IFERROR(INDEX('Session Tracker'!$J$5:$J$149,MATCH($A887,'Session Tracker'!$D$5:$D$149,0)),0)</f>
        <v>8</v>
      </c>
      <c r="I887" s="0" t="n">
        <f aca="false">IF(OR(B887=0,B887=99,C887=""),"",IF(E887="Per class",D887,D887*H887))</f>
        <v>80</v>
      </c>
      <c r="N887" s="0" t="str">
        <f aca="false">IF('Young Innovators Kits'!B179="","",'Young Innovators Kits'!B179)</f>
        <v>Wiring &amp; Prototyping</v>
      </c>
      <c r="O887" s="0" t="str">
        <f aca="false">IF('Young Innovators Kits'!F179="","",'Young Innovators Kits'!F179)</f>
        <v>Reusable</v>
      </c>
      <c r="P887" s="0" t="str">
        <f aca="false">IF('Young Innovators Kits'!G179="","",'Young Innovators Kits'!G179)</f>
        <v/>
      </c>
    </row>
    <row r="888" customFormat="false" ht="15" hidden="false" customHeight="false" outlineLevel="0" collapsed="false">
      <c r="A888" s="0" t="s">
        <v>239</v>
      </c>
      <c r="B888" s="0" t="n">
        <v>10</v>
      </c>
      <c r="C888" s="0" t="str">
        <f aca="false">IF('Young Innovators Kits'!C180="","",'Young Innovators Kits'!C180)</f>
        <v>Jumper wires M-F</v>
      </c>
      <c r="D888" s="0" t="n">
        <f aca="false">IF('Young Innovators Kits'!D180="","",'Young Innovators Kits'!D180)</f>
        <v>10</v>
      </c>
      <c r="E888" s="0" t="str">
        <f aca="false">IF('Young Innovators Kits'!E180="","",'Young Innovators Kits'!E180)</f>
        <v>Per group</v>
      </c>
      <c r="F888" s="0" t="str">
        <f aca="false">IFERROR(INDEX('Session Tracker'!$M$5:$M$149,MATCH($A888,'Session Tracker'!$D$5:$D$149,0))+0,"")</f>
        <v/>
      </c>
      <c r="G888" s="0" t="str">
        <f aca="false">IF(ISNUMBER(F888),IF(OR(B888=0,B888=99,C888&lt;&gt;""),F888*100+B888,""),"")</f>
        <v/>
      </c>
      <c r="H888" s="0" t="n">
        <f aca="false">IFERROR(INDEX('Session Tracker'!$J$5:$J$149,MATCH($A888,'Session Tracker'!$D$5:$D$149,0)),0)</f>
        <v>8</v>
      </c>
      <c r="I888" s="0" t="n">
        <f aca="false">IF(OR(B888=0,B888=99,C888=""),"",IF(E888="Per class",D888,D888*H888))</f>
        <v>80</v>
      </c>
      <c r="N888" s="0" t="str">
        <f aca="false">IF('Young Innovators Kits'!B180="","",'Young Innovators Kits'!B180)</f>
        <v>Wiring &amp; Prototyping</v>
      </c>
      <c r="O888" s="0" t="str">
        <f aca="false">IF('Young Innovators Kits'!F180="","",'Young Innovators Kits'!F180)</f>
        <v>Reusable</v>
      </c>
      <c r="P888" s="0" t="str">
        <f aca="false">IF('Young Innovators Kits'!G180="","",'Young Innovators Kits'!G180)</f>
        <v/>
      </c>
    </row>
    <row r="889" customFormat="false" ht="15" hidden="false" customHeight="false" outlineLevel="0" collapsed="false">
      <c r="A889" s="0" t="s">
        <v>239</v>
      </c>
      <c r="B889" s="0" t="n">
        <v>11</v>
      </c>
      <c r="C889" s="0" t="str">
        <f aca="false">IF('Young Innovators Kits'!C181="","",'Young Innovators Kits'!C181)</f>
        <v>Laptop</v>
      </c>
      <c r="D889" s="0" t="n">
        <f aca="false">IF('Young Innovators Kits'!D181="","",'Young Innovators Kits'!D181)</f>
        <v>1</v>
      </c>
      <c r="E889" s="0" t="str">
        <f aca="false">IF('Young Innovators Kits'!E181="","",'Young Innovators Kits'!E181)</f>
        <v>Per group</v>
      </c>
      <c r="F889" s="0" t="str">
        <f aca="false">IFERROR(INDEX('Session Tracker'!$M$5:$M$149,MATCH($A889,'Session Tracker'!$D$5:$D$149,0))+0,"")</f>
        <v/>
      </c>
      <c r="G889" s="0" t="str">
        <f aca="false">IF(ISNUMBER(F889),IF(OR(B889=0,B889=99,C889&lt;&gt;""),F889*100+B889,""),"")</f>
        <v/>
      </c>
      <c r="H889" s="0" t="n">
        <f aca="false">IFERROR(INDEX('Session Tracker'!$J$5:$J$149,MATCH($A889,'Session Tracker'!$D$5:$D$149,0)),0)</f>
        <v>8</v>
      </c>
      <c r="I889" s="0" t="n">
        <f aca="false">IF(OR(B889=0,B889=99,C889=""),"",IF(E889="Per class",D889,D889*H889))</f>
        <v>8</v>
      </c>
      <c r="N889" s="0" t="str">
        <f aca="false">IF('Young Innovators Kits'!B181="","",'Young Innovators Kits'!B181)</f>
        <v>Computers &amp; Equipment</v>
      </c>
      <c r="O889" s="0" t="str">
        <f aca="false">IF('Young Innovators Kits'!F181="","",'Young Innovators Kits'!F181)</f>
        <v>Reusable</v>
      </c>
      <c r="P889" s="0" t="str">
        <f aca="false">IF('Young Innovators Kits'!G181="","",'Young Innovators Kits'!G181)</f>
        <v/>
      </c>
    </row>
    <row r="890" customFormat="false" ht="15" hidden="false" customHeight="false" outlineLevel="0" collapsed="false">
      <c r="A890" s="0" t="s">
        <v>239</v>
      </c>
      <c r="B890" s="0" t="n">
        <v>12</v>
      </c>
      <c r="C890" s="0" t="str">
        <f aca="false">IF('Young Innovators Kits'!C182="","",'Young Innovators Kits'!C182)</f>
        <v/>
      </c>
      <c r="D890" s="0" t="str">
        <f aca="false">IF('Young Innovators Kits'!D182="","",'Young Innovators Kits'!D182)</f>
        <v/>
      </c>
      <c r="E890" s="0" t="str">
        <f aca="false">IF('Young Innovators Kits'!E182="","",'Young Innovators Kits'!E182)</f>
        <v/>
      </c>
      <c r="F890" s="0" t="str">
        <f aca="false">IFERROR(INDEX('Session Tracker'!$M$5:$M$149,MATCH($A890,'Session Tracker'!$D$5:$D$149,0))+0,"")</f>
        <v/>
      </c>
      <c r="G890" s="0" t="str">
        <f aca="false">IF(ISNUMBER(F890),IF(OR(B890=0,B890=99,C890&lt;&gt;""),F890*100+B890,""),"")</f>
        <v/>
      </c>
      <c r="H890" s="0" t="n">
        <f aca="false">IFERROR(INDEX('Session Tracker'!$J$5:$J$149,MATCH($A890,'Session Tracker'!$D$5:$D$149,0)),0)</f>
        <v>8</v>
      </c>
      <c r="I890" s="0" t="str">
        <f aca="false">IF(OR(B890=0,B890=99,C890=""),"",IF(E890="Per class",D890,D890*H890))</f>
        <v/>
      </c>
      <c r="N890" s="0" t="str">
        <f aca="false">IF('Young Innovators Kits'!B182="","",'Young Innovators Kits'!B182)</f>
        <v/>
      </c>
      <c r="O890" s="0" t="str">
        <f aca="false">IF('Young Innovators Kits'!F182="","",'Young Innovators Kits'!F182)</f>
        <v/>
      </c>
      <c r="P890" s="0" t="str">
        <f aca="false">IF('Young Innovators Kits'!G182="","",'Young Innovators Kits'!G182)</f>
        <v/>
      </c>
    </row>
    <row r="891" customFormat="false" ht="15" hidden="false" customHeight="false" outlineLevel="0" collapsed="false">
      <c r="A891" s="0" t="s">
        <v>239</v>
      </c>
      <c r="B891" s="0" t="n">
        <v>13</v>
      </c>
      <c r="C891" s="0" t="str">
        <f aca="false">IF('Young Innovators Kits'!C183="","",'Young Innovators Kits'!C183)</f>
        <v/>
      </c>
      <c r="D891" s="0" t="str">
        <f aca="false">IF('Young Innovators Kits'!D183="","",'Young Innovators Kits'!D183)</f>
        <v/>
      </c>
      <c r="E891" s="0" t="str">
        <f aca="false">IF('Young Innovators Kits'!E183="","",'Young Innovators Kits'!E183)</f>
        <v/>
      </c>
      <c r="F891" s="0" t="str">
        <f aca="false">IFERROR(INDEX('Session Tracker'!$M$5:$M$149,MATCH($A891,'Session Tracker'!$D$5:$D$149,0))+0,"")</f>
        <v/>
      </c>
      <c r="G891" s="0" t="str">
        <f aca="false">IF(ISNUMBER(F891),IF(OR(B891=0,B891=99,C891&lt;&gt;""),F891*100+B891,""),"")</f>
        <v/>
      </c>
      <c r="H891" s="0" t="n">
        <f aca="false">IFERROR(INDEX('Session Tracker'!$J$5:$J$149,MATCH($A891,'Session Tracker'!$D$5:$D$149,0)),0)</f>
        <v>8</v>
      </c>
      <c r="I891" s="0" t="str">
        <f aca="false">IF(OR(B891=0,B891=99,C891=""),"",IF(E891="Per class",D891,D891*H891))</f>
        <v/>
      </c>
      <c r="N891" s="0" t="str">
        <f aca="false">IF('Young Innovators Kits'!B183="","",'Young Innovators Kits'!B183)</f>
        <v/>
      </c>
      <c r="O891" s="0" t="str">
        <f aca="false">IF('Young Innovators Kits'!F183="","",'Young Innovators Kits'!F183)</f>
        <v/>
      </c>
      <c r="P891" s="0" t="str">
        <f aca="false">IF('Young Innovators Kits'!G183="","",'Young Innovators Kits'!G183)</f>
        <v/>
      </c>
    </row>
    <row r="892" customFormat="false" ht="15" hidden="false" customHeight="false" outlineLevel="0" collapsed="false">
      <c r="A892" s="0" t="s">
        <v>241</v>
      </c>
      <c r="B892" s="0" t="n">
        <v>0</v>
      </c>
      <c r="F892" s="0" t="str">
        <f aca="false">IFERROR(INDEX('Session Tracker'!$M$5:$M$149,MATCH($A892,'Session Tracker'!$D$5:$D$149,0))+0,"")</f>
        <v/>
      </c>
      <c r="G892" s="0" t="str">
        <f aca="false">IF(ISNUMBER(F892),IF(OR(B892=0,B892=99,C892&lt;&gt;""),F892*100+B892,""),"")</f>
        <v/>
      </c>
      <c r="H892" s="0" t="n">
        <f aca="false">IFERROR(INDEX('Session Tracker'!$J$5:$J$149,MATCH($A892,'Session Tracker'!$D$5:$D$149,0)),0)</f>
        <v>8</v>
      </c>
      <c r="I892" s="0" t="str">
        <f aca="false">IF(OR(B892=0,B892=99,C892=""),"",IF(E892="Per class",D892,D892*H892))</f>
        <v/>
      </c>
      <c r="K892" s="0" t="str">
        <f aca="false">IFERROR(INDEX('Session Tracker'!$E$5:$E$149,MATCH($A892,'Session Tracker'!$D$5:$D$149,0)),"")</f>
        <v>Rechargeable Power Pack for Robots</v>
      </c>
      <c r="L892" s="0" t="str">
        <f aca="false">IFERROR(INDEX('Session Tracker'!$A$5:$A$149,MATCH($A892,'Session Tracker'!$D$5:$D$149,0)),"")</f>
        <v>Young Innovators (12-14)</v>
      </c>
      <c r="M892" s="0" t="str">
        <f aca="false">IFERROR(INDEX('Session Tracker'!$H$5:$H$149,MATCH($A892,'Session Tracker'!$D$5:$D$149,0))&amp;"","")</f>
        <v/>
      </c>
      <c r="Q892" s="0" t="str">
        <f aca="false">IFERROR("Status: "&amp;INDEX('Session Tracker'!$F$5:$F$149,MATCH($A892,'Session Tracker'!$D$5:$D$149,0))&amp;IF(INDEX('Session Tracker'!$G$5:$G$149,MATCH($A892,'Session Tracker'!$D$5:$D$149,0))&lt;&gt;""," ("&amp;INDEX('Session Tracker'!$G$5:$G$149,MATCH($A892,'Session Tracker'!$D$5:$D$149,0))&amp;")","")&amp;IF(M892&lt;&gt;"","  "&amp;M892,""),"")</f>
        <v>Status: Not started</v>
      </c>
    </row>
    <row r="893" customFormat="false" ht="15" hidden="false" customHeight="false" outlineLevel="0" collapsed="false">
      <c r="A893" s="0" t="s">
        <v>241</v>
      </c>
      <c r="B893" s="0" t="n">
        <v>1</v>
      </c>
      <c r="C893" s="0" t="str">
        <f aca="false">IF('Young Innovators Kits'!C186="","",'Young Innovators Kits'!C186)</f>
        <v>Arduino Uno + USB cable</v>
      </c>
      <c r="D893" s="0" t="n">
        <f aca="false">IF('Young Innovators Kits'!D186="","",'Young Innovators Kits'!D186)</f>
        <v>1</v>
      </c>
      <c r="E893" s="0" t="str">
        <f aca="false">IF('Young Innovators Kits'!E186="","",'Young Innovators Kits'!E186)</f>
        <v>Per group</v>
      </c>
      <c r="F893" s="0" t="str">
        <f aca="false">IFERROR(INDEX('Session Tracker'!$M$5:$M$149,MATCH($A893,'Session Tracker'!$D$5:$D$149,0))+0,"")</f>
        <v/>
      </c>
      <c r="G893" s="0" t="str">
        <f aca="false">IF(ISNUMBER(F893),IF(OR(B893=0,B893=99,C893&lt;&gt;""),F893*100+B893,""),"")</f>
        <v/>
      </c>
      <c r="H893" s="0" t="n">
        <f aca="false">IFERROR(INDEX('Session Tracker'!$J$5:$J$149,MATCH($A893,'Session Tracker'!$D$5:$D$149,0)),0)</f>
        <v>8</v>
      </c>
      <c r="I893" s="0" t="n">
        <f aca="false">IF(OR(B893=0,B893=99,C893=""),"",IF(E893="Per class",D893,D893*H893))</f>
        <v>8</v>
      </c>
      <c r="N893" s="0" t="str">
        <f aca="false">IF('Young Innovators Kits'!B186="","",'Young Innovators Kits'!B186)</f>
        <v>Microcontrollers &amp; Dev Boards</v>
      </c>
      <c r="O893" s="0" t="str">
        <f aca="false">IF('Young Innovators Kits'!F186="","",'Young Innovators Kits'!F186)</f>
        <v>Reusable</v>
      </c>
      <c r="P893" s="0" t="str">
        <f aca="false">IF('Young Innovators Kits'!G186="","",'Young Innovators Kits'!G186)</f>
        <v/>
      </c>
    </row>
    <row r="894" customFormat="false" ht="15" hidden="false" customHeight="false" outlineLevel="0" collapsed="false">
      <c r="A894" s="0" t="s">
        <v>241</v>
      </c>
      <c r="B894" s="0" t="n">
        <v>2</v>
      </c>
      <c r="C894" s="0" t="str">
        <f aca="false">IF('Young Innovators Kits'!C187="","",'Young Innovators Kits'!C187)</f>
        <v>18650 cell + holder</v>
      </c>
      <c r="D894" s="0" t="n">
        <f aca="false">IF('Young Innovators Kits'!D187="","",'Young Innovators Kits'!D187)</f>
        <v>1</v>
      </c>
      <c r="E894" s="0" t="str">
        <f aca="false">IF('Young Innovators Kits'!E187="","",'Young Innovators Kits'!E187)</f>
        <v>Per group</v>
      </c>
      <c r="F894" s="0" t="str">
        <f aca="false">IFERROR(INDEX('Session Tracker'!$M$5:$M$149,MATCH($A894,'Session Tracker'!$D$5:$D$149,0))+0,"")</f>
        <v/>
      </c>
      <c r="G894" s="0" t="str">
        <f aca="false">IF(ISNUMBER(F894),IF(OR(B894=0,B894=99,C894&lt;&gt;""),F894*100+B894,""),"")</f>
        <v/>
      </c>
      <c r="H894" s="0" t="n">
        <f aca="false">IFERROR(INDEX('Session Tracker'!$J$5:$J$149,MATCH($A894,'Session Tracker'!$D$5:$D$149,0)),0)</f>
        <v>8</v>
      </c>
      <c r="I894" s="0" t="n">
        <f aca="false">IF(OR(B894=0,B894=99,C894=""),"",IF(E894="Per class",D894,D894*H894))</f>
        <v>8</v>
      </c>
      <c r="N894" s="0" t="str">
        <f aca="false">IF('Young Innovators Kits'!B187="","",'Young Innovators Kits'!B187)</f>
        <v>Power</v>
      </c>
      <c r="O894" s="0" t="str">
        <f aca="false">IF('Young Innovators Kits'!F187="","",'Young Innovators Kits'!F187)</f>
        <v>Reusable</v>
      </c>
      <c r="P894" s="0" t="str">
        <f aca="false">IF('Young Innovators Kits'!G187="","",'Young Innovators Kits'!G187)</f>
        <v>Protected cells only</v>
      </c>
    </row>
    <row r="895" customFormat="false" ht="15" hidden="false" customHeight="false" outlineLevel="0" collapsed="false">
      <c r="A895" s="0" t="s">
        <v>241</v>
      </c>
      <c r="B895" s="0" t="n">
        <v>3</v>
      </c>
      <c r="C895" s="0" t="str">
        <f aca="false">IF('Young Innovators Kits'!C188="","",'Young Innovators Kits'!C188)</f>
        <v>TP4056 charger module</v>
      </c>
      <c r="D895" s="0" t="n">
        <f aca="false">IF('Young Innovators Kits'!D188="","",'Young Innovators Kits'!D188)</f>
        <v>1</v>
      </c>
      <c r="E895" s="0" t="str">
        <f aca="false">IF('Young Innovators Kits'!E188="","",'Young Innovators Kits'!E188)</f>
        <v>Per group</v>
      </c>
      <c r="F895" s="0" t="str">
        <f aca="false">IFERROR(INDEX('Session Tracker'!$M$5:$M$149,MATCH($A895,'Session Tracker'!$D$5:$D$149,0))+0,"")</f>
        <v/>
      </c>
      <c r="G895" s="0" t="str">
        <f aca="false">IF(ISNUMBER(F895),IF(OR(B895=0,B895=99,C895&lt;&gt;""),F895*100+B895,""),"")</f>
        <v/>
      </c>
      <c r="H895" s="0" t="n">
        <f aca="false">IFERROR(INDEX('Session Tracker'!$J$5:$J$149,MATCH($A895,'Session Tracker'!$D$5:$D$149,0)),0)</f>
        <v>8</v>
      </c>
      <c r="I895" s="0" t="n">
        <f aca="false">IF(OR(B895=0,B895=99,C895=""),"",IF(E895="Per class",D895,D895*H895))</f>
        <v>8</v>
      </c>
      <c r="N895" s="0" t="str">
        <f aca="false">IF('Young Innovators Kits'!B188="","",'Young Innovators Kits'!B188)</f>
        <v>Power</v>
      </c>
      <c r="O895" s="0" t="str">
        <f aca="false">IF('Young Innovators Kits'!F188="","",'Young Innovators Kits'!F188)</f>
        <v>Reusable</v>
      </c>
      <c r="P895" s="0" t="str">
        <f aca="false">IF('Young Innovators Kits'!G188="","",'Young Innovators Kits'!G188)</f>
        <v/>
      </c>
    </row>
    <row r="896" customFormat="false" ht="15" hidden="false" customHeight="false" outlineLevel="0" collapsed="false">
      <c r="A896" s="0" t="s">
        <v>241</v>
      </c>
      <c r="B896" s="0" t="n">
        <v>4</v>
      </c>
      <c r="C896" s="0" t="str">
        <f aca="false">IF('Young Innovators Kits'!C189="","",'Young Innovators Kits'!C189)</f>
        <v>LM2596 buck converter</v>
      </c>
      <c r="D896" s="0" t="n">
        <f aca="false">IF('Young Innovators Kits'!D189="","",'Young Innovators Kits'!D189)</f>
        <v>1</v>
      </c>
      <c r="E896" s="0" t="str">
        <f aca="false">IF('Young Innovators Kits'!E189="","",'Young Innovators Kits'!E189)</f>
        <v>Per group</v>
      </c>
      <c r="F896" s="0" t="str">
        <f aca="false">IFERROR(INDEX('Session Tracker'!$M$5:$M$149,MATCH($A896,'Session Tracker'!$D$5:$D$149,0))+0,"")</f>
        <v/>
      </c>
      <c r="G896" s="0" t="str">
        <f aca="false">IF(ISNUMBER(F896),IF(OR(B896=0,B896=99,C896&lt;&gt;""),F896*100+B896,""),"")</f>
        <v/>
      </c>
      <c r="H896" s="0" t="n">
        <f aca="false">IFERROR(INDEX('Session Tracker'!$J$5:$J$149,MATCH($A896,'Session Tracker'!$D$5:$D$149,0)),0)</f>
        <v>8</v>
      </c>
      <c r="I896" s="0" t="n">
        <f aca="false">IF(OR(B896=0,B896=99,C896=""),"",IF(E896="Per class",D896,D896*H896))</f>
        <v>8</v>
      </c>
      <c r="N896" s="0" t="str">
        <f aca="false">IF('Young Innovators Kits'!B189="","",'Young Innovators Kits'!B189)</f>
        <v>Power</v>
      </c>
      <c r="O896" s="0" t="str">
        <f aca="false">IF('Young Innovators Kits'!F189="","",'Young Innovators Kits'!F189)</f>
        <v>Reusable</v>
      </c>
      <c r="P896" s="0" t="str">
        <f aca="false">IF('Young Innovators Kits'!G189="","",'Young Innovators Kits'!G189)</f>
        <v/>
      </c>
    </row>
    <row r="897" customFormat="false" ht="15" hidden="false" customHeight="false" outlineLevel="0" collapsed="false">
      <c r="A897" s="0" t="s">
        <v>241</v>
      </c>
      <c r="B897" s="0" t="n">
        <v>5</v>
      </c>
      <c r="C897" s="0" t="str">
        <f aca="false">IF('Young Innovators Kits'!C190="","",'Young Innovators Kits'!C190)</f>
        <v>Digital multimeter</v>
      </c>
      <c r="D897" s="0" t="n">
        <f aca="false">IF('Young Innovators Kits'!D190="","",'Young Innovators Kits'!D190)</f>
        <v>1</v>
      </c>
      <c r="E897" s="0" t="str">
        <f aca="false">IF('Young Innovators Kits'!E190="","",'Young Innovators Kits'!E190)</f>
        <v>Per group</v>
      </c>
      <c r="F897" s="0" t="str">
        <f aca="false">IFERROR(INDEX('Session Tracker'!$M$5:$M$149,MATCH($A897,'Session Tracker'!$D$5:$D$149,0))+0,"")</f>
        <v/>
      </c>
      <c r="G897" s="0" t="str">
        <f aca="false">IF(ISNUMBER(F897),IF(OR(B897=0,B897=99,C897&lt;&gt;""),F897*100+B897,""),"")</f>
        <v/>
      </c>
      <c r="H897" s="0" t="n">
        <f aca="false">IFERROR(INDEX('Session Tracker'!$J$5:$J$149,MATCH($A897,'Session Tracker'!$D$5:$D$149,0)),0)</f>
        <v>8</v>
      </c>
      <c r="I897" s="0" t="n">
        <f aca="false">IF(OR(B897=0,B897=99,C897=""),"",IF(E897="Per class",D897,D897*H897))</f>
        <v>8</v>
      </c>
      <c r="N897" s="0" t="str">
        <f aca="false">IF('Young Innovators Kits'!B190="","",'Young Innovators Kits'!B190)</f>
        <v>Computers &amp; Equipment</v>
      </c>
      <c r="O897" s="0" t="str">
        <f aca="false">IF('Young Innovators Kits'!F190="","",'Young Innovators Kits'!F190)</f>
        <v>Reusable</v>
      </c>
      <c r="P897" s="0" t="str">
        <f aca="false">IF('Young Innovators Kits'!G190="","",'Young Innovators Kits'!G190)</f>
        <v/>
      </c>
    </row>
    <row r="898" customFormat="false" ht="15" hidden="false" customHeight="false" outlineLevel="0" collapsed="false">
      <c r="A898" s="0" t="s">
        <v>241</v>
      </c>
      <c r="B898" s="0" t="n">
        <v>6</v>
      </c>
      <c r="C898" s="0" t="str">
        <f aca="false">IF('Young Innovators Kits'!C191="","",'Young Innovators Kits'!C191)</f>
        <v>OLED 0.96 in I2C</v>
      </c>
      <c r="D898" s="0" t="n">
        <f aca="false">IF('Young Innovators Kits'!D191="","",'Young Innovators Kits'!D191)</f>
        <v>1</v>
      </c>
      <c r="E898" s="0" t="str">
        <f aca="false">IF('Young Innovators Kits'!E191="","",'Young Innovators Kits'!E191)</f>
        <v>Per group</v>
      </c>
      <c r="F898" s="0" t="str">
        <f aca="false">IFERROR(INDEX('Session Tracker'!$M$5:$M$149,MATCH($A898,'Session Tracker'!$D$5:$D$149,0))+0,"")</f>
        <v/>
      </c>
      <c r="G898" s="0" t="str">
        <f aca="false">IF(ISNUMBER(F898),IF(OR(B898=0,B898=99,C898&lt;&gt;""),F898*100+B898,""),"")</f>
        <v/>
      </c>
      <c r="H898" s="0" t="n">
        <f aca="false">IFERROR(INDEX('Session Tracker'!$J$5:$J$149,MATCH($A898,'Session Tracker'!$D$5:$D$149,0)),0)</f>
        <v>8</v>
      </c>
      <c r="I898" s="0" t="n">
        <f aca="false">IF(OR(B898=0,B898=99,C898=""),"",IF(E898="Per class",D898,D898*H898))</f>
        <v>8</v>
      </c>
      <c r="N898" s="0" t="str">
        <f aca="false">IF('Young Innovators Kits'!B191="","",'Young Innovators Kits'!B191)</f>
        <v>Displays &amp; Output</v>
      </c>
      <c r="O898" s="0" t="str">
        <f aca="false">IF('Young Innovators Kits'!F191="","",'Young Innovators Kits'!F191)</f>
        <v>Reusable</v>
      </c>
      <c r="P898" s="0" t="str">
        <f aca="false">IF('Young Innovators Kits'!G191="","",'Young Innovators Kits'!G191)</f>
        <v/>
      </c>
    </row>
    <row r="899" customFormat="false" ht="15" hidden="false" customHeight="false" outlineLevel="0" collapsed="false">
      <c r="A899" s="0" t="s">
        <v>241</v>
      </c>
      <c r="B899" s="0" t="n">
        <v>7</v>
      </c>
      <c r="C899" s="0" t="str">
        <f aca="false">IF('Young Innovators Kits'!C192="","",'Young Innovators Kits'!C192)</f>
        <v>Resistor 10k ohm</v>
      </c>
      <c r="D899" s="0" t="n">
        <f aca="false">IF('Young Innovators Kits'!D192="","",'Young Innovators Kits'!D192)</f>
        <v>2</v>
      </c>
      <c r="E899" s="0" t="str">
        <f aca="false">IF('Young Innovators Kits'!E192="","",'Young Innovators Kits'!E192)</f>
        <v>Per group</v>
      </c>
      <c r="F899" s="0" t="str">
        <f aca="false">IFERROR(INDEX('Session Tracker'!$M$5:$M$149,MATCH($A899,'Session Tracker'!$D$5:$D$149,0))+0,"")</f>
        <v/>
      </c>
      <c r="G899" s="0" t="str">
        <f aca="false">IF(ISNUMBER(F899),IF(OR(B899=0,B899=99,C899&lt;&gt;""),F899*100+B899,""),"")</f>
        <v/>
      </c>
      <c r="H899" s="0" t="n">
        <f aca="false">IFERROR(INDEX('Session Tracker'!$J$5:$J$149,MATCH($A899,'Session Tracker'!$D$5:$D$149,0)),0)</f>
        <v>8</v>
      </c>
      <c r="I899" s="0" t="n">
        <f aca="false">IF(OR(B899=0,B899=99,C899=""),"",IF(E899="Per class",D899,D899*H899))</f>
        <v>16</v>
      </c>
      <c r="N899" s="0" t="str">
        <f aca="false">IF('Young Innovators Kits'!B192="","",'Young Innovators Kits'!B192)</f>
        <v>Passive Components &amp; ICs</v>
      </c>
      <c r="O899" s="0" t="str">
        <f aca="false">IF('Young Innovators Kits'!F192="","",'Young Innovators Kits'!F192)</f>
        <v>Consumable</v>
      </c>
      <c r="P899" s="0" t="str">
        <f aca="false">IF('Young Innovators Kits'!G192="","",'Young Innovators Kits'!G192)</f>
        <v>Voltage divider</v>
      </c>
    </row>
    <row r="900" customFormat="false" ht="15" hidden="false" customHeight="false" outlineLevel="0" collapsed="false">
      <c r="A900" s="0" t="s">
        <v>241</v>
      </c>
      <c r="B900" s="0" t="n">
        <v>8</v>
      </c>
      <c r="C900" s="0" t="str">
        <f aca="false">IF('Young Innovators Kits'!C193="","",'Young Innovators Kits'!C193)</f>
        <v>Breadboard (half size)</v>
      </c>
      <c r="D900" s="0" t="n">
        <f aca="false">IF('Young Innovators Kits'!D193="","",'Young Innovators Kits'!D193)</f>
        <v>1</v>
      </c>
      <c r="E900" s="0" t="str">
        <f aca="false">IF('Young Innovators Kits'!E193="","",'Young Innovators Kits'!E193)</f>
        <v>Per group</v>
      </c>
      <c r="F900" s="0" t="str">
        <f aca="false">IFERROR(INDEX('Session Tracker'!$M$5:$M$149,MATCH($A900,'Session Tracker'!$D$5:$D$149,0))+0,"")</f>
        <v/>
      </c>
      <c r="G900" s="0" t="str">
        <f aca="false">IF(ISNUMBER(F900),IF(OR(B900=0,B900=99,C900&lt;&gt;""),F900*100+B900,""),"")</f>
        <v/>
      </c>
      <c r="H900" s="0" t="n">
        <f aca="false">IFERROR(INDEX('Session Tracker'!$J$5:$J$149,MATCH($A900,'Session Tracker'!$D$5:$D$149,0)),0)</f>
        <v>8</v>
      </c>
      <c r="I900" s="0" t="n">
        <f aca="false">IF(OR(B900=0,B900=99,C900=""),"",IF(E900="Per class",D900,D900*H900))</f>
        <v>8</v>
      </c>
      <c r="N900" s="0" t="str">
        <f aca="false">IF('Young Innovators Kits'!B193="","",'Young Innovators Kits'!B193)</f>
        <v>Wiring &amp; Prototyping</v>
      </c>
      <c r="O900" s="0" t="str">
        <f aca="false">IF('Young Innovators Kits'!F193="","",'Young Innovators Kits'!F193)</f>
        <v>Reusable</v>
      </c>
      <c r="P900" s="0" t="str">
        <f aca="false">IF('Young Innovators Kits'!G193="","",'Young Innovators Kits'!G193)</f>
        <v/>
      </c>
    </row>
    <row r="901" customFormat="false" ht="15" hidden="false" customHeight="false" outlineLevel="0" collapsed="false">
      <c r="A901" s="0" t="s">
        <v>241</v>
      </c>
      <c r="B901" s="0" t="n">
        <v>9</v>
      </c>
      <c r="C901" s="0" t="str">
        <f aca="false">IF('Young Innovators Kits'!C194="","",'Young Innovators Kits'!C194)</f>
        <v>Jumper wires M-M</v>
      </c>
      <c r="D901" s="0" t="n">
        <f aca="false">IF('Young Innovators Kits'!D194="","",'Young Innovators Kits'!D194)</f>
        <v>10</v>
      </c>
      <c r="E901" s="0" t="str">
        <f aca="false">IF('Young Innovators Kits'!E194="","",'Young Innovators Kits'!E194)</f>
        <v>Per group</v>
      </c>
      <c r="F901" s="0" t="str">
        <f aca="false">IFERROR(INDEX('Session Tracker'!$M$5:$M$149,MATCH($A901,'Session Tracker'!$D$5:$D$149,0))+0,"")</f>
        <v/>
      </c>
      <c r="G901" s="0" t="str">
        <f aca="false">IF(ISNUMBER(F901),IF(OR(B901=0,B901=99,C901&lt;&gt;""),F901*100+B901,""),"")</f>
        <v/>
      </c>
      <c r="H901" s="0" t="n">
        <f aca="false">IFERROR(INDEX('Session Tracker'!$J$5:$J$149,MATCH($A901,'Session Tracker'!$D$5:$D$149,0)),0)</f>
        <v>8</v>
      </c>
      <c r="I901" s="0" t="n">
        <f aca="false">IF(OR(B901=0,B901=99,C901=""),"",IF(E901="Per class",D901,D901*H901))</f>
        <v>80</v>
      </c>
      <c r="N901" s="0" t="str">
        <f aca="false">IF('Young Innovators Kits'!B194="","",'Young Innovators Kits'!B194)</f>
        <v>Wiring &amp; Prototyping</v>
      </c>
      <c r="O901" s="0" t="str">
        <f aca="false">IF('Young Innovators Kits'!F194="","",'Young Innovators Kits'!F194)</f>
        <v>Reusable</v>
      </c>
      <c r="P901" s="0" t="str">
        <f aca="false">IF('Young Innovators Kits'!G194="","",'Young Innovators Kits'!G194)</f>
        <v/>
      </c>
    </row>
    <row r="902" customFormat="false" ht="15" hidden="false" customHeight="false" outlineLevel="0" collapsed="false">
      <c r="A902" s="0" t="s">
        <v>241</v>
      </c>
      <c r="B902" s="0" t="n">
        <v>10</v>
      </c>
      <c r="C902" s="0" t="str">
        <f aca="false">IF('Young Innovators Kits'!C195="","",'Young Innovators Kits'!C195)</f>
        <v>Jumper wires M-F</v>
      </c>
      <c r="D902" s="0" t="n">
        <f aca="false">IF('Young Innovators Kits'!D195="","",'Young Innovators Kits'!D195)</f>
        <v>4</v>
      </c>
      <c r="E902" s="0" t="str">
        <f aca="false">IF('Young Innovators Kits'!E195="","",'Young Innovators Kits'!E195)</f>
        <v>Per group</v>
      </c>
      <c r="F902" s="0" t="str">
        <f aca="false">IFERROR(INDEX('Session Tracker'!$M$5:$M$149,MATCH($A902,'Session Tracker'!$D$5:$D$149,0))+0,"")</f>
        <v/>
      </c>
      <c r="G902" s="0" t="str">
        <f aca="false">IF(ISNUMBER(F902),IF(OR(B902=0,B902=99,C902&lt;&gt;""),F902*100+B902,""),"")</f>
        <v/>
      </c>
      <c r="H902" s="0" t="n">
        <f aca="false">IFERROR(INDEX('Session Tracker'!$J$5:$J$149,MATCH($A902,'Session Tracker'!$D$5:$D$149,0)),0)</f>
        <v>8</v>
      </c>
      <c r="I902" s="0" t="n">
        <f aca="false">IF(OR(B902=0,B902=99,C902=""),"",IF(E902="Per class",D902,D902*H902))</f>
        <v>32</v>
      </c>
      <c r="N902" s="0" t="str">
        <f aca="false">IF('Young Innovators Kits'!B195="","",'Young Innovators Kits'!B195)</f>
        <v>Wiring &amp; Prototyping</v>
      </c>
      <c r="O902" s="0" t="str">
        <f aca="false">IF('Young Innovators Kits'!F195="","",'Young Innovators Kits'!F195)</f>
        <v>Reusable</v>
      </c>
      <c r="P902" s="0" t="str">
        <f aca="false">IF('Young Innovators Kits'!G195="","",'Young Innovators Kits'!G195)</f>
        <v/>
      </c>
    </row>
    <row r="903" customFormat="false" ht="15" hidden="false" customHeight="false" outlineLevel="0" collapsed="false">
      <c r="A903" s="0" t="s">
        <v>241</v>
      </c>
      <c r="B903" s="0" t="n">
        <v>11</v>
      </c>
      <c r="C903" s="0" t="str">
        <f aca="false">IF('Young Innovators Kits'!C196="","",'Young Innovators Kits'!C196)</f>
        <v>Laptop</v>
      </c>
      <c r="D903" s="0" t="n">
        <f aca="false">IF('Young Innovators Kits'!D196="","",'Young Innovators Kits'!D196)</f>
        <v>1</v>
      </c>
      <c r="E903" s="0" t="str">
        <f aca="false">IF('Young Innovators Kits'!E196="","",'Young Innovators Kits'!E196)</f>
        <v>Per group</v>
      </c>
      <c r="F903" s="0" t="str">
        <f aca="false">IFERROR(INDEX('Session Tracker'!$M$5:$M$149,MATCH($A903,'Session Tracker'!$D$5:$D$149,0))+0,"")</f>
        <v/>
      </c>
      <c r="G903" s="0" t="str">
        <f aca="false">IF(ISNUMBER(F903),IF(OR(B903=0,B903=99,C903&lt;&gt;""),F903*100+B903,""),"")</f>
        <v/>
      </c>
      <c r="H903" s="0" t="n">
        <f aca="false">IFERROR(INDEX('Session Tracker'!$J$5:$J$149,MATCH($A903,'Session Tracker'!$D$5:$D$149,0)),0)</f>
        <v>8</v>
      </c>
      <c r="I903" s="0" t="n">
        <f aca="false">IF(OR(B903=0,B903=99,C903=""),"",IF(E903="Per class",D903,D903*H903))</f>
        <v>8</v>
      </c>
      <c r="N903" s="0" t="str">
        <f aca="false">IF('Young Innovators Kits'!B196="","",'Young Innovators Kits'!B196)</f>
        <v>Computers &amp; Equipment</v>
      </c>
      <c r="O903" s="0" t="str">
        <f aca="false">IF('Young Innovators Kits'!F196="","",'Young Innovators Kits'!F196)</f>
        <v>Reusable</v>
      </c>
      <c r="P903" s="0" t="str">
        <f aca="false">IF('Young Innovators Kits'!G196="","",'Young Innovators Kits'!G196)</f>
        <v/>
      </c>
    </row>
    <row r="904" customFormat="false" ht="15" hidden="false" customHeight="false" outlineLevel="0" collapsed="false">
      <c r="A904" s="0" t="s">
        <v>241</v>
      </c>
      <c r="B904" s="0" t="n">
        <v>12</v>
      </c>
      <c r="C904" s="0" t="str">
        <f aca="false">IF('Young Innovators Kits'!C197="","",'Young Innovators Kits'!C197)</f>
        <v>LED 5 mm (assorted)</v>
      </c>
      <c r="D904" s="0" t="n">
        <f aca="false">IF('Young Innovators Kits'!D197="","",'Young Innovators Kits'!D197)</f>
        <v>1</v>
      </c>
      <c r="E904" s="0" t="str">
        <f aca="false">IF('Young Innovators Kits'!E197="","",'Young Innovators Kits'!E197)</f>
        <v>Per group</v>
      </c>
      <c r="F904" s="0" t="str">
        <f aca="false">IFERROR(INDEX('Session Tracker'!$M$5:$M$149,MATCH($A904,'Session Tracker'!$D$5:$D$149,0))+0,"")</f>
        <v/>
      </c>
      <c r="G904" s="0" t="str">
        <f aca="false">IF(ISNUMBER(F904),IF(OR(B904=0,B904=99,C904&lt;&gt;""),F904*100+B904,""),"")</f>
        <v/>
      </c>
      <c r="H904" s="0" t="n">
        <f aca="false">IFERROR(INDEX('Session Tracker'!$J$5:$J$149,MATCH($A904,'Session Tracker'!$D$5:$D$149,0)),0)</f>
        <v>8</v>
      </c>
      <c r="I904" s="0" t="n">
        <f aca="false">IF(OR(B904=0,B904=99,C904=""),"",IF(E904="Per class",D904,D904*H904))</f>
        <v>8</v>
      </c>
      <c r="N904" s="0" t="str">
        <f aca="false">IF('Young Innovators Kits'!B197="","",'Young Innovators Kits'!B197)</f>
        <v>Displays &amp; Output</v>
      </c>
      <c r="O904" s="0" t="str">
        <f aca="false">IF('Young Innovators Kits'!F197="","",'Young Innovators Kits'!F197)</f>
        <v>Consumable</v>
      </c>
      <c r="P904" s="0" t="str">
        <f aca="false">IF('Young Innovators Kits'!G197="","",'Young Innovators Kits'!G197)</f>
        <v>Added: every Arduino class</v>
      </c>
    </row>
    <row r="905" customFormat="false" ht="15" hidden="false" customHeight="false" outlineLevel="0" collapsed="false">
      <c r="A905" s="0" t="s">
        <v>241</v>
      </c>
      <c r="B905" s="0" t="n">
        <v>13</v>
      </c>
      <c r="C905" s="0" t="str">
        <f aca="false">IF('Young Innovators Kits'!C198="","",'Young Innovators Kits'!C198)</f>
        <v>Resistor 220 ohm</v>
      </c>
      <c r="D905" s="0" t="n">
        <f aca="false">IF('Young Innovators Kits'!D198="","",'Young Innovators Kits'!D198)</f>
        <v>1</v>
      </c>
      <c r="E905" s="0" t="str">
        <f aca="false">IF('Young Innovators Kits'!E198="","",'Young Innovators Kits'!E198)</f>
        <v>Per group</v>
      </c>
      <c r="F905" s="0" t="str">
        <f aca="false">IFERROR(INDEX('Session Tracker'!$M$5:$M$149,MATCH($A905,'Session Tracker'!$D$5:$D$149,0))+0,"")</f>
        <v/>
      </c>
      <c r="G905" s="0" t="str">
        <f aca="false">IF(ISNUMBER(F905),IF(OR(B905=0,B905=99,C905&lt;&gt;""),F905*100+B905,""),"")</f>
        <v/>
      </c>
      <c r="H905" s="0" t="n">
        <f aca="false">IFERROR(INDEX('Session Tracker'!$J$5:$J$149,MATCH($A905,'Session Tracker'!$D$5:$D$149,0)),0)</f>
        <v>8</v>
      </c>
      <c r="I905" s="0" t="n">
        <f aca="false">IF(OR(B905=0,B905=99,C905=""),"",IF(E905="Per class",D905,D905*H905))</f>
        <v>8</v>
      </c>
      <c r="N905" s="0" t="str">
        <f aca="false">IF('Young Innovators Kits'!B198="","",'Young Innovators Kits'!B198)</f>
        <v>Passive Components &amp; ICs</v>
      </c>
      <c r="O905" s="0" t="str">
        <f aca="false">IF('Young Innovators Kits'!F198="","",'Young Innovators Kits'!F198)</f>
        <v>Consumable</v>
      </c>
      <c r="P905" s="0" t="str">
        <f aca="false">IF('Young Innovators Kits'!G198="","",'Young Innovators Kits'!G198)</f>
        <v>Added: for the LED</v>
      </c>
    </row>
    <row r="906" customFormat="false" ht="15" hidden="false" customHeight="false" outlineLevel="0" collapsed="false">
      <c r="A906" s="0" t="s">
        <v>241</v>
      </c>
      <c r="B906" s="0" t="n">
        <v>14</v>
      </c>
      <c r="C906" s="0" t="str">
        <f aca="false">IF('Young Innovators Kits'!C199="","",'Young Innovators Kits'!C199)</f>
        <v>Buzzer</v>
      </c>
      <c r="D906" s="0" t="n">
        <f aca="false">IF('Young Innovators Kits'!D199="","",'Young Innovators Kits'!D199)</f>
        <v>1</v>
      </c>
      <c r="E906" s="0" t="str">
        <f aca="false">IF('Young Innovators Kits'!E199="","",'Young Innovators Kits'!E199)</f>
        <v>Per group</v>
      </c>
      <c r="F906" s="0" t="str">
        <f aca="false">IFERROR(INDEX('Session Tracker'!$M$5:$M$149,MATCH($A906,'Session Tracker'!$D$5:$D$149,0))+0,"")</f>
        <v/>
      </c>
      <c r="G906" s="0" t="str">
        <f aca="false">IF(ISNUMBER(F906),IF(OR(B906=0,B906=99,C906&lt;&gt;""),F906*100+B906,""),"")</f>
        <v/>
      </c>
      <c r="H906" s="0" t="n">
        <f aca="false">IFERROR(INDEX('Session Tracker'!$J$5:$J$149,MATCH($A906,'Session Tracker'!$D$5:$D$149,0)),0)</f>
        <v>8</v>
      </c>
      <c r="I906" s="0" t="n">
        <f aca="false">IF(OR(B906=0,B906=99,C906=""),"",IF(E906="Per class",D906,D906*H906))</f>
        <v>8</v>
      </c>
      <c r="N906" s="0" t="str">
        <f aca="false">IF('Young Innovators Kits'!B199="","",'Young Innovators Kits'!B199)</f>
        <v>Actuators &amp; Motor Drivers</v>
      </c>
      <c r="O906" s="0" t="str">
        <f aca="false">IF('Young Innovators Kits'!F199="","",'Young Innovators Kits'!F199)</f>
        <v>Reusable</v>
      </c>
      <c r="P906" s="0" t="str">
        <f aca="false">IF('Young Innovators Kits'!G199="","",'Young Innovators Kits'!G199)</f>
        <v>Added: every Arduino class</v>
      </c>
    </row>
    <row r="907" customFormat="false" ht="15" hidden="false" customHeight="false" outlineLevel="0" collapsed="false">
      <c r="A907" s="0" t="s">
        <v>241</v>
      </c>
      <c r="B907" s="0" t="n">
        <v>15</v>
      </c>
      <c r="C907" s="0" t="str">
        <f aca="false">IF('Young Innovators Kits'!C200="","",'Young Innovators Kits'!C200)</f>
        <v/>
      </c>
      <c r="D907" s="0" t="str">
        <f aca="false">IF('Young Innovators Kits'!D200="","",'Young Innovators Kits'!D200)</f>
        <v/>
      </c>
      <c r="E907" s="0" t="str">
        <f aca="false">IF('Young Innovators Kits'!E200="","",'Young Innovators Kits'!E200)</f>
        <v/>
      </c>
      <c r="F907" s="0" t="str">
        <f aca="false">IFERROR(INDEX('Session Tracker'!$M$5:$M$149,MATCH($A907,'Session Tracker'!$D$5:$D$149,0))+0,"")</f>
        <v/>
      </c>
      <c r="G907" s="0" t="str">
        <f aca="false">IF(ISNUMBER(F907),IF(OR(B907=0,B907=99,C907&lt;&gt;""),F907*100+B907,""),"")</f>
        <v/>
      </c>
      <c r="H907" s="0" t="n">
        <f aca="false">IFERROR(INDEX('Session Tracker'!$J$5:$J$149,MATCH($A907,'Session Tracker'!$D$5:$D$149,0)),0)</f>
        <v>8</v>
      </c>
      <c r="I907" s="0" t="str">
        <f aca="false">IF(OR(B907=0,B907=99,C907=""),"",IF(E907="Per class",D907,D907*H907))</f>
        <v/>
      </c>
      <c r="N907" s="0" t="str">
        <f aca="false">IF('Young Innovators Kits'!B200="","",'Young Innovators Kits'!B200)</f>
        <v/>
      </c>
      <c r="O907" s="0" t="str">
        <f aca="false">IF('Young Innovators Kits'!F200="","",'Young Innovators Kits'!F200)</f>
        <v/>
      </c>
      <c r="P907" s="0" t="str">
        <f aca="false">IF('Young Innovators Kits'!G200="","",'Young Innovators Kits'!G200)</f>
        <v/>
      </c>
    </row>
    <row r="908" customFormat="false" ht="15" hidden="false" customHeight="false" outlineLevel="0" collapsed="false">
      <c r="A908" s="0" t="s">
        <v>241</v>
      </c>
      <c r="B908" s="0" t="n">
        <v>16</v>
      </c>
      <c r="C908" s="0" t="str">
        <f aca="false">IF('Young Innovators Kits'!C201="","",'Young Innovators Kits'!C201)</f>
        <v/>
      </c>
      <c r="D908" s="0" t="str">
        <f aca="false">IF('Young Innovators Kits'!D201="","",'Young Innovators Kits'!D201)</f>
        <v/>
      </c>
      <c r="E908" s="0" t="str">
        <f aca="false">IF('Young Innovators Kits'!E201="","",'Young Innovators Kits'!E201)</f>
        <v/>
      </c>
      <c r="F908" s="0" t="str">
        <f aca="false">IFERROR(INDEX('Session Tracker'!$M$5:$M$149,MATCH($A908,'Session Tracker'!$D$5:$D$149,0))+0,"")</f>
        <v/>
      </c>
      <c r="G908" s="0" t="str">
        <f aca="false">IF(ISNUMBER(F908),IF(OR(B908=0,B908=99,C908&lt;&gt;""),F908*100+B908,""),"")</f>
        <v/>
      </c>
      <c r="H908" s="0" t="n">
        <f aca="false">IFERROR(INDEX('Session Tracker'!$J$5:$J$149,MATCH($A908,'Session Tracker'!$D$5:$D$149,0)),0)</f>
        <v>8</v>
      </c>
      <c r="I908" s="0" t="str">
        <f aca="false">IF(OR(B908=0,B908=99,C908=""),"",IF(E908="Per class",D908,D908*H908))</f>
        <v/>
      </c>
      <c r="N908" s="0" t="str">
        <f aca="false">IF('Young Innovators Kits'!B201="","",'Young Innovators Kits'!B201)</f>
        <v/>
      </c>
      <c r="O908" s="0" t="str">
        <f aca="false">IF('Young Innovators Kits'!F201="","",'Young Innovators Kits'!F201)</f>
        <v/>
      </c>
      <c r="P908" s="0" t="str">
        <f aca="false">IF('Young Innovators Kits'!G201="","",'Young Innovators Kits'!G201)</f>
        <v/>
      </c>
    </row>
    <row r="909" customFormat="false" ht="15" hidden="false" customHeight="false" outlineLevel="0" collapsed="false">
      <c r="A909" s="0" t="s">
        <v>243</v>
      </c>
      <c r="B909" s="0" t="n">
        <v>0</v>
      </c>
      <c r="F909" s="0" t="str">
        <f aca="false">IFERROR(INDEX('Session Tracker'!$M$5:$M$149,MATCH($A909,'Session Tracker'!$D$5:$D$149,0))+0,"")</f>
        <v/>
      </c>
      <c r="G909" s="0" t="str">
        <f aca="false">IF(ISNUMBER(F909),IF(OR(B909=0,B909=99,C909&lt;&gt;""),F909*100+B909,""),"")</f>
        <v/>
      </c>
      <c r="H909" s="0" t="n">
        <f aca="false">IFERROR(INDEX('Session Tracker'!$J$5:$J$149,MATCH($A909,'Session Tracker'!$D$5:$D$149,0)),0)</f>
        <v>8</v>
      </c>
      <c r="I909" s="0" t="str">
        <f aca="false">IF(OR(B909=0,B909=99,C909=""),"",IF(E909="Per class",D909,D909*H909))</f>
        <v/>
      </c>
      <c r="K909" s="0" t="str">
        <f aca="false">IFERROR(INDEX('Session Tracker'!$E$5:$E$149,MATCH($A909,'Session Tracker'!$D$5:$D$149,0)),"")</f>
        <v>Wireless Doorbell with Visitor Counter</v>
      </c>
      <c r="L909" s="0" t="str">
        <f aca="false">IFERROR(INDEX('Session Tracker'!$A$5:$A$149,MATCH($A909,'Session Tracker'!$D$5:$D$149,0)),"")</f>
        <v>Young Innovators (12-14)</v>
      </c>
      <c r="M909" s="0" t="str">
        <f aca="false">IFERROR(INDEX('Session Tracker'!$H$5:$H$149,MATCH($A909,'Session Tracker'!$D$5:$D$149,0))&amp;"","")</f>
        <v/>
      </c>
      <c r="Q909" s="0" t="str">
        <f aca="false">IFERROR("Status: "&amp;INDEX('Session Tracker'!$F$5:$F$149,MATCH($A909,'Session Tracker'!$D$5:$D$149,0))&amp;IF(INDEX('Session Tracker'!$G$5:$G$149,MATCH($A909,'Session Tracker'!$D$5:$D$149,0))&lt;&gt;""," ("&amp;INDEX('Session Tracker'!$G$5:$G$149,MATCH($A909,'Session Tracker'!$D$5:$D$149,0))&amp;")","")&amp;IF(M909&lt;&gt;"","  "&amp;M909,""),"")</f>
        <v>Status: Not started</v>
      </c>
    </row>
    <row r="910" customFormat="false" ht="15" hidden="false" customHeight="false" outlineLevel="0" collapsed="false">
      <c r="A910" s="0" t="s">
        <v>243</v>
      </c>
      <c r="B910" s="0" t="n">
        <v>1</v>
      </c>
      <c r="C910" s="0" t="str">
        <f aca="false">IF('Young Innovators Kits'!C204="","",'Young Innovators Kits'!C204)</f>
        <v>Arduino Uno + USB cable</v>
      </c>
      <c r="D910" s="0" t="n">
        <f aca="false">IF('Young Innovators Kits'!D204="","",'Young Innovators Kits'!D204)</f>
        <v>2</v>
      </c>
      <c r="E910" s="0" t="str">
        <f aca="false">IF('Young Innovators Kits'!E204="","",'Young Innovators Kits'!E204)</f>
        <v>Per group</v>
      </c>
      <c r="F910" s="0" t="str">
        <f aca="false">IFERROR(INDEX('Session Tracker'!$M$5:$M$149,MATCH($A910,'Session Tracker'!$D$5:$D$149,0))+0,"")</f>
        <v/>
      </c>
      <c r="G910" s="0" t="str">
        <f aca="false">IF(ISNUMBER(F910),IF(OR(B910=0,B910=99,C910&lt;&gt;""),F910*100+B910,""),"")</f>
        <v/>
      </c>
      <c r="H910" s="0" t="n">
        <f aca="false">IFERROR(INDEX('Session Tracker'!$J$5:$J$149,MATCH($A910,'Session Tracker'!$D$5:$D$149,0)),0)</f>
        <v>8</v>
      </c>
      <c r="I910" s="0" t="n">
        <f aca="false">IF(OR(B910=0,B910=99,C910=""),"",IF(E910="Per class",D910,D910*H910))</f>
        <v>16</v>
      </c>
      <c r="N910" s="0" t="str">
        <f aca="false">IF('Young Innovators Kits'!B204="","",'Young Innovators Kits'!B204)</f>
        <v>Microcontrollers &amp; Dev Boards</v>
      </c>
      <c r="O910" s="0" t="str">
        <f aca="false">IF('Young Innovators Kits'!F204="","",'Young Innovators Kits'!F204)</f>
        <v>Reusable</v>
      </c>
      <c r="P910" s="0" t="str">
        <f aca="false">IF('Young Innovators Kits'!G204="","",'Young Innovators Kits'!G204)</f>
        <v>Transmitter + receiver</v>
      </c>
    </row>
    <row r="911" customFormat="false" ht="15" hidden="false" customHeight="false" outlineLevel="0" collapsed="false">
      <c r="A911" s="0" t="s">
        <v>243</v>
      </c>
      <c r="B911" s="0" t="n">
        <v>2</v>
      </c>
      <c r="C911" s="0" t="str">
        <f aca="false">IF('Young Innovators Kits'!C205="","",'Young Innovators Kits'!C205)</f>
        <v>NRF24L01 module</v>
      </c>
      <c r="D911" s="0" t="n">
        <f aca="false">IF('Young Innovators Kits'!D205="","",'Young Innovators Kits'!D205)</f>
        <v>2</v>
      </c>
      <c r="E911" s="0" t="str">
        <f aca="false">IF('Young Innovators Kits'!E205="","",'Young Innovators Kits'!E205)</f>
        <v>Per group</v>
      </c>
      <c r="F911" s="0" t="str">
        <f aca="false">IFERROR(INDEX('Session Tracker'!$M$5:$M$149,MATCH($A911,'Session Tracker'!$D$5:$D$149,0))+0,"")</f>
        <v/>
      </c>
      <c r="G911" s="0" t="str">
        <f aca="false">IF(ISNUMBER(F911),IF(OR(B911=0,B911=99,C911&lt;&gt;""),F911*100+B911,""),"")</f>
        <v/>
      </c>
      <c r="H911" s="0" t="n">
        <f aca="false">IFERROR(INDEX('Session Tracker'!$J$5:$J$149,MATCH($A911,'Session Tracker'!$D$5:$D$149,0)),0)</f>
        <v>8</v>
      </c>
      <c r="I911" s="0" t="n">
        <f aca="false">IF(OR(B911=0,B911=99,C911=""),"",IF(E911="Per class",D911,D911*H911))</f>
        <v>16</v>
      </c>
      <c r="N911" s="0" t="str">
        <f aca="false">IF('Young Innovators Kits'!B205="","",'Young Innovators Kits'!B205)</f>
        <v>Communication Modules</v>
      </c>
      <c r="O911" s="0" t="str">
        <f aca="false">IF('Young Innovators Kits'!F205="","",'Young Innovators Kits'!F205)</f>
        <v>Reusable</v>
      </c>
      <c r="P911" s="0" t="str">
        <f aca="false">IF('Young Innovators Kits'!G205="","",'Young Innovators Kits'!G205)</f>
        <v/>
      </c>
    </row>
    <row r="912" customFormat="false" ht="15" hidden="false" customHeight="false" outlineLevel="0" collapsed="false">
      <c r="A912" s="0" t="s">
        <v>243</v>
      </c>
      <c r="B912" s="0" t="n">
        <v>3</v>
      </c>
      <c r="C912" s="0" t="str">
        <f aca="false">IF('Young Innovators Kits'!C206="","",'Young Innovators Kits'!C206)</f>
        <v>Push button</v>
      </c>
      <c r="D912" s="0" t="n">
        <f aca="false">IF('Young Innovators Kits'!D206="","",'Young Innovators Kits'!D206)</f>
        <v>1</v>
      </c>
      <c r="E912" s="0" t="str">
        <f aca="false">IF('Young Innovators Kits'!E206="","",'Young Innovators Kits'!E206)</f>
        <v>Per group</v>
      </c>
      <c r="F912" s="0" t="str">
        <f aca="false">IFERROR(INDEX('Session Tracker'!$M$5:$M$149,MATCH($A912,'Session Tracker'!$D$5:$D$149,0))+0,"")</f>
        <v/>
      </c>
      <c r="G912" s="0" t="str">
        <f aca="false">IF(ISNUMBER(F912),IF(OR(B912=0,B912=99,C912&lt;&gt;""),F912*100+B912,""),"")</f>
        <v/>
      </c>
      <c r="H912" s="0" t="n">
        <f aca="false">IFERROR(INDEX('Session Tracker'!$J$5:$J$149,MATCH($A912,'Session Tracker'!$D$5:$D$149,0)),0)</f>
        <v>8</v>
      </c>
      <c r="I912" s="0" t="n">
        <f aca="false">IF(OR(B912=0,B912=99,C912=""),"",IF(E912="Per class",D912,D912*H912))</f>
        <v>8</v>
      </c>
      <c r="N912" s="0" t="str">
        <f aca="false">IF('Young Innovators Kits'!B206="","",'Young Innovators Kits'!B206)</f>
        <v>Passive Components &amp; ICs</v>
      </c>
      <c r="O912" s="0" t="str">
        <f aca="false">IF('Young Innovators Kits'!F206="","",'Young Innovators Kits'!F206)</f>
        <v>Reusable</v>
      </c>
      <c r="P912" s="0" t="str">
        <f aca="false">IF('Young Innovators Kits'!G206="","",'Young Innovators Kits'!G206)</f>
        <v/>
      </c>
    </row>
    <row r="913" customFormat="false" ht="15" hidden="false" customHeight="false" outlineLevel="0" collapsed="false">
      <c r="A913" s="0" t="s">
        <v>243</v>
      </c>
      <c r="B913" s="0" t="n">
        <v>4</v>
      </c>
      <c r="C913" s="0" t="str">
        <f aca="false">IF('Young Innovators Kits'!C207="","",'Young Innovators Kits'!C207)</f>
        <v>Resistor 10k ohm</v>
      </c>
      <c r="D913" s="0" t="n">
        <f aca="false">IF('Young Innovators Kits'!D207="","",'Young Innovators Kits'!D207)</f>
        <v>1</v>
      </c>
      <c r="E913" s="0" t="str">
        <f aca="false">IF('Young Innovators Kits'!E207="","",'Young Innovators Kits'!E207)</f>
        <v>Per group</v>
      </c>
      <c r="F913" s="0" t="str">
        <f aca="false">IFERROR(INDEX('Session Tracker'!$M$5:$M$149,MATCH($A913,'Session Tracker'!$D$5:$D$149,0))+0,"")</f>
        <v/>
      </c>
      <c r="G913" s="0" t="str">
        <f aca="false">IF(ISNUMBER(F913),IF(OR(B913=0,B913=99,C913&lt;&gt;""),F913*100+B913,""),"")</f>
        <v/>
      </c>
      <c r="H913" s="0" t="n">
        <f aca="false">IFERROR(INDEX('Session Tracker'!$J$5:$J$149,MATCH($A913,'Session Tracker'!$D$5:$D$149,0)),0)</f>
        <v>8</v>
      </c>
      <c r="I913" s="0" t="n">
        <f aca="false">IF(OR(B913=0,B913=99,C913=""),"",IF(E913="Per class",D913,D913*H913))</f>
        <v>8</v>
      </c>
      <c r="N913" s="0" t="str">
        <f aca="false">IF('Young Innovators Kits'!B207="","",'Young Innovators Kits'!B207)</f>
        <v>Passive Components &amp; ICs</v>
      </c>
      <c r="O913" s="0" t="str">
        <f aca="false">IF('Young Innovators Kits'!F207="","",'Young Innovators Kits'!F207)</f>
        <v>Consumable</v>
      </c>
      <c r="P913" s="0" t="str">
        <f aca="false">IF('Young Innovators Kits'!G207="","",'Young Innovators Kits'!G207)</f>
        <v/>
      </c>
    </row>
    <row r="914" customFormat="false" ht="15" hidden="false" customHeight="false" outlineLevel="0" collapsed="false">
      <c r="A914" s="0" t="s">
        <v>243</v>
      </c>
      <c r="B914" s="0" t="n">
        <v>5</v>
      </c>
      <c r="C914" s="0" t="str">
        <f aca="false">IF('Young Innovators Kits'!C208="","",'Young Innovators Kits'!C208)</f>
        <v>Buzzer</v>
      </c>
      <c r="D914" s="0" t="n">
        <f aca="false">IF('Young Innovators Kits'!D208="","",'Young Innovators Kits'!D208)</f>
        <v>1</v>
      </c>
      <c r="E914" s="0" t="str">
        <f aca="false">IF('Young Innovators Kits'!E208="","",'Young Innovators Kits'!E208)</f>
        <v>Per group</v>
      </c>
      <c r="F914" s="0" t="str">
        <f aca="false">IFERROR(INDEX('Session Tracker'!$M$5:$M$149,MATCH($A914,'Session Tracker'!$D$5:$D$149,0))+0,"")</f>
        <v/>
      </c>
      <c r="G914" s="0" t="str">
        <f aca="false">IF(ISNUMBER(F914),IF(OR(B914=0,B914=99,C914&lt;&gt;""),F914*100+B914,""),"")</f>
        <v/>
      </c>
      <c r="H914" s="0" t="n">
        <f aca="false">IFERROR(INDEX('Session Tracker'!$J$5:$J$149,MATCH($A914,'Session Tracker'!$D$5:$D$149,0)),0)</f>
        <v>8</v>
      </c>
      <c r="I914" s="0" t="n">
        <f aca="false">IF(OR(B914=0,B914=99,C914=""),"",IF(E914="Per class",D914,D914*H914))</f>
        <v>8</v>
      </c>
      <c r="N914" s="0" t="str">
        <f aca="false">IF('Young Innovators Kits'!B208="","",'Young Innovators Kits'!B208)</f>
        <v>Actuators &amp; Motor Drivers</v>
      </c>
      <c r="O914" s="0" t="str">
        <f aca="false">IF('Young Innovators Kits'!F208="","",'Young Innovators Kits'!F208)</f>
        <v>Reusable</v>
      </c>
      <c r="P914" s="0" t="str">
        <f aca="false">IF('Young Innovators Kits'!G208="","",'Young Innovators Kits'!G208)</f>
        <v/>
      </c>
    </row>
    <row r="915" customFormat="false" ht="15" hidden="false" customHeight="false" outlineLevel="0" collapsed="false">
      <c r="A915" s="0" t="s">
        <v>243</v>
      </c>
      <c r="B915" s="0" t="n">
        <v>6</v>
      </c>
      <c r="C915" s="0" t="str">
        <f aca="false">IF('Young Innovators Kits'!C209="","",'Young Innovators Kits'!C209)</f>
        <v>OLED 0.96 in I2C</v>
      </c>
      <c r="D915" s="0" t="n">
        <f aca="false">IF('Young Innovators Kits'!D209="","",'Young Innovators Kits'!D209)</f>
        <v>1</v>
      </c>
      <c r="E915" s="0" t="str">
        <f aca="false">IF('Young Innovators Kits'!E209="","",'Young Innovators Kits'!E209)</f>
        <v>Per group</v>
      </c>
      <c r="F915" s="0" t="str">
        <f aca="false">IFERROR(INDEX('Session Tracker'!$M$5:$M$149,MATCH($A915,'Session Tracker'!$D$5:$D$149,0))+0,"")</f>
        <v/>
      </c>
      <c r="G915" s="0" t="str">
        <f aca="false">IF(ISNUMBER(F915),IF(OR(B915=0,B915=99,C915&lt;&gt;""),F915*100+B915,""),"")</f>
        <v/>
      </c>
      <c r="H915" s="0" t="n">
        <f aca="false">IFERROR(INDEX('Session Tracker'!$J$5:$J$149,MATCH($A915,'Session Tracker'!$D$5:$D$149,0)),0)</f>
        <v>8</v>
      </c>
      <c r="I915" s="0" t="n">
        <f aca="false">IF(OR(B915=0,B915=99,C915=""),"",IF(E915="Per class",D915,D915*H915))</f>
        <v>8</v>
      </c>
      <c r="N915" s="0" t="str">
        <f aca="false">IF('Young Innovators Kits'!B209="","",'Young Innovators Kits'!B209)</f>
        <v>Displays &amp; Output</v>
      </c>
      <c r="O915" s="0" t="str">
        <f aca="false">IF('Young Innovators Kits'!F209="","",'Young Innovators Kits'!F209)</f>
        <v>Reusable</v>
      </c>
      <c r="P915" s="0" t="str">
        <f aca="false">IF('Young Innovators Kits'!G209="","",'Young Innovators Kits'!G209)</f>
        <v/>
      </c>
    </row>
    <row r="916" customFormat="false" ht="15" hidden="false" customHeight="false" outlineLevel="0" collapsed="false">
      <c r="A916" s="0" t="s">
        <v>243</v>
      </c>
      <c r="B916" s="0" t="n">
        <v>7</v>
      </c>
      <c r="C916" s="0" t="str">
        <f aca="false">IF('Young Innovators Kits'!C210="","",'Young Innovators Kits'!C210)</f>
        <v>Capacitor 10 uF</v>
      </c>
      <c r="D916" s="0" t="n">
        <f aca="false">IF('Young Innovators Kits'!D210="","",'Young Innovators Kits'!D210)</f>
        <v>2</v>
      </c>
      <c r="E916" s="0" t="str">
        <f aca="false">IF('Young Innovators Kits'!E210="","",'Young Innovators Kits'!E210)</f>
        <v>Per group</v>
      </c>
      <c r="F916" s="0" t="str">
        <f aca="false">IFERROR(INDEX('Session Tracker'!$M$5:$M$149,MATCH($A916,'Session Tracker'!$D$5:$D$149,0))+0,"")</f>
        <v/>
      </c>
      <c r="G916" s="0" t="str">
        <f aca="false">IF(ISNUMBER(F916),IF(OR(B916=0,B916=99,C916&lt;&gt;""),F916*100+B916,""),"")</f>
        <v/>
      </c>
      <c r="H916" s="0" t="n">
        <f aca="false">IFERROR(INDEX('Session Tracker'!$J$5:$J$149,MATCH($A916,'Session Tracker'!$D$5:$D$149,0)),0)</f>
        <v>8</v>
      </c>
      <c r="I916" s="0" t="n">
        <f aca="false">IF(OR(B916=0,B916=99,C916=""),"",IF(E916="Per class",D916,D916*H916))</f>
        <v>16</v>
      </c>
      <c r="N916" s="0" t="str">
        <f aca="false">IF('Young Innovators Kits'!B210="","",'Young Innovators Kits'!B210)</f>
        <v>Passive Components &amp; ICs</v>
      </c>
      <c r="O916" s="0" t="str">
        <f aca="false">IF('Young Innovators Kits'!F210="","",'Young Innovators Kits'!F210)</f>
        <v>Consumable</v>
      </c>
      <c r="P916" s="0" t="str">
        <f aca="false">IF('Young Innovators Kits'!G210="","",'Young Innovators Kits'!G210)</f>
        <v>NRF power smoothing</v>
      </c>
    </row>
    <row r="917" customFormat="false" ht="15" hidden="false" customHeight="false" outlineLevel="0" collapsed="false">
      <c r="A917" s="0" t="s">
        <v>243</v>
      </c>
      <c r="B917" s="0" t="n">
        <v>8</v>
      </c>
      <c r="C917" s="0" t="str">
        <f aca="false">IF('Young Innovators Kits'!C211="","",'Young Innovators Kits'!C211)</f>
        <v>Breadboard (half size)</v>
      </c>
      <c r="D917" s="0" t="n">
        <f aca="false">IF('Young Innovators Kits'!D211="","",'Young Innovators Kits'!D211)</f>
        <v>2</v>
      </c>
      <c r="E917" s="0" t="str">
        <f aca="false">IF('Young Innovators Kits'!E211="","",'Young Innovators Kits'!E211)</f>
        <v>Per group</v>
      </c>
      <c r="F917" s="0" t="str">
        <f aca="false">IFERROR(INDEX('Session Tracker'!$M$5:$M$149,MATCH($A917,'Session Tracker'!$D$5:$D$149,0))+0,"")</f>
        <v/>
      </c>
      <c r="G917" s="0" t="str">
        <f aca="false">IF(ISNUMBER(F917),IF(OR(B917=0,B917=99,C917&lt;&gt;""),F917*100+B917,""),"")</f>
        <v/>
      </c>
      <c r="H917" s="0" t="n">
        <f aca="false">IFERROR(INDEX('Session Tracker'!$J$5:$J$149,MATCH($A917,'Session Tracker'!$D$5:$D$149,0)),0)</f>
        <v>8</v>
      </c>
      <c r="I917" s="0" t="n">
        <f aca="false">IF(OR(B917=0,B917=99,C917=""),"",IF(E917="Per class",D917,D917*H917))</f>
        <v>16</v>
      </c>
      <c r="N917" s="0" t="str">
        <f aca="false">IF('Young Innovators Kits'!B211="","",'Young Innovators Kits'!B211)</f>
        <v>Wiring &amp; Prototyping</v>
      </c>
      <c r="O917" s="0" t="str">
        <f aca="false">IF('Young Innovators Kits'!F211="","",'Young Innovators Kits'!F211)</f>
        <v>Reusable</v>
      </c>
      <c r="P917" s="0" t="str">
        <f aca="false">IF('Young Innovators Kits'!G211="","",'Young Innovators Kits'!G211)</f>
        <v/>
      </c>
    </row>
    <row r="918" customFormat="false" ht="15" hidden="false" customHeight="false" outlineLevel="0" collapsed="false">
      <c r="A918" s="0" t="s">
        <v>243</v>
      </c>
      <c r="B918" s="0" t="n">
        <v>9</v>
      </c>
      <c r="C918" s="0" t="str">
        <f aca="false">IF('Young Innovators Kits'!C212="","",'Young Innovators Kits'!C212)</f>
        <v>Jumper wires M-F</v>
      </c>
      <c r="D918" s="0" t="n">
        <f aca="false">IF('Young Innovators Kits'!D212="","",'Young Innovators Kits'!D212)</f>
        <v>16</v>
      </c>
      <c r="E918" s="0" t="str">
        <f aca="false">IF('Young Innovators Kits'!E212="","",'Young Innovators Kits'!E212)</f>
        <v>Per group</v>
      </c>
      <c r="F918" s="0" t="str">
        <f aca="false">IFERROR(INDEX('Session Tracker'!$M$5:$M$149,MATCH($A918,'Session Tracker'!$D$5:$D$149,0))+0,"")</f>
        <v/>
      </c>
      <c r="G918" s="0" t="str">
        <f aca="false">IF(ISNUMBER(F918),IF(OR(B918=0,B918=99,C918&lt;&gt;""),F918*100+B918,""),"")</f>
        <v/>
      </c>
      <c r="H918" s="0" t="n">
        <f aca="false">IFERROR(INDEX('Session Tracker'!$J$5:$J$149,MATCH($A918,'Session Tracker'!$D$5:$D$149,0)),0)</f>
        <v>8</v>
      </c>
      <c r="I918" s="0" t="n">
        <f aca="false">IF(OR(B918=0,B918=99,C918=""),"",IF(E918="Per class",D918,D918*H918))</f>
        <v>128</v>
      </c>
      <c r="N918" s="0" t="str">
        <f aca="false">IF('Young Innovators Kits'!B212="","",'Young Innovators Kits'!B212)</f>
        <v>Wiring &amp; Prototyping</v>
      </c>
      <c r="O918" s="0" t="str">
        <f aca="false">IF('Young Innovators Kits'!F212="","",'Young Innovators Kits'!F212)</f>
        <v>Reusable</v>
      </c>
      <c r="P918" s="0" t="str">
        <f aca="false">IF('Young Innovators Kits'!G212="","",'Young Innovators Kits'!G212)</f>
        <v/>
      </c>
    </row>
    <row r="919" customFormat="false" ht="15" hidden="false" customHeight="false" outlineLevel="0" collapsed="false">
      <c r="A919" s="0" t="s">
        <v>243</v>
      </c>
      <c r="B919" s="0" t="n">
        <v>10</v>
      </c>
      <c r="C919" s="0" t="str">
        <f aca="false">IF('Young Innovators Kits'!C213="","",'Young Innovators Kits'!C213)</f>
        <v>Jumper wires M-M</v>
      </c>
      <c r="D919" s="0" t="n">
        <f aca="false">IF('Young Innovators Kits'!D213="","",'Young Innovators Kits'!D213)</f>
        <v>8</v>
      </c>
      <c r="E919" s="0" t="str">
        <f aca="false">IF('Young Innovators Kits'!E213="","",'Young Innovators Kits'!E213)</f>
        <v>Per group</v>
      </c>
      <c r="F919" s="0" t="str">
        <f aca="false">IFERROR(INDEX('Session Tracker'!$M$5:$M$149,MATCH($A919,'Session Tracker'!$D$5:$D$149,0))+0,"")</f>
        <v/>
      </c>
      <c r="G919" s="0" t="str">
        <f aca="false">IF(ISNUMBER(F919),IF(OR(B919=0,B919=99,C919&lt;&gt;""),F919*100+B919,""),"")</f>
        <v/>
      </c>
      <c r="H919" s="0" t="n">
        <f aca="false">IFERROR(INDEX('Session Tracker'!$J$5:$J$149,MATCH($A919,'Session Tracker'!$D$5:$D$149,0)),0)</f>
        <v>8</v>
      </c>
      <c r="I919" s="0" t="n">
        <f aca="false">IF(OR(B919=0,B919=99,C919=""),"",IF(E919="Per class",D919,D919*H919))</f>
        <v>64</v>
      </c>
      <c r="N919" s="0" t="str">
        <f aca="false">IF('Young Innovators Kits'!B213="","",'Young Innovators Kits'!B213)</f>
        <v>Wiring &amp; Prototyping</v>
      </c>
      <c r="O919" s="0" t="str">
        <f aca="false">IF('Young Innovators Kits'!F213="","",'Young Innovators Kits'!F213)</f>
        <v>Reusable</v>
      </c>
      <c r="P919" s="0" t="str">
        <f aca="false">IF('Young Innovators Kits'!G213="","",'Young Innovators Kits'!G213)</f>
        <v/>
      </c>
    </row>
    <row r="920" customFormat="false" ht="15" hidden="false" customHeight="false" outlineLevel="0" collapsed="false">
      <c r="A920" s="0" t="s">
        <v>243</v>
      </c>
      <c r="B920" s="0" t="n">
        <v>11</v>
      </c>
      <c r="C920" s="0" t="str">
        <f aca="false">IF('Young Innovators Kits'!C214="","",'Young Innovators Kits'!C214)</f>
        <v>Laptop</v>
      </c>
      <c r="D920" s="0" t="n">
        <f aca="false">IF('Young Innovators Kits'!D214="","",'Young Innovators Kits'!D214)</f>
        <v>2</v>
      </c>
      <c r="E920" s="0" t="str">
        <f aca="false">IF('Young Innovators Kits'!E214="","",'Young Innovators Kits'!E214)</f>
        <v>Per group</v>
      </c>
      <c r="F920" s="0" t="str">
        <f aca="false">IFERROR(INDEX('Session Tracker'!$M$5:$M$149,MATCH($A920,'Session Tracker'!$D$5:$D$149,0))+0,"")</f>
        <v/>
      </c>
      <c r="G920" s="0" t="str">
        <f aca="false">IF(ISNUMBER(F920),IF(OR(B920=0,B920=99,C920&lt;&gt;""),F920*100+B920,""),"")</f>
        <v/>
      </c>
      <c r="H920" s="0" t="n">
        <f aca="false">IFERROR(INDEX('Session Tracker'!$J$5:$J$149,MATCH($A920,'Session Tracker'!$D$5:$D$149,0)),0)</f>
        <v>8</v>
      </c>
      <c r="I920" s="0" t="n">
        <f aca="false">IF(OR(B920=0,B920=99,C920=""),"",IF(E920="Per class",D920,D920*H920))</f>
        <v>16</v>
      </c>
      <c r="N920" s="0" t="str">
        <f aca="false">IF('Young Innovators Kits'!B214="","",'Young Innovators Kits'!B214)</f>
        <v>Computers &amp; Equipment</v>
      </c>
      <c r="O920" s="0" t="str">
        <f aca="false">IF('Young Innovators Kits'!F214="","",'Young Innovators Kits'!F214)</f>
        <v>Reusable</v>
      </c>
      <c r="P920" s="0" t="str">
        <f aca="false">IF('Young Innovators Kits'!G214="","",'Young Innovators Kits'!G214)</f>
        <v/>
      </c>
    </row>
    <row r="921" customFormat="false" ht="15" hidden="false" customHeight="false" outlineLevel="0" collapsed="false">
      <c r="A921" s="0" t="s">
        <v>243</v>
      </c>
      <c r="B921" s="0" t="n">
        <v>12</v>
      </c>
      <c r="C921" s="0" t="str">
        <f aca="false">IF('Young Innovators Kits'!C215="","",'Young Innovators Kits'!C215)</f>
        <v>LED 5 mm (assorted)</v>
      </c>
      <c r="D921" s="0" t="n">
        <f aca="false">IF('Young Innovators Kits'!D215="","",'Young Innovators Kits'!D215)</f>
        <v>1</v>
      </c>
      <c r="E921" s="0" t="str">
        <f aca="false">IF('Young Innovators Kits'!E215="","",'Young Innovators Kits'!E215)</f>
        <v>Per group</v>
      </c>
      <c r="F921" s="0" t="str">
        <f aca="false">IFERROR(INDEX('Session Tracker'!$M$5:$M$149,MATCH($A921,'Session Tracker'!$D$5:$D$149,0))+0,"")</f>
        <v/>
      </c>
      <c r="G921" s="0" t="str">
        <f aca="false">IF(ISNUMBER(F921),IF(OR(B921=0,B921=99,C921&lt;&gt;""),F921*100+B921,""),"")</f>
        <v/>
      </c>
      <c r="H921" s="0" t="n">
        <f aca="false">IFERROR(INDEX('Session Tracker'!$J$5:$J$149,MATCH($A921,'Session Tracker'!$D$5:$D$149,0)),0)</f>
        <v>8</v>
      </c>
      <c r="I921" s="0" t="n">
        <f aca="false">IF(OR(B921=0,B921=99,C921=""),"",IF(E921="Per class",D921,D921*H921))</f>
        <v>8</v>
      </c>
      <c r="N921" s="0" t="str">
        <f aca="false">IF('Young Innovators Kits'!B215="","",'Young Innovators Kits'!B215)</f>
        <v>Displays &amp; Output</v>
      </c>
      <c r="O921" s="0" t="str">
        <f aca="false">IF('Young Innovators Kits'!F215="","",'Young Innovators Kits'!F215)</f>
        <v>Consumable</v>
      </c>
      <c r="P921" s="0" t="str">
        <f aca="false">IF('Young Innovators Kits'!G215="","",'Young Innovators Kits'!G215)</f>
        <v>Added: every Arduino class</v>
      </c>
    </row>
    <row r="922" customFormat="false" ht="15" hidden="false" customHeight="false" outlineLevel="0" collapsed="false">
      <c r="A922" s="0" t="s">
        <v>243</v>
      </c>
      <c r="B922" s="0" t="n">
        <v>13</v>
      </c>
      <c r="C922" s="0" t="str">
        <f aca="false">IF('Young Innovators Kits'!C216="","",'Young Innovators Kits'!C216)</f>
        <v>Resistor 220 ohm</v>
      </c>
      <c r="D922" s="0" t="n">
        <f aca="false">IF('Young Innovators Kits'!D216="","",'Young Innovators Kits'!D216)</f>
        <v>1</v>
      </c>
      <c r="E922" s="0" t="str">
        <f aca="false">IF('Young Innovators Kits'!E216="","",'Young Innovators Kits'!E216)</f>
        <v>Per group</v>
      </c>
      <c r="F922" s="0" t="str">
        <f aca="false">IFERROR(INDEX('Session Tracker'!$M$5:$M$149,MATCH($A922,'Session Tracker'!$D$5:$D$149,0))+0,"")</f>
        <v/>
      </c>
      <c r="G922" s="0" t="str">
        <f aca="false">IF(ISNUMBER(F922),IF(OR(B922=0,B922=99,C922&lt;&gt;""),F922*100+B922,""),"")</f>
        <v/>
      </c>
      <c r="H922" s="0" t="n">
        <f aca="false">IFERROR(INDEX('Session Tracker'!$J$5:$J$149,MATCH($A922,'Session Tracker'!$D$5:$D$149,0)),0)</f>
        <v>8</v>
      </c>
      <c r="I922" s="0" t="n">
        <f aca="false">IF(OR(B922=0,B922=99,C922=""),"",IF(E922="Per class",D922,D922*H922))</f>
        <v>8</v>
      </c>
      <c r="N922" s="0" t="str">
        <f aca="false">IF('Young Innovators Kits'!B216="","",'Young Innovators Kits'!B216)</f>
        <v>Passive Components &amp; ICs</v>
      </c>
      <c r="O922" s="0" t="str">
        <f aca="false">IF('Young Innovators Kits'!F216="","",'Young Innovators Kits'!F216)</f>
        <v>Consumable</v>
      </c>
      <c r="P922" s="0" t="str">
        <f aca="false">IF('Young Innovators Kits'!G216="","",'Young Innovators Kits'!G216)</f>
        <v>Added: for the LED</v>
      </c>
    </row>
    <row r="923" customFormat="false" ht="15" hidden="false" customHeight="false" outlineLevel="0" collapsed="false">
      <c r="A923" s="0" t="s">
        <v>243</v>
      </c>
      <c r="B923" s="0" t="n">
        <v>14</v>
      </c>
      <c r="C923" s="0" t="str">
        <f aca="false">IF('Young Innovators Kits'!C217="","",'Young Innovators Kits'!C217)</f>
        <v/>
      </c>
      <c r="D923" s="0" t="str">
        <f aca="false">IF('Young Innovators Kits'!D217="","",'Young Innovators Kits'!D217)</f>
        <v/>
      </c>
      <c r="E923" s="0" t="str">
        <f aca="false">IF('Young Innovators Kits'!E217="","",'Young Innovators Kits'!E217)</f>
        <v/>
      </c>
      <c r="F923" s="0" t="str">
        <f aca="false">IFERROR(INDEX('Session Tracker'!$M$5:$M$149,MATCH($A923,'Session Tracker'!$D$5:$D$149,0))+0,"")</f>
        <v/>
      </c>
      <c r="G923" s="0" t="str">
        <f aca="false">IF(ISNUMBER(F923),IF(OR(B923=0,B923=99,C923&lt;&gt;""),F923*100+B923,""),"")</f>
        <v/>
      </c>
      <c r="H923" s="0" t="n">
        <f aca="false">IFERROR(INDEX('Session Tracker'!$J$5:$J$149,MATCH($A923,'Session Tracker'!$D$5:$D$149,0)),0)</f>
        <v>8</v>
      </c>
      <c r="I923" s="0" t="str">
        <f aca="false">IF(OR(B923=0,B923=99,C923=""),"",IF(E923="Per class",D923,D923*H923))</f>
        <v/>
      </c>
      <c r="N923" s="0" t="str">
        <f aca="false">IF('Young Innovators Kits'!B217="","",'Young Innovators Kits'!B217)</f>
        <v/>
      </c>
      <c r="O923" s="0" t="str">
        <f aca="false">IF('Young Innovators Kits'!F217="","",'Young Innovators Kits'!F217)</f>
        <v/>
      </c>
      <c r="P923" s="0" t="str">
        <f aca="false">IF('Young Innovators Kits'!G217="","",'Young Innovators Kits'!G217)</f>
        <v/>
      </c>
    </row>
    <row r="924" customFormat="false" ht="15" hidden="false" customHeight="false" outlineLevel="0" collapsed="false">
      <c r="A924" s="0" t="s">
        <v>243</v>
      </c>
      <c r="B924" s="0" t="n">
        <v>15</v>
      </c>
      <c r="C924" s="0" t="str">
        <f aca="false">IF('Young Innovators Kits'!C218="","",'Young Innovators Kits'!C218)</f>
        <v/>
      </c>
      <c r="D924" s="0" t="str">
        <f aca="false">IF('Young Innovators Kits'!D218="","",'Young Innovators Kits'!D218)</f>
        <v/>
      </c>
      <c r="E924" s="0" t="str">
        <f aca="false">IF('Young Innovators Kits'!E218="","",'Young Innovators Kits'!E218)</f>
        <v/>
      </c>
      <c r="F924" s="0" t="str">
        <f aca="false">IFERROR(INDEX('Session Tracker'!$M$5:$M$149,MATCH($A924,'Session Tracker'!$D$5:$D$149,0))+0,"")</f>
        <v/>
      </c>
      <c r="G924" s="0" t="str">
        <f aca="false">IF(ISNUMBER(F924),IF(OR(B924=0,B924=99,C924&lt;&gt;""),F924*100+B924,""),"")</f>
        <v/>
      </c>
      <c r="H924" s="0" t="n">
        <f aca="false">IFERROR(INDEX('Session Tracker'!$J$5:$J$149,MATCH($A924,'Session Tracker'!$D$5:$D$149,0)),0)</f>
        <v>8</v>
      </c>
      <c r="I924" s="0" t="str">
        <f aca="false">IF(OR(B924=0,B924=99,C924=""),"",IF(E924="Per class",D924,D924*H924))</f>
        <v/>
      </c>
      <c r="N924" s="0" t="str">
        <f aca="false">IF('Young Innovators Kits'!B218="","",'Young Innovators Kits'!B218)</f>
        <v/>
      </c>
      <c r="O924" s="0" t="str">
        <f aca="false">IF('Young Innovators Kits'!F218="","",'Young Innovators Kits'!F218)</f>
        <v/>
      </c>
      <c r="P924" s="0" t="str">
        <f aca="false">IF('Young Innovators Kits'!G218="","",'Young Innovators Kits'!G218)</f>
        <v/>
      </c>
    </row>
    <row r="925" customFormat="false" ht="15" hidden="false" customHeight="false" outlineLevel="0" collapsed="false">
      <c r="A925" s="0" t="s">
        <v>245</v>
      </c>
      <c r="B925" s="0" t="n">
        <v>0</v>
      </c>
      <c r="F925" s="0" t="str">
        <f aca="false">IFERROR(INDEX('Session Tracker'!$M$5:$M$149,MATCH($A925,'Session Tracker'!$D$5:$D$149,0))+0,"")</f>
        <v/>
      </c>
      <c r="G925" s="0" t="str">
        <f aca="false">IF(ISNUMBER(F925),IF(OR(B925=0,B925=99,C925&lt;&gt;""),F925*100+B925,""),"")</f>
        <v/>
      </c>
      <c r="H925" s="0" t="n">
        <f aca="false">IFERROR(INDEX('Session Tracker'!$J$5:$J$149,MATCH($A925,'Session Tracker'!$D$5:$D$149,0)),0)</f>
        <v>8</v>
      </c>
      <c r="I925" s="0" t="str">
        <f aca="false">IF(OR(B925=0,B925=99,C925=""),"",IF(E925="Per class",D925,D925*H925))</f>
        <v/>
      </c>
      <c r="K925" s="0" t="str">
        <f aca="false">IFERROR(INDEX('Session Tracker'!$E$5:$E$149,MATCH($A925,'Session Tracker'!$D$5:$D$149,0)),"")</f>
        <v>Wi-Fi Automatic Plant Watering System</v>
      </c>
      <c r="L925" s="0" t="str">
        <f aca="false">IFERROR(INDEX('Session Tracker'!$A$5:$A$149,MATCH($A925,'Session Tracker'!$D$5:$D$149,0)),"")</f>
        <v>Young Innovators (12-14)</v>
      </c>
      <c r="M925" s="0" t="str">
        <f aca="false">IFERROR(INDEX('Session Tracker'!$H$5:$H$149,MATCH($A925,'Session Tracker'!$D$5:$D$149,0))&amp;"","")</f>
        <v/>
      </c>
      <c r="Q925" s="0" t="str">
        <f aca="false">IFERROR("Status: "&amp;INDEX('Session Tracker'!$F$5:$F$149,MATCH($A925,'Session Tracker'!$D$5:$D$149,0))&amp;IF(INDEX('Session Tracker'!$G$5:$G$149,MATCH($A925,'Session Tracker'!$D$5:$D$149,0))&lt;&gt;""," ("&amp;INDEX('Session Tracker'!$G$5:$G$149,MATCH($A925,'Session Tracker'!$D$5:$D$149,0))&amp;")","")&amp;IF(M925&lt;&gt;"","  "&amp;M925,""),"")</f>
        <v>Status: Not started</v>
      </c>
    </row>
    <row r="926" customFormat="false" ht="15" hidden="false" customHeight="false" outlineLevel="0" collapsed="false">
      <c r="A926" s="0" t="s">
        <v>245</v>
      </c>
      <c r="B926" s="0" t="n">
        <v>1</v>
      </c>
      <c r="C926" s="0" t="str">
        <f aca="false">IF('Young Innovators Kits'!C221="","",'Young Innovators Kits'!C221)</f>
        <v>ESP32 Dev Board + USB cable</v>
      </c>
      <c r="D926" s="0" t="n">
        <f aca="false">IF('Young Innovators Kits'!D221="","",'Young Innovators Kits'!D221)</f>
        <v>1</v>
      </c>
      <c r="E926" s="0" t="str">
        <f aca="false">IF('Young Innovators Kits'!E221="","",'Young Innovators Kits'!E221)</f>
        <v>Per group</v>
      </c>
      <c r="F926" s="0" t="str">
        <f aca="false">IFERROR(INDEX('Session Tracker'!$M$5:$M$149,MATCH($A926,'Session Tracker'!$D$5:$D$149,0))+0,"")</f>
        <v/>
      </c>
      <c r="G926" s="0" t="str">
        <f aca="false">IF(ISNUMBER(F926),IF(OR(B926=0,B926=99,C926&lt;&gt;""),F926*100+B926,""),"")</f>
        <v/>
      </c>
      <c r="H926" s="0" t="n">
        <f aca="false">IFERROR(INDEX('Session Tracker'!$J$5:$J$149,MATCH($A926,'Session Tracker'!$D$5:$D$149,0)),0)</f>
        <v>8</v>
      </c>
      <c r="I926" s="0" t="n">
        <f aca="false">IF(OR(B926=0,B926=99,C926=""),"",IF(E926="Per class",D926,D926*H926))</f>
        <v>8</v>
      </c>
      <c r="N926" s="0" t="str">
        <f aca="false">IF('Young Innovators Kits'!B221="","",'Young Innovators Kits'!B221)</f>
        <v>Microcontrollers &amp; Dev Boards</v>
      </c>
      <c r="O926" s="0" t="str">
        <f aca="false">IF('Young Innovators Kits'!F221="","",'Young Innovators Kits'!F221)</f>
        <v>Reusable</v>
      </c>
      <c r="P926" s="0" t="str">
        <f aca="false">IF('Young Innovators Kits'!G221="","",'Young Innovators Kits'!G221)</f>
        <v/>
      </c>
    </row>
    <row r="927" customFormat="false" ht="15" hidden="false" customHeight="false" outlineLevel="0" collapsed="false">
      <c r="A927" s="0" t="s">
        <v>245</v>
      </c>
      <c r="B927" s="0" t="n">
        <v>2</v>
      </c>
      <c r="C927" s="0" t="str">
        <f aca="false">IF('Young Innovators Kits'!C222="","",'Young Innovators Kits'!C222)</f>
        <v>Soil moisture sensor</v>
      </c>
      <c r="D927" s="0" t="n">
        <f aca="false">IF('Young Innovators Kits'!D222="","",'Young Innovators Kits'!D222)</f>
        <v>1</v>
      </c>
      <c r="E927" s="0" t="str">
        <f aca="false">IF('Young Innovators Kits'!E222="","",'Young Innovators Kits'!E222)</f>
        <v>Per group</v>
      </c>
      <c r="F927" s="0" t="str">
        <f aca="false">IFERROR(INDEX('Session Tracker'!$M$5:$M$149,MATCH($A927,'Session Tracker'!$D$5:$D$149,0))+0,"")</f>
        <v/>
      </c>
      <c r="G927" s="0" t="str">
        <f aca="false">IF(ISNUMBER(F927),IF(OR(B927=0,B927=99,C927&lt;&gt;""),F927*100+B927,""),"")</f>
        <v/>
      </c>
      <c r="H927" s="0" t="n">
        <f aca="false">IFERROR(INDEX('Session Tracker'!$J$5:$J$149,MATCH($A927,'Session Tracker'!$D$5:$D$149,0)),0)</f>
        <v>8</v>
      </c>
      <c r="I927" s="0" t="n">
        <f aca="false">IF(OR(B927=0,B927=99,C927=""),"",IF(E927="Per class",D927,D927*H927))</f>
        <v>8</v>
      </c>
      <c r="N927" s="0" t="str">
        <f aca="false">IF('Young Innovators Kits'!B222="","",'Young Innovators Kits'!B222)</f>
        <v>Sensors</v>
      </c>
      <c r="O927" s="0" t="str">
        <f aca="false">IF('Young Innovators Kits'!F222="","",'Young Innovators Kits'!F222)</f>
        <v>Reusable</v>
      </c>
      <c r="P927" s="0" t="str">
        <f aca="false">IF('Young Innovators Kits'!G222="","",'Young Innovators Kits'!G222)</f>
        <v/>
      </c>
    </row>
    <row r="928" customFormat="false" ht="15" hidden="false" customHeight="false" outlineLevel="0" collapsed="false">
      <c r="A928" s="0" t="s">
        <v>245</v>
      </c>
      <c r="B928" s="0" t="n">
        <v>3</v>
      </c>
      <c r="C928" s="0" t="str">
        <f aca="false">IF('Young Innovators Kits'!C223="","",'Young Innovators Kits'!C223)</f>
        <v>DHT22 sensor</v>
      </c>
      <c r="D928" s="0" t="n">
        <f aca="false">IF('Young Innovators Kits'!D223="","",'Young Innovators Kits'!D223)</f>
        <v>1</v>
      </c>
      <c r="E928" s="0" t="str">
        <f aca="false">IF('Young Innovators Kits'!E223="","",'Young Innovators Kits'!E223)</f>
        <v>Per group</v>
      </c>
      <c r="F928" s="0" t="str">
        <f aca="false">IFERROR(INDEX('Session Tracker'!$M$5:$M$149,MATCH($A928,'Session Tracker'!$D$5:$D$149,0))+0,"")</f>
        <v/>
      </c>
      <c r="G928" s="0" t="str">
        <f aca="false">IF(ISNUMBER(F928),IF(OR(B928=0,B928=99,C928&lt;&gt;""),F928*100+B928,""),"")</f>
        <v/>
      </c>
      <c r="H928" s="0" t="n">
        <f aca="false">IFERROR(INDEX('Session Tracker'!$J$5:$J$149,MATCH($A928,'Session Tracker'!$D$5:$D$149,0)),0)</f>
        <v>8</v>
      </c>
      <c r="I928" s="0" t="n">
        <f aca="false">IF(OR(B928=0,B928=99,C928=""),"",IF(E928="Per class",D928,D928*H928))</f>
        <v>8</v>
      </c>
      <c r="N928" s="0" t="str">
        <f aca="false">IF('Young Innovators Kits'!B223="","",'Young Innovators Kits'!B223)</f>
        <v>Sensors</v>
      </c>
      <c r="O928" s="0" t="str">
        <f aca="false">IF('Young Innovators Kits'!F223="","",'Young Innovators Kits'!F223)</f>
        <v>Reusable</v>
      </c>
      <c r="P928" s="0" t="str">
        <f aca="false">IF('Young Innovators Kits'!G223="","",'Young Innovators Kits'!G223)</f>
        <v/>
      </c>
    </row>
    <row r="929" customFormat="false" ht="15" hidden="false" customHeight="false" outlineLevel="0" collapsed="false">
      <c r="A929" s="0" t="s">
        <v>245</v>
      </c>
      <c r="B929" s="0" t="n">
        <v>4</v>
      </c>
      <c r="C929" s="0" t="str">
        <f aca="false">IF('Young Innovators Kits'!C224="","",'Young Innovators Kits'!C224)</f>
        <v>Relay module (1-channel)</v>
      </c>
      <c r="D929" s="0" t="n">
        <f aca="false">IF('Young Innovators Kits'!D224="","",'Young Innovators Kits'!D224)</f>
        <v>1</v>
      </c>
      <c r="E929" s="0" t="str">
        <f aca="false">IF('Young Innovators Kits'!E224="","",'Young Innovators Kits'!E224)</f>
        <v>Per group</v>
      </c>
      <c r="F929" s="0" t="str">
        <f aca="false">IFERROR(INDEX('Session Tracker'!$M$5:$M$149,MATCH($A929,'Session Tracker'!$D$5:$D$149,0))+0,"")</f>
        <v/>
      </c>
      <c r="G929" s="0" t="str">
        <f aca="false">IF(ISNUMBER(F929),IF(OR(B929=0,B929=99,C929&lt;&gt;""),F929*100+B929,""),"")</f>
        <v/>
      </c>
      <c r="H929" s="0" t="n">
        <f aca="false">IFERROR(INDEX('Session Tracker'!$J$5:$J$149,MATCH($A929,'Session Tracker'!$D$5:$D$149,0)),0)</f>
        <v>8</v>
      </c>
      <c r="I929" s="0" t="n">
        <f aca="false">IF(OR(B929=0,B929=99,C929=""),"",IF(E929="Per class",D929,D929*H929))</f>
        <v>8</v>
      </c>
      <c r="N929" s="0" t="str">
        <f aca="false">IF('Young Innovators Kits'!B224="","",'Young Innovators Kits'!B224)</f>
        <v>Actuators &amp; Motor Drivers</v>
      </c>
      <c r="O929" s="0" t="str">
        <f aca="false">IF('Young Innovators Kits'!F224="","",'Young Innovators Kits'!F224)</f>
        <v>Reusable</v>
      </c>
      <c r="P929" s="0" t="str">
        <f aca="false">IF('Young Innovators Kits'!G224="","",'Young Innovators Kits'!G224)</f>
        <v/>
      </c>
    </row>
    <row r="930" customFormat="false" ht="15" hidden="false" customHeight="false" outlineLevel="0" collapsed="false">
      <c r="A930" s="0" t="s">
        <v>245</v>
      </c>
      <c r="B930" s="0" t="n">
        <v>5</v>
      </c>
      <c r="C930" s="0" t="str">
        <f aca="false">IF('Young Innovators Kits'!C225="","",'Young Innovators Kits'!C225)</f>
        <v>Mini water pump + tube</v>
      </c>
      <c r="D930" s="0" t="n">
        <f aca="false">IF('Young Innovators Kits'!D225="","",'Young Innovators Kits'!D225)</f>
        <v>1</v>
      </c>
      <c r="E930" s="0" t="str">
        <f aca="false">IF('Young Innovators Kits'!E225="","",'Young Innovators Kits'!E225)</f>
        <v>Per group</v>
      </c>
      <c r="F930" s="0" t="str">
        <f aca="false">IFERROR(INDEX('Session Tracker'!$M$5:$M$149,MATCH($A930,'Session Tracker'!$D$5:$D$149,0))+0,"")</f>
        <v/>
      </c>
      <c r="G930" s="0" t="str">
        <f aca="false">IF(ISNUMBER(F930),IF(OR(B930=0,B930=99,C930&lt;&gt;""),F930*100+B930,""),"")</f>
        <v/>
      </c>
      <c r="H930" s="0" t="n">
        <f aca="false">IFERROR(INDEX('Session Tracker'!$J$5:$J$149,MATCH($A930,'Session Tracker'!$D$5:$D$149,0)),0)</f>
        <v>8</v>
      </c>
      <c r="I930" s="0" t="n">
        <f aca="false">IF(OR(B930=0,B930=99,C930=""),"",IF(E930="Per class",D930,D930*H930))</f>
        <v>8</v>
      </c>
      <c r="N930" s="0" t="str">
        <f aca="false">IF('Young Innovators Kits'!B225="","",'Young Innovators Kits'!B225)</f>
        <v>Actuators &amp; Motor Drivers</v>
      </c>
      <c r="O930" s="0" t="str">
        <f aca="false">IF('Young Innovators Kits'!F225="","",'Young Innovators Kits'!F225)</f>
        <v>Reusable</v>
      </c>
      <c r="P930" s="0" t="str">
        <f aca="false">IF('Young Innovators Kits'!G225="","",'Young Innovators Kits'!G225)</f>
        <v/>
      </c>
    </row>
    <row r="931" customFormat="false" ht="15" hidden="false" customHeight="false" outlineLevel="0" collapsed="false">
      <c r="A931" s="0" t="s">
        <v>245</v>
      </c>
      <c r="B931" s="0" t="n">
        <v>6</v>
      </c>
      <c r="C931" s="0" t="str">
        <f aca="false">IF('Young Innovators Kits'!C226="","",'Young Innovators Kits'!C226)</f>
        <v>4xAA battery pack</v>
      </c>
      <c r="D931" s="0" t="n">
        <f aca="false">IF('Young Innovators Kits'!D226="","",'Young Innovators Kits'!D226)</f>
        <v>1</v>
      </c>
      <c r="E931" s="0" t="str">
        <f aca="false">IF('Young Innovators Kits'!E226="","",'Young Innovators Kits'!E226)</f>
        <v>Per group</v>
      </c>
      <c r="F931" s="0" t="str">
        <f aca="false">IFERROR(INDEX('Session Tracker'!$M$5:$M$149,MATCH($A931,'Session Tracker'!$D$5:$D$149,0))+0,"")</f>
        <v/>
      </c>
      <c r="G931" s="0" t="str">
        <f aca="false">IF(ISNUMBER(F931),IF(OR(B931=0,B931=99,C931&lt;&gt;""),F931*100+B931,""),"")</f>
        <v/>
      </c>
      <c r="H931" s="0" t="n">
        <f aca="false">IFERROR(INDEX('Session Tracker'!$J$5:$J$149,MATCH($A931,'Session Tracker'!$D$5:$D$149,0)),0)</f>
        <v>8</v>
      </c>
      <c r="I931" s="0" t="n">
        <f aca="false">IF(OR(B931=0,B931=99,C931=""),"",IF(E931="Per class",D931,D931*H931))</f>
        <v>8</v>
      </c>
      <c r="N931" s="0" t="str">
        <f aca="false">IF('Young Innovators Kits'!B226="","",'Young Innovators Kits'!B226)</f>
        <v>Power</v>
      </c>
      <c r="O931" s="0" t="str">
        <f aca="false">IF('Young Innovators Kits'!F226="","",'Young Innovators Kits'!F226)</f>
        <v>Consumable</v>
      </c>
      <c r="P931" s="0" t="str">
        <f aca="false">IF('Young Innovators Kits'!G226="","",'Young Innovators Kits'!G226)</f>
        <v>Pump power</v>
      </c>
    </row>
    <row r="932" customFormat="false" ht="15" hidden="false" customHeight="false" outlineLevel="0" collapsed="false">
      <c r="A932" s="0" t="s">
        <v>245</v>
      </c>
      <c r="B932" s="0" t="n">
        <v>7</v>
      </c>
      <c r="C932" s="0" t="str">
        <f aca="false">IF('Young Innovators Kits'!C227="","",'Young Innovators Kits'!C227)</f>
        <v>Plant pot with soil</v>
      </c>
      <c r="D932" s="0" t="n">
        <f aca="false">IF('Young Innovators Kits'!D227="","",'Young Innovators Kits'!D227)</f>
        <v>1</v>
      </c>
      <c r="E932" s="0" t="str">
        <f aca="false">IF('Young Innovators Kits'!E227="","",'Young Innovators Kits'!E227)</f>
        <v>Per group</v>
      </c>
      <c r="F932" s="0" t="str">
        <f aca="false">IFERROR(INDEX('Session Tracker'!$M$5:$M$149,MATCH($A932,'Session Tracker'!$D$5:$D$149,0))+0,"")</f>
        <v/>
      </c>
      <c r="G932" s="0" t="str">
        <f aca="false">IF(ISNUMBER(F932),IF(OR(B932=0,B932=99,C932&lt;&gt;""),F932*100+B932,""),"")</f>
        <v/>
      </c>
      <c r="H932" s="0" t="n">
        <f aca="false">IFERROR(INDEX('Session Tracker'!$J$5:$J$149,MATCH($A932,'Session Tracker'!$D$5:$D$149,0)),0)</f>
        <v>8</v>
      </c>
      <c r="I932" s="0" t="n">
        <f aca="false">IF(OR(B932=0,B932=99,C932=""),"",IF(E932="Per class",D932,D932*H932))</f>
        <v>8</v>
      </c>
      <c r="N932" s="0" t="str">
        <f aca="false">IF('Young Innovators Kits'!B227="","",'Young Innovators Kits'!B227)</f>
        <v>Craft &amp; Stationery</v>
      </c>
      <c r="O932" s="0" t="str">
        <f aca="false">IF('Young Innovators Kits'!F227="","",'Young Innovators Kits'!F227)</f>
        <v>Consumable</v>
      </c>
      <c r="P932" s="0" t="str">
        <f aca="false">IF('Young Innovators Kits'!G227="","",'Young Innovators Kits'!G227)</f>
        <v/>
      </c>
    </row>
    <row r="933" customFormat="false" ht="15" hidden="false" customHeight="false" outlineLevel="0" collapsed="false">
      <c r="A933" s="0" t="s">
        <v>245</v>
      </c>
      <c r="B933" s="0" t="n">
        <v>8</v>
      </c>
      <c r="C933" s="0" t="str">
        <f aca="false">IF('Young Innovators Kits'!C228="","",'Young Innovators Kits'!C228)</f>
        <v>Water container</v>
      </c>
      <c r="D933" s="0" t="n">
        <f aca="false">IF('Young Innovators Kits'!D228="","",'Young Innovators Kits'!D228)</f>
        <v>1</v>
      </c>
      <c r="E933" s="0" t="str">
        <f aca="false">IF('Young Innovators Kits'!E228="","",'Young Innovators Kits'!E228)</f>
        <v>Per group</v>
      </c>
      <c r="F933" s="0" t="str">
        <f aca="false">IFERROR(INDEX('Session Tracker'!$M$5:$M$149,MATCH($A933,'Session Tracker'!$D$5:$D$149,0))+0,"")</f>
        <v/>
      </c>
      <c r="G933" s="0" t="str">
        <f aca="false">IF(ISNUMBER(F933),IF(OR(B933=0,B933=99,C933&lt;&gt;""),F933*100+B933,""),"")</f>
        <v/>
      </c>
      <c r="H933" s="0" t="n">
        <f aca="false">IFERROR(INDEX('Session Tracker'!$J$5:$J$149,MATCH($A933,'Session Tracker'!$D$5:$D$149,0)),0)</f>
        <v>8</v>
      </c>
      <c r="I933" s="0" t="n">
        <f aca="false">IF(OR(B933=0,B933=99,C933=""),"",IF(E933="Per class",D933,D933*H933))</f>
        <v>8</v>
      </c>
      <c r="N933" s="0" t="str">
        <f aca="false">IF('Young Innovators Kits'!B228="","",'Young Innovators Kits'!B228)</f>
        <v>Craft &amp; Stationery</v>
      </c>
      <c r="O933" s="0" t="str">
        <f aca="false">IF('Young Innovators Kits'!F228="","",'Young Innovators Kits'!F228)</f>
        <v>Reusable</v>
      </c>
      <c r="P933" s="0" t="str">
        <f aca="false">IF('Young Innovators Kits'!G228="","",'Young Innovators Kits'!G228)</f>
        <v/>
      </c>
    </row>
    <row r="934" customFormat="false" ht="15" hidden="false" customHeight="false" outlineLevel="0" collapsed="false">
      <c r="A934" s="0" t="s">
        <v>245</v>
      </c>
      <c r="B934" s="0" t="n">
        <v>9</v>
      </c>
      <c r="C934" s="0" t="str">
        <f aca="false">IF('Young Innovators Kits'!C229="","",'Young Innovators Kits'!C229)</f>
        <v>Breadboard (half size)</v>
      </c>
      <c r="D934" s="0" t="n">
        <f aca="false">IF('Young Innovators Kits'!D229="","",'Young Innovators Kits'!D229)</f>
        <v>1</v>
      </c>
      <c r="E934" s="0" t="str">
        <f aca="false">IF('Young Innovators Kits'!E229="","",'Young Innovators Kits'!E229)</f>
        <v>Per group</v>
      </c>
      <c r="F934" s="0" t="str">
        <f aca="false">IFERROR(INDEX('Session Tracker'!$M$5:$M$149,MATCH($A934,'Session Tracker'!$D$5:$D$149,0))+0,"")</f>
        <v/>
      </c>
      <c r="G934" s="0" t="str">
        <f aca="false">IF(ISNUMBER(F934),IF(OR(B934=0,B934=99,C934&lt;&gt;""),F934*100+B934,""),"")</f>
        <v/>
      </c>
      <c r="H934" s="0" t="n">
        <f aca="false">IFERROR(INDEX('Session Tracker'!$J$5:$J$149,MATCH($A934,'Session Tracker'!$D$5:$D$149,0)),0)</f>
        <v>8</v>
      </c>
      <c r="I934" s="0" t="n">
        <f aca="false">IF(OR(B934=0,B934=99,C934=""),"",IF(E934="Per class",D934,D934*H934))</f>
        <v>8</v>
      </c>
      <c r="N934" s="0" t="str">
        <f aca="false">IF('Young Innovators Kits'!B229="","",'Young Innovators Kits'!B229)</f>
        <v>Wiring &amp; Prototyping</v>
      </c>
      <c r="O934" s="0" t="str">
        <f aca="false">IF('Young Innovators Kits'!F229="","",'Young Innovators Kits'!F229)</f>
        <v>Reusable</v>
      </c>
      <c r="P934" s="0" t="str">
        <f aca="false">IF('Young Innovators Kits'!G229="","",'Young Innovators Kits'!G229)</f>
        <v/>
      </c>
    </row>
    <row r="935" customFormat="false" ht="15" hidden="false" customHeight="false" outlineLevel="0" collapsed="false">
      <c r="A935" s="0" t="s">
        <v>245</v>
      </c>
      <c r="B935" s="0" t="n">
        <v>10</v>
      </c>
      <c r="C935" s="0" t="str">
        <f aca="false">IF('Young Innovators Kits'!C230="","",'Young Innovators Kits'!C230)</f>
        <v>Jumper wires M-M</v>
      </c>
      <c r="D935" s="0" t="n">
        <f aca="false">IF('Young Innovators Kits'!D230="","",'Young Innovators Kits'!D230)</f>
        <v>10</v>
      </c>
      <c r="E935" s="0" t="str">
        <f aca="false">IF('Young Innovators Kits'!E230="","",'Young Innovators Kits'!E230)</f>
        <v>Per group</v>
      </c>
      <c r="F935" s="0" t="str">
        <f aca="false">IFERROR(INDEX('Session Tracker'!$M$5:$M$149,MATCH($A935,'Session Tracker'!$D$5:$D$149,0))+0,"")</f>
        <v/>
      </c>
      <c r="G935" s="0" t="str">
        <f aca="false">IF(ISNUMBER(F935),IF(OR(B935=0,B935=99,C935&lt;&gt;""),F935*100+B935,""),"")</f>
        <v/>
      </c>
      <c r="H935" s="0" t="n">
        <f aca="false">IFERROR(INDEX('Session Tracker'!$J$5:$J$149,MATCH($A935,'Session Tracker'!$D$5:$D$149,0)),0)</f>
        <v>8</v>
      </c>
      <c r="I935" s="0" t="n">
        <f aca="false">IF(OR(B935=0,B935=99,C935=""),"",IF(E935="Per class",D935,D935*H935))</f>
        <v>80</v>
      </c>
      <c r="N935" s="0" t="str">
        <f aca="false">IF('Young Innovators Kits'!B230="","",'Young Innovators Kits'!B230)</f>
        <v>Wiring &amp; Prototyping</v>
      </c>
      <c r="O935" s="0" t="str">
        <f aca="false">IF('Young Innovators Kits'!F230="","",'Young Innovators Kits'!F230)</f>
        <v>Reusable</v>
      </c>
      <c r="P935" s="0" t="str">
        <f aca="false">IF('Young Innovators Kits'!G230="","",'Young Innovators Kits'!G230)</f>
        <v/>
      </c>
    </row>
    <row r="936" customFormat="false" ht="15" hidden="false" customHeight="false" outlineLevel="0" collapsed="false">
      <c r="A936" s="0" t="s">
        <v>245</v>
      </c>
      <c r="B936" s="0" t="n">
        <v>11</v>
      </c>
      <c r="C936" s="0" t="str">
        <f aca="false">IF('Young Innovators Kits'!C231="","",'Young Innovators Kits'!C231)</f>
        <v>Jumper wires M-F</v>
      </c>
      <c r="D936" s="0" t="n">
        <f aca="false">IF('Young Innovators Kits'!D231="","",'Young Innovators Kits'!D231)</f>
        <v>8</v>
      </c>
      <c r="E936" s="0" t="str">
        <f aca="false">IF('Young Innovators Kits'!E231="","",'Young Innovators Kits'!E231)</f>
        <v>Per group</v>
      </c>
      <c r="F936" s="0" t="str">
        <f aca="false">IFERROR(INDEX('Session Tracker'!$M$5:$M$149,MATCH($A936,'Session Tracker'!$D$5:$D$149,0))+0,"")</f>
        <v/>
      </c>
      <c r="G936" s="0" t="str">
        <f aca="false">IF(ISNUMBER(F936),IF(OR(B936=0,B936=99,C936&lt;&gt;""),F936*100+B936,""),"")</f>
        <v/>
      </c>
      <c r="H936" s="0" t="n">
        <f aca="false">IFERROR(INDEX('Session Tracker'!$J$5:$J$149,MATCH($A936,'Session Tracker'!$D$5:$D$149,0)),0)</f>
        <v>8</v>
      </c>
      <c r="I936" s="0" t="n">
        <f aca="false">IF(OR(B936=0,B936=99,C936=""),"",IF(E936="Per class",D936,D936*H936))</f>
        <v>64</v>
      </c>
      <c r="N936" s="0" t="str">
        <f aca="false">IF('Young Innovators Kits'!B231="","",'Young Innovators Kits'!B231)</f>
        <v>Wiring &amp; Prototyping</v>
      </c>
      <c r="O936" s="0" t="str">
        <f aca="false">IF('Young Innovators Kits'!F231="","",'Young Innovators Kits'!F231)</f>
        <v>Reusable</v>
      </c>
      <c r="P936" s="0" t="str">
        <f aca="false">IF('Young Innovators Kits'!G231="","",'Young Innovators Kits'!G231)</f>
        <v/>
      </c>
    </row>
    <row r="937" customFormat="false" ht="15" hidden="false" customHeight="false" outlineLevel="0" collapsed="false">
      <c r="A937" s="0" t="s">
        <v>245</v>
      </c>
      <c r="B937" s="0" t="n">
        <v>12</v>
      </c>
      <c r="C937" s="0" t="str">
        <f aca="false">IF('Young Innovators Kits'!C232="","",'Young Innovators Kits'!C232)</f>
        <v>Laptop</v>
      </c>
      <c r="D937" s="0" t="n">
        <f aca="false">IF('Young Innovators Kits'!D232="","",'Young Innovators Kits'!D232)</f>
        <v>1</v>
      </c>
      <c r="E937" s="0" t="str">
        <f aca="false">IF('Young Innovators Kits'!E232="","",'Young Innovators Kits'!E232)</f>
        <v>Per group</v>
      </c>
      <c r="F937" s="0" t="str">
        <f aca="false">IFERROR(INDEX('Session Tracker'!$M$5:$M$149,MATCH($A937,'Session Tracker'!$D$5:$D$149,0))+0,"")</f>
        <v/>
      </c>
      <c r="G937" s="0" t="str">
        <f aca="false">IF(ISNUMBER(F937),IF(OR(B937=0,B937=99,C937&lt;&gt;""),F937*100+B937,""),"")</f>
        <v/>
      </c>
      <c r="H937" s="0" t="n">
        <f aca="false">IFERROR(INDEX('Session Tracker'!$J$5:$J$149,MATCH($A937,'Session Tracker'!$D$5:$D$149,0)),0)</f>
        <v>8</v>
      </c>
      <c r="I937" s="0" t="n">
        <f aca="false">IF(OR(B937=0,B937=99,C937=""),"",IF(E937="Per class",D937,D937*H937))</f>
        <v>8</v>
      </c>
      <c r="N937" s="0" t="str">
        <f aca="false">IF('Young Innovators Kits'!B232="","",'Young Innovators Kits'!B232)</f>
        <v>Computers &amp; Equipment</v>
      </c>
      <c r="O937" s="0" t="str">
        <f aca="false">IF('Young Innovators Kits'!F232="","",'Young Innovators Kits'!F232)</f>
        <v>Reusable</v>
      </c>
      <c r="P937" s="0" t="str">
        <f aca="false">IF('Young Innovators Kits'!G232="","",'Young Innovators Kits'!G232)</f>
        <v/>
      </c>
    </row>
    <row r="938" customFormat="false" ht="15" hidden="false" customHeight="false" outlineLevel="0" collapsed="false">
      <c r="A938" s="0" t="s">
        <v>245</v>
      </c>
      <c r="B938" s="0" t="n">
        <v>13</v>
      </c>
      <c r="C938" s="0" t="str">
        <f aca="false">IF('Young Innovators Kits'!C233="","",'Young Innovators Kits'!C233)</f>
        <v/>
      </c>
      <c r="D938" s="0" t="str">
        <f aca="false">IF('Young Innovators Kits'!D233="","",'Young Innovators Kits'!D233)</f>
        <v/>
      </c>
      <c r="E938" s="0" t="str">
        <f aca="false">IF('Young Innovators Kits'!E233="","",'Young Innovators Kits'!E233)</f>
        <v/>
      </c>
      <c r="F938" s="0" t="str">
        <f aca="false">IFERROR(INDEX('Session Tracker'!$M$5:$M$149,MATCH($A938,'Session Tracker'!$D$5:$D$149,0))+0,"")</f>
        <v/>
      </c>
      <c r="G938" s="0" t="str">
        <f aca="false">IF(ISNUMBER(F938),IF(OR(B938=0,B938=99,C938&lt;&gt;""),F938*100+B938,""),"")</f>
        <v/>
      </c>
      <c r="H938" s="0" t="n">
        <f aca="false">IFERROR(INDEX('Session Tracker'!$J$5:$J$149,MATCH($A938,'Session Tracker'!$D$5:$D$149,0)),0)</f>
        <v>8</v>
      </c>
      <c r="I938" s="0" t="str">
        <f aca="false">IF(OR(B938=0,B938=99,C938=""),"",IF(E938="Per class",D938,D938*H938))</f>
        <v/>
      </c>
      <c r="N938" s="0" t="str">
        <f aca="false">IF('Young Innovators Kits'!B233="","",'Young Innovators Kits'!B233)</f>
        <v/>
      </c>
      <c r="O938" s="0" t="str">
        <f aca="false">IF('Young Innovators Kits'!F233="","",'Young Innovators Kits'!F233)</f>
        <v/>
      </c>
      <c r="P938" s="0" t="str">
        <f aca="false">IF('Young Innovators Kits'!G233="","",'Young Innovators Kits'!G233)</f>
        <v/>
      </c>
    </row>
    <row r="939" customFormat="false" ht="15" hidden="false" customHeight="false" outlineLevel="0" collapsed="false">
      <c r="A939" s="0" t="s">
        <v>245</v>
      </c>
      <c r="B939" s="0" t="n">
        <v>14</v>
      </c>
      <c r="C939" s="0" t="str">
        <f aca="false">IF('Young Innovators Kits'!C234="","",'Young Innovators Kits'!C234)</f>
        <v/>
      </c>
      <c r="D939" s="0" t="str">
        <f aca="false">IF('Young Innovators Kits'!D234="","",'Young Innovators Kits'!D234)</f>
        <v/>
      </c>
      <c r="E939" s="0" t="str">
        <f aca="false">IF('Young Innovators Kits'!E234="","",'Young Innovators Kits'!E234)</f>
        <v/>
      </c>
      <c r="F939" s="0" t="str">
        <f aca="false">IFERROR(INDEX('Session Tracker'!$M$5:$M$149,MATCH($A939,'Session Tracker'!$D$5:$D$149,0))+0,"")</f>
        <v/>
      </c>
      <c r="G939" s="0" t="str">
        <f aca="false">IF(ISNUMBER(F939),IF(OR(B939=0,B939=99,C939&lt;&gt;""),F939*100+B939,""),"")</f>
        <v/>
      </c>
      <c r="H939" s="0" t="n">
        <f aca="false">IFERROR(INDEX('Session Tracker'!$J$5:$J$149,MATCH($A939,'Session Tracker'!$D$5:$D$149,0)),0)</f>
        <v>8</v>
      </c>
      <c r="I939" s="0" t="str">
        <f aca="false">IF(OR(B939=0,B939=99,C939=""),"",IF(E939="Per class",D939,D939*H939))</f>
        <v/>
      </c>
      <c r="N939" s="0" t="str">
        <f aca="false">IF('Young Innovators Kits'!B234="","",'Young Innovators Kits'!B234)</f>
        <v/>
      </c>
      <c r="O939" s="0" t="str">
        <f aca="false">IF('Young Innovators Kits'!F234="","",'Young Innovators Kits'!F234)</f>
        <v/>
      </c>
      <c r="P939" s="0" t="str">
        <f aca="false">IF('Young Innovators Kits'!G234="","",'Young Innovators Kits'!G234)</f>
        <v/>
      </c>
    </row>
    <row r="940" customFormat="false" ht="15" hidden="false" customHeight="false" outlineLevel="0" collapsed="false">
      <c r="A940" s="0" t="s">
        <v>247</v>
      </c>
      <c r="B940" s="0" t="n">
        <v>0</v>
      </c>
      <c r="F940" s="0" t="str">
        <f aca="false">IFERROR(INDEX('Session Tracker'!$M$5:$M$149,MATCH($A940,'Session Tracker'!$D$5:$D$149,0))+0,"")</f>
        <v/>
      </c>
      <c r="G940" s="0" t="str">
        <f aca="false">IF(ISNUMBER(F940),IF(OR(B940=0,B940=99,C940&lt;&gt;""),F940*100+B940,""),"")</f>
        <v/>
      </c>
      <c r="H940" s="0" t="n">
        <f aca="false">IFERROR(INDEX('Session Tracker'!$J$5:$J$149,MATCH($A940,'Session Tracker'!$D$5:$D$149,0)),0)</f>
        <v>8</v>
      </c>
      <c r="I940" s="0" t="str">
        <f aca="false">IF(OR(B940=0,B940=99,C940=""),"",IF(E940="Per class",D940,D940*H940))</f>
        <v/>
      </c>
      <c r="K940" s="0" t="str">
        <f aca="false">IFERROR(INDEX('Session Tracker'!$E$5:$E$149,MATCH($A940,'Session Tracker'!$D$5:$D$149,0)),"")</f>
        <v>Plant Monitor Mobile App</v>
      </c>
      <c r="L940" s="0" t="str">
        <f aca="false">IFERROR(INDEX('Session Tracker'!$A$5:$A$149,MATCH($A940,'Session Tracker'!$D$5:$D$149,0)),"")</f>
        <v>Young Innovators (12-14)</v>
      </c>
      <c r="M940" s="0" t="str">
        <f aca="false">IFERROR(INDEX('Session Tracker'!$H$5:$H$149,MATCH($A940,'Session Tracker'!$D$5:$D$149,0))&amp;"","")</f>
        <v/>
      </c>
      <c r="Q940" s="0" t="str">
        <f aca="false">IFERROR("Status: "&amp;INDEX('Session Tracker'!$F$5:$F$149,MATCH($A940,'Session Tracker'!$D$5:$D$149,0))&amp;IF(INDEX('Session Tracker'!$G$5:$G$149,MATCH($A940,'Session Tracker'!$D$5:$D$149,0))&lt;&gt;""," ("&amp;INDEX('Session Tracker'!$G$5:$G$149,MATCH($A940,'Session Tracker'!$D$5:$D$149,0))&amp;")","")&amp;IF(M940&lt;&gt;"","  "&amp;M940,""),"")</f>
        <v>Status: Not started</v>
      </c>
    </row>
    <row r="941" customFormat="false" ht="15" hidden="false" customHeight="false" outlineLevel="0" collapsed="false">
      <c r="A941" s="0" t="s">
        <v>247</v>
      </c>
      <c r="B941" s="0" t="n">
        <v>1</v>
      </c>
      <c r="C941" s="0" t="str">
        <f aca="false">IF('Young Innovators Kits'!C237="","",'Young Innovators Kits'!C237)</f>
        <v>Laptop</v>
      </c>
      <c r="D941" s="0" t="n">
        <f aca="false">IF('Young Innovators Kits'!D237="","",'Young Innovators Kits'!D237)</f>
        <v>1</v>
      </c>
      <c r="E941" s="0" t="str">
        <f aca="false">IF('Young Innovators Kits'!E237="","",'Young Innovators Kits'!E237)</f>
        <v>Per group</v>
      </c>
      <c r="F941" s="0" t="str">
        <f aca="false">IFERROR(INDEX('Session Tracker'!$M$5:$M$149,MATCH($A941,'Session Tracker'!$D$5:$D$149,0))+0,"")</f>
        <v/>
      </c>
      <c r="G941" s="0" t="str">
        <f aca="false">IF(ISNUMBER(F941),IF(OR(B941=0,B941=99,C941&lt;&gt;""),F941*100+B941,""),"")</f>
        <v/>
      </c>
      <c r="H941" s="0" t="n">
        <f aca="false">IFERROR(INDEX('Session Tracker'!$J$5:$J$149,MATCH($A941,'Session Tracker'!$D$5:$D$149,0)),0)</f>
        <v>8</v>
      </c>
      <c r="I941" s="0" t="n">
        <f aca="false">IF(OR(B941=0,B941=99,C941=""),"",IF(E941="Per class",D941,D941*H941))</f>
        <v>8</v>
      </c>
      <c r="N941" s="0" t="str">
        <f aca="false">IF('Young Innovators Kits'!B237="","",'Young Innovators Kits'!B237)</f>
        <v>Computers &amp; Equipment</v>
      </c>
      <c r="O941" s="0" t="str">
        <f aca="false">IF('Young Innovators Kits'!F237="","",'Young Innovators Kits'!F237)</f>
        <v>Reusable</v>
      </c>
      <c r="P941" s="0" t="str">
        <f aca="false">IF('Young Innovators Kits'!G237="","",'Young Innovators Kits'!G237)</f>
        <v/>
      </c>
    </row>
    <row r="942" customFormat="false" ht="15" hidden="false" customHeight="false" outlineLevel="0" collapsed="false">
      <c r="A942" s="0" t="s">
        <v>247</v>
      </c>
      <c r="B942" s="0" t="n">
        <v>2</v>
      </c>
      <c r="C942" s="0" t="str">
        <f aca="false">IF('Young Innovators Kits'!C238="","",'Young Innovators Kits'!C238)</f>
        <v>Android smartphone</v>
      </c>
      <c r="D942" s="0" t="n">
        <f aca="false">IF('Young Innovators Kits'!D238="","",'Young Innovators Kits'!D238)</f>
        <v>1</v>
      </c>
      <c r="E942" s="0" t="str">
        <f aca="false">IF('Young Innovators Kits'!E238="","",'Young Innovators Kits'!E238)</f>
        <v>Per group</v>
      </c>
      <c r="F942" s="0" t="str">
        <f aca="false">IFERROR(INDEX('Session Tracker'!$M$5:$M$149,MATCH($A942,'Session Tracker'!$D$5:$D$149,0))+0,"")</f>
        <v/>
      </c>
      <c r="G942" s="0" t="str">
        <f aca="false">IF(ISNUMBER(F942),IF(OR(B942=0,B942=99,C942&lt;&gt;""),F942*100+B942,""),"")</f>
        <v/>
      </c>
      <c r="H942" s="0" t="n">
        <f aca="false">IFERROR(INDEX('Session Tracker'!$J$5:$J$149,MATCH($A942,'Session Tracker'!$D$5:$D$149,0)),0)</f>
        <v>8</v>
      </c>
      <c r="I942" s="0" t="n">
        <f aca="false">IF(OR(B942=0,B942=99,C942=""),"",IF(E942="Per class",D942,D942*H942))</f>
        <v>8</v>
      </c>
      <c r="N942" s="0" t="str">
        <f aca="false">IF('Young Innovators Kits'!B238="","",'Young Innovators Kits'!B238)</f>
        <v>Computers &amp; Equipment</v>
      </c>
      <c r="O942" s="0" t="str">
        <f aca="false">IF('Young Innovators Kits'!F238="","",'Young Innovators Kits'!F238)</f>
        <v>Reusable</v>
      </c>
      <c r="P942" s="0" t="str">
        <f aca="false">IF('Young Innovators Kits'!G238="","",'Young Innovators Kits'!G238)</f>
        <v/>
      </c>
    </row>
    <row r="943" customFormat="false" ht="15" hidden="false" customHeight="false" outlineLevel="0" collapsed="false">
      <c r="A943" s="0" t="s">
        <v>247</v>
      </c>
      <c r="B943" s="0" t="n">
        <v>3</v>
      </c>
      <c r="C943" s="0" t="str">
        <f aca="false">IF('Young Innovators Kits'!C239="","",'Young Innovators Kits'!C239)</f>
        <v>Printed templates</v>
      </c>
      <c r="D943" s="0" t="n">
        <f aca="false">IF('Young Innovators Kits'!D239="","",'Young Innovators Kits'!D239)</f>
        <v>1</v>
      </c>
      <c r="E943" s="0" t="str">
        <f aca="false">IF('Young Innovators Kits'!E239="","",'Young Innovators Kits'!E239)</f>
        <v>Per group</v>
      </c>
      <c r="F943" s="0" t="str">
        <f aca="false">IFERROR(INDEX('Session Tracker'!$M$5:$M$149,MATCH($A943,'Session Tracker'!$D$5:$D$149,0))+0,"")</f>
        <v/>
      </c>
      <c r="G943" s="0" t="str">
        <f aca="false">IF(ISNUMBER(F943),IF(OR(B943=0,B943=99,C943&lt;&gt;""),F943*100+B943,""),"")</f>
        <v/>
      </c>
      <c r="H943" s="0" t="n">
        <f aca="false">IFERROR(INDEX('Session Tracker'!$J$5:$J$149,MATCH($A943,'Session Tracker'!$D$5:$D$149,0)),0)</f>
        <v>8</v>
      </c>
      <c r="I943" s="0" t="n">
        <f aca="false">IF(OR(B943=0,B943=99,C943=""),"",IF(E943="Per class",D943,D943*H943))</f>
        <v>8</v>
      </c>
      <c r="N943" s="0" t="str">
        <f aca="false">IF('Young Innovators Kits'!B239="","",'Young Innovators Kits'!B239)</f>
        <v>Craft &amp; Stationery</v>
      </c>
      <c r="O943" s="0" t="str">
        <f aca="false">IF('Young Innovators Kits'!F239="","",'Young Innovators Kits'!F239)</f>
        <v>Consumable</v>
      </c>
      <c r="P943" s="0" t="str">
        <f aca="false">IF('Young Innovators Kits'!G239="","",'Young Innovators Kits'!G239)</f>
        <v>Screen sketch sheet</v>
      </c>
    </row>
    <row r="944" customFormat="false" ht="15" hidden="false" customHeight="false" outlineLevel="0" collapsed="false">
      <c r="A944" s="0" t="s">
        <v>247</v>
      </c>
      <c r="B944" s="0" t="n">
        <v>4</v>
      </c>
      <c r="C944" s="0" t="str">
        <f aca="false">IF('Young Innovators Kits'!C240="","",'Young Innovators Kits'!C240)</f>
        <v/>
      </c>
      <c r="D944" s="0" t="str">
        <f aca="false">IF('Young Innovators Kits'!D240="","",'Young Innovators Kits'!D240)</f>
        <v/>
      </c>
      <c r="E944" s="0" t="str">
        <f aca="false">IF('Young Innovators Kits'!E240="","",'Young Innovators Kits'!E240)</f>
        <v/>
      </c>
      <c r="F944" s="0" t="str">
        <f aca="false">IFERROR(INDEX('Session Tracker'!$M$5:$M$149,MATCH($A944,'Session Tracker'!$D$5:$D$149,0))+0,"")</f>
        <v/>
      </c>
      <c r="G944" s="0" t="str">
        <f aca="false">IF(ISNUMBER(F944),IF(OR(B944=0,B944=99,C944&lt;&gt;""),F944*100+B944,""),"")</f>
        <v/>
      </c>
      <c r="H944" s="0" t="n">
        <f aca="false">IFERROR(INDEX('Session Tracker'!$J$5:$J$149,MATCH($A944,'Session Tracker'!$D$5:$D$149,0)),0)</f>
        <v>8</v>
      </c>
      <c r="I944" s="0" t="str">
        <f aca="false">IF(OR(B944=0,B944=99,C944=""),"",IF(E944="Per class",D944,D944*H944))</f>
        <v/>
      </c>
      <c r="N944" s="0" t="str">
        <f aca="false">IF('Young Innovators Kits'!B240="","",'Young Innovators Kits'!B240)</f>
        <v/>
      </c>
      <c r="O944" s="0" t="str">
        <f aca="false">IF('Young Innovators Kits'!F240="","",'Young Innovators Kits'!F240)</f>
        <v/>
      </c>
      <c r="P944" s="0" t="str">
        <f aca="false">IF('Young Innovators Kits'!G240="","",'Young Innovators Kits'!G240)</f>
        <v/>
      </c>
    </row>
    <row r="945" customFormat="false" ht="15" hidden="false" customHeight="false" outlineLevel="0" collapsed="false">
      <c r="A945" s="0" t="s">
        <v>247</v>
      </c>
      <c r="B945" s="0" t="n">
        <v>5</v>
      </c>
      <c r="C945" s="0" t="str">
        <f aca="false">IF('Young Innovators Kits'!C241="","",'Young Innovators Kits'!C241)</f>
        <v/>
      </c>
      <c r="D945" s="0" t="str">
        <f aca="false">IF('Young Innovators Kits'!D241="","",'Young Innovators Kits'!D241)</f>
        <v/>
      </c>
      <c r="E945" s="0" t="str">
        <f aca="false">IF('Young Innovators Kits'!E241="","",'Young Innovators Kits'!E241)</f>
        <v/>
      </c>
      <c r="F945" s="0" t="str">
        <f aca="false">IFERROR(INDEX('Session Tracker'!$M$5:$M$149,MATCH($A945,'Session Tracker'!$D$5:$D$149,0))+0,"")</f>
        <v/>
      </c>
      <c r="G945" s="0" t="str">
        <f aca="false">IF(ISNUMBER(F945),IF(OR(B945=0,B945=99,C945&lt;&gt;""),F945*100+B945,""),"")</f>
        <v/>
      </c>
      <c r="H945" s="0" t="n">
        <f aca="false">IFERROR(INDEX('Session Tracker'!$J$5:$J$149,MATCH($A945,'Session Tracker'!$D$5:$D$149,0)),0)</f>
        <v>8</v>
      </c>
      <c r="I945" s="0" t="str">
        <f aca="false">IF(OR(B945=0,B945=99,C945=""),"",IF(E945="Per class",D945,D945*H945))</f>
        <v/>
      </c>
      <c r="N945" s="0" t="str">
        <f aca="false">IF('Young Innovators Kits'!B241="","",'Young Innovators Kits'!B241)</f>
        <v/>
      </c>
      <c r="O945" s="0" t="str">
        <f aca="false">IF('Young Innovators Kits'!F241="","",'Young Innovators Kits'!F241)</f>
        <v/>
      </c>
      <c r="P945" s="0" t="str">
        <f aca="false">IF('Young Innovators Kits'!G241="","",'Young Innovators Kits'!G241)</f>
        <v/>
      </c>
    </row>
    <row r="946" customFormat="false" ht="15" hidden="false" customHeight="false" outlineLevel="0" collapsed="false">
      <c r="A946" s="0" t="s">
        <v>249</v>
      </c>
      <c r="B946" s="0" t="n">
        <v>0</v>
      </c>
      <c r="F946" s="0" t="str">
        <f aca="false">IFERROR(INDEX('Session Tracker'!$M$5:$M$149,MATCH($A946,'Session Tracker'!$D$5:$D$149,0))+0,"")</f>
        <v/>
      </c>
      <c r="G946" s="0" t="str">
        <f aca="false">IF(ISNUMBER(F946),IF(OR(B946=0,B946=99,C946&lt;&gt;""),F946*100+B946,""),"")</f>
        <v/>
      </c>
      <c r="H946" s="0" t="n">
        <f aca="false">IFERROR(INDEX('Session Tracker'!$J$5:$J$149,MATCH($A946,'Session Tracker'!$D$5:$D$149,0)),0)</f>
        <v>8</v>
      </c>
      <c r="I946" s="0" t="str">
        <f aca="false">IF(OR(B946=0,B946=99,C946=""),"",IF(E946="Per class",D946,D946*H946))</f>
        <v/>
      </c>
      <c r="K946" s="0" t="str">
        <f aca="false">IFERROR(INDEX('Session Tracker'!$E$5:$E$149,MATCH($A946,'Session Tracker'!$D$5:$D$149,0)),"")</f>
        <v>Python Maths Quiz Game with Scoreboard</v>
      </c>
      <c r="L946" s="0" t="str">
        <f aca="false">IFERROR(INDEX('Session Tracker'!$A$5:$A$149,MATCH($A946,'Session Tracker'!$D$5:$D$149,0)),"")</f>
        <v>Young Innovators (12-14)</v>
      </c>
      <c r="M946" s="0" t="str">
        <f aca="false">IFERROR(INDEX('Session Tracker'!$H$5:$H$149,MATCH($A946,'Session Tracker'!$D$5:$D$149,0))&amp;"","")</f>
        <v/>
      </c>
      <c r="Q946" s="0" t="str">
        <f aca="false">IFERROR("Status: "&amp;INDEX('Session Tracker'!$F$5:$F$149,MATCH($A946,'Session Tracker'!$D$5:$D$149,0))&amp;IF(INDEX('Session Tracker'!$G$5:$G$149,MATCH($A946,'Session Tracker'!$D$5:$D$149,0))&lt;&gt;""," ("&amp;INDEX('Session Tracker'!$G$5:$G$149,MATCH($A946,'Session Tracker'!$D$5:$D$149,0))&amp;")","")&amp;IF(M946&lt;&gt;"","  "&amp;M946,""),"")</f>
        <v>Status: Not started</v>
      </c>
    </row>
    <row r="947" customFormat="false" ht="15" hidden="false" customHeight="false" outlineLevel="0" collapsed="false">
      <c r="A947" s="0" t="s">
        <v>249</v>
      </c>
      <c r="B947" s="0" t="n">
        <v>1</v>
      </c>
      <c r="C947" s="0" t="str">
        <f aca="false">IF('Young Innovators Kits'!C244="","",'Young Innovators Kits'!C244)</f>
        <v>Laptop</v>
      </c>
      <c r="D947" s="0" t="n">
        <f aca="false">IF('Young Innovators Kits'!D244="","",'Young Innovators Kits'!D244)</f>
        <v>1</v>
      </c>
      <c r="E947" s="0" t="str">
        <f aca="false">IF('Young Innovators Kits'!E244="","",'Young Innovators Kits'!E244)</f>
        <v>Per group</v>
      </c>
      <c r="F947" s="0" t="str">
        <f aca="false">IFERROR(INDEX('Session Tracker'!$M$5:$M$149,MATCH($A947,'Session Tracker'!$D$5:$D$149,0))+0,"")</f>
        <v/>
      </c>
      <c r="G947" s="0" t="str">
        <f aca="false">IF(ISNUMBER(F947),IF(OR(B947=0,B947=99,C947&lt;&gt;""),F947*100+B947,""),"")</f>
        <v/>
      </c>
      <c r="H947" s="0" t="n">
        <f aca="false">IFERROR(INDEX('Session Tracker'!$J$5:$J$149,MATCH($A947,'Session Tracker'!$D$5:$D$149,0)),0)</f>
        <v>8</v>
      </c>
      <c r="I947" s="0" t="n">
        <f aca="false">IF(OR(B947=0,B947=99,C947=""),"",IF(E947="Per class",D947,D947*H947))</f>
        <v>8</v>
      </c>
      <c r="N947" s="0" t="str">
        <f aca="false">IF('Young Innovators Kits'!B244="","",'Young Innovators Kits'!B244)</f>
        <v>Computers &amp; Equipment</v>
      </c>
      <c r="O947" s="0" t="str">
        <f aca="false">IF('Young Innovators Kits'!F244="","",'Young Innovators Kits'!F244)</f>
        <v>Reusable</v>
      </c>
      <c r="P947" s="0" t="str">
        <f aca="false">IF('Young Innovators Kits'!G244="","",'Young Innovators Kits'!G244)</f>
        <v/>
      </c>
    </row>
    <row r="948" customFormat="false" ht="15" hidden="false" customHeight="false" outlineLevel="0" collapsed="false">
      <c r="A948" s="0" t="s">
        <v>249</v>
      </c>
      <c r="B948" s="0" t="n">
        <v>2</v>
      </c>
      <c r="C948" s="0" t="str">
        <f aca="false">IF('Young Innovators Kits'!C245="","",'Young Innovators Kits'!C245)</f>
        <v/>
      </c>
      <c r="D948" s="0" t="str">
        <f aca="false">IF('Young Innovators Kits'!D245="","",'Young Innovators Kits'!D245)</f>
        <v/>
      </c>
      <c r="E948" s="0" t="str">
        <f aca="false">IF('Young Innovators Kits'!E245="","",'Young Innovators Kits'!E245)</f>
        <v/>
      </c>
      <c r="F948" s="0" t="str">
        <f aca="false">IFERROR(INDEX('Session Tracker'!$M$5:$M$149,MATCH($A948,'Session Tracker'!$D$5:$D$149,0))+0,"")</f>
        <v/>
      </c>
      <c r="G948" s="0" t="str">
        <f aca="false">IF(ISNUMBER(F948),IF(OR(B948=0,B948=99,C948&lt;&gt;""),F948*100+B948,""),"")</f>
        <v/>
      </c>
      <c r="H948" s="0" t="n">
        <f aca="false">IFERROR(INDEX('Session Tracker'!$J$5:$J$149,MATCH($A948,'Session Tracker'!$D$5:$D$149,0)),0)</f>
        <v>8</v>
      </c>
      <c r="I948" s="0" t="str">
        <f aca="false">IF(OR(B948=0,B948=99,C948=""),"",IF(E948="Per class",D948,D948*H948))</f>
        <v/>
      </c>
      <c r="N948" s="0" t="str">
        <f aca="false">IF('Young Innovators Kits'!B245="","",'Young Innovators Kits'!B245)</f>
        <v/>
      </c>
      <c r="O948" s="0" t="str">
        <f aca="false">IF('Young Innovators Kits'!F245="","",'Young Innovators Kits'!F245)</f>
        <v/>
      </c>
      <c r="P948" s="0" t="str">
        <f aca="false">IF('Young Innovators Kits'!G245="","",'Young Innovators Kits'!G245)</f>
        <v/>
      </c>
    </row>
    <row r="949" customFormat="false" ht="15" hidden="false" customHeight="false" outlineLevel="0" collapsed="false">
      <c r="A949" s="0" t="s">
        <v>249</v>
      </c>
      <c r="B949" s="0" t="n">
        <v>3</v>
      </c>
      <c r="C949" s="0" t="str">
        <f aca="false">IF('Young Innovators Kits'!C246="","",'Young Innovators Kits'!C246)</f>
        <v/>
      </c>
      <c r="D949" s="0" t="str">
        <f aca="false">IF('Young Innovators Kits'!D246="","",'Young Innovators Kits'!D246)</f>
        <v/>
      </c>
      <c r="E949" s="0" t="str">
        <f aca="false">IF('Young Innovators Kits'!E246="","",'Young Innovators Kits'!E246)</f>
        <v/>
      </c>
      <c r="F949" s="0" t="str">
        <f aca="false">IFERROR(INDEX('Session Tracker'!$M$5:$M$149,MATCH($A949,'Session Tracker'!$D$5:$D$149,0))+0,"")</f>
        <v/>
      </c>
      <c r="G949" s="0" t="str">
        <f aca="false">IF(ISNUMBER(F949),IF(OR(B949=0,B949=99,C949&lt;&gt;""),F949*100+B949,""),"")</f>
        <v/>
      </c>
      <c r="H949" s="0" t="n">
        <f aca="false">IFERROR(INDEX('Session Tracker'!$J$5:$J$149,MATCH($A949,'Session Tracker'!$D$5:$D$149,0)),0)</f>
        <v>8</v>
      </c>
      <c r="I949" s="0" t="str">
        <f aca="false">IF(OR(B949=0,B949=99,C949=""),"",IF(E949="Per class",D949,D949*H949))</f>
        <v/>
      </c>
      <c r="N949" s="0" t="str">
        <f aca="false">IF('Young Innovators Kits'!B246="","",'Young Innovators Kits'!B246)</f>
        <v/>
      </c>
      <c r="O949" s="0" t="str">
        <f aca="false">IF('Young Innovators Kits'!F246="","",'Young Innovators Kits'!F246)</f>
        <v/>
      </c>
      <c r="P949" s="0" t="str">
        <f aca="false">IF('Young Innovators Kits'!G246="","",'Young Innovators Kits'!G246)</f>
        <v/>
      </c>
    </row>
    <row r="950" customFormat="false" ht="15" hidden="false" customHeight="false" outlineLevel="0" collapsed="false">
      <c r="A950" s="0" t="s">
        <v>251</v>
      </c>
      <c r="B950" s="0" t="n">
        <v>0</v>
      </c>
      <c r="F950" s="0" t="str">
        <f aca="false">IFERROR(INDEX('Session Tracker'!$M$5:$M$149,MATCH($A950,'Session Tracker'!$D$5:$D$149,0))+0,"")</f>
        <v/>
      </c>
      <c r="G950" s="0" t="str">
        <f aca="false">IF(ISNUMBER(F950),IF(OR(B950=0,B950=99,C950&lt;&gt;""),F950*100+B950,""),"")</f>
        <v/>
      </c>
      <c r="H950" s="0" t="n">
        <f aca="false">IFERROR(INDEX('Session Tracker'!$J$5:$J$149,MATCH($A950,'Session Tracker'!$D$5:$D$149,0)),0)</f>
        <v>8</v>
      </c>
      <c r="I950" s="0" t="str">
        <f aca="false">IF(OR(B950=0,B950=99,C950=""),"",IF(E950="Per class",D950,D950*H950))</f>
        <v/>
      </c>
      <c r="K950" s="0" t="str">
        <f aca="false">IFERROR(INDEX('Session Tracker'!$E$5:$E$149,MATCH($A950,'Session Tracker'!$D$5:$D$149,0)),"")</f>
        <v>Personal Portfolio Website</v>
      </c>
      <c r="L950" s="0" t="str">
        <f aca="false">IFERROR(INDEX('Session Tracker'!$A$5:$A$149,MATCH($A950,'Session Tracker'!$D$5:$D$149,0)),"")</f>
        <v>Young Innovators (12-14)</v>
      </c>
      <c r="M950" s="0" t="str">
        <f aca="false">IFERROR(INDEX('Session Tracker'!$H$5:$H$149,MATCH($A950,'Session Tracker'!$D$5:$D$149,0))&amp;"","")</f>
        <v/>
      </c>
      <c r="Q950" s="0" t="str">
        <f aca="false">IFERROR("Status: "&amp;INDEX('Session Tracker'!$F$5:$F$149,MATCH($A950,'Session Tracker'!$D$5:$D$149,0))&amp;IF(INDEX('Session Tracker'!$G$5:$G$149,MATCH($A950,'Session Tracker'!$D$5:$D$149,0))&lt;&gt;""," ("&amp;INDEX('Session Tracker'!$G$5:$G$149,MATCH($A950,'Session Tracker'!$D$5:$D$149,0))&amp;")","")&amp;IF(M950&lt;&gt;"","  "&amp;M950,""),"")</f>
        <v>Status: Not started</v>
      </c>
    </row>
    <row r="951" customFormat="false" ht="15" hidden="false" customHeight="false" outlineLevel="0" collapsed="false">
      <c r="A951" s="0" t="s">
        <v>251</v>
      </c>
      <c r="B951" s="0" t="n">
        <v>1</v>
      </c>
      <c r="C951" s="0" t="str">
        <f aca="false">IF('Young Innovators Kits'!C249="","",'Young Innovators Kits'!C249)</f>
        <v>Laptop</v>
      </c>
      <c r="D951" s="0" t="n">
        <f aca="false">IF('Young Innovators Kits'!D249="","",'Young Innovators Kits'!D249)</f>
        <v>1</v>
      </c>
      <c r="E951" s="0" t="str">
        <f aca="false">IF('Young Innovators Kits'!E249="","",'Young Innovators Kits'!E249)</f>
        <v>Per group</v>
      </c>
      <c r="F951" s="0" t="str">
        <f aca="false">IFERROR(INDEX('Session Tracker'!$M$5:$M$149,MATCH($A951,'Session Tracker'!$D$5:$D$149,0))+0,"")</f>
        <v/>
      </c>
      <c r="G951" s="0" t="str">
        <f aca="false">IF(ISNUMBER(F951),IF(OR(B951=0,B951=99,C951&lt;&gt;""),F951*100+B951,""),"")</f>
        <v/>
      </c>
      <c r="H951" s="0" t="n">
        <f aca="false">IFERROR(INDEX('Session Tracker'!$J$5:$J$149,MATCH($A951,'Session Tracker'!$D$5:$D$149,0)),0)</f>
        <v>8</v>
      </c>
      <c r="I951" s="0" t="n">
        <f aca="false">IF(OR(B951=0,B951=99,C951=""),"",IF(E951="Per class",D951,D951*H951))</f>
        <v>8</v>
      </c>
      <c r="N951" s="0" t="str">
        <f aca="false">IF('Young Innovators Kits'!B249="","",'Young Innovators Kits'!B249)</f>
        <v>Computers &amp; Equipment</v>
      </c>
      <c r="O951" s="0" t="str">
        <f aca="false">IF('Young Innovators Kits'!F249="","",'Young Innovators Kits'!F249)</f>
        <v>Reusable</v>
      </c>
      <c r="P951" s="0" t="str">
        <f aca="false">IF('Young Innovators Kits'!G249="","",'Young Innovators Kits'!G249)</f>
        <v/>
      </c>
    </row>
    <row r="952" customFormat="false" ht="15" hidden="false" customHeight="false" outlineLevel="0" collapsed="false">
      <c r="A952" s="0" t="s">
        <v>251</v>
      </c>
      <c r="B952" s="0" t="n">
        <v>2</v>
      </c>
      <c r="C952" s="0" t="str">
        <f aca="false">IF('Young Innovators Kits'!C250="","",'Young Innovators Kits'!C250)</f>
        <v/>
      </c>
      <c r="D952" s="0" t="str">
        <f aca="false">IF('Young Innovators Kits'!D250="","",'Young Innovators Kits'!D250)</f>
        <v/>
      </c>
      <c r="E952" s="0" t="str">
        <f aca="false">IF('Young Innovators Kits'!E250="","",'Young Innovators Kits'!E250)</f>
        <v/>
      </c>
      <c r="F952" s="0" t="str">
        <f aca="false">IFERROR(INDEX('Session Tracker'!$M$5:$M$149,MATCH($A952,'Session Tracker'!$D$5:$D$149,0))+0,"")</f>
        <v/>
      </c>
      <c r="G952" s="0" t="str">
        <f aca="false">IF(ISNUMBER(F952),IF(OR(B952=0,B952=99,C952&lt;&gt;""),F952*100+B952,""),"")</f>
        <v/>
      </c>
      <c r="H952" s="0" t="n">
        <f aca="false">IFERROR(INDEX('Session Tracker'!$J$5:$J$149,MATCH($A952,'Session Tracker'!$D$5:$D$149,0)),0)</f>
        <v>8</v>
      </c>
      <c r="I952" s="0" t="str">
        <f aca="false">IF(OR(B952=0,B952=99,C952=""),"",IF(E952="Per class",D952,D952*H952))</f>
        <v/>
      </c>
      <c r="N952" s="0" t="str">
        <f aca="false">IF('Young Innovators Kits'!B250="","",'Young Innovators Kits'!B250)</f>
        <v/>
      </c>
      <c r="O952" s="0" t="str">
        <f aca="false">IF('Young Innovators Kits'!F250="","",'Young Innovators Kits'!F250)</f>
        <v/>
      </c>
      <c r="P952" s="0" t="str">
        <f aca="false">IF('Young Innovators Kits'!G250="","",'Young Innovators Kits'!G250)</f>
        <v/>
      </c>
    </row>
    <row r="953" customFormat="false" ht="15" hidden="false" customHeight="false" outlineLevel="0" collapsed="false">
      <c r="A953" s="0" t="s">
        <v>251</v>
      </c>
      <c r="B953" s="0" t="n">
        <v>3</v>
      </c>
      <c r="C953" s="0" t="str">
        <f aca="false">IF('Young Innovators Kits'!C251="","",'Young Innovators Kits'!C251)</f>
        <v/>
      </c>
      <c r="D953" s="0" t="str">
        <f aca="false">IF('Young Innovators Kits'!D251="","",'Young Innovators Kits'!D251)</f>
        <v/>
      </c>
      <c r="E953" s="0" t="str">
        <f aca="false">IF('Young Innovators Kits'!E251="","",'Young Innovators Kits'!E251)</f>
        <v/>
      </c>
      <c r="F953" s="0" t="str">
        <f aca="false">IFERROR(INDEX('Session Tracker'!$M$5:$M$149,MATCH($A953,'Session Tracker'!$D$5:$D$149,0))+0,"")</f>
        <v/>
      </c>
      <c r="G953" s="0" t="str">
        <f aca="false">IF(ISNUMBER(F953),IF(OR(B953=0,B953=99,C953&lt;&gt;""),F953*100+B953,""),"")</f>
        <v/>
      </c>
      <c r="H953" s="0" t="n">
        <f aca="false">IFERROR(INDEX('Session Tracker'!$J$5:$J$149,MATCH($A953,'Session Tracker'!$D$5:$D$149,0)),0)</f>
        <v>8</v>
      </c>
      <c r="I953" s="0" t="str">
        <f aca="false">IF(OR(B953=0,B953=99,C953=""),"",IF(E953="Per class",D953,D953*H953))</f>
        <v/>
      </c>
      <c r="N953" s="0" t="str">
        <f aca="false">IF('Young Innovators Kits'!B251="","",'Young Innovators Kits'!B251)</f>
        <v/>
      </c>
      <c r="O953" s="0" t="str">
        <f aca="false">IF('Young Innovators Kits'!F251="","",'Young Innovators Kits'!F251)</f>
        <v/>
      </c>
      <c r="P953" s="0" t="str">
        <f aca="false">IF('Young Innovators Kits'!G251="","",'Young Innovators Kits'!G251)</f>
        <v/>
      </c>
    </row>
    <row r="954" customFormat="false" ht="15" hidden="false" customHeight="false" outlineLevel="0" collapsed="false">
      <c r="A954" s="0" t="s">
        <v>253</v>
      </c>
      <c r="B954" s="0" t="n">
        <v>0</v>
      </c>
      <c r="F954" s="0" t="str">
        <f aca="false">IFERROR(INDEX('Session Tracker'!$M$5:$M$149,MATCH($A954,'Session Tracker'!$D$5:$D$149,0))+0,"")</f>
        <v/>
      </c>
      <c r="G954" s="0" t="str">
        <f aca="false">IF(ISNUMBER(F954),IF(OR(B954=0,B954=99,C954&lt;&gt;""),F954*100+B954,""),"")</f>
        <v/>
      </c>
      <c r="H954" s="0" t="n">
        <f aca="false">IFERROR(INDEX('Session Tracker'!$J$5:$J$149,MATCH($A954,'Session Tracker'!$D$5:$D$149,0)),0)</f>
        <v>8</v>
      </c>
      <c r="I954" s="0" t="str">
        <f aca="false">IF(OR(B954=0,B954=99,C954=""),"",IF(E954="Per class",D954,D954*H954))</f>
        <v/>
      </c>
      <c r="K954" s="0" t="str">
        <f aca="false">IFERROR(INDEX('Session Tracker'!$E$5:$E$149,MATCH($A954,'Session Tracker'!$D$5:$D$149,0)),"")</f>
        <v>School Helpdesk Chatbot</v>
      </c>
      <c r="L954" s="0" t="str">
        <f aca="false">IFERROR(INDEX('Session Tracker'!$A$5:$A$149,MATCH($A954,'Session Tracker'!$D$5:$D$149,0)),"")</f>
        <v>Young Innovators (12-14)</v>
      </c>
      <c r="M954" s="0" t="str">
        <f aca="false">IFERROR(INDEX('Session Tracker'!$H$5:$H$149,MATCH($A954,'Session Tracker'!$D$5:$D$149,0))&amp;"","")</f>
        <v/>
      </c>
      <c r="Q954" s="0" t="str">
        <f aca="false">IFERROR("Status: "&amp;INDEX('Session Tracker'!$F$5:$F$149,MATCH($A954,'Session Tracker'!$D$5:$D$149,0))&amp;IF(INDEX('Session Tracker'!$G$5:$G$149,MATCH($A954,'Session Tracker'!$D$5:$D$149,0))&lt;&gt;""," ("&amp;INDEX('Session Tracker'!$G$5:$G$149,MATCH($A954,'Session Tracker'!$D$5:$D$149,0))&amp;")","")&amp;IF(M954&lt;&gt;"","  "&amp;M954,""),"")</f>
        <v>Status: Not started</v>
      </c>
    </row>
    <row r="955" customFormat="false" ht="15" hidden="false" customHeight="false" outlineLevel="0" collapsed="false">
      <c r="A955" s="0" t="s">
        <v>253</v>
      </c>
      <c r="B955" s="0" t="n">
        <v>1</v>
      </c>
      <c r="C955" s="0" t="str">
        <f aca="false">IF('Young Innovators Kits'!C254="","",'Young Innovators Kits'!C254)</f>
        <v>Laptop</v>
      </c>
      <c r="D955" s="0" t="n">
        <f aca="false">IF('Young Innovators Kits'!D254="","",'Young Innovators Kits'!D254)</f>
        <v>1</v>
      </c>
      <c r="E955" s="0" t="str">
        <f aca="false">IF('Young Innovators Kits'!E254="","",'Young Innovators Kits'!E254)</f>
        <v>Per group</v>
      </c>
      <c r="F955" s="0" t="str">
        <f aca="false">IFERROR(INDEX('Session Tracker'!$M$5:$M$149,MATCH($A955,'Session Tracker'!$D$5:$D$149,0))+0,"")</f>
        <v/>
      </c>
      <c r="G955" s="0" t="str">
        <f aca="false">IF(ISNUMBER(F955),IF(OR(B955=0,B955=99,C955&lt;&gt;""),F955*100+B955,""),"")</f>
        <v/>
      </c>
      <c r="H955" s="0" t="n">
        <f aca="false">IFERROR(INDEX('Session Tracker'!$J$5:$J$149,MATCH($A955,'Session Tracker'!$D$5:$D$149,0)),0)</f>
        <v>8</v>
      </c>
      <c r="I955" s="0" t="n">
        <f aca="false">IF(OR(B955=0,B955=99,C955=""),"",IF(E955="Per class",D955,D955*H955))</f>
        <v>8</v>
      </c>
      <c r="N955" s="0" t="str">
        <f aca="false">IF('Young Innovators Kits'!B254="","",'Young Innovators Kits'!B254)</f>
        <v>Computers &amp; Equipment</v>
      </c>
      <c r="O955" s="0" t="str">
        <f aca="false">IF('Young Innovators Kits'!F254="","",'Young Innovators Kits'!F254)</f>
        <v>Reusable</v>
      </c>
      <c r="P955" s="0" t="str">
        <f aca="false">IF('Young Innovators Kits'!G254="","",'Young Innovators Kits'!G254)</f>
        <v/>
      </c>
    </row>
    <row r="956" customFormat="false" ht="15" hidden="false" customHeight="false" outlineLevel="0" collapsed="false">
      <c r="A956" s="0" t="s">
        <v>253</v>
      </c>
      <c r="B956" s="0" t="n">
        <v>2</v>
      </c>
      <c r="C956" s="0" t="str">
        <f aca="false">IF('Young Innovators Kits'!C255="","",'Young Innovators Kits'!C255)</f>
        <v/>
      </c>
      <c r="D956" s="0" t="str">
        <f aca="false">IF('Young Innovators Kits'!D255="","",'Young Innovators Kits'!D255)</f>
        <v/>
      </c>
      <c r="E956" s="0" t="str">
        <f aca="false">IF('Young Innovators Kits'!E255="","",'Young Innovators Kits'!E255)</f>
        <v/>
      </c>
      <c r="F956" s="0" t="str">
        <f aca="false">IFERROR(INDEX('Session Tracker'!$M$5:$M$149,MATCH($A956,'Session Tracker'!$D$5:$D$149,0))+0,"")</f>
        <v/>
      </c>
      <c r="G956" s="0" t="str">
        <f aca="false">IF(ISNUMBER(F956),IF(OR(B956=0,B956=99,C956&lt;&gt;""),F956*100+B956,""),"")</f>
        <v/>
      </c>
      <c r="H956" s="0" t="n">
        <f aca="false">IFERROR(INDEX('Session Tracker'!$J$5:$J$149,MATCH($A956,'Session Tracker'!$D$5:$D$149,0)),0)</f>
        <v>8</v>
      </c>
      <c r="I956" s="0" t="str">
        <f aca="false">IF(OR(B956=0,B956=99,C956=""),"",IF(E956="Per class",D956,D956*H956))</f>
        <v/>
      </c>
      <c r="N956" s="0" t="str">
        <f aca="false">IF('Young Innovators Kits'!B255="","",'Young Innovators Kits'!B255)</f>
        <v/>
      </c>
      <c r="O956" s="0" t="str">
        <f aca="false">IF('Young Innovators Kits'!F255="","",'Young Innovators Kits'!F255)</f>
        <v/>
      </c>
      <c r="P956" s="0" t="str">
        <f aca="false">IF('Young Innovators Kits'!G255="","",'Young Innovators Kits'!G255)</f>
        <v/>
      </c>
    </row>
    <row r="957" customFormat="false" ht="15" hidden="false" customHeight="false" outlineLevel="0" collapsed="false">
      <c r="A957" s="0" t="s">
        <v>253</v>
      </c>
      <c r="B957" s="0" t="n">
        <v>3</v>
      </c>
      <c r="C957" s="0" t="str">
        <f aca="false">IF('Young Innovators Kits'!C256="","",'Young Innovators Kits'!C256)</f>
        <v/>
      </c>
      <c r="D957" s="0" t="str">
        <f aca="false">IF('Young Innovators Kits'!D256="","",'Young Innovators Kits'!D256)</f>
        <v/>
      </c>
      <c r="E957" s="0" t="str">
        <f aca="false">IF('Young Innovators Kits'!E256="","",'Young Innovators Kits'!E256)</f>
        <v/>
      </c>
      <c r="F957" s="0" t="str">
        <f aca="false">IFERROR(INDEX('Session Tracker'!$M$5:$M$149,MATCH($A957,'Session Tracker'!$D$5:$D$149,0))+0,"")</f>
        <v/>
      </c>
      <c r="G957" s="0" t="str">
        <f aca="false">IF(ISNUMBER(F957),IF(OR(B957=0,B957=99,C957&lt;&gt;""),F957*100+B957,""),"")</f>
        <v/>
      </c>
      <c r="H957" s="0" t="n">
        <f aca="false">IFERROR(INDEX('Session Tracker'!$J$5:$J$149,MATCH($A957,'Session Tracker'!$D$5:$D$149,0)),0)</f>
        <v>8</v>
      </c>
      <c r="I957" s="0" t="str">
        <f aca="false">IF(OR(B957=0,B957=99,C957=""),"",IF(E957="Per class",D957,D957*H957))</f>
        <v/>
      </c>
      <c r="N957" s="0" t="str">
        <f aca="false">IF('Young Innovators Kits'!B256="","",'Young Innovators Kits'!B256)</f>
        <v/>
      </c>
      <c r="O957" s="0" t="str">
        <f aca="false">IF('Young Innovators Kits'!F256="","",'Young Innovators Kits'!F256)</f>
        <v/>
      </c>
      <c r="P957" s="0" t="str">
        <f aca="false">IF('Young Innovators Kits'!G256="","",'Young Innovators Kits'!G256)</f>
        <v/>
      </c>
    </row>
    <row r="958" customFormat="false" ht="15" hidden="false" customHeight="false" outlineLevel="0" collapsed="false">
      <c r="A958" s="0" t="s">
        <v>255</v>
      </c>
      <c r="B958" s="0" t="n">
        <v>0</v>
      </c>
      <c r="F958" s="0" t="str">
        <f aca="false">IFERROR(INDEX('Session Tracker'!$M$5:$M$149,MATCH($A958,'Session Tracker'!$D$5:$D$149,0))+0,"")</f>
        <v/>
      </c>
      <c r="G958" s="0" t="str">
        <f aca="false">IF(ISNUMBER(F958),IF(OR(B958=0,B958=99,C958&lt;&gt;""),F958*100+B958,""),"")</f>
        <v/>
      </c>
      <c r="H958" s="0" t="n">
        <f aca="false">IFERROR(INDEX('Session Tracker'!$J$5:$J$149,MATCH($A958,'Session Tracker'!$D$5:$D$149,0)),0)</f>
        <v>8</v>
      </c>
      <c r="I958" s="0" t="str">
        <f aca="false">IF(OR(B958=0,B958=99,C958=""),"",IF(E958="Per class",D958,D958*H958))</f>
        <v/>
      </c>
      <c r="K958" s="0" t="str">
        <f aca="false">IFERROR(INDEX('Session Tracker'!$E$5:$E$149,MATCH($A958,'Session Tracker'!$D$5:$D$149,0)),"")</f>
        <v>3D-Printed Plant Monitor Enclosure</v>
      </c>
      <c r="L958" s="0" t="str">
        <f aca="false">IFERROR(INDEX('Session Tracker'!$A$5:$A$149,MATCH($A958,'Session Tracker'!$D$5:$D$149,0)),"")</f>
        <v>Young Innovators (12-14)</v>
      </c>
      <c r="M958" s="0" t="str">
        <f aca="false">IFERROR(INDEX('Session Tracker'!$H$5:$H$149,MATCH($A958,'Session Tracker'!$D$5:$D$149,0))&amp;"","")</f>
        <v/>
      </c>
      <c r="Q958" s="0" t="str">
        <f aca="false">IFERROR("Status: "&amp;INDEX('Session Tracker'!$F$5:$F$149,MATCH($A958,'Session Tracker'!$D$5:$D$149,0))&amp;IF(INDEX('Session Tracker'!$G$5:$G$149,MATCH($A958,'Session Tracker'!$D$5:$D$149,0))&lt;&gt;""," ("&amp;INDEX('Session Tracker'!$G$5:$G$149,MATCH($A958,'Session Tracker'!$D$5:$D$149,0))&amp;")","")&amp;IF(M958&lt;&gt;"","  "&amp;M958,""),"")</f>
        <v>Status: Not started</v>
      </c>
    </row>
    <row r="959" customFormat="false" ht="15" hidden="false" customHeight="false" outlineLevel="0" collapsed="false">
      <c r="A959" s="0" t="s">
        <v>255</v>
      </c>
      <c r="B959" s="0" t="n">
        <v>1</v>
      </c>
      <c r="C959" s="0" t="str">
        <f aca="false">IF('Young Innovators Kits'!C259="","",'Young Innovators Kits'!C259)</f>
        <v>Laptop</v>
      </c>
      <c r="D959" s="0" t="n">
        <f aca="false">IF('Young Innovators Kits'!D259="","",'Young Innovators Kits'!D259)</f>
        <v>1</v>
      </c>
      <c r="E959" s="0" t="str">
        <f aca="false">IF('Young Innovators Kits'!E259="","",'Young Innovators Kits'!E259)</f>
        <v>Per group</v>
      </c>
      <c r="F959" s="0" t="str">
        <f aca="false">IFERROR(INDEX('Session Tracker'!$M$5:$M$149,MATCH($A959,'Session Tracker'!$D$5:$D$149,0))+0,"")</f>
        <v/>
      </c>
      <c r="G959" s="0" t="str">
        <f aca="false">IF(ISNUMBER(F959),IF(OR(B959=0,B959=99,C959&lt;&gt;""),F959*100+B959,""),"")</f>
        <v/>
      </c>
      <c r="H959" s="0" t="n">
        <f aca="false">IFERROR(INDEX('Session Tracker'!$J$5:$J$149,MATCH($A959,'Session Tracker'!$D$5:$D$149,0)),0)</f>
        <v>8</v>
      </c>
      <c r="I959" s="0" t="n">
        <f aca="false">IF(OR(B959=0,B959=99,C959=""),"",IF(E959="Per class",D959,D959*H959))</f>
        <v>8</v>
      </c>
      <c r="N959" s="0" t="str">
        <f aca="false">IF('Young Innovators Kits'!B259="","",'Young Innovators Kits'!B259)</f>
        <v>Computers &amp; Equipment</v>
      </c>
      <c r="O959" s="0" t="str">
        <f aca="false">IF('Young Innovators Kits'!F259="","",'Young Innovators Kits'!F259)</f>
        <v>Reusable</v>
      </c>
      <c r="P959" s="0" t="str">
        <f aca="false">IF('Young Innovators Kits'!G259="","",'Young Innovators Kits'!G259)</f>
        <v/>
      </c>
    </row>
    <row r="960" customFormat="false" ht="15" hidden="false" customHeight="false" outlineLevel="0" collapsed="false">
      <c r="A960" s="0" t="s">
        <v>255</v>
      </c>
      <c r="B960" s="0" t="n">
        <v>2</v>
      </c>
      <c r="C960" s="0" t="str">
        <f aca="false">IF('Young Innovators Kits'!C260="","",'Young Innovators Kits'!C260)</f>
        <v>3D printer</v>
      </c>
      <c r="D960" s="0" t="n">
        <f aca="false">IF('Young Innovators Kits'!D260="","",'Young Innovators Kits'!D260)</f>
        <v>1</v>
      </c>
      <c r="E960" s="0" t="str">
        <f aca="false">IF('Young Innovators Kits'!E260="","",'Young Innovators Kits'!E260)</f>
        <v>Per class</v>
      </c>
      <c r="F960" s="0" t="str">
        <f aca="false">IFERROR(INDEX('Session Tracker'!$M$5:$M$149,MATCH($A960,'Session Tracker'!$D$5:$D$149,0))+0,"")</f>
        <v/>
      </c>
      <c r="G960" s="0" t="str">
        <f aca="false">IF(ISNUMBER(F960),IF(OR(B960=0,B960=99,C960&lt;&gt;""),F960*100+B960,""),"")</f>
        <v/>
      </c>
      <c r="H960" s="0" t="n">
        <f aca="false">IFERROR(INDEX('Session Tracker'!$J$5:$J$149,MATCH($A960,'Session Tracker'!$D$5:$D$149,0)),0)</f>
        <v>8</v>
      </c>
      <c r="I960" s="0" t="n">
        <f aca="false">IF(OR(B960=0,B960=99,C960=""),"",IF(E960="Per class",D960,D960*H960))</f>
        <v>1</v>
      </c>
      <c r="N960" s="0" t="str">
        <f aca="false">IF('Young Innovators Kits'!B260="","",'Young Innovators Kits'!B260)</f>
        <v>Computers &amp; Equipment</v>
      </c>
      <c r="O960" s="0" t="str">
        <f aca="false">IF('Young Innovators Kits'!F260="","",'Young Innovators Kits'!F260)</f>
        <v>Reusable</v>
      </c>
      <c r="P960" s="0" t="str">
        <f aca="false">IF('Young Innovators Kits'!G260="","",'Young Innovators Kits'!G260)</f>
        <v/>
      </c>
    </row>
    <row r="961" customFormat="false" ht="15" hidden="false" customHeight="false" outlineLevel="0" collapsed="false">
      <c r="A961" s="0" t="s">
        <v>255</v>
      </c>
      <c r="B961" s="0" t="n">
        <v>3</v>
      </c>
      <c r="C961" s="0" t="str">
        <f aca="false">IF('Young Innovators Kits'!C261="","",'Young Innovators Kits'!C261)</f>
        <v>PLA filament</v>
      </c>
      <c r="D961" s="0" t="n">
        <f aca="false">IF('Young Innovators Kits'!D261="","",'Young Innovators Kits'!D261)</f>
        <v>1</v>
      </c>
      <c r="E961" s="0" t="str">
        <f aca="false">IF('Young Innovators Kits'!E261="","",'Young Innovators Kits'!E261)</f>
        <v>Per class</v>
      </c>
      <c r="F961" s="0" t="str">
        <f aca="false">IFERROR(INDEX('Session Tracker'!$M$5:$M$149,MATCH($A961,'Session Tracker'!$D$5:$D$149,0))+0,"")</f>
        <v/>
      </c>
      <c r="G961" s="0" t="str">
        <f aca="false">IF(ISNUMBER(F961),IF(OR(B961=0,B961=99,C961&lt;&gt;""),F961*100+B961,""),"")</f>
        <v/>
      </c>
      <c r="H961" s="0" t="n">
        <f aca="false">IFERROR(INDEX('Session Tracker'!$J$5:$J$149,MATCH($A961,'Session Tracker'!$D$5:$D$149,0)),0)</f>
        <v>8</v>
      </c>
      <c r="I961" s="0" t="n">
        <f aca="false">IF(OR(B961=0,B961=99,C961=""),"",IF(E961="Per class",D961,D961*H961))</f>
        <v>1</v>
      </c>
      <c r="N961" s="0" t="str">
        <f aca="false">IF('Young Innovators Kits'!B261="","",'Young Innovators Kits'!B261)</f>
        <v>Computers &amp; Equipment</v>
      </c>
      <c r="O961" s="0" t="str">
        <f aca="false">IF('Young Innovators Kits'!F261="","",'Young Innovators Kits'!F261)</f>
        <v>Consumable</v>
      </c>
      <c r="P961" s="0" t="str">
        <f aca="false">IF('Young Innovators Kits'!G261="","",'Young Innovators Kits'!G261)</f>
        <v/>
      </c>
    </row>
    <row r="962" customFormat="false" ht="15" hidden="false" customHeight="false" outlineLevel="0" collapsed="false">
      <c r="A962" s="0" t="s">
        <v>255</v>
      </c>
      <c r="B962" s="0" t="n">
        <v>4</v>
      </c>
      <c r="C962" s="0" t="str">
        <f aca="false">IF('Young Innovators Kits'!C262="","",'Young Innovators Kits'!C262)</f>
        <v/>
      </c>
      <c r="D962" s="0" t="str">
        <f aca="false">IF('Young Innovators Kits'!D262="","",'Young Innovators Kits'!D262)</f>
        <v/>
      </c>
      <c r="E962" s="0" t="str">
        <f aca="false">IF('Young Innovators Kits'!E262="","",'Young Innovators Kits'!E262)</f>
        <v/>
      </c>
      <c r="F962" s="0" t="str">
        <f aca="false">IFERROR(INDEX('Session Tracker'!$M$5:$M$149,MATCH($A962,'Session Tracker'!$D$5:$D$149,0))+0,"")</f>
        <v/>
      </c>
      <c r="G962" s="0" t="str">
        <f aca="false">IF(ISNUMBER(F962),IF(OR(B962=0,B962=99,C962&lt;&gt;""),F962*100+B962,""),"")</f>
        <v/>
      </c>
      <c r="H962" s="0" t="n">
        <f aca="false">IFERROR(INDEX('Session Tracker'!$J$5:$J$149,MATCH($A962,'Session Tracker'!$D$5:$D$149,0)),0)</f>
        <v>8</v>
      </c>
      <c r="I962" s="0" t="str">
        <f aca="false">IF(OR(B962=0,B962=99,C962=""),"",IF(E962="Per class",D962,D962*H962))</f>
        <v/>
      </c>
      <c r="N962" s="0" t="str">
        <f aca="false">IF('Young Innovators Kits'!B262="","",'Young Innovators Kits'!B262)</f>
        <v/>
      </c>
      <c r="O962" s="0" t="str">
        <f aca="false">IF('Young Innovators Kits'!F262="","",'Young Innovators Kits'!F262)</f>
        <v/>
      </c>
      <c r="P962" s="0" t="str">
        <f aca="false">IF('Young Innovators Kits'!G262="","",'Young Innovators Kits'!G262)</f>
        <v/>
      </c>
    </row>
    <row r="963" customFormat="false" ht="15" hidden="false" customHeight="false" outlineLevel="0" collapsed="false">
      <c r="A963" s="0" t="s">
        <v>255</v>
      </c>
      <c r="B963" s="0" t="n">
        <v>5</v>
      </c>
      <c r="C963" s="0" t="str">
        <f aca="false">IF('Young Innovators Kits'!C263="","",'Young Innovators Kits'!C263)</f>
        <v/>
      </c>
      <c r="D963" s="0" t="str">
        <f aca="false">IF('Young Innovators Kits'!D263="","",'Young Innovators Kits'!D263)</f>
        <v/>
      </c>
      <c r="E963" s="0" t="str">
        <f aca="false">IF('Young Innovators Kits'!E263="","",'Young Innovators Kits'!E263)</f>
        <v/>
      </c>
      <c r="F963" s="0" t="str">
        <f aca="false">IFERROR(INDEX('Session Tracker'!$M$5:$M$149,MATCH($A963,'Session Tracker'!$D$5:$D$149,0))+0,"")</f>
        <v/>
      </c>
      <c r="G963" s="0" t="str">
        <f aca="false">IF(ISNUMBER(F963),IF(OR(B963=0,B963=99,C963&lt;&gt;""),F963*100+B963,""),"")</f>
        <v/>
      </c>
      <c r="H963" s="0" t="n">
        <f aca="false">IFERROR(INDEX('Session Tracker'!$J$5:$J$149,MATCH($A963,'Session Tracker'!$D$5:$D$149,0)),0)</f>
        <v>8</v>
      </c>
      <c r="I963" s="0" t="str">
        <f aca="false">IF(OR(B963=0,B963=99,C963=""),"",IF(E963="Per class",D963,D963*H963))</f>
        <v/>
      </c>
      <c r="N963" s="0" t="str">
        <f aca="false">IF('Young Innovators Kits'!B263="","",'Young Innovators Kits'!B263)</f>
        <v/>
      </c>
      <c r="O963" s="0" t="str">
        <f aca="false">IF('Young Innovators Kits'!F263="","",'Young Innovators Kits'!F263)</f>
        <v/>
      </c>
      <c r="P963" s="0" t="str">
        <f aca="false">IF('Young Innovators Kits'!G263="","",'Young Innovators Kits'!G263)</f>
        <v/>
      </c>
    </row>
    <row r="964" customFormat="false" ht="15" hidden="false" customHeight="false" outlineLevel="0" collapsed="false">
      <c r="A964" s="0" t="s">
        <v>257</v>
      </c>
      <c r="B964" s="0" t="n">
        <v>0</v>
      </c>
      <c r="F964" s="0" t="str">
        <f aca="false">IFERROR(INDEX('Session Tracker'!$M$5:$M$149,MATCH($A964,'Session Tracker'!$D$5:$D$149,0))+0,"")</f>
        <v/>
      </c>
      <c r="G964" s="0" t="str">
        <f aca="false">IF(ISNUMBER(F964),IF(OR(B964=0,B964=99,C964&lt;&gt;""),F964*100+B964,""),"")</f>
        <v/>
      </c>
      <c r="H964" s="0" t="n">
        <f aca="false">IFERROR(INDEX('Session Tracker'!$J$5:$J$149,MATCH($A964,'Session Tracker'!$D$5:$D$149,0)),0)</f>
        <v>8</v>
      </c>
      <c r="I964" s="0" t="str">
        <f aca="false">IF(OR(B964=0,B964=99,C964=""),"",IF(E964="Per class",D964,D964*H964))</f>
        <v/>
      </c>
      <c r="K964" s="0" t="str">
        <f aca="false">IFERROR(INDEX('Session Tracker'!$E$5:$E$149,MATCH($A964,'Session Tracker'!$D$5:$D$149,0)),"")</f>
        <v>Processing: Generative Art Poster</v>
      </c>
      <c r="L964" s="0" t="str">
        <f aca="false">IFERROR(INDEX('Session Tracker'!$A$5:$A$149,MATCH($A964,'Session Tracker'!$D$5:$D$149,0)),"")</f>
        <v>Young Innovators (12-14)</v>
      </c>
      <c r="M964" s="0" t="str">
        <f aca="false">IFERROR(INDEX('Session Tracker'!$H$5:$H$149,MATCH($A964,'Session Tracker'!$D$5:$D$149,0))&amp;"","")</f>
        <v/>
      </c>
      <c r="Q964" s="0" t="str">
        <f aca="false">IFERROR("Status: "&amp;INDEX('Session Tracker'!$F$5:$F$149,MATCH($A964,'Session Tracker'!$D$5:$D$149,0))&amp;IF(INDEX('Session Tracker'!$G$5:$G$149,MATCH($A964,'Session Tracker'!$D$5:$D$149,0))&lt;&gt;""," ("&amp;INDEX('Session Tracker'!$G$5:$G$149,MATCH($A964,'Session Tracker'!$D$5:$D$149,0))&amp;")","")&amp;IF(M964&lt;&gt;"","  "&amp;M964,""),"")</f>
        <v>Status: Not started</v>
      </c>
    </row>
    <row r="965" customFormat="false" ht="15" hidden="false" customHeight="false" outlineLevel="0" collapsed="false">
      <c r="A965" s="0" t="s">
        <v>257</v>
      </c>
      <c r="B965" s="0" t="n">
        <v>1</v>
      </c>
      <c r="C965" s="0" t="str">
        <f aca="false">IF('Young Innovators Kits'!C266="","",'Young Innovators Kits'!C266)</f>
        <v>Laptop</v>
      </c>
      <c r="D965" s="0" t="n">
        <f aca="false">IF('Young Innovators Kits'!D266="","",'Young Innovators Kits'!D266)</f>
        <v>1</v>
      </c>
      <c r="E965" s="0" t="str">
        <f aca="false">IF('Young Innovators Kits'!E266="","",'Young Innovators Kits'!E266)</f>
        <v>Per group</v>
      </c>
      <c r="F965" s="0" t="str">
        <f aca="false">IFERROR(INDEX('Session Tracker'!$M$5:$M$149,MATCH($A965,'Session Tracker'!$D$5:$D$149,0))+0,"")</f>
        <v/>
      </c>
      <c r="G965" s="0" t="str">
        <f aca="false">IF(ISNUMBER(F965),IF(OR(B965=0,B965=99,C965&lt;&gt;""),F965*100+B965,""),"")</f>
        <v/>
      </c>
      <c r="H965" s="0" t="n">
        <f aca="false">IFERROR(INDEX('Session Tracker'!$J$5:$J$149,MATCH($A965,'Session Tracker'!$D$5:$D$149,0)),0)</f>
        <v>8</v>
      </c>
      <c r="I965" s="0" t="n">
        <f aca="false">IF(OR(B965=0,B965=99,C965=""),"",IF(E965="Per class",D965,D965*H965))</f>
        <v>8</v>
      </c>
      <c r="N965" s="0" t="str">
        <f aca="false">IF('Young Innovators Kits'!B266="","",'Young Innovators Kits'!B266)</f>
        <v>Computers &amp; Equipment</v>
      </c>
      <c r="O965" s="0" t="str">
        <f aca="false">IF('Young Innovators Kits'!F266="","",'Young Innovators Kits'!F266)</f>
        <v>Reusable</v>
      </c>
      <c r="P965" s="0" t="str">
        <f aca="false">IF('Young Innovators Kits'!G266="","",'Young Innovators Kits'!G266)</f>
        <v/>
      </c>
    </row>
    <row r="966" customFormat="false" ht="15" hidden="false" customHeight="false" outlineLevel="0" collapsed="false">
      <c r="A966" s="0" t="s">
        <v>257</v>
      </c>
      <c r="B966" s="0" t="n">
        <v>2</v>
      </c>
      <c r="C966" s="0" t="str">
        <f aca="false">IF('Young Innovators Kits'!C267="","",'Young Innovators Kits'!C267)</f>
        <v/>
      </c>
      <c r="D966" s="0" t="str">
        <f aca="false">IF('Young Innovators Kits'!D267="","",'Young Innovators Kits'!D267)</f>
        <v/>
      </c>
      <c r="E966" s="0" t="str">
        <f aca="false">IF('Young Innovators Kits'!E267="","",'Young Innovators Kits'!E267)</f>
        <v/>
      </c>
      <c r="F966" s="0" t="str">
        <f aca="false">IFERROR(INDEX('Session Tracker'!$M$5:$M$149,MATCH($A966,'Session Tracker'!$D$5:$D$149,0))+0,"")</f>
        <v/>
      </c>
      <c r="G966" s="0" t="str">
        <f aca="false">IF(ISNUMBER(F966),IF(OR(B966=0,B966=99,C966&lt;&gt;""),F966*100+B966,""),"")</f>
        <v/>
      </c>
      <c r="H966" s="0" t="n">
        <f aca="false">IFERROR(INDEX('Session Tracker'!$J$5:$J$149,MATCH($A966,'Session Tracker'!$D$5:$D$149,0)),0)</f>
        <v>8</v>
      </c>
      <c r="I966" s="0" t="str">
        <f aca="false">IF(OR(B966=0,B966=99,C966=""),"",IF(E966="Per class",D966,D966*H966))</f>
        <v/>
      </c>
      <c r="N966" s="0" t="str">
        <f aca="false">IF('Young Innovators Kits'!B267="","",'Young Innovators Kits'!B267)</f>
        <v/>
      </c>
      <c r="O966" s="0" t="str">
        <f aca="false">IF('Young Innovators Kits'!F267="","",'Young Innovators Kits'!F267)</f>
        <v/>
      </c>
      <c r="P966" s="0" t="str">
        <f aca="false">IF('Young Innovators Kits'!G267="","",'Young Innovators Kits'!G267)</f>
        <v/>
      </c>
    </row>
    <row r="967" customFormat="false" ht="15" hidden="false" customHeight="false" outlineLevel="0" collapsed="false">
      <c r="A967" s="0" t="s">
        <v>257</v>
      </c>
      <c r="B967" s="0" t="n">
        <v>3</v>
      </c>
      <c r="C967" s="0" t="str">
        <f aca="false">IF('Young Innovators Kits'!C268="","",'Young Innovators Kits'!C268)</f>
        <v/>
      </c>
      <c r="D967" s="0" t="str">
        <f aca="false">IF('Young Innovators Kits'!D268="","",'Young Innovators Kits'!D268)</f>
        <v/>
      </c>
      <c r="E967" s="0" t="str">
        <f aca="false">IF('Young Innovators Kits'!E268="","",'Young Innovators Kits'!E268)</f>
        <v/>
      </c>
      <c r="F967" s="0" t="str">
        <f aca="false">IFERROR(INDEX('Session Tracker'!$M$5:$M$149,MATCH($A967,'Session Tracker'!$D$5:$D$149,0))+0,"")</f>
        <v/>
      </c>
      <c r="G967" s="0" t="str">
        <f aca="false">IF(ISNUMBER(F967),IF(OR(B967=0,B967=99,C967&lt;&gt;""),F967*100+B967,""),"")</f>
        <v/>
      </c>
      <c r="H967" s="0" t="n">
        <f aca="false">IFERROR(INDEX('Session Tracker'!$J$5:$J$149,MATCH($A967,'Session Tracker'!$D$5:$D$149,0)),0)</f>
        <v>8</v>
      </c>
      <c r="I967" s="0" t="str">
        <f aca="false">IF(OR(B967=0,B967=99,C967=""),"",IF(E967="Per class",D967,D967*H967))</f>
        <v/>
      </c>
      <c r="N967" s="0" t="str">
        <f aca="false">IF('Young Innovators Kits'!B268="","",'Young Innovators Kits'!B268)</f>
        <v/>
      </c>
      <c r="O967" s="0" t="str">
        <f aca="false">IF('Young Innovators Kits'!F268="","",'Young Innovators Kits'!F268)</f>
        <v/>
      </c>
      <c r="P967" s="0" t="str">
        <f aca="false">IF('Young Innovators Kits'!G268="","",'Young Innovators Kits'!G268)</f>
        <v/>
      </c>
    </row>
    <row r="968" customFormat="false" ht="15" hidden="false" customHeight="false" outlineLevel="0" collapsed="false">
      <c r="A968" s="0" t="s">
        <v>259</v>
      </c>
      <c r="B968" s="0" t="n">
        <v>0</v>
      </c>
      <c r="F968" s="0" t="str">
        <f aca="false">IFERROR(INDEX('Session Tracker'!$M$5:$M$149,MATCH($A968,'Session Tracker'!$D$5:$D$149,0))+0,"")</f>
        <v/>
      </c>
      <c r="G968" s="0" t="str">
        <f aca="false">IF(ISNUMBER(F968),IF(OR(B968=0,B968=99,C968&lt;&gt;""),F968*100+B968,""),"")</f>
        <v/>
      </c>
      <c r="H968" s="0" t="n">
        <f aca="false">IFERROR(INDEX('Session Tracker'!$J$5:$J$149,MATCH($A968,'Session Tracker'!$D$5:$D$149,0)),0)</f>
        <v>8</v>
      </c>
      <c r="I968" s="0" t="str">
        <f aca="false">IF(OR(B968=0,B968=99,C968=""),"",IF(E968="Per class",D968,D968*H968))</f>
        <v/>
      </c>
      <c r="K968" s="0" t="str">
        <f aca="false">IFERROR(INDEX('Session Tracker'!$E$5:$E$149,MATCH($A968,'Session Tracker'!$D$5:$D$149,0)),"")</f>
        <v>Processing + Arduino: Live Sensor Radar</v>
      </c>
      <c r="L968" s="0" t="str">
        <f aca="false">IFERROR(INDEX('Session Tracker'!$A$5:$A$149,MATCH($A968,'Session Tracker'!$D$5:$D$149,0)),"")</f>
        <v>Young Innovators (12-14)</v>
      </c>
      <c r="M968" s="0" t="str">
        <f aca="false">IFERROR(INDEX('Session Tracker'!$H$5:$H$149,MATCH($A968,'Session Tracker'!$D$5:$D$149,0))&amp;"","")</f>
        <v/>
      </c>
      <c r="Q968" s="0" t="str">
        <f aca="false">IFERROR("Status: "&amp;INDEX('Session Tracker'!$F$5:$F$149,MATCH($A968,'Session Tracker'!$D$5:$D$149,0))&amp;IF(INDEX('Session Tracker'!$G$5:$G$149,MATCH($A968,'Session Tracker'!$D$5:$D$149,0))&lt;&gt;""," ("&amp;INDEX('Session Tracker'!$G$5:$G$149,MATCH($A968,'Session Tracker'!$D$5:$D$149,0))&amp;")","")&amp;IF(M968&lt;&gt;"","  "&amp;M968,""),"")</f>
        <v>Status: Not started</v>
      </c>
    </row>
    <row r="969" customFormat="false" ht="15" hidden="false" customHeight="false" outlineLevel="0" collapsed="false">
      <c r="A969" s="0" t="s">
        <v>259</v>
      </c>
      <c r="B969" s="0" t="n">
        <v>1</v>
      </c>
      <c r="C969" s="0" t="str">
        <f aca="false">IF('Young Innovators Kits'!C271="","",'Young Innovators Kits'!C271)</f>
        <v>Arduino Uno + USB cable</v>
      </c>
      <c r="D969" s="0" t="n">
        <f aca="false">IF('Young Innovators Kits'!D271="","",'Young Innovators Kits'!D271)</f>
        <v>1</v>
      </c>
      <c r="E969" s="0" t="str">
        <f aca="false">IF('Young Innovators Kits'!E271="","",'Young Innovators Kits'!E271)</f>
        <v>Per group</v>
      </c>
      <c r="F969" s="0" t="str">
        <f aca="false">IFERROR(INDEX('Session Tracker'!$M$5:$M$149,MATCH($A969,'Session Tracker'!$D$5:$D$149,0))+0,"")</f>
        <v/>
      </c>
      <c r="G969" s="0" t="str">
        <f aca="false">IF(ISNUMBER(F969),IF(OR(B969=0,B969=99,C969&lt;&gt;""),F969*100+B969,""),"")</f>
        <v/>
      </c>
      <c r="H969" s="0" t="n">
        <f aca="false">IFERROR(INDEX('Session Tracker'!$J$5:$J$149,MATCH($A969,'Session Tracker'!$D$5:$D$149,0)),0)</f>
        <v>8</v>
      </c>
      <c r="I969" s="0" t="n">
        <f aca="false">IF(OR(B969=0,B969=99,C969=""),"",IF(E969="Per class",D969,D969*H969))</f>
        <v>8</v>
      </c>
      <c r="N969" s="0" t="str">
        <f aca="false">IF('Young Innovators Kits'!B271="","",'Young Innovators Kits'!B271)</f>
        <v>Microcontrollers &amp; Dev Boards</v>
      </c>
      <c r="O969" s="0" t="str">
        <f aca="false">IF('Young Innovators Kits'!F271="","",'Young Innovators Kits'!F271)</f>
        <v>Reusable</v>
      </c>
      <c r="P969" s="0" t="str">
        <f aca="false">IF('Young Innovators Kits'!G271="","",'Young Innovators Kits'!G271)</f>
        <v/>
      </c>
    </row>
    <row r="970" customFormat="false" ht="15" hidden="false" customHeight="false" outlineLevel="0" collapsed="false">
      <c r="A970" s="0" t="s">
        <v>259</v>
      </c>
      <c r="B970" s="0" t="n">
        <v>2</v>
      </c>
      <c r="C970" s="0" t="str">
        <f aca="false">IF('Young Innovators Kits'!C272="","",'Young Innovators Kits'!C272)</f>
        <v>Ultrasonic sensor HC-SR04</v>
      </c>
      <c r="D970" s="0" t="n">
        <f aca="false">IF('Young Innovators Kits'!D272="","",'Young Innovators Kits'!D272)</f>
        <v>1</v>
      </c>
      <c r="E970" s="0" t="str">
        <f aca="false">IF('Young Innovators Kits'!E272="","",'Young Innovators Kits'!E272)</f>
        <v>Per group</v>
      </c>
      <c r="F970" s="0" t="str">
        <f aca="false">IFERROR(INDEX('Session Tracker'!$M$5:$M$149,MATCH($A970,'Session Tracker'!$D$5:$D$149,0))+0,"")</f>
        <v/>
      </c>
      <c r="G970" s="0" t="str">
        <f aca="false">IF(ISNUMBER(F970),IF(OR(B970=0,B970=99,C970&lt;&gt;""),F970*100+B970,""),"")</f>
        <v/>
      </c>
      <c r="H970" s="0" t="n">
        <f aca="false">IFERROR(INDEX('Session Tracker'!$J$5:$J$149,MATCH($A970,'Session Tracker'!$D$5:$D$149,0)),0)</f>
        <v>8</v>
      </c>
      <c r="I970" s="0" t="n">
        <f aca="false">IF(OR(B970=0,B970=99,C970=""),"",IF(E970="Per class",D970,D970*H970))</f>
        <v>8</v>
      </c>
      <c r="N970" s="0" t="str">
        <f aca="false">IF('Young Innovators Kits'!B272="","",'Young Innovators Kits'!B272)</f>
        <v>Sensors</v>
      </c>
      <c r="O970" s="0" t="str">
        <f aca="false">IF('Young Innovators Kits'!F272="","",'Young Innovators Kits'!F272)</f>
        <v>Reusable</v>
      </c>
      <c r="P970" s="0" t="str">
        <f aca="false">IF('Young Innovators Kits'!G272="","",'Young Innovators Kits'!G272)</f>
        <v/>
      </c>
    </row>
    <row r="971" customFormat="false" ht="15" hidden="false" customHeight="false" outlineLevel="0" collapsed="false">
      <c r="A971" s="0" t="s">
        <v>259</v>
      </c>
      <c r="B971" s="0" t="n">
        <v>3</v>
      </c>
      <c r="C971" s="0" t="str">
        <f aca="false">IF('Young Innovators Kits'!C273="","",'Young Innovators Kits'!C273)</f>
        <v>Servo SG90</v>
      </c>
      <c r="D971" s="0" t="n">
        <f aca="false">IF('Young Innovators Kits'!D273="","",'Young Innovators Kits'!D273)</f>
        <v>1</v>
      </c>
      <c r="E971" s="0" t="str">
        <f aca="false">IF('Young Innovators Kits'!E273="","",'Young Innovators Kits'!E273)</f>
        <v>Per group</v>
      </c>
      <c r="F971" s="0" t="str">
        <f aca="false">IFERROR(INDEX('Session Tracker'!$M$5:$M$149,MATCH($A971,'Session Tracker'!$D$5:$D$149,0))+0,"")</f>
        <v/>
      </c>
      <c r="G971" s="0" t="str">
        <f aca="false">IF(ISNUMBER(F971),IF(OR(B971=0,B971=99,C971&lt;&gt;""),F971*100+B971,""),"")</f>
        <v/>
      </c>
      <c r="H971" s="0" t="n">
        <f aca="false">IFERROR(INDEX('Session Tracker'!$J$5:$J$149,MATCH($A971,'Session Tracker'!$D$5:$D$149,0)),0)</f>
        <v>8</v>
      </c>
      <c r="I971" s="0" t="n">
        <f aca="false">IF(OR(B971=0,B971=99,C971=""),"",IF(E971="Per class",D971,D971*H971))</f>
        <v>8</v>
      </c>
      <c r="N971" s="0" t="str">
        <f aca="false">IF('Young Innovators Kits'!B273="","",'Young Innovators Kits'!B273)</f>
        <v>Actuators &amp; Motor Drivers</v>
      </c>
      <c r="O971" s="0" t="str">
        <f aca="false">IF('Young Innovators Kits'!F273="","",'Young Innovators Kits'!F273)</f>
        <v>Reusable</v>
      </c>
      <c r="P971" s="0" t="str">
        <f aca="false">IF('Young Innovators Kits'!G273="","",'Young Innovators Kits'!G273)</f>
        <v/>
      </c>
    </row>
    <row r="972" customFormat="false" ht="15" hidden="false" customHeight="false" outlineLevel="0" collapsed="false">
      <c r="A972" s="0" t="s">
        <v>259</v>
      </c>
      <c r="B972" s="0" t="n">
        <v>4</v>
      </c>
      <c r="C972" s="0" t="str">
        <f aca="false">IF('Young Innovators Kits'!C274="","",'Young Innovators Kits'!C274)</f>
        <v>Breadboard (half size)</v>
      </c>
      <c r="D972" s="0" t="n">
        <f aca="false">IF('Young Innovators Kits'!D274="","",'Young Innovators Kits'!D274)</f>
        <v>1</v>
      </c>
      <c r="E972" s="0" t="str">
        <f aca="false">IF('Young Innovators Kits'!E274="","",'Young Innovators Kits'!E274)</f>
        <v>Per group</v>
      </c>
      <c r="F972" s="0" t="str">
        <f aca="false">IFERROR(INDEX('Session Tracker'!$M$5:$M$149,MATCH($A972,'Session Tracker'!$D$5:$D$149,0))+0,"")</f>
        <v/>
      </c>
      <c r="G972" s="0" t="str">
        <f aca="false">IF(ISNUMBER(F972),IF(OR(B972=0,B972=99,C972&lt;&gt;""),F972*100+B972,""),"")</f>
        <v/>
      </c>
      <c r="H972" s="0" t="n">
        <f aca="false">IFERROR(INDEX('Session Tracker'!$J$5:$J$149,MATCH($A972,'Session Tracker'!$D$5:$D$149,0)),0)</f>
        <v>8</v>
      </c>
      <c r="I972" s="0" t="n">
        <f aca="false">IF(OR(B972=0,B972=99,C972=""),"",IF(E972="Per class",D972,D972*H972))</f>
        <v>8</v>
      </c>
      <c r="N972" s="0" t="str">
        <f aca="false">IF('Young Innovators Kits'!B274="","",'Young Innovators Kits'!B274)</f>
        <v>Wiring &amp; Prototyping</v>
      </c>
      <c r="O972" s="0" t="str">
        <f aca="false">IF('Young Innovators Kits'!F274="","",'Young Innovators Kits'!F274)</f>
        <v>Reusable</v>
      </c>
      <c r="P972" s="0" t="str">
        <f aca="false">IF('Young Innovators Kits'!G274="","",'Young Innovators Kits'!G274)</f>
        <v/>
      </c>
    </row>
    <row r="973" customFormat="false" ht="15" hidden="false" customHeight="false" outlineLevel="0" collapsed="false">
      <c r="A973" s="0" t="s">
        <v>259</v>
      </c>
      <c r="B973" s="0" t="n">
        <v>5</v>
      </c>
      <c r="C973" s="0" t="str">
        <f aca="false">IF('Young Innovators Kits'!C275="","",'Young Innovators Kits'!C275)</f>
        <v>Jumper wires M-M</v>
      </c>
      <c r="D973" s="0" t="n">
        <f aca="false">IF('Young Innovators Kits'!D275="","",'Young Innovators Kits'!D275)</f>
        <v>6</v>
      </c>
      <c r="E973" s="0" t="str">
        <f aca="false">IF('Young Innovators Kits'!E275="","",'Young Innovators Kits'!E275)</f>
        <v>Per group</v>
      </c>
      <c r="F973" s="0" t="str">
        <f aca="false">IFERROR(INDEX('Session Tracker'!$M$5:$M$149,MATCH($A973,'Session Tracker'!$D$5:$D$149,0))+0,"")</f>
        <v/>
      </c>
      <c r="G973" s="0" t="str">
        <f aca="false">IF(ISNUMBER(F973),IF(OR(B973=0,B973=99,C973&lt;&gt;""),F973*100+B973,""),"")</f>
        <v/>
      </c>
      <c r="H973" s="0" t="n">
        <f aca="false">IFERROR(INDEX('Session Tracker'!$J$5:$J$149,MATCH($A973,'Session Tracker'!$D$5:$D$149,0)),0)</f>
        <v>8</v>
      </c>
      <c r="I973" s="0" t="n">
        <f aca="false">IF(OR(B973=0,B973=99,C973=""),"",IF(E973="Per class",D973,D973*H973))</f>
        <v>48</v>
      </c>
      <c r="N973" s="0" t="str">
        <f aca="false">IF('Young Innovators Kits'!B275="","",'Young Innovators Kits'!B275)</f>
        <v>Wiring &amp; Prototyping</v>
      </c>
      <c r="O973" s="0" t="str">
        <f aca="false">IF('Young Innovators Kits'!F275="","",'Young Innovators Kits'!F275)</f>
        <v>Reusable</v>
      </c>
      <c r="P973" s="0" t="str">
        <f aca="false">IF('Young Innovators Kits'!G275="","",'Young Innovators Kits'!G275)</f>
        <v/>
      </c>
    </row>
    <row r="974" customFormat="false" ht="15" hidden="false" customHeight="false" outlineLevel="0" collapsed="false">
      <c r="A974" s="0" t="s">
        <v>259</v>
      </c>
      <c r="B974" s="0" t="n">
        <v>6</v>
      </c>
      <c r="C974" s="0" t="str">
        <f aca="false">IF('Young Innovators Kits'!C276="","",'Young Innovators Kits'!C276)</f>
        <v>Jumper wires M-F</v>
      </c>
      <c r="D974" s="0" t="n">
        <f aca="false">IF('Young Innovators Kits'!D276="","",'Young Innovators Kits'!D276)</f>
        <v>4</v>
      </c>
      <c r="E974" s="0" t="str">
        <f aca="false">IF('Young Innovators Kits'!E276="","",'Young Innovators Kits'!E276)</f>
        <v>Per group</v>
      </c>
      <c r="F974" s="0" t="str">
        <f aca="false">IFERROR(INDEX('Session Tracker'!$M$5:$M$149,MATCH($A974,'Session Tracker'!$D$5:$D$149,0))+0,"")</f>
        <v/>
      </c>
      <c r="G974" s="0" t="str">
        <f aca="false">IF(ISNUMBER(F974),IF(OR(B974=0,B974=99,C974&lt;&gt;""),F974*100+B974,""),"")</f>
        <v/>
      </c>
      <c r="H974" s="0" t="n">
        <f aca="false">IFERROR(INDEX('Session Tracker'!$J$5:$J$149,MATCH($A974,'Session Tracker'!$D$5:$D$149,0)),0)</f>
        <v>8</v>
      </c>
      <c r="I974" s="0" t="n">
        <f aca="false">IF(OR(B974=0,B974=99,C974=""),"",IF(E974="Per class",D974,D974*H974))</f>
        <v>32</v>
      </c>
      <c r="N974" s="0" t="str">
        <f aca="false">IF('Young Innovators Kits'!B276="","",'Young Innovators Kits'!B276)</f>
        <v>Wiring &amp; Prototyping</v>
      </c>
      <c r="O974" s="0" t="str">
        <f aca="false">IF('Young Innovators Kits'!F276="","",'Young Innovators Kits'!F276)</f>
        <v>Reusable</v>
      </c>
      <c r="P974" s="0" t="str">
        <f aca="false">IF('Young Innovators Kits'!G276="","",'Young Innovators Kits'!G276)</f>
        <v/>
      </c>
    </row>
    <row r="975" customFormat="false" ht="15" hidden="false" customHeight="false" outlineLevel="0" collapsed="false">
      <c r="A975" s="0" t="s">
        <v>259</v>
      </c>
      <c r="B975" s="0" t="n">
        <v>7</v>
      </c>
      <c r="C975" s="0" t="str">
        <f aca="false">IF('Young Innovators Kits'!C277="","",'Young Innovators Kits'!C277)</f>
        <v>Laptop</v>
      </c>
      <c r="D975" s="0" t="n">
        <f aca="false">IF('Young Innovators Kits'!D277="","",'Young Innovators Kits'!D277)</f>
        <v>1</v>
      </c>
      <c r="E975" s="0" t="str">
        <f aca="false">IF('Young Innovators Kits'!E277="","",'Young Innovators Kits'!E277)</f>
        <v>Per group</v>
      </c>
      <c r="F975" s="0" t="str">
        <f aca="false">IFERROR(INDEX('Session Tracker'!$M$5:$M$149,MATCH($A975,'Session Tracker'!$D$5:$D$149,0))+0,"")</f>
        <v/>
      </c>
      <c r="G975" s="0" t="str">
        <f aca="false">IF(ISNUMBER(F975),IF(OR(B975=0,B975=99,C975&lt;&gt;""),F975*100+B975,""),"")</f>
        <v/>
      </c>
      <c r="H975" s="0" t="n">
        <f aca="false">IFERROR(INDEX('Session Tracker'!$J$5:$J$149,MATCH($A975,'Session Tracker'!$D$5:$D$149,0)),0)</f>
        <v>8</v>
      </c>
      <c r="I975" s="0" t="n">
        <f aca="false">IF(OR(B975=0,B975=99,C975=""),"",IF(E975="Per class",D975,D975*H975))</f>
        <v>8</v>
      </c>
      <c r="N975" s="0" t="str">
        <f aca="false">IF('Young Innovators Kits'!B277="","",'Young Innovators Kits'!B277)</f>
        <v>Computers &amp; Equipment</v>
      </c>
      <c r="O975" s="0" t="str">
        <f aca="false">IF('Young Innovators Kits'!F277="","",'Young Innovators Kits'!F277)</f>
        <v>Reusable</v>
      </c>
      <c r="P975" s="0" t="str">
        <f aca="false">IF('Young Innovators Kits'!G277="","",'Young Innovators Kits'!G277)</f>
        <v/>
      </c>
    </row>
    <row r="976" customFormat="false" ht="15" hidden="false" customHeight="false" outlineLevel="0" collapsed="false">
      <c r="A976" s="0" t="s">
        <v>259</v>
      </c>
      <c r="B976" s="0" t="n">
        <v>8</v>
      </c>
      <c r="C976" s="0" t="str">
        <f aca="false">IF('Young Innovators Kits'!C278="","",'Young Innovators Kits'!C278)</f>
        <v>LED 5 mm (assorted)</v>
      </c>
      <c r="D976" s="0" t="n">
        <f aca="false">IF('Young Innovators Kits'!D278="","",'Young Innovators Kits'!D278)</f>
        <v>1</v>
      </c>
      <c r="E976" s="0" t="str">
        <f aca="false">IF('Young Innovators Kits'!E278="","",'Young Innovators Kits'!E278)</f>
        <v>Per group</v>
      </c>
      <c r="F976" s="0" t="str">
        <f aca="false">IFERROR(INDEX('Session Tracker'!$M$5:$M$149,MATCH($A976,'Session Tracker'!$D$5:$D$149,0))+0,"")</f>
        <v/>
      </c>
      <c r="G976" s="0" t="str">
        <f aca="false">IF(ISNUMBER(F976),IF(OR(B976=0,B976=99,C976&lt;&gt;""),F976*100+B976,""),"")</f>
        <v/>
      </c>
      <c r="H976" s="0" t="n">
        <f aca="false">IFERROR(INDEX('Session Tracker'!$J$5:$J$149,MATCH($A976,'Session Tracker'!$D$5:$D$149,0)),0)</f>
        <v>8</v>
      </c>
      <c r="I976" s="0" t="n">
        <f aca="false">IF(OR(B976=0,B976=99,C976=""),"",IF(E976="Per class",D976,D976*H976))</f>
        <v>8</v>
      </c>
      <c r="N976" s="0" t="str">
        <f aca="false">IF('Young Innovators Kits'!B278="","",'Young Innovators Kits'!B278)</f>
        <v>Displays &amp; Output</v>
      </c>
      <c r="O976" s="0" t="str">
        <f aca="false">IF('Young Innovators Kits'!F278="","",'Young Innovators Kits'!F278)</f>
        <v>Consumable</v>
      </c>
      <c r="P976" s="0" t="str">
        <f aca="false">IF('Young Innovators Kits'!G278="","",'Young Innovators Kits'!G278)</f>
        <v>Added: every Arduino class</v>
      </c>
    </row>
    <row r="977" customFormat="false" ht="15" hidden="false" customHeight="false" outlineLevel="0" collapsed="false">
      <c r="A977" s="0" t="s">
        <v>259</v>
      </c>
      <c r="B977" s="0" t="n">
        <v>9</v>
      </c>
      <c r="C977" s="0" t="str">
        <f aca="false">IF('Young Innovators Kits'!C279="","",'Young Innovators Kits'!C279)</f>
        <v>Resistor 220 ohm</v>
      </c>
      <c r="D977" s="0" t="n">
        <f aca="false">IF('Young Innovators Kits'!D279="","",'Young Innovators Kits'!D279)</f>
        <v>1</v>
      </c>
      <c r="E977" s="0" t="str">
        <f aca="false">IF('Young Innovators Kits'!E279="","",'Young Innovators Kits'!E279)</f>
        <v>Per group</v>
      </c>
      <c r="F977" s="0" t="str">
        <f aca="false">IFERROR(INDEX('Session Tracker'!$M$5:$M$149,MATCH($A977,'Session Tracker'!$D$5:$D$149,0))+0,"")</f>
        <v/>
      </c>
      <c r="G977" s="0" t="str">
        <f aca="false">IF(ISNUMBER(F977),IF(OR(B977=0,B977=99,C977&lt;&gt;""),F977*100+B977,""),"")</f>
        <v/>
      </c>
      <c r="H977" s="0" t="n">
        <f aca="false">IFERROR(INDEX('Session Tracker'!$J$5:$J$149,MATCH($A977,'Session Tracker'!$D$5:$D$149,0)),0)</f>
        <v>8</v>
      </c>
      <c r="I977" s="0" t="n">
        <f aca="false">IF(OR(B977=0,B977=99,C977=""),"",IF(E977="Per class",D977,D977*H977))</f>
        <v>8</v>
      </c>
      <c r="N977" s="0" t="str">
        <f aca="false">IF('Young Innovators Kits'!B279="","",'Young Innovators Kits'!B279)</f>
        <v>Passive Components &amp; ICs</v>
      </c>
      <c r="O977" s="0" t="str">
        <f aca="false">IF('Young Innovators Kits'!F279="","",'Young Innovators Kits'!F279)</f>
        <v>Consumable</v>
      </c>
      <c r="P977" s="0" t="str">
        <f aca="false">IF('Young Innovators Kits'!G279="","",'Young Innovators Kits'!G279)</f>
        <v>Added: for the LED</v>
      </c>
    </row>
    <row r="978" customFormat="false" ht="15" hidden="false" customHeight="false" outlineLevel="0" collapsed="false">
      <c r="A978" s="0" t="s">
        <v>259</v>
      </c>
      <c r="B978" s="0" t="n">
        <v>10</v>
      </c>
      <c r="C978" s="0" t="str">
        <f aca="false">IF('Young Innovators Kits'!C280="","",'Young Innovators Kits'!C280)</f>
        <v>Buzzer</v>
      </c>
      <c r="D978" s="0" t="n">
        <f aca="false">IF('Young Innovators Kits'!D280="","",'Young Innovators Kits'!D280)</f>
        <v>1</v>
      </c>
      <c r="E978" s="0" t="str">
        <f aca="false">IF('Young Innovators Kits'!E280="","",'Young Innovators Kits'!E280)</f>
        <v>Per group</v>
      </c>
      <c r="F978" s="0" t="str">
        <f aca="false">IFERROR(INDEX('Session Tracker'!$M$5:$M$149,MATCH($A978,'Session Tracker'!$D$5:$D$149,0))+0,"")</f>
        <v/>
      </c>
      <c r="G978" s="0" t="str">
        <f aca="false">IF(ISNUMBER(F978),IF(OR(B978=0,B978=99,C978&lt;&gt;""),F978*100+B978,""),"")</f>
        <v/>
      </c>
      <c r="H978" s="0" t="n">
        <f aca="false">IFERROR(INDEX('Session Tracker'!$J$5:$J$149,MATCH($A978,'Session Tracker'!$D$5:$D$149,0)),0)</f>
        <v>8</v>
      </c>
      <c r="I978" s="0" t="n">
        <f aca="false">IF(OR(B978=0,B978=99,C978=""),"",IF(E978="Per class",D978,D978*H978))</f>
        <v>8</v>
      </c>
      <c r="N978" s="0" t="str">
        <f aca="false">IF('Young Innovators Kits'!B280="","",'Young Innovators Kits'!B280)</f>
        <v>Actuators &amp; Motor Drivers</v>
      </c>
      <c r="O978" s="0" t="str">
        <f aca="false">IF('Young Innovators Kits'!F280="","",'Young Innovators Kits'!F280)</f>
        <v>Reusable</v>
      </c>
      <c r="P978" s="0" t="str">
        <f aca="false">IF('Young Innovators Kits'!G280="","",'Young Innovators Kits'!G280)</f>
        <v>Added: every Arduino class</v>
      </c>
    </row>
    <row r="979" customFormat="false" ht="15" hidden="false" customHeight="false" outlineLevel="0" collapsed="false">
      <c r="A979" s="0" t="s">
        <v>259</v>
      </c>
      <c r="B979" s="0" t="n">
        <v>11</v>
      </c>
      <c r="C979" s="0" t="str">
        <f aca="false">IF('Young Innovators Kits'!C281="","",'Young Innovators Kits'!C281)</f>
        <v/>
      </c>
      <c r="D979" s="0" t="str">
        <f aca="false">IF('Young Innovators Kits'!D281="","",'Young Innovators Kits'!D281)</f>
        <v/>
      </c>
      <c r="E979" s="0" t="str">
        <f aca="false">IF('Young Innovators Kits'!E281="","",'Young Innovators Kits'!E281)</f>
        <v/>
      </c>
      <c r="F979" s="0" t="str">
        <f aca="false">IFERROR(INDEX('Session Tracker'!$M$5:$M$149,MATCH($A979,'Session Tracker'!$D$5:$D$149,0))+0,"")</f>
        <v/>
      </c>
      <c r="G979" s="0" t="str">
        <f aca="false">IF(ISNUMBER(F979),IF(OR(B979=0,B979=99,C979&lt;&gt;""),F979*100+B979,""),"")</f>
        <v/>
      </c>
      <c r="H979" s="0" t="n">
        <f aca="false">IFERROR(INDEX('Session Tracker'!$J$5:$J$149,MATCH($A979,'Session Tracker'!$D$5:$D$149,0)),0)</f>
        <v>8</v>
      </c>
      <c r="I979" s="0" t="str">
        <f aca="false">IF(OR(B979=0,B979=99,C979=""),"",IF(E979="Per class",D979,D979*H979))</f>
        <v/>
      </c>
      <c r="N979" s="0" t="str">
        <f aca="false">IF('Young Innovators Kits'!B281="","",'Young Innovators Kits'!B281)</f>
        <v/>
      </c>
      <c r="O979" s="0" t="str">
        <f aca="false">IF('Young Innovators Kits'!F281="","",'Young Innovators Kits'!F281)</f>
        <v/>
      </c>
      <c r="P979" s="0" t="str">
        <f aca="false">IF('Young Innovators Kits'!G281="","",'Young Innovators Kits'!G281)</f>
        <v/>
      </c>
    </row>
    <row r="980" customFormat="false" ht="15" hidden="false" customHeight="false" outlineLevel="0" collapsed="false">
      <c r="A980" s="0" t="s">
        <v>259</v>
      </c>
      <c r="B980" s="0" t="n">
        <v>12</v>
      </c>
      <c r="C980" s="0" t="str">
        <f aca="false">IF('Young Innovators Kits'!C282="","",'Young Innovators Kits'!C282)</f>
        <v/>
      </c>
      <c r="D980" s="0" t="str">
        <f aca="false">IF('Young Innovators Kits'!D282="","",'Young Innovators Kits'!D282)</f>
        <v/>
      </c>
      <c r="E980" s="0" t="str">
        <f aca="false">IF('Young Innovators Kits'!E282="","",'Young Innovators Kits'!E282)</f>
        <v/>
      </c>
      <c r="F980" s="0" t="str">
        <f aca="false">IFERROR(INDEX('Session Tracker'!$M$5:$M$149,MATCH($A980,'Session Tracker'!$D$5:$D$149,0))+0,"")</f>
        <v/>
      </c>
      <c r="G980" s="0" t="str">
        <f aca="false">IF(ISNUMBER(F980),IF(OR(B980=0,B980=99,C980&lt;&gt;""),F980*100+B980,""),"")</f>
        <v/>
      </c>
      <c r="H980" s="0" t="n">
        <f aca="false">IFERROR(INDEX('Session Tracker'!$J$5:$J$149,MATCH($A980,'Session Tracker'!$D$5:$D$149,0)),0)</f>
        <v>8</v>
      </c>
      <c r="I980" s="0" t="str">
        <f aca="false">IF(OR(B980=0,B980=99,C980=""),"",IF(E980="Per class",D980,D980*H980))</f>
        <v/>
      </c>
      <c r="N980" s="0" t="str">
        <f aca="false">IF('Young Innovators Kits'!B282="","",'Young Innovators Kits'!B282)</f>
        <v/>
      </c>
      <c r="O980" s="0" t="str">
        <f aca="false">IF('Young Innovators Kits'!F282="","",'Young Innovators Kits'!F282)</f>
        <v/>
      </c>
      <c r="P980" s="0" t="str">
        <f aca="false">IF('Young Innovators Kits'!G282="","",'Young Innovators Kits'!G282)</f>
        <v/>
      </c>
    </row>
    <row r="981" customFormat="false" ht="15" hidden="false" customHeight="false" outlineLevel="0" collapsed="false">
      <c r="A981" s="0" t="s">
        <v>261</v>
      </c>
      <c r="B981" s="0" t="n">
        <v>0</v>
      </c>
      <c r="F981" s="0" t="str">
        <f aca="false">IFERROR(INDEX('Session Tracker'!$M$5:$M$149,MATCH($A981,'Session Tracker'!$D$5:$D$149,0))+0,"")</f>
        <v/>
      </c>
      <c r="G981" s="0" t="str">
        <f aca="false">IF(ISNUMBER(F981),IF(OR(B981=0,B981=99,C981&lt;&gt;""),F981*100+B981,""),"")</f>
        <v/>
      </c>
      <c r="H981" s="0" t="n">
        <f aca="false">IFERROR(INDEX('Session Tracker'!$J$5:$J$149,MATCH($A981,'Session Tracker'!$D$5:$D$149,0)),0)</f>
        <v>8</v>
      </c>
      <c r="I981" s="0" t="str">
        <f aca="false">IF(OR(B981=0,B981=99,C981=""),"",IF(E981="Per class",D981,D981*H981))</f>
        <v/>
      </c>
      <c r="K981" s="0" t="str">
        <f aca="false">IFERROR(INDEX('Session Tracker'!$E$5:$E$149,MATCH($A981,'Session Tracker'!$D$5:$D$149,0)),"")</f>
        <v>Python Pygame: Catch the Falling Stars</v>
      </c>
      <c r="L981" s="0" t="str">
        <f aca="false">IFERROR(INDEX('Session Tracker'!$A$5:$A$149,MATCH($A981,'Session Tracker'!$D$5:$D$149,0)),"")</f>
        <v>Young Innovators (12-14)</v>
      </c>
      <c r="M981" s="0" t="str">
        <f aca="false">IFERROR(INDEX('Session Tracker'!$H$5:$H$149,MATCH($A981,'Session Tracker'!$D$5:$D$149,0))&amp;"","")</f>
        <v/>
      </c>
      <c r="Q981" s="0" t="str">
        <f aca="false">IFERROR("Status: "&amp;INDEX('Session Tracker'!$F$5:$F$149,MATCH($A981,'Session Tracker'!$D$5:$D$149,0))&amp;IF(INDEX('Session Tracker'!$G$5:$G$149,MATCH($A981,'Session Tracker'!$D$5:$D$149,0))&lt;&gt;""," ("&amp;INDEX('Session Tracker'!$G$5:$G$149,MATCH($A981,'Session Tracker'!$D$5:$D$149,0))&amp;")","")&amp;IF(M981&lt;&gt;"","  "&amp;M981,""),"")</f>
        <v>Status: Not started</v>
      </c>
    </row>
    <row r="982" customFormat="false" ht="15" hidden="false" customHeight="false" outlineLevel="0" collapsed="false">
      <c r="A982" s="0" t="s">
        <v>261</v>
      </c>
      <c r="B982" s="0" t="n">
        <v>1</v>
      </c>
      <c r="C982" s="0" t="str">
        <f aca="false">IF('Young Innovators Kits'!C285="","",'Young Innovators Kits'!C285)</f>
        <v>Laptop</v>
      </c>
      <c r="D982" s="0" t="n">
        <f aca="false">IF('Young Innovators Kits'!D285="","",'Young Innovators Kits'!D285)</f>
        <v>1</v>
      </c>
      <c r="E982" s="0" t="str">
        <f aca="false">IF('Young Innovators Kits'!E285="","",'Young Innovators Kits'!E285)</f>
        <v>Per group</v>
      </c>
      <c r="F982" s="0" t="str">
        <f aca="false">IFERROR(INDEX('Session Tracker'!$M$5:$M$149,MATCH($A982,'Session Tracker'!$D$5:$D$149,0))+0,"")</f>
        <v/>
      </c>
      <c r="G982" s="0" t="str">
        <f aca="false">IF(ISNUMBER(F982),IF(OR(B982=0,B982=99,C982&lt;&gt;""),F982*100+B982,""),"")</f>
        <v/>
      </c>
      <c r="H982" s="0" t="n">
        <f aca="false">IFERROR(INDEX('Session Tracker'!$J$5:$J$149,MATCH($A982,'Session Tracker'!$D$5:$D$149,0)),0)</f>
        <v>8</v>
      </c>
      <c r="I982" s="0" t="n">
        <f aca="false">IF(OR(B982=0,B982=99,C982=""),"",IF(E982="Per class",D982,D982*H982))</f>
        <v>8</v>
      </c>
      <c r="N982" s="0" t="str">
        <f aca="false">IF('Young Innovators Kits'!B285="","",'Young Innovators Kits'!B285)</f>
        <v>Computers &amp; Equipment</v>
      </c>
      <c r="O982" s="0" t="str">
        <f aca="false">IF('Young Innovators Kits'!F285="","",'Young Innovators Kits'!F285)</f>
        <v>Reusable</v>
      </c>
      <c r="P982" s="0" t="str">
        <f aca="false">IF('Young Innovators Kits'!G285="","",'Young Innovators Kits'!G285)</f>
        <v/>
      </c>
    </row>
    <row r="983" customFormat="false" ht="15" hidden="false" customHeight="false" outlineLevel="0" collapsed="false">
      <c r="A983" s="0" t="s">
        <v>261</v>
      </c>
      <c r="B983" s="0" t="n">
        <v>2</v>
      </c>
      <c r="C983" s="0" t="str">
        <f aca="false">IF('Young Innovators Kits'!C286="","",'Young Innovators Kits'!C286)</f>
        <v/>
      </c>
      <c r="D983" s="0" t="str">
        <f aca="false">IF('Young Innovators Kits'!D286="","",'Young Innovators Kits'!D286)</f>
        <v/>
      </c>
      <c r="E983" s="0" t="str">
        <f aca="false">IF('Young Innovators Kits'!E286="","",'Young Innovators Kits'!E286)</f>
        <v/>
      </c>
      <c r="F983" s="0" t="str">
        <f aca="false">IFERROR(INDEX('Session Tracker'!$M$5:$M$149,MATCH($A983,'Session Tracker'!$D$5:$D$149,0))+0,"")</f>
        <v/>
      </c>
      <c r="G983" s="0" t="str">
        <f aca="false">IF(ISNUMBER(F983),IF(OR(B983=0,B983=99,C983&lt;&gt;""),F983*100+B983,""),"")</f>
        <v/>
      </c>
      <c r="H983" s="0" t="n">
        <f aca="false">IFERROR(INDEX('Session Tracker'!$J$5:$J$149,MATCH($A983,'Session Tracker'!$D$5:$D$149,0)),0)</f>
        <v>8</v>
      </c>
      <c r="I983" s="0" t="str">
        <f aca="false">IF(OR(B983=0,B983=99,C983=""),"",IF(E983="Per class",D983,D983*H983))</f>
        <v/>
      </c>
      <c r="N983" s="0" t="str">
        <f aca="false">IF('Young Innovators Kits'!B286="","",'Young Innovators Kits'!B286)</f>
        <v/>
      </c>
      <c r="O983" s="0" t="str">
        <f aca="false">IF('Young Innovators Kits'!F286="","",'Young Innovators Kits'!F286)</f>
        <v/>
      </c>
      <c r="P983" s="0" t="str">
        <f aca="false">IF('Young Innovators Kits'!G286="","",'Young Innovators Kits'!G286)</f>
        <v/>
      </c>
    </row>
    <row r="984" customFormat="false" ht="15" hidden="false" customHeight="false" outlineLevel="0" collapsed="false">
      <c r="A984" s="0" t="s">
        <v>261</v>
      </c>
      <c r="B984" s="0" t="n">
        <v>3</v>
      </c>
      <c r="C984" s="0" t="str">
        <f aca="false">IF('Young Innovators Kits'!C287="","",'Young Innovators Kits'!C287)</f>
        <v/>
      </c>
      <c r="D984" s="0" t="str">
        <f aca="false">IF('Young Innovators Kits'!D287="","",'Young Innovators Kits'!D287)</f>
        <v/>
      </c>
      <c r="E984" s="0" t="str">
        <f aca="false">IF('Young Innovators Kits'!E287="","",'Young Innovators Kits'!E287)</f>
        <v/>
      </c>
      <c r="F984" s="0" t="str">
        <f aca="false">IFERROR(INDEX('Session Tracker'!$M$5:$M$149,MATCH($A984,'Session Tracker'!$D$5:$D$149,0))+0,"")</f>
        <v/>
      </c>
      <c r="G984" s="0" t="str">
        <f aca="false">IF(ISNUMBER(F984),IF(OR(B984=0,B984=99,C984&lt;&gt;""),F984*100+B984,""),"")</f>
        <v/>
      </c>
      <c r="H984" s="0" t="n">
        <f aca="false">IFERROR(INDEX('Session Tracker'!$J$5:$J$149,MATCH($A984,'Session Tracker'!$D$5:$D$149,0)),0)</f>
        <v>8</v>
      </c>
      <c r="I984" s="0" t="str">
        <f aca="false">IF(OR(B984=0,B984=99,C984=""),"",IF(E984="Per class",D984,D984*H984))</f>
        <v/>
      </c>
      <c r="N984" s="0" t="str">
        <f aca="false">IF('Young Innovators Kits'!B287="","",'Young Innovators Kits'!B287)</f>
        <v/>
      </c>
      <c r="O984" s="0" t="str">
        <f aca="false">IF('Young Innovators Kits'!F287="","",'Young Innovators Kits'!F287)</f>
        <v/>
      </c>
      <c r="P984" s="0" t="str">
        <f aca="false">IF('Young Innovators Kits'!G287="","",'Young Innovators Kits'!G287)</f>
        <v/>
      </c>
    </row>
    <row r="985" customFormat="false" ht="15" hidden="false" customHeight="false" outlineLevel="0" collapsed="false">
      <c r="A985" s="0" t="s">
        <v>263</v>
      </c>
      <c r="B985" s="0" t="n">
        <v>0</v>
      </c>
      <c r="F985" s="0" t="str">
        <f aca="false">IFERROR(INDEX('Session Tracker'!$M$5:$M$149,MATCH($A985,'Session Tracker'!$D$5:$D$149,0))+0,"")</f>
        <v/>
      </c>
      <c r="G985" s="0" t="str">
        <f aca="false">IF(ISNUMBER(F985),IF(OR(B985=0,B985=99,C985&lt;&gt;""),F985*100+B985,""),"")</f>
        <v/>
      </c>
      <c r="H985" s="0" t="n">
        <f aca="false">IFERROR(INDEX('Session Tracker'!$J$5:$J$149,MATCH($A985,'Session Tracker'!$D$5:$D$149,0)),0)</f>
        <v>8</v>
      </c>
      <c r="I985" s="0" t="str">
        <f aca="false">IF(OR(B985=0,B985=99,C985=""),"",IF(E985="Per class",D985,D985*H985))</f>
        <v/>
      </c>
      <c r="K985" s="0" t="str">
        <f aca="false">IFERROR(INDEX('Session Tracker'!$E$5:$E$149,MATCH($A985,'Session Tracker'!$D$5:$D$149,0)),"")</f>
        <v>ESP32-CAM Wildlife Camera</v>
      </c>
      <c r="L985" s="0" t="str">
        <f aca="false">IFERROR(INDEX('Session Tracker'!$A$5:$A$149,MATCH($A985,'Session Tracker'!$D$5:$D$149,0)),"")</f>
        <v>Young Innovators (12-14)</v>
      </c>
      <c r="M985" s="0" t="str">
        <f aca="false">IFERROR(INDEX('Session Tracker'!$H$5:$H$149,MATCH($A985,'Session Tracker'!$D$5:$D$149,0))&amp;"","")</f>
        <v/>
      </c>
      <c r="Q985" s="0" t="str">
        <f aca="false">IFERROR("Status: "&amp;INDEX('Session Tracker'!$F$5:$F$149,MATCH($A985,'Session Tracker'!$D$5:$D$149,0))&amp;IF(INDEX('Session Tracker'!$G$5:$G$149,MATCH($A985,'Session Tracker'!$D$5:$D$149,0))&lt;&gt;""," ("&amp;INDEX('Session Tracker'!$G$5:$G$149,MATCH($A985,'Session Tracker'!$D$5:$D$149,0))&amp;")","")&amp;IF(M985&lt;&gt;"","  "&amp;M985,""),"")</f>
        <v>Status: Not started</v>
      </c>
    </row>
    <row r="986" customFormat="false" ht="15" hidden="false" customHeight="false" outlineLevel="0" collapsed="false">
      <c r="A986" s="0" t="s">
        <v>263</v>
      </c>
      <c r="B986" s="0" t="n">
        <v>1</v>
      </c>
      <c r="C986" s="0" t="str">
        <f aca="false">IF('Young Innovators Kits'!C290="","",'Young Innovators Kits'!C290)</f>
        <v>ESP32-CAM + programmer</v>
      </c>
      <c r="D986" s="0" t="n">
        <f aca="false">IF('Young Innovators Kits'!D290="","",'Young Innovators Kits'!D290)</f>
        <v>1</v>
      </c>
      <c r="E986" s="0" t="str">
        <f aca="false">IF('Young Innovators Kits'!E290="","",'Young Innovators Kits'!E290)</f>
        <v>Per group</v>
      </c>
      <c r="F986" s="0" t="str">
        <f aca="false">IFERROR(INDEX('Session Tracker'!$M$5:$M$149,MATCH($A986,'Session Tracker'!$D$5:$D$149,0))+0,"")</f>
        <v/>
      </c>
      <c r="G986" s="0" t="str">
        <f aca="false">IF(ISNUMBER(F986),IF(OR(B986=0,B986=99,C986&lt;&gt;""),F986*100+B986,""),"")</f>
        <v/>
      </c>
      <c r="H986" s="0" t="n">
        <f aca="false">IFERROR(INDEX('Session Tracker'!$J$5:$J$149,MATCH($A986,'Session Tracker'!$D$5:$D$149,0)),0)</f>
        <v>8</v>
      </c>
      <c r="I986" s="0" t="n">
        <f aca="false">IF(OR(B986=0,B986=99,C986=""),"",IF(E986="Per class",D986,D986*H986))</f>
        <v>8</v>
      </c>
      <c r="N986" s="0" t="str">
        <f aca="false">IF('Young Innovators Kits'!B290="","",'Young Innovators Kits'!B290)</f>
        <v>Microcontrollers &amp; Dev Boards</v>
      </c>
      <c r="O986" s="0" t="str">
        <f aca="false">IF('Young Innovators Kits'!F290="","",'Young Innovators Kits'!F290)</f>
        <v>Reusable</v>
      </c>
      <c r="P986" s="0" t="str">
        <f aca="false">IF('Young Innovators Kits'!G290="","",'Young Innovators Kits'!G290)</f>
        <v>From lab stock</v>
      </c>
    </row>
    <row r="987" customFormat="false" ht="15" hidden="false" customHeight="false" outlineLevel="0" collapsed="false">
      <c r="A987" s="0" t="s">
        <v>263</v>
      </c>
      <c r="B987" s="0" t="n">
        <v>2</v>
      </c>
      <c r="C987" s="0" t="str">
        <f aca="false">IF('Young Innovators Kits'!C291="","",'Young Innovators Kits'!C291)</f>
        <v>PIR motion sensor</v>
      </c>
      <c r="D987" s="0" t="n">
        <f aca="false">IF('Young Innovators Kits'!D291="","",'Young Innovators Kits'!D291)</f>
        <v>1</v>
      </c>
      <c r="E987" s="0" t="str">
        <f aca="false">IF('Young Innovators Kits'!E291="","",'Young Innovators Kits'!E291)</f>
        <v>Per group</v>
      </c>
      <c r="F987" s="0" t="str">
        <f aca="false">IFERROR(INDEX('Session Tracker'!$M$5:$M$149,MATCH($A987,'Session Tracker'!$D$5:$D$149,0))+0,"")</f>
        <v/>
      </c>
      <c r="G987" s="0" t="str">
        <f aca="false">IF(ISNUMBER(F987),IF(OR(B987=0,B987=99,C987&lt;&gt;""),F987*100+B987,""),"")</f>
        <v/>
      </c>
      <c r="H987" s="0" t="n">
        <f aca="false">IFERROR(INDEX('Session Tracker'!$J$5:$J$149,MATCH($A987,'Session Tracker'!$D$5:$D$149,0)),0)</f>
        <v>8</v>
      </c>
      <c r="I987" s="0" t="n">
        <f aca="false">IF(OR(B987=0,B987=99,C987=""),"",IF(E987="Per class",D987,D987*H987))</f>
        <v>8</v>
      </c>
      <c r="N987" s="0" t="str">
        <f aca="false">IF('Young Innovators Kits'!B291="","",'Young Innovators Kits'!B291)</f>
        <v>Sensors</v>
      </c>
      <c r="O987" s="0" t="str">
        <f aca="false">IF('Young Innovators Kits'!F291="","",'Young Innovators Kits'!F291)</f>
        <v>Reusable</v>
      </c>
      <c r="P987" s="0" t="str">
        <f aca="false">IF('Young Innovators Kits'!G291="","",'Young Innovators Kits'!G291)</f>
        <v/>
      </c>
    </row>
    <row r="988" customFormat="false" ht="15" hidden="false" customHeight="false" outlineLevel="0" collapsed="false">
      <c r="A988" s="0" t="s">
        <v>263</v>
      </c>
      <c r="B988" s="0" t="n">
        <v>3</v>
      </c>
      <c r="C988" s="0" t="str">
        <f aca="false">IF('Young Innovators Kits'!C292="","",'Young Innovators Kits'!C292)</f>
        <v>Jumper wires M-F</v>
      </c>
      <c r="D988" s="0" t="n">
        <f aca="false">IF('Young Innovators Kits'!D292="","",'Young Innovators Kits'!D292)</f>
        <v>6</v>
      </c>
      <c r="E988" s="0" t="str">
        <f aca="false">IF('Young Innovators Kits'!E292="","",'Young Innovators Kits'!E292)</f>
        <v>Per group</v>
      </c>
      <c r="F988" s="0" t="str">
        <f aca="false">IFERROR(INDEX('Session Tracker'!$M$5:$M$149,MATCH($A988,'Session Tracker'!$D$5:$D$149,0))+0,"")</f>
        <v/>
      </c>
      <c r="G988" s="0" t="str">
        <f aca="false">IF(ISNUMBER(F988),IF(OR(B988=0,B988=99,C988&lt;&gt;""),F988*100+B988,""),"")</f>
        <v/>
      </c>
      <c r="H988" s="0" t="n">
        <f aca="false">IFERROR(INDEX('Session Tracker'!$J$5:$J$149,MATCH($A988,'Session Tracker'!$D$5:$D$149,0)),0)</f>
        <v>8</v>
      </c>
      <c r="I988" s="0" t="n">
        <f aca="false">IF(OR(B988=0,B988=99,C988=""),"",IF(E988="Per class",D988,D988*H988))</f>
        <v>48</v>
      </c>
      <c r="N988" s="0" t="str">
        <f aca="false">IF('Young Innovators Kits'!B292="","",'Young Innovators Kits'!B292)</f>
        <v>Wiring &amp; Prototyping</v>
      </c>
      <c r="O988" s="0" t="str">
        <f aca="false">IF('Young Innovators Kits'!F292="","",'Young Innovators Kits'!F292)</f>
        <v>Reusable</v>
      </c>
      <c r="P988" s="0" t="str">
        <f aca="false">IF('Young Innovators Kits'!G292="","",'Young Innovators Kits'!G292)</f>
        <v/>
      </c>
    </row>
    <row r="989" customFormat="false" ht="15" hidden="false" customHeight="false" outlineLevel="0" collapsed="false">
      <c r="A989" s="0" t="s">
        <v>263</v>
      </c>
      <c r="B989" s="0" t="n">
        <v>4</v>
      </c>
      <c r="C989" s="0" t="str">
        <f aca="false">IF('Young Innovators Kits'!C293="","",'Young Innovators Kits'!C293)</f>
        <v>Laptop</v>
      </c>
      <c r="D989" s="0" t="n">
        <f aca="false">IF('Young Innovators Kits'!D293="","",'Young Innovators Kits'!D293)</f>
        <v>1</v>
      </c>
      <c r="E989" s="0" t="str">
        <f aca="false">IF('Young Innovators Kits'!E293="","",'Young Innovators Kits'!E293)</f>
        <v>Per group</v>
      </c>
      <c r="F989" s="0" t="str">
        <f aca="false">IFERROR(INDEX('Session Tracker'!$M$5:$M$149,MATCH($A989,'Session Tracker'!$D$5:$D$149,0))+0,"")</f>
        <v/>
      </c>
      <c r="G989" s="0" t="str">
        <f aca="false">IF(ISNUMBER(F989),IF(OR(B989=0,B989=99,C989&lt;&gt;""),F989*100+B989,""),"")</f>
        <v/>
      </c>
      <c r="H989" s="0" t="n">
        <f aca="false">IFERROR(INDEX('Session Tracker'!$J$5:$J$149,MATCH($A989,'Session Tracker'!$D$5:$D$149,0)),0)</f>
        <v>8</v>
      </c>
      <c r="I989" s="0" t="n">
        <f aca="false">IF(OR(B989=0,B989=99,C989=""),"",IF(E989="Per class",D989,D989*H989))</f>
        <v>8</v>
      </c>
      <c r="N989" s="0" t="str">
        <f aca="false">IF('Young Innovators Kits'!B293="","",'Young Innovators Kits'!B293)</f>
        <v>Computers &amp; Equipment</v>
      </c>
      <c r="O989" s="0" t="str">
        <f aca="false">IF('Young Innovators Kits'!F293="","",'Young Innovators Kits'!F293)</f>
        <v>Reusable</v>
      </c>
      <c r="P989" s="0" t="str">
        <f aca="false">IF('Young Innovators Kits'!G293="","",'Young Innovators Kits'!G293)</f>
        <v/>
      </c>
    </row>
    <row r="990" customFormat="false" ht="15" hidden="false" customHeight="false" outlineLevel="0" collapsed="false">
      <c r="A990" s="0" t="s">
        <v>263</v>
      </c>
      <c r="B990" s="0" t="n">
        <v>5</v>
      </c>
      <c r="C990" s="0" t="str">
        <f aca="false">IF('Young Innovators Kits'!C294="","",'Young Innovators Kits'!C294)</f>
        <v/>
      </c>
      <c r="D990" s="0" t="str">
        <f aca="false">IF('Young Innovators Kits'!D294="","",'Young Innovators Kits'!D294)</f>
        <v/>
      </c>
      <c r="E990" s="0" t="str">
        <f aca="false">IF('Young Innovators Kits'!E294="","",'Young Innovators Kits'!E294)</f>
        <v/>
      </c>
      <c r="F990" s="0" t="str">
        <f aca="false">IFERROR(INDEX('Session Tracker'!$M$5:$M$149,MATCH($A990,'Session Tracker'!$D$5:$D$149,0))+0,"")</f>
        <v/>
      </c>
      <c r="G990" s="0" t="str">
        <f aca="false">IF(ISNUMBER(F990),IF(OR(B990=0,B990=99,C990&lt;&gt;""),F990*100+B990,""),"")</f>
        <v/>
      </c>
      <c r="H990" s="0" t="n">
        <f aca="false">IFERROR(INDEX('Session Tracker'!$J$5:$J$149,MATCH($A990,'Session Tracker'!$D$5:$D$149,0)),0)</f>
        <v>8</v>
      </c>
      <c r="I990" s="0" t="str">
        <f aca="false">IF(OR(B990=0,B990=99,C990=""),"",IF(E990="Per class",D990,D990*H990))</f>
        <v/>
      </c>
      <c r="N990" s="0" t="str">
        <f aca="false">IF('Young Innovators Kits'!B294="","",'Young Innovators Kits'!B294)</f>
        <v/>
      </c>
      <c r="O990" s="0" t="str">
        <f aca="false">IF('Young Innovators Kits'!F294="","",'Young Innovators Kits'!F294)</f>
        <v/>
      </c>
      <c r="P990" s="0" t="str">
        <f aca="false">IF('Young Innovators Kits'!G294="","",'Young Innovators Kits'!G294)</f>
        <v/>
      </c>
    </row>
    <row r="991" customFormat="false" ht="15" hidden="false" customHeight="false" outlineLevel="0" collapsed="false">
      <c r="A991" s="0" t="s">
        <v>263</v>
      </c>
      <c r="B991" s="0" t="n">
        <v>6</v>
      </c>
      <c r="C991" s="0" t="str">
        <f aca="false">IF('Young Innovators Kits'!C295="","",'Young Innovators Kits'!C295)</f>
        <v/>
      </c>
      <c r="D991" s="0" t="str">
        <f aca="false">IF('Young Innovators Kits'!D295="","",'Young Innovators Kits'!D295)</f>
        <v/>
      </c>
      <c r="E991" s="0" t="str">
        <f aca="false">IF('Young Innovators Kits'!E295="","",'Young Innovators Kits'!E295)</f>
        <v/>
      </c>
      <c r="F991" s="0" t="str">
        <f aca="false">IFERROR(INDEX('Session Tracker'!$M$5:$M$149,MATCH($A991,'Session Tracker'!$D$5:$D$149,0))+0,"")</f>
        <v/>
      </c>
      <c r="G991" s="0" t="str">
        <f aca="false">IF(ISNUMBER(F991),IF(OR(B991=0,B991=99,C991&lt;&gt;""),F991*100+B991,""),"")</f>
        <v/>
      </c>
      <c r="H991" s="0" t="n">
        <f aca="false">IFERROR(INDEX('Session Tracker'!$J$5:$J$149,MATCH($A991,'Session Tracker'!$D$5:$D$149,0)),0)</f>
        <v>8</v>
      </c>
      <c r="I991" s="0" t="str">
        <f aca="false">IF(OR(B991=0,B991=99,C991=""),"",IF(E991="Per class",D991,D991*H991))</f>
        <v/>
      </c>
      <c r="N991" s="0" t="str">
        <f aca="false">IF('Young Innovators Kits'!B295="","",'Young Innovators Kits'!B295)</f>
        <v/>
      </c>
      <c r="O991" s="0" t="str">
        <f aca="false">IF('Young Innovators Kits'!F295="","",'Young Innovators Kits'!F295)</f>
        <v/>
      </c>
      <c r="P991" s="0" t="str">
        <f aca="false">IF('Young Innovators Kits'!G295="","",'Young Innovators Kits'!G295)</f>
        <v/>
      </c>
    </row>
    <row r="992" customFormat="false" ht="15" hidden="false" customHeight="false" outlineLevel="0" collapsed="false">
      <c r="A992" s="0" t="s">
        <v>265</v>
      </c>
      <c r="B992" s="0" t="n">
        <v>0</v>
      </c>
      <c r="F992" s="0" t="str">
        <f aca="false">IFERROR(INDEX('Session Tracker'!$M$5:$M$149,MATCH($A992,'Session Tracker'!$D$5:$D$149,0))+0,"")</f>
        <v/>
      </c>
      <c r="G992" s="0" t="str">
        <f aca="false">IF(ISNUMBER(F992),IF(OR(B992=0,B992=99,C992&lt;&gt;""),F992*100+B992,""),"")</f>
        <v/>
      </c>
      <c r="H992" s="0" t="n">
        <f aca="false">IFERROR(INDEX('Session Tracker'!$J$5:$J$149,MATCH($A992,'Session Tracker'!$D$5:$D$149,0)),0)</f>
        <v>8</v>
      </c>
      <c r="I992" s="0" t="str">
        <f aca="false">IF(OR(B992=0,B992=99,C992=""),"",IF(E992="Per class",D992,D992*H992))</f>
        <v/>
      </c>
      <c r="K992" s="0" t="str">
        <f aca="false">IFERROR(INDEX('Session Tracker'!$E$5:$E$149,MATCH($A992,'Session Tracker'!$D$5:$D$149,0)),"")</f>
        <v>Python Data Lab: Is Our Classroom Too Hot?</v>
      </c>
      <c r="L992" s="0" t="str">
        <f aca="false">IFERROR(INDEX('Session Tracker'!$A$5:$A$149,MATCH($A992,'Session Tracker'!$D$5:$D$149,0)),"")</f>
        <v>Young Innovators (12-14)</v>
      </c>
      <c r="M992" s="0" t="str">
        <f aca="false">IFERROR(INDEX('Session Tracker'!$H$5:$H$149,MATCH($A992,'Session Tracker'!$D$5:$D$149,0))&amp;"","")</f>
        <v/>
      </c>
      <c r="Q992" s="0" t="str">
        <f aca="false">IFERROR("Status: "&amp;INDEX('Session Tracker'!$F$5:$F$149,MATCH($A992,'Session Tracker'!$D$5:$D$149,0))&amp;IF(INDEX('Session Tracker'!$G$5:$G$149,MATCH($A992,'Session Tracker'!$D$5:$D$149,0))&lt;&gt;""," ("&amp;INDEX('Session Tracker'!$G$5:$G$149,MATCH($A992,'Session Tracker'!$D$5:$D$149,0))&amp;")","")&amp;IF(M992&lt;&gt;"","  "&amp;M992,""),"")</f>
        <v>Status: Not started</v>
      </c>
    </row>
    <row r="993" customFormat="false" ht="15" hidden="false" customHeight="false" outlineLevel="0" collapsed="false">
      <c r="A993" s="0" t="s">
        <v>265</v>
      </c>
      <c r="B993" s="0" t="n">
        <v>1</v>
      </c>
      <c r="C993" s="0" t="str">
        <f aca="false">IF('Young Innovators Kits'!C298="","",'Young Innovators Kits'!C298)</f>
        <v>Arduino Uno + USB cable</v>
      </c>
      <c r="D993" s="0" t="n">
        <f aca="false">IF('Young Innovators Kits'!D298="","",'Young Innovators Kits'!D298)</f>
        <v>1</v>
      </c>
      <c r="E993" s="0" t="str">
        <f aca="false">IF('Young Innovators Kits'!E298="","",'Young Innovators Kits'!E298)</f>
        <v>Per group</v>
      </c>
      <c r="F993" s="0" t="str">
        <f aca="false">IFERROR(INDEX('Session Tracker'!$M$5:$M$149,MATCH($A993,'Session Tracker'!$D$5:$D$149,0))+0,"")</f>
        <v/>
      </c>
      <c r="G993" s="0" t="str">
        <f aca="false">IF(ISNUMBER(F993),IF(OR(B993=0,B993=99,C993&lt;&gt;""),F993*100+B993,""),"")</f>
        <v/>
      </c>
      <c r="H993" s="0" t="n">
        <f aca="false">IFERROR(INDEX('Session Tracker'!$J$5:$J$149,MATCH($A993,'Session Tracker'!$D$5:$D$149,0)),0)</f>
        <v>8</v>
      </c>
      <c r="I993" s="0" t="n">
        <f aca="false">IF(OR(B993=0,B993=99,C993=""),"",IF(E993="Per class",D993,D993*H993))</f>
        <v>8</v>
      </c>
      <c r="N993" s="0" t="str">
        <f aca="false">IF('Young Innovators Kits'!B298="","",'Young Innovators Kits'!B298)</f>
        <v>Microcontrollers &amp; Dev Boards</v>
      </c>
      <c r="O993" s="0" t="str">
        <f aca="false">IF('Young Innovators Kits'!F298="","",'Young Innovators Kits'!F298)</f>
        <v>Reusable</v>
      </c>
      <c r="P993" s="0" t="str">
        <f aca="false">IF('Young Innovators Kits'!G298="","",'Young Innovators Kits'!G298)</f>
        <v/>
      </c>
    </row>
    <row r="994" customFormat="false" ht="15" hidden="false" customHeight="false" outlineLevel="0" collapsed="false">
      <c r="A994" s="0" t="s">
        <v>265</v>
      </c>
      <c r="B994" s="0" t="n">
        <v>2</v>
      </c>
      <c r="C994" s="0" t="str">
        <f aca="false">IF('Young Innovators Kits'!C299="","",'Young Innovators Kits'!C299)</f>
        <v>DHT22 sensor</v>
      </c>
      <c r="D994" s="0" t="n">
        <f aca="false">IF('Young Innovators Kits'!D299="","",'Young Innovators Kits'!D299)</f>
        <v>1</v>
      </c>
      <c r="E994" s="0" t="str">
        <f aca="false">IF('Young Innovators Kits'!E299="","",'Young Innovators Kits'!E299)</f>
        <v>Per group</v>
      </c>
      <c r="F994" s="0" t="str">
        <f aca="false">IFERROR(INDEX('Session Tracker'!$M$5:$M$149,MATCH($A994,'Session Tracker'!$D$5:$D$149,0))+0,"")</f>
        <v/>
      </c>
      <c r="G994" s="0" t="str">
        <f aca="false">IF(ISNUMBER(F994),IF(OR(B994=0,B994=99,C994&lt;&gt;""),F994*100+B994,""),"")</f>
        <v/>
      </c>
      <c r="H994" s="0" t="n">
        <f aca="false">IFERROR(INDEX('Session Tracker'!$J$5:$J$149,MATCH($A994,'Session Tracker'!$D$5:$D$149,0)),0)</f>
        <v>8</v>
      </c>
      <c r="I994" s="0" t="n">
        <f aca="false">IF(OR(B994=0,B994=99,C994=""),"",IF(E994="Per class",D994,D994*H994))</f>
        <v>8</v>
      </c>
      <c r="N994" s="0" t="str">
        <f aca="false">IF('Young Innovators Kits'!B299="","",'Young Innovators Kits'!B299)</f>
        <v>Sensors</v>
      </c>
      <c r="O994" s="0" t="str">
        <f aca="false">IF('Young Innovators Kits'!F299="","",'Young Innovators Kits'!F299)</f>
        <v>Reusable</v>
      </c>
      <c r="P994" s="0" t="str">
        <f aca="false">IF('Young Innovators Kits'!G299="","",'Young Innovators Kits'!G299)</f>
        <v/>
      </c>
    </row>
    <row r="995" customFormat="false" ht="15" hidden="false" customHeight="false" outlineLevel="0" collapsed="false">
      <c r="A995" s="0" t="s">
        <v>265</v>
      </c>
      <c r="B995" s="0" t="n">
        <v>3</v>
      </c>
      <c r="C995" s="0" t="str">
        <f aca="false">IF('Young Innovators Kits'!C300="","",'Young Innovators Kits'!C300)</f>
        <v>Breadboard (half size)</v>
      </c>
      <c r="D995" s="0" t="n">
        <f aca="false">IF('Young Innovators Kits'!D300="","",'Young Innovators Kits'!D300)</f>
        <v>1</v>
      </c>
      <c r="E995" s="0" t="str">
        <f aca="false">IF('Young Innovators Kits'!E300="","",'Young Innovators Kits'!E300)</f>
        <v>Per group</v>
      </c>
      <c r="F995" s="0" t="str">
        <f aca="false">IFERROR(INDEX('Session Tracker'!$M$5:$M$149,MATCH($A995,'Session Tracker'!$D$5:$D$149,0))+0,"")</f>
        <v/>
      </c>
      <c r="G995" s="0" t="str">
        <f aca="false">IF(ISNUMBER(F995),IF(OR(B995=0,B995=99,C995&lt;&gt;""),F995*100+B995,""),"")</f>
        <v/>
      </c>
      <c r="H995" s="0" t="n">
        <f aca="false">IFERROR(INDEX('Session Tracker'!$J$5:$J$149,MATCH($A995,'Session Tracker'!$D$5:$D$149,0)),0)</f>
        <v>8</v>
      </c>
      <c r="I995" s="0" t="n">
        <f aca="false">IF(OR(B995=0,B995=99,C995=""),"",IF(E995="Per class",D995,D995*H995))</f>
        <v>8</v>
      </c>
      <c r="N995" s="0" t="str">
        <f aca="false">IF('Young Innovators Kits'!B300="","",'Young Innovators Kits'!B300)</f>
        <v>Wiring &amp; Prototyping</v>
      </c>
      <c r="O995" s="0" t="str">
        <f aca="false">IF('Young Innovators Kits'!F300="","",'Young Innovators Kits'!F300)</f>
        <v>Reusable</v>
      </c>
      <c r="P995" s="0" t="str">
        <f aca="false">IF('Young Innovators Kits'!G300="","",'Young Innovators Kits'!G300)</f>
        <v/>
      </c>
    </row>
    <row r="996" customFormat="false" ht="15" hidden="false" customHeight="false" outlineLevel="0" collapsed="false">
      <c r="A996" s="0" t="s">
        <v>265</v>
      </c>
      <c r="B996" s="0" t="n">
        <v>4</v>
      </c>
      <c r="C996" s="0" t="str">
        <f aca="false">IF('Young Innovators Kits'!C301="","",'Young Innovators Kits'!C301)</f>
        <v>Jumper wires M-M</v>
      </c>
      <c r="D996" s="0" t="n">
        <f aca="false">IF('Young Innovators Kits'!D301="","",'Young Innovators Kits'!D301)</f>
        <v>4</v>
      </c>
      <c r="E996" s="0" t="str">
        <f aca="false">IF('Young Innovators Kits'!E301="","",'Young Innovators Kits'!E301)</f>
        <v>Per group</v>
      </c>
      <c r="F996" s="0" t="str">
        <f aca="false">IFERROR(INDEX('Session Tracker'!$M$5:$M$149,MATCH($A996,'Session Tracker'!$D$5:$D$149,0))+0,"")</f>
        <v/>
      </c>
      <c r="G996" s="0" t="str">
        <f aca="false">IF(ISNUMBER(F996),IF(OR(B996=0,B996=99,C996&lt;&gt;""),F996*100+B996,""),"")</f>
        <v/>
      </c>
      <c r="H996" s="0" t="n">
        <f aca="false">IFERROR(INDEX('Session Tracker'!$J$5:$J$149,MATCH($A996,'Session Tracker'!$D$5:$D$149,0)),0)</f>
        <v>8</v>
      </c>
      <c r="I996" s="0" t="n">
        <f aca="false">IF(OR(B996=0,B996=99,C996=""),"",IF(E996="Per class",D996,D996*H996))</f>
        <v>32</v>
      </c>
      <c r="N996" s="0" t="str">
        <f aca="false">IF('Young Innovators Kits'!B301="","",'Young Innovators Kits'!B301)</f>
        <v>Wiring &amp; Prototyping</v>
      </c>
      <c r="O996" s="0" t="str">
        <f aca="false">IF('Young Innovators Kits'!F301="","",'Young Innovators Kits'!F301)</f>
        <v>Reusable</v>
      </c>
      <c r="P996" s="0" t="str">
        <f aca="false">IF('Young Innovators Kits'!G301="","",'Young Innovators Kits'!G301)</f>
        <v/>
      </c>
    </row>
    <row r="997" customFormat="false" ht="15" hidden="false" customHeight="false" outlineLevel="0" collapsed="false">
      <c r="A997" s="0" t="s">
        <v>265</v>
      </c>
      <c r="B997" s="0" t="n">
        <v>5</v>
      </c>
      <c r="C997" s="0" t="str">
        <f aca="false">IF('Young Innovators Kits'!C302="","",'Young Innovators Kits'!C302)</f>
        <v>Laptop</v>
      </c>
      <c r="D997" s="0" t="n">
        <f aca="false">IF('Young Innovators Kits'!D302="","",'Young Innovators Kits'!D302)</f>
        <v>1</v>
      </c>
      <c r="E997" s="0" t="str">
        <f aca="false">IF('Young Innovators Kits'!E302="","",'Young Innovators Kits'!E302)</f>
        <v>Per group</v>
      </c>
      <c r="F997" s="0" t="str">
        <f aca="false">IFERROR(INDEX('Session Tracker'!$M$5:$M$149,MATCH($A997,'Session Tracker'!$D$5:$D$149,0))+0,"")</f>
        <v/>
      </c>
      <c r="G997" s="0" t="str">
        <f aca="false">IF(ISNUMBER(F997),IF(OR(B997=0,B997=99,C997&lt;&gt;""),F997*100+B997,""),"")</f>
        <v/>
      </c>
      <c r="H997" s="0" t="n">
        <f aca="false">IFERROR(INDEX('Session Tracker'!$J$5:$J$149,MATCH($A997,'Session Tracker'!$D$5:$D$149,0)),0)</f>
        <v>8</v>
      </c>
      <c r="I997" s="0" t="n">
        <f aca="false">IF(OR(B997=0,B997=99,C997=""),"",IF(E997="Per class",D997,D997*H997))</f>
        <v>8</v>
      </c>
      <c r="N997" s="0" t="str">
        <f aca="false">IF('Young Innovators Kits'!B302="","",'Young Innovators Kits'!B302)</f>
        <v>Computers &amp; Equipment</v>
      </c>
      <c r="O997" s="0" t="str">
        <f aca="false">IF('Young Innovators Kits'!F302="","",'Young Innovators Kits'!F302)</f>
        <v>Reusable</v>
      </c>
      <c r="P997" s="0" t="str">
        <f aca="false">IF('Young Innovators Kits'!G302="","",'Young Innovators Kits'!G302)</f>
        <v/>
      </c>
    </row>
    <row r="998" customFormat="false" ht="15" hidden="false" customHeight="false" outlineLevel="0" collapsed="false">
      <c r="A998" s="0" t="s">
        <v>265</v>
      </c>
      <c r="B998" s="0" t="n">
        <v>6</v>
      </c>
      <c r="C998" s="0" t="str">
        <f aca="false">IF('Young Innovators Kits'!C303="","",'Young Innovators Kits'!C303)</f>
        <v>LED 5 mm (assorted)</v>
      </c>
      <c r="D998" s="0" t="n">
        <f aca="false">IF('Young Innovators Kits'!D303="","",'Young Innovators Kits'!D303)</f>
        <v>1</v>
      </c>
      <c r="E998" s="0" t="str">
        <f aca="false">IF('Young Innovators Kits'!E303="","",'Young Innovators Kits'!E303)</f>
        <v>Per group</v>
      </c>
      <c r="F998" s="0" t="str">
        <f aca="false">IFERROR(INDEX('Session Tracker'!$M$5:$M$149,MATCH($A998,'Session Tracker'!$D$5:$D$149,0))+0,"")</f>
        <v/>
      </c>
      <c r="G998" s="0" t="str">
        <f aca="false">IF(ISNUMBER(F998),IF(OR(B998=0,B998=99,C998&lt;&gt;""),F998*100+B998,""),"")</f>
        <v/>
      </c>
      <c r="H998" s="0" t="n">
        <f aca="false">IFERROR(INDEX('Session Tracker'!$J$5:$J$149,MATCH($A998,'Session Tracker'!$D$5:$D$149,0)),0)</f>
        <v>8</v>
      </c>
      <c r="I998" s="0" t="n">
        <f aca="false">IF(OR(B998=0,B998=99,C998=""),"",IF(E998="Per class",D998,D998*H998))</f>
        <v>8</v>
      </c>
      <c r="N998" s="0" t="str">
        <f aca="false">IF('Young Innovators Kits'!B303="","",'Young Innovators Kits'!B303)</f>
        <v>Displays &amp; Output</v>
      </c>
      <c r="O998" s="0" t="str">
        <f aca="false">IF('Young Innovators Kits'!F303="","",'Young Innovators Kits'!F303)</f>
        <v>Consumable</v>
      </c>
      <c r="P998" s="0" t="str">
        <f aca="false">IF('Young Innovators Kits'!G303="","",'Young Innovators Kits'!G303)</f>
        <v>Added: every Arduino class</v>
      </c>
    </row>
    <row r="999" customFormat="false" ht="15" hidden="false" customHeight="false" outlineLevel="0" collapsed="false">
      <c r="A999" s="0" t="s">
        <v>265</v>
      </c>
      <c r="B999" s="0" t="n">
        <v>7</v>
      </c>
      <c r="C999" s="0" t="str">
        <f aca="false">IF('Young Innovators Kits'!C304="","",'Young Innovators Kits'!C304)</f>
        <v>Resistor 220 ohm</v>
      </c>
      <c r="D999" s="0" t="n">
        <f aca="false">IF('Young Innovators Kits'!D304="","",'Young Innovators Kits'!D304)</f>
        <v>1</v>
      </c>
      <c r="E999" s="0" t="str">
        <f aca="false">IF('Young Innovators Kits'!E304="","",'Young Innovators Kits'!E304)</f>
        <v>Per group</v>
      </c>
      <c r="F999" s="0" t="str">
        <f aca="false">IFERROR(INDEX('Session Tracker'!$M$5:$M$149,MATCH($A999,'Session Tracker'!$D$5:$D$149,0))+0,"")</f>
        <v/>
      </c>
      <c r="G999" s="0" t="str">
        <f aca="false">IF(ISNUMBER(F999),IF(OR(B999=0,B999=99,C999&lt;&gt;""),F999*100+B999,""),"")</f>
        <v/>
      </c>
      <c r="H999" s="0" t="n">
        <f aca="false">IFERROR(INDEX('Session Tracker'!$J$5:$J$149,MATCH($A999,'Session Tracker'!$D$5:$D$149,0)),0)</f>
        <v>8</v>
      </c>
      <c r="I999" s="0" t="n">
        <f aca="false">IF(OR(B999=0,B999=99,C999=""),"",IF(E999="Per class",D999,D999*H999))</f>
        <v>8</v>
      </c>
      <c r="N999" s="0" t="str">
        <f aca="false">IF('Young Innovators Kits'!B304="","",'Young Innovators Kits'!B304)</f>
        <v>Passive Components &amp; ICs</v>
      </c>
      <c r="O999" s="0" t="str">
        <f aca="false">IF('Young Innovators Kits'!F304="","",'Young Innovators Kits'!F304)</f>
        <v>Consumable</v>
      </c>
      <c r="P999" s="0" t="str">
        <f aca="false">IF('Young Innovators Kits'!G304="","",'Young Innovators Kits'!G304)</f>
        <v>Added: for the LED</v>
      </c>
    </row>
    <row r="1000" customFormat="false" ht="15" hidden="false" customHeight="false" outlineLevel="0" collapsed="false">
      <c r="A1000" s="0" t="s">
        <v>265</v>
      </c>
      <c r="B1000" s="0" t="n">
        <v>8</v>
      </c>
      <c r="C1000" s="0" t="str">
        <f aca="false">IF('Young Innovators Kits'!C305="","",'Young Innovators Kits'!C305)</f>
        <v>Buzzer</v>
      </c>
      <c r="D1000" s="0" t="n">
        <f aca="false">IF('Young Innovators Kits'!D305="","",'Young Innovators Kits'!D305)</f>
        <v>1</v>
      </c>
      <c r="E1000" s="0" t="str">
        <f aca="false">IF('Young Innovators Kits'!E305="","",'Young Innovators Kits'!E305)</f>
        <v>Per group</v>
      </c>
      <c r="F1000" s="0" t="str">
        <f aca="false">IFERROR(INDEX('Session Tracker'!$M$5:$M$149,MATCH($A1000,'Session Tracker'!$D$5:$D$149,0))+0,"")</f>
        <v/>
      </c>
      <c r="G1000" s="0" t="str">
        <f aca="false">IF(ISNUMBER(F1000),IF(OR(B1000=0,B1000=99,C1000&lt;&gt;""),F1000*100+B1000,""),"")</f>
        <v/>
      </c>
      <c r="H1000" s="0" t="n">
        <f aca="false">IFERROR(INDEX('Session Tracker'!$J$5:$J$149,MATCH($A1000,'Session Tracker'!$D$5:$D$149,0)),0)</f>
        <v>8</v>
      </c>
      <c r="I1000" s="0" t="n">
        <f aca="false">IF(OR(B1000=0,B1000=99,C1000=""),"",IF(E1000="Per class",D1000,D1000*H1000))</f>
        <v>8</v>
      </c>
      <c r="N1000" s="0" t="str">
        <f aca="false">IF('Young Innovators Kits'!B305="","",'Young Innovators Kits'!B305)</f>
        <v>Actuators &amp; Motor Drivers</v>
      </c>
      <c r="O1000" s="0" t="str">
        <f aca="false">IF('Young Innovators Kits'!F305="","",'Young Innovators Kits'!F305)</f>
        <v>Reusable</v>
      </c>
      <c r="P1000" s="0" t="str">
        <f aca="false">IF('Young Innovators Kits'!G305="","",'Young Innovators Kits'!G305)</f>
        <v>Added: every Arduino class</v>
      </c>
    </row>
    <row r="1001" customFormat="false" ht="15" hidden="false" customHeight="false" outlineLevel="0" collapsed="false">
      <c r="A1001" s="0" t="s">
        <v>265</v>
      </c>
      <c r="B1001" s="0" t="n">
        <v>9</v>
      </c>
      <c r="C1001" s="0" t="str">
        <f aca="false">IF('Young Innovators Kits'!C306="","",'Young Innovators Kits'!C306)</f>
        <v/>
      </c>
      <c r="D1001" s="0" t="str">
        <f aca="false">IF('Young Innovators Kits'!D306="","",'Young Innovators Kits'!D306)</f>
        <v/>
      </c>
      <c r="E1001" s="0" t="str">
        <f aca="false">IF('Young Innovators Kits'!E306="","",'Young Innovators Kits'!E306)</f>
        <v/>
      </c>
      <c r="F1001" s="0" t="str">
        <f aca="false">IFERROR(INDEX('Session Tracker'!$M$5:$M$149,MATCH($A1001,'Session Tracker'!$D$5:$D$149,0))+0,"")</f>
        <v/>
      </c>
      <c r="G1001" s="0" t="str">
        <f aca="false">IF(ISNUMBER(F1001),IF(OR(B1001=0,B1001=99,C1001&lt;&gt;""),F1001*100+B1001,""),"")</f>
        <v/>
      </c>
      <c r="H1001" s="0" t="n">
        <f aca="false">IFERROR(INDEX('Session Tracker'!$J$5:$J$149,MATCH($A1001,'Session Tracker'!$D$5:$D$149,0)),0)</f>
        <v>8</v>
      </c>
      <c r="I1001" s="0" t="str">
        <f aca="false">IF(OR(B1001=0,B1001=99,C1001=""),"",IF(E1001="Per class",D1001,D1001*H1001))</f>
        <v/>
      </c>
      <c r="N1001" s="0" t="str">
        <f aca="false">IF('Young Innovators Kits'!B306="","",'Young Innovators Kits'!B306)</f>
        <v/>
      </c>
      <c r="O1001" s="0" t="str">
        <f aca="false">IF('Young Innovators Kits'!F306="","",'Young Innovators Kits'!F306)</f>
        <v/>
      </c>
      <c r="P1001" s="0" t="str">
        <f aca="false">IF('Young Innovators Kits'!G306="","",'Young Innovators Kits'!G306)</f>
        <v/>
      </c>
    </row>
    <row r="1002" customFormat="false" ht="15" hidden="false" customHeight="false" outlineLevel="0" collapsed="false">
      <c r="A1002" s="0" t="s">
        <v>265</v>
      </c>
      <c r="B1002" s="0" t="n">
        <v>10</v>
      </c>
      <c r="C1002" s="0" t="str">
        <f aca="false">IF('Young Innovators Kits'!C307="","",'Young Innovators Kits'!C307)</f>
        <v/>
      </c>
      <c r="D1002" s="0" t="str">
        <f aca="false">IF('Young Innovators Kits'!D307="","",'Young Innovators Kits'!D307)</f>
        <v/>
      </c>
      <c r="E1002" s="0" t="str">
        <f aca="false">IF('Young Innovators Kits'!E307="","",'Young Innovators Kits'!E307)</f>
        <v/>
      </c>
      <c r="F1002" s="0" t="str">
        <f aca="false">IFERROR(INDEX('Session Tracker'!$M$5:$M$149,MATCH($A1002,'Session Tracker'!$D$5:$D$149,0))+0,"")</f>
        <v/>
      </c>
      <c r="G1002" s="0" t="str">
        <f aca="false">IF(ISNUMBER(F1002),IF(OR(B1002=0,B1002=99,C1002&lt;&gt;""),F1002*100+B1002,""),"")</f>
        <v/>
      </c>
      <c r="H1002" s="0" t="n">
        <f aca="false">IFERROR(INDEX('Session Tracker'!$J$5:$J$149,MATCH($A1002,'Session Tracker'!$D$5:$D$149,0)),0)</f>
        <v>8</v>
      </c>
      <c r="I1002" s="0" t="str">
        <f aca="false">IF(OR(B1002=0,B1002=99,C1002=""),"",IF(E1002="Per class",D1002,D1002*H1002))</f>
        <v/>
      </c>
      <c r="N1002" s="0" t="str">
        <f aca="false">IF('Young Innovators Kits'!B307="","",'Young Innovators Kits'!B307)</f>
        <v/>
      </c>
      <c r="O1002" s="0" t="str">
        <f aca="false">IF('Young Innovators Kits'!F307="","",'Young Innovators Kits'!F307)</f>
        <v/>
      </c>
      <c r="P1002" s="0" t="str">
        <f aca="false">IF('Young Innovators Kits'!G307="","",'Young Innovators Kits'!G307)</f>
        <v/>
      </c>
    </row>
    <row r="1003" customFormat="false" ht="15" hidden="false" customHeight="false" outlineLevel="0" collapsed="false">
      <c r="A1003" s="0" t="s">
        <v>267</v>
      </c>
      <c r="B1003" s="0" t="n">
        <v>0</v>
      </c>
      <c r="F1003" s="0" t="str">
        <f aca="false">IFERROR(INDEX('Session Tracker'!$M$5:$M$149,MATCH($A1003,'Session Tracker'!$D$5:$D$149,0))+0,"")</f>
        <v/>
      </c>
      <c r="G1003" s="0" t="str">
        <f aca="false">IF(ISNUMBER(F1003),IF(OR(B1003=0,B1003=99,C1003&lt;&gt;""),F1003*100+B1003,""),"")</f>
        <v/>
      </c>
      <c r="H1003" s="0" t="n">
        <f aca="false">IFERROR(INDEX('Session Tracker'!$J$5:$J$149,MATCH($A1003,'Session Tracker'!$D$5:$D$149,0)),0)</f>
        <v>8</v>
      </c>
      <c r="I1003" s="0" t="str">
        <f aca="false">IF(OR(B1003=0,B1003=99,C1003=""),"",IF(E1003="Per class",D1003,D1003*H1003))</f>
        <v/>
      </c>
      <c r="K1003" s="0" t="str">
        <f aca="false">IFERROR(INDEX('Session Tracker'!$E$5:$E$149,MATCH($A1003,'Session Tracker'!$D$5:$D$149,0)),"")</f>
        <v>Smart Posture Corrector Wearable</v>
      </c>
      <c r="L1003" s="0" t="str">
        <f aca="false">IFERROR(INDEX('Session Tracker'!$A$5:$A$149,MATCH($A1003,'Session Tracker'!$D$5:$D$149,0)),"")</f>
        <v>Young Innovators (12-14)</v>
      </c>
      <c r="M1003" s="0" t="str">
        <f aca="false">IFERROR(INDEX('Session Tracker'!$H$5:$H$149,MATCH($A1003,'Session Tracker'!$D$5:$D$149,0))&amp;"","")</f>
        <v/>
      </c>
      <c r="Q1003" s="0" t="str">
        <f aca="false">IFERROR("Status: "&amp;INDEX('Session Tracker'!$F$5:$F$149,MATCH($A1003,'Session Tracker'!$D$5:$D$149,0))&amp;IF(INDEX('Session Tracker'!$G$5:$G$149,MATCH($A1003,'Session Tracker'!$D$5:$D$149,0))&lt;&gt;""," ("&amp;INDEX('Session Tracker'!$G$5:$G$149,MATCH($A1003,'Session Tracker'!$D$5:$D$149,0))&amp;")","")&amp;IF(M1003&lt;&gt;"","  "&amp;M1003,""),"")</f>
        <v>Status: Not started</v>
      </c>
    </row>
    <row r="1004" customFormat="false" ht="15" hidden="false" customHeight="false" outlineLevel="0" collapsed="false">
      <c r="A1004" s="0" t="s">
        <v>267</v>
      </c>
      <c r="B1004" s="0" t="n">
        <v>1</v>
      </c>
      <c r="C1004" s="0" t="str">
        <f aca="false">IF('Young Innovators Kits'!C310="","",'Young Innovators Kits'!C310)</f>
        <v>Arduino Uno + USB cable</v>
      </c>
      <c r="D1004" s="0" t="n">
        <f aca="false">IF('Young Innovators Kits'!D310="","",'Young Innovators Kits'!D310)</f>
        <v>1</v>
      </c>
      <c r="E1004" s="0" t="str">
        <f aca="false">IF('Young Innovators Kits'!E310="","",'Young Innovators Kits'!E310)</f>
        <v>Per group</v>
      </c>
      <c r="F1004" s="0" t="str">
        <f aca="false">IFERROR(INDEX('Session Tracker'!$M$5:$M$149,MATCH($A1004,'Session Tracker'!$D$5:$D$149,0))+0,"")</f>
        <v/>
      </c>
      <c r="G1004" s="0" t="str">
        <f aca="false">IF(ISNUMBER(F1004),IF(OR(B1004=0,B1004=99,C1004&lt;&gt;""),F1004*100+B1004,""),"")</f>
        <v/>
      </c>
      <c r="H1004" s="0" t="n">
        <f aca="false">IFERROR(INDEX('Session Tracker'!$J$5:$J$149,MATCH($A1004,'Session Tracker'!$D$5:$D$149,0)),0)</f>
        <v>8</v>
      </c>
      <c r="I1004" s="0" t="n">
        <f aca="false">IF(OR(B1004=0,B1004=99,C1004=""),"",IF(E1004="Per class",D1004,D1004*H1004))</f>
        <v>8</v>
      </c>
      <c r="N1004" s="0" t="str">
        <f aca="false">IF('Young Innovators Kits'!B310="","",'Young Innovators Kits'!B310)</f>
        <v>Microcontrollers &amp; Dev Boards</v>
      </c>
      <c r="O1004" s="0" t="str">
        <f aca="false">IF('Young Innovators Kits'!F310="","",'Young Innovators Kits'!F310)</f>
        <v>Reusable</v>
      </c>
      <c r="P1004" s="0" t="str">
        <f aca="false">IF('Young Innovators Kits'!G310="","",'Young Innovators Kits'!G310)</f>
        <v/>
      </c>
    </row>
    <row r="1005" customFormat="false" ht="15" hidden="false" customHeight="false" outlineLevel="0" collapsed="false">
      <c r="A1005" s="0" t="s">
        <v>267</v>
      </c>
      <c r="B1005" s="0" t="n">
        <v>2</v>
      </c>
      <c r="C1005" s="0" t="str">
        <f aca="false">IF('Young Innovators Kits'!C311="","",'Young Innovators Kits'!C311)</f>
        <v>MPU6050 IMU</v>
      </c>
      <c r="D1005" s="0" t="n">
        <f aca="false">IF('Young Innovators Kits'!D311="","",'Young Innovators Kits'!D311)</f>
        <v>1</v>
      </c>
      <c r="E1005" s="0" t="str">
        <f aca="false">IF('Young Innovators Kits'!E311="","",'Young Innovators Kits'!E311)</f>
        <v>Per group</v>
      </c>
      <c r="F1005" s="0" t="str">
        <f aca="false">IFERROR(INDEX('Session Tracker'!$M$5:$M$149,MATCH($A1005,'Session Tracker'!$D$5:$D$149,0))+0,"")</f>
        <v/>
      </c>
      <c r="G1005" s="0" t="str">
        <f aca="false">IF(ISNUMBER(F1005),IF(OR(B1005=0,B1005=99,C1005&lt;&gt;""),F1005*100+B1005,""),"")</f>
        <v/>
      </c>
      <c r="H1005" s="0" t="n">
        <f aca="false">IFERROR(INDEX('Session Tracker'!$J$5:$J$149,MATCH($A1005,'Session Tracker'!$D$5:$D$149,0)),0)</f>
        <v>8</v>
      </c>
      <c r="I1005" s="0" t="n">
        <f aca="false">IF(OR(B1005=0,B1005=99,C1005=""),"",IF(E1005="Per class",D1005,D1005*H1005))</f>
        <v>8</v>
      </c>
      <c r="N1005" s="0" t="str">
        <f aca="false">IF('Young Innovators Kits'!B311="","",'Young Innovators Kits'!B311)</f>
        <v>Sensors</v>
      </c>
      <c r="O1005" s="0" t="str">
        <f aca="false">IF('Young Innovators Kits'!F311="","",'Young Innovators Kits'!F311)</f>
        <v>Reusable</v>
      </c>
      <c r="P1005" s="0" t="str">
        <f aca="false">IF('Young Innovators Kits'!G311="","",'Young Innovators Kits'!G311)</f>
        <v/>
      </c>
    </row>
    <row r="1006" customFormat="false" ht="15" hidden="false" customHeight="false" outlineLevel="0" collapsed="false">
      <c r="A1006" s="0" t="s">
        <v>267</v>
      </c>
      <c r="B1006" s="0" t="n">
        <v>3</v>
      </c>
      <c r="C1006" s="0" t="str">
        <f aca="false">IF('Young Innovators Kits'!C312="","",'Young Innovators Kits'!C312)</f>
        <v>Vibration motor module</v>
      </c>
      <c r="D1006" s="0" t="n">
        <f aca="false">IF('Young Innovators Kits'!D312="","",'Young Innovators Kits'!D312)</f>
        <v>1</v>
      </c>
      <c r="E1006" s="0" t="str">
        <f aca="false">IF('Young Innovators Kits'!E312="","",'Young Innovators Kits'!E312)</f>
        <v>Per group</v>
      </c>
      <c r="F1006" s="0" t="str">
        <f aca="false">IFERROR(INDEX('Session Tracker'!$M$5:$M$149,MATCH($A1006,'Session Tracker'!$D$5:$D$149,0))+0,"")</f>
        <v/>
      </c>
      <c r="G1006" s="0" t="str">
        <f aca="false">IF(ISNUMBER(F1006),IF(OR(B1006=0,B1006=99,C1006&lt;&gt;""),F1006*100+B1006,""),"")</f>
        <v/>
      </c>
      <c r="H1006" s="0" t="n">
        <f aca="false">IFERROR(INDEX('Session Tracker'!$J$5:$J$149,MATCH($A1006,'Session Tracker'!$D$5:$D$149,0)),0)</f>
        <v>8</v>
      </c>
      <c r="I1006" s="0" t="n">
        <f aca="false">IF(OR(B1006=0,B1006=99,C1006=""),"",IF(E1006="Per class",D1006,D1006*H1006))</f>
        <v>8</v>
      </c>
      <c r="N1006" s="0" t="str">
        <f aca="false">IF('Young Innovators Kits'!B312="","",'Young Innovators Kits'!B312)</f>
        <v>Actuators &amp; Motor Drivers</v>
      </c>
      <c r="O1006" s="0" t="str">
        <f aca="false">IF('Young Innovators Kits'!F312="","",'Young Innovators Kits'!F312)</f>
        <v>Reusable</v>
      </c>
      <c r="P1006" s="0" t="str">
        <f aca="false">IF('Young Innovators Kits'!G312="","",'Young Innovators Kits'!G312)</f>
        <v/>
      </c>
    </row>
    <row r="1007" customFormat="false" ht="15" hidden="false" customHeight="false" outlineLevel="0" collapsed="false">
      <c r="A1007" s="0" t="s">
        <v>267</v>
      </c>
      <c r="B1007" s="0" t="n">
        <v>4</v>
      </c>
      <c r="C1007" s="0" t="str">
        <f aca="false">IF('Young Innovators Kits'!C313="","",'Young Innovators Kits'!C313)</f>
        <v>OLED 0.96 in I2C</v>
      </c>
      <c r="D1007" s="0" t="n">
        <f aca="false">IF('Young Innovators Kits'!D313="","",'Young Innovators Kits'!D313)</f>
        <v>1</v>
      </c>
      <c r="E1007" s="0" t="str">
        <f aca="false">IF('Young Innovators Kits'!E313="","",'Young Innovators Kits'!E313)</f>
        <v>Per group</v>
      </c>
      <c r="F1007" s="0" t="str">
        <f aca="false">IFERROR(INDEX('Session Tracker'!$M$5:$M$149,MATCH($A1007,'Session Tracker'!$D$5:$D$149,0))+0,"")</f>
        <v/>
      </c>
      <c r="G1007" s="0" t="str">
        <f aca="false">IF(ISNUMBER(F1007),IF(OR(B1007=0,B1007=99,C1007&lt;&gt;""),F1007*100+B1007,""),"")</f>
        <v/>
      </c>
      <c r="H1007" s="0" t="n">
        <f aca="false">IFERROR(INDEX('Session Tracker'!$J$5:$J$149,MATCH($A1007,'Session Tracker'!$D$5:$D$149,0)),0)</f>
        <v>8</v>
      </c>
      <c r="I1007" s="0" t="n">
        <f aca="false">IF(OR(B1007=0,B1007=99,C1007=""),"",IF(E1007="Per class",D1007,D1007*H1007))</f>
        <v>8</v>
      </c>
      <c r="N1007" s="0" t="str">
        <f aca="false">IF('Young Innovators Kits'!B313="","",'Young Innovators Kits'!B313)</f>
        <v>Displays &amp; Output</v>
      </c>
      <c r="O1007" s="0" t="str">
        <f aca="false">IF('Young Innovators Kits'!F313="","",'Young Innovators Kits'!F313)</f>
        <v>Reusable</v>
      </c>
      <c r="P1007" s="0" t="str">
        <f aca="false">IF('Young Innovators Kits'!G313="","",'Young Innovators Kits'!G313)</f>
        <v/>
      </c>
    </row>
    <row r="1008" customFormat="false" ht="15" hidden="false" customHeight="false" outlineLevel="0" collapsed="false">
      <c r="A1008" s="0" t="s">
        <v>267</v>
      </c>
      <c r="B1008" s="0" t="n">
        <v>5</v>
      </c>
      <c r="C1008" s="0" t="str">
        <f aca="false">IF('Young Innovators Kits'!C314="","",'Young Innovators Kits'!C314)</f>
        <v>Jumper wires M-F</v>
      </c>
      <c r="D1008" s="0" t="n">
        <f aca="false">IF('Young Innovators Kits'!D314="","",'Young Innovators Kits'!D314)</f>
        <v>8</v>
      </c>
      <c r="E1008" s="0" t="str">
        <f aca="false">IF('Young Innovators Kits'!E314="","",'Young Innovators Kits'!E314)</f>
        <v>Per group</v>
      </c>
      <c r="F1008" s="0" t="str">
        <f aca="false">IFERROR(INDEX('Session Tracker'!$M$5:$M$149,MATCH($A1008,'Session Tracker'!$D$5:$D$149,0))+0,"")</f>
        <v/>
      </c>
      <c r="G1008" s="0" t="str">
        <f aca="false">IF(ISNUMBER(F1008),IF(OR(B1008=0,B1008=99,C1008&lt;&gt;""),F1008*100+B1008,""),"")</f>
        <v/>
      </c>
      <c r="H1008" s="0" t="n">
        <f aca="false">IFERROR(INDEX('Session Tracker'!$J$5:$J$149,MATCH($A1008,'Session Tracker'!$D$5:$D$149,0)),0)</f>
        <v>8</v>
      </c>
      <c r="I1008" s="0" t="n">
        <f aca="false">IF(OR(B1008=0,B1008=99,C1008=""),"",IF(E1008="Per class",D1008,D1008*H1008))</f>
        <v>64</v>
      </c>
      <c r="N1008" s="0" t="str">
        <f aca="false">IF('Young Innovators Kits'!B314="","",'Young Innovators Kits'!B314)</f>
        <v>Wiring &amp; Prototyping</v>
      </c>
      <c r="O1008" s="0" t="str">
        <f aca="false">IF('Young Innovators Kits'!F314="","",'Young Innovators Kits'!F314)</f>
        <v>Reusable</v>
      </c>
      <c r="P1008" s="0" t="str">
        <f aca="false">IF('Young Innovators Kits'!G314="","",'Young Innovators Kits'!G314)</f>
        <v/>
      </c>
    </row>
    <row r="1009" customFormat="false" ht="15" hidden="false" customHeight="false" outlineLevel="0" collapsed="false">
      <c r="A1009" s="0" t="s">
        <v>267</v>
      </c>
      <c r="B1009" s="0" t="n">
        <v>6</v>
      </c>
      <c r="C1009" s="0" t="str">
        <f aca="false">IF('Young Innovators Kits'!C315="","",'Young Innovators Kits'!C315)</f>
        <v>Laptop</v>
      </c>
      <c r="D1009" s="0" t="n">
        <f aca="false">IF('Young Innovators Kits'!D315="","",'Young Innovators Kits'!D315)</f>
        <v>1</v>
      </c>
      <c r="E1009" s="0" t="str">
        <f aca="false">IF('Young Innovators Kits'!E315="","",'Young Innovators Kits'!E315)</f>
        <v>Per group</v>
      </c>
      <c r="F1009" s="0" t="str">
        <f aca="false">IFERROR(INDEX('Session Tracker'!$M$5:$M$149,MATCH($A1009,'Session Tracker'!$D$5:$D$149,0))+0,"")</f>
        <v/>
      </c>
      <c r="G1009" s="0" t="str">
        <f aca="false">IF(ISNUMBER(F1009),IF(OR(B1009=0,B1009=99,C1009&lt;&gt;""),F1009*100+B1009,""),"")</f>
        <v/>
      </c>
      <c r="H1009" s="0" t="n">
        <f aca="false">IFERROR(INDEX('Session Tracker'!$J$5:$J$149,MATCH($A1009,'Session Tracker'!$D$5:$D$149,0)),0)</f>
        <v>8</v>
      </c>
      <c r="I1009" s="0" t="n">
        <f aca="false">IF(OR(B1009=0,B1009=99,C1009=""),"",IF(E1009="Per class",D1009,D1009*H1009))</f>
        <v>8</v>
      </c>
      <c r="N1009" s="0" t="str">
        <f aca="false">IF('Young Innovators Kits'!B315="","",'Young Innovators Kits'!B315)</f>
        <v>Computers &amp; Equipment</v>
      </c>
      <c r="O1009" s="0" t="str">
        <f aca="false">IF('Young Innovators Kits'!F315="","",'Young Innovators Kits'!F315)</f>
        <v>Reusable</v>
      </c>
      <c r="P1009" s="0" t="str">
        <f aca="false">IF('Young Innovators Kits'!G315="","",'Young Innovators Kits'!G315)</f>
        <v/>
      </c>
    </row>
    <row r="1010" customFormat="false" ht="15" hidden="false" customHeight="false" outlineLevel="0" collapsed="false">
      <c r="A1010" s="0" t="s">
        <v>267</v>
      </c>
      <c r="B1010" s="0" t="n">
        <v>7</v>
      </c>
      <c r="C1010" s="0" t="str">
        <f aca="false">IF('Young Innovators Kits'!C316="","",'Young Innovators Kits'!C316)</f>
        <v>LED 5 mm (assorted)</v>
      </c>
      <c r="D1010" s="0" t="n">
        <f aca="false">IF('Young Innovators Kits'!D316="","",'Young Innovators Kits'!D316)</f>
        <v>1</v>
      </c>
      <c r="E1010" s="0" t="str">
        <f aca="false">IF('Young Innovators Kits'!E316="","",'Young Innovators Kits'!E316)</f>
        <v>Per group</v>
      </c>
      <c r="F1010" s="0" t="str">
        <f aca="false">IFERROR(INDEX('Session Tracker'!$M$5:$M$149,MATCH($A1010,'Session Tracker'!$D$5:$D$149,0))+0,"")</f>
        <v/>
      </c>
      <c r="G1010" s="0" t="str">
        <f aca="false">IF(ISNUMBER(F1010),IF(OR(B1010=0,B1010=99,C1010&lt;&gt;""),F1010*100+B1010,""),"")</f>
        <v/>
      </c>
      <c r="H1010" s="0" t="n">
        <f aca="false">IFERROR(INDEX('Session Tracker'!$J$5:$J$149,MATCH($A1010,'Session Tracker'!$D$5:$D$149,0)),0)</f>
        <v>8</v>
      </c>
      <c r="I1010" s="0" t="n">
        <f aca="false">IF(OR(B1010=0,B1010=99,C1010=""),"",IF(E1010="Per class",D1010,D1010*H1010))</f>
        <v>8</v>
      </c>
      <c r="N1010" s="0" t="str">
        <f aca="false">IF('Young Innovators Kits'!B316="","",'Young Innovators Kits'!B316)</f>
        <v>Displays &amp; Output</v>
      </c>
      <c r="O1010" s="0" t="str">
        <f aca="false">IF('Young Innovators Kits'!F316="","",'Young Innovators Kits'!F316)</f>
        <v>Consumable</v>
      </c>
      <c r="P1010" s="0" t="str">
        <f aca="false">IF('Young Innovators Kits'!G316="","",'Young Innovators Kits'!G316)</f>
        <v>Added: every Arduino class</v>
      </c>
    </row>
    <row r="1011" customFormat="false" ht="15" hidden="false" customHeight="false" outlineLevel="0" collapsed="false">
      <c r="A1011" s="0" t="s">
        <v>267</v>
      </c>
      <c r="B1011" s="0" t="n">
        <v>8</v>
      </c>
      <c r="C1011" s="0" t="str">
        <f aca="false">IF('Young Innovators Kits'!C317="","",'Young Innovators Kits'!C317)</f>
        <v>Resistor 220 ohm</v>
      </c>
      <c r="D1011" s="0" t="n">
        <f aca="false">IF('Young Innovators Kits'!D317="","",'Young Innovators Kits'!D317)</f>
        <v>1</v>
      </c>
      <c r="E1011" s="0" t="str">
        <f aca="false">IF('Young Innovators Kits'!E317="","",'Young Innovators Kits'!E317)</f>
        <v>Per group</v>
      </c>
      <c r="F1011" s="0" t="str">
        <f aca="false">IFERROR(INDEX('Session Tracker'!$M$5:$M$149,MATCH($A1011,'Session Tracker'!$D$5:$D$149,0))+0,"")</f>
        <v/>
      </c>
      <c r="G1011" s="0" t="str">
        <f aca="false">IF(ISNUMBER(F1011),IF(OR(B1011=0,B1011=99,C1011&lt;&gt;""),F1011*100+B1011,""),"")</f>
        <v/>
      </c>
      <c r="H1011" s="0" t="n">
        <f aca="false">IFERROR(INDEX('Session Tracker'!$J$5:$J$149,MATCH($A1011,'Session Tracker'!$D$5:$D$149,0)),0)</f>
        <v>8</v>
      </c>
      <c r="I1011" s="0" t="n">
        <f aca="false">IF(OR(B1011=0,B1011=99,C1011=""),"",IF(E1011="Per class",D1011,D1011*H1011))</f>
        <v>8</v>
      </c>
      <c r="N1011" s="0" t="str">
        <f aca="false">IF('Young Innovators Kits'!B317="","",'Young Innovators Kits'!B317)</f>
        <v>Passive Components &amp; ICs</v>
      </c>
      <c r="O1011" s="0" t="str">
        <f aca="false">IF('Young Innovators Kits'!F317="","",'Young Innovators Kits'!F317)</f>
        <v>Consumable</v>
      </c>
      <c r="P1011" s="0" t="str">
        <f aca="false">IF('Young Innovators Kits'!G317="","",'Young Innovators Kits'!G317)</f>
        <v>Added: for the LED</v>
      </c>
    </row>
    <row r="1012" customFormat="false" ht="15" hidden="false" customHeight="false" outlineLevel="0" collapsed="false">
      <c r="A1012" s="0" t="s">
        <v>267</v>
      </c>
      <c r="B1012" s="0" t="n">
        <v>9</v>
      </c>
      <c r="C1012" s="0" t="str">
        <f aca="false">IF('Young Innovators Kits'!C318="","",'Young Innovators Kits'!C318)</f>
        <v>Buzzer</v>
      </c>
      <c r="D1012" s="0" t="n">
        <f aca="false">IF('Young Innovators Kits'!D318="","",'Young Innovators Kits'!D318)</f>
        <v>1</v>
      </c>
      <c r="E1012" s="0" t="str">
        <f aca="false">IF('Young Innovators Kits'!E318="","",'Young Innovators Kits'!E318)</f>
        <v>Per group</v>
      </c>
      <c r="F1012" s="0" t="str">
        <f aca="false">IFERROR(INDEX('Session Tracker'!$M$5:$M$149,MATCH($A1012,'Session Tracker'!$D$5:$D$149,0))+0,"")</f>
        <v/>
      </c>
      <c r="G1012" s="0" t="str">
        <f aca="false">IF(ISNUMBER(F1012),IF(OR(B1012=0,B1012=99,C1012&lt;&gt;""),F1012*100+B1012,""),"")</f>
        <v/>
      </c>
      <c r="H1012" s="0" t="n">
        <f aca="false">IFERROR(INDEX('Session Tracker'!$J$5:$J$149,MATCH($A1012,'Session Tracker'!$D$5:$D$149,0)),0)</f>
        <v>8</v>
      </c>
      <c r="I1012" s="0" t="n">
        <f aca="false">IF(OR(B1012=0,B1012=99,C1012=""),"",IF(E1012="Per class",D1012,D1012*H1012))</f>
        <v>8</v>
      </c>
      <c r="N1012" s="0" t="str">
        <f aca="false">IF('Young Innovators Kits'!B318="","",'Young Innovators Kits'!B318)</f>
        <v>Actuators &amp; Motor Drivers</v>
      </c>
      <c r="O1012" s="0" t="str">
        <f aca="false">IF('Young Innovators Kits'!F318="","",'Young Innovators Kits'!F318)</f>
        <v>Reusable</v>
      </c>
      <c r="P1012" s="0" t="str">
        <f aca="false">IF('Young Innovators Kits'!G318="","",'Young Innovators Kits'!G318)</f>
        <v>Added: every Arduino class</v>
      </c>
    </row>
    <row r="1013" customFormat="false" ht="15" hidden="false" customHeight="false" outlineLevel="0" collapsed="false">
      <c r="A1013" s="0" t="s">
        <v>267</v>
      </c>
      <c r="B1013" s="0" t="n">
        <v>10</v>
      </c>
      <c r="C1013" s="0" t="str">
        <f aca="false">IF('Young Innovators Kits'!C319="","",'Young Innovators Kits'!C319)</f>
        <v/>
      </c>
      <c r="D1013" s="0" t="str">
        <f aca="false">IF('Young Innovators Kits'!D319="","",'Young Innovators Kits'!D319)</f>
        <v/>
      </c>
      <c r="E1013" s="0" t="str">
        <f aca="false">IF('Young Innovators Kits'!E319="","",'Young Innovators Kits'!E319)</f>
        <v/>
      </c>
      <c r="F1013" s="0" t="str">
        <f aca="false">IFERROR(INDEX('Session Tracker'!$M$5:$M$149,MATCH($A1013,'Session Tracker'!$D$5:$D$149,0))+0,"")</f>
        <v/>
      </c>
      <c r="G1013" s="0" t="str">
        <f aca="false">IF(ISNUMBER(F1013),IF(OR(B1013=0,B1013=99,C1013&lt;&gt;""),F1013*100+B1013,""),"")</f>
        <v/>
      </c>
      <c r="H1013" s="0" t="n">
        <f aca="false">IFERROR(INDEX('Session Tracker'!$J$5:$J$149,MATCH($A1013,'Session Tracker'!$D$5:$D$149,0)),0)</f>
        <v>8</v>
      </c>
      <c r="I1013" s="0" t="str">
        <f aca="false">IF(OR(B1013=0,B1013=99,C1013=""),"",IF(E1013="Per class",D1013,D1013*H1013))</f>
        <v/>
      </c>
      <c r="N1013" s="0" t="str">
        <f aca="false">IF('Young Innovators Kits'!B319="","",'Young Innovators Kits'!B319)</f>
        <v/>
      </c>
      <c r="O1013" s="0" t="str">
        <f aca="false">IF('Young Innovators Kits'!F319="","",'Young Innovators Kits'!F319)</f>
        <v/>
      </c>
      <c r="P1013" s="0" t="str">
        <f aca="false">IF('Young Innovators Kits'!G319="","",'Young Innovators Kits'!G319)</f>
        <v/>
      </c>
    </row>
    <row r="1014" customFormat="false" ht="15" hidden="false" customHeight="false" outlineLevel="0" collapsed="false">
      <c r="A1014" s="0" t="s">
        <v>267</v>
      </c>
      <c r="B1014" s="0" t="n">
        <v>11</v>
      </c>
      <c r="C1014" s="0" t="str">
        <f aca="false">IF('Young Innovators Kits'!C320="","",'Young Innovators Kits'!C320)</f>
        <v/>
      </c>
      <c r="D1014" s="0" t="str">
        <f aca="false">IF('Young Innovators Kits'!D320="","",'Young Innovators Kits'!D320)</f>
        <v/>
      </c>
      <c r="E1014" s="0" t="str">
        <f aca="false">IF('Young Innovators Kits'!E320="","",'Young Innovators Kits'!E320)</f>
        <v/>
      </c>
      <c r="F1014" s="0" t="str">
        <f aca="false">IFERROR(INDEX('Session Tracker'!$M$5:$M$149,MATCH($A1014,'Session Tracker'!$D$5:$D$149,0))+0,"")</f>
        <v/>
      </c>
      <c r="G1014" s="0" t="str">
        <f aca="false">IF(ISNUMBER(F1014),IF(OR(B1014=0,B1014=99,C1014&lt;&gt;""),F1014*100+B1014,""),"")</f>
        <v/>
      </c>
      <c r="H1014" s="0" t="n">
        <f aca="false">IFERROR(INDEX('Session Tracker'!$J$5:$J$149,MATCH($A1014,'Session Tracker'!$D$5:$D$149,0)),0)</f>
        <v>8</v>
      </c>
      <c r="I1014" s="0" t="str">
        <f aca="false">IF(OR(B1014=0,B1014=99,C1014=""),"",IF(E1014="Per class",D1014,D1014*H1014))</f>
        <v/>
      </c>
      <c r="N1014" s="0" t="str">
        <f aca="false">IF('Young Innovators Kits'!B320="","",'Young Innovators Kits'!B320)</f>
        <v/>
      </c>
      <c r="O1014" s="0" t="str">
        <f aca="false">IF('Young Innovators Kits'!F320="","",'Young Innovators Kits'!F320)</f>
        <v/>
      </c>
      <c r="P1014" s="0" t="str">
        <f aca="false">IF('Young Innovators Kits'!G320="","",'Young Innovators Kits'!G320)</f>
        <v/>
      </c>
    </row>
    <row r="1015" customFormat="false" ht="15" hidden="false" customHeight="false" outlineLevel="0" collapsed="false">
      <c r="A1015" s="0" t="s">
        <v>269</v>
      </c>
      <c r="B1015" s="0" t="n">
        <v>0</v>
      </c>
      <c r="F1015" s="0" t="str">
        <f aca="false">IFERROR(INDEX('Session Tracker'!$M$5:$M$149,MATCH($A1015,'Session Tracker'!$D$5:$D$149,0))+0,"")</f>
        <v/>
      </c>
      <c r="G1015" s="0" t="str">
        <f aca="false">IF(ISNUMBER(F1015),IF(OR(B1015=0,B1015=99,C1015&lt;&gt;""),F1015*100+B1015,""),"")</f>
        <v/>
      </c>
      <c r="H1015" s="0" t="n">
        <f aca="false">IFERROR(INDEX('Session Tracker'!$J$5:$J$149,MATCH($A1015,'Session Tracker'!$D$5:$D$149,0)),0)</f>
        <v>8</v>
      </c>
      <c r="I1015" s="0" t="str">
        <f aca="false">IF(OR(B1015=0,B1015=99,C1015=""),"",IF(E1015="Per class",D1015,D1015*H1015))</f>
        <v/>
      </c>
      <c r="K1015" s="0" t="str">
        <f aca="false">IFERROR(INDEX('Session Tracker'!$E$5:$E$149,MATCH($A1015,'Session Tracker'!$D$5:$D$149,0)),"")</f>
        <v>Li-Fi Messenger: Sending Text with Light</v>
      </c>
      <c r="L1015" s="0" t="str">
        <f aca="false">IFERROR(INDEX('Session Tracker'!$A$5:$A$149,MATCH($A1015,'Session Tracker'!$D$5:$D$149,0)),"")</f>
        <v>Young Innovators (12-14)</v>
      </c>
      <c r="M1015" s="0" t="str">
        <f aca="false">IFERROR(INDEX('Session Tracker'!$H$5:$H$149,MATCH($A1015,'Session Tracker'!$D$5:$D$149,0))&amp;"","")</f>
        <v/>
      </c>
      <c r="Q1015" s="0" t="str">
        <f aca="false">IFERROR("Status: "&amp;INDEX('Session Tracker'!$F$5:$F$149,MATCH($A1015,'Session Tracker'!$D$5:$D$149,0))&amp;IF(INDEX('Session Tracker'!$G$5:$G$149,MATCH($A1015,'Session Tracker'!$D$5:$D$149,0))&lt;&gt;""," ("&amp;INDEX('Session Tracker'!$G$5:$G$149,MATCH($A1015,'Session Tracker'!$D$5:$D$149,0))&amp;")","")&amp;IF(M1015&lt;&gt;"","  "&amp;M1015,""),"")</f>
        <v>Status: Not started</v>
      </c>
    </row>
    <row r="1016" customFormat="false" ht="15" hidden="false" customHeight="false" outlineLevel="0" collapsed="false">
      <c r="A1016" s="0" t="s">
        <v>269</v>
      </c>
      <c r="B1016" s="0" t="n">
        <v>1</v>
      </c>
      <c r="C1016" s="0" t="str">
        <f aca="false">IF('Young Innovators Kits'!C323="","",'Young Innovators Kits'!C323)</f>
        <v>Arduino Uno + USB cable</v>
      </c>
      <c r="D1016" s="0" t="n">
        <f aca="false">IF('Young Innovators Kits'!D323="","",'Young Innovators Kits'!D323)</f>
        <v>2</v>
      </c>
      <c r="E1016" s="0" t="str">
        <f aca="false">IF('Young Innovators Kits'!E323="","",'Young Innovators Kits'!E323)</f>
        <v>Per group</v>
      </c>
      <c r="F1016" s="0" t="str">
        <f aca="false">IFERROR(INDEX('Session Tracker'!$M$5:$M$149,MATCH($A1016,'Session Tracker'!$D$5:$D$149,0))+0,"")</f>
        <v/>
      </c>
      <c r="G1016" s="0" t="str">
        <f aca="false">IF(ISNUMBER(F1016),IF(OR(B1016=0,B1016=99,C1016&lt;&gt;""),F1016*100+B1016,""),"")</f>
        <v/>
      </c>
      <c r="H1016" s="0" t="n">
        <f aca="false">IFERROR(INDEX('Session Tracker'!$J$5:$J$149,MATCH($A1016,'Session Tracker'!$D$5:$D$149,0)),0)</f>
        <v>8</v>
      </c>
      <c r="I1016" s="0" t="n">
        <f aca="false">IF(OR(B1016=0,B1016=99,C1016=""),"",IF(E1016="Per class",D1016,D1016*H1016))</f>
        <v>16</v>
      </c>
      <c r="N1016" s="0" t="str">
        <f aca="false">IF('Young Innovators Kits'!B323="","",'Young Innovators Kits'!B323)</f>
        <v>Microcontrollers &amp; Dev Boards</v>
      </c>
      <c r="O1016" s="0" t="str">
        <f aca="false">IF('Young Innovators Kits'!F323="","",'Young Innovators Kits'!F323)</f>
        <v>Reusable</v>
      </c>
      <c r="P1016" s="0" t="str">
        <f aca="false">IF('Young Innovators Kits'!G323="","",'Young Innovators Kits'!G323)</f>
        <v>Sender + receiver</v>
      </c>
    </row>
    <row r="1017" customFormat="false" ht="15" hidden="false" customHeight="false" outlineLevel="0" collapsed="false">
      <c r="A1017" s="0" t="s">
        <v>269</v>
      </c>
      <c r="B1017" s="0" t="n">
        <v>2</v>
      </c>
      <c r="C1017" s="0" t="str">
        <f aca="false">IF('Young Innovators Kits'!C324="","",'Young Innovators Kits'!C324)</f>
        <v>LED 5 mm (assorted)</v>
      </c>
      <c r="D1017" s="0" t="n">
        <f aca="false">IF('Young Innovators Kits'!D324="","",'Young Innovators Kits'!D324)</f>
        <v>1</v>
      </c>
      <c r="E1017" s="0" t="str">
        <f aca="false">IF('Young Innovators Kits'!E324="","",'Young Innovators Kits'!E324)</f>
        <v>Per group</v>
      </c>
      <c r="F1017" s="0" t="str">
        <f aca="false">IFERROR(INDEX('Session Tracker'!$M$5:$M$149,MATCH($A1017,'Session Tracker'!$D$5:$D$149,0))+0,"")</f>
        <v/>
      </c>
      <c r="G1017" s="0" t="str">
        <f aca="false">IF(ISNUMBER(F1017),IF(OR(B1017=0,B1017=99,C1017&lt;&gt;""),F1017*100+B1017,""),"")</f>
        <v/>
      </c>
      <c r="H1017" s="0" t="n">
        <f aca="false">IFERROR(INDEX('Session Tracker'!$J$5:$J$149,MATCH($A1017,'Session Tracker'!$D$5:$D$149,0)),0)</f>
        <v>8</v>
      </c>
      <c r="I1017" s="0" t="n">
        <f aca="false">IF(OR(B1017=0,B1017=99,C1017=""),"",IF(E1017="Per class",D1017,D1017*H1017))</f>
        <v>8</v>
      </c>
      <c r="N1017" s="0" t="str">
        <f aca="false">IF('Young Innovators Kits'!B324="","",'Young Innovators Kits'!B324)</f>
        <v>Displays &amp; Output</v>
      </c>
      <c r="O1017" s="0" t="str">
        <f aca="false">IF('Young Innovators Kits'!F324="","",'Young Innovators Kits'!F324)</f>
        <v>Consumable</v>
      </c>
      <c r="P1017" s="0" t="str">
        <f aca="false">IF('Young Innovators Kits'!G324="","",'Young Innovators Kits'!G324)</f>
        <v>Bright white</v>
      </c>
    </row>
    <row r="1018" customFormat="false" ht="15" hidden="false" customHeight="false" outlineLevel="0" collapsed="false">
      <c r="A1018" s="0" t="s">
        <v>269</v>
      </c>
      <c r="B1018" s="0" t="n">
        <v>3</v>
      </c>
      <c r="C1018" s="0" t="str">
        <f aca="false">IF('Young Innovators Kits'!C325="","",'Young Innovators Kits'!C325)</f>
        <v>LDR module</v>
      </c>
      <c r="D1018" s="0" t="n">
        <f aca="false">IF('Young Innovators Kits'!D325="","",'Young Innovators Kits'!D325)</f>
        <v>1</v>
      </c>
      <c r="E1018" s="0" t="str">
        <f aca="false">IF('Young Innovators Kits'!E325="","",'Young Innovators Kits'!E325)</f>
        <v>Per group</v>
      </c>
      <c r="F1018" s="0" t="str">
        <f aca="false">IFERROR(INDEX('Session Tracker'!$M$5:$M$149,MATCH($A1018,'Session Tracker'!$D$5:$D$149,0))+0,"")</f>
        <v/>
      </c>
      <c r="G1018" s="0" t="str">
        <f aca="false">IF(ISNUMBER(F1018),IF(OR(B1018=0,B1018=99,C1018&lt;&gt;""),F1018*100+B1018,""),"")</f>
        <v/>
      </c>
      <c r="H1018" s="0" t="n">
        <f aca="false">IFERROR(INDEX('Session Tracker'!$J$5:$J$149,MATCH($A1018,'Session Tracker'!$D$5:$D$149,0)),0)</f>
        <v>8</v>
      </c>
      <c r="I1018" s="0" t="n">
        <f aca="false">IF(OR(B1018=0,B1018=99,C1018=""),"",IF(E1018="Per class",D1018,D1018*H1018))</f>
        <v>8</v>
      </c>
      <c r="N1018" s="0" t="str">
        <f aca="false">IF('Young Innovators Kits'!B325="","",'Young Innovators Kits'!B325)</f>
        <v>Sensors</v>
      </c>
      <c r="O1018" s="0" t="str">
        <f aca="false">IF('Young Innovators Kits'!F325="","",'Young Innovators Kits'!F325)</f>
        <v>Reusable</v>
      </c>
      <c r="P1018" s="0" t="str">
        <f aca="false">IF('Young Innovators Kits'!G325="","",'Young Innovators Kits'!G325)</f>
        <v/>
      </c>
    </row>
    <row r="1019" customFormat="false" ht="15" hidden="false" customHeight="false" outlineLevel="0" collapsed="false">
      <c r="A1019" s="0" t="s">
        <v>269</v>
      </c>
      <c r="B1019" s="0" t="n">
        <v>4</v>
      </c>
      <c r="C1019" s="0" t="str">
        <f aca="false">IF('Young Innovators Kits'!C326="","",'Young Innovators Kits'!C326)</f>
        <v>Resistor 220 ohm</v>
      </c>
      <c r="D1019" s="0" t="n">
        <f aca="false">IF('Young Innovators Kits'!D326="","",'Young Innovators Kits'!D326)</f>
        <v>1</v>
      </c>
      <c r="E1019" s="0" t="str">
        <f aca="false">IF('Young Innovators Kits'!E326="","",'Young Innovators Kits'!E326)</f>
        <v>Per group</v>
      </c>
      <c r="F1019" s="0" t="str">
        <f aca="false">IFERROR(INDEX('Session Tracker'!$M$5:$M$149,MATCH($A1019,'Session Tracker'!$D$5:$D$149,0))+0,"")</f>
        <v/>
      </c>
      <c r="G1019" s="0" t="str">
        <f aca="false">IF(ISNUMBER(F1019),IF(OR(B1019=0,B1019=99,C1019&lt;&gt;""),F1019*100+B1019,""),"")</f>
        <v/>
      </c>
      <c r="H1019" s="0" t="n">
        <f aca="false">IFERROR(INDEX('Session Tracker'!$J$5:$J$149,MATCH($A1019,'Session Tracker'!$D$5:$D$149,0)),0)</f>
        <v>8</v>
      </c>
      <c r="I1019" s="0" t="n">
        <f aca="false">IF(OR(B1019=0,B1019=99,C1019=""),"",IF(E1019="Per class",D1019,D1019*H1019))</f>
        <v>8</v>
      </c>
      <c r="N1019" s="0" t="str">
        <f aca="false">IF('Young Innovators Kits'!B326="","",'Young Innovators Kits'!B326)</f>
        <v>Passive Components &amp; ICs</v>
      </c>
      <c r="O1019" s="0" t="str">
        <f aca="false">IF('Young Innovators Kits'!F326="","",'Young Innovators Kits'!F326)</f>
        <v>Consumable</v>
      </c>
      <c r="P1019" s="0" t="str">
        <f aca="false">IF('Young Innovators Kits'!G326="","",'Young Innovators Kits'!G326)</f>
        <v/>
      </c>
    </row>
    <row r="1020" customFormat="false" ht="15" hidden="false" customHeight="false" outlineLevel="0" collapsed="false">
      <c r="A1020" s="0" t="s">
        <v>269</v>
      </c>
      <c r="B1020" s="0" t="n">
        <v>5</v>
      </c>
      <c r="C1020" s="0" t="str">
        <f aca="false">IF('Young Innovators Kits'!C327="","",'Young Innovators Kits'!C327)</f>
        <v>Breadboard (half size)</v>
      </c>
      <c r="D1020" s="0" t="n">
        <f aca="false">IF('Young Innovators Kits'!D327="","",'Young Innovators Kits'!D327)</f>
        <v>2</v>
      </c>
      <c r="E1020" s="0" t="str">
        <f aca="false">IF('Young Innovators Kits'!E327="","",'Young Innovators Kits'!E327)</f>
        <v>Per group</v>
      </c>
      <c r="F1020" s="0" t="str">
        <f aca="false">IFERROR(INDEX('Session Tracker'!$M$5:$M$149,MATCH($A1020,'Session Tracker'!$D$5:$D$149,0))+0,"")</f>
        <v/>
      </c>
      <c r="G1020" s="0" t="str">
        <f aca="false">IF(ISNUMBER(F1020),IF(OR(B1020=0,B1020=99,C1020&lt;&gt;""),F1020*100+B1020,""),"")</f>
        <v/>
      </c>
      <c r="H1020" s="0" t="n">
        <f aca="false">IFERROR(INDEX('Session Tracker'!$J$5:$J$149,MATCH($A1020,'Session Tracker'!$D$5:$D$149,0)),0)</f>
        <v>8</v>
      </c>
      <c r="I1020" s="0" t="n">
        <f aca="false">IF(OR(B1020=0,B1020=99,C1020=""),"",IF(E1020="Per class",D1020,D1020*H1020))</f>
        <v>16</v>
      </c>
      <c r="N1020" s="0" t="str">
        <f aca="false">IF('Young Innovators Kits'!B327="","",'Young Innovators Kits'!B327)</f>
        <v>Wiring &amp; Prototyping</v>
      </c>
      <c r="O1020" s="0" t="str">
        <f aca="false">IF('Young Innovators Kits'!F327="","",'Young Innovators Kits'!F327)</f>
        <v>Reusable</v>
      </c>
      <c r="P1020" s="0" t="str">
        <f aca="false">IF('Young Innovators Kits'!G327="","",'Young Innovators Kits'!G327)</f>
        <v/>
      </c>
    </row>
    <row r="1021" customFormat="false" ht="15" hidden="false" customHeight="false" outlineLevel="0" collapsed="false">
      <c r="A1021" s="0" t="s">
        <v>269</v>
      </c>
      <c r="B1021" s="0" t="n">
        <v>6</v>
      </c>
      <c r="C1021" s="0" t="str">
        <f aca="false">IF('Young Innovators Kits'!C328="","",'Young Innovators Kits'!C328)</f>
        <v>Jumper wires M-M</v>
      </c>
      <c r="D1021" s="0" t="n">
        <f aca="false">IF('Young Innovators Kits'!D328="","",'Young Innovators Kits'!D328)</f>
        <v>8</v>
      </c>
      <c r="E1021" s="0" t="str">
        <f aca="false">IF('Young Innovators Kits'!E328="","",'Young Innovators Kits'!E328)</f>
        <v>Per group</v>
      </c>
      <c r="F1021" s="0" t="str">
        <f aca="false">IFERROR(INDEX('Session Tracker'!$M$5:$M$149,MATCH($A1021,'Session Tracker'!$D$5:$D$149,0))+0,"")</f>
        <v/>
      </c>
      <c r="G1021" s="0" t="str">
        <f aca="false">IF(ISNUMBER(F1021),IF(OR(B1021=0,B1021=99,C1021&lt;&gt;""),F1021*100+B1021,""),"")</f>
        <v/>
      </c>
      <c r="H1021" s="0" t="n">
        <f aca="false">IFERROR(INDEX('Session Tracker'!$J$5:$J$149,MATCH($A1021,'Session Tracker'!$D$5:$D$149,0)),0)</f>
        <v>8</v>
      </c>
      <c r="I1021" s="0" t="n">
        <f aca="false">IF(OR(B1021=0,B1021=99,C1021=""),"",IF(E1021="Per class",D1021,D1021*H1021))</f>
        <v>64</v>
      </c>
      <c r="N1021" s="0" t="str">
        <f aca="false">IF('Young Innovators Kits'!B328="","",'Young Innovators Kits'!B328)</f>
        <v>Wiring &amp; Prototyping</v>
      </c>
      <c r="O1021" s="0" t="str">
        <f aca="false">IF('Young Innovators Kits'!F328="","",'Young Innovators Kits'!F328)</f>
        <v>Reusable</v>
      </c>
      <c r="P1021" s="0" t="str">
        <f aca="false">IF('Young Innovators Kits'!G328="","",'Young Innovators Kits'!G328)</f>
        <v/>
      </c>
    </row>
    <row r="1022" customFormat="false" ht="15" hidden="false" customHeight="false" outlineLevel="0" collapsed="false">
      <c r="A1022" s="0" t="s">
        <v>269</v>
      </c>
      <c r="B1022" s="0" t="n">
        <v>7</v>
      </c>
      <c r="C1022" s="0" t="str">
        <f aca="false">IF('Young Innovators Kits'!C329="","",'Young Innovators Kits'!C329)</f>
        <v>Laptop</v>
      </c>
      <c r="D1022" s="0" t="n">
        <f aca="false">IF('Young Innovators Kits'!D329="","",'Young Innovators Kits'!D329)</f>
        <v>2</v>
      </c>
      <c r="E1022" s="0" t="str">
        <f aca="false">IF('Young Innovators Kits'!E329="","",'Young Innovators Kits'!E329)</f>
        <v>Per group</v>
      </c>
      <c r="F1022" s="0" t="str">
        <f aca="false">IFERROR(INDEX('Session Tracker'!$M$5:$M$149,MATCH($A1022,'Session Tracker'!$D$5:$D$149,0))+0,"")</f>
        <v/>
      </c>
      <c r="G1022" s="0" t="str">
        <f aca="false">IF(ISNUMBER(F1022),IF(OR(B1022=0,B1022=99,C1022&lt;&gt;""),F1022*100+B1022,""),"")</f>
        <v/>
      </c>
      <c r="H1022" s="0" t="n">
        <f aca="false">IFERROR(INDEX('Session Tracker'!$J$5:$J$149,MATCH($A1022,'Session Tracker'!$D$5:$D$149,0)),0)</f>
        <v>8</v>
      </c>
      <c r="I1022" s="0" t="n">
        <f aca="false">IF(OR(B1022=0,B1022=99,C1022=""),"",IF(E1022="Per class",D1022,D1022*H1022))</f>
        <v>16</v>
      </c>
      <c r="N1022" s="0" t="str">
        <f aca="false">IF('Young Innovators Kits'!B329="","",'Young Innovators Kits'!B329)</f>
        <v>Computers &amp; Equipment</v>
      </c>
      <c r="O1022" s="0" t="str">
        <f aca="false">IF('Young Innovators Kits'!F329="","",'Young Innovators Kits'!F329)</f>
        <v>Reusable</v>
      </c>
      <c r="P1022" s="0" t="str">
        <f aca="false">IF('Young Innovators Kits'!G329="","",'Young Innovators Kits'!G329)</f>
        <v/>
      </c>
    </row>
    <row r="1023" customFormat="false" ht="15" hidden="false" customHeight="false" outlineLevel="0" collapsed="false">
      <c r="A1023" s="0" t="s">
        <v>269</v>
      </c>
      <c r="B1023" s="0" t="n">
        <v>8</v>
      </c>
      <c r="C1023" s="0" t="str">
        <f aca="false">IF('Young Innovators Kits'!C330="","",'Young Innovators Kits'!C330)</f>
        <v>Buzzer</v>
      </c>
      <c r="D1023" s="0" t="n">
        <f aca="false">IF('Young Innovators Kits'!D330="","",'Young Innovators Kits'!D330)</f>
        <v>1</v>
      </c>
      <c r="E1023" s="0" t="str">
        <f aca="false">IF('Young Innovators Kits'!E330="","",'Young Innovators Kits'!E330)</f>
        <v>Per group</v>
      </c>
      <c r="F1023" s="0" t="str">
        <f aca="false">IFERROR(INDEX('Session Tracker'!$M$5:$M$149,MATCH($A1023,'Session Tracker'!$D$5:$D$149,0))+0,"")</f>
        <v/>
      </c>
      <c r="G1023" s="0" t="str">
        <f aca="false">IF(ISNUMBER(F1023),IF(OR(B1023=0,B1023=99,C1023&lt;&gt;""),F1023*100+B1023,""),"")</f>
        <v/>
      </c>
      <c r="H1023" s="0" t="n">
        <f aca="false">IFERROR(INDEX('Session Tracker'!$J$5:$J$149,MATCH($A1023,'Session Tracker'!$D$5:$D$149,0)),0)</f>
        <v>8</v>
      </c>
      <c r="I1023" s="0" t="n">
        <f aca="false">IF(OR(B1023=0,B1023=99,C1023=""),"",IF(E1023="Per class",D1023,D1023*H1023))</f>
        <v>8</v>
      </c>
      <c r="N1023" s="0" t="str">
        <f aca="false">IF('Young Innovators Kits'!B330="","",'Young Innovators Kits'!B330)</f>
        <v>Actuators &amp; Motor Drivers</v>
      </c>
      <c r="O1023" s="0" t="str">
        <f aca="false">IF('Young Innovators Kits'!F330="","",'Young Innovators Kits'!F330)</f>
        <v>Reusable</v>
      </c>
      <c r="P1023" s="0" t="str">
        <f aca="false">IF('Young Innovators Kits'!G330="","",'Young Innovators Kits'!G330)</f>
        <v>Added: every Arduino class</v>
      </c>
    </row>
    <row r="1024" customFormat="false" ht="15" hidden="false" customHeight="false" outlineLevel="0" collapsed="false">
      <c r="A1024" s="0" t="s">
        <v>269</v>
      </c>
      <c r="B1024" s="0" t="n">
        <v>9</v>
      </c>
      <c r="C1024" s="0" t="str">
        <f aca="false">IF('Young Innovators Kits'!C331="","",'Young Innovators Kits'!C331)</f>
        <v/>
      </c>
      <c r="D1024" s="0" t="str">
        <f aca="false">IF('Young Innovators Kits'!D331="","",'Young Innovators Kits'!D331)</f>
        <v/>
      </c>
      <c r="E1024" s="0" t="str">
        <f aca="false">IF('Young Innovators Kits'!E331="","",'Young Innovators Kits'!E331)</f>
        <v/>
      </c>
      <c r="F1024" s="0" t="str">
        <f aca="false">IFERROR(INDEX('Session Tracker'!$M$5:$M$149,MATCH($A1024,'Session Tracker'!$D$5:$D$149,0))+0,"")</f>
        <v/>
      </c>
      <c r="G1024" s="0" t="str">
        <f aca="false">IF(ISNUMBER(F1024),IF(OR(B1024=0,B1024=99,C1024&lt;&gt;""),F1024*100+B1024,""),"")</f>
        <v/>
      </c>
      <c r="H1024" s="0" t="n">
        <f aca="false">IFERROR(INDEX('Session Tracker'!$J$5:$J$149,MATCH($A1024,'Session Tracker'!$D$5:$D$149,0)),0)</f>
        <v>8</v>
      </c>
      <c r="I1024" s="0" t="str">
        <f aca="false">IF(OR(B1024=0,B1024=99,C1024=""),"",IF(E1024="Per class",D1024,D1024*H1024))</f>
        <v/>
      </c>
      <c r="N1024" s="0" t="str">
        <f aca="false">IF('Young Innovators Kits'!B331="","",'Young Innovators Kits'!B331)</f>
        <v/>
      </c>
      <c r="O1024" s="0" t="str">
        <f aca="false">IF('Young Innovators Kits'!F331="","",'Young Innovators Kits'!F331)</f>
        <v/>
      </c>
      <c r="P1024" s="0" t="str">
        <f aca="false">IF('Young Innovators Kits'!G331="","",'Young Innovators Kits'!G331)</f>
        <v/>
      </c>
    </row>
    <row r="1025" customFormat="false" ht="15" hidden="false" customHeight="false" outlineLevel="0" collapsed="false">
      <c r="A1025" s="0" t="s">
        <v>269</v>
      </c>
      <c r="B1025" s="0" t="n">
        <v>10</v>
      </c>
      <c r="C1025" s="0" t="str">
        <f aca="false">IF('Young Innovators Kits'!C332="","",'Young Innovators Kits'!C332)</f>
        <v/>
      </c>
      <c r="D1025" s="0" t="str">
        <f aca="false">IF('Young Innovators Kits'!D332="","",'Young Innovators Kits'!D332)</f>
        <v/>
      </c>
      <c r="E1025" s="0" t="str">
        <f aca="false">IF('Young Innovators Kits'!E332="","",'Young Innovators Kits'!E332)</f>
        <v/>
      </c>
      <c r="F1025" s="0" t="str">
        <f aca="false">IFERROR(INDEX('Session Tracker'!$M$5:$M$149,MATCH($A1025,'Session Tracker'!$D$5:$D$149,0))+0,"")</f>
        <v/>
      </c>
      <c r="G1025" s="0" t="str">
        <f aca="false">IF(ISNUMBER(F1025),IF(OR(B1025=0,B1025=99,C1025&lt;&gt;""),F1025*100+B1025,""),"")</f>
        <v/>
      </c>
      <c r="H1025" s="0" t="n">
        <f aca="false">IFERROR(INDEX('Session Tracker'!$J$5:$J$149,MATCH($A1025,'Session Tracker'!$D$5:$D$149,0)),0)</f>
        <v>8</v>
      </c>
      <c r="I1025" s="0" t="str">
        <f aca="false">IF(OR(B1025=0,B1025=99,C1025=""),"",IF(E1025="Per class",D1025,D1025*H1025))</f>
        <v/>
      </c>
      <c r="N1025" s="0" t="str">
        <f aca="false">IF('Young Innovators Kits'!B332="","",'Young Innovators Kits'!B332)</f>
        <v/>
      </c>
      <c r="O1025" s="0" t="str">
        <f aca="false">IF('Young Innovators Kits'!F332="","",'Young Innovators Kits'!F332)</f>
        <v/>
      </c>
      <c r="P1025" s="0" t="str">
        <f aca="false">IF('Young Innovators Kits'!G332="","",'Young Innovators Kits'!G332)</f>
        <v/>
      </c>
    </row>
    <row r="1026" customFormat="false" ht="15" hidden="false" customHeight="false" outlineLevel="0" collapsed="false">
      <c r="A1026" s="0" t="s">
        <v>271</v>
      </c>
      <c r="B1026" s="0" t="n">
        <v>0</v>
      </c>
      <c r="F1026" s="0" t="str">
        <f aca="false">IFERROR(INDEX('Session Tracker'!$M$5:$M$149,MATCH($A1026,'Session Tracker'!$D$5:$D$149,0))+0,"")</f>
        <v/>
      </c>
      <c r="G1026" s="0" t="str">
        <f aca="false">IF(ISNUMBER(F1026),IF(OR(B1026=0,B1026=99,C1026&lt;&gt;""),F1026*100+B1026,""),"")</f>
        <v/>
      </c>
      <c r="H1026" s="0" t="n">
        <f aca="false">IFERROR(INDEX('Session Tracker'!$J$5:$J$149,MATCH($A1026,'Session Tracker'!$D$5:$D$149,0)),0)</f>
        <v>8</v>
      </c>
      <c r="I1026" s="0" t="str">
        <f aca="false">IF(OR(B1026=0,B1026=99,C1026=""),"",IF(E1026="Per class",D1026,D1026*H1026))</f>
        <v/>
      </c>
      <c r="K1026" s="0" t="str">
        <f aca="false">IFERROR(INDEX('Session Tracker'!$E$5:$E$149,MATCH($A1026,'Session Tracker'!$D$5:$D$149,0)),"")</f>
        <v>Python Code Breakers: Caesar to Vigenère</v>
      </c>
      <c r="L1026" s="0" t="str">
        <f aca="false">IFERROR(INDEX('Session Tracker'!$A$5:$A$149,MATCH($A1026,'Session Tracker'!$D$5:$D$149,0)),"")</f>
        <v>Young Innovators (12-14)</v>
      </c>
      <c r="M1026" s="0" t="str">
        <f aca="false">IFERROR(INDEX('Session Tracker'!$H$5:$H$149,MATCH($A1026,'Session Tracker'!$D$5:$D$149,0))&amp;"","")</f>
        <v/>
      </c>
      <c r="Q1026" s="0" t="str">
        <f aca="false">IFERROR("Status: "&amp;INDEX('Session Tracker'!$F$5:$F$149,MATCH($A1026,'Session Tracker'!$D$5:$D$149,0))&amp;IF(INDEX('Session Tracker'!$G$5:$G$149,MATCH($A1026,'Session Tracker'!$D$5:$D$149,0))&lt;&gt;""," ("&amp;INDEX('Session Tracker'!$G$5:$G$149,MATCH($A1026,'Session Tracker'!$D$5:$D$149,0))&amp;")","")&amp;IF(M1026&lt;&gt;"","  "&amp;M1026,""),"")</f>
        <v>Status: Not started</v>
      </c>
    </row>
    <row r="1027" customFormat="false" ht="15" hidden="false" customHeight="false" outlineLevel="0" collapsed="false">
      <c r="A1027" s="0" t="s">
        <v>271</v>
      </c>
      <c r="B1027" s="0" t="n">
        <v>1</v>
      </c>
      <c r="C1027" s="0" t="str">
        <f aca="false">IF('Young Innovators Kits'!C335="","",'Young Innovators Kits'!C335)</f>
        <v>Laptop</v>
      </c>
      <c r="D1027" s="0" t="n">
        <f aca="false">IF('Young Innovators Kits'!D335="","",'Young Innovators Kits'!D335)</f>
        <v>1</v>
      </c>
      <c r="E1027" s="0" t="str">
        <f aca="false">IF('Young Innovators Kits'!E335="","",'Young Innovators Kits'!E335)</f>
        <v>Per group</v>
      </c>
      <c r="F1027" s="0" t="str">
        <f aca="false">IFERROR(INDEX('Session Tracker'!$M$5:$M$149,MATCH($A1027,'Session Tracker'!$D$5:$D$149,0))+0,"")</f>
        <v/>
      </c>
      <c r="G1027" s="0" t="str">
        <f aca="false">IF(ISNUMBER(F1027),IF(OR(B1027=0,B1027=99,C1027&lt;&gt;""),F1027*100+B1027,""),"")</f>
        <v/>
      </c>
      <c r="H1027" s="0" t="n">
        <f aca="false">IFERROR(INDEX('Session Tracker'!$J$5:$J$149,MATCH($A1027,'Session Tracker'!$D$5:$D$149,0)),0)</f>
        <v>8</v>
      </c>
      <c r="I1027" s="0" t="n">
        <f aca="false">IF(OR(B1027=0,B1027=99,C1027=""),"",IF(E1027="Per class",D1027,D1027*H1027))</f>
        <v>8</v>
      </c>
      <c r="N1027" s="0" t="str">
        <f aca="false">IF('Young Innovators Kits'!B335="","",'Young Innovators Kits'!B335)</f>
        <v>Computers &amp; Equipment</v>
      </c>
      <c r="O1027" s="0" t="str">
        <f aca="false">IF('Young Innovators Kits'!F335="","",'Young Innovators Kits'!F335)</f>
        <v>Reusable</v>
      </c>
      <c r="P1027" s="0" t="str">
        <f aca="false">IF('Young Innovators Kits'!G335="","",'Young Innovators Kits'!G335)</f>
        <v/>
      </c>
    </row>
    <row r="1028" customFormat="false" ht="15" hidden="false" customHeight="false" outlineLevel="0" collapsed="false">
      <c r="A1028" s="0" t="s">
        <v>271</v>
      </c>
      <c r="B1028" s="0" t="n">
        <v>2</v>
      </c>
      <c r="C1028" s="0" t="str">
        <f aca="false">IF('Young Innovators Kits'!C336="","",'Young Innovators Kits'!C336)</f>
        <v/>
      </c>
      <c r="D1028" s="0" t="str">
        <f aca="false">IF('Young Innovators Kits'!D336="","",'Young Innovators Kits'!D336)</f>
        <v/>
      </c>
      <c r="E1028" s="0" t="str">
        <f aca="false">IF('Young Innovators Kits'!E336="","",'Young Innovators Kits'!E336)</f>
        <v/>
      </c>
      <c r="F1028" s="0" t="str">
        <f aca="false">IFERROR(INDEX('Session Tracker'!$M$5:$M$149,MATCH($A1028,'Session Tracker'!$D$5:$D$149,0))+0,"")</f>
        <v/>
      </c>
      <c r="G1028" s="0" t="str">
        <f aca="false">IF(ISNUMBER(F1028),IF(OR(B1028=0,B1028=99,C1028&lt;&gt;""),F1028*100+B1028,""),"")</f>
        <v/>
      </c>
      <c r="H1028" s="0" t="n">
        <f aca="false">IFERROR(INDEX('Session Tracker'!$J$5:$J$149,MATCH($A1028,'Session Tracker'!$D$5:$D$149,0)),0)</f>
        <v>8</v>
      </c>
      <c r="I1028" s="0" t="str">
        <f aca="false">IF(OR(B1028=0,B1028=99,C1028=""),"",IF(E1028="Per class",D1028,D1028*H1028))</f>
        <v/>
      </c>
      <c r="N1028" s="0" t="str">
        <f aca="false">IF('Young Innovators Kits'!B336="","",'Young Innovators Kits'!B336)</f>
        <v/>
      </c>
      <c r="O1028" s="0" t="str">
        <f aca="false">IF('Young Innovators Kits'!F336="","",'Young Innovators Kits'!F336)</f>
        <v/>
      </c>
      <c r="P1028" s="0" t="str">
        <f aca="false">IF('Young Innovators Kits'!G336="","",'Young Innovators Kits'!G336)</f>
        <v/>
      </c>
    </row>
    <row r="1029" customFormat="false" ht="15" hidden="false" customHeight="false" outlineLevel="0" collapsed="false">
      <c r="A1029" s="0" t="s">
        <v>271</v>
      </c>
      <c r="B1029" s="0" t="n">
        <v>3</v>
      </c>
      <c r="C1029" s="0" t="str">
        <f aca="false">IF('Young Innovators Kits'!C337="","",'Young Innovators Kits'!C337)</f>
        <v/>
      </c>
      <c r="D1029" s="0" t="str">
        <f aca="false">IF('Young Innovators Kits'!D337="","",'Young Innovators Kits'!D337)</f>
        <v/>
      </c>
      <c r="E1029" s="0" t="str">
        <f aca="false">IF('Young Innovators Kits'!E337="","",'Young Innovators Kits'!E337)</f>
        <v/>
      </c>
      <c r="F1029" s="0" t="str">
        <f aca="false">IFERROR(INDEX('Session Tracker'!$M$5:$M$149,MATCH($A1029,'Session Tracker'!$D$5:$D$149,0))+0,"")</f>
        <v/>
      </c>
      <c r="G1029" s="0" t="str">
        <f aca="false">IF(ISNUMBER(F1029),IF(OR(B1029=0,B1029=99,C1029&lt;&gt;""),F1029*100+B1029,""),"")</f>
        <v/>
      </c>
      <c r="H1029" s="0" t="n">
        <f aca="false">IFERROR(INDEX('Session Tracker'!$J$5:$J$149,MATCH($A1029,'Session Tracker'!$D$5:$D$149,0)),0)</f>
        <v>8</v>
      </c>
      <c r="I1029" s="0" t="str">
        <f aca="false">IF(OR(B1029=0,B1029=99,C1029=""),"",IF(E1029="Per class",D1029,D1029*H1029))</f>
        <v/>
      </c>
      <c r="N1029" s="0" t="str">
        <f aca="false">IF('Young Innovators Kits'!B337="","",'Young Innovators Kits'!B337)</f>
        <v/>
      </c>
      <c r="O1029" s="0" t="str">
        <f aca="false">IF('Young Innovators Kits'!F337="","",'Young Innovators Kits'!F337)</f>
        <v/>
      </c>
      <c r="P1029" s="0" t="str">
        <f aca="false">IF('Young Innovators Kits'!G337="","",'Young Innovators Kits'!G337)</f>
        <v/>
      </c>
    </row>
    <row r="1030" customFormat="false" ht="15" hidden="false" customHeight="false" outlineLevel="0" collapsed="false">
      <c r="A1030" s="0" t="s">
        <v>273</v>
      </c>
      <c r="B1030" s="0" t="n">
        <v>0</v>
      </c>
      <c r="F1030" s="0" t="str">
        <f aca="false">IFERROR(INDEX('Session Tracker'!$M$5:$M$149,MATCH($A1030,'Session Tracker'!$D$5:$D$149,0))+0,"")</f>
        <v/>
      </c>
      <c r="G1030" s="0" t="str">
        <f aca="false">IF(ISNUMBER(F1030),IF(OR(B1030=0,B1030=99,C1030&lt;&gt;""),F1030*100+B1030,""),"")</f>
        <v/>
      </c>
      <c r="H1030" s="0" t="n">
        <f aca="false">IFERROR(INDEX('Session Tracker'!$J$5:$J$149,MATCH($A1030,'Session Tracker'!$D$5:$D$149,0)),0)</f>
        <v>8</v>
      </c>
      <c r="I1030" s="0" t="str">
        <f aca="false">IF(OR(B1030=0,B1030=99,C1030=""),"",IF(E1030="Per class",D1030,D1030*H1030))</f>
        <v/>
      </c>
      <c r="K1030" s="0" t="str">
        <f aca="false">IFERROR(INDEX('Session Tracker'!$E$5:$E$149,MATCH($A1030,'Session Tracker'!$D$5:$D$149,0)),"")</f>
        <v>Robot Sumo Challenge</v>
      </c>
      <c r="L1030" s="0" t="str">
        <f aca="false">IFERROR(INDEX('Session Tracker'!$A$5:$A$149,MATCH($A1030,'Session Tracker'!$D$5:$D$149,0)),"")</f>
        <v>Young Innovators (12-14)</v>
      </c>
      <c r="M1030" s="0" t="str">
        <f aca="false">IFERROR(INDEX('Session Tracker'!$H$5:$H$149,MATCH($A1030,'Session Tracker'!$D$5:$D$149,0))&amp;"","")</f>
        <v/>
      </c>
      <c r="Q1030" s="0" t="str">
        <f aca="false">IFERROR("Status: "&amp;INDEX('Session Tracker'!$F$5:$F$149,MATCH($A1030,'Session Tracker'!$D$5:$D$149,0))&amp;IF(INDEX('Session Tracker'!$G$5:$G$149,MATCH($A1030,'Session Tracker'!$D$5:$D$149,0))&lt;&gt;""," ("&amp;INDEX('Session Tracker'!$G$5:$G$149,MATCH($A1030,'Session Tracker'!$D$5:$D$149,0))&amp;")","")&amp;IF(M1030&lt;&gt;"","  "&amp;M1030,""),"")</f>
        <v>Status: Not started</v>
      </c>
    </row>
    <row r="1031" customFormat="false" ht="15" hidden="false" customHeight="false" outlineLevel="0" collapsed="false">
      <c r="A1031" s="0" t="s">
        <v>273</v>
      </c>
      <c r="B1031" s="0" t="n">
        <v>1</v>
      </c>
      <c r="C1031" s="0" t="str">
        <f aca="false">IF('Young Innovators Kits'!C340="","",'Young Innovators Kits'!C340)</f>
        <v>4WD robot car (assembled, L298N)</v>
      </c>
      <c r="D1031" s="0" t="n">
        <f aca="false">IF('Young Innovators Kits'!D340="","",'Young Innovators Kits'!D340)</f>
        <v>1</v>
      </c>
      <c r="E1031" s="0" t="str">
        <f aca="false">IF('Young Innovators Kits'!E340="","",'Young Innovators Kits'!E340)</f>
        <v>Per group</v>
      </c>
      <c r="F1031" s="0" t="str">
        <f aca="false">IFERROR(INDEX('Session Tracker'!$M$5:$M$149,MATCH($A1031,'Session Tracker'!$D$5:$D$149,0))+0,"")</f>
        <v/>
      </c>
      <c r="G1031" s="0" t="str">
        <f aca="false">IF(ISNUMBER(F1031),IF(OR(B1031=0,B1031=99,C1031&lt;&gt;""),F1031*100+B1031,""),"")</f>
        <v/>
      </c>
      <c r="H1031" s="0" t="n">
        <f aca="false">IFERROR(INDEX('Session Tracker'!$J$5:$J$149,MATCH($A1031,'Session Tracker'!$D$5:$D$149,0)),0)</f>
        <v>8</v>
      </c>
      <c r="I1031" s="0" t="n">
        <f aca="false">IF(OR(B1031=0,B1031=99,C1031=""),"",IF(E1031="Per class",D1031,D1031*H1031))</f>
        <v>8</v>
      </c>
      <c r="N1031" s="0" t="str">
        <f aca="false">IF('Young Innovators Kits'!B340="","",'Young Innovators Kits'!B340)</f>
        <v>Robot Platforms &amp; Kits</v>
      </c>
      <c r="O1031" s="0" t="str">
        <f aca="false">IF('Young Innovators Kits'!F340="","",'Young Innovators Kits'!F340)</f>
        <v>Reusable</v>
      </c>
      <c r="P1031" s="0" t="str">
        <f aca="false">IF('Young Innovators Kits'!G340="","",'Young Innovators Kits'!G340)</f>
        <v>From Phase 2B requisition</v>
      </c>
    </row>
    <row r="1032" customFormat="false" ht="15" hidden="false" customHeight="false" outlineLevel="0" collapsed="false">
      <c r="A1032" s="0" t="s">
        <v>273</v>
      </c>
      <c r="B1032" s="0" t="n">
        <v>2</v>
      </c>
      <c r="C1032" s="0" t="str">
        <f aca="false">IF('Young Innovators Kits'!C341="","",'Young Innovators Kits'!C341)</f>
        <v>Ultrasonic sensor HC-SR04</v>
      </c>
      <c r="D1032" s="0" t="n">
        <f aca="false">IF('Young Innovators Kits'!D341="","",'Young Innovators Kits'!D341)</f>
        <v>1</v>
      </c>
      <c r="E1032" s="0" t="str">
        <f aca="false">IF('Young Innovators Kits'!E341="","",'Young Innovators Kits'!E341)</f>
        <v>Per group</v>
      </c>
      <c r="F1032" s="0" t="str">
        <f aca="false">IFERROR(INDEX('Session Tracker'!$M$5:$M$149,MATCH($A1032,'Session Tracker'!$D$5:$D$149,0))+0,"")</f>
        <v/>
      </c>
      <c r="G1032" s="0" t="str">
        <f aca="false">IF(ISNUMBER(F1032),IF(OR(B1032=0,B1032=99,C1032&lt;&gt;""),F1032*100+B1032,""),"")</f>
        <v/>
      </c>
      <c r="H1032" s="0" t="n">
        <f aca="false">IFERROR(INDEX('Session Tracker'!$J$5:$J$149,MATCH($A1032,'Session Tracker'!$D$5:$D$149,0)),0)</f>
        <v>8</v>
      </c>
      <c r="I1032" s="0" t="n">
        <f aca="false">IF(OR(B1032=0,B1032=99,C1032=""),"",IF(E1032="Per class",D1032,D1032*H1032))</f>
        <v>8</v>
      </c>
      <c r="N1032" s="0" t="str">
        <f aca="false">IF('Young Innovators Kits'!B341="","",'Young Innovators Kits'!B341)</f>
        <v>Sensors</v>
      </c>
      <c r="O1032" s="0" t="str">
        <f aca="false">IF('Young Innovators Kits'!F341="","",'Young Innovators Kits'!F341)</f>
        <v>Reusable</v>
      </c>
      <c r="P1032" s="0" t="str">
        <f aca="false">IF('Young Innovators Kits'!G341="","",'Young Innovators Kits'!G341)</f>
        <v/>
      </c>
    </row>
    <row r="1033" customFormat="false" ht="15" hidden="false" customHeight="false" outlineLevel="0" collapsed="false">
      <c r="A1033" s="0" t="s">
        <v>273</v>
      </c>
      <c r="B1033" s="0" t="n">
        <v>3</v>
      </c>
      <c r="C1033" s="0" t="str">
        <f aca="false">IF('Young Innovators Kits'!C342="","",'Young Innovators Kits'!C342)</f>
        <v>IR sensor module</v>
      </c>
      <c r="D1033" s="0" t="n">
        <f aca="false">IF('Young Innovators Kits'!D342="","",'Young Innovators Kits'!D342)</f>
        <v>2</v>
      </c>
      <c r="E1033" s="0" t="str">
        <f aca="false">IF('Young Innovators Kits'!E342="","",'Young Innovators Kits'!E342)</f>
        <v>Per group</v>
      </c>
      <c r="F1033" s="0" t="str">
        <f aca="false">IFERROR(INDEX('Session Tracker'!$M$5:$M$149,MATCH($A1033,'Session Tracker'!$D$5:$D$149,0))+0,"")</f>
        <v/>
      </c>
      <c r="G1033" s="0" t="str">
        <f aca="false">IF(ISNUMBER(F1033),IF(OR(B1033=0,B1033=99,C1033&lt;&gt;""),F1033*100+B1033,""),"")</f>
        <v/>
      </c>
      <c r="H1033" s="0" t="n">
        <f aca="false">IFERROR(INDEX('Session Tracker'!$J$5:$J$149,MATCH($A1033,'Session Tracker'!$D$5:$D$149,0)),0)</f>
        <v>8</v>
      </c>
      <c r="I1033" s="0" t="n">
        <f aca="false">IF(OR(B1033=0,B1033=99,C1033=""),"",IF(E1033="Per class",D1033,D1033*H1033))</f>
        <v>16</v>
      </c>
      <c r="N1033" s="0" t="str">
        <f aca="false">IF('Young Innovators Kits'!B342="","",'Young Innovators Kits'!B342)</f>
        <v>Sensors</v>
      </c>
      <c r="O1033" s="0" t="str">
        <f aca="false">IF('Young Innovators Kits'!F342="","",'Young Innovators Kits'!F342)</f>
        <v>Reusable</v>
      </c>
      <c r="P1033" s="0" t="str">
        <f aca="false">IF('Young Innovators Kits'!G342="","",'Young Innovators Kits'!G342)</f>
        <v>Edge sensors</v>
      </c>
    </row>
    <row r="1034" customFormat="false" ht="15" hidden="false" customHeight="false" outlineLevel="0" collapsed="false">
      <c r="A1034" s="0" t="s">
        <v>273</v>
      </c>
      <c r="B1034" s="0" t="n">
        <v>4</v>
      </c>
      <c r="C1034" s="0" t="str">
        <f aca="false">IF('Young Innovators Kits'!C343="","",'Young Innovators Kits'!C343)</f>
        <v>Jumper wires M-F</v>
      </c>
      <c r="D1034" s="0" t="n">
        <f aca="false">IF('Young Innovators Kits'!D343="","",'Young Innovators Kits'!D343)</f>
        <v>10</v>
      </c>
      <c r="E1034" s="0" t="str">
        <f aca="false">IF('Young Innovators Kits'!E343="","",'Young Innovators Kits'!E343)</f>
        <v>Per group</v>
      </c>
      <c r="F1034" s="0" t="str">
        <f aca="false">IFERROR(INDEX('Session Tracker'!$M$5:$M$149,MATCH($A1034,'Session Tracker'!$D$5:$D$149,0))+0,"")</f>
        <v/>
      </c>
      <c r="G1034" s="0" t="str">
        <f aca="false">IF(ISNUMBER(F1034),IF(OR(B1034=0,B1034=99,C1034&lt;&gt;""),F1034*100+B1034,""),"")</f>
        <v/>
      </c>
      <c r="H1034" s="0" t="n">
        <f aca="false">IFERROR(INDEX('Session Tracker'!$J$5:$J$149,MATCH($A1034,'Session Tracker'!$D$5:$D$149,0)),0)</f>
        <v>8</v>
      </c>
      <c r="I1034" s="0" t="n">
        <f aca="false">IF(OR(B1034=0,B1034=99,C1034=""),"",IF(E1034="Per class",D1034,D1034*H1034))</f>
        <v>80</v>
      </c>
      <c r="N1034" s="0" t="str">
        <f aca="false">IF('Young Innovators Kits'!B343="","",'Young Innovators Kits'!B343)</f>
        <v>Wiring &amp; Prototyping</v>
      </c>
      <c r="O1034" s="0" t="str">
        <f aca="false">IF('Young Innovators Kits'!F343="","",'Young Innovators Kits'!F343)</f>
        <v>Reusable</v>
      </c>
      <c r="P1034" s="0" t="str">
        <f aca="false">IF('Young Innovators Kits'!G343="","",'Young Innovators Kits'!G343)</f>
        <v/>
      </c>
    </row>
    <row r="1035" customFormat="false" ht="15" hidden="false" customHeight="false" outlineLevel="0" collapsed="false">
      <c r="A1035" s="0" t="s">
        <v>273</v>
      </c>
      <c r="B1035" s="0" t="n">
        <v>5</v>
      </c>
      <c r="C1035" s="0" t="str">
        <f aca="false">IF('Young Innovators Kits'!C344="","",'Young Innovators Kits'!C344)</f>
        <v>Laptop</v>
      </c>
      <c r="D1035" s="0" t="n">
        <f aca="false">IF('Young Innovators Kits'!D344="","",'Young Innovators Kits'!D344)</f>
        <v>1</v>
      </c>
      <c r="E1035" s="0" t="str">
        <f aca="false">IF('Young Innovators Kits'!E344="","",'Young Innovators Kits'!E344)</f>
        <v>Per group</v>
      </c>
      <c r="F1035" s="0" t="str">
        <f aca="false">IFERROR(INDEX('Session Tracker'!$M$5:$M$149,MATCH($A1035,'Session Tracker'!$D$5:$D$149,0))+0,"")</f>
        <v/>
      </c>
      <c r="G1035" s="0" t="str">
        <f aca="false">IF(ISNUMBER(F1035),IF(OR(B1035=0,B1035=99,C1035&lt;&gt;""),F1035*100+B1035,""),"")</f>
        <v/>
      </c>
      <c r="H1035" s="0" t="n">
        <f aca="false">IFERROR(INDEX('Session Tracker'!$J$5:$J$149,MATCH($A1035,'Session Tracker'!$D$5:$D$149,0)),0)</f>
        <v>8</v>
      </c>
      <c r="I1035" s="0" t="n">
        <f aca="false">IF(OR(B1035=0,B1035=99,C1035=""),"",IF(E1035="Per class",D1035,D1035*H1035))</f>
        <v>8</v>
      </c>
      <c r="N1035" s="0" t="str">
        <f aca="false">IF('Young Innovators Kits'!B344="","",'Young Innovators Kits'!B344)</f>
        <v>Computers &amp; Equipment</v>
      </c>
      <c r="O1035" s="0" t="str">
        <f aca="false">IF('Young Innovators Kits'!F344="","",'Young Innovators Kits'!F344)</f>
        <v>Reusable</v>
      </c>
      <c r="P1035" s="0" t="str">
        <f aca="false">IF('Young Innovators Kits'!G344="","",'Young Innovators Kits'!G344)</f>
        <v/>
      </c>
    </row>
    <row r="1036" customFormat="false" ht="15" hidden="false" customHeight="false" outlineLevel="0" collapsed="false">
      <c r="A1036" s="0" t="s">
        <v>273</v>
      </c>
      <c r="B1036" s="0" t="n">
        <v>6</v>
      </c>
      <c r="C1036" s="0" t="str">
        <f aca="false">IF('Young Innovators Kits'!C345="","",'Young Innovators Kits'!C345)</f>
        <v/>
      </c>
      <c r="D1036" s="0" t="str">
        <f aca="false">IF('Young Innovators Kits'!D345="","",'Young Innovators Kits'!D345)</f>
        <v/>
      </c>
      <c r="E1036" s="0" t="str">
        <f aca="false">IF('Young Innovators Kits'!E345="","",'Young Innovators Kits'!E345)</f>
        <v/>
      </c>
      <c r="F1036" s="0" t="str">
        <f aca="false">IFERROR(INDEX('Session Tracker'!$M$5:$M$149,MATCH($A1036,'Session Tracker'!$D$5:$D$149,0))+0,"")</f>
        <v/>
      </c>
      <c r="G1036" s="0" t="str">
        <f aca="false">IF(ISNUMBER(F1036),IF(OR(B1036=0,B1036=99,C1036&lt;&gt;""),F1036*100+B1036,""),"")</f>
        <v/>
      </c>
      <c r="H1036" s="0" t="n">
        <f aca="false">IFERROR(INDEX('Session Tracker'!$J$5:$J$149,MATCH($A1036,'Session Tracker'!$D$5:$D$149,0)),0)</f>
        <v>8</v>
      </c>
      <c r="I1036" s="0" t="str">
        <f aca="false">IF(OR(B1036=0,B1036=99,C1036=""),"",IF(E1036="Per class",D1036,D1036*H1036))</f>
        <v/>
      </c>
      <c r="N1036" s="0" t="str">
        <f aca="false">IF('Young Innovators Kits'!B345="","",'Young Innovators Kits'!B345)</f>
        <v/>
      </c>
      <c r="O1036" s="0" t="str">
        <f aca="false">IF('Young Innovators Kits'!F345="","",'Young Innovators Kits'!F345)</f>
        <v/>
      </c>
      <c r="P1036" s="0" t="str">
        <f aca="false">IF('Young Innovators Kits'!G345="","",'Young Innovators Kits'!G345)</f>
        <v/>
      </c>
    </row>
    <row r="1037" customFormat="false" ht="15" hidden="false" customHeight="false" outlineLevel="0" collapsed="false">
      <c r="A1037" s="0" t="s">
        <v>273</v>
      </c>
      <c r="B1037" s="0" t="n">
        <v>7</v>
      </c>
      <c r="C1037" s="0" t="str">
        <f aca="false">IF('Young Innovators Kits'!C346="","",'Young Innovators Kits'!C346)</f>
        <v/>
      </c>
      <c r="D1037" s="0" t="str">
        <f aca="false">IF('Young Innovators Kits'!D346="","",'Young Innovators Kits'!D346)</f>
        <v/>
      </c>
      <c r="E1037" s="0" t="str">
        <f aca="false">IF('Young Innovators Kits'!E346="","",'Young Innovators Kits'!E346)</f>
        <v/>
      </c>
      <c r="F1037" s="0" t="str">
        <f aca="false">IFERROR(INDEX('Session Tracker'!$M$5:$M$149,MATCH($A1037,'Session Tracker'!$D$5:$D$149,0))+0,"")</f>
        <v/>
      </c>
      <c r="G1037" s="0" t="str">
        <f aca="false">IF(ISNUMBER(F1037),IF(OR(B1037=0,B1037=99,C1037&lt;&gt;""),F1037*100+B1037,""),"")</f>
        <v/>
      </c>
      <c r="H1037" s="0" t="n">
        <f aca="false">IFERROR(INDEX('Session Tracker'!$J$5:$J$149,MATCH($A1037,'Session Tracker'!$D$5:$D$149,0)),0)</f>
        <v>8</v>
      </c>
      <c r="I1037" s="0" t="str">
        <f aca="false">IF(OR(B1037=0,B1037=99,C1037=""),"",IF(E1037="Per class",D1037,D1037*H1037))</f>
        <v/>
      </c>
      <c r="N1037" s="0" t="str">
        <f aca="false">IF('Young Innovators Kits'!B346="","",'Young Innovators Kits'!B346)</f>
        <v/>
      </c>
      <c r="O1037" s="0" t="str">
        <f aca="false">IF('Young Innovators Kits'!F346="","",'Young Innovators Kits'!F346)</f>
        <v/>
      </c>
      <c r="P1037" s="0" t="str">
        <f aca="false">IF('Young Innovators Kits'!G346="","",'Young Innovators Kits'!G346)</f>
        <v/>
      </c>
    </row>
    <row r="1038" customFormat="false" ht="15" hidden="false" customHeight="false" outlineLevel="0" collapsed="false">
      <c r="A1038" s="0" t="s">
        <v>275</v>
      </c>
      <c r="B1038" s="0" t="n">
        <v>0</v>
      </c>
      <c r="F1038" s="0" t="str">
        <f aca="false">IFERROR(INDEX('Session Tracker'!$M$5:$M$149,MATCH($A1038,'Session Tracker'!$D$5:$D$149,0))+0,"")</f>
        <v/>
      </c>
      <c r="G1038" s="0" t="str">
        <f aca="false">IF(ISNUMBER(F1038),IF(OR(B1038=0,B1038=99,C1038&lt;&gt;""),F1038*100+B1038,""),"")</f>
        <v/>
      </c>
      <c r="H1038" s="0" t="n">
        <f aca="false">IFERROR(INDEX('Session Tracker'!$J$5:$J$149,MATCH($A1038,'Session Tracker'!$D$5:$D$149,0)),0)</f>
        <v>8</v>
      </c>
      <c r="I1038" s="0" t="str">
        <f aca="false">IF(OR(B1038=0,B1038=99,C1038=""),"",IF(E1038="Per class",D1038,D1038*H1038))</f>
        <v/>
      </c>
      <c r="K1038" s="0" t="str">
        <f aca="false">IFERROR(INDEX('Session Tracker'!$E$5:$E$149,MATCH($A1038,'Session Tracker'!$D$5:$D$149,0)),"")</f>
        <v>Walking Linkage Robot</v>
      </c>
      <c r="L1038" s="0" t="str">
        <f aca="false">IFERROR(INDEX('Session Tracker'!$A$5:$A$149,MATCH($A1038,'Session Tracker'!$D$5:$D$149,0)),"")</f>
        <v>Young Innovators (12-14)</v>
      </c>
      <c r="M1038" s="0" t="str">
        <f aca="false">IFERROR(INDEX('Session Tracker'!$H$5:$H$149,MATCH($A1038,'Session Tracker'!$D$5:$D$149,0))&amp;"","")</f>
        <v/>
      </c>
      <c r="Q1038" s="0" t="str">
        <f aca="false">IFERROR("Status: "&amp;INDEX('Session Tracker'!$F$5:$F$149,MATCH($A1038,'Session Tracker'!$D$5:$D$149,0))&amp;IF(INDEX('Session Tracker'!$G$5:$G$149,MATCH($A1038,'Session Tracker'!$D$5:$D$149,0))&lt;&gt;""," ("&amp;INDEX('Session Tracker'!$G$5:$G$149,MATCH($A1038,'Session Tracker'!$D$5:$D$149,0))&amp;")","")&amp;IF(M1038&lt;&gt;"","  "&amp;M1038,""),"")</f>
        <v>Status: Not started</v>
      </c>
    </row>
    <row r="1039" customFormat="false" ht="15" hidden="false" customHeight="false" outlineLevel="0" collapsed="false">
      <c r="A1039" s="0" t="s">
        <v>275</v>
      </c>
      <c r="B1039" s="0" t="n">
        <v>1</v>
      </c>
      <c r="C1039" s="0" t="str">
        <f aca="false">IF('Young Innovators Kits'!C349="","",'Young Innovators Kits'!C349)</f>
        <v>DC hobby motor</v>
      </c>
      <c r="D1039" s="0" t="n">
        <f aca="false">IF('Young Innovators Kits'!D349="","",'Young Innovators Kits'!D349)</f>
        <v>1</v>
      </c>
      <c r="E1039" s="0" t="str">
        <f aca="false">IF('Young Innovators Kits'!E349="","",'Young Innovators Kits'!E349)</f>
        <v>Per group</v>
      </c>
      <c r="F1039" s="0" t="str">
        <f aca="false">IFERROR(INDEX('Session Tracker'!$M$5:$M$149,MATCH($A1039,'Session Tracker'!$D$5:$D$149,0))+0,"")</f>
        <v/>
      </c>
      <c r="G1039" s="0" t="str">
        <f aca="false">IF(ISNUMBER(F1039),IF(OR(B1039=0,B1039=99,C1039&lt;&gt;""),F1039*100+B1039,""),"")</f>
        <v/>
      </c>
      <c r="H1039" s="0" t="n">
        <f aca="false">IFERROR(INDEX('Session Tracker'!$J$5:$J$149,MATCH($A1039,'Session Tracker'!$D$5:$D$149,0)),0)</f>
        <v>8</v>
      </c>
      <c r="I1039" s="0" t="n">
        <f aca="false">IF(OR(B1039=0,B1039=99,C1039=""),"",IF(E1039="Per class",D1039,D1039*H1039))</f>
        <v>8</v>
      </c>
      <c r="N1039" s="0" t="str">
        <f aca="false">IF('Young Innovators Kits'!B349="","",'Young Innovators Kits'!B349)</f>
        <v>Actuators &amp; Motor Drivers</v>
      </c>
      <c r="O1039" s="0" t="str">
        <f aca="false">IF('Young Innovators Kits'!F349="","",'Young Innovators Kits'!F349)</f>
        <v>Reusable</v>
      </c>
      <c r="P1039" s="0" t="str">
        <f aca="false">IF('Young Innovators Kits'!G349="","",'Young Innovators Kits'!G349)</f>
        <v>Geared TT motor</v>
      </c>
    </row>
    <row r="1040" customFormat="false" ht="15" hidden="false" customHeight="false" outlineLevel="0" collapsed="false">
      <c r="A1040" s="0" t="s">
        <v>275</v>
      </c>
      <c r="B1040" s="0" t="n">
        <v>2</v>
      </c>
      <c r="C1040" s="0" t="str">
        <f aca="false">IF('Young Innovators Kits'!C350="","",'Young Innovators Kits'!C350)</f>
        <v>4xAA battery pack</v>
      </c>
      <c r="D1040" s="0" t="n">
        <f aca="false">IF('Young Innovators Kits'!D350="","",'Young Innovators Kits'!D350)</f>
        <v>1</v>
      </c>
      <c r="E1040" s="0" t="str">
        <f aca="false">IF('Young Innovators Kits'!E350="","",'Young Innovators Kits'!E350)</f>
        <v>Per group</v>
      </c>
      <c r="F1040" s="0" t="str">
        <f aca="false">IFERROR(INDEX('Session Tracker'!$M$5:$M$149,MATCH($A1040,'Session Tracker'!$D$5:$D$149,0))+0,"")</f>
        <v/>
      </c>
      <c r="G1040" s="0" t="str">
        <f aca="false">IF(ISNUMBER(F1040),IF(OR(B1040=0,B1040=99,C1040&lt;&gt;""),F1040*100+B1040,""),"")</f>
        <v/>
      </c>
      <c r="H1040" s="0" t="n">
        <f aca="false">IFERROR(INDEX('Session Tracker'!$J$5:$J$149,MATCH($A1040,'Session Tracker'!$D$5:$D$149,0)),0)</f>
        <v>8</v>
      </c>
      <c r="I1040" s="0" t="n">
        <f aca="false">IF(OR(B1040=0,B1040=99,C1040=""),"",IF(E1040="Per class",D1040,D1040*H1040))</f>
        <v>8</v>
      </c>
      <c r="N1040" s="0" t="str">
        <f aca="false">IF('Young Innovators Kits'!B350="","",'Young Innovators Kits'!B350)</f>
        <v>Power</v>
      </c>
      <c r="O1040" s="0" t="str">
        <f aca="false">IF('Young Innovators Kits'!F350="","",'Young Innovators Kits'!F350)</f>
        <v>Consumable</v>
      </c>
      <c r="P1040" s="0" t="str">
        <f aca="false">IF('Young Innovators Kits'!G350="","",'Young Innovators Kits'!G350)</f>
        <v/>
      </c>
    </row>
    <row r="1041" customFormat="false" ht="15" hidden="false" customHeight="false" outlineLevel="0" collapsed="false">
      <c r="A1041" s="0" t="s">
        <v>275</v>
      </c>
      <c r="B1041" s="0" t="n">
        <v>3</v>
      </c>
      <c r="C1041" s="0" t="str">
        <f aca="false">IF('Young Innovators Kits'!C351="","",'Young Innovators Kits'!C351)</f>
        <v>Ice cream sticks</v>
      </c>
      <c r="D1041" s="0" t="n">
        <f aca="false">IF('Young Innovators Kits'!D351="","",'Young Innovators Kits'!D351)</f>
        <v>20</v>
      </c>
      <c r="E1041" s="0" t="str">
        <f aca="false">IF('Young Innovators Kits'!E351="","",'Young Innovators Kits'!E351)</f>
        <v>Per group</v>
      </c>
      <c r="F1041" s="0" t="str">
        <f aca="false">IFERROR(INDEX('Session Tracker'!$M$5:$M$149,MATCH($A1041,'Session Tracker'!$D$5:$D$149,0))+0,"")</f>
        <v/>
      </c>
      <c r="G1041" s="0" t="str">
        <f aca="false">IF(ISNUMBER(F1041),IF(OR(B1041=0,B1041=99,C1041&lt;&gt;""),F1041*100+B1041,""),"")</f>
        <v/>
      </c>
      <c r="H1041" s="0" t="n">
        <f aca="false">IFERROR(INDEX('Session Tracker'!$J$5:$J$149,MATCH($A1041,'Session Tracker'!$D$5:$D$149,0)),0)</f>
        <v>8</v>
      </c>
      <c r="I1041" s="0" t="n">
        <f aca="false">IF(OR(B1041=0,B1041=99,C1041=""),"",IF(E1041="Per class",D1041,D1041*H1041))</f>
        <v>160</v>
      </c>
      <c r="N1041" s="0" t="str">
        <f aca="false">IF('Young Innovators Kits'!B351="","",'Young Innovators Kits'!B351)</f>
        <v>Craft &amp; Stationery</v>
      </c>
      <c r="O1041" s="0" t="str">
        <f aca="false">IF('Young Innovators Kits'!F351="","",'Young Innovators Kits'!F351)</f>
        <v>Consumable</v>
      </c>
      <c r="P1041" s="0" t="str">
        <f aca="false">IF('Young Innovators Kits'!G351="","",'Young Innovators Kits'!G351)</f>
        <v/>
      </c>
    </row>
    <row r="1042" customFormat="false" ht="15" hidden="false" customHeight="false" outlineLevel="0" collapsed="false">
      <c r="A1042" s="0" t="s">
        <v>275</v>
      </c>
      <c r="B1042" s="0" t="n">
        <v>4</v>
      </c>
      <c r="C1042" s="0" t="str">
        <f aca="false">IF('Young Innovators Kits'!C352="","",'Young Innovators Kits'!C352)</f>
        <v>Split pins (paper fasteners)</v>
      </c>
      <c r="D1042" s="0" t="n">
        <f aca="false">IF('Young Innovators Kits'!D352="","",'Young Innovators Kits'!D352)</f>
        <v>12</v>
      </c>
      <c r="E1042" s="0" t="str">
        <f aca="false">IF('Young Innovators Kits'!E352="","",'Young Innovators Kits'!E352)</f>
        <v>Per group</v>
      </c>
      <c r="F1042" s="0" t="str">
        <f aca="false">IFERROR(INDEX('Session Tracker'!$M$5:$M$149,MATCH($A1042,'Session Tracker'!$D$5:$D$149,0))+0,"")</f>
        <v/>
      </c>
      <c r="G1042" s="0" t="str">
        <f aca="false">IF(ISNUMBER(F1042),IF(OR(B1042=0,B1042=99,C1042&lt;&gt;""),F1042*100+B1042,""),"")</f>
        <v/>
      </c>
      <c r="H1042" s="0" t="n">
        <f aca="false">IFERROR(INDEX('Session Tracker'!$J$5:$J$149,MATCH($A1042,'Session Tracker'!$D$5:$D$149,0)),0)</f>
        <v>8</v>
      </c>
      <c r="I1042" s="0" t="n">
        <f aca="false">IF(OR(B1042=0,B1042=99,C1042=""),"",IF(E1042="Per class",D1042,D1042*H1042))</f>
        <v>96</v>
      </c>
      <c r="N1042" s="0" t="str">
        <f aca="false">IF('Young Innovators Kits'!B352="","",'Young Innovators Kits'!B352)</f>
        <v>Craft &amp; Stationery</v>
      </c>
      <c r="O1042" s="0" t="str">
        <f aca="false">IF('Young Innovators Kits'!F352="","",'Young Innovators Kits'!F352)</f>
        <v>Consumable</v>
      </c>
      <c r="P1042" s="0" t="str">
        <f aca="false">IF('Young Innovators Kits'!G352="","",'Young Innovators Kits'!G352)</f>
        <v/>
      </c>
    </row>
    <row r="1043" customFormat="false" ht="15" hidden="false" customHeight="false" outlineLevel="0" collapsed="false">
      <c r="A1043" s="0" t="s">
        <v>275</v>
      </c>
      <c r="B1043" s="0" t="n">
        <v>5</v>
      </c>
      <c r="C1043" s="0" t="str">
        <f aca="false">IF('Young Innovators Kits'!C353="","",'Young Innovators Kits'!C353)</f>
        <v>Wooden skewers</v>
      </c>
      <c r="D1043" s="0" t="n">
        <f aca="false">IF('Young Innovators Kits'!D353="","",'Young Innovators Kits'!D353)</f>
        <v>4</v>
      </c>
      <c r="E1043" s="0" t="str">
        <f aca="false">IF('Young Innovators Kits'!E353="","",'Young Innovators Kits'!E353)</f>
        <v>Per group</v>
      </c>
      <c r="F1043" s="0" t="str">
        <f aca="false">IFERROR(INDEX('Session Tracker'!$M$5:$M$149,MATCH($A1043,'Session Tracker'!$D$5:$D$149,0))+0,"")</f>
        <v/>
      </c>
      <c r="G1043" s="0" t="str">
        <f aca="false">IF(ISNUMBER(F1043),IF(OR(B1043=0,B1043=99,C1043&lt;&gt;""),F1043*100+B1043,""),"")</f>
        <v/>
      </c>
      <c r="H1043" s="0" t="n">
        <f aca="false">IFERROR(INDEX('Session Tracker'!$J$5:$J$149,MATCH($A1043,'Session Tracker'!$D$5:$D$149,0)),0)</f>
        <v>8</v>
      </c>
      <c r="I1043" s="0" t="n">
        <f aca="false">IF(OR(B1043=0,B1043=99,C1043=""),"",IF(E1043="Per class",D1043,D1043*H1043))</f>
        <v>32</v>
      </c>
      <c r="N1043" s="0" t="str">
        <f aca="false">IF('Young Innovators Kits'!B353="","",'Young Innovators Kits'!B353)</f>
        <v>Craft &amp; Stationery</v>
      </c>
      <c r="O1043" s="0" t="str">
        <f aca="false">IF('Young Innovators Kits'!F353="","",'Young Innovators Kits'!F353)</f>
        <v>Consumable</v>
      </c>
      <c r="P1043" s="0" t="str">
        <f aca="false">IF('Young Innovators Kits'!G353="","",'Young Innovators Kits'!G353)</f>
        <v/>
      </c>
    </row>
    <row r="1044" customFormat="false" ht="15" hidden="false" customHeight="false" outlineLevel="0" collapsed="false">
      <c r="A1044" s="0" t="s">
        <v>275</v>
      </c>
      <c r="B1044" s="0" t="n">
        <v>6</v>
      </c>
      <c r="C1044" s="0" t="str">
        <f aca="false">IF('Young Innovators Kits'!C354="","",'Young Innovators Kits'!C354)</f>
        <v>Glue gun + glue sticks</v>
      </c>
      <c r="D1044" s="0" t="n">
        <f aca="false">IF('Young Innovators Kits'!D354="","",'Young Innovators Kits'!D354)</f>
        <v>1</v>
      </c>
      <c r="E1044" s="0" t="str">
        <f aca="false">IF('Young Innovators Kits'!E354="","",'Young Innovators Kits'!E354)</f>
        <v>Per class</v>
      </c>
      <c r="F1044" s="0" t="str">
        <f aca="false">IFERROR(INDEX('Session Tracker'!$M$5:$M$149,MATCH($A1044,'Session Tracker'!$D$5:$D$149,0))+0,"")</f>
        <v/>
      </c>
      <c r="G1044" s="0" t="str">
        <f aca="false">IF(ISNUMBER(F1044),IF(OR(B1044=0,B1044=99,C1044&lt;&gt;""),F1044*100+B1044,""),"")</f>
        <v/>
      </c>
      <c r="H1044" s="0" t="n">
        <f aca="false">IFERROR(INDEX('Session Tracker'!$J$5:$J$149,MATCH($A1044,'Session Tracker'!$D$5:$D$149,0)),0)</f>
        <v>8</v>
      </c>
      <c r="I1044" s="0" t="n">
        <f aca="false">IF(OR(B1044=0,B1044=99,C1044=""),"",IF(E1044="Per class",D1044,D1044*H1044))</f>
        <v>1</v>
      </c>
      <c r="N1044" s="0" t="str">
        <f aca="false">IF('Young Innovators Kits'!B354="","",'Young Innovators Kits'!B354)</f>
        <v>Computers &amp; Equipment</v>
      </c>
      <c r="O1044" s="0" t="str">
        <f aca="false">IF('Young Innovators Kits'!F354="","",'Young Innovators Kits'!F354)</f>
        <v>Reusable</v>
      </c>
      <c r="P1044" s="0" t="str">
        <f aca="false">IF('Young Innovators Kits'!G354="","",'Young Innovators Kits'!G354)</f>
        <v/>
      </c>
    </row>
    <row r="1045" customFormat="false" ht="15" hidden="false" customHeight="false" outlineLevel="0" collapsed="false">
      <c r="A1045" s="0" t="s">
        <v>275</v>
      </c>
      <c r="B1045" s="0" t="n">
        <v>7</v>
      </c>
      <c r="C1045" s="0" t="str">
        <f aca="false">IF('Young Innovators Kits'!C355="","",'Young Innovators Kits'!C355)</f>
        <v/>
      </c>
      <c r="D1045" s="0" t="str">
        <f aca="false">IF('Young Innovators Kits'!D355="","",'Young Innovators Kits'!D355)</f>
        <v/>
      </c>
      <c r="E1045" s="0" t="str">
        <f aca="false">IF('Young Innovators Kits'!E355="","",'Young Innovators Kits'!E355)</f>
        <v/>
      </c>
      <c r="F1045" s="0" t="str">
        <f aca="false">IFERROR(INDEX('Session Tracker'!$M$5:$M$149,MATCH($A1045,'Session Tracker'!$D$5:$D$149,0))+0,"")</f>
        <v/>
      </c>
      <c r="G1045" s="0" t="str">
        <f aca="false">IF(ISNUMBER(F1045),IF(OR(B1045=0,B1045=99,C1045&lt;&gt;""),F1045*100+B1045,""),"")</f>
        <v/>
      </c>
      <c r="H1045" s="0" t="n">
        <f aca="false">IFERROR(INDEX('Session Tracker'!$J$5:$J$149,MATCH($A1045,'Session Tracker'!$D$5:$D$149,0)),0)</f>
        <v>8</v>
      </c>
      <c r="I1045" s="0" t="str">
        <f aca="false">IF(OR(B1045=0,B1045=99,C1045=""),"",IF(E1045="Per class",D1045,D1045*H1045))</f>
        <v/>
      </c>
      <c r="N1045" s="0" t="str">
        <f aca="false">IF('Young Innovators Kits'!B355="","",'Young Innovators Kits'!B355)</f>
        <v/>
      </c>
      <c r="O1045" s="0" t="str">
        <f aca="false">IF('Young Innovators Kits'!F355="","",'Young Innovators Kits'!F355)</f>
        <v/>
      </c>
      <c r="P1045" s="0" t="str">
        <f aca="false">IF('Young Innovators Kits'!G355="","",'Young Innovators Kits'!G355)</f>
        <v/>
      </c>
    </row>
    <row r="1046" customFormat="false" ht="15" hidden="false" customHeight="false" outlineLevel="0" collapsed="false">
      <c r="A1046" s="0" t="s">
        <v>275</v>
      </c>
      <c r="B1046" s="0" t="n">
        <v>8</v>
      </c>
      <c r="C1046" s="0" t="str">
        <f aca="false">IF('Young Innovators Kits'!C356="","",'Young Innovators Kits'!C356)</f>
        <v/>
      </c>
      <c r="D1046" s="0" t="str">
        <f aca="false">IF('Young Innovators Kits'!D356="","",'Young Innovators Kits'!D356)</f>
        <v/>
      </c>
      <c r="E1046" s="0" t="str">
        <f aca="false">IF('Young Innovators Kits'!E356="","",'Young Innovators Kits'!E356)</f>
        <v/>
      </c>
      <c r="F1046" s="0" t="str">
        <f aca="false">IFERROR(INDEX('Session Tracker'!$M$5:$M$149,MATCH($A1046,'Session Tracker'!$D$5:$D$149,0))+0,"")</f>
        <v/>
      </c>
      <c r="G1046" s="0" t="str">
        <f aca="false">IF(ISNUMBER(F1046),IF(OR(B1046=0,B1046=99,C1046&lt;&gt;""),F1046*100+B1046,""),"")</f>
        <v/>
      </c>
      <c r="H1046" s="0" t="n">
        <f aca="false">IFERROR(INDEX('Session Tracker'!$J$5:$J$149,MATCH($A1046,'Session Tracker'!$D$5:$D$149,0)),0)</f>
        <v>8</v>
      </c>
      <c r="I1046" s="0" t="str">
        <f aca="false">IF(OR(B1046=0,B1046=99,C1046=""),"",IF(E1046="Per class",D1046,D1046*H1046))</f>
        <v/>
      </c>
      <c r="N1046" s="0" t="str">
        <f aca="false">IF('Young Innovators Kits'!B356="","",'Young Innovators Kits'!B356)</f>
        <v/>
      </c>
      <c r="O1046" s="0" t="str">
        <f aca="false">IF('Young Innovators Kits'!F356="","",'Young Innovators Kits'!F356)</f>
        <v/>
      </c>
      <c r="P1046" s="0" t="str">
        <f aca="false">IF('Young Innovators Kits'!G356="","",'Young Innovators Kits'!G356)</f>
        <v/>
      </c>
    </row>
    <row r="1047" customFormat="false" ht="15" hidden="false" customHeight="false" outlineLevel="0" collapsed="false">
      <c r="A1047" s="0" t="s">
        <v>277</v>
      </c>
      <c r="B1047" s="0" t="n">
        <v>0</v>
      </c>
      <c r="F1047" s="0" t="str">
        <f aca="false">IFERROR(INDEX('Session Tracker'!$M$5:$M$149,MATCH($A1047,'Session Tracker'!$D$5:$D$149,0))+0,"")</f>
        <v/>
      </c>
      <c r="G1047" s="0" t="str">
        <f aca="false">IF(ISNUMBER(F1047),IF(OR(B1047=0,B1047=99,C1047&lt;&gt;""),F1047*100+B1047,""),"")</f>
        <v/>
      </c>
      <c r="H1047" s="0" t="n">
        <f aca="false">IFERROR(INDEX('Session Tracker'!$J$5:$J$149,MATCH($A1047,'Session Tracker'!$D$5:$D$149,0)),0)</f>
        <v>8</v>
      </c>
      <c r="I1047" s="0" t="str">
        <f aca="false">IF(OR(B1047=0,B1047=99,C1047=""),"",IF(E1047="Per class",D1047,D1047*H1047))</f>
        <v/>
      </c>
      <c r="K1047" s="0" t="str">
        <f aca="false">IFERROR(INDEX('Session Tracker'!$E$5:$E$149,MATCH($A1047,'Session Tracker'!$D$5:$D$149,0)),"")</f>
        <v>Energy Detective: How Much Power Do Gadgets Use?</v>
      </c>
      <c r="L1047" s="0" t="str">
        <f aca="false">IFERROR(INDEX('Session Tracker'!$A$5:$A$149,MATCH($A1047,'Session Tracker'!$D$5:$D$149,0)),"")</f>
        <v>Young Innovators (12-14)</v>
      </c>
      <c r="M1047" s="0" t="str">
        <f aca="false">IFERROR(INDEX('Session Tracker'!$H$5:$H$149,MATCH($A1047,'Session Tracker'!$D$5:$D$149,0))&amp;"","")</f>
        <v/>
      </c>
      <c r="Q1047" s="0" t="str">
        <f aca="false">IFERROR("Status: "&amp;INDEX('Session Tracker'!$F$5:$F$149,MATCH($A1047,'Session Tracker'!$D$5:$D$149,0))&amp;IF(INDEX('Session Tracker'!$G$5:$G$149,MATCH($A1047,'Session Tracker'!$D$5:$D$149,0))&lt;&gt;""," ("&amp;INDEX('Session Tracker'!$G$5:$G$149,MATCH($A1047,'Session Tracker'!$D$5:$D$149,0))&amp;")","")&amp;IF(M1047&lt;&gt;"","  "&amp;M1047,""),"")</f>
        <v>Status: Not started</v>
      </c>
    </row>
    <row r="1048" customFormat="false" ht="15" hidden="false" customHeight="false" outlineLevel="0" collapsed="false">
      <c r="A1048" s="0" t="s">
        <v>277</v>
      </c>
      <c r="B1048" s="0" t="n">
        <v>1</v>
      </c>
      <c r="C1048" s="0" t="str">
        <f aca="false">IF('Young Innovators Kits'!C359="","",'Young Innovators Kits'!C359)</f>
        <v>Arduino Uno + USB cable</v>
      </c>
      <c r="D1048" s="0" t="n">
        <f aca="false">IF('Young Innovators Kits'!D359="","",'Young Innovators Kits'!D359)</f>
        <v>1</v>
      </c>
      <c r="E1048" s="0" t="str">
        <f aca="false">IF('Young Innovators Kits'!E359="","",'Young Innovators Kits'!E359)</f>
        <v>Per group</v>
      </c>
      <c r="F1048" s="0" t="str">
        <f aca="false">IFERROR(INDEX('Session Tracker'!$M$5:$M$149,MATCH($A1048,'Session Tracker'!$D$5:$D$149,0))+0,"")</f>
        <v/>
      </c>
      <c r="G1048" s="0" t="str">
        <f aca="false">IF(ISNUMBER(F1048),IF(OR(B1048=0,B1048=99,C1048&lt;&gt;""),F1048*100+B1048,""),"")</f>
        <v/>
      </c>
      <c r="H1048" s="0" t="n">
        <f aca="false">IFERROR(INDEX('Session Tracker'!$J$5:$J$149,MATCH($A1048,'Session Tracker'!$D$5:$D$149,0)),0)</f>
        <v>8</v>
      </c>
      <c r="I1048" s="0" t="n">
        <f aca="false">IF(OR(B1048=0,B1048=99,C1048=""),"",IF(E1048="Per class",D1048,D1048*H1048))</f>
        <v>8</v>
      </c>
      <c r="N1048" s="0" t="str">
        <f aca="false">IF('Young Innovators Kits'!B359="","",'Young Innovators Kits'!B359)</f>
        <v>Microcontrollers &amp; Dev Boards</v>
      </c>
      <c r="O1048" s="0" t="str">
        <f aca="false">IF('Young Innovators Kits'!F359="","",'Young Innovators Kits'!F359)</f>
        <v>Reusable</v>
      </c>
      <c r="P1048" s="0" t="str">
        <f aca="false">IF('Young Innovators Kits'!G359="","",'Young Innovators Kits'!G359)</f>
        <v/>
      </c>
    </row>
    <row r="1049" customFormat="false" ht="15" hidden="false" customHeight="false" outlineLevel="0" collapsed="false">
      <c r="A1049" s="0" t="s">
        <v>277</v>
      </c>
      <c r="B1049" s="0" t="n">
        <v>2</v>
      </c>
      <c r="C1049" s="0" t="str">
        <f aca="false">IF('Young Innovators Kits'!C360="","",'Young Innovators Kits'!C360)</f>
        <v>Current sensor INA219</v>
      </c>
      <c r="D1049" s="0" t="n">
        <f aca="false">IF('Young Innovators Kits'!D360="","",'Young Innovators Kits'!D360)</f>
        <v>1</v>
      </c>
      <c r="E1049" s="0" t="str">
        <f aca="false">IF('Young Innovators Kits'!E360="","",'Young Innovators Kits'!E360)</f>
        <v>Per group</v>
      </c>
      <c r="F1049" s="0" t="str">
        <f aca="false">IFERROR(INDEX('Session Tracker'!$M$5:$M$149,MATCH($A1049,'Session Tracker'!$D$5:$D$149,0))+0,"")</f>
        <v/>
      </c>
      <c r="G1049" s="0" t="str">
        <f aca="false">IF(ISNUMBER(F1049),IF(OR(B1049=0,B1049=99,C1049&lt;&gt;""),F1049*100+B1049,""),"")</f>
        <v/>
      </c>
      <c r="H1049" s="0" t="n">
        <f aca="false">IFERROR(INDEX('Session Tracker'!$J$5:$J$149,MATCH($A1049,'Session Tracker'!$D$5:$D$149,0)),0)</f>
        <v>8</v>
      </c>
      <c r="I1049" s="0" t="n">
        <f aca="false">IF(OR(B1049=0,B1049=99,C1049=""),"",IF(E1049="Per class",D1049,D1049*H1049))</f>
        <v>8</v>
      </c>
      <c r="N1049" s="0" t="str">
        <f aca="false">IF('Young Innovators Kits'!B360="","",'Young Innovators Kits'!B360)</f>
        <v>Sensors</v>
      </c>
      <c r="O1049" s="0" t="str">
        <f aca="false">IF('Young Innovators Kits'!F360="","",'Young Innovators Kits'!F360)</f>
        <v>Reusable</v>
      </c>
      <c r="P1049" s="0" t="str">
        <f aca="false">IF('Young Innovators Kits'!G360="","",'Young Innovators Kits'!G360)</f>
        <v/>
      </c>
    </row>
    <row r="1050" customFormat="false" ht="15" hidden="false" customHeight="false" outlineLevel="0" collapsed="false">
      <c r="A1050" s="0" t="s">
        <v>277</v>
      </c>
      <c r="B1050" s="0" t="n">
        <v>3</v>
      </c>
      <c r="C1050" s="0" t="str">
        <f aca="false">IF('Young Innovators Kits'!C361="","",'Young Innovators Kits'!C361)</f>
        <v>OLED 0.96 in I2C</v>
      </c>
      <c r="D1050" s="0" t="n">
        <f aca="false">IF('Young Innovators Kits'!D361="","",'Young Innovators Kits'!D361)</f>
        <v>1</v>
      </c>
      <c r="E1050" s="0" t="str">
        <f aca="false">IF('Young Innovators Kits'!E361="","",'Young Innovators Kits'!E361)</f>
        <v>Per group</v>
      </c>
      <c r="F1050" s="0" t="str">
        <f aca="false">IFERROR(INDEX('Session Tracker'!$M$5:$M$149,MATCH($A1050,'Session Tracker'!$D$5:$D$149,0))+0,"")</f>
        <v/>
      </c>
      <c r="G1050" s="0" t="str">
        <f aca="false">IF(ISNUMBER(F1050),IF(OR(B1050=0,B1050=99,C1050&lt;&gt;""),F1050*100+B1050,""),"")</f>
        <v/>
      </c>
      <c r="H1050" s="0" t="n">
        <f aca="false">IFERROR(INDEX('Session Tracker'!$J$5:$J$149,MATCH($A1050,'Session Tracker'!$D$5:$D$149,0)),0)</f>
        <v>8</v>
      </c>
      <c r="I1050" s="0" t="n">
        <f aca="false">IF(OR(B1050=0,B1050=99,C1050=""),"",IF(E1050="Per class",D1050,D1050*H1050))</f>
        <v>8</v>
      </c>
      <c r="N1050" s="0" t="str">
        <f aca="false">IF('Young Innovators Kits'!B361="","",'Young Innovators Kits'!B361)</f>
        <v>Displays &amp; Output</v>
      </c>
      <c r="O1050" s="0" t="str">
        <f aca="false">IF('Young Innovators Kits'!F361="","",'Young Innovators Kits'!F361)</f>
        <v>Reusable</v>
      </c>
      <c r="P1050" s="0" t="str">
        <f aca="false">IF('Young Innovators Kits'!G361="","",'Young Innovators Kits'!G361)</f>
        <v/>
      </c>
    </row>
    <row r="1051" customFormat="false" ht="15" hidden="false" customHeight="false" outlineLevel="0" collapsed="false">
      <c r="A1051" s="0" t="s">
        <v>277</v>
      </c>
      <c r="B1051" s="0" t="n">
        <v>4</v>
      </c>
      <c r="C1051" s="0" t="str">
        <f aca="false">IF('Young Innovators Kits'!C362="","",'Young Innovators Kits'!C362)</f>
        <v>LED 5 mm (assorted)</v>
      </c>
      <c r="D1051" s="0" t="n">
        <f aca="false">IF('Young Innovators Kits'!D362="","",'Young Innovators Kits'!D362)</f>
        <v>2</v>
      </c>
      <c r="E1051" s="0" t="str">
        <f aca="false">IF('Young Innovators Kits'!E362="","",'Young Innovators Kits'!E362)</f>
        <v>Per group</v>
      </c>
      <c r="F1051" s="0" t="str">
        <f aca="false">IFERROR(INDEX('Session Tracker'!$M$5:$M$149,MATCH($A1051,'Session Tracker'!$D$5:$D$149,0))+0,"")</f>
        <v/>
      </c>
      <c r="G1051" s="0" t="str">
        <f aca="false">IF(ISNUMBER(F1051),IF(OR(B1051=0,B1051=99,C1051&lt;&gt;""),F1051*100+B1051,""),"")</f>
        <v/>
      </c>
      <c r="H1051" s="0" t="n">
        <f aca="false">IFERROR(INDEX('Session Tracker'!$J$5:$J$149,MATCH($A1051,'Session Tracker'!$D$5:$D$149,0)),0)</f>
        <v>8</v>
      </c>
      <c r="I1051" s="0" t="n">
        <f aca="false">IF(OR(B1051=0,B1051=99,C1051=""),"",IF(E1051="Per class",D1051,D1051*H1051))</f>
        <v>16</v>
      </c>
      <c r="N1051" s="0" t="str">
        <f aca="false">IF('Young Innovators Kits'!B362="","",'Young Innovators Kits'!B362)</f>
        <v>Displays &amp; Output</v>
      </c>
      <c r="O1051" s="0" t="str">
        <f aca="false">IF('Young Innovators Kits'!F362="","",'Young Innovators Kits'!F362)</f>
        <v>Consumable</v>
      </c>
      <c r="P1051" s="0" t="str">
        <f aca="false">IF('Young Innovators Kits'!G362="","",'Young Innovators Kits'!G362)</f>
        <v/>
      </c>
    </row>
    <row r="1052" customFormat="false" ht="15" hidden="false" customHeight="false" outlineLevel="0" collapsed="false">
      <c r="A1052" s="0" t="s">
        <v>277</v>
      </c>
      <c r="B1052" s="0" t="n">
        <v>5</v>
      </c>
      <c r="C1052" s="0" t="str">
        <f aca="false">IF('Young Innovators Kits'!C363="","",'Young Innovators Kits'!C363)</f>
        <v>DC hobby motor</v>
      </c>
      <c r="D1052" s="0" t="n">
        <f aca="false">IF('Young Innovators Kits'!D363="","",'Young Innovators Kits'!D363)</f>
        <v>1</v>
      </c>
      <c r="E1052" s="0" t="str">
        <f aca="false">IF('Young Innovators Kits'!E363="","",'Young Innovators Kits'!E363)</f>
        <v>Per group</v>
      </c>
      <c r="F1052" s="0" t="str">
        <f aca="false">IFERROR(INDEX('Session Tracker'!$M$5:$M$149,MATCH($A1052,'Session Tracker'!$D$5:$D$149,0))+0,"")</f>
        <v/>
      </c>
      <c r="G1052" s="0" t="str">
        <f aca="false">IF(ISNUMBER(F1052),IF(OR(B1052=0,B1052=99,C1052&lt;&gt;""),F1052*100+B1052,""),"")</f>
        <v/>
      </c>
      <c r="H1052" s="0" t="n">
        <f aca="false">IFERROR(INDEX('Session Tracker'!$J$5:$J$149,MATCH($A1052,'Session Tracker'!$D$5:$D$149,0)),0)</f>
        <v>8</v>
      </c>
      <c r="I1052" s="0" t="n">
        <f aca="false">IF(OR(B1052=0,B1052=99,C1052=""),"",IF(E1052="Per class",D1052,D1052*H1052))</f>
        <v>8</v>
      </c>
      <c r="N1052" s="0" t="str">
        <f aca="false">IF('Young Innovators Kits'!B363="","",'Young Innovators Kits'!B363)</f>
        <v>Actuators &amp; Motor Drivers</v>
      </c>
      <c r="O1052" s="0" t="str">
        <f aca="false">IF('Young Innovators Kits'!F363="","",'Young Innovators Kits'!F363)</f>
        <v>Reusable</v>
      </c>
      <c r="P1052" s="0" t="str">
        <f aca="false">IF('Young Innovators Kits'!G363="","",'Young Innovators Kits'!G363)</f>
        <v/>
      </c>
    </row>
    <row r="1053" customFormat="false" ht="15" hidden="false" customHeight="false" outlineLevel="0" collapsed="false">
      <c r="A1053" s="0" t="s">
        <v>277</v>
      </c>
      <c r="B1053" s="0" t="n">
        <v>6</v>
      </c>
      <c r="C1053" s="0" t="str">
        <f aca="false">IF('Young Innovators Kits'!C364="","",'Young Innovators Kits'!C364)</f>
        <v>4xAA battery pack</v>
      </c>
      <c r="D1053" s="0" t="n">
        <f aca="false">IF('Young Innovators Kits'!D364="","",'Young Innovators Kits'!D364)</f>
        <v>1</v>
      </c>
      <c r="E1053" s="0" t="str">
        <f aca="false">IF('Young Innovators Kits'!E364="","",'Young Innovators Kits'!E364)</f>
        <v>Per group</v>
      </c>
      <c r="F1053" s="0" t="str">
        <f aca="false">IFERROR(INDEX('Session Tracker'!$M$5:$M$149,MATCH($A1053,'Session Tracker'!$D$5:$D$149,0))+0,"")</f>
        <v/>
      </c>
      <c r="G1053" s="0" t="str">
        <f aca="false">IF(ISNUMBER(F1053),IF(OR(B1053=0,B1053=99,C1053&lt;&gt;""),F1053*100+B1053,""),"")</f>
        <v/>
      </c>
      <c r="H1053" s="0" t="n">
        <f aca="false">IFERROR(INDEX('Session Tracker'!$J$5:$J$149,MATCH($A1053,'Session Tracker'!$D$5:$D$149,0)),0)</f>
        <v>8</v>
      </c>
      <c r="I1053" s="0" t="n">
        <f aca="false">IF(OR(B1053=0,B1053=99,C1053=""),"",IF(E1053="Per class",D1053,D1053*H1053))</f>
        <v>8</v>
      </c>
      <c r="N1053" s="0" t="str">
        <f aca="false">IF('Young Innovators Kits'!B364="","",'Young Innovators Kits'!B364)</f>
        <v>Power</v>
      </c>
      <c r="O1053" s="0" t="str">
        <f aca="false">IF('Young Innovators Kits'!F364="","",'Young Innovators Kits'!F364)</f>
        <v>Consumable</v>
      </c>
      <c r="P1053" s="0" t="str">
        <f aca="false">IF('Young Innovators Kits'!G364="","",'Young Innovators Kits'!G364)</f>
        <v/>
      </c>
    </row>
    <row r="1054" customFormat="false" ht="15" hidden="false" customHeight="false" outlineLevel="0" collapsed="false">
      <c r="A1054" s="0" t="s">
        <v>277</v>
      </c>
      <c r="B1054" s="0" t="n">
        <v>7</v>
      </c>
      <c r="C1054" s="0" t="str">
        <f aca="false">IF('Young Innovators Kits'!C365="","",'Young Innovators Kits'!C365)</f>
        <v>Breadboard (half size)</v>
      </c>
      <c r="D1054" s="0" t="n">
        <f aca="false">IF('Young Innovators Kits'!D365="","",'Young Innovators Kits'!D365)</f>
        <v>1</v>
      </c>
      <c r="E1054" s="0" t="str">
        <f aca="false">IF('Young Innovators Kits'!E365="","",'Young Innovators Kits'!E365)</f>
        <v>Per group</v>
      </c>
      <c r="F1054" s="0" t="str">
        <f aca="false">IFERROR(INDEX('Session Tracker'!$M$5:$M$149,MATCH($A1054,'Session Tracker'!$D$5:$D$149,0))+0,"")</f>
        <v/>
      </c>
      <c r="G1054" s="0" t="str">
        <f aca="false">IF(ISNUMBER(F1054),IF(OR(B1054=0,B1054=99,C1054&lt;&gt;""),F1054*100+B1054,""),"")</f>
        <v/>
      </c>
      <c r="H1054" s="0" t="n">
        <f aca="false">IFERROR(INDEX('Session Tracker'!$J$5:$J$149,MATCH($A1054,'Session Tracker'!$D$5:$D$149,0)),0)</f>
        <v>8</v>
      </c>
      <c r="I1054" s="0" t="n">
        <f aca="false">IF(OR(B1054=0,B1054=99,C1054=""),"",IF(E1054="Per class",D1054,D1054*H1054))</f>
        <v>8</v>
      </c>
      <c r="N1054" s="0" t="str">
        <f aca="false">IF('Young Innovators Kits'!B365="","",'Young Innovators Kits'!B365)</f>
        <v>Wiring &amp; Prototyping</v>
      </c>
      <c r="O1054" s="0" t="str">
        <f aca="false">IF('Young Innovators Kits'!F365="","",'Young Innovators Kits'!F365)</f>
        <v>Reusable</v>
      </c>
      <c r="P1054" s="0" t="str">
        <f aca="false">IF('Young Innovators Kits'!G365="","",'Young Innovators Kits'!G365)</f>
        <v/>
      </c>
    </row>
    <row r="1055" customFormat="false" ht="15" hidden="false" customHeight="false" outlineLevel="0" collapsed="false">
      <c r="A1055" s="0" t="s">
        <v>277</v>
      </c>
      <c r="B1055" s="0" t="n">
        <v>8</v>
      </c>
      <c r="C1055" s="0" t="str">
        <f aca="false">IF('Young Innovators Kits'!C366="","",'Young Innovators Kits'!C366)</f>
        <v>Jumper wires M-M</v>
      </c>
      <c r="D1055" s="0" t="n">
        <f aca="false">IF('Young Innovators Kits'!D366="","",'Young Innovators Kits'!D366)</f>
        <v>10</v>
      </c>
      <c r="E1055" s="0" t="str">
        <f aca="false">IF('Young Innovators Kits'!E366="","",'Young Innovators Kits'!E366)</f>
        <v>Per group</v>
      </c>
      <c r="F1055" s="0" t="str">
        <f aca="false">IFERROR(INDEX('Session Tracker'!$M$5:$M$149,MATCH($A1055,'Session Tracker'!$D$5:$D$149,0))+0,"")</f>
        <v/>
      </c>
      <c r="G1055" s="0" t="str">
        <f aca="false">IF(ISNUMBER(F1055),IF(OR(B1055=0,B1055=99,C1055&lt;&gt;""),F1055*100+B1055,""),"")</f>
        <v/>
      </c>
      <c r="H1055" s="0" t="n">
        <f aca="false">IFERROR(INDEX('Session Tracker'!$J$5:$J$149,MATCH($A1055,'Session Tracker'!$D$5:$D$149,0)),0)</f>
        <v>8</v>
      </c>
      <c r="I1055" s="0" t="n">
        <f aca="false">IF(OR(B1055=0,B1055=99,C1055=""),"",IF(E1055="Per class",D1055,D1055*H1055))</f>
        <v>80</v>
      </c>
      <c r="N1055" s="0" t="str">
        <f aca="false">IF('Young Innovators Kits'!B366="","",'Young Innovators Kits'!B366)</f>
        <v>Wiring &amp; Prototyping</v>
      </c>
      <c r="O1055" s="0" t="str">
        <f aca="false">IF('Young Innovators Kits'!F366="","",'Young Innovators Kits'!F366)</f>
        <v>Reusable</v>
      </c>
      <c r="P1055" s="0" t="str">
        <f aca="false">IF('Young Innovators Kits'!G366="","",'Young Innovators Kits'!G366)</f>
        <v/>
      </c>
    </row>
    <row r="1056" customFormat="false" ht="15" hidden="false" customHeight="false" outlineLevel="0" collapsed="false">
      <c r="A1056" s="0" t="s">
        <v>277</v>
      </c>
      <c r="B1056" s="0" t="n">
        <v>9</v>
      </c>
      <c r="C1056" s="0" t="str">
        <f aca="false">IF('Young Innovators Kits'!C367="","",'Young Innovators Kits'!C367)</f>
        <v>Laptop</v>
      </c>
      <c r="D1056" s="0" t="n">
        <f aca="false">IF('Young Innovators Kits'!D367="","",'Young Innovators Kits'!D367)</f>
        <v>1</v>
      </c>
      <c r="E1056" s="0" t="str">
        <f aca="false">IF('Young Innovators Kits'!E367="","",'Young Innovators Kits'!E367)</f>
        <v>Per group</v>
      </c>
      <c r="F1056" s="0" t="str">
        <f aca="false">IFERROR(INDEX('Session Tracker'!$M$5:$M$149,MATCH($A1056,'Session Tracker'!$D$5:$D$149,0))+0,"")</f>
        <v/>
      </c>
      <c r="G1056" s="0" t="str">
        <f aca="false">IF(ISNUMBER(F1056),IF(OR(B1056=0,B1056=99,C1056&lt;&gt;""),F1056*100+B1056,""),"")</f>
        <v/>
      </c>
      <c r="H1056" s="0" t="n">
        <f aca="false">IFERROR(INDEX('Session Tracker'!$J$5:$J$149,MATCH($A1056,'Session Tracker'!$D$5:$D$149,0)),0)</f>
        <v>8</v>
      </c>
      <c r="I1056" s="0" t="n">
        <f aca="false">IF(OR(B1056=0,B1056=99,C1056=""),"",IF(E1056="Per class",D1056,D1056*H1056))</f>
        <v>8</v>
      </c>
      <c r="N1056" s="0" t="str">
        <f aca="false">IF('Young Innovators Kits'!B367="","",'Young Innovators Kits'!B367)</f>
        <v>Computers &amp; Equipment</v>
      </c>
      <c r="O1056" s="0" t="str">
        <f aca="false">IF('Young Innovators Kits'!F367="","",'Young Innovators Kits'!F367)</f>
        <v>Reusable</v>
      </c>
      <c r="P1056" s="0" t="str">
        <f aca="false">IF('Young Innovators Kits'!G367="","",'Young Innovators Kits'!G367)</f>
        <v/>
      </c>
    </row>
    <row r="1057" customFormat="false" ht="15" hidden="false" customHeight="false" outlineLevel="0" collapsed="false">
      <c r="A1057" s="0" t="s">
        <v>277</v>
      </c>
      <c r="B1057" s="0" t="n">
        <v>10</v>
      </c>
      <c r="C1057" s="0" t="str">
        <f aca="false">IF('Young Innovators Kits'!C368="","",'Young Innovators Kits'!C368)</f>
        <v>Resistor 220 ohm</v>
      </c>
      <c r="D1057" s="0" t="n">
        <f aca="false">IF('Young Innovators Kits'!D368="","",'Young Innovators Kits'!D368)</f>
        <v>1</v>
      </c>
      <c r="E1057" s="0" t="str">
        <f aca="false">IF('Young Innovators Kits'!E368="","",'Young Innovators Kits'!E368)</f>
        <v>Per group</v>
      </c>
      <c r="F1057" s="0" t="str">
        <f aca="false">IFERROR(INDEX('Session Tracker'!$M$5:$M$149,MATCH($A1057,'Session Tracker'!$D$5:$D$149,0))+0,"")</f>
        <v/>
      </c>
      <c r="G1057" s="0" t="str">
        <f aca="false">IF(ISNUMBER(F1057),IF(OR(B1057=0,B1057=99,C1057&lt;&gt;""),F1057*100+B1057,""),"")</f>
        <v/>
      </c>
      <c r="H1057" s="0" t="n">
        <f aca="false">IFERROR(INDEX('Session Tracker'!$J$5:$J$149,MATCH($A1057,'Session Tracker'!$D$5:$D$149,0)),0)</f>
        <v>8</v>
      </c>
      <c r="I1057" s="0" t="n">
        <f aca="false">IF(OR(B1057=0,B1057=99,C1057=""),"",IF(E1057="Per class",D1057,D1057*H1057))</f>
        <v>8</v>
      </c>
      <c r="N1057" s="0" t="str">
        <f aca="false">IF('Young Innovators Kits'!B368="","",'Young Innovators Kits'!B368)</f>
        <v>Passive Components &amp; ICs</v>
      </c>
      <c r="O1057" s="0" t="str">
        <f aca="false">IF('Young Innovators Kits'!F368="","",'Young Innovators Kits'!F368)</f>
        <v>Consumable</v>
      </c>
      <c r="P1057" s="0" t="str">
        <f aca="false">IF('Young Innovators Kits'!G368="","",'Young Innovators Kits'!G368)</f>
        <v>Added: for the LED</v>
      </c>
    </row>
    <row r="1058" customFormat="false" ht="15" hidden="false" customHeight="false" outlineLevel="0" collapsed="false">
      <c r="A1058" s="0" t="s">
        <v>277</v>
      </c>
      <c r="B1058" s="0" t="n">
        <v>11</v>
      </c>
      <c r="C1058" s="0" t="str">
        <f aca="false">IF('Young Innovators Kits'!C369="","",'Young Innovators Kits'!C369)</f>
        <v>Buzzer</v>
      </c>
      <c r="D1058" s="0" t="n">
        <f aca="false">IF('Young Innovators Kits'!D369="","",'Young Innovators Kits'!D369)</f>
        <v>1</v>
      </c>
      <c r="E1058" s="0" t="str">
        <f aca="false">IF('Young Innovators Kits'!E369="","",'Young Innovators Kits'!E369)</f>
        <v>Per group</v>
      </c>
      <c r="F1058" s="0" t="str">
        <f aca="false">IFERROR(INDEX('Session Tracker'!$M$5:$M$149,MATCH($A1058,'Session Tracker'!$D$5:$D$149,0))+0,"")</f>
        <v/>
      </c>
      <c r="G1058" s="0" t="str">
        <f aca="false">IF(ISNUMBER(F1058),IF(OR(B1058=0,B1058=99,C1058&lt;&gt;""),F1058*100+B1058,""),"")</f>
        <v/>
      </c>
      <c r="H1058" s="0" t="n">
        <f aca="false">IFERROR(INDEX('Session Tracker'!$J$5:$J$149,MATCH($A1058,'Session Tracker'!$D$5:$D$149,0)),0)</f>
        <v>8</v>
      </c>
      <c r="I1058" s="0" t="n">
        <f aca="false">IF(OR(B1058=0,B1058=99,C1058=""),"",IF(E1058="Per class",D1058,D1058*H1058))</f>
        <v>8</v>
      </c>
      <c r="N1058" s="0" t="str">
        <f aca="false">IF('Young Innovators Kits'!B369="","",'Young Innovators Kits'!B369)</f>
        <v>Actuators &amp; Motor Drivers</v>
      </c>
      <c r="O1058" s="0" t="str">
        <f aca="false">IF('Young Innovators Kits'!F369="","",'Young Innovators Kits'!F369)</f>
        <v>Reusable</v>
      </c>
      <c r="P1058" s="0" t="str">
        <f aca="false">IF('Young Innovators Kits'!G369="","",'Young Innovators Kits'!G369)</f>
        <v>Added: every Arduino class</v>
      </c>
    </row>
    <row r="1059" customFormat="false" ht="15" hidden="false" customHeight="false" outlineLevel="0" collapsed="false">
      <c r="A1059" s="0" t="s">
        <v>277</v>
      </c>
      <c r="B1059" s="0" t="n">
        <v>12</v>
      </c>
      <c r="C1059" s="0" t="str">
        <f aca="false">IF('Young Innovators Kits'!C370="","",'Young Innovators Kits'!C370)</f>
        <v/>
      </c>
      <c r="D1059" s="0" t="str">
        <f aca="false">IF('Young Innovators Kits'!D370="","",'Young Innovators Kits'!D370)</f>
        <v/>
      </c>
      <c r="E1059" s="0" t="str">
        <f aca="false">IF('Young Innovators Kits'!E370="","",'Young Innovators Kits'!E370)</f>
        <v/>
      </c>
      <c r="F1059" s="0" t="str">
        <f aca="false">IFERROR(INDEX('Session Tracker'!$M$5:$M$149,MATCH($A1059,'Session Tracker'!$D$5:$D$149,0))+0,"")</f>
        <v/>
      </c>
      <c r="G1059" s="0" t="str">
        <f aca="false">IF(ISNUMBER(F1059),IF(OR(B1059=0,B1059=99,C1059&lt;&gt;""),F1059*100+B1059,""),"")</f>
        <v/>
      </c>
      <c r="H1059" s="0" t="n">
        <f aca="false">IFERROR(INDEX('Session Tracker'!$J$5:$J$149,MATCH($A1059,'Session Tracker'!$D$5:$D$149,0)),0)</f>
        <v>8</v>
      </c>
      <c r="I1059" s="0" t="str">
        <f aca="false">IF(OR(B1059=0,B1059=99,C1059=""),"",IF(E1059="Per class",D1059,D1059*H1059))</f>
        <v/>
      </c>
      <c r="N1059" s="0" t="str">
        <f aca="false">IF('Young Innovators Kits'!B370="","",'Young Innovators Kits'!B370)</f>
        <v/>
      </c>
      <c r="O1059" s="0" t="str">
        <f aca="false">IF('Young Innovators Kits'!F370="","",'Young Innovators Kits'!F370)</f>
        <v/>
      </c>
      <c r="P1059" s="0" t="str">
        <f aca="false">IF('Young Innovators Kits'!G370="","",'Young Innovators Kits'!G370)</f>
        <v/>
      </c>
    </row>
    <row r="1060" customFormat="false" ht="15" hidden="false" customHeight="false" outlineLevel="0" collapsed="false">
      <c r="A1060" s="0" t="s">
        <v>277</v>
      </c>
      <c r="B1060" s="0" t="n">
        <v>13</v>
      </c>
      <c r="C1060" s="0" t="str">
        <f aca="false">IF('Young Innovators Kits'!C371="","",'Young Innovators Kits'!C371)</f>
        <v/>
      </c>
      <c r="D1060" s="0" t="str">
        <f aca="false">IF('Young Innovators Kits'!D371="","",'Young Innovators Kits'!D371)</f>
        <v/>
      </c>
      <c r="E1060" s="0" t="str">
        <f aca="false">IF('Young Innovators Kits'!E371="","",'Young Innovators Kits'!E371)</f>
        <v/>
      </c>
      <c r="F1060" s="0" t="str">
        <f aca="false">IFERROR(INDEX('Session Tracker'!$M$5:$M$149,MATCH($A1060,'Session Tracker'!$D$5:$D$149,0))+0,"")</f>
        <v/>
      </c>
      <c r="G1060" s="0" t="str">
        <f aca="false">IF(ISNUMBER(F1060),IF(OR(B1060=0,B1060=99,C1060&lt;&gt;""),F1060*100+B1060,""),"")</f>
        <v/>
      </c>
      <c r="H1060" s="0" t="n">
        <f aca="false">IFERROR(INDEX('Session Tracker'!$J$5:$J$149,MATCH($A1060,'Session Tracker'!$D$5:$D$149,0)),0)</f>
        <v>8</v>
      </c>
      <c r="I1060" s="0" t="str">
        <f aca="false">IF(OR(B1060=0,B1060=99,C1060=""),"",IF(E1060="Per class",D1060,D1060*H1060))</f>
        <v/>
      </c>
      <c r="N1060" s="0" t="str">
        <f aca="false">IF('Young Innovators Kits'!B371="","",'Young Innovators Kits'!B371)</f>
        <v/>
      </c>
      <c r="O1060" s="0" t="str">
        <f aca="false">IF('Young Innovators Kits'!F371="","",'Young Innovators Kits'!F371)</f>
        <v/>
      </c>
      <c r="P1060" s="0" t="str">
        <f aca="false">IF('Young Innovators Kits'!G371="","",'Young Innovators Kits'!G371)</f>
        <v/>
      </c>
    </row>
    <row r="1061" customFormat="false" ht="15" hidden="false" customHeight="false" outlineLevel="0" collapsed="false">
      <c r="A1061" s="0" t="s">
        <v>279</v>
      </c>
      <c r="B1061" s="0" t="n">
        <v>0</v>
      </c>
      <c r="F1061" s="0" t="str">
        <f aca="false">IFERROR(INDEX('Session Tracker'!$M$5:$M$149,MATCH($A1061,'Session Tracker'!$D$5:$D$149,0))+0,"")</f>
        <v/>
      </c>
      <c r="G1061" s="0" t="str">
        <f aca="false">IF(ISNUMBER(F1061),IF(OR(B1061=0,B1061=99,C1061&lt;&gt;""),F1061*100+B1061,""),"")</f>
        <v/>
      </c>
      <c r="H1061" s="0" t="n">
        <f aca="false">IFERROR(INDEX('Session Tracker'!$J$5:$J$149,MATCH($A1061,'Session Tracker'!$D$5:$D$149,0)),0)</f>
        <v>8</v>
      </c>
      <c r="I1061" s="0" t="str">
        <f aca="false">IF(OR(B1061=0,B1061=99,C1061=""),"",IF(E1061="Per class",D1061,D1061*H1061))</f>
        <v/>
      </c>
      <c r="K1061" s="0" t="str">
        <f aca="false">IFERROR(INDEX('Session Tracker'!$E$5:$E$149,MATCH($A1061,'Session Tracker'!$D$5:$D$149,0)),"")</f>
        <v>Python Control Panel for Arduino</v>
      </c>
      <c r="L1061" s="0" t="str">
        <f aca="false">IFERROR(INDEX('Session Tracker'!$A$5:$A$149,MATCH($A1061,'Session Tracker'!$D$5:$D$149,0)),"")</f>
        <v>Young Innovators (12-14)</v>
      </c>
      <c r="M1061" s="0" t="str">
        <f aca="false">IFERROR(INDEX('Session Tracker'!$H$5:$H$149,MATCH($A1061,'Session Tracker'!$D$5:$D$149,0))&amp;"","")</f>
        <v/>
      </c>
      <c r="Q1061" s="0" t="str">
        <f aca="false">IFERROR("Status: "&amp;INDEX('Session Tracker'!$F$5:$F$149,MATCH($A1061,'Session Tracker'!$D$5:$D$149,0))&amp;IF(INDEX('Session Tracker'!$G$5:$G$149,MATCH($A1061,'Session Tracker'!$D$5:$D$149,0))&lt;&gt;""," ("&amp;INDEX('Session Tracker'!$G$5:$G$149,MATCH($A1061,'Session Tracker'!$D$5:$D$149,0))&amp;")","")&amp;IF(M1061&lt;&gt;"","  "&amp;M1061,""),"")</f>
        <v>Status: Not started</v>
      </c>
    </row>
    <row r="1062" customFormat="false" ht="15" hidden="false" customHeight="false" outlineLevel="0" collapsed="false">
      <c r="A1062" s="0" t="s">
        <v>279</v>
      </c>
      <c r="B1062" s="0" t="n">
        <v>1</v>
      </c>
      <c r="C1062" s="0" t="str">
        <f aca="false">IF('Young Innovators Kits'!C374="","",'Young Innovators Kits'!C374)</f>
        <v>Arduino Uno + USB cable</v>
      </c>
      <c r="D1062" s="0" t="n">
        <f aca="false">IF('Young Innovators Kits'!D374="","",'Young Innovators Kits'!D374)</f>
        <v>1</v>
      </c>
      <c r="E1062" s="0" t="str">
        <f aca="false">IF('Young Innovators Kits'!E374="","",'Young Innovators Kits'!E374)</f>
        <v>Per group</v>
      </c>
      <c r="F1062" s="0" t="str">
        <f aca="false">IFERROR(INDEX('Session Tracker'!$M$5:$M$149,MATCH($A1062,'Session Tracker'!$D$5:$D$149,0))+0,"")</f>
        <v/>
      </c>
      <c r="G1062" s="0" t="str">
        <f aca="false">IF(ISNUMBER(F1062),IF(OR(B1062=0,B1062=99,C1062&lt;&gt;""),F1062*100+B1062,""),"")</f>
        <v/>
      </c>
      <c r="H1062" s="0" t="n">
        <f aca="false">IFERROR(INDEX('Session Tracker'!$J$5:$J$149,MATCH($A1062,'Session Tracker'!$D$5:$D$149,0)),0)</f>
        <v>8</v>
      </c>
      <c r="I1062" s="0" t="n">
        <f aca="false">IF(OR(B1062=0,B1062=99,C1062=""),"",IF(E1062="Per class",D1062,D1062*H1062))</f>
        <v>8</v>
      </c>
      <c r="N1062" s="0" t="str">
        <f aca="false">IF('Young Innovators Kits'!B374="","",'Young Innovators Kits'!B374)</f>
        <v>Microcontrollers &amp; Dev Boards</v>
      </c>
      <c r="O1062" s="0" t="str">
        <f aca="false">IF('Young Innovators Kits'!F374="","",'Young Innovators Kits'!F374)</f>
        <v>Reusable</v>
      </c>
      <c r="P1062" s="0" t="str">
        <f aca="false">IF('Young Innovators Kits'!G374="","",'Young Innovators Kits'!G374)</f>
        <v/>
      </c>
    </row>
    <row r="1063" customFormat="false" ht="15" hidden="false" customHeight="false" outlineLevel="0" collapsed="false">
      <c r="A1063" s="0" t="s">
        <v>279</v>
      </c>
      <c r="B1063" s="0" t="n">
        <v>2</v>
      </c>
      <c r="C1063" s="0" t="str">
        <f aca="false">IF('Young Innovators Kits'!C375="","",'Young Innovators Kits'!C375)</f>
        <v>LED 5 mm (assorted)</v>
      </c>
      <c r="D1063" s="0" t="n">
        <f aca="false">IF('Young Innovators Kits'!D375="","",'Young Innovators Kits'!D375)</f>
        <v>2</v>
      </c>
      <c r="E1063" s="0" t="str">
        <f aca="false">IF('Young Innovators Kits'!E375="","",'Young Innovators Kits'!E375)</f>
        <v>Per group</v>
      </c>
      <c r="F1063" s="0" t="str">
        <f aca="false">IFERROR(INDEX('Session Tracker'!$M$5:$M$149,MATCH($A1063,'Session Tracker'!$D$5:$D$149,0))+0,"")</f>
        <v/>
      </c>
      <c r="G1063" s="0" t="str">
        <f aca="false">IF(ISNUMBER(F1063),IF(OR(B1063=0,B1063=99,C1063&lt;&gt;""),F1063*100+B1063,""),"")</f>
        <v/>
      </c>
      <c r="H1063" s="0" t="n">
        <f aca="false">IFERROR(INDEX('Session Tracker'!$J$5:$J$149,MATCH($A1063,'Session Tracker'!$D$5:$D$149,0)),0)</f>
        <v>8</v>
      </c>
      <c r="I1063" s="0" t="n">
        <f aca="false">IF(OR(B1063=0,B1063=99,C1063=""),"",IF(E1063="Per class",D1063,D1063*H1063))</f>
        <v>16</v>
      </c>
      <c r="N1063" s="0" t="str">
        <f aca="false">IF('Young Innovators Kits'!B375="","",'Young Innovators Kits'!B375)</f>
        <v>Displays &amp; Output</v>
      </c>
      <c r="O1063" s="0" t="str">
        <f aca="false">IF('Young Innovators Kits'!F375="","",'Young Innovators Kits'!F375)</f>
        <v>Consumable</v>
      </c>
      <c r="P1063" s="0" t="str">
        <f aca="false">IF('Young Innovators Kits'!G375="","",'Young Innovators Kits'!G375)</f>
        <v/>
      </c>
    </row>
    <row r="1064" customFormat="false" ht="15" hidden="false" customHeight="false" outlineLevel="0" collapsed="false">
      <c r="A1064" s="0" t="s">
        <v>279</v>
      </c>
      <c r="B1064" s="0" t="n">
        <v>3</v>
      </c>
      <c r="C1064" s="0" t="str">
        <f aca="false">IF('Young Innovators Kits'!C376="","",'Young Innovators Kits'!C376)</f>
        <v>Resistor 220 ohm</v>
      </c>
      <c r="D1064" s="0" t="n">
        <f aca="false">IF('Young Innovators Kits'!D376="","",'Young Innovators Kits'!D376)</f>
        <v>2</v>
      </c>
      <c r="E1064" s="0" t="str">
        <f aca="false">IF('Young Innovators Kits'!E376="","",'Young Innovators Kits'!E376)</f>
        <v>Per group</v>
      </c>
      <c r="F1064" s="0" t="str">
        <f aca="false">IFERROR(INDEX('Session Tracker'!$M$5:$M$149,MATCH($A1064,'Session Tracker'!$D$5:$D$149,0))+0,"")</f>
        <v/>
      </c>
      <c r="G1064" s="0" t="str">
        <f aca="false">IF(ISNUMBER(F1064),IF(OR(B1064=0,B1064=99,C1064&lt;&gt;""),F1064*100+B1064,""),"")</f>
        <v/>
      </c>
      <c r="H1064" s="0" t="n">
        <f aca="false">IFERROR(INDEX('Session Tracker'!$J$5:$J$149,MATCH($A1064,'Session Tracker'!$D$5:$D$149,0)),0)</f>
        <v>8</v>
      </c>
      <c r="I1064" s="0" t="n">
        <f aca="false">IF(OR(B1064=0,B1064=99,C1064=""),"",IF(E1064="Per class",D1064,D1064*H1064))</f>
        <v>16</v>
      </c>
      <c r="N1064" s="0" t="str">
        <f aca="false">IF('Young Innovators Kits'!B376="","",'Young Innovators Kits'!B376)</f>
        <v>Passive Components &amp; ICs</v>
      </c>
      <c r="O1064" s="0" t="str">
        <f aca="false">IF('Young Innovators Kits'!F376="","",'Young Innovators Kits'!F376)</f>
        <v>Consumable</v>
      </c>
      <c r="P1064" s="0" t="str">
        <f aca="false">IF('Young Innovators Kits'!G376="","",'Young Innovators Kits'!G376)</f>
        <v/>
      </c>
    </row>
    <row r="1065" customFormat="false" ht="15" hidden="false" customHeight="false" outlineLevel="0" collapsed="false">
      <c r="A1065" s="0" t="s">
        <v>279</v>
      </c>
      <c r="B1065" s="0" t="n">
        <v>4</v>
      </c>
      <c r="C1065" s="0" t="str">
        <f aca="false">IF('Young Innovators Kits'!C377="","",'Young Innovators Kits'!C377)</f>
        <v>Servo SG90</v>
      </c>
      <c r="D1065" s="0" t="n">
        <f aca="false">IF('Young Innovators Kits'!D377="","",'Young Innovators Kits'!D377)</f>
        <v>1</v>
      </c>
      <c r="E1065" s="0" t="str">
        <f aca="false">IF('Young Innovators Kits'!E377="","",'Young Innovators Kits'!E377)</f>
        <v>Per group</v>
      </c>
      <c r="F1065" s="0" t="str">
        <f aca="false">IFERROR(INDEX('Session Tracker'!$M$5:$M$149,MATCH($A1065,'Session Tracker'!$D$5:$D$149,0))+0,"")</f>
        <v/>
      </c>
      <c r="G1065" s="0" t="str">
        <f aca="false">IF(ISNUMBER(F1065),IF(OR(B1065=0,B1065=99,C1065&lt;&gt;""),F1065*100+B1065,""),"")</f>
        <v/>
      </c>
      <c r="H1065" s="0" t="n">
        <f aca="false">IFERROR(INDEX('Session Tracker'!$J$5:$J$149,MATCH($A1065,'Session Tracker'!$D$5:$D$149,0)),0)</f>
        <v>8</v>
      </c>
      <c r="I1065" s="0" t="n">
        <f aca="false">IF(OR(B1065=0,B1065=99,C1065=""),"",IF(E1065="Per class",D1065,D1065*H1065))</f>
        <v>8</v>
      </c>
      <c r="N1065" s="0" t="str">
        <f aca="false">IF('Young Innovators Kits'!B377="","",'Young Innovators Kits'!B377)</f>
        <v>Actuators &amp; Motor Drivers</v>
      </c>
      <c r="O1065" s="0" t="str">
        <f aca="false">IF('Young Innovators Kits'!F377="","",'Young Innovators Kits'!F377)</f>
        <v>Reusable</v>
      </c>
      <c r="P1065" s="0" t="str">
        <f aca="false">IF('Young Innovators Kits'!G377="","",'Young Innovators Kits'!G377)</f>
        <v/>
      </c>
    </row>
    <row r="1066" customFormat="false" ht="15" hidden="false" customHeight="false" outlineLevel="0" collapsed="false">
      <c r="A1066" s="0" t="s">
        <v>279</v>
      </c>
      <c r="B1066" s="0" t="n">
        <v>5</v>
      </c>
      <c r="C1066" s="0" t="str">
        <f aca="false">IF('Young Innovators Kits'!C378="","",'Young Innovators Kits'!C378)</f>
        <v>LDR module</v>
      </c>
      <c r="D1066" s="0" t="n">
        <f aca="false">IF('Young Innovators Kits'!D378="","",'Young Innovators Kits'!D378)</f>
        <v>1</v>
      </c>
      <c r="E1066" s="0" t="str">
        <f aca="false">IF('Young Innovators Kits'!E378="","",'Young Innovators Kits'!E378)</f>
        <v>Per group</v>
      </c>
      <c r="F1066" s="0" t="str">
        <f aca="false">IFERROR(INDEX('Session Tracker'!$M$5:$M$149,MATCH($A1066,'Session Tracker'!$D$5:$D$149,0))+0,"")</f>
        <v/>
      </c>
      <c r="G1066" s="0" t="str">
        <f aca="false">IF(ISNUMBER(F1066),IF(OR(B1066=0,B1066=99,C1066&lt;&gt;""),F1066*100+B1066,""),"")</f>
        <v/>
      </c>
      <c r="H1066" s="0" t="n">
        <f aca="false">IFERROR(INDEX('Session Tracker'!$J$5:$J$149,MATCH($A1066,'Session Tracker'!$D$5:$D$149,0)),0)</f>
        <v>8</v>
      </c>
      <c r="I1066" s="0" t="n">
        <f aca="false">IF(OR(B1066=0,B1066=99,C1066=""),"",IF(E1066="Per class",D1066,D1066*H1066))</f>
        <v>8</v>
      </c>
      <c r="N1066" s="0" t="str">
        <f aca="false">IF('Young Innovators Kits'!B378="","",'Young Innovators Kits'!B378)</f>
        <v>Sensors</v>
      </c>
      <c r="O1066" s="0" t="str">
        <f aca="false">IF('Young Innovators Kits'!F378="","",'Young Innovators Kits'!F378)</f>
        <v>Reusable</v>
      </c>
      <c r="P1066" s="0" t="str">
        <f aca="false">IF('Young Innovators Kits'!G378="","",'Young Innovators Kits'!G378)</f>
        <v/>
      </c>
    </row>
    <row r="1067" customFormat="false" ht="15" hidden="false" customHeight="false" outlineLevel="0" collapsed="false">
      <c r="A1067" s="0" t="s">
        <v>279</v>
      </c>
      <c r="B1067" s="0" t="n">
        <v>6</v>
      </c>
      <c r="C1067" s="0" t="str">
        <f aca="false">IF('Young Innovators Kits'!C379="","",'Young Innovators Kits'!C379)</f>
        <v>Breadboard (half size)</v>
      </c>
      <c r="D1067" s="0" t="n">
        <f aca="false">IF('Young Innovators Kits'!D379="","",'Young Innovators Kits'!D379)</f>
        <v>1</v>
      </c>
      <c r="E1067" s="0" t="str">
        <f aca="false">IF('Young Innovators Kits'!E379="","",'Young Innovators Kits'!E379)</f>
        <v>Per group</v>
      </c>
      <c r="F1067" s="0" t="str">
        <f aca="false">IFERROR(INDEX('Session Tracker'!$M$5:$M$149,MATCH($A1067,'Session Tracker'!$D$5:$D$149,0))+0,"")</f>
        <v/>
      </c>
      <c r="G1067" s="0" t="str">
        <f aca="false">IF(ISNUMBER(F1067),IF(OR(B1067=0,B1067=99,C1067&lt;&gt;""),F1067*100+B1067,""),"")</f>
        <v/>
      </c>
      <c r="H1067" s="0" t="n">
        <f aca="false">IFERROR(INDEX('Session Tracker'!$J$5:$J$149,MATCH($A1067,'Session Tracker'!$D$5:$D$149,0)),0)</f>
        <v>8</v>
      </c>
      <c r="I1067" s="0" t="n">
        <f aca="false">IF(OR(B1067=0,B1067=99,C1067=""),"",IF(E1067="Per class",D1067,D1067*H1067))</f>
        <v>8</v>
      </c>
      <c r="N1067" s="0" t="str">
        <f aca="false">IF('Young Innovators Kits'!B379="","",'Young Innovators Kits'!B379)</f>
        <v>Wiring &amp; Prototyping</v>
      </c>
      <c r="O1067" s="0" t="str">
        <f aca="false">IF('Young Innovators Kits'!F379="","",'Young Innovators Kits'!F379)</f>
        <v>Reusable</v>
      </c>
      <c r="P1067" s="0" t="str">
        <f aca="false">IF('Young Innovators Kits'!G379="","",'Young Innovators Kits'!G379)</f>
        <v/>
      </c>
    </row>
    <row r="1068" customFormat="false" ht="15" hidden="false" customHeight="false" outlineLevel="0" collapsed="false">
      <c r="A1068" s="0" t="s">
        <v>279</v>
      </c>
      <c r="B1068" s="0" t="n">
        <v>7</v>
      </c>
      <c r="C1068" s="0" t="str">
        <f aca="false">IF('Young Innovators Kits'!C380="","",'Young Innovators Kits'!C380)</f>
        <v>Jumper wires M-M</v>
      </c>
      <c r="D1068" s="0" t="n">
        <f aca="false">IF('Young Innovators Kits'!D380="","",'Young Innovators Kits'!D380)</f>
        <v>10</v>
      </c>
      <c r="E1068" s="0" t="str">
        <f aca="false">IF('Young Innovators Kits'!E380="","",'Young Innovators Kits'!E380)</f>
        <v>Per group</v>
      </c>
      <c r="F1068" s="0" t="str">
        <f aca="false">IFERROR(INDEX('Session Tracker'!$M$5:$M$149,MATCH($A1068,'Session Tracker'!$D$5:$D$149,0))+0,"")</f>
        <v/>
      </c>
      <c r="G1068" s="0" t="str">
        <f aca="false">IF(ISNUMBER(F1068),IF(OR(B1068=0,B1068=99,C1068&lt;&gt;""),F1068*100+B1068,""),"")</f>
        <v/>
      </c>
      <c r="H1068" s="0" t="n">
        <f aca="false">IFERROR(INDEX('Session Tracker'!$J$5:$J$149,MATCH($A1068,'Session Tracker'!$D$5:$D$149,0)),0)</f>
        <v>8</v>
      </c>
      <c r="I1068" s="0" t="n">
        <f aca="false">IF(OR(B1068=0,B1068=99,C1068=""),"",IF(E1068="Per class",D1068,D1068*H1068))</f>
        <v>80</v>
      </c>
      <c r="N1068" s="0" t="str">
        <f aca="false">IF('Young Innovators Kits'!B380="","",'Young Innovators Kits'!B380)</f>
        <v>Wiring &amp; Prototyping</v>
      </c>
      <c r="O1068" s="0" t="str">
        <f aca="false">IF('Young Innovators Kits'!F380="","",'Young Innovators Kits'!F380)</f>
        <v>Reusable</v>
      </c>
      <c r="P1068" s="0" t="str">
        <f aca="false">IF('Young Innovators Kits'!G380="","",'Young Innovators Kits'!G380)</f>
        <v/>
      </c>
    </row>
    <row r="1069" customFormat="false" ht="15" hidden="false" customHeight="false" outlineLevel="0" collapsed="false">
      <c r="A1069" s="0" t="s">
        <v>279</v>
      </c>
      <c r="B1069" s="0" t="n">
        <v>8</v>
      </c>
      <c r="C1069" s="0" t="str">
        <f aca="false">IF('Young Innovators Kits'!C381="","",'Young Innovators Kits'!C381)</f>
        <v>Laptop</v>
      </c>
      <c r="D1069" s="0" t="n">
        <f aca="false">IF('Young Innovators Kits'!D381="","",'Young Innovators Kits'!D381)</f>
        <v>1</v>
      </c>
      <c r="E1069" s="0" t="str">
        <f aca="false">IF('Young Innovators Kits'!E381="","",'Young Innovators Kits'!E381)</f>
        <v>Per group</v>
      </c>
      <c r="F1069" s="0" t="str">
        <f aca="false">IFERROR(INDEX('Session Tracker'!$M$5:$M$149,MATCH($A1069,'Session Tracker'!$D$5:$D$149,0))+0,"")</f>
        <v/>
      </c>
      <c r="G1069" s="0" t="str">
        <f aca="false">IF(ISNUMBER(F1069),IF(OR(B1069=0,B1069=99,C1069&lt;&gt;""),F1069*100+B1069,""),"")</f>
        <v/>
      </c>
      <c r="H1069" s="0" t="n">
        <f aca="false">IFERROR(INDEX('Session Tracker'!$J$5:$J$149,MATCH($A1069,'Session Tracker'!$D$5:$D$149,0)),0)</f>
        <v>8</v>
      </c>
      <c r="I1069" s="0" t="n">
        <f aca="false">IF(OR(B1069=0,B1069=99,C1069=""),"",IF(E1069="Per class",D1069,D1069*H1069))</f>
        <v>8</v>
      </c>
      <c r="N1069" s="0" t="str">
        <f aca="false">IF('Young Innovators Kits'!B381="","",'Young Innovators Kits'!B381)</f>
        <v>Computers &amp; Equipment</v>
      </c>
      <c r="O1069" s="0" t="str">
        <f aca="false">IF('Young Innovators Kits'!F381="","",'Young Innovators Kits'!F381)</f>
        <v>Reusable</v>
      </c>
      <c r="P1069" s="0" t="str">
        <f aca="false">IF('Young Innovators Kits'!G381="","",'Young Innovators Kits'!G381)</f>
        <v/>
      </c>
    </row>
    <row r="1070" customFormat="false" ht="15" hidden="false" customHeight="false" outlineLevel="0" collapsed="false">
      <c r="A1070" s="0" t="s">
        <v>279</v>
      </c>
      <c r="B1070" s="0" t="n">
        <v>9</v>
      </c>
      <c r="C1070" s="0" t="str">
        <f aca="false">IF('Young Innovators Kits'!C382="","",'Young Innovators Kits'!C382)</f>
        <v>Buzzer</v>
      </c>
      <c r="D1070" s="0" t="n">
        <f aca="false">IF('Young Innovators Kits'!D382="","",'Young Innovators Kits'!D382)</f>
        <v>1</v>
      </c>
      <c r="E1070" s="0" t="str">
        <f aca="false">IF('Young Innovators Kits'!E382="","",'Young Innovators Kits'!E382)</f>
        <v>Per group</v>
      </c>
      <c r="F1070" s="0" t="str">
        <f aca="false">IFERROR(INDEX('Session Tracker'!$M$5:$M$149,MATCH($A1070,'Session Tracker'!$D$5:$D$149,0))+0,"")</f>
        <v/>
      </c>
      <c r="G1070" s="0" t="str">
        <f aca="false">IF(ISNUMBER(F1070),IF(OR(B1070=0,B1070=99,C1070&lt;&gt;""),F1070*100+B1070,""),"")</f>
        <v/>
      </c>
      <c r="H1070" s="0" t="n">
        <f aca="false">IFERROR(INDEX('Session Tracker'!$J$5:$J$149,MATCH($A1070,'Session Tracker'!$D$5:$D$149,0)),0)</f>
        <v>8</v>
      </c>
      <c r="I1070" s="0" t="n">
        <f aca="false">IF(OR(B1070=0,B1070=99,C1070=""),"",IF(E1070="Per class",D1070,D1070*H1070))</f>
        <v>8</v>
      </c>
      <c r="N1070" s="0" t="str">
        <f aca="false">IF('Young Innovators Kits'!B382="","",'Young Innovators Kits'!B382)</f>
        <v>Actuators &amp; Motor Drivers</v>
      </c>
      <c r="O1070" s="0" t="str">
        <f aca="false">IF('Young Innovators Kits'!F382="","",'Young Innovators Kits'!F382)</f>
        <v>Reusable</v>
      </c>
      <c r="P1070" s="0" t="str">
        <f aca="false">IF('Young Innovators Kits'!G382="","",'Young Innovators Kits'!G382)</f>
        <v>Added: every Arduino class</v>
      </c>
    </row>
    <row r="1071" customFormat="false" ht="15" hidden="false" customHeight="false" outlineLevel="0" collapsed="false">
      <c r="A1071" s="0" t="s">
        <v>279</v>
      </c>
      <c r="B1071" s="0" t="n">
        <v>10</v>
      </c>
      <c r="C1071" s="0" t="str">
        <f aca="false">IF('Young Innovators Kits'!C383="","",'Young Innovators Kits'!C383)</f>
        <v/>
      </c>
      <c r="D1071" s="0" t="str">
        <f aca="false">IF('Young Innovators Kits'!D383="","",'Young Innovators Kits'!D383)</f>
        <v/>
      </c>
      <c r="E1071" s="0" t="str">
        <f aca="false">IF('Young Innovators Kits'!E383="","",'Young Innovators Kits'!E383)</f>
        <v/>
      </c>
      <c r="F1071" s="0" t="str">
        <f aca="false">IFERROR(INDEX('Session Tracker'!$M$5:$M$149,MATCH($A1071,'Session Tracker'!$D$5:$D$149,0))+0,"")</f>
        <v/>
      </c>
      <c r="G1071" s="0" t="str">
        <f aca="false">IF(ISNUMBER(F1071),IF(OR(B1071=0,B1071=99,C1071&lt;&gt;""),F1071*100+B1071,""),"")</f>
        <v/>
      </c>
      <c r="H1071" s="0" t="n">
        <f aca="false">IFERROR(INDEX('Session Tracker'!$J$5:$J$149,MATCH($A1071,'Session Tracker'!$D$5:$D$149,0)),0)</f>
        <v>8</v>
      </c>
      <c r="I1071" s="0" t="str">
        <f aca="false">IF(OR(B1071=0,B1071=99,C1071=""),"",IF(E1071="Per class",D1071,D1071*H1071))</f>
        <v/>
      </c>
      <c r="N1071" s="0" t="str">
        <f aca="false">IF('Young Innovators Kits'!B383="","",'Young Innovators Kits'!B383)</f>
        <v/>
      </c>
      <c r="O1071" s="0" t="str">
        <f aca="false">IF('Young Innovators Kits'!F383="","",'Young Innovators Kits'!F383)</f>
        <v/>
      </c>
      <c r="P1071" s="0" t="str">
        <f aca="false">IF('Young Innovators Kits'!G383="","",'Young Innovators Kits'!G383)</f>
        <v/>
      </c>
    </row>
    <row r="1072" customFormat="false" ht="15" hidden="false" customHeight="false" outlineLevel="0" collapsed="false">
      <c r="A1072" s="0" t="s">
        <v>279</v>
      </c>
      <c r="B1072" s="0" t="n">
        <v>11</v>
      </c>
      <c r="C1072" s="0" t="str">
        <f aca="false">IF('Young Innovators Kits'!C384="","",'Young Innovators Kits'!C384)</f>
        <v/>
      </c>
      <c r="D1072" s="0" t="str">
        <f aca="false">IF('Young Innovators Kits'!D384="","",'Young Innovators Kits'!D384)</f>
        <v/>
      </c>
      <c r="E1072" s="0" t="str">
        <f aca="false">IF('Young Innovators Kits'!E384="","",'Young Innovators Kits'!E384)</f>
        <v/>
      </c>
      <c r="F1072" s="0" t="str">
        <f aca="false">IFERROR(INDEX('Session Tracker'!$M$5:$M$149,MATCH($A1072,'Session Tracker'!$D$5:$D$149,0))+0,"")</f>
        <v/>
      </c>
      <c r="G1072" s="0" t="str">
        <f aca="false">IF(ISNUMBER(F1072),IF(OR(B1072=0,B1072=99,C1072&lt;&gt;""),F1072*100+B1072,""),"")</f>
        <v/>
      </c>
      <c r="H1072" s="0" t="n">
        <f aca="false">IFERROR(INDEX('Session Tracker'!$J$5:$J$149,MATCH($A1072,'Session Tracker'!$D$5:$D$149,0)),0)</f>
        <v>8</v>
      </c>
      <c r="I1072" s="0" t="str">
        <f aca="false">IF(OR(B1072=0,B1072=99,C1072=""),"",IF(E1072="Per class",D1072,D1072*H1072))</f>
        <v/>
      </c>
      <c r="N1072" s="0" t="str">
        <f aca="false">IF('Young Innovators Kits'!B384="","",'Young Innovators Kits'!B384)</f>
        <v/>
      </c>
      <c r="O1072" s="0" t="str">
        <f aca="false">IF('Young Innovators Kits'!F384="","",'Young Innovators Kits'!F384)</f>
        <v/>
      </c>
      <c r="P1072" s="0" t="str">
        <f aca="false">IF('Young Innovators Kits'!G384="","",'Young Innovators Kits'!G384)</f>
        <v/>
      </c>
    </row>
    <row r="1073" customFormat="false" ht="15" hidden="false" customHeight="false" outlineLevel="0" collapsed="false">
      <c r="A1073" s="0" t="s">
        <v>281</v>
      </c>
      <c r="B1073" s="0" t="n">
        <v>0</v>
      </c>
      <c r="F1073" s="0" t="str">
        <f aca="false">IFERROR(INDEX('Session Tracker'!$M$5:$M$149,MATCH($A1073,'Session Tracker'!$D$5:$D$149,0))+0,"")</f>
        <v/>
      </c>
      <c r="G1073" s="0" t="str">
        <f aca="false">IF(ISNUMBER(F1073),IF(OR(B1073=0,B1073=99,C1073&lt;&gt;""),F1073*100+B1073,""),"")</f>
        <v/>
      </c>
      <c r="H1073" s="0" t="n">
        <f aca="false">IFERROR(INDEX('Session Tracker'!$J$5:$J$149,MATCH($A1073,'Session Tracker'!$D$5:$D$149,0)),0)</f>
        <v>8</v>
      </c>
      <c r="I1073" s="0" t="str">
        <f aca="false">IF(OR(B1073=0,B1073=99,C1073=""),"",IF(E1073="Per class",D1073,D1073*H1073))</f>
        <v/>
      </c>
      <c r="K1073" s="0" t="str">
        <f aca="false">IFERROR(INDEX('Session Tracker'!$E$5:$E$149,MATCH($A1073,'Session Tracker'!$D$5:$D$149,0)),"")</f>
        <v>p5.js: Flappy Voice Game</v>
      </c>
      <c r="L1073" s="0" t="str">
        <f aca="false">IFERROR(INDEX('Session Tracker'!$A$5:$A$149,MATCH($A1073,'Session Tracker'!$D$5:$D$149,0)),"")</f>
        <v>Young Innovators (12-14)</v>
      </c>
      <c r="M1073" s="0" t="str">
        <f aca="false">IFERROR(INDEX('Session Tracker'!$H$5:$H$149,MATCH($A1073,'Session Tracker'!$D$5:$D$149,0))&amp;"","")</f>
        <v/>
      </c>
      <c r="Q1073" s="0" t="str">
        <f aca="false">IFERROR("Status: "&amp;INDEX('Session Tracker'!$F$5:$F$149,MATCH($A1073,'Session Tracker'!$D$5:$D$149,0))&amp;IF(INDEX('Session Tracker'!$G$5:$G$149,MATCH($A1073,'Session Tracker'!$D$5:$D$149,0))&lt;&gt;""," ("&amp;INDEX('Session Tracker'!$G$5:$G$149,MATCH($A1073,'Session Tracker'!$D$5:$D$149,0))&amp;")","")&amp;IF(M1073&lt;&gt;"","  "&amp;M1073,""),"")</f>
        <v>Status: Not started</v>
      </c>
    </row>
    <row r="1074" customFormat="false" ht="15" hidden="false" customHeight="false" outlineLevel="0" collapsed="false">
      <c r="A1074" s="0" t="s">
        <v>281</v>
      </c>
      <c r="B1074" s="0" t="n">
        <v>1</v>
      </c>
      <c r="C1074" s="0" t="str">
        <f aca="false">IF('Young Innovators Kits'!C387="","",'Young Innovators Kits'!C387)</f>
        <v>Laptop</v>
      </c>
      <c r="D1074" s="0" t="n">
        <f aca="false">IF('Young Innovators Kits'!D387="","",'Young Innovators Kits'!D387)</f>
        <v>1</v>
      </c>
      <c r="E1074" s="0" t="str">
        <f aca="false">IF('Young Innovators Kits'!E387="","",'Young Innovators Kits'!E387)</f>
        <v>Per group</v>
      </c>
      <c r="F1074" s="0" t="str">
        <f aca="false">IFERROR(INDEX('Session Tracker'!$M$5:$M$149,MATCH($A1074,'Session Tracker'!$D$5:$D$149,0))+0,"")</f>
        <v/>
      </c>
      <c r="G1074" s="0" t="str">
        <f aca="false">IF(ISNUMBER(F1074),IF(OR(B1074=0,B1074=99,C1074&lt;&gt;""),F1074*100+B1074,""),"")</f>
        <v/>
      </c>
      <c r="H1074" s="0" t="n">
        <f aca="false">IFERROR(INDEX('Session Tracker'!$J$5:$J$149,MATCH($A1074,'Session Tracker'!$D$5:$D$149,0)),0)</f>
        <v>8</v>
      </c>
      <c r="I1074" s="0" t="n">
        <f aca="false">IF(OR(B1074=0,B1074=99,C1074=""),"",IF(E1074="Per class",D1074,D1074*H1074))</f>
        <v>8</v>
      </c>
      <c r="N1074" s="0" t="str">
        <f aca="false">IF('Young Innovators Kits'!B387="","",'Young Innovators Kits'!B387)</f>
        <v>Computers &amp; Equipment</v>
      </c>
      <c r="O1074" s="0" t="str">
        <f aca="false">IF('Young Innovators Kits'!F387="","",'Young Innovators Kits'!F387)</f>
        <v>Reusable</v>
      </c>
      <c r="P1074" s="0" t="str">
        <f aca="false">IF('Young Innovators Kits'!G387="","",'Young Innovators Kits'!G387)</f>
        <v/>
      </c>
    </row>
    <row r="1075" customFormat="false" ht="15" hidden="false" customHeight="false" outlineLevel="0" collapsed="false">
      <c r="A1075" s="0" t="s">
        <v>281</v>
      </c>
      <c r="B1075" s="0" t="n">
        <v>2</v>
      </c>
      <c r="C1075" s="0" t="str">
        <f aca="false">IF('Young Innovators Kits'!C388="","",'Young Innovators Kits'!C388)</f>
        <v/>
      </c>
      <c r="D1075" s="0" t="str">
        <f aca="false">IF('Young Innovators Kits'!D388="","",'Young Innovators Kits'!D388)</f>
        <v/>
      </c>
      <c r="E1075" s="0" t="str">
        <f aca="false">IF('Young Innovators Kits'!E388="","",'Young Innovators Kits'!E388)</f>
        <v/>
      </c>
      <c r="F1075" s="0" t="str">
        <f aca="false">IFERROR(INDEX('Session Tracker'!$M$5:$M$149,MATCH($A1075,'Session Tracker'!$D$5:$D$149,0))+0,"")</f>
        <v/>
      </c>
      <c r="G1075" s="0" t="str">
        <f aca="false">IF(ISNUMBER(F1075),IF(OR(B1075=0,B1075=99,C1075&lt;&gt;""),F1075*100+B1075,""),"")</f>
        <v/>
      </c>
      <c r="H1075" s="0" t="n">
        <f aca="false">IFERROR(INDEX('Session Tracker'!$J$5:$J$149,MATCH($A1075,'Session Tracker'!$D$5:$D$149,0)),0)</f>
        <v>8</v>
      </c>
      <c r="I1075" s="0" t="str">
        <f aca="false">IF(OR(B1075=0,B1075=99,C1075=""),"",IF(E1075="Per class",D1075,D1075*H1075))</f>
        <v/>
      </c>
      <c r="N1075" s="0" t="str">
        <f aca="false">IF('Young Innovators Kits'!B388="","",'Young Innovators Kits'!B388)</f>
        <v/>
      </c>
      <c r="O1075" s="0" t="str">
        <f aca="false">IF('Young Innovators Kits'!F388="","",'Young Innovators Kits'!F388)</f>
        <v/>
      </c>
      <c r="P1075" s="0" t="str">
        <f aca="false">IF('Young Innovators Kits'!G388="","",'Young Innovators Kits'!G388)</f>
        <v/>
      </c>
    </row>
    <row r="1076" customFormat="false" ht="15" hidden="false" customHeight="false" outlineLevel="0" collapsed="false">
      <c r="A1076" s="0" t="s">
        <v>281</v>
      </c>
      <c r="B1076" s="0" t="n">
        <v>3</v>
      </c>
      <c r="C1076" s="0" t="str">
        <f aca="false">IF('Young Innovators Kits'!C389="","",'Young Innovators Kits'!C389)</f>
        <v/>
      </c>
      <c r="D1076" s="0" t="str">
        <f aca="false">IF('Young Innovators Kits'!D389="","",'Young Innovators Kits'!D389)</f>
        <v/>
      </c>
      <c r="E1076" s="0" t="str">
        <f aca="false">IF('Young Innovators Kits'!E389="","",'Young Innovators Kits'!E389)</f>
        <v/>
      </c>
      <c r="F1076" s="0" t="str">
        <f aca="false">IFERROR(INDEX('Session Tracker'!$M$5:$M$149,MATCH($A1076,'Session Tracker'!$D$5:$D$149,0))+0,"")</f>
        <v/>
      </c>
      <c r="G1076" s="0" t="str">
        <f aca="false">IF(ISNUMBER(F1076),IF(OR(B1076=0,B1076=99,C1076&lt;&gt;""),F1076*100+B1076,""),"")</f>
        <v/>
      </c>
      <c r="H1076" s="0" t="n">
        <f aca="false">IFERROR(INDEX('Session Tracker'!$J$5:$J$149,MATCH($A1076,'Session Tracker'!$D$5:$D$149,0)),0)</f>
        <v>8</v>
      </c>
      <c r="I1076" s="0" t="str">
        <f aca="false">IF(OR(B1076=0,B1076=99,C1076=""),"",IF(E1076="Per class",D1076,D1076*H1076))</f>
        <v/>
      </c>
      <c r="N1076" s="0" t="str">
        <f aca="false">IF('Young Innovators Kits'!B389="","",'Young Innovators Kits'!B389)</f>
        <v/>
      </c>
      <c r="O1076" s="0" t="str">
        <f aca="false">IF('Young Innovators Kits'!F389="","",'Young Innovators Kits'!F389)</f>
        <v/>
      </c>
      <c r="P1076" s="0" t="str">
        <f aca="false">IF('Young Innovators Kits'!G389="","",'Young Innovators Kits'!G389)</f>
        <v/>
      </c>
    </row>
    <row r="1077" customFormat="false" ht="15" hidden="false" customHeight="false" outlineLevel="0" collapsed="false">
      <c r="A1077" s="0" t="s">
        <v>283</v>
      </c>
      <c r="B1077" s="0" t="n">
        <v>0</v>
      </c>
      <c r="F1077" s="0" t="str">
        <f aca="false">IFERROR(INDEX('Session Tracker'!$M$5:$M$149,MATCH($A1077,'Session Tracker'!$D$5:$D$149,0))+0,"")</f>
        <v/>
      </c>
      <c r="G1077" s="0" t="str">
        <f aca="false">IF(ISNUMBER(F1077),IF(OR(B1077=0,B1077=99,C1077&lt;&gt;""),F1077*100+B1077,""),"")</f>
        <v/>
      </c>
      <c r="H1077" s="0" t="n">
        <f aca="false">IFERROR(INDEX('Session Tracker'!$J$5:$J$149,MATCH($A1077,'Session Tracker'!$D$5:$D$149,0)),0)</f>
        <v>8</v>
      </c>
      <c r="I1077" s="0" t="str">
        <f aca="false">IF(OR(B1077=0,B1077=99,C1077=""),"",IF(E1077="Per class",D1077,D1077*H1077))</f>
        <v/>
      </c>
      <c r="K1077" s="0" t="str">
        <f aca="false">IFERROR(INDEX('Session Tracker'!$E$5:$E$149,MATCH($A1077,'Session Tracker'!$D$5:$D$149,0)),"")</f>
        <v>Python Weather API Dashboard</v>
      </c>
      <c r="L1077" s="0" t="str">
        <f aca="false">IFERROR(INDEX('Session Tracker'!$A$5:$A$149,MATCH($A1077,'Session Tracker'!$D$5:$D$149,0)),"")</f>
        <v>Young Innovators (12-14)</v>
      </c>
      <c r="M1077" s="0" t="str">
        <f aca="false">IFERROR(INDEX('Session Tracker'!$H$5:$H$149,MATCH($A1077,'Session Tracker'!$D$5:$D$149,0))&amp;"","")</f>
        <v/>
      </c>
      <c r="Q1077" s="0" t="str">
        <f aca="false">IFERROR("Status: "&amp;INDEX('Session Tracker'!$F$5:$F$149,MATCH($A1077,'Session Tracker'!$D$5:$D$149,0))&amp;IF(INDEX('Session Tracker'!$G$5:$G$149,MATCH($A1077,'Session Tracker'!$D$5:$D$149,0))&lt;&gt;""," ("&amp;INDEX('Session Tracker'!$G$5:$G$149,MATCH($A1077,'Session Tracker'!$D$5:$D$149,0))&amp;")","")&amp;IF(M1077&lt;&gt;"","  "&amp;M1077,""),"")</f>
        <v>Status: Not started</v>
      </c>
    </row>
    <row r="1078" customFormat="false" ht="15" hidden="false" customHeight="false" outlineLevel="0" collapsed="false">
      <c r="A1078" s="0" t="s">
        <v>283</v>
      </c>
      <c r="B1078" s="0" t="n">
        <v>1</v>
      </c>
      <c r="C1078" s="0" t="str">
        <f aca="false">IF('Young Innovators Kits'!C392="","",'Young Innovators Kits'!C392)</f>
        <v>Laptop</v>
      </c>
      <c r="D1078" s="0" t="n">
        <f aca="false">IF('Young Innovators Kits'!D392="","",'Young Innovators Kits'!D392)</f>
        <v>1</v>
      </c>
      <c r="E1078" s="0" t="str">
        <f aca="false">IF('Young Innovators Kits'!E392="","",'Young Innovators Kits'!E392)</f>
        <v>Per group</v>
      </c>
      <c r="F1078" s="0" t="str">
        <f aca="false">IFERROR(INDEX('Session Tracker'!$M$5:$M$149,MATCH($A1078,'Session Tracker'!$D$5:$D$149,0))+0,"")</f>
        <v/>
      </c>
      <c r="G1078" s="0" t="str">
        <f aca="false">IF(ISNUMBER(F1078),IF(OR(B1078=0,B1078=99,C1078&lt;&gt;""),F1078*100+B1078,""),"")</f>
        <v/>
      </c>
      <c r="H1078" s="0" t="n">
        <f aca="false">IFERROR(INDEX('Session Tracker'!$J$5:$J$149,MATCH($A1078,'Session Tracker'!$D$5:$D$149,0)),0)</f>
        <v>8</v>
      </c>
      <c r="I1078" s="0" t="n">
        <f aca="false">IF(OR(B1078=0,B1078=99,C1078=""),"",IF(E1078="Per class",D1078,D1078*H1078))</f>
        <v>8</v>
      </c>
      <c r="N1078" s="0" t="str">
        <f aca="false">IF('Young Innovators Kits'!B392="","",'Young Innovators Kits'!B392)</f>
        <v>Computers &amp; Equipment</v>
      </c>
      <c r="O1078" s="0" t="str">
        <f aca="false">IF('Young Innovators Kits'!F392="","",'Young Innovators Kits'!F392)</f>
        <v>Reusable</v>
      </c>
      <c r="P1078" s="0" t="str">
        <f aca="false">IF('Young Innovators Kits'!G392="","",'Young Innovators Kits'!G392)</f>
        <v/>
      </c>
    </row>
    <row r="1079" customFormat="false" ht="15" hidden="false" customHeight="false" outlineLevel="0" collapsed="false">
      <c r="A1079" s="0" t="s">
        <v>283</v>
      </c>
      <c r="B1079" s="0" t="n">
        <v>2</v>
      </c>
      <c r="C1079" s="0" t="str">
        <f aca="false">IF('Young Innovators Kits'!C393="","",'Young Innovators Kits'!C393)</f>
        <v/>
      </c>
      <c r="D1079" s="0" t="str">
        <f aca="false">IF('Young Innovators Kits'!D393="","",'Young Innovators Kits'!D393)</f>
        <v/>
      </c>
      <c r="E1079" s="0" t="str">
        <f aca="false">IF('Young Innovators Kits'!E393="","",'Young Innovators Kits'!E393)</f>
        <v/>
      </c>
      <c r="F1079" s="0" t="str">
        <f aca="false">IFERROR(INDEX('Session Tracker'!$M$5:$M$149,MATCH($A1079,'Session Tracker'!$D$5:$D$149,0))+0,"")</f>
        <v/>
      </c>
      <c r="G1079" s="0" t="str">
        <f aca="false">IF(ISNUMBER(F1079),IF(OR(B1079=0,B1079=99,C1079&lt;&gt;""),F1079*100+B1079,""),"")</f>
        <v/>
      </c>
      <c r="H1079" s="0" t="n">
        <f aca="false">IFERROR(INDEX('Session Tracker'!$J$5:$J$149,MATCH($A1079,'Session Tracker'!$D$5:$D$149,0)),0)</f>
        <v>8</v>
      </c>
      <c r="I1079" s="0" t="str">
        <f aca="false">IF(OR(B1079=0,B1079=99,C1079=""),"",IF(E1079="Per class",D1079,D1079*H1079))</f>
        <v/>
      </c>
      <c r="N1079" s="0" t="str">
        <f aca="false">IF('Young Innovators Kits'!B393="","",'Young Innovators Kits'!B393)</f>
        <v/>
      </c>
      <c r="O1079" s="0" t="str">
        <f aca="false">IF('Young Innovators Kits'!F393="","",'Young Innovators Kits'!F393)</f>
        <v/>
      </c>
      <c r="P1079" s="0" t="str">
        <f aca="false">IF('Young Innovators Kits'!G393="","",'Young Innovators Kits'!G393)</f>
        <v/>
      </c>
    </row>
    <row r="1080" customFormat="false" ht="15" hidden="false" customHeight="false" outlineLevel="0" collapsed="false">
      <c r="A1080" s="0" t="s">
        <v>283</v>
      </c>
      <c r="B1080" s="0" t="n">
        <v>3</v>
      </c>
      <c r="C1080" s="0" t="str">
        <f aca="false">IF('Young Innovators Kits'!C394="","",'Young Innovators Kits'!C394)</f>
        <v/>
      </c>
      <c r="D1080" s="0" t="str">
        <f aca="false">IF('Young Innovators Kits'!D394="","",'Young Innovators Kits'!D394)</f>
        <v/>
      </c>
      <c r="E1080" s="0" t="str">
        <f aca="false">IF('Young Innovators Kits'!E394="","",'Young Innovators Kits'!E394)</f>
        <v/>
      </c>
      <c r="F1080" s="0" t="str">
        <f aca="false">IFERROR(INDEX('Session Tracker'!$M$5:$M$149,MATCH($A1080,'Session Tracker'!$D$5:$D$149,0))+0,"")</f>
        <v/>
      </c>
      <c r="G1080" s="0" t="str">
        <f aca="false">IF(ISNUMBER(F1080),IF(OR(B1080=0,B1080=99,C1080&lt;&gt;""),F1080*100+B1080,""),"")</f>
        <v/>
      </c>
      <c r="H1080" s="0" t="n">
        <f aca="false">IFERROR(INDEX('Session Tracker'!$J$5:$J$149,MATCH($A1080,'Session Tracker'!$D$5:$D$149,0)),0)</f>
        <v>8</v>
      </c>
      <c r="I1080" s="0" t="str">
        <f aca="false">IF(OR(B1080=0,B1080=99,C1080=""),"",IF(E1080="Per class",D1080,D1080*H1080))</f>
        <v/>
      </c>
      <c r="N1080" s="0" t="str">
        <f aca="false">IF('Young Innovators Kits'!B394="","",'Young Innovators Kits'!B394)</f>
        <v/>
      </c>
      <c r="O1080" s="0" t="str">
        <f aca="false">IF('Young Innovators Kits'!F394="","",'Young Innovators Kits'!F394)</f>
        <v/>
      </c>
      <c r="P1080" s="0" t="str">
        <f aca="false">IF('Young Innovators Kits'!G394="","",'Young Innovators Kits'!G394)</f>
        <v/>
      </c>
    </row>
    <row r="1081" customFormat="false" ht="15" hidden="false" customHeight="false" outlineLevel="0" collapsed="false">
      <c r="A1081" s="0" t="s">
        <v>285</v>
      </c>
      <c r="B1081" s="0" t="n">
        <v>0</v>
      </c>
      <c r="F1081" s="0" t="str">
        <f aca="false">IFERROR(INDEX('Session Tracker'!$M$5:$M$149,MATCH($A1081,'Session Tracker'!$D$5:$D$149,0))+0,"")</f>
        <v/>
      </c>
      <c r="G1081" s="0" t="str">
        <f aca="false">IF(ISNUMBER(F1081),IF(OR(B1081=0,B1081=99,C1081&lt;&gt;""),F1081*100+B1081,""),"")</f>
        <v/>
      </c>
      <c r="H1081" s="0" t="n">
        <f aca="false">IFERROR(INDEX('Session Tracker'!$J$5:$J$149,MATCH($A1081,'Session Tracker'!$D$5:$D$149,0)),0)</f>
        <v>8</v>
      </c>
      <c r="I1081" s="0" t="str">
        <f aca="false">IF(OR(B1081=0,B1081=99,C1081=""),"",IF(E1081="Per class",D1081,D1081*H1081))</f>
        <v/>
      </c>
      <c r="K1081" s="0" t="str">
        <f aca="false">IFERROR(INDEX('Session Tracker'!$E$5:$E$149,MATCH($A1081,'Session Tracker'!$D$5:$D$149,0)),"")</f>
        <v>Sign Language Alphabet Recogniser</v>
      </c>
      <c r="L1081" s="0" t="str">
        <f aca="false">IFERROR(INDEX('Session Tracker'!$A$5:$A$149,MATCH($A1081,'Session Tracker'!$D$5:$D$149,0)),"")</f>
        <v>Young Innovators (12-14)</v>
      </c>
      <c r="M1081" s="0" t="str">
        <f aca="false">IFERROR(INDEX('Session Tracker'!$H$5:$H$149,MATCH($A1081,'Session Tracker'!$D$5:$D$149,0))&amp;"","")</f>
        <v/>
      </c>
      <c r="Q1081" s="0" t="str">
        <f aca="false">IFERROR("Status: "&amp;INDEX('Session Tracker'!$F$5:$F$149,MATCH($A1081,'Session Tracker'!$D$5:$D$149,0))&amp;IF(INDEX('Session Tracker'!$G$5:$G$149,MATCH($A1081,'Session Tracker'!$D$5:$D$149,0))&lt;&gt;""," ("&amp;INDEX('Session Tracker'!$G$5:$G$149,MATCH($A1081,'Session Tracker'!$D$5:$D$149,0))&amp;")","")&amp;IF(M1081&lt;&gt;"","  "&amp;M1081,""),"")</f>
        <v>Status: Not started</v>
      </c>
    </row>
    <row r="1082" customFormat="false" ht="15" hidden="false" customHeight="false" outlineLevel="0" collapsed="false">
      <c r="A1082" s="0" t="s">
        <v>285</v>
      </c>
      <c r="B1082" s="0" t="n">
        <v>1</v>
      </c>
      <c r="C1082" s="0" t="str">
        <f aca="false">IF('Young Innovators Kits'!C397="","",'Young Innovators Kits'!C397)</f>
        <v>Laptop</v>
      </c>
      <c r="D1082" s="0" t="n">
        <f aca="false">IF('Young Innovators Kits'!D397="","",'Young Innovators Kits'!D397)</f>
        <v>1</v>
      </c>
      <c r="E1082" s="0" t="str">
        <f aca="false">IF('Young Innovators Kits'!E397="","",'Young Innovators Kits'!E397)</f>
        <v>Per group</v>
      </c>
      <c r="F1082" s="0" t="str">
        <f aca="false">IFERROR(INDEX('Session Tracker'!$M$5:$M$149,MATCH($A1082,'Session Tracker'!$D$5:$D$149,0))+0,"")</f>
        <v/>
      </c>
      <c r="G1082" s="0" t="str">
        <f aca="false">IF(ISNUMBER(F1082),IF(OR(B1082=0,B1082=99,C1082&lt;&gt;""),F1082*100+B1082,""),"")</f>
        <v/>
      </c>
      <c r="H1082" s="0" t="n">
        <f aca="false">IFERROR(INDEX('Session Tracker'!$J$5:$J$149,MATCH($A1082,'Session Tracker'!$D$5:$D$149,0)),0)</f>
        <v>8</v>
      </c>
      <c r="I1082" s="0" t="n">
        <f aca="false">IF(OR(B1082=0,B1082=99,C1082=""),"",IF(E1082="Per class",D1082,D1082*H1082))</f>
        <v>8</v>
      </c>
      <c r="N1082" s="0" t="str">
        <f aca="false">IF('Young Innovators Kits'!B397="","",'Young Innovators Kits'!B397)</f>
        <v>Computers &amp; Equipment</v>
      </c>
      <c r="O1082" s="0" t="str">
        <f aca="false">IF('Young Innovators Kits'!F397="","",'Young Innovators Kits'!F397)</f>
        <v>Reusable</v>
      </c>
      <c r="P1082" s="0" t="str">
        <f aca="false">IF('Young Innovators Kits'!G397="","",'Young Innovators Kits'!G397)</f>
        <v/>
      </c>
    </row>
    <row r="1083" customFormat="false" ht="15" hidden="false" customHeight="false" outlineLevel="0" collapsed="false">
      <c r="A1083" s="0" t="s">
        <v>285</v>
      </c>
      <c r="B1083" s="0" t="n">
        <v>2</v>
      </c>
      <c r="C1083" s="0" t="str">
        <f aca="false">IF('Young Innovators Kits'!C398="","",'Young Innovators Kits'!C398)</f>
        <v>Webcam</v>
      </c>
      <c r="D1083" s="0" t="n">
        <f aca="false">IF('Young Innovators Kits'!D398="","",'Young Innovators Kits'!D398)</f>
        <v>1</v>
      </c>
      <c r="E1083" s="0" t="str">
        <f aca="false">IF('Young Innovators Kits'!E398="","",'Young Innovators Kits'!E398)</f>
        <v>Per group</v>
      </c>
      <c r="F1083" s="0" t="str">
        <f aca="false">IFERROR(INDEX('Session Tracker'!$M$5:$M$149,MATCH($A1083,'Session Tracker'!$D$5:$D$149,0))+0,"")</f>
        <v/>
      </c>
      <c r="G1083" s="0" t="str">
        <f aca="false">IF(ISNUMBER(F1083),IF(OR(B1083=0,B1083=99,C1083&lt;&gt;""),F1083*100+B1083,""),"")</f>
        <v/>
      </c>
      <c r="H1083" s="0" t="n">
        <f aca="false">IFERROR(INDEX('Session Tracker'!$J$5:$J$149,MATCH($A1083,'Session Tracker'!$D$5:$D$149,0)),0)</f>
        <v>8</v>
      </c>
      <c r="I1083" s="0" t="n">
        <f aca="false">IF(OR(B1083=0,B1083=99,C1083=""),"",IF(E1083="Per class",D1083,D1083*H1083))</f>
        <v>8</v>
      </c>
      <c r="N1083" s="0" t="str">
        <f aca="false">IF('Young Innovators Kits'!B398="","",'Young Innovators Kits'!B398)</f>
        <v>Computers &amp; Equipment</v>
      </c>
      <c r="O1083" s="0" t="str">
        <f aca="false">IF('Young Innovators Kits'!F398="","",'Young Innovators Kits'!F398)</f>
        <v>Reusable</v>
      </c>
      <c r="P1083" s="0" t="str">
        <f aca="false">IF('Young Innovators Kits'!G398="","",'Young Innovators Kits'!G398)</f>
        <v>Or built-in camera</v>
      </c>
    </row>
    <row r="1084" customFormat="false" ht="15" hidden="false" customHeight="false" outlineLevel="0" collapsed="false">
      <c r="A1084" s="0" t="s">
        <v>285</v>
      </c>
      <c r="B1084" s="0" t="n">
        <v>3</v>
      </c>
      <c r="C1084" s="0" t="str">
        <f aca="false">IF('Young Innovators Kits'!C399="","",'Young Innovators Kits'!C399)</f>
        <v/>
      </c>
      <c r="D1084" s="0" t="str">
        <f aca="false">IF('Young Innovators Kits'!D399="","",'Young Innovators Kits'!D399)</f>
        <v/>
      </c>
      <c r="E1084" s="0" t="str">
        <f aca="false">IF('Young Innovators Kits'!E399="","",'Young Innovators Kits'!E399)</f>
        <v/>
      </c>
      <c r="F1084" s="0" t="str">
        <f aca="false">IFERROR(INDEX('Session Tracker'!$M$5:$M$149,MATCH($A1084,'Session Tracker'!$D$5:$D$149,0))+0,"")</f>
        <v/>
      </c>
      <c r="G1084" s="0" t="str">
        <f aca="false">IF(ISNUMBER(F1084),IF(OR(B1084=0,B1084=99,C1084&lt;&gt;""),F1084*100+B1084,""),"")</f>
        <v/>
      </c>
      <c r="H1084" s="0" t="n">
        <f aca="false">IFERROR(INDEX('Session Tracker'!$J$5:$J$149,MATCH($A1084,'Session Tracker'!$D$5:$D$149,0)),0)</f>
        <v>8</v>
      </c>
      <c r="I1084" s="0" t="str">
        <f aca="false">IF(OR(B1084=0,B1084=99,C1084=""),"",IF(E1084="Per class",D1084,D1084*H1084))</f>
        <v/>
      </c>
      <c r="N1084" s="0" t="str">
        <f aca="false">IF('Young Innovators Kits'!B399="","",'Young Innovators Kits'!B399)</f>
        <v/>
      </c>
      <c r="O1084" s="0" t="str">
        <f aca="false">IF('Young Innovators Kits'!F399="","",'Young Innovators Kits'!F399)</f>
        <v/>
      </c>
      <c r="P1084" s="0" t="str">
        <f aca="false">IF('Young Innovators Kits'!G399="","",'Young Innovators Kits'!G399)</f>
        <v/>
      </c>
    </row>
    <row r="1085" customFormat="false" ht="15" hidden="false" customHeight="false" outlineLevel="0" collapsed="false">
      <c r="A1085" s="0" t="s">
        <v>285</v>
      </c>
      <c r="B1085" s="0" t="n">
        <v>4</v>
      </c>
      <c r="C1085" s="0" t="str">
        <f aca="false">IF('Young Innovators Kits'!C400="","",'Young Innovators Kits'!C400)</f>
        <v/>
      </c>
      <c r="D1085" s="0" t="str">
        <f aca="false">IF('Young Innovators Kits'!D400="","",'Young Innovators Kits'!D400)</f>
        <v/>
      </c>
      <c r="E1085" s="0" t="str">
        <f aca="false">IF('Young Innovators Kits'!E400="","",'Young Innovators Kits'!E400)</f>
        <v/>
      </c>
      <c r="F1085" s="0" t="str">
        <f aca="false">IFERROR(INDEX('Session Tracker'!$M$5:$M$149,MATCH($A1085,'Session Tracker'!$D$5:$D$149,0))+0,"")</f>
        <v/>
      </c>
      <c r="G1085" s="0" t="str">
        <f aca="false">IF(ISNUMBER(F1085),IF(OR(B1085=0,B1085=99,C1085&lt;&gt;""),F1085*100+B1085,""),"")</f>
        <v/>
      </c>
      <c r="H1085" s="0" t="n">
        <f aca="false">IFERROR(INDEX('Session Tracker'!$J$5:$J$149,MATCH($A1085,'Session Tracker'!$D$5:$D$149,0)),0)</f>
        <v>8</v>
      </c>
      <c r="I1085" s="0" t="str">
        <f aca="false">IF(OR(B1085=0,B1085=99,C1085=""),"",IF(E1085="Per class",D1085,D1085*H1085))</f>
        <v/>
      </c>
      <c r="N1085" s="0" t="str">
        <f aca="false">IF('Young Innovators Kits'!B400="","",'Young Innovators Kits'!B400)</f>
        <v/>
      </c>
      <c r="O1085" s="0" t="str">
        <f aca="false">IF('Young Innovators Kits'!F400="","",'Young Innovators Kits'!F400)</f>
        <v/>
      </c>
      <c r="P1085" s="0" t="str">
        <f aca="false">IF('Young Innovators Kits'!G400="","",'Young Innovators Kits'!G400)</f>
        <v/>
      </c>
    </row>
    <row r="1086" customFormat="false" ht="15" hidden="false" customHeight="false" outlineLevel="0" collapsed="false">
      <c r="A1086" s="0" t="s">
        <v>287</v>
      </c>
      <c r="B1086" s="0" t="n">
        <v>0</v>
      </c>
      <c r="F1086" s="0" t="str">
        <f aca="false">IFERROR(INDEX('Session Tracker'!$M$5:$M$149,MATCH($A1086,'Session Tracker'!$D$5:$D$149,0))+0,"")</f>
        <v/>
      </c>
      <c r="G1086" s="0" t="str">
        <f aca="false">IF(ISNUMBER(F1086),IF(OR(B1086=0,B1086=99,C1086&lt;&gt;""),F1086*100+B1086,""),"")</f>
        <v/>
      </c>
      <c r="H1086" s="0" t="n">
        <f aca="false">IFERROR(INDEX('Session Tracker'!$J$5:$J$149,MATCH($A1086,'Session Tracker'!$D$5:$D$149,0)),0)</f>
        <v>8</v>
      </c>
      <c r="I1086" s="0" t="str">
        <f aca="false">IF(OR(B1086=0,B1086=99,C1086=""),"",IF(E1086="Per class",D1086,D1086*H1086))</f>
        <v/>
      </c>
      <c r="K1086" s="0" t="str">
        <f aca="false">IFERROR(INDEX('Session Tracker'!$E$5:$E$149,MATCH($A1086,'Session Tracker'!$D$5:$D$149,0)),"")</f>
        <v>Build Your Own Game Controller</v>
      </c>
      <c r="L1086" s="0" t="str">
        <f aca="false">IFERROR(INDEX('Session Tracker'!$A$5:$A$149,MATCH($A1086,'Session Tracker'!$D$5:$D$149,0)),"")</f>
        <v>Young Innovators (12-14)</v>
      </c>
      <c r="M1086" s="0" t="str">
        <f aca="false">IFERROR(INDEX('Session Tracker'!$H$5:$H$149,MATCH($A1086,'Session Tracker'!$D$5:$D$149,0))&amp;"","")</f>
        <v/>
      </c>
      <c r="Q1086" s="0" t="str">
        <f aca="false">IFERROR("Status: "&amp;INDEX('Session Tracker'!$F$5:$F$149,MATCH($A1086,'Session Tracker'!$D$5:$D$149,0))&amp;IF(INDEX('Session Tracker'!$G$5:$G$149,MATCH($A1086,'Session Tracker'!$D$5:$D$149,0))&lt;&gt;""," ("&amp;INDEX('Session Tracker'!$G$5:$G$149,MATCH($A1086,'Session Tracker'!$D$5:$D$149,0))&amp;")","")&amp;IF(M1086&lt;&gt;"","  "&amp;M1086,""),"")</f>
        <v>Status: Not started</v>
      </c>
    </row>
    <row r="1087" customFormat="false" ht="15" hidden="false" customHeight="false" outlineLevel="0" collapsed="false">
      <c r="A1087" s="0" t="s">
        <v>287</v>
      </c>
      <c r="B1087" s="0" t="n">
        <v>1</v>
      </c>
      <c r="C1087" s="0" t="str">
        <f aca="false">IF('Young Innovators Kits'!C403="","",'Young Innovators Kits'!C403)</f>
        <v>Arduino Uno + USB cable</v>
      </c>
      <c r="D1087" s="0" t="n">
        <f aca="false">IF('Young Innovators Kits'!D403="","",'Young Innovators Kits'!D403)</f>
        <v>1</v>
      </c>
      <c r="E1087" s="0" t="str">
        <f aca="false">IF('Young Innovators Kits'!E403="","",'Young Innovators Kits'!E403)</f>
        <v>Per group</v>
      </c>
      <c r="F1087" s="0" t="str">
        <f aca="false">IFERROR(INDEX('Session Tracker'!$M$5:$M$149,MATCH($A1087,'Session Tracker'!$D$5:$D$149,0))+0,"")</f>
        <v/>
      </c>
      <c r="G1087" s="0" t="str">
        <f aca="false">IF(ISNUMBER(F1087),IF(OR(B1087=0,B1087=99,C1087&lt;&gt;""),F1087*100+B1087,""),"")</f>
        <v/>
      </c>
      <c r="H1087" s="0" t="n">
        <f aca="false">IFERROR(INDEX('Session Tracker'!$J$5:$J$149,MATCH($A1087,'Session Tracker'!$D$5:$D$149,0)),0)</f>
        <v>8</v>
      </c>
      <c r="I1087" s="0" t="n">
        <f aca="false">IF(OR(B1087=0,B1087=99,C1087=""),"",IF(E1087="Per class",D1087,D1087*H1087))</f>
        <v>8</v>
      </c>
      <c r="N1087" s="0" t="str">
        <f aca="false">IF('Young Innovators Kits'!B403="","",'Young Innovators Kits'!B403)</f>
        <v>Microcontrollers &amp; Dev Boards</v>
      </c>
      <c r="O1087" s="0" t="str">
        <f aca="false">IF('Young Innovators Kits'!F403="","",'Young Innovators Kits'!F403)</f>
        <v>Reusable</v>
      </c>
      <c r="P1087" s="0" t="str">
        <f aca="false">IF('Young Innovators Kits'!G403="","",'Young Innovators Kits'!G403)</f>
        <v/>
      </c>
    </row>
    <row r="1088" customFormat="false" ht="15" hidden="false" customHeight="false" outlineLevel="0" collapsed="false">
      <c r="A1088" s="0" t="s">
        <v>287</v>
      </c>
      <c r="B1088" s="0" t="n">
        <v>2</v>
      </c>
      <c r="C1088" s="0" t="str">
        <f aca="false">IF('Young Innovators Kits'!C404="","",'Young Innovators Kits'!C404)</f>
        <v>Joystick module</v>
      </c>
      <c r="D1088" s="0" t="n">
        <f aca="false">IF('Young Innovators Kits'!D404="","",'Young Innovators Kits'!D404)</f>
        <v>1</v>
      </c>
      <c r="E1088" s="0" t="str">
        <f aca="false">IF('Young Innovators Kits'!E404="","",'Young Innovators Kits'!E404)</f>
        <v>Per group</v>
      </c>
      <c r="F1088" s="0" t="str">
        <f aca="false">IFERROR(INDEX('Session Tracker'!$M$5:$M$149,MATCH($A1088,'Session Tracker'!$D$5:$D$149,0))+0,"")</f>
        <v/>
      </c>
      <c r="G1088" s="0" t="str">
        <f aca="false">IF(ISNUMBER(F1088),IF(OR(B1088=0,B1088=99,C1088&lt;&gt;""),F1088*100+B1088,""),"")</f>
        <v/>
      </c>
      <c r="H1088" s="0" t="n">
        <f aca="false">IFERROR(INDEX('Session Tracker'!$J$5:$J$149,MATCH($A1088,'Session Tracker'!$D$5:$D$149,0)),0)</f>
        <v>8</v>
      </c>
      <c r="I1088" s="0" t="n">
        <f aca="false">IF(OR(B1088=0,B1088=99,C1088=""),"",IF(E1088="Per class",D1088,D1088*H1088))</f>
        <v>8</v>
      </c>
      <c r="N1088" s="0" t="str">
        <f aca="false">IF('Young Innovators Kits'!B404="","",'Young Innovators Kits'!B404)</f>
        <v>Sensors</v>
      </c>
      <c r="O1088" s="0" t="str">
        <f aca="false">IF('Young Innovators Kits'!F404="","",'Young Innovators Kits'!F404)</f>
        <v>Reusable</v>
      </c>
      <c r="P1088" s="0" t="str">
        <f aca="false">IF('Young Innovators Kits'!G404="","",'Young Innovators Kits'!G404)</f>
        <v/>
      </c>
    </row>
    <row r="1089" customFormat="false" ht="15" hidden="false" customHeight="false" outlineLevel="0" collapsed="false">
      <c r="A1089" s="0" t="s">
        <v>287</v>
      </c>
      <c r="B1089" s="0" t="n">
        <v>3</v>
      </c>
      <c r="C1089" s="0" t="str">
        <f aca="false">IF('Young Innovators Kits'!C405="","",'Young Innovators Kits'!C405)</f>
        <v>Push button</v>
      </c>
      <c r="D1089" s="0" t="n">
        <f aca="false">IF('Young Innovators Kits'!D405="","",'Young Innovators Kits'!D405)</f>
        <v>2</v>
      </c>
      <c r="E1089" s="0" t="str">
        <f aca="false">IF('Young Innovators Kits'!E405="","",'Young Innovators Kits'!E405)</f>
        <v>Per group</v>
      </c>
      <c r="F1089" s="0" t="str">
        <f aca="false">IFERROR(INDEX('Session Tracker'!$M$5:$M$149,MATCH($A1089,'Session Tracker'!$D$5:$D$149,0))+0,"")</f>
        <v/>
      </c>
      <c r="G1089" s="0" t="str">
        <f aca="false">IF(ISNUMBER(F1089),IF(OR(B1089=0,B1089=99,C1089&lt;&gt;""),F1089*100+B1089,""),"")</f>
        <v/>
      </c>
      <c r="H1089" s="0" t="n">
        <f aca="false">IFERROR(INDEX('Session Tracker'!$J$5:$J$149,MATCH($A1089,'Session Tracker'!$D$5:$D$149,0)),0)</f>
        <v>8</v>
      </c>
      <c r="I1089" s="0" t="n">
        <f aca="false">IF(OR(B1089=0,B1089=99,C1089=""),"",IF(E1089="Per class",D1089,D1089*H1089))</f>
        <v>16</v>
      </c>
      <c r="N1089" s="0" t="str">
        <f aca="false">IF('Young Innovators Kits'!B405="","",'Young Innovators Kits'!B405)</f>
        <v>Passive Components &amp; ICs</v>
      </c>
      <c r="O1089" s="0" t="str">
        <f aca="false">IF('Young Innovators Kits'!F405="","",'Young Innovators Kits'!F405)</f>
        <v>Reusable</v>
      </c>
      <c r="P1089" s="0" t="str">
        <f aca="false">IF('Young Innovators Kits'!G405="","",'Young Innovators Kits'!G405)</f>
        <v/>
      </c>
    </row>
    <row r="1090" customFormat="false" ht="15" hidden="false" customHeight="false" outlineLevel="0" collapsed="false">
      <c r="A1090" s="0" t="s">
        <v>287</v>
      </c>
      <c r="B1090" s="0" t="n">
        <v>4</v>
      </c>
      <c r="C1090" s="0" t="str">
        <f aca="false">IF('Young Innovators Kits'!C406="","",'Young Innovators Kits'!C406)</f>
        <v>Resistor 10k ohm</v>
      </c>
      <c r="D1090" s="0" t="n">
        <f aca="false">IF('Young Innovators Kits'!D406="","",'Young Innovators Kits'!D406)</f>
        <v>2</v>
      </c>
      <c r="E1090" s="0" t="str">
        <f aca="false">IF('Young Innovators Kits'!E406="","",'Young Innovators Kits'!E406)</f>
        <v>Per group</v>
      </c>
      <c r="F1090" s="0" t="str">
        <f aca="false">IFERROR(INDEX('Session Tracker'!$M$5:$M$149,MATCH($A1090,'Session Tracker'!$D$5:$D$149,0))+0,"")</f>
        <v/>
      </c>
      <c r="G1090" s="0" t="str">
        <f aca="false">IF(ISNUMBER(F1090),IF(OR(B1090=0,B1090=99,C1090&lt;&gt;""),F1090*100+B1090,""),"")</f>
        <v/>
      </c>
      <c r="H1090" s="0" t="n">
        <f aca="false">IFERROR(INDEX('Session Tracker'!$J$5:$J$149,MATCH($A1090,'Session Tracker'!$D$5:$D$149,0)),0)</f>
        <v>8</v>
      </c>
      <c r="I1090" s="0" t="n">
        <f aca="false">IF(OR(B1090=0,B1090=99,C1090=""),"",IF(E1090="Per class",D1090,D1090*H1090))</f>
        <v>16</v>
      </c>
      <c r="N1090" s="0" t="str">
        <f aca="false">IF('Young Innovators Kits'!B406="","",'Young Innovators Kits'!B406)</f>
        <v>Passive Components &amp; ICs</v>
      </c>
      <c r="O1090" s="0" t="str">
        <f aca="false">IF('Young Innovators Kits'!F406="","",'Young Innovators Kits'!F406)</f>
        <v>Consumable</v>
      </c>
      <c r="P1090" s="0" t="str">
        <f aca="false">IF('Young Innovators Kits'!G406="","",'Young Innovators Kits'!G406)</f>
        <v/>
      </c>
    </row>
    <row r="1091" customFormat="false" ht="15" hidden="false" customHeight="false" outlineLevel="0" collapsed="false">
      <c r="A1091" s="0" t="s">
        <v>287</v>
      </c>
      <c r="B1091" s="0" t="n">
        <v>5</v>
      </c>
      <c r="C1091" s="0" t="str">
        <f aca="false">IF('Young Innovators Kits'!C407="","",'Young Innovators Kits'!C407)</f>
        <v>MPU6050 IMU</v>
      </c>
      <c r="D1091" s="0" t="n">
        <f aca="false">IF('Young Innovators Kits'!D407="","",'Young Innovators Kits'!D407)</f>
        <v>1</v>
      </c>
      <c r="E1091" s="0" t="str">
        <f aca="false">IF('Young Innovators Kits'!E407="","",'Young Innovators Kits'!E407)</f>
        <v>Per group</v>
      </c>
      <c r="F1091" s="0" t="str">
        <f aca="false">IFERROR(INDEX('Session Tracker'!$M$5:$M$149,MATCH($A1091,'Session Tracker'!$D$5:$D$149,0))+0,"")</f>
        <v/>
      </c>
      <c r="G1091" s="0" t="str">
        <f aca="false">IF(ISNUMBER(F1091),IF(OR(B1091=0,B1091=99,C1091&lt;&gt;""),F1091*100+B1091,""),"")</f>
        <v/>
      </c>
      <c r="H1091" s="0" t="n">
        <f aca="false">IFERROR(INDEX('Session Tracker'!$J$5:$J$149,MATCH($A1091,'Session Tracker'!$D$5:$D$149,0)),0)</f>
        <v>8</v>
      </c>
      <c r="I1091" s="0" t="n">
        <f aca="false">IF(OR(B1091=0,B1091=99,C1091=""),"",IF(E1091="Per class",D1091,D1091*H1091))</f>
        <v>8</v>
      </c>
      <c r="N1091" s="0" t="str">
        <f aca="false">IF('Young Innovators Kits'!B407="","",'Young Innovators Kits'!B407)</f>
        <v>Sensors</v>
      </c>
      <c r="O1091" s="0" t="str">
        <f aca="false">IF('Young Innovators Kits'!F407="","",'Young Innovators Kits'!F407)</f>
        <v>Reusable</v>
      </c>
      <c r="P1091" s="0" t="str">
        <f aca="false">IF('Young Innovators Kits'!G407="","",'Young Innovators Kits'!G407)</f>
        <v/>
      </c>
    </row>
    <row r="1092" customFormat="false" ht="15" hidden="false" customHeight="false" outlineLevel="0" collapsed="false">
      <c r="A1092" s="0" t="s">
        <v>287</v>
      </c>
      <c r="B1092" s="0" t="n">
        <v>6</v>
      </c>
      <c r="C1092" s="0" t="str">
        <f aca="false">IF('Young Innovators Kits'!C408="","",'Young Innovators Kits'!C408)</f>
        <v>Breadboard (half size)</v>
      </c>
      <c r="D1092" s="0" t="n">
        <f aca="false">IF('Young Innovators Kits'!D408="","",'Young Innovators Kits'!D408)</f>
        <v>1</v>
      </c>
      <c r="E1092" s="0" t="str">
        <f aca="false">IF('Young Innovators Kits'!E408="","",'Young Innovators Kits'!E408)</f>
        <v>Per group</v>
      </c>
      <c r="F1092" s="0" t="str">
        <f aca="false">IFERROR(INDEX('Session Tracker'!$M$5:$M$149,MATCH($A1092,'Session Tracker'!$D$5:$D$149,0))+0,"")</f>
        <v/>
      </c>
      <c r="G1092" s="0" t="str">
        <f aca="false">IF(ISNUMBER(F1092),IF(OR(B1092=0,B1092=99,C1092&lt;&gt;""),F1092*100+B1092,""),"")</f>
        <v/>
      </c>
      <c r="H1092" s="0" t="n">
        <f aca="false">IFERROR(INDEX('Session Tracker'!$J$5:$J$149,MATCH($A1092,'Session Tracker'!$D$5:$D$149,0)),0)</f>
        <v>8</v>
      </c>
      <c r="I1092" s="0" t="n">
        <f aca="false">IF(OR(B1092=0,B1092=99,C1092=""),"",IF(E1092="Per class",D1092,D1092*H1092))</f>
        <v>8</v>
      </c>
      <c r="N1092" s="0" t="str">
        <f aca="false">IF('Young Innovators Kits'!B408="","",'Young Innovators Kits'!B408)</f>
        <v>Wiring &amp; Prototyping</v>
      </c>
      <c r="O1092" s="0" t="str">
        <f aca="false">IF('Young Innovators Kits'!F408="","",'Young Innovators Kits'!F408)</f>
        <v>Reusable</v>
      </c>
      <c r="P1092" s="0" t="str">
        <f aca="false">IF('Young Innovators Kits'!G408="","",'Young Innovators Kits'!G408)</f>
        <v/>
      </c>
    </row>
    <row r="1093" customFormat="false" ht="15" hidden="false" customHeight="false" outlineLevel="0" collapsed="false">
      <c r="A1093" s="0" t="s">
        <v>287</v>
      </c>
      <c r="B1093" s="0" t="n">
        <v>7</v>
      </c>
      <c r="C1093" s="0" t="str">
        <f aca="false">IF('Young Innovators Kits'!C409="","",'Young Innovators Kits'!C409)</f>
        <v>Jumper wires M-M</v>
      </c>
      <c r="D1093" s="0" t="n">
        <f aca="false">IF('Young Innovators Kits'!D409="","",'Young Innovators Kits'!D409)</f>
        <v>10</v>
      </c>
      <c r="E1093" s="0" t="str">
        <f aca="false">IF('Young Innovators Kits'!E409="","",'Young Innovators Kits'!E409)</f>
        <v>Per group</v>
      </c>
      <c r="F1093" s="0" t="str">
        <f aca="false">IFERROR(INDEX('Session Tracker'!$M$5:$M$149,MATCH($A1093,'Session Tracker'!$D$5:$D$149,0))+0,"")</f>
        <v/>
      </c>
      <c r="G1093" s="0" t="str">
        <f aca="false">IF(ISNUMBER(F1093),IF(OR(B1093=0,B1093=99,C1093&lt;&gt;""),F1093*100+B1093,""),"")</f>
        <v/>
      </c>
      <c r="H1093" s="0" t="n">
        <f aca="false">IFERROR(INDEX('Session Tracker'!$J$5:$J$149,MATCH($A1093,'Session Tracker'!$D$5:$D$149,0)),0)</f>
        <v>8</v>
      </c>
      <c r="I1093" s="0" t="n">
        <f aca="false">IF(OR(B1093=0,B1093=99,C1093=""),"",IF(E1093="Per class",D1093,D1093*H1093))</f>
        <v>80</v>
      </c>
      <c r="N1093" s="0" t="str">
        <f aca="false">IF('Young Innovators Kits'!B409="","",'Young Innovators Kits'!B409)</f>
        <v>Wiring &amp; Prototyping</v>
      </c>
      <c r="O1093" s="0" t="str">
        <f aca="false">IF('Young Innovators Kits'!F409="","",'Young Innovators Kits'!F409)</f>
        <v>Reusable</v>
      </c>
      <c r="P1093" s="0" t="str">
        <f aca="false">IF('Young Innovators Kits'!G409="","",'Young Innovators Kits'!G409)</f>
        <v/>
      </c>
    </row>
    <row r="1094" customFormat="false" ht="15" hidden="false" customHeight="false" outlineLevel="0" collapsed="false">
      <c r="A1094" s="0" t="s">
        <v>287</v>
      </c>
      <c r="B1094" s="0" t="n">
        <v>8</v>
      </c>
      <c r="C1094" s="0" t="str">
        <f aca="false">IF('Young Innovators Kits'!C410="","",'Young Innovators Kits'!C410)</f>
        <v>Jumper wires M-F</v>
      </c>
      <c r="D1094" s="0" t="n">
        <f aca="false">IF('Young Innovators Kits'!D410="","",'Young Innovators Kits'!D410)</f>
        <v>9</v>
      </c>
      <c r="E1094" s="0" t="str">
        <f aca="false">IF('Young Innovators Kits'!E410="","",'Young Innovators Kits'!E410)</f>
        <v>Per group</v>
      </c>
      <c r="F1094" s="0" t="str">
        <f aca="false">IFERROR(INDEX('Session Tracker'!$M$5:$M$149,MATCH($A1094,'Session Tracker'!$D$5:$D$149,0))+0,"")</f>
        <v/>
      </c>
      <c r="G1094" s="0" t="str">
        <f aca="false">IF(ISNUMBER(F1094),IF(OR(B1094=0,B1094=99,C1094&lt;&gt;""),F1094*100+B1094,""),"")</f>
        <v/>
      </c>
      <c r="H1094" s="0" t="n">
        <f aca="false">IFERROR(INDEX('Session Tracker'!$J$5:$J$149,MATCH($A1094,'Session Tracker'!$D$5:$D$149,0)),0)</f>
        <v>8</v>
      </c>
      <c r="I1094" s="0" t="n">
        <f aca="false">IF(OR(B1094=0,B1094=99,C1094=""),"",IF(E1094="Per class",D1094,D1094*H1094))</f>
        <v>72</v>
      </c>
      <c r="N1094" s="0" t="str">
        <f aca="false">IF('Young Innovators Kits'!B410="","",'Young Innovators Kits'!B410)</f>
        <v>Wiring &amp; Prototyping</v>
      </c>
      <c r="O1094" s="0" t="str">
        <f aca="false">IF('Young Innovators Kits'!F410="","",'Young Innovators Kits'!F410)</f>
        <v>Reusable</v>
      </c>
      <c r="P1094" s="0" t="str">
        <f aca="false">IF('Young Innovators Kits'!G410="","",'Young Innovators Kits'!G410)</f>
        <v/>
      </c>
    </row>
    <row r="1095" customFormat="false" ht="15" hidden="false" customHeight="false" outlineLevel="0" collapsed="false">
      <c r="A1095" s="0" t="s">
        <v>287</v>
      </c>
      <c r="B1095" s="0" t="n">
        <v>9</v>
      </c>
      <c r="C1095" s="0" t="str">
        <f aca="false">IF('Young Innovators Kits'!C411="","",'Young Innovators Kits'!C411)</f>
        <v>Laptop</v>
      </c>
      <c r="D1095" s="0" t="n">
        <f aca="false">IF('Young Innovators Kits'!D411="","",'Young Innovators Kits'!D411)</f>
        <v>1</v>
      </c>
      <c r="E1095" s="0" t="str">
        <f aca="false">IF('Young Innovators Kits'!E411="","",'Young Innovators Kits'!E411)</f>
        <v>Per group</v>
      </c>
      <c r="F1095" s="0" t="str">
        <f aca="false">IFERROR(INDEX('Session Tracker'!$M$5:$M$149,MATCH($A1095,'Session Tracker'!$D$5:$D$149,0))+0,"")</f>
        <v/>
      </c>
      <c r="G1095" s="0" t="str">
        <f aca="false">IF(ISNUMBER(F1095),IF(OR(B1095=0,B1095=99,C1095&lt;&gt;""),F1095*100+B1095,""),"")</f>
        <v/>
      </c>
      <c r="H1095" s="0" t="n">
        <f aca="false">IFERROR(INDEX('Session Tracker'!$J$5:$J$149,MATCH($A1095,'Session Tracker'!$D$5:$D$149,0)),0)</f>
        <v>8</v>
      </c>
      <c r="I1095" s="0" t="n">
        <f aca="false">IF(OR(B1095=0,B1095=99,C1095=""),"",IF(E1095="Per class",D1095,D1095*H1095))</f>
        <v>8</v>
      </c>
      <c r="N1095" s="0" t="str">
        <f aca="false">IF('Young Innovators Kits'!B411="","",'Young Innovators Kits'!B411)</f>
        <v>Computers &amp; Equipment</v>
      </c>
      <c r="O1095" s="0" t="str">
        <f aca="false">IF('Young Innovators Kits'!F411="","",'Young Innovators Kits'!F411)</f>
        <v>Reusable</v>
      </c>
      <c r="P1095" s="0" t="str">
        <f aca="false">IF('Young Innovators Kits'!G411="","",'Young Innovators Kits'!G411)</f>
        <v/>
      </c>
    </row>
    <row r="1096" customFormat="false" ht="15" hidden="false" customHeight="false" outlineLevel="0" collapsed="false">
      <c r="A1096" s="0" t="s">
        <v>287</v>
      </c>
      <c r="B1096" s="0" t="n">
        <v>10</v>
      </c>
      <c r="C1096" s="0" t="str">
        <f aca="false">IF('Young Innovators Kits'!C412="","",'Young Innovators Kits'!C412)</f>
        <v>LED 5 mm (assorted)</v>
      </c>
      <c r="D1096" s="0" t="n">
        <f aca="false">IF('Young Innovators Kits'!D412="","",'Young Innovators Kits'!D412)</f>
        <v>1</v>
      </c>
      <c r="E1096" s="0" t="str">
        <f aca="false">IF('Young Innovators Kits'!E412="","",'Young Innovators Kits'!E412)</f>
        <v>Per group</v>
      </c>
      <c r="F1096" s="0" t="str">
        <f aca="false">IFERROR(INDEX('Session Tracker'!$M$5:$M$149,MATCH($A1096,'Session Tracker'!$D$5:$D$149,0))+0,"")</f>
        <v/>
      </c>
      <c r="G1096" s="0" t="str">
        <f aca="false">IF(ISNUMBER(F1096),IF(OR(B1096=0,B1096=99,C1096&lt;&gt;""),F1096*100+B1096,""),"")</f>
        <v/>
      </c>
      <c r="H1096" s="0" t="n">
        <f aca="false">IFERROR(INDEX('Session Tracker'!$J$5:$J$149,MATCH($A1096,'Session Tracker'!$D$5:$D$149,0)),0)</f>
        <v>8</v>
      </c>
      <c r="I1096" s="0" t="n">
        <f aca="false">IF(OR(B1096=0,B1096=99,C1096=""),"",IF(E1096="Per class",D1096,D1096*H1096))</f>
        <v>8</v>
      </c>
      <c r="N1096" s="0" t="str">
        <f aca="false">IF('Young Innovators Kits'!B412="","",'Young Innovators Kits'!B412)</f>
        <v>Displays &amp; Output</v>
      </c>
      <c r="O1096" s="0" t="str">
        <f aca="false">IF('Young Innovators Kits'!F412="","",'Young Innovators Kits'!F412)</f>
        <v>Consumable</v>
      </c>
      <c r="P1096" s="0" t="str">
        <f aca="false">IF('Young Innovators Kits'!G412="","",'Young Innovators Kits'!G412)</f>
        <v>Added: every Arduino class</v>
      </c>
    </row>
    <row r="1097" customFormat="false" ht="15" hidden="false" customHeight="false" outlineLevel="0" collapsed="false">
      <c r="A1097" s="0" t="s">
        <v>287</v>
      </c>
      <c r="B1097" s="0" t="n">
        <v>11</v>
      </c>
      <c r="C1097" s="0" t="str">
        <f aca="false">IF('Young Innovators Kits'!C413="","",'Young Innovators Kits'!C413)</f>
        <v>Resistor 220 ohm</v>
      </c>
      <c r="D1097" s="0" t="n">
        <f aca="false">IF('Young Innovators Kits'!D413="","",'Young Innovators Kits'!D413)</f>
        <v>1</v>
      </c>
      <c r="E1097" s="0" t="str">
        <f aca="false">IF('Young Innovators Kits'!E413="","",'Young Innovators Kits'!E413)</f>
        <v>Per group</v>
      </c>
      <c r="F1097" s="0" t="str">
        <f aca="false">IFERROR(INDEX('Session Tracker'!$M$5:$M$149,MATCH($A1097,'Session Tracker'!$D$5:$D$149,0))+0,"")</f>
        <v/>
      </c>
      <c r="G1097" s="0" t="str">
        <f aca="false">IF(ISNUMBER(F1097),IF(OR(B1097=0,B1097=99,C1097&lt;&gt;""),F1097*100+B1097,""),"")</f>
        <v/>
      </c>
      <c r="H1097" s="0" t="n">
        <f aca="false">IFERROR(INDEX('Session Tracker'!$J$5:$J$149,MATCH($A1097,'Session Tracker'!$D$5:$D$149,0)),0)</f>
        <v>8</v>
      </c>
      <c r="I1097" s="0" t="n">
        <f aca="false">IF(OR(B1097=0,B1097=99,C1097=""),"",IF(E1097="Per class",D1097,D1097*H1097))</f>
        <v>8</v>
      </c>
      <c r="N1097" s="0" t="str">
        <f aca="false">IF('Young Innovators Kits'!B413="","",'Young Innovators Kits'!B413)</f>
        <v>Passive Components &amp; ICs</v>
      </c>
      <c r="O1097" s="0" t="str">
        <f aca="false">IF('Young Innovators Kits'!F413="","",'Young Innovators Kits'!F413)</f>
        <v>Consumable</v>
      </c>
      <c r="P1097" s="0" t="str">
        <f aca="false">IF('Young Innovators Kits'!G413="","",'Young Innovators Kits'!G413)</f>
        <v>Added: for the LED</v>
      </c>
    </row>
    <row r="1098" customFormat="false" ht="15" hidden="false" customHeight="false" outlineLevel="0" collapsed="false">
      <c r="A1098" s="0" t="s">
        <v>287</v>
      </c>
      <c r="B1098" s="0" t="n">
        <v>12</v>
      </c>
      <c r="C1098" s="0" t="str">
        <f aca="false">IF('Young Innovators Kits'!C414="","",'Young Innovators Kits'!C414)</f>
        <v>Buzzer</v>
      </c>
      <c r="D1098" s="0" t="n">
        <f aca="false">IF('Young Innovators Kits'!D414="","",'Young Innovators Kits'!D414)</f>
        <v>1</v>
      </c>
      <c r="E1098" s="0" t="str">
        <f aca="false">IF('Young Innovators Kits'!E414="","",'Young Innovators Kits'!E414)</f>
        <v>Per group</v>
      </c>
      <c r="F1098" s="0" t="str">
        <f aca="false">IFERROR(INDEX('Session Tracker'!$M$5:$M$149,MATCH($A1098,'Session Tracker'!$D$5:$D$149,0))+0,"")</f>
        <v/>
      </c>
      <c r="G1098" s="0" t="str">
        <f aca="false">IF(ISNUMBER(F1098),IF(OR(B1098=0,B1098=99,C1098&lt;&gt;""),F1098*100+B1098,""),"")</f>
        <v/>
      </c>
      <c r="H1098" s="0" t="n">
        <f aca="false">IFERROR(INDEX('Session Tracker'!$J$5:$J$149,MATCH($A1098,'Session Tracker'!$D$5:$D$149,0)),0)</f>
        <v>8</v>
      </c>
      <c r="I1098" s="0" t="n">
        <f aca="false">IF(OR(B1098=0,B1098=99,C1098=""),"",IF(E1098="Per class",D1098,D1098*H1098))</f>
        <v>8</v>
      </c>
      <c r="N1098" s="0" t="str">
        <f aca="false">IF('Young Innovators Kits'!B414="","",'Young Innovators Kits'!B414)</f>
        <v>Actuators &amp; Motor Drivers</v>
      </c>
      <c r="O1098" s="0" t="str">
        <f aca="false">IF('Young Innovators Kits'!F414="","",'Young Innovators Kits'!F414)</f>
        <v>Reusable</v>
      </c>
      <c r="P1098" s="0" t="str">
        <f aca="false">IF('Young Innovators Kits'!G414="","",'Young Innovators Kits'!G414)</f>
        <v>Added: every Arduino class</v>
      </c>
    </row>
    <row r="1099" customFormat="false" ht="15" hidden="false" customHeight="false" outlineLevel="0" collapsed="false">
      <c r="A1099" s="0" t="s">
        <v>287</v>
      </c>
      <c r="B1099" s="0" t="n">
        <v>13</v>
      </c>
      <c r="C1099" s="0" t="str">
        <f aca="false">IF('Young Innovators Kits'!C415="","",'Young Innovators Kits'!C415)</f>
        <v/>
      </c>
      <c r="D1099" s="0" t="str">
        <f aca="false">IF('Young Innovators Kits'!D415="","",'Young Innovators Kits'!D415)</f>
        <v/>
      </c>
      <c r="E1099" s="0" t="str">
        <f aca="false">IF('Young Innovators Kits'!E415="","",'Young Innovators Kits'!E415)</f>
        <v/>
      </c>
      <c r="F1099" s="0" t="str">
        <f aca="false">IFERROR(INDEX('Session Tracker'!$M$5:$M$149,MATCH($A1099,'Session Tracker'!$D$5:$D$149,0))+0,"")</f>
        <v/>
      </c>
      <c r="G1099" s="0" t="str">
        <f aca="false">IF(ISNUMBER(F1099),IF(OR(B1099=0,B1099=99,C1099&lt;&gt;""),F1099*100+B1099,""),"")</f>
        <v/>
      </c>
      <c r="H1099" s="0" t="n">
        <f aca="false">IFERROR(INDEX('Session Tracker'!$J$5:$J$149,MATCH($A1099,'Session Tracker'!$D$5:$D$149,0)),0)</f>
        <v>8</v>
      </c>
      <c r="I1099" s="0" t="str">
        <f aca="false">IF(OR(B1099=0,B1099=99,C1099=""),"",IF(E1099="Per class",D1099,D1099*H1099))</f>
        <v/>
      </c>
      <c r="N1099" s="0" t="str">
        <f aca="false">IF('Young Innovators Kits'!B415="","",'Young Innovators Kits'!B415)</f>
        <v/>
      </c>
      <c r="O1099" s="0" t="str">
        <f aca="false">IF('Young Innovators Kits'!F415="","",'Young Innovators Kits'!F415)</f>
        <v/>
      </c>
      <c r="P1099" s="0" t="str">
        <f aca="false">IF('Young Innovators Kits'!G415="","",'Young Innovators Kits'!G415)</f>
        <v/>
      </c>
    </row>
    <row r="1100" customFormat="false" ht="15" hidden="false" customHeight="false" outlineLevel="0" collapsed="false">
      <c r="A1100" s="0" t="s">
        <v>287</v>
      </c>
      <c r="B1100" s="0" t="n">
        <v>14</v>
      </c>
      <c r="C1100" s="0" t="str">
        <f aca="false">IF('Young Innovators Kits'!C416="","",'Young Innovators Kits'!C416)</f>
        <v/>
      </c>
      <c r="D1100" s="0" t="str">
        <f aca="false">IF('Young Innovators Kits'!D416="","",'Young Innovators Kits'!D416)</f>
        <v/>
      </c>
      <c r="E1100" s="0" t="str">
        <f aca="false">IF('Young Innovators Kits'!E416="","",'Young Innovators Kits'!E416)</f>
        <v/>
      </c>
      <c r="F1100" s="0" t="str">
        <f aca="false">IFERROR(INDEX('Session Tracker'!$M$5:$M$149,MATCH($A1100,'Session Tracker'!$D$5:$D$149,0))+0,"")</f>
        <v/>
      </c>
      <c r="G1100" s="0" t="str">
        <f aca="false">IF(ISNUMBER(F1100),IF(OR(B1100=0,B1100=99,C1100&lt;&gt;""),F1100*100+B1100,""),"")</f>
        <v/>
      </c>
      <c r="H1100" s="0" t="n">
        <f aca="false">IFERROR(INDEX('Session Tracker'!$J$5:$J$149,MATCH($A1100,'Session Tracker'!$D$5:$D$149,0)),0)</f>
        <v>8</v>
      </c>
      <c r="I1100" s="0" t="str">
        <f aca="false">IF(OR(B1100=0,B1100=99,C1100=""),"",IF(E1100="Per class",D1100,D1100*H1100))</f>
        <v/>
      </c>
      <c r="N1100" s="0" t="str">
        <f aca="false">IF('Young Innovators Kits'!B416="","",'Young Innovators Kits'!B416)</f>
        <v/>
      </c>
      <c r="O1100" s="0" t="str">
        <f aca="false">IF('Young Innovators Kits'!F416="","",'Young Innovators Kits'!F416)</f>
        <v/>
      </c>
      <c r="P1100" s="0" t="str">
        <f aca="false">IF('Young Innovators Kits'!G416="","",'Young Innovators Kits'!G416)</f>
        <v/>
      </c>
    </row>
    <row r="1101" customFormat="false" ht="15" hidden="false" customHeight="false" outlineLevel="0" collapsed="false">
      <c r="A1101" s="0" t="s">
        <v>290</v>
      </c>
      <c r="B1101" s="0" t="n">
        <v>0</v>
      </c>
      <c r="F1101" s="0" t="str">
        <f aca="false">IFERROR(INDEX('Session Tracker'!$M$5:$M$149,MATCH($A1101,'Session Tracker'!$D$5:$D$149,0))+0,"")</f>
        <v/>
      </c>
      <c r="G1101" s="0" t="str">
        <f aca="false">IF(ISNUMBER(F1101),IF(OR(B1101=0,B1101=99,C1101&lt;&gt;""),F1101*100+B1101,""),"")</f>
        <v/>
      </c>
      <c r="H1101" s="0" t="n">
        <f aca="false">IFERROR(INDEX('Session Tracker'!$J$5:$J$149,MATCH($A1101,'Session Tracker'!$D$5:$D$149,0)),0)</f>
        <v>8</v>
      </c>
      <c r="I1101" s="0" t="str">
        <f aca="false">IF(OR(B1101=0,B1101=99,C1101=""),"",IF(E1101="Per class",D1101,D1101*H1101))</f>
        <v/>
      </c>
      <c r="K1101" s="0" t="str">
        <f aca="false">IFERROR(INDEX('Session Tracker'!$E$5:$E$149,MATCH($A1101,'Session Tracker'!$D$5:$D$149,0)),"")</f>
        <v>Welcome to Robotics (Distance Alarm)</v>
      </c>
      <c r="L1101" s="0" t="str">
        <f aca="false">IFERROR(INDEX('Session Tracker'!$A$5:$A$149,MATCH($A1101,'Session Tracker'!$D$5:$D$149,0)),"")</f>
        <v>Tech Leaders (15-17)</v>
      </c>
      <c r="M1101" s="0" t="str">
        <f aca="false">IFERROR(INDEX('Session Tracker'!$H$5:$H$149,MATCH($A1101,'Session Tracker'!$D$5:$D$149,0))&amp;"","")</f>
        <v/>
      </c>
      <c r="Q1101" s="0" t="str">
        <f aca="false">IFERROR("Status: "&amp;INDEX('Session Tracker'!$F$5:$F$149,MATCH($A1101,'Session Tracker'!$D$5:$D$149,0))&amp;IF(INDEX('Session Tracker'!$G$5:$G$149,MATCH($A1101,'Session Tracker'!$D$5:$D$149,0))&lt;&gt;""," ("&amp;INDEX('Session Tracker'!$G$5:$G$149,MATCH($A1101,'Session Tracker'!$D$5:$D$149,0))&amp;")","")&amp;IF(M1101&lt;&gt;"","  "&amp;M1101,""),"")</f>
        <v>Status: Not started</v>
      </c>
    </row>
    <row r="1102" customFormat="false" ht="15" hidden="false" customHeight="false" outlineLevel="0" collapsed="false">
      <c r="A1102" s="0" t="s">
        <v>290</v>
      </c>
      <c r="B1102" s="0" t="n">
        <v>1</v>
      </c>
      <c r="C1102" s="0" t="str">
        <f aca="false">IF('Tech Leaders Kits'!C6="","",'Tech Leaders Kits'!C6)</f>
        <v>Arduino Uno + USB cable</v>
      </c>
      <c r="D1102" s="0" t="n">
        <f aca="false">IF('Tech Leaders Kits'!D6="","",'Tech Leaders Kits'!D6)</f>
        <v>1</v>
      </c>
      <c r="E1102" s="0" t="str">
        <f aca="false">IF('Tech Leaders Kits'!E6="","",'Tech Leaders Kits'!E6)</f>
        <v>Per group</v>
      </c>
      <c r="F1102" s="0" t="str">
        <f aca="false">IFERROR(INDEX('Session Tracker'!$M$5:$M$149,MATCH($A1102,'Session Tracker'!$D$5:$D$149,0))+0,"")</f>
        <v/>
      </c>
      <c r="G1102" s="0" t="str">
        <f aca="false">IF(ISNUMBER(F1102),IF(OR(B1102=0,B1102=99,C1102&lt;&gt;""),F1102*100+B1102,""),"")</f>
        <v/>
      </c>
      <c r="H1102" s="0" t="n">
        <f aca="false">IFERROR(INDEX('Session Tracker'!$J$5:$J$149,MATCH($A1102,'Session Tracker'!$D$5:$D$149,0)),0)</f>
        <v>8</v>
      </c>
      <c r="I1102" s="0" t="n">
        <f aca="false">IF(OR(B1102=0,B1102=99,C1102=""),"",IF(E1102="Per class",D1102,D1102*H1102))</f>
        <v>8</v>
      </c>
      <c r="N1102" s="0" t="str">
        <f aca="false">IF('Tech Leaders Kits'!B6="","",'Tech Leaders Kits'!B6)</f>
        <v>Microcontrollers &amp; Dev Boards</v>
      </c>
      <c r="O1102" s="0" t="str">
        <f aca="false">IF('Tech Leaders Kits'!F6="","",'Tech Leaders Kits'!F6)</f>
        <v>Reusable</v>
      </c>
      <c r="P1102" s="0" t="str">
        <f aca="false">IF('Tech Leaders Kits'!G6="","",'Tech Leaders Kits'!G6)</f>
        <v/>
      </c>
    </row>
    <row r="1103" customFormat="false" ht="15" hidden="false" customHeight="false" outlineLevel="0" collapsed="false">
      <c r="A1103" s="0" t="s">
        <v>290</v>
      </c>
      <c r="B1103" s="0" t="n">
        <v>2</v>
      </c>
      <c r="C1103" s="0" t="str">
        <f aca="false">IF('Tech Leaders Kits'!C7="","",'Tech Leaders Kits'!C7)</f>
        <v>Ultrasonic sensor HC-SR04</v>
      </c>
      <c r="D1103" s="0" t="n">
        <f aca="false">IF('Tech Leaders Kits'!D7="","",'Tech Leaders Kits'!D7)</f>
        <v>1</v>
      </c>
      <c r="E1103" s="0" t="str">
        <f aca="false">IF('Tech Leaders Kits'!E7="","",'Tech Leaders Kits'!E7)</f>
        <v>Per group</v>
      </c>
      <c r="F1103" s="0" t="str">
        <f aca="false">IFERROR(INDEX('Session Tracker'!$M$5:$M$149,MATCH($A1103,'Session Tracker'!$D$5:$D$149,0))+0,"")</f>
        <v/>
      </c>
      <c r="G1103" s="0" t="str">
        <f aca="false">IF(ISNUMBER(F1103),IF(OR(B1103=0,B1103=99,C1103&lt;&gt;""),F1103*100+B1103,""),"")</f>
        <v/>
      </c>
      <c r="H1103" s="0" t="n">
        <f aca="false">IFERROR(INDEX('Session Tracker'!$J$5:$J$149,MATCH($A1103,'Session Tracker'!$D$5:$D$149,0)),0)</f>
        <v>8</v>
      </c>
      <c r="I1103" s="0" t="n">
        <f aca="false">IF(OR(B1103=0,B1103=99,C1103=""),"",IF(E1103="Per class",D1103,D1103*H1103))</f>
        <v>8</v>
      </c>
      <c r="N1103" s="0" t="str">
        <f aca="false">IF('Tech Leaders Kits'!B7="","",'Tech Leaders Kits'!B7)</f>
        <v>Sensors</v>
      </c>
      <c r="O1103" s="0" t="str">
        <f aca="false">IF('Tech Leaders Kits'!F7="","",'Tech Leaders Kits'!F7)</f>
        <v>Reusable</v>
      </c>
      <c r="P1103" s="0" t="str">
        <f aca="false">IF('Tech Leaders Kits'!G7="","",'Tech Leaders Kits'!G7)</f>
        <v/>
      </c>
    </row>
    <row r="1104" customFormat="false" ht="15" hidden="false" customHeight="false" outlineLevel="0" collapsed="false">
      <c r="A1104" s="0" t="s">
        <v>290</v>
      </c>
      <c r="B1104" s="0" t="n">
        <v>3</v>
      </c>
      <c r="C1104" s="0" t="str">
        <f aca="false">IF('Tech Leaders Kits'!C8="","",'Tech Leaders Kits'!C8)</f>
        <v>LED 5 mm (assorted)</v>
      </c>
      <c r="D1104" s="0" t="n">
        <f aca="false">IF('Tech Leaders Kits'!D8="","",'Tech Leaders Kits'!D8)</f>
        <v>1</v>
      </c>
      <c r="E1104" s="0" t="str">
        <f aca="false">IF('Tech Leaders Kits'!E8="","",'Tech Leaders Kits'!E8)</f>
        <v>Per group</v>
      </c>
      <c r="F1104" s="0" t="str">
        <f aca="false">IFERROR(INDEX('Session Tracker'!$M$5:$M$149,MATCH($A1104,'Session Tracker'!$D$5:$D$149,0))+0,"")</f>
        <v/>
      </c>
      <c r="G1104" s="0" t="str">
        <f aca="false">IF(ISNUMBER(F1104),IF(OR(B1104=0,B1104=99,C1104&lt;&gt;""),F1104*100+B1104,""),"")</f>
        <v/>
      </c>
      <c r="H1104" s="0" t="n">
        <f aca="false">IFERROR(INDEX('Session Tracker'!$J$5:$J$149,MATCH($A1104,'Session Tracker'!$D$5:$D$149,0)),0)</f>
        <v>8</v>
      </c>
      <c r="I1104" s="0" t="n">
        <f aca="false">IF(OR(B1104=0,B1104=99,C1104=""),"",IF(E1104="Per class",D1104,D1104*H1104))</f>
        <v>8</v>
      </c>
      <c r="N1104" s="0" t="str">
        <f aca="false">IF('Tech Leaders Kits'!B8="","",'Tech Leaders Kits'!B8)</f>
        <v>Displays &amp; Output</v>
      </c>
      <c r="O1104" s="0" t="str">
        <f aca="false">IF('Tech Leaders Kits'!F8="","",'Tech Leaders Kits'!F8)</f>
        <v>Consumable</v>
      </c>
      <c r="P1104" s="0" t="str">
        <f aca="false">IF('Tech Leaders Kits'!G8="","",'Tech Leaders Kits'!G8)</f>
        <v>Red</v>
      </c>
    </row>
    <row r="1105" customFormat="false" ht="15" hidden="false" customHeight="false" outlineLevel="0" collapsed="false">
      <c r="A1105" s="0" t="s">
        <v>290</v>
      </c>
      <c r="B1105" s="0" t="n">
        <v>4</v>
      </c>
      <c r="C1105" s="0" t="str">
        <f aca="false">IF('Tech Leaders Kits'!C9="","",'Tech Leaders Kits'!C9)</f>
        <v>Resistor 220 ohm</v>
      </c>
      <c r="D1105" s="0" t="n">
        <f aca="false">IF('Tech Leaders Kits'!D9="","",'Tech Leaders Kits'!D9)</f>
        <v>1</v>
      </c>
      <c r="E1105" s="0" t="str">
        <f aca="false">IF('Tech Leaders Kits'!E9="","",'Tech Leaders Kits'!E9)</f>
        <v>Per group</v>
      </c>
      <c r="F1105" s="0" t="str">
        <f aca="false">IFERROR(INDEX('Session Tracker'!$M$5:$M$149,MATCH($A1105,'Session Tracker'!$D$5:$D$149,0))+0,"")</f>
        <v/>
      </c>
      <c r="G1105" s="0" t="str">
        <f aca="false">IF(ISNUMBER(F1105),IF(OR(B1105=0,B1105=99,C1105&lt;&gt;""),F1105*100+B1105,""),"")</f>
        <v/>
      </c>
      <c r="H1105" s="0" t="n">
        <f aca="false">IFERROR(INDEX('Session Tracker'!$J$5:$J$149,MATCH($A1105,'Session Tracker'!$D$5:$D$149,0)),0)</f>
        <v>8</v>
      </c>
      <c r="I1105" s="0" t="n">
        <f aca="false">IF(OR(B1105=0,B1105=99,C1105=""),"",IF(E1105="Per class",D1105,D1105*H1105))</f>
        <v>8</v>
      </c>
      <c r="N1105" s="0" t="str">
        <f aca="false">IF('Tech Leaders Kits'!B9="","",'Tech Leaders Kits'!B9)</f>
        <v>Passive Components &amp; ICs</v>
      </c>
      <c r="O1105" s="0" t="str">
        <f aca="false">IF('Tech Leaders Kits'!F9="","",'Tech Leaders Kits'!F9)</f>
        <v>Consumable</v>
      </c>
      <c r="P1105" s="0" t="str">
        <f aca="false">IF('Tech Leaders Kits'!G9="","",'Tech Leaders Kits'!G9)</f>
        <v/>
      </c>
    </row>
    <row r="1106" customFormat="false" ht="15" hidden="false" customHeight="false" outlineLevel="0" collapsed="false">
      <c r="A1106" s="0" t="s">
        <v>290</v>
      </c>
      <c r="B1106" s="0" t="n">
        <v>5</v>
      </c>
      <c r="C1106" s="0" t="str">
        <f aca="false">IF('Tech Leaders Kits'!C10="","",'Tech Leaders Kits'!C10)</f>
        <v>Buzzer</v>
      </c>
      <c r="D1106" s="0" t="n">
        <f aca="false">IF('Tech Leaders Kits'!D10="","",'Tech Leaders Kits'!D10)</f>
        <v>1</v>
      </c>
      <c r="E1106" s="0" t="str">
        <f aca="false">IF('Tech Leaders Kits'!E10="","",'Tech Leaders Kits'!E10)</f>
        <v>Per group</v>
      </c>
      <c r="F1106" s="0" t="str">
        <f aca="false">IFERROR(INDEX('Session Tracker'!$M$5:$M$149,MATCH($A1106,'Session Tracker'!$D$5:$D$149,0))+0,"")</f>
        <v/>
      </c>
      <c r="G1106" s="0" t="str">
        <f aca="false">IF(ISNUMBER(F1106),IF(OR(B1106=0,B1106=99,C1106&lt;&gt;""),F1106*100+B1106,""),"")</f>
        <v/>
      </c>
      <c r="H1106" s="0" t="n">
        <f aca="false">IFERROR(INDEX('Session Tracker'!$J$5:$J$149,MATCH($A1106,'Session Tracker'!$D$5:$D$149,0)),0)</f>
        <v>8</v>
      </c>
      <c r="I1106" s="0" t="n">
        <f aca="false">IF(OR(B1106=0,B1106=99,C1106=""),"",IF(E1106="Per class",D1106,D1106*H1106))</f>
        <v>8</v>
      </c>
      <c r="N1106" s="0" t="str">
        <f aca="false">IF('Tech Leaders Kits'!B10="","",'Tech Leaders Kits'!B10)</f>
        <v>Actuators &amp; Motor Drivers</v>
      </c>
      <c r="O1106" s="0" t="str">
        <f aca="false">IF('Tech Leaders Kits'!F10="","",'Tech Leaders Kits'!F10)</f>
        <v>Reusable</v>
      </c>
      <c r="P1106" s="0" t="str">
        <f aca="false">IF('Tech Leaders Kits'!G10="","",'Tech Leaders Kits'!G10)</f>
        <v/>
      </c>
    </row>
    <row r="1107" customFormat="false" ht="15" hidden="false" customHeight="false" outlineLevel="0" collapsed="false">
      <c r="A1107" s="0" t="s">
        <v>290</v>
      </c>
      <c r="B1107" s="0" t="n">
        <v>6</v>
      </c>
      <c r="C1107" s="0" t="str">
        <f aca="false">IF('Tech Leaders Kits'!C11="","",'Tech Leaders Kits'!C11)</f>
        <v>Breadboard (half size)</v>
      </c>
      <c r="D1107" s="0" t="n">
        <f aca="false">IF('Tech Leaders Kits'!D11="","",'Tech Leaders Kits'!D11)</f>
        <v>1</v>
      </c>
      <c r="E1107" s="0" t="str">
        <f aca="false">IF('Tech Leaders Kits'!E11="","",'Tech Leaders Kits'!E11)</f>
        <v>Per group</v>
      </c>
      <c r="F1107" s="0" t="str">
        <f aca="false">IFERROR(INDEX('Session Tracker'!$M$5:$M$149,MATCH($A1107,'Session Tracker'!$D$5:$D$149,0))+0,"")</f>
        <v/>
      </c>
      <c r="G1107" s="0" t="str">
        <f aca="false">IF(ISNUMBER(F1107),IF(OR(B1107=0,B1107=99,C1107&lt;&gt;""),F1107*100+B1107,""),"")</f>
        <v/>
      </c>
      <c r="H1107" s="0" t="n">
        <f aca="false">IFERROR(INDEX('Session Tracker'!$J$5:$J$149,MATCH($A1107,'Session Tracker'!$D$5:$D$149,0)),0)</f>
        <v>8</v>
      </c>
      <c r="I1107" s="0" t="n">
        <f aca="false">IF(OR(B1107=0,B1107=99,C1107=""),"",IF(E1107="Per class",D1107,D1107*H1107))</f>
        <v>8</v>
      </c>
      <c r="N1107" s="0" t="str">
        <f aca="false">IF('Tech Leaders Kits'!B11="","",'Tech Leaders Kits'!B11)</f>
        <v>Wiring &amp; Prototyping</v>
      </c>
      <c r="O1107" s="0" t="str">
        <f aca="false">IF('Tech Leaders Kits'!F11="","",'Tech Leaders Kits'!F11)</f>
        <v>Reusable</v>
      </c>
      <c r="P1107" s="0" t="str">
        <f aca="false">IF('Tech Leaders Kits'!G11="","",'Tech Leaders Kits'!G11)</f>
        <v/>
      </c>
    </row>
    <row r="1108" customFormat="false" ht="15" hidden="false" customHeight="false" outlineLevel="0" collapsed="false">
      <c r="A1108" s="0" t="s">
        <v>290</v>
      </c>
      <c r="B1108" s="0" t="n">
        <v>7</v>
      </c>
      <c r="C1108" s="0" t="str">
        <f aca="false">IF('Tech Leaders Kits'!C12="","",'Tech Leaders Kits'!C12)</f>
        <v>Jumper wires M-M</v>
      </c>
      <c r="D1108" s="0" t="n">
        <f aca="false">IF('Tech Leaders Kits'!D12="","",'Tech Leaders Kits'!D12)</f>
        <v>6</v>
      </c>
      <c r="E1108" s="0" t="str">
        <f aca="false">IF('Tech Leaders Kits'!E12="","",'Tech Leaders Kits'!E12)</f>
        <v>Per group</v>
      </c>
      <c r="F1108" s="0" t="str">
        <f aca="false">IFERROR(INDEX('Session Tracker'!$M$5:$M$149,MATCH($A1108,'Session Tracker'!$D$5:$D$149,0))+0,"")</f>
        <v/>
      </c>
      <c r="G1108" s="0" t="str">
        <f aca="false">IF(ISNUMBER(F1108),IF(OR(B1108=0,B1108=99,C1108&lt;&gt;""),F1108*100+B1108,""),"")</f>
        <v/>
      </c>
      <c r="H1108" s="0" t="n">
        <f aca="false">IFERROR(INDEX('Session Tracker'!$J$5:$J$149,MATCH($A1108,'Session Tracker'!$D$5:$D$149,0)),0)</f>
        <v>8</v>
      </c>
      <c r="I1108" s="0" t="n">
        <f aca="false">IF(OR(B1108=0,B1108=99,C1108=""),"",IF(E1108="Per class",D1108,D1108*H1108))</f>
        <v>48</v>
      </c>
      <c r="N1108" s="0" t="str">
        <f aca="false">IF('Tech Leaders Kits'!B12="","",'Tech Leaders Kits'!B12)</f>
        <v>Wiring &amp; Prototyping</v>
      </c>
      <c r="O1108" s="0" t="str">
        <f aca="false">IF('Tech Leaders Kits'!F12="","",'Tech Leaders Kits'!F12)</f>
        <v>Reusable</v>
      </c>
      <c r="P1108" s="0" t="str">
        <f aca="false">IF('Tech Leaders Kits'!G12="","",'Tech Leaders Kits'!G12)</f>
        <v/>
      </c>
    </row>
    <row r="1109" customFormat="false" ht="15" hidden="false" customHeight="false" outlineLevel="0" collapsed="false">
      <c r="A1109" s="0" t="s">
        <v>290</v>
      </c>
      <c r="B1109" s="0" t="n">
        <v>8</v>
      </c>
      <c r="C1109" s="0" t="str">
        <f aca="false">IF('Tech Leaders Kits'!C13="","",'Tech Leaders Kits'!C13)</f>
        <v>Laptop</v>
      </c>
      <c r="D1109" s="0" t="n">
        <f aca="false">IF('Tech Leaders Kits'!D13="","",'Tech Leaders Kits'!D13)</f>
        <v>1</v>
      </c>
      <c r="E1109" s="0" t="str">
        <f aca="false">IF('Tech Leaders Kits'!E13="","",'Tech Leaders Kits'!E13)</f>
        <v>Per group</v>
      </c>
      <c r="F1109" s="0" t="str">
        <f aca="false">IFERROR(INDEX('Session Tracker'!$M$5:$M$149,MATCH($A1109,'Session Tracker'!$D$5:$D$149,0))+0,"")</f>
        <v/>
      </c>
      <c r="G1109" s="0" t="str">
        <f aca="false">IF(ISNUMBER(F1109),IF(OR(B1109=0,B1109=99,C1109&lt;&gt;""),F1109*100+B1109,""),"")</f>
        <v/>
      </c>
      <c r="H1109" s="0" t="n">
        <f aca="false">IFERROR(INDEX('Session Tracker'!$J$5:$J$149,MATCH($A1109,'Session Tracker'!$D$5:$D$149,0)),0)</f>
        <v>8</v>
      </c>
      <c r="I1109" s="0" t="n">
        <f aca="false">IF(OR(B1109=0,B1109=99,C1109=""),"",IF(E1109="Per class",D1109,D1109*H1109))</f>
        <v>8</v>
      </c>
      <c r="N1109" s="0" t="str">
        <f aca="false">IF('Tech Leaders Kits'!B13="","",'Tech Leaders Kits'!B13)</f>
        <v>Computers &amp; Equipment</v>
      </c>
      <c r="O1109" s="0" t="str">
        <f aca="false">IF('Tech Leaders Kits'!F13="","",'Tech Leaders Kits'!F13)</f>
        <v>Reusable</v>
      </c>
      <c r="P1109" s="0" t="str">
        <f aca="false">IF('Tech Leaders Kits'!G13="","",'Tech Leaders Kits'!G13)</f>
        <v/>
      </c>
    </row>
    <row r="1110" customFormat="false" ht="15" hidden="false" customHeight="false" outlineLevel="0" collapsed="false">
      <c r="A1110" s="0" t="s">
        <v>290</v>
      </c>
      <c r="B1110" s="0" t="n">
        <v>9</v>
      </c>
      <c r="C1110" s="0" t="str">
        <f aca="false">IF('Tech Leaders Kits'!C14="","",'Tech Leaders Kits'!C14)</f>
        <v/>
      </c>
      <c r="D1110" s="0" t="str">
        <f aca="false">IF('Tech Leaders Kits'!D14="","",'Tech Leaders Kits'!D14)</f>
        <v/>
      </c>
      <c r="E1110" s="0" t="str">
        <f aca="false">IF('Tech Leaders Kits'!E14="","",'Tech Leaders Kits'!E14)</f>
        <v/>
      </c>
      <c r="F1110" s="0" t="str">
        <f aca="false">IFERROR(INDEX('Session Tracker'!$M$5:$M$149,MATCH($A1110,'Session Tracker'!$D$5:$D$149,0))+0,"")</f>
        <v/>
      </c>
      <c r="G1110" s="0" t="str">
        <f aca="false">IF(ISNUMBER(F1110),IF(OR(B1110=0,B1110=99,C1110&lt;&gt;""),F1110*100+B1110,""),"")</f>
        <v/>
      </c>
      <c r="H1110" s="0" t="n">
        <f aca="false">IFERROR(INDEX('Session Tracker'!$J$5:$J$149,MATCH($A1110,'Session Tracker'!$D$5:$D$149,0)),0)</f>
        <v>8</v>
      </c>
      <c r="I1110" s="0" t="str">
        <f aca="false">IF(OR(B1110=0,B1110=99,C1110=""),"",IF(E1110="Per class",D1110,D1110*H1110))</f>
        <v/>
      </c>
      <c r="N1110" s="0" t="str">
        <f aca="false">IF('Tech Leaders Kits'!B14="","",'Tech Leaders Kits'!B14)</f>
        <v/>
      </c>
      <c r="O1110" s="0" t="str">
        <f aca="false">IF('Tech Leaders Kits'!F14="","",'Tech Leaders Kits'!F14)</f>
        <v/>
      </c>
      <c r="P1110" s="0" t="str">
        <f aca="false">IF('Tech Leaders Kits'!G14="","",'Tech Leaders Kits'!G14)</f>
        <v/>
      </c>
    </row>
    <row r="1111" customFormat="false" ht="15" hidden="false" customHeight="false" outlineLevel="0" collapsed="false">
      <c r="A1111" s="0" t="s">
        <v>290</v>
      </c>
      <c r="B1111" s="0" t="n">
        <v>10</v>
      </c>
      <c r="C1111" s="0" t="str">
        <f aca="false">IF('Tech Leaders Kits'!C15="","",'Tech Leaders Kits'!C15)</f>
        <v/>
      </c>
      <c r="D1111" s="0" t="str">
        <f aca="false">IF('Tech Leaders Kits'!D15="","",'Tech Leaders Kits'!D15)</f>
        <v/>
      </c>
      <c r="E1111" s="0" t="str">
        <f aca="false">IF('Tech Leaders Kits'!E15="","",'Tech Leaders Kits'!E15)</f>
        <v/>
      </c>
      <c r="F1111" s="0" t="str">
        <f aca="false">IFERROR(INDEX('Session Tracker'!$M$5:$M$149,MATCH($A1111,'Session Tracker'!$D$5:$D$149,0))+0,"")</f>
        <v/>
      </c>
      <c r="G1111" s="0" t="str">
        <f aca="false">IF(ISNUMBER(F1111),IF(OR(B1111=0,B1111=99,C1111&lt;&gt;""),F1111*100+B1111,""),"")</f>
        <v/>
      </c>
      <c r="H1111" s="0" t="n">
        <f aca="false">IFERROR(INDEX('Session Tracker'!$J$5:$J$149,MATCH($A1111,'Session Tracker'!$D$5:$D$149,0)),0)</f>
        <v>8</v>
      </c>
      <c r="I1111" s="0" t="str">
        <f aca="false">IF(OR(B1111=0,B1111=99,C1111=""),"",IF(E1111="Per class",D1111,D1111*H1111))</f>
        <v/>
      </c>
      <c r="N1111" s="0" t="str">
        <f aca="false">IF('Tech Leaders Kits'!B15="","",'Tech Leaders Kits'!B15)</f>
        <v/>
      </c>
      <c r="O1111" s="0" t="str">
        <f aca="false">IF('Tech Leaders Kits'!F15="","",'Tech Leaders Kits'!F15)</f>
        <v/>
      </c>
      <c r="P1111" s="0" t="str">
        <f aca="false">IF('Tech Leaders Kits'!G15="","",'Tech Leaders Kits'!G15)</f>
        <v/>
      </c>
    </row>
    <row r="1112" customFormat="false" ht="15" hidden="false" customHeight="false" outlineLevel="0" collapsed="false">
      <c r="A1112" s="0" t="s">
        <v>291</v>
      </c>
      <c r="B1112" s="0" t="n">
        <v>0</v>
      </c>
      <c r="F1112" s="0" t="str">
        <f aca="false">IFERROR(INDEX('Session Tracker'!$M$5:$M$149,MATCH($A1112,'Session Tracker'!$D$5:$D$149,0))+0,"")</f>
        <v/>
      </c>
      <c r="G1112" s="0" t="str">
        <f aca="false">IF(ISNUMBER(F1112),IF(OR(B1112=0,B1112=99,C1112&lt;&gt;""),F1112*100+B1112,""),"")</f>
        <v/>
      </c>
      <c r="H1112" s="0" t="n">
        <f aca="false">IFERROR(INDEX('Session Tracker'!$J$5:$J$149,MATCH($A1112,'Session Tracker'!$D$5:$D$149,0)),0)</f>
        <v>8</v>
      </c>
      <c r="I1112" s="0" t="str">
        <f aca="false">IF(OR(B1112=0,B1112=99,C1112=""),"",IF(E1112="Per class",D1112,D1112*H1112))</f>
        <v/>
      </c>
      <c r="K1112" s="0" t="str">
        <f aca="false">IFERROR(INDEX('Session Tracker'!$E$5:$E$149,MATCH($A1112,'Session Tracker'!$D$5:$D$149,0)),"")</f>
        <v>Arduino Uno Basics</v>
      </c>
      <c r="L1112" s="0" t="str">
        <f aca="false">IFERROR(INDEX('Session Tracker'!$A$5:$A$149,MATCH($A1112,'Session Tracker'!$D$5:$D$149,0)),"")</f>
        <v>Tech Leaders (15-17)</v>
      </c>
      <c r="M1112" s="0" t="str">
        <f aca="false">IFERROR(INDEX('Session Tracker'!$H$5:$H$149,MATCH($A1112,'Session Tracker'!$D$5:$D$149,0))&amp;"","")</f>
        <v/>
      </c>
      <c r="Q1112" s="0" t="str">
        <f aca="false">IFERROR("Status: "&amp;INDEX('Session Tracker'!$F$5:$F$149,MATCH($A1112,'Session Tracker'!$D$5:$D$149,0))&amp;IF(INDEX('Session Tracker'!$G$5:$G$149,MATCH($A1112,'Session Tracker'!$D$5:$D$149,0))&lt;&gt;""," ("&amp;INDEX('Session Tracker'!$G$5:$G$149,MATCH($A1112,'Session Tracker'!$D$5:$D$149,0))&amp;")","")&amp;IF(M1112&lt;&gt;"","  "&amp;M1112,""),"")</f>
        <v>Status: Not started</v>
      </c>
    </row>
    <row r="1113" customFormat="false" ht="15" hidden="false" customHeight="false" outlineLevel="0" collapsed="false">
      <c r="A1113" s="0" t="s">
        <v>291</v>
      </c>
      <c r="B1113" s="0" t="n">
        <v>1</v>
      </c>
      <c r="C1113" s="0" t="str">
        <f aca="false">IF('Tech Leaders Kits'!C18="","",'Tech Leaders Kits'!C18)</f>
        <v>Arduino Uno + USB cable</v>
      </c>
      <c r="D1113" s="0" t="n">
        <f aca="false">IF('Tech Leaders Kits'!D18="","",'Tech Leaders Kits'!D18)</f>
        <v>1</v>
      </c>
      <c r="E1113" s="0" t="str">
        <f aca="false">IF('Tech Leaders Kits'!E18="","",'Tech Leaders Kits'!E18)</f>
        <v>Per group</v>
      </c>
      <c r="F1113" s="0" t="str">
        <f aca="false">IFERROR(INDEX('Session Tracker'!$M$5:$M$149,MATCH($A1113,'Session Tracker'!$D$5:$D$149,0))+0,"")</f>
        <v/>
      </c>
      <c r="G1113" s="0" t="str">
        <f aca="false">IF(ISNUMBER(F1113),IF(OR(B1113=0,B1113=99,C1113&lt;&gt;""),F1113*100+B1113,""),"")</f>
        <v/>
      </c>
      <c r="H1113" s="0" t="n">
        <f aca="false">IFERROR(INDEX('Session Tracker'!$J$5:$J$149,MATCH($A1113,'Session Tracker'!$D$5:$D$149,0)),0)</f>
        <v>8</v>
      </c>
      <c r="I1113" s="0" t="n">
        <f aca="false">IF(OR(B1113=0,B1113=99,C1113=""),"",IF(E1113="Per class",D1113,D1113*H1113))</f>
        <v>8</v>
      </c>
      <c r="N1113" s="0" t="str">
        <f aca="false">IF('Tech Leaders Kits'!B18="","",'Tech Leaders Kits'!B18)</f>
        <v>Microcontrollers &amp; Dev Boards</v>
      </c>
      <c r="O1113" s="0" t="str">
        <f aca="false">IF('Tech Leaders Kits'!F18="","",'Tech Leaders Kits'!F18)</f>
        <v>Reusable</v>
      </c>
      <c r="P1113" s="0" t="str">
        <f aca="false">IF('Tech Leaders Kits'!G18="","",'Tech Leaders Kits'!G18)</f>
        <v/>
      </c>
    </row>
    <row r="1114" customFormat="false" ht="15" hidden="false" customHeight="false" outlineLevel="0" collapsed="false">
      <c r="A1114" s="0" t="s">
        <v>291</v>
      </c>
      <c r="B1114" s="0" t="n">
        <v>2</v>
      </c>
      <c r="C1114" s="0" t="str">
        <f aca="false">IF('Tech Leaders Kits'!C19="","",'Tech Leaders Kits'!C19)</f>
        <v>LED 5 mm (assorted)</v>
      </c>
      <c r="D1114" s="0" t="n">
        <f aca="false">IF('Tech Leaders Kits'!D19="","",'Tech Leaders Kits'!D19)</f>
        <v>2</v>
      </c>
      <c r="E1114" s="0" t="str">
        <f aca="false">IF('Tech Leaders Kits'!E19="","",'Tech Leaders Kits'!E19)</f>
        <v>Per group</v>
      </c>
      <c r="F1114" s="0" t="str">
        <f aca="false">IFERROR(INDEX('Session Tracker'!$M$5:$M$149,MATCH($A1114,'Session Tracker'!$D$5:$D$149,0))+0,"")</f>
        <v/>
      </c>
      <c r="G1114" s="0" t="str">
        <f aca="false">IF(ISNUMBER(F1114),IF(OR(B1114=0,B1114=99,C1114&lt;&gt;""),F1114*100+B1114,""),"")</f>
        <v/>
      </c>
      <c r="H1114" s="0" t="n">
        <f aca="false">IFERROR(INDEX('Session Tracker'!$J$5:$J$149,MATCH($A1114,'Session Tracker'!$D$5:$D$149,0)),0)</f>
        <v>8</v>
      </c>
      <c r="I1114" s="0" t="n">
        <f aca="false">IF(OR(B1114=0,B1114=99,C1114=""),"",IF(E1114="Per class",D1114,D1114*H1114))</f>
        <v>16</v>
      </c>
      <c r="N1114" s="0" t="str">
        <f aca="false">IF('Tech Leaders Kits'!B19="","",'Tech Leaders Kits'!B19)</f>
        <v>Displays &amp; Output</v>
      </c>
      <c r="O1114" s="0" t="str">
        <f aca="false">IF('Tech Leaders Kits'!F19="","",'Tech Leaders Kits'!F19)</f>
        <v>Consumable</v>
      </c>
      <c r="P1114" s="0" t="str">
        <f aca="false">IF('Tech Leaders Kits'!G19="","",'Tech Leaders Kits'!G19)</f>
        <v/>
      </c>
    </row>
    <row r="1115" customFormat="false" ht="15" hidden="false" customHeight="false" outlineLevel="0" collapsed="false">
      <c r="A1115" s="0" t="s">
        <v>291</v>
      </c>
      <c r="B1115" s="0" t="n">
        <v>3</v>
      </c>
      <c r="C1115" s="0" t="str">
        <f aca="false">IF('Tech Leaders Kits'!C20="","",'Tech Leaders Kits'!C20)</f>
        <v>Resistor 220 ohm</v>
      </c>
      <c r="D1115" s="0" t="n">
        <f aca="false">IF('Tech Leaders Kits'!D20="","",'Tech Leaders Kits'!D20)</f>
        <v>2</v>
      </c>
      <c r="E1115" s="0" t="str">
        <f aca="false">IF('Tech Leaders Kits'!E20="","",'Tech Leaders Kits'!E20)</f>
        <v>Per group</v>
      </c>
      <c r="F1115" s="0" t="str">
        <f aca="false">IFERROR(INDEX('Session Tracker'!$M$5:$M$149,MATCH($A1115,'Session Tracker'!$D$5:$D$149,0))+0,"")</f>
        <v/>
      </c>
      <c r="G1115" s="0" t="str">
        <f aca="false">IF(ISNUMBER(F1115),IF(OR(B1115=0,B1115=99,C1115&lt;&gt;""),F1115*100+B1115,""),"")</f>
        <v/>
      </c>
      <c r="H1115" s="0" t="n">
        <f aca="false">IFERROR(INDEX('Session Tracker'!$J$5:$J$149,MATCH($A1115,'Session Tracker'!$D$5:$D$149,0)),0)</f>
        <v>8</v>
      </c>
      <c r="I1115" s="0" t="n">
        <f aca="false">IF(OR(B1115=0,B1115=99,C1115=""),"",IF(E1115="Per class",D1115,D1115*H1115))</f>
        <v>16</v>
      </c>
      <c r="N1115" s="0" t="str">
        <f aca="false">IF('Tech Leaders Kits'!B20="","",'Tech Leaders Kits'!B20)</f>
        <v>Passive Components &amp; ICs</v>
      </c>
      <c r="O1115" s="0" t="str">
        <f aca="false">IF('Tech Leaders Kits'!F20="","",'Tech Leaders Kits'!F20)</f>
        <v>Consumable</v>
      </c>
      <c r="P1115" s="0" t="str">
        <f aca="false">IF('Tech Leaders Kits'!G20="","",'Tech Leaders Kits'!G20)</f>
        <v/>
      </c>
    </row>
    <row r="1116" customFormat="false" ht="15" hidden="false" customHeight="false" outlineLevel="0" collapsed="false">
      <c r="A1116" s="0" t="s">
        <v>291</v>
      </c>
      <c r="B1116" s="0" t="n">
        <v>4</v>
      </c>
      <c r="C1116" s="0" t="str">
        <f aca="false">IF('Tech Leaders Kits'!C21="","",'Tech Leaders Kits'!C21)</f>
        <v>Push button</v>
      </c>
      <c r="D1116" s="0" t="n">
        <f aca="false">IF('Tech Leaders Kits'!D21="","",'Tech Leaders Kits'!D21)</f>
        <v>1</v>
      </c>
      <c r="E1116" s="0" t="str">
        <f aca="false">IF('Tech Leaders Kits'!E21="","",'Tech Leaders Kits'!E21)</f>
        <v>Per group</v>
      </c>
      <c r="F1116" s="0" t="str">
        <f aca="false">IFERROR(INDEX('Session Tracker'!$M$5:$M$149,MATCH($A1116,'Session Tracker'!$D$5:$D$149,0))+0,"")</f>
        <v/>
      </c>
      <c r="G1116" s="0" t="str">
        <f aca="false">IF(ISNUMBER(F1116),IF(OR(B1116=0,B1116=99,C1116&lt;&gt;""),F1116*100+B1116,""),"")</f>
        <v/>
      </c>
      <c r="H1116" s="0" t="n">
        <f aca="false">IFERROR(INDEX('Session Tracker'!$J$5:$J$149,MATCH($A1116,'Session Tracker'!$D$5:$D$149,0)),0)</f>
        <v>8</v>
      </c>
      <c r="I1116" s="0" t="n">
        <f aca="false">IF(OR(B1116=0,B1116=99,C1116=""),"",IF(E1116="Per class",D1116,D1116*H1116))</f>
        <v>8</v>
      </c>
      <c r="N1116" s="0" t="str">
        <f aca="false">IF('Tech Leaders Kits'!B21="","",'Tech Leaders Kits'!B21)</f>
        <v>Passive Components &amp; ICs</v>
      </c>
      <c r="O1116" s="0" t="str">
        <f aca="false">IF('Tech Leaders Kits'!F21="","",'Tech Leaders Kits'!F21)</f>
        <v>Reusable</v>
      </c>
      <c r="P1116" s="0" t="str">
        <f aca="false">IF('Tech Leaders Kits'!G21="","",'Tech Leaders Kits'!G21)</f>
        <v>INPUT_PULLUP demo</v>
      </c>
    </row>
    <row r="1117" customFormat="false" ht="15" hidden="false" customHeight="false" outlineLevel="0" collapsed="false">
      <c r="A1117" s="0" t="s">
        <v>291</v>
      </c>
      <c r="B1117" s="0" t="n">
        <v>5</v>
      </c>
      <c r="C1117" s="0" t="str">
        <f aca="false">IF('Tech Leaders Kits'!C22="","",'Tech Leaders Kits'!C22)</f>
        <v>Potentiometer 10k</v>
      </c>
      <c r="D1117" s="0" t="n">
        <f aca="false">IF('Tech Leaders Kits'!D22="","",'Tech Leaders Kits'!D22)</f>
        <v>1</v>
      </c>
      <c r="E1117" s="0" t="str">
        <f aca="false">IF('Tech Leaders Kits'!E22="","",'Tech Leaders Kits'!E22)</f>
        <v>Per group</v>
      </c>
      <c r="F1117" s="0" t="str">
        <f aca="false">IFERROR(INDEX('Session Tracker'!$M$5:$M$149,MATCH($A1117,'Session Tracker'!$D$5:$D$149,0))+0,"")</f>
        <v/>
      </c>
      <c r="G1117" s="0" t="str">
        <f aca="false">IF(ISNUMBER(F1117),IF(OR(B1117=0,B1117=99,C1117&lt;&gt;""),F1117*100+B1117,""),"")</f>
        <v/>
      </c>
      <c r="H1117" s="0" t="n">
        <f aca="false">IFERROR(INDEX('Session Tracker'!$J$5:$J$149,MATCH($A1117,'Session Tracker'!$D$5:$D$149,0)),0)</f>
        <v>8</v>
      </c>
      <c r="I1117" s="0" t="n">
        <f aca="false">IF(OR(B1117=0,B1117=99,C1117=""),"",IF(E1117="Per class",D1117,D1117*H1117))</f>
        <v>8</v>
      </c>
      <c r="N1117" s="0" t="str">
        <f aca="false">IF('Tech Leaders Kits'!B22="","",'Tech Leaders Kits'!B22)</f>
        <v>Passive Components &amp; ICs</v>
      </c>
      <c r="O1117" s="0" t="str">
        <f aca="false">IF('Tech Leaders Kits'!F22="","",'Tech Leaders Kits'!F22)</f>
        <v>Reusable</v>
      </c>
      <c r="P1117" s="0" t="str">
        <f aca="false">IF('Tech Leaders Kits'!G22="","",'Tech Leaders Kits'!G22)</f>
        <v>Analog input demo</v>
      </c>
    </row>
    <row r="1118" customFormat="false" ht="15" hidden="false" customHeight="false" outlineLevel="0" collapsed="false">
      <c r="A1118" s="0" t="s">
        <v>291</v>
      </c>
      <c r="B1118" s="0" t="n">
        <v>6</v>
      </c>
      <c r="C1118" s="0" t="str">
        <f aca="false">IF('Tech Leaders Kits'!C23="","",'Tech Leaders Kits'!C23)</f>
        <v>Breadboard (half size)</v>
      </c>
      <c r="D1118" s="0" t="n">
        <f aca="false">IF('Tech Leaders Kits'!D23="","",'Tech Leaders Kits'!D23)</f>
        <v>1</v>
      </c>
      <c r="E1118" s="0" t="str">
        <f aca="false">IF('Tech Leaders Kits'!E23="","",'Tech Leaders Kits'!E23)</f>
        <v>Per group</v>
      </c>
      <c r="F1118" s="0" t="str">
        <f aca="false">IFERROR(INDEX('Session Tracker'!$M$5:$M$149,MATCH($A1118,'Session Tracker'!$D$5:$D$149,0))+0,"")</f>
        <v/>
      </c>
      <c r="G1118" s="0" t="str">
        <f aca="false">IF(ISNUMBER(F1118),IF(OR(B1118=0,B1118=99,C1118&lt;&gt;""),F1118*100+B1118,""),"")</f>
        <v/>
      </c>
      <c r="H1118" s="0" t="n">
        <f aca="false">IFERROR(INDEX('Session Tracker'!$J$5:$J$149,MATCH($A1118,'Session Tracker'!$D$5:$D$149,0)),0)</f>
        <v>8</v>
      </c>
      <c r="I1118" s="0" t="n">
        <f aca="false">IF(OR(B1118=0,B1118=99,C1118=""),"",IF(E1118="Per class",D1118,D1118*H1118))</f>
        <v>8</v>
      </c>
      <c r="N1118" s="0" t="str">
        <f aca="false">IF('Tech Leaders Kits'!B23="","",'Tech Leaders Kits'!B23)</f>
        <v>Wiring &amp; Prototyping</v>
      </c>
      <c r="O1118" s="0" t="str">
        <f aca="false">IF('Tech Leaders Kits'!F23="","",'Tech Leaders Kits'!F23)</f>
        <v>Reusable</v>
      </c>
      <c r="P1118" s="0" t="str">
        <f aca="false">IF('Tech Leaders Kits'!G23="","",'Tech Leaders Kits'!G23)</f>
        <v/>
      </c>
    </row>
    <row r="1119" customFormat="false" ht="15" hidden="false" customHeight="false" outlineLevel="0" collapsed="false">
      <c r="A1119" s="0" t="s">
        <v>291</v>
      </c>
      <c r="B1119" s="0" t="n">
        <v>7</v>
      </c>
      <c r="C1119" s="0" t="str">
        <f aca="false">IF('Tech Leaders Kits'!C24="","",'Tech Leaders Kits'!C24)</f>
        <v>Jumper wires M-M</v>
      </c>
      <c r="D1119" s="0" t="n">
        <f aca="false">IF('Tech Leaders Kits'!D24="","",'Tech Leaders Kits'!D24)</f>
        <v>8</v>
      </c>
      <c r="E1119" s="0" t="str">
        <f aca="false">IF('Tech Leaders Kits'!E24="","",'Tech Leaders Kits'!E24)</f>
        <v>Per group</v>
      </c>
      <c r="F1119" s="0" t="str">
        <f aca="false">IFERROR(INDEX('Session Tracker'!$M$5:$M$149,MATCH($A1119,'Session Tracker'!$D$5:$D$149,0))+0,"")</f>
        <v/>
      </c>
      <c r="G1119" s="0" t="str">
        <f aca="false">IF(ISNUMBER(F1119),IF(OR(B1119=0,B1119=99,C1119&lt;&gt;""),F1119*100+B1119,""),"")</f>
        <v/>
      </c>
      <c r="H1119" s="0" t="n">
        <f aca="false">IFERROR(INDEX('Session Tracker'!$J$5:$J$149,MATCH($A1119,'Session Tracker'!$D$5:$D$149,0)),0)</f>
        <v>8</v>
      </c>
      <c r="I1119" s="0" t="n">
        <f aca="false">IF(OR(B1119=0,B1119=99,C1119=""),"",IF(E1119="Per class",D1119,D1119*H1119))</f>
        <v>64</v>
      </c>
      <c r="N1119" s="0" t="str">
        <f aca="false">IF('Tech Leaders Kits'!B24="","",'Tech Leaders Kits'!B24)</f>
        <v>Wiring &amp; Prototyping</v>
      </c>
      <c r="O1119" s="0" t="str">
        <f aca="false">IF('Tech Leaders Kits'!F24="","",'Tech Leaders Kits'!F24)</f>
        <v>Reusable</v>
      </c>
      <c r="P1119" s="0" t="str">
        <f aca="false">IF('Tech Leaders Kits'!G24="","",'Tech Leaders Kits'!G24)</f>
        <v/>
      </c>
    </row>
    <row r="1120" customFormat="false" ht="15" hidden="false" customHeight="false" outlineLevel="0" collapsed="false">
      <c r="A1120" s="0" t="s">
        <v>291</v>
      </c>
      <c r="B1120" s="0" t="n">
        <v>8</v>
      </c>
      <c r="C1120" s="0" t="str">
        <f aca="false">IF('Tech Leaders Kits'!C25="","",'Tech Leaders Kits'!C25)</f>
        <v>Laptop</v>
      </c>
      <c r="D1120" s="0" t="n">
        <f aca="false">IF('Tech Leaders Kits'!D25="","",'Tech Leaders Kits'!D25)</f>
        <v>1</v>
      </c>
      <c r="E1120" s="0" t="str">
        <f aca="false">IF('Tech Leaders Kits'!E25="","",'Tech Leaders Kits'!E25)</f>
        <v>Per group</v>
      </c>
      <c r="F1120" s="0" t="str">
        <f aca="false">IFERROR(INDEX('Session Tracker'!$M$5:$M$149,MATCH($A1120,'Session Tracker'!$D$5:$D$149,0))+0,"")</f>
        <v/>
      </c>
      <c r="G1120" s="0" t="str">
        <f aca="false">IF(ISNUMBER(F1120),IF(OR(B1120=0,B1120=99,C1120&lt;&gt;""),F1120*100+B1120,""),"")</f>
        <v/>
      </c>
      <c r="H1120" s="0" t="n">
        <f aca="false">IFERROR(INDEX('Session Tracker'!$J$5:$J$149,MATCH($A1120,'Session Tracker'!$D$5:$D$149,0)),0)</f>
        <v>8</v>
      </c>
      <c r="I1120" s="0" t="n">
        <f aca="false">IF(OR(B1120=0,B1120=99,C1120=""),"",IF(E1120="Per class",D1120,D1120*H1120))</f>
        <v>8</v>
      </c>
      <c r="N1120" s="0" t="str">
        <f aca="false">IF('Tech Leaders Kits'!B25="","",'Tech Leaders Kits'!B25)</f>
        <v>Computers &amp; Equipment</v>
      </c>
      <c r="O1120" s="0" t="str">
        <f aca="false">IF('Tech Leaders Kits'!F25="","",'Tech Leaders Kits'!F25)</f>
        <v>Reusable</v>
      </c>
      <c r="P1120" s="0" t="str">
        <f aca="false">IF('Tech Leaders Kits'!G25="","",'Tech Leaders Kits'!G25)</f>
        <v/>
      </c>
    </row>
    <row r="1121" customFormat="false" ht="15" hidden="false" customHeight="false" outlineLevel="0" collapsed="false">
      <c r="A1121" s="0" t="s">
        <v>291</v>
      </c>
      <c r="B1121" s="0" t="n">
        <v>9</v>
      </c>
      <c r="C1121" s="0" t="str">
        <f aca="false">IF('Tech Leaders Kits'!C26="","",'Tech Leaders Kits'!C26)</f>
        <v>Buzzer</v>
      </c>
      <c r="D1121" s="0" t="n">
        <f aca="false">IF('Tech Leaders Kits'!D26="","",'Tech Leaders Kits'!D26)</f>
        <v>1</v>
      </c>
      <c r="E1121" s="0" t="str">
        <f aca="false">IF('Tech Leaders Kits'!E26="","",'Tech Leaders Kits'!E26)</f>
        <v>Per group</v>
      </c>
      <c r="F1121" s="0" t="str">
        <f aca="false">IFERROR(INDEX('Session Tracker'!$M$5:$M$149,MATCH($A1121,'Session Tracker'!$D$5:$D$149,0))+0,"")</f>
        <v/>
      </c>
      <c r="G1121" s="0" t="str">
        <f aca="false">IF(ISNUMBER(F1121),IF(OR(B1121=0,B1121=99,C1121&lt;&gt;""),F1121*100+B1121,""),"")</f>
        <v/>
      </c>
      <c r="H1121" s="0" t="n">
        <f aca="false">IFERROR(INDEX('Session Tracker'!$J$5:$J$149,MATCH($A1121,'Session Tracker'!$D$5:$D$149,0)),0)</f>
        <v>8</v>
      </c>
      <c r="I1121" s="0" t="n">
        <f aca="false">IF(OR(B1121=0,B1121=99,C1121=""),"",IF(E1121="Per class",D1121,D1121*H1121))</f>
        <v>8</v>
      </c>
      <c r="N1121" s="0" t="str">
        <f aca="false">IF('Tech Leaders Kits'!B26="","",'Tech Leaders Kits'!B26)</f>
        <v>Actuators &amp; Motor Drivers</v>
      </c>
      <c r="O1121" s="0" t="str">
        <f aca="false">IF('Tech Leaders Kits'!F26="","",'Tech Leaders Kits'!F26)</f>
        <v>Reusable</v>
      </c>
      <c r="P1121" s="0" t="str">
        <f aca="false">IF('Tech Leaders Kits'!G26="","",'Tech Leaders Kits'!G26)</f>
        <v>Added: every Arduino class</v>
      </c>
    </row>
    <row r="1122" customFormat="false" ht="15" hidden="false" customHeight="false" outlineLevel="0" collapsed="false">
      <c r="A1122" s="0" t="s">
        <v>291</v>
      </c>
      <c r="B1122" s="0" t="n">
        <v>10</v>
      </c>
      <c r="C1122" s="0" t="str">
        <f aca="false">IF('Tech Leaders Kits'!C27="","",'Tech Leaders Kits'!C27)</f>
        <v/>
      </c>
      <c r="D1122" s="0" t="str">
        <f aca="false">IF('Tech Leaders Kits'!D27="","",'Tech Leaders Kits'!D27)</f>
        <v/>
      </c>
      <c r="E1122" s="0" t="str">
        <f aca="false">IF('Tech Leaders Kits'!E27="","",'Tech Leaders Kits'!E27)</f>
        <v/>
      </c>
      <c r="F1122" s="0" t="str">
        <f aca="false">IFERROR(INDEX('Session Tracker'!$M$5:$M$149,MATCH($A1122,'Session Tracker'!$D$5:$D$149,0))+0,"")</f>
        <v/>
      </c>
      <c r="G1122" s="0" t="str">
        <f aca="false">IF(ISNUMBER(F1122),IF(OR(B1122=0,B1122=99,C1122&lt;&gt;""),F1122*100+B1122,""),"")</f>
        <v/>
      </c>
      <c r="H1122" s="0" t="n">
        <f aca="false">IFERROR(INDEX('Session Tracker'!$J$5:$J$149,MATCH($A1122,'Session Tracker'!$D$5:$D$149,0)),0)</f>
        <v>8</v>
      </c>
      <c r="I1122" s="0" t="str">
        <f aca="false">IF(OR(B1122=0,B1122=99,C1122=""),"",IF(E1122="Per class",D1122,D1122*H1122))</f>
        <v/>
      </c>
      <c r="N1122" s="0" t="str">
        <f aca="false">IF('Tech Leaders Kits'!B27="","",'Tech Leaders Kits'!B27)</f>
        <v/>
      </c>
      <c r="O1122" s="0" t="str">
        <f aca="false">IF('Tech Leaders Kits'!F27="","",'Tech Leaders Kits'!F27)</f>
        <v/>
      </c>
      <c r="P1122" s="0" t="str">
        <f aca="false">IF('Tech Leaders Kits'!G27="","",'Tech Leaders Kits'!G27)</f>
        <v/>
      </c>
    </row>
    <row r="1123" customFormat="false" ht="15" hidden="false" customHeight="false" outlineLevel="0" collapsed="false">
      <c r="A1123" s="0" t="s">
        <v>291</v>
      </c>
      <c r="B1123" s="0" t="n">
        <v>11</v>
      </c>
      <c r="C1123" s="0" t="str">
        <f aca="false">IF('Tech Leaders Kits'!C28="","",'Tech Leaders Kits'!C28)</f>
        <v/>
      </c>
      <c r="D1123" s="0" t="str">
        <f aca="false">IF('Tech Leaders Kits'!D28="","",'Tech Leaders Kits'!D28)</f>
        <v/>
      </c>
      <c r="E1123" s="0" t="str">
        <f aca="false">IF('Tech Leaders Kits'!E28="","",'Tech Leaders Kits'!E28)</f>
        <v/>
      </c>
      <c r="F1123" s="0" t="str">
        <f aca="false">IFERROR(INDEX('Session Tracker'!$M$5:$M$149,MATCH($A1123,'Session Tracker'!$D$5:$D$149,0))+0,"")</f>
        <v/>
      </c>
      <c r="G1123" s="0" t="str">
        <f aca="false">IF(ISNUMBER(F1123),IF(OR(B1123=0,B1123=99,C1123&lt;&gt;""),F1123*100+B1123,""),"")</f>
        <v/>
      </c>
      <c r="H1123" s="0" t="n">
        <f aca="false">IFERROR(INDEX('Session Tracker'!$J$5:$J$149,MATCH($A1123,'Session Tracker'!$D$5:$D$149,0)),0)</f>
        <v>8</v>
      </c>
      <c r="I1123" s="0" t="str">
        <f aca="false">IF(OR(B1123=0,B1123=99,C1123=""),"",IF(E1123="Per class",D1123,D1123*H1123))</f>
        <v/>
      </c>
      <c r="N1123" s="0" t="str">
        <f aca="false">IF('Tech Leaders Kits'!B28="","",'Tech Leaders Kits'!B28)</f>
        <v/>
      </c>
      <c r="O1123" s="0" t="str">
        <f aca="false">IF('Tech Leaders Kits'!F28="","",'Tech Leaders Kits'!F28)</f>
        <v/>
      </c>
      <c r="P1123" s="0" t="str">
        <f aca="false">IF('Tech Leaders Kits'!G28="","",'Tech Leaders Kits'!G28)</f>
        <v/>
      </c>
    </row>
    <row r="1124" customFormat="false" ht="15" hidden="false" customHeight="false" outlineLevel="0" collapsed="false">
      <c r="A1124" s="0" t="s">
        <v>292</v>
      </c>
      <c r="B1124" s="0" t="n">
        <v>0</v>
      </c>
      <c r="F1124" s="0" t="str">
        <f aca="false">IFERROR(INDEX('Session Tracker'!$M$5:$M$149,MATCH($A1124,'Session Tracker'!$D$5:$D$149,0))+0,"")</f>
        <v/>
      </c>
      <c r="G1124" s="0" t="str">
        <f aca="false">IF(ISNUMBER(F1124),IF(OR(B1124=0,B1124=99,C1124&lt;&gt;""),F1124*100+B1124,""),"")</f>
        <v/>
      </c>
      <c r="H1124" s="0" t="n">
        <f aca="false">IFERROR(INDEX('Session Tracker'!$J$5:$J$149,MATCH($A1124,'Session Tracker'!$D$5:$D$149,0)),0)</f>
        <v>8</v>
      </c>
      <c r="I1124" s="0" t="str">
        <f aca="false">IF(OR(B1124=0,B1124=99,C1124=""),"",IF(E1124="Per class",D1124,D1124*H1124))</f>
        <v/>
      </c>
      <c r="K1124" s="0" t="str">
        <f aca="false">IFERROR(INDEX('Session Tracker'!$E$5:$E$149,MATCH($A1124,'Session Tracker'!$D$5:$D$149,0)),"")</f>
        <v>ESP32 Basics</v>
      </c>
      <c r="L1124" s="0" t="str">
        <f aca="false">IFERROR(INDEX('Session Tracker'!$A$5:$A$149,MATCH($A1124,'Session Tracker'!$D$5:$D$149,0)),"")</f>
        <v>Tech Leaders (15-17)</v>
      </c>
      <c r="M1124" s="0" t="str">
        <f aca="false">IFERROR(INDEX('Session Tracker'!$H$5:$H$149,MATCH($A1124,'Session Tracker'!$D$5:$D$149,0))&amp;"","")</f>
        <v/>
      </c>
      <c r="Q1124" s="0" t="str">
        <f aca="false">IFERROR("Status: "&amp;INDEX('Session Tracker'!$F$5:$F$149,MATCH($A1124,'Session Tracker'!$D$5:$D$149,0))&amp;IF(INDEX('Session Tracker'!$G$5:$G$149,MATCH($A1124,'Session Tracker'!$D$5:$D$149,0))&lt;&gt;""," ("&amp;INDEX('Session Tracker'!$G$5:$G$149,MATCH($A1124,'Session Tracker'!$D$5:$D$149,0))&amp;")","")&amp;IF(M1124&lt;&gt;"","  "&amp;M1124,""),"")</f>
        <v>Status: Not started</v>
      </c>
    </row>
    <row r="1125" customFormat="false" ht="15" hidden="false" customHeight="false" outlineLevel="0" collapsed="false">
      <c r="A1125" s="0" t="s">
        <v>292</v>
      </c>
      <c r="B1125" s="0" t="n">
        <v>1</v>
      </c>
      <c r="C1125" s="0" t="str">
        <f aca="false">IF('Tech Leaders Kits'!C31="","",'Tech Leaders Kits'!C31)</f>
        <v>ESP32 Dev Board + USB cable</v>
      </c>
      <c r="D1125" s="0" t="n">
        <f aca="false">IF('Tech Leaders Kits'!D31="","",'Tech Leaders Kits'!D31)</f>
        <v>1</v>
      </c>
      <c r="E1125" s="0" t="str">
        <f aca="false">IF('Tech Leaders Kits'!E31="","",'Tech Leaders Kits'!E31)</f>
        <v>Per group</v>
      </c>
      <c r="F1125" s="0" t="str">
        <f aca="false">IFERROR(INDEX('Session Tracker'!$M$5:$M$149,MATCH($A1125,'Session Tracker'!$D$5:$D$149,0))+0,"")</f>
        <v/>
      </c>
      <c r="G1125" s="0" t="str">
        <f aca="false">IF(ISNUMBER(F1125),IF(OR(B1125=0,B1125=99,C1125&lt;&gt;""),F1125*100+B1125,""),"")</f>
        <v/>
      </c>
      <c r="H1125" s="0" t="n">
        <f aca="false">IFERROR(INDEX('Session Tracker'!$J$5:$J$149,MATCH($A1125,'Session Tracker'!$D$5:$D$149,0)),0)</f>
        <v>8</v>
      </c>
      <c r="I1125" s="0" t="n">
        <f aca="false">IF(OR(B1125=0,B1125=99,C1125=""),"",IF(E1125="Per class",D1125,D1125*H1125))</f>
        <v>8</v>
      </c>
      <c r="N1125" s="0" t="str">
        <f aca="false">IF('Tech Leaders Kits'!B31="","",'Tech Leaders Kits'!B31)</f>
        <v>Microcontrollers &amp; Dev Boards</v>
      </c>
      <c r="O1125" s="0" t="str">
        <f aca="false">IF('Tech Leaders Kits'!F31="","",'Tech Leaders Kits'!F31)</f>
        <v>Reusable</v>
      </c>
      <c r="P1125" s="0" t="str">
        <f aca="false">IF('Tech Leaders Kits'!G31="","",'Tech Leaders Kits'!G31)</f>
        <v>Data cable, not charge-only</v>
      </c>
    </row>
    <row r="1126" customFormat="false" ht="15" hidden="false" customHeight="false" outlineLevel="0" collapsed="false">
      <c r="A1126" s="0" t="s">
        <v>292</v>
      </c>
      <c r="B1126" s="0" t="n">
        <v>2</v>
      </c>
      <c r="C1126" s="0" t="str">
        <f aca="false">IF('Tech Leaders Kits'!C32="","",'Tech Leaders Kits'!C32)</f>
        <v>LED 5 mm (assorted)</v>
      </c>
      <c r="D1126" s="0" t="n">
        <f aca="false">IF('Tech Leaders Kits'!D32="","",'Tech Leaders Kits'!D32)</f>
        <v>1</v>
      </c>
      <c r="E1126" s="0" t="str">
        <f aca="false">IF('Tech Leaders Kits'!E32="","",'Tech Leaders Kits'!E32)</f>
        <v>Per group</v>
      </c>
      <c r="F1126" s="0" t="str">
        <f aca="false">IFERROR(INDEX('Session Tracker'!$M$5:$M$149,MATCH($A1126,'Session Tracker'!$D$5:$D$149,0))+0,"")</f>
        <v/>
      </c>
      <c r="G1126" s="0" t="str">
        <f aca="false">IF(ISNUMBER(F1126),IF(OR(B1126=0,B1126=99,C1126&lt;&gt;""),F1126*100+B1126,""),"")</f>
        <v/>
      </c>
      <c r="H1126" s="0" t="n">
        <f aca="false">IFERROR(INDEX('Session Tracker'!$J$5:$J$149,MATCH($A1126,'Session Tracker'!$D$5:$D$149,0)),0)</f>
        <v>8</v>
      </c>
      <c r="I1126" s="0" t="n">
        <f aca="false">IF(OR(B1126=0,B1126=99,C1126=""),"",IF(E1126="Per class",D1126,D1126*H1126))</f>
        <v>8</v>
      </c>
      <c r="N1126" s="0" t="str">
        <f aca="false">IF('Tech Leaders Kits'!B32="","",'Tech Leaders Kits'!B32)</f>
        <v>Displays &amp; Output</v>
      </c>
      <c r="O1126" s="0" t="str">
        <f aca="false">IF('Tech Leaders Kits'!F32="","",'Tech Leaders Kits'!F32)</f>
        <v>Consumable</v>
      </c>
      <c r="P1126" s="0" t="str">
        <f aca="false">IF('Tech Leaders Kits'!G32="","",'Tech Leaders Kits'!G32)</f>
        <v/>
      </c>
    </row>
    <row r="1127" customFormat="false" ht="15" hidden="false" customHeight="false" outlineLevel="0" collapsed="false">
      <c r="A1127" s="0" t="s">
        <v>292</v>
      </c>
      <c r="B1127" s="0" t="n">
        <v>3</v>
      </c>
      <c r="C1127" s="0" t="str">
        <f aca="false">IF('Tech Leaders Kits'!C33="","",'Tech Leaders Kits'!C33)</f>
        <v>Resistor 220 ohm</v>
      </c>
      <c r="D1127" s="0" t="n">
        <f aca="false">IF('Tech Leaders Kits'!D33="","",'Tech Leaders Kits'!D33)</f>
        <v>1</v>
      </c>
      <c r="E1127" s="0" t="str">
        <f aca="false">IF('Tech Leaders Kits'!E33="","",'Tech Leaders Kits'!E33)</f>
        <v>Per group</v>
      </c>
      <c r="F1127" s="0" t="str">
        <f aca="false">IFERROR(INDEX('Session Tracker'!$M$5:$M$149,MATCH($A1127,'Session Tracker'!$D$5:$D$149,0))+0,"")</f>
        <v/>
      </c>
      <c r="G1127" s="0" t="str">
        <f aca="false">IF(ISNUMBER(F1127),IF(OR(B1127=0,B1127=99,C1127&lt;&gt;""),F1127*100+B1127,""),"")</f>
        <v/>
      </c>
      <c r="H1127" s="0" t="n">
        <f aca="false">IFERROR(INDEX('Session Tracker'!$J$5:$J$149,MATCH($A1127,'Session Tracker'!$D$5:$D$149,0)),0)</f>
        <v>8</v>
      </c>
      <c r="I1127" s="0" t="n">
        <f aca="false">IF(OR(B1127=0,B1127=99,C1127=""),"",IF(E1127="Per class",D1127,D1127*H1127))</f>
        <v>8</v>
      </c>
      <c r="N1127" s="0" t="str">
        <f aca="false">IF('Tech Leaders Kits'!B33="","",'Tech Leaders Kits'!B33)</f>
        <v>Passive Components &amp; ICs</v>
      </c>
      <c r="O1127" s="0" t="str">
        <f aca="false">IF('Tech Leaders Kits'!F33="","",'Tech Leaders Kits'!F33)</f>
        <v>Consumable</v>
      </c>
      <c r="P1127" s="0" t="str">
        <f aca="false">IF('Tech Leaders Kits'!G33="","",'Tech Leaders Kits'!G33)</f>
        <v/>
      </c>
    </row>
    <row r="1128" customFormat="false" ht="15" hidden="false" customHeight="false" outlineLevel="0" collapsed="false">
      <c r="A1128" s="0" t="s">
        <v>292</v>
      </c>
      <c r="B1128" s="0" t="n">
        <v>4</v>
      </c>
      <c r="C1128" s="0" t="str">
        <f aca="false">IF('Tech Leaders Kits'!C34="","",'Tech Leaders Kits'!C34)</f>
        <v>Potentiometer 10k</v>
      </c>
      <c r="D1128" s="0" t="n">
        <f aca="false">IF('Tech Leaders Kits'!D34="","",'Tech Leaders Kits'!D34)</f>
        <v>1</v>
      </c>
      <c r="E1128" s="0" t="str">
        <f aca="false">IF('Tech Leaders Kits'!E34="","",'Tech Leaders Kits'!E34)</f>
        <v>Per group</v>
      </c>
      <c r="F1128" s="0" t="str">
        <f aca="false">IFERROR(INDEX('Session Tracker'!$M$5:$M$149,MATCH($A1128,'Session Tracker'!$D$5:$D$149,0))+0,"")</f>
        <v/>
      </c>
      <c r="G1128" s="0" t="str">
        <f aca="false">IF(ISNUMBER(F1128),IF(OR(B1128=0,B1128=99,C1128&lt;&gt;""),F1128*100+B1128,""),"")</f>
        <v/>
      </c>
      <c r="H1128" s="0" t="n">
        <f aca="false">IFERROR(INDEX('Session Tracker'!$J$5:$J$149,MATCH($A1128,'Session Tracker'!$D$5:$D$149,0)),0)</f>
        <v>8</v>
      </c>
      <c r="I1128" s="0" t="n">
        <f aca="false">IF(OR(B1128=0,B1128=99,C1128=""),"",IF(E1128="Per class",D1128,D1128*H1128))</f>
        <v>8</v>
      </c>
      <c r="N1128" s="0" t="str">
        <f aca="false">IF('Tech Leaders Kits'!B34="","",'Tech Leaders Kits'!B34)</f>
        <v>Passive Components &amp; ICs</v>
      </c>
      <c r="O1128" s="0" t="str">
        <f aca="false">IF('Tech Leaders Kits'!F34="","",'Tech Leaders Kits'!F34)</f>
        <v>Reusable</v>
      </c>
      <c r="P1128" s="0" t="str">
        <f aca="false">IF('Tech Leaders Kits'!G34="","",'Tech Leaders Kits'!G34)</f>
        <v>ADC demo</v>
      </c>
    </row>
    <row r="1129" customFormat="false" ht="15" hidden="false" customHeight="false" outlineLevel="0" collapsed="false">
      <c r="A1129" s="0" t="s">
        <v>292</v>
      </c>
      <c r="B1129" s="0" t="n">
        <v>5</v>
      </c>
      <c r="C1129" s="0" t="str">
        <f aca="false">IF('Tech Leaders Kits'!C35="","",'Tech Leaders Kits'!C35)</f>
        <v>Breadboard (half size)</v>
      </c>
      <c r="D1129" s="0" t="n">
        <f aca="false">IF('Tech Leaders Kits'!D35="","",'Tech Leaders Kits'!D35)</f>
        <v>2</v>
      </c>
      <c r="E1129" s="0" t="str">
        <f aca="false">IF('Tech Leaders Kits'!E35="","",'Tech Leaders Kits'!E35)</f>
        <v>Per group</v>
      </c>
      <c r="F1129" s="0" t="str">
        <f aca="false">IFERROR(INDEX('Session Tracker'!$M$5:$M$149,MATCH($A1129,'Session Tracker'!$D$5:$D$149,0))+0,"")</f>
        <v/>
      </c>
      <c r="G1129" s="0" t="str">
        <f aca="false">IF(ISNUMBER(F1129),IF(OR(B1129=0,B1129=99,C1129&lt;&gt;""),F1129*100+B1129,""),"")</f>
        <v/>
      </c>
      <c r="H1129" s="0" t="n">
        <f aca="false">IFERROR(INDEX('Session Tracker'!$J$5:$J$149,MATCH($A1129,'Session Tracker'!$D$5:$D$149,0)),0)</f>
        <v>8</v>
      </c>
      <c r="I1129" s="0" t="n">
        <f aca="false">IF(OR(B1129=0,B1129=99,C1129=""),"",IF(E1129="Per class",D1129,D1129*H1129))</f>
        <v>16</v>
      </c>
      <c r="N1129" s="0" t="str">
        <f aca="false">IF('Tech Leaders Kits'!B35="","",'Tech Leaders Kits'!B35)</f>
        <v>Wiring &amp; Prototyping</v>
      </c>
      <c r="O1129" s="0" t="str">
        <f aca="false">IF('Tech Leaders Kits'!F35="","",'Tech Leaders Kits'!F35)</f>
        <v>Reusable</v>
      </c>
      <c r="P1129" s="0" t="str">
        <f aca="false">IF('Tech Leaders Kits'!G35="","",'Tech Leaders Kits'!G35)</f>
        <v>ESP32 is wide: bridge 2 boards</v>
      </c>
    </row>
    <row r="1130" customFormat="false" ht="15" hidden="false" customHeight="false" outlineLevel="0" collapsed="false">
      <c r="A1130" s="0" t="s">
        <v>292</v>
      </c>
      <c r="B1130" s="0" t="n">
        <v>6</v>
      </c>
      <c r="C1130" s="0" t="str">
        <f aca="false">IF('Tech Leaders Kits'!C36="","",'Tech Leaders Kits'!C36)</f>
        <v>Jumper wires M-M</v>
      </c>
      <c r="D1130" s="0" t="n">
        <f aca="false">IF('Tech Leaders Kits'!D36="","",'Tech Leaders Kits'!D36)</f>
        <v>6</v>
      </c>
      <c r="E1130" s="0" t="str">
        <f aca="false">IF('Tech Leaders Kits'!E36="","",'Tech Leaders Kits'!E36)</f>
        <v>Per group</v>
      </c>
      <c r="F1130" s="0" t="str">
        <f aca="false">IFERROR(INDEX('Session Tracker'!$M$5:$M$149,MATCH($A1130,'Session Tracker'!$D$5:$D$149,0))+0,"")</f>
        <v/>
      </c>
      <c r="G1130" s="0" t="str">
        <f aca="false">IF(ISNUMBER(F1130),IF(OR(B1130=0,B1130=99,C1130&lt;&gt;""),F1130*100+B1130,""),"")</f>
        <v/>
      </c>
      <c r="H1130" s="0" t="n">
        <f aca="false">IFERROR(INDEX('Session Tracker'!$J$5:$J$149,MATCH($A1130,'Session Tracker'!$D$5:$D$149,0)),0)</f>
        <v>8</v>
      </c>
      <c r="I1130" s="0" t="n">
        <f aca="false">IF(OR(B1130=0,B1130=99,C1130=""),"",IF(E1130="Per class",D1130,D1130*H1130))</f>
        <v>48</v>
      </c>
      <c r="N1130" s="0" t="str">
        <f aca="false">IF('Tech Leaders Kits'!B36="","",'Tech Leaders Kits'!B36)</f>
        <v>Wiring &amp; Prototyping</v>
      </c>
      <c r="O1130" s="0" t="str">
        <f aca="false">IF('Tech Leaders Kits'!F36="","",'Tech Leaders Kits'!F36)</f>
        <v>Reusable</v>
      </c>
      <c r="P1130" s="0" t="str">
        <f aca="false">IF('Tech Leaders Kits'!G36="","",'Tech Leaders Kits'!G36)</f>
        <v/>
      </c>
    </row>
    <row r="1131" customFormat="false" ht="15" hidden="false" customHeight="false" outlineLevel="0" collapsed="false">
      <c r="A1131" s="0" t="s">
        <v>292</v>
      </c>
      <c r="B1131" s="0" t="n">
        <v>7</v>
      </c>
      <c r="C1131" s="0" t="str">
        <f aca="false">IF('Tech Leaders Kits'!C37="","",'Tech Leaders Kits'!C37)</f>
        <v>Jumper wires M-F</v>
      </c>
      <c r="D1131" s="0" t="n">
        <f aca="false">IF('Tech Leaders Kits'!D37="","",'Tech Leaders Kits'!D37)</f>
        <v>4</v>
      </c>
      <c r="E1131" s="0" t="str">
        <f aca="false">IF('Tech Leaders Kits'!E37="","",'Tech Leaders Kits'!E37)</f>
        <v>Per group</v>
      </c>
      <c r="F1131" s="0" t="str">
        <f aca="false">IFERROR(INDEX('Session Tracker'!$M$5:$M$149,MATCH($A1131,'Session Tracker'!$D$5:$D$149,0))+0,"")</f>
        <v/>
      </c>
      <c r="G1131" s="0" t="str">
        <f aca="false">IF(ISNUMBER(F1131),IF(OR(B1131=0,B1131=99,C1131&lt;&gt;""),F1131*100+B1131,""),"")</f>
        <v/>
      </c>
      <c r="H1131" s="0" t="n">
        <f aca="false">IFERROR(INDEX('Session Tracker'!$J$5:$J$149,MATCH($A1131,'Session Tracker'!$D$5:$D$149,0)),0)</f>
        <v>8</v>
      </c>
      <c r="I1131" s="0" t="n">
        <f aca="false">IF(OR(B1131=0,B1131=99,C1131=""),"",IF(E1131="Per class",D1131,D1131*H1131))</f>
        <v>32</v>
      </c>
      <c r="N1131" s="0" t="str">
        <f aca="false">IF('Tech Leaders Kits'!B37="","",'Tech Leaders Kits'!B37)</f>
        <v>Wiring &amp; Prototyping</v>
      </c>
      <c r="O1131" s="0" t="str">
        <f aca="false">IF('Tech Leaders Kits'!F37="","",'Tech Leaders Kits'!F37)</f>
        <v>Reusable</v>
      </c>
      <c r="P1131" s="0" t="str">
        <f aca="false">IF('Tech Leaders Kits'!G37="","",'Tech Leaders Kits'!G37)</f>
        <v>Touch-pin demo</v>
      </c>
    </row>
    <row r="1132" customFormat="false" ht="15" hidden="false" customHeight="false" outlineLevel="0" collapsed="false">
      <c r="A1132" s="0" t="s">
        <v>292</v>
      </c>
      <c r="B1132" s="0" t="n">
        <v>8</v>
      </c>
      <c r="C1132" s="0" t="str">
        <f aca="false">IF('Tech Leaders Kits'!C38="","",'Tech Leaders Kits'!C38)</f>
        <v>Laptop</v>
      </c>
      <c r="D1132" s="0" t="n">
        <f aca="false">IF('Tech Leaders Kits'!D38="","",'Tech Leaders Kits'!D38)</f>
        <v>1</v>
      </c>
      <c r="E1132" s="0" t="str">
        <f aca="false">IF('Tech Leaders Kits'!E38="","",'Tech Leaders Kits'!E38)</f>
        <v>Per group</v>
      </c>
      <c r="F1132" s="0" t="str">
        <f aca="false">IFERROR(INDEX('Session Tracker'!$M$5:$M$149,MATCH($A1132,'Session Tracker'!$D$5:$D$149,0))+0,"")</f>
        <v/>
      </c>
      <c r="G1132" s="0" t="str">
        <f aca="false">IF(ISNUMBER(F1132),IF(OR(B1132=0,B1132=99,C1132&lt;&gt;""),F1132*100+B1132,""),"")</f>
        <v/>
      </c>
      <c r="H1132" s="0" t="n">
        <f aca="false">IFERROR(INDEX('Session Tracker'!$J$5:$J$149,MATCH($A1132,'Session Tracker'!$D$5:$D$149,0)),0)</f>
        <v>8</v>
      </c>
      <c r="I1132" s="0" t="n">
        <f aca="false">IF(OR(B1132=0,B1132=99,C1132=""),"",IF(E1132="Per class",D1132,D1132*H1132))</f>
        <v>8</v>
      </c>
      <c r="N1132" s="0" t="str">
        <f aca="false">IF('Tech Leaders Kits'!B38="","",'Tech Leaders Kits'!B38)</f>
        <v>Computers &amp; Equipment</v>
      </c>
      <c r="O1132" s="0" t="str">
        <f aca="false">IF('Tech Leaders Kits'!F38="","",'Tech Leaders Kits'!F38)</f>
        <v>Reusable</v>
      </c>
      <c r="P1132" s="0" t="str">
        <f aca="false">IF('Tech Leaders Kits'!G38="","",'Tech Leaders Kits'!G38)</f>
        <v/>
      </c>
    </row>
    <row r="1133" customFormat="false" ht="15" hidden="false" customHeight="false" outlineLevel="0" collapsed="false">
      <c r="A1133" s="0" t="s">
        <v>292</v>
      </c>
      <c r="B1133" s="0" t="n">
        <v>9</v>
      </c>
      <c r="C1133" s="0" t="str">
        <f aca="false">IF('Tech Leaders Kits'!C39="","",'Tech Leaders Kits'!C39)</f>
        <v>Android smartphone</v>
      </c>
      <c r="D1133" s="0" t="n">
        <f aca="false">IF('Tech Leaders Kits'!D39="","",'Tech Leaders Kits'!D39)</f>
        <v>1</v>
      </c>
      <c r="E1133" s="0" t="str">
        <f aca="false">IF('Tech Leaders Kits'!E39="","",'Tech Leaders Kits'!E39)</f>
        <v>Per class</v>
      </c>
      <c r="F1133" s="0" t="str">
        <f aca="false">IFERROR(INDEX('Session Tracker'!$M$5:$M$149,MATCH($A1133,'Session Tracker'!$D$5:$D$149,0))+0,"")</f>
        <v/>
      </c>
      <c r="G1133" s="0" t="str">
        <f aca="false">IF(ISNUMBER(F1133),IF(OR(B1133=0,B1133=99,C1133&lt;&gt;""),F1133*100+B1133,""),"")</f>
        <v/>
      </c>
      <c r="H1133" s="0" t="n">
        <f aca="false">IFERROR(INDEX('Session Tracker'!$J$5:$J$149,MATCH($A1133,'Session Tracker'!$D$5:$D$149,0)),0)</f>
        <v>8</v>
      </c>
      <c r="I1133" s="0" t="n">
        <f aca="false">IF(OR(B1133=0,B1133=99,C1133=""),"",IF(E1133="Per class",D1133,D1133*H1133))</f>
        <v>1</v>
      </c>
      <c r="N1133" s="0" t="str">
        <f aca="false">IF('Tech Leaders Kits'!B39="","",'Tech Leaders Kits'!B39)</f>
        <v>Computers &amp; Equipment</v>
      </c>
      <c r="O1133" s="0" t="str">
        <f aca="false">IF('Tech Leaders Kits'!F39="","",'Tech Leaders Kits'!F39)</f>
        <v>Reusable</v>
      </c>
      <c r="P1133" s="0" t="str">
        <f aca="false">IF('Tech Leaders Kits'!G39="","",'Tech Leaders Kits'!G39)</f>
        <v>Wi-Fi / Bluetooth demo</v>
      </c>
    </row>
    <row r="1134" customFormat="false" ht="15" hidden="false" customHeight="false" outlineLevel="0" collapsed="false">
      <c r="A1134" s="0" t="s">
        <v>292</v>
      </c>
      <c r="B1134" s="0" t="n">
        <v>10</v>
      </c>
      <c r="C1134" s="0" t="str">
        <f aca="false">IF('Tech Leaders Kits'!C40="","",'Tech Leaders Kits'!C40)</f>
        <v/>
      </c>
      <c r="D1134" s="0" t="str">
        <f aca="false">IF('Tech Leaders Kits'!D40="","",'Tech Leaders Kits'!D40)</f>
        <v/>
      </c>
      <c r="E1134" s="0" t="str">
        <f aca="false">IF('Tech Leaders Kits'!E40="","",'Tech Leaders Kits'!E40)</f>
        <v/>
      </c>
      <c r="F1134" s="0" t="str">
        <f aca="false">IFERROR(INDEX('Session Tracker'!$M$5:$M$149,MATCH($A1134,'Session Tracker'!$D$5:$D$149,0))+0,"")</f>
        <v/>
      </c>
      <c r="G1134" s="0" t="str">
        <f aca="false">IF(ISNUMBER(F1134),IF(OR(B1134=0,B1134=99,C1134&lt;&gt;""),F1134*100+B1134,""),"")</f>
        <v/>
      </c>
      <c r="H1134" s="0" t="n">
        <f aca="false">IFERROR(INDEX('Session Tracker'!$J$5:$J$149,MATCH($A1134,'Session Tracker'!$D$5:$D$149,0)),0)</f>
        <v>8</v>
      </c>
      <c r="I1134" s="0" t="str">
        <f aca="false">IF(OR(B1134=0,B1134=99,C1134=""),"",IF(E1134="Per class",D1134,D1134*H1134))</f>
        <v/>
      </c>
      <c r="N1134" s="0" t="str">
        <f aca="false">IF('Tech Leaders Kits'!B40="","",'Tech Leaders Kits'!B40)</f>
        <v/>
      </c>
      <c r="O1134" s="0" t="str">
        <f aca="false">IF('Tech Leaders Kits'!F40="","",'Tech Leaders Kits'!F40)</f>
        <v/>
      </c>
      <c r="P1134" s="0" t="str">
        <f aca="false">IF('Tech Leaders Kits'!G40="","",'Tech Leaders Kits'!G40)</f>
        <v/>
      </c>
    </row>
    <row r="1135" customFormat="false" ht="15" hidden="false" customHeight="false" outlineLevel="0" collapsed="false">
      <c r="A1135" s="0" t="s">
        <v>292</v>
      </c>
      <c r="B1135" s="0" t="n">
        <v>11</v>
      </c>
      <c r="C1135" s="0" t="str">
        <f aca="false">IF('Tech Leaders Kits'!C41="","",'Tech Leaders Kits'!C41)</f>
        <v/>
      </c>
      <c r="D1135" s="0" t="str">
        <f aca="false">IF('Tech Leaders Kits'!D41="","",'Tech Leaders Kits'!D41)</f>
        <v/>
      </c>
      <c r="E1135" s="0" t="str">
        <f aca="false">IF('Tech Leaders Kits'!E41="","",'Tech Leaders Kits'!E41)</f>
        <v/>
      </c>
      <c r="F1135" s="0" t="str">
        <f aca="false">IFERROR(INDEX('Session Tracker'!$M$5:$M$149,MATCH($A1135,'Session Tracker'!$D$5:$D$149,0))+0,"")</f>
        <v/>
      </c>
      <c r="G1135" s="0" t="str">
        <f aca="false">IF(ISNUMBER(F1135),IF(OR(B1135=0,B1135=99,C1135&lt;&gt;""),F1135*100+B1135,""),"")</f>
        <v/>
      </c>
      <c r="H1135" s="0" t="n">
        <f aca="false">IFERROR(INDEX('Session Tracker'!$J$5:$J$149,MATCH($A1135,'Session Tracker'!$D$5:$D$149,0)),0)</f>
        <v>8</v>
      </c>
      <c r="I1135" s="0" t="str">
        <f aca="false">IF(OR(B1135=0,B1135=99,C1135=""),"",IF(E1135="Per class",D1135,D1135*H1135))</f>
        <v/>
      </c>
      <c r="N1135" s="0" t="str">
        <f aca="false">IF('Tech Leaders Kits'!B41="","",'Tech Leaders Kits'!B41)</f>
        <v/>
      </c>
      <c r="O1135" s="0" t="str">
        <f aca="false">IF('Tech Leaders Kits'!F41="","",'Tech Leaders Kits'!F41)</f>
        <v/>
      </c>
      <c r="P1135" s="0" t="str">
        <f aca="false">IF('Tech Leaders Kits'!G41="","",'Tech Leaders Kits'!G41)</f>
        <v/>
      </c>
    </row>
    <row r="1136" customFormat="false" ht="15" hidden="false" customHeight="false" outlineLevel="0" collapsed="false">
      <c r="A1136" s="0" t="s">
        <v>293</v>
      </c>
      <c r="B1136" s="0" t="n">
        <v>0</v>
      </c>
      <c r="F1136" s="0" t="str">
        <f aca="false">IFERROR(INDEX('Session Tracker'!$M$5:$M$149,MATCH($A1136,'Session Tracker'!$D$5:$D$149,0))+0,"")</f>
        <v/>
      </c>
      <c r="G1136" s="0" t="str">
        <f aca="false">IF(ISNUMBER(F1136),IF(OR(B1136=0,B1136=99,C1136&lt;&gt;""),F1136*100+B1136,""),"")</f>
        <v/>
      </c>
      <c r="H1136" s="0" t="n">
        <f aca="false">IFERROR(INDEX('Session Tracker'!$J$5:$J$149,MATCH($A1136,'Session Tracker'!$D$5:$D$149,0)),0)</f>
        <v>8</v>
      </c>
      <c r="I1136" s="0" t="str">
        <f aca="false">IF(OR(B1136=0,B1136=99,C1136=""),"",IF(E1136="Per class",D1136,D1136*H1136))</f>
        <v/>
      </c>
      <c r="K1136" s="0" t="str">
        <f aca="false">IFERROR(INDEX('Session Tracker'!$E$5:$E$149,MATCH($A1136,'Session Tracker'!$D$5:$D$149,0)),"")</f>
        <v>3D Modelling and Printing</v>
      </c>
      <c r="L1136" s="0" t="str">
        <f aca="false">IFERROR(INDEX('Session Tracker'!$A$5:$A$149,MATCH($A1136,'Session Tracker'!$D$5:$D$149,0)),"")</f>
        <v>Tech Leaders (15-17)</v>
      </c>
      <c r="M1136" s="0" t="str">
        <f aca="false">IFERROR(INDEX('Session Tracker'!$H$5:$H$149,MATCH($A1136,'Session Tracker'!$D$5:$D$149,0))&amp;"","")</f>
        <v/>
      </c>
      <c r="Q1136" s="0" t="str">
        <f aca="false">IFERROR("Status: "&amp;INDEX('Session Tracker'!$F$5:$F$149,MATCH($A1136,'Session Tracker'!$D$5:$D$149,0))&amp;IF(INDEX('Session Tracker'!$G$5:$G$149,MATCH($A1136,'Session Tracker'!$D$5:$D$149,0))&lt;&gt;""," ("&amp;INDEX('Session Tracker'!$G$5:$G$149,MATCH($A1136,'Session Tracker'!$D$5:$D$149,0))&amp;")","")&amp;IF(M1136&lt;&gt;"","  "&amp;M1136,""),"")</f>
        <v>Status: Not started</v>
      </c>
    </row>
    <row r="1137" customFormat="false" ht="15" hidden="false" customHeight="false" outlineLevel="0" collapsed="false">
      <c r="A1137" s="0" t="s">
        <v>293</v>
      </c>
      <c r="B1137" s="0" t="n">
        <v>1</v>
      </c>
      <c r="C1137" s="0" t="str">
        <f aca="false">IF('Tech Leaders Kits'!C44="","",'Tech Leaders Kits'!C44)</f>
        <v>Laptop</v>
      </c>
      <c r="D1137" s="0" t="n">
        <f aca="false">IF('Tech Leaders Kits'!D44="","",'Tech Leaders Kits'!D44)</f>
        <v>1</v>
      </c>
      <c r="E1137" s="0" t="str">
        <f aca="false">IF('Tech Leaders Kits'!E44="","",'Tech Leaders Kits'!E44)</f>
        <v>Per group</v>
      </c>
      <c r="F1137" s="0" t="str">
        <f aca="false">IFERROR(INDEX('Session Tracker'!$M$5:$M$149,MATCH($A1137,'Session Tracker'!$D$5:$D$149,0))+0,"")</f>
        <v/>
      </c>
      <c r="G1137" s="0" t="str">
        <f aca="false">IF(ISNUMBER(F1137),IF(OR(B1137=0,B1137=99,C1137&lt;&gt;""),F1137*100+B1137,""),"")</f>
        <v/>
      </c>
      <c r="H1137" s="0" t="n">
        <f aca="false">IFERROR(INDEX('Session Tracker'!$J$5:$J$149,MATCH($A1137,'Session Tracker'!$D$5:$D$149,0)),0)</f>
        <v>8</v>
      </c>
      <c r="I1137" s="0" t="n">
        <f aca="false">IF(OR(B1137=0,B1137=99,C1137=""),"",IF(E1137="Per class",D1137,D1137*H1137))</f>
        <v>8</v>
      </c>
      <c r="N1137" s="0" t="str">
        <f aca="false">IF('Tech Leaders Kits'!B44="","",'Tech Leaders Kits'!B44)</f>
        <v>Computers &amp; Equipment</v>
      </c>
      <c r="O1137" s="0" t="str">
        <f aca="false">IF('Tech Leaders Kits'!F44="","",'Tech Leaders Kits'!F44)</f>
        <v>Reusable</v>
      </c>
      <c r="P1137" s="0" t="str">
        <f aca="false">IF('Tech Leaders Kits'!G44="","",'Tech Leaders Kits'!G44)</f>
        <v>Tinkercad in the browser</v>
      </c>
    </row>
    <row r="1138" customFormat="false" ht="15" hidden="false" customHeight="false" outlineLevel="0" collapsed="false">
      <c r="A1138" s="0" t="s">
        <v>293</v>
      </c>
      <c r="B1138" s="0" t="n">
        <v>2</v>
      </c>
      <c r="C1138" s="0" t="str">
        <f aca="false">IF('Tech Leaders Kits'!C45="","",'Tech Leaders Kits'!C45)</f>
        <v>3D printer</v>
      </c>
      <c r="D1138" s="0" t="n">
        <f aca="false">IF('Tech Leaders Kits'!D45="","",'Tech Leaders Kits'!D45)</f>
        <v>1</v>
      </c>
      <c r="E1138" s="0" t="str">
        <f aca="false">IF('Tech Leaders Kits'!E45="","",'Tech Leaders Kits'!E45)</f>
        <v>Per class</v>
      </c>
      <c r="F1138" s="0" t="str">
        <f aca="false">IFERROR(INDEX('Session Tracker'!$M$5:$M$149,MATCH($A1138,'Session Tracker'!$D$5:$D$149,0))+0,"")</f>
        <v/>
      </c>
      <c r="G1138" s="0" t="str">
        <f aca="false">IF(ISNUMBER(F1138),IF(OR(B1138=0,B1138=99,C1138&lt;&gt;""),F1138*100+B1138,""),"")</f>
        <v/>
      </c>
      <c r="H1138" s="0" t="n">
        <f aca="false">IFERROR(INDEX('Session Tracker'!$J$5:$J$149,MATCH($A1138,'Session Tracker'!$D$5:$D$149,0)),0)</f>
        <v>8</v>
      </c>
      <c r="I1138" s="0" t="n">
        <f aca="false">IF(OR(B1138=0,B1138=99,C1138=""),"",IF(E1138="Per class",D1138,D1138*H1138))</f>
        <v>1</v>
      </c>
      <c r="N1138" s="0" t="str">
        <f aca="false">IF('Tech Leaders Kits'!B45="","",'Tech Leaders Kits'!B45)</f>
        <v>Computers &amp; Equipment</v>
      </c>
      <c r="O1138" s="0" t="str">
        <f aca="false">IF('Tech Leaders Kits'!F45="","",'Tech Leaders Kits'!F45)</f>
        <v>Reusable</v>
      </c>
      <c r="P1138" s="0" t="str">
        <f aca="false">IF('Tech Leaders Kits'!G45="","",'Tech Leaders Kits'!G45)</f>
        <v/>
      </c>
    </row>
    <row r="1139" customFormat="false" ht="15" hidden="false" customHeight="false" outlineLevel="0" collapsed="false">
      <c r="A1139" s="0" t="s">
        <v>293</v>
      </c>
      <c r="B1139" s="0" t="n">
        <v>3</v>
      </c>
      <c r="C1139" s="0" t="str">
        <f aca="false">IF('Tech Leaders Kits'!C46="","",'Tech Leaders Kits'!C46)</f>
        <v>PLA filament</v>
      </c>
      <c r="D1139" s="0" t="n">
        <f aca="false">IF('Tech Leaders Kits'!D46="","",'Tech Leaders Kits'!D46)</f>
        <v>1</v>
      </c>
      <c r="E1139" s="0" t="str">
        <f aca="false">IF('Tech Leaders Kits'!E46="","",'Tech Leaders Kits'!E46)</f>
        <v>Per class</v>
      </c>
      <c r="F1139" s="0" t="str">
        <f aca="false">IFERROR(INDEX('Session Tracker'!$M$5:$M$149,MATCH($A1139,'Session Tracker'!$D$5:$D$149,0))+0,"")</f>
        <v/>
      </c>
      <c r="G1139" s="0" t="str">
        <f aca="false">IF(ISNUMBER(F1139),IF(OR(B1139=0,B1139=99,C1139&lt;&gt;""),F1139*100+B1139,""),"")</f>
        <v/>
      </c>
      <c r="H1139" s="0" t="n">
        <f aca="false">IFERROR(INDEX('Session Tracker'!$J$5:$J$149,MATCH($A1139,'Session Tracker'!$D$5:$D$149,0)),0)</f>
        <v>8</v>
      </c>
      <c r="I1139" s="0" t="n">
        <f aca="false">IF(OR(B1139=0,B1139=99,C1139=""),"",IF(E1139="Per class",D1139,D1139*H1139))</f>
        <v>1</v>
      </c>
      <c r="N1139" s="0" t="str">
        <f aca="false">IF('Tech Leaders Kits'!B46="","",'Tech Leaders Kits'!B46)</f>
        <v>Computers &amp; Equipment</v>
      </c>
      <c r="O1139" s="0" t="str">
        <f aca="false">IF('Tech Leaders Kits'!F46="","",'Tech Leaders Kits'!F46)</f>
        <v>Consumable</v>
      </c>
      <c r="P1139" s="0" t="str">
        <f aca="false">IF('Tech Leaders Kits'!G46="","",'Tech Leaders Kits'!G46)</f>
        <v>1 spool</v>
      </c>
    </row>
    <row r="1140" customFormat="false" ht="15" hidden="false" customHeight="false" outlineLevel="0" collapsed="false">
      <c r="A1140" s="0" t="s">
        <v>293</v>
      </c>
      <c r="B1140" s="0" t="n">
        <v>4</v>
      </c>
      <c r="C1140" s="0" t="str">
        <f aca="false">IF('Tech Leaders Kits'!C47="","",'Tech Leaders Kits'!C47)</f>
        <v>Screwdriver set</v>
      </c>
      <c r="D1140" s="0" t="n">
        <f aca="false">IF('Tech Leaders Kits'!D47="","",'Tech Leaders Kits'!D47)</f>
        <v>1</v>
      </c>
      <c r="E1140" s="0" t="str">
        <f aca="false">IF('Tech Leaders Kits'!E47="","",'Tech Leaders Kits'!E47)</f>
        <v>Per class</v>
      </c>
      <c r="F1140" s="0" t="str">
        <f aca="false">IFERROR(INDEX('Session Tracker'!$M$5:$M$149,MATCH($A1140,'Session Tracker'!$D$5:$D$149,0))+0,"")</f>
        <v/>
      </c>
      <c r="G1140" s="0" t="str">
        <f aca="false">IF(ISNUMBER(F1140),IF(OR(B1140=0,B1140=99,C1140&lt;&gt;""),F1140*100+B1140,""),"")</f>
        <v/>
      </c>
      <c r="H1140" s="0" t="n">
        <f aca="false">IFERROR(INDEX('Session Tracker'!$J$5:$J$149,MATCH($A1140,'Session Tracker'!$D$5:$D$149,0)),0)</f>
        <v>8</v>
      </c>
      <c r="I1140" s="0" t="n">
        <f aca="false">IF(OR(B1140=0,B1140=99,C1140=""),"",IF(E1140="Per class",D1140,D1140*H1140))</f>
        <v>1</v>
      </c>
      <c r="N1140" s="0" t="str">
        <f aca="false">IF('Tech Leaders Kits'!B47="","",'Tech Leaders Kits'!B47)</f>
        <v>Computers &amp; Equipment</v>
      </c>
      <c r="O1140" s="0" t="str">
        <f aca="false">IF('Tech Leaders Kits'!F47="","",'Tech Leaders Kits'!F47)</f>
        <v>Reusable</v>
      </c>
      <c r="P1140" s="0" t="str">
        <f aca="false">IF('Tech Leaders Kits'!G47="","",'Tech Leaders Kits'!G47)</f>
        <v>Scraper / print removal</v>
      </c>
    </row>
    <row r="1141" customFormat="false" ht="15" hidden="false" customHeight="false" outlineLevel="0" collapsed="false">
      <c r="A1141" s="0" t="s">
        <v>293</v>
      </c>
      <c r="B1141" s="0" t="n">
        <v>5</v>
      </c>
      <c r="C1141" s="0" t="str">
        <f aca="false">IF('Tech Leaders Kits'!C48="","",'Tech Leaders Kits'!C48)</f>
        <v/>
      </c>
      <c r="D1141" s="0" t="str">
        <f aca="false">IF('Tech Leaders Kits'!D48="","",'Tech Leaders Kits'!D48)</f>
        <v/>
      </c>
      <c r="E1141" s="0" t="str">
        <f aca="false">IF('Tech Leaders Kits'!E48="","",'Tech Leaders Kits'!E48)</f>
        <v/>
      </c>
      <c r="F1141" s="0" t="str">
        <f aca="false">IFERROR(INDEX('Session Tracker'!$M$5:$M$149,MATCH($A1141,'Session Tracker'!$D$5:$D$149,0))+0,"")</f>
        <v/>
      </c>
      <c r="G1141" s="0" t="str">
        <f aca="false">IF(ISNUMBER(F1141),IF(OR(B1141=0,B1141=99,C1141&lt;&gt;""),F1141*100+B1141,""),"")</f>
        <v/>
      </c>
      <c r="H1141" s="0" t="n">
        <f aca="false">IFERROR(INDEX('Session Tracker'!$J$5:$J$149,MATCH($A1141,'Session Tracker'!$D$5:$D$149,0)),0)</f>
        <v>8</v>
      </c>
      <c r="I1141" s="0" t="str">
        <f aca="false">IF(OR(B1141=0,B1141=99,C1141=""),"",IF(E1141="Per class",D1141,D1141*H1141))</f>
        <v/>
      </c>
      <c r="N1141" s="0" t="str">
        <f aca="false">IF('Tech Leaders Kits'!B48="","",'Tech Leaders Kits'!B48)</f>
        <v/>
      </c>
      <c r="O1141" s="0" t="str">
        <f aca="false">IF('Tech Leaders Kits'!F48="","",'Tech Leaders Kits'!F48)</f>
        <v/>
      </c>
      <c r="P1141" s="0" t="str">
        <f aca="false">IF('Tech Leaders Kits'!G48="","",'Tech Leaders Kits'!G48)</f>
        <v/>
      </c>
    </row>
    <row r="1142" customFormat="false" ht="15" hidden="false" customHeight="false" outlineLevel="0" collapsed="false">
      <c r="A1142" s="0" t="s">
        <v>293</v>
      </c>
      <c r="B1142" s="0" t="n">
        <v>6</v>
      </c>
      <c r="C1142" s="0" t="str">
        <f aca="false">IF('Tech Leaders Kits'!C49="","",'Tech Leaders Kits'!C49)</f>
        <v/>
      </c>
      <c r="D1142" s="0" t="str">
        <f aca="false">IF('Tech Leaders Kits'!D49="","",'Tech Leaders Kits'!D49)</f>
        <v/>
      </c>
      <c r="E1142" s="0" t="str">
        <f aca="false">IF('Tech Leaders Kits'!E49="","",'Tech Leaders Kits'!E49)</f>
        <v/>
      </c>
      <c r="F1142" s="0" t="str">
        <f aca="false">IFERROR(INDEX('Session Tracker'!$M$5:$M$149,MATCH($A1142,'Session Tracker'!$D$5:$D$149,0))+0,"")</f>
        <v/>
      </c>
      <c r="G1142" s="0" t="str">
        <f aca="false">IF(ISNUMBER(F1142),IF(OR(B1142=0,B1142=99,C1142&lt;&gt;""),F1142*100+B1142,""),"")</f>
        <v/>
      </c>
      <c r="H1142" s="0" t="n">
        <f aca="false">IFERROR(INDEX('Session Tracker'!$J$5:$J$149,MATCH($A1142,'Session Tracker'!$D$5:$D$149,0)),0)</f>
        <v>8</v>
      </c>
      <c r="I1142" s="0" t="str">
        <f aca="false">IF(OR(B1142=0,B1142=99,C1142=""),"",IF(E1142="Per class",D1142,D1142*H1142))</f>
        <v/>
      </c>
      <c r="N1142" s="0" t="str">
        <f aca="false">IF('Tech Leaders Kits'!B49="","",'Tech Leaders Kits'!B49)</f>
        <v/>
      </c>
      <c r="O1142" s="0" t="str">
        <f aca="false">IF('Tech Leaders Kits'!F49="","",'Tech Leaders Kits'!F49)</f>
        <v/>
      </c>
      <c r="P1142" s="0" t="str">
        <f aca="false">IF('Tech Leaders Kits'!G49="","",'Tech Leaders Kits'!G49)</f>
        <v/>
      </c>
    </row>
    <row r="1143" customFormat="false" ht="15" hidden="false" customHeight="false" outlineLevel="0" collapsed="false">
      <c r="A1143" s="0" t="s">
        <v>294</v>
      </c>
      <c r="B1143" s="0" t="n">
        <v>0</v>
      </c>
      <c r="F1143" s="0" t="str">
        <f aca="false">IFERROR(INDEX('Session Tracker'!$M$5:$M$149,MATCH($A1143,'Session Tracker'!$D$5:$D$149,0))+0,"")</f>
        <v/>
      </c>
      <c r="G1143" s="0" t="str">
        <f aca="false">IF(ISNUMBER(F1143),IF(OR(B1143=0,B1143=99,C1143&lt;&gt;""),F1143*100+B1143,""),"")</f>
        <v/>
      </c>
      <c r="H1143" s="0" t="n">
        <f aca="false">IFERROR(INDEX('Session Tracker'!$J$5:$J$149,MATCH($A1143,'Session Tracker'!$D$5:$D$149,0)),0)</f>
        <v>8</v>
      </c>
      <c r="I1143" s="0" t="str">
        <f aca="false">IF(OR(B1143=0,B1143=99,C1143=""),"",IF(E1143="Per class",D1143,D1143*H1143))</f>
        <v/>
      </c>
      <c r="K1143" s="0" t="str">
        <f aca="false">IFERROR(INDEX('Session Tracker'!$E$5:$E$149,MATCH($A1143,'Session Tracker'!$D$5:$D$149,0)),"")</f>
        <v>Solar-Powered Off-Grid Weather Node</v>
      </c>
      <c r="L1143" s="0" t="str">
        <f aca="false">IFERROR(INDEX('Session Tracker'!$A$5:$A$149,MATCH($A1143,'Session Tracker'!$D$5:$D$149,0)),"")</f>
        <v>Tech Leaders (15-17)</v>
      </c>
      <c r="M1143" s="0" t="str">
        <f aca="false">IFERROR(INDEX('Session Tracker'!$H$5:$H$149,MATCH($A1143,'Session Tracker'!$D$5:$D$149,0))&amp;"","")</f>
        <v/>
      </c>
      <c r="Q1143" s="0" t="str">
        <f aca="false">IFERROR("Status: "&amp;INDEX('Session Tracker'!$F$5:$F$149,MATCH($A1143,'Session Tracker'!$D$5:$D$149,0))&amp;IF(INDEX('Session Tracker'!$G$5:$G$149,MATCH($A1143,'Session Tracker'!$D$5:$D$149,0))&lt;&gt;""," ("&amp;INDEX('Session Tracker'!$G$5:$G$149,MATCH($A1143,'Session Tracker'!$D$5:$D$149,0))&amp;")","")&amp;IF(M1143&lt;&gt;"","  "&amp;M1143,""),"")</f>
        <v>Status: Not started</v>
      </c>
    </row>
    <row r="1144" customFormat="false" ht="15" hidden="false" customHeight="false" outlineLevel="0" collapsed="false">
      <c r="A1144" s="0" t="s">
        <v>294</v>
      </c>
      <c r="B1144" s="0" t="n">
        <v>1</v>
      </c>
      <c r="C1144" s="0" t="str">
        <f aca="false">IF('Tech Leaders Kits'!C52="","",'Tech Leaders Kits'!C52)</f>
        <v>ESP32 Dev Board + USB cable</v>
      </c>
      <c r="D1144" s="0" t="n">
        <f aca="false">IF('Tech Leaders Kits'!D52="","",'Tech Leaders Kits'!D52)</f>
        <v>1</v>
      </c>
      <c r="E1144" s="0" t="str">
        <f aca="false">IF('Tech Leaders Kits'!E52="","",'Tech Leaders Kits'!E52)</f>
        <v>Per group</v>
      </c>
      <c r="F1144" s="0" t="str">
        <f aca="false">IFERROR(INDEX('Session Tracker'!$M$5:$M$149,MATCH($A1144,'Session Tracker'!$D$5:$D$149,0))+0,"")</f>
        <v/>
      </c>
      <c r="G1144" s="0" t="str">
        <f aca="false">IF(ISNUMBER(F1144),IF(OR(B1144=0,B1144=99,C1144&lt;&gt;""),F1144*100+B1144,""),"")</f>
        <v/>
      </c>
      <c r="H1144" s="0" t="n">
        <f aca="false">IFERROR(INDEX('Session Tracker'!$J$5:$J$149,MATCH($A1144,'Session Tracker'!$D$5:$D$149,0)),0)</f>
        <v>8</v>
      </c>
      <c r="I1144" s="0" t="n">
        <f aca="false">IF(OR(B1144=0,B1144=99,C1144=""),"",IF(E1144="Per class",D1144,D1144*H1144))</f>
        <v>8</v>
      </c>
      <c r="N1144" s="0" t="str">
        <f aca="false">IF('Tech Leaders Kits'!B52="","",'Tech Leaders Kits'!B52)</f>
        <v>Microcontrollers &amp; Dev Boards</v>
      </c>
      <c r="O1144" s="0" t="str">
        <f aca="false">IF('Tech Leaders Kits'!F52="","",'Tech Leaders Kits'!F52)</f>
        <v>Reusable</v>
      </c>
      <c r="P1144" s="0" t="str">
        <f aca="false">IF('Tech Leaders Kits'!G52="","",'Tech Leaders Kits'!G52)</f>
        <v/>
      </c>
    </row>
    <row r="1145" customFormat="false" ht="15" hidden="false" customHeight="false" outlineLevel="0" collapsed="false">
      <c r="A1145" s="0" t="s">
        <v>294</v>
      </c>
      <c r="B1145" s="0" t="n">
        <v>2</v>
      </c>
      <c r="C1145" s="0" t="str">
        <f aca="false">IF('Tech Leaders Kits'!C53="","",'Tech Leaders Kits'!C53)</f>
        <v>Small solar panel</v>
      </c>
      <c r="D1145" s="0" t="n">
        <f aca="false">IF('Tech Leaders Kits'!D53="","",'Tech Leaders Kits'!D53)</f>
        <v>1</v>
      </c>
      <c r="E1145" s="0" t="str">
        <f aca="false">IF('Tech Leaders Kits'!E53="","",'Tech Leaders Kits'!E53)</f>
        <v>Per group</v>
      </c>
      <c r="F1145" s="0" t="str">
        <f aca="false">IFERROR(INDEX('Session Tracker'!$M$5:$M$149,MATCH($A1145,'Session Tracker'!$D$5:$D$149,0))+0,"")</f>
        <v/>
      </c>
      <c r="G1145" s="0" t="str">
        <f aca="false">IF(ISNUMBER(F1145),IF(OR(B1145=0,B1145=99,C1145&lt;&gt;""),F1145*100+B1145,""),"")</f>
        <v/>
      </c>
      <c r="H1145" s="0" t="n">
        <f aca="false">IFERROR(INDEX('Session Tracker'!$J$5:$J$149,MATCH($A1145,'Session Tracker'!$D$5:$D$149,0)),0)</f>
        <v>8</v>
      </c>
      <c r="I1145" s="0" t="n">
        <f aca="false">IF(OR(B1145=0,B1145=99,C1145=""),"",IF(E1145="Per class",D1145,D1145*H1145))</f>
        <v>8</v>
      </c>
      <c r="N1145" s="0" t="str">
        <f aca="false">IF('Tech Leaders Kits'!B53="","",'Tech Leaders Kits'!B53)</f>
        <v>Power</v>
      </c>
      <c r="O1145" s="0" t="str">
        <f aca="false">IF('Tech Leaders Kits'!F53="","",'Tech Leaders Kits'!F53)</f>
        <v>Reusable</v>
      </c>
      <c r="P1145" s="0" t="str">
        <f aca="false">IF('Tech Leaders Kits'!G53="","",'Tech Leaders Kits'!G53)</f>
        <v/>
      </c>
    </row>
    <row r="1146" customFormat="false" ht="15" hidden="false" customHeight="false" outlineLevel="0" collapsed="false">
      <c r="A1146" s="0" t="s">
        <v>294</v>
      </c>
      <c r="B1146" s="0" t="n">
        <v>3</v>
      </c>
      <c r="C1146" s="0" t="str">
        <f aca="false">IF('Tech Leaders Kits'!C54="","",'Tech Leaders Kits'!C54)</f>
        <v>TP4056 charger module</v>
      </c>
      <c r="D1146" s="0" t="n">
        <f aca="false">IF('Tech Leaders Kits'!D54="","",'Tech Leaders Kits'!D54)</f>
        <v>1</v>
      </c>
      <c r="E1146" s="0" t="str">
        <f aca="false">IF('Tech Leaders Kits'!E54="","",'Tech Leaders Kits'!E54)</f>
        <v>Per group</v>
      </c>
      <c r="F1146" s="0" t="str">
        <f aca="false">IFERROR(INDEX('Session Tracker'!$M$5:$M$149,MATCH($A1146,'Session Tracker'!$D$5:$D$149,0))+0,"")</f>
        <v/>
      </c>
      <c r="G1146" s="0" t="str">
        <f aca="false">IF(ISNUMBER(F1146),IF(OR(B1146=0,B1146=99,C1146&lt;&gt;""),F1146*100+B1146,""),"")</f>
        <v/>
      </c>
      <c r="H1146" s="0" t="n">
        <f aca="false">IFERROR(INDEX('Session Tracker'!$J$5:$J$149,MATCH($A1146,'Session Tracker'!$D$5:$D$149,0)),0)</f>
        <v>8</v>
      </c>
      <c r="I1146" s="0" t="n">
        <f aca="false">IF(OR(B1146=0,B1146=99,C1146=""),"",IF(E1146="Per class",D1146,D1146*H1146))</f>
        <v>8</v>
      </c>
      <c r="N1146" s="0" t="str">
        <f aca="false">IF('Tech Leaders Kits'!B54="","",'Tech Leaders Kits'!B54)</f>
        <v>Power</v>
      </c>
      <c r="O1146" s="0" t="str">
        <f aca="false">IF('Tech Leaders Kits'!F54="","",'Tech Leaders Kits'!F54)</f>
        <v>Reusable</v>
      </c>
      <c r="P1146" s="0" t="str">
        <f aca="false">IF('Tech Leaders Kits'!G54="","",'Tech Leaders Kits'!G54)</f>
        <v/>
      </c>
    </row>
    <row r="1147" customFormat="false" ht="15" hidden="false" customHeight="false" outlineLevel="0" collapsed="false">
      <c r="A1147" s="0" t="s">
        <v>294</v>
      </c>
      <c r="B1147" s="0" t="n">
        <v>4</v>
      </c>
      <c r="C1147" s="0" t="str">
        <f aca="false">IF('Tech Leaders Kits'!C55="","",'Tech Leaders Kits'!C55)</f>
        <v>18650 cell + holder</v>
      </c>
      <c r="D1147" s="0" t="n">
        <f aca="false">IF('Tech Leaders Kits'!D55="","",'Tech Leaders Kits'!D55)</f>
        <v>1</v>
      </c>
      <c r="E1147" s="0" t="str">
        <f aca="false">IF('Tech Leaders Kits'!E55="","",'Tech Leaders Kits'!E55)</f>
        <v>Per group</v>
      </c>
      <c r="F1147" s="0" t="str">
        <f aca="false">IFERROR(INDEX('Session Tracker'!$M$5:$M$149,MATCH($A1147,'Session Tracker'!$D$5:$D$149,0))+0,"")</f>
        <v/>
      </c>
      <c r="G1147" s="0" t="str">
        <f aca="false">IF(ISNUMBER(F1147),IF(OR(B1147=0,B1147=99,C1147&lt;&gt;""),F1147*100+B1147,""),"")</f>
        <v/>
      </c>
      <c r="H1147" s="0" t="n">
        <f aca="false">IFERROR(INDEX('Session Tracker'!$J$5:$J$149,MATCH($A1147,'Session Tracker'!$D$5:$D$149,0)),0)</f>
        <v>8</v>
      </c>
      <c r="I1147" s="0" t="n">
        <f aca="false">IF(OR(B1147=0,B1147=99,C1147=""),"",IF(E1147="Per class",D1147,D1147*H1147))</f>
        <v>8</v>
      </c>
      <c r="N1147" s="0" t="str">
        <f aca="false">IF('Tech Leaders Kits'!B55="","",'Tech Leaders Kits'!B55)</f>
        <v>Power</v>
      </c>
      <c r="O1147" s="0" t="str">
        <f aca="false">IF('Tech Leaders Kits'!F55="","",'Tech Leaders Kits'!F55)</f>
        <v>Reusable</v>
      </c>
      <c r="P1147" s="0" t="str">
        <f aca="false">IF('Tech Leaders Kits'!G55="","",'Tech Leaders Kits'!G55)</f>
        <v/>
      </c>
    </row>
    <row r="1148" customFormat="false" ht="15" hidden="false" customHeight="false" outlineLevel="0" collapsed="false">
      <c r="A1148" s="0" t="s">
        <v>294</v>
      </c>
      <c r="B1148" s="0" t="n">
        <v>5</v>
      </c>
      <c r="C1148" s="0" t="str">
        <f aca="false">IF('Tech Leaders Kits'!C56="","",'Tech Leaders Kits'!C56)</f>
        <v>DHT22 sensor</v>
      </c>
      <c r="D1148" s="0" t="n">
        <f aca="false">IF('Tech Leaders Kits'!D56="","",'Tech Leaders Kits'!D56)</f>
        <v>1</v>
      </c>
      <c r="E1148" s="0" t="str">
        <f aca="false">IF('Tech Leaders Kits'!E56="","",'Tech Leaders Kits'!E56)</f>
        <v>Per group</v>
      </c>
      <c r="F1148" s="0" t="str">
        <f aca="false">IFERROR(INDEX('Session Tracker'!$M$5:$M$149,MATCH($A1148,'Session Tracker'!$D$5:$D$149,0))+0,"")</f>
        <v/>
      </c>
      <c r="G1148" s="0" t="str">
        <f aca="false">IF(ISNUMBER(F1148),IF(OR(B1148=0,B1148=99,C1148&lt;&gt;""),F1148*100+B1148,""),"")</f>
        <v/>
      </c>
      <c r="H1148" s="0" t="n">
        <f aca="false">IFERROR(INDEX('Session Tracker'!$J$5:$J$149,MATCH($A1148,'Session Tracker'!$D$5:$D$149,0)),0)</f>
        <v>8</v>
      </c>
      <c r="I1148" s="0" t="n">
        <f aca="false">IF(OR(B1148=0,B1148=99,C1148=""),"",IF(E1148="Per class",D1148,D1148*H1148))</f>
        <v>8</v>
      </c>
      <c r="N1148" s="0" t="str">
        <f aca="false">IF('Tech Leaders Kits'!B56="","",'Tech Leaders Kits'!B56)</f>
        <v>Sensors</v>
      </c>
      <c r="O1148" s="0" t="str">
        <f aca="false">IF('Tech Leaders Kits'!F56="","",'Tech Leaders Kits'!F56)</f>
        <v>Reusable</v>
      </c>
      <c r="P1148" s="0" t="str">
        <f aca="false">IF('Tech Leaders Kits'!G56="","",'Tech Leaders Kits'!G56)</f>
        <v/>
      </c>
    </row>
    <row r="1149" customFormat="false" ht="15" hidden="false" customHeight="false" outlineLevel="0" collapsed="false">
      <c r="A1149" s="0" t="s">
        <v>294</v>
      </c>
      <c r="B1149" s="0" t="n">
        <v>6</v>
      </c>
      <c r="C1149" s="0" t="str">
        <f aca="false">IF('Tech Leaders Kits'!C57="","",'Tech Leaders Kits'!C57)</f>
        <v>Digital multimeter</v>
      </c>
      <c r="D1149" s="0" t="n">
        <f aca="false">IF('Tech Leaders Kits'!D57="","",'Tech Leaders Kits'!D57)</f>
        <v>1</v>
      </c>
      <c r="E1149" s="0" t="str">
        <f aca="false">IF('Tech Leaders Kits'!E57="","",'Tech Leaders Kits'!E57)</f>
        <v>Per group</v>
      </c>
      <c r="F1149" s="0" t="str">
        <f aca="false">IFERROR(INDEX('Session Tracker'!$M$5:$M$149,MATCH($A1149,'Session Tracker'!$D$5:$D$149,0))+0,"")</f>
        <v/>
      </c>
      <c r="G1149" s="0" t="str">
        <f aca="false">IF(ISNUMBER(F1149),IF(OR(B1149=0,B1149=99,C1149&lt;&gt;""),F1149*100+B1149,""),"")</f>
        <v/>
      </c>
      <c r="H1149" s="0" t="n">
        <f aca="false">IFERROR(INDEX('Session Tracker'!$J$5:$J$149,MATCH($A1149,'Session Tracker'!$D$5:$D$149,0)),0)</f>
        <v>8</v>
      </c>
      <c r="I1149" s="0" t="n">
        <f aca="false">IF(OR(B1149=0,B1149=99,C1149=""),"",IF(E1149="Per class",D1149,D1149*H1149))</f>
        <v>8</v>
      </c>
      <c r="N1149" s="0" t="str">
        <f aca="false">IF('Tech Leaders Kits'!B57="","",'Tech Leaders Kits'!B57)</f>
        <v>Computers &amp; Equipment</v>
      </c>
      <c r="O1149" s="0" t="str">
        <f aca="false">IF('Tech Leaders Kits'!F57="","",'Tech Leaders Kits'!F57)</f>
        <v>Reusable</v>
      </c>
      <c r="P1149" s="0" t="str">
        <f aca="false">IF('Tech Leaders Kits'!G57="","",'Tech Leaders Kits'!G57)</f>
        <v/>
      </c>
    </row>
    <row r="1150" customFormat="false" ht="15" hidden="false" customHeight="false" outlineLevel="0" collapsed="false">
      <c r="A1150" s="0" t="s">
        <v>294</v>
      </c>
      <c r="B1150" s="0" t="n">
        <v>7</v>
      </c>
      <c r="C1150" s="0" t="str">
        <f aca="false">IF('Tech Leaders Kits'!C58="","",'Tech Leaders Kits'!C58)</f>
        <v>Resistor 10k ohm</v>
      </c>
      <c r="D1150" s="0" t="n">
        <f aca="false">IF('Tech Leaders Kits'!D58="","",'Tech Leaders Kits'!D58)</f>
        <v>2</v>
      </c>
      <c r="E1150" s="0" t="str">
        <f aca="false">IF('Tech Leaders Kits'!E58="","",'Tech Leaders Kits'!E58)</f>
        <v>Per group</v>
      </c>
      <c r="F1150" s="0" t="str">
        <f aca="false">IFERROR(INDEX('Session Tracker'!$M$5:$M$149,MATCH($A1150,'Session Tracker'!$D$5:$D$149,0))+0,"")</f>
        <v/>
      </c>
      <c r="G1150" s="0" t="str">
        <f aca="false">IF(ISNUMBER(F1150),IF(OR(B1150=0,B1150=99,C1150&lt;&gt;""),F1150*100+B1150,""),"")</f>
        <v/>
      </c>
      <c r="H1150" s="0" t="n">
        <f aca="false">IFERROR(INDEX('Session Tracker'!$J$5:$J$149,MATCH($A1150,'Session Tracker'!$D$5:$D$149,0)),0)</f>
        <v>8</v>
      </c>
      <c r="I1150" s="0" t="n">
        <f aca="false">IF(OR(B1150=0,B1150=99,C1150=""),"",IF(E1150="Per class",D1150,D1150*H1150))</f>
        <v>16</v>
      </c>
      <c r="N1150" s="0" t="str">
        <f aca="false">IF('Tech Leaders Kits'!B58="","",'Tech Leaders Kits'!B58)</f>
        <v>Passive Components &amp; ICs</v>
      </c>
      <c r="O1150" s="0" t="str">
        <f aca="false">IF('Tech Leaders Kits'!F58="","",'Tech Leaders Kits'!F58)</f>
        <v>Consumable</v>
      </c>
      <c r="P1150" s="0" t="str">
        <f aca="false">IF('Tech Leaders Kits'!G58="","",'Tech Leaders Kits'!G58)</f>
        <v>Voltage divider</v>
      </c>
    </row>
    <row r="1151" customFormat="false" ht="15" hidden="false" customHeight="false" outlineLevel="0" collapsed="false">
      <c r="A1151" s="0" t="s">
        <v>294</v>
      </c>
      <c r="B1151" s="0" t="n">
        <v>8</v>
      </c>
      <c r="C1151" s="0" t="str">
        <f aca="false">IF('Tech Leaders Kits'!C59="","",'Tech Leaders Kits'!C59)</f>
        <v>Breadboard (half size)</v>
      </c>
      <c r="D1151" s="0" t="n">
        <f aca="false">IF('Tech Leaders Kits'!D59="","",'Tech Leaders Kits'!D59)</f>
        <v>1</v>
      </c>
      <c r="E1151" s="0" t="str">
        <f aca="false">IF('Tech Leaders Kits'!E59="","",'Tech Leaders Kits'!E59)</f>
        <v>Per group</v>
      </c>
      <c r="F1151" s="0" t="str">
        <f aca="false">IFERROR(INDEX('Session Tracker'!$M$5:$M$149,MATCH($A1151,'Session Tracker'!$D$5:$D$149,0))+0,"")</f>
        <v/>
      </c>
      <c r="G1151" s="0" t="str">
        <f aca="false">IF(ISNUMBER(F1151),IF(OR(B1151=0,B1151=99,C1151&lt;&gt;""),F1151*100+B1151,""),"")</f>
        <v/>
      </c>
      <c r="H1151" s="0" t="n">
        <f aca="false">IFERROR(INDEX('Session Tracker'!$J$5:$J$149,MATCH($A1151,'Session Tracker'!$D$5:$D$149,0)),0)</f>
        <v>8</v>
      </c>
      <c r="I1151" s="0" t="n">
        <f aca="false">IF(OR(B1151=0,B1151=99,C1151=""),"",IF(E1151="Per class",D1151,D1151*H1151))</f>
        <v>8</v>
      </c>
      <c r="N1151" s="0" t="str">
        <f aca="false">IF('Tech Leaders Kits'!B59="","",'Tech Leaders Kits'!B59)</f>
        <v>Wiring &amp; Prototyping</v>
      </c>
      <c r="O1151" s="0" t="str">
        <f aca="false">IF('Tech Leaders Kits'!F59="","",'Tech Leaders Kits'!F59)</f>
        <v>Reusable</v>
      </c>
      <c r="P1151" s="0" t="str">
        <f aca="false">IF('Tech Leaders Kits'!G59="","",'Tech Leaders Kits'!G59)</f>
        <v/>
      </c>
    </row>
    <row r="1152" customFormat="false" ht="15" hidden="false" customHeight="false" outlineLevel="0" collapsed="false">
      <c r="A1152" s="0" t="s">
        <v>294</v>
      </c>
      <c r="B1152" s="0" t="n">
        <v>9</v>
      </c>
      <c r="C1152" s="0" t="str">
        <f aca="false">IF('Tech Leaders Kits'!C60="","",'Tech Leaders Kits'!C60)</f>
        <v>Jumper wires M-M</v>
      </c>
      <c r="D1152" s="0" t="n">
        <f aca="false">IF('Tech Leaders Kits'!D60="","",'Tech Leaders Kits'!D60)</f>
        <v>10</v>
      </c>
      <c r="E1152" s="0" t="str">
        <f aca="false">IF('Tech Leaders Kits'!E60="","",'Tech Leaders Kits'!E60)</f>
        <v>Per group</v>
      </c>
      <c r="F1152" s="0" t="str">
        <f aca="false">IFERROR(INDEX('Session Tracker'!$M$5:$M$149,MATCH($A1152,'Session Tracker'!$D$5:$D$149,0))+0,"")</f>
        <v/>
      </c>
      <c r="G1152" s="0" t="str">
        <f aca="false">IF(ISNUMBER(F1152),IF(OR(B1152=0,B1152=99,C1152&lt;&gt;""),F1152*100+B1152,""),"")</f>
        <v/>
      </c>
      <c r="H1152" s="0" t="n">
        <f aca="false">IFERROR(INDEX('Session Tracker'!$J$5:$J$149,MATCH($A1152,'Session Tracker'!$D$5:$D$149,0)),0)</f>
        <v>8</v>
      </c>
      <c r="I1152" s="0" t="n">
        <f aca="false">IF(OR(B1152=0,B1152=99,C1152=""),"",IF(E1152="Per class",D1152,D1152*H1152))</f>
        <v>80</v>
      </c>
      <c r="N1152" s="0" t="str">
        <f aca="false">IF('Tech Leaders Kits'!B60="","",'Tech Leaders Kits'!B60)</f>
        <v>Wiring &amp; Prototyping</v>
      </c>
      <c r="O1152" s="0" t="str">
        <f aca="false">IF('Tech Leaders Kits'!F60="","",'Tech Leaders Kits'!F60)</f>
        <v>Reusable</v>
      </c>
      <c r="P1152" s="0" t="str">
        <f aca="false">IF('Tech Leaders Kits'!G60="","",'Tech Leaders Kits'!G60)</f>
        <v/>
      </c>
    </row>
    <row r="1153" customFormat="false" ht="15" hidden="false" customHeight="false" outlineLevel="0" collapsed="false">
      <c r="A1153" s="0" t="s">
        <v>294</v>
      </c>
      <c r="B1153" s="0" t="n">
        <v>10</v>
      </c>
      <c r="C1153" s="0" t="str">
        <f aca="false">IF('Tech Leaders Kits'!C61="","",'Tech Leaders Kits'!C61)</f>
        <v>Jumper wires M-F</v>
      </c>
      <c r="D1153" s="0" t="n">
        <f aca="false">IF('Tech Leaders Kits'!D61="","",'Tech Leaders Kits'!D61)</f>
        <v>4</v>
      </c>
      <c r="E1153" s="0" t="str">
        <f aca="false">IF('Tech Leaders Kits'!E61="","",'Tech Leaders Kits'!E61)</f>
        <v>Per group</v>
      </c>
      <c r="F1153" s="0" t="str">
        <f aca="false">IFERROR(INDEX('Session Tracker'!$M$5:$M$149,MATCH($A1153,'Session Tracker'!$D$5:$D$149,0))+0,"")</f>
        <v/>
      </c>
      <c r="G1153" s="0" t="str">
        <f aca="false">IF(ISNUMBER(F1153),IF(OR(B1153=0,B1153=99,C1153&lt;&gt;""),F1153*100+B1153,""),"")</f>
        <v/>
      </c>
      <c r="H1153" s="0" t="n">
        <f aca="false">IFERROR(INDEX('Session Tracker'!$J$5:$J$149,MATCH($A1153,'Session Tracker'!$D$5:$D$149,0)),0)</f>
        <v>8</v>
      </c>
      <c r="I1153" s="0" t="n">
        <f aca="false">IF(OR(B1153=0,B1153=99,C1153=""),"",IF(E1153="Per class",D1153,D1153*H1153))</f>
        <v>32</v>
      </c>
      <c r="N1153" s="0" t="str">
        <f aca="false">IF('Tech Leaders Kits'!B61="","",'Tech Leaders Kits'!B61)</f>
        <v>Wiring &amp; Prototyping</v>
      </c>
      <c r="O1153" s="0" t="str">
        <f aca="false">IF('Tech Leaders Kits'!F61="","",'Tech Leaders Kits'!F61)</f>
        <v>Reusable</v>
      </c>
      <c r="P1153" s="0" t="str">
        <f aca="false">IF('Tech Leaders Kits'!G61="","",'Tech Leaders Kits'!G61)</f>
        <v/>
      </c>
    </row>
    <row r="1154" customFormat="false" ht="15" hidden="false" customHeight="false" outlineLevel="0" collapsed="false">
      <c r="A1154" s="0" t="s">
        <v>294</v>
      </c>
      <c r="B1154" s="0" t="n">
        <v>11</v>
      </c>
      <c r="C1154" s="0" t="str">
        <f aca="false">IF('Tech Leaders Kits'!C62="","",'Tech Leaders Kits'!C62)</f>
        <v>Laptop</v>
      </c>
      <c r="D1154" s="0" t="n">
        <f aca="false">IF('Tech Leaders Kits'!D62="","",'Tech Leaders Kits'!D62)</f>
        <v>1</v>
      </c>
      <c r="E1154" s="0" t="str">
        <f aca="false">IF('Tech Leaders Kits'!E62="","",'Tech Leaders Kits'!E62)</f>
        <v>Per group</v>
      </c>
      <c r="F1154" s="0" t="str">
        <f aca="false">IFERROR(INDEX('Session Tracker'!$M$5:$M$149,MATCH($A1154,'Session Tracker'!$D$5:$D$149,0))+0,"")</f>
        <v/>
      </c>
      <c r="G1154" s="0" t="str">
        <f aca="false">IF(ISNUMBER(F1154),IF(OR(B1154=0,B1154=99,C1154&lt;&gt;""),F1154*100+B1154,""),"")</f>
        <v/>
      </c>
      <c r="H1154" s="0" t="n">
        <f aca="false">IFERROR(INDEX('Session Tracker'!$J$5:$J$149,MATCH($A1154,'Session Tracker'!$D$5:$D$149,0)),0)</f>
        <v>8</v>
      </c>
      <c r="I1154" s="0" t="n">
        <f aca="false">IF(OR(B1154=0,B1154=99,C1154=""),"",IF(E1154="Per class",D1154,D1154*H1154))</f>
        <v>8</v>
      </c>
      <c r="N1154" s="0" t="str">
        <f aca="false">IF('Tech Leaders Kits'!B62="","",'Tech Leaders Kits'!B62)</f>
        <v>Computers &amp; Equipment</v>
      </c>
      <c r="O1154" s="0" t="str">
        <f aca="false">IF('Tech Leaders Kits'!F62="","",'Tech Leaders Kits'!F62)</f>
        <v>Reusable</v>
      </c>
      <c r="P1154" s="0" t="str">
        <f aca="false">IF('Tech Leaders Kits'!G62="","",'Tech Leaders Kits'!G62)</f>
        <v/>
      </c>
    </row>
    <row r="1155" customFormat="false" ht="15" hidden="false" customHeight="false" outlineLevel="0" collapsed="false">
      <c r="A1155" s="0" t="s">
        <v>294</v>
      </c>
      <c r="B1155" s="0" t="n">
        <v>12</v>
      </c>
      <c r="C1155" s="0" t="str">
        <f aca="false">IF('Tech Leaders Kits'!C63="","",'Tech Leaders Kits'!C63)</f>
        <v/>
      </c>
      <c r="D1155" s="0" t="str">
        <f aca="false">IF('Tech Leaders Kits'!D63="","",'Tech Leaders Kits'!D63)</f>
        <v/>
      </c>
      <c r="E1155" s="0" t="str">
        <f aca="false">IF('Tech Leaders Kits'!E63="","",'Tech Leaders Kits'!E63)</f>
        <v/>
      </c>
      <c r="F1155" s="0" t="str">
        <f aca="false">IFERROR(INDEX('Session Tracker'!$M$5:$M$149,MATCH($A1155,'Session Tracker'!$D$5:$D$149,0))+0,"")</f>
        <v/>
      </c>
      <c r="G1155" s="0" t="str">
        <f aca="false">IF(ISNUMBER(F1155),IF(OR(B1155=0,B1155=99,C1155&lt;&gt;""),F1155*100+B1155,""),"")</f>
        <v/>
      </c>
      <c r="H1155" s="0" t="n">
        <f aca="false">IFERROR(INDEX('Session Tracker'!$J$5:$J$149,MATCH($A1155,'Session Tracker'!$D$5:$D$149,0)),0)</f>
        <v>8</v>
      </c>
      <c r="I1155" s="0" t="str">
        <f aca="false">IF(OR(B1155=0,B1155=99,C1155=""),"",IF(E1155="Per class",D1155,D1155*H1155))</f>
        <v/>
      </c>
      <c r="N1155" s="0" t="str">
        <f aca="false">IF('Tech Leaders Kits'!B63="","",'Tech Leaders Kits'!B63)</f>
        <v/>
      </c>
      <c r="O1155" s="0" t="str">
        <f aca="false">IF('Tech Leaders Kits'!F63="","",'Tech Leaders Kits'!F63)</f>
        <v/>
      </c>
      <c r="P1155" s="0" t="str">
        <f aca="false">IF('Tech Leaders Kits'!G63="","",'Tech Leaders Kits'!G63)</f>
        <v/>
      </c>
    </row>
    <row r="1156" customFormat="false" ht="15" hidden="false" customHeight="false" outlineLevel="0" collapsed="false">
      <c r="A1156" s="0" t="s">
        <v>294</v>
      </c>
      <c r="B1156" s="0" t="n">
        <v>13</v>
      </c>
      <c r="C1156" s="0" t="str">
        <f aca="false">IF('Tech Leaders Kits'!C64="","",'Tech Leaders Kits'!C64)</f>
        <v/>
      </c>
      <c r="D1156" s="0" t="str">
        <f aca="false">IF('Tech Leaders Kits'!D64="","",'Tech Leaders Kits'!D64)</f>
        <v/>
      </c>
      <c r="E1156" s="0" t="str">
        <f aca="false">IF('Tech Leaders Kits'!E64="","",'Tech Leaders Kits'!E64)</f>
        <v/>
      </c>
      <c r="F1156" s="0" t="str">
        <f aca="false">IFERROR(INDEX('Session Tracker'!$M$5:$M$149,MATCH($A1156,'Session Tracker'!$D$5:$D$149,0))+0,"")</f>
        <v/>
      </c>
      <c r="G1156" s="0" t="str">
        <f aca="false">IF(ISNUMBER(F1156),IF(OR(B1156=0,B1156=99,C1156&lt;&gt;""),F1156*100+B1156,""),"")</f>
        <v/>
      </c>
      <c r="H1156" s="0" t="n">
        <f aca="false">IFERROR(INDEX('Session Tracker'!$J$5:$J$149,MATCH($A1156,'Session Tracker'!$D$5:$D$149,0)),0)</f>
        <v>8</v>
      </c>
      <c r="I1156" s="0" t="str">
        <f aca="false">IF(OR(B1156=0,B1156=99,C1156=""),"",IF(E1156="Per class",D1156,D1156*H1156))</f>
        <v/>
      </c>
      <c r="N1156" s="0" t="str">
        <f aca="false">IF('Tech Leaders Kits'!B64="","",'Tech Leaders Kits'!B64)</f>
        <v/>
      </c>
      <c r="O1156" s="0" t="str">
        <f aca="false">IF('Tech Leaders Kits'!F64="","",'Tech Leaders Kits'!F64)</f>
        <v/>
      </c>
      <c r="P1156" s="0" t="str">
        <f aca="false">IF('Tech Leaders Kits'!G64="","",'Tech Leaders Kits'!G64)</f>
        <v/>
      </c>
    </row>
    <row r="1157" customFormat="false" ht="15" hidden="false" customHeight="false" outlineLevel="0" collapsed="false">
      <c r="A1157" s="0" t="s">
        <v>296</v>
      </c>
      <c r="B1157" s="0" t="n">
        <v>0</v>
      </c>
      <c r="F1157" s="0" t="str">
        <f aca="false">IFERROR(INDEX('Session Tracker'!$M$5:$M$149,MATCH($A1157,'Session Tracker'!$D$5:$D$149,0))+0,"")</f>
        <v/>
      </c>
      <c r="G1157" s="0" t="str">
        <f aca="false">IF(ISNUMBER(F1157),IF(OR(B1157=0,B1157=99,C1157&lt;&gt;""),F1157*100+B1157,""),"")</f>
        <v/>
      </c>
      <c r="H1157" s="0" t="n">
        <f aca="false">IFERROR(INDEX('Session Tracker'!$J$5:$J$149,MATCH($A1157,'Session Tracker'!$D$5:$D$149,0)),0)</f>
        <v>8</v>
      </c>
      <c r="I1157" s="0" t="str">
        <f aca="false">IF(OR(B1157=0,B1157=99,C1157=""),"",IF(E1157="Per class",D1157,D1157*H1157))</f>
        <v/>
      </c>
      <c r="K1157" s="0" t="str">
        <f aca="false">IFERROR(INDEX('Session Tracker'!$E$5:$E$149,MATCH($A1157,'Session Tracker'!$D$5:$D$149,0)),"")</f>
        <v>Autonomous Maze Solving Robot</v>
      </c>
      <c r="L1157" s="0" t="str">
        <f aca="false">IFERROR(INDEX('Session Tracker'!$A$5:$A$149,MATCH($A1157,'Session Tracker'!$D$5:$D$149,0)),"")</f>
        <v>Tech Leaders (15-17)</v>
      </c>
      <c r="M1157" s="0" t="str">
        <f aca="false">IFERROR(INDEX('Session Tracker'!$H$5:$H$149,MATCH($A1157,'Session Tracker'!$D$5:$D$149,0))&amp;"","")</f>
        <v/>
      </c>
      <c r="Q1157" s="0" t="str">
        <f aca="false">IFERROR("Status: "&amp;INDEX('Session Tracker'!$F$5:$F$149,MATCH($A1157,'Session Tracker'!$D$5:$D$149,0))&amp;IF(INDEX('Session Tracker'!$G$5:$G$149,MATCH($A1157,'Session Tracker'!$D$5:$D$149,0))&lt;&gt;""," ("&amp;INDEX('Session Tracker'!$G$5:$G$149,MATCH($A1157,'Session Tracker'!$D$5:$D$149,0))&amp;")","")&amp;IF(M1157&lt;&gt;"","  "&amp;M1157,""),"")</f>
        <v>Status: Not started</v>
      </c>
    </row>
    <row r="1158" customFormat="false" ht="15" hidden="false" customHeight="false" outlineLevel="0" collapsed="false">
      <c r="A1158" s="0" t="s">
        <v>296</v>
      </c>
      <c r="B1158" s="0" t="n">
        <v>1</v>
      </c>
      <c r="C1158" s="0" t="str">
        <f aca="false">IF('Tech Leaders Kits'!C67="","",'Tech Leaders Kits'!C67)</f>
        <v>Arduino Uno + USB cable</v>
      </c>
      <c r="D1158" s="0" t="n">
        <f aca="false">IF('Tech Leaders Kits'!D67="","",'Tech Leaders Kits'!D67)</f>
        <v>1</v>
      </c>
      <c r="E1158" s="0" t="str">
        <f aca="false">IF('Tech Leaders Kits'!E67="","",'Tech Leaders Kits'!E67)</f>
        <v>Per group</v>
      </c>
      <c r="F1158" s="0" t="str">
        <f aca="false">IFERROR(INDEX('Session Tracker'!$M$5:$M$149,MATCH($A1158,'Session Tracker'!$D$5:$D$149,0))+0,"")</f>
        <v/>
      </c>
      <c r="G1158" s="0" t="str">
        <f aca="false">IF(ISNUMBER(F1158),IF(OR(B1158=0,B1158=99,C1158&lt;&gt;""),F1158*100+B1158,""),"")</f>
        <v/>
      </c>
      <c r="H1158" s="0" t="n">
        <f aca="false">IFERROR(INDEX('Session Tracker'!$J$5:$J$149,MATCH($A1158,'Session Tracker'!$D$5:$D$149,0)),0)</f>
        <v>8</v>
      </c>
      <c r="I1158" s="0" t="n">
        <f aca="false">IF(OR(B1158=0,B1158=99,C1158=""),"",IF(E1158="Per class",D1158,D1158*H1158))</f>
        <v>8</v>
      </c>
      <c r="N1158" s="0" t="str">
        <f aca="false">IF('Tech Leaders Kits'!B67="","",'Tech Leaders Kits'!B67)</f>
        <v>Microcontrollers &amp; Dev Boards</v>
      </c>
      <c r="O1158" s="0" t="str">
        <f aca="false">IF('Tech Leaders Kits'!F67="","",'Tech Leaders Kits'!F67)</f>
        <v>Reusable</v>
      </c>
      <c r="P1158" s="0" t="str">
        <f aca="false">IF('Tech Leaders Kits'!G67="","",'Tech Leaders Kits'!G67)</f>
        <v/>
      </c>
    </row>
    <row r="1159" customFormat="false" ht="15" hidden="false" customHeight="false" outlineLevel="0" collapsed="false">
      <c r="A1159" s="0" t="s">
        <v>296</v>
      </c>
      <c r="B1159" s="0" t="n">
        <v>2</v>
      </c>
      <c r="C1159" s="0" t="str">
        <f aca="false">IF('Tech Leaders Kits'!C68="","",'Tech Leaders Kits'!C68)</f>
        <v>2WD robot chassis kit</v>
      </c>
      <c r="D1159" s="0" t="n">
        <f aca="false">IF('Tech Leaders Kits'!D68="","",'Tech Leaders Kits'!D68)</f>
        <v>1</v>
      </c>
      <c r="E1159" s="0" t="str">
        <f aca="false">IF('Tech Leaders Kits'!E68="","",'Tech Leaders Kits'!E68)</f>
        <v>Per group</v>
      </c>
      <c r="F1159" s="0" t="str">
        <f aca="false">IFERROR(INDEX('Session Tracker'!$M$5:$M$149,MATCH($A1159,'Session Tracker'!$D$5:$D$149,0))+0,"")</f>
        <v/>
      </c>
      <c r="G1159" s="0" t="str">
        <f aca="false">IF(ISNUMBER(F1159),IF(OR(B1159=0,B1159=99,C1159&lt;&gt;""),F1159*100+B1159,""),"")</f>
        <v/>
      </c>
      <c r="H1159" s="0" t="n">
        <f aca="false">IFERROR(INDEX('Session Tracker'!$J$5:$J$149,MATCH($A1159,'Session Tracker'!$D$5:$D$149,0)),0)</f>
        <v>8</v>
      </c>
      <c r="I1159" s="0" t="n">
        <f aca="false">IF(OR(B1159=0,B1159=99,C1159=""),"",IF(E1159="Per class",D1159,D1159*H1159))</f>
        <v>8</v>
      </c>
      <c r="N1159" s="0" t="str">
        <f aca="false">IF('Tech Leaders Kits'!B68="","",'Tech Leaders Kits'!B68)</f>
        <v>Robot Platforms &amp; Kits</v>
      </c>
      <c r="O1159" s="0" t="str">
        <f aca="false">IF('Tech Leaders Kits'!F68="","",'Tech Leaders Kits'!F68)</f>
        <v>Reusable</v>
      </c>
      <c r="P1159" s="0" t="str">
        <f aca="false">IF('Tech Leaders Kits'!G68="","",'Tech Leaders Kits'!G68)</f>
        <v/>
      </c>
    </row>
    <row r="1160" customFormat="false" ht="15" hidden="false" customHeight="false" outlineLevel="0" collapsed="false">
      <c r="A1160" s="0" t="s">
        <v>296</v>
      </c>
      <c r="B1160" s="0" t="n">
        <v>3</v>
      </c>
      <c r="C1160" s="0" t="str">
        <f aca="false">IF('Tech Leaders Kits'!C69="","",'Tech Leaders Kits'!C69)</f>
        <v>L298N motor driver</v>
      </c>
      <c r="D1160" s="0" t="n">
        <f aca="false">IF('Tech Leaders Kits'!D69="","",'Tech Leaders Kits'!D69)</f>
        <v>1</v>
      </c>
      <c r="E1160" s="0" t="str">
        <f aca="false">IF('Tech Leaders Kits'!E69="","",'Tech Leaders Kits'!E69)</f>
        <v>Per group</v>
      </c>
      <c r="F1160" s="0" t="str">
        <f aca="false">IFERROR(INDEX('Session Tracker'!$M$5:$M$149,MATCH($A1160,'Session Tracker'!$D$5:$D$149,0))+0,"")</f>
        <v/>
      </c>
      <c r="G1160" s="0" t="str">
        <f aca="false">IF(ISNUMBER(F1160),IF(OR(B1160=0,B1160=99,C1160&lt;&gt;""),F1160*100+B1160,""),"")</f>
        <v/>
      </c>
      <c r="H1160" s="0" t="n">
        <f aca="false">IFERROR(INDEX('Session Tracker'!$J$5:$J$149,MATCH($A1160,'Session Tracker'!$D$5:$D$149,0)),0)</f>
        <v>8</v>
      </c>
      <c r="I1160" s="0" t="n">
        <f aca="false">IF(OR(B1160=0,B1160=99,C1160=""),"",IF(E1160="Per class",D1160,D1160*H1160))</f>
        <v>8</v>
      </c>
      <c r="N1160" s="0" t="str">
        <f aca="false">IF('Tech Leaders Kits'!B69="","",'Tech Leaders Kits'!B69)</f>
        <v>Actuators &amp; Motor Drivers</v>
      </c>
      <c r="O1160" s="0" t="str">
        <f aca="false">IF('Tech Leaders Kits'!F69="","",'Tech Leaders Kits'!F69)</f>
        <v>Reusable</v>
      </c>
      <c r="P1160" s="0" t="str">
        <f aca="false">IF('Tech Leaders Kits'!G69="","",'Tech Leaders Kits'!G69)</f>
        <v/>
      </c>
    </row>
    <row r="1161" customFormat="false" ht="15" hidden="false" customHeight="false" outlineLevel="0" collapsed="false">
      <c r="A1161" s="0" t="s">
        <v>296</v>
      </c>
      <c r="B1161" s="0" t="n">
        <v>4</v>
      </c>
      <c r="C1161" s="0" t="str">
        <f aca="false">IF('Tech Leaders Kits'!C70="","",'Tech Leaders Kits'!C70)</f>
        <v>Ultrasonic sensor HC-SR04</v>
      </c>
      <c r="D1161" s="0" t="n">
        <f aca="false">IF('Tech Leaders Kits'!D70="","",'Tech Leaders Kits'!D70)</f>
        <v>3</v>
      </c>
      <c r="E1161" s="0" t="str">
        <f aca="false">IF('Tech Leaders Kits'!E70="","",'Tech Leaders Kits'!E70)</f>
        <v>Per group</v>
      </c>
      <c r="F1161" s="0" t="str">
        <f aca="false">IFERROR(INDEX('Session Tracker'!$M$5:$M$149,MATCH($A1161,'Session Tracker'!$D$5:$D$149,0))+0,"")</f>
        <v/>
      </c>
      <c r="G1161" s="0" t="str">
        <f aca="false">IF(ISNUMBER(F1161),IF(OR(B1161=0,B1161=99,C1161&lt;&gt;""),F1161*100+B1161,""),"")</f>
        <v/>
      </c>
      <c r="H1161" s="0" t="n">
        <f aca="false">IFERROR(INDEX('Session Tracker'!$J$5:$J$149,MATCH($A1161,'Session Tracker'!$D$5:$D$149,0)),0)</f>
        <v>8</v>
      </c>
      <c r="I1161" s="0" t="n">
        <f aca="false">IF(OR(B1161=0,B1161=99,C1161=""),"",IF(E1161="Per class",D1161,D1161*H1161))</f>
        <v>24</v>
      </c>
      <c r="N1161" s="0" t="str">
        <f aca="false">IF('Tech Leaders Kits'!B70="","",'Tech Leaders Kits'!B70)</f>
        <v>Sensors</v>
      </c>
      <c r="O1161" s="0" t="str">
        <f aca="false">IF('Tech Leaders Kits'!F70="","",'Tech Leaders Kits'!F70)</f>
        <v>Reusable</v>
      </c>
      <c r="P1161" s="0" t="str">
        <f aca="false">IF('Tech Leaders Kits'!G70="","",'Tech Leaders Kits'!G70)</f>
        <v/>
      </c>
    </row>
    <row r="1162" customFormat="false" ht="15" hidden="false" customHeight="false" outlineLevel="0" collapsed="false">
      <c r="A1162" s="0" t="s">
        <v>296</v>
      </c>
      <c r="B1162" s="0" t="n">
        <v>5</v>
      </c>
      <c r="C1162" s="0" t="str">
        <f aca="false">IF('Tech Leaders Kits'!C71="","",'Tech Leaders Kits'!C71)</f>
        <v>4xAA battery pack</v>
      </c>
      <c r="D1162" s="0" t="n">
        <f aca="false">IF('Tech Leaders Kits'!D71="","",'Tech Leaders Kits'!D71)</f>
        <v>1</v>
      </c>
      <c r="E1162" s="0" t="str">
        <f aca="false">IF('Tech Leaders Kits'!E71="","",'Tech Leaders Kits'!E71)</f>
        <v>Per group</v>
      </c>
      <c r="F1162" s="0" t="str">
        <f aca="false">IFERROR(INDEX('Session Tracker'!$M$5:$M$149,MATCH($A1162,'Session Tracker'!$D$5:$D$149,0))+0,"")</f>
        <v/>
      </c>
      <c r="G1162" s="0" t="str">
        <f aca="false">IF(ISNUMBER(F1162),IF(OR(B1162=0,B1162=99,C1162&lt;&gt;""),F1162*100+B1162,""),"")</f>
        <v/>
      </c>
      <c r="H1162" s="0" t="n">
        <f aca="false">IFERROR(INDEX('Session Tracker'!$J$5:$J$149,MATCH($A1162,'Session Tracker'!$D$5:$D$149,0)),0)</f>
        <v>8</v>
      </c>
      <c r="I1162" s="0" t="n">
        <f aca="false">IF(OR(B1162=0,B1162=99,C1162=""),"",IF(E1162="Per class",D1162,D1162*H1162))</f>
        <v>8</v>
      </c>
      <c r="N1162" s="0" t="str">
        <f aca="false">IF('Tech Leaders Kits'!B71="","",'Tech Leaders Kits'!B71)</f>
        <v>Power</v>
      </c>
      <c r="O1162" s="0" t="str">
        <f aca="false">IF('Tech Leaders Kits'!F71="","",'Tech Leaders Kits'!F71)</f>
        <v>Consumable</v>
      </c>
      <c r="P1162" s="0" t="str">
        <f aca="false">IF('Tech Leaders Kits'!G71="","",'Tech Leaders Kits'!G71)</f>
        <v/>
      </c>
    </row>
    <row r="1163" customFormat="false" ht="15" hidden="false" customHeight="false" outlineLevel="0" collapsed="false">
      <c r="A1163" s="0" t="s">
        <v>296</v>
      </c>
      <c r="B1163" s="0" t="n">
        <v>6</v>
      </c>
      <c r="C1163" s="0" t="str">
        <f aca="false">IF('Tech Leaders Kits'!C72="","",'Tech Leaders Kits'!C72)</f>
        <v>Screwdriver set</v>
      </c>
      <c r="D1163" s="0" t="n">
        <f aca="false">IF('Tech Leaders Kits'!D72="","",'Tech Leaders Kits'!D72)</f>
        <v>1</v>
      </c>
      <c r="E1163" s="0" t="str">
        <f aca="false">IF('Tech Leaders Kits'!E72="","",'Tech Leaders Kits'!E72)</f>
        <v>Per group</v>
      </c>
      <c r="F1163" s="0" t="str">
        <f aca="false">IFERROR(INDEX('Session Tracker'!$M$5:$M$149,MATCH($A1163,'Session Tracker'!$D$5:$D$149,0))+0,"")</f>
        <v/>
      </c>
      <c r="G1163" s="0" t="str">
        <f aca="false">IF(ISNUMBER(F1163),IF(OR(B1163=0,B1163=99,C1163&lt;&gt;""),F1163*100+B1163,""),"")</f>
        <v/>
      </c>
      <c r="H1163" s="0" t="n">
        <f aca="false">IFERROR(INDEX('Session Tracker'!$J$5:$J$149,MATCH($A1163,'Session Tracker'!$D$5:$D$149,0)),0)</f>
        <v>8</v>
      </c>
      <c r="I1163" s="0" t="n">
        <f aca="false">IF(OR(B1163=0,B1163=99,C1163=""),"",IF(E1163="Per class",D1163,D1163*H1163))</f>
        <v>8</v>
      </c>
      <c r="N1163" s="0" t="str">
        <f aca="false">IF('Tech Leaders Kits'!B72="","",'Tech Leaders Kits'!B72)</f>
        <v>Computers &amp; Equipment</v>
      </c>
      <c r="O1163" s="0" t="str">
        <f aca="false">IF('Tech Leaders Kits'!F72="","",'Tech Leaders Kits'!F72)</f>
        <v>Reusable</v>
      </c>
      <c r="P1163" s="0" t="str">
        <f aca="false">IF('Tech Leaders Kits'!G72="","",'Tech Leaders Kits'!G72)</f>
        <v/>
      </c>
    </row>
    <row r="1164" customFormat="false" ht="15" hidden="false" customHeight="false" outlineLevel="0" collapsed="false">
      <c r="A1164" s="0" t="s">
        <v>296</v>
      </c>
      <c r="B1164" s="0" t="n">
        <v>7</v>
      </c>
      <c r="C1164" s="0" t="str">
        <f aca="false">IF('Tech Leaders Kits'!C73="","",'Tech Leaders Kits'!C73)</f>
        <v>Cardboard sheet</v>
      </c>
      <c r="D1164" s="0" t="n">
        <f aca="false">IF('Tech Leaders Kits'!D73="","",'Tech Leaders Kits'!D73)</f>
        <v>4</v>
      </c>
      <c r="E1164" s="0" t="str">
        <f aca="false">IF('Tech Leaders Kits'!E73="","",'Tech Leaders Kits'!E73)</f>
        <v>Per class</v>
      </c>
      <c r="F1164" s="0" t="str">
        <f aca="false">IFERROR(INDEX('Session Tracker'!$M$5:$M$149,MATCH($A1164,'Session Tracker'!$D$5:$D$149,0))+0,"")</f>
        <v/>
      </c>
      <c r="G1164" s="0" t="str">
        <f aca="false">IF(ISNUMBER(F1164),IF(OR(B1164=0,B1164=99,C1164&lt;&gt;""),F1164*100+B1164,""),"")</f>
        <v/>
      </c>
      <c r="H1164" s="0" t="n">
        <f aca="false">IFERROR(INDEX('Session Tracker'!$J$5:$J$149,MATCH($A1164,'Session Tracker'!$D$5:$D$149,0)),0)</f>
        <v>8</v>
      </c>
      <c r="I1164" s="0" t="n">
        <f aca="false">IF(OR(B1164=0,B1164=99,C1164=""),"",IF(E1164="Per class",D1164,D1164*H1164))</f>
        <v>4</v>
      </c>
      <c r="N1164" s="0" t="str">
        <f aca="false">IF('Tech Leaders Kits'!B73="","",'Tech Leaders Kits'!B73)</f>
        <v>Craft &amp; Stationery</v>
      </c>
      <c r="O1164" s="0" t="str">
        <f aca="false">IF('Tech Leaders Kits'!F73="","",'Tech Leaders Kits'!F73)</f>
        <v>Consumable</v>
      </c>
      <c r="P1164" s="0" t="str">
        <f aca="false">IF('Tech Leaders Kits'!G73="","",'Tech Leaders Kits'!G73)</f>
        <v>Maze walls</v>
      </c>
    </row>
    <row r="1165" customFormat="false" ht="15" hidden="false" customHeight="false" outlineLevel="0" collapsed="false">
      <c r="A1165" s="0" t="s">
        <v>296</v>
      </c>
      <c r="B1165" s="0" t="n">
        <v>8</v>
      </c>
      <c r="C1165" s="0" t="str">
        <f aca="false">IF('Tech Leaders Kits'!C74="","",'Tech Leaders Kits'!C74)</f>
        <v>Jumper wires M-F</v>
      </c>
      <c r="D1165" s="0" t="n">
        <f aca="false">IF('Tech Leaders Kits'!D74="","",'Tech Leaders Kits'!D74)</f>
        <v>14</v>
      </c>
      <c r="E1165" s="0" t="str">
        <f aca="false">IF('Tech Leaders Kits'!E74="","",'Tech Leaders Kits'!E74)</f>
        <v>Per group</v>
      </c>
      <c r="F1165" s="0" t="str">
        <f aca="false">IFERROR(INDEX('Session Tracker'!$M$5:$M$149,MATCH($A1165,'Session Tracker'!$D$5:$D$149,0))+0,"")</f>
        <v/>
      </c>
      <c r="G1165" s="0" t="str">
        <f aca="false">IF(ISNUMBER(F1165),IF(OR(B1165=0,B1165=99,C1165&lt;&gt;""),F1165*100+B1165,""),"")</f>
        <v/>
      </c>
      <c r="H1165" s="0" t="n">
        <f aca="false">IFERROR(INDEX('Session Tracker'!$J$5:$J$149,MATCH($A1165,'Session Tracker'!$D$5:$D$149,0)),0)</f>
        <v>8</v>
      </c>
      <c r="I1165" s="0" t="n">
        <f aca="false">IF(OR(B1165=0,B1165=99,C1165=""),"",IF(E1165="Per class",D1165,D1165*H1165))</f>
        <v>112</v>
      </c>
      <c r="N1165" s="0" t="str">
        <f aca="false">IF('Tech Leaders Kits'!B74="","",'Tech Leaders Kits'!B74)</f>
        <v>Wiring &amp; Prototyping</v>
      </c>
      <c r="O1165" s="0" t="str">
        <f aca="false">IF('Tech Leaders Kits'!F74="","",'Tech Leaders Kits'!F74)</f>
        <v>Reusable</v>
      </c>
      <c r="P1165" s="0" t="str">
        <f aca="false">IF('Tech Leaders Kits'!G74="","",'Tech Leaders Kits'!G74)</f>
        <v/>
      </c>
    </row>
    <row r="1166" customFormat="false" ht="15" hidden="false" customHeight="false" outlineLevel="0" collapsed="false">
      <c r="A1166" s="0" t="s">
        <v>296</v>
      </c>
      <c r="B1166" s="0" t="n">
        <v>9</v>
      </c>
      <c r="C1166" s="0" t="str">
        <f aca="false">IF('Tech Leaders Kits'!C75="","",'Tech Leaders Kits'!C75)</f>
        <v>Jumper wires M-M</v>
      </c>
      <c r="D1166" s="0" t="n">
        <f aca="false">IF('Tech Leaders Kits'!D75="","",'Tech Leaders Kits'!D75)</f>
        <v>10</v>
      </c>
      <c r="E1166" s="0" t="str">
        <f aca="false">IF('Tech Leaders Kits'!E75="","",'Tech Leaders Kits'!E75)</f>
        <v>Per group</v>
      </c>
      <c r="F1166" s="0" t="str">
        <f aca="false">IFERROR(INDEX('Session Tracker'!$M$5:$M$149,MATCH($A1166,'Session Tracker'!$D$5:$D$149,0))+0,"")</f>
        <v/>
      </c>
      <c r="G1166" s="0" t="str">
        <f aca="false">IF(ISNUMBER(F1166),IF(OR(B1166=0,B1166=99,C1166&lt;&gt;""),F1166*100+B1166,""),"")</f>
        <v/>
      </c>
      <c r="H1166" s="0" t="n">
        <f aca="false">IFERROR(INDEX('Session Tracker'!$J$5:$J$149,MATCH($A1166,'Session Tracker'!$D$5:$D$149,0)),0)</f>
        <v>8</v>
      </c>
      <c r="I1166" s="0" t="n">
        <f aca="false">IF(OR(B1166=0,B1166=99,C1166=""),"",IF(E1166="Per class",D1166,D1166*H1166))</f>
        <v>80</v>
      </c>
      <c r="N1166" s="0" t="str">
        <f aca="false">IF('Tech Leaders Kits'!B75="","",'Tech Leaders Kits'!B75)</f>
        <v>Wiring &amp; Prototyping</v>
      </c>
      <c r="O1166" s="0" t="str">
        <f aca="false">IF('Tech Leaders Kits'!F75="","",'Tech Leaders Kits'!F75)</f>
        <v>Reusable</v>
      </c>
      <c r="P1166" s="0" t="str">
        <f aca="false">IF('Tech Leaders Kits'!G75="","",'Tech Leaders Kits'!G75)</f>
        <v/>
      </c>
    </row>
    <row r="1167" customFormat="false" ht="15" hidden="false" customHeight="false" outlineLevel="0" collapsed="false">
      <c r="A1167" s="0" t="s">
        <v>296</v>
      </c>
      <c r="B1167" s="0" t="n">
        <v>10</v>
      </c>
      <c r="C1167" s="0" t="str">
        <f aca="false">IF('Tech Leaders Kits'!C76="","",'Tech Leaders Kits'!C76)</f>
        <v>Laptop</v>
      </c>
      <c r="D1167" s="0" t="n">
        <f aca="false">IF('Tech Leaders Kits'!D76="","",'Tech Leaders Kits'!D76)</f>
        <v>1</v>
      </c>
      <c r="E1167" s="0" t="str">
        <f aca="false">IF('Tech Leaders Kits'!E76="","",'Tech Leaders Kits'!E76)</f>
        <v>Per group</v>
      </c>
      <c r="F1167" s="0" t="str">
        <f aca="false">IFERROR(INDEX('Session Tracker'!$M$5:$M$149,MATCH($A1167,'Session Tracker'!$D$5:$D$149,0))+0,"")</f>
        <v/>
      </c>
      <c r="G1167" s="0" t="str">
        <f aca="false">IF(ISNUMBER(F1167),IF(OR(B1167=0,B1167=99,C1167&lt;&gt;""),F1167*100+B1167,""),"")</f>
        <v/>
      </c>
      <c r="H1167" s="0" t="n">
        <f aca="false">IFERROR(INDEX('Session Tracker'!$J$5:$J$149,MATCH($A1167,'Session Tracker'!$D$5:$D$149,0)),0)</f>
        <v>8</v>
      </c>
      <c r="I1167" s="0" t="n">
        <f aca="false">IF(OR(B1167=0,B1167=99,C1167=""),"",IF(E1167="Per class",D1167,D1167*H1167))</f>
        <v>8</v>
      </c>
      <c r="N1167" s="0" t="str">
        <f aca="false">IF('Tech Leaders Kits'!B76="","",'Tech Leaders Kits'!B76)</f>
        <v>Computers &amp; Equipment</v>
      </c>
      <c r="O1167" s="0" t="str">
        <f aca="false">IF('Tech Leaders Kits'!F76="","",'Tech Leaders Kits'!F76)</f>
        <v>Reusable</v>
      </c>
      <c r="P1167" s="0" t="str">
        <f aca="false">IF('Tech Leaders Kits'!G76="","",'Tech Leaders Kits'!G76)</f>
        <v/>
      </c>
    </row>
    <row r="1168" customFormat="false" ht="15" hidden="false" customHeight="false" outlineLevel="0" collapsed="false">
      <c r="A1168" s="0" t="s">
        <v>296</v>
      </c>
      <c r="B1168" s="0" t="n">
        <v>11</v>
      </c>
      <c r="C1168" s="0" t="str">
        <f aca="false">IF('Tech Leaders Kits'!C77="","",'Tech Leaders Kits'!C77)</f>
        <v>LED 5 mm (assorted)</v>
      </c>
      <c r="D1168" s="0" t="n">
        <f aca="false">IF('Tech Leaders Kits'!D77="","",'Tech Leaders Kits'!D77)</f>
        <v>1</v>
      </c>
      <c r="E1168" s="0" t="str">
        <f aca="false">IF('Tech Leaders Kits'!E77="","",'Tech Leaders Kits'!E77)</f>
        <v>Per group</v>
      </c>
      <c r="F1168" s="0" t="str">
        <f aca="false">IFERROR(INDEX('Session Tracker'!$M$5:$M$149,MATCH($A1168,'Session Tracker'!$D$5:$D$149,0))+0,"")</f>
        <v/>
      </c>
      <c r="G1168" s="0" t="str">
        <f aca="false">IF(ISNUMBER(F1168),IF(OR(B1168=0,B1168=99,C1168&lt;&gt;""),F1168*100+B1168,""),"")</f>
        <v/>
      </c>
      <c r="H1168" s="0" t="n">
        <f aca="false">IFERROR(INDEX('Session Tracker'!$J$5:$J$149,MATCH($A1168,'Session Tracker'!$D$5:$D$149,0)),0)</f>
        <v>8</v>
      </c>
      <c r="I1168" s="0" t="n">
        <f aca="false">IF(OR(B1168=0,B1168=99,C1168=""),"",IF(E1168="Per class",D1168,D1168*H1168))</f>
        <v>8</v>
      </c>
      <c r="N1168" s="0" t="str">
        <f aca="false">IF('Tech Leaders Kits'!B77="","",'Tech Leaders Kits'!B77)</f>
        <v>Displays &amp; Output</v>
      </c>
      <c r="O1168" s="0" t="str">
        <f aca="false">IF('Tech Leaders Kits'!F77="","",'Tech Leaders Kits'!F77)</f>
        <v>Consumable</v>
      </c>
      <c r="P1168" s="0" t="str">
        <f aca="false">IF('Tech Leaders Kits'!G77="","",'Tech Leaders Kits'!G77)</f>
        <v>Added: every Arduino class</v>
      </c>
    </row>
    <row r="1169" customFormat="false" ht="15" hidden="false" customHeight="false" outlineLevel="0" collapsed="false">
      <c r="A1169" s="0" t="s">
        <v>296</v>
      </c>
      <c r="B1169" s="0" t="n">
        <v>12</v>
      </c>
      <c r="C1169" s="0" t="str">
        <f aca="false">IF('Tech Leaders Kits'!C78="","",'Tech Leaders Kits'!C78)</f>
        <v>Resistor 220 ohm</v>
      </c>
      <c r="D1169" s="0" t="n">
        <f aca="false">IF('Tech Leaders Kits'!D78="","",'Tech Leaders Kits'!D78)</f>
        <v>1</v>
      </c>
      <c r="E1169" s="0" t="str">
        <f aca="false">IF('Tech Leaders Kits'!E78="","",'Tech Leaders Kits'!E78)</f>
        <v>Per group</v>
      </c>
      <c r="F1169" s="0" t="str">
        <f aca="false">IFERROR(INDEX('Session Tracker'!$M$5:$M$149,MATCH($A1169,'Session Tracker'!$D$5:$D$149,0))+0,"")</f>
        <v/>
      </c>
      <c r="G1169" s="0" t="str">
        <f aca="false">IF(ISNUMBER(F1169),IF(OR(B1169=0,B1169=99,C1169&lt;&gt;""),F1169*100+B1169,""),"")</f>
        <v/>
      </c>
      <c r="H1169" s="0" t="n">
        <f aca="false">IFERROR(INDEX('Session Tracker'!$J$5:$J$149,MATCH($A1169,'Session Tracker'!$D$5:$D$149,0)),0)</f>
        <v>8</v>
      </c>
      <c r="I1169" s="0" t="n">
        <f aca="false">IF(OR(B1169=0,B1169=99,C1169=""),"",IF(E1169="Per class",D1169,D1169*H1169))</f>
        <v>8</v>
      </c>
      <c r="N1169" s="0" t="str">
        <f aca="false">IF('Tech Leaders Kits'!B78="","",'Tech Leaders Kits'!B78)</f>
        <v>Passive Components &amp; ICs</v>
      </c>
      <c r="O1169" s="0" t="str">
        <f aca="false">IF('Tech Leaders Kits'!F78="","",'Tech Leaders Kits'!F78)</f>
        <v>Consumable</v>
      </c>
      <c r="P1169" s="0" t="str">
        <f aca="false">IF('Tech Leaders Kits'!G78="","",'Tech Leaders Kits'!G78)</f>
        <v>Added: for the LED</v>
      </c>
    </row>
    <row r="1170" customFormat="false" ht="15" hidden="false" customHeight="false" outlineLevel="0" collapsed="false">
      <c r="A1170" s="0" t="s">
        <v>296</v>
      </c>
      <c r="B1170" s="0" t="n">
        <v>13</v>
      </c>
      <c r="C1170" s="0" t="str">
        <f aca="false">IF('Tech Leaders Kits'!C79="","",'Tech Leaders Kits'!C79)</f>
        <v>Buzzer</v>
      </c>
      <c r="D1170" s="0" t="n">
        <f aca="false">IF('Tech Leaders Kits'!D79="","",'Tech Leaders Kits'!D79)</f>
        <v>1</v>
      </c>
      <c r="E1170" s="0" t="str">
        <f aca="false">IF('Tech Leaders Kits'!E79="","",'Tech Leaders Kits'!E79)</f>
        <v>Per group</v>
      </c>
      <c r="F1170" s="0" t="str">
        <f aca="false">IFERROR(INDEX('Session Tracker'!$M$5:$M$149,MATCH($A1170,'Session Tracker'!$D$5:$D$149,0))+0,"")</f>
        <v/>
      </c>
      <c r="G1170" s="0" t="str">
        <f aca="false">IF(ISNUMBER(F1170),IF(OR(B1170=0,B1170=99,C1170&lt;&gt;""),F1170*100+B1170,""),"")</f>
        <v/>
      </c>
      <c r="H1170" s="0" t="n">
        <f aca="false">IFERROR(INDEX('Session Tracker'!$J$5:$J$149,MATCH($A1170,'Session Tracker'!$D$5:$D$149,0)),0)</f>
        <v>8</v>
      </c>
      <c r="I1170" s="0" t="n">
        <f aca="false">IF(OR(B1170=0,B1170=99,C1170=""),"",IF(E1170="Per class",D1170,D1170*H1170))</f>
        <v>8</v>
      </c>
      <c r="N1170" s="0" t="str">
        <f aca="false">IF('Tech Leaders Kits'!B79="","",'Tech Leaders Kits'!B79)</f>
        <v>Actuators &amp; Motor Drivers</v>
      </c>
      <c r="O1170" s="0" t="str">
        <f aca="false">IF('Tech Leaders Kits'!F79="","",'Tech Leaders Kits'!F79)</f>
        <v>Reusable</v>
      </c>
      <c r="P1170" s="0" t="str">
        <f aca="false">IF('Tech Leaders Kits'!G79="","",'Tech Leaders Kits'!G79)</f>
        <v>Added: every Arduino class</v>
      </c>
    </row>
    <row r="1171" customFormat="false" ht="15" hidden="false" customHeight="false" outlineLevel="0" collapsed="false">
      <c r="A1171" s="0" t="s">
        <v>296</v>
      </c>
      <c r="B1171" s="0" t="n">
        <v>14</v>
      </c>
      <c r="C1171" s="0" t="str">
        <f aca="false">IF('Tech Leaders Kits'!C80="","",'Tech Leaders Kits'!C80)</f>
        <v/>
      </c>
      <c r="D1171" s="0" t="str">
        <f aca="false">IF('Tech Leaders Kits'!D80="","",'Tech Leaders Kits'!D80)</f>
        <v/>
      </c>
      <c r="E1171" s="0" t="str">
        <f aca="false">IF('Tech Leaders Kits'!E80="","",'Tech Leaders Kits'!E80)</f>
        <v/>
      </c>
      <c r="F1171" s="0" t="str">
        <f aca="false">IFERROR(INDEX('Session Tracker'!$M$5:$M$149,MATCH($A1171,'Session Tracker'!$D$5:$D$149,0))+0,"")</f>
        <v/>
      </c>
      <c r="G1171" s="0" t="str">
        <f aca="false">IF(ISNUMBER(F1171),IF(OR(B1171=0,B1171=99,C1171&lt;&gt;""),F1171*100+B1171,""),"")</f>
        <v/>
      </c>
      <c r="H1171" s="0" t="n">
        <f aca="false">IFERROR(INDEX('Session Tracker'!$J$5:$J$149,MATCH($A1171,'Session Tracker'!$D$5:$D$149,0)),0)</f>
        <v>8</v>
      </c>
      <c r="I1171" s="0" t="str">
        <f aca="false">IF(OR(B1171=0,B1171=99,C1171=""),"",IF(E1171="Per class",D1171,D1171*H1171))</f>
        <v/>
      </c>
      <c r="N1171" s="0" t="str">
        <f aca="false">IF('Tech Leaders Kits'!B80="","",'Tech Leaders Kits'!B80)</f>
        <v/>
      </c>
      <c r="O1171" s="0" t="str">
        <f aca="false">IF('Tech Leaders Kits'!F80="","",'Tech Leaders Kits'!F80)</f>
        <v/>
      </c>
      <c r="P1171" s="0" t="str">
        <f aca="false">IF('Tech Leaders Kits'!G80="","",'Tech Leaders Kits'!G80)</f>
        <v/>
      </c>
    </row>
    <row r="1172" customFormat="false" ht="15" hidden="false" customHeight="false" outlineLevel="0" collapsed="false">
      <c r="A1172" s="0" t="s">
        <v>296</v>
      </c>
      <c r="B1172" s="0" t="n">
        <v>15</v>
      </c>
      <c r="C1172" s="0" t="str">
        <f aca="false">IF('Tech Leaders Kits'!C81="","",'Tech Leaders Kits'!C81)</f>
        <v/>
      </c>
      <c r="D1172" s="0" t="str">
        <f aca="false">IF('Tech Leaders Kits'!D81="","",'Tech Leaders Kits'!D81)</f>
        <v/>
      </c>
      <c r="E1172" s="0" t="str">
        <f aca="false">IF('Tech Leaders Kits'!E81="","",'Tech Leaders Kits'!E81)</f>
        <v/>
      </c>
      <c r="F1172" s="0" t="str">
        <f aca="false">IFERROR(INDEX('Session Tracker'!$M$5:$M$149,MATCH($A1172,'Session Tracker'!$D$5:$D$149,0))+0,"")</f>
        <v/>
      </c>
      <c r="G1172" s="0" t="str">
        <f aca="false">IF(ISNUMBER(F1172),IF(OR(B1172=0,B1172=99,C1172&lt;&gt;""),F1172*100+B1172,""),"")</f>
        <v/>
      </c>
      <c r="H1172" s="0" t="n">
        <f aca="false">IFERROR(INDEX('Session Tracker'!$J$5:$J$149,MATCH($A1172,'Session Tracker'!$D$5:$D$149,0)),0)</f>
        <v>8</v>
      </c>
      <c r="I1172" s="0" t="str">
        <f aca="false">IF(OR(B1172=0,B1172=99,C1172=""),"",IF(E1172="Per class",D1172,D1172*H1172))</f>
        <v/>
      </c>
      <c r="N1172" s="0" t="str">
        <f aca="false">IF('Tech Leaders Kits'!B81="","",'Tech Leaders Kits'!B81)</f>
        <v/>
      </c>
      <c r="O1172" s="0" t="str">
        <f aca="false">IF('Tech Leaders Kits'!F81="","",'Tech Leaders Kits'!F81)</f>
        <v/>
      </c>
      <c r="P1172" s="0" t="str">
        <f aca="false">IF('Tech Leaders Kits'!G81="","",'Tech Leaders Kits'!G81)</f>
        <v/>
      </c>
    </row>
    <row r="1173" customFormat="false" ht="15" hidden="false" customHeight="false" outlineLevel="0" collapsed="false">
      <c r="A1173" s="0" t="s">
        <v>298</v>
      </c>
      <c r="B1173" s="0" t="n">
        <v>0</v>
      </c>
      <c r="F1173" s="0" t="str">
        <f aca="false">IFERROR(INDEX('Session Tracker'!$M$5:$M$149,MATCH($A1173,'Session Tracker'!$D$5:$D$149,0))+0,"")</f>
        <v/>
      </c>
      <c r="G1173" s="0" t="str">
        <f aca="false">IF(ISNUMBER(F1173),IF(OR(B1173=0,B1173=99,C1173&lt;&gt;""),F1173*100+B1173,""),"")</f>
        <v/>
      </c>
      <c r="H1173" s="0" t="n">
        <f aca="false">IFERROR(INDEX('Session Tracker'!$J$5:$J$149,MATCH($A1173,'Session Tracker'!$D$5:$D$149,0)),0)</f>
        <v>8</v>
      </c>
      <c r="I1173" s="0" t="str">
        <f aca="false">IF(OR(B1173=0,B1173=99,C1173=""),"",IF(E1173="Per class",D1173,D1173*H1173))</f>
        <v/>
      </c>
      <c r="K1173" s="0" t="str">
        <f aca="false">IFERROR(INDEX('Session Tracker'!$E$5:$E$149,MATCH($A1173,'Session Tracker'!$D$5:$D$149,0)),"")</f>
        <v>Pick-and-Place Robotic Arm with Record &amp; Replay</v>
      </c>
      <c r="L1173" s="0" t="str">
        <f aca="false">IFERROR(INDEX('Session Tracker'!$A$5:$A$149,MATCH($A1173,'Session Tracker'!$D$5:$D$149,0)),"")</f>
        <v>Tech Leaders (15-17)</v>
      </c>
      <c r="M1173" s="0" t="str">
        <f aca="false">IFERROR(INDEX('Session Tracker'!$H$5:$H$149,MATCH($A1173,'Session Tracker'!$D$5:$D$149,0))&amp;"","")</f>
        <v/>
      </c>
      <c r="Q1173" s="0" t="str">
        <f aca="false">IFERROR("Status: "&amp;INDEX('Session Tracker'!$F$5:$F$149,MATCH($A1173,'Session Tracker'!$D$5:$D$149,0))&amp;IF(INDEX('Session Tracker'!$G$5:$G$149,MATCH($A1173,'Session Tracker'!$D$5:$D$149,0))&lt;&gt;""," ("&amp;INDEX('Session Tracker'!$G$5:$G$149,MATCH($A1173,'Session Tracker'!$D$5:$D$149,0))&amp;")","")&amp;IF(M1173&lt;&gt;"","  "&amp;M1173,""),"")</f>
        <v>Status: Not started</v>
      </c>
    </row>
    <row r="1174" customFormat="false" ht="15" hidden="false" customHeight="false" outlineLevel="0" collapsed="false">
      <c r="A1174" s="0" t="s">
        <v>298</v>
      </c>
      <c r="B1174" s="0" t="n">
        <v>1</v>
      </c>
      <c r="C1174" s="0" t="str">
        <f aca="false">IF('Tech Leaders Kits'!C84="","",'Tech Leaders Kits'!C84)</f>
        <v>Arduino Uno + USB cable</v>
      </c>
      <c r="D1174" s="0" t="n">
        <f aca="false">IF('Tech Leaders Kits'!D84="","",'Tech Leaders Kits'!D84)</f>
        <v>1</v>
      </c>
      <c r="E1174" s="0" t="str">
        <f aca="false">IF('Tech Leaders Kits'!E84="","",'Tech Leaders Kits'!E84)</f>
        <v>Per group</v>
      </c>
      <c r="F1174" s="0" t="str">
        <f aca="false">IFERROR(INDEX('Session Tracker'!$M$5:$M$149,MATCH($A1174,'Session Tracker'!$D$5:$D$149,0))+0,"")</f>
        <v/>
      </c>
      <c r="G1174" s="0" t="str">
        <f aca="false">IF(ISNUMBER(F1174),IF(OR(B1174=0,B1174=99,C1174&lt;&gt;""),F1174*100+B1174,""),"")</f>
        <v/>
      </c>
      <c r="H1174" s="0" t="n">
        <f aca="false">IFERROR(INDEX('Session Tracker'!$J$5:$J$149,MATCH($A1174,'Session Tracker'!$D$5:$D$149,0)),0)</f>
        <v>8</v>
      </c>
      <c r="I1174" s="0" t="n">
        <f aca="false">IF(OR(B1174=0,B1174=99,C1174=""),"",IF(E1174="Per class",D1174,D1174*H1174))</f>
        <v>8</v>
      </c>
      <c r="N1174" s="0" t="str">
        <f aca="false">IF('Tech Leaders Kits'!B84="","",'Tech Leaders Kits'!B84)</f>
        <v>Microcontrollers &amp; Dev Boards</v>
      </c>
      <c r="O1174" s="0" t="str">
        <f aca="false">IF('Tech Leaders Kits'!F84="","",'Tech Leaders Kits'!F84)</f>
        <v>Reusable</v>
      </c>
      <c r="P1174" s="0" t="str">
        <f aca="false">IF('Tech Leaders Kits'!G84="","",'Tech Leaders Kits'!G84)</f>
        <v/>
      </c>
    </row>
    <row r="1175" customFormat="false" ht="15" hidden="false" customHeight="false" outlineLevel="0" collapsed="false">
      <c r="A1175" s="0" t="s">
        <v>298</v>
      </c>
      <c r="B1175" s="0" t="n">
        <v>2</v>
      </c>
      <c r="C1175" s="0" t="str">
        <f aca="false">IF('Tech Leaders Kits'!C85="","",'Tech Leaders Kits'!C85)</f>
        <v>Servo MG995</v>
      </c>
      <c r="D1175" s="0" t="n">
        <f aca="false">IF('Tech Leaders Kits'!D85="","",'Tech Leaders Kits'!D85)</f>
        <v>2</v>
      </c>
      <c r="E1175" s="0" t="str">
        <f aca="false">IF('Tech Leaders Kits'!E85="","",'Tech Leaders Kits'!E85)</f>
        <v>Per group</v>
      </c>
      <c r="F1175" s="0" t="str">
        <f aca="false">IFERROR(INDEX('Session Tracker'!$M$5:$M$149,MATCH($A1175,'Session Tracker'!$D$5:$D$149,0))+0,"")</f>
        <v/>
      </c>
      <c r="G1175" s="0" t="str">
        <f aca="false">IF(ISNUMBER(F1175),IF(OR(B1175=0,B1175=99,C1175&lt;&gt;""),F1175*100+B1175,""),"")</f>
        <v/>
      </c>
      <c r="H1175" s="0" t="n">
        <f aca="false">IFERROR(INDEX('Session Tracker'!$J$5:$J$149,MATCH($A1175,'Session Tracker'!$D$5:$D$149,0)),0)</f>
        <v>8</v>
      </c>
      <c r="I1175" s="0" t="n">
        <f aca="false">IF(OR(B1175=0,B1175=99,C1175=""),"",IF(E1175="Per class",D1175,D1175*H1175))</f>
        <v>16</v>
      </c>
      <c r="N1175" s="0" t="str">
        <f aca="false">IF('Tech Leaders Kits'!B85="","",'Tech Leaders Kits'!B85)</f>
        <v>Actuators &amp; Motor Drivers</v>
      </c>
      <c r="O1175" s="0" t="str">
        <f aca="false">IF('Tech Leaders Kits'!F85="","",'Tech Leaders Kits'!F85)</f>
        <v>Reusable</v>
      </c>
      <c r="P1175" s="0" t="str">
        <f aca="false">IF('Tech Leaders Kits'!G85="","",'Tech Leaders Kits'!G85)</f>
        <v>Base and shoulder</v>
      </c>
    </row>
    <row r="1176" customFormat="false" ht="15" hidden="false" customHeight="false" outlineLevel="0" collapsed="false">
      <c r="A1176" s="0" t="s">
        <v>298</v>
      </c>
      <c r="B1176" s="0" t="n">
        <v>3</v>
      </c>
      <c r="C1176" s="0" t="str">
        <f aca="false">IF('Tech Leaders Kits'!C86="","",'Tech Leaders Kits'!C86)</f>
        <v>Servo SG90</v>
      </c>
      <c r="D1176" s="0" t="n">
        <f aca="false">IF('Tech Leaders Kits'!D86="","",'Tech Leaders Kits'!D86)</f>
        <v>2</v>
      </c>
      <c r="E1176" s="0" t="str">
        <f aca="false">IF('Tech Leaders Kits'!E86="","",'Tech Leaders Kits'!E86)</f>
        <v>Per group</v>
      </c>
      <c r="F1176" s="0" t="str">
        <f aca="false">IFERROR(INDEX('Session Tracker'!$M$5:$M$149,MATCH($A1176,'Session Tracker'!$D$5:$D$149,0))+0,"")</f>
        <v/>
      </c>
      <c r="G1176" s="0" t="str">
        <f aca="false">IF(ISNUMBER(F1176),IF(OR(B1176=0,B1176=99,C1176&lt;&gt;""),F1176*100+B1176,""),"")</f>
        <v/>
      </c>
      <c r="H1176" s="0" t="n">
        <f aca="false">IFERROR(INDEX('Session Tracker'!$J$5:$J$149,MATCH($A1176,'Session Tracker'!$D$5:$D$149,0)),0)</f>
        <v>8</v>
      </c>
      <c r="I1176" s="0" t="n">
        <f aca="false">IF(OR(B1176=0,B1176=99,C1176=""),"",IF(E1176="Per class",D1176,D1176*H1176))</f>
        <v>16</v>
      </c>
      <c r="N1176" s="0" t="str">
        <f aca="false">IF('Tech Leaders Kits'!B86="","",'Tech Leaders Kits'!B86)</f>
        <v>Actuators &amp; Motor Drivers</v>
      </c>
      <c r="O1176" s="0" t="str">
        <f aca="false">IF('Tech Leaders Kits'!F86="","",'Tech Leaders Kits'!F86)</f>
        <v>Reusable</v>
      </c>
      <c r="P1176" s="0" t="str">
        <f aca="false">IF('Tech Leaders Kits'!G86="","",'Tech Leaders Kits'!G86)</f>
        <v>Wrist and gripper</v>
      </c>
    </row>
    <row r="1177" customFormat="false" ht="15" hidden="false" customHeight="false" outlineLevel="0" collapsed="false">
      <c r="A1177" s="0" t="s">
        <v>298</v>
      </c>
      <c r="B1177" s="0" t="n">
        <v>4</v>
      </c>
      <c r="C1177" s="0" t="str">
        <f aca="false">IF('Tech Leaders Kits'!C87="","",'Tech Leaders Kits'!C87)</f>
        <v>Potentiometer 10k</v>
      </c>
      <c r="D1177" s="0" t="n">
        <f aca="false">IF('Tech Leaders Kits'!D87="","",'Tech Leaders Kits'!D87)</f>
        <v>4</v>
      </c>
      <c r="E1177" s="0" t="str">
        <f aca="false">IF('Tech Leaders Kits'!E87="","",'Tech Leaders Kits'!E87)</f>
        <v>Per group</v>
      </c>
      <c r="F1177" s="0" t="str">
        <f aca="false">IFERROR(INDEX('Session Tracker'!$M$5:$M$149,MATCH($A1177,'Session Tracker'!$D$5:$D$149,0))+0,"")</f>
        <v/>
      </c>
      <c r="G1177" s="0" t="str">
        <f aca="false">IF(ISNUMBER(F1177),IF(OR(B1177=0,B1177=99,C1177&lt;&gt;""),F1177*100+B1177,""),"")</f>
        <v/>
      </c>
      <c r="H1177" s="0" t="n">
        <f aca="false">IFERROR(INDEX('Session Tracker'!$J$5:$J$149,MATCH($A1177,'Session Tracker'!$D$5:$D$149,0)),0)</f>
        <v>8</v>
      </c>
      <c r="I1177" s="0" t="n">
        <f aca="false">IF(OR(B1177=0,B1177=99,C1177=""),"",IF(E1177="Per class",D1177,D1177*H1177))</f>
        <v>32</v>
      </c>
      <c r="N1177" s="0" t="str">
        <f aca="false">IF('Tech Leaders Kits'!B87="","",'Tech Leaders Kits'!B87)</f>
        <v>Passive Components &amp; ICs</v>
      </c>
      <c r="O1177" s="0" t="str">
        <f aca="false">IF('Tech Leaders Kits'!F87="","",'Tech Leaders Kits'!F87)</f>
        <v>Reusable</v>
      </c>
      <c r="P1177" s="0" t="str">
        <f aca="false">IF('Tech Leaders Kits'!G87="","",'Tech Leaders Kits'!G87)</f>
        <v/>
      </c>
    </row>
    <row r="1178" customFormat="false" ht="15" hidden="false" customHeight="false" outlineLevel="0" collapsed="false">
      <c r="A1178" s="0" t="s">
        <v>298</v>
      </c>
      <c r="B1178" s="0" t="n">
        <v>5</v>
      </c>
      <c r="C1178" s="0" t="str">
        <f aca="false">IF('Tech Leaders Kits'!C88="","",'Tech Leaders Kits'!C88)</f>
        <v>Push button</v>
      </c>
      <c r="D1178" s="0" t="n">
        <f aca="false">IF('Tech Leaders Kits'!D88="","",'Tech Leaders Kits'!D88)</f>
        <v>2</v>
      </c>
      <c r="E1178" s="0" t="str">
        <f aca="false">IF('Tech Leaders Kits'!E88="","",'Tech Leaders Kits'!E88)</f>
        <v>Per group</v>
      </c>
      <c r="F1178" s="0" t="str">
        <f aca="false">IFERROR(INDEX('Session Tracker'!$M$5:$M$149,MATCH($A1178,'Session Tracker'!$D$5:$D$149,0))+0,"")</f>
        <v/>
      </c>
      <c r="G1178" s="0" t="str">
        <f aca="false">IF(ISNUMBER(F1178),IF(OR(B1178=0,B1178=99,C1178&lt;&gt;""),F1178*100+B1178,""),"")</f>
        <v/>
      </c>
      <c r="H1178" s="0" t="n">
        <f aca="false">IFERROR(INDEX('Session Tracker'!$J$5:$J$149,MATCH($A1178,'Session Tracker'!$D$5:$D$149,0)),0)</f>
        <v>8</v>
      </c>
      <c r="I1178" s="0" t="n">
        <f aca="false">IF(OR(B1178=0,B1178=99,C1178=""),"",IF(E1178="Per class",D1178,D1178*H1178))</f>
        <v>16</v>
      </c>
      <c r="N1178" s="0" t="str">
        <f aca="false">IF('Tech Leaders Kits'!B88="","",'Tech Leaders Kits'!B88)</f>
        <v>Passive Components &amp; ICs</v>
      </c>
      <c r="O1178" s="0" t="str">
        <f aca="false">IF('Tech Leaders Kits'!F88="","",'Tech Leaders Kits'!F88)</f>
        <v>Reusable</v>
      </c>
      <c r="P1178" s="0" t="str">
        <f aca="false">IF('Tech Leaders Kits'!G88="","",'Tech Leaders Kits'!G88)</f>
        <v/>
      </c>
    </row>
    <row r="1179" customFormat="false" ht="15" hidden="false" customHeight="false" outlineLevel="0" collapsed="false">
      <c r="A1179" s="0" t="s">
        <v>298</v>
      </c>
      <c r="B1179" s="0" t="n">
        <v>6</v>
      </c>
      <c r="C1179" s="0" t="str">
        <f aca="false">IF('Tech Leaders Kits'!C89="","",'Tech Leaders Kits'!C89)</f>
        <v>Resistor 10k ohm</v>
      </c>
      <c r="D1179" s="0" t="n">
        <f aca="false">IF('Tech Leaders Kits'!D89="","",'Tech Leaders Kits'!D89)</f>
        <v>2</v>
      </c>
      <c r="E1179" s="0" t="str">
        <f aca="false">IF('Tech Leaders Kits'!E89="","",'Tech Leaders Kits'!E89)</f>
        <v>Per group</v>
      </c>
      <c r="F1179" s="0" t="str">
        <f aca="false">IFERROR(INDEX('Session Tracker'!$M$5:$M$149,MATCH($A1179,'Session Tracker'!$D$5:$D$149,0))+0,"")</f>
        <v/>
      </c>
      <c r="G1179" s="0" t="str">
        <f aca="false">IF(ISNUMBER(F1179),IF(OR(B1179=0,B1179=99,C1179&lt;&gt;""),F1179*100+B1179,""),"")</f>
        <v/>
      </c>
      <c r="H1179" s="0" t="n">
        <f aca="false">IFERROR(INDEX('Session Tracker'!$J$5:$J$149,MATCH($A1179,'Session Tracker'!$D$5:$D$149,0)),0)</f>
        <v>8</v>
      </c>
      <c r="I1179" s="0" t="n">
        <f aca="false">IF(OR(B1179=0,B1179=99,C1179=""),"",IF(E1179="Per class",D1179,D1179*H1179))</f>
        <v>16</v>
      </c>
      <c r="N1179" s="0" t="str">
        <f aca="false">IF('Tech Leaders Kits'!B89="","",'Tech Leaders Kits'!B89)</f>
        <v>Passive Components &amp; ICs</v>
      </c>
      <c r="O1179" s="0" t="str">
        <f aca="false">IF('Tech Leaders Kits'!F89="","",'Tech Leaders Kits'!F89)</f>
        <v>Consumable</v>
      </c>
      <c r="P1179" s="0" t="str">
        <f aca="false">IF('Tech Leaders Kits'!G89="","",'Tech Leaders Kits'!G89)</f>
        <v/>
      </c>
    </row>
    <row r="1180" customFormat="false" ht="15" hidden="false" customHeight="false" outlineLevel="0" collapsed="false">
      <c r="A1180" s="0" t="s">
        <v>298</v>
      </c>
      <c r="B1180" s="0" t="n">
        <v>7</v>
      </c>
      <c r="C1180" s="0" t="str">
        <f aca="false">IF('Tech Leaders Kits'!C90="","",'Tech Leaders Kits'!C90)</f>
        <v>LM2596 buck converter</v>
      </c>
      <c r="D1180" s="0" t="n">
        <f aca="false">IF('Tech Leaders Kits'!D90="","",'Tech Leaders Kits'!D90)</f>
        <v>1</v>
      </c>
      <c r="E1180" s="0" t="str">
        <f aca="false">IF('Tech Leaders Kits'!E90="","",'Tech Leaders Kits'!E90)</f>
        <v>Per group</v>
      </c>
      <c r="F1180" s="0" t="str">
        <f aca="false">IFERROR(INDEX('Session Tracker'!$M$5:$M$149,MATCH($A1180,'Session Tracker'!$D$5:$D$149,0))+0,"")</f>
        <v/>
      </c>
      <c r="G1180" s="0" t="str">
        <f aca="false">IF(ISNUMBER(F1180),IF(OR(B1180=0,B1180=99,C1180&lt;&gt;""),F1180*100+B1180,""),"")</f>
        <v/>
      </c>
      <c r="H1180" s="0" t="n">
        <f aca="false">IFERROR(INDEX('Session Tracker'!$J$5:$J$149,MATCH($A1180,'Session Tracker'!$D$5:$D$149,0)),0)</f>
        <v>8</v>
      </c>
      <c r="I1180" s="0" t="n">
        <f aca="false">IF(OR(B1180=0,B1180=99,C1180=""),"",IF(E1180="Per class",D1180,D1180*H1180))</f>
        <v>8</v>
      </c>
      <c r="N1180" s="0" t="str">
        <f aca="false">IF('Tech Leaders Kits'!B90="","",'Tech Leaders Kits'!B90)</f>
        <v>Power</v>
      </c>
      <c r="O1180" s="0" t="str">
        <f aca="false">IF('Tech Leaders Kits'!F90="","",'Tech Leaders Kits'!F90)</f>
        <v>Reusable</v>
      </c>
      <c r="P1180" s="0" t="str">
        <f aca="false">IF('Tech Leaders Kits'!G90="","",'Tech Leaders Kits'!G90)</f>
        <v>Servo supply</v>
      </c>
    </row>
    <row r="1181" customFormat="false" ht="15" hidden="false" customHeight="false" outlineLevel="0" collapsed="false">
      <c r="A1181" s="0" t="s">
        <v>298</v>
      </c>
      <c r="B1181" s="0" t="n">
        <v>8</v>
      </c>
      <c r="C1181" s="0" t="str">
        <f aca="false">IF('Tech Leaders Kits'!C91="","",'Tech Leaders Kits'!C91)</f>
        <v>4xAA battery pack</v>
      </c>
      <c r="D1181" s="0" t="n">
        <f aca="false">IF('Tech Leaders Kits'!D91="","",'Tech Leaders Kits'!D91)</f>
        <v>1</v>
      </c>
      <c r="E1181" s="0" t="str">
        <f aca="false">IF('Tech Leaders Kits'!E91="","",'Tech Leaders Kits'!E91)</f>
        <v>Per group</v>
      </c>
      <c r="F1181" s="0" t="str">
        <f aca="false">IFERROR(INDEX('Session Tracker'!$M$5:$M$149,MATCH($A1181,'Session Tracker'!$D$5:$D$149,0))+0,"")</f>
        <v/>
      </c>
      <c r="G1181" s="0" t="str">
        <f aca="false">IF(ISNUMBER(F1181),IF(OR(B1181=0,B1181=99,C1181&lt;&gt;""),F1181*100+B1181,""),"")</f>
        <v/>
      </c>
      <c r="H1181" s="0" t="n">
        <f aca="false">IFERROR(INDEX('Session Tracker'!$J$5:$J$149,MATCH($A1181,'Session Tracker'!$D$5:$D$149,0)),0)</f>
        <v>8</v>
      </c>
      <c r="I1181" s="0" t="n">
        <f aca="false">IF(OR(B1181=0,B1181=99,C1181=""),"",IF(E1181="Per class",D1181,D1181*H1181))</f>
        <v>8</v>
      </c>
      <c r="N1181" s="0" t="str">
        <f aca="false">IF('Tech Leaders Kits'!B91="","",'Tech Leaders Kits'!B91)</f>
        <v>Power</v>
      </c>
      <c r="O1181" s="0" t="str">
        <f aca="false">IF('Tech Leaders Kits'!F91="","",'Tech Leaders Kits'!F91)</f>
        <v>Consumable</v>
      </c>
      <c r="P1181" s="0" t="str">
        <f aca="false">IF('Tech Leaders Kits'!G91="","",'Tech Leaders Kits'!G91)</f>
        <v/>
      </c>
    </row>
    <row r="1182" customFormat="false" ht="15" hidden="false" customHeight="false" outlineLevel="0" collapsed="false">
      <c r="A1182" s="0" t="s">
        <v>298</v>
      </c>
      <c r="B1182" s="0" t="n">
        <v>9</v>
      </c>
      <c r="C1182" s="0" t="str">
        <f aca="false">IF('Tech Leaders Kits'!C92="","",'Tech Leaders Kits'!C92)</f>
        <v>Cardboard sheet</v>
      </c>
      <c r="D1182" s="0" t="n">
        <f aca="false">IF('Tech Leaders Kits'!D92="","",'Tech Leaders Kits'!D92)</f>
        <v>2</v>
      </c>
      <c r="E1182" s="0" t="str">
        <f aca="false">IF('Tech Leaders Kits'!E92="","",'Tech Leaders Kits'!E92)</f>
        <v>Per group</v>
      </c>
      <c r="F1182" s="0" t="str">
        <f aca="false">IFERROR(INDEX('Session Tracker'!$M$5:$M$149,MATCH($A1182,'Session Tracker'!$D$5:$D$149,0))+0,"")</f>
        <v/>
      </c>
      <c r="G1182" s="0" t="str">
        <f aca="false">IF(ISNUMBER(F1182),IF(OR(B1182=0,B1182=99,C1182&lt;&gt;""),F1182*100+B1182,""),"")</f>
        <v/>
      </c>
      <c r="H1182" s="0" t="n">
        <f aca="false">IFERROR(INDEX('Session Tracker'!$J$5:$J$149,MATCH($A1182,'Session Tracker'!$D$5:$D$149,0)),0)</f>
        <v>8</v>
      </c>
      <c r="I1182" s="0" t="n">
        <f aca="false">IF(OR(B1182=0,B1182=99,C1182=""),"",IF(E1182="Per class",D1182,D1182*H1182))</f>
        <v>16</v>
      </c>
      <c r="N1182" s="0" t="str">
        <f aca="false">IF('Tech Leaders Kits'!B92="","",'Tech Leaders Kits'!B92)</f>
        <v>Craft &amp; Stationery</v>
      </c>
      <c r="O1182" s="0" t="str">
        <f aca="false">IF('Tech Leaders Kits'!F92="","",'Tech Leaders Kits'!F92)</f>
        <v>Consumable</v>
      </c>
      <c r="P1182" s="0" t="str">
        <f aca="false">IF('Tech Leaders Kits'!G92="","",'Tech Leaders Kits'!G92)</f>
        <v>Arm structure</v>
      </c>
    </row>
    <row r="1183" customFormat="false" ht="15" hidden="false" customHeight="false" outlineLevel="0" collapsed="false">
      <c r="A1183" s="0" t="s">
        <v>298</v>
      </c>
      <c r="B1183" s="0" t="n">
        <v>10</v>
      </c>
      <c r="C1183" s="0" t="str">
        <f aca="false">IF('Tech Leaders Kits'!C93="","",'Tech Leaders Kits'!C93)</f>
        <v>Breadboard (half size)</v>
      </c>
      <c r="D1183" s="0" t="n">
        <f aca="false">IF('Tech Leaders Kits'!D93="","",'Tech Leaders Kits'!D93)</f>
        <v>1</v>
      </c>
      <c r="E1183" s="0" t="str">
        <f aca="false">IF('Tech Leaders Kits'!E93="","",'Tech Leaders Kits'!E93)</f>
        <v>Per group</v>
      </c>
      <c r="F1183" s="0" t="str">
        <f aca="false">IFERROR(INDEX('Session Tracker'!$M$5:$M$149,MATCH($A1183,'Session Tracker'!$D$5:$D$149,0))+0,"")</f>
        <v/>
      </c>
      <c r="G1183" s="0" t="str">
        <f aca="false">IF(ISNUMBER(F1183),IF(OR(B1183=0,B1183=99,C1183&lt;&gt;""),F1183*100+B1183,""),"")</f>
        <v/>
      </c>
      <c r="H1183" s="0" t="n">
        <f aca="false">IFERROR(INDEX('Session Tracker'!$J$5:$J$149,MATCH($A1183,'Session Tracker'!$D$5:$D$149,0)),0)</f>
        <v>8</v>
      </c>
      <c r="I1183" s="0" t="n">
        <f aca="false">IF(OR(B1183=0,B1183=99,C1183=""),"",IF(E1183="Per class",D1183,D1183*H1183))</f>
        <v>8</v>
      </c>
      <c r="N1183" s="0" t="str">
        <f aca="false">IF('Tech Leaders Kits'!B93="","",'Tech Leaders Kits'!B93)</f>
        <v>Wiring &amp; Prototyping</v>
      </c>
      <c r="O1183" s="0" t="str">
        <f aca="false">IF('Tech Leaders Kits'!F93="","",'Tech Leaders Kits'!F93)</f>
        <v>Reusable</v>
      </c>
      <c r="P1183" s="0" t="str">
        <f aca="false">IF('Tech Leaders Kits'!G93="","",'Tech Leaders Kits'!G93)</f>
        <v/>
      </c>
    </row>
    <row r="1184" customFormat="false" ht="15" hidden="false" customHeight="false" outlineLevel="0" collapsed="false">
      <c r="A1184" s="0" t="s">
        <v>298</v>
      </c>
      <c r="B1184" s="0" t="n">
        <v>11</v>
      </c>
      <c r="C1184" s="0" t="str">
        <f aca="false">IF('Tech Leaders Kits'!C94="","",'Tech Leaders Kits'!C94)</f>
        <v>Jumper wires M-M</v>
      </c>
      <c r="D1184" s="0" t="n">
        <f aca="false">IF('Tech Leaders Kits'!D94="","",'Tech Leaders Kits'!D94)</f>
        <v>16</v>
      </c>
      <c r="E1184" s="0" t="str">
        <f aca="false">IF('Tech Leaders Kits'!E94="","",'Tech Leaders Kits'!E94)</f>
        <v>Per group</v>
      </c>
      <c r="F1184" s="0" t="str">
        <f aca="false">IFERROR(INDEX('Session Tracker'!$M$5:$M$149,MATCH($A1184,'Session Tracker'!$D$5:$D$149,0))+0,"")</f>
        <v/>
      </c>
      <c r="G1184" s="0" t="str">
        <f aca="false">IF(ISNUMBER(F1184),IF(OR(B1184=0,B1184=99,C1184&lt;&gt;""),F1184*100+B1184,""),"")</f>
        <v/>
      </c>
      <c r="H1184" s="0" t="n">
        <f aca="false">IFERROR(INDEX('Session Tracker'!$J$5:$J$149,MATCH($A1184,'Session Tracker'!$D$5:$D$149,0)),0)</f>
        <v>8</v>
      </c>
      <c r="I1184" s="0" t="n">
        <f aca="false">IF(OR(B1184=0,B1184=99,C1184=""),"",IF(E1184="Per class",D1184,D1184*H1184))</f>
        <v>128</v>
      </c>
      <c r="N1184" s="0" t="str">
        <f aca="false">IF('Tech Leaders Kits'!B94="","",'Tech Leaders Kits'!B94)</f>
        <v>Wiring &amp; Prototyping</v>
      </c>
      <c r="O1184" s="0" t="str">
        <f aca="false">IF('Tech Leaders Kits'!F94="","",'Tech Leaders Kits'!F94)</f>
        <v>Reusable</v>
      </c>
      <c r="P1184" s="0" t="str">
        <f aca="false">IF('Tech Leaders Kits'!G94="","",'Tech Leaders Kits'!G94)</f>
        <v/>
      </c>
    </row>
    <row r="1185" customFormat="false" ht="15" hidden="false" customHeight="false" outlineLevel="0" collapsed="false">
      <c r="A1185" s="0" t="s">
        <v>298</v>
      </c>
      <c r="B1185" s="0" t="n">
        <v>12</v>
      </c>
      <c r="C1185" s="0" t="str">
        <f aca="false">IF('Tech Leaders Kits'!C95="","",'Tech Leaders Kits'!C95)</f>
        <v>Jumper wires M-F</v>
      </c>
      <c r="D1185" s="0" t="n">
        <f aca="false">IF('Tech Leaders Kits'!D95="","",'Tech Leaders Kits'!D95)</f>
        <v>6</v>
      </c>
      <c r="E1185" s="0" t="str">
        <f aca="false">IF('Tech Leaders Kits'!E95="","",'Tech Leaders Kits'!E95)</f>
        <v>Per group</v>
      </c>
      <c r="F1185" s="0" t="str">
        <f aca="false">IFERROR(INDEX('Session Tracker'!$M$5:$M$149,MATCH($A1185,'Session Tracker'!$D$5:$D$149,0))+0,"")</f>
        <v/>
      </c>
      <c r="G1185" s="0" t="str">
        <f aca="false">IF(ISNUMBER(F1185),IF(OR(B1185=0,B1185=99,C1185&lt;&gt;""),F1185*100+B1185,""),"")</f>
        <v/>
      </c>
      <c r="H1185" s="0" t="n">
        <f aca="false">IFERROR(INDEX('Session Tracker'!$J$5:$J$149,MATCH($A1185,'Session Tracker'!$D$5:$D$149,0)),0)</f>
        <v>8</v>
      </c>
      <c r="I1185" s="0" t="n">
        <f aca="false">IF(OR(B1185=0,B1185=99,C1185=""),"",IF(E1185="Per class",D1185,D1185*H1185))</f>
        <v>48</v>
      </c>
      <c r="N1185" s="0" t="str">
        <f aca="false">IF('Tech Leaders Kits'!B95="","",'Tech Leaders Kits'!B95)</f>
        <v>Wiring &amp; Prototyping</v>
      </c>
      <c r="O1185" s="0" t="str">
        <f aca="false">IF('Tech Leaders Kits'!F95="","",'Tech Leaders Kits'!F95)</f>
        <v>Reusable</v>
      </c>
      <c r="P1185" s="0" t="str">
        <f aca="false">IF('Tech Leaders Kits'!G95="","",'Tech Leaders Kits'!G95)</f>
        <v/>
      </c>
    </row>
    <row r="1186" customFormat="false" ht="15" hidden="false" customHeight="false" outlineLevel="0" collapsed="false">
      <c r="A1186" s="0" t="s">
        <v>298</v>
      </c>
      <c r="B1186" s="0" t="n">
        <v>13</v>
      </c>
      <c r="C1186" s="0" t="str">
        <f aca="false">IF('Tech Leaders Kits'!C96="","",'Tech Leaders Kits'!C96)</f>
        <v>Laptop</v>
      </c>
      <c r="D1186" s="0" t="n">
        <f aca="false">IF('Tech Leaders Kits'!D96="","",'Tech Leaders Kits'!D96)</f>
        <v>1</v>
      </c>
      <c r="E1186" s="0" t="str">
        <f aca="false">IF('Tech Leaders Kits'!E96="","",'Tech Leaders Kits'!E96)</f>
        <v>Per group</v>
      </c>
      <c r="F1186" s="0" t="str">
        <f aca="false">IFERROR(INDEX('Session Tracker'!$M$5:$M$149,MATCH($A1186,'Session Tracker'!$D$5:$D$149,0))+0,"")</f>
        <v/>
      </c>
      <c r="G1186" s="0" t="str">
        <f aca="false">IF(ISNUMBER(F1186),IF(OR(B1186=0,B1186=99,C1186&lt;&gt;""),F1186*100+B1186,""),"")</f>
        <v/>
      </c>
      <c r="H1186" s="0" t="n">
        <f aca="false">IFERROR(INDEX('Session Tracker'!$J$5:$J$149,MATCH($A1186,'Session Tracker'!$D$5:$D$149,0)),0)</f>
        <v>8</v>
      </c>
      <c r="I1186" s="0" t="n">
        <f aca="false">IF(OR(B1186=0,B1186=99,C1186=""),"",IF(E1186="Per class",D1186,D1186*H1186))</f>
        <v>8</v>
      </c>
      <c r="N1186" s="0" t="str">
        <f aca="false">IF('Tech Leaders Kits'!B96="","",'Tech Leaders Kits'!B96)</f>
        <v>Computers &amp; Equipment</v>
      </c>
      <c r="O1186" s="0" t="str">
        <f aca="false">IF('Tech Leaders Kits'!F96="","",'Tech Leaders Kits'!F96)</f>
        <v>Reusable</v>
      </c>
      <c r="P1186" s="0" t="str">
        <f aca="false">IF('Tech Leaders Kits'!G96="","",'Tech Leaders Kits'!G96)</f>
        <v/>
      </c>
    </row>
    <row r="1187" customFormat="false" ht="15" hidden="false" customHeight="false" outlineLevel="0" collapsed="false">
      <c r="A1187" s="0" t="s">
        <v>298</v>
      </c>
      <c r="B1187" s="0" t="n">
        <v>14</v>
      </c>
      <c r="C1187" s="0" t="str">
        <f aca="false">IF('Tech Leaders Kits'!C97="","",'Tech Leaders Kits'!C97)</f>
        <v>LED 5 mm (assorted)</v>
      </c>
      <c r="D1187" s="0" t="n">
        <f aca="false">IF('Tech Leaders Kits'!D97="","",'Tech Leaders Kits'!D97)</f>
        <v>1</v>
      </c>
      <c r="E1187" s="0" t="str">
        <f aca="false">IF('Tech Leaders Kits'!E97="","",'Tech Leaders Kits'!E97)</f>
        <v>Per group</v>
      </c>
      <c r="F1187" s="0" t="str">
        <f aca="false">IFERROR(INDEX('Session Tracker'!$M$5:$M$149,MATCH($A1187,'Session Tracker'!$D$5:$D$149,0))+0,"")</f>
        <v/>
      </c>
      <c r="G1187" s="0" t="str">
        <f aca="false">IF(ISNUMBER(F1187),IF(OR(B1187=0,B1187=99,C1187&lt;&gt;""),F1187*100+B1187,""),"")</f>
        <v/>
      </c>
      <c r="H1187" s="0" t="n">
        <f aca="false">IFERROR(INDEX('Session Tracker'!$J$5:$J$149,MATCH($A1187,'Session Tracker'!$D$5:$D$149,0)),0)</f>
        <v>8</v>
      </c>
      <c r="I1187" s="0" t="n">
        <f aca="false">IF(OR(B1187=0,B1187=99,C1187=""),"",IF(E1187="Per class",D1187,D1187*H1187))</f>
        <v>8</v>
      </c>
      <c r="N1187" s="0" t="str">
        <f aca="false">IF('Tech Leaders Kits'!B97="","",'Tech Leaders Kits'!B97)</f>
        <v>Displays &amp; Output</v>
      </c>
      <c r="O1187" s="0" t="str">
        <f aca="false">IF('Tech Leaders Kits'!F97="","",'Tech Leaders Kits'!F97)</f>
        <v>Consumable</v>
      </c>
      <c r="P1187" s="0" t="str">
        <f aca="false">IF('Tech Leaders Kits'!G97="","",'Tech Leaders Kits'!G97)</f>
        <v>Added: every Arduino class</v>
      </c>
    </row>
    <row r="1188" customFormat="false" ht="15" hidden="false" customHeight="false" outlineLevel="0" collapsed="false">
      <c r="A1188" s="0" t="s">
        <v>298</v>
      </c>
      <c r="B1188" s="0" t="n">
        <v>15</v>
      </c>
      <c r="C1188" s="0" t="str">
        <f aca="false">IF('Tech Leaders Kits'!C98="","",'Tech Leaders Kits'!C98)</f>
        <v>Resistor 220 ohm</v>
      </c>
      <c r="D1188" s="0" t="n">
        <f aca="false">IF('Tech Leaders Kits'!D98="","",'Tech Leaders Kits'!D98)</f>
        <v>1</v>
      </c>
      <c r="E1188" s="0" t="str">
        <f aca="false">IF('Tech Leaders Kits'!E98="","",'Tech Leaders Kits'!E98)</f>
        <v>Per group</v>
      </c>
      <c r="F1188" s="0" t="str">
        <f aca="false">IFERROR(INDEX('Session Tracker'!$M$5:$M$149,MATCH($A1188,'Session Tracker'!$D$5:$D$149,0))+0,"")</f>
        <v/>
      </c>
      <c r="G1188" s="0" t="str">
        <f aca="false">IF(ISNUMBER(F1188),IF(OR(B1188=0,B1188=99,C1188&lt;&gt;""),F1188*100+B1188,""),"")</f>
        <v/>
      </c>
      <c r="H1188" s="0" t="n">
        <f aca="false">IFERROR(INDEX('Session Tracker'!$J$5:$J$149,MATCH($A1188,'Session Tracker'!$D$5:$D$149,0)),0)</f>
        <v>8</v>
      </c>
      <c r="I1188" s="0" t="n">
        <f aca="false">IF(OR(B1188=0,B1188=99,C1188=""),"",IF(E1188="Per class",D1188,D1188*H1188))</f>
        <v>8</v>
      </c>
      <c r="N1188" s="0" t="str">
        <f aca="false">IF('Tech Leaders Kits'!B98="","",'Tech Leaders Kits'!B98)</f>
        <v>Passive Components &amp; ICs</v>
      </c>
      <c r="O1188" s="0" t="str">
        <f aca="false">IF('Tech Leaders Kits'!F98="","",'Tech Leaders Kits'!F98)</f>
        <v>Consumable</v>
      </c>
      <c r="P1188" s="0" t="str">
        <f aca="false">IF('Tech Leaders Kits'!G98="","",'Tech Leaders Kits'!G98)</f>
        <v>Added: for the LED</v>
      </c>
    </row>
    <row r="1189" customFormat="false" ht="15" hidden="false" customHeight="false" outlineLevel="0" collapsed="false">
      <c r="A1189" s="0" t="s">
        <v>298</v>
      </c>
      <c r="B1189" s="0" t="n">
        <v>16</v>
      </c>
      <c r="C1189" s="0" t="str">
        <f aca="false">IF('Tech Leaders Kits'!C99="","",'Tech Leaders Kits'!C99)</f>
        <v>Buzzer</v>
      </c>
      <c r="D1189" s="0" t="n">
        <f aca="false">IF('Tech Leaders Kits'!D99="","",'Tech Leaders Kits'!D99)</f>
        <v>1</v>
      </c>
      <c r="E1189" s="0" t="str">
        <f aca="false">IF('Tech Leaders Kits'!E99="","",'Tech Leaders Kits'!E99)</f>
        <v>Per group</v>
      </c>
      <c r="F1189" s="0" t="str">
        <f aca="false">IFERROR(INDEX('Session Tracker'!$M$5:$M$149,MATCH($A1189,'Session Tracker'!$D$5:$D$149,0))+0,"")</f>
        <v/>
      </c>
      <c r="G1189" s="0" t="str">
        <f aca="false">IF(ISNUMBER(F1189),IF(OR(B1189=0,B1189=99,C1189&lt;&gt;""),F1189*100+B1189,""),"")</f>
        <v/>
      </c>
      <c r="H1189" s="0" t="n">
        <f aca="false">IFERROR(INDEX('Session Tracker'!$J$5:$J$149,MATCH($A1189,'Session Tracker'!$D$5:$D$149,0)),0)</f>
        <v>8</v>
      </c>
      <c r="I1189" s="0" t="n">
        <f aca="false">IF(OR(B1189=0,B1189=99,C1189=""),"",IF(E1189="Per class",D1189,D1189*H1189))</f>
        <v>8</v>
      </c>
      <c r="N1189" s="0" t="str">
        <f aca="false">IF('Tech Leaders Kits'!B99="","",'Tech Leaders Kits'!B99)</f>
        <v>Actuators &amp; Motor Drivers</v>
      </c>
      <c r="O1189" s="0" t="str">
        <f aca="false">IF('Tech Leaders Kits'!F99="","",'Tech Leaders Kits'!F99)</f>
        <v>Reusable</v>
      </c>
      <c r="P1189" s="0" t="str">
        <f aca="false">IF('Tech Leaders Kits'!G99="","",'Tech Leaders Kits'!G99)</f>
        <v>Added: every Arduino class</v>
      </c>
    </row>
    <row r="1190" customFormat="false" ht="15" hidden="false" customHeight="false" outlineLevel="0" collapsed="false">
      <c r="A1190" s="0" t="s">
        <v>298</v>
      </c>
      <c r="B1190" s="0" t="n">
        <v>17</v>
      </c>
      <c r="C1190" s="0" t="str">
        <f aca="false">IF('Tech Leaders Kits'!C100="","",'Tech Leaders Kits'!C100)</f>
        <v/>
      </c>
      <c r="D1190" s="0" t="str">
        <f aca="false">IF('Tech Leaders Kits'!D100="","",'Tech Leaders Kits'!D100)</f>
        <v/>
      </c>
      <c r="E1190" s="0" t="str">
        <f aca="false">IF('Tech Leaders Kits'!E100="","",'Tech Leaders Kits'!E100)</f>
        <v/>
      </c>
      <c r="F1190" s="0" t="str">
        <f aca="false">IFERROR(INDEX('Session Tracker'!$M$5:$M$149,MATCH($A1190,'Session Tracker'!$D$5:$D$149,0))+0,"")</f>
        <v/>
      </c>
      <c r="G1190" s="0" t="str">
        <f aca="false">IF(ISNUMBER(F1190),IF(OR(B1190=0,B1190=99,C1190&lt;&gt;""),F1190*100+B1190,""),"")</f>
        <v/>
      </c>
      <c r="H1190" s="0" t="n">
        <f aca="false">IFERROR(INDEX('Session Tracker'!$J$5:$J$149,MATCH($A1190,'Session Tracker'!$D$5:$D$149,0)),0)</f>
        <v>8</v>
      </c>
      <c r="I1190" s="0" t="str">
        <f aca="false">IF(OR(B1190=0,B1190=99,C1190=""),"",IF(E1190="Per class",D1190,D1190*H1190))</f>
        <v/>
      </c>
      <c r="N1190" s="0" t="str">
        <f aca="false">IF('Tech Leaders Kits'!B100="","",'Tech Leaders Kits'!B100)</f>
        <v/>
      </c>
      <c r="O1190" s="0" t="str">
        <f aca="false">IF('Tech Leaders Kits'!F100="","",'Tech Leaders Kits'!F100)</f>
        <v/>
      </c>
      <c r="P1190" s="0" t="str">
        <f aca="false">IF('Tech Leaders Kits'!G100="","",'Tech Leaders Kits'!G100)</f>
        <v/>
      </c>
    </row>
    <row r="1191" customFormat="false" ht="15" hidden="false" customHeight="false" outlineLevel="0" collapsed="false">
      <c r="A1191" s="0" t="s">
        <v>298</v>
      </c>
      <c r="B1191" s="0" t="n">
        <v>18</v>
      </c>
      <c r="C1191" s="0" t="str">
        <f aca="false">IF('Tech Leaders Kits'!C101="","",'Tech Leaders Kits'!C101)</f>
        <v/>
      </c>
      <c r="D1191" s="0" t="str">
        <f aca="false">IF('Tech Leaders Kits'!D101="","",'Tech Leaders Kits'!D101)</f>
        <v/>
      </c>
      <c r="E1191" s="0" t="str">
        <f aca="false">IF('Tech Leaders Kits'!E101="","",'Tech Leaders Kits'!E101)</f>
        <v/>
      </c>
      <c r="F1191" s="0" t="str">
        <f aca="false">IFERROR(INDEX('Session Tracker'!$M$5:$M$149,MATCH($A1191,'Session Tracker'!$D$5:$D$149,0))+0,"")</f>
        <v/>
      </c>
      <c r="G1191" s="0" t="str">
        <f aca="false">IF(ISNUMBER(F1191),IF(OR(B1191=0,B1191=99,C1191&lt;&gt;""),F1191*100+B1191,""),"")</f>
        <v/>
      </c>
      <c r="H1191" s="0" t="n">
        <f aca="false">IFERROR(INDEX('Session Tracker'!$J$5:$J$149,MATCH($A1191,'Session Tracker'!$D$5:$D$149,0)),0)</f>
        <v>8</v>
      </c>
      <c r="I1191" s="0" t="str">
        <f aca="false">IF(OR(B1191=0,B1191=99,C1191=""),"",IF(E1191="Per class",D1191,D1191*H1191))</f>
        <v/>
      </c>
      <c r="N1191" s="0" t="str">
        <f aca="false">IF('Tech Leaders Kits'!B101="","",'Tech Leaders Kits'!B101)</f>
        <v/>
      </c>
      <c r="O1191" s="0" t="str">
        <f aca="false">IF('Tech Leaders Kits'!F101="","",'Tech Leaders Kits'!F101)</f>
        <v/>
      </c>
      <c r="P1191" s="0" t="str">
        <f aca="false">IF('Tech Leaders Kits'!G101="","",'Tech Leaders Kits'!G101)</f>
        <v/>
      </c>
    </row>
    <row r="1192" customFormat="false" ht="15" hidden="false" customHeight="false" outlineLevel="0" collapsed="false">
      <c r="A1192" s="0" t="s">
        <v>300</v>
      </c>
      <c r="B1192" s="0" t="n">
        <v>0</v>
      </c>
      <c r="F1192" s="0" t="str">
        <f aca="false">IFERROR(INDEX('Session Tracker'!$M$5:$M$149,MATCH($A1192,'Session Tracker'!$D$5:$D$149,0))+0,"")</f>
        <v/>
      </c>
      <c r="G1192" s="0" t="str">
        <f aca="false">IF(ISNUMBER(F1192),IF(OR(B1192=0,B1192=99,C1192&lt;&gt;""),F1192*100+B1192,""),"")</f>
        <v/>
      </c>
      <c r="H1192" s="0" t="n">
        <f aca="false">IFERROR(INDEX('Session Tracker'!$J$5:$J$149,MATCH($A1192,'Session Tracker'!$D$5:$D$149,0)),0)</f>
        <v>8</v>
      </c>
      <c r="I1192" s="0" t="str">
        <f aca="false">IF(OR(B1192=0,B1192=99,C1192=""),"",IF(E1192="Per class",D1192,D1192*H1192))</f>
        <v/>
      </c>
      <c r="K1192" s="0" t="str">
        <f aca="false">IFERROR(INDEX('Session Tracker'!$E$5:$E$149,MATCH($A1192,'Session Tracker'!$D$5:$D$149,0)),"")</f>
        <v>Fall Detection Wearable for the Elderly</v>
      </c>
      <c r="L1192" s="0" t="str">
        <f aca="false">IFERROR(INDEX('Session Tracker'!$A$5:$A$149,MATCH($A1192,'Session Tracker'!$D$5:$D$149,0)),"")</f>
        <v>Tech Leaders (15-17)</v>
      </c>
      <c r="M1192" s="0" t="str">
        <f aca="false">IFERROR(INDEX('Session Tracker'!$H$5:$H$149,MATCH($A1192,'Session Tracker'!$D$5:$D$149,0))&amp;"","")</f>
        <v/>
      </c>
      <c r="Q1192" s="0" t="str">
        <f aca="false">IFERROR("Status: "&amp;INDEX('Session Tracker'!$F$5:$F$149,MATCH($A1192,'Session Tracker'!$D$5:$D$149,0))&amp;IF(INDEX('Session Tracker'!$G$5:$G$149,MATCH($A1192,'Session Tracker'!$D$5:$D$149,0))&lt;&gt;""," ("&amp;INDEX('Session Tracker'!$G$5:$G$149,MATCH($A1192,'Session Tracker'!$D$5:$D$149,0))&amp;")","")&amp;IF(M1192&lt;&gt;"","  "&amp;M1192,""),"")</f>
        <v>Status: Not started</v>
      </c>
    </row>
    <row r="1193" customFormat="false" ht="15" hidden="false" customHeight="false" outlineLevel="0" collapsed="false">
      <c r="A1193" s="0" t="s">
        <v>300</v>
      </c>
      <c r="B1193" s="0" t="n">
        <v>1</v>
      </c>
      <c r="C1193" s="0" t="str">
        <f aca="false">IF('Tech Leaders Kits'!C104="","",'Tech Leaders Kits'!C104)</f>
        <v>ESP32 Dev Board + USB cable</v>
      </c>
      <c r="D1193" s="0" t="n">
        <f aca="false">IF('Tech Leaders Kits'!D104="","",'Tech Leaders Kits'!D104)</f>
        <v>1</v>
      </c>
      <c r="E1193" s="0" t="str">
        <f aca="false">IF('Tech Leaders Kits'!E104="","",'Tech Leaders Kits'!E104)</f>
        <v>Per group</v>
      </c>
      <c r="F1193" s="0" t="str">
        <f aca="false">IFERROR(INDEX('Session Tracker'!$M$5:$M$149,MATCH($A1193,'Session Tracker'!$D$5:$D$149,0))+0,"")</f>
        <v/>
      </c>
      <c r="G1193" s="0" t="str">
        <f aca="false">IF(ISNUMBER(F1193),IF(OR(B1193=0,B1193=99,C1193&lt;&gt;""),F1193*100+B1193,""),"")</f>
        <v/>
      </c>
      <c r="H1193" s="0" t="n">
        <f aca="false">IFERROR(INDEX('Session Tracker'!$J$5:$J$149,MATCH($A1193,'Session Tracker'!$D$5:$D$149,0)),0)</f>
        <v>8</v>
      </c>
      <c r="I1193" s="0" t="n">
        <f aca="false">IF(OR(B1193=0,B1193=99,C1193=""),"",IF(E1193="Per class",D1193,D1193*H1193))</f>
        <v>8</v>
      </c>
      <c r="N1193" s="0" t="str">
        <f aca="false">IF('Tech Leaders Kits'!B104="","",'Tech Leaders Kits'!B104)</f>
        <v>Microcontrollers &amp; Dev Boards</v>
      </c>
      <c r="O1193" s="0" t="str">
        <f aca="false">IF('Tech Leaders Kits'!F104="","",'Tech Leaders Kits'!F104)</f>
        <v>Reusable</v>
      </c>
      <c r="P1193" s="0" t="str">
        <f aca="false">IF('Tech Leaders Kits'!G104="","",'Tech Leaders Kits'!G104)</f>
        <v/>
      </c>
    </row>
    <row r="1194" customFormat="false" ht="15" hidden="false" customHeight="false" outlineLevel="0" collapsed="false">
      <c r="A1194" s="0" t="s">
        <v>300</v>
      </c>
      <c r="B1194" s="0" t="n">
        <v>2</v>
      </c>
      <c r="C1194" s="0" t="str">
        <f aca="false">IF('Tech Leaders Kits'!C105="","",'Tech Leaders Kits'!C105)</f>
        <v>MPU6050 IMU</v>
      </c>
      <c r="D1194" s="0" t="n">
        <f aca="false">IF('Tech Leaders Kits'!D105="","",'Tech Leaders Kits'!D105)</f>
        <v>1</v>
      </c>
      <c r="E1194" s="0" t="str">
        <f aca="false">IF('Tech Leaders Kits'!E105="","",'Tech Leaders Kits'!E105)</f>
        <v>Per group</v>
      </c>
      <c r="F1194" s="0" t="str">
        <f aca="false">IFERROR(INDEX('Session Tracker'!$M$5:$M$149,MATCH($A1194,'Session Tracker'!$D$5:$D$149,0))+0,"")</f>
        <v/>
      </c>
      <c r="G1194" s="0" t="str">
        <f aca="false">IF(ISNUMBER(F1194),IF(OR(B1194=0,B1194=99,C1194&lt;&gt;""),F1194*100+B1194,""),"")</f>
        <v/>
      </c>
      <c r="H1194" s="0" t="n">
        <f aca="false">IFERROR(INDEX('Session Tracker'!$J$5:$J$149,MATCH($A1194,'Session Tracker'!$D$5:$D$149,0)),0)</f>
        <v>8</v>
      </c>
      <c r="I1194" s="0" t="n">
        <f aca="false">IF(OR(B1194=0,B1194=99,C1194=""),"",IF(E1194="Per class",D1194,D1194*H1194))</f>
        <v>8</v>
      </c>
      <c r="N1194" s="0" t="str">
        <f aca="false">IF('Tech Leaders Kits'!B105="","",'Tech Leaders Kits'!B105)</f>
        <v>Sensors</v>
      </c>
      <c r="O1194" s="0" t="str">
        <f aca="false">IF('Tech Leaders Kits'!F105="","",'Tech Leaders Kits'!F105)</f>
        <v>Reusable</v>
      </c>
      <c r="P1194" s="0" t="str">
        <f aca="false">IF('Tech Leaders Kits'!G105="","",'Tech Leaders Kits'!G105)</f>
        <v/>
      </c>
    </row>
    <row r="1195" customFormat="false" ht="15" hidden="false" customHeight="false" outlineLevel="0" collapsed="false">
      <c r="A1195" s="0" t="s">
        <v>300</v>
      </c>
      <c r="B1195" s="0" t="n">
        <v>3</v>
      </c>
      <c r="C1195" s="0" t="str">
        <f aca="false">IF('Tech Leaders Kits'!C106="","",'Tech Leaders Kits'!C106)</f>
        <v>Buzzer</v>
      </c>
      <c r="D1195" s="0" t="n">
        <f aca="false">IF('Tech Leaders Kits'!D106="","",'Tech Leaders Kits'!D106)</f>
        <v>1</v>
      </c>
      <c r="E1195" s="0" t="str">
        <f aca="false">IF('Tech Leaders Kits'!E106="","",'Tech Leaders Kits'!E106)</f>
        <v>Per group</v>
      </c>
      <c r="F1195" s="0" t="str">
        <f aca="false">IFERROR(INDEX('Session Tracker'!$M$5:$M$149,MATCH($A1195,'Session Tracker'!$D$5:$D$149,0))+0,"")</f>
        <v/>
      </c>
      <c r="G1195" s="0" t="str">
        <f aca="false">IF(ISNUMBER(F1195),IF(OR(B1195=0,B1195=99,C1195&lt;&gt;""),F1195*100+B1195,""),"")</f>
        <v/>
      </c>
      <c r="H1195" s="0" t="n">
        <f aca="false">IFERROR(INDEX('Session Tracker'!$J$5:$J$149,MATCH($A1195,'Session Tracker'!$D$5:$D$149,0)),0)</f>
        <v>8</v>
      </c>
      <c r="I1195" s="0" t="n">
        <f aca="false">IF(OR(B1195=0,B1195=99,C1195=""),"",IF(E1195="Per class",D1195,D1195*H1195))</f>
        <v>8</v>
      </c>
      <c r="N1195" s="0" t="str">
        <f aca="false">IF('Tech Leaders Kits'!B106="","",'Tech Leaders Kits'!B106)</f>
        <v>Actuators &amp; Motor Drivers</v>
      </c>
      <c r="O1195" s="0" t="str">
        <f aca="false">IF('Tech Leaders Kits'!F106="","",'Tech Leaders Kits'!F106)</f>
        <v>Reusable</v>
      </c>
      <c r="P1195" s="0" t="str">
        <f aca="false">IF('Tech Leaders Kits'!G106="","",'Tech Leaders Kits'!G106)</f>
        <v/>
      </c>
    </row>
    <row r="1196" customFormat="false" ht="15" hidden="false" customHeight="false" outlineLevel="0" collapsed="false">
      <c r="A1196" s="0" t="s">
        <v>300</v>
      </c>
      <c r="B1196" s="0" t="n">
        <v>4</v>
      </c>
      <c r="C1196" s="0" t="str">
        <f aca="false">IF('Tech Leaders Kits'!C107="","",'Tech Leaders Kits'!C107)</f>
        <v>Push button</v>
      </c>
      <c r="D1196" s="0" t="n">
        <f aca="false">IF('Tech Leaders Kits'!D107="","",'Tech Leaders Kits'!D107)</f>
        <v>1</v>
      </c>
      <c r="E1196" s="0" t="str">
        <f aca="false">IF('Tech Leaders Kits'!E107="","",'Tech Leaders Kits'!E107)</f>
        <v>Per group</v>
      </c>
      <c r="F1196" s="0" t="str">
        <f aca="false">IFERROR(INDEX('Session Tracker'!$M$5:$M$149,MATCH($A1196,'Session Tracker'!$D$5:$D$149,0))+0,"")</f>
        <v/>
      </c>
      <c r="G1196" s="0" t="str">
        <f aca="false">IF(ISNUMBER(F1196),IF(OR(B1196=0,B1196=99,C1196&lt;&gt;""),F1196*100+B1196,""),"")</f>
        <v/>
      </c>
      <c r="H1196" s="0" t="n">
        <f aca="false">IFERROR(INDEX('Session Tracker'!$J$5:$J$149,MATCH($A1196,'Session Tracker'!$D$5:$D$149,0)),0)</f>
        <v>8</v>
      </c>
      <c r="I1196" s="0" t="n">
        <f aca="false">IF(OR(B1196=0,B1196=99,C1196=""),"",IF(E1196="Per class",D1196,D1196*H1196))</f>
        <v>8</v>
      </c>
      <c r="N1196" s="0" t="str">
        <f aca="false">IF('Tech Leaders Kits'!B107="","",'Tech Leaders Kits'!B107)</f>
        <v>Passive Components &amp; ICs</v>
      </c>
      <c r="O1196" s="0" t="str">
        <f aca="false">IF('Tech Leaders Kits'!F107="","",'Tech Leaders Kits'!F107)</f>
        <v>Reusable</v>
      </c>
      <c r="P1196" s="0" t="str">
        <f aca="false">IF('Tech Leaders Kits'!G107="","",'Tech Leaders Kits'!G107)</f>
        <v/>
      </c>
    </row>
    <row r="1197" customFormat="false" ht="15" hidden="false" customHeight="false" outlineLevel="0" collapsed="false">
      <c r="A1197" s="0" t="s">
        <v>300</v>
      </c>
      <c r="B1197" s="0" t="n">
        <v>5</v>
      </c>
      <c r="C1197" s="0" t="str">
        <f aca="false">IF('Tech Leaders Kits'!C108="","",'Tech Leaders Kits'!C108)</f>
        <v>Resistor 10k ohm</v>
      </c>
      <c r="D1197" s="0" t="n">
        <f aca="false">IF('Tech Leaders Kits'!D108="","",'Tech Leaders Kits'!D108)</f>
        <v>1</v>
      </c>
      <c r="E1197" s="0" t="str">
        <f aca="false">IF('Tech Leaders Kits'!E108="","",'Tech Leaders Kits'!E108)</f>
        <v>Per group</v>
      </c>
      <c r="F1197" s="0" t="str">
        <f aca="false">IFERROR(INDEX('Session Tracker'!$M$5:$M$149,MATCH($A1197,'Session Tracker'!$D$5:$D$149,0))+0,"")</f>
        <v/>
      </c>
      <c r="G1197" s="0" t="str">
        <f aca="false">IF(ISNUMBER(F1197),IF(OR(B1197=0,B1197=99,C1197&lt;&gt;""),F1197*100+B1197,""),"")</f>
        <v/>
      </c>
      <c r="H1197" s="0" t="n">
        <f aca="false">IFERROR(INDEX('Session Tracker'!$J$5:$J$149,MATCH($A1197,'Session Tracker'!$D$5:$D$149,0)),0)</f>
        <v>8</v>
      </c>
      <c r="I1197" s="0" t="n">
        <f aca="false">IF(OR(B1197=0,B1197=99,C1197=""),"",IF(E1197="Per class",D1197,D1197*H1197))</f>
        <v>8</v>
      </c>
      <c r="N1197" s="0" t="str">
        <f aca="false">IF('Tech Leaders Kits'!B108="","",'Tech Leaders Kits'!B108)</f>
        <v>Passive Components &amp; ICs</v>
      </c>
      <c r="O1197" s="0" t="str">
        <f aca="false">IF('Tech Leaders Kits'!F108="","",'Tech Leaders Kits'!F108)</f>
        <v>Consumable</v>
      </c>
      <c r="P1197" s="0" t="str">
        <f aca="false">IF('Tech Leaders Kits'!G108="","",'Tech Leaders Kits'!G108)</f>
        <v/>
      </c>
    </row>
    <row r="1198" customFormat="false" ht="15" hidden="false" customHeight="false" outlineLevel="0" collapsed="false">
      <c r="A1198" s="0" t="s">
        <v>300</v>
      </c>
      <c r="B1198" s="0" t="n">
        <v>6</v>
      </c>
      <c r="C1198" s="0" t="str">
        <f aca="false">IF('Tech Leaders Kits'!C109="","",'Tech Leaders Kits'!C109)</f>
        <v>18650 cell + holder</v>
      </c>
      <c r="D1198" s="0" t="n">
        <f aca="false">IF('Tech Leaders Kits'!D109="","",'Tech Leaders Kits'!D109)</f>
        <v>1</v>
      </c>
      <c r="E1198" s="0" t="str">
        <f aca="false">IF('Tech Leaders Kits'!E109="","",'Tech Leaders Kits'!E109)</f>
        <v>Per group</v>
      </c>
      <c r="F1198" s="0" t="str">
        <f aca="false">IFERROR(INDEX('Session Tracker'!$M$5:$M$149,MATCH($A1198,'Session Tracker'!$D$5:$D$149,0))+0,"")</f>
        <v/>
      </c>
      <c r="G1198" s="0" t="str">
        <f aca="false">IF(ISNUMBER(F1198),IF(OR(B1198=0,B1198=99,C1198&lt;&gt;""),F1198*100+B1198,""),"")</f>
        <v/>
      </c>
      <c r="H1198" s="0" t="n">
        <f aca="false">IFERROR(INDEX('Session Tracker'!$J$5:$J$149,MATCH($A1198,'Session Tracker'!$D$5:$D$149,0)),0)</f>
        <v>8</v>
      </c>
      <c r="I1198" s="0" t="n">
        <f aca="false">IF(OR(B1198=0,B1198=99,C1198=""),"",IF(E1198="Per class",D1198,D1198*H1198))</f>
        <v>8</v>
      </c>
      <c r="N1198" s="0" t="str">
        <f aca="false">IF('Tech Leaders Kits'!B109="","",'Tech Leaders Kits'!B109)</f>
        <v>Power</v>
      </c>
      <c r="O1198" s="0" t="str">
        <f aca="false">IF('Tech Leaders Kits'!F109="","",'Tech Leaders Kits'!F109)</f>
        <v>Reusable</v>
      </c>
      <c r="P1198" s="0" t="str">
        <f aca="false">IF('Tech Leaders Kits'!G109="","",'Tech Leaders Kits'!G109)</f>
        <v>Wearable power</v>
      </c>
    </row>
    <row r="1199" customFormat="false" ht="15" hidden="false" customHeight="false" outlineLevel="0" collapsed="false">
      <c r="A1199" s="0" t="s">
        <v>300</v>
      </c>
      <c r="B1199" s="0" t="n">
        <v>7</v>
      </c>
      <c r="C1199" s="0" t="str">
        <f aca="false">IF('Tech Leaders Kits'!C110="","",'Tech Leaders Kits'!C110)</f>
        <v>Breadboard (half size)</v>
      </c>
      <c r="D1199" s="0" t="n">
        <f aca="false">IF('Tech Leaders Kits'!D110="","",'Tech Leaders Kits'!D110)</f>
        <v>1</v>
      </c>
      <c r="E1199" s="0" t="str">
        <f aca="false">IF('Tech Leaders Kits'!E110="","",'Tech Leaders Kits'!E110)</f>
        <v>Per group</v>
      </c>
      <c r="F1199" s="0" t="str">
        <f aca="false">IFERROR(INDEX('Session Tracker'!$M$5:$M$149,MATCH($A1199,'Session Tracker'!$D$5:$D$149,0))+0,"")</f>
        <v/>
      </c>
      <c r="G1199" s="0" t="str">
        <f aca="false">IF(ISNUMBER(F1199),IF(OR(B1199=0,B1199=99,C1199&lt;&gt;""),F1199*100+B1199,""),"")</f>
        <v/>
      </c>
      <c r="H1199" s="0" t="n">
        <f aca="false">IFERROR(INDEX('Session Tracker'!$J$5:$J$149,MATCH($A1199,'Session Tracker'!$D$5:$D$149,0)),0)</f>
        <v>8</v>
      </c>
      <c r="I1199" s="0" t="n">
        <f aca="false">IF(OR(B1199=0,B1199=99,C1199=""),"",IF(E1199="Per class",D1199,D1199*H1199))</f>
        <v>8</v>
      </c>
      <c r="N1199" s="0" t="str">
        <f aca="false">IF('Tech Leaders Kits'!B110="","",'Tech Leaders Kits'!B110)</f>
        <v>Wiring &amp; Prototyping</v>
      </c>
      <c r="O1199" s="0" t="str">
        <f aca="false">IF('Tech Leaders Kits'!F110="","",'Tech Leaders Kits'!F110)</f>
        <v>Reusable</v>
      </c>
      <c r="P1199" s="0" t="str">
        <f aca="false">IF('Tech Leaders Kits'!G110="","",'Tech Leaders Kits'!G110)</f>
        <v/>
      </c>
    </row>
    <row r="1200" customFormat="false" ht="15" hidden="false" customHeight="false" outlineLevel="0" collapsed="false">
      <c r="A1200" s="0" t="s">
        <v>300</v>
      </c>
      <c r="B1200" s="0" t="n">
        <v>8</v>
      </c>
      <c r="C1200" s="0" t="str">
        <f aca="false">IF('Tech Leaders Kits'!C111="","",'Tech Leaders Kits'!C111)</f>
        <v>Jumper wires M-M</v>
      </c>
      <c r="D1200" s="0" t="n">
        <f aca="false">IF('Tech Leaders Kits'!D111="","",'Tech Leaders Kits'!D111)</f>
        <v>8</v>
      </c>
      <c r="E1200" s="0" t="str">
        <f aca="false">IF('Tech Leaders Kits'!E111="","",'Tech Leaders Kits'!E111)</f>
        <v>Per group</v>
      </c>
      <c r="F1200" s="0" t="str">
        <f aca="false">IFERROR(INDEX('Session Tracker'!$M$5:$M$149,MATCH($A1200,'Session Tracker'!$D$5:$D$149,0))+0,"")</f>
        <v/>
      </c>
      <c r="G1200" s="0" t="str">
        <f aca="false">IF(ISNUMBER(F1200),IF(OR(B1200=0,B1200=99,C1200&lt;&gt;""),F1200*100+B1200,""),"")</f>
        <v/>
      </c>
      <c r="H1200" s="0" t="n">
        <f aca="false">IFERROR(INDEX('Session Tracker'!$J$5:$J$149,MATCH($A1200,'Session Tracker'!$D$5:$D$149,0)),0)</f>
        <v>8</v>
      </c>
      <c r="I1200" s="0" t="n">
        <f aca="false">IF(OR(B1200=0,B1200=99,C1200=""),"",IF(E1200="Per class",D1200,D1200*H1200))</f>
        <v>64</v>
      </c>
      <c r="N1200" s="0" t="str">
        <f aca="false">IF('Tech Leaders Kits'!B111="","",'Tech Leaders Kits'!B111)</f>
        <v>Wiring &amp; Prototyping</v>
      </c>
      <c r="O1200" s="0" t="str">
        <f aca="false">IF('Tech Leaders Kits'!F111="","",'Tech Leaders Kits'!F111)</f>
        <v>Reusable</v>
      </c>
      <c r="P1200" s="0" t="str">
        <f aca="false">IF('Tech Leaders Kits'!G111="","",'Tech Leaders Kits'!G111)</f>
        <v/>
      </c>
    </row>
    <row r="1201" customFormat="false" ht="15" hidden="false" customHeight="false" outlineLevel="0" collapsed="false">
      <c r="A1201" s="0" t="s">
        <v>300</v>
      </c>
      <c r="B1201" s="0" t="n">
        <v>9</v>
      </c>
      <c r="C1201" s="0" t="str">
        <f aca="false">IF('Tech Leaders Kits'!C112="","",'Tech Leaders Kits'!C112)</f>
        <v>Jumper wires M-F</v>
      </c>
      <c r="D1201" s="0" t="n">
        <f aca="false">IF('Tech Leaders Kits'!D112="","",'Tech Leaders Kits'!D112)</f>
        <v>6</v>
      </c>
      <c r="E1201" s="0" t="str">
        <f aca="false">IF('Tech Leaders Kits'!E112="","",'Tech Leaders Kits'!E112)</f>
        <v>Per group</v>
      </c>
      <c r="F1201" s="0" t="str">
        <f aca="false">IFERROR(INDEX('Session Tracker'!$M$5:$M$149,MATCH($A1201,'Session Tracker'!$D$5:$D$149,0))+0,"")</f>
        <v/>
      </c>
      <c r="G1201" s="0" t="str">
        <f aca="false">IF(ISNUMBER(F1201),IF(OR(B1201=0,B1201=99,C1201&lt;&gt;""),F1201*100+B1201,""),"")</f>
        <v/>
      </c>
      <c r="H1201" s="0" t="n">
        <f aca="false">IFERROR(INDEX('Session Tracker'!$J$5:$J$149,MATCH($A1201,'Session Tracker'!$D$5:$D$149,0)),0)</f>
        <v>8</v>
      </c>
      <c r="I1201" s="0" t="n">
        <f aca="false">IF(OR(B1201=0,B1201=99,C1201=""),"",IF(E1201="Per class",D1201,D1201*H1201))</f>
        <v>48</v>
      </c>
      <c r="N1201" s="0" t="str">
        <f aca="false">IF('Tech Leaders Kits'!B112="","",'Tech Leaders Kits'!B112)</f>
        <v>Wiring &amp; Prototyping</v>
      </c>
      <c r="O1201" s="0" t="str">
        <f aca="false">IF('Tech Leaders Kits'!F112="","",'Tech Leaders Kits'!F112)</f>
        <v>Reusable</v>
      </c>
      <c r="P1201" s="0" t="str">
        <f aca="false">IF('Tech Leaders Kits'!G112="","",'Tech Leaders Kits'!G112)</f>
        <v/>
      </c>
    </row>
    <row r="1202" customFormat="false" ht="15" hidden="false" customHeight="false" outlineLevel="0" collapsed="false">
      <c r="A1202" s="0" t="s">
        <v>300</v>
      </c>
      <c r="B1202" s="0" t="n">
        <v>10</v>
      </c>
      <c r="C1202" s="0" t="str">
        <f aca="false">IF('Tech Leaders Kits'!C113="","",'Tech Leaders Kits'!C113)</f>
        <v>Laptop</v>
      </c>
      <c r="D1202" s="0" t="n">
        <f aca="false">IF('Tech Leaders Kits'!D113="","",'Tech Leaders Kits'!D113)</f>
        <v>1</v>
      </c>
      <c r="E1202" s="0" t="str">
        <f aca="false">IF('Tech Leaders Kits'!E113="","",'Tech Leaders Kits'!E113)</f>
        <v>Per group</v>
      </c>
      <c r="F1202" s="0" t="str">
        <f aca="false">IFERROR(INDEX('Session Tracker'!$M$5:$M$149,MATCH($A1202,'Session Tracker'!$D$5:$D$149,0))+0,"")</f>
        <v/>
      </c>
      <c r="G1202" s="0" t="str">
        <f aca="false">IF(ISNUMBER(F1202),IF(OR(B1202=0,B1202=99,C1202&lt;&gt;""),F1202*100+B1202,""),"")</f>
        <v/>
      </c>
      <c r="H1202" s="0" t="n">
        <f aca="false">IFERROR(INDEX('Session Tracker'!$J$5:$J$149,MATCH($A1202,'Session Tracker'!$D$5:$D$149,0)),0)</f>
        <v>8</v>
      </c>
      <c r="I1202" s="0" t="n">
        <f aca="false">IF(OR(B1202=0,B1202=99,C1202=""),"",IF(E1202="Per class",D1202,D1202*H1202))</f>
        <v>8</v>
      </c>
      <c r="N1202" s="0" t="str">
        <f aca="false">IF('Tech Leaders Kits'!B113="","",'Tech Leaders Kits'!B113)</f>
        <v>Computers &amp; Equipment</v>
      </c>
      <c r="O1202" s="0" t="str">
        <f aca="false">IF('Tech Leaders Kits'!F113="","",'Tech Leaders Kits'!F113)</f>
        <v>Reusable</v>
      </c>
      <c r="P1202" s="0" t="str">
        <f aca="false">IF('Tech Leaders Kits'!G113="","",'Tech Leaders Kits'!G113)</f>
        <v/>
      </c>
    </row>
    <row r="1203" customFormat="false" ht="15" hidden="false" customHeight="false" outlineLevel="0" collapsed="false">
      <c r="A1203" s="0" t="s">
        <v>300</v>
      </c>
      <c r="B1203" s="0" t="n">
        <v>11</v>
      </c>
      <c r="C1203" s="0" t="str">
        <f aca="false">IF('Tech Leaders Kits'!C114="","",'Tech Leaders Kits'!C114)</f>
        <v/>
      </c>
      <c r="D1203" s="0" t="str">
        <f aca="false">IF('Tech Leaders Kits'!D114="","",'Tech Leaders Kits'!D114)</f>
        <v/>
      </c>
      <c r="E1203" s="0" t="str">
        <f aca="false">IF('Tech Leaders Kits'!E114="","",'Tech Leaders Kits'!E114)</f>
        <v/>
      </c>
      <c r="F1203" s="0" t="str">
        <f aca="false">IFERROR(INDEX('Session Tracker'!$M$5:$M$149,MATCH($A1203,'Session Tracker'!$D$5:$D$149,0))+0,"")</f>
        <v/>
      </c>
      <c r="G1203" s="0" t="str">
        <f aca="false">IF(ISNUMBER(F1203),IF(OR(B1203=0,B1203=99,C1203&lt;&gt;""),F1203*100+B1203,""),"")</f>
        <v/>
      </c>
      <c r="H1203" s="0" t="n">
        <f aca="false">IFERROR(INDEX('Session Tracker'!$J$5:$J$149,MATCH($A1203,'Session Tracker'!$D$5:$D$149,0)),0)</f>
        <v>8</v>
      </c>
      <c r="I1203" s="0" t="str">
        <f aca="false">IF(OR(B1203=0,B1203=99,C1203=""),"",IF(E1203="Per class",D1203,D1203*H1203))</f>
        <v/>
      </c>
      <c r="N1203" s="0" t="str">
        <f aca="false">IF('Tech Leaders Kits'!B114="","",'Tech Leaders Kits'!B114)</f>
        <v/>
      </c>
      <c r="O1203" s="0" t="str">
        <f aca="false">IF('Tech Leaders Kits'!F114="","",'Tech Leaders Kits'!F114)</f>
        <v/>
      </c>
      <c r="P1203" s="0" t="str">
        <f aca="false">IF('Tech Leaders Kits'!G114="","",'Tech Leaders Kits'!G114)</f>
        <v/>
      </c>
    </row>
    <row r="1204" customFormat="false" ht="15" hidden="false" customHeight="false" outlineLevel="0" collapsed="false">
      <c r="A1204" s="0" t="s">
        <v>300</v>
      </c>
      <c r="B1204" s="0" t="n">
        <v>12</v>
      </c>
      <c r="C1204" s="0" t="str">
        <f aca="false">IF('Tech Leaders Kits'!C115="","",'Tech Leaders Kits'!C115)</f>
        <v/>
      </c>
      <c r="D1204" s="0" t="str">
        <f aca="false">IF('Tech Leaders Kits'!D115="","",'Tech Leaders Kits'!D115)</f>
        <v/>
      </c>
      <c r="E1204" s="0" t="str">
        <f aca="false">IF('Tech Leaders Kits'!E115="","",'Tech Leaders Kits'!E115)</f>
        <v/>
      </c>
      <c r="F1204" s="0" t="str">
        <f aca="false">IFERROR(INDEX('Session Tracker'!$M$5:$M$149,MATCH($A1204,'Session Tracker'!$D$5:$D$149,0))+0,"")</f>
        <v/>
      </c>
      <c r="G1204" s="0" t="str">
        <f aca="false">IF(ISNUMBER(F1204),IF(OR(B1204=0,B1204=99,C1204&lt;&gt;""),F1204*100+B1204,""),"")</f>
        <v/>
      </c>
      <c r="H1204" s="0" t="n">
        <f aca="false">IFERROR(INDEX('Session Tracker'!$J$5:$J$149,MATCH($A1204,'Session Tracker'!$D$5:$D$149,0)),0)</f>
        <v>8</v>
      </c>
      <c r="I1204" s="0" t="str">
        <f aca="false">IF(OR(B1204=0,B1204=99,C1204=""),"",IF(E1204="Per class",D1204,D1204*H1204))</f>
        <v/>
      </c>
      <c r="N1204" s="0" t="str">
        <f aca="false">IF('Tech Leaders Kits'!B115="","",'Tech Leaders Kits'!B115)</f>
        <v/>
      </c>
      <c r="O1204" s="0" t="str">
        <f aca="false">IF('Tech Leaders Kits'!F115="","",'Tech Leaders Kits'!F115)</f>
        <v/>
      </c>
      <c r="P1204" s="0" t="str">
        <f aca="false">IF('Tech Leaders Kits'!G115="","",'Tech Leaders Kits'!G115)</f>
        <v/>
      </c>
    </row>
    <row r="1205" customFormat="false" ht="15" hidden="false" customHeight="false" outlineLevel="0" collapsed="false">
      <c r="A1205" s="0" t="s">
        <v>302</v>
      </c>
      <c r="B1205" s="0" t="n">
        <v>0</v>
      </c>
      <c r="F1205" s="0" t="str">
        <f aca="false">IFERROR(INDEX('Session Tracker'!$M$5:$M$149,MATCH($A1205,'Session Tracker'!$D$5:$D$149,0))+0,"")</f>
        <v/>
      </c>
      <c r="G1205" s="0" t="str">
        <f aca="false">IF(ISNUMBER(F1205),IF(OR(B1205=0,B1205=99,C1205&lt;&gt;""),F1205*100+B1205,""),"")</f>
        <v/>
      </c>
      <c r="H1205" s="0" t="n">
        <f aca="false">IFERROR(INDEX('Session Tracker'!$J$5:$J$149,MATCH($A1205,'Session Tracker'!$D$5:$D$149,0)),0)</f>
        <v>8</v>
      </c>
      <c r="I1205" s="0" t="str">
        <f aca="false">IF(OR(B1205=0,B1205=99,C1205=""),"",IF(E1205="Per class",D1205,D1205*H1205))</f>
        <v/>
      </c>
      <c r="K1205" s="0" t="str">
        <f aca="false">IFERROR(INDEX('Session Tracker'!$E$5:$E$149,MATCH($A1205,'Session Tracker'!$D$5:$D$149,0)),"")</f>
        <v>ESP-NOW Wireless Sensor Network</v>
      </c>
      <c r="L1205" s="0" t="str">
        <f aca="false">IFERROR(INDEX('Session Tracker'!$A$5:$A$149,MATCH($A1205,'Session Tracker'!$D$5:$D$149,0)),"")</f>
        <v>Tech Leaders (15-17)</v>
      </c>
      <c r="M1205" s="0" t="str">
        <f aca="false">IFERROR(INDEX('Session Tracker'!$H$5:$H$149,MATCH($A1205,'Session Tracker'!$D$5:$D$149,0))&amp;"","")</f>
        <v/>
      </c>
      <c r="Q1205" s="0" t="str">
        <f aca="false">IFERROR("Status: "&amp;INDEX('Session Tracker'!$F$5:$F$149,MATCH($A1205,'Session Tracker'!$D$5:$D$149,0))&amp;IF(INDEX('Session Tracker'!$G$5:$G$149,MATCH($A1205,'Session Tracker'!$D$5:$D$149,0))&lt;&gt;""," ("&amp;INDEX('Session Tracker'!$G$5:$G$149,MATCH($A1205,'Session Tracker'!$D$5:$D$149,0))&amp;")","")&amp;IF(M1205&lt;&gt;"","  "&amp;M1205,""),"")</f>
        <v>Status: Not started</v>
      </c>
    </row>
    <row r="1206" customFormat="false" ht="15" hidden="false" customHeight="false" outlineLevel="0" collapsed="false">
      <c r="A1206" s="0" t="s">
        <v>302</v>
      </c>
      <c r="B1206" s="0" t="n">
        <v>1</v>
      </c>
      <c r="C1206" s="0" t="str">
        <f aca="false">IF('Tech Leaders Kits'!C118="","",'Tech Leaders Kits'!C118)</f>
        <v>ESP32 Dev Board + USB cable</v>
      </c>
      <c r="D1206" s="0" t="n">
        <f aca="false">IF('Tech Leaders Kits'!D118="","",'Tech Leaders Kits'!D118)</f>
        <v>4</v>
      </c>
      <c r="E1206" s="0" t="str">
        <f aca="false">IF('Tech Leaders Kits'!E118="","",'Tech Leaders Kits'!E118)</f>
        <v>Per group</v>
      </c>
      <c r="F1206" s="0" t="str">
        <f aca="false">IFERROR(INDEX('Session Tracker'!$M$5:$M$149,MATCH($A1206,'Session Tracker'!$D$5:$D$149,0))+0,"")</f>
        <v/>
      </c>
      <c r="G1206" s="0" t="str">
        <f aca="false">IF(ISNUMBER(F1206),IF(OR(B1206=0,B1206=99,C1206&lt;&gt;""),F1206*100+B1206,""),"")</f>
        <v/>
      </c>
      <c r="H1206" s="0" t="n">
        <f aca="false">IFERROR(INDEX('Session Tracker'!$J$5:$J$149,MATCH($A1206,'Session Tracker'!$D$5:$D$149,0)),0)</f>
        <v>8</v>
      </c>
      <c r="I1206" s="0" t="n">
        <f aca="false">IF(OR(B1206=0,B1206=99,C1206=""),"",IF(E1206="Per class",D1206,D1206*H1206))</f>
        <v>32</v>
      </c>
      <c r="N1206" s="0" t="str">
        <f aca="false">IF('Tech Leaders Kits'!B118="","",'Tech Leaders Kits'!B118)</f>
        <v>Microcontrollers &amp; Dev Boards</v>
      </c>
      <c r="O1206" s="0" t="str">
        <f aca="false">IF('Tech Leaders Kits'!F118="","",'Tech Leaders Kits'!F118)</f>
        <v>Reusable</v>
      </c>
      <c r="P1206" s="0" t="str">
        <f aca="false">IF('Tech Leaders Kits'!G118="","",'Tech Leaders Kits'!G118)</f>
        <v>3 nodes + base (can pair groups)</v>
      </c>
    </row>
    <row r="1207" customFormat="false" ht="15" hidden="false" customHeight="false" outlineLevel="0" collapsed="false">
      <c r="A1207" s="0" t="s">
        <v>302</v>
      </c>
      <c r="B1207" s="0" t="n">
        <v>2</v>
      </c>
      <c r="C1207" s="0" t="str">
        <f aca="false">IF('Tech Leaders Kits'!C119="","",'Tech Leaders Kits'!C119)</f>
        <v>DHT22 sensor</v>
      </c>
      <c r="D1207" s="0" t="n">
        <f aca="false">IF('Tech Leaders Kits'!D119="","",'Tech Leaders Kits'!D119)</f>
        <v>1</v>
      </c>
      <c r="E1207" s="0" t="str">
        <f aca="false">IF('Tech Leaders Kits'!E119="","",'Tech Leaders Kits'!E119)</f>
        <v>Per group</v>
      </c>
      <c r="F1207" s="0" t="str">
        <f aca="false">IFERROR(INDEX('Session Tracker'!$M$5:$M$149,MATCH($A1207,'Session Tracker'!$D$5:$D$149,0))+0,"")</f>
        <v/>
      </c>
      <c r="G1207" s="0" t="str">
        <f aca="false">IF(ISNUMBER(F1207),IF(OR(B1207=0,B1207=99,C1207&lt;&gt;""),F1207*100+B1207,""),"")</f>
        <v/>
      </c>
      <c r="H1207" s="0" t="n">
        <f aca="false">IFERROR(INDEX('Session Tracker'!$J$5:$J$149,MATCH($A1207,'Session Tracker'!$D$5:$D$149,0)),0)</f>
        <v>8</v>
      </c>
      <c r="I1207" s="0" t="n">
        <f aca="false">IF(OR(B1207=0,B1207=99,C1207=""),"",IF(E1207="Per class",D1207,D1207*H1207))</f>
        <v>8</v>
      </c>
      <c r="N1207" s="0" t="str">
        <f aca="false">IF('Tech Leaders Kits'!B119="","",'Tech Leaders Kits'!B119)</f>
        <v>Sensors</v>
      </c>
      <c r="O1207" s="0" t="str">
        <f aca="false">IF('Tech Leaders Kits'!F119="","",'Tech Leaders Kits'!F119)</f>
        <v>Reusable</v>
      </c>
      <c r="P1207" s="0" t="str">
        <f aca="false">IF('Tech Leaders Kits'!G119="","",'Tech Leaders Kits'!G119)</f>
        <v/>
      </c>
    </row>
    <row r="1208" customFormat="false" ht="15" hidden="false" customHeight="false" outlineLevel="0" collapsed="false">
      <c r="A1208" s="0" t="s">
        <v>302</v>
      </c>
      <c r="B1208" s="0" t="n">
        <v>3</v>
      </c>
      <c r="C1208" s="0" t="str">
        <f aca="false">IF('Tech Leaders Kits'!C120="","",'Tech Leaders Kits'!C120)</f>
        <v>LDR module</v>
      </c>
      <c r="D1208" s="0" t="n">
        <f aca="false">IF('Tech Leaders Kits'!D120="","",'Tech Leaders Kits'!D120)</f>
        <v>1</v>
      </c>
      <c r="E1208" s="0" t="str">
        <f aca="false">IF('Tech Leaders Kits'!E120="","",'Tech Leaders Kits'!E120)</f>
        <v>Per group</v>
      </c>
      <c r="F1208" s="0" t="str">
        <f aca="false">IFERROR(INDEX('Session Tracker'!$M$5:$M$149,MATCH($A1208,'Session Tracker'!$D$5:$D$149,0))+0,"")</f>
        <v/>
      </c>
      <c r="G1208" s="0" t="str">
        <f aca="false">IF(ISNUMBER(F1208),IF(OR(B1208=0,B1208=99,C1208&lt;&gt;""),F1208*100+B1208,""),"")</f>
        <v/>
      </c>
      <c r="H1208" s="0" t="n">
        <f aca="false">IFERROR(INDEX('Session Tracker'!$J$5:$J$149,MATCH($A1208,'Session Tracker'!$D$5:$D$149,0)),0)</f>
        <v>8</v>
      </c>
      <c r="I1208" s="0" t="n">
        <f aca="false">IF(OR(B1208=0,B1208=99,C1208=""),"",IF(E1208="Per class",D1208,D1208*H1208))</f>
        <v>8</v>
      </c>
      <c r="N1208" s="0" t="str">
        <f aca="false">IF('Tech Leaders Kits'!B120="","",'Tech Leaders Kits'!B120)</f>
        <v>Sensors</v>
      </c>
      <c r="O1208" s="0" t="str">
        <f aca="false">IF('Tech Leaders Kits'!F120="","",'Tech Leaders Kits'!F120)</f>
        <v>Reusable</v>
      </c>
      <c r="P1208" s="0" t="str">
        <f aca="false">IF('Tech Leaders Kits'!G120="","",'Tech Leaders Kits'!G120)</f>
        <v/>
      </c>
    </row>
    <row r="1209" customFormat="false" ht="15" hidden="false" customHeight="false" outlineLevel="0" collapsed="false">
      <c r="A1209" s="0" t="s">
        <v>302</v>
      </c>
      <c r="B1209" s="0" t="n">
        <v>4</v>
      </c>
      <c r="C1209" s="0" t="str">
        <f aca="false">IF('Tech Leaders Kits'!C121="","",'Tech Leaders Kits'!C121)</f>
        <v>Sound sensor KY-037</v>
      </c>
      <c r="D1209" s="0" t="n">
        <f aca="false">IF('Tech Leaders Kits'!D121="","",'Tech Leaders Kits'!D121)</f>
        <v>1</v>
      </c>
      <c r="E1209" s="0" t="str">
        <f aca="false">IF('Tech Leaders Kits'!E121="","",'Tech Leaders Kits'!E121)</f>
        <v>Per group</v>
      </c>
      <c r="F1209" s="0" t="str">
        <f aca="false">IFERROR(INDEX('Session Tracker'!$M$5:$M$149,MATCH($A1209,'Session Tracker'!$D$5:$D$149,0))+0,"")</f>
        <v/>
      </c>
      <c r="G1209" s="0" t="str">
        <f aca="false">IF(ISNUMBER(F1209),IF(OR(B1209=0,B1209=99,C1209&lt;&gt;""),F1209*100+B1209,""),"")</f>
        <v/>
      </c>
      <c r="H1209" s="0" t="n">
        <f aca="false">IFERROR(INDEX('Session Tracker'!$J$5:$J$149,MATCH($A1209,'Session Tracker'!$D$5:$D$149,0)),0)</f>
        <v>8</v>
      </c>
      <c r="I1209" s="0" t="n">
        <f aca="false">IF(OR(B1209=0,B1209=99,C1209=""),"",IF(E1209="Per class",D1209,D1209*H1209))</f>
        <v>8</v>
      </c>
      <c r="N1209" s="0" t="str">
        <f aca="false">IF('Tech Leaders Kits'!B121="","",'Tech Leaders Kits'!B121)</f>
        <v>Sensors</v>
      </c>
      <c r="O1209" s="0" t="str">
        <f aca="false">IF('Tech Leaders Kits'!F121="","",'Tech Leaders Kits'!F121)</f>
        <v>Reusable</v>
      </c>
      <c r="P1209" s="0" t="str">
        <f aca="false">IF('Tech Leaders Kits'!G121="","",'Tech Leaders Kits'!G121)</f>
        <v/>
      </c>
    </row>
    <row r="1210" customFormat="false" ht="15" hidden="false" customHeight="false" outlineLevel="0" collapsed="false">
      <c r="A1210" s="0" t="s">
        <v>302</v>
      </c>
      <c r="B1210" s="0" t="n">
        <v>5</v>
      </c>
      <c r="C1210" s="0" t="str">
        <f aca="false">IF('Tech Leaders Kits'!C122="","",'Tech Leaders Kits'!C122)</f>
        <v>OLED 0.96 in I2C</v>
      </c>
      <c r="D1210" s="0" t="n">
        <f aca="false">IF('Tech Leaders Kits'!D122="","",'Tech Leaders Kits'!D122)</f>
        <v>1</v>
      </c>
      <c r="E1210" s="0" t="str">
        <f aca="false">IF('Tech Leaders Kits'!E122="","",'Tech Leaders Kits'!E122)</f>
        <v>Per group</v>
      </c>
      <c r="F1210" s="0" t="str">
        <f aca="false">IFERROR(INDEX('Session Tracker'!$M$5:$M$149,MATCH($A1210,'Session Tracker'!$D$5:$D$149,0))+0,"")</f>
        <v/>
      </c>
      <c r="G1210" s="0" t="str">
        <f aca="false">IF(ISNUMBER(F1210),IF(OR(B1210=0,B1210=99,C1210&lt;&gt;""),F1210*100+B1210,""),"")</f>
        <v/>
      </c>
      <c r="H1210" s="0" t="n">
        <f aca="false">IFERROR(INDEX('Session Tracker'!$J$5:$J$149,MATCH($A1210,'Session Tracker'!$D$5:$D$149,0)),0)</f>
        <v>8</v>
      </c>
      <c r="I1210" s="0" t="n">
        <f aca="false">IF(OR(B1210=0,B1210=99,C1210=""),"",IF(E1210="Per class",D1210,D1210*H1210))</f>
        <v>8</v>
      </c>
      <c r="N1210" s="0" t="str">
        <f aca="false">IF('Tech Leaders Kits'!B122="","",'Tech Leaders Kits'!B122)</f>
        <v>Displays &amp; Output</v>
      </c>
      <c r="O1210" s="0" t="str">
        <f aca="false">IF('Tech Leaders Kits'!F122="","",'Tech Leaders Kits'!F122)</f>
        <v>Reusable</v>
      </c>
      <c r="P1210" s="0" t="str">
        <f aca="false">IF('Tech Leaders Kits'!G122="","",'Tech Leaders Kits'!G122)</f>
        <v/>
      </c>
    </row>
    <row r="1211" customFormat="false" ht="15" hidden="false" customHeight="false" outlineLevel="0" collapsed="false">
      <c r="A1211" s="0" t="s">
        <v>302</v>
      </c>
      <c r="B1211" s="0" t="n">
        <v>6</v>
      </c>
      <c r="C1211" s="0" t="str">
        <f aca="false">IF('Tech Leaders Kits'!C123="","",'Tech Leaders Kits'!C123)</f>
        <v>Breadboard (half size)</v>
      </c>
      <c r="D1211" s="0" t="n">
        <f aca="false">IF('Tech Leaders Kits'!D123="","",'Tech Leaders Kits'!D123)</f>
        <v>4</v>
      </c>
      <c r="E1211" s="0" t="str">
        <f aca="false">IF('Tech Leaders Kits'!E123="","",'Tech Leaders Kits'!E123)</f>
        <v>Per group</v>
      </c>
      <c r="F1211" s="0" t="str">
        <f aca="false">IFERROR(INDEX('Session Tracker'!$M$5:$M$149,MATCH($A1211,'Session Tracker'!$D$5:$D$149,0))+0,"")</f>
        <v/>
      </c>
      <c r="G1211" s="0" t="str">
        <f aca="false">IF(ISNUMBER(F1211),IF(OR(B1211=0,B1211=99,C1211&lt;&gt;""),F1211*100+B1211,""),"")</f>
        <v/>
      </c>
      <c r="H1211" s="0" t="n">
        <f aca="false">IFERROR(INDEX('Session Tracker'!$J$5:$J$149,MATCH($A1211,'Session Tracker'!$D$5:$D$149,0)),0)</f>
        <v>8</v>
      </c>
      <c r="I1211" s="0" t="n">
        <f aca="false">IF(OR(B1211=0,B1211=99,C1211=""),"",IF(E1211="Per class",D1211,D1211*H1211))</f>
        <v>32</v>
      </c>
      <c r="N1211" s="0" t="str">
        <f aca="false">IF('Tech Leaders Kits'!B123="","",'Tech Leaders Kits'!B123)</f>
        <v>Wiring &amp; Prototyping</v>
      </c>
      <c r="O1211" s="0" t="str">
        <f aca="false">IF('Tech Leaders Kits'!F123="","",'Tech Leaders Kits'!F123)</f>
        <v>Reusable</v>
      </c>
      <c r="P1211" s="0" t="str">
        <f aca="false">IF('Tech Leaders Kits'!G123="","",'Tech Leaders Kits'!G123)</f>
        <v/>
      </c>
    </row>
    <row r="1212" customFormat="false" ht="15" hidden="false" customHeight="false" outlineLevel="0" collapsed="false">
      <c r="A1212" s="0" t="s">
        <v>302</v>
      </c>
      <c r="B1212" s="0" t="n">
        <v>7</v>
      </c>
      <c r="C1212" s="0" t="str">
        <f aca="false">IF('Tech Leaders Kits'!C124="","",'Tech Leaders Kits'!C124)</f>
        <v>Jumper wires M-M</v>
      </c>
      <c r="D1212" s="0" t="n">
        <f aca="false">IF('Tech Leaders Kits'!D124="","",'Tech Leaders Kits'!D124)</f>
        <v>16</v>
      </c>
      <c r="E1212" s="0" t="str">
        <f aca="false">IF('Tech Leaders Kits'!E124="","",'Tech Leaders Kits'!E124)</f>
        <v>Per group</v>
      </c>
      <c r="F1212" s="0" t="str">
        <f aca="false">IFERROR(INDEX('Session Tracker'!$M$5:$M$149,MATCH($A1212,'Session Tracker'!$D$5:$D$149,0))+0,"")</f>
        <v/>
      </c>
      <c r="G1212" s="0" t="str">
        <f aca="false">IF(ISNUMBER(F1212),IF(OR(B1212=0,B1212=99,C1212&lt;&gt;""),F1212*100+B1212,""),"")</f>
        <v/>
      </c>
      <c r="H1212" s="0" t="n">
        <f aca="false">IFERROR(INDEX('Session Tracker'!$J$5:$J$149,MATCH($A1212,'Session Tracker'!$D$5:$D$149,0)),0)</f>
        <v>8</v>
      </c>
      <c r="I1212" s="0" t="n">
        <f aca="false">IF(OR(B1212=0,B1212=99,C1212=""),"",IF(E1212="Per class",D1212,D1212*H1212))</f>
        <v>128</v>
      </c>
      <c r="N1212" s="0" t="str">
        <f aca="false">IF('Tech Leaders Kits'!B124="","",'Tech Leaders Kits'!B124)</f>
        <v>Wiring &amp; Prototyping</v>
      </c>
      <c r="O1212" s="0" t="str">
        <f aca="false">IF('Tech Leaders Kits'!F124="","",'Tech Leaders Kits'!F124)</f>
        <v>Reusable</v>
      </c>
      <c r="P1212" s="0" t="str">
        <f aca="false">IF('Tech Leaders Kits'!G124="","",'Tech Leaders Kits'!G124)</f>
        <v/>
      </c>
    </row>
    <row r="1213" customFormat="false" ht="15" hidden="false" customHeight="false" outlineLevel="0" collapsed="false">
      <c r="A1213" s="0" t="s">
        <v>302</v>
      </c>
      <c r="B1213" s="0" t="n">
        <v>8</v>
      </c>
      <c r="C1213" s="0" t="str">
        <f aca="false">IF('Tech Leaders Kits'!C125="","",'Tech Leaders Kits'!C125)</f>
        <v>Jumper wires M-F</v>
      </c>
      <c r="D1213" s="0" t="n">
        <f aca="false">IF('Tech Leaders Kits'!D125="","",'Tech Leaders Kits'!D125)</f>
        <v>8</v>
      </c>
      <c r="E1213" s="0" t="str">
        <f aca="false">IF('Tech Leaders Kits'!E125="","",'Tech Leaders Kits'!E125)</f>
        <v>Per group</v>
      </c>
      <c r="F1213" s="0" t="str">
        <f aca="false">IFERROR(INDEX('Session Tracker'!$M$5:$M$149,MATCH($A1213,'Session Tracker'!$D$5:$D$149,0))+0,"")</f>
        <v/>
      </c>
      <c r="G1213" s="0" t="str">
        <f aca="false">IF(ISNUMBER(F1213),IF(OR(B1213=0,B1213=99,C1213&lt;&gt;""),F1213*100+B1213,""),"")</f>
        <v/>
      </c>
      <c r="H1213" s="0" t="n">
        <f aca="false">IFERROR(INDEX('Session Tracker'!$J$5:$J$149,MATCH($A1213,'Session Tracker'!$D$5:$D$149,0)),0)</f>
        <v>8</v>
      </c>
      <c r="I1213" s="0" t="n">
        <f aca="false">IF(OR(B1213=0,B1213=99,C1213=""),"",IF(E1213="Per class",D1213,D1213*H1213))</f>
        <v>64</v>
      </c>
      <c r="N1213" s="0" t="str">
        <f aca="false">IF('Tech Leaders Kits'!B125="","",'Tech Leaders Kits'!B125)</f>
        <v>Wiring &amp; Prototyping</v>
      </c>
      <c r="O1213" s="0" t="str">
        <f aca="false">IF('Tech Leaders Kits'!F125="","",'Tech Leaders Kits'!F125)</f>
        <v>Reusable</v>
      </c>
      <c r="P1213" s="0" t="str">
        <f aca="false">IF('Tech Leaders Kits'!G125="","",'Tech Leaders Kits'!G125)</f>
        <v/>
      </c>
    </row>
    <row r="1214" customFormat="false" ht="15" hidden="false" customHeight="false" outlineLevel="0" collapsed="false">
      <c r="A1214" s="0" t="s">
        <v>302</v>
      </c>
      <c r="B1214" s="0" t="n">
        <v>9</v>
      </c>
      <c r="C1214" s="0" t="str">
        <f aca="false">IF('Tech Leaders Kits'!C126="","",'Tech Leaders Kits'!C126)</f>
        <v>Laptop</v>
      </c>
      <c r="D1214" s="0" t="n">
        <f aca="false">IF('Tech Leaders Kits'!D126="","",'Tech Leaders Kits'!D126)</f>
        <v>1</v>
      </c>
      <c r="E1214" s="0" t="str">
        <f aca="false">IF('Tech Leaders Kits'!E126="","",'Tech Leaders Kits'!E126)</f>
        <v>Per group</v>
      </c>
      <c r="F1214" s="0" t="str">
        <f aca="false">IFERROR(INDEX('Session Tracker'!$M$5:$M$149,MATCH($A1214,'Session Tracker'!$D$5:$D$149,0))+0,"")</f>
        <v/>
      </c>
      <c r="G1214" s="0" t="str">
        <f aca="false">IF(ISNUMBER(F1214),IF(OR(B1214=0,B1214=99,C1214&lt;&gt;""),F1214*100+B1214,""),"")</f>
        <v/>
      </c>
      <c r="H1214" s="0" t="n">
        <f aca="false">IFERROR(INDEX('Session Tracker'!$J$5:$J$149,MATCH($A1214,'Session Tracker'!$D$5:$D$149,0)),0)</f>
        <v>8</v>
      </c>
      <c r="I1214" s="0" t="n">
        <f aca="false">IF(OR(B1214=0,B1214=99,C1214=""),"",IF(E1214="Per class",D1214,D1214*H1214))</f>
        <v>8</v>
      </c>
      <c r="N1214" s="0" t="str">
        <f aca="false">IF('Tech Leaders Kits'!B126="","",'Tech Leaders Kits'!B126)</f>
        <v>Computers &amp; Equipment</v>
      </c>
      <c r="O1214" s="0" t="str">
        <f aca="false">IF('Tech Leaders Kits'!F126="","",'Tech Leaders Kits'!F126)</f>
        <v>Reusable</v>
      </c>
      <c r="P1214" s="0" t="str">
        <f aca="false">IF('Tech Leaders Kits'!G126="","",'Tech Leaders Kits'!G126)</f>
        <v/>
      </c>
    </row>
    <row r="1215" customFormat="false" ht="15" hidden="false" customHeight="false" outlineLevel="0" collapsed="false">
      <c r="A1215" s="0" t="s">
        <v>302</v>
      </c>
      <c r="B1215" s="0" t="n">
        <v>10</v>
      </c>
      <c r="C1215" s="0" t="str">
        <f aca="false">IF('Tech Leaders Kits'!C127="","",'Tech Leaders Kits'!C127)</f>
        <v/>
      </c>
      <c r="D1215" s="0" t="str">
        <f aca="false">IF('Tech Leaders Kits'!D127="","",'Tech Leaders Kits'!D127)</f>
        <v/>
      </c>
      <c r="E1215" s="0" t="str">
        <f aca="false">IF('Tech Leaders Kits'!E127="","",'Tech Leaders Kits'!E127)</f>
        <v/>
      </c>
      <c r="F1215" s="0" t="str">
        <f aca="false">IFERROR(INDEX('Session Tracker'!$M$5:$M$149,MATCH($A1215,'Session Tracker'!$D$5:$D$149,0))+0,"")</f>
        <v/>
      </c>
      <c r="G1215" s="0" t="str">
        <f aca="false">IF(ISNUMBER(F1215),IF(OR(B1215=0,B1215=99,C1215&lt;&gt;""),F1215*100+B1215,""),"")</f>
        <v/>
      </c>
      <c r="H1215" s="0" t="n">
        <f aca="false">IFERROR(INDEX('Session Tracker'!$J$5:$J$149,MATCH($A1215,'Session Tracker'!$D$5:$D$149,0)),0)</f>
        <v>8</v>
      </c>
      <c r="I1215" s="0" t="str">
        <f aca="false">IF(OR(B1215=0,B1215=99,C1215=""),"",IF(E1215="Per class",D1215,D1215*H1215))</f>
        <v/>
      </c>
      <c r="N1215" s="0" t="str">
        <f aca="false">IF('Tech Leaders Kits'!B127="","",'Tech Leaders Kits'!B127)</f>
        <v/>
      </c>
      <c r="O1215" s="0" t="str">
        <f aca="false">IF('Tech Leaders Kits'!F127="","",'Tech Leaders Kits'!F127)</f>
        <v/>
      </c>
      <c r="P1215" s="0" t="str">
        <f aca="false">IF('Tech Leaders Kits'!G127="","",'Tech Leaders Kits'!G127)</f>
        <v/>
      </c>
    </row>
    <row r="1216" customFormat="false" ht="15" hidden="false" customHeight="false" outlineLevel="0" collapsed="false">
      <c r="A1216" s="0" t="s">
        <v>302</v>
      </c>
      <c r="B1216" s="0" t="n">
        <v>11</v>
      </c>
      <c r="C1216" s="0" t="str">
        <f aca="false">IF('Tech Leaders Kits'!C128="","",'Tech Leaders Kits'!C128)</f>
        <v/>
      </c>
      <c r="D1216" s="0" t="str">
        <f aca="false">IF('Tech Leaders Kits'!D128="","",'Tech Leaders Kits'!D128)</f>
        <v/>
      </c>
      <c r="E1216" s="0" t="str">
        <f aca="false">IF('Tech Leaders Kits'!E128="","",'Tech Leaders Kits'!E128)</f>
        <v/>
      </c>
      <c r="F1216" s="0" t="str">
        <f aca="false">IFERROR(INDEX('Session Tracker'!$M$5:$M$149,MATCH($A1216,'Session Tracker'!$D$5:$D$149,0))+0,"")</f>
        <v/>
      </c>
      <c r="G1216" s="0" t="str">
        <f aca="false">IF(ISNUMBER(F1216),IF(OR(B1216=0,B1216=99,C1216&lt;&gt;""),F1216*100+B1216,""),"")</f>
        <v/>
      </c>
      <c r="H1216" s="0" t="n">
        <f aca="false">IFERROR(INDEX('Session Tracker'!$J$5:$J$149,MATCH($A1216,'Session Tracker'!$D$5:$D$149,0)),0)</f>
        <v>8</v>
      </c>
      <c r="I1216" s="0" t="str">
        <f aca="false">IF(OR(B1216=0,B1216=99,C1216=""),"",IF(E1216="Per class",D1216,D1216*H1216))</f>
        <v/>
      </c>
      <c r="N1216" s="0" t="str">
        <f aca="false">IF('Tech Leaders Kits'!B128="","",'Tech Leaders Kits'!B128)</f>
        <v/>
      </c>
      <c r="O1216" s="0" t="str">
        <f aca="false">IF('Tech Leaders Kits'!F128="","",'Tech Leaders Kits'!F128)</f>
        <v/>
      </c>
      <c r="P1216" s="0" t="str">
        <f aca="false">IF('Tech Leaders Kits'!G128="","",'Tech Leaders Kits'!G128)</f>
        <v/>
      </c>
    </row>
    <row r="1217" customFormat="false" ht="15" hidden="false" customHeight="false" outlineLevel="0" collapsed="false">
      <c r="A1217" s="0" t="s">
        <v>304</v>
      </c>
      <c r="B1217" s="0" t="n">
        <v>0</v>
      </c>
      <c r="F1217" s="0" t="str">
        <f aca="false">IFERROR(INDEX('Session Tracker'!$M$5:$M$149,MATCH($A1217,'Session Tracker'!$D$5:$D$149,0))+0,"")</f>
        <v/>
      </c>
      <c r="G1217" s="0" t="str">
        <f aca="false">IF(ISNUMBER(F1217),IF(OR(B1217=0,B1217=99,C1217&lt;&gt;""),F1217*100+B1217,""),"")</f>
        <v/>
      </c>
      <c r="H1217" s="0" t="n">
        <f aca="false">IFERROR(INDEX('Session Tracker'!$J$5:$J$149,MATCH($A1217,'Session Tracker'!$D$5:$D$149,0)),0)</f>
        <v>8</v>
      </c>
      <c r="I1217" s="0" t="str">
        <f aca="false">IF(OR(B1217=0,B1217=99,C1217=""),"",IF(E1217="Per class",D1217,D1217*H1217))</f>
        <v/>
      </c>
      <c r="K1217" s="0" t="str">
        <f aca="false">IFERROR(INDEX('Session Tracker'!$E$5:$E$149,MATCH($A1217,'Session Tracker'!$D$5:$D$149,0)),"")</f>
        <v>Smart Home Cloud Control Hub</v>
      </c>
      <c r="L1217" s="0" t="str">
        <f aca="false">IFERROR(INDEX('Session Tracker'!$A$5:$A$149,MATCH($A1217,'Session Tracker'!$D$5:$D$149,0)),"")</f>
        <v>Tech Leaders (15-17)</v>
      </c>
      <c r="M1217" s="0" t="str">
        <f aca="false">IFERROR(INDEX('Session Tracker'!$H$5:$H$149,MATCH($A1217,'Session Tracker'!$D$5:$D$149,0))&amp;"","")</f>
        <v/>
      </c>
      <c r="Q1217" s="0" t="str">
        <f aca="false">IFERROR("Status: "&amp;INDEX('Session Tracker'!$F$5:$F$149,MATCH($A1217,'Session Tracker'!$D$5:$D$149,0))&amp;IF(INDEX('Session Tracker'!$G$5:$G$149,MATCH($A1217,'Session Tracker'!$D$5:$D$149,0))&lt;&gt;""," ("&amp;INDEX('Session Tracker'!$G$5:$G$149,MATCH($A1217,'Session Tracker'!$D$5:$D$149,0))&amp;")","")&amp;IF(M1217&lt;&gt;"","  "&amp;M1217,""),"")</f>
        <v>Status: Not started</v>
      </c>
    </row>
    <row r="1218" customFormat="false" ht="15" hidden="false" customHeight="false" outlineLevel="0" collapsed="false">
      <c r="A1218" s="0" t="s">
        <v>304</v>
      </c>
      <c r="B1218" s="0" t="n">
        <v>1</v>
      </c>
      <c r="C1218" s="0" t="str">
        <f aca="false">IF('Tech Leaders Kits'!C131="","",'Tech Leaders Kits'!C131)</f>
        <v>ESP32 Dev Board + USB cable</v>
      </c>
      <c r="D1218" s="0" t="n">
        <f aca="false">IF('Tech Leaders Kits'!D131="","",'Tech Leaders Kits'!D131)</f>
        <v>1</v>
      </c>
      <c r="E1218" s="0" t="str">
        <f aca="false">IF('Tech Leaders Kits'!E131="","",'Tech Leaders Kits'!E131)</f>
        <v>Per group</v>
      </c>
      <c r="F1218" s="0" t="str">
        <f aca="false">IFERROR(INDEX('Session Tracker'!$M$5:$M$149,MATCH($A1218,'Session Tracker'!$D$5:$D$149,0))+0,"")</f>
        <v/>
      </c>
      <c r="G1218" s="0" t="str">
        <f aca="false">IF(ISNUMBER(F1218),IF(OR(B1218=0,B1218=99,C1218&lt;&gt;""),F1218*100+B1218,""),"")</f>
        <v/>
      </c>
      <c r="H1218" s="0" t="n">
        <f aca="false">IFERROR(INDEX('Session Tracker'!$J$5:$J$149,MATCH($A1218,'Session Tracker'!$D$5:$D$149,0)),0)</f>
        <v>8</v>
      </c>
      <c r="I1218" s="0" t="n">
        <f aca="false">IF(OR(B1218=0,B1218=99,C1218=""),"",IF(E1218="Per class",D1218,D1218*H1218))</f>
        <v>8</v>
      </c>
      <c r="N1218" s="0" t="str">
        <f aca="false">IF('Tech Leaders Kits'!B131="","",'Tech Leaders Kits'!B131)</f>
        <v>Microcontrollers &amp; Dev Boards</v>
      </c>
      <c r="O1218" s="0" t="str">
        <f aca="false">IF('Tech Leaders Kits'!F131="","",'Tech Leaders Kits'!F131)</f>
        <v>Reusable</v>
      </c>
      <c r="P1218" s="0" t="str">
        <f aca="false">IF('Tech Leaders Kits'!G131="","",'Tech Leaders Kits'!G131)</f>
        <v/>
      </c>
    </row>
    <row r="1219" customFormat="false" ht="15" hidden="false" customHeight="false" outlineLevel="0" collapsed="false">
      <c r="A1219" s="0" t="s">
        <v>304</v>
      </c>
      <c r="B1219" s="0" t="n">
        <v>2</v>
      </c>
      <c r="C1219" s="0" t="str">
        <f aca="false">IF('Tech Leaders Kits'!C132="","",'Tech Leaders Kits'!C132)</f>
        <v>Relay module (4-channel)</v>
      </c>
      <c r="D1219" s="0" t="n">
        <f aca="false">IF('Tech Leaders Kits'!D132="","",'Tech Leaders Kits'!D132)</f>
        <v>1</v>
      </c>
      <c r="E1219" s="0" t="str">
        <f aca="false">IF('Tech Leaders Kits'!E132="","",'Tech Leaders Kits'!E132)</f>
        <v>Per group</v>
      </c>
      <c r="F1219" s="0" t="str">
        <f aca="false">IFERROR(INDEX('Session Tracker'!$M$5:$M$149,MATCH($A1219,'Session Tracker'!$D$5:$D$149,0))+0,"")</f>
        <v/>
      </c>
      <c r="G1219" s="0" t="str">
        <f aca="false">IF(ISNUMBER(F1219),IF(OR(B1219=0,B1219=99,C1219&lt;&gt;""),F1219*100+B1219,""),"")</f>
        <v/>
      </c>
      <c r="H1219" s="0" t="n">
        <f aca="false">IFERROR(INDEX('Session Tracker'!$J$5:$J$149,MATCH($A1219,'Session Tracker'!$D$5:$D$149,0)),0)</f>
        <v>8</v>
      </c>
      <c r="I1219" s="0" t="n">
        <f aca="false">IF(OR(B1219=0,B1219=99,C1219=""),"",IF(E1219="Per class",D1219,D1219*H1219))</f>
        <v>8</v>
      </c>
      <c r="N1219" s="0" t="str">
        <f aca="false">IF('Tech Leaders Kits'!B132="","",'Tech Leaders Kits'!B132)</f>
        <v>Actuators &amp; Motor Drivers</v>
      </c>
      <c r="O1219" s="0" t="str">
        <f aca="false">IF('Tech Leaders Kits'!F132="","",'Tech Leaders Kits'!F132)</f>
        <v>Reusable</v>
      </c>
      <c r="P1219" s="0" t="str">
        <f aca="false">IF('Tech Leaders Kits'!G132="","",'Tech Leaders Kits'!G132)</f>
        <v/>
      </c>
    </row>
    <row r="1220" customFormat="false" ht="15" hidden="false" customHeight="false" outlineLevel="0" collapsed="false">
      <c r="A1220" s="0" t="s">
        <v>304</v>
      </c>
      <c r="B1220" s="0" t="n">
        <v>3</v>
      </c>
      <c r="C1220" s="0" t="str">
        <f aca="false">IF('Tech Leaders Kits'!C133="","",'Tech Leaders Kits'!C133)</f>
        <v>PIR motion sensor</v>
      </c>
      <c r="D1220" s="0" t="n">
        <f aca="false">IF('Tech Leaders Kits'!D133="","",'Tech Leaders Kits'!D133)</f>
        <v>1</v>
      </c>
      <c r="E1220" s="0" t="str">
        <f aca="false">IF('Tech Leaders Kits'!E133="","",'Tech Leaders Kits'!E133)</f>
        <v>Per group</v>
      </c>
      <c r="F1220" s="0" t="str">
        <f aca="false">IFERROR(INDEX('Session Tracker'!$M$5:$M$149,MATCH($A1220,'Session Tracker'!$D$5:$D$149,0))+0,"")</f>
        <v/>
      </c>
      <c r="G1220" s="0" t="str">
        <f aca="false">IF(ISNUMBER(F1220),IF(OR(B1220=0,B1220=99,C1220&lt;&gt;""),F1220*100+B1220,""),"")</f>
        <v/>
      </c>
      <c r="H1220" s="0" t="n">
        <f aca="false">IFERROR(INDEX('Session Tracker'!$J$5:$J$149,MATCH($A1220,'Session Tracker'!$D$5:$D$149,0)),0)</f>
        <v>8</v>
      </c>
      <c r="I1220" s="0" t="n">
        <f aca="false">IF(OR(B1220=0,B1220=99,C1220=""),"",IF(E1220="Per class",D1220,D1220*H1220))</f>
        <v>8</v>
      </c>
      <c r="N1220" s="0" t="str">
        <f aca="false">IF('Tech Leaders Kits'!B133="","",'Tech Leaders Kits'!B133)</f>
        <v>Sensors</v>
      </c>
      <c r="O1220" s="0" t="str">
        <f aca="false">IF('Tech Leaders Kits'!F133="","",'Tech Leaders Kits'!F133)</f>
        <v>Reusable</v>
      </c>
      <c r="P1220" s="0" t="str">
        <f aca="false">IF('Tech Leaders Kits'!G133="","",'Tech Leaders Kits'!G133)</f>
        <v/>
      </c>
    </row>
    <row r="1221" customFormat="false" ht="15" hidden="false" customHeight="false" outlineLevel="0" collapsed="false">
      <c r="A1221" s="0" t="s">
        <v>304</v>
      </c>
      <c r="B1221" s="0" t="n">
        <v>4</v>
      </c>
      <c r="C1221" s="0" t="str">
        <f aca="false">IF('Tech Leaders Kits'!C134="","",'Tech Leaders Kits'!C134)</f>
        <v>DHT22 sensor</v>
      </c>
      <c r="D1221" s="0" t="n">
        <f aca="false">IF('Tech Leaders Kits'!D134="","",'Tech Leaders Kits'!D134)</f>
        <v>1</v>
      </c>
      <c r="E1221" s="0" t="str">
        <f aca="false">IF('Tech Leaders Kits'!E134="","",'Tech Leaders Kits'!E134)</f>
        <v>Per group</v>
      </c>
      <c r="F1221" s="0" t="str">
        <f aca="false">IFERROR(INDEX('Session Tracker'!$M$5:$M$149,MATCH($A1221,'Session Tracker'!$D$5:$D$149,0))+0,"")</f>
        <v/>
      </c>
      <c r="G1221" s="0" t="str">
        <f aca="false">IF(ISNUMBER(F1221),IF(OR(B1221=0,B1221=99,C1221&lt;&gt;""),F1221*100+B1221,""),"")</f>
        <v/>
      </c>
      <c r="H1221" s="0" t="n">
        <f aca="false">IFERROR(INDEX('Session Tracker'!$J$5:$J$149,MATCH($A1221,'Session Tracker'!$D$5:$D$149,0)),0)</f>
        <v>8</v>
      </c>
      <c r="I1221" s="0" t="n">
        <f aca="false">IF(OR(B1221=0,B1221=99,C1221=""),"",IF(E1221="Per class",D1221,D1221*H1221))</f>
        <v>8</v>
      </c>
      <c r="N1221" s="0" t="str">
        <f aca="false">IF('Tech Leaders Kits'!B134="","",'Tech Leaders Kits'!B134)</f>
        <v>Sensors</v>
      </c>
      <c r="O1221" s="0" t="str">
        <f aca="false">IF('Tech Leaders Kits'!F134="","",'Tech Leaders Kits'!F134)</f>
        <v>Reusable</v>
      </c>
      <c r="P1221" s="0" t="str">
        <f aca="false">IF('Tech Leaders Kits'!G134="","",'Tech Leaders Kits'!G134)</f>
        <v/>
      </c>
    </row>
    <row r="1222" customFormat="false" ht="15" hidden="false" customHeight="false" outlineLevel="0" collapsed="false">
      <c r="A1222" s="0" t="s">
        <v>304</v>
      </c>
      <c r="B1222" s="0" t="n">
        <v>5</v>
      </c>
      <c r="C1222" s="0" t="str">
        <f aca="false">IF('Tech Leaders Kits'!C135="","",'Tech Leaders Kits'!C135)</f>
        <v>Low-voltage LED lamp (5 V)</v>
      </c>
      <c r="D1222" s="0" t="n">
        <f aca="false">IF('Tech Leaders Kits'!D135="","",'Tech Leaders Kits'!D135)</f>
        <v>2</v>
      </c>
      <c r="E1222" s="0" t="str">
        <f aca="false">IF('Tech Leaders Kits'!E135="","",'Tech Leaders Kits'!E135)</f>
        <v>Per group</v>
      </c>
      <c r="F1222" s="0" t="str">
        <f aca="false">IFERROR(INDEX('Session Tracker'!$M$5:$M$149,MATCH($A1222,'Session Tracker'!$D$5:$D$149,0))+0,"")</f>
        <v/>
      </c>
      <c r="G1222" s="0" t="str">
        <f aca="false">IF(ISNUMBER(F1222),IF(OR(B1222=0,B1222=99,C1222&lt;&gt;""),F1222*100+B1222,""),"")</f>
        <v/>
      </c>
      <c r="H1222" s="0" t="n">
        <f aca="false">IFERROR(INDEX('Session Tracker'!$J$5:$J$149,MATCH($A1222,'Session Tracker'!$D$5:$D$149,0)),0)</f>
        <v>8</v>
      </c>
      <c r="I1222" s="0" t="n">
        <f aca="false">IF(OR(B1222=0,B1222=99,C1222=""),"",IF(E1222="Per class",D1222,D1222*H1222))</f>
        <v>16</v>
      </c>
      <c r="N1222" s="0" t="str">
        <f aca="false">IF('Tech Leaders Kits'!B135="","",'Tech Leaders Kits'!B135)</f>
        <v>Displays &amp; Output</v>
      </c>
      <c r="O1222" s="0" t="str">
        <f aca="false">IF('Tech Leaders Kits'!F135="","",'Tech Leaders Kits'!F135)</f>
        <v>Reusable</v>
      </c>
      <c r="P1222" s="0" t="str">
        <f aca="false">IF('Tech Leaders Kits'!G135="","",'Tech Leaders Kits'!G135)</f>
        <v/>
      </c>
    </row>
    <row r="1223" customFormat="false" ht="15" hidden="false" customHeight="false" outlineLevel="0" collapsed="false">
      <c r="A1223" s="0" t="s">
        <v>304</v>
      </c>
      <c r="B1223" s="0" t="n">
        <v>6</v>
      </c>
      <c r="C1223" s="0" t="str">
        <f aca="false">IF('Tech Leaders Kits'!C136="","",'Tech Leaders Kits'!C136)</f>
        <v>5 V DC fan</v>
      </c>
      <c r="D1223" s="0" t="n">
        <f aca="false">IF('Tech Leaders Kits'!D136="","",'Tech Leaders Kits'!D136)</f>
        <v>1</v>
      </c>
      <c r="E1223" s="0" t="str">
        <f aca="false">IF('Tech Leaders Kits'!E136="","",'Tech Leaders Kits'!E136)</f>
        <v>Per group</v>
      </c>
      <c r="F1223" s="0" t="str">
        <f aca="false">IFERROR(INDEX('Session Tracker'!$M$5:$M$149,MATCH($A1223,'Session Tracker'!$D$5:$D$149,0))+0,"")</f>
        <v/>
      </c>
      <c r="G1223" s="0" t="str">
        <f aca="false">IF(ISNUMBER(F1223),IF(OR(B1223=0,B1223=99,C1223&lt;&gt;""),F1223*100+B1223,""),"")</f>
        <v/>
      </c>
      <c r="H1223" s="0" t="n">
        <f aca="false">IFERROR(INDEX('Session Tracker'!$J$5:$J$149,MATCH($A1223,'Session Tracker'!$D$5:$D$149,0)),0)</f>
        <v>8</v>
      </c>
      <c r="I1223" s="0" t="n">
        <f aca="false">IF(OR(B1223=0,B1223=99,C1223=""),"",IF(E1223="Per class",D1223,D1223*H1223))</f>
        <v>8</v>
      </c>
      <c r="N1223" s="0" t="str">
        <f aca="false">IF('Tech Leaders Kits'!B136="","",'Tech Leaders Kits'!B136)</f>
        <v>Displays &amp; Output</v>
      </c>
      <c r="O1223" s="0" t="str">
        <f aca="false">IF('Tech Leaders Kits'!F136="","",'Tech Leaders Kits'!F136)</f>
        <v>Reusable</v>
      </c>
      <c r="P1223" s="0" t="str">
        <f aca="false">IF('Tech Leaders Kits'!G136="","",'Tech Leaders Kits'!G136)</f>
        <v/>
      </c>
    </row>
    <row r="1224" customFormat="false" ht="15" hidden="false" customHeight="false" outlineLevel="0" collapsed="false">
      <c r="A1224" s="0" t="s">
        <v>304</v>
      </c>
      <c r="B1224" s="0" t="n">
        <v>7</v>
      </c>
      <c r="C1224" s="0" t="str">
        <f aca="false">IF('Tech Leaders Kits'!C137="","",'Tech Leaders Kits'!C137)</f>
        <v>Breadboard (half size)</v>
      </c>
      <c r="D1224" s="0" t="n">
        <f aca="false">IF('Tech Leaders Kits'!D137="","",'Tech Leaders Kits'!D137)</f>
        <v>1</v>
      </c>
      <c r="E1224" s="0" t="str">
        <f aca="false">IF('Tech Leaders Kits'!E137="","",'Tech Leaders Kits'!E137)</f>
        <v>Per group</v>
      </c>
      <c r="F1224" s="0" t="str">
        <f aca="false">IFERROR(INDEX('Session Tracker'!$M$5:$M$149,MATCH($A1224,'Session Tracker'!$D$5:$D$149,0))+0,"")</f>
        <v/>
      </c>
      <c r="G1224" s="0" t="str">
        <f aca="false">IF(ISNUMBER(F1224),IF(OR(B1224=0,B1224=99,C1224&lt;&gt;""),F1224*100+B1224,""),"")</f>
        <v/>
      </c>
      <c r="H1224" s="0" t="n">
        <f aca="false">IFERROR(INDEX('Session Tracker'!$J$5:$J$149,MATCH($A1224,'Session Tracker'!$D$5:$D$149,0)),0)</f>
        <v>8</v>
      </c>
      <c r="I1224" s="0" t="n">
        <f aca="false">IF(OR(B1224=0,B1224=99,C1224=""),"",IF(E1224="Per class",D1224,D1224*H1224))</f>
        <v>8</v>
      </c>
      <c r="N1224" s="0" t="str">
        <f aca="false">IF('Tech Leaders Kits'!B137="","",'Tech Leaders Kits'!B137)</f>
        <v>Wiring &amp; Prototyping</v>
      </c>
      <c r="O1224" s="0" t="str">
        <f aca="false">IF('Tech Leaders Kits'!F137="","",'Tech Leaders Kits'!F137)</f>
        <v>Reusable</v>
      </c>
      <c r="P1224" s="0" t="str">
        <f aca="false">IF('Tech Leaders Kits'!G137="","",'Tech Leaders Kits'!G137)</f>
        <v/>
      </c>
    </row>
    <row r="1225" customFormat="false" ht="15" hidden="false" customHeight="false" outlineLevel="0" collapsed="false">
      <c r="A1225" s="0" t="s">
        <v>304</v>
      </c>
      <c r="B1225" s="0" t="n">
        <v>8</v>
      </c>
      <c r="C1225" s="0" t="str">
        <f aca="false">IF('Tech Leaders Kits'!C138="","",'Tech Leaders Kits'!C138)</f>
        <v>Jumper wires M-M</v>
      </c>
      <c r="D1225" s="0" t="n">
        <f aca="false">IF('Tech Leaders Kits'!D138="","",'Tech Leaders Kits'!D138)</f>
        <v>10</v>
      </c>
      <c r="E1225" s="0" t="str">
        <f aca="false">IF('Tech Leaders Kits'!E138="","",'Tech Leaders Kits'!E138)</f>
        <v>Per group</v>
      </c>
      <c r="F1225" s="0" t="str">
        <f aca="false">IFERROR(INDEX('Session Tracker'!$M$5:$M$149,MATCH($A1225,'Session Tracker'!$D$5:$D$149,0))+0,"")</f>
        <v/>
      </c>
      <c r="G1225" s="0" t="str">
        <f aca="false">IF(ISNUMBER(F1225),IF(OR(B1225=0,B1225=99,C1225&lt;&gt;""),F1225*100+B1225,""),"")</f>
        <v/>
      </c>
      <c r="H1225" s="0" t="n">
        <f aca="false">IFERROR(INDEX('Session Tracker'!$J$5:$J$149,MATCH($A1225,'Session Tracker'!$D$5:$D$149,0)),0)</f>
        <v>8</v>
      </c>
      <c r="I1225" s="0" t="n">
        <f aca="false">IF(OR(B1225=0,B1225=99,C1225=""),"",IF(E1225="Per class",D1225,D1225*H1225))</f>
        <v>80</v>
      </c>
      <c r="N1225" s="0" t="str">
        <f aca="false">IF('Tech Leaders Kits'!B138="","",'Tech Leaders Kits'!B138)</f>
        <v>Wiring &amp; Prototyping</v>
      </c>
      <c r="O1225" s="0" t="str">
        <f aca="false">IF('Tech Leaders Kits'!F138="","",'Tech Leaders Kits'!F138)</f>
        <v>Reusable</v>
      </c>
      <c r="P1225" s="0" t="str">
        <f aca="false">IF('Tech Leaders Kits'!G138="","",'Tech Leaders Kits'!G138)</f>
        <v/>
      </c>
    </row>
    <row r="1226" customFormat="false" ht="15" hidden="false" customHeight="false" outlineLevel="0" collapsed="false">
      <c r="A1226" s="0" t="s">
        <v>304</v>
      </c>
      <c r="B1226" s="0" t="n">
        <v>9</v>
      </c>
      <c r="C1226" s="0" t="str">
        <f aca="false">IF('Tech Leaders Kits'!C139="","",'Tech Leaders Kits'!C139)</f>
        <v>Jumper wires M-F</v>
      </c>
      <c r="D1226" s="0" t="n">
        <f aca="false">IF('Tech Leaders Kits'!D139="","",'Tech Leaders Kits'!D139)</f>
        <v>12</v>
      </c>
      <c r="E1226" s="0" t="str">
        <f aca="false">IF('Tech Leaders Kits'!E139="","",'Tech Leaders Kits'!E139)</f>
        <v>Per group</v>
      </c>
      <c r="F1226" s="0" t="str">
        <f aca="false">IFERROR(INDEX('Session Tracker'!$M$5:$M$149,MATCH($A1226,'Session Tracker'!$D$5:$D$149,0))+0,"")</f>
        <v/>
      </c>
      <c r="G1226" s="0" t="str">
        <f aca="false">IF(ISNUMBER(F1226),IF(OR(B1226=0,B1226=99,C1226&lt;&gt;""),F1226*100+B1226,""),"")</f>
        <v/>
      </c>
      <c r="H1226" s="0" t="n">
        <f aca="false">IFERROR(INDEX('Session Tracker'!$J$5:$J$149,MATCH($A1226,'Session Tracker'!$D$5:$D$149,0)),0)</f>
        <v>8</v>
      </c>
      <c r="I1226" s="0" t="n">
        <f aca="false">IF(OR(B1226=0,B1226=99,C1226=""),"",IF(E1226="Per class",D1226,D1226*H1226))</f>
        <v>96</v>
      </c>
      <c r="N1226" s="0" t="str">
        <f aca="false">IF('Tech Leaders Kits'!B139="","",'Tech Leaders Kits'!B139)</f>
        <v>Wiring &amp; Prototyping</v>
      </c>
      <c r="O1226" s="0" t="str">
        <f aca="false">IF('Tech Leaders Kits'!F139="","",'Tech Leaders Kits'!F139)</f>
        <v>Reusable</v>
      </c>
      <c r="P1226" s="0" t="str">
        <f aca="false">IF('Tech Leaders Kits'!G139="","",'Tech Leaders Kits'!G139)</f>
        <v/>
      </c>
    </row>
    <row r="1227" customFormat="false" ht="15" hidden="false" customHeight="false" outlineLevel="0" collapsed="false">
      <c r="A1227" s="0" t="s">
        <v>304</v>
      </c>
      <c r="B1227" s="0" t="n">
        <v>10</v>
      </c>
      <c r="C1227" s="0" t="str">
        <f aca="false">IF('Tech Leaders Kits'!C140="","",'Tech Leaders Kits'!C140)</f>
        <v>Laptop</v>
      </c>
      <c r="D1227" s="0" t="n">
        <f aca="false">IF('Tech Leaders Kits'!D140="","",'Tech Leaders Kits'!D140)</f>
        <v>1</v>
      </c>
      <c r="E1227" s="0" t="str">
        <f aca="false">IF('Tech Leaders Kits'!E140="","",'Tech Leaders Kits'!E140)</f>
        <v>Per group</v>
      </c>
      <c r="F1227" s="0" t="str">
        <f aca="false">IFERROR(INDEX('Session Tracker'!$M$5:$M$149,MATCH($A1227,'Session Tracker'!$D$5:$D$149,0))+0,"")</f>
        <v/>
      </c>
      <c r="G1227" s="0" t="str">
        <f aca="false">IF(ISNUMBER(F1227),IF(OR(B1227=0,B1227=99,C1227&lt;&gt;""),F1227*100+B1227,""),"")</f>
        <v/>
      </c>
      <c r="H1227" s="0" t="n">
        <f aca="false">IFERROR(INDEX('Session Tracker'!$J$5:$J$149,MATCH($A1227,'Session Tracker'!$D$5:$D$149,0)),0)</f>
        <v>8</v>
      </c>
      <c r="I1227" s="0" t="n">
        <f aca="false">IF(OR(B1227=0,B1227=99,C1227=""),"",IF(E1227="Per class",D1227,D1227*H1227))</f>
        <v>8</v>
      </c>
      <c r="N1227" s="0" t="str">
        <f aca="false">IF('Tech Leaders Kits'!B140="","",'Tech Leaders Kits'!B140)</f>
        <v>Computers &amp; Equipment</v>
      </c>
      <c r="O1227" s="0" t="str">
        <f aca="false">IF('Tech Leaders Kits'!F140="","",'Tech Leaders Kits'!F140)</f>
        <v>Reusable</v>
      </c>
      <c r="P1227" s="0" t="str">
        <f aca="false">IF('Tech Leaders Kits'!G140="","",'Tech Leaders Kits'!G140)</f>
        <v/>
      </c>
    </row>
    <row r="1228" customFormat="false" ht="15" hidden="false" customHeight="false" outlineLevel="0" collapsed="false">
      <c r="A1228" s="0" t="s">
        <v>304</v>
      </c>
      <c r="B1228" s="0" t="n">
        <v>11</v>
      </c>
      <c r="C1228" s="0" t="str">
        <f aca="false">IF('Tech Leaders Kits'!C141="","",'Tech Leaders Kits'!C141)</f>
        <v/>
      </c>
      <c r="D1228" s="0" t="str">
        <f aca="false">IF('Tech Leaders Kits'!D141="","",'Tech Leaders Kits'!D141)</f>
        <v/>
      </c>
      <c r="E1228" s="0" t="str">
        <f aca="false">IF('Tech Leaders Kits'!E141="","",'Tech Leaders Kits'!E141)</f>
        <v/>
      </c>
      <c r="F1228" s="0" t="str">
        <f aca="false">IFERROR(INDEX('Session Tracker'!$M$5:$M$149,MATCH($A1228,'Session Tracker'!$D$5:$D$149,0))+0,"")</f>
        <v/>
      </c>
      <c r="G1228" s="0" t="str">
        <f aca="false">IF(ISNUMBER(F1228),IF(OR(B1228=0,B1228=99,C1228&lt;&gt;""),F1228*100+B1228,""),"")</f>
        <v/>
      </c>
      <c r="H1228" s="0" t="n">
        <f aca="false">IFERROR(INDEX('Session Tracker'!$J$5:$J$149,MATCH($A1228,'Session Tracker'!$D$5:$D$149,0)),0)</f>
        <v>8</v>
      </c>
      <c r="I1228" s="0" t="str">
        <f aca="false">IF(OR(B1228=0,B1228=99,C1228=""),"",IF(E1228="Per class",D1228,D1228*H1228))</f>
        <v/>
      </c>
      <c r="N1228" s="0" t="str">
        <f aca="false">IF('Tech Leaders Kits'!B141="","",'Tech Leaders Kits'!B141)</f>
        <v/>
      </c>
      <c r="O1228" s="0" t="str">
        <f aca="false">IF('Tech Leaders Kits'!F141="","",'Tech Leaders Kits'!F141)</f>
        <v/>
      </c>
      <c r="P1228" s="0" t="str">
        <f aca="false">IF('Tech Leaders Kits'!G141="","",'Tech Leaders Kits'!G141)</f>
        <v/>
      </c>
    </row>
    <row r="1229" customFormat="false" ht="15" hidden="false" customHeight="false" outlineLevel="0" collapsed="false">
      <c r="A1229" s="0" t="s">
        <v>304</v>
      </c>
      <c r="B1229" s="0" t="n">
        <v>12</v>
      </c>
      <c r="C1229" s="0" t="str">
        <f aca="false">IF('Tech Leaders Kits'!C142="","",'Tech Leaders Kits'!C142)</f>
        <v/>
      </c>
      <c r="D1229" s="0" t="str">
        <f aca="false">IF('Tech Leaders Kits'!D142="","",'Tech Leaders Kits'!D142)</f>
        <v/>
      </c>
      <c r="E1229" s="0" t="str">
        <f aca="false">IF('Tech Leaders Kits'!E142="","",'Tech Leaders Kits'!E142)</f>
        <v/>
      </c>
      <c r="F1229" s="0" t="str">
        <f aca="false">IFERROR(INDEX('Session Tracker'!$M$5:$M$149,MATCH($A1229,'Session Tracker'!$D$5:$D$149,0))+0,"")</f>
        <v/>
      </c>
      <c r="G1229" s="0" t="str">
        <f aca="false">IF(ISNUMBER(F1229),IF(OR(B1229=0,B1229=99,C1229&lt;&gt;""),F1229*100+B1229,""),"")</f>
        <v/>
      </c>
      <c r="H1229" s="0" t="n">
        <f aca="false">IFERROR(INDEX('Session Tracker'!$J$5:$J$149,MATCH($A1229,'Session Tracker'!$D$5:$D$149,0)),0)</f>
        <v>8</v>
      </c>
      <c r="I1229" s="0" t="str">
        <f aca="false">IF(OR(B1229=0,B1229=99,C1229=""),"",IF(E1229="Per class",D1229,D1229*H1229))</f>
        <v/>
      </c>
      <c r="N1229" s="0" t="str">
        <f aca="false">IF('Tech Leaders Kits'!B142="","",'Tech Leaders Kits'!B142)</f>
        <v/>
      </c>
      <c r="O1229" s="0" t="str">
        <f aca="false">IF('Tech Leaders Kits'!F142="","",'Tech Leaders Kits'!F142)</f>
        <v/>
      </c>
      <c r="P1229" s="0" t="str">
        <f aca="false">IF('Tech Leaders Kits'!G142="","",'Tech Leaders Kits'!G142)</f>
        <v/>
      </c>
    </row>
    <row r="1230" customFormat="false" ht="15" hidden="false" customHeight="false" outlineLevel="0" collapsed="false">
      <c r="A1230" s="0" t="s">
        <v>306</v>
      </c>
      <c r="B1230" s="0" t="n">
        <v>0</v>
      </c>
      <c r="F1230" s="0" t="str">
        <f aca="false">IFERROR(INDEX('Session Tracker'!$M$5:$M$149,MATCH($A1230,'Session Tracker'!$D$5:$D$149,0))+0,"")</f>
        <v/>
      </c>
      <c r="G1230" s="0" t="str">
        <f aca="false">IF(ISNUMBER(F1230),IF(OR(B1230=0,B1230=99,C1230&lt;&gt;""),F1230*100+B1230,""),"")</f>
        <v/>
      </c>
      <c r="H1230" s="0" t="n">
        <f aca="false">IFERROR(INDEX('Session Tracker'!$J$5:$J$149,MATCH($A1230,'Session Tracker'!$D$5:$D$149,0)),0)</f>
        <v>8</v>
      </c>
      <c r="I1230" s="0" t="str">
        <f aca="false">IF(OR(B1230=0,B1230=99,C1230=""),"",IF(E1230="Per class",D1230,D1230*H1230))</f>
        <v/>
      </c>
      <c r="K1230" s="0" t="str">
        <f aca="false">IFERROR(INDEX('Session Tracker'!$E$5:$E$149,MATCH($A1230,'Session Tracker'!$D$5:$D$149,0)),"")</f>
        <v>Smart Parking Occupancy Dashboard</v>
      </c>
      <c r="L1230" s="0" t="str">
        <f aca="false">IFERROR(INDEX('Session Tracker'!$A$5:$A$149,MATCH($A1230,'Session Tracker'!$D$5:$D$149,0)),"")</f>
        <v>Tech Leaders (15-17)</v>
      </c>
      <c r="M1230" s="0" t="str">
        <f aca="false">IFERROR(INDEX('Session Tracker'!$H$5:$H$149,MATCH($A1230,'Session Tracker'!$D$5:$D$149,0))&amp;"","")</f>
        <v/>
      </c>
      <c r="Q1230" s="0" t="str">
        <f aca="false">IFERROR("Status: "&amp;INDEX('Session Tracker'!$F$5:$F$149,MATCH($A1230,'Session Tracker'!$D$5:$D$149,0))&amp;IF(INDEX('Session Tracker'!$G$5:$G$149,MATCH($A1230,'Session Tracker'!$D$5:$D$149,0))&lt;&gt;""," ("&amp;INDEX('Session Tracker'!$G$5:$G$149,MATCH($A1230,'Session Tracker'!$D$5:$D$149,0))&amp;")","")&amp;IF(M1230&lt;&gt;"","  "&amp;M1230,""),"")</f>
        <v>Status: Not started</v>
      </c>
    </row>
    <row r="1231" customFormat="false" ht="15" hidden="false" customHeight="false" outlineLevel="0" collapsed="false">
      <c r="A1231" s="0" t="s">
        <v>306</v>
      </c>
      <c r="B1231" s="0" t="n">
        <v>1</v>
      </c>
      <c r="C1231" s="0" t="str">
        <f aca="false">IF('Tech Leaders Kits'!C145="","",'Tech Leaders Kits'!C145)</f>
        <v>ESP32 Dev Board + USB cable</v>
      </c>
      <c r="D1231" s="0" t="n">
        <f aca="false">IF('Tech Leaders Kits'!D145="","",'Tech Leaders Kits'!D145)</f>
        <v>1</v>
      </c>
      <c r="E1231" s="0" t="str">
        <f aca="false">IF('Tech Leaders Kits'!E145="","",'Tech Leaders Kits'!E145)</f>
        <v>Per group</v>
      </c>
      <c r="F1231" s="0" t="str">
        <f aca="false">IFERROR(INDEX('Session Tracker'!$M$5:$M$149,MATCH($A1231,'Session Tracker'!$D$5:$D$149,0))+0,"")</f>
        <v/>
      </c>
      <c r="G1231" s="0" t="str">
        <f aca="false">IF(ISNUMBER(F1231),IF(OR(B1231=0,B1231=99,C1231&lt;&gt;""),F1231*100+B1231,""),"")</f>
        <v/>
      </c>
      <c r="H1231" s="0" t="n">
        <f aca="false">IFERROR(INDEX('Session Tracker'!$J$5:$J$149,MATCH($A1231,'Session Tracker'!$D$5:$D$149,0)),0)</f>
        <v>8</v>
      </c>
      <c r="I1231" s="0" t="n">
        <f aca="false">IF(OR(B1231=0,B1231=99,C1231=""),"",IF(E1231="Per class",D1231,D1231*H1231))</f>
        <v>8</v>
      </c>
      <c r="N1231" s="0" t="str">
        <f aca="false">IF('Tech Leaders Kits'!B145="","",'Tech Leaders Kits'!B145)</f>
        <v>Microcontrollers &amp; Dev Boards</v>
      </c>
      <c r="O1231" s="0" t="str">
        <f aca="false">IF('Tech Leaders Kits'!F145="","",'Tech Leaders Kits'!F145)</f>
        <v>Reusable</v>
      </c>
      <c r="P1231" s="0" t="str">
        <f aca="false">IF('Tech Leaders Kits'!G145="","",'Tech Leaders Kits'!G145)</f>
        <v/>
      </c>
    </row>
    <row r="1232" customFormat="false" ht="15" hidden="false" customHeight="false" outlineLevel="0" collapsed="false">
      <c r="A1232" s="0" t="s">
        <v>306</v>
      </c>
      <c r="B1232" s="0" t="n">
        <v>2</v>
      </c>
      <c r="C1232" s="0" t="str">
        <f aca="false">IF('Tech Leaders Kits'!C146="","",'Tech Leaders Kits'!C146)</f>
        <v>Ultrasonic sensor HC-SR04</v>
      </c>
      <c r="D1232" s="0" t="n">
        <f aca="false">IF('Tech Leaders Kits'!D146="","",'Tech Leaders Kits'!D146)</f>
        <v>3</v>
      </c>
      <c r="E1232" s="0" t="str">
        <f aca="false">IF('Tech Leaders Kits'!E146="","",'Tech Leaders Kits'!E146)</f>
        <v>Per group</v>
      </c>
      <c r="F1232" s="0" t="str">
        <f aca="false">IFERROR(INDEX('Session Tracker'!$M$5:$M$149,MATCH($A1232,'Session Tracker'!$D$5:$D$149,0))+0,"")</f>
        <v/>
      </c>
      <c r="G1232" s="0" t="str">
        <f aca="false">IF(ISNUMBER(F1232),IF(OR(B1232=0,B1232=99,C1232&lt;&gt;""),F1232*100+B1232,""),"")</f>
        <v/>
      </c>
      <c r="H1232" s="0" t="n">
        <f aca="false">IFERROR(INDEX('Session Tracker'!$J$5:$J$149,MATCH($A1232,'Session Tracker'!$D$5:$D$149,0)),0)</f>
        <v>8</v>
      </c>
      <c r="I1232" s="0" t="n">
        <f aca="false">IF(OR(B1232=0,B1232=99,C1232=""),"",IF(E1232="Per class",D1232,D1232*H1232))</f>
        <v>24</v>
      </c>
      <c r="N1232" s="0" t="str">
        <f aca="false">IF('Tech Leaders Kits'!B146="","",'Tech Leaders Kits'!B146)</f>
        <v>Sensors</v>
      </c>
      <c r="O1232" s="0" t="str">
        <f aca="false">IF('Tech Leaders Kits'!F146="","",'Tech Leaders Kits'!F146)</f>
        <v>Reusable</v>
      </c>
      <c r="P1232" s="0" t="str">
        <f aca="false">IF('Tech Leaders Kits'!G146="","",'Tech Leaders Kits'!G146)</f>
        <v/>
      </c>
    </row>
    <row r="1233" customFormat="false" ht="15" hidden="false" customHeight="false" outlineLevel="0" collapsed="false">
      <c r="A1233" s="0" t="s">
        <v>306</v>
      </c>
      <c r="B1233" s="0" t="n">
        <v>3</v>
      </c>
      <c r="C1233" s="0" t="str">
        <f aca="false">IF('Tech Leaders Kits'!C147="","",'Tech Leaders Kits'!C147)</f>
        <v>LED 5 mm (assorted)</v>
      </c>
      <c r="D1233" s="0" t="n">
        <f aca="false">IF('Tech Leaders Kits'!D147="","",'Tech Leaders Kits'!D147)</f>
        <v>6</v>
      </c>
      <c r="E1233" s="0" t="str">
        <f aca="false">IF('Tech Leaders Kits'!E147="","",'Tech Leaders Kits'!E147)</f>
        <v>Per group</v>
      </c>
      <c r="F1233" s="0" t="str">
        <f aca="false">IFERROR(INDEX('Session Tracker'!$M$5:$M$149,MATCH($A1233,'Session Tracker'!$D$5:$D$149,0))+0,"")</f>
        <v/>
      </c>
      <c r="G1233" s="0" t="str">
        <f aca="false">IF(ISNUMBER(F1233),IF(OR(B1233=0,B1233=99,C1233&lt;&gt;""),F1233*100+B1233,""),"")</f>
        <v/>
      </c>
      <c r="H1233" s="0" t="n">
        <f aca="false">IFERROR(INDEX('Session Tracker'!$J$5:$J$149,MATCH($A1233,'Session Tracker'!$D$5:$D$149,0)),0)</f>
        <v>8</v>
      </c>
      <c r="I1233" s="0" t="n">
        <f aca="false">IF(OR(B1233=0,B1233=99,C1233=""),"",IF(E1233="Per class",D1233,D1233*H1233))</f>
        <v>48</v>
      </c>
      <c r="N1233" s="0" t="str">
        <f aca="false">IF('Tech Leaders Kits'!B147="","",'Tech Leaders Kits'!B147)</f>
        <v>Displays &amp; Output</v>
      </c>
      <c r="O1233" s="0" t="str">
        <f aca="false">IF('Tech Leaders Kits'!F147="","",'Tech Leaders Kits'!F147)</f>
        <v>Consumable</v>
      </c>
      <c r="P1233" s="0" t="str">
        <f aca="false">IF('Tech Leaders Kits'!G147="","",'Tech Leaders Kits'!G147)</f>
        <v>3 red, 3 green</v>
      </c>
    </row>
    <row r="1234" customFormat="false" ht="15" hidden="false" customHeight="false" outlineLevel="0" collapsed="false">
      <c r="A1234" s="0" t="s">
        <v>306</v>
      </c>
      <c r="B1234" s="0" t="n">
        <v>4</v>
      </c>
      <c r="C1234" s="0" t="str">
        <f aca="false">IF('Tech Leaders Kits'!C148="","",'Tech Leaders Kits'!C148)</f>
        <v>Resistor 220 ohm</v>
      </c>
      <c r="D1234" s="0" t="n">
        <f aca="false">IF('Tech Leaders Kits'!D148="","",'Tech Leaders Kits'!D148)</f>
        <v>6</v>
      </c>
      <c r="E1234" s="0" t="str">
        <f aca="false">IF('Tech Leaders Kits'!E148="","",'Tech Leaders Kits'!E148)</f>
        <v>Per group</v>
      </c>
      <c r="F1234" s="0" t="str">
        <f aca="false">IFERROR(INDEX('Session Tracker'!$M$5:$M$149,MATCH($A1234,'Session Tracker'!$D$5:$D$149,0))+0,"")</f>
        <v/>
      </c>
      <c r="G1234" s="0" t="str">
        <f aca="false">IF(ISNUMBER(F1234),IF(OR(B1234=0,B1234=99,C1234&lt;&gt;""),F1234*100+B1234,""),"")</f>
        <v/>
      </c>
      <c r="H1234" s="0" t="n">
        <f aca="false">IFERROR(INDEX('Session Tracker'!$J$5:$J$149,MATCH($A1234,'Session Tracker'!$D$5:$D$149,0)),0)</f>
        <v>8</v>
      </c>
      <c r="I1234" s="0" t="n">
        <f aca="false">IF(OR(B1234=0,B1234=99,C1234=""),"",IF(E1234="Per class",D1234,D1234*H1234))</f>
        <v>48</v>
      </c>
      <c r="N1234" s="0" t="str">
        <f aca="false">IF('Tech Leaders Kits'!B148="","",'Tech Leaders Kits'!B148)</f>
        <v>Passive Components &amp; ICs</v>
      </c>
      <c r="O1234" s="0" t="str">
        <f aca="false">IF('Tech Leaders Kits'!F148="","",'Tech Leaders Kits'!F148)</f>
        <v>Consumable</v>
      </c>
      <c r="P1234" s="0" t="str">
        <f aca="false">IF('Tech Leaders Kits'!G148="","",'Tech Leaders Kits'!G148)</f>
        <v/>
      </c>
    </row>
    <row r="1235" customFormat="false" ht="15" hidden="false" customHeight="false" outlineLevel="0" collapsed="false">
      <c r="A1235" s="0" t="s">
        <v>306</v>
      </c>
      <c r="B1235" s="0" t="n">
        <v>5</v>
      </c>
      <c r="C1235" s="0" t="str">
        <f aca="false">IF('Tech Leaders Kits'!C149="","",'Tech Leaders Kits'!C149)</f>
        <v>Resistor 1k ohm</v>
      </c>
      <c r="D1235" s="0" t="n">
        <f aca="false">IF('Tech Leaders Kits'!D149="","",'Tech Leaders Kits'!D149)</f>
        <v>3</v>
      </c>
      <c r="E1235" s="0" t="str">
        <f aca="false">IF('Tech Leaders Kits'!E149="","",'Tech Leaders Kits'!E149)</f>
        <v>Per group</v>
      </c>
      <c r="F1235" s="0" t="str">
        <f aca="false">IFERROR(INDEX('Session Tracker'!$M$5:$M$149,MATCH($A1235,'Session Tracker'!$D$5:$D$149,0))+0,"")</f>
        <v/>
      </c>
      <c r="G1235" s="0" t="str">
        <f aca="false">IF(ISNUMBER(F1235),IF(OR(B1235=0,B1235=99,C1235&lt;&gt;""),F1235*100+B1235,""),"")</f>
        <v/>
      </c>
      <c r="H1235" s="0" t="n">
        <f aca="false">IFERROR(INDEX('Session Tracker'!$J$5:$J$149,MATCH($A1235,'Session Tracker'!$D$5:$D$149,0)),0)</f>
        <v>8</v>
      </c>
      <c r="I1235" s="0" t="n">
        <f aca="false">IF(OR(B1235=0,B1235=99,C1235=""),"",IF(E1235="Per class",D1235,D1235*H1235))</f>
        <v>24</v>
      </c>
      <c r="N1235" s="0" t="str">
        <f aca="false">IF('Tech Leaders Kits'!B149="","",'Tech Leaders Kits'!B149)</f>
        <v>Passive Components &amp; ICs</v>
      </c>
      <c r="O1235" s="0" t="str">
        <f aca="false">IF('Tech Leaders Kits'!F149="","",'Tech Leaders Kits'!F149)</f>
        <v>Consumable</v>
      </c>
      <c r="P1235" s="0" t="str">
        <f aca="false">IF('Tech Leaders Kits'!G149="","",'Tech Leaders Kits'!G149)</f>
        <v>Echo divider</v>
      </c>
    </row>
    <row r="1236" customFormat="false" ht="15" hidden="false" customHeight="false" outlineLevel="0" collapsed="false">
      <c r="A1236" s="0" t="s">
        <v>306</v>
      </c>
      <c r="B1236" s="0" t="n">
        <v>6</v>
      </c>
      <c r="C1236" s="0" t="str">
        <f aca="false">IF('Tech Leaders Kits'!C150="","",'Tech Leaders Kits'!C150)</f>
        <v>Resistor 10k ohm</v>
      </c>
      <c r="D1236" s="0" t="n">
        <f aca="false">IF('Tech Leaders Kits'!D150="","",'Tech Leaders Kits'!D150)</f>
        <v>3</v>
      </c>
      <c r="E1236" s="0" t="str">
        <f aca="false">IF('Tech Leaders Kits'!E150="","",'Tech Leaders Kits'!E150)</f>
        <v>Per group</v>
      </c>
      <c r="F1236" s="0" t="str">
        <f aca="false">IFERROR(INDEX('Session Tracker'!$M$5:$M$149,MATCH($A1236,'Session Tracker'!$D$5:$D$149,0))+0,"")</f>
        <v/>
      </c>
      <c r="G1236" s="0" t="str">
        <f aca="false">IF(ISNUMBER(F1236),IF(OR(B1236=0,B1236=99,C1236&lt;&gt;""),F1236*100+B1236,""),"")</f>
        <v/>
      </c>
      <c r="H1236" s="0" t="n">
        <f aca="false">IFERROR(INDEX('Session Tracker'!$J$5:$J$149,MATCH($A1236,'Session Tracker'!$D$5:$D$149,0)),0)</f>
        <v>8</v>
      </c>
      <c r="I1236" s="0" t="n">
        <f aca="false">IF(OR(B1236=0,B1236=99,C1236=""),"",IF(E1236="Per class",D1236,D1236*H1236))</f>
        <v>24</v>
      </c>
      <c r="N1236" s="0" t="str">
        <f aca="false">IF('Tech Leaders Kits'!B150="","",'Tech Leaders Kits'!B150)</f>
        <v>Passive Components &amp; ICs</v>
      </c>
      <c r="O1236" s="0" t="str">
        <f aca="false">IF('Tech Leaders Kits'!F150="","",'Tech Leaders Kits'!F150)</f>
        <v>Consumable</v>
      </c>
      <c r="P1236" s="0" t="str">
        <f aca="false">IF('Tech Leaders Kits'!G150="","",'Tech Leaders Kits'!G150)</f>
        <v>Echo divider</v>
      </c>
    </row>
    <row r="1237" customFormat="false" ht="15" hidden="false" customHeight="false" outlineLevel="0" collapsed="false">
      <c r="A1237" s="0" t="s">
        <v>306</v>
      </c>
      <c r="B1237" s="0" t="n">
        <v>7</v>
      </c>
      <c r="C1237" s="0" t="str">
        <f aca="false">IF('Tech Leaders Kits'!C151="","",'Tech Leaders Kits'!C151)</f>
        <v>Cardboard sheet</v>
      </c>
      <c r="D1237" s="0" t="n">
        <f aca="false">IF('Tech Leaders Kits'!D151="","",'Tech Leaders Kits'!D151)</f>
        <v>2</v>
      </c>
      <c r="E1237" s="0" t="str">
        <f aca="false">IF('Tech Leaders Kits'!E151="","",'Tech Leaders Kits'!E151)</f>
        <v>Per group</v>
      </c>
      <c r="F1237" s="0" t="str">
        <f aca="false">IFERROR(INDEX('Session Tracker'!$M$5:$M$149,MATCH($A1237,'Session Tracker'!$D$5:$D$149,0))+0,"")</f>
        <v/>
      </c>
      <c r="G1237" s="0" t="str">
        <f aca="false">IF(ISNUMBER(F1237),IF(OR(B1237=0,B1237=99,C1237&lt;&gt;""),F1237*100+B1237,""),"")</f>
        <v/>
      </c>
      <c r="H1237" s="0" t="n">
        <f aca="false">IFERROR(INDEX('Session Tracker'!$J$5:$J$149,MATCH($A1237,'Session Tracker'!$D$5:$D$149,0)),0)</f>
        <v>8</v>
      </c>
      <c r="I1237" s="0" t="n">
        <f aca="false">IF(OR(B1237=0,B1237=99,C1237=""),"",IF(E1237="Per class",D1237,D1237*H1237))</f>
        <v>16</v>
      </c>
      <c r="N1237" s="0" t="str">
        <f aca="false">IF('Tech Leaders Kits'!B151="","",'Tech Leaders Kits'!B151)</f>
        <v>Craft &amp; Stationery</v>
      </c>
      <c r="O1237" s="0" t="str">
        <f aca="false">IF('Tech Leaders Kits'!F151="","",'Tech Leaders Kits'!F151)</f>
        <v>Consumable</v>
      </c>
      <c r="P1237" s="0" t="str">
        <f aca="false">IF('Tech Leaders Kits'!G151="","",'Tech Leaders Kits'!G151)</f>
        <v>Car park model</v>
      </c>
    </row>
    <row r="1238" customFormat="false" ht="15" hidden="false" customHeight="false" outlineLevel="0" collapsed="false">
      <c r="A1238" s="0" t="s">
        <v>306</v>
      </c>
      <c r="B1238" s="0" t="n">
        <v>8</v>
      </c>
      <c r="C1238" s="0" t="str">
        <f aca="false">IF('Tech Leaders Kits'!C152="","",'Tech Leaders Kits'!C152)</f>
        <v>Breadboard (half size)</v>
      </c>
      <c r="D1238" s="0" t="n">
        <f aca="false">IF('Tech Leaders Kits'!D152="","",'Tech Leaders Kits'!D152)</f>
        <v>1</v>
      </c>
      <c r="E1238" s="0" t="str">
        <f aca="false">IF('Tech Leaders Kits'!E152="","",'Tech Leaders Kits'!E152)</f>
        <v>Per group</v>
      </c>
      <c r="F1238" s="0" t="str">
        <f aca="false">IFERROR(INDEX('Session Tracker'!$M$5:$M$149,MATCH($A1238,'Session Tracker'!$D$5:$D$149,0))+0,"")</f>
        <v/>
      </c>
      <c r="G1238" s="0" t="str">
        <f aca="false">IF(ISNUMBER(F1238),IF(OR(B1238=0,B1238=99,C1238&lt;&gt;""),F1238*100+B1238,""),"")</f>
        <v/>
      </c>
      <c r="H1238" s="0" t="n">
        <f aca="false">IFERROR(INDEX('Session Tracker'!$J$5:$J$149,MATCH($A1238,'Session Tracker'!$D$5:$D$149,0)),0)</f>
        <v>8</v>
      </c>
      <c r="I1238" s="0" t="n">
        <f aca="false">IF(OR(B1238=0,B1238=99,C1238=""),"",IF(E1238="Per class",D1238,D1238*H1238))</f>
        <v>8</v>
      </c>
      <c r="N1238" s="0" t="str">
        <f aca="false">IF('Tech Leaders Kits'!B152="","",'Tech Leaders Kits'!B152)</f>
        <v>Wiring &amp; Prototyping</v>
      </c>
      <c r="O1238" s="0" t="str">
        <f aca="false">IF('Tech Leaders Kits'!F152="","",'Tech Leaders Kits'!F152)</f>
        <v>Reusable</v>
      </c>
      <c r="P1238" s="0" t="str">
        <f aca="false">IF('Tech Leaders Kits'!G152="","",'Tech Leaders Kits'!G152)</f>
        <v/>
      </c>
    </row>
    <row r="1239" customFormat="false" ht="15" hidden="false" customHeight="false" outlineLevel="0" collapsed="false">
      <c r="A1239" s="0" t="s">
        <v>306</v>
      </c>
      <c r="B1239" s="0" t="n">
        <v>9</v>
      </c>
      <c r="C1239" s="0" t="str">
        <f aca="false">IF('Tech Leaders Kits'!C153="","",'Tech Leaders Kits'!C153)</f>
        <v>Jumper wires M-M</v>
      </c>
      <c r="D1239" s="0" t="n">
        <f aca="false">IF('Tech Leaders Kits'!D153="","",'Tech Leaders Kits'!D153)</f>
        <v>20</v>
      </c>
      <c r="E1239" s="0" t="str">
        <f aca="false">IF('Tech Leaders Kits'!E153="","",'Tech Leaders Kits'!E153)</f>
        <v>Per group</v>
      </c>
      <c r="F1239" s="0" t="str">
        <f aca="false">IFERROR(INDEX('Session Tracker'!$M$5:$M$149,MATCH($A1239,'Session Tracker'!$D$5:$D$149,0))+0,"")</f>
        <v/>
      </c>
      <c r="G1239" s="0" t="str">
        <f aca="false">IF(ISNUMBER(F1239),IF(OR(B1239=0,B1239=99,C1239&lt;&gt;""),F1239*100+B1239,""),"")</f>
        <v/>
      </c>
      <c r="H1239" s="0" t="n">
        <f aca="false">IFERROR(INDEX('Session Tracker'!$J$5:$J$149,MATCH($A1239,'Session Tracker'!$D$5:$D$149,0)),0)</f>
        <v>8</v>
      </c>
      <c r="I1239" s="0" t="n">
        <f aca="false">IF(OR(B1239=0,B1239=99,C1239=""),"",IF(E1239="Per class",D1239,D1239*H1239))</f>
        <v>160</v>
      </c>
      <c r="N1239" s="0" t="str">
        <f aca="false">IF('Tech Leaders Kits'!B153="","",'Tech Leaders Kits'!B153)</f>
        <v>Wiring &amp; Prototyping</v>
      </c>
      <c r="O1239" s="0" t="str">
        <f aca="false">IF('Tech Leaders Kits'!F153="","",'Tech Leaders Kits'!F153)</f>
        <v>Reusable</v>
      </c>
      <c r="P1239" s="0" t="str">
        <f aca="false">IF('Tech Leaders Kits'!G153="","",'Tech Leaders Kits'!G153)</f>
        <v/>
      </c>
    </row>
    <row r="1240" customFormat="false" ht="15" hidden="false" customHeight="false" outlineLevel="0" collapsed="false">
      <c r="A1240" s="0" t="s">
        <v>306</v>
      </c>
      <c r="B1240" s="0" t="n">
        <v>10</v>
      </c>
      <c r="C1240" s="0" t="str">
        <f aca="false">IF('Tech Leaders Kits'!C154="","",'Tech Leaders Kits'!C154)</f>
        <v>Jumper wires M-F</v>
      </c>
      <c r="D1240" s="0" t="n">
        <f aca="false">IF('Tech Leaders Kits'!D154="","",'Tech Leaders Kits'!D154)</f>
        <v>12</v>
      </c>
      <c r="E1240" s="0" t="str">
        <f aca="false">IF('Tech Leaders Kits'!E154="","",'Tech Leaders Kits'!E154)</f>
        <v>Per group</v>
      </c>
      <c r="F1240" s="0" t="str">
        <f aca="false">IFERROR(INDEX('Session Tracker'!$M$5:$M$149,MATCH($A1240,'Session Tracker'!$D$5:$D$149,0))+0,"")</f>
        <v/>
      </c>
      <c r="G1240" s="0" t="str">
        <f aca="false">IF(ISNUMBER(F1240),IF(OR(B1240=0,B1240=99,C1240&lt;&gt;""),F1240*100+B1240,""),"")</f>
        <v/>
      </c>
      <c r="H1240" s="0" t="n">
        <f aca="false">IFERROR(INDEX('Session Tracker'!$J$5:$J$149,MATCH($A1240,'Session Tracker'!$D$5:$D$149,0)),0)</f>
        <v>8</v>
      </c>
      <c r="I1240" s="0" t="n">
        <f aca="false">IF(OR(B1240=0,B1240=99,C1240=""),"",IF(E1240="Per class",D1240,D1240*H1240))</f>
        <v>96</v>
      </c>
      <c r="N1240" s="0" t="str">
        <f aca="false">IF('Tech Leaders Kits'!B154="","",'Tech Leaders Kits'!B154)</f>
        <v>Wiring &amp; Prototyping</v>
      </c>
      <c r="O1240" s="0" t="str">
        <f aca="false">IF('Tech Leaders Kits'!F154="","",'Tech Leaders Kits'!F154)</f>
        <v>Reusable</v>
      </c>
      <c r="P1240" s="0" t="str">
        <f aca="false">IF('Tech Leaders Kits'!G154="","",'Tech Leaders Kits'!G154)</f>
        <v/>
      </c>
    </row>
    <row r="1241" customFormat="false" ht="15" hidden="false" customHeight="false" outlineLevel="0" collapsed="false">
      <c r="A1241" s="0" t="s">
        <v>306</v>
      </c>
      <c r="B1241" s="0" t="n">
        <v>11</v>
      </c>
      <c r="C1241" s="0" t="str">
        <f aca="false">IF('Tech Leaders Kits'!C155="","",'Tech Leaders Kits'!C155)</f>
        <v>Laptop</v>
      </c>
      <c r="D1241" s="0" t="n">
        <f aca="false">IF('Tech Leaders Kits'!D155="","",'Tech Leaders Kits'!D155)</f>
        <v>1</v>
      </c>
      <c r="E1241" s="0" t="str">
        <f aca="false">IF('Tech Leaders Kits'!E155="","",'Tech Leaders Kits'!E155)</f>
        <v>Per group</v>
      </c>
      <c r="F1241" s="0" t="str">
        <f aca="false">IFERROR(INDEX('Session Tracker'!$M$5:$M$149,MATCH($A1241,'Session Tracker'!$D$5:$D$149,0))+0,"")</f>
        <v/>
      </c>
      <c r="G1241" s="0" t="str">
        <f aca="false">IF(ISNUMBER(F1241),IF(OR(B1241=0,B1241=99,C1241&lt;&gt;""),F1241*100+B1241,""),"")</f>
        <v/>
      </c>
      <c r="H1241" s="0" t="n">
        <f aca="false">IFERROR(INDEX('Session Tracker'!$J$5:$J$149,MATCH($A1241,'Session Tracker'!$D$5:$D$149,0)),0)</f>
        <v>8</v>
      </c>
      <c r="I1241" s="0" t="n">
        <f aca="false">IF(OR(B1241=0,B1241=99,C1241=""),"",IF(E1241="Per class",D1241,D1241*H1241))</f>
        <v>8</v>
      </c>
      <c r="N1241" s="0" t="str">
        <f aca="false">IF('Tech Leaders Kits'!B155="","",'Tech Leaders Kits'!B155)</f>
        <v>Computers &amp; Equipment</v>
      </c>
      <c r="O1241" s="0" t="str">
        <f aca="false">IF('Tech Leaders Kits'!F155="","",'Tech Leaders Kits'!F155)</f>
        <v>Reusable</v>
      </c>
      <c r="P1241" s="0" t="str">
        <f aca="false">IF('Tech Leaders Kits'!G155="","",'Tech Leaders Kits'!G155)</f>
        <v/>
      </c>
    </row>
    <row r="1242" customFormat="false" ht="15" hidden="false" customHeight="false" outlineLevel="0" collapsed="false">
      <c r="A1242" s="0" t="s">
        <v>306</v>
      </c>
      <c r="B1242" s="0" t="n">
        <v>12</v>
      </c>
      <c r="C1242" s="0" t="str">
        <f aca="false">IF('Tech Leaders Kits'!C156="","",'Tech Leaders Kits'!C156)</f>
        <v/>
      </c>
      <c r="D1242" s="0" t="str">
        <f aca="false">IF('Tech Leaders Kits'!D156="","",'Tech Leaders Kits'!D156)</f>
        <v/>
      </c>
      <c r="E1242" s="0" t="str">
        <f aca="false">IF('Tech Leaders Kits'!E156="","",'Tech Leaders Kits'!E156)</f>
        <v/>
      </c>
      <c r="F1242" s="0" t="str">
        <f aca="false">IFERROR(INDEX('Session Tracker'!$M$5:$M$149,MATCH($A1242,'Session Tracker'!$D$5:$D$149,0))+0,"")</f>
        <v/>
      </c>
      <c r="G1242" s="0" t="str">
        <f aca="false">IF(ISNUMBER(F1242),IF(OR(B1242=0,B1242=99,C1242&lt;&gt;""),F1242*100+B1242,""),"")</f>
        <v/>
      </c>
      <c r="H1242" s="0" t="n">
        <f aca="false">IFERROR(INDEX('Session Tracker'!$J$5:$J$149,MATCH($A1242,'Session Tracker'!$D$5:$D$149,0)),0)</f>
        <v>8</v>
      </c>
      <c r="I1242" s="0" t="str">
        <f aca="false">IF(OR(B1242=0,B1242=99,C1242=""),"",IF(E1242="Per class",D1242,D1242*H1242))</f>
        <v/>
      </c>
      <c r="N1242" s="0" t="str">
        <f aca="false">IF('Tech Leaders Kits'!B156="","",'Tech Leaders Kits'!B156)</f>
        <v/>
      </c>
      <c r="O1242" s="0" t="str">
        <f aca="false">IF('Tech Leaders Kits'!F156="","",'Tech Leaders Kits'!F156)</f>
        <v/>
      </c>
      <c r="P1242" s="0" t="str">
        <f aca="false">IF('Tech Leaders Kits'!G156="","",'Tech Leaders Kits'!G156)</f>
        <v/>
      </c>
    </row>
    <row r="1243" customFormat="false" ht="15" hidden="false" customHeight="false" outlineLevel="0" collapsed="false">
      <c r="A1243" s="0" t="s">
        <v>306</v>
      </c>
      <c r="B1243" s="0" t="n">
        <v>13</v>
      </c>
      <c r="C1243" s="0" t="str">
        <f aca="false">IF('Tech Leaders Kits'!C157="","",'Tech Leaders Kits'!C157)</f>
        <v/>
      </c>
      <c r="D1243" s="0" t="str">
        <f aca="false">IF('Tech Leaders Kits'!D157="","",'Tech Leaders Kits'!D157)</f>
        <v/>
      </c>
      <c r="E1243" s="0" t="str">
        <f aca="false">IF('Tech Leaders Kits'!E157="","",'Tech Leaders Kits'!E157)</f>
        <v/>
      </c>
      <c r="F1243" s="0" t="str">
        <f aca="false">IFERROR(INDEX('Session Tracker'!$M$5:$M$149,MATCH($A1243,'Session Tracker'!$D$5:$D$149,0))+0,"")</f>
        <v/>
      </c>
      <c r="G1243" s="0" t="str">
        <f aca="false">IF(ISNUMBER(F1243),IF(OR(B1243=0,B1243=99,C1243&lt;&gt;""),F1243*100+B1243,""),"")</f>
        <v/>
      </c>
      <c r="H1243" s="0" t="n">
        <f aca="false">IFERROR(INDEX('Session Tracker'!$J$5:$J$149,MATCH($A1243,'Session Tracker'!$D$5:$D$149,0)),0)</f>
        <v>8</v>
      </c>
      <c r="I1243" s="0" t="str">
        <f aca="false">IF(OR(B1243=0,B1243=99,C1243=""),"",IF(E1243="Per class",D1243,D1243*H1243))</f>
        <v/>
      </c>
      <c r="N1243" s="0" t="str">
        <f aca="false">IF('Tech Leaders Kits'!B157="","",'Tech Leaders Kits'!B157)</f>
        <v/>
      </c>
      <c r="O1243" s="0" t="str">
        <f aca="false">IF('Tech Leaders Kits'!F157="","",'Tech Leaders Kits'!F157)</f>
        <v/>
      </c>
      <c r="P1243" s="0" t="str">
        <f aca="false">IF('Tech Leaders Kits'!G157="","",'Tech Leaders Kits'!G157)</f>
        <v/>
      </c>
    </row>
    <row r="1244" customFormat="false" ht="15" hidden="false" customHeight="false" outlineLevel="0" collapsed="false">
      <c r="A1244" s="0" t="s">
        <v>308</v>
      </c>
      <c r="B1244" s="0" t="n">
        <v>0</v>
      </c>
      <c r="F1244" s="0" t="str">
        <f aca="false">IFERROR(INDEX('Session Tracker'!$M$5:$M$149,MATCH($A1244,'Session Tracker'!$D$5:$D$149,0))+0,"")</f>
        <v/>
      </c>
      <c r="G1244" s="0" t="str">
        <f aca="false">IF(ISNUMBER(F1244),IF(OR(B1244=0,B1244=99,C1244&lt;&gt;""),F1244*100+B1244,""),"")</f>
        <v/>
      </c>
      <c r="H1244" s="0" t="n">
        <f aca="false">IFERROR(INDEX('Session Tracker'!$J$5:$J$149,MATCH($A1244,'Session Tracker'!$D$5:$D$149,0)),0)</f>
        <v>8</v>
      </c>
      <c r="I1244" s="0" t="str">
        <f aca="false">IF(OR(B1244=0,B1244=99,C1244=""),"",IF(E1244="Per class",D1244,D1244*H1244))</f>
        <v/>
      </c>
      <c r="K1244" s="0" t="str">
        <f aca="false">IFERROR(INDEX('Session Tracker'!$E$5:$E$149,MATCH($A1244,'Session Tracker'!$D$5:$D$149,0)),"")</f>
        <v>Two-Factor Smart Locker with Intrusion Alerts</v>
      </c>
      <c r="L1244" s="0" t="str">
        <f aca="false">IFERROR(INDEX('Session Tracker'!$A$5:$A$149,MATCH($A1244,'Session Tracker'!$D$5:$D$149,0)),"")</f>
        <v>Tech Leaders (15-17)</v>
      </c>
      <c r="M1244" s="0" t="str">
        <f aca="false">IFERROR(INDEX('Session Tracker'!$H$5:$H$149,MATCH($A1244,'Session Tracker'!$D$5:$D$149,0))&amp;"","")</f>
        <v/>
      </c>
      <c r="Q1244" s="0" t="str">
        <f aca="false">IFERROR("Status: "&amp;INDEX('Session Tracker'!$F$5:$F$149,MATCH($A1244,'Session Tracker'!$D$5:$D$149,0))&amp;IF(INDEX('Session Tracker'!$G$5:$G$149,MATCH($A1244,'Session Tracker'!$D$5:$D$149,0))&lt;&gt;""," ("&amp;INDEX('Session Tracker'!$G$5:$G$149,MATCH($A1244,'Session Tracker'!$D$5:$D$149,0))&amp;")","")&amp;IF(M1244&lt;&gt;"","  "&amp;M1244,""),"")</f>
        <v>Status: Not started</v>
      </c>
    </row>
    <row r="1245" customFormat="false" ht="15" hidden="false" customHeight="false" outlineLevel="0" collapsed="false">
      <c r="A1245" s="0" t="s">
        <v>308</v>
      </c>
      <c r="B1245" s="0" t="n">
        <v>1</v>
      </c>
      <c r="C1245" s="0" t="str">
        <f aca="false">IF('Tech Leaders Kits'!C160="","",'Tech Leaders Kits'!C160)</f>
        <v>ESP32 Dev Board + USB cable</v>
      </c>
      <c r="D1245" s="0" t="n">
        <f aca="false">IF('Tech Leaders Kits'!D160="","",'Tech Leaders Kits'!D160)</f>
        <v>1</v>
      </c>
      <c r="E1245" s="0" t="str">
        <f aca="false">IF('Tech Leaders Kits'!E160="","",'Tech Leaders Kits'!E160)</f>
        <v>Per group</v>
      </c>
      <c r="F1245" s="0" t="str">
        <f aca="false">IFERROR(INDEX('Session Tracker'!$M$5:$M$149,MATCH($A1245,'Session Tracker'!$D$5:$D$149,0))+0,"")</f>
        <v/>
      </c>
      <c r="G1245" s="0" t="str">
        <f aca="false">IF(ISNUMBER(F1245),IF(OR(B1245=0,B1245=99,C1245&lt;&gt;""),F1245*100+B1245,""),"")</f>
        <v/>
      </c>
      <c r="H1245" s="0" t="n">
        <f aca="false">IFERROR(INDEX('Session Tracker'!$J$5:$J$149,MATCH($A1245,'Session Tracker'!$D$5:$D$149,0)),0)</f>
        <v>8</v>
      </c>
      <c r="I1245" s="0" t="n">
        <f aca="false">IF(OR(B1245=0,B1245=99,C1245=""),"",IF(E1245="Per class",D1245,D1245*H1245))</f>
        <v>8</v>
      </c>
      <c r="N1245" s="0" t="str">
        <f aca="false">IF('Tech Leaders Kits'!B160="","",'Tech Leaders Kits'!B160)</f>
        <v>Microcontrollers &amp; Dev Boards</v>
      </c>
      <c r="O1245" s="0" t="str">
        <f aca="false">IF('Tech Leaders Kits'!F160="","",'Tech Leaders Kits'!F160)</f>
        <v>Reusable</v>
      </c>
      <c r="P1245" s="0" t="str">
        <f aca="false">IF('Tech Leaders Kits'!G160="","",'Tech Leaders Kits'!G160)</f>
        <v/>
      </c>
    </row>
    <row r="1246" customFormat="false" ht="15" hidden="false" customHeight="false" outlineLevel="0" collapsed="false">
      <c r="A1246" s="0" t="s">
        <v>308</v>
      </c>
      <c r="B1246" s="0" t="n">
        <v>2</v>
      </c>
      <c r="C1246" s="0" t="str">
        <f aca="false">IF('Tech Leaders Kits'!C161="","",'Tech Leaders Kits'!C161)</f>
        <v>RFID RC522 + cards</v>
      </c>
      <c r="D1246" s="0" t="n">
        <f aca="false">IF('Tech Leaders Kits'!D161="","",'Tech Leaders Kits'!D161)</f>
        <v>1</v>
      </c>
      <c r="E1246" s="0" t="str">
        <f aca="false">IF('Tech Leaders Kits'!E161="","",'Tech Leaders Kits'!E161)</f>
        <v>Per group</v>
      </c>
      <c r="F1246" s="0" t="str">
        <f aca="false">IFERROR(INDEX('Session Tracker'!$M$5:$M$149,MATCH($A1246,'Session Tracker'!$D$5:$D$149,0))+0,"")</f>
        <v/>
      </c>
      <c r="G1246" s="0" t="str">
        <f aca="false">IF(ISNUMBER(F1246),IF(OR(B1246=0,B1246=99,C1246&lt;&gt;""),F1246*100+B1246,""),"")</f>
        <v/>
      </c>
      <c r="H1246" s="0" t="n">
        <f aca="false">IFERROR(INDEX('Session Tracker'!$J$5:$J$149,MATCH($A1246,'Session Tracker'!$D$5:$D$149,0)),0)</f>
        <v>8</v>
      </c>
      <c r="I1246" s="0" t="n">
        <f aca="false">IF(OR(B1246=0,B1246=99,C1246=""),"",IF(E1246="Per class",D1246,D1246*H1246))</f>
        <v>8</v>
      </c>
      <c r="N1246" s="0" t="str">
        <f aca="false">IF('Tech Leaders Kits'!B161="","",'Tech Leaders Kits'!B161)</f>
        <v>Security &amp; Identification</v>
      </c>
      <c r="O1246" s="0" t="str">
        <f aca="false">IF('Tech Leaders Kits'!F161="","",'Tech Leaders Kits'!F161)</f>
        <v>Reusable</v>
      </c>
      <c r="P1246" s="0" t="str">
        <f aca="false">IF('Tech Leaders Kits'!G161="","",'Tech Leaders Kits'!G161)</f>
        <v/>
      </c>
    </row>
    <row r="1247" customFormat="false" ht="15" hidden="false" customHeight="false" outlineLevel="0" collapsed="false">
      <c r="A1247" s="0" t="s">
        <v>308</v>
      </c>
      <c r="B1247" s="0" t="n">
        <v>3</v>
      </c>
      <c r="C1247" s="0" t="str">
        <f aca="false">IF('Tech Leaders Kits'!C162="","",'Tech Leaders Kits'!C162)</f>
        <v>4x4 matrix keypad</v>
      </c>
      <c r="D1247" s="0" t="n">
        <f aca="false">IF('Tech Leaders Kits'!D162="","",'Tech Leaders Kits'!D162)</f>
        <v>1</v>
      </c>
      <c r="E1247" s="0" t="str">
        <f aca="false">IF('Tech Leaders Kits'!E162="","",'Tech Leaders Kits'!E162)</f>
        <v>Per group</v>
      </c>
      <c r="F1247" s="0" t="str">
        <f aca="false">IFERROR(INDEX('Session Tracker'!$M$5:$M$149,MATCH($A1247,'Session Tracker'!$D$5:$D$149,0))+0,"")</f>
        <v/>
      </c>
      <c r="G1247" s="0" t="str">
        <f aca="false">IF(ISNUMBER(F1247),IF(OR(B1247=0,B1247=99,C1247&lt;&gt;""),F1247*100+B1247,""),"")</f>
        <v/>
      </c>
      <c r="H1247" s="0" t="n">
        <f aca="false">IFERROR(INDEX('Session Tracker'!$J$5:$J$149,MATCH($A1247,'Session Tracker'!$D$5:$D$149,0)),0)</f>
        <v>8</v>
      </c>
      <c r="I1247" s="0" t="n">
        <f aca="false">IF(OR(B1247=0,B1247=99,C1247=""),"",IF(E1247="Per class",D1247,D1247*H1247))</f>
        <v>8</v>
      </c>
      <c r="N1247" s="0" t="str">
        <f aca="false">IF('Tech Leaders Kits'!B162="","",'Tech Leaders Kits'!B162)</f>
        <v>Security &amp; Identification</v>
      </c>
      <c r="O1247" s="0" t="str">
        <f aca="false">IF('Tech Leaders Kits'!F162="","",'Tech Leaders Kits'!F162)</f>
        <v>Reusable</v>
      </c>
      <c r="P1247" s="0" t="str">
        <f aca="false">IF('Tech Leaders Kits'!G162="","",'Tech Leaders Kits'!G162)</f>
        <v/>
      </c>
    </row>
    <row r="1248" customFormat="false" ht="15" hidden="false" customHeight="false" outlineLevel="0" collapsed="false">
      <c r="A1248" s="0" t="s">
        <v>308</v>
      </c>
      <c r="B1248" s="0" t="n">
        <v>4</v>
      </c>
      <c r="C1248" s="0" t="str">
        <f aca="false">IF('Tech Leaders Kits'!C163="","",'Tech Leaders Kits'!C163)</f>
        <v>Servo SG90</v>
      </c>
      <c r="D1248" s="0" t="n">
        <f aca="false">IF('Tech Leaders Kits'!D163="","",'Tech Leaders Kits'!D163)</f>
        <v>1</v>
      </c>
      <c r="E1248" s="0" t="str">
        <f aca="false">IF('Tech Leaders Kits'!E163="","",'Tech Leaders Kits'!E163)</f>
        <v>Per group</v>
      </c>
      <c r="F1248" s="0" t="str">
        <f aca="false">IFERROR(INDEX('Session Tracker'!$M$5:$M$149,MATCH($A1248,'Session Tracker'!$D$5:$D$149,0))+0,"")</f>
        <v/>
      </c>
      <c r="G1248" s="0" t="str">
        <f aca="false">IF(ISNUMBER(F1248),IF(OR(B1248=0,B1248=99,C1248&lt;&gt;""),F1248*100+B1248,""),"")</f>
        <v/>
      </c>
      <c r="H1248" s="0" t="n">
        <f aca="false">IFERROR(INDEX('Session Tracker'!$J$5:$J$149,MATCH($A1248,'Session Tracker'!$D$5:$D$149,0)),0)</f>
        <v>8</v>
      </c>
      <c r="I1248" s="0" t="n">
        <f aca="false">IF(OR(B1248=0,B1248=99,C1248=""),"",IF(E1248="Per class",D1248,D1248*H1248))</f>
        <v>8</v>
      </c>
      <c r="N1248" s="0" t="str">
        <f aca="false">IF('Tech Leaders Kits'!B163="","",'Tech Leaders Kits'!B163)</f>
        <v>Actuators &amp; Motor Drivers</v>
      </c>
      <c r="O1248" s="0" t="str">
        <f aca="false">IF('Tech Leaders Kits'!F163="","",'Tech Leaders Kits'!F163)</f>
        <v>Reusable</v>
      </c>
      <c r="P1248" s="0" t="str">
        <f aca="false">IF('Tech Leaders Kits'!G163="","",'Tech Leaders Kits'!G163)</f>
        <v/>
      </c>
    </row>
    <row r="1249" customFormat="false" ht="15" hidden="false" customHeight="false" outlineLevel="0" collapsed="false">
      <c r="A1249" s="0" t="s">
        <v>308</v>
      </c>
      <c r="B1249" s="0" t="n">
        <v>5</v>
      </c>
      <c r="C1249" s="0" t="str">
        <f aca="false">IF('Tech Leaders Kits'!C164="","",'Tech Leaders Kits'!C164)</f>
        <v>PIR motion sensor</v>
      </c>
      <c r="D1249" s="0" t="n">
        <f aca="false">IF('Tech Leaders Kits'!D164="","",'Tech Leaders Kits'!D164)</f>
        <v>1</v>
      </c>
      <c r="E1249" s="0" t="str">
        <f aca="false">IF('Tech Leaders Kits'!E164="","",'Tech Leaders Kits'!E164)</f>
        <v>Per group</v>
      </c>
      <c r="F1249" s="0" t="str">
        <f aca="false">IFERROR(INDEX('Session Tracker'!$M$5:$M$149,MATCH($A1249,'Session Tracker'!$D$5:$D$149,0))+0,"")</f>
        <v/>
      </c>
      <c r="G1249" s="0" t="str">
        <f aca="false">IF(ISNUMBER(F1249),IF(OR(B1249=0,B1249=99,C1249&lt;&gt;""),F1249*100+B1249,""),"")</f>
        <v/>
      </c>
      <c r="H1249" s="0" t="n">
        <f aca="false">IFERROR(INDEX('Session Tracker'!$J$5:$J$149,MATCH($A1249,'Session Tracker'!$D$5:$D$149,0)),0)</f>
        <v>8</v>
      </c>
      <c r="I1249" s="0" t="n">
        <f aca="false">IF(OR(B1249=0,B1249=99,C1249=""),"",IF(E1249="Per class",D1249,D1249*H1249))</f>
        <v>8</v>
      </c>
      <c r="N1249" s="0" t="str">
        <f aca="false">IF('Tech Leaders Kits'!B164="","",'Tech Leaders Kits'!B164)</f>
        <v>Sensors</v>
      </c>
      <c r="O1249" s="0" t="str">
        <f aca="false">IF('Tech Leaders Kits'!F164="","",'Tech Leaders Kits'!F164)</f>
        <v>Reusable</v>
      </c>
      <c r="P1249" s="0" t="str">
        <f aca="false">IF('Tech Leaders Kits'!G164="","",'Tech Leaders Kits'!G164)</f>
        <v/>
      </c>
    </row>
    <row r="1250" customFormat="false" ht="15" hidden="false" customHeight="false" outlineLevel="0" collapsed="false">
      <c r="A1250" s="0" t="s">
        <v>308</v>
      </c>
      <c r="B1250" s="0" t="n">
        <v>6</v>
      </c>
      <c r="C1250" s="0" t="str">
        <f aca="false">IF('Tech Leaders Kits'!C165="","",'Tech Leaders Kits'!C165)</f>
        <v>Buzzer</v>
      </c>
      <c r="D1250" s="0" t="n">
        <f aca="false">IF('Tech Leaders Kits'!D165="","",'Tech Leaders Kits'!D165)</f>
        <v>1</v>
      </c>
      <c r="E1250" s="0" t="str">
        <f aca="false">IF('Tech Leaders Kits'!E165="","",'Tech Leaders Kits'!E165)</f>
        <v>Per group</v>
      </c>
      <c r="F1250" s="0" t="str">
        <f aca="false">IFERROR(INDEX('Session Tracker'!$M$5:$M$149,MATCH($A1250,'Session Tracker'!$D$5:$D$149,0))+0,"")</f>
        <v/>
      </c>
      <c r="G1250" s="0" t="str">
        <f aca="false">IF(ISNUMBER(F1250),IF(OR(B1250=0,B1250=99,C1250&lt;&gt;""),F1250*100+B1250,""),"")</f>
        <v/>
      </c>
      <c r="H1250" s="0" t="n">
        <f aca="false">IFERROR(INDEX('Session Tracker'!$J$5:$J$149,MATCH($A1250,'Session Tracker'!$D$5:$D$149,0)),0)</f>
        <v>8</v>
      </c>
      <c r="I1250" s="0" t="n">
        <f aca="false">IF(OR(B1250=0,B1250=99,C1250=""),"",IF(E1250="Per class",D1250,D1250*H1250))</f>
        <v>8</v>
      </c>
      <c r="N1250" s="0" t="str">
        <f aca="false">IF('Tech Leaders Kits'!B165="","",'Tech Leaders Kits'!B165)</f>
        <v>Actuators &amp; Motor Drivers</v>
      </c>
      <c r="O1250" s="0" t="str">
        <f aca="false">IF('Tech Leaders Kits'!F165="","",'Tech Leaders Kits'!F165)</f>
        <v>Reusable</v>
      </c>
      <c r="P1250" s="0" t="str">
        <f aca="false">IF('Tech Leaders Kits'!G165="","",'Tech Leaders Kits'!G165)</f>
        <v/>
      </c>
    </row>
    <row r="1251" customFormat="false" ht="15" hidden="false" customHeight="false" outlineLevel="0" collapsed="false">
      <c r="A1251" s="0" t="s">
        <v>308</v>
      </c>
      <c r="B1251" s="0" t="n">
        <v>7</v>
      </c>
      <c r="C1251" s="0" t="str">
        <f aca="false">IF('Tech Leaders Kits'!C166="","",'Tech Leaders Kits'!C166)</f>
        <v>OLED 0.96 in I2C</v>
      </c>
      <c r="D1251" s="0" t="n">
        <f aca="false">IF('Tech Leaders Kits'!D166="","",'Tech Leaders Kits'!D166)</f>
        <v>1</v>
      </c>
      <c r="E1251" s="0" t="str">
        <f aca="false">IF('Tech Leaders Kits'!E166="","",'Tech Leaders Kits'!E166)</f>
        <v>Per group</v>
      </c>
      <c r="F1251" s="0" t="str">
        <f aca="false">IFERROR(INDEX('Session Tracker'!$M$5:$M$149,MATCH($A1251,'Session Tracker'!$D$5:$D$149,0))+0,"")</f>
        <v/>
      </c>
      <c r="G1251" s="0" t="str">
        <f aca="false">IF(ISNUMBER(F1251),IF(OR(B1251=0,B1251=99,C1251&lt;&gt;""),F1251*100+B1251,""),"")</f>
        <v/>
      </c>
      <c r="H1251" s="0" t="n">
        <f aca="false">IFERROR(INDEX('Session Tracker'!$J$5:$J$149,MATCH($A1251,'Session Tracker'!$D$5:$D$149,0)),0)</f>
        <v>8</v>
      </c>
      <c r="I1251" s="0" t="n">
        <f aca="false">IF(OR(B1251=0,B1251=99,C1251=""),"",IF(E1251="Per class",D1251,D1251*H1251))</f>
        <v>8</v>
      </c>
      <c r="N1251" s="0" t="str">
        <f aca="false">IF('Tech Leaders Kits'!B166="","",'Tech Leaders Kits'!B166)</f>
        <v>Displays &amp; Output</v>
      </c>
      <c r="O1251" s="0" t="str">
        <f aca="false">IF('Tech Leaders Kits'!F166="","",'Tech Leaders Kits'!F166)</f>
        <v>Reusable</v>
      </c>
      <c r="P1251" s="0" t="str">
        <f aca="false">IF('Tech Leaders Kits'!G166="","",'Tech Leaders Kits'!G166)</f>
        <v/>
      </c>
    </row>
    <row r="1252" customFormat="false" ht="15" hidden="false" customHeight="false" outlineLevel="0" collapsed="false">
      <c r="A1252" s="0" t="s">
        <v>308</v>
      </c>
      <c r="B1252" s="0" t="n">
        <v>8</v>
      </c>
      <c r="C1252" s="0" t="str">
        <f aca="false">IF('Tech Leaders Kits'!C167="","",'Tech Leaders Kits'!C167)</f>
        <v>Breadboard (half size)</v>
      </c>
      <c r="D1252" s="0" t="n">
        <f aca="false">IF('Tech Leaders Kits'!D167="","",'Tech Leaders Kits'!D167)</f>
        <v>1</v>
      </c>
      <c r="E1252" s="0" t="str">
        <f aca="false">IF('Tech Leaders Kits'!E167="","",'Tech Leaders Kits'!E167)</f>
        <v>Per group</v>
      </c>
      <c r="F1252" s="0" t="str">
        <f aca="false">IFERROR(INDEX('Session Tracker'!$M$5:$M$149,MATCH($A1252,'Session Tracker'!$D$5:$D$149,0))+0,"")</f>
        <v/>
      </c>
      <c r="G1252" s="0" t="str">
        <f aca="false">IF(ISNUMBER(F1252),IF(OR(B1252=0,B1252=99,C1252&lt;&gt;""),F1252*100+B1252,""),"")</f>
        <v/>
      </c>
      <c r="H1252" s="0" t="n">
        <f aca="false">IFERROR(INDEX('Session Tracker'!$J$5:$J$149,MATCH($A1252,'Session Tracker'!$D$5:$D$149,0)),0)</f>
        <v>8</v>
      </c>
      <c r="I1252" s="0" t="n">
        <f aca="false">IF(OR(B1252=0,B1252=99,C1252=""),"",IF(E1252="Per class",D1252,D1252*H1252))</f>
        <v>8</v>
      </c>
      <c r="N1252" s="0" t="str">
        <f aca="false">IF('Tech Leaders Kits'!B167="","",'Tech Leaders Kits'!B167)</f>
        <v>Wiring &amp; Prototyping</v>
      </c>
      <c r="O1252" s="0" t="str">
        <f aca="false">IF('Tech Leaders Kits'!F167="","",'Tech Leaders Kits'!F167)</f>
        <v>Reusable</v>
      </c>
      <c r="P1252" s="0" t="str">
        <f aca="false">IF('Tech Leaders Kits'!G167="","",'Tech Leaders Kits'!G167)</f>
        <v/>
      </c>
    </row>
    <row r="1253" customFormat="false" ht="15" hidden="false" customHeight="false" outlineLevel="0" collapsed="false">
      <c r="A1253" s="0" t="s">
        <v>308</v>
      </c>
      <c r="B1253" s="0" t="n">
        <v>9</v>
      </c>
      <c r="C1253" s="0" t="str">
        <f aca="false">IF('Tech Leaders Kits'!C168="","",'Tech Leaders Kits'!C168)</f>
        <v>Jumper wires M-M</v>
      </c>
      <c r="D1253" s="0" t="n">
        <f aca="false">IF('Tech Leaders Kits'!D168="","",'Tech Leaders Kits'!D168)</f>
        <v>12</v>
      </c>
      <c r="E1253" s="0" t="str">
        <f aca="false">IF('Tech Leaders Kits'!E168="","",'Tech Leaders Kits'!E168)</f>
        <v>Per group</v>
      </c>
      <c r="F1253" s="0" t="str">
        <f aca="false">IFERROR(INDEX('Session Tracker'!$M$5:$M$149,MATCH($A1253,'Session Tracker'!$D$5:$D$149,0))+0,"")</f>
        <v/>
      </c>
      <c r="G1253" s="0" t="str">
        <f aca="false">IF(ISNUMBER(F1253),IF(OR(B1253=0,B1253=99,C1253&lt;&gt;""),F1253*100+B1253,""),"")</f>
        <v/>
      </c>
      <c r="H1253" s="0" t="n">
        <f aca="false">IFERROR(INDEX('Session Tracker'!$J$5:$J$149,MATCH($A1253,'Session Tracker'!$D$5:$D$149,0)),0)</f>
        <v>8</v>
      </c>
      <c r="I1253" s="0" t="n">
        <f aca="false">IF(OR(B1253=0,B1253=99,C1253=""),"",IF(E1253="Per class",D1253,D1253*H1253))</f>
        <v>96</v>
      </c>
      <c r="N1253" s="0" t="str">
        <f aca="false">IF('Tech Leaders Kits'!B168="","",'Tech Leaders Kits'!B168)</f>
        <v>Wiring &amp; Prototyping</v>
      </c>
      <c r="O1253" s="0" t="str">
        <f aca="false">IF('Tech Leaders Kits'!F168="","",'Tech Leaders Kits'!F168)</f>
        <v>Reusable</v>
      </c>
      <c r="P1253" s="0" t="str">
        <f aca="false">IF('Tech Leaders Kits'!G168="","",'Tech Leaders Kits'!G168)</f>
        <v/>
      </c>
    </row>
    <row r="1254" customFormat="false" ht="15" hidden="false" customHeight="false" outlineLevel="0" collapsed="false">
      <c r="A1254" s="0" t="s">
        <v>308</v>
      </c>
      <c r="B1254" s="0" t="n">
        <v>10</v>
      </c>
      <c r="C1254" s="0" t="str">
        <f aca="false">IF('Tech Leaders Kits'!C169="","",'Tech Leaders Kits'!C169)</f>
        <v>Jumper wires M-F</v>
      </c>
      <c r="D1254" s="0" t="n">
        <f aca="false">IF('Tech Leaders Kits'!D169="","",'Tech Leaders Kits'!D169)</f>
        <v>14</v>
      </c>
      <c r="E1254" s="0" t="str">
        <f aca="false">IF('Tech Leaders Kits'!E169="","",'Tech Leaders Kits'!E169)</f>
        <v>Per group</v>
      </c>
      <c r="F1254" s="0" t="str">
        <f aca="false">IFERROR(INDEX('Session Tracker'!$M$5:$M$149,MATCH($A1254,'Session Tracker'!$D$5:$D$149,0))+0,"")</f>
        <v/>
      </c>
      <c r="G1254" s="0" t="str">
        <f aca="false">IF(ISNUMBER(F1254),IF(OR(B1254=0,B1254=99,C1254&lt;&gt;""),F1254*100+B1254,""),"")</f>
        <v/>
      </c>
      <c r="H1254" s="0" t="n">
        <f aca="false">IFERROR(INDEX('Session Tracker'!$J$5:$J$149,MATCH($A1254,'Session Tracker'!$D$5:$D$149,0)),0)</f>
        <v>8</v>
      </c>
      <c r="I1254" s="0" t="n">
        <f aca="false">IF(OR(B1254=0,B1254=99,C1254=""),"",IF(E1254="Per class",D1254,D1254*H1254))</f>
        <v>112</v>
      </c>
      <c r="N1254" s="0" t="str">
        <f aca="false">IF('Tech Leaders Kits'!B169="","",'Tech Leaders Kits'!B169)</f>
        <v>Wiring &amp; Prototyping</v>
      </c>
      <c r="O1254" s="0" t="str">
        <f aca="false">IF('Tech Leaders Kits'!F169="","",'Tech Leaders Kits'!F169)</f>
        <v>Reusable</v>
      </c>
      <c r="P1254" s="0" t="str">
        <f aca="false">IF('Tech Leaders Kits'!G169="","",'Tech Leaders Kits'!G169)</f>
        <v/>
      </c>
    </row>
    <row r="1255" customFormat="false" ht="15" hidden="false" customHeight="false" outlineLevel="0" collapsed="false">
      <c r="A1255" s="0" t="s">
        <v>308</v>
      </c>
      <c r="B1255" s="0" t="n">
        <v>11</v>
      </c>
      <c r="C1255" s="0" t="str">
        <f aca="false">IF('Tech Leaders Kits'!C170="","",'Tech Leaders Kits'!C170)</f>
        <v>Laptop</v>
      </c>
      <c r="D1255" s="0" t="n">
        <f aca="false">IF('Tech Leaders Kits'!D170="","",'Tech Leaders Kits'!D170)</f>
        <v>1</v>
      </c>
      <c r="E1255" s="0" t="str">
        <f aca="false">IF('Tech Leaders Kits'!E170="","",'Tech Leaders Kits'!E170)</f>
        <v>Per group</v>
      </c>
      <c r="F1255" s="0" t="str">
        <f aca="false">IFERROR(INDEX('Session Tracker'!$M$5:$M$149,MATCH($A1255,'Session Tracker'!$D$5:$D$149,0))+0,"")</f>
        <v/>
      </c>
      <c r="G1255" s="0" t="str">
        <f aca="false">IF(ISNUMBER(F1255),IF(OR(B1255=0,B1255=99,C1255&lt;&gt;""),F1255*100+B1255,""),"")</f>
        <v/>
      </c>
      <c r="H1255" s="0" t="n">
        <f aca="false">IFERROR(INDEX('Session Tracker'!$J$5:$J$149,MATCH($A1255,'Session Tracker'!$D$5:$D$149,0)),0)</f>
        <v>8</v>
      </c>
      <c r="I1255" s="0" t="n">
        <f aca="false">IF(OR(B1255=0,B1255=99,C1255=""),"",IF(E1255="Per class",D1255,D1255*H1255))</f>
        <v>8</v>
      </c>
      <c r="N1255" s="0" t="str">
        <f aca="false">IF('Tech Leaders Kits'!B170="","",'Tech Leaders Kits'!B170)</f>
        <v>Computers &amp; Equipment</v>
      </c>
      <c r="O1255" s="0" t="str">
        <f aca="false">IF('Tech Leaders Kits'!F170="","",'Tech Leaders Kits'!F170)</f>
        <v>Reusable</v>
      </c>
      <c r="P1255" s="0" t="str">
        <f aca="false">IF('Tech Leaders Kits'!G170="","",'Tech Leaders Kits'!G170)</f>
        <v/>
      </c>
    </row>
    <row r="1256" customFormat="false" ht="15" hidden="false" customHeight="false" outlineLevel="0" collapsed="false">
      <c r="A1256" s="0" t="s">
        <v>308</v>
      </c>
      <c r="B1256" s="0" t="n">
        <v>12</v>
      </c>
      <c r="C1256" s="0" t="str">
        <f aca="false">IF('Tech Leaders Kits'!C171="","",'Tech Leaders Kits'!C171)</f>
        <v/>
      </c>
      <c r="D1256" s="0" t="str">
        <f aca="false">IF('Tech Leaders Kits'!D171="","",'Tech Leaders Kits'!D171)</f>
        <v/>
      </c>
      <c r="E1256" s="0" t="str">
        <f aca="false">IF('Tech Leaders Kits'!E171="","",'Tech Leaders Kits'!E171)</f>
        <v/>
      </c>
      <c r="F1256" s="0" t="str">
        <f aca="false">IFERROR(INDEX('Session Tracker'!$M$5:$M$149,MATCH($A1256,'Session Tracker'!$D$5:$D$149,0))+0,"")</f>
        <v/>
      </c>
      <c r="G1256" s="0" t="str">
        <f aca="false">IF(ISNUMBER(F1256),IF(OR(B1256=0,B1256=99,C1256&lt;&gt;""),F1256*100+B1256,""),"")</f>
        <v/>
      </c>
      <c r="H1256" s="0" t="n">
        <f aca="false">IFERROR(INDEX('Session Tracker'!$J$5:$J$149,MATCH($A1256,'Session Tracker'!$D$5:$D$149,0)),0)</f>
        <v>8</v>
      </c>
      <c r="I1256" s="0" t="str">
        <f aca="false">IF(OR(B1256=0,B1256=99,C1256=""),"",IF(E1256="Per class",D1256,D1256*H1256))</f>
        <v/>
      </c>
      <c r="N1256" s="0" t="str">
        <f aca="false">IF('Tech Leaders Kits'!B171="","",'Tech Leaders Kits'!B171)</f>
        <v/>
      </c>
      <c r="O1256" s="0" t="str">
        <f aca="false">IF('Tech Leaders Kits'!F171="","",'Tech Leaders Kits'!F171)</f>
        <v/>
      </c>
      <c r="P1256" s="0" t="str">
        <f aca="false">IF('Tech Leaders Kits'!G171="","",'Tech Leaders Kits'!G171)</f>
        <v/>
      </c>
    </row>
    <row r="1257" customFormat="false" ht="15" hidden="false" customHeight="false" outlineLevel="0" collapsed="false">
      <c r="A1257" s="0" t="s">
        <v>308</v>
      </c>
      <c r="B1257" s="0" t="n">
        <v>13</v>
      </c>
      <c r="C1257" s="0" t="str">
        <f aca="false">IF('Tech Leaders Kits'!C172="","",'Tech Leaders Kits'!C172)</f>
        <v/>
      </c>
      <c r="D1257" s="0" t="str">
        <f aca="false">IF('Tech Leaders Kits'!D172="","",'Tech Leaders Kits'!D172)</f>
        <v/>
      </c>
      <c r="E1257" s="0" t="str">
        <f aca="false">IF('Tech Leaders Kits'!E172="","",'Tech Leaders Kits'!E172)</f>
        <v/>
      </c>
      <c r="F1257" s="0" t="str">
        <f aca="false">IFERROR(INDEX('Session Tracker'!$M$5:$M$149,MATCH($A1257,'Session Tracker'!$D$5:$D$149,0))+0,"")</f>
        <v/>
      </c>
      <c r="G1257" s="0" t="str">
        <f aca="false">IF(ISNUMBER(F1257),IF(OR(B1257=0,B1257=99,C1257&lt;&gt;""),F1257*100+B1257,""),"")</f>
        <v/>
      </c>
      <c r="H1257" s="0" t="n">
        <f aca="false">IFERROR(INDEX('Session Tracker'!$J$5:$J$149,MATCH($A1257,'Session Tracker'!$D$5:$D$149,0)),0)</f>
        <v>8</v>
      </c>
      <c r="I1257" s="0" t="str">
        <f aca="false">IF(OR(B1257=0,B1257=99,C1257=""),"",IF(E1257="Per class",D1257,D1257*H1257))</f>
        <v/>
      </c>
      <c r="N1257" s="0" t="str">
        <f aca="false">IF('Tech Leaders Kits'!B172="","",'Tech Leaders Kits'!B172)</f>
        <v/>
      </c>
      <c r="O1257" s="0" t="str">
        <f aca="false">IF('Tech Leaders Kits'!F172="","",'Tech Leaders Kits'!F172)</f>
        <v/>
      </c>
      <c r="P1257" s="0" t="str">
        <f aca="false">IF('Tech Leaders Kits'!G172="","",'Tech Leaders Kits'!G172)</f>
        <v/>
      </c>
    </row>
    <row r="1258" customFormat="false" ht="15" hidden="false" customHeight="false" outlineLevel="0" collapsed="false">
      <c r="A1258" s="0" t="s">
        <v>310</v>
      </c>
      <c r="B1258" s="0" t="n">
        <v>0</v>
      </c>
      <c r="F1258" s="0" t="str">
        <f aca="false">IFERROR(INDEX('Session Tracker'!$M$5:$M$149,MATCH($A1258,'Session Tracker'!$D$5:$D$149,0))+0,"")</f>
        <v/>
      </c>
      <c r="G1258" s="0" t="str">
        <f aca="false">IF(ISNUMBER(F1258),IF(OR(B1258=0,B1258=99,C1258&lt;&gt;""),F1258*100+B1258,""),"")</f>
        <v/>
      </c>
      <c r="H1258" s="0" t="n">
        <f aca="false">IFERROR(INDEX('Session Tracker'!$J$5:$J$149,MATCH($A1258,'Session Tracker'!$D$5:$D$149,0)),0)</f>
        <v>8</v>
      </c>
      <c r="I1258" s="0" t="str">
        <f aca="false">IF(OR(B1258=0,B1258=99,C1258=""),"",IF(E1258="Per class",D1258,D1258*H1258))</f>
        <v/>
      </c>
      <c r="K1258" s="0" t="str">
        <f aca="false">IFERROR(INDEX('Session Tracker'!$E$5:$E$149,MATCH($A1258,'Session Tracker'!$D$5:$D$149,0)),"")</f>
        <v>Sensor Data Logging &amp; Analysis Pipeline</v>
      </c>
      <c r="L1258" s="0" t="str">
        <f aca="false">IFERROR(INDEX('Session Tracker'!$A$5:$A$149,MATCH($A1258,'Session Tracker'!$D$5:$D$149,0)),"")</f>
        <v>Tech Leaders (15-17)</v>
      </c>
      <c r="M1258" s="0" t="str">
        <f aca="false">IFERROR(INDEX('Session Tracker'!$H$5:$H$149,MATCH($A1258,'Session Tracker'!$D$5:$D$149,0))&amp;"","")</f>
        <v/>
      </c>
      <c r="Q1258" s="0" t="str">
        <f aca="false">IFERROR("Status: "&amp;INDEX('Session Tracker'!$F$5:$F$149,MATCH($A1258,'Session Tracker'!$D$5:$D$149,0))&amp;IF(INDEX('Session Tracker'!$G$5:$G$149,MATCH($A1258,'Session Tracker'!$D$5:$D$149,0))&lt;&gt;""," ("&amp;INDEX('Session Tracker'!$G$5:$G$149,MATCH($A1258,'Session Tracker'!$D$5:$D$149,0))&amp;")","")&amp;IF(M1258&lt;&gt;"","  "&amp;M1258,""),"")</f>
        <v>Status: Not started</v>
      </c>
    </row>
    <row r="1259" customFormat="false" ht="15" hidden="false" customHeight="false" outlineLevel="0" collapsed="false">
      <c r="A1259" s="0" t="s">
        <v>310</v>
      </c>
      <c r="B1259" s="0" t="n">
        <v>1</v>
      </c>
      <c r="C1259" s="0" t="str">
        <f aca="false">IF('Tech Leaders Kits'!C175="","",'Tech Leaders Kits'!C175)</f>
        <v>ESP32 Dev Board + USB cable</v>
      </c>
      <c r="D1259" s="0" t="n">
        <f aca="false">IF('Tech Leaders Kits'!D175="","",'Tech Leaders Kits'!D175)</f>
        <v>1</v>
      </c>
      <c r="E1259" s="0" t="str">
        <f aca="false">IF('Tech Leaders Kits'!E175="","",'Tech Leaders Kits'!E175)</f>
        <v>Per group</v>
      </c>
      <c r="F1259" s="0" t="str">
        <f aca="false">IFERROR(INDEX('Session Tracker'!$M$5:$M$149,MATCH($A1259,'Session Tracker'!$D$5:$D$149,0))+0,"")</f>
        <v/>
      </c>
      <c r="G1259" s="0" t="str">
        <f aca="false">IF(ISNUMBER(F1259),IF(OR(B1259=0,B1259=99,C1259&lt;&gt;""),F1259*100+B1259,""),"")</f>
        <v/>
      </c>
      <c r="H1259" s="0" t="n">
        <f aca="false">IFERROR(INDEX('Session Tracker'!$J$5:$J$149,MATCH($A1259,'Session Tracker'!$D$5:$D$149,0)),0)</f>
        <v>8</v>
      </c>
      <c r="I1259" s="0" t="n">
        <f aca="false">IF(OR(B1259=0,B1259=99,C1259=""),"",IF(E1259="Per class",D1259,D1259*H1259))</f>
        <v>8</v>
      </c>
      <c r="N1259" s="0" t="str">
        <f aca="false">IF('Tech Leaders Kits'!B175="","",'Tech Leaders Kits'!B175)</f>
        <v>Microcontrollers &amp; Dev Boards</v>
      </c>
      <c r="O1259" s="0" t="str">
        <f aca="false">IF('Tech Leaders Kits'!F175="","",'Tech Leaders Kits'!F175)</f>
        <v>Reusable</v>
      </c>
      <c r="P1259" s="0" t="str">
        <f aca="false">IF('Tech Leaders Kits'!G175="","",'Tech Leaders Kits'!G175)</f>
        <v/>
      </c>
    </row>
    <row r="1260" customFormat="false" ht="15" hidden="false" customHeight="false" outlineLevel="0" collapsed="false">
      <c r="A1260" s="0" t="s">
        <v>310</v>
      </c>
      <c r="B1260" s="0" t="n">
        <v>2</v>
      </c>
      <c r="C1260" s="0" t="str">
        <f aca="false">IF('Tech Leaders Kits'!C176="","",'Tech Leaders Kits'!C176)</f>
        <v>DHT22 sensor</v>
      </c>
      <c r="D1260" s="0" t="n">
        <f aca="false">IF('Tech Leaders Kits'!D176="","",'Tech Leaders Kits'!D176)</f>
        <v>1</v>
      </c>
      <c r="E1260" s="0" t="str">
        <f aca="false">IF('Tech Leaders Kits'!E176="","",'Tech Leaders Kits'!E176)</f>
        <v>Per group</v>
      </c>
      <c r="F1260" s="0" t="str">
        <f aca="false">IFERROR(INDEX('Session Tracker'!$M$5:$M$149,MATCH($A1260,'Session Tracker'!$D$5:$D$149,0))+0,"")</f>
        <v/>
      </c>
      <c r="G1260" s="0" t="str">
        <f aca="false">IF(ISNUMBER(F1260),IF(OR(B1260=0,B1260=99,C1260&lt;&gt;""),F1260*100+B1260,""),"")</f>
        <v/>
      </c>
      <c r="H1260" s="0" t="n">
        <f aca="false">IFERROR(INDEX('Session Tracker'!$J$5:$J$149,MATCH($A1260,'Session Tracker'!$D$5:$D$149,0)),0)</f>
        <v>8</v>
      </c>
      <c r="I1260" s="0" t="n">
        <f aca="false">IF(OR(B1260=0,B1260=99,C1260=""),"",IF(E1260="Per class",D1260,D1260*H1260))</f>
        <v>8</v>
      </c>
      <c r="N1260" s="0" t="str">
        <f aca="false">IF('Tech Leaders Kits'!B176="","",'Tech Leaders Kits'!B176)</f>
        <v>Sensors</v>
      </c>
      <c r="O1260" s="0" t="str">
        <f aca="false">IF('Tech Leaders Kits'!F176="","",'Tech Leaders Kits'!F176)</f>
        <v>Reusable</v>
      </c>
      <c r="P1260" s="0" t="str">
        <f aca="false">IF('Tech Leaders Kits'!G176="","",'Tech Leaders Kits'!G176)</f>
        <v/>
      </c>
    </row>
    <row r="1261" customFormat="false" ht="15" hidden="false" customHeight="false" outlineLevel="0" collapsed="false">
      <c r="A1261" s="0" t="s">
        <v>310</v>
      </c>
      <c r="B1261" s="0" t="n">
        <v>3</v>
      </c>
      <c r="C1261" s="0" t="str">
        <f aca="false">IF('Tech Leaders Kits'!C177="","",'Tech Leaders Kits'!C177)</f>
        <v>LDR module</v>
      </c>
      <c r="D1261" s="0" t="n">
        <f aca="false">IF('Tech Leaders Kits'!D177="","",'Tech Leaders Kits'!D177)</f>
        <v>1</v>
      </c>
      <c r="E1261" s="0" t="str">
        <f aca="false">IF('Tech Leaders Kits'!E177="","",'Tech Leaders Kits'!E177)</f>
        <v>Per group</v>
      </c>
      <c r="F1261" s="0" t="str">
        <f aca="false">IFERROR(INDEX('Session Tracker'!$M$5:$M$149,MATCH($A1261,'Session Tracker'!$D$5:$D$149,0))+0,"")</f>
        <v/>
      </c>
      <c r="G1261" s="0" t="str">
        <f aca="false">IF(ISNUMBER(F1261),IF(OR(B1261=0,B1261=99,C1261&lt;&gt;""),F1261*100+B1261,""),"")</f>
        <v/>
      </c>
      <c r="H1261" s="0" t="n">
        <f aca="false">IFERROR(INDEX('Session Tracker'!$J$5:$J$149,MATCH($A1261,'Session Tracker'!$D$5:$D$149,0)),0)</f>
        <v>8</v>
      </c>
      <c r="I1261" s="0" t="n">
        <f aca="false">IF(OR(B1261=0,B1261=99,C1261=""),"",IF(E1261="Per class",D1261,D1261*H1261))</f>
        <v>8</v>
      </c>
      <c r="N1261" s="0" t="str">
        <f aca="false">IF('Tech Leaders Kits'!B177="","",'Tech Leaders Kits'!B177)</f>
        <v>Sensors</v>
      </c>
      <c r="O1261" s="0" t="str">
        <f aca="false">IF('Tech Leaders Kits'!F177="","",'Tech Leaders Kits'!F177)</f>
        <v>Reusable</v>
      </c>
      <c r="P1261" s="0" t="str">
        <f aca="false">IF('Tech Leaders Kits'!G177="","",'Tech Leaders Kits'!G177)</f>
        <v/>
      </c>
    </row>
    <row r="1262" customFormat="false" ht="15" hidden="false" customHeight="false" outlineLevel="0" collapsed="false">
      <c r="A1262" s="0" t="s">
        <v>310</v>
      </c>
      <c r="B1262" s="0" t="n">
        <v>4</v>
      </c>
      <c r="C1262" s="0" t="str">
        <f aca="false">IF('Tech Leaders Kits'!C178="","",'Tech Leaders Kits'!C178)</f>
        <v>Sound sensor KY-037</v>
      </c>
      <c r="D1262" s="0" t="n">
        <f aca="false">IF('Tech Leaders Kits'!D178="","",'Tech Leaders Kits'!D178)</f>
        <v>1</v>
      </c>
      <c r="E1262" s="0" t="str">
        <f aca="false">IF('Tech Leaders Kits'!E178="","",'Tech Leaders Kits'!E178)</f>
        <v>Per group</v>
      </c>
      <c r="F1262" s="0" t="str">
        <f aca="false">IFERROR(INDEX('Session Tracker'!$M$5:$M$149,MATCH($A1262,'Session Tracker'!$D$5:$D$149,0))+0,"")</f>
        <v/>
      </c>
      <c r="G1262" s="0" t="str">
        <f aca="false">IF(ISNUMBER(F1262),IF(OR(B1262=0,B1262=99,C1262&lt;&gt;""),F1262*100+B1262,""),"")</f>
        <v/>
      </c>
      <c r="H1262" s="0" t="n">
        <f aca="false">IFERROR(INDEX('Session Tracker'!$J$5:$J$149,MATCH($A1262,'Session Tracker'!$D$5:$D$149,0)),0)</f>
        <v>8</v>
      </c>
      <c r="I1262" s="0" t="n">
        <f aca="false">IF(OR(B1262=0,B1262=99,C1262=""),"",IF(E1262="Per class",D1262,D1262*H1262))</f>
        <v>8</v>
      </c>
      <c r="N1262" s="0" t="str">
        <f aca="false">IF('Tech Leaders Kits'!B178="","",'Tech Leaders Kits'!B178)</f>
        <v>Sensors</v>
      </c>
      <c r="O1262" s="0" t="str">
        <f aca="false">IF('Tech Leaders Kits'!F178="","",'Tech Leaders Kits'!F178)</f>
        <v>Reusable</v>
      </c>
      <c r="P1262" s="0" t="str">
        <f aca="false">IF('Tech Leaders Kits'!G178="","",'Tech Leaders Kits'!G178)</f>
        <v/>
      </c>
    </row>
    <row r="1263" customFormat="false" ht="15" hidden="false" customHeight="false" outlineLevel="0" collapsed="false">
      <c r="A1263" s="0" t="s">
        <v>310</v>
      </c>
      <c r="B1263" s="0" t="n">
        <v>5</v>
      </c>
      <c r="C1263" s="0" t="str">
        <f aca="false">IF('Tech Leaders Kits'!C179="","",'Tech Leaders Kits'!C179)</f>
        <v>Breadboard (half size)</v>
      </c>
      <c r="D1263" s="0" t="n">
        <f aca="false">IF('Tech Leaders Kits'!D179="","",'Tech Leaders Kits'!D179)</f>
        <v>1</v>
      </c>
      <c r="E1263" s="0" t="str">
        <f aca="false">IF('Tech Leaders Kits'!E179="","",'Tech Leaders Kits'!E179)</f>
        <v>Per group</v>
      </c>
      <c r="F1263" s="0" t="str">
        <f aca="false">IFERROR(INDEX('Session Tracker'!$M$5:$M$149,MATCH($A1263,'Session Tracker'!$D$5:$D$149,0))+0,"")</f>
        <v/>
      </c>
      <c r="G1263" s="0" t="str">
        <f aca="false">IF(ISNUMBER(F1263),IF(OR(B1263=0,B1263=99,C1263&lt;&gt;""),F1263*100+B1263,""),"")</f>
        <v/>
      </c>
      <c r="H1263" s="0" t="n">
        <f aca="false">IFERROR(INDEX('Session Tracker'!$J$5:$J$149,MATCH($A1263,'Session Tracker'!$D$5:$D$149,0)),0)</f>
        <v>8</v>
      </c>
      <c r="I1263" s="0" t="n">
        <f aca="false">IF(OR(B1263=0,B1263=99,C1263=""),"",IF(E1263="Per class",D1263,D1263*H1263))</f>
        <v>8</v>
      </c>
      <c r="N1263" s="0" t="str">
        <f aca="false">IF('Tech Leaders Kits'!B179="","",'Tech Leaders Kits'!B179)</f>
        <v>Wiring &amp; Prototyping</v>
      </c>
      <c r="O1263" s="0" t="str">
        <f aca="false">IF('Tech Leaders Kits'!F179="","",'Tech Leaders Kits'!F179)</f>
        <v>Reusable</v>
      </c>
      <c r="P1263" s="0" t="str">
        <f aca="false">IF('Tech Leaders Kits'!G179="","",'Tech Leaders Kits'!G179)</f>
        <v/>
      </c>
    </row>
    <row r="1264" customFormat="false" ht="15" hidden="false" customHeight="false" outlineLevel="0" collapsed="false">
      <c r="A1264" s="0" t="s">
        <v>310</v>
      </c>
      <c r="B1264" s="0" t="n">
        <v>6</v>
      </c>
      <c r="C1264" s="0" t="str">
        <f aca="false">IF('Tech Leaders Kits'!C180="","",'Tech Leaders Kits'!C180)</f>
        <v>Jumper wires M-M</v>
      </c>
      <c r="D1264" s="0" t="n">
        <f aca="false">IF('Tech Leaders Kits'!D180="","",'Tech Leaders Kits'!D180)</f>
        <v>8</v>
      </c>
      <c r="E1264" s="0" t="str">
        <f aca="false">IF('Tech Leaders Kits'!E180="","",'Tech Leaders Kits'!E180)</f>
        <v>Per group</v>
      </c>
      <c r="F1264" s="0" t="str">
        <f aca="false">IFERROR(INDEX('Session Tracker'!$M$5:$M$149,MATCH($A1264,'Session Tracker'!$D$5:$D$149,0))+0,"")</f>
        <v/>
      </c>
      <c r="G1264" s="0" t="str">
        <f aca="false">IF(ISNUMBER(F1264),IF(OR(B1264=0,B1264=99,C1264&lt;&gt;""),F1264*100+B1264,""),"")</f>
        <v/>
      </c>
      <c r="H1264" s="0" t="n">
        <f aca="false">IFERROR(INDEX('Session Tracker'!$J$5:$J$149,MATCH($A1264,'Session Tracker'!$D$5:$D$149,0)),0)</f>
        <v>8</v>
      </c>
      <c r="I1264" s="0" t="n">
        <f aca="false">IF(OR(B1264=0,B1264=99,C1264=""),"",IF(E1264="Per class",D1264,D1264*H1264))</f>
        <v>64</v>
      </c>
      <c r="N1264" s="0" t="str">
        <f aca="false">IF('Tech Leaders Kits'!B180="","",'Tech Leaders Kits'!B180)</f>
        <v>Wiring &amp; Prototyping</v>
      </c>
      <c r="O1264" s="0" t="str">
        <f aca="false">IF('Tech Leaders Kits'!F180="","",'Tech Leaders Kits'!F180)</f>
        <v>Reusable</v>
      </c>
      <c r="P1264" s="0" t="str">
        <f aca="false">IF('Tech Leaders Kits'!G180="","",'Tech Leaders Kits'!G180)</f>
        <v/>
      </c>
    </row>
    <row r="1265" customFormat="false" ht="15" hidden="false" customHeight="false" outlineLevel="0" collapsed="false">
      <c r="A1265" s="0" t="s">
        <v>310</v>
      </c>
      <c r="B1265" s="0" t="n">
        <v>7</v>
      </c>
      <c r="C1265" s="0" t="str">
        <f aca="false">IF('Tech Leaders Kits'!C181="","",'Tech Leaders Kits'!C181)</f>
        <v>Jumper wires M-F</v>
      </c>
      <c r="D1265" s="0" t="n">
        <f aca="false">IF('Tech Leaders Kits'!D181="","",'Tech Leaders Kits'!D181)</f>
        <v>6</v>
      </c>
      <c r="E1265" s="0" t="str">
        <f aca="false">IF('Tech Leaders Kits'!E181="","",'Tech Leaders Kits'!E181)</f>
        <v>Per group</v>
      </c>
      <c r="F1265" s="0" t="str">
        <f aca="false">IFERROR(INDEX('Session Tracker'!$M$5:$M$149,MATCH($A1265,'Session Tracker'!$D$5:$D$149,0))+0,"")</f>
        <v/>
      </c>
      <c r="G1265" s="0" t="str">
        <f aca="false">IF(ISNUMBER(F1265),IF(OR(B1265=0,B1265=99,C1265&lt;&gt;""),F1265*100+B1265,""),"")</f>
        <v/>
      </c>
      <c r="H1265" s="0" t="n">
        <f aca="false">IFERROR(INDEX('Session Tracker'!$J$5:$J$149,MATCH($A1265,'Session Tracker'!$D$5:$D$149,0)),0)</f>
        <v>8</v>
      </c>
      <c r="I1265" s="0" t="n">
        <f aca="false">IF(OR(B1265=0,B1265=99,C1265=""),"",IF(E1265="Per class",D1265,D1265*H1265))</f>
        <v>48</v>
      </c>
      <c r="N1265" s="0" t="str">
        <f aca="false">IF('Tech Leaders Kits'!B181="","",'Tech Leaders Kits'!B181)</f>
        <v>Wiring &amp; Prototyping</v>
      </c>
      <c r="O1265" s="0" t="str">
        <f aca="false">IF('Tech Leaders Kits'!F181="","",'Tech Leaders Kits'!F181)</f>
        <v>Reusable</v>
      </c>
      <c r="P1265" s="0" t="str">
        <f aca="false">IF('Tech Leaders Kits'!G181="","",'Tech Leaders Kits'!G181)</f>
        <v/>
      </c>
    </row>
    <row r="1266" customFormat="false" ht="15" hidden="false" customHeight="false" outlineLevel="0" collapsed="false">
      <c r="A1266" s="0" t="s">
        <v>310</v>
      </c>
      <c r="B1266" s="0" t="n">
        <v>8</v>
      </c>
      <c r="C1266" s="0" t="str">
        <f aca="false">IF('Tech Leaders Kits'!C182="","",'Tech Leaders Kits'!C182)</f>
        <v>Laptop</v>
      </c>
      <c r="D1266" s="0" t="n">
        <f aca="false">IF('Tech Leaders Kits'!D182="","",'Tech Leaders Kits'!D182)</f>
        <v>1</v>
      </c>
      <c r="E1266" s="0" t="str">
        <f aca="false">IF('Tech Leaders Kits'!E182="","",'Tech Leaders Kits'!E182)</f>
        <v>Per group</v>
      </c>
      <c r="F1266" s="0" t="str">
        <f aca="false">IFERROR(INDEX('Session Tracker'!$M$5:$M$149,MATCH($A1266,'Session Tracker'!$D$5:$D$149,0))+0,"")</f>
        <v/>
      </c>
      <c r="G1266" s="0" t="str">
        <f aca="false">IF(ISNUMBER(F1266),IF(OR(B1266=0,B1266=99,C1266&lt;&gt;""),F1266*100+B1266,""),"")</f>
        <v/>
      </c>
      <c r="H1266" s="0" t="n">
        <f aca="false">IFERROR(INDEX('Session Tracker'!$J$5:$J$149,MATCH($A1266,'Session Tracker'!$D$5:$D$149,0)),0)</f>
        <v>8</v>
      </c>
      <c r="I1266" s="0" t="n">
        <f aca="false">IF(OR(B1266=0,B1266=99,C1266=""),"",IF(E1266="Per class",D1266,D1266*H1266))</f>
        <v>8</v>
      </c>
      <c r="N1266" s="0" t="str">
        <f aca="false">IF('Tech Leaders Kits'!B182="","",'Tech Leaders Kits'!B182)</f>
        <v>Computers &amp; Equipment</v>
      </c>
      <c r="O1266" s="0" t="str">
        <f aca="false">IF('Tech Leaders Kits'!F182="","",'Tech Leaders Kits'!F182)</f>
        <v>Reusable</v>
      </c>
      <c r="P1266" s="0" t="str">
        <f aca="false">IF('Tech Leaders Kits'!G182="","",'Tech Leaders Kits'!G182)</f>
        <v/>
      </c>
    </row>
    <row r="1267" customFormat="false" ht="15" hidden="false" customHeight="false" outlineLevel="0" collapsed="false">
      <c r="A1267" s="0" t="s">
        <v>310</v>
      </c>
      <c r="B1267" s="0" t="n">
        <v>9</v>
      </c>
      <c r="C1267" s="0" t="str">
        <f aca="false">IF('Tech Leaders Kits'!C183="","",'Tech Leaders Kits'!C183)</f>
        <v/>
      </c>
      <c r="D1267" s="0" t="str">
        <f aca="false">IF('Tech Leaders Kits'!D183="","",'Tech Leaders Kits'!D183)</f>
        <v/>
      </c>
      <c r="E1267" s="0" t="str">
        <f aca="false">IF('Tech Leaders Kits'!E183="","",'Tech Leaders Kits'!E183)</f>
        <v/>
      </c>
      <c r="F1267" s="0" t="str">
        <f aca="false">IFERROR(INDEX('Session Tracker'!$M$5:$M$149,MATCH($A1267,'Session Tracker'!$D$5:$D$149,0))+0,"")</f>
        <v/>
      </c>
      <c r="G1267" s="0" t="str">
        <f aca="false">IF(ISNUMBER(F1267),IF(OR(B1267=0,B1267=99,C1267&lt;&gt;""),F1267*100+B1267,""),"")</f>
        <v/>
      </c>
      <c r="H1267" s="0" t="n">
        <f aca="false">IFERROR(INDEX('Session Tracker'!$J$5:$J$149,MATCH($A1267,'Session Tracker'!$D$5:$D$149,0)),0)</f>
        <v>8</v>
      </c>
      <c r="I1267" s="0" t="str">
        <f aca="false">IF(OR(B1267=0,B1267=99,C1267=""),"",IF(E1267="Per class",D1267,D1267*H1267))</f>
        <v/>
      </c>
      <c r="N1267" s="0" t="str">
        <f aca="false">IF('Tech Leaders Kits'!B183="","",'Tech Leaders Kits'!B183)</f>
        <v/>
      </c>
      <c r="O1267" s="0" t="str">
        <f aca="false">IF('Tech Leaders Kits'!F183="","",'Tech Leaders Kits'!F183)</f>
        <v/>
      </c>
      <c r="P1267" s="0" t="str">
        <f aca="false">IF('Tech Leaders Kits'!G183="","",'Tech Leaders Kits'!G183)</f>
        <v/>
      </c>
    </row>
    <row r="1268" customFormat="false" ht="15" hidden="false" customHeight="false" outlineLevel="0" collapsed="false">
      <c r="A1268" s="0" t="s">
        <v>310</v>
      </c>
      <c r="B1268" s="0" t="n">
        <v>10</v>
      </c>
      <c r="C1268" s="0" t="str">
        <f aca="false">IF('Tech Leaders Kits'!C184="","",'Tech Leaders Kits'!C184)</f>
        <v/>
      </c>
      <c r="D1268" s="0" t="str">
        <f aca="false">IF('Tech Leaders Kits'!D184="","",'Tech Leaders Kits'!D184)</f>
        <v/>
      </c>
      <c r="E1268" s="0" t="str">
        <f aca="false">IF('Tech Leaders Kits'!E184="","",'Tech Leaders Kits'!E184)</f>
        <v/>
      </c>
      <c r="F1268" s="0" t="str">
        <f aca="false">IFERROR(INDEX('Session Tracker'!$M$5:$M$149,MATCH($A1268,'Session Tracker'!$D$5:$D$149,0))+0,"")</f>
        <v/>
      </c>
      <c r="G1268" s="0" t="str">
        <f aca="false">IF(ISNUMBER(F1268),IF(OR(B1268=0,B1268=99,C1268&lt;&gt;""),F1268*100+B1268,""),"")</f>
        <v/>
      </c>
      <c r="H1268" s="0" t="n">
        <f aca="false">IFERROR(INDEX('Session Tracker'!$J$5:$J$149,MATCH($A1268,'Session Tracker'!$D$5:$D$149,0)),0)</f>
        <v>8</v>
      </c>
      <c r="I1268" s="0" t="str">
        <f aca="false">IF(OR(B1268=0,B1268=99,C1268=""),"",IF(E1268="Per class",D1268,D1268*H1268))</f>
        <v/>
      </c>
      <c r="N1268" s="0" t="str">
        <f aca="false">IF('Tech Leaders Kits'!B184="","",'Tech Leaders Kits'!B184)</f>
        <v/>
      </c>
      <c r="O1268" s="0" t="str">
        <f aca="false">IF('Tech Leaders Kits'!F184="","",'Tech Leaders Kits'!F184)</f>
        <v/>
      </c>
      <c r="P1268" s="0" t="str">
        <f aca="false">IF('Tech Leaders Kits'!G184="","",'Tech Leaders Kits'!G184)</f>
        <v/>
      </c>
    </row>
    <row r="1269" customFormat="false" ht="15" hidden="false" customHeight="false" outlineLevel="0" collapsed="false">
      <c r="A1269" s="0" t="s">
        <v>312</v>
      </c>
      <c r="B1269" s="0" t="n">
        <v>0</v>
      </c>
      <c r="F1269" s="0" t="str">
        <f aca="false">IFERROR(INDEX('Session Tracker'!$M$5:$M$149,MATCH($A1269,'Session Tracker'!$D$5:$D$149,0))+0,"")</f>
        <v/>
      </c>
      <c r="G1269" s="0" t="str">
        <f aca="false">IF(ISNUMBER(F1269),IF(OR(B1269=0,B1269=99,C1269&lt;&gt;""),F1269*100+B1269,""),"")</f>
        <v/>
      </c>
      <c r="H1269" s="0" t="n">
        <f aca="false">IFERROR(INDEX('Session Tracker'!$J$5:$J$149,MATCH($A1269,'Session Tracker'!$D$5:$D$149,0)),0)</f>
        <v>8</v>
      </c>
      <c r="I1269" s="0" t="str">
        <f aca="false">IF(OR(B1269=0,B1269=99,C1269=""),"",IF(E1269="Per class",D1269,D1269*H1269))</f>
        <v/>
      </c>
      <c r="K1269" s="0" t="str">
        <f aca="false">IFERROR(INDEX('Session Tracker'!$E$5:$E$149,MATCH($A1269,'Session Tracker'!$D$5:$D$149,0)),"")</f>
        <v>Machine Learning Rain Predictor</v>
      </c>
      <c r="L1269" s="0" t="str">
        <f aca="false">IFERROR(INDEX('Session Tracker'!$A$5:$A$149,MATCH($A1269,'Session Tracker'!$D$5:$D$149,0)),"")</f>
        <v>Tech Leaders (15-17)</v>
      </c>
      <c r="M1269" s="0" t="str">
        <f aca="false">IFERROR(INDEX('Session Tracker'!$H$5:$H$149,MATCH($A1269,'Session Tracker'!$D$5:$D$149,0))&amp;"","")</f>
        <v/>
      </c>
      <c r="Q1269" s="0" t="str">
        <f aca="false">IFERROR("Status: "&amp;INDEX('Session Tracker'!$F$5:$F$149,MATCH($A1269,'Session Tracker'!$D$5:$D$149,0))&amp;IF(INDEX('Session Tracker'!$G$5:$G$149,MATCH($A1269,'Session Tracker'!$D$5:$D$149,0))&lt;&gt;""," ("&amp;INDEX('Session Tracker'!$G$5:$G$149,MATCH($A1269,'Session Tracker'!$D$5:$D$149,0))&amp;")","")&amp;IF(M1269&lt;&gt;"","  "&amp;M1269,""),"")</f>
        <v>Status: Not started</v>
      </c>
    </row>
    <row r="1270" customFormat="false" ht="15" hidden="false" customHeight="false" outlineLevel="0" collapsed="false">
      <c r="A1270" s="0" t="s">
        <v>312</v>
      </c>
      <c r="B1270" s="0" t="n">
        <v>1</v>
      </c>
      <c r="C1270" s="0" t="str">
        <f aca="false">IF('Tech Leaders Kits'!C187="","",'Tech Leaders Kits'!C187)</f>
        <v>ESP32 Dev Board + USB cable</v>
      </c>
      <c r="D1270" s="0" t="n">
        <f aca="false">IF('Tech Leaders Kits'!D187="","",'Tech Leaders Kits'!D187)</f>
        <v>1</v>
      </c>
      <c r="E1270" s="0" t="str">
        <f aca="false">IF('Tech Leaders Kits'!E187="","",'Tech Leaders Kits'!E187)</f>
        <v>Per group</v>
      </c>
      <c r="F1270" s="0" t="str">
        <f aca="false">IFERROR(INDEX('Session Tracker'!$M$5:$M$149,MATCH($A1270,'Session Tracker'!$D$5:$D$149,0))+0,"")</f>
        <v/>
      </c>
      <c r="G1270" s="0" t="str">
        <f aca="false">IF(ISNUMBER(F1270),IF(OR(B1270=0,B1270=99,C1270&lt;&gt;""),F1270*100+B1270,""),"")</f>
        <v/>
      </c>
      <c r="H1270" s="0" t="n">
        <f aca="false">IFERROR(INDEX('Session Tracker'!$J$5:$J$149,MATCH($A1270,'Session Tracker'!$D$5:$D$149,0)),0)</f>
        <v>8</v>
      </c>
      <c r="I1270" s="0" t="n">
        <f aca="false">IF(OR(B1270=0,B1270=99,C1270=""),"",IF(E1270="Per class",D1270,D1270*H1270))</f>
        <v>8</v>
      </c>
      <c r="N1270" s="0" t="str">
        <f aca="false">IF('Tech Leaders Kits'!B187="","",'Tech Leaders Kits'!B187)</f>
        <v>Microcontrollers &amp; Dev Boards</v>
      </c>
      <c r="O1270" s="0" t="str">
        <f aca="false">IF('Tech Leaders Kits'!F187="","",'Tech Leaders Kits'!F187)</f>
        <v>Reusable</v>
      </c>
      <c r="P1270" s="0" t="str">
        <f aca="false">IF('Tech Leaders Kits'!G187="","",'Tech Leaders Kits'!G187)</f>
        <v/>
      </c>
    </row>
    <row r="1271" customFormat="false" ht="15" hidden="false" customHeight="false" outlineLevel="0" collapsed="false">
      <c r="A1271" s="0" t="s">
        <v>312</v>
      </c>
      <c r="B1271" s="0" t="n">
        <v>2</v>
      </c>
      <c r="C1271" s="0" t="str">
        <f aca="false">IF('Tech Leaders Kits'!C188="","",'Tech Leaders Kits'!C188)</f>
        <v>DHT22 sensor</v>
      </c>
      <c r="D1271" s="0" t="n">
        <f aca="false">IF('Tech Leaders Kits'!D188="","",'Tech Leaders Kits'!D188)</f>
        <v>1</v>
      </c>
      <c r="E1271" s="0" t="str">
        <f aca="false">IF('Tech Leaders Kits'!E188="","",'Tech Leaders Kits'!E188)</f>
        <v>Per group</v>
      </c>
      <c r="F1271" s="0" t="str">
        <f aca="false">IFERROR(INDEX('Session Tracker'!$M$5:$M$149,MATCH($A1271,'Session Tracker'!$D$5:$D$149,0))+0,"")</f>
        <v/>
      </c>
      <c r="G1271" s="0" t="str">
        <f aca="false">IF(ISNUMBER(F1271),IF(OR(B1271=0,B1271=99,C1271&lt;&gt;""),F1271*100+B1271,""),"")</f>
        <v/>
      </c>
      <c r="H1271" s="0" t="n">
        <f aca="false">IFERROR(INDEX('Session Tracker'!$J$5:$J$149,MATCH($A1271,'Session Tracker'!$D$5:$D$149,0)),0)</f>
        <v>8</v>
      </c>
      <c r="I1271" s="0" t="n">
        <f aca="false">IF(OR(B1271=0,B1271=99,C1271=""),"",IF(E1271="Per class",D1271,D1271*H1271))</f>
        <v>8</v>
      </c>
      <c r="N1271" s="0" t="str">
        <f aca="false">IF('Tech Leaders Kits'!B188="","",'Tech Leaders Kits'!B188)</f>
        <v>Sensors</v>
      </c>
      <c r="O1271" s="0" t="str">
        <f aca="false">IF('Tech Leaders Kits'!F188="","",'Tech Leaders Kits'!F188)</f>
        <v>Reusable</v>
      </c>
      <c r="P1271" s="0" t="str">
        <f aca="false">IF('Tech Leaders Kits'!G188="","",'Tech Leaders Kits'!G188)</f>
        <v/>
      </c>
    </row>
    <row r="1272" customFormat="false" ht="15" hidden="false" customHeight="false" outlineLevel="0" collapsed="false">
      <c r="A1272" s="0" t="s">
        <v>312</v>
      </c>
      <c r="B1272" s="0" t="n">
        <v>3</v>
      </c>
      <c r="C1272" s="0" t="str">
        <f aca="false">IF('Tech Leaders Kits'!C189="","",'Tech Leaders Kits'!C189)</f>
        <v>LDR module</v>
      </c>
      <c r="D1272" s="0" t="n">
        <f aca="false">IF('Tech Leaders Kits'!D189="","",'Tech Leaders Kits'!D189)</f>
        <v>1</v>
      </c>
      <c r="E1272" s="0" t="str">
        <f aca="false">IF('Tech Leaders Kits'!E189="","",'Tech Leaders Kits'!E189)</f>
        <v>Per group</v>
      </c>
      <c r="F1272" s="0" t="str">
        <f aca="false">IFERROR(INDEX('Session Tracker'!$M$5:$M$149,MATCH($A1272,'Session Tracker'!$D$5:$D$149,0))+0,"")</f>
        <v/>
      </c>
      <c r="G1272" s="0" t="str">
        <f aca="false">IF(ISNUMBER(F1272),IF(OR(B1272=0,B1272=99,C1272&lt;&gt;""),F1272*100+B1272,""),"")</f>
        <v/>
      </c>
      <c r="H1272" s="0" t="n">
        <f aca="false">IFERROR(INDEX('Session Tracker'!$J$5:$J$149,MATCH($A1272,'Session Tracker'!$D$5:$D$149,0)),0)</f>
        <v>8</v>
      </c>
      <c r="I1272" s="0" t="n">
        <f aca="false">IF(OR(B1272=0,B1272=99,C1272=""),"",IF(E1272="Per class",D1272,D1272*H1272))</f>
        <v>8</v>
      </c>
      <c r="N1272" s="0" t="str">
        <f aca="false">IF('Tech Leaders Kits'!B189="","",'Tech Leaders Kits'!B189)</f>
        <v>Sensors</v>
      </c>
      <c r="O1272" s="0" t="str">
        <f aca="false">IF('Tech Leaders Kits'!F189="","",'Tech Leaders Kits'!F189)</f>
        <v>Reusable</v>
      </c>
      <c r="P1272" s="0" t="str">
        <f aca="false">IF('Tech Leaders Kits'!G189="","",'Tech Leaders Kits'!G189)</f>
        <v/>
      </c>
    </row>
    <row r="1273" customFormat="false" ht="15" hidden="false" customHeight="false" outlineLevel="0" collapsed="false">
      <c r="A1273" s="0" t="s">
        <v>312</v>
      </c>
      <c r="B1273" s="0" t="n">
        <v>4</v>
      </c>
      <c r="C1273" s="0" t="str">
        <f aca="false">IF('Tech Leaders Kits'!C190="","",'Tech Leaders Kits'!C190)</f>
        <v>Rain sensor</v>
      </c>
      <c r="D1273" s="0" t="n">
        <f aca="false">IF('Tech Leaders Kits'!D190="","",'Tech Leaders Kits'!D190)</f>
        <v>1</v>
      </c>
      <c r="E1273" s="0" t="str">
        <f aca="false">IF('Tech Leaders Kits'!E190="","",'Tech Leaders Kits'!E190)</f>
        <v>Per group</v>
      </c>
      <c r="F1273" s="0" t="str">
        <f aca="false">IFERROR(INDEX('Session Tracker'!$M$5:$M$149,MATCH($A1273,'Session Tracker'!$D$5:$D$149,0))+0,"")</f>
        <v/>
      </c>
      <c r="G1273" s="0" t="str">
        <f aca="false">IF(ISNUMBER(F1273),IF(OR(B1273=0,B1273=99,C1273&lt;&gt;""),F1273*100+B1273,""),"")</f>
        <v/>
      </c>
      <c r="H1273" s="0" t="n">
        <f aca="false">IFERROR(INDEX('Session Tracker'!$J$5:$J$149,MATCH($A1273,'Session Tracker'!$D$5:$D$149,0)),0)</f>
        <v>8</v>
      </c>
      <c r="I1273" s="0" t="n">
        <f aca="false">IF(OR(B1273=0,B1273=99,C1273=""),"",IF(E1273="Per class",D1273,D1273*H1273))</f>
        <v>8</v>
      </c>
      <c r="N1273" s="0" t="str">
        <f aca="false">IF('Tech Leaders Kits'!B190="","",'Tech Leaders Kits'!B190)</f>
        <v>Sensors</v>
      </c>
      <c r="O1273" s="0" t="str">
        <f aca="false">IF('Tech Leaders Kits'!F190="","",'Tech Leaders Kits'!F190)</f>
        <v>Reusable</v>
      </c>
      <c r="P1273" s="0" t="str">
        <f aca="false">IF('Tech Leaders Kits'!G190="","",'Tech Leaders Kits'!G190)</f>
        <v/>
      </c>
    </row>
    <row r="1274" customFormat="false" ht="15" hidden="false" customHeight="false" outlineLevel="0" collapsed="false">
      <c r="A1274" s="0" t="s">
        <v>312</v>
      </c>
      <c r="B1274" s="0" t="n">
        <v>5</v>
      </c>
      <c r="C1274" s="0" t="str">
        <f aca="false">IF('Tech Leaders Kits'!C191="","",'Tech Leaders Kits'!C191)</f>
        <v>Breadboard (half size)</v>
      </c>
      <c r="D1274" s="0" t="n">
        <f aca="false">IF('Tech Leaders Kits'!D191="","",'Tech Leaders Kits'!D191)</f>
        <v>1</v>
      </c>
      <c r="E1274" s="0" t="str">
        <f aca="false">IF('Tech Leaders Kits'!E191="","",'Tech Leaders Kits'!E191)</f>
        <v>Per group</v>
      </c>
      <c r="F1274" s="0" t="str">
        <f aca="false">IFERROR(INDEX('Session Tracker'!$M$5:$M$149,MATCH($A1274,'Session Tracker'!$D$5:$D$149,0))+0,"")</f>
        <v/>
      </c>
      <c r="G1274" s="0" t="str">
        <f aca="false">IF(ISNUMBER(F1274),IF(OR(B1274=0,B1274=99,C1274&lt;&gt;""),F1274*100+B1274,""),"")</f>
        <v/>
      </c>
      <c r="H1274" s="0" t="n">
        <f aca="false">IFERROR(INDEX('Session Tracker'!$J$5:$J$149,MATCH($A1274,'Session Tracker'!$D$5:$D$149,0)),0)</f>
        <v>8</v>
      </c>
      <c r="I1274" s="0" t="n">
        <f aca="false">IF(OR(B1274=0,B1274=99,C1274=""),"",IF(E1274="Per class",D1274,D1274*H1274))</f>
        <v>8</v>
      </c>
      <c r="N1274" s="0" t="str">
        <f aca="false">IF('Tech Leaders Kits'!B191="","",'Tech Leaders Kits'!B191)</f>
        <v>Wiring &amp; Prototyping</v>
      </c>
      <c r="O1274" s="0" t="str">
        <f aca="false">IF('Tech Leaders Kits'!F191="","",'Tech Leaders Kits'!F191)</f>
        <v>Reusable</v>
      </c>
      <c r="P1274" s="0" t="str">
        <f aca="false">IF('Tech Leaders Kits'!G191="","",'Tech Leaders Kits'!G191)</f>
        <v/>
      </c>
    </row>
    <row r="1275" customFormat="false" ht="15" hidden="false" customHeight="false" outlineLevel="0" collapsed="false">
      <c r="A1275" s="0" t="s">
        <v>312</v>
      </c>
      <c r="B1275" s="0" t="n">
        <v>6</v>
      </c>
      <c r="C1275" s="0" t="str">
        <f aca="false">IF('Tech Leaders Kits'!C192="","",'Tech Leaders Kits'!C192)</f>
        <v>Jumper wires M-M</v>
      </c>
      <c r="D1275" s="0" t="n">
        <f aca="false">IF('Tech Leaders Kits'!D192="","",'Tech Leaders Kits'!D192)</f>
        <v>8</v>
      </c>
      <c r="E1275" s="0" t="str">
        <f aca="false">IF('Tech Leaders Kits'!E192="","",'Tech Leaders Kits'!E192)</f>
        <v>Per group</v>
      </c>
      <c r="F1275" s="0" t="str">
        <f aca="false">IFERROR(INDEX('Session Tracker'!$M$5:$M$149,MATCH($A1275,'Session Tracker'!$D$5:$D$149,0))+0,"")</f>
        <v/>
      </c>
      <c r="G1275" s="0" t="str">
        <f aca="false">IF(ISNUMBER(F1275),IF(OR(B1275=0,B1275=99,C1275&lt;&gt;""),F1275*100+B1275,""),"")</f>
        <v/>
      </c>
      <c r="H1275" s="0" t="n">
        <f aca="false">IFERROR(INDEX('Session Tracker'!$J$5:$J$149,MATCH($A1275,'Session Tracker'!$D$5:$D$149,0)),0)</f>
        <v>8</v>
      </c>
      <c r="I1275" s="0" t="n">
        <f aca="false">IF(OR(B1275=0,B1275=99,C1275=""),"",IF(E1275="Per class",D1275,D1275*H1275))</f>
        <v>64</v>
      </c>
      <c r="N1275" s="0" t="str">
        <f aca="false">IF('Tech Leaders Kits'!B192="","",'Tech Leaders Kits'!B192)</f>
        <v>Wiring &amp; Prototyping</v>
      </c>
      <c r="O1275" s="0" t="str">
        <f aca="false">IF('Tech Leaders Kits'!F192="","",'Tech Leaders Kits'!F192)</f>
        <v>Reusable</v>
      </c>
      <c r="P1275" s="0" t="str">
        <f aca="false">IF('Tech Leaders Kits'!G192="","",'Tech Leaders Kits'!G192)</f>
        <v/>
      </c>
    </row>
    <row r="1276" customFormat="false" ht="15" hidden="false" customHeight="false" outlineLevel="0" collapsed="false">
      <c r="A1276" s="0" t="s">
        <v>312</v>
      </c>
      <c r="B1276" s="0" t="n">
        <v>7</v>
      </c>
      <c r="C1276" s="0" t="str">
        <f aca="false">IF('Tech Leaders Kits'!C193="","",'Tech Leaders Kits'!C193)</f>
        <v>Jumper wires M-F</v>
      </c>
      <c r="D1276" s="0" t="n">
        <f aca="false">IF('Tech Leaders Kits'!D193="","",'Tech Leaders Kits'!D193)</f>
        <v>6</v>
      </c>
      <c r="E1276" s="0" t="str">
        <f aca="false">IF('Tech Leaders Kits'!E193="","",'Tech Leaders Kits'!E193)</f>
        <v>Per group</v>
      </c>
      <c r="F1276" s="0" t="str">
        <f aca="false">IFERROR(INDEX('Session Tracker'!$M$5:$M$149,MATCH($A1276,'Session Tracker'!$D$5:$D$149,0))+0,"")</f>
        <v/>
      </c>
      <c r="G1276" s="0" t="str">
        <f aca="false">IF(ISNUMBER(F1276),IF(OR(B1276=0,B1276=99,C1276&lt;&gt;""),F1276*100+B1276,""),"")</f>
        <v/>
      </c>
      <c r="H1276" s="0" t="n">
        <f aca="false">IFERROR(INDEX('Session Tracker'!$J$5:$J$149,MATCH($A1276,'Session Tracker'!$D$5:$D$149,0)),0)</f>
        <v>8</v>
      </c>
      <c r="I1276" s="0" t="n">
        <f aca="false">IF(OR(B1276=0,B1276=99,C1276=""),"",IF(E1276="Per class",D1276,D1276*H1276))</f>
        <v>48</v>
      </c>
      <c r="N1276" s="0" t="str">
        <f aca="false">IF('Tech Leaders Kits'!B193="","",'Tech Leaders Kits'!B193)</f>
        <v>Wiring &amp; Prototyping</v>
      </c>
      <c r="O1276" s="0" t="str">
        <f aca="false">IF('Tech Leaders Kits'!F193="","",'Tech Leaders Kits'!F193)</f>
        <v>Reusable</v>
      </c>
      <c r="P1276" s="0" t="str">
        <f aca="false">IF('Tech Leaders Kits'!G193="","",'Tech Leaders Kits'!G193)</f>
        <v/>
      </c>
    </row>
    <row r="1277" customFormat="false" ht="15" hidden="false" customHeight="false" outlineLevel="0" collapsed="false">
      <c r="A1277" s="0" t="s">
        <v>312</v>
      </c>
      <c r="B1277" s="0" t="n">
        <v>8</v>
      </c>
      <c r="C1277" s="0" t="str">
        <f aca="false">IF('Tech Leaders Kits'!C194="","",'Tech Leaders Kits'!C194)</f>
        <v>Laptop</v>
      </c>
      <c r="D1277" s="0" t="n">
        <f aca="false">IF('Tech Leaders Kits'!D194="","",'Tech Leaders Kits'!D194)</f>
        <v>1</v>
      </c>
      <c r="E1277" s="0" t="str">
        <f aca="false">IF('Tech Leaders Kits'!E194="","",'Tech Leaders Kits'!E194)</f>
        <v>Per group</v>
      </c>
      <c r="F1277" s="0" t="str">
        <f aca="false">IFERROR(INDEX('Session Tracker'!$M$5:$M$149,MATCH($A1277,'Session Tracker'!$D$5:$D$149,0))+0,"")</f>
        <v/>
      </c>
      <c r="G1277" s="0" t="str">
        <f aca="false">IF(ISNUMBER(F1277),IF(OR(B1277=0,B1277=99,C1277&lt;&gt;""),F1277*100+B1277,""),"")</f>
        <v/>
      </c>
      <c r="H1277" s="0" t="n">
        <f aca="false">IFERROR(INDEX('Session Tracker'!$J$5:$J$149,MATCH($A1277,'Session Tracker'!$D$5:$D$149,0)),0)</f>
        <v>8</v>
      </c>
      <c r="I1277" s="0" t="n">
        <f aca="false">IF(OR(B1277=0,B1277=99,C1277=""),"",IF(E1277="Per class",D1277,D1277*H1277))</f>
        <v>8</v>
      </c>
      <c r="N1277" s="0" t="str">
        <f aca="false">IF('Tech Leaders Kits'!B194="","",'Tech Leaders Kits'!B194)</f>
        <v>Computers &amp; Equipment</v>
      </c>
      <c r="O1277" s="0" t="str">
        <f aca="false">IF('Tech Leaders Kits'!F194="","",'Tech Leaders Kits'!F194)</f>
        <v>Reusable</v>
      </c>
      <c r="P1277" s="0" t="str">
        <f aca="false">IF('Tech Leaders Kits'!G194="","",'Tech Leaders Kits'!G194)</f>
        <v/>
      </c>
    </row>
    <row r="1278" customFormat="false" ht="15" hidden="false" customHeight="false" outlineLevel="0" collapsed="false">
      <c r="A1278" s="0" t="s">
        <v>312</v>
      </c>
      <c r="B1278" s="0" t="n">
        <v>9</v>
      </c>
      <c r="C1278" s="0" t="str">
        <f aca="false">IF('Tech Leaders Kits'!C195="","",'Tech Leaders Kits'!C195)</f>
        <v/>
      </c>
      <c r="D1278" s="0" t="str">
        <f aca="false">IF('Tech Leaders Kits'!D195="","",'Tech Leaders Kits'!D195)</f>
        <v/>
      </c>
      <c r="E1278" s="0" t="str">
        <f aca="false">IF('Tech Leaders Kits'!E195="","",'Tech Leaders Kits'!E195)</f>
        <v/>
      </c>
      <c r="F1278" s="0" t="str">
        <f aca="false">IFERROR(INDEX('Session Tracker'!$M$5:$M$149,MATCH($A1278,'Session Tracker'!$D$5:$D$149,0))+0,"")</f>
        <v/>
      </c>
      <c r="G1278" s="0" t="str">
        <f aca="false">IF(ISNUMBER(F1278),IF(OR(B1278=0,B1278=99,C1278&lt;&gt;""),F1278*100+B1278,""),"")</f>
        <v/>
      </c>
      <c r="H1278" s="0" t="n">
        <f aca="false">IFERROR(INDEX('Session Tracker'!$J$5:$J$149,MATCH($A1278,'Session Tracker'!$D$5:$D$149,0)),0)</f>
        <v>8</v>
      </c>
      <c r="I1278" s="0" t="str">
        <f aca="false">IF(OR(B1278=0,B1278=99,C1278=""),"",IF(E1278="Per class",D1278,D1278*H1278))</f>
        <v/>
      </c>
      <c r="N1278" s="0" t="str">
        <f aca="false">IF('Tech Leaders Kits'!B195="","",'Tech Leaders Kits'!B195)</f>
        <v/>
      </c>
      <c r="O1278" s="0" t="str">
        <f aca="false">IF('Tech Leaders Kits'!F195="","",'Tech Leaders Kits'!F195)</f>
        <v/>
      </c>
      <c r="P1278" s="0" t="str">
        <f aca="false">IF('Tech Leaders Kits'!G195="","",'Tech Leaders Kits'!G195)</f>
        <v/>
      </c>
    </row>
    <row r="1279" customFormat="false" ht="15" hidden="false" customHeight="false" outlineLevel="0" collapsed="false">
      <c r="A1279" s="0" t="s">
        <v>312</v>
      </c>
      <c r="B1279" s="0" t="n">
        <v>10</v>
      </c>
      <c r="C1279" s="0" t="str">
        <f aca="false">IF('Tech Leaders Kits'!C196="","",'Tech Leaders Kits'!C196)</f>
        <v/>
      </c>
      <c r="D1279" s="0" t="str">
        <f aca="false">IF('Tech Leaders Kits'!D196="","",'Tech Leaders Kits'!D196)</f>
        <v/>
      </c>
      <c r="E1279" s="0" t="str">
        <f aca="false">IF('Tech Leaders Kits'!E196="","",'Tech Leaders Kits'!E196)</f>
        <v/>
      </c>
      <c r="F1279" s="0" t="str">
        <f aca="false">IFERROR(INDEX('Session Tracker'!$M$5:$M$149,MATCH($A1279,'Session Tracker'!$D$5:$D$149,0))+0,"")</f>
        <v/>
      </c>
      <c r="G1279" s="0" t="str">
        <f aca="false">IF(ISNUMBER(F1279),IF(OR(B1279=0,B1279=99,C1279&lt;&gt;""),F1279*100+B1279,""),"")</f>
        <v/>
      </c>
      <c r="H1279" s="0" t="n">
        <f aca="false">IFERROR(INDEX('Session Tracker'!$J$5:$J$149,MATCH($A1279,'Session Tracker'!$D$5:$D$149,0)),0)</f>
        <v>8</v>
      </c>
      <c r="I1279" s="0" t="str">
        <f aca="false">IF(OR(B1279=0,B1279=99,C1279=""),"",IF(E1279="Per class",D1279,D1279*H1279))</f>
        <v/>
      </c>
      <c r="N1279" s="0" t="str">
        <f aca="false">IF('Tech Leaders Kits'!B196="","",'Tech Leaders Kits'!B196)</f>
        <v/>
      </c>
      <c r="O1279" s="0" t="str">
        <f aca="false">IF('Tech Leaders Kits'!F196="","",'Tech Leaders Kits'!F196)</f>
        <v/>
      </c>
      <c r="P1279" s="0" t="str">
        <f aca="false">IF('Tech Leaders Kits'!G196="","",'Tech Leaders Kits'!G196)</f>
        <v/>
      </c>
    </row>
    <row r="1280" customFormat="false" ht="15" hidden="false" customHeight="false" outlineLevel="0" collapsed="false">
      <c r="A1280" s="0" t="s">
        <v>314</v>
      </c>
      <c r="B1280" s="0" t="n">
        <v>0</v>
      </c>
      <c r="F1280" s="0" t="str">
        <f aca="false">IFERROR(INDEX('Session Tracker'!$M$5:$M$149,MATCH($A1280,'Session Tracker'!$D$5:$D$149,0))+0,"")</f>
        <v/>
      </c>
      <c r="G1280" s="0" t="str">
        <f aca="false">IF(ISNUMBER(F1280),IF(OR(B1280=0,B1280=99,C1280&lt;&gt;""),F1280*100+B1280,""),"")</f>
        <v/>
      </c>
      <c r="H1280" s="0" t="n">
        <f aca="false">IFERROR(INDEX('Session Tracker'!$J$5:$J$149,MATCH($A1280,'Session Tracker'!$D$5:$D$149,0)),0)</f>
        <v>8</v>
      </c>
      <c r="I1280" s="0" t="str">
        <f aca="false">IF(OR(B1280=0,B1280=99,C1280=""),"",IF(E1280="Per class",D1280,D1280*H1280))</f>
        <v/>
      </c>
      <c r="K1280" s="0" t="str">
        <f aca="false">IFERROR(INDEX('Session Tracker'!$E$5:$E$149,MATCH($A1280,'Session Tracker'!$D$5:$D$149,0)),"")</f>
        <v>AI Fake News Detector</v>
      </c>
      <c r="L1280" s="0" t="str">
        <f aca="false">IFERROR(INDEX('Session Tracker'!$A$5:$A$149,MATCH($A1280,'Session Tracker'!$D$5:$D$149,0)),"")</f>
        <v>Tech Leaders (15-17)</v>
      </c>
      <c r="M1280" s="0" t="str">
        <f aca="false">IFERROR(INDEX('Session Tracker'!$H$5:$H$149,MATCH($A1280,'Session Tracker'!$D$5:$D$149,0))&amp;"","")</f>
        <v/>
      </c>
      <c r="Q1280" s="0" t="str">
        <f aca="false">IFERROR("Status: "&amp;INDEX('Session Tracker'!$F$5:$F$149,MATCH($A1280,'Session Tracker'!$D$5:$D$149,0))&amp;IF(INDEX('Session Tracker'!$G$5:$G$149,MATCH($A1280,'Session Tracker'!$D$5:$D$149,0))&lt;&gt;""," ("&amp;INDEX('Session Tracker'!$G$5:$G$149,MATCH($A1280,'Session Tracker'!$D$5:$D$149,0))&amp;")","")&amp;IF(M1280&lt;&gt;"","  "&amp;M1280,""),"")</f>
        <v>Status: Not started</v>
      </c>
    </row>
    <row r="1281" customFormat="false" ht="15" hidden="false" customHeight="false" outlineLevel="0" collapsed="false">
      <c r="A1281" s="0" t="s">
        <v>314</v>
      </c>
      <c r="B1281" s="0" t="n">
        <v>1</v>
      </c>
      <c r="C1281" s="0" t="str">
        <f aca="false">IF('Tech Leaders Kits'!C199="","",'Tech Leaders Kits'!C199)</f>
        <v>Laptop</v>
      </c>
      <c r="D1281" s="0" t="n">
        <f aca="false">IF('Tech Leaders Kits'!D199="","",'Tech Leaders Kits'!D199)</f>
        <v>1</v>
      </c>
      <c r="E1281" s="0" t="str">
        <f aca="false">IF('Tech Leaders Kits'!E199="","",'Tech Leaders Kits'!E199)</f>
        <v>Per group</v>
      </c>
      <c r="F1281" s="0" t="str">
        <f aca="false">IFERROR(INDEX('Session Tracker'!$M$5:$M$149,MATCH($A1281,'Session Tracker'!$D$5:$D$149,0))+0,"")</f>
        <v/>
      </c>
      <c r="G1281" s="0" t="str">
        <f aca="false">IF(ISNUMBER(F1281),IF(OR(B1281=0,B1281=99,C1281&lt;&gt;""),F1281*100+B1281,""),"")</f>
        <v/>
      </c>
      <c r="H1281" s="0" t="n">
        <f aca="false">IFERROR(INDEX('Session Tracker'!$J$5:$J$149,MATCH($A1281,'Session Tracker'!$D$5:$D$149,0)),0)</f>
        <v>8</v>
      </c>
      <c r="I1281" s="0" t="n">
        <f aca="false">IF(OR(B1281=0,B1281=99,C1281=""),"",IF(E1281="Per class",D1281,D1281*H1281))</f>
        <v>8</v>
      </c>
      <c r="N1281" s="0" t="str">
        <f aca="false">IF('Tech Leaders Kits'!B199="","",'Tech Leaders Kits'!B199)</f>
        <v>Computers &amp; Equipment</v>
      </c>
      <c r="O1281" s="0" t="str">
        <f aca="false">IF('Tech Leaders Kits'!F199="","",'Tech Leaders Kits'!F199)</f>
        <v>Reusable</v>
      </c>
      <c r="P1281" s="0" t="str">
        <f aca="false">IF('Tech Leaders Kits'!G199="","",'Tech Leaders Kits'!G199)</f>
        <v/>
      </c>
    </row>
    <row r="1282" customFormat="false" ht="15" hidden="false" customHeight="false" outlineLevel="0" collapsed="false">
      <c r="A1282" s="0" t="s">
        <v>314</v>
      </c>
      <c r="B1282" s="0" t="n">
        <v>2</v>
      </c>
      <c r="C1282" s="0" t="str">
        <f aca="false">IF('Tech Leaders Kits'!C200="","",'Tech Leaders Kits'!C200)</f>
        <v/>
      </c>
      <c r="D1282" s="0" t="str">
        <f aca="false">IF('Tech Leaders Kits'!D200="","",'Tech Leaders Kits'!D200)</f>
        <v/>
      </c>
      <c r="E1282" s="0" t="str">
        <f aca="false">IF('Tech Leaders Kits'!E200="","",'Tech Leaders Kits'!E200)</f>
        <v/>
      </c>
      <c r="F1282" s="0" t="str">
        <f aca="false">IFERROR(INDEX('Session Tracker'!$M$5:$M$149,MATCH($A1282,'Session Tracker'!$D$5:$D$149,0))+0,"")</f>
        <v/>
      </c>
      <c r="G1282" s="0" t="str">
        <f aca="false">IF(ISNUMBER(F1282),IF(OR(B1282=0,B1282=99,C1282&lt;&gt;""),F1282*100+B1282,""),"")</f>
        <v/>
      </c>
      <c r="H1282" s="0" t="n">
        <f aca="false">IFERROR(INDEX('Session Tracker'!$J$5:$J$149,MATCH($A1282,'Session Tracker'!$D$5:$D$149,0)),0)</f>
        <v>8</v>
      </c>
      <c r="I1282" s="0" t="str">
        <f aca="false">IF(OR(B1282=0,B1282=99,C1282=""),"",IF(E1282="Per class",D1282,D1282*H1282))</f>
        <v/>
      </c>
      <c r="N1282" s="0" t="str">
        <f aca="false">IF('Tech Leaders Kits'!B200="","",'Tech Leaders Kits'!B200)</f>
        <v/>
      </c>
      <c r="O1282" s="0" t="str">
        <f aca="false">IF('Tech Leaders Kits'!F200="","",'Tech Leaders Kits'!F200)</f>
        <v/>
      </c>
      <c r="P1282" s="0" t="str">
        <f aca="false">IF('Tech Leaders Kits'!G200="","",'Tech Leaders Kits'!G200)</f>
        <v/>
      </c>
    </row>
    <row r="1283" customFormat="false" ht="15" hidden="false" customHeight="false" outlineLevel="0" collapsed="false">
      <c r="A1283" s="0" t="s">
        <v>314</v>
      </c>
      <c r="B1283" s="0" t="n">
        <v>3</v>
      </c>
      <c r="C1283" s="0" t="str">
        <f aca="false">IF('Tech Leaders Kits'!C201="","",'Tech Leaders Kits'!C201)</f>
        <v/>
      </c>
      <c r="D1283" s="0" t="str">
        <f aca="false">IF('Tech Leaders Kits'!D201="","",'Tech Leaders Kits'!D201)</f>
        <v/>
      </c>
      <c r="E1283" s="0" t="str">
        <f aca="false">IF('Tech Leaders Kits'!E201="","",'Tech Leaders Kits'!E201)</f>
        <v/>
      </c>
      <c r="F1283" s="0" t="str">
        <f aca="false">IFERROR(INDEX('Session Tracker'!$M$5:$M$149,MATCH($A1283,'Session Tracker'!$D$5:$D$149,0))+0,"")</f>
        <v/>
      </c>
      <c r="G1283" s="0" t="str">
        <f aca="false">IF(ISNUMBER(F1283),IF(OR(B1283=0,B1283=99,C1283&lt;&gt;""),F1283*100+B1283,""),"")</f>
        <v/>
      </c>
      <c r="H1283" s="0" t="n">
        <f aca="false">IFERROR(INDEX('Session Tracker'!$J$5:$J$149,MATCH($A1283,'Session Tracker'!$D$5:$D$149,0)),0)</f>
        <v>8</v>
      </c>
      <c r="I1283" s="0" t="str">
        <f aca="false">IF(OR(B1283=0,B1283=99,C1283=""),"",IF(E1283="Per class",D1283,D1283*H1283))</f>
        <v/>
      </c>
      <c r="N1283" s="0" t="str">
        <f aca="false">IF('Tech Leaders Kits'!B201="","",'Tech Leaders Kits'!B201)</f>
        <v/>
      </c>
      <c r="O1283" s="0" t="str">
        <f aca="false">IF('Tech Leaders Kits'!F201="","",'Tech Leaders Kits'!F201)</f>
        <v/>
      </c>
      <c r="P1283" s="0" t="str">
        <f aca="false">IF('Tech Leaders Kits'!G201="","",'Tech Leaders Kits'!G201)</f>
        <v/>
      </c>
    </row>
    <row r="1284" customFormat="false" ht="15" hidden="false" customHeight="false" outlineLevel="0" collapsed="false">
      <c r="A1284" s="0" t="s">
        <v>316</v>
      </c>
      <c r="B1284" s="0" t="n">
        <v>0</v>
      </c>
      <c r="F1284" s="0" t="str">
        <f aca="false">IFERROR(INDEX('Session Tracker'!$M$5:$M$149,MATCH($A1284,'Session Tracker'!$D$5:$D$149,0))+0,"")</f>
        <v/>
      </c>
      <c r="G1284" s="0" t="str">
        <f aca="false">IF(ISNUMBER(F1284),IF(OR(B1284=0,B1284=99,C1284&lt;&gt;""),F1284*100+B1284,""),"")</f>
        <v/>
      </c>
      <c r="H1284" s="0" t="n">
        <f aca="false">IFERROR(INDEX('Session Tracker'!$J$5:$J$149,MATCH($A1284,'Session Tracker'!$D$5:$D$149,0)),0)</f>
        <v>8</v>
      </c>
      <c r="I1284" s="0" t="str">
        <f aca="false">IF(OR(B1284=0,B1284=99,C1284=""),"",IF(E1284="Per class",D1284,D1284*H1284))</f>
        <v/>
      </c>
      <c r="K1284" s="0" t="str">
        <f aca="false">IFERROR(INDEX('Session Tracker'!$E$5:$E$149,MATCH($A1284,'Session Tracker'!$D$5:$D$149,0)),"")</f>
        <v>Web-Controlled Devices via REST API</v>
      </c>
      <c r="L1284" s="0" t="str">
        <f aca="false">IFERROR(INDEX('Session Tracker'!$A$5:$A$149,MATCH($A1284,'Session Tracker'!$D$5:$D$149,0)),"")</f>
        <v>Tech Leaders (15-17)</v>
      </c>
      <c r="M1284" s="0" t="str">
        <f aca="false">IFERROR(INDEX('Session Tracker'!$H$5:$H$149,MATCH($A1284,'Session Tracker'!$D$5:$D$149,0))&amp;"","")</f>
        <v/>
      </c>
      <c r="Q1284" s="0" t="str">
        <f aca="false">IFERROR("Status: "&amp;INDEX('Session Tracker'!$F$5:$F$149,MATCH($A1284,'Session Tracker'!$D$5:$D$149,0))&amp;IF(INDEX('Session Tracker'!$G$5:$G$149,MATCH($A1284,'Session Tracker'!$D$5:$D$149,0))&lt;&gt;""," ("&amp;INDEX('Session Tracker'!$G$5:$G$149,MATCH($A1284,'Session Tracker'!$D$5:$D$149,0))&amp;")","")&amp;IF(M1284&lt;&gt;"","  "&amp;M1284,""),"")</f>
        <v>Status: Not started</v>
      </c>
    </row>
    <row r="1285" customFormat="false" ht="15" hidden="false" customHeight="false" outlineLevel="0" collapsed="false">
      <c r="A1285" s="0" t="s">
        <v>316</v>
      </c>
      <c r="B1285" s="0" t="n">
        <v>1</v>
      </c>
      <c r="C1285" s="0" t="str">
        <f aca="false">IF('Tech Leaders Kits'!C204="","",'Tech Leaders Kits'!C204)</f>
        <v>ESP32 Dev Board + USB cable</v>
      </c>
      <c r="D1285" s="0" t="n">
        <f aca="false">IF('Tech Leaders Kits'!D204="","",'Tech Leaders Kits'!D204)</f>
        <v>1</v>
      </c>
      <c r="E1285" s="0" t="str">
        <f aca="false">IF('Tech Leaders Kits'!E204="","",'Tech Leaders Kits'!E204)</f>
        <v>Per group</v>
      </c>
      <c r="F1285" s="0" t="str">
        <f aca="false">IFERROR(INDEX('Session Tracker'!$M$5:$M$149,MATCH($A1285,'Session Tracker'!$D$5:$D$149,0))+0,"")</f>
        <v/>
      </c>
      <c r="G1285" s="0" t="str">
        <f aca="false">IF(ISNUMBER(F1285),IF(OR(B1285=0,B1285=99,C1285&lt;&gt;""),F1285*100+B1285,""),"")</f>
        <v/>
      </c>
      <c r="H1285" s="0" t="n">
        <f aca="false">IFERROR(INDEX('Session Tracker'!$J$5:$J$149,MATCH($A1285,'Session Tracker'!$D$5:$D$149,0)),0)</f>
        <v>8</v>
      </c>
      <c r="I1285" s="0" t="n">
        <f aca="false">IF(OR(B1285=0,B1285=99,C1285=""),"",IF(E1285="Per class",D1285,D1285*H1285))</f>
        <v>8</v>
      </c>
      <c r="N1285" s="0" t="str">
        <f aca="false">IF('Tech Leaders Kits'!B204="","",'Tech Leaders Kits'!B204)</f>
        <v>Microcontrollers &amp; Dev Boards</v>
      </c>
      <c r="O1285" s="0" t="str">
        <f aca="false">IF('Tech Leaders Kits'!F204="","",'Tech Leaders Kits'!F204)</f>
        <v>Reusable</v>
      </c>
      <c r="P1285" s="0" t="str">
        <f aca="false">IF('Tech Leaders Kits'!G204="","",'Tech Leaders Kits'!G204)</f>
        <v/>
      </c>
    </row>
    <row r="1286" customFormat="false" ht="15" hidden="false" customHeight="false" outlineLevel="0" collapsed="false">
      <c r="A1286" s="0" t="s">
        <v>316</v>
      </c>
      <c r="B1286" s="0" t="n">
        <v>2</v>
      </c>
      <c r="C1286" s="0" t="str">
        <f aca="false">IF('Tech Leaders Kits'!C205="","",'Tech Leaders Kits'!C205)</f>
        <v>Relay module (1-channel)</v>
      </c>
      <c r="D1286" s="0" t="n">
        <f aca="false">IF('Tech Leaders Kits'!D205="","",'Tech Leaders Kits'!D205)</f>
        <v>1</v>
      </c>
      <c r="E1286" s="0" t="str">
        <f aca="false">IF('Tech Leaders Kits'!E205="","",'Tech Leaders Kits'!E205)</f>
        <v>Per group</v>
      </c>
      <c r="F1286" s="0" t="str">
        <f aca="false">IFERROR(INDEX('Session Tracker'!$M$5:$M$149,MATCH($A1286,'Session Tracker'!$D$5:$D$149,0))+0,"")</f>
        <v/>
      </c>
      <c r="G1286" s="0" t="str">
        <f aca="false">IF(ISNUMBER(F1286),IF(OR(B1286=0,B1286=99,C1286&lt;&gt;""),F1286*100+B1286,""),"")</f>
        <v/>
      </c>
      <c r="H1286" s="0" t="n">
        <f aca="false">IFERROR(INDEX('Session Tracker'!$J$5:$J$149,MATCH($A1286,'Session Tracker'!$D$5:$D$149,0)),0)</f>
        <v>8</v>
      </c>
      <c r="I1286" s="0" t="n">
        <f aca="false">IF(OR(B1286=0,B1286=99,C1286=""),"",IF(E1286="Per class",D1286,D1286*H1286))</f>
        <v>8</v>
      </c>
      <c r="N1286" s="0" t="str">
        <f aca="false">IF('Tech Leaders Kits'!B205="","",'Tech Leaders Kits'!B205)</f>
        <v>Actuators &amp; Motor Drivers</v>
      </c>
      <c r="O1286" s="0" t="str">
        <f aca="false">IF('Tech Leaders Kits'!F205="","",'Tech Leaders Kits'!F205)</f>
        <v>Reusable</v>
      </c>
      <c r="P1286" s="0" t="str">
        <f aca="false">IF('Tech Leaders Kits'!G205="","",'Tech Leaders Kits'!G205)</f>
        <v/>
      </c>
    </row>
    <row r="1287" customFormat="false" ht="15" hidden="false" customHeight="false" outlineLevel="0" collapsed="false">
      <c r="A1287" s="0" t="s">
        <v>316</v>
      </c>
      <c r="B1287" s="0" t="n">
        <v>3</v>
      </c>
      <c r="C1287" s="0" t="str">
        <f aca="false">IF('Tech Leaders Kits'!C206="","",'Tech Leaders Kits'!C206)</f>
        <v>Low-voltage LED lamp (5 V)</v>
      </c>
      <c r="D1287" s="0" t="n">
        <f aca="false">IF('Tech Leaders Kits'!D206="","",'Tech Leaders Kits'!D206)</f>
        <v>1</v>
      </c>
      <c r="E1287" s="0" t="str">
        <f aca="false">IF('Tech Leaders Kits'!E206="","",'Tech Leaders Kits'!E206)</f>
        <v>Per group</v>
      </c>
      <c r="F1287" s="0" t="str">
        <f aca="false">IFERROR(INDEX('Session Tracker'!$M$5:$M$149,MATCH($A1287,'Session Tracker'!$D$5:$D$149,0))+0,"")</f>
        <v/>
      </c>
      <c r="G1287" s="0" t="str">
        <f aca="false">IF(ISNUMBER(F1287),IF(OR(B1287=0,B1287=99,C1287&lt;&gt;""),F1287*100+B1287,""),"")</f>
        <v/>
      </c>
      <c r="H1287" s="0" t="n">
        <f aca="false">IFERROR(INDEX('Session Tracker'!$J$5:$J$149,MATCH($A1287,'Session Tracker'!$D$5:$D$149,0)),0)</f>
        <v>8</v>
      </c>
      <c r="I1287" s="0" t="n">
        <f aca="false">IF(OR(B1287=0,B1287=99,C1287=""),"",IF(E1287="Per class",D1287,D1287*H1287))</f>
        <v>8</v>
      </c>
      <c r="N1287" s="0" t="str">
        <f aca="false">IF('Tech Leaders Kits'!B206="","",'Tech Leaders Kits'!B206)</f>
        <v>Displays &amp; Output</v>
      </c>
      <c r="O1287" s="0" t="str">
        <f aca="false">IF('Tech Leaders Kits'!F206="","",'Tech Leaders Kits'!F206)</f>
        <v>Reusable</v>
      </c>
      <c r="P1287" s="0" t="str">
        <f aca="false">IF('Tech Leaders Kits'!G206="","",'Tech Leaders Kits'!G206)</f>
        <v/>
      </c>
    </row>
    <row r="1288" customFormat="false" ht="15" hidden="false" customHeight="false" outlineLevel="0" collapsed="false">
      <c r="A1288" s="0" t="s">
        <v>316</v>
      </c>
      <c r="B1288" s="0" t="n">
        <v>4</v>
      </c>
      <c r="C1288" s="0" t="str">
        <f aca="false">IF('Tech Leaders Kits'!C207="","",'Tech Leaders Kits'!C207)</f>
        <v>LED 5 mm (assorted)</v>
      </c>
      <c r="D1288" s="0" t="n">
        <f aca="false">IF('Tech Leaders Kits'!D207="","",'Tech Leaders Kits'!D207)</f>
        <v>2</v>
      </c>
      <c r="E1288" s="0" t="str">
        <f aca="false">IF('Tech Leaders Kits'!E207="","",'Tech Leaders Kits'!E207)</f>
        <v>Per group</v>
      </c>
      <c r="F1288" s="0" t="str">
        <f aca="false">IFERROR(INDEX('Session Tracker'!$M$5:$M$149,MATCH($A1288,'Session Tracker'!$D$5:$D$149,0))+0,"")</f>
        <v/>
      </c>
      <c r="G1288" s="0" t="str">
        <f aca="false">IF(ISNUMBER(F1288),IF(OR(B1288=0,B1288=99,C1288&lt;&gt;""),F1288*100+B1288,""),"")</f>
        <v/>
      </c>
      <c r="H1288" s="0" t="n">
        <f aca="false">IFERROR(INDEX('Session Tracker'!$J$5:$J$149,MATCH($A1288,'Session Tracker'!$D$5:$D$149,0)),0)</f>
        <v>8</v>
      </c>
      <c r="I1288" s="0" t="n">
        <f aca="false">IF(OR(B1288=0,B1288=99,C1288=""),"",IF(E1288="Per class",D1288,D1288*H1288))</f>
        <v>16</v>
      </c>
      <c r="N1288" s="0" t="str">
        <f aca="false">IF('Tech Leaders Kits'!B207="","",'Tech Leaders Kits'!B207)</f>
        <v>Displays &amp; Output</v>
      </c>
      <c r="O1288" s="0" t="str">
        <f aca="false">IF('Tech Leaders Kits'!F207="","",'Tech Leaders Kits'!F207)</f>
        <v>Consumable</v>
      </c>
      <c r="P1288" s="0" t="str">
        <f aca="false">IF('Tech Leaders Kits'!G207="","",'Tech Leaders Kits'!G207)</f>
        <v/>
      </c>
    </row>
    <row r="1289" customFormat="false" ht="15" hidden="false" customHeight="false" outlineLevel="0" collapsed="false">
      <c r="A1289" s="0" t="s">
        <v>316</v>
      </c>
      <c r="B1289" s="0" t="n">
        <v>5</v>
      </c>
      <c r="C1289" s="0" t="str">
        <f aca="false">IF('Tech Leaders Kits'!C208="","",'Tech Leaders Kits'!C208)</f>
        <v>Resistor 220 ohm</v>
      </c>
      <c r="D1289" s="0" t="n">
        <f aca="false">IF('Tech Leaders Kits'!D208="","",'Tech Leaders Kits'!D208)</f>
        <v>2</v>
      </c>
      <c r="E1289" s="0" t="str">
        <f aca="false">IF('Tech Leaders Kits'!E208="","",'Tech Leaders Kits'!E208)</f>
        <v>Per group</v>
      </c>
      <c r="F1289" s="0" t="str">
        <f aca="false">IFERROR(INDEX('Session Tracker'!$M$5:$M$149,MATCH($A1289,'Session Tracker'!$D$5:$D$149,0))+0,"")</f>
        <v/>
      </c>
      <c r="G1289" s="0" t="str">
        <f aca="false">IF(ISNUMBER(F1289),IF(OR(B1289=0,B1289=99,C1289&lt;&gt;""),F1289*100+B1289,""),"")</f>
        <v/>
      </c>
      <c r="H1289" s="0" t="n">
        <f aca="false">IFERROR(INDEX('Session Tracker'!$J$5:$J$149,MATCH($A1289,'Session Tracker'!$D$5:$D$149,0)),0)</f>
        <v>8</v>
      </c>
      <c r="I1289" s="0" t="n">
        <f aca="false">IF(OR(B1289=0,B1289=99,C1289=""),"",IF(E1289="Per class",D1289,D1289*H1289))</f>
        <v>16</v>
      </c>
      <c r="N1289" s="0" t="str">
        <f aca="false">IF('Tech Leaders Kits'!B208="","",'Tech Leaders Kits'!B208)</f>
        <v>Passive Components &amp; ICs</v>
      </c>
      <c r="O1289" s="0" t="str">
        <f aca="false">IF('Tech Leaders Kits'!F208="","",'Tech Leaders Kits'!F208)</f>
        <v>Consumable</v>
      </c>
      <c r="P1289" s="0" t="str">
        <f aca="false">IF('Tech Leaders Kits'!G208="","",'Tech Leaders Kits'!G208)</f>
        <v/>
      </c>
    </row>
    <row r="1290" customFormat="false" ht="15" hidden="false" customHeight="false" outlineLevel="0" collapsed="false">
      <c r="A1290" s="0" t="s">
        <v>316</v>
      </c>
      <c r="B1290" s="0" t="n">
        <v>6</v>
      </c>
      <c r="C1290" s="0" t="str">
        <f aca="false">IF('Tech Leaders Kits'!C209="","",'Tech Leaders Kits'!C209)</f>
        <v>DHT22 sensor</v>
      </c>
      <c r="D1290" s="0" t="n">
        <f aca="false">IF('Tech Leaders Kits'!D209="","",'Tech Leaders Kits'!D209)</f>
        <v>1</v>
      </c>
      <c r="E1290" s="0" t="str">
        <f aca="false">IF('Tech Leaders Kits'!E209="","",'Tech Leaders Kits'!E209)</f>
        <v>Per group</v>
      </c>
      <c r="F1290" s="0" t="str">
        <f aca="false">IFERROR(INDEX('Session Tracker'!$M$5:$M$149,MATCH($A1290,'Session Tracker'!$D$5:$D$149,0))+0,"")</f>
        <v/>
      </c>
      <c r="G1290" s="0" t="str">
        <f aca="false">IF(ISNUMBER(F1290),IF(OR(B1290=0,B1290=99,C1290&lt;&gt;""),F1290*100+B1290,""),"")</f>
        <v/>
      </c>
      <c r="H1290" s="0" t="n">
        <f aca="false">IFERROR(INDEX('Session Tracker'!$J$5:$J$149,MATCH($A1290,'Session Tracker'!$D$5:$D$149,0)),0)</f>
        <v>8</v>
      </c>
      <c r="I1290" s="0" t="n">
        <f aca="false">IF(OR(B1290=0,B1290=99,C1290=""),"",IF(E1290="Per class",D1290,D1290*H1290))</f>
        <v>8</v>
      </c>
      <c r="N1290" s="0" t="str">
        <f aca="false">IF('Tech Leaders Kits'!B209="","",'Tech Leaders Kits'!B209)</f>
        <v>Sensors</v>
      </c>
      <c r="O1290" s="0" t="str">
        <f aca="false">IF('Tech Leaders Kits'!F209="","",'Tech Leaders Kits'!F209)</f>
        <v>Reusable</v>
      </c>
      <c r="P1290" s="0" t="str">
        <f aca="false">IF('Tech Leaders Kits'!G209="","",'Tech Leaders Kits'!G209)</f>
        <v/>
      </c>
    </row>
    <row r="1291" customFormat="false" ht="15" hidden="false" customHeight="false" outlineLevel="0" collapsed="false">
      <c r="A1291" s="0" t="s">
        <v>316</v>
      </c>
      <c r="B1291" s="0" t="n">
        <v>7</v>
      </c>
      <c r="C1291" s="0" t="str">
        <f aca="false">IF('Tech Leaders Kits'!C210="","",'Tech Leaders Kits'!C210)</f>
        <v>Breadboard (half size)</v>
      </c>
      <c r="D1291" s="0" t="n">
        <f aca="false">IF('Tech Leaders Kits'!D210="","",'Tech Leaders Kits'!D210)</f>
        <v>1</v>
      </c>
      <c r="E1291" s="0" t="str">
        <f aca="false">IF('Tech Leaders Kits'!E210="","",'Tech Leaders Kits'!E210)</f>
        <v>Per group</v>
      </c>
      <c r="F1291" s="0" t="str">
        <f aca="false">IFERROR(INDEX('Session Tracker'!$M$5:$M$149,MATCH($A1291,'Session Tracker'!$D$5:$D$149,0))+0,"")</f>
        <v/>
      </c>
      <c r="G1291" s="0" t="str">
        <f aca="false">IF(ISNUMBER(F1291),IF(OR(B1291=0,B1291=99,C1291&lt;&gt;""),F1291*100+B1291,""),"")</f>
        <v/>
      </c>
      <c r="H1291" s="0" t="n">
        <f aca="false">IFERROR(INDEX('Session Tracker'!$J$5:$J$149,MATCH($A1291,'Session Tracker'!$D$5:$D$149,0)),0)</f>
        <v>8</v>
      </c>
      <c r="I1291" s="0" t="n">
        <f aca="false">IF(OR(B1291=0,B1291=99,C1291=""),"",IF(E1291="Per class",D1291,D1291*H1291))</f>
        <v>8</v>
      </c>
      <c r="N1291" s="0" t="str">
        <f aca="false">IF('Tech Leaders Kits'!B210="","",'Tech Leaders Kits'!B210)</f>
        <v>Wiring &amp; Prototyping</v>
      </c>
      <c r="O1291" s="0" t="str">
        <f aca="false">IF('Tech Leaders Kits'!F210="","",'Tech Leaders Kits'!F210)</f>
        <v>Reusable</v>
      </c>
      <c r="P1291" s="0" t="str">
        <f aca="false">IF('Tech Leaders Kits'!G210="","",'Tech Leaders Kits'!G210)</f>
        <v/>
      </c>
    </row>
    <row r="1292" customFormat="false" ht="15" hidden="false" customHeight="false" outlineLevel="0" collapsed="false">
      <c r="A1292" s="0" t="s">
        <v>316</v>
      </c>
      <c r="B1292" s="0" t="n">
        <v>8</v>
      </c>
      <c r="C1292" s="0" t="str">
        <f aca="false">IF('Tech Leaders Kits'!C211="","",'Tech Leaders Kits'!C211)</f>
        <v>Jumper wires M-M</v>
      </c>
      <c r="D1292" s="0" t="n">
        <f aca="false">IF('Tech Leaders Kits'!D211="","",'Tech Leaders Kits'!D211)</f>
        <v>8</v>
      </c>
      <c r="E1292" s="0" t="str">
        <f aca="false">IF('Tech Leaders Kits'!E211="","",'Tech Leaders Kits'!E211)</f>
        <v>Per group</v>
      </c>
      <c r="F1292" s="0" t="str">
        <f aca="false">IFERROR(INDEX('Session Tracker'!$M$5:$M$149,MATCH($A1292,'Session Tracker'!$D$5:$D$149,0))+0,"")</f>
        <v/>
      </c>
      <c r="G1292" s="0" t="str">
        <f aca="false">IF(ISNUMBER(F1292),IF(OR(B1292=0,B1292=99,C1292&lt;&gt;""),F1292*100+B1292,""),"")</f>
        <v/>
      </c>
      <c r="H1292" s="0" t="n">
        <f aca="false">IFERROR(INDEX('Session Tracker'!$J$5:$J$149,MATCH($A1292,'Session Tracker'!$D$5:$D$149,0)),0)</f>
        <v>8</v>
      </c>
      <c r="I1292" s="0" t="n">
        <f aca="false">IF(OR(B1292=0,B1292=99,C1292=""),"",IF(E1292="Per class",D1292,D1292*H1292))</f>
        <v>64</v>
      </c>
      <c r="N1292" s="0" t="str">
        <f aca="false">IF('Tech Leaders Kits'!B211="","",'Tech Leaders Kits'!B211)</f>
        <v>Wiring &amp; Prototyping</v>
      </c>
      <c r="O1292" s="0" t="str">
        <f aca="false">IF('Tech Leaders Kits'!F211="","",'Tech Leaders Kits'!F211)</f>
        <v>Reusable</v>
      </c>
      <c r="P1292" s="0" t="str">
        <f aca="false">IF('Tech Leaders Kits'!G211="","",'Tech Leaders Kits'!G211)</f>
        <v/>
      </c>
    </row>
    <row r="1293" customFormat="false" ht="15" hidden="false" customHeight="false" outlineLevel="0" collapsed="false">
      <c r="A1293" s="0" t="s">
        <v>316</v>
      </c>
      <c r="B1293" s="0" t="n">
        <v>9</v>
      </c>
      <c r="C1293" s="0" t="str">
        <f aca="false">IF('Tech Leaders Kits'!C212="","",'Tech Leaders Kits'!C212)</f>
        <v>Jumper wires M-F</v>
      </c>
      <c r="D1293" s="0" t="n">
        <f aca="false">IF('Tech Leaders Kits'!D212="","",'Tech Leaders Kits'!D212)</f>
        <v>6</v>
      </c>
      <c r="E1293" s="0" t="str">
        <f aca="false">IF('Tech Leaders Kits'!E212="","",'Tech Leaders Kits'!E212)</f>
        <v>Per group</v>
      </c>
      <c r="F1293" s="0" t="str">
        <f aca="false">IFERROR(INDEX('Session Tracker'!$M$5:$M$149,MATCH($A1293,'Session Tracker'!$D$5:$D$149,0))+0,"")</f>
        <v/>
      </c>
      <c r="G1293" s="0" t="str">
        <f aca="false">IF(ISNUMBER(F1293),IF(OR(B1293=0,B1293=99,C1293&lt;&gt;""),F1293*100+B1293,""),"")</f>
        <v/>
      </c>
      <c r="H1293" s="0" t="n">
        <f aca="false">IFERROR(INDEX('Session Tracker'!$J$5:$J$149,MATCH($A1293,'Session Tracker'!$D$5:$D$149,0)),0)</f>
        <v>8</v>
      </c>
      <c r="I1293" s="0" t="n">
        <f aca="false">IF(OR(B1293=0,B1293=99,C1293=""),"",IF(E1293="Per class",D1293,D1293*H1293))</f>
        <v>48</v>
      </c>
      <c r="N1293" s="0" t="str">
        <f aca="false">IF('Tech Leaders Kits'!B212="","",'Tech Leaders Kits'!B212)</f>
        <v>Wiring &amp; Prototyping</v>
      </c>
      <c r="O1293" s="0" t="str">
        <f aca="false">IF('Tech Leaders Kits'!F212="","",'Tech Leaders Kits'!F212)</f>
        <v>Reusable</v>
      </c>
      <c r="P1293" s="0" t="str">
        <f aca="false">IF('Tech Leaders Kits'!G212="","",'Tech Leaders Kits'!G212)</f>
        <v/>
      </c>
    </row>
    <row r="1294" customFormat="false" ht="15" hidden="false" customHeight="false" outlineLevel="0" collapsed="false">
      <c r="A1294" s="0" t="s">
        <v>316</v>
      </c>
      <c r="B1294" s="0" t="n">
        <v>10</v>
      </c>
      <c r="C1294" s="0" t="str">
        <f aca="false">IF('Tech Leaders Kits'!C213="","",'Tech Leaders Kits'!C213)</f>
        <v>Laptop</v>
      </c>
      <c r="D1294" s="0" t="n">
        <f aca="false">IF('Tech Leaders Kits'!D213="","",'Tech Leaders Kits'!D213)</f>
        <v>1</v>
      </c>
      <c r="E1294" s="0" t="str">
        <f aca="false">IF('Tech Leaders Kits'!E213="","",'Tech Leaders Kits'!E213)</f>
        <v>Per group</v>
      </c>
      <c r="F1294" s="0" t="str">
        <f aca="false">IFERROR(INDEX('Session Tracker'!$M$5:$M$149,MATCH($A1294,'Session Tracker'!$D$5:$D$149,0))+0,"")</f>
        <v/>
      </c>
      <c r="G1294" s="0" t="str">
        <f aca="false">IF(ISNUMBER(F1294),IF(OR(B1294=0,B1294=99,C1294&lt;&gt;""),F1294*100+B1294,""),"")</f>
        <v/>
      </c>
      <c r="H1294" s="0" t="n">
        <f aca="false">IFERROR(INDEX('Session Tracker'!$J$5:$J$149,MATCH($A1294,'Session Tracker'!$D$5:$D$149,0)),0)</f>
        <v>8</v>
      </c>
      <c r="I1294" s="0" t="n">
        <f aca="false">IF(OR(B1294=0,B1294=99,C1294=""),"",IF(E1294="Per class",D1294,D1294*H1294))</f>
        <v>8</v>
      </c>
      <c r="N1294" s="0" t="str">
        <f aca="false">IF('Tech Leaders Kits'!B213="","",'Tech Leaders Kits'!B213)</f>
        <v>Computers &amp; Equipment</v>
      </c>
      <c r="O1294" s="0" t="str">
        <f aca="false">IF('Tech Leaders Kits'!F213="","",'Tech Leaders Kits'!F213)</f>
        <v>Reusable</v>
      </c>
      <c r="P1294" s="0" t="str">
        <f aca="false">IF('Tech Leaders Kits'!G213="","",'Tech Leaders Kits'!G213)</f>
        <v/>
      </c>
    </row>
    <row r="1295" customFormat="false" ht="15" hidden="false" customHeight="false" outlineLevel="0" collapsed="false">
      <c r="A1295" s="0" t="s">
        <v>316</v>
      </c>
      <c r="B1295" s="0" t="n">
        <v>11</v>
      </c>
      <c r="C1295" s="0" t="str">
        <f aca="false">IF('Tech Leaders Kits'!C214="","",'Tech Leaders Kits'!C214)</f>
        <v/>
      </c>
      <c r="D1295" s="0" t="str">
        <f aca="false">IF('Tech Leaders Kits'!D214="","",'Tech Leaders Kits'!D214)</f>
        <v/>
      </c>
      <c r="E1295" s="0" t="str">
        <f aca="false">IF('Tech Leaders Kits'!E214="","",'Tech Leaders Kits'!E214)</f>
        <v/>
      </c>
      <c r="F1295" s="0" t="str">
        <f aca="false">IFERROR(INDEX('Session Tracker'!$M$5:$M$149,MATCH($A1295,'Session Tracker'!$D$5:$D$149,0))+0,"")</f>
        <v/>
      </c>
      <c r="G1295" s="0" t="str">
        <f aca="false">IF(ISNUMBER(F1295),IF(OR(B1295=0,B1295=99,C1295&lt;&gt;""),F1295*100+B1295,""),"")</f>
        <v/>
      </c>
      <c r="H1295" s="0" t="n">
        <f aca="false">IFERROR(INDEX('Session Tracker'!$J$5:$J$149,MATCH($A1295,'Session Tracker'!$D$5:$D$149,0)),0)</f>
        <v>8</v>
      </c>
      <c r="I1295" s="0" t="str">
        <f aca="false">IF(OR(B1295=0,B1295=99,C1295=""),"",IF(E1295="Per class",D1295,D1295*H1295))</f>
        <v/>
      </c>
      <c r="N1295" s="0" t="str">
        <f aca="false">IF('Tech Leaders Kits'!B214="","",'Tech Leaders Kits'!B214)</f>
        <v/>
      </c>
      <c r="O1295" s="0" t="str">
        <f aca="false">IF('Tech Leaders Kits'!F214="","",'Tech Leaders Kits'!F214)</f>
        <v/>
      </c>
      <c r="P1295" s="0" t="str">
        <f aca="false">IF('Tech Leaders Kits'!G214="","",'Tech Leaders Kits'!G214)</f>
        <v/>
      </c>
    </row>
    <row r="1296" customFormat="false" ht="15" hidden="false" customHeight="false" outlineLevel="0" collapsed="false">
      <c r="A1296" s="0" t="s">
        <v>316</v>
      </c>
      <c r="B1296" s="0" t="n">
        <v>12</v>
      </c>
      <c r="C1296" s="0" t="str">
        <f aca="false">IF('Tech Leaders Kits'!C215="","",'Tech Leaders Kits'!C215)</f>
        <v/>
      </c>
      <c r="D1296" s="0" t="str">
        <f aca="false">IF('Tech Leaders Kits'!D215="","",'Tech Leaders Kits'!D215)</f>
        <v/>
      </c>
      <c r="E1296" s="0" t="str">
        <f aca="false">IF('Tech Leaders Kits'!E215="","",'Tech Leaders Kits'!E215)</f>
        <v/>
      </c>
      <c r="F1296" s="0" t="str">
        <f aca="false">IFERROR(INDEX('Session Tracker'!$M$5:$M$149,MATCH($A1296,'Session Tracker'!$D$5:$D$149,0))+0,"")</f>
        <v/>
      </c>
      <c r="G1296" s="0" t="str">
        <f aca="false">IF(ISNUMBER(F1296),IF(OR(B1296=0,B1296=99,C1296&lt;&gt;""),F1296*100+B1296,""),"")</f>
        <v/>
      </c>
      <c r="H1296" s="0" t="n">
        <f aca="false">IFERROR(INDEX('Session Tracker'!$J$5:$J$149,MATCH($A1296,'Session Tracker'!$D$5:$D$149,0)),0)</f>
        <v>8</v>
      </c>
      <c r="I1296" s="0" t="str">
        <f aca="false">IF(OR(B1296=0,B1296=99,C1296=""),"",IF(E1296="Per class",D1296,D1296*H1296))</f>
        <v/>
      </c>
      <c r="N1296" s="0" t="str">
        <f aca="false">IF('Tech Leaders Kits'!B215="","",'Tech Leaders Kits'!B215)</f>
        <v/>
      </c>
      <c r="O1296" s="0" t="str">
        <f aca="false">IF('Tech Leaders Kits'!F215="","",'Tech Leaders Kits'!F215)</f>
        <v/>
      </c>
      <c r="P1296" s="0" t="str">
        <f aca="false">IF('Tech Leaders Kits'!G215="","",'Tech Leaders Kits'!G215)</f>
        <v/>
      </c>
    </row>
    <row r="1297" customFormat="false" ht="15" hidden="false" customHeight="false" outlineLevel="0" collapsed="false">
      <c r="A1297" s="0" t="s">
        <v>318</v>
      </c>
      <c r="B1297" s="0" t="n">
        <v>0</v>
      </c>
      <c r="F1297" s="0" t="str">
        <f aca="false">IFERROR(INDEX('Session Tracker'!$M$5:$M$149,MATCH($A1297,'Session Tracker'!$D$5:$D$149,0))+0,"")</f>
        <v/>
      </c>
      <c r="G1297" s="0" t="str">
        <f aca="false">IF(ISNUMBER(F1297),IF(OR(B1297=0,B1297=99,C1297&lt;&gt;""),F1297*100+B1297,""),"")</f>
        <v/>
      </c>
      <c r="H1297" s="0" t="n">
        <f aca="false">IFERROR(INDEX('Session Tracker'!$J$5:$J$149,MATCH($A1297,'Session Tracker'!$D$5:$D$149,0)),0)</f>
        <v>8</v>
      </c>
      <c r="I1297" s="0" t="str">
        <f aca="false">IF(OR(B1297=0,B1297=99,C1297=""),"",IF(E1297="Per class",D1297,D1297*H1297))</f>
        <v/>
      </c>
      <c r="K1297" s="0" t="str">
        <f aca="false">IFERROR(INDEX('Session Tracker'!$E$5:$E$149,MATCH($A1297,'Session Tracker'!$D$5:$D$149,0)),"")</f>
        <v>Securing an IoT Device</v>
      </c>
      <c r="L1297" s="0" t="str">
        <f aca="false">IFERROR(INDEX('Session Tracker'!$A$5:$A$149,MATCH($A1297,'Session Tracker'!$D$5:$D$149,0)),"")</f>
        <v>Tech Leaders (15-17)</v>
      </c>
      <c r="M1297" s="0" t="str">
        <f aca="false">IFERROR(INDEX('Session Tracker'!$H$5:$H$149,MATCH($A1297,'Session Tracker'!$D$5:$D$149,0))&amp;"","")</f>
        <v/>
      </c>
      <c r="Q1297" s="0" t="str">
        <f aca="false">IFERROR("Status: "&amp;INDEX('Session Tracker'!$F$5:$F$149,MATCH($A1297,'Session Tracker'!$D$5:$D$149,0))&amp;IF(INDEX('Session Tracker'!$G$5:$G$149,MATCH($A1297,'Session Tracker'!$D$5:$D$149,0))&lt;&gt;""," ("&amp;INDEX('Session Tracker'!$G$5:$G$149,MATCH($A1297,'Session Tracker'!$D$5:$D$149,0))&amp;")","")&amp;IF(M1297&lt;&gt;"","  "&amp;M1297,""),"")</f>
        <v>Status: Not started</v>
      </c>
    </row>
    <row r="1298" customFormat="false" ht="15" hidden="false" customHeight="false" outlineLevel="0" collapsed="false">
      <c r="A1298" s="0" t="s">
        <v>318</v>
      </c>
      <c r="B1298" s="0" t="n">
        <v>1</v>
      </c>
      <c r="C1298" s="0" t="str">
        <f aca="false">IF('Tech Leaders Kits'!C218="","",'Tech Leaders Kits'!C218)</f>
        <v>Laptop</v>
      </c>
      <c r="D1298" s="0" t="n">
        <f aca="false">IF('Tech Leaders Kits'!D218="","",'Tech Leaders Kits'!D218)</f>
        <v>1</v>
      </c>
      <c r="E1298" s="0" t="str">
        <f aca="false">IF('Tech Leaders Kits'!E218="","",'Tech Leaders Kits'!E218)</f>
        <v>Per group</v>
      </c>
      <c r="F1298" s="0" t="str">
        <f aca="false">IFERROR(INDEX('Session Tracker'!$M$5:$M$149,MATCH($A1298,'Session Tracker'!$D$5:$D$149,0))+0,"")</f>
        <v/>
      </c>
      <c r="G1298" s="0" t="str">
        <f aca="false">IF(ISNUMBER(F1298),IF(OR(B1298=0,B1298=99,C1298&lt;&gt;""),F1298*100+B1298,""),"")</f>
        <v/>
      </c>
      <c r="H1298" s="0" t="n">
        <f aca="false">IFERROR(INDEX('Session Tracker'!$J$5:$J$149,MATCH($A1298,'Session Tracker'!$D$5:$D$149,0)),0)</f>
        <v>8</v>
      </c>
      <c r="I1298" s="0" t="n">
        <f aca="false">IF(OR(B1298=0,B1298=99,C1298=""),"",IF(E1298="Per class",D1298,D1298*H1298))</f>
        <v>8</v>
      </c>
      <c r="N1298" s="0" t="str">
        <f aca="false">IF('Tech Leaders Kits'!B218="","",'Tech Leaders Kits'!B218)</f>
        <v>Computers &amp; Equipment</v>
      </c>
      <c r="O1298" s="0" t="str">
        <f aca="false">IF('Tech Leaders Kits'!F218="","",'Tech Leaders Kits'!F218)</f>
        <v>Reusable</v>
      </c>
      <c r="P1298" s="0" t="str">
        <f aca="false">IF('Tech Leaders Kits'!G218="","",'Tech Leaders Kits'!G218)</f>
        <v/>
      </c>
    </row>
    <row r="1299" customFormat="false" ht="15" hidden="false" customHeight="false" outlineLevel="0" collapsed="false">
      <c r="A1299" s="0" t="s">
        <v>318</v>
      </c>
      <c r="B1299" s="0" t="n">
        <v>2</v>
      </c>
      <c r="C1299" s="0" t="str">
        <f aca="false">IF('Tech Leaders Kits'!C219="","",'Tech Leaders Kits'!C219)</f>
        <v/>
      </c>
      <c r="D1299" s="0" t="str">
        <f aca="false">IF('Tech Leaders Kits'!D219="","",'Tech Leaders Kits'!D219)</f>
        <v/>
      </c>
      <c r="E1299" s="0" t="str">
        <f aca="false">IF('Tech Leaders Kits'!E219="","",'Tech Leaders Kits'!E219)</f>
        <v/>
      </c>
      <c r="F1299" s="0" t="str">
        <f aca="false">IFERROR(INDEX('Session Tracker'!$M$5:$M$149,MATCH($A1299,'Session Tracker'!$D$5:$D$149,0))+0,"")</f>
        <v/>
      </c>
      <c r="G1299" s="0" t="str">
        <f aca="false">IF(ISNUMBER(F1299),IF(OR(B1299=0,B1299=99,C1299&lt;&gt;""),F1299*100+B1299,""),"")</f>
        <v/>
      </c>
      <c r="H1299" s="0" t="n">
        <f aca="false">IFERROR(INDEX('Session Tracker'!$J$5:$J$149,MATCH($A1299,'Session Tracker'!$D$5:$D$149,0)),0)</f>
        <v>8</v>
      </c>
      <c r="I1299" s="0" t="str">
        <f aca="false">IF(OR(B1299=0,B1299=99,C1299=""),"",IF(E1299="Per class",D1299,D1299*H1299))</f>
        <v/>
      </c>
      <c r="N1299" s="0" t="str">
        <f aca="false">IF('Tech Leaders Kits'!B219="","",'Tech Leaders Kits'!B219)</f>
        <v/>
      </c>
      <c r="O1299" s="0" t="str">
        <f aca="false">IF('Tech Leaders Kits'!F219="","",'Tech Leaders Kits'!F219)</f>
        <v/>
      </c>
      <c r="P1299" s="0" t="str">
        <f aca="false">IF('Tech Leaders Kits'!G219="","",'Tech Leaders Kits'!G219)</f>
        <v/>
      </c>
    </row>
    <row r="1300" customFormat="false" ht="15" hidden="false" customHeight="false" outlineLevel="0" collapsed="false">
      <c r="A1300" s="0" t="s">
        <v>318</v>
      </c>
      <c r="B1300" s="0" t="n">
        <v>3</v>
      </c>
      <c r="C1300" s="0" t="str">
        <f aca="false">IF('Tech Leaders Kits'!C220="","",'Tech Leaders Kits'!C220)</f>
        <v/>
      </c>
      <c r="D1300" s="0" t="str">
        <f aca="false">IF('Tech Leaders Kits'!D220="","",'Tech Leaders Kits'!D220)</f>
        <v/>
      </c>
      <c r="E1300" s="0" t="str">
        <f aca="false">IF('Tech Leaders Kits'!E220="","",'Tech Leaders Kits'!E220)</f>
        <v/>
      </c>
      <c r="F1300" s="0" t="str">
        <f aca="false">IFERROR(INDEX('Session Tracker'!$M$5:$M$149,MATCH($A1300,'Session Tracker'!$D$5:$D$149,0))+0,"")</f>
        <v/>
      </c>
      <c r="G1300" s="0" t="str">
        <f aca="false">IF(ISNUMBER(F1300),IF(OR(B1300=0,B1300=99,C1300&lt;&gt;""),F1300*100+B1300,""),"")</f>
        <v/>
      </c>
      <c r="H1300" s="0" t="n">
        <f aca="false">IFERROR(INDEX('Session Tracker'!$J$5:$J$149,MATCH($A1300,'Session Tracker'!$D$5:$D$149,0)),0)</f>
        <v>8</v>
      </c>
      <c r="I1300" s="0" t="str">
        <f aca="false">IF(OR(B1300=0,B1300=99,C1300=""),"",IF(E1300="Per class",D1300,D1300*H1300))</f>
        <v/>
      </c>
      <c r="N1300" s="0" t="str">
        <f aca="false">IF('Tech Leaders Kits'!B220="","",'Tech Leaders Kits'!B220)</f>
        <v/>
      </c>
      <c r="O1300" s="0" t="str">
        <f aca="false">IF('Tech Leaders Kits'!F220="","",'Tech Leaders Kits'!F220)</f>
        <v/>
      </c>
      <c r="P1300" s="0" t="str">
        <f aca="false">IF('Tech Leaders Kits'!G220="","",'Tech Leaders Kits'!G220)</f>
        <v/>
      </c>
    </row>
    <row r="1301" customFormat="false" ht="15" hidden="false" customHeight="false" outlineLevel="0" collapsed="false">
      <c r="A1301" s="0" t="s">
        <v>320</v>
      </c>
      <c r="B1301" s="0" t="n">
        <v>0</v>
      </c>
      <c r="F1301" s="0" t="str">
        <f aca="false">IFERROR(INDEX('Session Tracker'!$M$5:$M$149,MATCH($A1301,'Session Tracker'!$D$5:$D$149,0))+0,"")</f>
        <v/>
      </c>
      <c r="G1301" s="0" t="str">
        <f aca="false">IF(ISNUMBER(F1301),IF(OR(B1301=0,B1301=99,C1301&lt;&gt;""),F1301*100+B1301,""),"")</f>
        <v/>
      </c>
      <c r="H1301" s="0" t="n">
        <f aca="false">IFERROR(INDEX('Session Tracker'!$J$5:$J$149,MATCH($A1301,'Session Tracker'!$D$5:$D$149,0)),0)</f>
        <v>8</v>
      </c>
      <c r="I1301" s="0" t="str">
        <f aca="false">IF(OR(B1301=0,B1301=99,C1301=""),"",IF(E1301="Per class",D1301,D1301*H1301))</f>
        <v/>
      </c>
      <c r="K1301" s="0" t="str">
        <f aca="false">IFERROR(INDEX('Session Tracker'!$E$5:$E$149,MATCH($A1301,'Session Tracker'!$D$5:$D$149,0)),"")</f>
        <v>Autonomous Fire-Fighting Robot</v>
      </c>
      <c r="L1301" s="0" t="str">
        <f aca="false">IFERROR(INDEX('Session Tracker'!$A$5:$A$149,MATCH($A1301,'Session Tracker'!$D$5:$D$149,0)),"")</f>
        <v>Tech Leaders (15-17)</v>
      </c>
      <c r="M1301" s="0" t="str">
        <f aca="false">IFERROR(INDEX('Session Tracker'!$H$5:$H$149,MATCH($A1301,'Session Tracker'!$D$5:$D$149,0))&amp;"","")</f>
        <v/>
      </c>
      <c r="Q1301" s="0" t="str">
        <f aca="false">IFERROR("Status: "&amp;INDEX('Session Tracker'!$F$5:$F$149,MATCH($A1301,'Session Tracker'!$D$5:$D$149,0))&amp;IF(INDEX('Session Tracker'!$G$5:$G$149,MATCH($A1301,'Session Tracker'!$D$5:$D$149,0))&lt;&gt;""," ("&amp;INDEX('Session Tracker'!$G$5:$G$149,MATCH($A1301,'Session Tracker'!$D$5:$D$149,0))&amp;")","")&amp;IF(M1301&lt;&gt;"","  "&amp;M1301,""),"")</f>
        <v>Status: Not started</v>
      </c>
    </row>
    <row r="1302" customFormat="false" ht="15" hidden="false" customHeight="false" outlineLevel="0" collapsed="false">
      <c r="A1302" s="0" t="s">
        <v>320</v>
      </c>
      <c r="B1302" s="0" t="n">
        <v>1</v>
      </c>
      <c r="C1302" s="0" t="str">
        <f aca="false">IF('Tech Leaders Kits'!C223="","",'Tech Leaders Kits'!C223)</f>
        <v>Arduino Uno + USB cable</v>
      </c>
      <c r="D1302" s="0" t="n">
        <f aca="false">IF('Tech Leaders Kits'!D223="","",'Tech Leaders Kits'!D223)</f>
        <v>1</v>
      </c>
      <c r="E1302" s="0" t="str">
        <f aca="false">IF('Tech Leaders Kits'!E223="","",'Tech Leaders Kits'!E223)</f>
        <v>Per group</v>
      </c>
      <c r="F1302" s="0" t="str">
        <f aca="false">IFERROR(INDEX('Session Tracker'!$M$5:$M$149,MATCH($A1302,'Session Tracker'!$D$5:$D$149,0))+0,"")</f>
        <v/>
      </c>
      <c r="G1302" s="0" t="str">
        <f aca="false">IF(ISNUMBER(F1302),IF(OR(B1302=0,B1302=99,C1302&lt;&gt;""),F1302*100+B1302,""),"")</f>
        <v/>
      </c>
      <c r="H1302" s="0" t="n">
        <f aca="false">IFERROR(INDEX('Session Tracker'!$J$5:$J$149,MATCH($A1302,'Session Tracker'!$D$5:$D$149,0)),0)</f>
        <v>8</v>
      </c>
      <c r="I1302" s="0" t="n">
        <f aca="false">IF(OR(B1302=0,B1302=99,C1302=""),"",IF(E1302="Per class",D1302,D1302*H1302))</f>
        <v>8</v>
      </c>
      <c r="N1302" s="0" t="str">
        <f aca="false">IF('Tech Leaders Kits'!B223="","",'Tech Leaders Kits'!B223)</f>
        <v>Microcontrollers &amp; Dev Boards</v>
      </c>
      <c r="O1302" s="0" t="str">
        <f aca="false">IF('Tech Leaders Kits'!F223="","",'Tech Leaders Kits'!F223)</f>
        <v>Reusable</v>
      </c>
      <c r="P1302" s="0" t="str">
        <f aca="false">IF('Tech Leaders Kits'!G223="","",'Tech Leaders Kits'!G223)</f>
        <v/>
      </c>
    </row>
    <row r="1303" customFormat="false" ht="15" hidden="false" customHeight="false" outlineLevel="0" collapsed="false">
      <c r="A1303" s="0" t="s">
        <v>320</v>
      </c>
      <c r="B1303" s="0" t="n">
        <v>2</v>
      </c>
      <c r="C1303" s="0" t="str">
        <f aca="false">IF('Tech Leaders Kits'!C224="","",'Tech Leaders Kits'!C224)</f>
        <v>2WD robot chassis kit</v>
      </c>
      <c r="D1303" s="0" t="n">
        <f aca="false">IF('Tech Leaders Kits'!D224="","",'Tech Leaders Kits'!D224)</f>
        <v>1</v>
      </c>
      <c r="E1303" s="0" t="str">
        <f aca="false">IF('Tech Leaders Kits'!E224="","",'Tech Leaders Kits'!E224)</f>
        <v>Per group</v>
      </c>
      <c r="F1303" s="0" t="str">
        <f aca="false">IFERROR(INDEX('Session Tracker'!$M$5:$M$149,MATCH($A1303,'Session Tracker'!$D$5:$D$149,0))+0,"")</f>
        <v/>
      </c>
      <c r="G1303" s="0" t="str">
        <f aca="false">IF(ISNUMBER(F1303),IF(OR(B1303=0,B1303=99,C1303&lt;&gt;""),F1303*100+B1303,""),"")</f>
        <v/>
      </c>
      <c r="H1303" s="0" t="n">
        <f aca="false">IFERROR(INDEX('Session Tracker'!$J$5:$J$149,MATCH($A1303,'Session Tracker'!$D$5:$D$149,0)),0)</f>
        <v>8</v>
      </c>
      <c r="I1303" s="0" t="n">
        <f aca="false">IF(OR(B1303=0,B1303=99,C1303=""),"",IF(E1303="Per class",D1303,D1303*H1303))</f>
        <v>8</v>
      </c>
      <c r="N1303" s="0" t="str">
        <f aca="false">IF('Tech Leaders Kits'!B224="","",'Tech Leaders Kits'!B224)</f>
        <v>Robot Platforms &amp; Kits</v>
      </c>
      <c r="O1303" s="0" t="str">
        <f aca="false">IF('Tech Leaders Kits'!F224="","",'Tech Leaders Kits'!F224)</f>
        <v>Reusable</v>
      </c>
      <c r="P1303" s="0" t="str">
        <f aca="false">IF('Tech Leaders Kits'!G224="","",'Tech Leaders Kits'!G224)</f>
        <v/>
      </c>
    </row>
    <row r="1304" customFormat="false" ht="15" hidden="false" customHeight="false" outlineLevel="0" collapsed="false">
      <c r="A1304" s="0" t="s">
        <v>320</v>
      </c>
      <c r="B1304" s="0" t="n">
        <v>3</v>
      </c>
      <c r="C1304" s="0" t="str">
        <f aca="false">IF('Tech Leaders Kits'!C225="","",'Tech Leaders Kits'!C225)</f>
        <v>L298N motor driver</v>
      </c>
      <c r="D1304" s="0" t="n">
        <f aca="false">IF('Tech Leaders Kits'!D225="","",'Tech Leaders Kits'!D225)</f>
        <v>1</v>
      </c>
      <c r="E1304" s="0" t="str">
        <f aca="false">IF('Tech Leaders Kits'!E225="","",'Tech Leaders Kits'!E225)</f>
        <v>Per group</v>
      </c>
      <c r="F1304" s="0" t="str">
        <f aca="false">IFERROR(INDEX('Session Tracker'!$M$5:$M$149,MATCH($A1304,'Session Tracker'!$D$5:$D$149,0))+0,"")</f>
        <v/>
      </c>
      <c r="G1304" s="0" t="str">
        <f aca="false">IF(ISNUMBER(F1304),IF(OR(B1304=0,B1304=99,C1304&lt;&gt;""),F1304*100+B1304,""),"")</f>
        <v/>
      </c>
      <c r="H1304" s="0" t="n">
        <f aca="false">IFERROR(INDEX('Session Tracker'!$J$5:$J$149,MATCH($A1304,'Session Tracker'!$D$5:$D$149,0)),0)</f>
        <v>8</v>
      </c>
      <c r="I1304" s="0" t="n">
        <f aca="false">IF(OR(B1304=0,B1304=99,C1304=""),"",IF(E1304="Per class",D1304,D1304*H1304))</f>
        <v>8</v>
      </c>
      <c r="N1304" s="0" t="str">
        <f aca="false">IF('Tech Leaders Kits'!B225="","",'Tech Leaders Kits'!B225)</f>
        <v>Actuators &amp; Motor Drivers</v>
      </c>
      <c r="O1304" s="0" t="str">
        <f aca="false">IF('Tech Leaders Kits'!F225="","",'Tech Leaders Kits'!F225)</f>
        <v>Reusable</v>
      </c>
      <c r="P1304" s="0" t="str">
        <f aca="false">IF('Tech Leaders Kits'!G225="","",'Tech Leaders Kits'!G225)</f>
        <v/>
      </c>
    </row>
    <row r="1305" customFormat="false" ht="15" hidden="false" customHeight="false" outlineLevel="0" collapsed="false">
      <c r="A1305" s="0" t="s">
        <v>320</v>
      </c>
      <c r="B1305" s="0" t="n">
        <v>4</v>
      </c>
      <c r="C1305" s="0" t="str">
        <f aca="false">IF('Tech Leaders Kits'!C226="","",'Tech Leaders Kits'!C226)</f>
        <v>Flame sensor</v>
      </c>
      <c r="D1305" s="0" t="n">
        <f aca="false">IF('Tech Leaders Kits'!D226="","",'Tech Leaders Kits'!D226)</f>
        <v>3</v>
      </c>
      <c r="E1305" s="0" t="str">
        <f aca="false">IF('Tech Leaders Kits'!E226="","",'Tech Leaders Kits'!E226)</f>
        <v>Per group</v>
      </c>
      <c r="F1305" s="0" t="str">
        <f aca="false">IFERROR(INDEX('Session Tracker'!$M$5:$M$149,MATCH($A1305,'Session Tracker'!$D$5:$D$149,0))+0,"")</f>
        <v/>
      </c>
      <c r="G1305" s="0" t="str">
        <f aca="false">IF(ISNUMBER(F1305),IF(OR(B1305=0,B1305=99,C1305&lt;&gt;""),F1305*100+B1305,""),"")</f>
        <v/>
      </c>
      <c r="H1305" s="0" t="n">
        <f aca="false">IFERROR(INDEX('Session Tracker'!$J$5:$J$149,MATCH($A1305,'Session Tracker'!$D$5:$D$149,0)),0)</f>
        <v>8</v>
      </c>
      <c r="I1305" s="0" t="n">
        <f aca="false">IF(OR(B1305=0,B1305=99,C1305=""),"",IF(E1305="Per class",D1305,D1305*H1305))</f>
        <v>24</v>
      </c>
      <c r="N1305" s="0" t="str">
        <f aca="false">IF('Tech Leaders Kits'!B226="","",'Tech Leaders Kits'!B226)</f>
        <v>Sensors</v>
      </c>
      <c r="O1305" s="0" t="str">
        <f aca="false">IF('Tech Leaders Kits'!F226="","",'Tech Leaders Kits'!F226)</f>
        <v>Reusable</v>
      </c>
      <c r="P1305" s="0" t="str">
        <f aca="false">IF('Tech Leaders Kits'!G226="","",'Tech Leaders Kits'!G226)</f>
        <v/>
      </c>
    </row>
    <row r="1306" customFormat="false" ht="15" hidden="false" customHeight="false" outlineLevel="0" collapsed="false">
      <c r="A1306" s="0" t="s">
        <v>320</v>
      </c>
      <c r="B1306" s="0" t="n">
        <v>5</v>
      </c>
      <c r="C1306" s="0" t="str">
        <f aca="false">IF('Tech Leaders Kits'!C227="","",'Tech Leaders Kits'!C227)</f>
        <v>Servo SG90</v>
      </c>
      <c r="D1306" s="0" t="n">
        <f aca="false">IF('Tech Leaders Kits'!D227="","",'Tech Leaders Kits'!D227)</f>
        <v>1</v>
      </c>
      <c r="E1306" s="0" t="str">
        <f aca="false">IF('Tech Leaders Kits'!E227="","",'Tech Leaders Kits'!E227)</f>
        <v>Per group</v>
      </c>
      <c r="F1306" s="0" t="str">
        <f aca="false">IFERROR(INDEX('Session Tracker'!$M$5:$M$149,MATCH($A1306,'Session Tracker'!$D$5:$D$149,0))+0,"")</f>
        <v/>
      </c>
      <c r="G1306" s="0" t="str">
        <f aca="false">IF(ISNUMBER(F1306),IF(OR(B1306=0,B1306=99,C1306&lt;&gt;""),F1306*100+B1306,""),"")</f>
        <v/>
      </c>
      <c r="H1306" s="0" t="n">
        <f aca="false">IFERROR(INDEX('Session Tracker'!$J$5:$J$149,MATCH($A1306,'Session Tracker'!$D$5:$D$149,0)),0)</f>
        <v>8</v>
      </c>
      <c r="I1306" s="0" t="n">
        <f aca="false">IF(OR(B1306=0,B1306=99,C1306=""),"",IF(E1306="Per class",D1306,D1306*H1306))</f>
        <v>8</v>
      </c>
      <c r="N1306" s="0" t="str">
        <f aca="false">IF('Tech Leaders Kits'!B227="","",'Tech Leaders Kits'!B227)</f>
        <v>Actuators &amp; Motor Drivers</v>
      </c>
      <c r="O1306" s="0" t="str">
        <f aca="false">IF('Tech Leaders Kits'!F227="","",'Tech Leaders Kits'!F227)</f>
        <v>Reusable</v>
      </c>
      <c r="P1306" s="0" t="str">
        <f aca="false">IF('Tech Leaders Kits'!G227="","",'Tech Leaders Kits'!G227)</f>
        <v/>
      </c>
    </row>
    <row r="1307" customFormat="false" ht="15" hidden="false" customHeight="false" outlineLevel="0" collapsed="false">
      <c r="A1307" s="0" t="s">
        <v>320</v>
      </c>
      <c r="B1307" s="0" t="n">
        <v>6</v>
      </c>
      <c r="C1307" s="0" t="str">
        <f aca="false">IF('Tech Leaders Kits'!C228="","",'Tech Leaders Kits'!C228)</f>
        <v>Relay module (1-channel)</v>
      </c>
      <c r="D1307" s="0" t="n">
        <f aca="false">IF('Tech Leaders Kits'!D228="","",'Tech Leaders Kits'!D228)</f>
        <v>1</v>
      </c>
      <c r="E1307" s="0" t="str">
        <f aca="false">IF('Tech Leaders Kits'!E228="","",'Tech Leaders Kits'!E228)</f>
        <v>Per group</v>
      </c>
      <c r="F1307" s="0" t="str">
        <f aca="false">IFERROR(INDEX('Session Tracker'!$M$5:$M$149,MATCH($A1307,'Session Tracker'!$D$5:$D$149,0))+0,"")</f>
        <v/>
      </c>
      <c r="G1307" s="0" t="str">
        <f aca="false">IF(ISNUMBER(F1307),IF(OR(B1307=0,B1307=99,C1307&lt;&gt;""),F1307*100+B1307,""),"")</f>
        <v/>
      </c>
      <c r="H1307" s="0" t="n">
        <f aca="false">IFERROR(INDEX('Session Tracker'!$J$5:$J$149,MATCH($A1307,'Session Tracker'!$D$5:$D$149,0)),0)</f>
        <v>8</v>
      </c>
      <c r="I1307" s="0" t="n">
        <f aca="false">IF(OR(B1307=0,B1307=99,C1307=""),"",IF(E1307="Per class",D1307,D1307*H1307))</f>
        <v>8</v>
      </c>
      <c r="N1307" s="0" t="str">
        <f aca="false">IF('Tech Leaders Kits'!B228="","",'Tech Leaders Kits'!B228)</f>
        <v>Actuators &amp; Motor Drivers</v>
      </c>
      <c r="O1307" s="0" t="str">
        <f aca="false">IF('Tech Leaders Kits'!F228="","",'Tech Leaders Kits'!F228)</f>
        <v>Reusable</v>
      </c>
      <c r="P1307" s="0" t="str">
        <f aca="false">IF('Tech Leaders Kits'!G228="","",'Tech Leaders Kits'!G228)</f>
        <v/>
      </c>
    </row>
    <row r="1308" customFormat="false" ht="15" hidden="false" customHeight="false" outlineLevel="0" collapsed="false">
      <c r="A1308" s="0" t="s">
        <v>320</v>
      </c>
      <c r="B1308" s="0" t="n">
        <v>7</v>
      </c>
      <c r="C1308" s="0" t="str">
        <f aca="false">IF('Tech Leaders Kits'!C229="","",'Tech Leaders Kits'!C229)</f>
        <v>5 V DC fan</v>
      </c>
      <c r="D1308" s="0" t="n">
        <f aca="false">IF('Tech Leaders Kits'!D229="","",'Tech Leaders Kits'!D229)</f>
        <v>1</v>
      </c>
      <c r="E1308" s="0" t="str">
        <f aca="false">IF('Tech Leaders Kits'!E229="","",'Tech Leaders Kits'!E229)</f>
        <v>Per group</v>
      </c>
      <c r="F1308" s="0" t="str">
        <f aca="false">IFERROR(INDEX('Session Tracker'!$M$5:$M$149,MATCH($A1308,'Session Tracker'!$D$5:$D$149,0))+0,"")</f>
        <v/>
      </c>
      <c r="G1308" s="0" t="str">
        <f aca="false">IF(ISNUMBER(F1308),IF(OR(B1308=0,B1308=99,C1308&lt;&gt;""),F1308*100+B1308,""),"")</f>
        <v/>
      </c>
      <c r="H1308" s="0" t="n">
        <f aca="false">IFERROR(INDEX('Session Tracker'!$J$5:$J$149,MATCH($A1308,'Session Tracker'!$D$5:$D$149,0)),0)</f>
        <v>8</v>
      </c>
      <c r="I1308" s="0" t="n">
        <f aca="false">IF(OR(B1308=0,B1308=99,C1308=""),"",IF(E1308="Per class",D1308,D1308*H1308))</f>
        <v>8</v>
      </c>
      <c r="N1308" s="0" t="str">
        <f aca="false">IF('Tech Leaders Kits'!B229="","",'Tech Leaders Kits'!B229)</f>
        <v>Displays &amp; Output</v>
      </c>
      <c r="O1308" s="0" t="str">
        <f aca="false">IF('Tech Leaders Kits'!F229="","",'Tech Leaders Kits'!F229)</f>
        <v>Reusable</v>
      </c>
      <c r="P1308" s="0" t="str">
        <f aca="false">IF('Tech Leaders Kits'!G229="","",'Tech Leaders Kits'!G229)</f>
        <v/>
      </c>
    </row>
    <row r="1309" customFormat="false" ht="15" hidden="false" customHeight="false" outlineLevel="0" collapsed="false">
      <c r="A1309" s="0" t="s">
        <v>320</v>
      </c>
      <c r="B1309" s="0" t="n">
        <v>8</v>
      </c>
      <c r="C1309" s="0" t="str">
        <f aca="false">IF('Tech Leaders Kits'!C230="","",'Tech Leaders Kits'!C230)</f>
        <v>4xAA battery pack</v>
      </c>
      <c r="D1309" s="0" t="n">
        <f aca="false">IF('Tech Leaders Kits'!D230="","",'Tech Leaders Kits'!D230)</f>
        <v>1</v>
      </c>
      <c r="E1309" s="0" t="str">
        <f aca="false">IF('Tech Leaders Kits'!E230="","",'Tech Leaders Kits'!E230)</f>
        <v>Per group</v>
      </c>
      <c r="F1309" s="0" t="str">
        <f aca="false">IFERROR(INDEX('Session Tracker'!$M$5:$M$149,MATCH($A1309,'Session Tracker'!$D$5:$D$149,0))+0,"")</f>
        <v/>
      </c>
      <c r="G1309" s="0" t="str">
        <f aca="false">IF(ISNUMBER(F1309),IF(OR(B1309=0,B1309=99,C1309&lt;&gt;""),F1309*100+B1309,""),"")</f>
        <v/>
      </c>
      <c r="H1309" s="0" t="n">
        <f aca="false">IFERROR(INDEX('Session Tracker'!$J$5:$J$149,MATCH($A1309,'Session Tracker'!$D$5:$D$149,0)),0)</f>
        <v>8</v>
      </c>
      <c r="I1309" s="0" t="n">
        <f aca="false">IF(OR(B1309=0,B1309=99,C1309=""),"",IF(E1309="Per class",D1309,D1309*H1309))</f>
        <v>8</v>
      </c>
      <c r="N1309" s="0" t="str">
        <f aca="false">IF('Tech Leaders Kits'!B230="","",'Tech Leaders Kits'!B230)</f>
        <v>Power</v>
      </c>
      <c r="O1309" s="0" t="str">
        <f aca="false">IF('Tech Leaders Kits'!F230="","",'Tech Leaders Kits'!F230)</f>
        <v>Consumable</v>
      </c>
      <c r="P1309" s="0" t="str">
        <f aca="false">IF('Tech Leaders Kits'!G230="","",'Tech Leaders Kits'!G230)</f>
        <v/>
      </c>
    </row>
    <row r="1310" customFormat="false" ht="15" hidden="false" customHeight="false" outlineLevel="0" collapsed="false">
      <c r="A1310" s="0" t="s">
        <v>320</v>
      </c>
      <c r="B1310" s="0" t="n">
        <v>9</v>
      </c>
      <c r="C1310" s="0" t="str">
        <f aca="false">IF('Tech Leaders Kits'!C231="","",'Tech Leaders Kits'!C231)</f>
        <v>Candle</v>
      </c>
      <c r="D1310" s="0" t="n">
        <f aca="false">IF('Tech Leaders Kits'!D231="","",'Tech Leaders Kits'!D231)</f>
        <v>1</v>
      </c>
      <c r="E1310" s="0" t="str">
        <f aca="false">IF('Tech Leaders Kits'!E231="","",'Tech Leaders Kits'!E231)</f>
        <v>Per class</v>
      </c>
      <c r="F1310" s="0" t="str">
        <f aca="false">IFERROR(INDEX('Session Tracker'!$M$5:$M$149,MATCH($A1310,'Session Tracker'!$D$5:$D$149,0))+0,"")</f>
        <v/>
      </c>
      <c r="G1310" s="0" t="str">
        <f aca="false">IF(ISNUMBER(F1310),IF(OR(B1310=0,B1310=99,C1310&lt;&gt;""),F1310*100+B1310,""),"")</f>
        <v/>
      </c>
      <c r="H1310" s="0" t="n">
        <f aca="false">IFERROR(INDEX('Session Tracker'!$J$5:$J$149,MATCH($A1310,'Session Tracker'!$D$5:$D$149,0)),0)</f>
        <v>8</v>
      </c>
      <c r="I1310" s="0" t="n">
        <f aca="false">IF(OR(B1310=0,B1310=99,C1310=""),"",IF(E1310="Per class",D1310,D1310*H1310))</f>
        <v>1</v>
      </c>
      <c r="N1310" s="0" t="str">
        <f aca="false">IF('Tech Leaders Kits'!B231="","",'Tech Leaders Kits'!B231)</f>
        <v>Science Consumables</v>
      </c>
      <c r="O1310" s="0" t="str">
        <f aca="false">IF('Tech Leaders Kits'!F231="","",'Tech Leaders Kits'!F231)</f>
        <v>Consumable</v>
      </c>
      <c r="P1310" s="0" t="str">
        <f aca="false">IF('Tech Leaders Kits'!G231="","",'Tech Leaders Kits'!G231)</f>
        <v>Teacher only</v>
      </c>
    </row>
    <row r="1311" customFormat="false" ht="15" hidden="false" customHeight="false" outlineLevel="0" collapsed="false">
      <c r="A1311" s="0" t="s">
        <v>320</v>
      </c>
      <c r="B1311" s="0" t="n">
        <v>10</v>
      </c>
      <c r="C1311" s="0" t="str">
        <f aca="false">IF('Tech Leaders Kits'!C232="","",'Tech Leaders Kits'!C232)</f>
        <v>Jumper wires M-F</v>
      </c>
      <c r="D1311" s="0" t="n">
        <f aca="false">IF('Tech Leaders Kits'!D232="","",'Tech Leaders Kits'!D232)</f>
        <v>14</v>
      </c>
      <c r="E1311" s="0" t="str">
        <f aca="false">IF('Tech Leaders Kits'!E232="","",'Tech Leaders Kits'!E232)</f>
        <v>Per group</v>
      </c>
      <c r="F1311" s="0" t="str">
        <f aca="false">IFERROR(INDEX('Session Tracker'!$M$5:$M$149,MATCH($A1311,'Session Tracker'!$D$5:$D$149,0))+0,"")</f>
        <v/>
      </c>
      <c r="G1311" s="0" t="str">
        <f aca="false">IF(ISNUMBER(F1311),IF(OR(B1311=0,B1311=99,C1311&lt;&gt;""),F1311*100+B1311,""),"")</f>
        <v/>
      </c>
      <c r="H1311" s="0" t="n">
        <f aca="false">IFERROR(INDEX('Session Tracker'!$J$5:$J$149,MATCH($A1311,'Session Tracker'!$D$5:$D$149,0)),0)</f>
        <v>8</v>
      </c>
      <c r="I1311" s="0" t="n">
        <f aca="false">IF(OR(B1311=0,B1311=99,C1311=""),"",IF(E1311="Per class",D1311,D1311*H1311))</f>
        <v>112</v>
      </c>
      <c r="N1311" s="0" t="str">
        <f aca="false">IF('Tech Leaders Kits'!B232="","",'Tech Leaders Kits'!B232)</f>
        <v>Wiring &amp; Prototyping</v>
      </c>
      <c r="O1311" s="0" t="str">
        <f aca="false">IF('Tech Leaders Kits'!F232="","",'Tech Leaders Kits'!F232)</f>
        <v>Reusable</v>
      </c>
      <c r="P1311" s="0" t="str">
        <f aca="false">IF('Tech Leaders Kits'!G232="","",'Tech Leaders Kits'!G232)</f>
        <v/>
      </c>
    </row>
    <row r="1312" customFormat="false" ht="15" hidden="false" customHeight="false" outlineLevel="0" collapsed="false">
      <c r="A1312" s="0" t="s">
        <v>320</v>
      </c>
      <c r="B1312" s="0" t="n">
        <v>11</v>
      </c>
      <c r="C1312" s="0" t="str">
        <f aca="false">IF('Tech Leaders Kits'!C233="","",'Tech Leaders Kits'!C233)</f>
        <v>Jumper wires M-M</v>
      </c>
      <c r="D1312" s="0" t="n">
        <f aca="false">IF('Tech Leaders Kits'!D233="","",'Tech Leaders Kits'!D233)</f>
        <v>10</v>
      </c>
      <c r="E1312" s="0" t="str">
        <f aca="false">IF('Tech Leaders Kits'!E233="","",'Tech Leaders Kits'!E233)</f>
        <v>Per group</v>
      </c>
      <c r="F1312" s="0" t="str">
        <f aca="false">IFERROR(INDEX('Session Tracker'!$M$5:$M$149,MATCH($A1312,'Session Tracker'!$D$5:$D$149,0))+0,"")</f>
        <v/>
      </c>
      <c r="G1312" s="0" t="str">
        <f aca="false">IF(ISNUMBER(F1312),IF(OR(B1312=0,B1312=99,C1312&lt;&gt;""),F1312*100+B1312,""),"")</f>
        <v/>
      </c>
      <c r="H1312" s="0" t="n">
        <f aca="false">IFERROR(INDEX('Session Tracker'!$J$5:$J$149,MATCH($A1312,'Session Tracker'!$D$5:$D$149,0)),0)</f>
        <v>8</v>
      </c>
      <c r="I1312" s="0" t="n">
        <f aca="false">IF(OR(B1312=0,B1312=99,C1312=""),"",IF(E1312="Per class",D1312,D1312*H1312))</f>
        <v>80</v>
      </c>
      <c r="N1312" s="0" t="str">
        <f aca="false">IF('Tech Leaders Kits'!B233="","",'Tech Leaders Kits'!B233)</f>
        <v>Wiring &amp; Prototyping</v>
      </c>
      <c r="O1312" s="0" t="str">
        <f aca="false">IF('Tech Leaders Kits'!F233="","",'Tech Leaders Kits'!F233)</f>
        <v>Reusable</v>
      </c>
      <c r="P1312" s="0" t="str">
        <f aca="false">IF('Tech Leaders Kits'!G233="","",'Tech Leaders Kits'!G233)</f>
        <v/>
      </c>
    </row>
    <row r="1313" customFormat="false" ht="15" hidden="false" customHeight="false" outlineLevel="0" collapsed="false">
      <c r="A1313" s="0" t="s">
        <v>320</v>
      </c>
      <c r="B1313" s="0" t="n">
        <v>12</v>
      </c>
      <c r="C1313" s="0" t="str">
        <f aca="false">IF('Tech Leaders Kits'!C234="","",'Tech Leaders Kits'!C234)</f>
        <v>Laptop</v>
      </c>
      <c r="D1313" s="0" t="n">
        <f aca="false">IF('Tech Leaders Kits'!D234="","",'Tech Leaders Kits'!D234)</f>
        <v>1</v>
      </c>
      <c r="E1313" s="0" t="str">
        <f aca="false">IF('Tech Leaders Kits'!E234="","",'Tech Leaders Kits'!E234)</f>
        <v>Per group</v>
      </c>
      <c r="F1313" s="0" t="str">
        <f aca="false">IFERROR(INDEX('Session Tracker'!$M$5:$M$149,MATCH($A1313,'Session Tracker'!$D$5:$D$149,0))+0,"")</f>
        <v/>
      </c>
      <c r="G1313" s="0" t="str">
        <f aca="false">IF(ISNUMBER(F1313),IF(OR(B1313=0,B1313=99,C1313&lt;&gt;""),F1313*100+B1313,""),"")</f>
        <v/>
      </c>
      <c r="H1313" s="0" t="n">
        <f aca="false">IFERROR(INDEX('Session Tracker'!$J$5:$J$149,MATCH($A1313,'Session Tracker'!$D$5:$D$149,0)),0)</f>
        <v>8</v>
      </c>
      <c r="I1313" s="0" t="n">
        <f aca="false">IF(OR(B1313=0,B1313=99,C1313=""),"",IF(E1313="Per class",D1313,D1313*H1313))</f>
        <v>8</v>
      </c>
      <c r="N1313" s="0" t="str">
        <f aca="false">IF('Tech Leaders Kits'!B234="","",'Tech Leaders Kits'!B234)</f>
        <v>Computers &amp; Equipment</v>
      </c>
      <c r="O1313" s="0" t="str">
        <f aca="false">IF('Tech Leaders Kits'!F234="","",'Tech Leaders Kits'!F234)</f>
        <v>Reusable</v>
      </c>
      <c r="P1313" s="0" t="str">
        <f aca="false">IF('Tech Leaders Kits'!G234="","",'Tech Leaders Kits'!G234)</f>
        <v/>
      </c>
    </row>
    <row r="1314" customFormat="false" ht="15" hidden="false" customHeight="false" outlineLevel="0" collapsed="false">
      <c r="A1314" s="0" t="s">
        <v>320</v>
      </c>
      <c r="B1314" s="0" t="n">
        <v>13</v>
      </c>
      <c r="C1314" s="0" t="str">
        <f aca="false">IF('Tech Leaders Kits'!C235="","",'Tech Leaders Kits'!C235)</f>
        <v>LED 5 mm (assorted)</v>
      </c>
      <c r="D1314" s="0" t="n">
        <f aca="false">IF('Tech Leaders Kits'!D235="","",'Tech Leaders Kits'!D235)</f>
        <v>1</v>
      </c>
      <c r="E1314" s="0" t="str">
        <f aca="false">IF('Tech Leaders Kits'!E235="","",'Tech Leaders Kits'!E235)</f>
        <v>Per group</v>
      </c>
      <c r="F1314" s="0" t="str">
        <f aca="false">IFERROR(INDEX('Session Tracker'!$M$5:$M$149,MATCH($A1314,'Session Tracker'!$D$5:$D$149,0))+0,"")</f>
        <v/>
      </c>
      <c r="G1314" s="0" t="str">
        <f aca="false">IF(ISNUMBER(F1314),IF(OR(B1314=0,B1314=99,C1314&lt;&gt;""),F1314*100+B1314,""),"")</f>
        <v/>
      </c>
      <c r="H1314" s="0" t="n">
        <f aca="false">IFERROR(INDEX('Session Tracker'!$J$5:$J$149,MATCH($A1314,'Session Tracker'!$D$5:$D$149,0)),0)</f>
        <v>8</v>
      </c>
      <c r="I1314" s="0" t="n">
        <f aca="false">IF(OR(B1314=0,B1314=99,C1314=""),"",IF(E1314="Per class",D1314,D1314*H1314))</f>
        <v>8</v>
      </c>
      <c r="N1314" s="0" t="str">
        <f aca="false">IF('Tech Leaders Kits'!B235="","",'Tech Leaders Kits'!B235)</f>
        <v>Displays &amp; Output</v>
      </c>
      <c r="O1314" s="0" t="str">
        <f aca="false">IF('Tech Leaders Kits'!F235="","",'Tech Leaders Kits'!F235)</f>
        <v>Consumable</v>
      </c>
      <c r="P1314" s="0" t="str">
        <f aca="false">IF('Tech Leaders Kits'!G235="","",'Tech Leaders Kits'!G235)</f>
        <v>Added: every Arduino class</v>
      </c>
    </row>
    <row r="1315" customFormat="false" ht="15" hidden="false" customHeight="false" outlineLevel="0" collapsed="false">
      <c r="A1315" s="0" t="s">
        <v>320</v>
      </c>
      <c r="B1315" s="0" t="n">
        <v>14</v>
      </c>
      <c r="C1315" s="0" t="str">
        <f aca="false">IF('Tech Leaders Kits'!C236="","",'Tech Leaders Kits'!C236)</f>
        <v>Resistor 220 ohm</v>
      </c>
      <c r="D1315" s="0" t="n">
        <f aca="false">IF('Tech Leaders Kits'!D236="","",'Tech Leaders Kits'!D236)</f>
        <v>1</v>
      </c>
      <c r="E1315" s="0" t="str">
        <f aca="false">IF('Tech Leaders Kits'!E236="","",'Tech Leaders Kits'!E236)</f>
        <v>Per group</v>
      </c>
      <c r="F1315" s="0" t="str">
        <f aca="false">IFERROR(INDEX('Session Tracker'!$M$5:$M$149,MATCH($A1315,'Session Tracker'!$D$5:$D$149,0))+0,"")</f>
        <v/>
      </c>
      <c r="G1315" s="0" t="str">
        <f aca="false">IF(ISNUMBER(F1315),IF(OR(B1315=0,B1315=99,C1315&lt;&gt;""),F1315*100+B1315,""),"")</f>
        <v/>
      </c>
      <c r="H1315" s="0" t="n">
        <f aca="false">IFERROR(INDEX('Session Tracker'!$J$5:$J$149,MATCH($A1315,'Session Tracker'!$D$5:$D$149,0)),0)</f>
        <v>8</v>
      </c>
      <c r="I1315" s="0" t="n">
        <f aca="false">IF(OR(B1315=0,B1315=99,C1315=""),"",IF(E1315="Per class",D1315,D1315*H1315))</f>
        <v>8</v>
      </c>
      <c r="N1315" s="0" t="str">
        <f aca="false">IF('Tech Leaders Kits'!B236="","",'Tech Leaders Kits'!B236)</f>
        <v>Passive Components &amp; ICs</v>
      </c>
      <c r="O1315" s="0" t="str">
        <f aca="false">IF('Tech Leaders Kits'!F236="","",'Tech Leaders Kits'!F236)</f>
        <v>Consumable</v>
      </c>
      <c r="P1315" s="0" t="str">
        <f aca="false">IF('Tech Leaders Kits'!G236="","",'Tech Leaders Kits'!G236)</f>
        <v>Added: for the LED</v>
      </c>
    </row>
    <row r="1316" customFormat="false" ht="15" hidden="false" customHeight="false" outlineLevel="0" collapsed="false">
      <c r="A1316" s="0" t="s">
        <v>320</v>
      </c>
      <c r="B1316" s="0" t="n">
        <v>15</v>
      </c>
      <c r="C1316" s="0" t="str">
        <f aca="false">IF('Tech Leaders Kits'!C237="","",'Tech Leaders Kits'!C237)</f>
        <v>Buzzer</v>
      </c>
      <c r="D1316" s="0" t="n">
        <f aca="false">IF('Tech Leaders Kits'!D237="","",'Tech Leaders Kits'!D237)</f>
        <v>1</v>
      </c>
      <c r="E1316" s="0" t="str">
        <f aca="false">IF('Tech Leaders Kits'!E237="","",'Tech Leaders Kits'!E237)</f>
        <v>Per group</v>
      </c>
      <c r="F1316" s="0" t="str">
        <f aca="false">IFERROR(INDEX('Session Tracker'!$M$5:$M$149,MATCH($A1316,'Session Tracker'!$D$5:$D$149,0))+0,"")</f>
        <v/>
      </c>
      <c r="G1316" s="0" t="str">
        <f aca="false">IF(ISNUMBER(F1316),IF(OR(B1316=0,B1316=99,C1316&lt;&gt;""),F1316*100+B1316,""),"")</f>
        <v/>
      </c>
      <c r="H1316" s="0" t="n">
        <f aca="false">IFERROR(INDEX('Session Tracker'!$J$5:$J$149,MATCH($A1316,'Session Tracker'!$D$5:$D$149,0)),0)</f>
        <v>8</v>
      </c>
      <c r="I1316" s="0" t="n">
        <f aca="false">IF(OR(B1316=0,B1316=99,C1316=""),"",IF(E1316="Per class",D1316,D1316*H1316))</f>
        <v>8</v>
      </c>
      <c r="N1316" s="0" t="str">
        <f aca="false">IF('Tech Leaders Kits'!B237="","",'Tech Leaders Kits'!B237)</f>
        <v>Actuators &amp; Motor Drivers</v>
      </c>
      <c r="O1316" s="0" t="str">
        <f aca="false">IF('Tech Leaders Kits'!F237="","",'Tech Leaders Kits'!F237)</f>
        <v>Reusable</v>
      </c>
      <c r="P1316" s="0" t="str">
        <f aca="false">IF('Tech Leaders Kits'!G237="","",'Tech Leaders Kits'!G237)</f>
        <v>Added: every Arduino class</v>
      </c>
    </row>
    <row r="1317" customFormat="false" ht="15" hidden="false" customHeight="false" outlineLevel="0" collapsed="false">
      <c r="A1317" s="0" t="s">
        <v>320</v>
      </c>
      <c r="B1317" s="0" t="n">
        <v>16</v>
      </c>
      <c r="C1317" s="0" t="str">
        <f aca="false">IF('Tech Leaders Kits'!C238="","",'Tech Leaders Kits'!C238)</f>
        <v/>
      </c>
      <c r="D1317" s="0" t="str">
        <f aca="false">IF('Tech Leaders Kits'!D238="","",'Tech Leaders Kits'!D238)</f>
        <v/>
      </c>
      <c r="E1317" s="0" t="str">
        <f aca="false">IF('Tech Leaders Kits'!E238="","",'Tech Leaders Kits'!E238)</f>
        <v/>
      </c>
      <c r="F1317" s="0" t="str">
        <f aca="false">IFERROR(INDEX('Session Tracker'!$M$5:$M$149,MATCH($A1317,'Session Tracker'!$D$5:$D$149,0))+0,"")</f>
        <v/>
      </c>
      <c r="G1317" s="0" t="str">
        <f aca="false">IF(ISNUMBER(F1317),IF(OR(B1317=0,B1317=99,C1317&lt;&gt;""),F1317*100+B1317,""),"")</f>
        <v/>
      </c>
      <c r="H1317" s="0" t="n">
        <f aca="false">IFERROR(INDEX('Session Tracker'!$J$5:$J$149,MATCH($A1317,'Session Tracker'!$D$5:$D$149,0)),0)</f>
        <v>8</v>
      </c>
      <c r="I1317" s="0" t="str">
        <f aca="false">IF(OR(B1317=0,B1317=99,C1317=""),"",IF(E1317="Per class",D1317,D1317*H1317))</f>
        <v/>
      </c>
      <c r="N1317" s="0" t="str">
        <f aca="false">IF('Tech Leaders Kits'!B238="","",'Tech Leaders Kits'!B238)</f>
        <v/>
      </c>
      <c r="O1317" s="0" t="str">
        <f aca="false">IF('Tech Leaders Kits'!F238="","",'Tech Leaders Kits'!F238)</f>
        <v/>
      </c>
      <c r="P1317" s="0" t="str">
        <f aca="false">IF('Tech Leaders Kits'!G238="","",'Tech Leaders Kits'!G238)</f>
        <v/>
      </c>
    </row>
    <row r="1318" customFormat="false" ht="15" hidden="false" customHeight="false" outlineLevel="0" collapsed="false">
      <c r="A1318" s="0" t="s">
        <v>320</v>
      </c>
      <c r="B1318" s="0" t="n">
        <v>17</v>
      </c>
      <c r="C1318" s="0" t="str">
        <f aca="false">IF('Tech Leaders Kits'!C239="","",'Tech Leaders Kits'!C239)</f>
        <v/>
      </c>
      <c r="D1318" s="0" t="str">
        <f aca="false">IF('Tech Leaders Kits'!D239="","",'Tech Leaders Kits'!D239)</f>
        <v/>
      </c>
      <c r="E1318" s="0" t="str">
        <f aca="false">IF('Tech Leaders Kits'!E239="","",'Tech Leaders Kits'!E239)</f>
        <v/>
      </c>
      <c r="F1318" s="0" t="str">
        <f aca="false">IFERROR(INDEX('Session Tracker'!$M$5:$M$149,MATCH($A1318,'Session Tracker'!$D$5:$D$149,0))+0,"")</f>
        <v/>
      </c>
      <c r="G1318" s="0" t="str">
        <f aca="false">IF(ISNUMBER(F1318),IF(OR(B1318=0,B1318=99,C1318&lt;&gt;""),F1318*100+B1318,""),"")</f>
        <v/>
      </c>
      <c r="H1318" s="0" t="n">
        <f aca="false">IFERROR(INDEX('Session Tracker'!$J$5:$J$149,MATCH($A1318,'Session Tracker'!$D$5:$D$149,0)),0)</f>
        <v>8</v>
      </c>
      <c r="I1318" s="0" t="str">
        <f aca="false">IF(OR(B1318=0,B1318=99,C1318=""),"",IF(E1318="Per class",D1318,D1318*H1318))</f>
        <v/>
      </c>
      <c r="N1318" s="0" t="str">
        <f aca="false">IF('Tech Leaders Kits'!B239="","",'Tech Leaders Kits'!B239)</f>
        <v/>
      </c>
      <c r="O1318" s="0" t="str">
        <f aca="false">IF('Tech Leaders Kits'!F239="","",'Tech Leaders Kits'!F239)</f>
        <v/>
      </c>
      <c r="P1318" s="0" t="str">
        <f aca="false">IF('Tech Leaders Kits'!G239="","",'Tech Leaders Kits'!G239)</f>
        <v/>
      </c>
    </row>
    <row r="1319" customFormat="false" ht="15" hidden="false" customHeight="false" outlineLevel="0" collapsed="false">
      <c r="A1319" s="0" t="s">
        <v>322</v>
      </c>
      <c r="B1319" s="0" t="n">
        <v>0</v>
      </c>
      <c r="F1319" s="0" t="str">
        <f aca="false">IFERROR(INDEX('Session Tracker'!$M$5:$M$149,MATCH($A1319,'Session Tracker'!$D$5:$D$149,0))+0,"")</f>
        <v/>
      </c>
      <c r="G1319" s="0" t="str">
        <f aca="false">IF(ISNUMBER(F1319),IF(OR(B1319=0,B1319=99,C1319&lt;&gt;""),F1319*100+B1319,""),"")</f>
        <v/>
      </c>
      <c r="H1319" s="0" t="n">
        <f aca="false">IFERROR(INDEX('Session Tracker'!$J$5:$J$149,MATCH($A1319,'Session Tracker'!$D$5:$D$149,0)),0)</f>
        <v>8</v>
      </c>
      <c r="I1319" s="0" t="str">
        <f aca="false">IF(OR(B1319=0,B1319=99,C1319=""),"",IF(E1319="Per class",D1319,D1319*H1319))</f>
        <v/>
      </c>
      <c r="K1319" s="0" t="str">
        <f aca="false">IFERROR(INDEX('Session Tracker'!$E$5:$E$149,MATCH($A1319,'Session Tracker'!$D$5:$D$149,0)),"")</f>
        <v>Parametric Robot Gripper Design</v>
      </c>
      <c r="L1319" s="0" t="str">
        <f aca="false">IFERROR(INDEX('Session Tracker'!$A$5:$A$149,MATCH($A1319,'Session Tracker'!$D$5:$D$149,0)),"")</f>
        <v>Tech Leaders (15-17)</v>
      </c>
      <c r="M1319" s="0" t="str">
        <f aca="false">IFERROR(INDEX('Session Tracker'!$H$5:$H$149,MATCH($A1319,'Session Tracker'!$D$5:$D$149,0))&amp;"","")</f>
        <v/>
      </c>
      <c r="Q1319" s="0" t="str">
        <f aca="false">IFERROR("Status: "&amp;INDEX('Session Tracker'!$F$5:$F$149,MATCH($A1319,'Session Tracker'!$D$5:$D$149,0))&amp;IF(INDEX('Session Tracker'!$G$5:$G$149,MATCH($A1319,'Session Tracker'!$D$5:$D$149,0))&lt;&gt;""," ("&amp;INDEX('Session Tracker'!$G$5:$G$149,MATCH($A1319,'Session Tracker'!$D$5:$D$149,0))&amp;")","")&amp;IF(M1319&lt;&gt;"","  "&amp;M1319,""),"")</f>
        <v>Status: Not started</v>
      </c>
    </row>
    <row r="1320" customFormat="false" ht="15" hidden="false" customHeight="false" outlineLevel="0" collapsed="false">
      <c r="A1320" s="0" t="s">
        <v>322</v>
      </c>
      <c r="B1320" s="0" t="n">
        <v>1</v>
      </c>
      <c r="C1320" s="0" t="str">
        <f aca="false">IF('Tech Leaders Kits'!C242="","",'Tech Leaders Kits'!C242)</f>
        <v>Laptop</v>
      </c>
      <c r="D1320" s="0" t="n">
        <f aca="false">IF('Tech Leaders Kits'!D242="","",'Tech Leaders Kits'!D242)</f>
        <v>1</v>
      </c>
      <c r="E1320" s="0" t="str">
        <f aca="false">IF('Tech Leaders Kits'!E242="","",'Tech Leaders Kits'!E242)</f>
        <v>Per group</v>
      </c>
      <c r="F1320" s="0" t="str">
        <f aca="false">IFERROR(INDEX('Session Tracker'!$M$5:$M$149,MATCH($A1320,'Session Tracker'!$D$5:$D$149,0))+0,"")</f>
        <v/>
      </c>
      <c r="G1320" s="0" t="str">
        <f aca="false">IF(ISNUMBER(F1320),IF(OR(B1320=0,B1320=99,C1320&lt;&gt;""),F1320*100+B1320,""),"")</f>
        <v/>
      </c>
      <c r="H1320" s="0" t="n">
        <f aca="false">IFERROR(INDEX('Session Tracker'!$J$5:$J$149,MATCH($A1320,'Session Tracker'!$D$5:$D$149,0)),0)</f>
        <v>8</v>
      </c>
      <c r="I1320" s="0" t="n">
        <f aca="false">IF(OR(B1320=0,B1320=99,C1320=""),"",IF(E1320="Per class",D1320,D1320*H1320))</f>
        <v>8</v>
      </c>
      <c r="N1320" s="0" t="str">
        <f aca="false">IF('Tech Leaders Kits'!B242="","",'Tech Leaders Kits'!B242)</f>
        <v>Computers &amp; Equipment</v>
      </c>
      <c r="O1320" s="0" t="str">
        <f aca="false">IF('Tech Leaders Kits'!F242="","",'Tech Leaders Kits'!F242)</f>
        <v>Reusable</v>
      </c>
      <c r="P1320" s="0" t="str">
        <f aca="false">IF('Tech Leaders Kits'!G242="","",'Tech Leaders Kits'!G242)</f>
        <v/>
      </c>
    </row>
    <row r="1321" customFormat="false" ht="15" hidden="false" customHeight="false" outlineLevel="0" collapsed="false">
      <c r="A1321" s="0" t="s">
        <v>322</v>
      </c>
      <c r="B1321" s="0" t="n">
        <v>2</v>
      </c>
      <c r="C1321" s="0" t="str">
        <f aca="false">IF('Tech Leaders Kits'!C243="","",'Tech Leaders Kits'!C243)</f>
        <v>3D printer</v>
      </c>
      <c r="D1321" s="0" t="n">
        <f aca="false">IF('Tech Leaders Kits'!D243="","",'Tech Leaders Kits'!D243)</f>
        <v>1</v>
      </c>
      <c r="E1321" s="0" t="str">
        <f aca="false">IF('Tech Leaders Kits'!E243="","",'Tech Leaders Kits'!E243)</f>
        <v>Per class</v>
      </c>
      <c r="F1321" s="0" t="str">
        <f aca="false">IFERROR(INDEX('Session Tracker'!$M$5:$M$149,MATCH($A1321,'Session Tracker'!$D$5:$D$149,0))+0,"")</f>
        <v/>
      </c>
      <c r="G1321" s="0" t="str">
        <f aca="false">IF(ISNUMBER(F1321),IF(OR(B1321=0,B1321=99,C1321&lt;&gt;""),F1321*100+B1321,""),"")</f>
        <v/>
      </c>
      <c r="H1321" s="0" t="n">
        <f aca="false">IFERROR(INDEX('Session Tracker'!$J$5:$J$149,MATCH($A1321,'Session Tracker'!$D$5:$D$149,0)),0)</f>
        <v>8</v>
      </c>
      <c r="I1321" s="0" t="n">
        <f aca="false">IF(OR(B1321=0,B1321=99,C1321=""),"",IF(E1321="Per class",D1321,D1321*H1321))</f>
        <v>1</v>
      </c>
      <c r="N1321" s="0" t="str">
        <f aca="false">IF('Tech Leaders Kits'!B243="","",'Tech Leaders Kits'!B243)</f>
        <v>Computers &amp; Equipment</v>
      </c>
      <c r="O1321" s="0" t="str">
        <f aca="false">IF('Tech Leaders Kits'!F243="","",'Tech Leaders Kits'!F243)</f>
        <v>Reusable</v>
      </c>
      <c r="P1321" s="0" t="str">
        <f aca="false">IF('Tech Leaders Kits'!G243="","",'Tech Leaders Kits'!G243)</f>
        <v/>
      </c>
    </row>
    <row r="1322" customFormat="false" ht="15" hidden="false" customHeight="false" outlineLevel="0" collapsed="false">
      <c r="A1322" s="0" t="s">
        <v>322</v>
      </c>
      <c r="B1322" s="0" t="n">
        <v>3</v>
      </c>
      <c r="C1322" s="0" t="str">
        <f aca="false">IF('Tech Leaders Kits'!C244="","",'Tech Leaders Kits'!C244)</f>
        <v>PLA filament</v>
      </c>
      <c r="D1322" s="0" t="n">
        <f aca="false">IF('Tech Leaders Kits'!D244="","",'Tech Leaders Kits'!D244)</f>
        <v>1</v>
      </c>
      <c r="E1322" s="0" t="str">
        <f aca="false">IF('Tech Leaders Kits'!E244="","",'Tech Leaders Kits'!E244)</f>
        <v>Per class</v>
      </c>
      <c r="F1322" s="0" t="str">
        <f aca="false">IFERROR(INDEX('Session Tracker'!$M$5:$M$149,MATCH($A1322,'Session Tracker'!$D$5:$D$149,0))+0,"")</f>
        <v/>
      </c>
      <c r="G1322" s="0" t="str">
        <f aca="false">IF(ISNUMBER(F1322),IF(OR(B1322=0,B1322=99,C1322&lt;&gt;""),F1322*100+B1322,""),"")</f>
        <v/>
      </c>
      <c r="H1322" s="0" t="n">
        <f aca="false">IFERROR(INDEX('Session Tracker'!$J$5:$J$149,MATCH($A1322,'Session Tracker'!$D$5:$D$149,0)),0)</f>
        <v>8</v>
      </c>
      <c r="I1322" s="0" t="n">
        <f aca="false">IF(OR(B1322=0,B1322=99,C1322=""),"",IF(E1322="Per class",D1322,D1322*H1322))</f>
        <v>1</v>
      </c>
      <c r="N1322" s="0" t="str">
        <f aca="false">IF('Tech Leaders Kits'!B244="","",'Tech Leaders Kits'!B244)</f>
        <v>Computers &amp; Equipment</v>
      </c>
      <c r="O1322" s="0" t="str">
        <f aca="false">IF('Tech Leaders Kits'!F244="","",'Tech Leaders Kits'!F244)</f>
        <v>Consumable</v>
      </c>
      <c r="P1322" s="0" t="str">
        <f aca="false">IF('Tech Leaders Kits'!G244="","",'Tech Leaders Kits'!G244)</f>
        <v/>
      </c>
    </row>
    <row r="1323" customFormat="false" ht="15" hidden="false" customHeight="false" outlineLevel="0" collapsed="false">
      <c r="A1323" s="0" t="s">
        <v>322</v>
      </c>
      <c r="B1323" s="0" t="n">
        <v>4</v>
      </c>
      <c r="C1323" s="0" t="str">
        <f aca="false">IF('Tech Leaders Kits'!C245="","",'Tech Leaders Kits'!C245)</f>
        <v/>
      </c>
      <c r="D1323" s="0" t="str">
        <f aca="false">IF('Tech Leaders Kits'!D245="","",'Tech Leaders Kits'!D245)</f>
        <v/>
      </c>
      <c r="E1323" s="0" t="str">
        <f aca="false">IF('Tech Leaders Kits'!E245="","",'Tech Leaders Kits'!E245)</f>
        <v/>
      </c>
      <c r="F1323" s="0" t="str">
        <f aca="false">IFERROR(INDEX('Session Tracker'!$M$5:$M$149,MATCH($A1323,'Session Tracker'!$D$5:$D$149,0))+0,"")</f>
        <v/>
      </c>
      <c r="G1323" s="0" t="str">
        <f aca="false">IF(ISNUMBER(F1323),IF(OR(B1323=0,B1323=99,C1323&lt;&gt;""),F1323*100+B1323,""),"")</f>
        <v/>
      </c>
      <c r="H1323" s="0" t="n">
        <f aca="false">IFERROR(INDEX('Session Tracker'!$J$5:$J$149,MATCH($A1323,'Session Tracker'!$D$5:$D$149,0)),0)</f>
        <v>8</v>
      </c>
      <c r="I1323" s="0" t="str">
        <f aca="false">IF(OR(B1323=0,B1323=99,C1323=""),"",IF(E1323="Per class",D1323,D1323*H1323))</f>
        <v/>
      </c>
      <c r="N1323" s="0" t="str">
        <f aca="false">IF('Tech Leaders Kits'!B245="","",'Tech Leaders Kits'!B245)</f>
        <v/>
      </c>
      <c r="O1323" s="0" t="str">
        <f aca="false">IF('Tech Leaders Kits'!F245="","",'Tech Leaders Kits'!F245)</f>
        <v/>
      </c>
      <c r="P1323" s="0" t="str">
        <f aca="false">IF('Tech Leaders Kits'!G245="","",'Tech Leaders Kits'!G245)</f>
        <v/>
      </c>
    </row>
    <row r="1324" customFormat="false" ht="15" hidden="false" customHeight="false" outlineLevel="0" collapsed="false">
      <c r="A1324" s="0" t="s">
        <v>322</v>
      </c>
      <c r="B1324" s="0" t="n">
        <v>5</v>
      </c>
      <c r="C1324" s="0" t="str">
        <f aca="false">IF('Tech Leaders Kits'!C246="","",'Tech Leaders Kits'!C246)</f>
        <v/>
      </c>
      <c r="D1324" s="0" t="str">
        <f aca="false">IF('Tech Leaders Kits'!D246="","",'Tech Leaders Kits'!D246)</f>
        <v/>
      </c>
      <c r="E1324" s="0" t="str">
        <f aca="false">IF('Tech Leaders Kits'!E246="","",'Tech Leaders Kits'!E246)</f>
        <v/>
      </c>
      <c r="F1324" s="0" t="str">
        <f aca="false">IFERROR(INDEX('Session Tracker'!$M$5:$M$149,MATCH($A1324,'Session Tracker'!$D$5:$D$149,0))+0,"")</f>
        <v/>
      </c>
      <c r="G1324" s="0" t="str">
        <f aca="false">IF(ISNUMBER(F1324),IF(OR(B1324=0,B1324=99,C1324&lt;&gt;""),F1324*100+B1324,""),"")</f>
        <v/>
      </c>
      <c r="H1324" s="0" t="n">
        <f aca="false">IFERROR(INDEX('Session Tracker'!$J$5:$J$149,MATCH($A1324,'Session Tracker'!$D$5:$D$149,0)),0)</f>
        <v>8</v>
      </c>
      <c r="I1324" s="0" t="str">
        <f aca="false">IF(OR(B1324=0,B1324=99,C1324=""),"",IF(E1324="Per class",D1324,D1324*H1324))</f>
        <v/>
      </c>
      <c r="N1324" s="0" t="str">
        <f aca="false">IF('Tech Leaders Kits'!B246="","",'Tech Leaders Kits'!B246)</f>
        <v/>
      </c>
      <c r="O1324" s="0" t="str">
        <f aca="false">IF('Tech Leaders Kits'!F246="","",'Tech Leaders Kits'!F246)</f>
        <v/>
      </c>
      <c r="P1324" s="0" t="str">
        <f aca="false">IF('Tech Leaders Kits'!G246="","",'Tech Leaders Kits'!G246)</f>
        <v/>
      </c>
    </row>
    <row r="1325" customFormat="false" ht="15" hidden="false" customHeight="false" outlineLevel="0" collapsed="false">
      <c r="A1325" s="0" t="s">
        <v>324</v>
      </c>
      <c r="B1325" s="0" t="n">
        <v>0</v>
      </c>
      <c r="F1325" s="0" t="str">
        <f aca="false">IFERROR(INDEX('Session Tracker'!$M$5:$M$149,MATCH($A1325,'Session Tracker'!$D$5:$D$149,0))+0,"")</f>
        <v/>
      </c>
      <c r="G1325" s="0" t="str">
        <f aca="false">IF(ISNUMBER(F1325),IF(OR(B1325=0,B1325=99,C1325&lt;&gt;""),F1325*100+B1325,""),"")</f>
        <v/>
      </c>
      <c r="H1325" s="0" t="n">
        <f aca="false">IFERROR(INDEX('Session Tracker'!$J$5:$J$149,MATCH($A1325,'Session Tracker'!$D$5:$D$149,0)),0)</f>
        <v>8</v>
      </c>
      <c r="I1325" s="0" t="str">
        <f aca="false">IF(OR(B1325=0,B1325=99,C1325=""),"",IF(E1325="Per class",D1325,D1325*H1325))</f>
        <v/>
      </c>
      <c r="K1325" s="0" t="str">
        <f aca="false">IFERROR(INDEX('Session Tracker'!$E$5:$E$149,MATCH($A1325,'Session Tracker'!$D$5:$D$149,0)),"")</f>
        <v>Motion-Controlled Game</v>
      </c>
      <c r="L1325" s="0" t="str">
        <f aca="false">IFERROR(INDEX('Session Tracker'!$A$5:$A$149,MATCH($A1325,'Session Tracker'!$D$5:$D$149,0)),"")</f>
        <v>Tech Leaders (15-17)</v>
      </c>
      <c r="M1325" s="0" t="str">
        <f aca="false">IFERROR(INDEX('Session Tracker'!$H$5:$H$149,MATCH($A1325,'Session Tracker'!$D$5:$D$149,0))&amp;"","")</f>
        <v/>
      </c>
      <c r="Q1325" s="0" t="str">
        <f aca="false">IFERROR("Status: "&amp;INDEX('Session Tracker'!$F$5:$F$149,MATCH($A1325,'Session Tracker'!$D$5:$D$149,0))&amp;IF(INDEX('Session Tracker'!$G$5:$G$149,MATCH($A1325,'Session Tracker'!$D$5:$D$149,0))&lt;&gt;""," ("&amp;INDEX('Session Tracker'!$G$5:$G$149,MATCH($A1325,'Session Tracker'!$D$5:$D$149,0))&amp;")","")&amp;IF(M1325&lt;&gt;"","  "&amp;M1325,""),"")</f>
        <v>Status: Not started</v>
      </c>
    </row>
    <row r="1326" customFormat="false" ht="15" hidden="false" customHeight="false" outlineLevel="0" collapsed="false">
      <c r="A1326" s="0" t="s">
        <v>324</v>
      </c>
      <c r="B1326" s="0" t="n">
        <v>1</v>
      </c>
      <c r="C1326" s="0" t="str">
        <f aca="false">IF('Tech Leaders Kits'!C249="","",'Tech Leaders Kits'!C249)</f>
        <v>Arduino Uno + USB cable</v>
      </c>
      <c r="D1326" s="0" t="n">
        <f aca="false">IF('Tech Leaders Kits'!D249="","",'Tech Leaders Kits'!D249)</f>
        <v>1</v>
      </c>
      <c r="E1326" s="0" t="str">
        <f aca="false">IF('Tech Leaders Kits'!E249="","",'Tech Leaders Kits'!E249)</f>
        <v>Per group</v>
      </c>
      <c r="F1326" s="0" t="str">
        <f aca="false">IFERROR(INDEX('Session Tracker'!$M$5:$M$149,MATCH($A1326,'Session Tracker'!$D$5:$D$149,0))+0,"")</f>
        <v/>
      </c>
      <c r="G1326" s="0" t="str">
        <f aca="false">IF(ISNUMBER(F1326),IF(OR(B1326=0,B1326=99,C1326&lt;&gt;""),F1326*100+B1326,""),"")</f>
        <v/>
      </c>
      <c r="H1326" s="0" t="n">
        <f aca="false">IFERROR(INDEX('Session Tracker'!$J$5:$J$149,MATCH($A1326,'Session Tracker'!$D$5:$D$149,0)),0)</f>
        <v>8</v>
      </c>
      <c r="I1326" s="0" t="n">
        <f aca="false">IF(OR(B1326=0,B1326=99,C1326=""),"",IF(E1326="Per class",D1326,D1326*H1326))</f>
        <v>8</v>
      </c>
      <c r="N1326" s="0" t="str">
        <f aca="false">IF('Tech Leaders Kits'!B249="","",'Tech Leaders Kits'!B249)</f>
        <v>Microcontrollers &amp; Dev Boards</v>
      </c>
      <c r="O1326" s="0" t="str">
        <f aca="false">IF('Tech Leaders Kits'!F249="","",'Tech Leaders Kits'!F249)</f>
        <v>Reusable</v>
      </c>
      <c r="P1326" s="0" t="str">
        <f aca="false">IF('Tech Leaders Kits'!G249="","",'Tech Leaders Kits'!G249)</f>
        <v/>
      </c>
    </row>
    <row r="1327" customFormat="false" ht="15" hidden="false" customHeight="false" outlineLevel="0" collapsed="false">
      <c r="A1327" s="0" t="s">
        <v>324</v>
      </c>
      <c r="B1327" s="0" t="n">
        <v>2</v>
      </c>
      <c r="C1327" s="0" t="str">
        <f aca="false">IF('Tech Leaders Kits'!C250="","",'Tech Leaders Kits'!C250)</f>
        <v>Joystick module</v>
      </c>
      <c r="D1327" s="0" t="n">
        <f aca="false">IF('Tech Leaders Kits'!D250="","",'Tech Leaders Kits'!D250)</f>
        <v>1</v>
      </c>
      <c r="E1327" s="0" t="str">
        <f aca="false">IF('Tech Leaders Kits'!E250="","",'Tech Leaders Kits'!E250)</f>
        <v>Per group</v>
      </c>
      <c r="F1327" s="0" t="str">
        <f aca="false">IFERROR(INDEX('Session Tracker'!$M$5:$M$149,MATCH($A1327,'Session Tracker'!$D$5:$D$149,0))+0,"")</f>
        <v/>
      </c>
      <c r="G1327" s="0" t="str">
        <f aca="false">IF(ISNUMBER(F1327),IF(OR(B1327=0,B1327=99,C1327&lt;&gt;""),F1327*100+B1327,""),"")</f>
        <v/>
      </c>
      <c r="H1327" s="0" t="n">
        <f aca="false">IFERROR(INDEX('Session Tracker'!$J$5:$J$149,MATCH($A1327,'Session Tracker'!$D$5:$D$149,0)),0)</f>
        <v>8</v>
      </c>
      <c r="I1327" s="0" t="n">
        <f aca="false">IF(OR(B1327=0,B1327=99,C1327=""),"",IF(E1327="Per class",D1327,D1327*H1327))</f>
        <v>8</v>
      </c>
      <c r="N1327" s="0" t="str">
        <f aca="false">IF('Tech Leaders Kits'!B250="","",'Tech Leaders Kits'!B250)</f>
        <v>Sensors</v>
      </c>
      <c r="O1327" s="0" t="str">
        <f aca="false">IF('Tech Leaders Kits'!F250="","",'Tech Leaders Kits'!F250)</f>
        <v>Reusable</v>
      </c>
      <c r="P1327" s="0" t="str">
        <f aca="false">IF('Tech Leaders Kits'!G250="","",'Tech Leaders Kits'!G250)</f>
        <v/>
      </c>
    </row>
    <row r="1328" customFormat="false" ht="15" hidden="false" customHeight="false" outlineLevel="0" collapsed="false">
      <c r="A1328" s="0" t="s">
        <v>324</v>
      </c>
      <c r="B1328" s="0" t="n">
        <v>3</v>
      </c>
      <c r="C1328" s="0" t="str">
        <f aca="false">IF('Tech Leaders Kits'!C251="","",'Tech Leaders Kits'!C251)</f>
        <v>Push button</v>
      </c>
      <c r="D1328" s="0" t="n">
        <f aca="false">IF('Tech Leaders Kits'!D251="","",'Tech Leaders Kits'!D251)</f>
        <v>2</v>
      </c>
      <c r="E1328" s="0" t="str">
        <f aca="false">IF('Tech Leaders Kits'!E251="","",'Tech Leaders Kits'!E251)</f>
        <v>Per group</v>
      </c>
      <c r="F1328" s="0" t="str">
        <f aca="false">IFERROR(INDEX('Session Tracker'!$M$5:$M$149,MATCH($A1328,'Session Tracker'!$D$5:$D$149,0))+0,"")</f>
        <v/>
      </c>
      <c r="G1328" s="0" t="str">
        <f aca="false">IF(ISNUMBER(F1328),IF(OR(B1328=0,B1328=99,C1328&lt;&gt;""),F1328*100+B1328,""),"")</f>
        <v/>
      </c>
      <c r="H1328" s="0" t="n">
        <f aca="false">IFERROR(INDEX('Session Tracker'!$J$5:$J$149,MATCH($A1328,'Session Tracker'!$D$5:$D$149,0)),0)</f>
        <v>8</v>
      </c>
      <c r="I1328" s="0" t="n">
        <f aca="false">IF(OR(B1328=0,B1328=99,C1328=""),"",IF(E1328="Per class",D1328,D1328*H1328))</f>
        <v>16</v>
      </c>
      <c r="N1328" s="0" t="str">
        <f aca="false">IF('Tech Leaders Kits'!B251="","",'Tech Leaders Kits'!B251)</f>
        <v>Passive Components &amp; ICs</v>
      </c>
      <c r="O1328" s="0" t="str">
        <f aca="false">IF('Tech Leaders Kits'!F251="","",'Tech Leaders Kits'!F251)</f>
        <v>Reusable</v>
      </c>
      <c r="P1328" s="0" t="str">
        <f aca="false">IF('Tech Leaders Kits'!G251="","",'Tech Leaders Kits'!G251)</f>
        <v/>
      </c>
    </row>
    <row r="1329" customFormat="false" ht="15" hidden="false" customHeight="false" outlineLevel="0" collapsed="false">
      <c r="A1329" s="0" t="s">
        <v>324</v>
      </c>
      <c r="B1329" s="0" t="n">
        <v>4</v>
      </c>
      <c r="C1329" s="0" t="str">
        <f aca="false">IF('Tech Leaders Kits'!C252="","",'Tech Leaders Kits'!C252)</f>
        <v>Resistor 10k ohm</v>
      </c>
      <c r="D1329" s="0" t="n">
        <f aca="false">IF('Tech Leaders Kits'!D252="","",'Tech Leaders Kits'!D252)</f>
        <v>2</v>
      </c>
      <c r="E1329" s="0" t="str">
        <f aca="false">IF('Tech Leaders Kits'!E252="","",'Tech Leaders Kits'!E252)</f>
        <v>Per group</v>
      </c>
      <c r="F1329" s="0" t="str">
        <f aca="false">IFERROR(INDEX('Session Tracker'!$M$5:$M$149,MATCH($A1329,'Session Tracker'!$D$5:$D$149,0))+0,"")</f>
        <v/>
      </c>
      <c r="G1329" s="0" t="str">
        <f aca="false">IF(ISNUMBER(F1329),IF(OR(B1329=0,B1329=99,C1329&lt;&gt;""),F1329*100+B1329,""),"")</f>
        <v/>
      </c>
      <c r="H1329" s="0" t="n">
        <f aca="false">IFERROR(INDEX('Session Tracker'!$J$5:$J$149,MATCH($A1329,'Session Tracker'!$D$5:$D$149,0)),0)</f>
        <v>8</v>
      </c>
      <c r="I1329" s="0" t="n">
        <f aca="false">IF(OR(B1329=0,B1329=99,C1329=""),"",IF(E1329="Per class",D1329,D1329*H1329))</f>
        <v>16</v>
      </c>
      <c r="N1329" s="0" t="str">
        <f aca="false">IF('Tech Leaders Kits'!B252="","",'Tech Leaders Kits'!B252)</f>
        <v>Passive Components &amp; ICs</v>
      </c>
      <c r="O1329" s="0" t="str">
        <f aca="false">IF('Tech Leaders Kits'!F252="","",'Tech Leaders Kits'!F252)</f>
        <v>Consumable</v>
      </c>
      <c r="P1329" s="0" t="str">
        <f aca="false">IF('Tech Leaders Kits'!G252="","",'Tech Leaders Kits'!G252)</f>
        <v/>
      </c>
    </row>
    <row r="1330" customFormat="false" ht="15" hidden="false" customHeight="false" outlineLevel="0" collapsed="false">
      <c r="A1330" s="0" t="s">
        <v>324</v>
      </c>
      <c r="B1330" s="0" t="n">
        <v>5</v>
      </c>
      <c r="C1330" s="0" t="str">
        <f aca="false">IF('Tech Leaders Kits'!C253="","",'Tech Leaders Kits'!C253)</f>
        <v>Breadboard (half size)</v>
      </c>
      <c r="D1330" s="0" t="n">
        <f aca="false">IF('Tech Leaders Kits'!D253="","",'Tech Leaders Kits'!D253)</f>
        <v>1</v>
      </c>
      <c r="E1330" s="0" t="str">
        <f aca="false">IF('Tech Leaders Kits'!E253="","",'Tech Leaders Kits'!E253)</f>
        <v>Per group</v>
      </c>
      <c r="F1330" s="0" t="str">
        <f aca="false">IFERROR(INDEX('Session Tracker'!$M$5:$M$149,MATCH($A1330,'Session Tracker'!$D$5:$D$149,0))+0,"")</f>
        <v/>
      </c>
      <c r="G1330" s="0" t="str">
        <f aca="false">IF(ISNUMBER(F1330),IF(OR(B1330=0,B1330=99,C1330&lt;&gt;""),F1330*100+B1330,""),"")</f>
        <v/>
      </c>
      <c r="H1330" s="0" t="n">
        <f aca="false">IFERROR(INDEX('Session Tracker'!$J$5:$J$149,MATCH($A1330,'Session Tracker'!$D$5:$D$149,0)),0)</f>
        <v>8</v>
      </c>
      <c r="I1330" s="0" t="n">
        <f aca="false">IF(OR(B1330=0,B1330=99,C1330=""),"",IF(E1330="Per class",D1330,D1330*H1330))</f>
        <v>8</v>
      </c>
      <c r="N1330" s="0" t="str">
        <f aca="false">IF('Tech Leaders Kits'!B253="","",'Tech Leaders Kits'!B253)</f>
        <v>Wiring &amp; Prototyping</v>
      </c>
      <c r="O1330" s="0" t="str">
        <f aca="false">IF('Tech Leaders Kits'!F253="","",'Tech Leaders Kits'!F253)</f>
        <v>Reusable</v>
      </c>
      <c r="P1330" s="0" t="str">
        <f aca="false">IF('Tech Leaders Kits'!G253="","",'Tech Leaders Kits'!G253)</f>
        <v/>
      </c>
    </row>
    <row r="1331" customFormat="false" ht="15" hidden="false" customHeight="false" outlineLevel="0" collapsed="false">
      <c r="A1331" s="0" t="s">
        <v>324</v>
      </c>
      <c r="B1331" s="0" t="n">
        <v>6</v>
      </c>
      <c r="C1331" s="0" t="str">
        <f aca="false">IF('Tech Leaders Kits'!C254="","",'Tech Leaders Kits'!C254)</f>
        <v>Jumper wires M-M</v>
      </c>
      <c r="D1331" s="0" t="n">
        <f aca="false">IF('Tech Leaders Kits'!D254="","",'Tech Leaders Kits'!D254)</f>
        <v>8</v>
      </c>
      <c r="E1331" s="0" t="str">
        <f aca="false">IF('Tech Leaders Kits'!E254="","",'Tech Leaders Kits'!E254)</f>
        <v>Per group</v>
      </c>
      <c r="F1331" s="0" t="str">
        <f aca="false">IFERROR(INDEX('Session Tracker'!$M$5:$M$149,MATCH($A1331,'Session Tracker'!$D$5:$D$149,0))+0,"")</f>
        <v/>
      </c>
      <c r="G1331" s="0" t="str">
        <f aca="false">IF(ISNUMBER(F1331),IF(OR(B1331=0,B1331=99,C1331&lt;&gt;""),F1331*100+B1331,""),"")</f>
        <v/>
      </c>
      <c r="H1331" s="0" t="n">
        <f aca="false">IFERROR(INDEX('Session Tracker'!$J$5:$J$149,MATCH($A1331,'Session Tracker'!$D$5:$D$149,0)),0)</f>
        <v>8</v>
      </c>
      <c r="I1331" s="0" t="n">
        <f aca="false">IF(OR(B1331=0,B1331=99,C1331=""),"",IF(E1331="Per class",D1331,D1331*H1331))</f>
        <v>64</v>
      </c>
      <c r="N1331" s="0" t="str">
        <f aca="false">IF('Tech Leaders Kits'!B254="","",'Tech Leaders Kits'!B254)</f>
        <v>Wiring &amp; Prototyping</v>
      </c>
      <c r="O1331" s="0" t="str">
        <f aca="false">IF('Tech Leaders Kits'!F254="","",'Tech Leaders Kits'!F254)</f>
        <v>Reusable</v>
      </c>
      <c r="P1331" s="0" t="str">
        <f aca="false">IF('Tech Leaders Kits'!G254="","",'Tech Leaders Kits'!G254)</f>
        <v/>
      </c>
    </row>
    <row r="1332" customFormat="false" ht="15" hidden="false" customHeight="false" outlineLevel="0" collapsed="false">
      <c r="A1332" s="0" t="s">
        <v>324</v>
      </c>
      <c r="B1332" s="0" t="n">
        <v>7</v>
      </c>
      <c r="C1332" s="0" t="str">
        <f aca="false">IF('Tech Leaders Kits'!C255="","",'Tech Leaders Kits'!C255)</f>
        <v>Jumper wires M-F</v>
      </c>
      <c r="D1332" s="0" t="n">
        <f aca="false">IF('Tech Leaders Kits'!D255="","",'Tech Leaders Kits'!D255)</f>
        <v>5</v>
      </c>
      <c r="E1332" s="0" t="str">
        <f aca="false">IF('Tech Leaders Kits'!E255="","",'Tech Leaders Kits'!E255)</f>
        <v>Per group</v>
      </c>
      <c r="F1332" s="0" t="str">
        <f aca="false">IFERROR(INDEX('Session Tracker'!$M$5:$M$149,MATCH($A1332,'Session Tracker'!$D$5:$D$149,0))+0,"")</f>
        <v/>
      </c>
      <c r="G1332" s="0" t="str">
        <f aca="false">IF(ISNUMBER(F1332),IF(OR(B1332=0,B1332=99,C1332&lt;&gt;""),F1332*100+B1332,""),"")</f>
        <v/>
      </c>
      <c r="H1332" s="0" t="n">
        <f aca="false">IFERROR(INDEX('Session Tracker'!$J$5:$J$149,MATCH($A1332,'Session Tracker'!$D$5:$D$149,0)),0)</f>
        <v>8</v>
      </c>
      <c r="I1332" s="0" t="n">
        <f aca="false">IF(OR(B1332=0,B1332=99,C1332=""),"",IF(E1332="Per class",D1332,D1332*H1332))</f>
        <v>40</v>
      </c>
      <c r="N1332" s="0" t="str">
        <f aca="false">IF('Tech Leaders Kits'!B255="","",'Tech Leaders Kits'!B255)</f>
        <v>Wiring &amp; Prototyping</v>
      </c>
      <c r="O1332" s="0" t="str">
        <f aca="false">IF('Tech Leaders Kits'!F255="","",'Tech Leaders Kits'!F255)</f>
        <v>Reusable</v>
      </c>
      <c r="P1332" s="0" t="str">
        <f aca="false">IF('Tech Leaders Kits'!G255="","",'Tech Leaders Kits'!G255)</f>
        <v/>
      </c>
    </row>
    <row r="1333" customFormat="false" ht="15" hidden="false" customHeight="false" outlineLevel="0" collapsed="false">
      <c r="A1333" s="0" t="s">
        <v>324</v>
      </c>
      <c r="B1333" s="0" t="n">
        <v>8</v>
      </c>
      <c r="C1333" s="0" t="str">
        <f aca="false">IF('Tech Leaders Kits'!C256="","",'Tech Leaders Kits'!C256)</f>
        <v>Laptop</v>
      </c>
      <c r="D1333" s="0" t="n">
        <f aca="false">IF('Tech Leaders Kits'!D256="","",'Tech Leaders Kits'!D256)</f>
        <v>1</v>
      </c>
      <c r="E1333" s="0" t="str">
        <f aca="false">IF('Tech Leaders Kits'!E256="","",'Tech Leaders Kits'!E256)</f>
        <v>Per group</v>
      </c>
      <c r="F1333" s="0" t="str">
        <f aca="false">IFERROR(INDEX('Session Tracker'!$M$5:$M$149,MATCH($A1333,'Session Tracker'!$D$5:$D$149,0))+0,"")</f>
        <v/>
      </c>
      <c r="G1333" s="0" t="str">
        <f aca="false">IF(ISNUMBER(F1333),IF(OR(B1333=0,B1333=99,C1333&lt;&gt;""),F1333*100+B1333,""),"")</f>
        <v/>
      </c>
      <c r="H1333" s="0" t="n">
        <f aca="false">IFERROR(INDEX('Session Tracker'!$J$5:$J$149,MATCH($A1333,'Session Tracker'!$D$5:$D$149,0)),0)</f>
        <v>8</v>
      </c>
      <c r="I1333" s="0" t="n">
        <f aca="false">IF(OR(B1333=0,B1333=99,C1333=""),"",IF(E1333="Per class",D1333,D1333*H1333))</f>
        <v>8</v>
      </c>
      <c r="N1333" s="0" t="str">
        <f aca="false">IF('Tech Leaders Kits'!B256="","",'Tech Leaders Kits'!B256)</f>
        <v>Computers &amp; Equipment</v>
      </c>
      <c r="O1333" s="0" t="str">
        <f aca="false">IF('Tech Leaders Kits'!F256="","",'Tech Leaders Kits'!F256)</f>
        <v>Reusable</v>
      </c>
      <c r="P1333" s="0" t="str">
        <f aca="false">IF('Tech Leaders Kits'!G256="","",'Tech Leaders Kits'!G256)</f>
        <v/>
      </c>
    </row>
    <row r="1334" customFormat="false" ht="15" hidden="false" customHeight="false" outlineLevel="0" collapsed="false">
      <c r="A1334" s="0" t="s">
        <v>324</v>
      </c>
      <c r="B1334" s="0" t="n">
        <v>9</v>
      </c>
      <c r="C1334" s="0" t="str">
        <f aca="false">IF('Tech Leaders Kits'!C257="","",'Tech Leaders Kits'!C257)</f>
        <v>LED 5 mm (assorted)</v>
      </c>
      <c r="D1334" s="0" t="n">
        <f aca="false">IF('Tech Leaders Kits'!D257="","",'Tech Leaders Kits'!D257)</f>
        <v>1</v>
      </c>
      <c r="E1334" s="0" t="str">
        <f aca="false">IF('Tech Leaders Kits'!E257="","",'Tech Leaders Kits'!E257)</f>
        <v>Per group</v>
      </c>
      <c r="F1334" s="0" t="str">
        <f aca="false">IFERROR(INDEX('Session Tracker'!$M$5:$M$149,MATCH($A1334,'Session Tracker'!$D$5:$D$149,0))+0,"")</f>
        <v/>
      </c>
      <c r="G1334" s="0" t="str">
        <f aca="false">IF(ISNUMBER(F1334),IF(OR(B1334=0,B1334=99,C1334&lt;&gt;""),F1334*100+B1334,""),"")</f>
        <v/>
      </c>
      <c r="H1334" s="0" t="n">
        <f aca="false">IFERROR(INDEX('Session Tracker'!$J$5:$J$149,MATCH($A1334,'Session Tracker'!$D$5:$D$149,0)),0)</f>
        <v>8</v>
      </c>
      <c r="I1334" s="0" t="n">
        <f aca="false">IF(OR(B1334=0,B1334=99,C1334=""),"",IF(E1334="Per class",D1334,D1334*H1334))</f>
        <v>8</v>
      </c>
      <c r="N1334" s="0" t="str">
        <f aca="false">IF('Tech Leaders Kits'!B257="","",'Tech Leaders Kits'!B257)</f>
        <v>Displays &amp; Output</v>
      </c>
      <c r="O1334" s="0" t="str">
        <f aca="false">IF('Tech Leaders Kits'!F257="","",'Tech Leaders Kits'!F257)</f>
        <v>Consumable</v>
      </c>
      <c r="P1334" s="0" t="str">
        <f aca="false">IF('Tech Leaders Kits'!G257="","",'Tech Leaders Kits'!G257)</f>
        <v>Added: every Arduino class</v>
      </c>
    </row>
    <row r="1335" customFormat="false" ht="15" hidden="false" customHeight="false" outlineLevel="0" collapsed="false">
      <c r="A1335" s="0" t="s">
        <v>324</v>
      </c>
      <c r="B1335" s="0" t="n">
        <v>10</v>
      </c>
      <c r="C1335" s="0" t="str">
        <f aca="false">IF('Tech Leaders Kits'!C258="","",'Tech Leaders Kits'!C258)</f>
        <v>Resistor 220 ohm</v>
      </c>
      <c r="D1335" s="0" t="n">
        <f aca="false">IF('Tech Leaders Kits'!D258="","",'Tech Leaders Kits'!D258)</f>
        <v>1</v>
      </c>
      <c r="E1335" s="0" t="str">
        <f aca="false">IF('Tech Leaders Kits'!E258="","",'Tech Leaders Kits'!E258)</f>
        <v>Per group</v>
      </c>
      <c r="F1335" s="0" t="str">
        <f aca="false">IFERROR(INDEX('Session Tracker'!$M$5:$M$149,MATCH($A1335,'Session Tracker'!$D$5:$D$149,0))+0,"")</f>
        <v/>
      </c>
      <c r="G1335" s="0" t="str">
        <f aca="false">IF(ISNUMBER(F1335),IF(OR(B1335=0,B1335=99,C1335&lt;&gt;""),F1335*100+B1335,""),"")</f>
        <v/>
      </c>
      <c r="H1335" s="0" t="n">
        <f aca="false">IFERROR(INDEX('Session Tracker'!$J$5:$J$149,MATCH($A1335,'Session Tracker'!$D$5:$D$149,0)),0)</f>
        <v>8</v>
      </c>
      <c r="I1335" s="0" t="n">
        <f aca="false">IF(OR(B1335=0,B1335=99,C1335=""),"",IF(E1335="Per class",D1335,D1335*H1335))</f>
        <v>8</v>
      </c>
      <c r="N1335" s="0" t="str">
        <f aca="false">IF('Tech Leaders Kits'!B258="","",'Tech Leaders Kits'!B258)</f>
        <v>Passive Components &amp; ICs</v>
      </c>
      <c r="O1335" s="0" t="str">
        <f aca="false">IF('Tech Leaders Kits'!F258="","",'Tech Leaders Kits'!F258)</f>
        <v>Consumable</v>
      </c>
      <c r="P1335" s="0" t="str">
        <f aca="false">IF('Tech Leaders Kits'!G258="","",'Tech Leaders Kits'!G258)</f>
        <v>Added: for the LED</v>
      </c>
    </row>
    <row r="1336" customFormat="false" ht="15" hidden="false" customHeight="false" outlineLevel="0" collapsed="false">
      <c r="A1336" s="0" t="s">
        <v>324</v>
      </c>
      <c r="B1336" s="0" t="n">
        <v>11</v>
      </c>
      <c r="C1336" s="0" t="str">
        <f aca="false">IF('Tech Leaders Kits'!C259="","",'Tech Leaders Kits'!C259)</f>
        <v>Buzzer</v>
      </c>
      <c r="D1336" s="0" t="n">
        <f aca="false">IF('Tech Leaders Kits'!D259="","",'Tech Leaders Kits'!D259)</f>
        <v>1</v>
      </c>
      <c r="E1336" s="0" t="str">
        <f aca="false">IF('Tech Leaders Kits'!E259="","",'Tech Leaders Kits'!E259)</f>
        <v>Per group</v>
      </c>
      <c r="F1336" s="0" t="str">
        <f aca="false">IFERROR(INDEX('Session Tracker'!$M$5:$M$149,MATCH($A1336,'Session Tracker'!$D$5:$D$149,0))+0,"")</f>
        <v/>
      </c>
      <c r="G1336" s="0" t="str">
        <f aca="false">IF(ISNUMBER(F1336),IF(OR(B1336=0,B1336=99,C1336&lt;&gt;""),F1336*100+B1336,""),"")</f>
        <v/>
      </c>
      <c r="H1336" s="0" t="n">
        <f aca="false">IFERROR(INDEX('Session Tracker'!$J$5:$J$149,MATCH($A1336,'Session Tracker'!$D$5:$D$149,0)),0)</f>
        <v>8</v>
      </c>
      <c r="I1336" s="0" t="n">
        <f aca="false">IF(OR(B1336=0,B1336=99,C1336=""),"",IF(E1336="Per class",D1336,D1336*H1336))</f>
        <v>8</v>
      </c>
      <c r="N1336" s="0" t="str">
        <f aca="false">IF('Tech Leaders Kits'!B259="","",'Tech Leaders Kits'!B259)</f>
        <v>Actuators &amp; Motor Drivers</v>
      </c>
      <c r="O1336" s="0" t="str">
        <f aca="false">IF('Tech Leaders Kits'!F259="","",'Tech Leaders Kits'!F259)</f>
        <v>Reusable</v>
      </c>
      <c r="P1336" s="0" t="str">
        <f aca="false">IF('Tech Leaders Kits'!G259="","",'Tech Leaders Kits'!G259)</f>
        <v>Added: every Arduino class</v>
      </c>
    </row>
    <row r="1337" customFormat="false" ht="15" hidden="false" customHeight="false" outlineLevel="0" collapsed="false">
      <c r="A1337" s="0" t="s">
        <v>324</v>
      </c>
      <c r="B1337" s="0" t="n">
        <v>12</v>
      </c>
      <c r="C1337" s="0" t="str">
        <f aca="false">IF('Tech Leaders Kits'!C260="","",'Tech Leaders Kits'!C260)</f>
        <v/>
      </c>
      <c r="D1337" s="0" t="str">
        <f aca="false">IF('Tech Leaders Kits'!D260="","",'Tech Leaders Kits'!D260)</f>
        <v/>
      </c>
      <c r="E1337" s="0" t="str">
        <f aca="false">IF('Tech Leaders Kits'!E260="","",'Tech Leaders Kits'!E260)</f>
        <v/>
      </c>
      <c r="F1337" s="0" t="str">
        <f aca="false">IFERROR(INDEX('Session Tracker'!$M$5:$M$149,MATCH($A1337,'Session Tracker'!$D$5:$D$149,0))+0,"")</f>
        <v/>
      </c>
      <c r="G1337" s="0" t="str">
        <f aca="false">IF(ISNUMBER(F1337),IF(OR(B1337=0,B1337=99,C1337&lt;&gt;""),F1337*100+B1337,""),"")</f>
        <v/>
      </c>
      <c r="H1337" s="0" t="n">
        <f aca="false">IFERROR(INDEX('Session Tracker'!$J$5:$J$149,MATCH($A1337,'Session Tracker'!$D$5:$D$149,0)),0)</f>
        <v>8</v>
      </c>
      <c r="I1337" s="0" t="str">
        <f aca="false">IF(OR(B1337=0,B1337=99,C1337=""),"",IF(E1337="Per class",D1337,D1337*H1337))</f>
        <v/>
      </c>
      <c r="N1337" s="0" t="str">
        <f aca="false">IF('Tech Leaders Kits'!B260="","",'Tech Leaders Kits'!B260)</f>
        <v/>
      </c>
      <c r="O1337" s="0" t="str">
        <f aca="false">IF('Tech Leaders Kits'!F260="","",'Tech Leaders Kits'!F260)</f>
        <v/>
      </c>
      <c r="P1337" s="0" t="str">
        <f aca="false">IF('Tech Leaders Kits'!G260="","",'Tech Leaders Kits'!G260)</f>
        <v/>
      </c>
    </row>
    <row r="1338" customFormat="false" ht="15" hidden="false" customHeight="false" outlineLevel="0" collapsed="false">
      <c r="A1338" s="0" t="s">
        <v>324</v>
      </c>
      <c r="B1338" s="0" t="n">
        <v>13</v>
      </c>
      <c r="C1338" s="0" t="str">
        <f aca="false">IF('Tech Leaders Kits'!C261="","",'Tech Leaders Kits'!C261)</f>
        <v/>
      </c>
      <c r="D1338" s="0" t="str">
        <f aca="false">IF('Tech Leaders Kits'!D261="","",'Tech Leaders Kits'!D261)</f>
        <v/>
      </c>
      <c r="E1338" s="0" t="str">
        <f aca="false">IF('Tech Leaders Kits'!E261="","",'Tech Leaders Kits'!E261)</f>
        <v/>
      </c>
      <c r="F1338" s="0" t="str">
        <f aca="false">IFERROR(INDEX('Session Tracker'!$M$5:$M$149,MATCH($A1338,'Session Tracker'!$D$5:$D$149,0))+0,"")</f>
        <v/>
      </c>
      <c r="G1338" s="0" t="str">
        <f aca="false">IF(ISNUMBER(F1338),IF(OR(B1338=0,B1338=99,C1338&lt;&gt;""),F1338*100+B1338,""),"")</f>
        <v/>
      </c>
      <c r="H1338" s="0" t="n">
        <f aca="false">IFERROR(INDEX('Session Tracker'!$J$5:$J$149,MATCH($A1338,'Session Tracker'!$D$5:$D$149,0)),0)</f>
        <v>8</v>
      </c>
      <c r="I1338" s="0" t="str">
        <f aca="false">IF(OR(B1338=0,B1338=99,C1338=""),"",IF(E1338="Per class",D1338,D1338*H1338))</f>
        <v/>
      </c>
      <c r="N1338" s="0" t="str">
        <f aca="false">IF('Tech Leaders Kits'!B261="","",'Tech Leaders Kits'!B261)</f>
        <v/>
      </c>
      <c r="O1338" s="0" t="str">
        <f aca="false">IF('Tech Leaders Kits'!F261="","",'Tech Leaders Kits'!F261)</f>
        <v/>
      </c>
      <c r="P1338" s="0" t="str">
        <f aca="false">IF('Tech Leaders Kits'!G261="","",'Tech Leaders Kits'!G261)</f>
        <v/>
      </c>
    </row>
    <row r="1339" customFormat="false" ht="15" hidden="false" customHeight="false" outlineLevel="0" collapsed="false">
      <c r="A1339" s="0" t="s">
        <v>326</v>
      </c>
      <c r="B1339" s="0" t="n">
        <v>0</v>
      </c>
      <c r="F1339" s="0" t="str">
        <f aca="false">IFERROR(INDEX('Session Tracker'!$M$5:$M$149,MATCH($A1339,'Session Tracker'!$D$5:$D$149,0))+0,"")</f>
        <v/>
      </c>
      <c r="G1339" s="0" t="str">
        <f aca="false">IF(ISNUMBER(F1339),IF(OR(B1339=0,B1339=99,C1339&lt;&gt;""),F1339*100+B1339,""),"")</f>
        <v/>
      </c>
      <c r="H1339" s="0" t="n">
        <f aca="false">IFERROR(INDEX('Session Tracker'!$J$5:$J$149,MATCH($A1339,'Session Tracker'!$D$5:$D$149,0)),0)</f>
        <v>8</v>
      </c>
      <c r="I1339" s="0" t="str">
        <f aca="false">IF(OR(B1339=0,B1339=99,C1339=""),"",IF(E1339="Per class",D1339,D1339*H1339))</f>
        <v/>
      </c>
      <c r="K1339" s="0" t="str">
        <f aca="false">IFERROR(INDEX('Session Tracker'!$E$5:$E$149,MATCH($A1339,'Session Tracker'!$D$5:$D$149,0)),"")</f>
        <v>Computer Vision with OpenCV: Colour Tracking</v>
      </c>
      <c r="L1339" s="0" t="str">
        <f aca="false">IFERROR(INDEX('Session Tracker'!$A$5:$A$149,MATCH($A1339,'Session Tracker'!$D$5:$D$149,0)),"")</f>
        <v>Tech Leaders (15-17)</v>
      </c>
      <c r="M1339" s="0" t="str">
        <f aca="false">IFERROR(INDEX('Session Tracker'!$H$5:$H$149,MATCH($A1339,'Session Tracker'!$D$5:$D$149,0))&amp;"","")</f>
        <v/>
      </c>
      <c r="Q1339" s="0" t="str">
        <f aca="false">IFERROR("Status: "&amp;INDEX('Session Tracker'!$F$5:$F$149,MATCH($A1339,'Session Tracker'!$D$5:$D$149,0))&amp;IF(INDEX('Session Tracker'!$G$5:$G$149,MATCH($A1339,'Session Tracker'!$D$5:$D$149,0))&lt;&gt;""," ("&amp;INDEX('Session Tracker'!$G$5:$G$149,MATCH($A1339,'Session Tracker'!$D$5:$D$149,0))&amp;")","")&amp;IF(M1339&lt;&gt;"","  "&amp;M1339,""),"")</f>
        <v>Status: Not started</v>
      </c>
    </row>
    <row r="1340" customFormat="false" ht="15" hidden="false" customHeight="false" outlineLevel="0" collapsed="false">
      <c r="A1340" s="0" t="s">
        <v>326</v>
      </c>
      <c r="B1340" s="0" t="n">
        <v>1</v>
      </c>
      <c r="C1340" s="0" t="str">
        <f aca="false">IF('Tech Leaders Kits'!C264="","",'Tech Leaders Kits'!C264)</f>
        <v>Laptop</v>
      </c>
      <c r="D1340" s="0" t="n">
        <f aca="false">IF('Tech Leaders Kits'!D264="","",'Tech Leaders Kits'!D264)</f>
        <v>1</v>
      </c>
      <c r="E1340" s="0" t="str">
        <f aca="false">IF('Tech Leaders Kits'!E264="","",'Tech Leaders Kits'!E264)</f>
        <v>Per group</v>
      </c>
      <c r="F1340" s="0" t="str">
        <f aca="false">IFERROR(INDEX('Session Tracker'!$M$5:$M$149,MATCH($A1340,'Session Tracker'!$D$5:$D$149,0))+0,"")</f>
        <v/>
      </c>
      <c r="G1340" s="0" t="str">
        <f aca="false">IF(ISNUMBER(F1340),IF(OR(B1340=0,B1340=99,C1340&lt;&gt;""),F1340*100+B1340,""),"")</f>
        <v/>
      </c>
      <c r="H1340" s="0" t="n">
        <f aca="false">IFERROR(INDEX('Session Tracker'!$J$5:$J$149,MATCH($A1340,'Session Tracker'!$D$5:$D$149,0)),0)</f>
        <v>8</v>
      </c>
      <c r="I1340" s="0" t="n">
        <f aca="false">IF(OR(B1340=0,B1340=99,C1340=""),"",IF(E1340="Per class",D1340,D1340*H1340))</f>
        <v>8</v>
      </c>
      <c r="N1340" s="0" t="str">
        <f aca="false">IF('Tech Leaders Kits'!B264="","",'Tech Leaders Kits'!B264)</f>
        <v>Computers &amp; Equipment</v>
      </c>
      <c r="O1340" s="0" t="str">
        <f aca="false">IF('Tech Leaders Kits'!F264="","",'Tech Leaders Kits'!F264)</f>
        <v>Reusable</v>
      </c>
      <c r="P1340" s="0" t="str">
        <f aca="false">IF('Tech Leaders Kits'!G264="","",'Tech Leaders Kits'!G264)</f>
        <v/>
      </c>
    </row>
    <row r="1341" customFormat="false" ht="15" hidden="false" customHeight="false" outlineLevel="0" collapsed="false">
      <c r="A1341" s="0" t="s">
        <v>326</v>
      </c>
      <c r="B1341" s="0" t="n">
        <v>2</v>
      </c>
      <c r="C1341" s="0" t="str">
        <f aca="false">IF('Tech Leaders Kits'!C265="","",'Tech Leaders Kits'!C265)</f>
        <v>Webcam</v>
      </c>
      <c r="D1341" s="0" t="n">
        <f aca="false">IF('Tech Leaders Kits'!D265="","",'Tech Leaders Kits'!D265)</f>
        <v>1</v>
      </c>
      <c r="E1341" s="0" t="str">
        <f aca="false">IF('Tech Leaders Kits'!E265="","",'Tech Leaders Kits'!E265)</f>
        <v>Per group</v>
      </c>
      <c r="F1341" s="0" t="str">
        <f aca="false">IFERROR(INDEX('Session Tracker'!$M$5:$M$149,MATCH($A1341,'Session Tracker'!$D$5:$D$149,0))+0,"")</f>
        <v/>
      </c>
      <c r="G1341" s="0" t="str">
        <f aca="false">IF(ISNUMBER(F1341),IF(OR(B1341=0,B1341=99,C1341&lt;&gt;""),F1341*100+B1341,""),"")</f>
        <v/>
      </c>
      <c r="H1341" s="0" t="n">
        <f aca="false">IFERROR(INDEX('Session Tracker'!$J$5:$J$149,MATCH($A1341,'Session Tracker'!$D$5:$D$149,0)),0)</f>
        <v>8</v>
      </c>
      <c r="I1341" s="0" t="n">
        <f aca="false">IF(OR(B1341=0,B1341=99,C1341=""),"",IF(E1341="Per class",D1341,D1341*H1341))</f>
        <v>8</v>
      </c>
      <c r="N1341" s="0" t="str">
        <f aca="false">IF('Tech Leaders Kits'!B265="","",'Tech Leaders Kits'!B265)</f>
        <v>Computers &amp; Equipment</v>
      </c>
      <c r="O1341" s="0" t="str">
        <f aca="false">IF('Tech Leaders Kits'!F265="","",'Tech Leaders Kits'!F265)</f>
        <v>Reusable</v>
      </c>
      <c r="P1341" s="0" t="str">
        <f aca="false">IF('Tech Leaders Kits'!G265="","",'Tech Leaders Kits'!G265)</f>
        <v>Or built-in camera</v>
      </c>
    </row>
    <row r="1342" customFormat="false" ht="15" hidden="false" customHeight="false" outlineLevel="0" collapsed="false">
      <c r="A1342" s="0" t="s">
        <v>326</v>
      </c>
      <c r="B1342" s="0" t="n">
        <v>3</v>
      </c>
      <c r="C1342" s="0" t="str">
        <f aca="false">IF('Tech Leaders Kits'!C266="","",'Tech Leaders Kits'!C266)</f>
        <v/>
      </c>
      <c r="D1342" s="0" t="str">
        <f aca="false">IF('Tech Leaders Kits'!D266="","",'Tech Leaders Kits'!D266)</f>
        <v/>
      </c>
      <c r="E1342" s="0" t="str">
        <f aca="false">IF('Tech Leaders Kits'!E266="","",'Tech Leaders Kits'!E266)</f>
        <v/>
      </c>
      <c r="F1342" s="0" t="str">
        <f aca="false">IFERROR(INDEX('Session Tracker'!$M$5:$M$149,MATCH($A1342,'Session Tracker'!$D$5:$D$149,0))+0,"")</f>
        <v/>
      </c>
      <c r="G1342" s="0" t="str">
        <f aca="false">IF(ISNUMBER(F1342),IF(OR(B1342=0,B1342=99,C1342&lt;&gt;""),F1342*100+B1342,""),"")</f>
        <v/>
      </c>
      <c r="H1342" s="0" t="n">
        <f aca="false">IFERROR(INDEX('Session Tracker'!$J$5:$J$149,MATCH($A1342,'Session Tracker'!$D$5:$D$149,0)),0)</f>
        <v>8</v>
      </c>
      <c r="I1342" s="0" t="str">
        <f aca="false">IF(OR(B1342=0,B1342=99,C1342=""),"",IF(E1342="Per class",D1342,D1342*H1342))</f>
        <v/>
      </c>
      <c r="N1342" s="0" t="str">
        <f aca="false">IF('Tech Leaders Kits'!B266="","",'Tech Leaders Kits'!B266)</f>
        <v/>
      </c>
      <c r="O1342" s="0" t="str">
        <f aca="false">IF('Tech Leaders Kits'!F266="","",'Tech Leaders Kits'!F266)</f>
        <v/>
      </c>
      <c r="P1342" s="0" t="str">
        <f aca="false">IF('Tech Leaders Kits'!G266="","",'Tech Leaders Kits'!G266)</f>
        <v/>
      </c>
    </row>
    <row r="1343" customFormat="false" ht="15" hidden="false" customHeight="false" outlineLevel="0" collapsed="false">
      <c r="A1343" s="0" t="s">
        <v>326</v>
      </c>
      <c r="B1343" s="0" t="n">
        <v>4</v>
      </c>
      <c r="C1343" s="0" t="str">
        <f aca="false">IF('Tech Leaders Kits'!C267="","",'Tech Leaders Kits'!C267)</f>
        <v/>
      </c>
      <c r="D1343" s="0" t="str">
        <f aca="false">IF('Tech Leaders Kits'!D267="","",'Tech Leaders Kits'!D267)</f>
        <v/>
      </c>
      <c r="E1343" s="0" t="str">
        <f aca="false">IF('Tech Leaders Kits'!E267="","",'Tech Leaders Kits'!E267)</f>
        <v/>
      </c>
      <c r="F1343" s="0" t="str">
        <f aca="false">IFERROR(INDEX('Session Tracker'!$M$5:$M$149,MATCH($A1343,'Session Tracker'!$D$5:$D$149,0))+0,"")</f>
        <v/>
      </c>
      <c r="G1343" s="0" t="str">
        <f aca="false">IF(ISNUMBER(F1343),IF(OR(B1343=0,B1343=99,C1343&lt;&gt;""),F1343*100+B1343,""),"")</f>
        <v/>
      </c>
      <c r="H1343" s="0" t="n">
        <f aca="false">IFERROR(INDEX('Session Tracker'!$J$5:$J$149,MATCH($A1343,'Session Tracker'!$D$5:$D$149,0)),0)</f>
        <v>8</v>
      </c>
      <c r="I1343" s="0" t="str">
        <f aca="false">IF(OR(B1343=0,B1343=99,C1343=""),"",IF(E1343="Per class",D1343,D1343*H1343))</f>
        <v/>
      </c>
      <c r="N1343" s="0" t="str">
        <f aca="false">IF('Tech Leaders Kits'!B267="","",'Tech Leaders Kits'!B267)</f>
        <v/>
      </c>
      <c r="O1343" s="0" t="str">
        <f aca="false">IF('Tech Leaders Kits'!F267="","",'Tech Leaders Kits'!F267)</f>
        <v/>
      </c>
      <c r="P1343" s="0" t="str">
        <f aca="false">IF('Tech Leaders Kits'!G267="","",'Tech Leaders Kits'!G267)</f>
        <v/>
      </c>
    </row>
    <row r="1344" customFormat="false" ht="15" hidden="false" customHeight="false" outlineLevel="0" collapsed="false">
      <c r="A1344" s="0" t="s">
        <v>328</v>
      </c>
      <c r="B1344" s="0" t="n">
        <v>0</v>
      </c>
      <c r="F1344" s="0" t="str">
        <f aca="false">IFERROR(INDEX('Session Tracker'!$M$5:$M$149,MATCH($A1344,'Session Tracker'!$D$5:$D$149,0))+0,"")</f>
        <v/>
      </c>
      <c r="G1344" s="0" t="str">
        <f aca="false">IF(ISNUMBER(F1344),IF(OR(B1344=0,B1344=99,C1344&lt;&gt;""),F1344*100+B1344,""),"")</f>
        <v/>
      </c>
      <c r="H1344" s="0" t="n">
        <f aca="false">IFERROR(INDEX('Session Tracker'!$J$5:$J$149,MATCH($A1344,'Session Tracker'!$D$5:$D$149,0)),0)</f>
        <v>8</v>
      </c>
      <c r="I1344" s="0" t="str">
        <f aca="false">IF(OR(B1344=0,B1344=99,C1344=""),"",IF(E1344="Per class",D1344,D1344*H1344))</f>
        <v/>
      </c>
      <c r="K1344" s="0" t="str">
        <f aca="false">IFERROR(INDEX('Session Tracker'!$E$5:$E$149,MATCH($A1344,'Session Tracker'!$D$5:$D$149,0)),"")</f>
        <v>Vision-Guided Robot Car</v>
      </c>
      <c r="L1344" s="0" t="str">
        <f aca="false">IFERROR(INDEX('Session Tracker'!$A$5:$A$149,MATCH($A1344,'Session Tracker'!$D$5:$D$149,0)),"")</f>
        <v>Tech Leaders (15-17)</v>
      </c>
      <c r="M1344" s="0" t="str">
        <f aca="false">IFERROR(INDEX('Session Tracker'!$H$5:$H$149,MATCH($A1344,'Session Tracker'!$D$5:$D$149,0))&amp;"","")</f>
        <v/>
      </c>
      <c r="Q1344" s="0" t="str">
        <f aca="false">IFERROR("Status: "&amp;INDEX('Session Tracker'!$F$5:$F$149,MATCH($A1344,'Session Tracker'!$D$5:$D$149,0))&amp;IF(INDEX('Session Tracker'!$G$5:$G$149,MATCH($A1344,'Session Tracker'!$D$5:$D$149,0))&lt;&gt;""," ("&amp;INDEX('Session Tracker'!$G$5:$G$149,MATCH($A1344,'Session Tracker'!$D$5:$D$149,0))&amp;")","")&amp;IF(M1344&lt;&gt;"","  "&amp;M1344,""),"")</f>
        <v>Status: Not started</v>
      </c>
    </row>
    <row r="1345" customFormat="false" ht="15" hidden="false" customHeight="false" outlineLevel="0" collapsed="false">
      <c r="A1345" s="0" t="s">
        <v>328</v>
      </c>
      <c r="B1345" s="0" t="n">
        <v>1</v>
      </c>
      <c r="C1345" s="0" t="str">
        <f aca="false">IF('Tech Leaders Kits'!C270="","",'Tech Leaders Kits'!C270)</f>
        <v>4WD robot car (assembled, L298N)</v>
      </c>
      <c r="D1345" s="0" t="n">
        <f aca="false">IF('Tech Leaders Kits'!D270="","",'Tech Leaders Kits'!D270)</f>
        <v>1</v>
      </c>
      <c r="E1345" s="0" t="str">
        <f aca="false">IF('Tech Leaders Kits'!E270="","",'Tech Leaders Kits'!E270)</f>
        <v>Per group</v>
      </c>
      <c r="F1345" s="0" t="str">
        <f aca="false">IFERROR(INDEX('Session Tracker'!$M$5:$M$149,MATCH($A1345,'Session Tracker'!$D$5:$D$149,0))+0,"")</f>
        <v/>
      </c>
      <c r="G1345" s="0" t="str">
        <f aca="false">IF(ISNUMBER(F1345),IF(OR(B1345=0,B1345=99,C1345&lt;&gt;""),F1345*100+B1345,""),"")</f>
        <v/>
      </c>
      <c r="H1345" s="0" t="n">
        <f aca="false">IFERROR(INDEX('Session Tracker'!$J$5:$J$149,MATCH($A1345,'Session Tracker'!$D$5:$D$149,0)),0)</f>
        <v>8</v>
      </c>
      <c r="I1345" s="0" t="n">
        <f aca="false">IF(OR(B1345=0,B1345=99,C1345=""),"",IF(E1345="Per class",D1345,D1345*H1345))</f>
        <v>8</v>
      </c>
      <c r="N1345" s="0" t="str">
        <f aca="false">IF('Tech Leaders Kits'!B270="","",'Tech Leaders Kits'!B270)</f>
        <v>Robot Platforms &amp; Kits</v>
      </c>
      <c r="O1345" s="0" t="str">
        <f aca="false">IF('Tech Leaders Kits'!F270="","",'Tech Leaders Kits'!F270)</f>
        <v>Reusable</v>
      </c>
      <c r="P1345" s="0" t="str">
        <f aca="false">IF('Tech Leaders Kits'!G270="","",'Tech Leaders Kits'!G270)</f>
        <v>From Phase 2B requisition</v>
      </c>
    </row>
    <row r="1346" customFormat="false" ht="15" hidden="false" customHeight="false" outlineLevel="0" collapsed="false">
      <c r="A1346" s="0" t="s">
        <v>328</v>
      </c>
      <c r="B1346" s="0" t="n">
        <v>2</v>
      </c>
      <c r="C1346" s="0" t="str">
        <f aca="false">IF('Tech Leaders Kits'!C271="","",'Tech Leaders Kits'!C271)</f>
        <v>ESP32-CAM + programmer</v>
      </c>
      <c r="D1346" s="0" t="n">
        <f aca="false">IF('Tech Leaders Kits'!D271="","",'Tech Leaders Kits'!D271)</f>
        <v>1</v>
      </c>
      <c r="E1346" s="0" t="str">
        <f aca="false">IF('Tech Leaders Kits'!E271="","",'Tech Leaders Kits'!E271)</f>
        <v>Per group</v>
      </c>
      <c r="F1346" s="0" t="str">
        <f aca="false">IFERROR(INDEX('Session Tracker'!$M$5:$M$149,MATCH($A1346,'Session Tracker'!$D$5:$D$149,0))+0,"")</f>
        <v/>
      </c>
      <c r="G1346" s="0" t="str">
        <f aca="false">IF(ISNUMBER(F1346),IF(OR(B1346=0,B1346=99,C1346&lt;&gt;""),F1346*100+B1346,""),"")</f>
        <v/>
      </c>
      <c r="H1346" s="0" t="n">
        <f aca="false">IFERROR(INDEX('Session Tracker'!$J$5:$J$149,MATCH($A1346,'Session Tracker'!$D$5:$D$149,0)),0)</f>
        <v>8</v>
      </c>
      <c r="I1346" s="0" t="n">
        <f aca="false">IF(OR(B1346=0,B1346=99,C1346=""),"",IF(E1346="Per class",D1346,D1346*H1346))</f>
        <v>8</v>
      </c>
      <c r="N1346" s="0" t="str">
        <f aca="false">IF('Tech Leaders Kits'!B271="","",'Tech Leaders Kits'!B271)</f>
        <v>Microcontrollers &amp; Dev Boards</v>
      </c>
      <c r="O1346" s="0" t="str">
        <f aca="false">IF('Tech Leaders Kits'!F271="","",'Tech Leaders Kits'!F271)</f>
        <v>Reusable</v>
      </c>
      <c r="P1346" s="0" t="str">
        <f aca="false">IF('Tech Leaders Kits'!G271="","",'Tech Leaders Kits'!G271)</f>
        <v>From lab stock</v>
      </c>
    </row>
    <row r="1347" customFormat="false" ht="15" hidden="false" customHeight="false" outlineLevel="0" collapsed="false">
      <c r="A1347" s="0" t="s">
        <v>328</v>
      </c>
      <c r="B1347" s="0" t="n">
        <v>3</v>
      </c>
      <c r="C1347" s="0" t="str">
        <f aca="false">IF('Tech Leaders Kits'!C272="","",'Tech Leaders Kits'!C272)</f>
        <v>ESP32 Dev Board + USB cable</v>
      </c>
      <c r="D1347" s="0" t="n">
        <f aca="false">IF('Tech Leaders Kits'!D272="","",'Tech Leaders Kits'!D272)</f>
        <v>1</v>
      </c>
      <c r="E1347" s="0" t="str">
        <f aca="false">IF('Tech Leaders Kits'!E272="","",'Tech Leaders Kits'!E272)</f>
        <v>Per group</v>
      </c>
      <c r="F1347" s="0" t="str">
        <f aca="false">IFERROR(INDEX('Session Tracker'!$M$5:$M$149,MATCH($A1347,'Session Tracker'!$D$5:$D$149,0))+0,"")</f>
        <v/>
      </c>
      <c r="G1347" s="0" t="str">
        <f aca="false">IF(ISNUMBER(F1347),IF(OR(B1347=0,B1347=99,C1347&lt;&gt;""),F1347*100+B1347,""),"")</f>
        <v/>
      </c>
      <c r="H1347" s="0" t="n">
        <f aca="false">IFERROR(INDEX('Session Tracker'!$J$5:$J$149,MATCH($A1347,'Session Tracker'!$D$5:$D$149,0)),0)</f>
        <v>8</v>
      </c>
      <c r="I1347" s="0" t="n">
        <f aca="false">IF(OR(B1347=0,B1347=99,C1347=""),"",IF(E1347="Per class",D1347,D1347*H1347))</f>
        <v>8</v>
      </c>
      <c r="N1347" s="0" t="str">
        <f aca="false">IF('Tech Leaders Kits'!B272="","",'Tech Leaders Kits'!B272)</f>
        <v>Microcontrollers &amp; Dev Boards</v>
      </c>
      <c r="O1347" s="0" t="str">
        <f aca="false">IF('Tech Leaders Kits'!F272="","",'Tech Leaders Kits'!F272)</f>
        <v>Reusable</v>
      </c>
      <c r="P1347" s="0" t="str">
        <f aca="false">IF('Tech Leaders Kits'!G272="","",'Tech Leaders Kits'!G272)</f>
        <v/>
      </c>
    </row>
    <row r="1348" customFormat="false" ht="15" hidden="false" customHeight="false" outlineLevel="0" collapsed="false">
      <c r="A1348" s="0" t="s">
        <v>328</v>
      </c>
      <c r="B1348" s="0" t="n">
        <v>4</v>
      </c>
      <c r="C1348" s="0" t="str">
        <f aca="false">IF('Tech Leaders Kits'!C273="","",'Tech Leaders Kits'!C273)</f>
        <v>Jumper wires M-F</v>
      </c>
      <c r="D1348" s="0" t="n">
        <f aca="false">IF('Tech Leaders Kits'!D273="","",'Tech Leaders Kits'!D273)</f>
        <v>8</v>
      </c>
      <c r="E1348" s="0" t="str">
        <f aca="false">IF('Tech Leaders Kits'!E273="","",'Tech Leaders Kits'!E273)</f>
        <v>Per group</v>
      </c>
      <c r="F1348" s="0" t="str">
        <f aca="false">IFERROR(INDEX('Session Tracker'!$M$5:$M$149,MATCH($A1348,'Session Tracker'!$D$5:$D$149,0))+0,"")</f>
        <v/>
      </c>
      <c r="G1348" s="0" t="str">
        <f aca="false">IF(ISNUMBER(F1348),IF(OR(B1348=0,B1348=99,C1348&lt;&gt;""),F1348*100+B1348,""),"")</f>
        <v/>
      </c>
      <c r="H1348" s="0" t="n">
        <f aca="false">IFERROR(INDEX('Session Tracker'!$J$5:$J$149,MATCH($A1348,'Session Tracker'!$D$5:$D$149,0)),0)</f>
        <v>8</v>
      </c>
      <c r="I1348" s="0" t="n">
        <f aca="false">IF(OR(B1348=0,B1348=99,C1348=""),"",IF(E1348="Per class",D1348,D1348*H1348))</f>
        <v>64</v>
      </c>
      <c r="N1348" s="0" t="str">
        <f aca="false">IF('Tech Leaders Kits'!B273="","",'Tech Leaders Kits'!B273)</f>
        <v>Wiring &amp; Prototyping</v>
      </c>
      <c r="O1348" s="0" t="str">
        <f aca="false">IF('Tech Leaders Kits'!F273="","",'Tech Leaders Kits'!F273)</f>
        <v>Reusable</v>
      </c>
      <c r="P1348" s="0" t="str">
        <f aca="false">IF('Tech Leaders Kits'!G273="","",'Tech Leaders Kits'!G273)</f>
        <v/>
      </c>
    </row>
    <row r="1349" customFormat="false" ht="15" hidden="false" customHeight="false" outlineLevel="0" collapsed="false">
      <c r="A1349" s="0" t="s">
        <v>328</v>
      </c>
      <c r="B1349" s="0" t="n">
        <v>5</v>
      </c>
      <c r="C1349" s="0" t="str">
        <f aca="false">IF('Tech Leaders Kits'!C274="","",'Tech Leaders Kits'!C274)</f>
        <v>Laptop</v>
      </c>
      <c r="D1349" s="0" t="n">
        <f aca="false">IF('Tech Leaders Kits'!D274="","",'Tech Leaders Kits'!D274)</f>
        <v>1</v>
      </c>
      <c r="E1349" s="0" t="str">
        <f aca="false">IF('Tech Leaders Kits'!E274="","",'Tech Leaders Kits'!E274)</f>
        <v>Per group</v>
      </c>
      <c r="F1349" s="0" t="str">
        <f aca="false">IFERROR(INDEX('Session Tracker'!$M$5:$M$149,MATCH($A1349,'Session Tracker'!$D$5:$D$149,0))+0,"")</f>
        <v/>
      </c>
      <c r="G1349" s="0" t="str">
        <f aca="false">IF(ISNUMBER(F1349),IF(OR(B1349=0,B1349=99,C1349&lt;&gt;""),F1349*100+B1349,""),"")</f>
        <v/>
      </c>
      <c r="H1349" s="0" t="n">
        <f aca="false">IFERROR(INDEX('Session Tracker'!$J$5:$J$149,MATCH($A1349,'Session Tracker'!$D$5:$D$149,0)),0)</f>
        <v>8</v>
      </c>
      <c r="I1349" s="0" t="n">
        <f aca="false">IF(OR(B1349=0,B1349=99,C1349=""),"",IF(E1349="Per class",D1349,D1349*H1349))</f>
        <v>8</v>
      </c>
      <c r="N1349" s="0" t="str">
        <f aca="false">IF('Tech Leaders Kits'!B274="","",'Tech Leaders Kits'!B274)</f>
        <v>Computers &amp; Equipment</v>
      </c>
      <c r="O1349" s="0" t="str">
        <f aca="false">IF('Tech Leaders Kits'!F274="","",'Tech Leaders Kits'!F274)</f>
        <v>Reusable</v>
      </c>
      <c r="P1349" s="0" t="str">
        <f aca="false">IF('Tech Leaders Kits'!G274="","",'Tech Leaders Kits'!G274)</f>
        <v/>
      </c>
    </row>
    <row r="1350" customFormat="false" ht="15" hidden="false" customHeight="false" outlineLevel="0" collapsed="false">
      <c r="A1350" s="0" t="s">
        <v>328</v>
      </c>
      <c r="B1350" s="0" t="n">
        <v>6</v>
      </c>
      <c r="C1350" s="0" t="str">
        <f aca="false">IF('Tech Leaders Kits'!C275="","",'Tech Leaders Kits'!C275)</f>
        <v/>
      </c>
      <c r="D1350" s="0" t="str">
        <f aca="false">IF('Tech Leaders Kits'!D275="","",'Tech Leaders Kits'!D275)</f>
        <v/>
      </c>
      <c r="E1350" s="0" t="str">
        <f aca="false">IF('Tech Leaders Kits'!E275="","",'Tech Leaders Kits'!E275)</f>
        <v/>
      </c>
      <c r="F1350" s="0" t="str">
        <f aca="false">IFERROR(INDEX('Session Tracker'!$M$5:$M$149,MATCH($A1350,'Session Tracker'!$D$5:$D$149,0))+0,"")</f>
        <v/>
      </c>
      <c r="G1350" s="0" t="str">
        <f aca="false">IF(ISNUMBER(F1350),IF(OR(B1350=0,B1350=99,C1350&lt;&gt;""),F1350*100+B1350,""),"")</f>
        <v/>
      </c>
      <c r="H1350" s="0" t="n">
        <f aca="false">IFERROR(INDEX('Session Tracker'!$J$5:$J$149,MATCH($A1350,'Session Tracker'!$D$5:$D$149,0)),0)</f>
        <v>8</v>
      </c>
      <c r="I1350" s="0" t="str">
        <f aca="false">IF(OR(B1350=0,B1350=99,C1350=""),"",IF(E1350="Per class",D1350,D1350*H1350))</f>
        <v/>
      </c>
      <c r="N1350" s="0" t="str">
        <f aca="false">IF('Tech Leaders Kits'!B275="","",'Tech Leaders Kits'!B275)</f>
        <v/>
      </c>
      <c r="O1350" s="0" t="str">
        <f aca="false">IF('Tech Leaders Kits'!F275="","",'Tech Leaders Kits'!F275)</f>
        <v/>
      </c>
      <c r="P1350" s="0" t="str">
        <f aca="false">IF('Tech Leaders Kits'!G275="","",'Tech Leaders Kits'!G275)</f>
        <v/>
      </c>
    </row>
    <row r="1351" customFormat="false" ht="15" hidden="false" customHeight="false" outlineLevel="0" collapsed="false">
      <c r="A1351" s="0" t="s">
        <v>328</v>
      </c>
      <c r="B1351" s="0" t="n">
        <v>7</v>
      </c>
      <c r="C1351" s="0" t="str">
        <f aca="false">IF('Tech Leaders Kits'!C276="","",'Tech Leaders Kits'!C276)</f>
        <v/>
      </c>
      <c r="D1351" s="0" t="str">
        <f aca="false">IF('Tech Leaders Kits'!D276="","",'Tech Leaders Kits'!D276)</f>
        <v/>
      </c>
      <c r="E1351" s="0" t="str">
        <f aca="false">IF('Tech Leaders Kits'!E276="","",'Tech Leaders Kits'!E276)</f>
        <v/>
      </c>
      <c r="F1351" s="0" t="str">
        <f aca="false">IFERROR(INDEX('Session Tracker'!$M$5:$M$149,MATCH($A1351,'Session Tracker'!$D$5:$D$149,0))+0,"")</f>
        <v/>
      </c>
      <c r="G1351" s="0" t="str">
        <f aca="false">IF(ISNUMBER(F1351),IF(OR(B1351=0,B1351=99,C1351&lt;&gt;""),F1351*100+B1351,""),"")</f>
        <v/>
      </c>
      <c r="H1351" s="0" t="n">
        <f aca="false">IFERROR(INDEX('Session Tracker'!$J$5:$J$149,MATCH($A1351,'Session Tracker'!$D$5:$D$149,0)),0)</f>
        <v>8</v>
      </c>
      <c r="I1351" s="0" t="str">
        <f aca="false">IF(OR(B1351=0,B1351=99,C1351=""),"",IF(E1351="Per class",D1351,D1351*H1351))</f>
        <v/>
      </c>
      <c r="N1351" s="0" t="str">
        <f aca="false">IF('Tech Leaders Kits'!B276="","",'Tech Leaders Kits'!B276)</f>
        <v/>
      </c>
      <c r="O1351" s="0" t="str">
        <f aca="false">IF('Tech Leaders Kits'!F276="","",'Tech Leaders Kits'!F276)</f>
        <v/>
      </c>
      <c r="P1351" s="0" t="str">
        <f aca="false">IF('Tech Leaders Kits'!G276="","",'Tech Leaders Kits'!G276)</f>
        <v/>
      </c>
    </row>
    <row r="1352" customFormat="false" ht="15" hidden="false" customHeight="false" outlineLevel="0" collapsed="false">
      <c r="A1352" s="0" t="s">
        <v>330</v>
      </c>
      <c r="B1352" s="0" t="n">
        <v>0</v>
      </c>
      <c r="F1352" s="0" t="str">
        <f aca="false">IFERROR(INDEX('Session Tracker'!$M$5:$M$149,MATCH($A1352,'Session Tracker'!$D$5:$D$149,0))+0,"")</f>
        <v/>
      </c>
      <c r="G1352" s="0" t="str">
        <f aca="false">IF(ISNUMBER(F1352),IF(OR(B1352=0,B1352=99,C1352&lt;&gt;""),F1352*100+B1352,""),"")</f>
        <v/>
      </c>
      <c r="H1352" s="0" t="n">
        <f aca="false">IFERROR(INDEX('Session Tracker'!$J$5:$J$149,MATCH($A1352,'Session Tracker'!$D$5:$D$149,0)),0)</f>
        <v>8</v>
      </c>
      <c r="I1352" s="0" t="str">
        <f aca="false">IF(OR(B1352=0,B1352=99,C1352=""),"",IF(E1352="Per class",D1352,D1352*H1352))</f>
        <v/>
      </c>
      <c r="K1352" s="0" t="str">
        <f aca="false">IFERROR(INDEX('Session Tracker'!$E$5:$E$149,MATCH($A1352,'Session Tracker'!$D$5:$D$149,0)),"")</f>
        <v>TinyML Gesture Recogniser on ESP32</v>
      </c>
      <c r="L1352" s="0" t="str">
        <f aca="false">IFERROR(INDEX('Session Tracker'!$A$5:$A$149,MATCH($A1352,'Session Tracker'!$D$5:$D$149,0)),"")</f>
        <v>Tech Leaders (15-17)</v>
      </c>
      <c r="M1352" s="0" t="str">
        <f aca="false">IFERROR(INDEX('Session Tracker'!$H$5:$H$149,MATCH($A1352,'Session Tracker'!$D$5:$D$149,0))&amp;"","")</f>
        <v/>
      </c>
      <c r="Q1352" s="0" t="str">
        <f aca="false">IFERROR("Status: "&amp;INDEX('Session Tracker'!$F$5:$F$149,MATCH($A1352,'Session Tracker'!$D$5:$D$149,0))&amp;IF(INDEX('Session Tracker'!$G$5:$G$149,MATCH($A1352,'Session Tracker'!$D$5:$D$149,0))&lt;&gt;""," ("&amp;INDEX('Session Tracker'!$G$5:$G$149,MATCH($A1352,'Session Tracker'!$D$5:$D$149,0))&amp;")","")&amp;IF(M1352&lt;&gt;"","  "&amp;M1352,""),"")</f>
        <v>Status: Not started</v>
      </c>
    </row>
    <row r="1353" customFormat="false" ht="15" hidden="false" customHeight="false" outlineLevel="0" collapsed="false">
      <c r="A1353" s="0" t="s">
        <v>330</v>
      </c>
      <c r="B1353" s="0" t="n">
        <v>1</v>
      </c>
      <c r="C1353" s="0" t="str">
        <f aca="false">IF('Tech Leaders Kits'!C279="","",'Tech Leaders Kits'!C279)</f>
        <v>ESP32 Dev Board + USB cable</v>
      </c>
      <c r="D1353" s="0" t="n">
        <f aca="false">IF('Tech Leaders Kits'!D279="","",'Tech Leaders Kits'!D279)</f>
        <v>1</v>
      </c>
      <c r="E1353" s="0" t="str">
        <f aca="false">IF('Tech Leaders Kits'!E279="","",'Tech Leaders Kits'!E279)</f>
        <v>Per group</v>
      </c>
      <c r="F1353" s="0" t="str">
        <f aca="false">IFERROR(INDEX('Session Tracker'!$M$5:$M$149,MATCH($A1353,'Session Tracker'!$D$5:$D$149,0))+0,"")</f>
        <v/>
      </c>
      <c r="G1353" s="0" t="str">
        <f aca="false">IF(ISNUMBER(F1353),IF(OR(B1353=0,B1353=99,C1353&lt;&gt;""),F1353*100+B1353,""),"")</f>
        <v/>
      </c>
      <c r="H1353" s="0" t="n">
        <f aca="false">IFERROR(INDEX('Session Tracker'!$J$5:$J$149,MATCH($A1353,'Session Tracker'!$D$5:$D$149,0)),0)</f>
        <v>8</v>
      </c>
      <c r="I1353" s="0" t="n">
        <f aca="false">IF(OR(B1353=0,B1353=99,C1353=""),"",IF(E1353="Per class",D1353,D1353*H1353))</f>
        <v>8</v>
      </c>
      <c r="N1353" s="0" t="str">
        <f aca="false">IF('Tech Leaders Kits'!B279="","",'Tech Leaders Kits'!B279)</f>
        <v>Microcontrollers &amp; Dev Boards</v>
      </c>
      <c r="O1353" s="0" t="str">
        <f aca="false">IF('Tech Leaders Kits'!F279="","",'Tech Leaders Kits'!F279)</f>
        <v>Reusable</v>
      </c>
      <c r="P1353" s="0" t="str">
        <f aca="false">IF('Tech Leaders Kits'!G279="","",'Tech Leaders Kits'!G279)</f>
        <v/>
      </c>
    </row>
    <row r="1354" customFormat="false" ht="15" hidden="false" customHeight="false" outlineLevel="0" collapsed="false">
      <c r="A1354" s="0" t="s">
        <v>330</v>
      </c>
      <c r="B1354" s="0" t="n">
        <v>2</v>
      </c>
      <c r="C1354" s="0" t="str">
        <f aca="false">IF('Tech Leaders Kits'!C280="","",'Tech Leaders Kits'!C280)</f>
        <v>MPU6050 IMU</v>
      </c>
      <c r="D1354" s="0" t="n">
        <f aca="false">IF('Tech Leaders Kits'!D280="","",'Tech Leaders Kits'!D280)</f>
        <v>1</v>
      </c>
      <c r="E1354" s="0" t="str">
        <f aca="false">IF('Tech Leaders Kits'!E280="","",'Tech Leaders Kits'!E280)</f>
        <v>Per group</v>
      </c>
      <c r="F1354" s="0" t="str">
        <f aca="false">IFERROR(INDEX('Session Tracker'!$M$5:$M$149,MATCH($A1354,'Session Tracker'!$D$5:$D$149,0))+0,"")</f>
        <v/>
      </c>
      <c r="G1354" s="0" t="str">
        <f aca="false">IF(ISNUMBER(F1354),IF(OR(B1354=0,B1354=99,C1354&lt;&gt;""),F1354*100+B1354,""),"")</f>
        <v/>
      </c>
      <c r="H1354" s="0" t="n">
        <f aca="false">IFERROR(INDEX('Session Tracker'!$J$5:$J$149,MATCH($A1354,'Session Tracker'!$D$5:$D$149,0)),0)</f>
        <v>8</v>
      </c>
      <c r="I1354" s="0" t="n">
        <f aca="false">IF(OR(B1354=0,B1354=99,C1354=""),"",IF(E1354="Per class",D1354,D1354*H1354))</f>
        <v>8</v>
      </c>
      <c r="N1354" s="0" t="str">
        <f aca="false">IF('Tech Leaders Kits'!B280="","",'Tech Leaders Kits'!B280)</f>
        <v>Sensors</v>
      </c>
      <c r="O1354" s="0" t="str">
        <f aca="false">IF('Tech Leaders Kits'!F280="","",'Tech Leaders Kits'!F280)</f>
        <v>Reusable</v>
      </c>
      <c r="P1354" s="0" t="str">
        <f aca="false">IF('Tech Leaders Kits'!G280="","",'Tech Leaders Kits'!G280)</f>
        <v/>
      </c>
    </row>
    <row r="1355" customFormat="false" ht="15" hidden="false" customHeight="false" outlineLevel="0" collapsed="false">
      <c r="A1355" s="0" t="s">
        <v>330</v>
      </c>
      <c r="B1355" s="0" t="n">
        <v>3</v>
      </c>
      <c r="C1355" s="0" t="str">
        <f aca="false">IF('Tech Leaders Kits'!C281="","",'Tech Leaders Kits'!C281)</f>
        <v>Breadboard (half size)</v>
      </c>
      <c r="D1355" s="0" t="n">
        <f aca="false">IF('Tech Leaders Kits'!D281="","",'Tech Leaders Kits'!D281)</f>
        <v>1</v>
      </c>
      <c r="E1355" s="0" t="str">
        <f aca="false">IF('Tech Leaders Kits'!E281="","",'Tech Leaders Kits'!E281)</f>
        <v>Per group</v>
      </c>
      <c r="F1355" s="0" t="str">
        <f aca="false">IFERROR(INDEX('Session Tracker'!$M$5:$M$149,MATCH($A1355,'Session Tracker'!$D$5:$D$149,0))+0,"")</f>
        <v/>
      </c>
      <c r="G1355" s="0" t="str">
        <f aca="false">IF(ISNUMBER(F1355),IF(OR(B1355=0,B1355=99,C1355&lt;&gt;""),F1355*100+B1355,""),"")</f>
        <v/>
      </c>
      <c r="H1355" s="0" t="n">
        <f aca="false">IFERROR(INDEX('Session Tracker'!$J$5:$J$149,MATCH($A1355,'Session Tracker'!$D$5:$D$149,0)),0)</f>
        <v>8</v>
      </c>
      <c r="I1355" s="0" t="n">
        <f aca="false">IF(OR(B1355=0,B1355=99,C1355=""),"",IF(E1355="Per class",D1355,D1355*H1355))</f>
        <v>8</v>
      </c>
      <c r="N1355" s="0" t="str">
        <f aca="false">IF('Tech Leaders Kits'!B281="","",'Tech Leaders Kits'!B281)</f>
        <v>Wiring &amp; Prototyping</v>
      </c>
      <c r="O1355" s="0" t="str">
        <f aca="false">IF('Tech Leaders Kits'!F281="","",'Tech Leaders Kits'!F281)</f>
        <v>Reusable</v>
      </c>
      <c r="P1355" s="0" t="str">
        <f aca="false">IF('Tech Leaders Kits'!G281="","",'Tech Leaders Kits'!G281)</f>
        <v/>
      </c>
    </row>
    <row r="1356" customFormat="false" ht="15" hidden="false" customHeight="false" outlineLevel="0" collapsed="false">
      <c r="A1356" s="0" t="s">
        <v>330</v>
      </c>
      <c r="B1356" s="0" t="n">
        <v>4</v>
      </c>
      <c r="C1356" s="0" t="str">
        <f aca="false">IF('Tech Leaders Kits'!C282="","",'Tech Leaders Kits'!C282)</f>
        <v>Jumper wires M-M</v>
      </c>
      <c r="D1356" s="0" t="n">
        <f aca="false">IF('Tech Leaders Kits'!D282="","",'Tech Leaders Kits'!D282)</f>
        <v>4</v>
      </c>
      <c r="E1356" s="0" t="str">
        <f aca="false">IF('Tech Leaders Kits'!E282="","",'Tech Leaders Kits'!E282)</f>
        <v>Per group</v>
      </c>
      <c r="F1356" s="0" t="str">
        <f aca="false">IFERROR(INDEX('Session Tracker'!$M$5:$M$149,MATCH($A1356,'Session Tracker'!$D$5:$D$149,0))+0,"")</f>
        <v/>
      </c>
      <c r="G1356" s="0" t="str">
        <f aca="false">IF(ISNUMBER(F1356),IF(OR(B1356=0,B1356=99,C1356&lt;&gt;""),F1356*100+B1356,""),"")</f>
        <v/>
      </c>
      <c r="H1356" s="0" t="n">
        <f aca="false">IFERROR(INDEX('Session Tracker'!$J$5:$J$149,MATCH($A1356,'Session Tracker'!$D$5:$D$149,0)),0)</f>
        <v>8</v>
      </c>
      <c r="I1356" s="0" t="n">
        <f aca="false">IF(OR(B1356=0,B1356=99,C1356=""),"",IF(E1356="Per class",D1356,D1356*H1356))</f>
        <v>32</v>
      </c>
      <c r="N1356" s="0" t="str">
        <f aca="false">IF('Tech Leaders Kits'!B282="","",'Tech Leaders Kits'!B282)</f>
        <v>Wiring &amp; Prototyping</v>
      </c>
      <c r="O1356" s="0" t="str">
        <f aca="false">IF('Tech Leaders Kits'!F282="","",'Tech Leaders Kits'!F282)</f>
        <v>Reusable</v>
      </c>
      <c r="P1356" s="0" t="str">
        <f aca="false">IF('Tech Leaders Kits'!G282="","",'Tech Leaders Kits'!G282)</f>
        <v/>
      </c>
    </row>
    <row r="1357" customFormat="false" ht="15" hidden="false" customHeight="false" outlineLevel="0" collapsed="false">
      <c r="A1357" s="0" t="s">
        <v>330</v>
      </c>
      <c r="B1357" s="0" t="n">
        <v>5</v>
      </c>
      <c r="C1357" s="0" t="str">
        <f aca="false">IF('Tech Leaders Kits'!C283="","",'Tech Leaders Kits'!C283)</f>
        <v>Laptop</v>
      </c>
      <c r="D1357" s="0" t="n">
        <f aca="false">IF('Tech Leaders Kits'!D283="","",'Tech Leaders Kits'!D283)</f>
        <v>1</v>
      </c>
      <c r="E1357" s="0" t="str">
        <f aca="false">IF('Tech Leaders Kits'!E283="","",'Tech Leaders Kits'!E283)</f>
        <v>Per group</v>
      </c>
      <c r="F1357" s="0" t="str">
        <f aca="false">IFERROR(INDEX('Session Tracker'!$M$5:$M$149,MATCH($A1357,'Session Tracker'!$D$5:$D$149,0))+0,"")</f>
        <v/>
      </c>
      <c r="G1357" s="0" t="str">
        <f aca="false">IF(ISNUMBER(F1357),IF(OR(B1357=0,B1357=99,C1357&lt;&gt;""),F1357*100+B1357,""),"")</f>
        <v/>
      </c>
      <c r="H1357" s="0" t="n">
        <f aca="false">IFERROR(INDEX('Session Tracker'!$J$5:$J$149,MATCH($A1357,'Session Tracker'!$D$5:$D$149,0)),0)</f>
        <v>8</v>
      </c>
      <c r="I1357" s="0" t="n">
        <f aca="false">IF(OR(B1357=0,B1357=99,C1357=""),"",IF(E1357="Per class",D1357,D1357*H1357))</f>
        <v>8</v>
      </c>
      <c r="N1357" s="0" t="str">
        <f aca="false">IF('Tech Leaders Kits'!B283="","",'Tech Leaders Kits'!B283)</f>
        <v>Computers &amp; Equipment</v>
      </c>
      <c r="O1357" s="0" t="str">
        <f aca="false">IF('Tech Leaders Kits'!F283="","",'Tech Leaders Kits'!F283)</f>
        <v>Reusable</v>
      </c>
      <c r="P1357" s="0" t="str">
        <f aca="false">IF('Tech Leaders Kits'!G283="","",'Tech Leaders Kits'!G283)</f>
        <v/>
      </c>
    </row>
    <row r="1358" customFormat="false" ht="15" hidden="false" customHeight="false" outlineLevel="0" collapsed="false">
      <c r="A1358" s="0" t="s">
        <v>330</v>
      </c>
      <c r="B1358" s="0" t="n">
        <v>6</v>
      </c>
      <c r="C1358" s="0" t="str">
        <f aca="false">IF('Tech Leaders Kits'!C284="","",'Tech Leaders Kits'!C284)</f>
        <v/>
      </c>
      <c r="D1358" s="0" t="str">
        <f aca="false">IF('Tech Leaders Kits'!D284="","",'Tech Leaders Kits'!D284)</f>
        <v/>
      </c>
      <c r="E1358" s="0" t="str">
        <f aca="false">IF('Tech Leaders Kits'!E284="","",'Tech Leaders Kits'!E284)</f>
        <v/>
      </c>
      <c r="F1358" s="0" t="str">
        <f aca="false">IFERROR(INDEX('Session Tracker'!$M$5:$M$149,MATCH($A1358,'Session Tracker'!$D$5:$D$149,0))+0,"")</f>
        <v/>
      </c>
      <c r="G1358" s="0" t="str">
        <f aca="false">IF(ISNUMBER(F1358),IF(OR(B1358=0,B1358=99,C1358&lt;&gt;""),F1358*100+B1358,""),"")</f>
        <v/>
      </c>
      <c r="H1358" s="0" t="n">
        <f aca="false">IFERROR(INDEX('Session Tracker'!$J$5:$J$149,MATCH($A1358,'Session Tracker'!$D$5:$D$149,0)),0)</f>
        <v>8</v>
      </c>
      <c r="I1358" s="0" t="str">
        <f aca="false">IF(OR(B1358=0,B1358=99,C1358=""),"",IF(E1358="Per class",D1358,D1358*H1358))</f>
        <v/>
      </c>
      <c r="N1358" s="0" t="str">
        <f aca="false">IF('Tech Leaders Kits'!B284="","",'Tech Leaders Kits'!B284)</f>
        <v/>
      </c>
      <c r="O1358" s="0" t="str">
        <f aca="false">IF('Tech Leaders Kits'!F284="","",'Tech Leaders Kits'!F284)</f>
        <v/>
      </c>
      <c r="P1358" s="0" t="str">
        <f aca="false">IF('Tech Leaders Kits'!G284="","",'Tech Leaders Kits'!G284)</f>
        <v/>
      </c>
    </row>
    <row r="1359" customFormat="false" ht="15" hidden="false" customHeight="false" outlineLevel="0" collapsed="false">
      <c r="A1359" s="0" t="s">
        <v>330</v>
      </c>
      <c r="B1359" s="0" t="n">
        <v>7</v>
      </c>
      <c r="C1359" s="0" t="str">
        <f aca="false">IF('Tech Leaders Kits'!C285="","",'Tech Leaders Kits'!C285)</f>
        <v/>
      </c>
      <c r="D1359" s="0" t="str">
        <f aca="false">IF('Tech Leaders Kits'!D285="","",'Tech Leaders Kits'!D285)</f>
        <v/>
      </c>
      <c r="E1359" s="0" t="str">
        <f aca="false">IF('Tech Leaders Kits'!E285="","",'Tech Leaders Kits'!E285)</f>
        <v/>
      </c>
      <c r="F1359" s="0" t="str">
        <f aca="false">IFERROR(INDEX('Session Tracker'!$M$5:$M$149,MATCH($A1359,'Session Tracker'!$D$5:$D$149,0))+0,"")</f>
        <v/>
      </c>
      <c r="G1359" s="0" t="str">
        <f aca="false">IF(ISNUMBER(F1359),IF(OR(B1359=0,B1359=99,C1359&lt;&gt;""),F1359*100+B1359,""),"")</f>
        <v/>
      </c>
      <c r="H1359" s="0" t="n">
        <f aca="false">IFERROR(INDEX('Session Tracker'!$J$5:$J$149,MATCH($A1359,'Session Tracker'!$D$5:$D$149,0)),0)</f>
        <v>8</v>
      </c>
      <c r="I1359" s="0" t="str">
        <f aca="false">IF(OR(B1359=0,B1359=99,C1359=""),"",IF(E1359="Per class",D1359,D1359*H1359))</f>
        <v/>
      </c>
      <c r="N1359" s="0" t="str">
        <f aca="false">IF('Tech Leaders Kits'!B285="","",'Tech Leaders Kits'!B285)</f>
        <v/>
      </c>
      <c r="O1359" s="0" t="str">
        <f aca="false">IF('Tech Leaders Kits'!F285="","",'Tech Leaders Kits'!F285)</f>
        <v/>
      </c>
      <c r="P1359" s="0" t="str">
        <f aca="false">IF('Tech Leaders Kits'!G285="","",'Tech Leaders Kits'!G285)</f>
        <v/>
      </c>
    </row>
    <row r="1360" customFormat="false" ht="15" hidden="false" customHeight="false" outlineLevel="0" collapsed="false">
      <c r="A1360" s="0" t="s">
        <v>332</v>
      </c>
      <c r="B1360" s="0" t="n">
        <v>0</v>
      </c>
      <c r="F1360" s="0" t="str">
        <f aca="false">IFERROR(INDEX('Session Tracker'!$M$5:$M$149,MATCH($A1360,'Session Tracker'!$D$5:$D$149,0))+0,"")</f>
        <v/>
      </c>
      <c r="G1360" s="0" t="str">
        <f aca="false">IF(ISNUMBER(F1360),IF(OR(B1360=0,B1360=99,C1360&lt;&gt;""),F1360*100+B1360,""),"")</f>
        <v/>
      </c>
      <c r="H1360" s="0" t="n">
        <f aca="false">IFERROR(INDEX('Session Tracker'!$J$5:$J$149,MATCH($A1360,'Session Tracker'!$D$5:$D$149,0)),0)</f>
        <v>8</v>
      </c>
      <c r="I1360" s="0" t="str">
        <f aca="false">IF(OR(B1360=0,B1360=99,C1360=""),"",IF(E1360="Per class",D1360,D1360*H1360))</f>
        <v/>
      </c>
      <c r="K1360" s="0" t="str">
        <f aca="false">IFERROR(INDEX('Session Tracker'!$E$5:$E$149,MATCH($A1360,'Session Tracker'!$D$5:$D$149,0)),"")</f>
        <v>Processing: Flocking Simulation (Boids)</v>
      </c>
      <c r="L1360" s="0" t="str">
        <f aca="false">IFERROR(INDEX('Session Tracker'!$A$5:$A$149,MATCH($A1360,'Session Tracker'!$D$5:$D$149,0)),"")</f>
        <v>Tech Leaders (15-17)</v>
      </c>
      <c r="M1360" s="0" t="str">
        <f aca="false">IFERROR(INDEX('Session Tracker'!$H$5:$H$149,MATCH($A1360,'Session Tracker'!$D$5:$D$149,0))&amp;"","")</f>
        <v/>
      </c>
      <c r="Q1360" s="0" t="str">
        <f aca="false">IFERROR("Status: "&amp;INDEX('Session Tracker'!$F$5:$F$149,MATCH($A1360,'Session Tracker'!$D$5:$D$149,0))&amp;IF(INDEX('Session Tracker'!$G$5:$G$149,MATCH($A1360,'Session Tracker'!$D$5:$D$149,0))&lt;&gt;""," ("&amp;INDEX('Session Tracker'!$G$5:$G$149,MATCH($A1360,'Session Tracker'!$D$5:$D$149,0))&amp;")","")&amp;IF(M1360&lt;&gt;"","  "&amp;M1360,""),"")</f>
        <v>Status: Not started</v>
      </c>
    </row>
    <row r="1361" customFormat="false" ht="15" hidden="false" customHeight="false" outlineLevel="0" collapsed="false">
      <c r="A1361" s="0" t="s">
        <v>332</v>
      </c>
      <c r="B1361" s="0" t="n">
        <v>1</v>
      </c>
      <c r="C1361" s="0" t="str">
        <f aca="false">IF('Tech Leaders Kits'!C288="","",'Tech Leaders Kits'!C288)</f>
        <v>Laptop</v>
      </c>
      <c r="D1361" s="0" t="n">
        <f aca="false">IF('Tech Leaders Kits'!D288="","",'Tech Leaders Kits'!D288)</f>
        <v>1</v>
      </c>
      <c r="E1361" s="0" t="str">
        <f aca="false">IF('Tech Leaders Kits'!E288="","",'Tech Leaders Kits'!E288)</f>
        <v>Per group</v>
      </c>
      <c r="F1361" s="0" t="str">
        <f aca="false">IFERROR(INDEX('Session Tracker'!$M$5:$M$149,MATCH($A1361,'Session Tracker'!$D$5:$D$149,0))+0,"")</f>
        <v/>
      </c>
      <c r="G1361" s="0" t="str">
        <f aca="false">IF(ISNUMBER(F1361),IF(OR(B1361=0,B1361=99,C1361&lt;&gt;""),F1361*100+B1361,""),"")</f>
        <v/>
      </c>
      <c r="H1361" s="0" t="n">
        <f aca="false">IFERROR(INDEX('Session Tracker'!$J$5:$J$149,MATCH($A1361,'Session Tracker'!$D$5:$D$149,0)),0)</f>
        <v>8</v>
      </c>
      <c r="I1361" s="0" t="n">
        <f aca="false">IF(OR(B1361=0,B1361=99,C1361=""),"",IF(E1361="Per class",D1361,D1361*H1361))</f>
        <v>8</v>
      </c>
      <c r="N1361" s="0" t="str">
        <f aca="false">IF('Tech Leaders Kits'!B288="","",'Tech Leaders Kits'!B288)</f>
        <v>Computers &amp; Equipment</v>
      </c>
      <c r="O1361" s="0" t="str">
        <f aca="false">IF('Tech Leaders Kits'!F288="","",'Tech Leaders Kits'!F288)</f>
        <v>Reusable</v>
      </c>
      <c r="P1361" s="0" t="str">
        <f aca="false">IF('Tech Leaders Kits'!G288="","",'Tech Leaders Kits'!G288)</f>
        <v/>
      </c>
    </row>
    <row r="1362" customFormat="false" ht="15" hidden="false" customHeight="false" outlineLevel="0" collapsed="false">
      <c r="A1362" s="0" t="s">
        <v>332</v>
      </c>
      <c r="B1362" s="0" t="n">
        <v>2</v>
      </c>
      <c r="C1362" s="0" t="str">
        <f aca="false">IF('Tech Leaders Kits'!C289="","",'Tech Leaders Kits'!C289)</f>
        <v/>
      </c>
      <c r="D1362" s="0" t="str">
        <f aca="false">IF('Tech Leaders Kits'!D289="","",'Tech Leaders Kits'!D289)</f>
        <v/>
      </c>
      <c r="E1362" s="0" t="str">
        <f aca="false">IF('Tech Leaders Kits'!E289="","",'Tech Leaders Kits'!E289)</f>
        <v/>
      </c>
      <c r="F1362" s="0" t="str">
        <f aca="false">IFERROR(INDEX('Session Tracker'!$M$5:$M$149,MATCH($A1362,'Session Tracker'!$D$5:$D$149,0))+0,"")</f>
        <v/>
      </c>
      <c r="G1362" s="0" t="str">
        <f aca="false">IF(ISNUMBER(F1362),IF(OR(B1362=0,B1362=99,C1362&lt;&gt;""),F1362*100+B1362,""),"")</f>
        <v/>
      </c>
      <c r="H1362" s="0" t="n">
        <f aca="false">IFERROR(INDEX('Session Tracker'!$J$5:$J$149,MATCH($A1362,'Session Tracker'!$D$5:$D$149,0)),0)</f>
        <v>8</v>
      </c>
      <c r="I1362" s="0" t="str">
        <f aca="false">IF(OR(B1362=0,B1362=99,C1362=""),"",IF(E1362="Per class",D1362,D1362*H1362))</f>
        <v/>
      </c>
      <c r="N1362" s="0" t="str">
        <f aca="false">IF('Tech Leaders Kits'!B289="","",'Tech Leaders Kits'!B289)</f>
        <v/>
      </c>
      <c r="O1362" s="0" t="str">
        <f aca="false">IF('Tech Leaders Kits'!F289="","",'Tech Leaders Kits'!F289)</f>
        <v/>
      </c>
      <c r="P1362" s="0" t="str">
        <f aca="false">IF('Tech Leaders Kits'!G289="","",'Tech Leaders Kits'!G289)</f>
        <v/>
      </c>
    </row>
    <row r="1363" customFormat="false" ht="15" hidden="false" customHeight="false" outlineLevel="0" collapsed="false">
      <c r="A1363" s="0" t="s">
        <v>332</v>
      </c>
      <c r="B1363" s="0" t="n">
        <v>3</v>
      </c>
      <c r="C1363" s="0" t="str">
        <f aca="false">IF('Tech Leaders Kits'!C290="","",'Tech Leaders Kits'!C290)</f>
        <v/>
      </c>
      <c r="D1363" s="0" t="str">
        <f aca="false">IF('Tech Leaders Kits'!D290="","",'Tech Leaders Kits'!D290)</f>
        <v/>
      </c>
      <c r="E1363" s="0" t="str">
        <f aca="false">IF('Tech Leaders Kits'!E290="","",'Tech Leaders Kits'!E290)</f>
        <v/>
      </c>
      <c r="F1363" s="0" t="str">
        <f aca="false">IFERROR(INDEX('Session Tracker'!$M$5:$M$149,MATCH($A1363,'Session Tracker'!$D$5:$D$149,0))+0,"")</f>
        <v/>
      </c>
      <c r="G1363" s="0" t="str">
        <f aca="false">IF(ISNUMBER(F1363),IF(OR(B1363=0,B1363=99,C1363&lt;&gt;""),F1363*100+B1363,""),"")</f>
        <v/>
      </c>
      <c r="H1363" s="0" t="n">
        <f aca="false">IFERROR(INDEX('Session Tracker'!$J$5:$J$149,MATCH($A1363,'Session Tracker'!$D$5:$D$149,0)),0)</f>
        <v>8</v>
      </c>
      <c r="I1363" s="0" t="str">
        <f aca="false">IF(OR(B1363=0,B1363=99,C1363=""),"",IF(E1363="Per class",D1363,D1363*H1363))</f>
        <v/>
      </c>
      <c r="N1363" s="0" t="str">
        <f aca="false">IF('Tech Leaders Kits'!B290="","",'Tech Leaders Kits'!B290)</f>
        <v/>
      </c>
      <c r="O1363" s="0" t="str">
        <f aca="false">IF('Tech Leaders Kits'!F290="","",'Tech Leaders Kits'!F290)</f>
        <v/>
      </c>
      <c r="P1363" s="0" t="str">
        <f aca="false">IF('Tech Leaders Kits'!G290="","",'Tech Leaders Kits'!G290)</f>
        <v/>
      </c>
    </row>
    <row r="1364" customFormat="false" ht="15" hidden="false" customHeight="false" outlineLevel="0" collapsed="false">
      <c r="A1364" s="0" t="s">
        <v>334</v>
      </c>
      <c r="B1364" s="0" t="n">
        <v>0</v>
      </c>
      <c r="F1364" s="0" t="str">
        <f aca="false">IFERROR(INDEX('Session Tracker'!$M$5:$M$149,MATCH($A1364,'Session Tracker'!$D$5:$D$149,0))+0,"")</f>
        <v/>
      </c>
      <c r="G1364" s="0" t="str">
        <f aca="false">IF(ISNUMBER(F1364),IF(OR(B1364=0,B1364=99,C1364&lt;&gt;""),F1364*100+B1364,""),"")</f>
        <v/>
      </c>
      <c r="H1364" s="0" t="n">
        <f aca="false">IFERROR(INDEX('Session Tracker'!$J$5:$J$149,MATCH($A1364,'Session Tracker'!$D$5:$D$149,0)),0)</f>
        <v>8</v>
      </c>
      <c r="I1364" s="0" t="str">
        <f aca="false">IF(OR(B1364=0,B1364=99,C1364=""),"",IF(E1364="Per class",D1364,D1364*H1364))</f>
        <v/>
      </c>
      <c r="K1364" s="0" t="str">
        <f aca="false">IFERROR(INDEX('Session Tracker'!$E$5:$E$149,MATCH($A1364,'Session Tracker'!$D$5:$D$149,0)),"")</f>
        <v>Pathfinding Visualiser: BFS and A*</v>
      </c>
      <c r="L1364" s="0" t="str">
        <f aca="false">IFERROR(INDEX('Session Tracker'!$A$5:$A$149,MATCH($A1364,'Session Tracker'!$D$5:$D$149,0)),"")</f>
        <v>Tech Leaders (15-17)</v>
      </c>
      <c r="M1364" s="0" t="str">
        <f aca="false">IFERROR(INDEX('Session Tracker'!$H$5:$H$149,MATCH($A1364,'Session Tracker'!$D$5:$D$149,0))&amp;"","")</f>
        <v/>
      </c>
      <c r="Q1364" s="0" t="str">
        <f aca="false">IFERROR("Status: "&amp;INDEX('Session Tracker'!$F$5:$F$149,MATCH($A1364,'Session Tracker'!$D$5:$D$149,0))&amp;IF(INDEX('Session Tracker'!$G$5:$G$149,MATCH($A1364,'Session Tracker'!$D$5:$D$149,0))&lt;&gt;""," ("&amp;INDEX('Session Tracker'!$G$5:$G$149,MATCH($A1364,'Session Tracker'!$D$5:$D$149,0))&amp;")","")&amp;IF(M1364&lt;&gt;"","  "&amp;M1364,""),"")</f>
        <v>Status: Not started</v>
      </c>
    </row>
    <row r="1365" customFormat="false" ht="15" hidden="false" customHeight="false" outlineLevel="0" collapsed="false">
      <c r="A1365" s="0" t="s">
        <v>334</v>
      </c>
      <c r="B1365" s="0" t="n">
        <v>1</v>
      </c>
      <c r="C1365" s="0" t="str">
        <f aca="false">IF('Tech Leaders Kits'!C293="","",'Tech Leaders Kits'!C293)</f>
        <v>Laptop</v>
      </c>
      <c r="D1365" s="0" t="n">
        <f aca="false">IF('Tech Leaders Kits'!D293="","",'Tech Leaders Kits'!D293)</f>
        <v>1</v>
      </c>
      <c r="E1365" s="0" t="str">
        <f aca="false">IF('Tech Leaders Kits'!E293="","",'Tech Leaders Kits'!E293)</f>
        <v>Per group</v>
      </c>
      <c r="F1365" s="0" t="str">
        <f aca="false">IFERROR(INDEX('Session Tracker'!$M$5:$M$149,MATCH($A1365,'Session Tracker'!$D$5:$D$149,0))+0,"")</f>
        <v/>
      </c>
      <c r="G1365" s="0" t="str">
        <f aca="false">IF(ISNUMBER(F1365),IF(OR(B1365=0,B1365=99,C1365&lt;&gt;""),F1365*100+B1365,""),"")</f>
        <v/>
      </c>
      <c r="H1365" s="0" t="n">
        <f aca="false">IFERROR(INDEX('Session Tracker'!$J$5:$J$149,MATCH($A1365,'Session Tracker'!$D$5:$D$149,0)),0)</f>
        <v>8</v>
      </c>
      <c r="I1365" s="0" t="n">
        <f aca="false">IF(OR(B1365=0,B1365=99,C1365=""),"",IF(E1365="Per class",D1365,D1365*H1365))</f>
        <v>8</v>
      </c>
      <c r="N1365" s="0" t="str">
        <f aca="false">IF('Tech Leaders Kits'!B293="","",'Tech Leaders Kits'!B293)</f>
        <v>Computers &amp; Equipment</v>
      </c>
      <c r="O1365" s="0" t="str">
        <f aca="false">IF('Tech Leaders Kits'!F293="","",'Tech Leaders Kits'!F293)</f>
        <v>Reusable</v>
      </c>
      <c r="P1365" s="0" t="str">
        <f aca="false">IF('Tech Leaders Kits'!G293="","",'Tech Leaders Kits'!G293)</f>
        <v/>
      </c>
    </row>
    <row r="1366" customFormat="false" ht="15" hidden="false" customHeight="false" outlineLevel="0" collapsed="false">
      <c r="A1366" s="0" t="s">
        <v>334</v>
      </c>
      <c r="B1366" s="0" t="n">
        <v>2</v>
      </c>
      <c r="C1366" s="0" t="str">
        <f aca="false">IF('Tech Leaders Kits'!C294="","",'Tech Leaders Kits'!C294)</f>
        <v/>
      </c>
      <c r="D1366" s="0" t="str">
        <f aca="false">IF('Tech Leaders Kits'!D294="","",'Tech Leaders Kits'!D294)</f>
        <v/>
      </c>
      <c r="E1366" s="0" t="str">
        <f aca="false">IF('Tech Leaders Kits'!E294="","",'Tech Leaders Kits'!E294)</f>
        <v/>
      </c>
      <c r="F1366" s="0" t="str">
        <f aca="false">IFERROR(INDEX('Session Tracker'!$M$5:$M$149,MATCH($A1366,'Session Tracker'!$D$5:$D$149,0))+0,"")</f>
        <v/>
      </c>
      <c r="G1366" s="0" t="str">
        <f aca="false">IF(ISNUMBER(F1366),IF(OR(B1366=0,B1366=99,C1366&lt;&gt;""),F1366*100+B1366,""),"")</f>
        <v/>
      </c>
      <c r="H1366" s="0" t="n">
        <f aca="false">IFERROR(INDEX('Session Tracker'!$J$5:$J$149,MATCH($A1366,'Session Tracker'!$D$5:$D$149,0)),0)</f>
        <v>8</v>
      </c>
      <c r="I1366" s="0" t="str">
        <f aca="false">IF(OR(B1366=0,B1366=99,C1366=""),"",IF(E1366="Per class",D1366,D1366*H1366))</f>
        <v/>
      </c>
      <c r="N1366" s="0" t="str">
        <f aca="false">IF('Tech Leaders Kits'!B294="","",'Tech Leaders Kits'!B294)</f>
        <v/>
      </c>
      <c r="O1366" s="0" t="str">
        <f aca="false">IF('Tech Leaders Kits'!F294="","",'Tech Leaders Kits'!F294)</f>
        <v/>
      </c>
      <c r="P1366" s="0" t="str">
        <f aca="false">IF('Tech Leaders Kits'!G294="","",'Tech Leaders Kits'!G294)</f>
        <v/>
      </c>
    </row>
    <row r="1367" customFormat="false" ht="15" hidden="false" customHeight="false" outlineLevel="0" collapsed="false">
      <c r="A1367" s="0" t="s">
        <v>334</v>
      </c>
      <c r="B1367" s="0" t="n">
        <v>3</v>
      </c>
      <c r="C1367" s="0" t="str">
        <f aca="false">IF('Tech Leaders Kits'!C295="","",'Tech Leaders Kits'!C295)</f>
        <v/>
      </c>
      <c r="D1367" s="0" t="str">
        <f aca="false">IF('Tech Leaders Kits'!D295="","",'Tech Leaders Kits'!D295)</f>
        <v/>
      </c>
      <c r="E1367" s="0" t="str">
        <f aca="false">IF('Tech Leaders Kits'!E295="","",'Tech Leaders Kits'!E295)</f>
        <v/>
      </c>
      <c r="F1367" s="0" t="str">
        <f aca="false">IFERROR(INDEX('Session Tracker'!$M$5:$M$149,MATCH($A1367,'Session Tracker'!$D$5:$D$149,0))+0,"")</f>
        <v/>
      </c>
      <c r="G1367" s="0" t="str">
        <f aca="false">IF(ISNUMBER(F1367),IF(OR(B1367=0,B1367=99,C1367&lt;&gt;""),F1367*100+B1367,""),"")</f>
        <v/>
      </c>
      <c r="H1367" s="0" t="n">
        <f aca="false">IFERROR(INDEX('Session Tracker'!$J$5:$J$149,MATCH($A1367,'Session Tracker'!$D$5:$D$149,0)),0)</f>
        <v>8</v>
      </c>
      <c r="I1367" s="0" t="str">
        <f aca="false">IF(OR(B1367=0,B1367=99,C1367=""),"",IF(E1367="Per class",D1367,D1367*H1367))</f>
        <v/>
      </c>
      <c r="N1367" s="0" t="str">
        <f aca="false">IF('Tech Leaders Kits'!B295="","",'Tech Leaders Kits'!B295)</f>
        <v/>
      </c>
      <c r="O1367" s="0" t="str">
        <f aca="false">IF('Tech Leaders Kits'!F295="","",'Tech Leaders Kits'!F295)</f>
        <v/>
      </c>
      <c r="P1367" s="0" t="str">
        <f aca="false">IF('Tech Leaders Kits'!G295="","",'Tech Leaders Kits'!G295)</f>
        <v/>
      </c>
    </row>
    <row r="1368" customFormat="false" ht="15" hidden="false" customHeight="false" outlineLevel="0" collapsed="false">
      <c r="A1368" s="0" t="s">
        <v>336</v>
      </c>
      <c r="B1368" s="0" t="n">
        <v>0</v>
      </c>
      <c r="F1368" s="0" t="str">
        <f aca="false">IFERROR(INDEX('Session Tracker'!$M$5:$M$149,MATCH($A1368,'Session Tracker'!$D$5:$D$149,0))+0,"")</f>
        <v/>
      </c>
      <c r="G1368" s="0" t="str">
        <f aca="false">IF(ISNUMBER(F1368),IF(OR(B1368=0,B1368=99,C1368&lt;&gt;""),F1368*100+B1368,""),"")</f>
        <v/>
      </c>
      <c r="H1368" s="0" t="n">
        <f aca="false">IFERROR(INDEX('Session Tracker'!$J$5:$J$149,MATCH($A1368,'Session Tracker'!$D$5:$D$149,0)),0)</f>
        <v>8</v>
      </c>
      <c r="I1368" s="0" t="str">
        <f aca="false">IF(OR(B1368=0,B1368=99,C1368=""),"",IF(E1368="Per class",D1368,D1368*H1368))</f>
        <v/>
      </c>
      <c r="K1368" s="0" t="str">
        <f aca="false">IFERROR(INDEX('Session Tracker'!$E$5:$E$149,MATCH($A1368,'Session Tracker'!$D$5:$D$149,0)),"")</f>
        <v>Git &amp; GitHub for Engineering Teams</v>
      </c>
      <c r="L1368" s="0" t="str">
        <f aca="false">IFERROR(INDEX('Session Tracker'!$A$5:$A$149,MATCH($A1368,'Session Tracker'!$D$5:$D$149,0)),"")</f>
        <v>Tech Leaders (15-17)</v>
      </c>
      <c r="M1368" s="0" t="str">
        <f aca="false">IFERROR(INDEX('Session Tracker'!$H$5:$H$149,MATCH($A1368,'Session Tracker'!$D$5:$D$149,0))&amp;"","")</f>
        <v/>
      </c>
      <c r="Q1368" s="0" t="str">
        <f aca="false">IFERROR("Status: "&amp;INDEX('Session Tracker'!$F$5:$F$149,MATCH($A1368,'Session Tracker'!$D$5:$D$149,0))&amp;IF(INDEX('Session Tracker'!$G$5:$G$149,MATCH($A1368,'Session Tracker'!$D$5:$D$149,0))&lt;&gt;""," ("&amp;INDEX('Session Tracker'!$G$5:$G$149,MATCH($A1368,'Session Tracker'!$D$5:$D$149,0))&amp;")","")&amp;IF(M1368&lt;&gt;"","  "&amp;M1368,""),"")</f>
        <v>Status: Not started</v>
      </c>
    </row>
    <row r="1369" customFormat="false" ht="15" hidden="false" customHeight="false" outlineLevel="0" collapsed="false">
      <c r="A1369" s="0" t="s">
        <v>336</v>
      </c>
      <c r="B1369" s="0" t="n">
        <v>1</v>
      </c>
      <c r="C1369" s="0" t="str">
        <f aca="false">IF('Tech Leaders Kits'!C298="","",'Tech Leaders Kits'!C298)</f>
        <v>Laptop</v>
      </c>
      <c r="D1369" s="0" t="n">
        <f aca="false">IF('Tech Leaders Kits'!D298="","",'Tech Leaders Kits'!D298)</f>
        <v>1</v>
      </c>
      <c r="E1369" s="0" t="str">
        <f aca="false">IF('Tech Leaders Kits'!E298="","",'Tech Leaders Kits'!E298)</f>
        <v>Per group</v>
      </c>
      <c r="F1369" s="0" t="str">
        <f aca="false">IFERROR(INDEX('Session Tracker'!$M$5:$M$149,MATCH($A1369,'Session Tracker'!$D$5:$D$149,0))+0,"")</f>
        <v/>
      </c>
      <c r="G1369" s="0" t="str">
        <f aca="false">IF(ISNUMBER(F1369),IF(OR(B1369=0,B1369=99,C1369&lt;&gt;""),F1369*100+B1369,""),"")</f>
        <v/>
      </c>
      <c r="H1369" s="0" t="n">
        <f aca="false">IFERROR(INDEX('Session Tracker'!$J$5:$J$149,MATCH($A1369,'Session Tracker'!$D$5:$D$149,0)),0)</f>
        <v>8</v>
      </c>
      <c r="I1369" s="0" t="n">
        <f aca="false">IF(OR(B1369=0,B1369=99,C1369=""),"",IF(E1369="Per class",D1369,D1369*H1369))</f>
        <v>8</v>
      </c>
      <c r="N1369" s="0" t="str">
        <f aca="false">IF('Tech Leaders Kits'!B298="","",'Tech Leaders Kits'!B298)</f>
        <v>Computers &amp; Equipment</v>
      </c>
      <c r="O1369" s="0" t="str">
        <f aca="false">IF('Tech Leaders Kits'!F298="","",'Tech Leaders Kits'!F298)</f>
        <v>Reusable</v>
      </c>
      <c r="P1369" s="0" t="str">
        <f aca="false">IF('Tech Leaders Kits'!G298="","",'Tech Leaders Kits'!G298)</f>
        <v/>
      </c>
    </row>
    <row r="1370" customFormat="false" ht="15" hidden="false" customHeight="false" outlineLevel="0" collapsed="false">
      <c r="A1370" s="0" t="s">
        <v>336</v>
      </c>
      <c r="B1370" s="0" t="n">
        <v>2</v>
      </c>
      <c r="C1370" s="0" t="str">
        <f aca="false">IF('Tech Leaders Kits'!C299="","",'Tech Leaders Kits'!C299)</f>
        <v/>
      </c>
      <c r="D1370" s="0" t="str">
        <f aca="false">IF('Tech Leaders Kits'!D299="","",'Tech Leaders Kits'!D299)</f>
        <v/>
      </c>
      <c r="E1370" s="0" t="str">
        <f aca="false">IF('Tech Leaders Kits'!E299="","",'Tech Leaders Kits'!E299)</f>
        <v/>
      </c>
      <c r="F1370" s="0" t="str">
        <f aca="false">IFERROR(INDEX('Session Tracker'!$M$5:$M$149,MATCH($A1370,'Session Tracker'!$D$5:$D$149,0))+0,"")</f>
        <v/>
      </c>
      <c r="G1370" s="0" t="str">
        <f aca="false">IF(ISNUMBER(F1370),IF(OR(B1370=0,B1370=99,C1370&lt;&gt;""),F1370*100+B1370,""),"")</f>
        <v/>
      </c>
      <c r="H1370" s="0" t="n">
        <f aca="false">IFERROR(INDEX('Session Tracker'!$J$5:$J$149,MATCH($A1370,'Session Tracker'!$D$5:$D$149,0)),0)</f>
        <v>8</v>
      </c>
      <c r="I1370" s="0" t="str">
        <f aca="false">IF(OR(B1370=0,B1370=99,C1370=""),"",IF(E1370="Per class",D1370,D1370*H1370))</f>
        <v/>
      </c>
      <c r="N1370" s="0" t="str">
        <f aca="false">IF('Tech Leaders Kits'!B299="","",'Tech Leaders Kits'!B299)</f>
        <v/>
      </c>
      <c r="O1370" s="0" t="str">
        <f aca="false">IF('Tech Leaders Kits'!F299="","",'Tech Leaders Kits'!F299)</f>
        <v/>
      </c>
      <c r="P1370" s="0" t="str">
        <f aca="false">IF('Tech Leaders Kits'!G299="","",'Tech Leaders Kits'!G299)</f>
        <v/>
      </c>
    </row>
    <row r="1371" customFormat="false" ht="15" hidden="false" customHeight="false" outlineLevel="0" collapsed="false">
      <c r="A1371" s="0" t="s">
        <v>336</v>
      </c>
      <c r="B1371" s="0" t="n">
        <v>3</v>
      </c>
      <c r="C1371" s="0" t="str">
        <f aca="false">IF('Tech Leaders Kits'!C300="","",'Tech Leaders Kits'!C300)</f>
        <v/>
      </c>
      <c r="D1371" s="0" t="str">
        <f aca="false">IF('Tech Leaders Kits'!D300="","",'Tech Leaders Kits'!D300)</f>
        <v/>
      </c>
      <c r="E1371" s="0" t="str">
        <f aca="false">IF('Tech Leaders Kits'!E300="","",'Tech Leaders Kits'!E300)</f>
        <v/>
      </c>
      <c r="F1371" s="0" t="str">
        <f aca="false">IFERROR(INDEX('Session Tracker'!$M$5:$M$149,MATCH($A1371,'Session Tracker'!$D$5:$D$149,0))+0,"")</f>
        <v/>
      </c>
      <c r="G1371" s="0" t="str">
        <f aca="false">IF(ISNUMBER(F1371),IF(OR(B1371=0,B1371=99,C1371&lt;&gt;""),F1371*100+B1371,""),"")</f>
        <v/>
      </c>
      <c r="H1371" s="0" t="n">
        <f aca="false">IFERROR(INDEX('Session Tracker'!$J$5:$J$149,MATCH($A1371,'Session Tracker'!$D$5:$D$149,0)),0)</f>
        <v>8</v>
      </c>
      <c r="I1371" s="0" t="str">
        <f aca="false">IF(OR(B1371=0,B1371=99,C1371=""),"",IF(E1371="Per class",D1371,D1371*H1371))</f>
        <v/>
      </c>
      <c r="N1371" s="0" t="str">
        <f aca="false">IF('Tech Leaders Kits'!B300="","",'Tech Leaders Kits'!B300)</f>
        <v/>
      </c>
      <c r="O1371" s="0" t="str">
        <f aca="false">IF('Tech Leaders Kits'!F300="","",'Tech Leaders Kits'!F300)</f>
        <v/>
      </c>
      <c r="P1371" s="0" t="str">
        <f aca="false">IF('Tech Leaders Kits'!G300="","",'Tech Leaders Kits'!G300)</f>
        <v/>
      </c>
    </row>
    <row r="1372" customFormat="false" ht="15" hidden="false" customHeight="false" outlineLevel="0" collapsed="false">
      <c r="A1372" s="0" t="s">
        <v>338</v>
      </c>
      <c r="B1372" s="0" t="n">
        <v>0</v>
      </c>
      <c r="F1372" s="0" t="str">
        <f aca="false">IFERROR(INDEX('Session Tracker'!$M$5:$M$149,MATCH($A1372,'Session Tracker'!$D$5:$D$149,0))+0,"")</f>
        <v/>
      </c>
      <c r="G1372" s="0" t="str">
        <f aca="false">IF(ISNUMBER(F1372),IF(OR(B1372=0,B1372=99,C1372&lt;&gt;""),F1372*100+B1372,""),"")</f>
        <v/>
      </c>
      <c r="H1372" s="0" t="n">
        <f aca="false">IFERROR(INDEX('Session Tracker'!$J$5:$J$149,MATCH($A1372,'Session Tracker'!$D$5:$D$149,0)),0)</f>
        <v>8</v>
      </c>
      <c r="I1372" s="0" t="str">
        <f aca="false">IF(OR(B1372=0,B1372=99,C1372=""),"",IF(E1372="Per class",D1372,D1372*H1372))</f>
        <v/>
      </c>
      <c r="K1372" s="0" t="str">
        <f aca="false">IFERROR(INDEX('Session Tracker'!$E$5:$E$149,MATCH($A1372,'Session Tracker'!$D$5:$D$149,0)),"")</f>
        <v>Smart Microgrid Model</v>
      </c>
      <c r="L1372" s="0" t="str">
        <f aca="false">IFERROR(INDEX('Session Tracker'!$A$5:$A$149,MATCH($A1372,'Session Tracker'!$D$5:$D$149,0)),"")</f>
        <v>Tech Leaders (15-17)</v>
      </c>
      <c r="M1372" s="0" t="str">
        <f aca="false">IFERROR(INDEX('Session Tracker'!$H$5:$H$149,MATCH($A1372,'Session Tracker'!$D$5:$D$149,0))&amp;"","")</f>
        <v/>
      </c>
      <c r="Q1372" s="0" t="str">
        <f aca="false">IFERROR("Status: "&amp;INDEX('Session Tracker'!$F$5:$F$149,MATCH($A1372,'Session Tracker'!$D$5:$D$149,0))&amp;IF(INDEX('Session Tracker'!$G$5:$G$149,MATCH($A1372,'Session Tracker'!$D$5:$D$149,0))&lt;&gt;""," ("&amp;INDEX('Session Tracker'!$G$5:$G$149,MATCH($A1372,'Session Tracker'!$D$5:$D$149,0))&amp;")","")&amp;IF(M1372&lt;&gt;"","  "&amp;M1372,""),"")</f>
        <v>Status: Not started</v>
      </c>
    </row>
    <row r="1373" customFormat="false" ht="15" hidden="false" customHeight="false" outlineLevel="0" collapsed="false">
      <c r="A1373" s="0" t="s">
        <v>338</v>
      </c>
      <c r="B1373" s="0" t="n">
        <v>1</v>
      </c>
      <c r="C1373" s="0" t="str">
        <f aca="false">IF('Tech Leaders Kits'!C303="","",'Tech Leaders Kits'!C303)</f>
        <v>ESP32 Dev Board + USB cable</v>
      </c>
      <c r="D1373" s="0" t="n">
        <f aca="false">IF('Tech Leaders Kits'!D303="","",'Tech Leaders Kits'!D303)</f>
        <v>1</v>
      </c>
      <c r="E1373" s="0" t="str">
        <f aca="false">IF('Tech Leaders Kits'!E303="","",'Tech Leaders Kits'!E303)</f>
        <v>Per group</v>
      </c>
      <c r="F1373" s="0" t="str">
        <f aca="false">IFERROR(INDEX('Session Tracker'!$M$5:$M$149,MATCH($A1373,'Session Tracker'!$D$5:$D$149,0))+0,"")</f>
        <v/>
      </c>
      <c r="G1373" s="0" t="str">
        <f aca="false">IF(ISNUMBER(F1373),IF(OR(B1373=0,B1373=99,C1373&lt;&gt;""),F1373*100+B1373,""),"")</f>
        <v/>
      </c>
      <c r="H1373" s="0" t="n">
        <f aca="false">IFERROR(INDEX('Session Tracker'!$J$5:$J$149,MATCH($A1373,'Session Tracker'!$D$5:$D$149,0)),0)</f>
        <v>8</v>
      </c>
      <c r="I1373" s="0" t="n">
        <f aca="false">IF(OR(B1373=0,B1373=99,C1373=""),"",IF(E1373="Per class",D1373,D1373*H1373))</f>
        <v>8</v>
      </c>
      <c r="N1373" s="0" t="str">
        <f aca="false">IF('Tech Leaders Kits'!B303="","",'Tech Leaders Kits'!B303)</f>
        <v>Microcontrollers &amp; Dev Boards</v>
      </c>
      <c r="O1373" s="0" t="str">
        <f aca="false">IF('Tech Leaders Kits'!F303="","",'Tech Leaders Kits'!F303)</f>
        <v>Reusable</v>
      </c>
      <c r="P1373" s="0" t="str">
        <f aca="false">IF('Tech Leaders Kits'!G303="","",'Tech Leaders Kits'!G303)</f>
        <v/>
      </c>
    </row>
    <row r="1374" customFormat="false" ht="15" hidden="false" customHeight="false" outlineLevel="0" collapsed="false">
      <c r="A1374" s="0" t="s">
        <v>338</v>
      </c>
      <c r="B1374" s="0" t="n">
        <v>2</v>
      </c>
      <c r="C1374" s="0" t="str">
        <f aca="false">IF('Tech Leaders Kits'!C304="","",'Tech Leaders Kits'!C304)</f>
        <v>Small solar panel</v>
      </c>
      <c r="D1374" s="0" t="n">
        <f aca="false">IF('Tech Leaders Kits'!D304="","",'Tech Leaders Kits'!D304)</f>
        <v>1</v>
      </c>
      <c r="E1374" s="0" t="str">
        <f aca="false">IF('Tech Leaders Kits'!E304="","",'Tech Leaders Kits'!E304)</f>
        <v>Per group</v>
      </c>
      <c r="F1374" s="0" t="str">
        <f aca="false">IFERROR(INDEX('Session Tracker'!$M$5:$M$149,MATCH($A1374,'Session Tracker'!$D$5:$D$149,0))+0,"")</f>
        <v/>
      </c>
      <c r="G1374" s="0" t="str">
        <f aca="false">IF(ISNUMBER(F1374),IF(OR(B1374=0,B1374=99,C1374&lt;&gt;""),F1374*100+B1374,""),"")</f>
        <v/>
      </c>
      <c r="H1374" s="0" t="n">
        <f aca="false">IFERROR(INDEX('Session Tracker'!$J$5:$J$149,MATCH($A1374,'Session Tracker'!$D$5:$D$149,0)),0)</f>
        <v>8</v>
      </c>
      <c r="I1374" s="0" t="n">
        <f aca="false">IF(OR(B1374=0,B1374=99,C1374=""),"",IF(E1374="Per class",D1374,D1374*H1374))</f>
        <v>8</v>
      </c>
      <c r="N1374" s="0" t="str">
        <f aca="false">IF('Tech Leaders Kits'!B304="","",'Tech Leaders Kits'!B304)</f>
        <v>Power</v>
      </c>
      <c r="O1374" s="0" t="str">
        <f aca="false">IF('Tech Leaders Kits'!F304="","",'Tech Leaders Kits'!F304)</f>
        <v>Reusable</v>
      </c>
      <c r="P1374" s="0" t="str">
        <f aca="false">IF('Tech Leaders Kits'!G304="","",'Tech Leaders Kits'!G304)</f>
        <v/>
      </c>
    </row>
    <row r="1375" customFormat="false" ht="15" hidden="false" customHeight="false" outlineLevel="0" collapsed="false">
      <c r="A1375" s="0" t="s">
        <v>338</v>
      </c>
      <c r="B1375" s="0" t="n">
        <v>3</v>
      </c>
      <c r="C1375" s="0" t="str">
        <f aca="false">IF('Tech Leaders Kits'!C305="","",'Tech Leaders Kits'!C305)</f>
        <v>18650 cell + holder</v>
      </c>
      <c r="D1375" s="0" t="n">
        <f aca="false">IF('Tech Leaders Kits'!D305="","",'Tech Leaders Kits'!D305)</f>
        <v>1</v>
      </c>
      <c r="E1375" s="0" t="str">
        <f aca="false">IF('Tech Leaders Kits'!E305="","",'Tech Leaders Kits'!E305)</f>
        <v>Per group</v>
      </c>
      <c r="F1375" s="0" t="str">
        <f aca="false">IFERROR(INDEX('Session Tracker'!$M$5:$M$149,MATCH($A1375,'Session Tracker'!$D$5:$D$149,0))+0,"")</f>
        <v/>
      </c>
      <c r="G1375" s="0" t="str">
        <f aca="false">IF(ISNUMBER(F1375),IF(OR(B1375=0,B1375=99,C1375&lt;&gt;""),F1375*100+B1375,""),"")</f>
        <v/>
      </c>
      <c r="H1375" s="0" t="n">
        <f aca="false">IFERROR(INDEX('Session Tracker'!$J$5:$J$149,MATCH($A1375,'Session Tracker'!$D$5:$D$149,0)),0)</f>
        <v>8</v>
      </c>
      <c r="I1375" s="0" t="n">
        <f aca="false">IF(OR(B1375=0,B1375=99,C1375=""),"",IF(E1375="Per class",D1375,D1375*H1375))</f>
        <v>8</v>
      </c>
      <c r="N1375" s="0" t="str">
        <f aca="false">IF('Tech Leaders Kits'!B305="","",'Tech Leaders Kits'!B305)</f>
        <v>Power</v>
      </c>
      <c r="O1375" s="0" t="str">
        <f aca="false">IF('Tech Leaders Kits'!F305="","",'Tech Leaders Kits'!F305)</f>
        <v>Reusable</v>
      </c>
      <c r="P1375" s="0" t="str">
        <f aca="false">IF('Tech Leaders Kits'!G305="","",'Tech Leaders Kits'!G305)</f>
        <v>Supervised</v>
      </c>
    </row>
    <row r="1376" customFormat="false" ht="15" hidden="false" customHeight="false" outlineLevel="0" collapsed="false">
      <c r="A1376" s="0" t="s">
        <v>338</v>
      </c>
      <c r="B1376" s="0" t="n">
        <v>4</v>
      </c>
      <c r="C1376" s="0" t="str">
        <f aca="false">IF('Tech Leaders Kits'!C306="","",'Tech Leaders Kits'!C306)</f>
        <v>TP4056 charger module</v>
      </c>
      <c r="D1376" s="0" t="n">
        <f aca="false">IF('Tech Leaders Kits'!D306="","",'Tech Leaders Kits'!D306)</f>
        <v>1</v>
      </c>
      <c r="E1376" s="0" t="str">
        <f aca="false">IF('Tech Leaders Kits'!E306="","",'Tech Leaders Kits'!E306)</f>
        <v>Per group</v>
      </c>
      <c r="F1376" s="0" t="str">
        <f aca="false">IFERROR(INDEX('Session Tracker'!$M$5:$M$149,MATCH($A1376,'Session Tracker'!$D$5:$D$149,0))+0,"")</f>
        <v/>
      </c>
      <c r="G1376" s="0" t="str">
        <f aca="false">IF(ISNUMBER(F1376),IF(OR(B1376=0,B1376=99,C1376&lt;&gt;""),F1376*100+B1376,""),"")</f>
        <v/>
      </c>
      <c r="H1376" s="0" t="n">
        <f aca="false">IFERROR(INDEX('Session Tracker'!$J$5:$J$149,MATCH($A1376,'Session Tracker'!$D$5:$D$149,0)),0)</f>
        <v>8</v>
      </c>
      <c r="I1376" s="0" t="n">
        <f aca="false">IF(OR(B1376=0,B1376=99,C1376=""),"",IF(E1376="Per class",D1376,D1376*H1376))</f>
        <v>8</v>
      </c>
      <c r="N1376" s="0" t="str">
        <f aca="false">IF('Tech Leaders Kits'!B306="","",'Tech Leaders Kits'!B306)</f>
        <v>Power</v>
      </c>
      <c r="O1376" s="0" t="str">
        <f aca="false">IF('Tech Leaders Kits'!F306="","",'Tech Leaders Kits'!F306)</f>
        <v>Reusable</v>
      </c>
      <c r="P1376" s="0" t="str">
        <f aca="false">IF('Tech Leaders Kits'!G306="","",'Tech Leaders Kits'!G306)</f>
        <v/>
      </c>
    </row>
    <row r="1377" customFormat="false" ht="15" hidden="false" customHeight="false" outlineLevel="0" collapsed="false">
      <c r="A1377" s="0" t="s">
        <v>338</v>
      </c>
      <c r="B1377" s="0" t="n">
        <v>5</v>
      </c>
      <c r="C1377" s="0" t="str">
        <f aca="false">IF('Tech Leaders Kits'!C307="","",'Tech Leaders Kits'!C307)</f>
        <v>Relay module (4-channel)</v>
      </c>
      <c r="D1377" s="0" t="n">
        <f aca="false">IF('Tech Leaders Kits'!D307="","",'Tech Leaders Kits'!D307)</f>
        <v>1</v>
      </c>
      <c r="E1377" s="0" t="str">
        <f aca="false">IF('Tech Leaders Kits'!E307="","",'Tech Leaders Kits'!E307)</f>
        <v>Per group</v>
      </c>
      <c r="F1377" s="0" t="str">
        <f aca="false">IFERROR(INDEX('Session Tracker'!$M$5:$M$149,MATCH($A1377,'Session Tracker'!$D$5:$D$149,0))+0,"")</f>
        <v/>
      </c>
      <c r="G1377" s="0" t="str">
        <f aca="false">IF(ISNUMBER(F1377),IF(OR(B1377=0,B1377=99,C1377&lt;&gt;""),F1377*100+B1377,""),"")</f>
        <v/>
      </c>
      <c r="H1377" s="0" t="n">
        <f aca="false">IFERROR(INDEX('Session Tracker'!$J$5:$J$149,MATCH($A1377,'Session Tracker'!$D$5:$D$149,0)),0)</f>
        <v>8</v>
      </c>
      <c r="I1377" s="0" t="n">
        <f aca="false">IF(OR(B1377=0,B1377=99,C1377=""),"",IF(E1377="Per class",D1377,D1377*H1377))</f>
        <v>8</v>
      </c>
      <c r="N1377" s="0" t="str">
        <f aca="false">IF('Tech Leaders Kits'!B307="","",'Tech Leaders Kits'!B307)</f>
        <v>Actuators &amp; Motor Drivers</v>
      </c>
      <c r="O1377" s="0" t="str">
        <f aca="false">IF('Tech Leaders Kits'!F307="","",'Tech Leaders Kits'!F307)</f>
        <v>Reusable</v>
      </c>
      <c r="P1377" s="0" t="str">
        <f aca="false">IF('Tech Leaders Kits'!G307="","",'Tech Leaders Kits'!G307)</f>
        <v/>
      </c>
    </row>
    <row r="1378" customFormat="false" ht="15" hidden="false" customHeight="false" outlineLevel="0" collapsed="false">
      <c r="A1378" s="0" t="s">
        <v>338</v>
      </c>
      <c r="B1378" s="0" t="n">
        <v>6</v>
      </c>
      <c r="C1378" s="0" t="str">
        <f aca="false">IF('Tech Leaders Kits'!C308="","",'Tech Leaders Kits'!C308)</f>
        <v>Low-voltage LED lamp (5 V)</v>
      </c>
      <c r="D1378" s="0" t="n">
        <f aca="false">IF('Tech Leaders Kits'!D308="","",'Tech Leaders Kits'!D308)</f>
        <v>2</v>
      </c>
      <c r="E1378" s="0" t="str">
        <f aca="false">IF('Tech Leaders Kits'!E308="","",'Tech Leaders Kits'!E308)</f>
        <v>Per group</v>
      </c>
      <c r="F1378" s="0" t="str">
        <f aca="false">IFERROR(INDEX('Session Tracker'!$M$5:$M$149,MATCH($A1378,'Session Tracker'!$D$5:$D$149,0))+0,"")</f>
        <v/>
      </c>
      <c r="G1378" s="0" t="str">
        <f aca="false">IF(ISNUMBER(F1378),IF(OR(B1378=0,B1378=99,C1378&lt;&gt;""),F1378*100+B1378,""),"")</f>
        <v/>
      </c>
      <c r="H1378" s="0" t="n">
        <f aca="false">IFERROR(INDEX('Session Tracker'!$J$5:$J$149,MATCH($A1378,'Session Tracker'!$D$5:$D$149,0)),0)</f>
        <v>8</v>
      </c>
      <c r="I1378" s="0" t="n">
        <f aca="false">IF(OR(B1378=0,B1378=99,C1378=""),"",IF(E1378="Per class",D1378,D1378*H1378))</f>
        <v>16</v>
      </c>
      <c r="N1378" s="0" t="str">
        <f aca="false">IF('Tech Leaders Kits'!B308="","",'Tech Leaders Kits'!B308)</f>
        <v>Displays &amp; Output</v>
      </c>
      <c r="O1378" s="0" t="str">
        <f aca="false">IF('Tech Leaders Kits'!F308="","",'Tech Leaders Kits'!F308)</f>
        <v>Reusable</v>
      </c>
      <c r="P1378" s="0" t="str">
        <f aca="false">IF('Tech Leaders Kits'!G308="","",'Tech Leaders Kits'!G308)</f>
        <v/>
      </c>
    </row>
    <row r="1379" customFormat="false" ht="15" hidden="false" customHeight="false" outlineLevel="0" collapsed="false">
      <c r="A1379" s="0" t="s">
        <v>338</v>
      </c>
      <c r="B1379" s="0" t="n">
        <v>7</v>
      </c>
      <c r="C1379" s="0" t="str">
        <f aca="false">IF('Tech Leaders Kits'!C309="","",'Tech Leaders Kits'!C309)</f>
        <v>Resistor 10k ohm</v>
      </c>
      <c r="D1379" s="0" t="n">
        <f aca="false">IF('Tech Leaders Kits'!D309="","",'Tech Leaders Kits'!D309)</f>
        <v>2</v>
      </c>
      <c r="E1379" s="0" t="str">
        <f aca="false">IF('Tech Leaders Kits'!E309="","",'Tech Leaders Kits'!E309)</f>
        <v>Per group</v>
      </c>
      <c r="F1379" s="0" t="str">
        <f aca="false">IFERROR(INDEX('Session Tracker'!$M$5:$M$149,MATCH($A1379,'Session Tracker'!$D$5:$D$149,0))+0,"")</f>
        <v/>
      </c>
      <c r="G1379" s="0" t="str">
        <f aca="false">IF(ISNUMBER(F1379),IF(OR(B1379=0,B1379=99,C1379&lt;&gt;""),F1379*100+B1379,""),"")</f>
        <v/>
      </c>
      <c r="H1379" s="0" t="n">
        <f aca="false">IFERROR(INDEX('Session Tracker'!$J$5:$J$149,MATCH($A1379,'Session Tracker'!$D$5:$D$149,0)),0)</f>
        <v>8</v>
      </c>
      <c r="I1379" s="0" t="n">
        <f aca="false">IF(OR(B1379=0,B1379=99,C1379=""),"",IF(E1379="Per class",D1379,D1379*H1379))</f>
        <v>16</v>
      </c>
      <c r="N1379" s="0" t="str">
        <f aca="false">IF('Tech Leaders Kits'!B309="","",'Tech Leaders Kits'!B309)</f>
        <v>Passive Components &amp; ICs</v>
      </c>
      <c r="O1379" s="0" t="str">
        <f aca="false">IF('Tech Leaders Kits'!F309="","",'Tech Leaders Kits'!F309)</f>
        <v>Consumable</v>
      </c>
      <c r="P1379" s="0" t="str">
        <f aca="false">IF('Tech Leaders Kits'!G309="","",'Tech Leaders Kits'!G309)</f>
        <v>Voltage divider</v>
      </c>
    </row>
    <row r="1380" customFormat="false" ht="15" hidden="false" customHeight="false" outlineLevel="0" collapsed="false">
      <c r="A1380" s="0" t="s">
        <v>338</v>
      </c>
      <c r="B1380" s="0" t="n">
        <v>8</v>
      </c>
      <c r="C1380" s="0" t="str">
        <f aca="false">IF('Tech Leaders Kits'!C310="","",'Tech Leaders Kits'!C310)</f>
        <v>Breadboard (half size)</v>
      </c>
      <c r="D1380" s="0" t="n">
        <f aca="false">IF('Tech Leaders Kits'!D310="","",'Tech Leaders Kits'!D310)</f>
        <v>1</v>
      </c>
      <c r="E1380" s="0" t="str">
        <f aca="false">IF('Tech Leaders Kits'!E310="","",'Tech Leaders Kits'!E310)</f>
        <v>Per group</v>
      </c>
      <c r="F1380" s="0" t="str">
        <f aca="false">IFERROR(INDEX('Session Tracker'!$M$5:$M$149,MATCH($A1380,'Session Tracker'!$D$5:$D$149,0))+0,"")</f>
        <v/>
      </c>
      <c r="G1380" s="0" t="str">
        <f aca="false">IF(ISNUMBER(F1380),IF(OR(B1380=0,B1380=99,C1380&lt;&gt;""),F1380*100+B1380,""),"")</f>
        <v/>
      </c>
      <c r="H1380" s="0" t="n">
        <f aca="false">IFERROR(INDEX('Session Tracker'!$J$5:$J$149,MATCH($A1380,'Session Tracker'!$D$5:$D$149,0)),0)</f>
        <v>8</v>
      </c>
      <c r="I1380" s="0" t="n">
        <f aca="false">IF(OR(B1380=0,B1380=99,C1380=""),"",IF(E1380="Per class",D1380,D1380*H1380))</f>
        <v>8</v>
      </c>
      <c r="N1380" s="0" t="str">
        <f aca="false">IF('Tech Leaders Kits'!B310="","",'Tech Leaders Kits'!B310)</f>
        <v>Wiring &amp; Prototyping</v>
      </c>
      <c r="O1380" s="0" t="str">
        <f aca="false">IF('Tech Leaders Kits'!F310="","",'Tech Leaders Kits'!F310)</f>
        <v>Reusable</v>
      </c>
      <c r="P1380" s="0" t="str">
        <f aca="false">IF('Tech Leaders Kits'!G310="","",'Tech Leaders Kits'!G310)</f>
        <v/>
      </c>
    </row>
    <row r="1381" customFormat="false" ht="15" hidden="false" customHeight="false" outlineLevel="0" collapsed="false">
      <c r="A1381" s="0" t="s">
        <v>338</v>
      </c>
      <c r="B1381" s="0" t="n">
        <v>9</v>
      </c>
      <c r="C1381" s="0" t="str">
        <f aca="false">IF('Tech Leaders Kits'!C311="","",'Tech Leaders Kits'!C311)</f>
        <v>Jumper wires M-M</v>
      </c>
      <c r="D1381" s="0" t="n">
        <f aca="false">IF('Tech Leaders Kits'!D311="","",'Tech Leaders Kits'!D311)</f>
        <v>12</v>
      </c>
      <c r="E1381" s="0" t="str">
        <f aca="false">IF('Tech Leaders Kits'!E311="","",'Tech Leaders Kits'!E311)</f>
        <v>Per group</v>
      </c>
      <c r="F1381" s="0" t="str">
        <f aca="false">IFERROR(INDEX('Session Tracker'!$M$5:$M$149,MATCH($A1381,'Session Tracker'!$D$5:$D$149,0))+0,"")</f>
        <v/>
      </c>
      <c r="G1381" s="0" t="str">
        <f aca="false">IF(ISNUMBER(F1381),IF(OR(B1381=0,B1381=99,C1381&lt;&gt;""),F1381*100+B1381,""),"")</f>
        <v/>
      </c>
      <c r="H1381" s="0" t="n">
        <f aca="false">IFERROR(INDEX('Session Tracker'!$J$5:$J$149,MATCH($A1381,'Session Tracker'!$D$5:$D$149,0)),0)</f>
        <v>8</v>
      </c>
      <c r="I1381" s="0" t="n">
        <f aca="false">IF(OR(B1381=0,B1381=99,C1381=""),"",IF(E1381="Per class",D1381,D1381*H1381))</f>
        <v>96</v>
      </c>
      <c r="N1381" s="0" t="str">
        <f aca="false">IF('Tech Leaders Kits'!B311="","",'Tech Leaders Kits'!B311)</f>
        <v>Wiring &amp; Prototyping</v>
      </c>
      <c r="O1381" s="0" t="str">
        <f aca="false">IF('Tech Leaders Kits'!F311="","",'Tech Leaders Kits'!F311)</f>
        <v>Reusable</v>
      </c>
      <c r="P1381" s="0" t="str">
        <f aca="false">IF('Tech Leaders Kits'!G311="","",'Tech Leaders Kits'!G311)</f>
        <v/>
      </c>
    </row>
    <row r="1382" customFormat="false" ht="15" hidden="false" customHeight="false" outlineLevel="0" collapsed="false">
      <c r="A1382" s="0" t="s">
        <v>338</v>
      </c>
      <c r="B1382" s="0" t="n">
        <v>10</v>
      </c>
      <c r="C1382" s="0" t="str">
        <f aca="false">IF('Tech Leaders Kits'!C312="","",'Tech Leaders Kits'!C312)</f>
        <v>Laptop</v>
      </c>
      <c r="D1382" s="0" t="n">
        <f aca="false">IF('Tech Leaders Kits'!D312="","",'Tech Leaders Kits'!D312)</f>
        <v>1</v>
      </c>
      <c r="E1382" s="0" t="str">
        <f aca="false">IF('Tech Leaders Kits'!E312="","",'Tech Leaders Kits'!E312)</f>
        <v>Per group</v>
      </c>
      <c r="F1382" s="0" t="str">
        <f aca="false">IFERROR(INDEX('Session Tracker'!$M$5:$M$149,MATCH($A1382,'Session Tracker'!$D$5:$D$149,0))+0,"")</f>
        <v/>
      </c>
      <c r="G1382" s="0" t="str">
        <f aca="false">IF(ISNUMBER(F1382),IF(OR(B1382=0,B1382=99,C1382&lt;&gt;""),F1382*100+B1382,""),"")</f>
        <v/>
      </c>
      <c r="H1382" s="0" t="n">
        <f aca="false">IFERROR(INDEX('Session Tracker'!$J$5:$J$149,MATCH($A1382,'Session Tracker'!$D$5:$D$149,0)),0)</f>
        <v>8</v>
      </c>
      <c r="I1382" s="0" t="n">
        <f aca="false">IF(OR(B1382=0,B1382=99,C1382=""),"",IF(E1382="Per class",D1382,D1382*H1382))</f>
        <v>8</v>
      </c>
      <c r="N1382" s="0" t="str">
        <f aca="false">IF('Tech Leaders Kits'!B312="","",'Tech Leaders Kits'!B312)</f>
        <v>Computers &amp; Equipment</v>
      </c>
      <c r="O1382" s="0" t="str">
        <f aca="false">IF('Tech Leaders Kits'!F312="","",'Tech Leaders Kits'!F312)</f>
        <v>Reusable</v>
      </c>
      <c r="P1382" s="0" t="str">
        <f aca="false">IF('Tech Leaders Kits'!G312="","",'Tech Leaders Kits'!G312)</f>
        <v/>
      </c>
    </row>
    <row r="1383" customFormat="false" ht="15" hidden="false" customHeight="false" outlineLevel="0" collapsed="false">
      <c r="A1383" s="0" t="s">
        <v>338</v>
      </c>
      <c r="B1383" s="0" t="n">
        <v>11</v>
      </c>
      <c r="C1383" s="0" t="str">
        <f aca="false">IF('Tech Leaders Kits'!C313="","",'Tech Leaders Kits'!C313)</f>
        <v/>
      </c>
      <c r="D1383" s="0" t="str">
        <f aca="false">IF('Tech Leaders Kits'!D313="","",'Tech Leaders Kits'!D313)</f>
        <v/>
      </c>
      <c r="E1383" s="0" t="str">
        <f aca="false">IF('Tech Leaders Kits'!E313="","",'Tech Leaders Kits'!E313)</f>
        <v/>
      </c>
      <c r="F1383" s="0" t="str">
        <f aca="false">IFERROR(INDEX('Session Tracker'!$M$5:$M$149,MATCH($A1383,'Session Tracker'!$D$5:$D$149,0))+0,"")</f>
        <v/>
      </c>
      <c r="G1383" s="0" t="str">
        <f aca="false">IF(ISNUMBER(F1383),IF(OR(B1383=0,B1383=99,C1383&lt;&gt;""),F1383*100+B1383,""),"")</f>
        <v/>
      </c>
      <c r="H1383" s="0" t="n">
        <f aca="false">IFERROR(INDEX('Session Tracker'!$J$5:$J$149,MATCH($A1383,'Session Tracker'!$D$5:$D$149,0)),0)</f>
        <v>8</v>
      </c>
      <c r="I1383" s="0" t="str">
        <f aca="false">IF(OR(B1383=0,B1383=99,C1383=""),"",IF(E1383="Per class",D1383,D1383*H1383))</f>
        <v/>
      </c>
      <c r="N1383" s="0" t="str">
        <f aca="false">IF('Tech Leaders Kits'!B313="","",'Tech Leaders Kits'!B313)</f>
        <v/>
      </c>
      <c r="O1383" s="0" t="str">
        <f aca="false">IF('Tech Leaders Kits'!F313="","",'Tech Leaders Kits'!F313)</f>
        <v/>
      </c>
      <c r="P1383" s="0" t="str">
        <f aca="false">IF('Tech Leaders Kits'!G313="","",'Tech Leaders Kits'!G313)</f>
        <v/>
      </c>
    </row>
    <row r="1384" customFormat="false" ht="15" hidden="false" customHeight="false" outlineLevel="0" collapsed="false">
      <c r="A1384" s="0" t="s">
        <v>338</v>
      </c>
      <c r="B1384" s="0" t="n">
        <v>12</v>
      </c>
      <c r="C1384" s="0" t="str">
        <f aca="false">IF('Tech Leaders Kits'!C314="","",'Tech Leaders Kits'!C314)</f>
        <v/>
      </c>
      <c r="D1384" s="0" t="str">
        <f aca="false">IF('Tech Leaders Kits'!D314="","",'Tech Leaders Kits'!D314)</f>
        <v/>
      </c>
      <c r="E1384" s="0" t="str">
        <f aca="false">IF('Tech Leaders Kits'!E314="","",'Tech Leaders Kits'!E314)</f>
        <v/>
      </c>
      <c r="F1384" s="0" t="str">
        <f aca="false">IFERROR(INDEX('Session Tracker'!$M$5:$M$149,MATCH($A1384,'Session Tracker'!$D$5:$D$149,0))+0,"")</f>
        <v/>
      </c>
      <c r="G1384" s="0" t="str">
        <f aca="false">IF(ISNUMBER(F1384),IF(OR(B1384=0,B1384=99,C1384&lt;&gt;""),F1384*100+B1384,""),"")</f>
        <v/>
      </c>
      <c r="H1384" s="0" t="n">
        <f aca="false">IFERROR(INDEX('Session Tracker'!$J$5:$J$149,MATCH($A1384,'Session Tracker'!$D$5:$D$149,0)),0)</f>
        <v>8</v>
      </c>
      <c r="I1384" s="0" t="str">
        <f aca="false">IF(OR(B1384=0,B1384=99,C1384=""),"",IF(E1384="Per class",D1384,D1384*H1384))</f>
        <v/>
      </c>
      <c r="N1384" s="0" t="str">
        <f aca="false">IF('Tech Leaders Kits'!B314="","",'Tech Leaders Kits'!B314)</f>
        <v/>
      </c>
      <c r="O1384" s="0" t="str">
        <f aca="false">IF('Tech Leaders Kits'!F314="","",'Tech Leaders Kits'!F314)</f>
        <v/>
      </c>
      <c r="P1384" s="0" t="str">
        <f aca="false">IF('Tech Leaders Kits'!G314="","",'Tech Leaders Kits'!G314)</f>
        <v/>
      </c>
    </row>
    <row r="1385" customFormat="false" ht="15" hidden="false" customHeight="false" outlineLevel="0" collapsed="false">
      <c r="A1385" s="0" t="s">
        <v>340</v>
      </c>
      <c r="B1385" s="0" t="n">
        <v>0</v>
      </c>
      <c r="F1385" s="0" t="str">
        <f aca="false">IFERROR(INDEX('Session Tracker'!$M$5:$M$149,MATCH($A1385,'Session Tracker'!$D$5:$D$149,0))+0,"")</f>
        <v/>
      </c>
      <c r="G1385" s="0" t="str">
        <f aca="false">IF(ISNUMBER(F1385),IF(OR(B1385=0,B1385=99,C1385&lt;&gt;""),F1385*100+B1385,""),"")</f>
        <v/>
      </c>
      <c r="H1385" s="0" t="n">
        <f aca="false">IFERROR(INDEX('Session Tracker'!$J$5:$J$149,MATCH($A1385,'Session Tracker'!$D$5:$D$149,0)),0)</f>
        <v>8</v>
      </c>
      <c r="I1385" s="0" t="str">
        <f aca="false">IF(OR(B1385=0,B1385=99,C1385=""),"",IF(E1385="Per class",D1385,D1385*H1385))</f>
        <v/>
      </c>
      <c r="K1385" s="0" t="str">
        <f aca="false">IFERROR(INDEX('Session Tracker'!$E$5:$E$149,MATCH($A1385,'Session Tracker'!$D$5:$D$149,0)),"")</f>
        <v>Noise Pollution Analyser with FFT</v>
      </c>
      <c r="L1385" s="0" t="str">
        <f aca="false">IFERROR(INDEX('Session Tracker'!$A$5:$A$149,MATCH($A1385,'Session Tracker'!$D$5:$D$149,0)),"")</f>
        <v>Tech Leaders (15-17)</v>
      </c>
      <c r="M1385" s="0" t="str">
        <f aca="false">IFERROR(INDEX('Session Tracker'!$H$5:$H$149,MATCH($A1385,'Session Tracker'!$D$5:$D$149,0))&amp;"","")</f>
        <v/>
      </c>
      <c r="Q1385" s="0" t="str">
        <f aca="false">IFERROR("Status: "&amp;INDEX('Session Tracker'!$F$5:$F$149,MATCH($A1385,'Session Tracker'!$D$5:$D$149,0))&amp;IF(INDEX('Session Tracker'!$G$5:$G$149,MATCH($A1385,'Session Tracker'!$D$5:$D$149,0))&lt;&gt;""," ("&amp;INDEX('Session Tracker'!$G$5:$G$149,MATCH($A1385,'Session Tracker'!$D$5:$D$149,0))&amp;")","")&amp;IF(M1385&lt;&gt;"","  "&amp;M1385,""),"")</f>
        <v>Status: Not started</v>
      </c>
    </row>
    <row r="1386" customFormat="false" ht="15" hidden="false" customHeight="false" outlineLevel="0" collapsed="false">
      <c r="A1386" s="0" t="s">
        <v>340</v>
      </c>
      <c r="B1386" s="0" t="n">
        <v>1</v>
      </c>
      <c r="C1386" s="0" t="str">
        <f aca="false">IF('Tech Leaders Kits'!C317="","",'Tech Leaders Kits'!C317)</f>
        <v>Laptop</v>
      </c>
      <c r="D1386" s="0" t="n">
        <f aca="false">IF('Tech Leaders Kits'!D317="","",'Tech Leaders Kits'!D317)</f>
        <v>1</v>
      </c>
      <c r="E1386" s="0" t="str">
        <f aca="false">IF('Tech Leaders Kits'!E317="","",'Tech Leaders Kits'!E317)</f>
        <v>Per group</v>
      </c>
      <c r="F1386" s="0" t="str">
        <f aca="false">IFERROR(INDEX('Session Tracker'!$M$5:$M$149,MATCH($A1386,'Session Tracker'!$D$5:$D$149,0))+0,"")</f>
        <v/>
      </c>
      <c r="G1386" s="0" t="str">
        <f aca="false">IF(ISNUMBER(F1386),IF(OR(B1386=0,B1386=99,C1386&lt;&gt;""),F1386*100+B1386,""),"")</f>
        <v/>
      </c>
      <c r="H1386" s="0" t="n">
        <f aca="false">IFERROR(INDEX('Session Tracker'!$J$5:$J$149,MATCH($A1386,'Session Tracker'!$D$5:$D$149,0)),0)</f>
        <v>8</v>
      </c>
      <c r="I1386" s="0" t="n">
        <f aca="false">IF(OR(B1386=0,B1386=99,C1386=""),"",IF(E1386="Per class",D1386,D1386*H1386))</f>
        <v>8</v>
      </c>
      <c r="N1386" s="0" t="str">
        <f aca="false">IF('Tech Leaders Kits'!B317="","",'Tech Leaders Kits'!B317)</f>
        <v>Computers &amp; Equipment</v>
      </c>
      <c r="O1386" s="0" t="str">
        <f aca="false">IF('Tech Leaders Kits'!F317="","",'Tech Leaders Kits'!F317)</f>
        <v>Reusable</v>
      </c>
      <c r="P1386" s="0" t="str">
        <f aca="false">IF('Tech Leaders Kits'!G317="","",'Tech Leaders Kits'!G317)</f>
        <v/>
      </c>
    </row>
    <row r="1387" customFormat="false" ht="15" hidden="false" customHeight="false" outlineLevel="0" collapsed="false">
      <c r="A1387" s="0" t="s">
        <v>340</v>
      </c>
      <c r="B1387" s="0" t="n">
        <v>2</v>
      </c>
      <c r="C1387" s="0" t="str">
        <f aca="false">IF('Tech Leaders Kits'!C318="","",'Tech Leaders Kits'!C318)</f>
        <v/>
      </c>
      <c r="D1387" s="0" t="str">
        <f aca="false">IF('Tech Leaders Kits'!D318="","",'Tech Leaders Kits'!D318)</f>
        <v/>
      </c>
      <c r="E1387" s="0" t="str">
        <f aca="false">IF('Tech Leaders Kits'!E318="","",'Tech Leaders Kits'!E318)</f>
        <v/>
      </c>
      <c r="F1387" s="0" t="str">
        <f aca="false">IFERROR(INDEX('Session Tracker'!$M$5:$M$149,MATCH($A1387,'Session Tracker'!$D$5:$D$149,0))+0,"")</f>
        <v/>
      </c>
      <c r="G1387" s="0" t="str">
        <f aca="false">IF(ISNUMBER(F1387),IF(OR(B1387=0,B1387=99,C1387&lt;&gt;""),F1387*100+B1387,""),"")</f>
        <v/>
      </c>
      <c r="H1387" s="0" t="n">
        <f aca="false">IFERROR(INDEX('Session Tracker'!$J$5:$J$149,MATCH($A1387,'Session Tracker'!$D$5:$D$149,0)),0)</f>
        <v>8</v>
      </c>
      <c r="I1387" s="0" t="str">
        <f aca="false">IF(OR(B1387=0,B1387=99,C1387=""),"",IF(E1387="Per class",D1387,D1387*H1387))</f>
        <v/>
      </c>
      <c r="N1387" s="0" t="str">
        <f aca="false">IF('Tech Leaders Kits'!B318="","",'Tech Leaders Kits'!B318)</f>
        <v/>
      </c>
      <c r="O1387" s="0" t="str">
        <f aca="false">IF('Tech Leaders Kits'!F318="","",'Tech Leaders Kits'!F318)</f>
        <v/>
      </c>
      <c r="P1387" s="0" t="str">
        <f aca="false">IF('Tech Leaders Kits'!G318="","",'Tech Leaders Kits'!G318)</f>
        <v/>
      </c>
    </row>
    <row r="1388" customFormat="false" ht="15" hidden="false" customHeight="false" outlineLevel="0" collapsed="false">
      <c r="A1388" s="0" t="s">
        <v>340</v>
      </c>
      <c r="B1388" s="0" t="n">
        <v>3</v>
      </c>
      <c r="C1388" s="0" t="str">
        <f aca="false">IF('Tech Leaders Kits'!C319="","",'Tech Leaders Kits'!C319)</f>
        <v/>
      </c>
      <c r="D1388" s="0" t="str">
        <f aca="false">IF('Tech Leaders Kits'!D319="","",'Tech Leaders Kits'!D319)</f>
        <v/>
      </c>
      <c r="E1388" s="0" t="str">
        <f aca="false">IF('Tech Leaders Kits'!E319="","",'Tech Leaders Kits'!E319)</f>
        <v/>
      </c>
      <c r="F1388" s="0" t="str">
        <f aca="false">IFERROR(INDEX('Session Tracker'!$M$5:$M$149,MATCH($A1388,'Session Tracker'!$D$5:$D$149,0))+0,"")</f>
        <v/>
      </c>
      <c r="G1388" s="0" t="str">
        <f aca="false">IF(ISNUMBER(F1388),IF(OR(B1388=0,B1388=99,C1388&lt;&gt;""),F1388*100+B1388,""),"")</f>
        <v/>
      </c>
      <c r="H1388" s="0" t="n">
        <f aca="false">IFERROR(INDEX('Session Tracker'!$J$5:$J$149,MATCH($A1388,'Session Tracker'!$D$5:$D$149,0)),0)</f>
        <v>8</v>
      </c>
      <c r="I1388" s="0" t="str">
        <f aca="false">IF(OR(B1388=0,B1388=99,C1388=""),"",IF(E1388="Per class",D1388,D1388*H1388))</f>
        <v/>
      </c>
      <c r="N1388" s="0" t="str">
        <f aca="false">IF('Tech Leaders Kits'!B319="","",'Tech Leaders Kits'!B319)</f>
        <v/>
      </c>
      <c r="O1388" s="0" t="str">
        <f aca="false">IF('Tech Leaders Kits'!F319="","",'Tech Leaders Kits'!F319)</f>
        <v/>
      </c>
      <c r="P1388" s="0" t="str">
        <f aca="false">IF('Tech Leaders Kits'!G319="","",'Tech Leaders Kits'!G319)</f>
        <v/>
      </c>
    </row>
    <row r="1389" customFormat="false" ht="15" hidden="false" customHeight="false" outlineLevel="0" collapsed="false">
      <c r="A1389" s="0" t="s">
        <v>342</v>
      </c>
      <c r="B1389" s="0" t="n">
        <v>0</v>
      </c>
      <c r="F1389" s="0" t="str">
        <f aca="false">IFERROR(INDEX('Session Tracker'!$M$5:$M$149,MATCH($A1389,'Session Tracker'!$D$5:$D$149,0))+0,"")</f>
        <v/>
      </c>
      <c r="G1389" s="0" t="str">
        <f aca="false">IF(ISNUMBER(F1389),IF(OR(B1389=0,B1389=99,C1389&lt;&gt;""),F1389*100+B1389,""),"")</f>
        <v/>
      </c>
      <c r="H1389" s="0" t="n">
        <f aca="false">IFERROR(INDEX('Session Tracker'!$J$5:$J$149,MATCH($A1389,'Session Tracker'!$D$5:$D$149,0)),0)</f>
        <v>8</v>
      </c>
      <c r="I1389" s="0" t="str">
        <f aca="false">IF(OR(B1389=0,B1389=99,C1389=""),"",IF(E1389="Per class",D1389,D1389*H1389))</f>
        <v/>
      </c>
      <c r="K1389" s="0" t="str">
        <f aca="false">IFERROR(INDEX('Session Tracker'!$E$5:$E$149,MATCH($A1389,'Session Tracker'!$D$5:$D$149,0)),"")</f>
        <v>Robotic Arm Inverse Kinematics</v>
      </c>
      <c r="L1389" s="0" t="str">
        <f aca="false">IFERROR(INDEX('Session Tracker'!$A$5:$A$149,MATCH($A1389,'Session Tracker'!$D$5:$D$149,0)),"")</f>
        <v>Tech Leaders (15-17)</v>
      </c>
      <c r="M1389" s="0" t="str">
        <f aca="false">IFERROR(INDEX('Session Tracker'!$H$5:$H$149,MATCH($A1389,'Session Tracker'!$D$5:$D$149,0))&amp;"","")</f>
        <v/>
      </c>
      <c r="Q1389" s="0" t="str">
        <f aca="false">IFERROR("Status: "&amp;INDEX('Session Tracker'!$F$5:$F$149,MATCH($A1389,'Session Tracker'!$D$5:$D$149,0))&amp;IF(INDEX('Session Tracker'!$G$5:$G$149,MATCH($A1389,'Session Tracker'!$D$5:$D$149,0))&lt;&gt;""," ("&amp;INDEX('Session Tracker'!$G$5:$G$149,MATCH($A1389,'Session Tracker'!$D$5:$D$149,0))&amp;")","")&amp;IF(M1389&lt;&gt;"","  "&amp;M1389,""),"")</f>
        <v>Status: Not started</v>
      </c>
    </row>
    <row r="1390" customFormat="false" ht="15" hidden="false" customHeight="false" outlineLevel="0" collapsed="false">
      <c r="A1390" s="0" t="s">
        <v>342</v>
      </c>
      <c r="B1390" s="0" t="n">
        <v>1</v>
      </c>
      <c r="C1390" s="0" t="str">
        <f aca="false">IF('Tech Leaders Kits'!C322="","",'Tech Leaders Kits'!C322)</f>
        <v>Arduino Uno + USB cable</v>
      </c>
      <c r="D1390" s="0" t="n">
        <f aca="false">IF('Tech Leaders Kits'!D322="","",'Tech Leaders Kits'!D322)</f>
        <v>1</v>
      </c>
      <c r="E1390" s="0" t="str">
        <f aca="false">IF('Tech Leaders Kits'!E322="","",'Tech Leaders Kits'!E322)</f>
        <v>Per group</v>
      </c>
      <c r="F1390" s="0" t="str">
        <f aca="false">IFERROR(INDEX('Session Tracker'!$M$5:$M$149,MATCH($A1390,'Session Tracker'!$D$5:$D$149,0))+0,"")</f>
        <v/>
      </c>
      <c r="G1390" s="0" t="str">
        <f aca="false">IF(ISNUMBER(F1390),IF(OR(B1390=0,B1390=99,C1390&lt;&gt;""),F1390*100+B1390,""),"")</f>
        <v/>
      </c>
      <c r="H1390" s="0" t="n">
        <f aca="false">IFERROR(INDEX('Session Tracker'!$J$5:$J$149,MATCH($A1390,'Session Tracker'!$D$5:$D$149,0)),0)</f>
        <v>8</v>
      </c>
      <c r="I1390" s="0" t="n">
        <f aca="false">IF(OR(B1390=0,B1390=99,C1390=""),"",IF(E1390="Per class",D1390,D1390*H1390))</f>
        <v>8</v>
      </c>
      <c r="N1390" s="0" t="str">
        <f aca="false">IF('Tech Leaders Kits'!B322="","",'Tech Leaders Kits'!B322)</f>
        <v>Microcontrollers &amp; Dev Boards</v>
      </c>
      <c r="O1390" s="0" t="str">
        <f aca="false">IF('Tech Leaders Kits'!F322="","",'Tech Leaders Kits'!F322)</f>
        <v>Reusable</v>
      </c>
      <c r="P1390" s="0" t="str">
        <f aca="false">IF('Tech Leaders Kits'!G322="","",'Tech Leaders Kits'!G322)</f>
        <v/>
      </c>
    </row>
    <row r="1391" customFormat="false" ht="15" hidden="false" customHeight="false" outlineLevel="0" collapsed="false">
      <c r="A1391" s="0" t="s">
        <v>342</v>
      </c>
      <c r="B1391" s="0" t="n">
        <v>2</v>
      </c>
      <c r="C1391" s="0" t="str">
        <f aca="false">IF('Tech Leaders Kits'!C323="","",'Tech Leaders Kits'!C323)</f>
        <v>Servo MG995</v>
      </c>
      <c r="D1391" s="0" t="n">
        <f aca="false">IF('Tech Leaders Kits'!D323="","",'Tech Leaders Kits'!D323)</f>
        <v>2</v>
      </c>
      <c r="E1391" s="0" t="str">
        <f aca="false">IF('Tech Leaders Kits'!E323="","",'Tech Leaders Kits'!E323)</f>
        <v>Per group</v>
      </c>
      <c r="F1391" s="0" t="str">
        <f aca="false">IFERROR(INDEX('Session Tracker'!$M$5:$M$149,MATCH($A1391,'Session Tracker'!$D$5:$D$149,0))+0,"")</f>
        <v/>
      </c>
      <c r="G1391" s="0" t="str">
        <f aca="false">IF(ISNUMBER(F1391),IF(OR(B1391=0,B1391=99,C1391&lt;&gt;""),F1391*100+B1391,""),"")</f>
        <v/>
      </c>
      <c r="H1391" s="0" t="n">
        <f aca="false">IFERROR(INDEX('Session Tracker'!$J$5:$J$149,MATCH($A1391,'Session Tracker'!$D$5:$D$149,0)),0)</f>
        <v>8</v>
      </c>
      <c r="I1391" s="0" t="n">
        <f aca="false">IF(OR(B1391=0,B1391=99,C1391=""),"",IF(E1391="Per class",D1391,D1391*H1391))</f>
        <v>16</v>
      </c>
      <c r="N1391" s="0" t="str">
        <f aca="false">IF('Tech Leaders Kits'!B323="","",'Tech Leaders Kits'!B323)</f>
        <v>Actuators &amp; Motor Drivers</v>
      </c>
      <c r="O1391" s="0" t="str">
        <f aca="false">IF('Tech Leaders Kits'!F323="","",'Tech Leaders Kits'!F323)</f>
        <v>Reusable</v>
      </c>
      <c r="P1391" s="0" t="str">
        <f aca="false">IF('Tech Leaders Kits'!G323="","",'Tech Leaders Kits'!G323)</f>
        <v/>
      </c>
    </row>
    <row r="1392" customFormat="false" ht="15" hidden="false" customHeight="false" outlineLevel="0" collapsed="false">
      <c r="A1392" s="0" t="s">
        <v>342</v>
      </c>
      <c r="B1392" s="0" t="n">
        <v>3</v>
      </c>
      <c r="C1392" s="0" t="str">
        <f aca="false">IF('Tech Leaders Kits'!C324="","",'Tech Leaders Kits'!C324)</f>
        <v>Cardboard sheet</v>
      </c>
      <c r="D1392" s="0" t="n">
        <f aca="false">IF('Tech Leaders Kits'!D324="","",'Tech Leaders Kits'!D324)</f>
        <v>1</v>
      </c>
      <c r="E1392" s="0" t="str">
        <f aca="false">IF('Tech Leaders Kits'!E324="","",'Tech Leaders Kits'!E324)</f>
        <v>Per group</v>
      </c>
      <c r="F1392" s="0" t="str">
        <f aca="false">IFERROR(INDEX('Session Tracker'!$M$5:$M$149,MATCH($A1392,'Session Tracker'!$D$5:$D$149,0))+0,"")</f>
        <v/>
      </c>
      <c r="G1392" s="0" t="str">
        <f aca="false">IF(ISNUMBER(F1392),IF(OR(B1392=0,B1392=99,C1392&lt;&gt;""),F1392*100+B1392,""),"")</f>
        <v/>
      </c>
      <c r="H1392" s="0" t="n">
        <f aca="false">IFERROR(INDEX('Session Tracker'!$J$5:$J$149,MATCH($A1392,'Session Tracker'!$D$5:$D$149,0)),0)</f>
        <v>8</v>
      </c>
      <c r="I1392" s="0" t="n">
        <f aca="false">IF(OR(B1392=0,B1392=99,C1392=""),"",IF(E1392="Per class",D1392,D1392*H1392))</f>
        <v>8</v>
      </c>
      <c r="N1392" s="0" t="str">
        <f aca="false">IF('Tech Leaders Kits'!B324="","",'Tech Leaders Kits'!B324)</f>
        <v>Craft &amp; Stationery</v>
      </c>
      <c r="O1392" s="0" t="str">
        <f aca="false">IF('Tech Leaders Kits'!F324="","",'Tech Leaders Kits'!F324)</f>
        <v>Consumable</v>
      </c>
      <c r="P1392" s="0" t="str">
        <f aca="false">IF('Tech Leaders Kits'!G324="","",'Tech Leaders Kits'!G324)</f>
        <v>Arm links (or 3D printed)</v>
      </c>
    </row>
    <row r="1393" customFormat="false" ht="15" hidden="false" customHeight="false" outlineLevel="0" collapsed="false">
      <c r="A1393" s="0" t="s">
        <v>342</v>
      </c>
      <c r="B1393" s="0" t="n">
        <v>4</v>
      </c>
      <c r="C1393" s="0" t="str">
        <f aca="false">IF('Tech Leaders Kits'!C325="","",'Tech Leaders Kits'!C325)</f>
        <v>4xAA battery pack</v>
      </c>
      <c r="D1393" s="0" t="n">
        <f aca="false">IF('Tech Leaders Kits'!D325="","",'Tech Leaders Kits'!D325)</f>
        <v>1</v>
      </c>
      <c r="E1393" s="0" t="str">
        <f aca="false">IF('Tech Leaders Kits'!E325="","",'Tech Leaders Kits'!E325)</f>
        <v>Per group</v>
      </c>
      <c r="F1393" s="0" t="str">
        <f aca="false">IFERROR(INDEX('Session Tracker'!$M$5:$M$149,MATCH($A1393,'Session Tracker'!$D$5:$D$149,0))+0,"")</f>
        <v/>
      </c>
      <c r="G1393" s="0" t="str">
        <f aca="false">IF(ISNUMBER(F1393),IF(OR(B1393=0,B1393=99,C1393&lt;&gt;""),F1393*100+B1393,""),"")</f>
        <v/>
      </c>
      <c r="H1393" s="0" t="n">
        <f aca="false">IFERROR(INDEX('Session Tracker'!$J$5:$J$149,MATCH($A1393,'Session Tracker'!$D$5:$D$149,0)),0)</f>
        <v>8</v>
      </c>
      <c r="I1393" s="0" t="n">
        <f aca="false">IF(OR(B1393=0,B1393=99,C1393=""),"",IF(E1393="Per class",D1393,D1393*H1393))</f>
        <v>8</v>
      </c>
      <c r="N1393" s="0" t="str">
        <f aca="false">IF('Tech Leaders Kits'!B325="","",'Tech Leaders Kits'!B325)</f>
        <v>Power</v>
      </c>
      <c r="O1393" s="0" t="str">
        <f aca="false">IF('Tech Leaders Kits'!F325="","",'Tech Leaders Kits'!F325)</f>
        <v>Consumable</v>
      </c>
      <c r="P1393" s="0" t="str">
        <f aca="false">IF('Tech Leaders Kits'!G325="","",'Tech Leaders Kits'!G325)</f>
        <v>Servo power</v>
      </c>
    </row>
    <row r="1394" customFormat="false" ht="15" hidden="false" customHeight="false" outlineLevel="0" collapsed="false">
      <c r="A1394" s="0" t="s">
        <v>342</v>
      </c>
      <c r="B1394" s="0" t="n">
        <v>5</v>
      </c>
      <c r="C1394" s="0" t="str">
        <f aca="false">IF('Tech Leaders Kits'!C326="","",'Tech Leaders Kits'!C326)</f>
        <v>Breadboard (half size)</v>
      </c>
      <c r="D1394" s="0" t="n">
        <f aca="false">IF('Tech Leaders Kits'!D326="","",'Tech Leaders Kits'!D326)</f>
        <v>1</v>
      </c>
      <c r="E1394" s="0" t="str">
        <f aca="false">IF('Tech Leaders Kits'!E326="","",'Tech Leaders Kits'!E326)</f>
        <v>Per group</v>
      </c>
      <c r="F1394" s="0" t="str">
        <f aca="false">IFERROR(INDEX('Session Tracker'!$M$5:$M$149,MATCH($A1394,'Session Tracker'!$D$5:$D$149,0))+0,"")</f>
        <v/>
      </c>
      <c r="G1394" s="0" t="str">
        <f aca="false">IF(ISNUMBER(F1394),IF(OR(B1394=0,B1394=99,C1394&lt;&gt;""),F1394*100+B1394,""),"")</f>
        <v/>
      </c>
      <c r="H1394" s="0" t="n">
        <f aca="false">IFERROR(INDEX('Session Tracker'!$J$5:$J$149,MATCH($A1394,'Session Tracker'!$D$5:$D$149,0)),0)</f>
        <v>8</v>
      </c>
      <c r="I1394" s="0" t="n">
        <f aca="false">IF(OR(B1394=0,B1394=99,C1394=""),"",IF(E1394="Per class",D1394,D1394*H1394))</f>
        <v>8</v>
      </c>
      <c r="N1394" s="0" t="str">
        <f aca="false">IF('Tech Leaders Kits'!B326="","",'Tech Leaders Kits'!B326)</f>
        <v>Wiring &amp; Prototyping</v>
      </c>
      <c r="O1394" s="0" t="str">
        <f aca="false">IF('Tech Leaders Kits'!F326="","",'Tech Leaders Kits'!F326)</f>
        <v>Reusable</v>
      </c>
      <c r="P1394" s="0" t="str">
        <f aca="false">IF('Tech Leaders Kits'!G326="","",'Tech Leaders Kits'!G326)</f>
        <v/>
      </c>
    </row>
    <row r="1395" customFormat="false" ht="15" hidden="false" customHeight="false" outlineLevel="0" collapsed="false">
      <c r="A1395" s="0" t="s">
        <v>342</v>
      </c>
      <c r="B1395" s="0" t="n">
        <v>6</v>
      </c>
      <c r="C1395" s="0" t="str">
        <f aca="false">IF('Tech Leaders Kits'!C327="","",'Tech Leaders Kits'!C327)</f>
        <v>Jumper wires M-M</v>
      </c>
      <c r="D1395" s="0" t="n">
        <f aca="false">IF('Tech Leaders Kits'!D327="","",'Tech Leaders Kits'!D327)</f>
        <v>8</v>
      </c>
      <c r="E1395" s="0" t="str">
        <f aca="false">IF('Tech Leaders Kits'!E327="","",'Tech Leaders Kits'!E327)</f>
        <v>Per group</v>
      </c>
      <c r="F1395" s="0" t="str">
        <f aca="false">IFERROR(INDEX('Session Tracker'!$M$5:$M$149,MATCH($A1395,'Session Tracker'!$D$5:$D$149,0))+0,"")</f>
        <v/>
      </c>
      <c r="G1395" s="0" t="str">
        <f aca="false">IF(ISNUMBER(F1395),IF(OR(B1395=0,B1395=99,C1395&lt;&gt;""),F1395*100+B1395,""),"")</f>
        <v/>
      </c>
      <c r="H1395" s="0" t="n">
        <f aca="false">IFERROR(INDEX('Session Tracker'!$J$5:$J$149,MATCH($A1395,'Session Tracker'!$D$5:$D$149,0)),0)</f>
        <v>8</v>
      </c>
      <c r="I1395" s="0" t="n">
        <f aca="false">IF(OR(B1395=0,B1395=99,C1395=""),"",IF(E1395="Per class",D1395,D1395*H1395))</f>
        <v>64</v>
      </c>
      <c r="N1395" s="0" t="str">
        <f aca="false">IF('Tech Leaders Kits'!B327="","",'Tech Leaders Kits'!B327)</f>
        <v>Wiring &amp; Prototyping</v>
      </c>
      <c r="O1395" s="0" t="str">
        <f aca="false">IF('Tech Leaders Kits'!F327="","",'Tech Leaders Kits'!F327)</f>
        <v>Reusable</v>
      </c>
      <c r="P1395" s="0" t="str">
        <f aca="false">IF('Tech Leaders Kits'!G327="","",'Tech Leaders Kits'!G327)</f>
        <v/>
      </c>
    </row>
    <row r="1396" customFormat="false" ht="15" hidden="false" customHeight="false" outlineLevel="0" collapsed="false">
      <c r="A1396" s="0" t="s">
        <v>342</v>
      </c>
      <c r="B1396" s="0" t="n">
        <v>7</v>
      </c>
      <c r="C1396" s="0" t="str">
        <f aca="false">IF('Tech Leaders Kits'!C328="","",'Tech Leaders Kits'!C328)</f>
        <v>Laptop</v>
      </c>
      <c r="D1396" s="0" t="n">
        <f aca="false">IF('Tech Leaders Kits'!D328="","",'Tech Leaders Kits'!D328)</f>
        <v>1</v>
      </c>
      <c r="E1396" s="0" t="str">
        <f aca="false">IF('Tech Leaders Kits'!E328="","",'Tech Leaders Kits'!E328)</f>
        <v>Per group</v>
      </c>
      <c r="F1396" s="0" t="str">
        <f aca="false">IFERROR(INDEX('Session Tracker'!$M$5:$M$149,MATCH($A1396,'Session Tracker'!$D$5:$D$149,0))+0,"")</f>
        <v/>
      </c>
      <c r="G1396" s="0" t="str">
        <f aca="false">IF(ISNUMBER(F1396),IF(OR(B1396=0,B1396=99,C1396&lt;&gt;""),F1396*100+B1396,""),"")</f>
        <v/>
      </c>
      <c r="H1396" s="0" t="n">
        <f aca="false">IFERROR(INDEX('Session Tracker'!$J$5:$J$149,MATCH($A1396,'Session Tracker'!$D$5:$D$149,0)),0)</f>
        <v>8</v>
      </c>
      <c r="I1396" s="0" t="n">
        <f aca="false">IF(OR(B1396=0,B1396=99,C1396=""),"",IF(E1396="Per class",D1396,D1396*H1396))</f>
        <v>8</v>
      </c>
      <c r="N1396" s="0" t="str">
        <f aca="false">IF('Tech Leaders Kits'!B328="","",'Tech Leaders Kits'!B328)</f>
        <v>Computers &amp; Equipment</v>
      </c>
      <c r="O1396" s="0" t="str">
        <f aca="false">IF('Tech Leaders Kits'!F328="","",'Tech Leaders Kits'!F328)</f>
        <v>Reusable</v>
      </c>
      <c r="P1396" s="0" t="str">
        <f aca="false">IF('Tech Leaders Kits'!G328="","",'Tech Leaders Kits'!G328)</f>
        <v/>
      </c>
    </row>
    <row r="1397" customFormat="false" ht="15" hidden="false" customHeight="false" outlineLevel="0" collapsed="false">
      <c r="A1397" s="0" t="s">
        <v>342</v>
      </c>
      <c r="B1397" s="0" t="n">
        <v>8</v>
      </c>
      <c r="C1397" s="0" t="str">
        <f aca="false">IF('Tech Leaders Kits'!C329="","",'Tech Leaders Kits'!C329)</f>
        <v>LED 5 mm (assorted)</v>
      </c>
      <c r="D1397" s="0" t="n">
        <f aca="false">IF('Tech Leaders Kits'!D329="","",'Tech Leaders Kits'!D329)</f>
        <v>1</v>
      </c>
      <c r="E1397" s="0" t="str">
        <f aca="false">IF('Tech Leaders Kits'!E329="","",'Tech Leaders Kits'!E329)</f>
        <v>Per group</v>
      </c>
      <c r="F1397" s="0" t="str">
        <f aca="false">IFERROR(INDEX('Session Tracker'!$M$5:$M$149,MATCH($A1397,'Session Tracker'!$D$5:$D$149,0))+0,"")</f>
        <v/>
      </c>
      <c r="G1397" s="0" t="str">
        <f aca="false">IF(ISNUMBER(F1397),IF(OR(B1397=0,B1397=99,C1397&lt;&gt;""),F1397*100+B1397,""),"")</f>
        <v/>
      </c>
      <c r="H1397" s="0" t="n">
        <f aca="false">IFERROR(INDEX('Session Tracker'!$J$5:$J$149,MATCH($A1397,'Session Tracker'!$D$5:$D$149,0)),0)</f>
        <v>8</v>
      </c>
      <c r="I1397" s="0" t="n">
        <f aca="false">IF(OR(B1397=0,B1397=99,C1397=""),"",IF(E1397="Per class",D1397,D1397*H1397))</f>
        <v>8</v>
      </c>
      <c r="N1397" s="0" t="str">
        <f aca="false">IF('Tech Leaders Kits'!B329="","",'Tech Leaders Kits'!B329)</f>
        <v>Displays &amp; Output</v>
      </c>
      <c r="O1397" s="0" t="str">
        <f aca="false">IF('Tech Leaders Kits'!F329="","",'Tech Leaders Kits'!F329)</f>
        <v>Consumable</v>
      </c>
      <c r="P1397" s="0" t="str">
        <f aca="false">IF('Tech Leaders Kits'!G329="","",'Tech Leaders Kits'!G329)</f>
        <v>Added: every Arduino class</v>
      </c>
    </row>
    <row r="1398" customFormat="false" ht="15" hidden="false" customHeight="false" outlineLevel="0" collapsed="false">
      <c r="A1398" s="0" t="s">
        <v>342</v>
      </c>
      <c r="B1398" s="0" t="n">
        <v>9</v>
      </c>
      <c r="C1398" s="0" t="str">
        <f aca="false">IF('Tech Leaders Kits'!C330="","",'Tech Leaders Kits'!C330)</f>
        <v>Resistor 220 ohm</v>
      </c>
      <c r="D1398" s="0" t="n">
        <f aca="false">IF('Tech Leaders Kits'!D330="","",'Tech Leaders Kits'!D330)</f>
        <v>1</v>
      </c>
      <c r="E1398" s="0" t="str">
        <f aca="false">IF('Tech Leaders Kits'!E330="","",'Tech Leaders Kits'!E330)</f>
        <v>Per group</v>
      </c>
      <c r="F1398" s="0" t="str">
        <f aca="false">IFERROR(INDEX('Session Tracker'!$M$5:$M$149,MATCH($A1398,'Session Tracker'!$D$5:$D$149,0))+0,"")</f>
        <v/>
      </c>
      <c r="G1398" s="0" t="str">
        <f aca="false">IF(ISNUMBER(F1398),IF(OR(B1398=0,B1398=99,C1398&lt;&gt;""),F1398*100+B1398,""),"")</f>
        <v/>
      </c>
      <c r="H1398" s="0" t="n">
        <f aca="false">IFERROR(INDEX('Session Tracker'!$J$5:$J$149,MATCH($A1398,'Session Tracker'!$D$5:$D$149,0)),0)</f>
        <v>8</v>
      </c>
      <c r="I1398" s="0" t="n">
        <f aca="false">IF(OR(B1398=0,B1398=99,C1398=""),"",IF(E1398="Per class",D1398,D1398*H1398))</f>
        <v>8</v>
      </c>
      <c r="N1398" s="0" t="str">
        <f aca="false">IF('Tech Leaders Kits'!B330="","",'Tech Leaders Kits'!B330)</f>
        <v>Passive Components &amp; ICs</v>
      </c>
      <c r="O1398" s="0" t="str">
        <f aca="false">IF('Tech Leaders Kits'!F330="","",'Tech Leaders Kits'!F330)</f>
        <v>Consumable</v>
      </c>
      <c r="P1398" s="0" t="str">
        <f aca="false">IF('Tech Leaders Kits'!G330="","",'Tech Leaders Kits'!G330)</f>
        <v>Added: for the LED</v>
      </c>
    </row>
    <row r="1399" customFormat="false" ht="15" hidden="false" customHeight="false" outlineLevel="0" collapsed="false">
      <c r="A1399" s="0" t="s">
        <v>342</v>
      </c>
      <c r="B1399" s="0" t="n">
        <v>10</v>
      </c>
      <c r="C1399" s="0" t="str">
        <f aca="false">IF('Tech Leaders Kits'!C331="","",'Tech Leaders Kits'!C331)</f>
        <v>Buzzer</v>
      </c>
      <c r="D1399" s="0" t="n">
        <f aca="false">IF('Tech Leaders Kits'!D331="","",'Tech Leaders Kits'!D331)</f>
        <v>1</v>
      </c>
      <c r="E1399" s="0" t="str">
        <f aca="false">IF('Tech Leaders Kits'!E331="","",'Tech Leaders Kits'!E331)</f>
        <v>Per group</v>
      </c>
      <c r="F1399" s="0" t="str">
        <f aca="false">IFERROR(INDEX('Session Tracker'!$M$5:$M$149,MATCH($A1399,'Session Tracker'!$D$5:$D$149,0))+0,"")</f>
        <v/>
      </c>
      <c r="G1399" s="0" t="str">
        <f aca="false">IF(ISNUMBER(F1399),IF(OR(B1399=0,B1399=99,C1399&lt;&gt;""),F1399*100+B1399,""),"")</f>
        <v/>
      </c>
      <c r="H1399" s="0" t="n">
        <f aca="false">IFERROR(INDEX('Session Tracker'!$J$5:$J$149,MATCH($A1399,'Session Tracker'!$D$5:$D$149,0)),0)</f>
        <v>8</v>
      </c>
      <c r="I1399" s="0" t="n">
        <f aca="false">IF(OR(B1399=0,B1399=99,C1399=""),"",IF(E1399="Per class",D1399,D1399*H1399))</f>
        <v>8</v>
      </c>
      <c r="N1399" s="0" t="str">
        <f aca="false">IF('Tech Leaders Kits'!B331="","",'Tech Leaders Kits'!B331)</f>
        <v>Actuators &amp; Motor Drivers</v>
      </c>
      <c r="O1399" s="0" t="str">
        <f aca="false">IF('Tech Leaders Kits'!F331="","",'Tech Leaders Kits'!F331)</f>
        <v>Reusable</v>
      </c>
      <c r="P1399" s="0" t="str">
        <f aca="false">IF('Tech Leaders Kits'!G331="","",'Tech Leaders Kits'!G331)</f>
        <v>Added: every Arduino class</v>
      </c>
    </row>
    <row r="1400" customFormat="false" ht="15" hidden="false" customHeight="false" outlineLevel="0" collapsed="false">
      <c r="A1400" s="0" t="s">
        <v>342</v>
      </c>
      <c r="B1400" s="0" t="n">
        <v>11</v>
      </c>
      <c r="C1400" s="0" t="str">
        <f aca="false">IF('Tech Leaders Kits'!C332="","",'Tech Leaders Kits'!C332)</f>
        <v/>
      </c>
      <c r="D1400" s="0" t="str">
        <f aca="false">IF('Tech Leaders Kits'!D332="","",'Tech Leaders Kits'!D332)</f>
        <v/>
      </c>
      <c r="E1400" s="0" t="str">
        <f aca="false">IF('Tech Leaders Kits'!E332="","",'Tech Leaders Kits'!E332)</f>
        <v/>
      </c>
      <c r="F1400" s="0" t="str">
        <f aca="false">IFERROR(INDEX('Session Tracker'!$M$5:$M$149,MATCH($A1400,'Session Tracker'!$D$5:$D$149,0))+0,"")</f>
        <v/>
      </c>
      <c r="G1400" s="0" t="str">
        <f aca="false">IF(ISNUMBER(F1400),IF(OR(B1400=0,B1400=99,C1400&lt;&gt;""),F1400*100+B1400,""),"")</f>
        <v/>
      </c>
      <c r="H1400" s="0" t="n">
        <f aca="false">IFERROR(INDEX('Session Tracker'!$J$5:$J$149,MATCH($A1400,'Session Tracker'!$D$5:$D$149,0)),0)</f>
        <v>8</v>
      </c>
      <c r="I1400" s="0" t="str">
        <f aca="false">IF(OR(B1400=0,B1400=99,C1400=""),"",IF(E1400="Per class",D1400,D1400*H1400))</f>
        <v/>
      </c>
      <c r="N1400" s="0" t="str">
        <f aca="false">IF('Tech Leaders Kits'!B332="","",'Tech Leaders Kits'!B332)</f>
        <v/>
      </c>
      <c r="O1400" s="0" t="str">
        <f aca="false">IF('Tech Leaders Kits'!F332="","",'Tech Leaders Kits'!F332)</f>
        <v/>
      </c>
      <c r="P1400" s="0" t="str">
        <f aca="false">IF('Tech Leaders Kits'!G332="","",'Tech Leaders Kits'!G332)</f>
        <v/>
      </c>
    </row>
    <row r="1401" customFormat="false" ht="15" hidden="false" customHeight="false" outlineLevel="0" collapsed="false">
      <c r="A1401" s="0" t="s">
        <v>342</v>
      </c>
      <c r="B1401" s="0" t="n">
        <v>12</v>
      </c>
      <c r="C1401" s="0" t="str">
        <f aca="false">IF('Tech Leaders Kits'!C333="","",'Tech Leaders Kits'!C333)</f>
        <v/>
      </c>
      <c r="D1401" s="0" t="str">
        <f aca="false">IF('Tech Leaders Kits'!D333="","",'Tech Leaders Kits'!D333)</f>
        <v/>
      </c>
      <c r="E1401" s="0" t="str">
        <f aca="false">IF('Tech Leaders Kits'!E333="","",'Tech Leaders Kits'!E333)</f>
        <v/>
      </c>
      <c r="F1401" s="0" t="str">
        <f aca="false">IFERROR(INDEX('Session Tracker'!$M$5:$M$149,MATCH($A1401,'Session Tracker'!$D$5:$D$149,0))+0,"")</f>
        <v/>
      </c>
      <c r="G1401" s="0" t="str">
        <f aca="false">IF(ISNUMBER(F1401),IF(OR(B1401=0,B1401=99,C1401&lt;&gt;""),F1401*100+B1401,""),"")</f>
        <v/>
      </c>
      <c r="H1401" s="0" t="n">
        <f aca="false">IFERROR(INDEX('Session Tracker'!$J$5:$J$149,MATCH($A1401,'Session Tracker'!$D$5:$D$149,0)),0)</f>
        <v>8</v>
      </c>
      <c r="I1401" s="0" t="str">
        <f aca="false">IF(OR(B1401=0,B1401=99,C1401=""),"",IF(E1401="Per class",D1401,D1401*H1401))</f>
        <v/>
      </c>
      <c r="N1401" s="0" t="str">
        <f aca="false">IF('Tech Leaders Kits'!B333="","",'Tech Leaders Kits'!B333)</f>
        <v/>
      </c>
      <c r="O1401" s="0" t="str">
        <f aca="false">IF('Tech Leaders Kits'!F333="","",'Tech Leaders Kits'!F333)</f>
        <v/>
      </c>
      <c r="P1401" s="0" t="str">
        <f aca="false">IF('Tech Leaders Kits'!G333="","",'Tech Leaders Kits'!G333)</f>
        <v/>
      </c>
    </row>
    <row r="1402" customFormat="false" ht="15" hidden="false" customHeight="false" outlineLevel="0" collapsed="false">
      <c r="A1402" s="0" t="s">
        <v>344</v>
      </c>
      <c r="B1402" s="0" t="n">
        <v>0</v>
      </c>
      <c r="F1402" s="0" t="str">
        <f aca="false">IFERROR(INDEX('Session Tracker'!$M$5:$M$149,MATCH($A1402,'Session Tracker'!$D$5:$D$149,0))+0,"")</f>
        <v/>
      </c>
      <c r="G1402" s="0" t="str">
        <f aca="false">IF(ISNUMBER(F1402),IF(OR(B1402=0,B1402=99,C1402&lt;&gt;""),F1402*100+B1402,""),"")</f>
        <v/>
      </c>
      <c r="H1402" s="0" t="n">
        <f aca="false">IFERROR(INDEX('Session Tracker'!$J$5:$J$149,MATCH($A1402,'Session Tracker'!$D$5:$D$149,0)),0)</f>
        <v>8</v>
      </c>
      <c r="I1402" s="0" t="str">
        <f aca="false">IF(OR(B1402=0,B1402=99,C1402=""),"",IF(E1402="Per class",D1402,D1402*H1402))</f>
        <v/>
      </c>
      <c r="K1402" s="0" t="str">
        <f aca="false">IFERROR(INDEX('Session Tracker'!$E$5:$E$149,MATCH($A1402,'Session Tracker'!$D$5:$D$149,0)),"")</f>
        <v>Robot Swarm: Leader and Follower Cars</v>
      </c>
      <c r="L1402" s="0" t="str">
        <f aca="false">IFERROR(INDEX('Session Tracker'!$A$5:$A$149,MATCH($A1402,'Session Tracker'!$D$5:$D$149,0)),"")</f>
        <v>Tech Leaders (15-17)</v>
      </c>
      <c r="M1402" s="0" t="str">
        <f aca="false">IFERROR(INDEX('Session Tracker'!$H$5:$H$149,MATCH($A1402,'Session Tracker'!$D$5:$D$149,0))&amp;"","")</f>
        <v/>
      </c>
      <c r="Q1402" s="0" t="str">
        <f aca="false">IFERROR("Status: "&amp;INDEX('Session Tracker'!$F$5:$F$149,MATCH($A1402,'Session Tracker'!$D$5:$D$149,0))&amp;IF(INDEX('Session Tracker'!$G$5:$G$149,MATCH($A1402,'Session Tracker'!$D$5:$D$149,0))&lt;&gt;""," ("&amp;INDEX('Session Tracker'!$G$5:$G$149,MATCH($A1402,'Session Tracker'!$D$5:$D$149,0))&amp;")","")&amp;IF(M1402&lt;&gt;"","  "&amp;M1402,""),"")</f>
        <v>Status: Not started</v>
      </c>
    </row>
    <row r="1403" customFormat="false" ht="15" hidden="false" customHeight="false" outlineLevel="0" collapsed="false">
      <c r="A1403" s="0" t="s">
        <v>344</v>
      </c>
      <c r="B1403" s="0" t="n">
        <v>1</v>
      </c>
      <c r="C1403" s="0" t="str">
        <f aca="false">IF('Tech Leaders Kits'!C336="","",'Tech Leaders Kits'!C336)</f>
        <v>4WD robot car (assembled, L298N)</v>
      </c>
      <c r="D1403" s="0" t="n">
        <f aca="false">IF('Tech Leaders Kits'!D336="","",'Tech Leaders Kits'!D336)</f>
        <v>1</v>
      </c>
      <c r="E1403" s="0" t="str">
        <f aca="false">IF('Tech Leaders Kits'!E336="","",'Tech Leaders Kits'!E336)</f>
        <v>Per group</v>
      </c>
      <c r="F1403" s="0" t="str">
        <f aca="false">IFERROR(INDEX('Session Tracker'!$M$5:$M$149,MATCH($A1403,'Session Tracker'!$D$5:$D$149,0))+0,"")</f>
        <v/>
      </c>
      <c r="G1403" s="0" t="str">
        <f aca="false">IF(ISNUMBER(F1403),IF(OR(B1403=0,B1403=99,C1403&lt;&gt;""),F1403*100+B1403,""),"")</f>
        <v/>
      </c>
      <c r="H1403" s="0" t="n">
        <f aca="false">IFERROR(INDEX('Session Tracker'!$J$5:$J$149,MATCH($A1403,'Session Tracker'!$D$5:$D$149,0)),0)</f>
        <v>8</v>
      </c>
      <c r="I1403" s="0" t="n">
        <f aca="false">IF(OR(B1403=0,B1403=99,C1403=""),"",IF(E1403="Per class",D1403,D1403*H1403))</f>
        <v>8</v>
      </c>
      <c r="N1403" s="0" t="str">
        <f aca="false">IF('Tech Leaders Kits'!B336="","",'Tech Leaders Kits'!B336)</f>
        <v>Robot Platforms &amp; Kits</v>
      </c>
      <c r="O1403" s="0" t="str">
        <f aca="false">IF('Tech Leaders Kits'!F336="","",'Tech Leaders Kits'!F336)</f>
        <v>Reusable</v>
      </c>
      <c r="P1403" s="0" t="str">
        <f aca="false">IF('Tech Leaders Kits'!G336="","",'Tech Leaders Kits'!G336)</f>
        <v>Two groups pair up: leader + follower</v>
      </c>
    </row>
    <row r="1404" customFormat="false" ht="15" hidden="false" customHeight="false" outlineLevel="0" collapsed="false">
      <c r="A1404" s="0" t="s">
        <v>344</v>
      </c>
      <c r="B1404" s="0" t="n">
        <v>2</v>
      </c>
      <c r="C1404" s="0" t="str">
        <f aca="false">IF('Tech Leaders Kits'!C337="","",'Tech Leaders Kits'!C337)</f>
        <v>ESP32 Dev Board + USB cable</v>
      </c>
      <c r="D1404" s="0" t="n">
        <f aca="false">IF('Tech Leaders Kits'!D337="","",'Tech Leaders Kits'!D337)</f>
        <v>2</v>
      </c>
      <c r="E1404" s="0" t="str">
        <f aca="false">IF('Tech Leaders Kits'!E337="","",'Tech Leaders Kits'!E337)</f>
        <v>Per group</v>
      </c>
      <c r="F1404" s="0" t="str">
        <f aca="false">IFERROR(INDEX('Session Tracker'!$M$5:$M$149,MATCH($A1404,'Session Tracker'!$D$5:$D$149,0))+0,"")</f>
        <v/>
      </c>
      <c r="G1404" s="0" t="str">
        <f aca="false">IF(ISNUMBER(F1404),IF(OR(B1404=0,B1404=99,C1404&lt;&gt;""),F1404*100+B1404,""),"")</f>
        <v/>
      </c>
      <c r="H1404" s="0" t="n">
        <f aca="false">IFERROR(INDEX('Session Tracker'!$J$5:$J$149,MATCH($A1404,'Session Tracker'!$D$5:$D$149,0)),0)</f>
        <v>8</v>
      </c>
      <c r="I1404" s="0" t="n">
        <f aca="false">IF(OR(B1404=0,B1404=99,C1404=""),"",IF(E1404="Per class",D1404,D1404*H1404))</f>
        <v>16</v>
      </c>
      <c r="N1404" s="0" t="str">
        <f aca="false">IF('Tech Leaders Kits'!B337="","",'Tech Leaders Kits'!B337)</f>
        <v>Microcontrollers &amp; Dev Boards</v>
      </c>
      <c r="O1404" s="0" t="str">
        <f aca="false">IF('Tech Leaders Kits'!F337="","",'Tech Leaders Kits'!F337)</f>
        <v>Reusable</v>
      </c>
      <c r="P1404" s="0" t="str">
        <f aca="false">IF('Tech Leaders Kits'!G337="","",'Tech Leaders Kits'!G337)</f>
        <v/>
      </c>
    </row>
    <row r="1405" customFormat="false" ht="15" hidden="false" customHeight="false" outlineLevel="0" collapsed="false">
      <c r="A1405" s="0" t="s">
        <v>344</v>
      </c>
      <c r="B1405" s="0" t="n">
        <v>3</v>
      </c>
      <c r="C1405" s="0" t="str">
        <f aca="false">IF('Tech Leaders Kits'!C338="","",'Tech Leaders Kits'!C338)</f>
        <v>Ultrasonic sensor HC-SR04</v>
      </c>
      <c r="D1405" s="0" t="n">
        <f aca="false">IF('Tech Leaders Kits'!D338="","",'Tech Leaders Kits'!D338)</f>
        <v>1</v>
      </c>
      <c r="E1405" s="0" t="str">
        <f aca="false">IF('Tech Leaders Kits'!E338="","",'Tech Leaders Kits'!E338)</f>
        <v>Per group</v>
      </c>
      <c r="F1405" s="0" t="str">
        <f aca="false">IFERROR(INDEX('Session Tracker'!$M$5:$M$149,MATCH($A1405,'Session Tracker'!$D$5:$D$149,0))+0,"")</f>
        <v/>
      </c>
      <c r="G1405" s="0" t="str">
        <f aca="false">IF(ISNUMBER(F1405),IF(OR(B1405=0,B1405=99,C1405&lt;&gt;""),F1405*100+B1405,""),"")</f>
        <v/>
      </c>
      <c r="H1405" s="0" t="n">
        <f aca="false">IFERROR(INDEX('Session Tracker'!$J$5:$J$149,MATCH($A1405,'Session Tracker'!$D$5:$D$149,0)),0)</f>
        <v>8</v>
      </c>
      <c r="I1405" s="0" t="n">
        <f aca="false">IF(OR(B1405=0,B1405=99,C1405=""),"",IF(E1405="Per class",D1405,D1405*H1405))</f>
        <v>8</v>
      </c>
      <c r="N1405" s="0" t="str">
        <f aca="false">IF('Tech Leaders Kits'!B338="","",'Tech Leaders Kits'!B338)</f>
        <v>Sensors</v>
      </c>
      <c r="O1405" s="0" t="str">
        <f aca="false">IF('Tech Leaders Kits'!F338="","",'Tech Leaders Kits'!F338)</f>
        <v>Reusable</v>
      </c>
      <c r="P1405" s="0" t="str">
        <f aca="false">IF('Tech Leaders Kits'!G338="","",'Tech Leaders Kits'!G338)</f>
        <v/>
      </c>
    </row>
    <row r="1406" customFormat="false" ht="15" hidden="false" customHeight="false" outlineLevel="0" collapsed="false">
      <c r="A1406" s="0" t="s">
        <v>344</v>
      </c>
      <c r="B1406" s="0" t="n">
        <v>4</v>
      </c>
      <c r="C1406" s="0" t="str">
        <f aca="false">IF('Tech Leaders Kits'!C339="","",'Tech Leaders Kits'!C339)</f>
        <v>Jumper wires M-F</v>
      </c>
      <c r="D1406" s="0" t="n">
        <f aca="false">IF('Tech Leaders Kits'!D339="","",'Tech Leaders Kits'!D339)</f>
        <v>12</v>
      </c>
      <c r="E1406" s="0" t="str">
        <f aca="false">IF('Tech Leaders Kits'!E339="","",'Tech Leaders Kits'!E339)</f>
        <v>Per group</v>
      </c>
      <c r="F1406" s="0" t="str">
        <f aca="false">IFERROR(INDEX('Session Tracker'!$M$5:$M$149,MATCH($A1406,'Session Tracker'!$D$5:$D$149,0))+0,"")</f>
        <v/>
      </c>
      <c r="G1406" s="0" t="str">
        <f aca="false">IF(ISNUMBER(F1406),IF(OR(B1406=0,B1406=99,C1406&lt;&gt;""),F1406*100+B1406,""),"")</f>
        <v/>
      </c>
      <c r="H1406" s="0" t="n">
        <f aca="false">IFERROR(INDEX('Session Tracker'!$J$5:$J$149,MATCH($A1406,'Session Tracker'!$D$5:$D$149,0)),0)</f>
        <v>8</v>
      </c>
      <c r="I1406" s="0" t="n">
        <f aca="false">IF(OR(B1406=0,B1406=99,C1406=""),"",IF(E1406="Per class",D1406,D1406*H1406))</f>
        <v>96</v>
      </c>
      <c r="N1406" s="0" t="str">
        <f aca="false">IF('Tech Leaders Kits'!B339="","",'Tech Leaders Kits'!B339)</f>
        <v>Wiring &amp; Prototyping</v>
      </c>
      <c r="O1406" s="0" t="str">
        <f aca="false">IF('Tech Leaders Kits'!F339="","",'Tech Leaders Kits'!F339)</f>
        <v>Reusable</v>
      </c>
      <c r="P1406" s="0" t="str">
        <f aca="false">IF('Tech Leaders Kits'!G339="","",'Tech Leaders Kits'!G339)</f>
        <v/>
      </c>
    </row>
    <row r="1407" customFormat="false" ht="15" hidden="false" customHeight="false" outlineLevel="0" collapsed="false">
      <c r="A1407" s="0" t="s">
        <v>344</v>
      </c>
      <c r="B1407" s="0" t="n">
        <v>5</v>
      </c>
      <c r="C1407" s="0" t="str">
        <f aca="false">IF('Tech Leaders Kits'!C340="","",'Tech Leaders Kits'!C340)</f>
        <v>Laptop</v>
      </c>
      <c r="D1407" s="0" t="n">
        <f aca="false">IF('Tech Leaders Kits'!D340="","",'Tech Leaders Kits'!D340)</f>
        <v>1</v>
      </c>
      <c r="E1407" s="0" t="str">
        <f aca="false">IF('Tech Leaders Kits'!E340="","",'Tech Leaders Kits'!E340)</f>
        <v>Per group</v>
      </c>
      <c r="F1407" s="0" t="str">
        <f aca="false">IFERROR(INDEX('Session Tracker'!$M$5:$M$149,MATCH($A1407,'Session Tracker'!$D$5:$D$149,0))+0,"")</f>
        <v/>
      </c>
      <c r="G1407" s="0" t="str">
        <f aca="false">IF(ISNUMBER(F1407),IF(OR(B1407=0,B1407=99,C1407&lt;&gt;""),F1407*100+B1407,""),"")</f>
        <v/>
      </c>
      <c r="H1407" s="0" t="n">
        <f aca="false">IFERROR(INDEX('Session Tracker'!$J$5:$J$149,MATCH($A1407,'Session Tracker'!$D$5:$D$149,0)),0)</f>
        <v>8</v>
      </c>
      <c r="I1407" s="0" t="n">
        <f aca="false">IF(OR(B1407=0,B1407=99,C1407=""),"",IF(E1407="Per class",D1407,D1407*H1407))</f>
        <v>8</v>
      </c>
      <c r="N1407" s="0" t="str">
        <f aca="false">IF('Tech Leaders Kits'!B340="","",'Tech Leaders Kits'!B340)</f>
        <v>Computers &amp; Equipment</v>
      </c>
      <c r="O1407" s="0" t="str">
        <f aca="false">IF('Tech Leaders Kits'!F340="","",'Tech Leaders Kits'!F340)</f>
        <v>Reusable</v>
      </c>
      <c r="P1407" s="0" t="str">
        <f aca="false">IF('Tech Leaders Kits'!G340="","",'Tech Leaders Kits'!G340)</f>
        <v/>
      </c>
    </row>
    <row r="1408" customFormat="false" ht="15" hidden="false" customHeight="false" outlineLevel="0" collapsed="false">
      <c r="A1408" s="0" t="s">
        <v>344</v>
      </c>
      <c r="B1408" s="0" t="n">
        <v>6</v>
      </c>
      <c r="C1408" s="0" t="str">
        <f aca="false">IF('Tech Leaders Kits'!C341="","",'Tech Leaders Kits'!C341)</f>
        <v/>
      </c>
      <c r="D1408" s="0" t="str">
        <f aca="false">IF('Tech Leaders Kits'!D341="","",'Tech Leaders Kits'!D341)</f>
        <v/>
      </c>
      <c r="E1408" s="0" t="str">
        <f aca="false">IF('Tech Leaders Kits'!E341="","",'Tech Leaders Kits'!E341)</f>
        <v/>
      </c>
      <c r="F1408" s="0" t="str">
        <f aca="false">IFERROR(INDEX('Session Tracker'!$M$5:$M$149,MATCH($A1408,'Session Tracker'!$D$5:$D$149,0))+0,"")</f>
        <v/>
      </c>
      <c r="G1408" s="0" t="str">
        <f aca="false">IF(ISNUMBER(F1408),IF(OR(B1408=0,B1408=99,C1408&lt;&gt;""),F1408*100+B1408,""),"")</f>
        <v/>
      </c>
      <c r="H1408" s="0" t="n">
        <f aca="false">IFERROR(INDEX('Session Tracker'!$J$5:$J$149,MATCH($A1408,'Session Tracker'!$D$5:$D$149,0)),0)</f>
        <v>8</v>
      </c>
      <c r="I1408" s="0" t="str">
        <f aca="false">IF(OR(B1408=0,B1408=99,C1408=""),"",IF(E1408="Per class",D1408,D1408*H1408))</f>
        <v/>
      </c>
      <c r="N1408" s="0" t="str">
        <f aca="false">IF('Tech Leaders Kits'!B341="","",'Tech Leaders Kits'!B341)</f>
        <v/>
      </c>
      <c r="O1408" s="0" t="str">
        <f aca="false">IF('Tech Leaders Kits'!F341="","",'Tech Leaders Kits'!F341)</f>
        <v/>
      </c>
      <c r="P1408" s="0" t="str">
        <f aca="false">IF('Tech Leaders Kits'!G341="","",'Tech Leaders Kits'!G341)</f>
        <v/>
      </c>
    </row>
    <row r="1409" customFormat="false" ht="15" hidden="false" customHeight="false" outlineLevel="0" collapsed="false">
      <c r="A1409" s="0" t="s">
        <v>344</v>
      </c>
      <c r="B1409" s="0" t="n">
        <v>7</v>
      </c>
      <c r="C1409" s="0" t="str">
        <f aca="false">IF('Tech Leaders Kits'!C342="","",'Tech Leaders Kits'!C342)</f>
        <v/>
      </c>
      <c r="D1409" s="0" t="str">
        <f aca="false">IF('Tech Leaders Kits'!D342="","",'Tech Leaders Kits'!D342)</f>
        <v/>
      </c>
      <c r="E1409" s="0" t="str">
        <f aca="false">IF('Tech Leaders Kits'!E342="","",'Tech Leaders Kits'!E342)</f>
        <v/>
      </c>
      <c r="F1409" s="0" t="str">
        <f aca="false">IFERROR(INDEX('Session Tracker'!$M$5:$M$149,MATCH($A1409,'Session Tracker'!$D$5:$D$149,0))+0,"")</f>
        <v/>
      </c>
      <c r="G1409" s="0" t="str">
        <f aca="false">IF(ISNUMBER(F1409),IF(OR(B1409=0,B1409=99,C1409&lt;&gt;""),F1409*100+B1409,""),"")</f>
        <v/>
      </c>
      <c r="H1409" s="0" t="n">
        <f aca="false">IFERROR(INDEX('Session Tracker'!$J$5:$J$149,MATCH($A1409,'Session Tracker'!$D$5:$D$149,0)),0)</f>
        <v>8</v>
      </c>
      <c r="I1409" s="0" t="str">
        <f aca="false">IF(OR(B1409=0,B1409=99,C1409=""),"",IF(E1409="Per class",D1409,D1409*H1409))</f>
        <v/>
      </c>
      <c r="N1409" s="0" t="str">
        <f aca="false">IF('Tech Leaders Kits'!B342="","",'Tech Leaders Kits'!B342)</f>
        <v/>
      </c>
      <c r="O1409" s="0" t="str">
        <f aca="false">IF('Tech Leaders Kits'!F342="","",'Tech Leaders Kits'!F342)</f>
        <v/>
      </c>
      <c r="P1409" s="0" t="str">
        <f aca="false">IF('Tech Leaders Kits'!G342="","",'Tech Leaders Kits'!G342)</f>
        <v/>
      </c>
    </row>
    <row r="1410" customFormat="false" ht="15" hidden="false" customHeight="false" outlineLevel="0" collapsed="false">
      <c r="A1410" s="0" t="s">
        <v>346</v>
      </c>
      <c r="B1410" s="0" t="n">
        <v>0</v>
      </c>
      <c r="F1410" s="0" t="str">
        <f aca="false">IFERROR(INDEX('Session Tracker'!$M$5:$M$149,MATCH($A1410,'Session Tracker'!$D$5:$D$149,0))+0,"")</f>
        <v/>
      </c>
      <c r="G1410" s="0" t="str">
        <f aca="false">IF(ISNUMBER(F1410),IF(OR(B1410=0,B1410=99,C1410&lt;&gt;""),F1410*100+B1410,""),"")</f>
        <v/>
      </c>
      <c r="H1410" s="0" t="n">
        <f aca="false">IFERROR(INDEX('Session Tracker'!$J$5:$J$149,MATCH($A1410,'Session Tracker'!$D$5:$D$149,0)),0)</f>
        <v>8</v>
      </c>
      <c r="I1410" s="0" t="str">
        <f aca="false">IF(OR(B1410=0,B1410=99,C1410=""),"",IF(E1410="Per class",D1410,D1410*H1410))</f>
        <v/>
      </c>
      <c r="K1410" s="0" t="str">
        <f aca="false">IFERROR(INDEX('Session Tracker'!$E$5:$E$149,MATCH($A1410,'Session Tracker'!$D$5:$D$149,0)),"")</f>
        <v>3D-Printed Gearbox and Gear Ratios</v>
      </c>
      <c r="L1410" s="0" t="str">
        <f aca="false">IFERROR(INDEX('Session Tracker'!$A$5:$A$149,MATCH($A1410,'Session Tracker'!$D$5:$D$149,0)),"")</f>
        <v>Tech Leaders (15-17)</v>
      </c>
      <c r="M1410" s="0" t="str">
        <f aca="false">IFERROR(INDEX('Session Tracker'!$H$5:$H$149,MATCH($A1410,'Session Tracker'!$D$5:$D$149,0))&amp;"","")</f>
        <v/>
      </c>
      <c r="Q1410" s="0" t="str">
        <f aca="false">IFERROR("Status: "&amp;INDEX('Session Tracker'!$F$5:$F$149,MATCH($A1410,'Session Tracker'!$D$5:$D$149,0))&amp;IF(INDEX('Session Tracker'!$G$5:$G$149,MATCH($A1410,'Session Tracker'!$D$5:$D$149,0))&lt;&gt;""," ("&amp;INDEX('Session Tracker'!$G$5:$G$149,MATCH($A1410,'Session Tracker'!$D$5:$D$149,0))&amp;")","")&amp;IF(M1410&lt;&gt;"","  "&amp;M1410,""),"")</f>
        <v>Status: Not started</v>
      </c>
    </row>
    <row r="1411" customFormat="false" ht="15" hidden="false" customHeight="false" outlineLevel="0" collapsed="false">
      <c r="A1411" s="0" t="s">
        <v>346</v>
      </c>
      <c r="B1411" s="0" t="n">
        <v>1</v>
      </c>
      <c r="C1411" s="0" t="str">
        <f aca="false">IF('Tech Leaders Kits'!C345="","",'Tech Leaders Kits'!C345)</f>
        <v>3D printer</v>
      </c>
      <c r="D1411" s="0" t="n">
        <f aca="false">IF('Tech Leaders Kits'!D345="","",'Tech Leaders Kits'!D345)</f>
        <v>1</v>
      </c>
      <c r="E1411" s="0" t="str">
        <f aca="false">IF('Tech Leaders Kits'!E345="","",'Tech Leaders Kits'!E345)</f>
        <v>Per class</v>
      </c>
      <c r="F1411" s="0" t="str">
        <f aca="false">IFERROR(INDEX('Session Tracker'!$M$5:$M$149,MATCH($A1411,'Session Tracker'!$D$5:$D$149,0))+0,"")</f>
        <v/>
      </c>
      <c r="G1411" s="0" t="str">
        <f aca="false">IF(ISNUMBER(F1411),IF(OR(B1411=0,B1411=99,C1411&lt;&gt;""),F1411*100+B1411,""),"")</f>
        <v/>
      </c>
      <c r="H1411" s="0" t="n">
        <f aca="false">IFERROR(INDEX('Session Tracker'!$J$5:$J$149,MATCH($A1411,'Session Tracker'!$D$5:$D$149,0)),0)</f>
        <v>8</v>
      </c>
      <c r="I1411" s="0" t="n">
        <f aca="false">IF(OR(B1411=0,B1411=99,C1411=""),"",IF(E1411="Per class",D1411,D1411*H1411))</f>
        <v>1</v>
      </c>
      <c r="N1411" s="0" t="str">
        <f aca="false">IF('Tech Leaders Kits'!B345="","",'Tech Leaders Kits'!B345)</f>
        <v>Computers &amp; Equipment</v>
      </c>
      <c r="O1411" s="0" t="str">
        <f aca="false">IF('Tech Leaders Kits'!F345="","",'Tech Leaders Kits'!F345)</f>
        <v>Reusable</v>
      </c>
      <c r="P1411" s="0" t="str">
        <f aca="false">IF('Tech Leaders Kits'!G345="","",'Tech Leaders Kits'!G345)</f>
        <v/>
      </c>
    </row>
    <row r="1412" customFormat="false" ht="15" hidden="false" customHeight="false" outlineLevel="0" collapsed="false">
      <c r="A1412" s="0" t="s">
        <v>346</v>
      </c>
      <c r="B1412" s="0" t="n">
        <v>2</v>
      </c>
      <c r="C1412" s="0" t="str">
        <f aca="false">IF('Tech Leaders Kits'!C346="","",'Tech Leaders Kits'!C346)</f>
        <v>PLA filament</v>
      </c>
      <c r="D1412" s="0" t="n">
        <f aca="false">IF('Tech Leaders Kits'!D346="","",'Tech Leaders Kits'!D346)</f>
        <v>1</v>
      </c>
      <c r="E1412" s="0" t="str">
        <f aca="false">IF('Tech Leaders Kits'!E346="","",'Tech Leaders Kits'!E346)</f>
        <v>Per class</v>
      </c>
      <c r="F1412" s="0" t="str">
        <f aca="false">IFERROR(INDEX('Session Tracker'!$M$5:$M$149,MATCH($A1412,'Session Tracker'!$D$5:$D$149,0))+0,"")</f>
        <v/>
      </c>
      <c r="G1412" s="0" t="str">
        <f aca="false">IF(ISNUMBER(F1412),IF(OR(B1412=0,B1412=99,C1412&lt;&gt;""),F1412*100+B1412,""),"")</f>
        <v/>
      </c>
      <c r="H1412" s="0" t="n">
        <f aca="false">IFERROR(INDEX('Session Tracker'!$J$5:$J$149,MATCH($A1412,'Session Tracker'!$D$5:$D$149,0)),0)</f>
        <v>8</v>
      </c>
      <c r="I1412" s="0" t="n">
        <f aca="false">IF(OR(B1412=0,B1412=99,C1412=""),"",IF(E1412="Per class",D1412,D1412*H1412))</f>
        <v>1</v>
      </c>
      <c r="N1412" s="0" t="str">
        <f aca="false">IF('Tech Leaders Kits'!B346="","",'Tech Leaders Kits'!B346)</f>
        <v>Computers &amp; Equipment</v>
      </c>
      <c r="O1412" s="0" t="str">
        <f aca="false">IF('Tech Leaders Kits'!F346="","",'Tech Leaders Kits'!F346)</f>
        <v>Consumable</v>
      </c>
      <c r="P1412" s="0" t="str">
        <f aca="false">IF('Tech Leaders Kits'!G346="","",'Tech Leaders Kits'!G346)</f>
        <v/>
      </c>
    </row>
    <row r="1413" customFormat="false" ht="15" hidden="false" customHeight="false" outlineLevel="0" collapsed="false">
      <c r="A1413" s="0" t="s">
        <v>346</v>
      </c>
      <c r="B1413" s="0" t="n">
        <v>3</v>
      </c>
      <c r="C1413" s="0" t="str">
        <f aca="false">IF('Tech Leaders Kits'!C347="","",'Tech Leaders Kits'!C347)</f>
        <v>DC hobby motor</v>
      </c>
      <c r="D1413" s="0" t="n">
        <f aca="false">IF('Tech Leaders Kits'!D347="","",'Tech Leaders Kits'!D347)</f>
        <v>1</v>
      </c>
      <c r="E1413" s="0" t="str">
        <f aca="false">IF('Tech Leaders Kits'!E347="","",'Tech Leaders Kits'!E347)</f>
        <v>Per group</v>
      </c>
      <c r="F1413" s="0" t="str">
        <f aca="false">IFERROR(INDEX('Session Tracker'!$M$5:$M$149,MATCH($A1413,'Session Tracker'!$D$5:$D$149,0))+0,"")</f>
        <v/>
      </c>
      <c r="G1413" s="0" t="str">
        <f aca="false">IF(ISNUMBER(F1413),IF(OR(B1413=0,B1413=99,C1413&lt;&gt;""),F1413*100+B1413,""),"")</f>
        <v/>
      </c>
      <c r="H1413" s="0" t="n">
        <f aca="false">IFERROR(INDEX('Session Tracker'!$J$5:$J$149,MATCH($A1413,'Session Tracker'!$D$5:$D$149,0)),0)</f>
        <v>8</v>
      </c>
      <c r="I1413" s="0" t="n">
        <f aca="false">IF(OR(B1413=0,B1413=99,C1413=""),"",IF(E1413="Per class",D1413,D1413*H1413))</f>
        <v>8</v>
      </c>
      <c r="N1413" s="0" t="str">
        <f aca="false">IF('Tech Leaders Kits'!B347="","",'Tech Leaders Kits'!B347)</f>
        <v>Actuators &amp; Motor Drivers</v>
      </c>
      <c r="O1413" s="0" t="str">
        <f aca="false">IF('Tech Leaders Kits'!F347="","",'Tech Leaders Kits'!F347)</f>
        <v>Reusable</v>
      </c>
      <c r="P1413" s="0" t="str">
        <f aca="false">IF('Tech Leaders Kits'!G347="","",'Tech Leaders Kits'!G347)</f>
        <v/>
      </c>
    </row>
    <row r="1414" customFormat="false" ht="15" hidden="false" customHeight="false" outlineLevel="0" collapsed="false">
      <c r="A1414" s="0" t="s">
        <v>346</v>
      </c>
      <c r="B1414" s="0" t="n">
        <v>4</v>
      </c>
      <c r="C1414" s="0" t="str">
        <f aca="false">IF('Tech Leaders Kits'!C348="","",'Tech Leaders Kits'!C348)</f>
        <v>4xAA battery pack</v>
      </c>
      <c r="D1414" s="0" t="n">
        <f aca="false">IF('Tech Leaders Kits'!D348="","",'Tech Leaders Kits'!D348)</f>
        <v>1</v>
      </c>
      <c r="E1414" s="0" t="str">
        <f aca="false">IF('Tech Leaders Kits'!E348="","",'Tech Leaders Kits'!E348)</f>
        <v>Per group</v>
      </c>
      <c r="F1414" s="0" t="str">
        <f aca="false">IFERROR(INDEX('Session Tracker'!$M$5:$M$149,MATCH($A1414,'Session Tracker'!$D$5:$D$149,0))+0,"")</f>
        <v/>
      </c>
      <c r="G1414" s="0" t="str">
        <f aca="false">IF(ISNUMBER(F1414),IF(OR(B1414=0,B1414=99,C1414&lt;&gt;""),F1414*100+B1414,""),"")</f>
        <v/>
      </c>
      <c r="H1414" s="0" t="n">
        <f aca="false">IFERROR(INDEX('Session Tracker'!$J$5:$J$149,MATCH($A1414,'Session Tracker'!$D$5:$D$149,0)),0)</f>
        <v>8</v>
      </c>
      <c r="I1414" s="0" t="n">
        <f aca="false">IF(OR(B1414=0,B1414=99,C1414=""),"",IF(E1414="Per class",D1414,D1414*H1414))</f>
        <v>8</v>
      </c>
      <c r="N1414" s="0" t="str">
        <f aca="false">IF('Tech Leaders Kits'!B348="","",'Tech Leaders Kits'!B348)</f>
        <v>Power</v>
      </c>
      <c r="O1414" s="0" t="str">
        <f aca="false">IF('Tech Leaders Kits'!F348="","",'Tech Leaders Kits'!F348)</f>
        <v>Consumable</v>
      </c>
      <c r="P1414" s="0" t="str">
        <f aca="false">IF('Tech Leaders Kits'!G348="","",'Tech Leaders Kits'!G348)</f>
        <v/>
      </c>
    </row>
    <row r="1415" customFormat="false" ht="15" hidden="false" customHeight="false" outlineLevel="0" collapsed="false">
      <c r="A1415" s="0" t="s">
        <v>346</v>
      </c>
      <c r="B1415" s="0" t="n">
        <v>5</v>
      </c>
      <c r="C1415" s="0" t="str">
        <f aca="false">IF('Tech Leaders Kits'!C349="","",'Tech Leaders Kits'!C349)</f>
        <v>Wooden skewers</v>
      </c>
      <c r="D1415" s="0" t="n">
        <f aca="false">IF('Tech Leaders Kits'!D349="","",'Tech Leaders Kits'!D349)</f>
        <v>2</v>
      </c>
      <c r="E1415" s="0" t="str">
        <f aca="false">IF('Tech Leaders Kits'!E349="","",'Tech Leaders Kits'!E349)</f>
        <v>Per group</v>
      </c>
      <c r="F1415" s="0" t="str">
        <f aca="false">IFERROR(INDEX('Session Tracker'!$M$5:$M$149,MATCH($A1415,'Session Tracker'!$D$5:$D$149,0))+0,"")</f>
        <v/>
      </c>
      <c r="G1415" s="0" t="str">
        <f aca="false">IF(ISNUMBER(F1415),IF(OR(B1415=0,B1415=99,C1415&lt;&gt;""),F1415*100+B1415,""),"")</f>
        <v/>
      </c>
      <c r="H1415" s="0" t="n">
        <f aca="false">IFERROR(INDEX('Session Tracker'!$J$5:$J$149,MATCH($A1415,'Session Tracker'!$D$5:$D$149,0)),0)</f>
        <v>8</v>
      </c>
      <c r="I1415" s="0" t="n">
        <f aca="false">IF(OR(B1415=0,B1415=99,C1415=""),"",IF(E1415="Per class",D1415,D1415*H1415))</f>
        <v>16</v>
      </c>
      <c r="N1415" s="0" t="str">
        <f aca="false">IF('Tech Leaders Kits'!B349="","",'Tech Leaders Kits'!B349)</f>
        <v>Craft &amp; Stationery</v>
      </c>
      <c r="O1415" s="0" t="str">
        <f aca="false">IF('Tech Leaders Kits'!F349="","",'Tech Leaders Kits'!F349)</f>
        <v>Consumable</v>
      </c>
      <c r="P1415" s="0" t="str">
        <f aca="false">IF('Tech Leaders Kits'!G349="","",'Tech Leaders Kits'!G349)</f>
        <v>Axles</v>
      </c>
    </row>
    <row r="1416" customFormat="false" ht="15" hidden="false" customHeight="false" outlineLevel="0" collapsed="false">
      <c r="A1416" s="0" t="s">
        <v>346</v>
      </c>
      <c r="B1416" s="0" t="n">
        <v>6</v>
      </c>
      <c r="C1416" s="0" t="str">
        <f aca="false">IF('Tech Leaders Kits'!C350="","",'Tech Leaders Kits'!C350)</f>
        <v/>
      </c>
      <c r="D1416" s="0" t="str">
        <f aca="false">IF('Tech Leaders Kits'!D350="","",'Tech Leaders Kits'!D350)</f>
        <v/>
      </c>
      <c r="E1416" s="0" t="str">
        <f aca="false">IF('Tech Leaders Kits'!E350="","",'Tech Leaders Kits'!E350)</f>
        <v/>
      </c>
      <c r="F1416" s="0" t="str">
        <f aca="false">IFERROR(INDEX('Session Tracker'!$M$5:$M$149,MATCH($A1416,'Session Tracker'!$D$5:$D$149,0))+0,"")</f>
        <v/>
      </c>
      <c r="G1416" s="0" t="str">
        <f aca="false">IF(ISNUMBER(F1416),IF(OR(B1416=0,B1416=99,C1416&lt;&gt;""),F1416*100+B1416,""),"")</f>
        <v/>
      </c>
      <c r="H1416" s="0" t="n">
        <f aca="false">IFERROR(INDEX('Session Tracker'!$J$5:$J$149,MATCH($A1416,'Session Tracker'!$D$5:$D$149,0)),0)</f>
        <v>8</v>
      </c>
      <c r="I1416" s="0" t="str">
        <f aca="false">IF(OR(B1416=0,B1416=99,C1416=""),"",IF(E1416="Per class",D1416,D1416*H1416))</f>
        <v/>
      </c>
      <c r="N1416" s="0" t="str">
        <f aca="false">IF('Tech Leaders Kits'!B350="","",'Tech Leaders Kits'!B350)</f>
        <v/>
      </c>
      <c r="O1416" s="0" t="str">
        <f aca="false">IF('Tech Leaders Kits'!F350="","",'Tech Leaders Kits'!F350)</f>
        <v/>
      </c>
      <c r="P1416" s="0" t="str">
        <f aca="false">IF('Tech Leaders Kits'!G350="","",'Tech Leaders Kits'!G350)</f>
        <v/>
      </c>
    </row>
    <row r="1417" customFormat="false" ht="15" hidden="false" customHeight="false" outlineLevel="0" collapsed="false">
      <c r="A1417" s="0" t="s">
        <v>346</v>
      </c>
      <c r="B1417" s="0" t="n">
        <v>7</v>
      </c>
      <c r="C1417" s="0" t="str">
        <f aca="false">IF('Tech Leaders Kits'!C351="","",'Tech Leaders Kits'!C351)</f>
        <v/>
      </c>
      <c r="D1417" s="0" t="str">
        <f aca="false">IF('Tech Leaders Kits'!D351="","",'Tech Leaders Kits'!D351)</f>
        <v/>
      </c>
      <c r="E1417" s="0" t="str">
        <f aca="false">IF('Tech Leaders Kits'!E351="","",'Tech Leaders Kits'!E351)</f>
        <v/>
      </c>
      <c r="F1417" s="0" t="str">
        <f aca="false">IFERROR(INDEX('Session Tracker'!$M$5:$M$149,MATCH($A1417,'Session Tracker'!$D$5:$D$149,0))+0,"")</f>
        <v/>
      </c>
      <c r="G1417" s="0" t="str">
        <f aca="false">IF(ISNUMBER(F1417),IF(OR(B1417=0,B1417=99,C1417&lt;&gt;""),F1417*100+B1417,""),"")</f>
        <v/>
      </c>
      <c r="H1417" s="0" t="n">
        <f aca="false">IFERROR(INDEX('Session Tracker'!$J$5:$J$149,MATCH($A1417,'Session Tracker'!$D$5:$D$149,0)),0)</f>
        <v>8</v>
      </c>
      <c r="I1417" s="0" t="str">
        <f aca="false">IF(OR(B1417=0,B1417=99,C1417=""),"",IF(E1417="Per class",D1417,D1417*H1417))</f>
        <v/>
      </c>
      <c r="N1417" s="0" t="str">
        <f aca="false">IF('Tech Leaders Kits'!B351="","",'Tech Leaders Kits'!B351)</f>
        <v/>
      </c>
      <c r="O1417" s="0" t="str">
        <f aca="false">IF('Tech Leaders Kits'!F351="","",'Tech Leaders Kits'!F351)</f>
        <v/>
      </c>
      <c r="P1417" s="0" t="str">
        <f aca="false">IF('Tech Leaders Kits'!G351="","",'Tech Leaders Kits'!G351)</f>
        <v/>
      </c>
    </row>
    <row r="1418" customFormat="false" ht="15" hidden="false" customHeight="false" outlineLevel="0" collapsed="false">
      <c r="A1418" s="0" t="s">
        <v>348</v>
      </c>
      <c r="B1418" s="0" t="n">
        <v>0</v>
      </c>
      <c r="F1418" s="0" t="str">
        <f aca="false">IFERROR(INDEX('Session Tracker'!$M$5:$M$149,MATCH($A1418,'Session Tracker'!$D$5:$D$149,0))+0,"")</f>
        <v/>
      </c>
      <c r="G1418" s="0" t="str">
        <f aca="false">IF(ISNUMBER(F1418),IF(OR(B1418=0,B1418=99,C1418&lt;&gt;""),F1418*100+B1418,""),"")</f>
        <v/>
      </c>
      <c r="H1418" s="0" t="n">
        <f aca="false">IFERROR(INDEX('Session Tracker'!$J$5:$J$149,MATCH($A1418,'Session Tracker'!$D$5:$D$149,0)),0)</f>
        <v>8</v>
      </c>
      <c r="I1418" s="0" t="str">
        <f aca="false">IF(OR(B1418=0,B1418=99,C1418=""),"",IF(E1418="Per class",D1418,D1418*H1418))</f>
        <v/>
      </c>
      <c r="K1418" s="0" t="str">
        <f aca="false">IFERROR(INDEX('Session Tracker'!$E$5:$E$149,MATCH($A1418,'Session Tracker'!$D$5:$D$149,0)),"")</f>
        <v>Smart Cane for the Visually Impaired</v>
      </c>
      <c r="L1418" s="0" t="str">
        <f aca="false">IFERROR(INDEX('Session Tracker'!$A$5:$A$149,MATCH($A1418,'Session Tracker'!$D$5:$D$149,0)),"")</f>
        <v>Tech Leaders (15-17)</v>
      </c>
      <c r="M1418" s="0" t="str">
        <f aca="false">IFERROR(INDEX('Session Tracker'!$H$5:$H$149,MATCH($A1418,'Session Tracker'!$D$5:$D$149,0))&amp;"","")</f>
        <v/>
      </c>
      <c r="Q1418" s="0" t="str">
        <f aca="false">IFERROR("Status: "&amp;INDEX('Session Tracker'!$F$5:$F$149,MATCH($A1418,'Session Tracker'!$D$5:$D$149,0))&amp;IF(INDEX('Session Tracker'!$G$5:$G$149,MATCH($A1418,'Session Tracker'!$D$5:$D$149,0))&lt;&gt;""," ("&amp;INDEX('Session Tracker'!$G$5:$G$149,MATCH($A1418,'Session Tracker'!$D$5:$D$149,0))&amp;")","")&amp;IF(M1418&lt;&gt;"","  "&amp;M1418,""),"")</f>
        <v>Status: Not started</v>
      </c>
    </row>
    <row r="1419" customFormat="false" ht="15" hidden="false" customHeight="false" outlineLevel="0" collapsed="false">
      <c r="A1419" s="0" t="s">
        <v>348</v>
      </c>
      <c r="B1419" s="0" t="n">
        <v>1</v>
      </c>
      <c r="C1419" s="0" t="str">
        <f aca="false">IF('Tech Leaders Kits'!C354="","",'Tech Leaders Kits'!C354)</f>
        <v>Arduino Uno + USB cable</v>
      </c>
      <c r="D1419" s="0" t="n">
        <f aca="false">IF('Tech Leaders Kits'!D354="","",'Tech Leaders Kits'!D354)</f>
        <v>1</v>
      </c>
      <c r="E1419" s="0" t="str">
        <f aca="false">IF('Tech Leaders Kits'!E354="","",'Tech Leaders Kits'!E354)</f>
        <v>Per group</v>
      </c>
      <c r="F1419" s="0" t="str">
        <f aca="false">IFERROR(INDEX('Session Tracker'!$M$5:$M$149,MATCH($A1419,'Session Tracker'!$D$5:$D$149,0))+0,"")</f>
        <v/>
      </c>
      <c r="G1419" s="0" t="str">
        <f aca="false">IF(ISNUMBER(F1419),IF(OR(B1419=0,B1419=99,C1419&lt;&gt;""),F1419*100+B1419,""),"")</f>
        <v/>
      </c>
      <c r="H1419" s="0" t="n">
        <f aca="false">IFERROR(INDEX('Session Tracker'!$J$5:$J$149,MATCH($A1419,'Session Tracker'!$D$5:$D$149,0)),0)</f>
        <v>8</v>
      </c>
      <c r="I1419" s="0" t="n">
        <f aca="false">IF(OR(B1419=0,B1419=99,C1419=""),"",IF(E1419="Per class",D1419,D1419*H1419))</f>
        <v>8</v>
      </c>
      <c r="N1419" s="0" t="str">
        <f aca="false">IF('Tech Leaders Kits'!B354="","",'Tech Leaders Kits'!B354)</f>
        <v>Microcontrollers &amp; Dev Boards</v>
      </c>
      <c r="O1419" s="0" t="str">
        <f aca="false">IF('Tech Leaders Kits'!F354="","",'Tech Leaders Kits'!F354)</f>
        <v>Reusable</v>
      </c>
      <c r="P1419" s="0" t="str">
        <f aca="false">IF('Tech Leaders Kits'!G354="","",'Tech Leaders Kits'!G354)</f>
        <v/>
      </c>
    </row>
    <row r="1420" customFormat="false" ht="15" hidden="false" customHeight="false" outlineLevel="0" collapsed="false">
      <c r="A1420" s="0" t="s">
        <v>348</v>
      </c>
      <c r="B1420" s="0" t="n">
        <v>2</v>
      </c>
      <c r="C1420" s="0" t="str">
        <f aca="false">IF('Tech Leaders Kits'!C355="","",'Tech Leaders Kits'!C355)</f>
        <v>Ultrasonic sensor HC-SR04</v>
      </c>
      <c r="D1420" s="0" t="n">
        <f aca="false">IF('Tech Leaders Kits'!D355="","",'Tech Leaders Kits'!D355)</f>
        <v>2</v>
      </c>
      <c r="E1420" s="0" t="str">
        <f aca="false">IF('Tech Leaders Kits'!E355="","",'Tech Leaders Kits'!E355)</f>
        <v>Per group</v>
      </c>
      <c r="F1420" s="0" t="str">
        <f aca="false">IFERROR(INDEX('Session Tracker'!$M$5:$M$149,MATCH($A1420,'Session Tracker'!$D$5:$D$149,0))+0,"")</f>
        <v/>
      </c>
      <c r="G1420" s="0" t="str">
        <f aca="false">IF(ISNUMBER(F1420),IF(OR(B1420=0,B1420=99,C1420&lt;&gt;""),F1420*100+B1420,""),"")</f>
        <v/>
      </c>
      <c r="H1420" s="0" t="n">
        <f aca="false">IFERROR(INDEX('Session Tracker'!$J$5:$J$149,MATCH($A1420,'Session Tracker'!$D$5:$D$149,0)),0)</f>
        <v>8</v>
      </c>
      <c r="I1420" s="0" t="n">
        <f aca="false">IF(OR(B1420=0,B1420=99,C1420=""),"",IF(E1420="Per class",D1420,D1420*H1420))</f>
        <v>16</v>
      </c>
      <c r="N1420" s="0" t="str">
        <f aca="false">IF('Tech Leaders Kits'!B355="","",'Tech Leaders Kits'!B355)</f>
        <v>Sensors</v>
      </c>
      <c r="O1420" s="0" t="str">
        <f aca="false">IF('Tech Leaders Kits'!F355="","",'Tech Leaders Kits'!F355)</f>
        <v>Reusable</v>
      </c>
      <c r="P1420" s="0" t="str">
        <f aca="false">IF('Tech Leaders Kits'!G355="","",'Tech Leaders Kits'!G355)</f>
        <v/>
      </c>
    </row>
    <row r="1421" customFormat="false" ht="15" hidden="false" customHeight="false" outlineLevel="0" collapsed="false">
      <c r="A1421" s="0" t="s">
        <v>348</v>
      </c>
      <c r="B1421" s="0" t="n">
        <v>3</v>
      </c>
      <c r="C1421" s="0" t="str">
        <f aca="false">IF('Tech Leaders Kits'!C356="","",'Tech Leaders Kits'!C356)</f>
        <v>Vibration motor module</v>
      </c>
      <c r="D1421" s="0" t="n">
        <f aca="false">IF('Tech Leaders Kits'!D356="","",'Tech Leaders Kits'!D356)</f>
        <v>1</v>
      </c>
      <c r="E1421" s="0" t="str">
        <f aca="false">IF('Tech Leaders Kits'!E356="","",'Tech Leaders Kits'!E356)</f>
        <v>Per group</v>
      </c>
      <c r="F1421" s="0" t="str">
        <f aca="false">IFERROR(INDEX('Session Tracker'!$M$5:$M$149,MATCH($A1421,'Session Tracker'!$D$5:$D$149,0))+0,"")</f>
        <v/>
      </c>
      <c r="G1421" s="0" t="str">
        <f aca="false">IF(ISNUMBER(F1421),IF(OR(B1421=0,B1421=99,C1421&lt;&gt;""),F1421*100+B1421,""),"")</f>
        <v/>
      </c>
      <c r="H1421" s="0" t="n">
        <f aca="false">IFERROR(INDEX('Session Tracker'!$J$5:$J$149,MATCH($A1421,'Session Tracker'!$D$5:$D$149,0)),0)</f>
        <v>8</v>
      </c>
      <c r="I1421" s="0" t="n">
        <f aca="false">IF(OR(B1421=0,B1421=99,C1421=""),"",IF(E1421="Per class",D1421,D1421*H1421))</f>
        <v>8</v>
      </c>
      <c r="N1421" s="0" t="str">
        <f aca="false">IF('Tech Leaders Kits'!B356="","",'Tech Leaders Kits'!B356)</f>
        <v>Actuators &amp; Motor Drivers</v>
      </c>
      <c r="O1421" s="0" t="str">
        <f aca="false">IF('Tech Leaders Kits'!F356="","",'Tech Leaders Kits'!F356)</f>
        <v>Reusable</v>
      </c>
      <c r="P1421" s="0" t="str">
        <f aca="false">IF('Tech Leaders Kits'!G356="","",'Tech Leaders Kits'!G356)</f>
        <v/>
      </c>
    </row>
    <row r="1422" customFormat="false" ht="15" hidden="false" customHeight="false" outlineLevel="0" collapsed="false">
      <c r="A1422" s="0" t="s">
        <v>348</v>
      </c>
      <c r="B1422" s="0" t="n">
        <v>4</v>
      </c>
      <c r="C1422" s="0" t="str">
        <f aca="false">IF('Tech Leaders Kits'!C357="","",'Tech Leaders Kits'!C357)</f>
        <v>Buzzer</v>
      </c>
      <c r="D1422" s="0" t="n">
        <f aca="false">IF('Tech Leaders Kits'!D357="","",'Tech Leaders Kits'!D357)</f>
        <v>1</v>
      </c>
      <c r="E1422" s="0" t="str">
        <f aca="false">IF('Tech Leaders Kits'!E357="","",'Tech Leaders Kits'!E357)</f>
        <v>Per group</v>
      </c>
      <c r="F1422" s="0" t="str">
        <f aca="false">IFERROR(INDEX('Session Tracker'!$M$5:$M$149,MATCH($A1422,'Session Tracker'!$D$5:$D$149,0))+0,"")</f>
        <v/>
      </c>
      <c r="G1422" s="0" t="str">
        <f aca="false">IF(ISNUMBER(F1422),IF(OR(B1422=0,B1422=99,C1422&lt;&gt;""),F1422*100+B1422,""),"")</f>
        <v/>
      </c>
      <c r="H1422" s="0" t="n">
        <f aca="false">IFERROR(INDEX('Session Tracker'!$J$5:$J$149,MATCH($A1422,'Session Tracker'!$D$5:$D$149,0)),0)</f>
        <v>8</v>
      </c>
      <c r="I1422" s="0" t="n">
        <f aca="false">IF(OR(B1422=0,B1422=99,C1422=""),"",IF(E1422="Per class",D1422,D1422*H1422))</f>
        <v>8</v>
      </c>
      <c r="N1422" s="0" t="str">
        <f aca="false">IF('Tech Leaders Kits'!B357="","",'Tech Leaders Kits'!B357)</f>
        <v>Actuators &amp; Motor Drivers</v>
      </c>
      <c r="O1422" s="0" t="str">
        <f aca="false">IF('Tech Leaders Kits'!F357="","",'Tech Leaders Kits'!F357)</f>
        <v>Reusable</v>
      </c>
      <c r="P1422" s="0" t="str">
        <f aca="false">IF('Tech Leaders Kits'!G357="","",'Tech Leaders Kits'!G357)</f>
        <v/>
      </c>
    </row>
    <row r="1423" customFormat="false" ht="15" hidden="false" customHeight="false" outlineLevel="0" collapsed="false">
      <c r="A1423" s="0" t="s">
        <v>348</v>
      </c>
      <c r="B1423" s="0" t="n">
        <v>5</v>
      </c>
      <c r="C1423" s="0" t="str">
        <f aca="false">IF('Tech Leaders Kits'!C358="","",'Tech Leaders Kits'!C358)</f>
        <v>4xAA battery pack</v>
      </c>
      <c r="D1423" s="0" t="n">
        <f aca="false">IF('Tech Leaders Kits'!D358="","",'Tech Leaders Kits'!D358)</f>
        <v>1</v>
      </c>
      <c r="E1423" s="0" t="str">
        <f aca="false">IF('Tech Leaders Kits'!E358="","",'Tech Leaders Kits'!E358)</f>
        <v>Per group</v>
      </c>
      <c r="F1423" s="0" t="str">
        <f aca="false">IFERROR(INDEX('Session Tracker'!$M$5:$M$149,MATCH($A1423,'Session Tracker'!$D$5:$D$149,0))+0,"")</f>
        <v/>
      </c>
      <c r="G1423" s="0" t="str">
        <f aca="false">IF(ISNUMBER(F1423),IF(OR(B1423=0,B1423=99,C1423&lt;&gt;""),F1423*100+B1423,""),"")</f>
        <v/>
      </c>
      <c r="H1423" s="0" t="n">
        <f aca="false">IFERROR(INDEX('Session Tracker'!$J$5:$J$149,MATCH($A1423,'Session Tracker'!$D$5:$D$149,0)),0)</f>
        <v>8</v>
      </c>
      <c r="I1423" s="0" t="n">
        <f aca="false">IF(OR(B1423=0,B1423=99,C1423=""),"",IF(E1423="Per class",D1423,D1423*H1423))</f>
        <v>8</v>
      </c>
      <c r="N1423" s="0" t="str">
        <f aca="false">IF('Tech Leaders Kits'!B358="","",'Tech Leaders Kits'!B358)</f>
        <v>Power</v>
      </c>
      <c r="O1423" s="0" t="str">
        <f aca="false">IF('Tech Leaders Kits'!F358="","",'Tech Leaders Kits'!F358)</f>
        <v>Consumable</v>
      </c>
      <c r="P1423" s="0" t="str">
        <f aca="false">IF('Tech Leaders Kits'!G358="","",'Tech Leaders Kits'!G358)</f>
        <v/>
      </c>
    </row>
    <row r="1424" customFormat="false" ht="15" hidden="false" customHeight="false" outlineLevel="0" collapsed="false">
      <c r="A1424" s="0" t="s">
        <v>348</v>
      </c>
      <c r="B1424" s="0" t="n">
        <v>6</v>
      </c>
      <c r="C1424" s="0" t="str">
        <f aca="false">IF('Tech Leaders Kits'!C359="","",'Tech Leaders Kits'!C359)</f>
        <v>Jumper wires M-F</v>
      </c>
      <c r="D1424" s="0" t="n">
        <f aca="false">IF('Tech Leaders Kits'!D359="","",'Tech Leaders Kits'!D359)</f>
        <v>12</v>
      </c>
      <c r="E1424" s="0" t="str">
        <f aca="false">IF('Tech Leaders Kits'!E359="","",'Tech Leaders Kits'!E359)</f>
        <v>Per group</v>
      </c>
      <c r="F1424" s="0" t="str">
        <f aca="false">IFERROR(INDEX('Session Tracker'!$M$5:$M$149,MATCH($A1424,'Session Tracker'!$D$5:$D$149,0))+0,"")</f>
        <v/>
      </c>
      <c r="G1424" s="0" t="str">
        <f aca="false">IF(ISNUMBER(F1424),IF(OR(B1424=0,B1424=99,C1424&lt;&gt;""),F1424*100+B1424,""),"")</f>
        <v/>
      </c>
      <c r="H1424" s="0" t="n">
        <f aca="false">IFERROR(INDEX('Session Tracker'!$J$5:$J$149,MATCH($A1424,'Session Tracker'!$D$5:$D$149,0)),0)</f>
        <v>8</v>
      </c>
      <c r="I1424" s="0" t="n">
        <f aca="false">IF(OR(B1424=0,B1424=99,C1424=""),"",IF(E1424="Per class",D1424,D1424*H1424))</f>
        <v>96</v>
      </c>
      <c r="N1424" s="0" t="str">
        <f aca="false">IF('Tech Leaders Kits'!B359="","",'Tech Leaders Kits'!B359)</f>
        <v>Wiring &amp; Prototyping</v>
      </c>
      <c r="O1424" s="0" t="str">
        <f aca="false">IF('Tech Leaders Kits'!F359="","",'Tech Leaders Kits'!F359)</f>
        <v>Reusable</v>
      </c>
      <c r="P1424" s="0" t="str">
        <f aca="false">IF('Tech Leaders Kits'!G359="","",'Tech Leaders Kits'!G359)</f>
        <v/>
      </c>
    </row>
    <row r="1425" customFormat="false" ht="15" hidden="false" customHeight="false" outlineLevel="0" collapsed="false">
      <c r="A1425" s="0" t="s">
        <v>348</v>
      </c>
      <c r="B1425" s="0" t="n">
        <v>7</v>
      </c>
      <c r="C1425" s="0" t="str">
        <f aca="false">IF('Tech Leaders Kits'!C360="","",'Tech Leaders Kits'!C360)</f>
        <v>Laptop</v>
      </c>
      <c r="D1425" s="0" t="n">
        <f aca="false">IF('Tech Leaders Kits'!D360="","",'Tech Leaders Kits'!D360)</f>
        <v>1</v>
      </c>
      <c r="E1425" s="0" t="str">
        <f aca="false">IF('Tech Leaders Kits'!E360="","",'Tech Leaders Kits'!E360)</f>
        <v>Per group</v>
      </c>
      <c r="F1425" s="0" t="str">
        <f aca="false">IFERROR(INDEX('Session Tracker'!$M$5:$M$149,MATCH($A1425,'Session Tracker'!$D$5:$D$149,0))+0,"")</f>
        <v/>
      </c>
      <c r="G1425" s="0" t="str">
        <f aca="false">IF(ISNUMBER(F1425),IF(OR(B1425=0,B1425=99,C1425&lt;&gt;""),F1425*100+B1425,""),"")</f>
        <v/>
      </c>
      <c r="H1425" s="0" t="n">
        <f aca="false">IFERROR(INDEX('Session Tracker'!$J$5:$J$149,MATCH($A1425,'Session Tracker'!$D$5:$D$149,0)),0)</f>
        <v>8</v>
      </c>
      <c r="I1425" s="0" t="n">
        <f aca="false">IF(OR(B1425=0,B1425=99,C1425=""),"",IF(E1425="Per class",D1425,D1425*H1425))</f>
        <v>8</v>
      </c>
      <c r="N1425" s="0" t="str">
        <f aca="false">IF('Tech Leaders Kits'!B360="","",'Tech Leaders Kits'!B360)</f>
        <v>Computers &amp; Equipment</v>
      </c>
      <c r="O1425" s="0" t="str">
        <f aca="false">IF('Tech Leaders Kits'!F360="","",'Tech Leaders Kits'!F360)</f>
        <v>Reusable</v>
      </c>
      <c r="P1425" s="0" t="str">
        <f aca="false">IF('Tech Leaders Kits'!G360="","",'Tech Leaders Kits'!G360)</f>
        <v/>
      </c>
    </row>
    <row r="1426" customFormat="false" ht="15" hidden="false" customHeight="false" outlineLevel="0" collapsed="false">
      <c r="A1426" s="0" t="s">
        <v>348</v>
      </c>
      <c r="B1426" s="0" t="n">
        <v>8</v>
      </c>
      <c r="C1426" s="0" t="str">
        <f aca="false">IF('Tech Leaders Kits'!C361="","",'Tech Leaders Kits'!C361)</f>
        <v>LED 5 mm (assorted)</v>
      </c>
      <c r="D1426" s="0" t="n">
        <f aca="false">IF('Tech Leaders Kits'!D361="","",'Tech Leaders Kits'!D361)</f>
        <v>1</v>
      </c>
      <c r="E1426" s="0" t="str">
        <f aca="false">IF('Tech Leaders Kits'!E361="","",'Tech Leaders Kits'!E361)</f>
        <v>Per group</v>
      </c>
      <c r="F1426" s="0" t="str">
        <f aca="false">IFERROR(INDEX('Session Tracker'!$M$5:$M$149,MATCH($A1426,'Session Tracker'!$D$5:$D$149,0))+0,"")</f>
        <v/>
      </c>
      <c r="G1426" s="0" t="str">
        <f aca="false">IF(ISNUMBER(F1426),IF(OR(B1426=0,B1426=99,C1426&lt;&gt;""),F1426*100+B1426,""),"")</f>
        <v/>
      </c>
      <c r="H1426" s="0" t="n">
        <f aca="false">IFERROR(INDEX('Session Tracker'!$J$5:$J$149,MATCH($A1426,'Session Tracker'!$D$5:$D$149,0)),0)</f>
        <v>8</v>
      </c>
      <c r="I1426" s="0" t="n">
        <f aca="false">IF(OR(B1426=0,B1426=99,C1426=""),"",IF(E1426="Per class",D1426,D1426*H1426))</f>
        <v>8</v>
      </c>
      <c r="N1426" s="0" t="str">
        <f aca="false">IF('Tech Leaders Kits'!B361="","",'Tech Leaders Kits'!B361)</f>
        <v>Displays &amp; Output</v>
      </c>
      <c r="O1426" s="0" t="str">
        <f aca="false">IF('Tech Leaders Kits'!F361="","",'Tech Leaders Kits'!F361)</f>
        <v>Consumable</v>
      </c>
      <c r="P1426" s="0" t="str">
        <f aca="false">IF('Tech Leaders Kits'!G361="","",'Tech Leaders Kits'!G361)</f>
        <v>Added: every Arduino class</v>
      </c>
    </row>
    <row r="1427" customFormat="false" ht="15" hidden="false" customHeight="false" outlineLevel="0" collapsed="false">
      <c r="A1427" s="0" t="s">
        <v>348</v>
      </c>
      <c r="B1427" s="0" t="n">
        <v>9</v>
      </c>
      <c r="C1427" s="0" t="str">
        <f aca="false">IF('Tech Leaders Kits'!C362="","",'Tech Leaders Kits'!C362)</f>
        <v>Resistor 220 ohm</v>
      </c>
      <c r="D1427" s="0" t="n">
        <f aca="false">IF('Tech Leaders Kits'!D362="","",'Tech Leaders Kits'!D362)</f>
        <v>1</v>
      </c>
      <c r="E1427" s="0" t="str">
        <f aca="false">IF('Tech Leaders Kits'!E362="","",'Tech Leaders Kits'!E362)</f>
        <v>Per group</v>
      </c>
      <c r="F1427" s="0" t="str">
        <f aca="false">IFERROR(INDEX('Session Tracker'!$M$5:$M$149,MATCH($A1427,'Session Tracker'!$D$5:$D$149,0))+0,"")</f>
        <v/>
      </c>
      <c r="G1427" s="0" t="str">
        <f aca="false">IF(ISNUMBER(F1427),IF(OR(B1427=0,B1427=99,C1427&lt;&gt;""),F1427*100+B1427,""),"")</f>
        <v/>
      </c>
      <c r="H1427" s="0" t="n">
        <f aca="false">IFERROR(INDEX('Session Tracker'!$J$5:$J$149,MATCH($A1427,'Session Tracker'!$D$5:$D$149,0)),0)</f>
        <v>8</v>
      </c>
      <c r="I1427" s="0" t="n">
        <f aca="false">IF(OR(B1427=0,B1427=99,C1427=""),"",IF(E1427="Per class",D1427,D1427*H1427))</f>
        <v>8</v>
      </c>
      <c r="N1427" s="0" t="str">
        <f aca="false">IF('Tech Leaders Kits'!B362="","",'Tech Leaders Kits'!B362)</f>
        <v>Passive Components &amp; ICs</v>
      </c>
      <c r="O1427" s="0" t="str">
        <f aca="false">IF('Tech Leaders Kits'!F362="","",'Tech Leaders Kits'!F362)</f>
        <v>Consumable</v>
      </c>
      <c r="P1427" s="0" t="str">
        <f aca="false">IF('Tech Leaders Kits'!G362="","",'Tech Leaders Kits'!G362)</f>
        <v>Added: for the LED</v>
      </c>
    </row>
    <row r="1428" customFormat="false" ht="15" hidden="false" customHeight="false" outlineLevel="0" collapsed="false">
      <c r="A1428" s="0" t="s">
        <v>348</v>
      </c>
      <c r="B1428" s="0" t="n">
        <v>10</v>
      </c>
      <c r="C1428" s="0" t="str">
        <f aca="false">IF('Tech Leaders Kits'!C363="","",'Tech Leaders Kits'!C363)</f>
        <v/>
      </c>
      <c r="D1428" s="0" t="str">
        <f aca="false">IF('Tech Leaders Kits'!D363="","",'Tech Leaders Kits'!D363)</f>
        <v/>
      </c>
      <c r="E1428" s="0" t="str">
        <f aca="false">IF('Tech Leaders Kits'!E363="","",'Tech Leaders Kits'!E363)</f>
        <v/>
      </c>
      <c r="F1428" s="0" t="str">
        <f aca="false">IFERROR(INDEX('Session Tracker'!$M$5:$M$149,MATCH($A1428,'Session Tracker'!$D$5:$D$149,0))+0,"")</f>
        <v/>
      </c>
      <c r="G1428" s="0" t="str">
        <f aca="false">IF(ISNUMBER(F1428),IF(OR(B1428=0,B1428=99,C1428&lt;&gt;""),F1428*100+B1428,""),"")</f>
        <v/>
      </c>
      <c r="H1428" s="0" t="n">
        <f aca="false">IFERROR(INDEX('Session Tracker'!$J$5:$J$149,MATCH($A1428,'Session Tracker'!$D$5:$D$149,0)),0)</f>
        <v>8</v>
      </c>
      <c r="I1428" s="0" t="str">
        <f aca="false">IF(OR(B1428=0,B1428=99,C1428=""),"",IF(E1428="Per class",D1428,D1428*H1428))</f>
        <v/>
      </c>
      <c r="N1428" s="0" t="str">
        <f aca="false">IF('Tech Leaders Kits'!B363="","",'Tech Leaders Kits'!B363)</f>
        <v/>
      </c>
      <c r="O1428" s="0" t="str">
        <f aca="false">IF('Tech Leaders Kits'!F363="","",'Tech Leaders Kits'!F363)</f>
        <v/>
      </c>
      <c r="P1428" s="0" t="str">
        <f aca="false">IF('Tech Leaders Kits'!G363="","",'Tech Leaders Kits'!G363)</f>
        <v/>
      </c>
    </row>
    <row r="1429" customFormat="false" ht="15" hidden="false" customHeight="false" outlineLevel="0" collapsed="false">
      <c r="A1429" s="0" t="s">
        <v>348</v>
      </c>
      <c r="B1429" s="0" t="n">
        <v>11</v>
      </c>
      <c r="C1429" s="0" t="str">
        <f aca="false">IF('Tech Leaders Kits'!C364="","",'Tech Leaders Kits'!C364)</f>
        <v/>
      </c>
      <c r="D1429" s="0" t="str">
        <f aca="false">IF('Tech Leaders Kits'!D364="","",'Tech Leaders Kits'!D364)</f>
        <v/>
      </c>
      <c r="E1429" s="0" t="str">
        <f aca="false">IF('Tech Leaders Kits'!E364="","",'Tech Leaders Kits'!E364)</f>
        <v/>
      </c>
      <c r="F1429" s="0" t="str">
        <f aca="false">IFERROR(INDEX('Session Tracker'!$M$5:$M$149,MATCH($A1429,'Session Tracker'!$D$5:$D$149,0))+0,"")</f>
        <v/>
      </c>
      <c r="G1429" s="0" t="str">
        <f aca="false">IF(ISNUMBER(F1429),IF(OR(B1429=0,B1429=99,C1429&lt;&gt;""),F1429*100+B1429,""),"")</f>
        <v/>
      </c>
      <c r="H1429" s="0" t="n">
        <f aca="false">IFERROR(INDEX('Session Tracker'!$J$5:$J$149,MATCH($A1429,'Session Tracker'!$D$5:$D$149,0)),0)</f>
        <v>8</v>
      </c>
      <c r="I1429" s="0" t="str">
        <f aca="false">IF(OR(B1429=0,B1429=99,C1429=""),"",IF(E1429="Per class",D1429,D1429*H1429))</f>
        <v/>
      </c>
      <c r="N1429" s="0" t="str">
        <f aca="false">IF('Tech Leaders Kits'!B364="","",'Tech Leaders Kits'!B364)</f>
        <v/>
      </c>
      <c r="O1429" s="0" t="str">
        <f aca="false">IF('Tech Leaders Kits'!F364="","",'Tech Leaders Kits'!F364)</f>
        <v/>
      </c>
      <c r="P1429" s="0" t="str">
        <f aca="false">IF('Tech Leaders Kits'!G364="","",'Tech Leaders Kits'!G364)</f>
        <v/>
      </c>
    </row>
    <row r="1430" customFormat="false" ht="15" hidden="false" customHeight="false" outlineLevel="0" collapsed="false">
      <c r="A1430" s="0" t="s">
        <v>350</v>
      </c>
      <c r="B1430" s="0" t="n">
        <v>0</v>
      </c>
      <c r="F1430" s="0" t="str">
        <f aca="false">IFERROR(INDEX('Session Tracker'!$M$5:$M$149,MATCH($A1430,'Session Tracker'!$D$5:$D$149,0))+0,"")</f>
        <v/>
      </c>
      <c r="G1430" s="0" t="str">
        <f aca="false">IF(ISNUMBER(F1430),IF(OR(B1430=0,B1430=99,C1430&lt;&gt;""),F1430*100+B1430,""),"")</f>
        <v/>
      </c>
      <c r="H1430" s="0" t="n">
        <f aca="false">IFERROR(INDEX('Session Tracker'!$J$5:$J$149,MATCH($A1430,'Session Tracker'!$D$5:$D$149,0)),0)</f>
        <v>8</v>
      </c>
      <c r="I1430" s="0" t="str">
        <f aca="false">IF(OR(B1430=0,B1430=99,C1430=""),"",IF(E1430="Per class",D1430,D1430*H1430))</f>
        <v/>
      </c>
      <c r="K1430" s="0" t="str">
        <f aca="false">IFERROR(INDEX('Session Tracker'!$E$5:$E$149,MATCH($A1430,'Session Tracker'!$D$5:$D$149,0)),"")</f>
        <v>Air Quality Data Science for Pakistan</v>
      </c>
      <c r="L1430" s="0" t="str">
        <f aca="false">IFERROR(INDEX('Session Tracker'!$A$5:$A$149,MATCH($A1430,'Session Tracker'!$D$5:$D$149,0)),"")</f>
        <v>Tech Leaders (15-17)</v>
      </c>
      <c r="M1430" s="0" t="str">
        <f aca="false">IFERROR(INDEX('Session Tracker'!$H$5:$H$149,MATCH($A1430,'Session Tracker'!$D$5:$D$149,0))&amp;"","")</f>
        <v/>
      </c>
      <c r="Q1430" s="0" t="str">
        <f aca="false">IFERROR("Status: "&amp;INDEX('Session Tracker'!$F$5:$F$149,MATCH($A1430,'Session Tracker'!$D$5:$D$149,0))&amp;IF(INDEX('Session Tracker'!$G$5:$G$149,MATCH($A1430,'Session Tracker'!$D$5:$D$149,0))&lt;&gt;""," ("&amp;INDEX('Session Tracker'!$G$5:$G$149,MATCH($A1430,'Session Tracker'!$D$5:$D$149,0))&amp;")","")&amp;IF(M1430&lt;&gt;"","  "&amp;M1430,""),"")</f>
        <v>Status: Not started</v>
      </c>
    </row>
    <row r="1431" customFormat="false" ht="15" hidden="false" customHeight="false" outlineLevel="0" collapsed="false">
      <c r="A1431" s="0" t="s">
        <v>350</v>
      </c>
      <c r="B1431" s="0" t="n">
        <v>1</v>
      </c>
      <c r="C1431" s="0" t="str">
        <f aca="false">IF('Tech Leaders Kits'!C367="","",'Tech Leaders Kits'!C367)</f>
        <v>Laptop</v>
      </c>
      <c r="D1431" s="0" t="n">
        <f aca="false">IF('Tech Leaders Kits'!D367="","",'Tech Leaders Kits'!D367)</f>
        <v>1</v>
      </c>
      <c r="E1431" s="0" t="str">
        <f aca="false">IF('Tech Leaders Kits'!E367="","",'Tech Leaders Kits'!E367)</f>
        <v>Per group</v>
      </c>
      <c r="F1431" s="0" t="str">
        <f aca="false">IFERROR(INDEX('Session Tracker'!$M$5:$M$149,MATCH($A1431,'Session Tracker'!$D$5:$D$149,0))+0,"")</f>
        <v/>
      </c>
      <c r="G1431" s="0" t="str">
        <f aca="false">IF(ISNUMBER(F1431),IF(OR(B1431=0,B1431=99,C1431&lt;&gt;""),F1431*100+B1431,""),"")</f>
        <v/>
      </c>
      <c r="H1431" s="0" t="n">
        <f aca="false">IFERROR(INDEX('Session Tracker'!$J$5:$J$149,MATCH($A1431,'Session Tracker'!$D$5:$D$149,0)),0)</f>
        <v>8</v>
      </c>
      <c r="I1431" s="0" t="n">
        <f aca="false">IF(OR(B1431=0,B1431=99,C1431=""),"",IF(E1431="Per class",D1431,D1431*H1431))</f>
        <v>8</v>
      </c>
      <c r="N1431" s="0" t="str">
        <f aca="false">IF('Tech Leaders Kits'!B367="","",'Tech Leaders Kits'!B367)</f>
        <v>Computers &amp; Equipment</v>
      </c>
      <c r="O1431" s="0" t="str">
        <f aca="false">IF('Tech Leaders Kits'!F367="","",'Tech Leaders Kits'!F367)</f>
        <v>Reusable</v>
      </c>
      <c r="P1431" s="0" t="str">
        <f aca="false">IF('Tech Leaders Kits'!G367="","",'Tech Leaders Kits'!G367)</f>
        <v/>
      </c>
    </row>
    <row r="1432" customFormat="false" ht="15" hidden="false" customHeight="false" outlineLevel="0" collapsed="false">
      <c r="A1432" s="0" t="s">
        <v>350</v>
      </c>
      <c r="B1432" s="0" t="n">
        <v>2</v>
      </c>
      <c r="C1432" s="0" t="str">
        <f aca="false">IF('Tech Leaders Kits'!C368="","",'Tech Leaders Kits'!C368)</f>
        <v/>
      </c>
      <c r="D1432" s="0" t="str">
        <f aca="false">IF('Tech Leaders Kits'!D368="","",'Tech Leaders Kits'!D368)</f>
        <v/>
      </c>
      <c r="E1432" s="0" t="str">
        <f aca="false">IF('Tech Leaders Kits'!E368="","",'Tech Leaders Kits'!E368)</f>
        <v/>
      </c>
      <c r="F1432" s="0" t="str">
        <f aca="false">IFERROR(INDEX('Session Tracker'!$M$5:$M$149,MATCH($A1432,'Session Tracker'!$D$5:$D$149,0))+0,"")</f>
        <v/>
      </c>
      <c r="G1432" s="0" t="str">
        <f aca="false">IF(ISNUMBER(F1432),IF(OR(B1432=0,B1432=99,C1432&lt;&gt;""),F1432*100+B1432,""),"")</f>
        <v/>
      </c>
      <c r="H1432" s="0" t="n">
        <f aca="false">IFERROR(INDEX('Session Tracker'!$J$5:$J$149,MATCH($A1432,'Session Tracker'!$D$5:$D$149,0)),0)</f>
        <v>8</v>
      </c>
      <c r="I1432" s="0" t="str">
        <f aca="false">IF(OR(B1432=0,B1432=99,C1432=""),"",IF(E1432="Per class",D1432,D1432*H1432))</f>
        <v/>
      </c>
      <c r="N1432" s="0" t="str">
        <f aca="false">IF('Tech Leaders Kits'!B368="","",'Tech Leaders Kits'!B368)</f>
        <v/>
      </c>
      <c r="O1432" s="0" t="str">
        <f aca="false">IF('Tech Leaders Kits'!F368="","",'Tech Leaders Kits'!F368)</f>
        <v/>
      </c>
      <c r="P1432" s="0" t="str">
        <f aca="false">IF('Tech Leaders Kits'!G368="","",'Tech Leaders Kits'!G368)</f>
        <v/>
      </c>
    </row>
    <row r="1433" customFormat="false" ht="15" hidden="false" customHeight="false" outlineLevel="0" collapsed="false">
      <c r="A1433" s="0" t="s">
        <v>350</v>
      </c>
      <c r="B1433" s="0" t="n">
        <v>3</v>
      </c>
      <c r="C1433" s="0" t="str">
        <f aca="false">IF('Tech Leaders Kits'!C369="","",'Tech Leaders Kits'!C369)</f>
        <v/>
      </c>
      <c r="D1433" s="0" t="str">
        <f aca="false">IF('Tech Leaders Kits'!D369="","",'Tech Leaders Kits'!D369)</f>
        <v/>
      </c>
      <c r="E1433" s="0" t="str">
        <f aca="false">IF('Tech Leaders Kits'!E369="","",'Tech Leaders Kits'!E369)</f>
        <v/>
      </c>
      <c r="F1433" s="0" t="str">
        <f aca="false">IFERROR(INDEX('Session Tracker'!$M$5:$M$149,MATCH($A1433,'Session Tracker'!$D$5:$D$149,0))+0,"")</f>
        <v/>
      </c>
      <c r="G1433" s="0" t="str">
        <f aca="false">IF(ISNUMBER(F1433),IF(OR(B1433=0,B1433=99,C1433&lt;&gt;""),F1433*100+B1433,""),"")</f>
        <v/>
      </c>
      <c r="H1433" s="0" t="n">
        <f aca="false">IFERROR(INDEX('Session Tracker'!$J$5:$J$149,MATCH($A1433,'Session Tracker'!$D$5:$D$149,0)),0)</f>
        <v>8</v>
      </c>
      <c r="I1433" s="0" t="str">
        <f aca="false">IF(OR(B1433=0,B1433=99,C1433=""),"",IF(E1433="Per class",D1433,D1433*H1433))</f>
        <v/>
      </c>
      <c r="N1433" s="0" t="str">
        <f aca="false">IF('Tech Leaders Kits'!B369="","",'Tech Leaders Kits'!B369)</f>
        <v/>
      </c>
      <c r="O1433" s="0" t="str">
        <f aca="false">IF('Tech Leaders Kits'!F369="","",'Tech Leaders Kits'!F369)</f>
        <v/>
      </c>
      <c r="P1433" s="0" t="str">
        <f aca="false">IF('Tech Leaders Kits'!G369="","",'Tech Leaders Kits'!G369)</f>
        <v/>
      </c>
    </row>
    <row r="1434" customFormat="false" ht="15" hidden="false" customHeight="false" outlineLevel="0" collapsed="false">
      <c r="A1434" s="0" t="s">
        <v>352</v>
      </c>
      <c r="B1434" s="0" t="n">
        <v>0</v>
      </c>
      <c r="F1434" s="0" t="str">
        <f aca="false">IFERROR(INDEX('Session Tracker'!$M$5:$M$149,MATCH($A1434,'Session Tracker'!$D$5:$D$149,0))+0,"")</f>
        <v/>
      </c>
      <c r="G1434" s="0" t="str">
        <f aca="false">IF(ISNUMBER(F1434),IF(OR(B1434=0,B1434=99,C1434&lt;&gt;""),F1434*100+B1434,""),"")</f>
        <v/>
      </c>
      <c r="H1434" s="0" t="n">
        <f aca="false">IFERROR(INDEX('Session Tracker'!$J$5:$J$149,MATCH($A1434,'Session Tracker'!$D$5:$D$149,0)),0)</f>
        <v>8</v>
      </c>
      <c r="I1434" s="0" t="str">
        <f aca="false">IF(OR(B1434=0,B1434=99,C1434=""),"",IF(E1434="Per class",D1434,D1434*H1434))</f>
        <v/>
      </c>
      <c r="K1434" s="0" t="str">
        <f aca="false">IFERROR(INDEX('Session Tracker'!$E$5:$E$149,MATCH($A1434,'Session Tracker'!$D$5:$D$149,0)),"")</f>
        <v>Neural Network from Scratch</v>
      </c>
      <c r="L1434" s="0" t="str">
        <f aca="false">IFERROR(INDEX('Session Tracker'!$A$5:$A$149,MATCH($A1434,'Session Tracker'!$D$5:$D$149,0)),"")</f>
        <v>Tech Leaders (15-17)</v>
      </c>
      <c r="M1434" s="0" t="str">
        <f aca="false">IFERROR(INDEX('Session Tracker'!$H$5:$H$149,MATCH($A1434,'Session Tracker'!$D$5:$D$149,0))&amp;"","")</f>
        <v/>
      </c>
      <c r="Q1434" s="0" t="str">
        <f aca="false">IFERROR("Status: "&amp;INDEX('Session Tracker'!$F$5:$F$149,MATCH($A1434,'Session Tracker'!$D$5:$D$149,0))&amp;IF(INDEX('Session Tracker'!$G$5:$G$149,MATCH($A1434,'Session Tracker'!$D$5:$D$149,0))&lt;&gt;""," ("&amp;INDEX('Session Tracker'!$G$5:$G$149,MATCH($A1434,'Session Tracker'!$D$5:$D$149,0))&amp;")","")&amp;IF(M1434&lt;&gt;"","  "&amp;M1434,""),"")</f>
        <v>Status: Not started</v>
      </c>
    </row>
    <row r="1435" customFormat="false" ht="15" hidden="false" customHeight="false" outlineLevel="0" collapsed="false">
      <c r="A1435" s="0" t="s">
        <v>352</v>
      </c>
      <c r="B1435" s="0" t="n">
        <v>1</v>
      </c>
      <c r="C1435" s="0" t="str">
        <f aca="false">IF('Tech Leaders Kits'!C372="","",'Tech Leaders Kits'!C372)</f>
        <v>Laptop</v>
      </c>
      <c r="D1435" s="0" t="n">
        <f aca="false">IF('Tech Leaders Kits'!D372="","",'Tech Leaders Kits'!D372)</f>
        <v>1</v>
      </c>
      <c r="E1435" s="0" t="str">
        <f aca="false">IF('Tech Leaders Kits'!E372="","",'Tech Leaders Kits'!E372)</f>
        <v>Per group</v>
      </c>
      <c r="F1435" s="0" t="str">
        <f aca="false">IFERROR(INDEX('Session Tracker'!$M$5:$M$149,MATCH($A1435,'Session Tracker'!$D$5:$D$149,0))+0,"")</f>
        <v/>
      </c>
      <c r="G1435" s="0" t="str">
        <f aca="false">IF(ISNUMBER(F1435),IF(OR(B1435=0,B1435=99,C1435&lt;&gt;""),F1435*100+B1435,""),"")</f>
        <v/>
      </c>
      <c r="H1435" s="0" t="n">
        <f aca="false">IFERROR(INDEX('Session Tracker'!$J$5:$J$149,MATCH($A1435,'Session Tracker'!$D$5:$D$149,0)),0)</f>
        <v>8</v>
      </c>
      <c r="I1435" s="0" t="n">
        <f aca="false">IF(OR(B1435=0,B1435=99,C1435=""),"",IF(E1435="Per class",D1435,D1435*H1435))</f>
        <v>8</v>
      </c>
      <c r="N1435" s="0" t="str">
        <f aca="false">IF('Tech Leaders Kits'!B372="","",'Tech Leaders Kits'!B372)</f>
        <v>Computers &amp; Equipment</v>
      </c>
      <c r="O1435" s="0" t="str">
        <f aca="false">IF('Tech Leaders Kits'!F372="","",'Tech Leaders Kits'!F372)</f>
        <v>Reusable</v>
      </c>
      <c r="P1435" s="0" t="str">
        <f aca="false">IF('Tech Leaders Kits'!G372="","",'Tech Leaders Kits'!G372)</f>
        <v/>
      </c>
    </row>
    <row r="1436" customFormat="false" ht="15" hidden="false" customHeight="false" outlineLevel="0" collapsed="false">
      <c r="A1436" s="0" t="s">
        <v>352</v>
      </c>
      <c r="B1436" s="0" t="n">
        <v>2</v>
      </c>
      <c r="C1436" s="0" t="str">
        <f aca="false">IF('Tech Leaders Kits'!C373="","",'Tech Leaders Kits'!C373)</f>
        <v/>
      </c>
      <c r="D1436" s="0" t="str">
        <f aca="false">IF('Tech Leaders Kits'!D373="","",'Tech Leaders Kits'!D373)</f>
        <v/>
      </c>
      <c r="E1436" s="0" t="str">
        <f aca="false">IF('Tech Leaders Kits'!E373="","",'Tech Leaders Kits'!E373)</f>
        <v/>
      </c>
      <c r="F1436" s="0" t="str">
        <f aca="false">IFERROR(INDEX('Session Tracker'!$M$5:$M$149,MATCH($A1436,'Session Tracker'!$D$5:$D$149,0))+0,"")</f>
        <v/>
      </c>
      <c r="G1436" s="0" t="str">
        <f aca="false">IF(ISNUMBER(F1436),IF(OR(B1436=0,B1436=99,C1436&lt;&gt;""),F1436*100+B1436,""),"")</f>
        <v/>
      </c>
      <c r="H1436" s="0" t="n">
        <f aca="false">IFERROR(INDEX('Session Tracker'!$J$5:$J$149,MATCH($A1436,'Session Tracker'!$D$5:$D$149,0)),0)</f>
        <v>8</v>
      </c>
      <c r="I1436" s="0" t="str">
        <f aca="false">IF(OR(B1436=0,B1436=99,C1436=""),"",IF(E1436="Per class",D1436,D1436*H1436))</f>
        <v/>
      </c>
      <c r="N1436" s="0" t="str">
        <f aca="false">IF('Tech Leaders Kits'!B373="","",'Tech Leaders Kits'!B373)</f>
        <v/>
      </c>
      <c r="O1436" s="0" t="str">
        <f aca="false">IF('Tech Leaders Kits'!F373="","",'Tech Leaders Kits'!F373)</f>
        <v/>
      </c>
      <c r="P1436" s="0" t="str">
        <f aca="false">IF('Tech Leaders Kits'!G373="","",'Tech Leaders Kits'!G373)</f>
        <v/>
      </c>
    </row>
    <row r="1437" customFormat="false" ht="15" hidden="false" customHeight="false" outlineLevel="0" collapsed="false">
      <c r="A1437" s="0" t="s">
        <v>352</v>
      </c>
      <c r="B1437" s="0" t="n">
        <v>3</v>
      </c>
      <c r="C1437" s="0" t="str">
        <f aca="false">IF('Tech Leaders Kits'!C374="","",'Tech Leaders Kits'!C374)</f>
        <v/>
      </c>
      <c r="D1437" s="0" t="str">
        <f aca="false">IF('Tech Leaders Kits'!D374="","",'Tech Leaders Kits'!D374)</f>
        <v/>
      </c>
      <c r="E1437" s="0" t="str">
        <f aca="false">IF('Tech Leaders Kits'!E374="","",'Tech Leaders Kits'!E374)</f>
        <v/>
      </c>
      <c r="F1437" s="0" t="str">
        <f aca="false">IFERROR(INDEX('Session Tracker'!$M$5:$M$149,MATCH($A1437,'Session Tracker'!$D$5:$D$149,0))+0,"")</f>
        <v/>
      </c>
      <c r="G1437" s="0" t="str">
        <f aca="false">IF(ISNUMBER(F1437),IF(OR(B1437=0,B1437=99,C1437&lt;&gt;""),F1437*100+B1437,""),"")</f>
        <v/>
      </c>
      <c r="H1437" s="0" t="n">
        <f aca="false">IFERROR(INDEX('Session Tracker'!$J$5:$J$149,MATCH($A1437,'Session Tracker'!$D$5:$D$149,0)),0)</f>
        <v>8</v>
      </c>
      <c r="I1437" s="0" t="str">
        <f aca="false">IF(OR(B1437=0,B1437=99,C1437=""),"",IF(E1437="Per class",D1437,D1437*H1437))</f>
        <v/>
      </c>
      <c r="N1437" s="0" t="str">
        <f aca="false">IF('Tech Leaders Kits'!B374="","",'Tech Leaders Kits'!B374)</f>
        <v/>
      </c>
      <c r="O1437" s="0" t="str">
        <f aca="false">IF('Tech Leaders Kits'!F374="","",'Tech Leaders Kits'!F374)</f>
        <v/>
      </c>
      <c r="P1437" s="0" t="str">
        <f aca="false">IF('Tech Leaders Kits'!G374="","",'Tech Leaders Kits'!G374)</f>
        <v/>
      </c>
    </row>
    <row r="1438" customFormat="false" ht="15" hidden="false" customHeight="false" outlineLevel="0" collapsed="false">
      <c r="A1438" s="0" t="s">
        <v>354</v>
      </c>
      <c r="B1438" s="0" t="n">
        <v>0</v>
      </c>
      <c r="F1438" s="0" t="str">
        <f aca="false">IFERROR(INDEX('Session Tracker'!$M$5:$M$149,MATCH($A1438,'Session Tracker'!$D$5:$D$149,0))+0,"")</f>
        <v/>
      </c>
      <c r="G1438" s="0" t="str">
        <f aca="false">IF(ISNUMBER(F1438),IF(OR(B1438=0,B1438=99,C1438&lt;&gt;""),F1438*100+B1438,""),"")</f>
        <v/>
      </c>
      <c r="H1438" s="0" t="n">
        <f aca="false">IFERROR(INDEX('Session Tracker'!$J$5:$J$149,MATCH($A1438,'Session Tracker'!$D$5:$D$149,0)),0)</f>
        <v>8</v>
      </c>
      <c r="I1438" s="0" t="str">
        <f aca="false">IF(OR(B1438=0,B1438=99,C1438=""),"",IF(E1438="Per class",D1438,D1438*H1438))</f>
        <v/>
      </c>
      <c r="K1438" s="0" t="str">
        <f aca="false">IFERROR(INDEX('Session Tracker'!$E$5:$E$149,MATCH($A1438,'Session Tracker'!$D$5:$D$149,0)),"")</f>
        <v>2D Game Development in Godot</v>
      </c>
      <c r="L1438" s="0" t="str">
        <f aca="false">IFERROR(INDEX('Session Tracker'!$A$5:$A$149,MATCH($A1438,'Session Tracker'!$D$5:$D$149,0)),"")</f>
        <v>Tech Leaders (15-17)</v>
      </c>
      <c r="M1438" s="0" t="str">
        <f aca="false">IFERROR(INDEX('Session Tracker'!$H$5:$H$149,MATCH($A1438,'Session Tracker'!$D$5:$D$149,0))&amp;"","")</f>
        <v/>
      </c>
      <c r="Q1438" s="0" t="str">
        <f aca="false">IFERROR("Status: "&amp;INDEX('Session Tracker'!$F$5:$F$149,MATCH($A1438,'Session Tracker'!$D$5:$D$149,0))&amp;IF(INDEX('Session Tracker'!$G$5:$G$149,MATCH($A1438,'Session Tracker'!$D$5:$D$149,0))&lt;&gt;""," ("&amp;INDEX('Session Tracker'!$G$5:$G$149,MATCH($A1438,'Session Tracker'!$D$5:$D$149,0))&amp;")","")&amp;IF(M1438&lt;&gt;"","  "&amp;M1438,""),"")</f>
        <v>Status: Not started</v>
      </c>
    </row>
    <row r="1439" customFormat="false" ht="15" hidden="false" customHeight="false" outlineLevel="0" collapsed="false">
      <c r="A1439" s="0" t="s">
        <v>354</v>
      </c>
      <c r="B1439" s="0" t="n">
        <v>1</v>
      </c>
      <c r="C1439" s="0" t="str">
        <f aca="false">IF('Tech Leaders Kits'!C377="","",'Tech Leaders Kits'!C377)</f>
        <v>Laptop</v>
      </c>
      <c r="D1439" s="0" t="n">
        <f aca="false">IF('Tech Leaders Kits'!D377="","",'Tech Leaders Kits'!D377)</f>
        <v>1</v>
      </c>
      <c r="E1439" s="0" t="str">
        <f aca="false">IF('Tech Leaders Kits'!E377="","",'Tech Leaders Kits'!E377)</f>
        <v>Per group</v>
      </c>
      <c r="F1439" s="0" t="str">
        <f aca="false">IFERROR(INDEX('Session Tracker'!$M$5:$M$149,MATCH($A1439,'Session Tracker'!$D$5:$D$149,0))+0,"")</f>
        <v/>
      </c>
      <c r="G1439" s="0" t="str">
        <f aca="false">IF(ISNUMBER(F1439),IF(OR(B1439=0,B1439=99,C1439&lt;&gt;""),F1439*100+B1439,""),"")</f>
        <v/>
      </c>
      <c r="H1439" s="0" t="n">
        <f aca="false">IFERROR(INDEX('Session Tracker'!$J$5:$J$149,MATCH($A1439,'Session Tracker'!$D$5:$D$149,0)),0)</f>
        <v>8</v>
      </c>
      <c r="I1439" s="0" t="n">
        <f aca="false">IF(OR(B1439=0,B1439=99,C1439=""),"",IF(E1439="Per class",D1439,D1439*H1439))</f>
        <v>8</v>
      </c>
      <c r="N1439" s="0" t="str">
        <f aca="false">IF('Tech Leaders Kits'!B377="","",'Tech Leaders Kits'!B377)</f>
        <v>Computers &amp; Equipment</v>
      </c>
      <c r="O1439" s="0" t="str">
        <f aca="false">IF('Tech Leaders Kits'!F377="","",'Tech Leaders Kits'!F377)</f>
        <v>Reusable</v>
      </c>
      <c r="P1439" s="0" t="str">
        <f aca="false">IF('Tech Leaders Kits'!G377="","",'Tech Leaders Kits'!G377)</f>
        <v/>
      </c>
    </row>
    <row r="1440" customFormat="false" ht="15" hidden="false" customHeight="false" outlineLevel="0" collapsed="false">
      <c r="A1440" s="0" t="s">
        <v>354</v>
      </c>
      <c r="B1440" s="0" t="n">
        <v>2</v>
      </c>
      <c r="C1440" s="0" t="str">
        <f aca="false">IF('Tech Leaders Kits'!C378="","",'Tech Leaders Kits'!C378)</f>
        <v/>
      </c>
      <c r="D1440" s="0" t="str">
        <f aca="false">IF('Tech Leaders Kits'!D378="","",'Tech Leaders Kits'!D378)</f>
        <v/>
      </c>
      <c r="E1440" s="0" t="str">
        <f aca="false">IF('Tech Leaders Kits'!E378="","",'Tech Leaders Kits'!E378)</f>
        <v/>
      </c>
      <c r="F1440" s="0" t="str">
        <f aca="false">IFERROR(INDEX('Session Tracker'!$M$5:$M$149,MATCH($A1440,'Session Tracker'!$D$5:$D$149,0))+0,"")</f>
        <v/>
      </c>
      <c r="G1440" s="0" t="str">
        <f aca="false">IF(ISNUMBER(F1440),IF(OR(B1440=0,B1440=99,C1440&lt;&gt;""),F1440*100+B1440,""),"")</f>
        <v/>
      </c>
      <c r="H1440" s="0" t="n">
        <f aca="false">IFERROR(INDEX('Session Tracker'!$J$5:$J$149,MATCH($A1440,'Session Tracker'!$D$5:$D$149,0)),0)</f>
        <v>8</v>
      </c>
      <c r="I1440" s="0" t="str">
        <f aca="false">IF(OR(B1440=0,B1440=99,C1440=""),"",IF(E1440="Per class",D1440,D1440*H1440))</f>
        <v/>
      </c>
      <c r="N1440" s="0" t="str">
        <f aca="false">IF('Tech Leaders Kits'!B378="","",'Tech Leaders Kits'!B378)</f>
        <v/>
      </c>
      <c r="O1440" s="0" t="str">
        <f aca="false">IF('Tech Leaders Kits'!F378="","",'Tech Leaders Kits'!F378)</f>
        <v/>
      </c>
      <c r="P1440" s="0" t="str">
        <f aca="false">IF('Tech Leaders Kits'!G378="","",'Tech Leaders Kits'!G378)</f>
        <v/>
      </c>
    </row>
    <row r="1441" customFormat="false" ht="15" hidden="false" customHeight="false" outlineLevel="0" collapsed="false">
      <c r="A1441" s="0" t="s">
        <v>354</v>
      </c>
      <c r="B1441" s="0" t="n">
        <v>3</v>
      </c>
      <c r="C1441" s="0" t="str">
        <f aca="false">IF('Tech Leaders Kits'!C379="","",'Tech Leaders Kits'!C379)</f>
        <v/>
      </c>
      <c r="D1441" s="0" t="str">
        <f aca="false">IF('Tech Leaders Kits'!D379="","",'Tech Leaders Kits'!D379)</f>
        <v/>
      </c>
      <c r="E1441" s="0" t="str">
        <f aca="false">IF('Tech Leaders Kits'!E379="","",'Tech Leaders Kits'!E379)</f>
        <v/>
      </c>
      <c r="F1441" s="0" t="str">
        <f aca="false">IFERROR(INDEX('Session Tracker'!$M$5:$M$149,MATCH($A1441,'Session Tracker'!$D$5:$D$149,0))+0,"")</f>
        <v/>
      </c>
      <c r="G1441" s="0" t="str">
        <f aca="false">IF(ISNUMBER(F1441),IF(OR(B1441=0,B1441=99,C1441&lt;&gt;""),F1441*100+B1441,""),"")</f>
        <v/>
      </c>
      <c r="H1441" s="0" t="n">
        <f aca="false">IFERROR(INDEX('Session Tracker'!$J$5:$J$149,MATCH($A1441,'Session Tracker'!$D$5:$D$149,0)),0)</f>
        <v>8</v>
      </c>
      <c r="I1441" s="0" t="str">
        <f aca="false">IF(OR(B1441=0,B1441=99,C1441=""),"",IF(E1441="Per class",D1441,D1441*H1441))</f>
        <v/>
      </c>
      <c r="N1441" s="0" t="str">
        <f aca="false">IF('Tech Leaders Kits'!B379="","",'Tech Leaders Kits'!B379)</f>
        <v/>
      </c>
      <c r="O1441" s="0" t="str">
        <f aca="false">IF('Tech Leaders Kits'!F379="","",'Tech Leaders Kits'!F379)</f>
        <v/>
      </c>
      <c r="P1441" s="0" t="str">
        <f aca="false">IF('Tech Leaders Kits'!G379="","",'Tech Leaders Kits'!G379)</f>
        <v/>
      </c>
    </row>
    <row r="1442" customFormat="false" ht="15" hidden="false" customHeight="false" outlineLevel="0" collapsed="false">
      <c r="A1442" s="0" t="s">
        <v>356</v>
      </c>
      <c r="B1442" s="0" t="n">
        <v>0</v>
      </c>
      <c r="F1442" s="0" t="str">
        <f aca="false">IFERROR(INDEX('Session Tracker'!$M$5:$M$149,MATCH($A1442,'Session Tracker'!$D$5:$D$149,0))+0,"")</f>
        <v/>
      </c>
      <c r="G1442" s="0" t="str">
        <f aca="false">IF(ISNUMBER(F1442),IF(OR(B1442=0,B1442=99,C1442&lt;&gt;""),F1442*100+B1442,""),"")</f>
        <v/>
      </c>
      <c r="H1442" s="0" t="n">
        <f aca="false">IFERROR(INDEX('Session Tracker'!$J$5:$J$149,MATCH($A1442,'Session Tracker'!$D$5:$D$149,0)),0)</f>
        <v>8</v>
      </c>
      <c r="I1442" s="0" t="str">
        <f aca="false">IF(OR(B1442=0,B1442=99,C1442=""),"",IF(E1442="Per class",D1442,D1442*H1442))</f>
        <v/>
      </c>
      <c r="K1442" s="0" t="str">
        <f aca="false">IFERROR(INDEX('Session Tracker'!$E$5:$E$149,MATCH($A1442,'Session Tracker'!$D$5:$D$149,0)),"")</f>
        <v>Password Security Lab: Hashing and Attacks</v>
      </c>
      <c r="L1442" s="0" t="str">
        <f aca="false">IFERROR(INDEX('Session Tracker'!$A$5:$A$149,MATCH($A1442,'Session Tracker'!$D$5:$D$149,0)),"")</f>
        <v>Tech Leaders (15-17)</v>
      </c>
      <c r="M1442" s="0" t="str">
        <f aca="false">IFERROR(INDEX('Session Tracker'!$H$5:$H$149,MATCH($A1442,'Session Tracker'!$D$5:$D$149,0))&amp;"","")</f>
        <v/>
      </c>
      <c r="Q1442" s="0" t="str">
        <f aca="false">IFERROR("Status: "&amp;INDEX('Session Tracker'!$F$5:$F$149,MATCH($A1442,'Session Tracker'!$D$5:$D$149,0))&amp;IF(INDEX('Session Tracker'!$G$5:$G$149,MATCH($A1442,'Session Tracker'!$D$5:$D$149,0))&lt;&gt;""," ("&amp;INDEX('Session Tracker'!$G$5:$G$149,MATCH($A1442,'Session Tracker'!$D$5:$D$149,0))&amp;")","")&amp;IF(M1442&lt;&gt;"","  "&amp;M1442,""),"")</f>
        <v>Status: Not started</v>
      </c>
    </row>
    <row r="1443" customFormat="false" ht="15" hidden="false" customHeight="false" outlineLevel="0" collapsed="false">
      <c r="A1443" s="0" t="s">
        <v>356</v>
      </c>
      <c r="B1443" s="0" t="n">
        <v>1</v>
      </c>
      <c r="C1443" s="0" t="str">
        <f aca="false">IF('Tech Leaders Kits'!C382="","",'Tech Leaders Kits'!C382)</f>
        <v>Laptop</v>
      </c>
      <c r="D1443" s="0" t="n">
        <f aca="false">IF('Tech Leaders Kits'!D382="","",'Tech Leaders Kits'!D382)</f>
        <v>1</v>
      </c>
      <c r="E1443" s="0" t="str">
        <f aca="false">IF('Tech Leaders Kits'!E382="","",'Tech Leaders Kits'!E382)</f>
        <v>Per group</v>
      </c>
      <c r="F1443" s="0" t="str">
        <f aca="false">IFERROR(INDEX('Session Tracker'!$M$5:$M$149,MATCH($A1443,'Session Tracker'!$D$5:$D$149,0))+0,"")</f>
        <v/>
      </c>
      <c r="G1443" s="0" t="str">
        <f aca="false">IF(ISNUMBER(F1443),IF(OR(B1443=0,B1443=99,C1443&lt;&gt;""),F1443*100+B1443,""),"")</f>
        <v/>
      </c>
      <c r="H1443" s="0" t="n">
        <f aca="false">IFERROR(INDEX('Session Tracker'!$J$5:$J$149,MATCH($A1443,'Session Tracker'!$D$5:$D$149,0)),0)</f>
        <v>8</v>
      </c>
      <c r="I1443" s="0" t="n">
        <f aca="false">IF(OR(B1443=0,B1443=99,C1443=""),"",IF(E1443="Per class",D1443,D1443*H1443))</f>
        <v>8</v>
      </c>
      <c r="N1443" s="0" t="str">
        <f aca="false">IF('Tech Leaders Kits'!B382="","",'Tech Leaders Kits'!B382)</f>
        <v>Computers &amp; Equipment</v>
      </c>
      <c r="O1443" s="0" t="str">
        <f aca="false">IF('Tech Leaders Kits'!F382="","",'Tech Leaders Kits'!F382)</f>
        <v>Reusable</v>
      </c>
      <c r="P1443" s="0" t="str">
        <f aca="false">IF('Tech Leaders Kits'!G382="","",'Tech Leaders Kits'!G382)</f>
        <v/>
      </c>
    </row>
    <row r="1444" customFormat="false" ht="15" hidden="false" customHeight="false" outlineLevel="0" collapsed="false">
      <c r="A1444" s="0" t="s">
        <v>356</v>
      </c>
      <c r="B1444" s="0" t="n">
        <v>2</v>
      </c>
      <c r="C1444" s="0" t="str">
        <f aca="false">IF('Tech Leaders Kits'!C383="","",'Tech Leaders Kits'!C383)</f>
        <v/>
      </c>
      <c r="D1444" s="0" t="str">
        <f aca="false">IF('Tech Leaders Kits'!D383="","",'Tech Leaders Kits'!D383)</f>
        <v/>
      </c>
      <c r="E1444" s="0" t="str">
        <f aca="false">IF('Tech Leaders Kits'!E383="","",'Tech Leaders Kits'!E383)</f>
        <v/>
      </c>
      <c r="F1444" s="0" t="str">
        <f aca="false">IFERROR(INDEX('Session Tracker'!$M$5:$M$149,MATCH($A1444,'Session Tracker'!$D$5:$D$149,0))+0,"")</f>
        <v/>
      </c>
      <c r="G1444" s="0" t="str">
        <f aca="false">IF(ISNUMBER(F1444),IF(OR(B1444=0,B1444=99,C1444&lt;&gt;""),F1444*100+B1444,""),"")</f>
        <v/>
      </c>
      <c r="H1444" s="0" t="n">
        <f aca="false">IFERROR(INDEX('Session Tracker'!$J$5:$J$149,MATCH($A1444,'Session Tracker'!$D$5:$D$149,0)),0)</f>
        <v>8</v>
      </c>
      <c r="I1444" s="0" t="str">
        <f aca="false">IF(OR(B1444=0,B1444=99,C1444=""),"",IF(E1444="Per class",D1444,D1444*H1444))</f>
        <v/>
      </c>
      <c r="N1444" s="0" t="str">
        <f aca="false">IF('Tech Leaders Kits'!B383="","",'Tech Leaders Kits'!B383)</f>
        <v/>
      </c>
      <c r="O1444" s="0" t="str">
        <f aca="false">IF('Tech Leaders Kits'!F383="","",'Tech Leaders Kits'!F383)</f>
        <v/>
      </c>
      <c r="P1444" s="0" t="str">
        <f aca="false">IF('Tech Leaders Kits'!G383="","",'Tech Leaders Kits'!G383)</f>
        <v/>
      </c>
    </row>
    <row r="1445" customFormat="false" ht="15" hidden="false" customHeight="false" outlineLevel="0" collapsed="false">
      <c r="A1445" s="0" t="s">
        <v>356</v>
      </c>
      <c r="B1445" s="0" t="n">
        <v>3</v>
      </c>
      <c r="C1445" s="0" t="str">
        <f aca="false">IF('Tech Leaders Kits'!C384="","",'Tech Leaders Kits'!C384)</f>
        <v/>
      </c>
      <c r="D1445" s="0" t="str">
        <f aca="false">IF('Tech Leaders Kits'!D384="","",'Tech Leaders Kits'!D384)</f>
        <v/>
      </c>
      <c r="E1445" s="0" t="str">
        <f aca="false">IF('Tech Leaders Kits'!E384="","",'Tech Leaders Kits'!E384)</f>
        <v/>
      </c>
      <c r="F1445" s="0" t="str">
        <f aca="false">IFERROR(INDEX('Session Tracker'!$M$5:$M$149,MATCH($A1445,'Session Tracker'!$D$5:$D$149,0))+0,"")</f>
        <v/>
      </c>
      <c r="G1445" s="0" t="str">
        <f aca="false">IF(ISNUMBER(F1445),IF(OR(B1445=0,B1445=99,C1445&lt;&gt;""),F1445*100+B1445,""),"")</f>
        <v/>
      </c>
      <c r="H1445" s="0" t="n">
        <f aca="false">IFERROR(INDEX('Session Tracker'!$J$5:$J$149,MATCH($A1445,'Session Tracker'!$D$5:$D$149,0)),0)</f>
        <v>8</v>
      </c>
      <c r="I1445" s="0" t="str">
        <f aca="false">IF(OR(B1445=0,B1445=99,C1445=""),"",IF(E1445="Per class",D1445,D1445*H1445))</f>
        <v/>
      </c>
      <c r="N1445" s="0" t="str">
        <f aca="false">IF('Tech Leaders Kits'!B384="","",'Tech Leaders Kits'!B384)</f>
        <v/>
      </c>
      <c r="O1445" s="0" t="str">
        <f aca="false">IF('Tech Leaders Kits'!F384="","",'Tech Leaders Kits'!F384)</f>
        <v/>
      </c>
      <c r="P1445" s="0" t="str">
        <f aca="false">IF('Tech Leaders Kits'!G384="","",'Tech Leaders Kits'!G384)</f>
        <v/>
      </c>
    </row>
    <row r="1446" customFormat="false" ht="15" hidden="false" customHeight="false" outlineLevel="0" collapsed="false">
      <c r="A1446" s="0" t="s">
        <v>149</v>
      </c>
      <c r="B1446" s="0" t="n">
        <v>99</v>
      </c>
      <c r="F1446" s="0" t="str">
        <f aca="false">IFERROR(INDEX('Session Tracker'!$M$5:$M$149,MATCH($A1446,'Session Tracker'!$D$5:$D$149,0))+0,"")</f>
        <v/>
      </c>
      <c r="G1446" s="0" t="str">
        <f aca="false">IF(ISNUMBER(F1446),IF(OR(B1446=0,B1446=99,C1446&lt;&gt;""),F1446*100+B1446,""),"")</f>
        <v/>
      </c>
      <c r="H1446" s="0" t="n">
        <f aca="false">IFERROR(INDEX('Session Tracker'!$J$5:$J$149,MATCH($A1446,'Session Tracker'!$D$5:$D$149,0)),0)</f>
        <v>8</v>
      </c>
      <c r="I1446" s="0" t="str">
        <f aca="false">IF(OR(B1446=0,B1446=99,C1446=""),"",IF(E1446="Per class",D1446,D1446*H1446))</f>
        <v/>
      </c>
    </row>
    <row r="1447" customFormat="false" ht="15" hidden="false" customHeight="false" outlineLevel="0" collapsed="false">
      <c r="A1447" s="0" t="s">
        <v>75</v>
      </c>
      <c r="B1447" s="0" t="n">
        <v>99</v>
      </c>
      <c r="F1447" s="0" t="str">
        <f aca="false">IFERROR(INDEX('Session Tracker'!$M$5:$M$149,MATCH($A1447,'Session Tracker'!$D$5:$D$149,0))+0,"")</f>
        <v/>
      </c>
      <c r="G1447" s="0" t="str">
        <f aca="false">IF(ISNUMBER(F1447),IF(OR(B1447=0,B1447=99,C1447&lt;&gt;""),F1447*100+B1447,""),"")</f>
        <v/>
      </c>
      <c r="H1447" s="0" t="n">
        <f aca="false">IFERROR(INDEX('Session Tracker'!$J$5:$J$149,MATCH($A1447,'Session Tracker'!$D$5:$D$149,0)),0)</f>
        <v>8</v>
      </c>
      <c r="I1447" s="0" t="str">
        <f aca="false">IF(OR(B1447=0,B1447=99,C1447=""),"",IF(E1447="Per class",D1447,D1447*H1447))</f>
        <v/>
      </c>
    </row>
    <row r="1448" customFormat="false" ht="15" hidden="false" customHeight="false" outlineLevel="0" collapsed="false">
      <c r="A1448" s="0" t="s">
        <v>290</v>
      </c>
      <c r="B1448" s="0" t="n">
        <v>99</v>
      </c>
      <c r="F1448" s="0" t="str">
        <f aca="false">IFERROR(INDEX('Session Tracker'!$M$5:$M$149,MATCH($A1448,'Session Tracker'!$D$5:$D$149,0))+0,"")</f>
        <v/>
      </c>
      <c r="G1448" s="0" t="str">
        <f aca="false">IF(ISNUMBER(F1448),IF(OR(B1448=0,B1448=99,C1448&lt;&gt;""),F1448*100+B1448,""),"")</f>
        <v/>
      </c>
      <c r="H1448" s="0" t="n">
        <f aca="false">IFERROR(INDEX('Session Tracker'!$J$5:$J$149,MATCH($A1448,'Session Tracker'!$D$5:$D$149,0)),0)</f>
        <v>8</v>
      </c>
      <c r="I1448" s="0" t="str">
        <f aca="false">IF(OR(B1448=0,B1448=99,C1448=""),"",IF(E1448="Per class",D1448,D1448*H1448))</f>
        <v/>
      </c>
    </row>
    <row r="1449" customFormat="false" ht="15" hidden="false" customHeight="false" outlineLevel="0" collapsed="false">
      <c r="A1449" s="0" t="s">
        <v>221</v>
      </c>
      <c r="B1449" s="0" t="n">
        <v>99</v>
      </c>
      <c r="F1449" s="0" t="str">
        <f aca="false">IFERROR(INDEX('Session Tracker'!$M$5:$M$149,MATCH($A1449,'Session Tracker'!$D$5:$D$149,0))+0,"")</f>
        <v/>
      </c>
      <c r="G1449" s="0" t="str">
        <f aca="false">IF(ISNUMBER(F1449),IF(OR(B1449=0,B1449=99,C1449&lt;&gt;""),F1449*100+B1449,""),"")</f>
        <v/>
      </c>
      <c r="H1449" s="0" t="n">
        <f aca="false">IFERROR(INDEX('Session Tracker'!$J$5:$J$149,MATCH($A1449,'Session Tracker'!$D$5:$D$149,0)),0)</f>
        <v>8</v>
      </c>
      <c r="I1449" s="0" t="str">
        <f aca="false">IF(OR(B1449=0,B1449=99,C1449=""),"",IF(E1449="Per class",D1449,D1449*H1449))</f>
        <v/>
      </c>
    </row>
    <row r="1450" customFormat="false" ht="15" hidden="false" customHeight="false" outlineLevel="0" collapsed="false">
      <c r="A1450" s="0" t="s">
        <v>150</v>
      </c>
      <c r="B1450" s="0" t="n">
        <v>99</v>
      </c>
      <c r="F1450" s="0" t="str">
        <f aca="false">IFERROR(INDEX('Session Tracker'!$M$5:$M$149,MATCH($A1450,'Session Tracker'!$D$5:$D$149,0))+0,"")</f>
        <v/>
      </c>
      <c r="G1450" s="0" t="str">
        <f aca="false">IF(ISNUMBER(F1450),IF(OR(B1450=0,B1450=99,C1450&lt;&gt;""),F1450*100+B1450,""),"")</f>
        <v/>
      </c>
      <c r="H1450" s="0" t="n">
        <f aca="false">IFERROR(INDEX('Session Tracker'!$J$5:$J$149,MATCH($A1450,'Session Tracker'!$D$5:$D$149,0)),0)</f>
        <v>8</v>
      </c>
      <c r="I1450" s="0" t="str">
        <f aca="false">IF(OR(B1450=0,B1450=99,C1450=""),"",IF(E1450="Per class",D1450,D1450*H1450))</f>
        <v/>
      </c>
    </row>
    <row r="1451" customFormat="false" ht="15" hidden="false" customHeight="false" outlineLevel="0" collapsed="false">
      <c r="A1451" s="0" t="s">
        <v>78</v>
      </c>
      <c r="B1451" s="0" t="n">
        <v>99</v>
      </c>
      <c r="F1451" s="0" t="str">
        <f aca="false">IFERROR(INDEX('Session Tracker'!$M$5:$M$149,MATCH($A1451,'Session Tracker'!$D$5:$D$149,0))+0,"")</f>
        <v/>
      </c>
      <c r="G1451" s="0" t="str">
        <f aca="false">IF(ISNUMBER(F1451),IF(OR(B1451=0,B1451=99,C1451&lt;&gt;""),F1451*100+B1451,""),"")</f>
        <v/>
      </c>
      <c r="H1451" s="0" t="n">
        <f aca="false">IFERROR(INDEX('Session Tracker'!$J$5:$J$149,MATCH($A1451,'Session Tracker'!$D$5:$D$149,0)),0)</f>
        <v>8</v>
      </c>
      <c r="I1451" s="0" t="str">
        <f aca="false">IF(OR(B1451=0,B1451=99,C1451=""),"",IF(E1451="Per class",D1451,D1451*H1451))</f>
        <v/>
      </c>
    </row>
    <row r="1452" customFormat="false" ht="15" hidden="false" customHeight="false" outlineLevel="0" collapsed="false">
      <c r="A1452" s="0" t="s">
        <v>291</v>
      </c>
      <c r="B1452" s="0" t="n">
        <v>99</v>
      </c>
      <c r="F1452" s="0" t="str">
        <f aca="false">IFERROR(INDEX('Session Tracker'!$M$5:$M$149,MATCH($A1452,'Session Tracker'!$D$5:$D$149,0))+0,"")</f>
        <v/>
      </c>
      <c r="G1452" s="0" t="str">
        <f aca="false">IF(ISNUMBER(F1452),IF(OR(B1452=0,B1452=99,C1452&lt;&gt;""),F1452*100+B1452,""),"")</f>
        <v/>
      </c>
      <c r="H1452" s="0" t="n">
        <f aca="false">IFERROR(INDEX('Session Tracker'!$J$5:$J$149,MATCH($A1452,'Session Tracker'!$D$5:$D$149,0)),0)</f>
        <v>8</v>
      </c>
      <c r="I1452" s="0" t="str">
        <f aca="false">IF(OR(B1452=0,B1452=99,C1452=""),"",IF(E1452="Per class",D1452,D1452*H1452))</f>
        <v/>
      </c>
    </row>
    <row r="1453" customFormat="false" ht="15" hidden="false" customHeight="false" outlineLevel="0" collapsed="false">
      <c r="A1453" s="0" t="s">
        <v>222</v>
      </c>
      <c r="B1453" s="0" t="n">
        <v>99</v>
      </c>
      <c r="F1453" s="0" t="str">
        <f aca="false">IFERROR(INDEX('Session Tracker'!$M$5:$M$149,MATCH($A1453,'Session Tracker'!$D$5:$D$149,0))+0,"")</f>
        <v/>
      </c>
      <c r="G1453" s="0" t="str">
        <f aca="false">IF(ISNUMBER(F1453),IF(OR(B1453=0,B1453=99,C1453&lt;&gt;""),F1453*100+B1453,""),"")</f>
        <v/>
      </c>
      <c r="H1453" s="0" t="n">
        <f aca="false">IFERROR(INDEX('Session Tracker'!$J$5:$J$149,MATCH($A1453,'Session Tracker'!$D$5:$D$149,0)),0)</f>
        <v>8</v>
      </c>
      <c r="I1453" s="0" t="str">
        <f aca="false">IF(OR(B1453=0,B1453=99,C1453=""),"",IF(E1453="Per class",D1453,D1453*H1453))</f>
        <v/>
      </c>
    </row>
    <row r="1454" customFormat="false" ht="15" hidden="false" customHeight="false" outlineLevel="0" collapsed="false">
      <c r="A1454" s="0" t="s">
        <v>151</v>
      </c>
      <c r="B1454" s="0" t="n">
        <v>99</v>
      </c>
      <c r="F1454" s="0" t="str">
        <f aca="false">IFERROR(INDEX('Session Tracker'!$M$5:$M$149,MATCH($A1454,'Session Tracker'!$D$5:$D$149,0))+0,"")</f>
        <v/>
      </c>
      <c r="G1454" s="0" t="str">
        <f aca="false">IF(ISNUMBER(F1454),IF(OR(B1454=0,B1454=99,C1454&lt;&gt;""),F1454*100+B1454,""),"")</f>
        <v/>
      </c>
      <c r="H1454" s="0" t="n">
        <f aca="false">IFERROR(INDEX('Session Tracker'!$J$5:$J$149,MATCH($A1454,'Session Tracker'!$D$5:$D$149,0)),0)</f>
        <v>8</v>
      </c>
      <c r="I1454" s="0" t="str">
        <f aca="false">IF(OR(B1454=0,B1454=99,C1454=""),"",IF(E1454="Per class",D1454,D1454*H1454))</f>
        <v/>
      </c>
    </row>
    <row r="1455" customFormat="false" ht="15" hidden="false" customHeight="false" outlineLevel="0" collapsed="false">
      <c r="A1455" s="0" t="s">
        <v>80</v>
      </c>
      <c r="B1455" s="0" t="n">
        <v>99</v>
      </c>
      <c r="F1455" s="0" t="str">
        <f aca="false">IFERROR(INDEX('Session Tracker'!$M$5:$M$149,MATCH($A1455,'Session Tracker'!$D$5:$D$149,0))+0,"")</f>
        <v/>
      </c>
      <c r="G1455" s="0" t="str">
        <f aca="false">IF(ISNUMBER(F1455),IF(OR(B1455=0,B1455=99,C1455&lt;&gt;""),F1455*100+B1455,""),"")</f>
        <v/>
      </c>
      <c r="H1455" s="0" t="n">
        <f aca="false">IFERROR(INDEX('Session Tracker'!$J$5:$J$149,MATCH($A1455,'Session Tracker'!$D$5:$D$149,0)),0)</f>
        <v>8</v>
      </c>
      <c r="I1455" s="0" t="str">
        <f aca="false">IF(OR(B1455=0,B1455=99,C1455=""),"",IF(E1455="Per class",D1455,D1455*H1455))</f>
        <v/>
      </c>
    </row>
    <row r="1456" customFormat="false" ht="15" hidden="false" customHeight="false" outlineLevel="0" collapsed="false">
      <c r="A1456" s="0" t="s">
        <v>292</v>
      </c>
      <c r="B1456" s="0" t="n">
        <v>99</v>
      </c>
      <c r="F1456" s="0" t="str">
        <f aca="false">IFERROR(INDEX('Session Tracker'!$M$5:$M$149,MATCH($A1456,'Session Tracker'!$D$5:$D$149,0))+0,"")</f>
        <v/>
      </c>
      <c r="G1456" s="0" t="str">
        <f aca="false">IF(ISNUMBER(F1456),IF(OR(B1456=0,B1456=99,C1456&lt;&gt;""),F1456*100+B1456,""),"")</f>
        <v/>
      </c>
      <c r="H1456" s="0" t="n">
        <f aca="false">IFERROR(INDEX('Session Tracker'!$J$5:$J$149,MATCH($A1456,'Session Tracker'!$D$5:$D$149,0)),0)</f>
        <v>8</v>
      </c>
      <c r="I1456" s="0" t="str">
        <f aca="false">IF(OR(B1456=0,B1456=99,C1456=""),"",IF(E1456="Per class",D1456,D1456*H1456))</f>
        <v/>
      </c>
    </row>
    <row r="1457" customFormat="false" ht="15" hidden="false" customHeight="false" outlineLevel="0" collapsed="false">
      <c r="A1457" s="0" t="s">
        <v>223</v>
      </c>
      <c r="B1457" s="0" t="n">
        <v>99</v>
      </c>
      <c r="F1457" s="0" t="str">
        <f aca="false">IFERROR(INDEX('Session Tracker'!$M$5:$M$149,MATCH($A1457,'Session Tracker'!$D$5:$D$149,0))+0,"")</f>
        <v/>
      </c>
      <c r="G1457" s="0" t="str">
        <f aca="false">IF(ISNUMBER(F1457),IF(OR(B1457=0,B1457=99,C1457&lt;&gt;""),F1457*100+B1457,""),"")</f>
        <v/>
      </c>
      <c r="H1457" s="0" t="n">
        <f aca="false">IFERROR(INDEX('Session Tracker'!$J$5:$J$149,MATCH($A1457,'Session Tracker'!$D$5:$D$149,0)),0)</f>
        <v>8</v>
      </c>
      <c r="I1457" s="0" t="str">
        <f aca="false">IF(OR(B1457=0,B1457=99,C1457=""),"",IF(E1457="Per class",D1457,D1457*H1457))</f>
        <v/>
      </c>
    </row>
    <row r="1458" customFormat="false" ht="15" hidden="false" customHeight="false" outlineLevel="0" collapsed="false">
      <c r="A1458" s="0" t="s">
        <v>152</v>
      </c>
      <c r="B1458" s="0" t="n">
        <v>99</v>
      </c>
      <c r="F1458" s="0" t="str">
        <f aca="false">IFERROR(INDEX('Session Tracker'!$M$5:$M$149,MATCH($A1458,'Session Tracker'!$D$5:$D$149,0))+0,"")</f>
        <v/>
      </c>
      <c r="G1458" s="0" t="str">
        <f aca="false">IF(ISNUMBER(F1458),IF(OR(B1458=0,B1458=99,C1458&lt;&gt;""),F1458*100+B1458,""),"")</f>
        <v/>
      </c>
      <c r="H1458" s="0" t="n">
        <f aca="false">IFERROR(INDEX('Session Tracker'!$J$5:$J$149,MATCH($A1458,'Session Tracker'!$D$5:$D$149,0)),0)</f>
        <v>8</v>
      </c>
      <c r="I1458" s="0" t="str">
        <f aca="false">IF(OR(B1458=0,B1458=99,C1458=""),"",IF(E1458="Per class",D1458,D1458*H1458))</f>
        <v/>
      </c>
    </row>
    <row r="1459" customFormat="false" ht="15" hidden="false" customHeight="false" outlineLevel="0" collapsed="false">
      <c r="A1459" s="0" t="s">
        <v>82</v>
      </c>
      <c r="B1459" s="0" t="n">
        <v>99</v>
      </c>
      <c r="F1459" s="0" t="str">
        <f aca="false">IFERROR(INDEX('Session Tracker'!$M$5:$M$149,MATCH($A1459,'Session Tracker'!$D$5:$D$149,0))+0,"")</f>
        <v/>
      </c>
      <c r="G1459" s="0" t="str">
        <f aca="false">IF(ISNUMBER(F1459),IF(OR(B1459=0,B1459=99,C1459&lt;&gt;""),F1459*100+B1459,""),"")</f>
        <v/>
      </c>
      <c r="H1459" s="0" t="n">
        <f aca="false">IFERROR(INDEX('Session Tracker'!$J$5:$J$149,MATCH($A1459,'Session Tracker'!$D$5:$D$149,0)),0)</f>
        <v>8</v>
      </c>
      <c r="I1459" s="0" t="str">
        <f aca="false">IF(OR(B1459=0,B1459=99,C1459=""),"",IF(E1459="Per class",D1459,D1459*H1459))</f>
        <v/>
      </c>
    </row>
    <row r="1460" customFormat="false" ht="15" hidden="false" customHeight="false" outlineLevel="0" collapsed="false">
      <c r="A1460" s="0" t="s">
        <v>293</v>
      </c>
      <c r="B1460" s="0" t="n">
        <v>99</v>
      </c>
      <c r="F1460" s="0" t="str">
        <f aca="false">IFERROR(INDEX('Session Tracker'!$M$5:$M$149,MATCH($A1460,'Session Tracker'!$D$5:$D$149,0))+0,"")</f>
        <v/>
      </c>
      <c r="G1460" s="0" t="str">
        <f aca="false">IF(ISNUMBER(F1460),IF(OR(B1460=0,B1460=99,C1460&lt;&gt;""),F1460*100+B1460,""),"")</f>
        <v/>
      </c>
      <c r="H1460" s="0" t="n">
        <f aca="false">IFERROR(INDEX('Session Tracker'!$J$5:$J$149,MATCH($A1460,'Session Tracker'!$D$5:$D$149,0)),0)</f>
        <v>8</v>
      </c>
      <c r="I1460" s="0" t="str">
        <f aca="false">IF(OR(B1460=0,B1460=99,C1460=""),"",IF(E1460="Per class",D1460,D1460*H1460))</f>
        <v/>
      </c>
    </row>
    <row r="1461" customFormat="false" ht="15" hidden="false" customHeight="false" outlineLevel="0" collapsed="false">
      <c r="A1461" s="0" t="s">
        <v>224</v>
      </c>
      <c r="B1461" s="0" t="n">
        <v>99</v>
      </c>
      <c r="F1461" s="0" t="str">
        <f aca="false">IFERROR(INDEX('Session Tracker'!$M$5:$M$149,MATCH($A1461,'Session Tracker'!$D$5:$D$149,0))+0,"")</f>
        <v/>
      </c>
      <c r="G1461" s="0" t="str">
        <f aca="false">IF(ISNUMBER(F1461),IF(OR(B1461=0,B1461=99,C1461&lt;&gt;""),F1461*100+B1461,""),"")</f>
        <v/>
      </c>
      <c r="H1461" s="0" t="n">
        <f aca="false">IFERROR(INDEX('Session Tracker'!$J$5:$J$149,MATCH($A1461,'Session Tracker'!$D$5:$D$149,0)),0)</f>
        <v>8</v>
      </c>
      <c r="I1461" s="0" t="str">
        <f aca="false">IF(OR(B1461=0,B1461=99,C1461=""),"",IF(E1461="Per class",D1461,D1461*H1461))</f>
        <v/>
      </c>
    </row>
    <row r="1462" customFormat="false" ht="15" hidden="false" customHeight="false" outlineLevel="0" collapsed="false">
      <c r="A1462" s="0" t="s">
        <v>154</v>
      </c>
      <c r="B1462" s="0" t="n">
        <v>99</v>
      </c>
      <c r="F1462" s="0" t="str">
        <f aca="false">IFERROR(INDEX('Session Tracker'!$M$5:$M$149,MATCH($A1462,'Session Tracker'!$D$5:$D$149,0))+0,"")</f>
        <v/>
      </c>
      <c r="G1462" s="0" t="str">
        <f aca="false">IF(ISNUMBER(F1462),IF(OR(B1462=0,B1462=99,C1462&lt;&gt;""),F1462*100+B1462,""),"")</f>
        <v/>
      </c>
      <c r="H1462" s="0" t="n">
        <f aca="false">IFERROR(INDEX('Session Tracker'!$J$5:$J$149,MATCH($A1462,'Session Tracker'!$D$5:$D$149,0)),0)</f>
        <v>8</v>
      </c>
      <c r="I1462" s="0" t="str">
        <f aca="false">IF(OR(B1462=0,B1462=99,C1462=""),"",IF(E1462="Per class",D1462,D1462*H1462))</f>
        <v/>
      </c>
    </row>
    <row r="1463" customFormat="false" ht="15" hidden="false" customHeight="false" outlineLevel="0" collapsed="false">
      <c r="A1463" s="0" t="s">
        <v>156</v>
      </c>
      <c r="B1463" s="0" t="n">
        <v>99</v>
      </c>
      <c r="F1463" s="0" t="str">
        <f aca="false">IFERROR(INDEX('Session Tracker'!$M$5:$M$149,MATCH($A1463,'Session Tracker'!$D$5:$D$149,0))+0,"")</f>
        <v/>
      </c>
      <c r="G1463" s="0" t="str">
        <f aca="false">IF(ISNUMBER(F1463),IF(OR(B1463=0,B1463=99,C1463&lt;&gt;""),F1463*100+B1463,""),"")</f>
        <v/>
      </c>
      <c r="H1463" s="0" t="n">
        <f aca="false">IFERROR(INDEX('Session Tracker'!$J$5:$J$149,MATCH($A1463,'Session Tracker'!$D$5:$D$149,0)),0)</f>
        <v>8</v>
      </c>
      <c r="I1463" s="0" t="str">
        <f aca="false">IF(OR(B1463=0,B1463=99,C1463=""),"",IF(E1463="Per class",D1463,D1463*H1463))</f>
        <v/>
      </c>
    </row>
    <row r="1464" customFormat="false" ht="15" hidden="false" customHeight="false" outlineLevel="0" collapsed="false">
      <c r="A1464" s="0" t="s">
        <v>158</v>
      </c>
      <c r="B1464" s="0" t="n">
        <v>99</v>
      </c>
      <c r="F1464" s="0" t="str">
        <f aca="false">IFERROR(INDEX('Session Tracker'!$M$5:$M$149,MATCH($A1464,'Session Tracker'!$D$5:$D$149,0))+0,"")</f>
        <v/>
      </c>
      <c r="G1464" s="0" t="str">
        <f aca="false">IF(ISNUMBER(F1464),IF(OR(B1464=0,B1464=99,C1464&lt;&gt;""),F1464*100+B1464,""),"")</f>
        <v/>
      </c>
      <c r="H1464" s="0" t="n">
        <f aca="false">IFERROR(INDEX('Session Tracker'!$J$5:$J$149,MATCH($A1464,'Session Tracker'!$D$5:$D$149,0)),0)</f>
        <v>8</v>
      </c>
      <c r="I1464" s="0" t="str">
        <f aca="false">IF(OR(B1464=0,B1464=99,C1464=""),"",IF(E1464="Per class",D1464,D1464*H1464))</f>
        <v/>
      </c>
    </row>
    <row r="1465" customFormat="false" ht="15" hidden="false" customHeight="false" outlineLevel="0" collapsed="false">
      <c r="A1465" s="0" t="s">
        <v>160</v>
      </c>
      <c r="B1465" s="0" t="n">
        <v>99</v>
      </c>
      <c r="F1465" s="0" t="str">
        <f aca="false">IFERROR(INDEX('Session Tracker'!$M$5:$M$149,MATCH($A1465,'Session Tracker'!$D$5:$D$149,0))+0,"")</f>
        <v/>
      </c>
      <c r="G1465" s="0" t="str">
        <f aca="false">IF(ISNUMBER(F1465),IF(OR(B1465=0,B1465=99,C1465&lt;&gt;""),F1465*100+B1465,""),"")</f>
        <v/>
      </c>
      <c r="H1465" s="0" t="n">
        <f aca="false">IFERROR(INDEX('Session Tracker'!$J$5:$J$149,MATCH($A1465,'Session Tracker'!$D$5:$D$149,0)),0)</f>
        <v>8</v>
      </c>
      <c r="I1465" s="0" t="str">
        <f aca="false">IF(OR(B1465=0,B1465=99,C1465=""),"",IF(E1465="Per class",D1465,D1465*H1465))</f>
        <v/>
      </c>
    </row>
    <row r="1466" customFormat="false" ht="15" hidden="false" customHeight="false" outlineLevel="0" collapsed="false">
      <c r="A1466" s="0" t="s">
        <v>162</v>
      </c>
      <c r="B1466" s="0" t="n">
        <v>99</v>
      </c>
      <c r="F1466" s="0" t="str">
        <f aca="false">IFERROR(INDEX('Session Tracker'!$M$5:$M$149,MATCH($A1466,'Session Tracker'!$D$5:$D$149,0))+0,"")</f>
        <v/>
      </c>
      <c r="G1466" s="0" t="str">
        <f aca="false">IF(ISNUMBER(F1466),IF(OR(B1466=0,B1466=99,C1466&lt;&gt;""),F1466*100+B1466,""),"")</f>
        <v/>
      </c>
      <c r="H1466" s="0" t="n">
        <f aca="false">IFERROR(INDEX('Session Tracker'!$J$5:$J$149,MATCH($A1466,'Session Tracker'!$D$5:$D$149,0)),0)</f>
        <v>8</v>
      </c>
      <c r="I1466" s="0" t="str">
        <f aca="false">IF(OR(B1466=0,B1466=99,C1466=""),"",IF(E1466="Per class",D1466,D1466*H1466))</f>
        <v/>
      </c>
    </row>
    <row r="1467" customFormat="false" ht="15" hidden="false" customHeight="false" outlineLevel="0" collapsed="false">
      <c r="A1467" s="0" t="s">
        <v>164</v>
      </c>
      <c r="B1467" s="0" t="n">
        <v>99</v>
      </c>
      <c r="F1467" s="0" t="str">
        <f aca="false">IFERROR(INDEX('Session Tracker'!$M$5:$M$149,MATCH($A1467,'Session Tracker'!$D$5:$D$149,0))+0,"")</f>
        <v/>
      </c>
      <c r="G1467" s="0" t="str">
        <f aca="false">IF(ISNUMBER(F1467),IF(OR(B1467=0,B1467=99,C1467&lt;&gt;""),F1467*100+B1467,""),"")</f>
        <v/>
      </c>
      <c r="H1467" s="0" t="n">
        <f aca="false">IFERROR(INDEX('Session Tracker'!$J$5:$J$149,MATCH($A1467,'Session Tracker'!$D$5:$D$149,0)),0)</f>
        <v>8</v>
      </c>
      <c r="I1467" s="0" t="str">
        <f aca="false">IF(OR(B1467=0,B1467=99,C1467=""),"",IF(E1467="Per class",D1467,D1467*H1467))</f>
        <v/>
      </c>
    </row>
    <row r="1468" customFormat="false" ht="15" hidden="false" customHeight="false" outlineLevel="0" collapsed="false">
      <c r="A1468" s="0" t="s">
        <v>166</v>
      </c>
      <c r="B1468" s="0" t="n">
        <v>99</v>
      </c>
      <c r="F1468" s="0" t="str">
        <f aca="false">IFERROR(INDEX('Session Tracker'!$M$5:$M$149,MATCH($A1468,'Session Tracker'!$D$5:$D$149,0))+0,"")</f>
        <v/>
      </c>
      <c r="G1468" s="0" t="str">
        <f aca="false">IF(ISNUMBER(F1468),IF(OR(B1468=0,B1468=99,C1468&lt;&gt;""),F1468*100+B1468,""),"")</f>
        <v/>
      </c>
      <c r="H1468" s="0" t="n">
        <f aca="false">IFERROR(INDEX('Session Tracker'!$J$5:$J$149,MATCH($A1468,'Session Tracker'!$D$5:$D$149,0)),0)</f>
        <v>8</v>
      </c>
      <c r="I1468" s="0" t="str">
        <f aca="false">IF(OR(B1468=0,B1468=99,C1468=""),"",IF(E1468="Per class",D1468,D1468*H1468))</f>
        <v/>
      </c>
    </row>
    <row r="1469" customFormat="false" ht="15" hidden="false" customHeight="false" outlineLevel="0" collapsed="false">
      <c r="A1469" s="0" t="s">
        <v>168</v>
      </c>
      <c r="B1469" s="0" t="n">
        <v>99</v>
      </c>
      <c r="F1469" s="0" t="str">
        <f aca="false">IFERROR(INDEX('Session Tracker'!$M$5:$M$149,MATCH($A1469,'Session Tracker'!$D$5:$D$149,0))+0,"")</f>
        <v/>
      </c>
      <c r="G1469" s="0" t="str">
        <f aca="false">IF(ISNUMBER(F1469),IF(OR(B1469=0,B1469=99,C1469&lt;&gt;""),F1469*100+B1469,""),"")</f>
        <v/>
      </c>
      <c r="H1469" s="0" t="n">
        <f aca="false">IFERROR(INDEX('Session Tracker'!$J$5:$J$149,MATCH($A1469,'Session Tracker'!$D$5:$D$149,0)),0)</f>
        <v>8</v>
      </c>
      <c r="I1469" s="0" t="str">
        <f aca="false">IF(OR(B1469=0,B1469=99,C1469=""),"",IF(E1469="Per class",D1469,D1469*H1469))</f>
        <v/>
      </c>
    </row>
    <row r="1470" customFormat="false" ht="15" hidden="false" customHeight="false" outlineLevel="0" collapsed="false">
      <c r="A1470" s="0" t="s">
        <v>170</v>
      </c>
      <c r="B1470" s="0" t="n">
        <v>99</v>
      </c>
      <c r="F1470" s="0" t="str">
        <f aca="false">IFERROR(INDEX('Session Tracker'!$M$5:$M$149,MATCH($A1470,'Session Tracker'!$D$5:$D$149,0))+0,"")</f>
        <v/>
      </c>
      <c r="G1470" s="0" t="str">
        <f aca="false">IF(ISNUMBER(F1470),IF(OR(B1470=0,B1470=99,C1470&lt;&gt;""),F1470*100+B1470,""),"")</f>
        <v/>
      </c>
      <c r="H1470" s="0" t="n">
        <f aca="false">IFERROR(INDEX('Session Tracker'!$J$5:$J$149,MATCH($A1470,'Session Tracker'!$D$5:$D$149,0)),0)</f>
        <v>8</v>
      </c>
      <c r="I1470" s="0" t="str">
        <f aca="false">IF(OR(B1470=0,B1470=99,C1470=""),"",IF(E1470="Per class",D1470,D1470*H1470))</f>
        <v/>
      </c>
    </row>
    <row r="1471" customFormat="false" ht="15" hidden="false" customHeight="false" outlineLevel="0" collapsed="false">
      <c r="A1471" s="0" t="s">
        <v>172</v>
      </c>
      <c r="B1471" s="0" t="n">
        <v>99</v>
      </c>
      <c r="F1471" s="0" t="str">
        <f aca="false">IFERROR(INDEX('Session Tracker'!$M$5:$M$149,MATCH($A1471,'Session Tracker'!$D$5:$D$149,0))+0,"")</f>
        <v/>
      </c>
      <c r="G1471" s="0" t="str">
        <f aca="false">IF(ISNUMBER(F1471),IF(OR(B1471=0,B1471=99,C1471&lt;&gt;""),F1471*100+B1471,""),"")</f>
        <v/>
      </c>
      <c r="H1471" s="0" t="n">
        <f aca="false">IFERROR(INDEX('Session Tracker'!$J$5:$J$149,MATCH($A1471,'Session Tracker'!$D$5:$D$149,0)),0)</f>
        <v>8</v>
      </c>
      <c r="I1471" s="0" t="str">
        <f aca="false">IF(OR(B1471=0,B1471=99,C1471=""),"",IF(E1471="Per class",D1471,D1471*H1471))</f>
        <v/>
      </c>
    </row>
    <row r="1472" customFormat="false" ht="15" hidden="false" customHeight="false" outlineLevel="0" collapsed="false">
      <c r="A1472" s="0" t="s">
        <v>174</v>
      </c>
      <c r="B1472" s="0" t="n">
        <v>99</v>
      </c>
      <c r="F1472" s="0" t="str">
        <f aca="false">IFERROR(INDEX('Session Tracker'!$M$5:$M$149,MATCH($A1472,'Session Tracker'!$D$5:$D$149,0))+0,"")</f>
        <v/>
      </c>
      <c r="G1472" s="0" t="str">
        <f aca="false">IF(ISNUMBER(F1472),IF(OR(B1472=0,B1472=99,C1472&lt;&gt;""),F1472*100+B1472,""),"")</f>
        <v/>
      </c>
      <c r="H1472" s="0" t="n">
        <f aca="false">IFERROR(INDEX('Session Tracker'!$J$5:$J$149,MATCH($A1472,'Session Tracker'!$D$5:$D$149,0)),0)</f>
        <v>8</v>
      </c>
      <c r="I1472" s="0" t="str">
        <f aca="false">IF(OR(B1472=0,B1472=99,C1472=""),"",IF(E1472="Per class",D1472,D1472*H1472))</f>
        <v/>
      </c>
    </row>
    <row r="1473" customFormat="false" ht="15" hidden="false" customHeight="false" outlineLevel="0" collapsed="false">
      <c r="A1473" s="0" t="s">
        <v>176</v>
      </c>
      <c r="B1473" s="0" t="n">
        <v>99</v>
      </c>
      <c r="F1473" s="0" t="str">
        <f aca="false">IFERROR(INDEX('Session Tracker'!$M$5:$M$149,MATCH($A1473,'Session Tracker'!$D$5:$D$149,0))+0,"")</f>
        <v/>
      </c>
      <c r="G1473" s="0" t="str">
        <f aca="false">IF(ISNUMBER(F1473),IF(OR(B1473=0,B1473=99,C1473&lt;&gt;""),F1473*100+B1473,""),"")</f>
        <v/>
      </c>
      <c r="H1473" s="0" t="n">
        <f aca="false">IFERROR(INDEX('Session Tracker'!$J$5:$J$149,MATCH($A1473,'Session Tracker'!$D$5:$D$149,0)),0)</f>
        <v>8</v>
      </c>
      <c r="I1473" s="0" t="str">
        <f aca="false">IF(OR(B1473=0,B1473=99,C1473=""),"",IF(E1473="Per class",D1473,D1473*H1473))</f>
        <v/>
      </c>
    </row>
    <row r="1474" customFormat="false" ht="15" hidden="false" customHeight="false" outlineLevel="0" collapsed="false">
      <c r="A1474" s="0" t="s">
        <v>178</v>
      </c>
      <c r="B1474" s="0" t="n">
        <v>99</v>
      </c>
      <c r="F1474" s="0" t="str">
        <f aca="false">IFERROR(INDEX('Session Tracker'!$M$5:$M$149,MATCH($A1474,'Session Tracker'!$D$5:$D$149,0))+0,"")</f>
        <v/>
      </c>
      <c r="G1474" s="0" t="str">
        <f aca="false">IF(ISNUMBER(F1474),IF(OR(B1474=0,B1474=99,C1474&lt;&gt;""),F1474*100+B1474,""),"")</f>
        <v/>
      </c>
      <c r="H1474" s="0" t="n">
        <f aca="false">IFERROR(INDEX('Session Tracker'!$J$5:$J$149,MATCH($A1474,'Session Tracker'!$D$5:$D$149,0)),0)</f>
        <v>8</v>
      </c>
      <c r="I1474" s="0" t="str">
        <f aca="false">IF(OR(B1474=0,B1474=99,C1474=""),"",IF(E1474="Per class",D1474,D1474*H1474))</f>
        <v/>
      </c>
    </row>
    <row r="1475" customFormat="false" ht="15" hidden="false" customHeight="false" outlineLevel="0" collapsed="false">
      <c r="A1475" s="0" t="s">
        <v>180</v>
      </c>
      <c r="B1475" s="0" t="n">
        <v>99</v>
      </c>
      <c r="F1475" s="0" t="str">
        <f aca="false">IFERROR(INDEX('Session Tracker'!$M$5:$M$149,MATCH($A1475,'Session Tracker'!$D$5:$D$149,0))+0,"")</f>
        <v/>
      </c>
      <c r="G1475" s="0" t="str">
        <f aca="false">IF(ISNUMBER(F1475),IF(OR(B1475=0,B1475=99,C1475&lt;&gt;""),F1475*100+B1475,""),"")</f>
        <v/>
      </c>
      <c r="H1475" s="0" t="n">
        <f aca="false">IFERROR(INDEX('Session Tracker'!$J$5:$J$149,MATCH($A1475,'Session Tracker'!$D$5:$D$149,0)),0)</f>
        <v>8</v>
      </c>
      <c r="I1475" s="0" t="str">
        <f aca="false">IF(OR(B1475=0,B1475=99,C1475=""),"",IF(E1475="Per class",D1475,D1475*H1475))</f>
        <v/>
      </c>
    </row>
    <row r="1476" customFormat="false" ht="15" hidden="false" customHeight="false" outlineLevel="0" collapsed="false">
      <c r="A1476" s="0" t="s">
        <v>182</v>
      </c>
      <c r="B1476" s="0" t="n">
        <v>99</v>
      </c>
      <c r="F1476" s="0" t="str">
        <f aca="false">IFERROR(INDEX('Session Tracker'!$M$5:$M$149,MATCH($A1476,'Session Tracker'!$D$5:$D$149,0))+0,"")</f>
        <v/>
      </c>
      <c r="G1476" s="0" t="str">
        <f aca="false">IF(ISNUMBER(F1476),IF(OR(B1476=0,B1476=99,C1476&lt;&gt;""),F1476*100+B1476,""),"")</f>
        <v/>
      </c>
      <c r="H1476" s="0" t="n">
        <f aca="false">IFERROR(INDEX('Session Tracker'!$J$5:$J$149,MATCH($A1476,'Session Tracker'!$D$5:$D$149,0)),0)</f>
        <v>8</v>
      </c>
      <c r="I1476" s="0" t="str">
        <f aca="false">IF(OR(B1476=0,B1476=99,C1476=""),"",IF(E1476="Per class",D1476,D1476*H1476))</f>
        <v/>
      </c>
    </row>
    <row r="1477" customFormat="false" ht="15" hidden="false" customHeight="false" outlineLevel="0" collapsed="false">
      <c r="A1477" s="0" t="s">
        <v>184</v>
      </c>
      <c r="B1477" s="0" t="n">
        <v>99</v>
      </c>
      <c r="F1477" s="0" t="str">
        <f aca="false">IFERROR(INDEX('Session Tracker'!$M$5:$M$149,MATCH($A1477,'Session Tracker'!$D$5:$D$149,0))+0,"")</f>
        <v/>
      </c>
      <c r="G1477" s="0" t="str">
        <f aca="false">IF(ISNUMBER(F1477),IF(OR(B1477=0,B1477=99,C1477&lt;&gt;""),F1477*100+B1477,""),"")</f>
        <v/>
      </c>
      <c r="H1477" s="0" t="n">
        <f aca="false">IFERROR(INDEX('Session Tracker'!$J$5:$J$149,MATCH($A1477,'Session Tracker'!$D$5:$D$149,0)),0)</f>
        <v>8</v>
      </c>
      <c r="I1477" s="0" t="str">
        <f aca="false">IF(OR(B1477=0,B1477=99,C1477=""),"",IF(E1477="Per class",D1477,D1477*H1477))</f>
        <v/>
      </c>
    </row>
    <row r="1478" customFormat="false" ht="15" hidden="false" customHeight="false" outlineLevel="0" collapsed="false">
      <c r="A1478" s="0" t="s">
        <v>186</v>
      </c>
      <c r="B1478" s="0" t="n">
        <v>99</v>
      </c>
      <c r="F1478" s="0" t="str">
        <f aca="false">IFERROR(INDEX('Session Tracker'!$M$5:$M$149,MATCH($A1478,'Session Tracker'!$D$5:$D$149,0))+0,"")</f>
        <v/>
      </c>
      <c r="G1478" s="0" t="str">
        <f aca="false">IF(ISNUMBER(F1478),IF(OR(B1478=0,B1478=99,C1478&lt;&gt;""),F1478*100+B1478,""),"")</f>
        <v/>
      </c>
      <c r="H1478" s="0" t="n">
        <f aca="false">IFERROR(INDEX('Session Tracker'!$J$5:$J$149,MATCH($A1478,'Session Tracker'!$D$5:$D$149,0)),0)</f>
        <v>8</v>
      </c>
      <c r="I1478" s="0" t="str">
        <f aca="false">IF(OR(B1478=0,B1478=99,C1478=""),"",IF(E1478="Per class",D1478,D1478*H1478))</f>
        <v/>
      </c>
    </row>
    <row r="1479" customFormat="false" ht="15" hidden="false" customHeight="false" outlineLevel="0" collapsed="false">
      <c r="A1479" s="0" t="s">
        <v>188</v>
      </c>
      <c r="B1479" s="0" t="n">
        <v>99</v>
      </c>
      <c r="F1479" s="0" t="str">
        <f aca="false">IFERROR(INDEX('Session Tracker'!$M$5:$M$149,MATCH($A1479,'Session Tracker'!$D$5:$D$149,0))+0,"")</f>
        <v/>
      </c>
      <c r="G1479" s="0" t="str">
        <f aca="false">IF(ISNUMBER(F1479),IF(OR(B1479=0,B1479=99,C1479&lt;&gt;""),F1479*100+B1479,""),"")</f>
        <v/>
      </c>
      <c r="H1479" s="0" t="n">
        <f aca="false">IFERROR(INDEX('Session Tracker'!$J$5:$J$149,MATCH($A1479,'Session Tracker'!$D$5:$D$149,0)),0)</f>
        <v>8</v>
      </c>
      <c r="I1479" s="0" t="str">
        <f aca="false">IF(OR(B1479=0,B1479=99,C1479=""),"",IF(E1479="Per class",D1479,D1479*H1479))</f>
        <v/>
      </c>
    </row>
    <row r="1480" customFormat="false" ht="15" hidden="false" customHeight="false" outlineLevel="0" collapsed="false">
      <c r="A1480" s="0" t="s">
        <v>190</v>
      </c>
      <c r="B1480" s="0" t="n">
        <v>99</v>
      </c>
      <c r="F1480" s="0" t="str">
        <f aca="false">IFERROR(INDEX('Session Tracker'!$M$5:$M$149,MATCH($A1480,'Session Tracker'!$D$5:$D$149,0))+0,"")</f>
        <v/>
      </c>
      <c r="G1480" s="0" t="str">
        <f aca="false">IF(ISNUMBER(F1480),IF(OR(B1480=0,B1480=99,C1480&lt;&gt;""),F1480*100+B1480,""),"")</f>
        <v/>
      </c>
      <c r="H1480" s="0" t="n">
        <f aca="false">IFERROR(INDEX('Session Tracker'!$J$5:$J$149,MATCH($A1480,'Session Tracker'!$D$5:$D$149,0)),0)</f>
        <v>8</v>
      </c>
      <c r="I1480" s="0" t="str">
        <f aca="false">IF(OR(B1480=0,B1480=99,C1480=""),"",IF(E1480="Per class",D1480,D1480*H1480))</f>
        <v/>
      </c>
    </row>
    <row r="1481" customFormat="false" ht="15" hidden="false" customHeight="false" outlineLevel="0" collapsed="false">
      <c r="A1481" s="0" t="s">
        <v>192</v>
      </c>
      <c r="B1481" s="0" t="n">
        <v>99</v>
      </c>
      <c r="F1481" s="0" t="str">
        <f aca="false">IFERROR(INDEX('Session Tracker'!$M$5:$M$149,MATCH($A1481,'Session Tracker'!$D$5:$D$149,0))+0,"")</f>
        <v/>
      </c>
      <c r="G1481" s="0" t="str">
        <f aca="false">IF(ISNUMBER(F1481),IF(OR(B1481=0,B1481=99,C1481&lt;&gt;""),F1481*100+B1481,""),"")</f>
        <v/>
      </c>
      <c r="H1481" s="0" t="n">
        <f aca="false">IFERROR(INDEX('Session Tracker'!$J$5:$J$149,MATCH($A1481,'Session Tracker'!$D$5:$D$149,0)),0)</f>
        <v>8</v>
      </c>
      <c r="I1481" s="0" t="str">
        <f aca="false">IF(OR(B1481=0,B1481=99,C1481=""),"",IF(E1481="Per class",D1481,D1481*H1481))</f>
        <v/>
      </c>
    </row>
    <row r="1482" customFormat="false" ht="15" hidden="false" customHeight="false" outlineLevel="0" collapsed="false">
      <c r="A1482" s="0" t="s">
        <v>194</v>
      </c>
      <c r="B1482" s="0" t="n">
        <v>99</v>
      </c>
      <c r="F1482" s="0" t="str">
        <f aca="false">IFERROR(INDEX('Session Tracker'!$M$5:$M$149,MATCH($A1482,'Session Tracker'!$D$5:$D$149,0))+0,"")</f>
        <v/>
      </c>
      <c r="G1482" s="0" t="str">
        <f aca="false">IF(ISNUMBER(F1482),IF(OR(B1482=0,B1482=99,C1482&lt;&gt;""),F1482*100+B1482,""),"")</f>
        <v/>
      </c>
      <c r="H1482" s="0" t="n">
        <f aca="false">IFERROR(INDEX('Session Tracker'!$J$5:$J$149,MATCH($A1482,'Session Tracker'!$D$5:$D$149,0)),0)</f>
        <v>8</v>
      </c>
      <c r="I1482" s="0" t="str">
        <f aca="false">IF(OR(B1482=0,B1482=99,C1482=""),"",IF(E1482="Per class",D1482,D1482*H1482))</f>
        <v/>
      </c>
    </row>
    <row r="1483" customFormat="false" ht="15" hidden="false" customHeight="false" outlineLevel="0" collapsed="false">
      <c r="A1483" s="0" t="s">
        <v>196</v>
      </c>
      <c r="B1483" s="0" t="n">
        <v>99</v>
      </c>
      <c r="F1483" s="0" t="str">
        <f aca="false">IFERROR(INDEX('Session Tracker'!$M$5:$M$149,MATCH($A1483,'Session Tracker'!$D$5:$D$149,0))+0,"")</f>
        <v/>
      </c>
      <c r="G1483" s="0" t="str">
        <f aca="false">IF(ISNUMBER(F1483),IF(OR(B1483=0,B1483=99,C1483&lt;&gt;""),F1483*100+B1483,""),"")</f>
        <v/>
      </c>
      <c r="H1483" s="0" t="n">
        <f aca="false">IFERROR(INDEX('Session Tracker'!$J$5:$J$149,MATCH($A1483,'Session Tracker'!$D$5:$D$149,0)),0)</f>
        <v>8</v>
      </c>
      <c r="I1483" s="0" t="str">
        <f aca="false">IF(OR(B1483=0,B1483=99,C1483=""),"",IF(E1483="Per class",D1483,D1483*H1483))</f>
        <v/>
      </c>
    </row>
    <row r="1484" customFormat="false" ht="15" hidden="false" customHeight="false" outlineLevel="0" collapsed="false">
      <c r="A1484" s="0" t="s">
        <v>198</v>
      </c>
      <c r="B1484" s="0" t="n">
        <v>99</v>
      </c>
      <c r="F1484" s="0" t="str">
        <f aca="false">IFERROR(INDEX('Session Tracker'!$M$5:$M$149,MATCH($A1484,'Session Tracker'!$D$5:$D$149,0))+0,"")</f>
        <v/>
      </c>
      <c r="G1484" s="0" t="str">
        <f aca="false">IF(ISNUMBER(F1484),IF(OR(B1484=0,B1484=99,C1484&lt;&gt;""),F1484*100+B1484,""),"")</f>
        <v/>
      </c>
      <c r="H1484" s="0" t="n">
        <f aca="false">IFERROR(INDEX('Session Tracker'!$J$5:$J$149,MATCH($A1484,'Session Tracker'!$D$5:$D$149,0)),0)</f>
        <v>8</v>
      </c>
      <c r="I1484" s="0" t="str">
        <f aca="false">IF(OR(B1484=0,B1484=99,C1484=""),"",IF(E1484="Per class",D1484,D1484*H1484))</f>
        <v/>
      </c>
    </row>
    <row r="1485" customFormat="false" ht="15" hidden="false" customHeight="false" outlineLevel="0" collapsed="false">
      <c r="A1485" s="0" t="s">
        <v>200</v>
      </c>
      <c r="B1485" s="0" t="n">
        <v>99</v>
      </c>
      <c r="F1485" s="0" t="str">
        <f aca="false">IFERROR(INDEX('Session Tracker'!$M$5:$M$149,MATCH($A1485,'Session Tracker'!$D$5:$D$149,0))+0,"")</f>
        <v/>
      </c>
      <c r="G1485" s="0" t="str">
        <f aca="false">IF(ISNUMBER(F1485),IF(OR(B1485=0,B1485=99,C1485&lt;&gt;""),F1485*100+B1485,""),"")</f>
        <v/>
      </c>
      <c r="H1485" s="0" t="n">
        <f aca="false">IFERROR(INDEX('Session Tracker'!$J$5:$J$149,MATCH($A1485,'Session Tracker'!$D$5:$D$149,0)),0)</f>
        <v>8</v>
      </c>
      <c r="I1485" s="0" t="str">
        <f aca="false">IF(OR(B1485=0,B1485=99,C1485=""),"",IF(E1485="Per class",D1485,D1485*H1485))</f>
        <v/>
      </c>
    </row>
    <row r="1486" customFormat="false" ht="15" hidden="false" customHeight="false" outlineLevel="0" collapsed="false">
      <c r="A1486" s="0" t="s">
        <v>202</v>
      </c>
      <c r="B1486" s="0" t="n">
        <v>99</v>
      </c>
      <c r="F1486" s="0" t="str">
        <f aca="false">IFERROR(INDEX('Session Tracker'!$M$5:$M$149,MATCH($A1486,'Session Tracker'!$D$5:$D$149,0))+0,"")</f>
        <v/>
      </c>
      <c r="G1486" s="0" t="str">
        <f aca="false">IF(ISNUMBER(F1486),IF(OR(B1486=0,B1486=99,C1486&lt;&gt;""),F1486*100+B1486,""),"")</f>
        <v/>
      </c>
      <c r="H1486" s="0" t="n">
        <f aca="false">IFERROR(INDEX('Session Tracker'!$J$5:$J$149,MATCH($A1486,'Session Tracker'!$D$5:$D$149,0)),0)</f>
        <v>8</v>
      </c>
      <c r="I1486" s="0" t="str">
        <f aca="false">IF(OR(B1486=0,B1486=99,C1486=""),"",IF(E1486="Per class",D1486,D1486*H1486))</f>
        <v/>
      </c>
    </row>
    <row r="1487" customFormat="false" ht="15" hidden="false" customHeight="false" outlineLevel="0" collapsed="false">
      <c r="A1487" s="0" t="s">
        <v>204</v>
      </c>
      <c r="B1487" s="0" t="n">
        <v>99</v>
      </c>
      <c r="F1487" s="0" t="str">
        <f aca="false">IFERROR(INDEX('Session Tracker'!$M$5:$M$149,MATCH($A1487,'Session Tracker'!$D$5:$D$149,0))+0,"")</f>
        <v/>
      </c>
      <c r="G1487" s="0" t="str">
        <f aca="false">IF(ISNUMBER(F1487),IF(OR(B1487=0,B1487=99,C1487&lt;&gt;""),F1487*100+B1487,""),"")</f>
        <v/>
      </c>
      <c r="H1487" s="0" t="n">
        <f aca="false">IFERROR(INDEX('Session Tracker'!$J$5:$J$149,MATCH($A1487,'Session Tracker'!$D$5:$D$149,0)),0)</f>
        <v>8</v>
      </c>
      <c r="I1487" s="0" t="str">
        <f aca="false">IF(OR(B1487=0,B1487=99,C1487=""),"",IF(E1487="Per class",D1487,D1487*H1487))</f>
        <v/>
      </c>
    </row>
    <row r="1488" customFormat="false" ht="15" hidden="false" customHeight="false" outlineLevel="0" collapsed="false">
      <c r="A1488" s="0" t="s">
        <v>206</v>
      </c>
      <c r="B1488" s="0" t="n">
        <v>99</v>
      </c>
      <c r="F1488" s="0" t="str">
        <f aca="false">IFERROR(INDEX('Session Tracker'!$M$5:$M$149,MATCH($A1488,'Session Tracker'!$D$5:$D$149,0))+0,"")</f>
        <v/>
      </c>
      <c r="G1488" s="0" t="str">
        <f aca="false">IF(ISNUMBER(F1488),IF(OR(B1488=0,B1488=99,C1488&lt;&gt;""),F1488*100+B1488,""),"")</f>
        <v/>
      </c>
      <c r="H1488" s="0" t="n">
        <f aca="false">IFERROR(INDEX('Session Tracker'!$J$5:$J$149,MATCH($A1488,'Session Tracker'!$D$5:$D$149,0)),0)</f>
        <v>8</v>
      </c>
      <c r="I1488" s="0" t="str">
        <f aca="false">IF(OR(B1488=0,B1488=99,C1488=""),"",IF(E1488="Per class",D1488,D1488*H1488))</f>
        <v/>
      </c>
    </row>
    <row r="1489" customFormat="false" ht="15" hidden="false" customHeight="false" outlineLevel="0" collapsed="false">
      <c r="A1489" s="0" t="s">
        <v>208</v>
      </c>
      <c r="B1489" s="0" t="n">
        <v>99</v>
      </c>
      <c r="F1489" s="0" t="str">
        <f aca="false">IFERROR(INDEX('Session Tracker'!$M$5:$M$149,MATCH($A1489,'Session Tracker'!$D$5:$D$149,0))+0,"")</f>
        <v/>
      </c>
      <c r="G1489" s="0" t="str">
        <f aca="false">IF(ISNUMBER(F1489),IF(OR(B1489=0,B1489=99,C1489&lt;&gt;""),F1489*100+B1489,""),"")</f>
        <v/>
      </c>
      <c r="H1489" s="0" t="n">
        <f aca="false">IFERROR(INDEX('Session Tracker'!$J$5:$J$149,MATCH($A1489,'Session Tracker'!$D$5:$D$149,0)),0)</f>
        <v>8</v>
      </c>
      <c r="I1489" s="0" t="str">
        <f aca="false">IF(OR(B1489=0,B1489=99,C1489=""),"",IF(E1489="Per class",D1489,D1489*H1489))</f>
        <v/>
      </c>
    </row>
    <row r="1490" customFormat="false" ht="15" hidden="false" customHeight="false" outlineLevel="0" collapsed="false">
      <c r="A1490" s="0" t="s">
        <v>210</v>
      </c>
      <c r="B1490" s="0" t="n">
        <v>99</v>
      </c>
      <c r="F1490" s="0" t="str">
        <f aca="false">IFERROR(INDEX('Session Tracker'!$M$5:$M$149,MATCH($A1490,'Session Tracker'!$D$5:$D$149,0))+0,"")</f>
        <v/>
      </c>
      <c r="G1490" s="0" t="str">
        <f aca="false">IF(ISNUMBER(F1490),IF(OR(B1490=0,B1490=99,C1490&lt;&gt;""),F1490*100+B1490,""),"")</f>
        <v/>
      </c>
      <c r="H1490" s="0" t="n">
        <f aca="false">IFERROR(INDEX('Session Tracker'!$J$5:$J$149,MATCH($A1490,'Session Tracker'!$D$5:$D$149,0)),0)</f>
        <v>8</v>
      </c>
      <c r="I1490" s="0" t="str">
        <f aca="false">IF(OR(B1490=0,B1490=99,C1490=""),"",IF(E1490="Per class",D1490,D1490*H1490))</f>
        <v/>
      </c>
    </row>
    <row r="1491" customFormat="false" ht="15" hidden="false" customHeight="false" outlineLevel="0" collapsed="false">
      <c r="A1491" s="0" t="s">
        <v>212</v>
      </c>
      <c r="B1491" s="0" t="n">
        <v>99</v>
      </c>
      <c r="F1491" s="0" t="str">
        <f aca="false">IFERROR(INDEX('Session Tracker'!$M$5:$M$149,MATCH($A1491,'Session Tracker'!$D$5:$D$149,0))+0,"")</f>
        <v/>
      </c>
      <c r="G1491" s="0" t="str">
        <f aca="false">IF(ISNUMBER(F1491),IF(OR(B1491=0,B1491=99,C1491&lt;&gt;""),F1491*100+B1491,""),"")</f>
        <v/>
      </c>
      <c r="H1491" s="0" t="n">
        <f aca="false">IFERROR(INDEX('Session Tracker'!$J$5:$J$149,MATCH($A1491,'Session Tracker'!$D$5:$D$149,0)),0)</f>
        <v>8</v>
      </c>
      <c r="I1491" s="0" t="str">
        <f aca="false">IF(OR(B1491=0,B1491=99,C1491=""),"",IF(E1491="Per class",D1491,D1491*H1491))</f>
        <v/>
      </c>
    </row>
    <row r="1492" customFormat="false" ht="15" hidden="false" customHeight="false" outlineLevel="0" collapsed="false">
      <c r="A1492" s="0" t="s">
        <v>214</v>
      </c>
      <c r="B1492" s="0" t="n">
        <v>99</v>
      </c>
      <c r="F1492" s="0" t="str">
        <f aca="false">IFERROR(INDEX('Session Tracker'!$M$5:$M$149,MATCH($A1492,'Session Tracker'!$D$5:$D$149,0))+0,"")</f>
        <v/>
      </c>
      <c r="G1492" s="0" t="str">
        <f aca="false">IF(ISNUMBER(F1492),IF(OR(B1492=0,B1492=99,C1492&lt;&gt;""),F1492*100+B1492,""),"")</f>
        <v/>
      </c>
      <c r="H1492" s="0" t="n">
        <f aca="false">IFERROR(INDEX('Session Tracker'!$J$5:$J$149,MATCH($A1492,'Session Tracker'!$D$5:$D$149,0)),0)</f>
        <v>8</v>
      </c>
      <c r="I1492" s="0" t="str">
        <f aca="false">IF(OR(B1492=0,B1492=99,C1492=""),"",IF(E1492="Per class",D1492,D1492*H1492))</f>
        <v/>
      </c>
    </row>
    <row r="1493" customFormat="false" ht="15" hidden="false" customHeight="false" outlineLevel="0" collapsed="false">
      <c r="A1493" s="0" t="s">
        <v>216</v>
      </c>
      <c r="B1493" s="0" t="n">
        <v>99</v>
      </c>
      <c r="F1493" s="0" t="str">
        <f aca="false">IFERROR(INDEX('Session Tracker'!$M$5:$M$149,MATCH($A1493,'Session Tracker'!$D$5:$D$149,0))+0,"")</f>
        <v/>
      </c>
      <c r="G1493" s="0" t="str">
        <f aca="false">IF(ISNUMBER(F1493),IF(OR(B1493=0,B1493=99,C1493&lt;&gt;""),F1493*100+B1493,""),"")</f>
        <v/>
      </c>
      <c r="H1493" s="0" t="n">
        <f aca="false">IFERROR(INDEX('Session Tracker'!$J$5:$J$149,MATCH($A1493,'Session Tracker'!$D$5:$D$149,0)),0)</f>
        <v>8</v>
      </c>
      <c r="I1493" s="0" t="str">
        <f aca="false">IF(OR(B1493=0,B1493=99,C1493=""),"",IF(E1493="Per class",D1493,D1493*H1493))</f>
        <v/>
      </c>
    </row>
    <row r="1494" customFormat="false" ht="15" hidden="false" customHeight="false" outlineLevel="0" collapsed="false">
      <c r="A1494" s="0" t="s">
        <v>218</v>
      </c>
      <c r="B1494" s="0" t="n">
        <v>99</v>
      </c>
      <c r="F1494" s="0" t="str">
        <f aca="false">IFERROR(INDEX('Session Tracker'!$M$5:$M$149,MATCH($A1494,'Session Tracker'!$D$5:$D$149,0))+0,"")</f>
        <v/>
      </c>
      <c r="G1494" s="0" t="str">
        <f aca="false">IF(ISNUMBER(F1494),IF(OR(B1494=0,B1494=99,C1494&lt;&gt;""),F1494*100+B1494,""),"")</f>
        <v/>
      </c>
      <c r="H1494" s="0" t="n">
        <f aca="false">IFERROR(INDEX('Session Tracker'!$J$5:$J$149,MATCH($A1494,'Session Tracker'!$D$5:$D$149,0)),0)</f>
        <v>8</v>
      </c>
      <c r="I1494" s="0" t="str">
        <f aca="false">IF(OR(B1494=0,B1494=99,C1494=""),"",IF(E1494="Per class",D1494,D1494*H1494))</f>
        <v/>
      </c>
    </row>
    <row r="1495" customFormat="false" ht="15" hidden="false" customHeight="false" outlineLevel="0" collapsed="false">
      <c r="A1495" s="0" t="s">
        <v>84</v>
      </c>
      <c r="B1495" s="0" t="n">
        <v>99</v>
      </c>
      <c r="F1495" s="0" t="str">
        <f aca="false">IFERROR(INDEX('Session Tracker'!$M$5:$M$149,MATCH($A1495,'Session Tracker'!$D$5:$D$149,0))+0,"")</f>
        <v/>
      </c>
      <c r="G1495" s="0" t="str">
        <f aca="false">IF(ISNUMBER(F1495),IF(OR(B1495=0,B1495=99,C1495&lt;&gt;""),F1495*100+B1495,""),"")</f>
        <v/>
      </c>
      <c r="H1495" s="0" t="n">
        <f aca="false">IFERROR(INDEX('Session Tracker'!$J$5:$J$149,MATCH($A1495,'Session Tracker'!$D$5:$D$149,0)),0)</f>
        <v>8</v>
      </c>
      <c r="I1495" s="0" t="str">
        <f aca="false">IF(OR(B1495=0,B1495=99,C1495=""),"",IF(E1495="Per class",D1495,D1495*H1495))</f>
        <v/>
      </c>
    </row>
    <row r="1496" customFormat="false" ht="15" hidden="false" customHeight="false" outlineLevel="0" collapsed="false">
      <c r="A1496" s="0" t="s">
        <v>86</v>
      </c>
      <c r="B1496" s="0" t="n">
        <v>99</v>
      </c>
      <c r="F1496" s="0" t="str">
        <f aca="false">IFERROR(INDEX('Session Tracker'!$M$5:$M$149,MATCH($A1496,'Session Tracker'!$D$5:$D$149,0))+0,"")</f>
        <v/>
      </c>
      <c r="G1496" s="0" t="str">
        <f aca="false">IF(ISNUMBER(F1496),IF(OR(B1496=0,B1496=99,C1496&lt;&gt;""),F1496*100+B1496,""),"")</f>
        <v/>
      </c>
      <c r="H1496" s="0" t="n">
        <f aca="false">IFERROR(INDEX('Session Tracker'!$J$5:$J$149,MATCH($A1496,'Session Tracker'!$D$5:$D$149,0)),0)</f>
        <v>8</v>
      </c>
      <c r="I1496" s="0" t="str">
        <f aca="false">IF(OR(B1496=0,B1496=99,C1496=""),"",IF(E1496="Per class",D1496,D1496*H1496))</f>
        <v/>
      </c>
    </row>
    <row r="1497" customFormat="false" ht="15" hidden="false" customHeight="false" outlineLevel="0" collapsed="false">
      <c r="A1497" s="0" t="s">
        <v>88</v>
      </c>
      <c r="B1497" s="0" t="n">
        <v>99</v>
      </c>
      <c r="F1497" s="0" t="str">
        <f aca="false">IFERROR(INDEX('Session Tracker'!$M$5:$M$149,MATCH($A1497,'Session Tracker'!$D$5:$D$149,0))+0,"")</f>
        <v/>
      </c>
      <c r="G1497" s="0" t="str">
        <f aca="false">IF(ISNUMBER(F1497),IF(OR(B1497=0,B1497=99,C1497&lt;&gt;""),F1497*100+B1497,""),"")</f>
        <v/>
      </c>
      <c r="H1497" s="0" t="n">
        <f aca="false">IFERROR(INDEX('Session Tracker'!$J$5:$J$149,MATCH($A1497,'Session Tracker'!$D$5:$D$149,0)),0)</f>
        <v>8</v>
      </c>
      <c r="I1497" s="0" t="str">
        <f aca="false">IF(OR(B1497=0,B1497=99,C1497=""),"",IF(E1497="Per class",D1497,D1497*H1497))</f>
        <v/>
      </c>
    </row>
    <row r="1498" customFormat="false" ht="15" hidden="false" customHeight="false" outlineLevel="0" collapsed="false">
      <c r="A1498" s="0" t="s">
        <v>90</v>
      </c>
      <c r="B1498" s="0" t="n">
        <v>99</v>
      </c>
      <c r="F1498" s="0" t="str">
        <f aca="false">IFERROR(INDEX('Session Tracker'!$M$5:$M$149,MATCH($A1498,'Session Tracker'!$D$5:$D$149,0))+0,"")</f>
        <v/>
      </c>
      <c r="G1498" s="0" t="str">
        <f aca="false">IF(ISNUMBER(F1498),IF(OR(B1498=0,B1498=99,C1498&lt;&gt;""),F1498*100+B1498,""),"")</f>
        <v/>
      </c>
      <c r="H1498" s="0" t="n">
        <f aca="false">IFERROR(INDEX('Session Tracker'!$J$5:$J$149,MATCH($A1498,'Session Tracker'!$D$5:$D$149,0)),0)</f>
        <v>8</v>
      </c>
      <c r="I1498" s="0" t="str">
        <f aca="false">IF(OR(B1498=0,B1498=99,C1498=""),"",IF(E1498="Per class",D1498,D1498*H1498))</f>
        <v/>
      </c>
    </row>
    <row r="1499" customFormat="false" ht="15" hidden="false" customHeight="false" outlineLevel="0" collapsed="false">
      <c r="A1499" s="0" t="s">
        <v>92</v>
      </c>
      <c r="B1499" s="0" t="n">
        <v>99</v>
      </c>
      <c r="F1499" s="0" t="str">
        <f aca="false">IFERROR(INDEX('Session Tracker'!$M$5:$M$149,MATCH($A1499,'Session Tracker'!$D$5:$D$149,0))+0,"")</f>
        <v/>
      </c>
      <c r="G1499" s="0" t="str">
        <f aca="false">IF(ISNUMBER(F1499),IF(OR(B1499=0,B1499=99,C1499&lt;&gt;""),F1499*100+B1499,""),"")</f>
        <v/>
      </c>
      <c r="H1499" s="0" t="n">
        <f aca="false">IFERROR(INDEX('Session Tracker'!$J$5:$J$149,MATCH($A1499,'Session Tracker'!$D$5:$D$149,0)),0)</f>
        <v>8</v>
      </c>
      <c r="I1499" s="0" t="str">
        <f aca="false">IF(OR(B1499=0,B1499=99,C1499=""),"",IF(E1499="Per class",D1499,D1499*H1499))</f>
        <v/>
      </c>
    </row>
    <row r="1500" customFormat="false" ht="15" hidden="false" customHeight="false" outlineLevel="0" collapsed="false">
      <c r="A1500" s="0" t="s">
        <v>94</v>
      </c>
      <c r="B1500" s="0" t="n">
        <v>99</v>
      </c>
      <c r="F1500" s="0" t="str">
        <f aca="false">IFERROR(INDEX('Session Tracker'!$M$5:$M$149,MATCH($A1500,'Session Tracker'!$D$5:$D$149,0))+0,"")</f>
        <v/>
      </c>
      <c r="G1500" s="0" t="str">
        <f aca="false">IF(ISNUMBER(F1500),IF(OR(B1500=0,B1500=99,C1500&lt;&gt;""),F1500*100+B1500,""),"")</f>
        <v/>
      </c>
      <c r="H1500" s="0" t="n">
        <f aca="false">IFERROR(INDEX('Session Tracker'!$J$5:$J$149,MATCH($A1500,'Session Tracker'!$D$5:$D$149,0)),0)</f>
        <v>8</v>
      </c>
      <c r="I1500" s="0" t="str">
        <f aca="false">IF(OR(B1500=0,B1500=99,C1500=""),"",IF(E1500="Per class",D1500,D1500*H1500))</f>
        <v/>
      </c>
    </row>
    <row r="1501" customFormat="false" ht="15" hidden="false" customHeight="false" outlineLevel="0" collapsed="false">
      <c r="A1501" s="0" t="s">
        <v>96</v>
      </c>
      <c r="B1501" s="0" t="n">
        <v>99</v>
      </c>
      <c r="F1501" s="0" t="str">
        <f aca="false">IFERROR(INDEX('Session Tracker'!$M$5:$M$149,MATCH($A1501,'Session Tracker'!$D$5:$D$149,0))+0,"")</f>
        <v/>
      </c>
      <c r="G1501" s="0" t="str">
        <f aca="false">IF(ISNUMBER(F1501),IF(OR(B1501=0,B1501=99,C1501&lt;&gt;""),F1501*100+B1501,""),"")</f>
        <v/>
      </c>
      <c r="H1501" s="0" t="n">
        <f aca="false">IFERROR(INDEX('Session Tracker'!$J$5:$J$149,MATCH($A1501,'Session Tracker'!$D$5:$D$149,0)),0)</f>
        <v>8</v>
      </c>
      <c r="I1501" s="0" t="str">
        <f aca="false">IF(OR(B1501=0,B1501=99,C1501=""),"",IF(E1501="Per class",D1501,D1501*H1501))</f>
        <v/>
      </c>
    </row>
    <row r="1502" customFormat="false" ht="15" hidden="false" customHeight="false" outlineLevel="0" collapsed="false">
      <c r="A1502" s="0" t="s">
        <v>98</v>
      </c>
      <c r="B1502" s="0" t="n">
        <v>99</v>
      </c>
      <c r="F1502" s="0" t="str">
        <f aca="false">IFERROR(INDEX('Session Tracker'!$M$5:$M$149,MATCH($A1502,'Session Tracker'!$D$5:$D$149,0))+0,"")</f>
        <v/>
      </c>
      <c r="G1502" s="0" t="str">
        <f aca="false">IF(ISNUMBER(F1502),IF(OR(B1502=0,B1502=99,C1502&lt;&gt;""),F1502*100+B1502,""),"")</f>
        <v/>
      </c>
      <c r="H1502" s="0" t="n">
        <f aca="false">IFERROR(INDEX('Session Tracker'!$J$5:$J$149,MATCH($A1502,'Session Tracker'!$D$5:$D$149,0)),0)</f>
        <v>8</v>
      </c>
      <c r="I1502" s="0" t="str">
        <f aca="false">IF(OR(B1502=0,B1502=99,C1502=""),"",IF(E1502="Per class",D1502,D1502*H1502))</f>
        <v/>
      </c>
    </row>
    <row r="1503" customFormat="false" ht="15" hidden="false" customHeight="false" outlineLevel="0" collapsed="false">
      <c r="A1503" s="0" t="s">
        <v>100</v>
      </c>
      <c r="B1503" s="0" t="n">
        <v>99</v>
      </c>
      <c r="F1503" s="0" t="str">
        <f aca="false">IFERROR(INDEX('Session Tracker'!$M$5:$M$149,MATCH($A1503,'Session Tracker'!$D$5:$D$149,0))+0,"")</f>
        <v/>
      </c>
      <c r="G1503" s="0" t="str">
        <f aca="false">IF(ISNUMBER(F1503),IF(OR(B1503=0,B1503=99,C1503&lt;&gt;""),F1503*100+B1503,""),"")</f>
        <v/>
      </c>
      <c r="H1503" s="0" t="n">
        <f aca="false">IFERROR(INDEX('Session Tracker'!$J$5:$J$149,MATCH($A1503,'Session Tracker'!$D$5:$D$149,0)),0)</f>
        <v>8</v>
      </c>
      <c r="I1503" s="0" t="str">
        <f aca="false">IF(OR(B1503=0,B1503=99,C1503=""),"",IF(E1503="Per class",D1503,D1503*H1503))</f>
        <v/>
      </c>
    </row>
    <row r="1504" customFormat="false" ht="15" hidden="false" customHeight="false" outlineLevel="0" collapsed="false">
      <c r="A1504" s="0" t="s">
        <v>102</v>
      </c>
      <c r="B1504" s="0" t="n">
        <v>99</v>
      </c>
      <c r="F1504" s="0" t="str">
        <f aca="false">IFERROR(INDEX('Session Tracker'!$M$5:$M$149,MATCH($A1504,'Session Tracker'!$D$5:$D$149,0))+0,"")</f>
        <v/>
      </c>
      <c r="G1504" s="0" t="str">
        <f aca="false">IF(ISNUMBER(F1504),IF(OR(B1504=0,B1504=99,C1504&lt;&gt;""),F1504*100+B1504,""),"")</f>
        <v/>
      </c>
      <c r="H1504" s="0" t="n">
        <f aca="false">IFERROR(INDEX('Session Tracker'!$J$5:$J$149,MATCH($A1504,'Session Tracker'!$D$5:$D$149,0)),0)</f>
        <v>8</v>
      </c>
      <c r="I1504" s="0" t="str">
        <f aca="false">IF(OR(B1504=0,B1504=99,C1504=""),"",IF(E1504="Per class",D1504,D1504*H1504))</f>
        <v/>
      </c>
    </row>
    <row r="1505" customFormat="false" ht="15" hidden="false" customHeight="false" outlineLevel="0" collapsed="false">
      <c r="A1505" s="0" t="s">
        <v>104</v>
      </c>
      <c r="B1505" s="0" t="n">
        <v>99</v>
      </c>
      <c r="F1505" s="0" t="str">
        <f aca="false">IFERROR(INDEX('Session Tracker'!$M$5:$M$149,MATCH($A1505,'Session Tracker'!$D$5:$D$149,0))+0,"")</f>
        <v/>
      </c>
      <c r="G1505" s="0" t="str">
        <f aca="false">IF(ISNUMBER(F1505),IF(OR(B1505=0,B1505=99,C1505&lt;&gt;""),F1505*100+B1505,""),"")</f>
        <v/>
      </c>
      <c r="H1505" s="0" t="n">
        <f aca="false">IFERROR(INDEX('Session Tracker'!$J$5:$J$149,MATCH($A1505,'Session Tracker'!$D$5:$D$149,0)),0)</f>
        <v>8</v>
      </c>
      <c r="I1505" s="0" t="str">
        <f aca="false">IF(OR(B1505=0,B1505=99,C1505=""),"",IF(E1505="Per class",D1505,D1505*H1505))</f>
        <v/>
      </c>
    </row>
    <row r="1506" customFormat="false" ht="15" hidden="false" customHeight="false" outlineLevel="0" collapsed="false">
      <c r="A1506" s="0" t="s">
        <v>106</v>
      </c>
      <c r="B1506" s="0" t="n">
        <v>99</v>
      </c>
      <c r="F1506" s="0" t="str">
        <f aca="false">IFERROR(INDEX('Session Tracker'!$M$5:$M$149,MATCH($A1506,'Session Tracker'!$D$5:$D$149,0))+0,"")</f>
        <v/>
      </c>
      <c r="G1506" s="0" t="str">
        <f aca="false">IF(ISNUMBER(F1506),IF(OR(B1506=0,B1506=99,C1506&lt;&gt;""),F1506*100+B1506,""),"")</f>
        <v/>
      </c>
      <c r="H1506" s="0" t="n">
        <f aca="false">IFERROR(INDEX('Session Tracker'!$J$5:$J$149,MATCH($A1506,'Session Tracker'!$D$5:$D$149,0)),0)</f>
        <v>8</v>
      </c>
      <c r="I1506" s="0" t="str">
        <f aca="false">IF(OR(B1506=0,B1506=99,C1506=""),"",IF(E1506="Per class",D1506,D1506*H1506))</f>
        <v/>
      </c>
    </row>
    <row r="1507" customFormat="false" ht="15" hidden="false" customHeight="false" outlineLevel="0" collapsed="false">
      <c r="A1507" s="0" t="s">
        <v>108</v>
      </c>
      <c r="B1507" s="0" t="n">
        <v>99</v>
      </c>
      <c r="F1507" s="0" t="str">
        <f aca="false">IFERROR(INDEX('Session Tracker'!$M$5:$M$149,MATCH($A1507,'Session Tracker'!$D$5:$D$149,0))+0,"")</f>
        <v/>
      </c>
      <c r="G1507" s="0" t="str">
        <f aca="false">IF(ISNUMBER(F1507),IF(OR(B1507=0,B1507=99,C1507&lt;&gt;""),F1507*100+B1507,""),"")</f>
        <v/>
      </c>
      <c r="H1507" s="0" t="n">
        <f aca="false">IFERROR(INDEX('Session Tracker'!$J$5:$J$149,MATCH($A1507,'Session Tracker'!$D$5:$D$149,0)),0)</f>
        <v>8</v>
      </c>
      <c r="I1507" s="0" t="str">
        <f aca="false">IF(OR(B1507=0,B1507=99,C1507=""),"",IF(E1507="Per class",D1507,D1507*H1507))</f>
        <v/>
      </c>
    </row>
    <row r="1508" customFormat="false" ht="15" hidden="false" customHeight="false" outlineLevel="0" collapsed="false">
      <c r="A1508" s="0" t="s">
        <v>110</v>
      </c>
      <c r="B1508" s="0" t="n">
        <v>99</v>
      </c>
      <c r="F1508" s="0" t="str">
        <f aca="false">IFERROR(INDEX('Session Tracker'!$M$5:$M$149,MATCH($A1508,'Session Tracker'!$D$5:$D$149,0))+0,"")</f>
        <v/>
      </c>
      <c r="G1508" s="0" t="str">
        <f aca="false">IF(ISNUMBER(F1508),IF(OR(B1508=0,B1508=99,C1508&lt;&gt;""),F1508*100+B1508,""),"")</f>
        <v/>
      </c>
      <c r="H1508" s="0" t="n">
        <f aca="false">IFERROR(INDEX('Session Tracker'!$J$5:$J$149,MATCH($A1508,'Session Tracker'!$D$5:$D$149,0)),0)</f>
        <v>8</v>
      </c>
      <c r="I1508" s="0" t="str">
        <f aca="false">IF(OR(B1508=0,B1508=99,C1508=""),"",IF(E1508="Per class",D1508,D1508*H1508))</f>
        <v/>
      </c>
    </row>
    <row r="1509" customFormat="false" ht="15" hidden="false" customHeight="false" outlineLevel="0" collapsed="false">
      <c r="A1509" s="0" t="s">
        <v>112</v>
      </c>
      <c r="B1509" s="0" t="n">
        <v>99</v>
      </c>
      <c r="F1509" s="0" t="str">
        <f aca="false">IFERROR(INDEX('Session Tracker'!$M$5:$M$149,MATCH($A1509,'Session Tracker'!$D$5:$D$149,0))+0,"")</f>
        <v/>
      </c>
      <c r="G1509" s="0" t="str">
        <f aca="false">IF(ISNUMBER(F1509),IF(OR(B1509=0,B1509=99,C1509&lt;&gt;""),F1509*100+B1509,""),"")</f>
        <v/>
      </c>
      <c r="H1509" s="0" t="n">
        <f aca="false">IFERROR(INDEX('Session Tracker'!$J$5:$J$149,MATCH($A1509,'Session Tracker'!$D$5:$D$149,0)),0)</f>
        <v>8</v>
      </c>
      <c r="I1509" s="0" t="str">
        <f aca="false">IF(OR(B1509=0,B1509=99,C1509=""),"",IF(E1509="Per class",D1509,D1509*H1509))</f>
        <v/>
      </c>
    </row>
    <row r="1510" customFormat="false" ht="15" hidden="false" customHeight="false" outlineLevel="0" collapsed="false">
      <c r="A1510" s="0" t="s">
        <v>114</v>
      </c>
      <c r="B1510" s="0" t="n">
        <v>99</v>
      </c>
      <c r="F1510" s="0" t="str">
        <f aca="false">IFERROR(INDEX('Session Tracker'!$M$5:$M$149,MATCH($A1510,'Session Tracker'!$D$5:$D$149,0))+0,"")</f>
        <v/>
      </c>
      <c r="G1510" s="0" t="str">
        <f aca="false">IF(ISNUMBER(F1510),IF(OR(B1510=0,B1510=99,C1510&lt;&gt;""),F1510*100+B1510,""),"")</f>
        <v/>
      </c>
      <c r="H1510" s="0" t="n">
        <f aca="false">IFERROR(INDEX('Session Tracker'!$J$5:$J$149,MATCH($A1510,'Session Tracker'!$D$5:$D$149,0)),0)</f>
        <v>8</v>
      </c>
      <c r="I1510" s="0" t="str">
        <f aca="false">IF(OR(B1510=0,B1510=99,C1510=""),"",IF(E1510="Per class",D1510,D1510*H1510))</f>
        <v/>
      </c>
    </row>
    <row r="1511" customFormat="false" ht="15" hidden="false" customHeight="false" outlineLevel="0" collapsed="false">
      <c r="A1511" s="0" t="s">
        <v>116</v>
      </c>
      <c r="B1511" s="0" t="n">
        <v>99</v>
      </c>
      <c r="F1511" s="0" t="str">
        <f aca="false">IFERROR(INDEX('Session Tracker'!$M$5:$M$149,MATCH($A1511,'Session Tracker'!$D$5:$D$149,0))+0,"")</f>
        <v/>
      </c>
      <c r="G1511" s="0" t="str">
        <f aca="false">IF(ISNUMBER(F1511),IF(OR(B1511=0,B1511=99,C1511&lt;&gt;""),F1511*100+B1511,""),"")</f>
        <v/>
      </c>
      <c r="H1511" s="0" t="n">
        <f aca="false">IFERROR(INDEX('Session Tracker'!$J$5:$J$149,MATCH($A1511,'Session Tracker'!$D$5:$D$149,0)),0)</f>
        <v>8</v>
      </c>
      <c r="I1511" s="0" t="str">
        <f aca="false">IF(OR(B1511=0,B1511=99,C1511=""),"",IF(E1511="Per class",D1511,D1511*H1511))</f>
        <v/>
      </c>
    </row>
    <row r="1512" customFormat="false" ht="15" hidden="false" customHeight="false" outlineLevel="0" collapsed="false">
      <c r="A1512" s="0" t="s">
        <v>118</v>
      </c>
      <c r="B1512" s="0" t="n">
        <v>99</v>
      </c>
      <c r="F1512" s="0" t="str">
        <f aca="false">IFERROR(INDEX('Session Tracker'!$M$5:$M$149,MATCH($A1512,'Session Tracker'!$D$5:$D$149,0))+0,"")</f>
        <v/>
      </c>
      <c r="G1512" s="0" t="str">
        <f aca="false">IF(ISNUMBER(F1512),IF(OR(B1512=0,B1512=99,C1512&lt;&gt;""),F1512*100+B1512,""),"")</f>
        <v/>
      </c>
      <c r="H1512" s="0" t="n">
        <f aca="false">IFERROR(INDEX('Session Tracker'!$J$5:$J$149,MATCH($A1512,'Session Tracker'!$D$5:$D$149,0)),0)</f>
        <v>8</v>
      </c>
      <c r="I1512" s="0" t="str">
        <f aca="false">IF(OR(B1512=0,B1512=99,C1512=""),"",IF(E1512="Per class",D1512,D1512*H1512))</f>
        <v/>
      </c>
    </row>
    <row r="1513" customFormat="false" ht="15" hidden="false" customHeight="false" outlineLevel="0" collapsed="false">
      <c r="A1513" s="0" t="s">
        <v>120</v>
      </c>
      <c r="B1513" s="0" t="n">
        <v>99</v>
      </c>
      <c r="F1513" s="0" t="str">
        <f aca="false">IFERROR(INDEX('Session Tracker'!$M$5:$M$149,MATCH($A1513,'Session Tracker'!$D$5:$D$149,0))+0,"")</f>
        <v/>
      </c>
      <c r="G1513" s="0" t="str">
        <f aca="false">IF(ISNUMBER(F1513),IF(OR(B1513=0,B1513=99,C1513&lt;&gt;""),F1513*100+B1513,""),"")</f>
        <v/>
      </c>
      <c r="H1513" s="0" t="n">
        <f aca="false">IFERROR(INDEX('Session Tracker'!$J$5:$J$149,MATCH($A1513,'Session Tracker'!$D$5:$D$149,0)),0)</f>
        <v>8</v>
      </c>
      <c r="I1513" s="0" t="str">
        <f aca="false">IF(OR(B1513=0,B1513=99,C1513=""),"",IF(E1513="Per class",D1513,D1513*H1513))</f>
        <v/>
      </c>
    </row>
    <row r="1514" customFormat="false" ht="15" hidden="false" customHeight="false" outlineLevel="0" collapsed="false">
      <c r="A1514" s="0" t="s">
        <v>122</v>
      </c>
      <c r="B1514" s="0" t="n">
        <v>99</v>
      </c>
      <c r="F1514" s="0" t="str">
        <f aca="false">IFERROR(INDEX('Session Tracker'!$M$5:$M$149,MATCH($A1514,'Session Tracker'!$D$5:$D$149,0))+0,"")</f>
        <v/>
      </c>
      <c r="G1514" s="0" t="str">
        <f aca="false">IF(ISNUMBER(F1514),IF(OR(B1514=0,B1514=99,C1514&lt;&gt;""),F1514*100+B1514,""),"")</f>
        <v/>
      </c>
      <c r="H1514" s="0" t="n">
        <f aca="false">IFERROR(INDEX('Session Tracker'!$J$5:$J$149,MATCH($A1514,'Session Tracker'!$D$5:$D$149,0)),0)</f>
        <v>8</v>
      </c>
      <c r="I1514" s="0" t="str">
        <f aca="false">IF(OR(B1514=0,B1514=99,C1514=""),"",IF(E1514="Per class",D1514,D1514*H1514))</f>
        <v/>
      </c>
    </row>
    <row r="1515" customFormat="false" ht="15" hidden="false" customHeight="false" outlineLevel="0" collapsed="false">
      <c r="A1515" s="0" t="s">
        <v>124</v>
      </c>
      <c r="B1515" s="0" t="n">
        <v>99</v>
      </c>
      <c r="F1515" s="0" t="str">
        <f aca="false">IFERROR(INDEX('Session Tracker'!$M$5:$M$149,MATCH($A1515,'Session Tracker'!$D$5:$D$149,0))+0,"")</f>
        <v/>
      </c>
      <c r="G1515" s="0" t="str">
        <f aca="false">IF(ISNUMBER(F1515),IF(OR(B1515=0,B1515=99,C1515&lt;&gt;""),F1515*100+B1515,""),"")</f>
        <v/>
      </c>
      <c r="H1515" s="0" t="n">
        <f aca="false">IFERROR(INDEX('Session Tracker'!$J$5:$J$149,MATCH($A1515,'Session Tracker'!$D$5:$D$149,0)),0)</f>
        <v>8</v>
      </c>
      <c r="I1515" s="0" t="str">
        <f aca="false">IF(OR(B1515=0,B1515=99,C1515=""),"",IF(E1515="Per class",D1515,D1515*H1515))</f>
        <v/>
      </c>
    </row>
    <row r="1516" customFormat="false" ht="15" hidden="false" customHeight="false" outlineLevel="0" collapsed="false">
      <c r="A1516" s="0" t="s">
        <v>126</v>
      </c>
      <c r="B1516" s="0" t="n">
        <v>99</v>
      </c>
      <c r="F1516" s="0" t="str">
        <f aca="false">IFERROR(INDEX('Session Tracker'!$M$5:$M$149,MATCH($A1516,'Session Tracker'!$D$5:$D$149,0))+0,"")</f>
        <v/>
      </c>
      <c r="G1516" s="0" t="str">
        <f aca="false">IF(ISNUMBER(F1516),IF(OR(B1516=0,B1516=99,C1516&lt;&gt;""),F1516*100+B1516,""),"")</f>
        <v/>
      </c>
      <c r="H1516" s="0" t="n">
        <f aca="false">IFERROR(INDEX('Session Tracker'!$J$5:$J$149,MATCH($A1516,'Session Tracker'!$D$5:$D$149,0)),0)</f>
        <v>8</v>
      </c>
      <c r="I1516" s="0" t="str">
        <f aca="false">IF(OR(B1516=0,B1516=99,C1516=""),"",IF(E1516="Per class",D1516,D1516*H1516))</f>
        <v/>
      </c>
    </row>
    <row r="1517" customFormat="false" ht="15" hidden="false" customHeight="false" outlineLevel="0" collapsed="false">
      <c r="A1517" s="0" t="s">
        <v>128</v>
      </c>
      <c r="B1517" s="0" t="n">
        <v>99</v>
      </c>
      <c r="F1517" s="0" t="str">
        <f aca="false">IFERROR(INDEX('Session Tracker'!$M$5:$M$149,MATCH($A1517,'Session Tracker'!$D$5:$D$149,0))+0,"")</f>
        <v/>
      </c>
      <c r="G1517" s="0" t="str">
        <f aca="false">IF(ISNUMBER(F1517),IF(OR(B1517=0,B1517=99,C1517&lt;&gt;""),F1517*100+B1517,""),"")</f>
        <v/>
      </c>
      <c r="H1517" s="0" t="n">
        <f aca="false">IFERROR(INDEX('Session Tracker'!$J$5:$J$149,MATCH($A1517,'Session Tracker'!$D$5:$D$149,0)),0)</f>
        <v>8</v>
      </c>
      <c r="I1517" s="0" t="str">
        <f aca="false">IF(OR(B1517=0,B1517=99,C1517=""),"",IF(E1517="Per class",D1517,D1517*H1517))</f>
        <v/>
      </c>
    </row>
    <row r="1518" customFormat="false" ht="15" hidden="false" customHeight="false" outlineLevel="0" collapsed="false">
      <c r="A1518" s="0" t="s">
        <v>130</v>
      </c>
      <c r="B1518" s="0" t="n">
        <v>99</v>
      </c>
      <c r="F1518" s="0" t="str">
        <f aca="false">IFERROR(INDEX('Session Tracker'!$M$5:$M$149,MATCH($A1518,'Session Tracker'!$D$5:$D$149,0))+0,"")</f>
        <v/>
      </c>
      <c r="G1518" s="0" t="str">
        <f aca="false">IF(ISNUMBER(F1518),IF(OR(B1518=0,B1518=99,C1518&lt;&gt;""),F1518*100+B1518,""),"")</f>
        <v/>
      </c>
      <c r="H1518" s="0" t="n">
        <f aca="false">IFERROR(INDEX('Session Tracker'!$J$5:$J$149,MATCH($A1518,'Session Tracker'!$D$5:$D$149,0)),0)</f>
        <v>8</v>
      </c>
      <c r="I1518" s="0" t="str">
        <f aca="false">IF(OR(B1518=0,B1518=99,C1518=""),"",IF(E1518="Per class",D1518,D1518*H1518))</f>
        <v/>
      </c>
    </row>
    <row r="1519" customFormat="false" ht="15" hidden="false" customHeight="false" outlineLevel="0" collapsed="false">
      <c r="A1519" s="0" t="s">
        <v>132</v>
      </c>
      <c r="B1519" s="0" t="n">
        <v>99</v>
      </c>
      <c r="F1519" s="0" t="str">
        <f aca="false">IFERROR(INDEX('Session Tracker'!$M$5:$M$149,MATCH($A1519,'Session Tracker'!$D$5:$D$149,0))+0,"")</f>
        <v/>
      </c>
      <c r="G1519" s="0" t="str">
        <f aca="false">IF(ISNUMBER(F1519),IF(OR(B1519=0,B1519=99,C1519&lt;&gt;""),F1519*100+B1519,""),"")</f>
        <v/>
      </c>
      <c r="H1519" s="0" t="n">
        <f aca="false">IFERROR(INDEX('Session Tracker'!$J$5:$J$149,MATCH($A1519,'Session Tracker'!$D$5:$D$149,0)),0)</f>
        <v>8</v>
      </c>
      <c r="I1519" s="0" t="str">
        <f aca="false">IF(OR(B1519=0,B1519=99,C1519=""),"",IF(E1519="Per class",D1519,D1519*H1519))</f>
        <v/>
      </c>
    </row>
    <row r="1520" customFormat="false" ht="15" hidden="false" customHeight="false" outlineLevel="0" collapsed="false">
      <c r="A1520" s="0" t="s">
        <v>134</v>
      </c>
      <c r="B1520" s="0" t="n">
        <v>99</v>
      </c>
      <c r="F1520" s="0" t="str">
        <f aca="false">IFERROR(INDEX('Session Tracker'!$M$5:$M$149,MATCH($A1520,'Session Tracker'!$D$5:$D$149,0))+0,"")</f>
        <v/>
      </c>
      <c r="G1520" s="0" t="str">
        <f aca="false">IF(ISNUMBER(F1520),IF(OR(B1520=0,B1520=99,C1520&lt;&gt;""),F1520*100+B1520,""),"")</f>
        <v/>
      </c>
      <c r="H1520" s="0" t="n">
        <f aca="false">IFERROR(INDEX('Session Tracker'!$J$5:$J$149,MATCH($A1520,'Session Tracker'!$D$5:$D$149,0)),0)</f>
        <v>8</v>
      </c>
      <c r="I1520" s="0" t="str">
        <f aca="false">IF(OR(B1520=0,B1520=99,C1520=""),"",IF(E1520="Per class",D1520,D1520*H1520))</f>
        <v/>
      </c>
    </row>
    <row r="1521" customFormat="false" ht="15" hidden="false" customHeight="false" outlineLevel="0" collapsed="false">
      <c r="A1521" s="0" t="s">
        <v>136</v>
      </c>
      <c r="B1521" s="0" t="n">
        <v>99</v>
      </c>
      <c r="F1521" s="0" t="str">
        <f aca="false">IFERROR(INDEX('Session Tracker'!$M$5:$M$149,MATCH($A1521,'Session Tracker'!$D$5:$D$149,0))+0,"")</f>
        <v/>
      </c>
      <c r="G1521" s="0" t="str">
        <f aca="false">IF(ISNUMBER(F1521),IF(OR(B1521=0,B1521=99,C1521&lt;&gt;""),F1521*100+B1521,""),"")</f>
        <v/>
      </c>
      <c r="H1521" s="0" t="n">
        <f aca="false">IFERROR(INDEX('Session Tracker'!$J$5:$J$149,MATCH($A1521,'Session Tracker'!$D$5:$D$149,0)),0)</f>
        <v>8</v>
      </c>
      <c r="I1521" s="0" t="str">
        <f aca="false">IF(OR(B1521=0,B1521=99,C1521=""),"",IF(E1521="Per class",D1521,D1521*H1521))</f>
        <v/>
      </c>
    </row>
    <row r="1522" customFormat="false" ht="15" hidden="false" customHeight="false" outlineLevel="0" collapsed="false">
      <c r="A1522" s="0" t="s">
        <v>138</v>
      </c>
      <c r="B1522" s="0" t="n">
        <v>99</v>
      </c>
      <c r="F1522" s="0" t="str">
        <f aca="false">IFERROR(INDEX('Session Tracker'!$M$5:$M$149,MATCH($A1522,'Session Tracker'!$D$5:$D$149,0))+0,"")</f>
        <v/>
      </c>
      <c r="G1522" s="0" t="str">
        <f aca="false">IF(ISNUMBER(F1522),IF(OR(B1522=0,B1522=99,C1522&lt;&gt;""),F1522*100+B1522,""),"")</f>
        <v/>
      </c>
      <c r="H1522" s="0" t="n">
        <f aca="false">IFERROR(INDEX('Session Tracker'!$J$5:$J$149,MATCH($A1522,'Session Tracker'!$D$5:$D$149,0)),0)</f>
        <v>8</v>
      </c>
      <c r="I1522" s="0" t="str">
        <f aca="false">IF(OR(B1522=0,B1522=99,C1522=""),"",IF(E1522="Per class",D1522,D1522*H1522))</f>
        <v/>
      </c>
    </row>
    <row r="1523" customFormat="false" ht="15" hidden="false" customHeight="false" outlineLevel="0" collapsed="false">
      <c r="A1523" s="0" t="s">
        <v>140</v>
      </c>
      <c r="B1523" s="0" t="n">
        <v>99</v>
      </c>
      <c r="F1523" s="0" t="str">
        <f aca="false">IFERROR(INDEX('Session Tracker'!$M$5:$M$149,MATCH($A1523,'Session Tracker'!$D$5:$D$149,0))+0,"")</f>
        <v/>
      </c>
      <c r="G1523" s="0" t="str">
        <f aca="false">IF(ISNUMBER(F1523),IF(OR(B1523=0,B1523=99,C1523&lt;&gt;""),F1523*100+B1523,""),"")</f>
        <v/>
      </c>
      <c r="H1523" s="0" t="n">
        <f aca="false">IFERROR(INDEX('Session Tracker'!$J$5:$J$149,MATCH($A1523,'Session Tracker'!$D$5:$D$149,0)),0)</f>
        <v>8</v>
      </c>
      <c r="I1523" s="0" t="str">
        <f aca="false">IF(OR(B1523=0,B1523=99,C1523=""),"",IF(E1523="Per class",D1523,D1523*H1523))</f>
        <v/>
      </c>
    </row>
    <row r="1524" customFormat="false" ht="15" hidden="false" customHeight="false" outlineLevel="0" collapsed="false">
      <c r="A1524" s="0" t="s">
        <v>142</v>
      </c>
      <c r="B1524" s="0" t="n">
        <v>99</v>
      </c>
      <c r="F1524" s="0" t="str">
        <f aca="false">IFERROR(INDEX('Session Tracker'!$M$5:$M$149,MATCH($A1524,'Session Tracker'!$D$5:$D$149,0))+0,"")</f>
        <v/>
      </c>
      <c r="G1524" s="0" t="str">
        <f aca="false">IF(ISNUMBER(F1524),IF(OR(B1524=0,B1524=99,C1524&lt;&gt;""),F1524*100+B1524,""),"")</f>
        <v/>
      </c>
      <c r="H1524" s="0" t="n">
        <f aca="false">IFERROR(INDEX('Session Tracker'!$J$5:$J$149,MATCH($A1524,'Session Tracker'!$D$5:$D$149,0)),0)</f>
        <v>8</v>
      </c>
      <c r="I1524" s="0" t="str">
        <f aca="false">IF(OR(B1524=0,B1524=99,C1524=""),"",IF(E1524="Per class",D1524,D1524*H1524))</f>
        <v/>
      </c>
    </row>
    <row r="1525" customFormat="false" ht="15" hidden="false" customHeight="false" outlineLevel="0" collapsed="false">
      <c r="A1525" s="0" t="s">
        <v>144</v>
      </c>
      <c r="B1525" s="0" t="n">
        <v>99</v>
      </c>
      <c r="F1525" s="0" t="str">
        <f aca="false">IFERROR(INDEX('Session Tracker'!$M$5:$M$149,MATCH($A1525,'Session Tracker'!$D$5:$D$149,0))+0,"")</f>
        <v/>
      </c>
      <c r="G1525" s="0" t="str">
        <f aca="false">IF(ISNUMBER(F1525),IF(OR(B1525=0,B1525=99,C1525&lt;&gt;""),F1525*100+B1525,""),"")</f>
        <v/>
      </c>
      <c r="H1525" s="0" t="n">
        <f aca="false">IFERROR(INDEX('Session Tracker'!$J$5:$J$149,MATCH($A1525,'Session Tracker'!$D$5:$D$149,0)),0)</f>
        <v>8</v>
      </c>
      <c r="I1525" s="0" t="str">
        <f aca="false">IF(OR(B1525=0,B1525=99,C1525=""),"",IF(E1525="Per class",D1525,D1525*H1525))</f>
        <v/>
      </c>
    </row>
    <row r="1526" customFormat="false" ht="15" hidden="false" customHeight="false" outlineLevel="0" collapsed="false">
      <c r="A1526" s="0" t="s">
        <v>146</v>
      </c>
      <c r="B1526" s="0" t="n">
        <v>99</v>
      </c>
      <c r="F1526" s="0" t="str">
        <f aca="false">IFERROR(INDEX('Session Tracker'!$M$5:$M$149,MATCH($A1526,'Session Tracker'!$D$5:$D$149,0))+0,"")</f>
        <v/>
      </c>
      <c r="G1526" s="0" t="str">
        <f aca="false">IF(ISNUMBER(F1526),IF(OR(B1526=0,B1526=99,C1526&lt;&gt;""),F1526*100+B1526,""),"")</f>
        <v/>
      </c>
      <c r="H1526" s="0" t="n">
        <f aca="false">IFERROR(INDEX('Session Tracker'!$J$5:$J$149,MATCH($A1526,'Session Tracker'!$D$5:$D$149,0)),0)</f>
        <v>8</v>
      </c>
      <c r="I1526" s="0" t="str">
        <f aca="false">IF(OR(B1526=0,B1526=99,C1526=""),"",IF(E1526="Per class",D1526,D1526*H1526))</f>
        <v/>
      </c>
    </row>
    <row r="1527" customFormat="false" ht="15" hidden="false" customHeight="false" outlineLevel="0" collapsed="false">
      <c r="A1527" s="0" t="s">
        <v>294</v>
      </c>
      <c r="B1527" s="0" t="n">
        <v>99</v>
      </c>
      <c r="F1527" s="0" t="str">
        <f aca="false">IFERROR(INDEX('Session Tracker'!$M$5:$M$149,MATCH($A1527,'Session Tracker'!$D$5:$D$149,0))+0,"")</f>
        <v/>
      </c>
      <c r="G1527" s="0" t="str">
        <f aca="false">IF(ISNUMBER(F1527),IF(OR(B1527=0,B1527=99,C1527&lt;&gt;""),F1527*100+B1527,""),"")</f>
        <v/>
      </c>
      <c r="H1527" s="0" t="n">
        <f aca="false">IFERROR(INDEX('Session Tracker'!$J$5:$J$149,MATCH($A1527,'Session Tracker'!$D$5:$D$149,0)),0)</f>
        <v>8</v>
      </c>
      <c r="I1527" s="0" t="str">
        <f aca="false">IF(OR(B1527=0,B1527=99,C1527=""),"",IF(E1527="Per class",D1527,D1527*H1527))</f>
        <v/>
      </c>
    </row>
    <row r="1528" customFormat="false" ht="15" hidden="false" customHeight="false" outlineLevel="0" collapsed="false">
      <c r="A1528" s="0" t="s">
        <v>296</v>
      </c>
      <c r="B1528" s="0" t="n">
        <v>99</v>
      </c>
      <c r="F1528" s="0" t="str">
        <f aca="false">IFERROR(INDEX('Session Tracker'!$M$5:$M$149,MATCH($A1528,'Session Tracker'!$D$5:$D$149,0))+0,"")</f>
        <v/>
      </c>
      <c r="G1528" s="0" t="str">
        <f aca="false">IF(ISNUMBER(F1528),IF(OR(B1528=0,B1528=99,C1528&lt;&gt;""),F1528*100+B1528,""),"")</f>
        <v/>
      </c>
      <c r="H1528" s="0" t="n">
        <f aca="false">IFERROR(INDEX('Session Tracker'!$J$5:$J$149,MATCH($A1528,'Session Tracker'!$D$5:$D$149,0)),0)</f>
        <v>8</v>
      </c>
      <c r="I1528" s="0" t="str">
        <f aca="false">IF(OR(B1528=0,B1528=99,C1528=""),"",IF(E1528="Per class",D1528,D1528*H1528))</f>
        <v/>
      </c>
    </row>
    <row r="1529" customFormat="false" ht="15" hidden="false" customHeight="false" outlineLevel="0" collapsed="false">
      <c r="A1529" s="0" t="s">
        <v>298</v>
      </c>
      <c r="B1529" s="0" t="n">
        <v>99</v>
      </c>
      <c r="F1529" s="0" t="str">
        <f aca="false">IFERROR(INDEX('Session Tracker'!$M$5:$M$149,MATCH($A1529,'Session Tracker'!$D$5:$D$149,0))+0,"")</f>
        <v/>
      </c>
      <c r="G1529" s="0" t="str">
        <f aca="false">IF(ISNUMBER(F1529),IF(OR(B1529=0,B1529=99,C1529&lt;&gt;""),F1529*100+B1529,""),"")</f>
        <v/>
      </c>
      <c r="H1529" s="0" t="n">
        <f aca="false">IFERROR(INDEX('Session Tracker'!$J$5:$J$149,MATCH($A1529,'Session Tracker'!$D$5:$D$149,0)),0)</f>
        <v>8</v>
      </c>
      <c r="I1529" s="0" t="str">
        <f aca="false">IF(OR(B1529=0,B1529=99,C1529=""),"",IF(E1529="Per class",D1529,D1529*H1529))</f>
        <v/>
      </c>
    </row>
    <row r="1530" customFormat="false" ht="15" hidden="false" customHeight="false" outlineLevel="0" collapsed="false">
      <c r="A1530" s="0" t="s">
        <v>300</v>
      </c>
      <c r="B1530" s="0" t="n">
        <v>99</v>
      </c>
      <c r="F1530" s="0" t="str">
        <f aca="false">IFERROR(INDEX('Session Tracker'!$M$5:$M$149,MATCH($A1530,'Session Tracker'!$D$5:$D$149,0))+0,"")</f>
        <v/>
      </c>
      <c r="G1530" s="0" t="str">
        <f aca="false">IF(ISNUMBER(F1530),IF(OR(B1530=0,B1530=99,C1530&lt;&gt;""),F1530*100+B1530,""),"")</f>
        <v/>
      </c>
      <c r="H1530" s="0" t="n">
        <f aca="false">IFERROR(INDEX('Session Tracker'!$J$5:$J$149,MATCH($A1530,'Session Tracker'!$D$5:$D$149,0)),0)</f>
        <v>8</v>
      </c>
      <c r="I1530" s="0" t="str">
        <f aca="false">IF(OR(B1530=0,B1530=99,C1530=""),"",IF(E1530="Per class",D1530,D1530*H1530))</f>
        <v/>
      </c>
    </row>
    <row r="1531" customFormat="false" ht="15" hidden="false" customHeight="false" outlineLevel="0" collapsed="false">
      <c r="A1531" s="0" t="s">
        <v>302</v>
      </c>
      <c r="B1531" s="0" t="n">
        <v>99</v>
      </c>
      <c r="F1531" s="0" t="str">
        <f aca="false">IFERROR(INDEX('Session Tracker'!$M$5:$M$149,MATCH($A1531,'Session Tracker'!$D$5:$D$149,0))+0,"")</f>
        <v/>
      </c>
      <c r="G1531" s="0" t="str">
        <f aca="false">IF(ISNUMBER(F1531),IF(OR(B1531=0,B1531=99,C1531&lt;&gt;""),F1531*100+B1531,""),"")</f>
        <v/>
      </c>
      <c r="H1531" s="0" t="n">
        <f aca="false">IFERROR(INDEX('Session Tracker'!$J$5:$J$149,MATCH($A1531,'Session Tracker'!$D$5:$D$149,0)),0)</f>
        <v>8</v>
      </c>
      <c r="I1531" s="0" t="str">
        <f aca="false">IF(OR(B1531=0,B1531=99,C1531=""),"",IF(E1531="Per class",D1531,D1531*H1531))</f>
        <v/>
      </c>
    </row>
    <row r="1532" customFormat="false" ht="15" hidden="false" customHeight="false" outlineLevel="0" collapsed="false">
      <c r="A1532" s="0" t="s">
        <v>304</v>
      </c>
      <c r="B1532" s="0" t="n">
        <v>99</v>
      </c>
      <c r="F1532" s="0" t="str">
        <f aca="false">IFERROR(INDEX('Session Tracker'!$M$5:$M$149,MATCH($A1532,'Session Tracker'!$D$5:$D$149,0))+0,"")</f>
        <v/>
      </c>
      <c r="G1532" s="0" t="str">
        <f aca="false">IF(ISNUMBER(F1532),IF(OR(B1532=0,B1532=99,C1532&lt;&gt;""),F1532*100+B1532,""),"")</f>
        <v/>
      </c>
      <c r="H1532" s="0" t="n">
        <f aca="false">IFERROR(INDEX('Session Tracker'!$J$5:$J$149,MATCH($A1532,'Session Tracker'!$D$5:$D$149,0)),0)</f>
        <v>8</v>
      </c>
      <c r="I1532" s="0" t="str">
        <f aca="false">IF(OR(B1532=0,B1532=99,C1532=""),"",IF(E1532="Per class",D1532,D1532*H1532))</f>
        <v/>
      </c>
    </row>
    <row r="1533" customFormat="false" ht="15" hidden="false" customHeight="false" outlineLevel="0" collapsed="false">
      <c r="A1533" s="0" t="s">
        <v>306</v>
      </c>
      <c r="B1533" s="0" t="n">
        <v>99</v>
      </c>
      <c r="F1533" s="0" t="str">
        <f aca="false">IFERROR(INDEX('Session Tracker'!$M$5:$M$149,MATCH($A1533,'Session Tracker'!$D$5:$D$149,0))+0,"")</f>
        <v/>
      </c>
      <c r="G1533" s="0" t="str">
        <f aca="false">IF(ISNUMBER(F1533),IF(OR(B1533=0,B1533=99,C1533&lt;&gt;""),F1533*100+B1533,""),"")</f>
        <v/>
      </c>
      <c r="H1533" s="0" t="n">
        <f aca="false">IFERROR(INDEX('Session Tracker'!$J$5:$J$149,MATCH($A1533,'Session Tracker'!$D$5:$D$149,0)),0)</f>
        <v>8</v>
      </c>
      <c r="I1533" s="0" t="str">
        <f aca="false">IF(OR(B1533=0,B1533=99,C1533=""),"",IF(E1533="Per class",D1533,D1533*H1533))</f>
        <v/>
      </c>
    </row>
    <row r="1534" customFormat="false" ht="15" hidden="false" customHeight="false" outlineLevel="0" collapsed="false">
      <c r="A1534" s="0" t="s">
        <v>308</v>
      </c>
      <c r="B1534" s="0" t="n">
        <v>99</v>
      </c>
      <c r="F1534" s="0" t="str">
        <f aca="false">IFERROR(INDEX('Session Tracker'!$M$5:$M$149,MATCH($A1534,'Session Tracker'!$D$5:$D$149,0))+0,"")</f>
        <v/>
      </c>
      <c r="G1534" s="0" t="str">
        <f aca="false">IF(ISNUMBER(F1534),IF(OR(B1534=0,B1534=99,C1534&lt;&gt;""),F1534*100+B1534,""),"")</f>
        <v/>
      </c>
      <c r="H1534" s="0" t="n">
        <f aca="false">IFERROR(INDEX('Session Tracker'!$J$5:$J$149,MATCH($A1534,'Session Tracker'!$D$5:$D$149,0)),0)</f>
        <v>8</v>
      </c>
      <c r="I1534" s="0" t="str">
        <f aca="false">IF(OR(B1534=0,B1534=99,C1534=""),"",IF(E1534="Per class",D1534,D1534*H1534))</f>
        <v/>
      </c>
    </row>
    <row r="1535" customFormat="false" ht="15" hidden="false" customHeight="false" outlineLevel="0" collapsed="false">
      <c r="A1535" s="0" t="s">
        <v>310</v>
      </c>
      <c r="B1535" s="0" t="n">
        <v>99</v>
      </c>
      <c r="F1535" s="0" t="str">
        <f aca="false">IFERROR(INDEX('Session Tracker'!$M$5:$M$149,MATCH($A1535,'Session Tracker'!$D$5:$D$149,0))+0,"")</f>
        <v/>
      </c>
      <c r="G1535" s="0" t="str">
        <f aca="false">IF(ISNUMBER(F1535),IF(OR(B1535=0,B1535=99,C1535&lt;&gt;""),F1535*100+B1535,""),"")</f>
        <v/>
      </c>
      <c r="H1535" s="0" t="n">
        <f aca="false">IFERROR(INDEX('Session Tracker'!$J$5:$J$149,MATCH($A1535,'Session Tracker'!$D$5:$D$149,0)),0)</f>
        <v>8</v>
      </c>
      <c r="I1535" s="0" t="str">
        <f aca="false">IF(OR(B1535=0,B1535=99,C1535=""),"",IF(E1535="Per class",D1535,D1535*H1535))</f>
        <v/>
      </c>
    </row>
    <row r="1536" customFormat="false" ht="15" hidden="false" customHeight="false" outlineLevel="0" collapsed="false">
      <c r="A1536" s="0" t="s">
        <v>312</v>
      </c>
      <c r="B1536" s="0" t="n">
        <v>99</v>
      </c>
      <c r="F1536" s="0" t="str">
        <f aca="false">IFERROR(INDEX('Session Tracker'!$M$5:$M$149,MATCH($A1536,'Session Tracker'!$D$5:$D$149,0))+0,"")</f>
        <v/>
      </c>
      <c r="G1536" s="0" t="str">
        <f aca="false">IF(ISNUMBER(F1536),IF(OR(B1536=0,B1536=99,C1536&lt;&gt;""),F1536*100+B1536,""),"")</f>
        <v/>
      </c>
      <c r="H1536" s="0" t="n">
        <f aca="false">IFERROR(INDEX('Session Tracker'!$J$5:$J$149,MATCH($A1536,'Session Tracker'!$D$5:$D$149,0)),0)</f>
        <v>8</v>
      </c>
      <c r="I1536" s="0" t="str">
        <f aca="false">IF(OR(B1536=0,B1536=99,C1536=""),"",IF(E1536="Per class",D1536,D1536*H1536))</f>
        <v/>
      </c>
    </row>
    <row r="1537" customFormat="false" ht="15" hidden="false" customHeight="false" outlineLevel="0" collapsed="false">
      <c r="A1537" s="0" t="s">
        <v>314</v>
      </c>
      <c r="B1537" s="0" t="n">
        <v>99</v>
      </c>
      <c r="F1537" s="0" t="str">
        <f aca="false">IFERROR(INDEX('Session Tracker'!$M$5:$M$149,MATCH($A1537,'Session Tracker'!$D$5:$D$149,0))+0,"")</f>
        <v/>
      </c>
      <c r="G1537" s="0" t="str">
        <f aca="false">IF(ISNUMBER(F1537),IF(OR(B1537=0,B1537=99,C1537&lt;&gt;""),F1537*100+B1537,""),"")</f>
        <v/>
      </c>
      <c r="H1537" s="0" t="n">
        <f aca="false">IFERROR(INDEX('Session Tracker'!$J$5:$J$149,MATCH($A1537,'Session Tracker'!$D$5:$D$149,0)),0)</f>
        <v>8</v>
      </c>
      <c r="I1537" s="0" t="str">
        <f aca="false">IF(OR(B1537=0,B1537=99,C1537=""),"",IF(E1537="Per class",D1537,D1537*H1537))</f>
        <v/>
      </c>
    </row>
    <row r="1538" customFormat="false" ht="15" hidden="false" customHeight="false" outlineLevel="0" collapsed="false">
      <c r="A1538" s="0" t="s">
        <v>316</v>
      </c>
      <c r="B1538" s="0" t="n">
        <v>99</v>
      </c>
      <c r="F1538" s="0" t="str">
        <f aca="false">IFERROR(INDEX('Session Tracker'!$M$5:$M$149,MATCH($A1538,'Session Tracker'!$D$5:$D$149,0))+0,"")</f>
        <v/>
      </c>
      <c r="G1538" s="0" t="str">
        <f aca="false">IF(ISNUMBER(F1538),IF(OR(B1538=0,B1538=99,C1538&lt;&gt;""),F1538*100+B1538,""),"")</f>
        <v/>
      </c>
      <c r="H1538" s="0" t="n">
        <f aca="false">IFERROR(INDEX('Session Tracker'!$J$5:$J$149,MATCH($A1538,'Session Tracker'!$D$5:$D$149,0)),0)</f>
        <v>8</v>
      </c>
      <c r="I1538" s="0" t="str">
        <f aca="false">IF(OR(B1538=0,B1538=99,C1538=""),"",IF(E1538="Per class",D1538,D1538*H1538))</f>
        <v/>
      </c>
    </row>
    <row r="1539" customFormat="false" ht="15" hidden="false" customHeight="false" outlineLevel="0" collapsed="false">
      <c r="A1539" s="0" t="s">
        <v>318</v>
      </c>
      <c r="B1539" s="0" t="n">
        <v>99</v>
      </c>
      <c r="F1539" s="0" t="str">
        <f aca="false">IFERROR(INDEX('Session Tracker'!$M$5:$M$149,MATCH($A1539,'Session Tracker'!$D$5:$D$149,0))+0,"")</f>
        <v/>
      </c>
      <c r="G1539" s="0" t="str">
        <f aca="false">IF(ISNUMBER(F1539),IF(OR(B1539=0,B1539=99,C1539&lt;&gt;""),F1539*100+B1539,""),"")</f>
        <v/>
      </c>
      <c r="H1539" s="0" t="n">
        <f aca="false">IFERROR(INDEX('Session Tracker'!$J$5:$J$149,MATCH($A1539,'Session Tracker'!$D$5:$D$149,0)),0)</f>
        <v>8</v>
      </c>
      <c r="I1539" s="0" t="str">
        <f aca="false">IF(OR(B1539=0,B1539=99,C1539=""),"",IF(E1539="Per class",D1539,D1539*H1539))</f>
        <v/>
      </c>
    </row>
    <row r="1540" customFormat="false" ht="15" hidden="false" customHeight="false" outlineLevel="0" collapsed="false">
      <c r="A1540" s="0" t="s">
        <v>320</v>
      </c>
      <c r="B1540" s="0" t="n">
        <v>99</v>
      </c>
      <c r="F1540" s="0" t="str">
        <f aca="false">IFERROR(INDEX('Session Tracker'!$M$5:$M$149,MATCH($A1540,'Session Tracker'!$D$5:$D$149,0))+0,"")</f>
        <v/>
      </c>
      <c r="G1540" s="0" t="str">
        <f aca="false">IF(ISNUMBER(F1540),IF(OR(B1540=0,B1540=99,C1540&lt;&gt;""),F1540*100+B1540,""),"")</f>
        <v/>
      </c>
      <c r="H1540" s="0" t="n">
        <f aca="false">IFERROR(INDEX('Session Tracker'!$J$5:$J$149,MATCH($A1540,'Session Tracker'!$D$5:$D$149,0)),0)</f>
        <v>8</v>
      </c>
      <c r="I1540" s="0" t="str">
        <f aca="false">IF(OR(B1540=0,B1540=99,C1540=""),"",IF(E1540="Per class",D1540,D1540*H1540))</f>
        <v/>
      </c>
    </row>
    <row r="1541" customFormat="false" ht="15" hidden="false" customHeight="false" outlineLevel="0" collapsed="false">
      <c r="A1541" s="0" t="s">
        <v>322</v>
      </c>
      <c r="B1541" s="0" t="n">
        <v>99</v>
      </c>
      <c r="F1541" s="0" t="str">
        <f aca="false">IFERROR(INDEX('Session Tracker'!$M$5:$M$149,MATCH($A1541,'Session Tracker'!$D$5:$D$149,0))+0,"")</f>
        <v/>
      </c>
      <c r="G1541" s="0" t="str">
        <f aca="false">IF(ISNUMBER(F1541),IF(OR(B1541=0,B1541=99,C1541&lt;&gt;""),F1541*100+B1541,""),"")</f>
        <v/>
      </c>
      <c r="H1541" s="0" t="n">
        <f aca="false">IFERROR(INDEX('Session Tracker'!$J$5:$J$149,MATCH($A1541,'Session Tracker'!$D$5:$D$149,0)),0)</f>
        <v>8</v>
      </c>
      <c r="I1541" s="0" t="str">
        <f aca="false">IF(OR(B1541=0,B1541=99,C1541=""),"",IF(E1541="Per class",D1541,D1541*H1541))</f>
        <v/>
      </c>
    </row>
    <row r="1542" customFormat="false" ht="15" hidden="false" customHeight="false" outlineLevel="0" collapsed="false">
      <c r="A1542" s="0" t="s">
        <v>324</v>
      </c>
      <c r="B1542" s="0" t="n">
        <v>99</v>
      </c>
      <c r="F1542" s="0" t="str">
        <f aca="false">IFERROR(INDEX('Session Tracker'!$M$5:$M$149,MATCH($A1542,'Session Tracker'!$D$5:$D$149,0))+0,"")</f>
        <v/>
      </c>
      <c r="G1542" s="0" t="str">
        <f aca="false">IF(ISNUMBER(F1542),IF(OR(B1542=0,B1542=99,C1542&lt;&gt;""),F1542*100+B1542,""),"")</f>
        <v/>
      </c>
      <c r="H1542" s="0" t="n">
        <f aca="false">IFERROR(INDEX('Session Tracker'!$J$5:$J$149,MATCH($A1542,'Session Tracker'!$D$5:$D$149,0)),0)</f>
        <v>8</v>
      </c>
      <c r="I1542" s="0" t="str">
        <f aca="false">IF(OR(B1542=0,B1542=99,C1542=""),"",IF(E1542="Per class",D1542,D1542*H1542))</f>
        <v/>
      </c>
    </row>
    <row r="1543" customFormat="false" ht="15" hidden="false" customHeight="false" outlineLevel="0" collapsed="false">
      <c r="A1543" s="0" t="s">
        <v>326</v>
      </c>
      <c r="B1543" s="0" t="n">
        <v>99</v>
      </c>
      <c r="F1543" s="0" t="str">
        <f aca="false">IFERROR(INDEX('Session Tracker'!$M$5:$M$149,MATCH($A1543,'Session Tracker'!$D$5:$D$149,0))+0,"")</f>
        <v/>
      </c>
      <c r="G1543" s="0" t="str">
        <f aca="false">IF(ISNUMBER(F1543),IF(OR(B1543=0,B1543=99,C1543&lt;&gt;""),F1543*100+B1543,""),"")</f>
        <v/>
      </c>
      <c r="H1543" s="0" t="n">
        <f aca="false">IFERROR(INDEX('Session Tracker'!$J$5:$J$149,MATCH($A1543,'Session Tracker'!$D$5:$D$149,0)),0)</f>
        <v>8</v>
      </c>
      <c r="I1543" s="0" t="str">
        <f aca="false">IF(OR(B1543=0,B1543=99,C1543=""),"",IF(E1543="Per class",D1543,D1543*H1543))</f>
        <v/>
      </c>
    </row>
    <row r="1544" customFormat="false" ht="15" hidden="false" customHeight="false" outlineLevel="0" collapsed="false">
      <c r="A1544" s="0" t="s">
        <v>328</v>
      </c>
      <c r="B1544" s="0" t="n">
        <v>99</v>
      </c>
      <c r="F1544" s="0" t="str">
        <f aca="false">IFERROR(INDEX('Session Tracker'!$M$5:$M$149,MATCH($A1544,'Session Tracker'!$D$5:$D$149,0))+0,"")</f>
        <v/>
      </c>
      <c r="G1544" s="0" t="str">
        <f aca="false">IF(ISNUMBER(F1544),IF(OR(B1544=0,B1544=99,C1544&lt;&gt;""),F1544*100+B1544,""),"")</f>
        <v/>
      </c>
      <c r="H1544" s="0" t="n">
        <f aca="false">IFERROR(INDEX('Session Tracker'!$J$5:$J$149,MATCH($A1544,'Session Tracker'!$D$5:$D$149,0)),0)</f>
        <v>8</v>
      </c>
      <c r="I1544" s="0" t="str">
        <f aca="false">IF(OR(B1544=0,B1544=99,C1544=""),"",IF(E1544="Per class",D1544,D1544*H1544))</f>
        <v/>
      </c>
    </row>
    <row r="1545" customFormat="false" ht="15" hidden="false" customHeight="false" outlineLevel="0" collapsed="false">
      <c r="A1545" s="0" t="s">
        <v>330</v>
      </c>
      <c r="B1545" s="0" t="n">
        <v>99</v>
      </c>
      <c r="F1545" s="0" t="str">
        <f aca="false">IFERROR(INDEX('Session Tracker'!$M$5:$M$149,MATCH($A1545,'Session Tracker'!$D$5:$D$149,0))+0,"")</f>
        <v/>
      </c>
      <c r="G1545" s="0" t="str">
        <f aca="false">IF(ISNUMBER(F1545),IF(OR(B1545=0,B1545=99,C1545&lt;&gt;""),F1545*100+B1545,""),"")</f>
        <v/>
      </c>
      <c r="H1545" s="0" t="n">
        <f aca="false">IFERROR(INDEX('Session Tracker'!$J$5:$J$149,MATCH($A1545,'Session Tracker'!$D$5:$D$149,0)),0)</f>
        <v>8</v>
      </c>
      <c r="I1545" s="0" t="str">
        <f aca="false">IF(OR(B1545=0,B1545=99,C1545=""),"",IF(E1545="Per class",D1545,D1545*H1545))</f>
        <v/>
      </c>
    </row>
    <row r="1546" customFormat="false" ht="15" hidden="false" customHeight="false" outlineLevel="0" collapsed="false">
      <c r="A1546" s="0" t="s">
        <v>332</v>
      </c>
      <c r="B1546" s="0" t="n">
        <v>99</v>
      </c>
      <c r="F1546" s="0" t="str">
        <f aca="false">IFERROR(INDEX('Session Tracker'!$M$5:$M$149,MATCH($A1546,'Session Tracker'!$D$5:$D$149,0))+0,"")</f>
        <v/>
      </c>
      <c r="G1546" s="0" t="str">
        <f aca="false">IF(ISNUMBER(F1546),IF(OR(B1546=0,B1546=99,C1546&lt;&gt;""),F1546*100+B1546,""),"")</f>
        <v/>
      </c>
      <c r="H1546" s="0" t="n">
        <f aca="false">IFERROR(INDEX('Session Tracker'!$J$5:$J$149,MATCH($A1546,'Session Tracker'!$D$5:$D$149,0)),0)</f>
        <v>8</v>
      </c>
      <c r="I1546" s="0" t="str">
        <f aca="false">IF(OR(B1546=0,B1546=99,C1546=""),"",IF(E1546="Per class",D1546,D1546*H1546))</f>
        <v/>
      </c>
    </row>
    <row r="1547" customFormat="false" ht="15" hidden="false" customHeight="false" outlineLevel="0" collapsed="false">
      <c r="A1547" s="0" t="s">
        <v>334</v>
      </c>
      <c r="B1547" s="0" t="n">
        <v>99</v>
      </c>
      <c r="F1547" s="0" t="str">
        <f aca="false">IFERROR(INDEX('Session Tracker'!$M$5:$M$149,MATCH($A1547,'Session Tracker'!$D$5:$D$149,0))+0,"")</f>
        <v/>
      </c>
      <c r="G1547" s="0" t="str">
        <f aca="false">IF(ISNUMBER(F1547),IF(OR(B1547=0,B1547=99,C1547&lt;&gt;""),F1547*100+B1547,""),"")</f>
        <v/>
      </c>
      <c r="H1547" s="0" t="n">
        <f aca="false">IFERROR(INDEX('Session Tracker'!$J$5:$J$149,MATCH($A1547,'Session Tracker'!$D$5:$D$149,0)),0)</f>
        <v>8</v>
      </c>
      <c r="I1547" s="0" t="str">
        <f aca="false">IF(OR(B1547=0,B1547=99,C1547=""),"",IF(E1547="Per class",D1547,D1547*H1547))</f>
        <v/>
      </c>
    </row>
    <row r="1548" customFormat="false" ht="15" hidden="false" customHeight="false" outlineLevel="0" collapsed="false">
      <c r="A1548" s="0" t="s">
        <v>336</v>
      </c>
      <c r="B1548" s="0" t="n">
        <v>99</v>
      </c>
      <c r="F1548" s="0" t="str">
        <f aca="false">IFERROR(INDEX('Session Tracker'!$M$5:$M$149,MATCH($A1548,'Session Tracker'!$D$5:$D$149,0))+0,"")</f>
        <v/>
      </c>
      <c r="G1548" s="0" t="str">
        <f aca="false">IF(ISNUMBER(F1548),IF(OR(B1548=0,B1548=99,C1548&lt;&gt;""),F1548*100+B1548,""),"")</f>
        <v/>
      </c>
      <c r="H1548" s="0" t="n">
        <f aca="false">IFERROR(INDEX('Session Tracker'!$J$5:$J$149,MATCH($A1548,'Session Tracker'!$D$5:$D$149,0)),0)</f>
        <v>8</v>
      </c>
      <c r="I1548" s="0" t="str">
        <f aca="false">IF(OR(B1548=0,B1548=99,C1548=""),"",IF(E1548="Per class",D1548,D1548*H1548))</f>
        <v/>
      </c>
    </row>
    <row r="1549" customFormat="false" ht="15" hidden="false" customHeight="false" outlineLevel="0" collapsed="false">
      <c r="A1549" s="0" t="s">
        <v>338</v>
      </c>
      <c r="B1549" s="0" t="n">
        <v>99</v>
      </c>
      <c r="F1549" s="0" t="str">
        <f aca="false">IFERROR(INDEX('Session Tracker'!$M$5:$M$149,MATCH($A1549,'Session Tracker'!$D$5:$D$149,0))+0,"")</f>
        <v/>
      </c>
      <c r="G1549" s="0" t="str">
        <f aca="false">IF(ISNUMBER(F1549),IF(OR(B1549=0,B1549=99,C1549&lt;&gt;""),F1549*100+B1549,""),"")</f>
        <v/>
      </c>
      <c r="H1549" s="0" t="n">
        <f aca="false">IFERROR(INDEX('Session Tracker'!$J$5:$J$149,MATCH($A1549,'Session Tracker'!$D$5:$D$149,0)),0)</f>
        <v>8</v>
      </c>
      <c r="I1549" s="0" t="str">
        <f aca="false">IF(OR(B1549=0,B1549=99,C1549=""),"",IF(E1549="Per class",D1549,D1549*H1549))</f>
        <v/>
      </c>
    </row>
    <row r="1550" customFormat="false" ht="15" hidden="false" customHeight="false" outlineLevel="0" collapsed="false">
      <c r="A1550" s="0" t="s">
        <v>340</v>
      </c>
      <c r="B1550" s="0" t="n">
        <v>99</v>
      </c>
      <c r="F1550" s="0" t="str">
        <f aca="false">IFERROR(INDEX('Session Tracker'!$M$5:$M$149,MATCH($A1550,'Session Tracker'!$D$5:$D$149,0))+0,"")</f>
        <v/>
      </c>
      <c r="G1550" s="0" t="str">
        <f aca="false">IF(ISNUMBER(F1550),IF(OR(B1550=0,B1550=99,C1550&lt;&gt;""),F1550*100+B1550,""),"")</f>
        <v/>
      </c>
      <c r="H1550" s="0" t="n">
        <f aca="false">IFERROR(INDEX('Session Tracker'!$J$5:$J$149,MATCH($A1550,'Session Tracker'!$D$5:$D$149,0)),0)</f>
        <v>8</v>
      </c>
      <c r="I1550" s="0" t="str">
        <f aca="false">IF(OR(B1550=0,B1550=99,C1550=""),"",IF(E1550="Per class",D1550,D1550*H1550))</f>
        <v/>
      </c>
    </row>
    <row r="1551" customFormat="false" ht="15" hidden="false" customHeight="false" outlineLevel="0" collapsed="false">
      <c r="A1551" s="0" t="s">
        <v>342</v>
      </c>
      <c r="B1551" s="0" t="n">
        <v>99</v>
      </c>
      <c r="F1551" s="0" t="str">
        <f aca="false">IFERROR(INDEX('Session Tracker'!$M$5:$M$149,MATCH($A1551,'Session Tracker'!$D$5:$D$149,0))+0,"")</f>
        <v/>
      </c>
      <c r="G1551" s="0" t="str">
        <f aca="false">IF(ISNUMBER(F1551),IF(OR(B1551=0,B1551=99,C1551&lt;&gt;""),F1551*100+B1551,""),"")</f>
        <v/>
      </c>
      <c r="H1551" s="0" t="n">
        <f aca="false">IFERROR(INDEX('Session Tracker'!$J$5:$J$149,MATCH($A1551,'Session Tracker'!$D$5:$D$149,0)),0)</f>
        <v>8</v>
      </c>
      <c r="I1551" s="0" t="str">
        <f aca="false">IF(OR(B1551=0,B1551=99,C1551=""),"",IF(E1551="Per class",D1551,D1551*H1551))</f>
        <v/>
      </c>
    </row>
    <row r="1552" customFormat="false" ht="15" hidden="false" customHeight="false" outlineLevel="0" collapsed="false">
      <c r="A1552" s="0" t="s">
        <v>344</v>
      </c>
      <c r="B1552" s="0" t="n">
        <v>99</v>
      </c>
      <c r="F1552" s="0" t="str">
        <f aca="false">IFERROR(INDEX('Session Tracker'!$M$5:$M$149,MATCH($A1552,'Session Tracker'!$D$5:$D$149,0))+0,"")</f>
        <v/>
      </c>
      <c r="G1552" s="0" t="str">
        <f aca="false">IF(ISNUMBER(F1552),IF(OR(B1552=0,B1552=99,C1552&lt;&gt;""),F1552*100+B1552,""),"")</f>
        <v/>
      </c>
      <c r="H1552" s="0" t="n">
        <f aca="false">IFERROR(INDEX('Session Tracker'!$J$5:$J$149,MATCH($A1552,'Session Tracker'!$D$5:$D$149,0)),0)</f>
        <v>8</v>
      </c>
      <c r="I1552" s="0" t="str">
        <f aca="false">IF(OR(B1552=0,B1552=99,C1552=""),"",IF(E1552="Per class",D1552,D1552*H1552))</f>
        <v/>
      </c>
    </row>
    <row r="1553" customFormat="false" ht="15" hidden="false" customHeight="false" outlineLevel="0" collapsed="false">
      <c r="A1553" s="0" t="s">
        <v>346</v>
      </c>
      <c r="B1553" s="0" t="n">
        <v>99</v>
      </c>
      <c r="F1553" s="0" t="str">
        <f aca="false">IFERROR(INDEX('Session Tracker'!$M$5:$M$149,MATCH($A1553,'Session Tracker'!$D$5:$D$149,0))+0,"")</f>
        <v/>
      </c>
      <c r="G1553" s="0" t="str">
        <f aca="false">IF(ISNUMBER(F1553),IF(OR(B1553=0,B1553=99,C1553&lt;&gt;""),F1553*100+B1553,""),"")</f>
        <v/>
      </c>
      <c r="H1553" s="0" t="n">
        <f aca="false">IFERROR(INDEX('Session Tracker'!$J$5:$J$149,MATCH($A1553,'Session Tracker'!$D$5:$D$149,0)),0)</f>
        <v>8</v>
      </c>
      <c r="I1553" s="0" t="str">
        <f aca="false">IF(OR(B1553=0,B1553=99,C1553=""),"",IF(E1553="Per class",D1553,D1553*H1553))</f>
        <v/>
      </c>
    </row>
    <row r="1554" customFormat="false" ht="15" hidden="false" customHeight="false" outlineLevel="0" collapsed="false">
      <c r="A1554" s="0" t="s">
        <v>348</v>
      </c>
      <c r="B1554" s="0" t="n">
        <v>99</v>
      </c>
      <c r="F1554" s="0" t="str">
        <f aca="false">IFERROR(INDEX('Session Tracker'!$M$5:$M$149,MATCH($A1554,'Session Tracker'!$D$5:$D$149,0))+0,"")</f>
        <v/>
      </c>
      <c r="G1554" s="0" t="str">
        <f aca="false">IF(ISNUMBER(F1554),IF(OR(B1554=0,B1554=99,C1554&lt;&gt;""),F1554*100+B1554,""),"")</f>
        <v/>
      </c>
      <c r="H1554" s="0" t="n">
        <f aca="false">IFERROR(INDEX('Session Tracker'!$J$5:$J$149,MATCH($A1554,'Session Tracker'!$D$5:$D$149,0)),0)</f>
        <v>8</v>
      </c>
      <c r="I1554" s="0" t="str">
        <f aca="false">IF(OR(B1554=0,B1554=99,C1554=""),"",IF(E1554="Per class",D1554,D1554*H1554))</f>
        <v/>
      </c>
    </row>
    <row r="1555" customFormat="false" ht="15" hidden="false" customHeight="false" outlineLevel="0" collapsed="false">
      <c r="A1555" s="0" t="s">
        <v>350</v>
      </c>
      <c r="B1555" s="0" t="n">
        <v>99</v>
      </c>
      <c r="F1555" s="0" t="str">
        <f aca="false">IFERROR(INDEX('Session Tracker'!$M$5:$M$149,MATCH($A1555,'Session Tracker'!$D$5:$D$149,0))+0,"")</f>
        <v/>
      </c>
      <c r="G1555" s="0" t="str">
        <f aca="false">IF(ISNUMBER(F1555),IF(OR(B1555=0,B1555=99,C1555&lt;&gt;""),F1555*100+B1555,""),"")</f>
        <v/>
      </c>
      <c r="H1555" s="0" t="n">
        <f aca="false">IFERROR(INDEX('Session Tracker'!$J$5:$J$149,MATCH($A1555,'Session Tracker'!$D$5:$D$149,0)),0)</f>
        <v>8</v>
      </c>
      <c r="I1555" s="0" t="str">
        <f aca="false">IF(OR(B1555=0,B1555=99,C1555=""),"",IF(E1555="Per class",D1555,D1555*H1555))</f>
        <v/>
      </c>
    </row>
    <row r="1556" customFormat="false" ht="15" hidden="false" customHeight="false" outlineLevel="0" collapsed="false">
      <c r="A1556" s="0" t="s">
        <v>352</v>
      </c>
      <c r="B1556" s="0" t="n">
        <v>99</v>
      </c>
      <c r="F1556" s="0" t="str">
        <f aca="false">IFERROR(INDEX('Session Tracker'!$M$5:$M$149,MATCH($A1556,'Session Tracker'!$D$5:$D$149,0))+0,"")</f>
        <v/>
      </c>
      <c r="G1556" s="0" t="str">
        <f aca="false">IF(ISNUMBER(F1556),IF(OR(B1556=0,B1556=99,C1556&lt;&gt;""),F1556*100+B1556,""),"")</f>
        <v/>
      </c>
      <c r="H1556" s="0" t="n">
        <f aca="false">IFERROR(INDEX('Session Tracker'!$J$5:$J$149,MATCH($A1556,'Session Tracker'!$D$5:$D$149,0)),0)</f>
        <v>8</v>
      </c>
      <c r="I1556" s="0" t="str">
        <f aca="false">IF(OR(B1556=0,B1556=99,C1556=""),"",IF(E1556="Per class",D1556,D1556*H1556))</f>
        <v/>
      </c>
    </row>
    <row r="1557" customFormat="false" ht="15" hidden="false" customHeight="false" outlineLevel="0" collapsed="false">
      <c r="A1557" s="0" t="s">
        <v>354</v>
      </c>
      <c r="B1557" s="0" t="n">
        <v>99</v>
      </c>
      <c r="F1557" s="0" t="str">
        <f aca="false">IFERROR(INDEX('Session Tracker'!$M$5:$M$149,MATCH($A1557,'Session Tracker'!$D$5:$D$149,0))+0,"")</f>
        <v/>
      </c>
      <c r="G1557" s="0" t="str">
        <f aca="false">IF(ISNUMBER(F1557),IF(OR(B1557=0,B1557=99,C1557&lt;&gt;""),F1557*100+B1557,""),"")</f>
        <v/>
      </c>
      <c r="H1557" s="0" t="n">
        <f aca="false">IFERROR(INDEX('Session Tracker'!$J$5:$J$149,MATCH($A1557,'Session Tracker'!$D$5:$D$149,0)),0)</f>
        <v>8</v>
      </c>
      <c r="I1557" s="0" t="str">
        <f aca="false">IF(OR(B1557=0,B1557=99,C1557=""),"",IF(E1557="Per class",D1557,D1557*H1557))</f>
        <v/>
      </c>
    </row>
    <row r="1558" customFormat="false" ht="15" hidden="false" customHeight="false" outlineLevel="0" collapsed="false">
      <c r="A1558" s="0" t="s">
        <v>356</v>
      </c>
      <c r="B1558" s="0" t="n">
        <v>99</v>
      </c>
      <c r="F1558" s="0" t="str">
        <f aca="false">IFERROR(INDEX('Session Tracker'!$M$5:$M$149,MATCH($A1558,'Session Tracker'!$D$5:$D$149,0))+0,"")</f>
        <v/>
      </c>
      <c r="G1558" s="0" t="str">
        <f aca="false">IF(ISNUMBER(F1558),IF(OR(B1558=0,B1558=99,C1558&lt;&gt;""),F1558*100+B1558,""),"")</f>
        <v/>
      </c>
      <c r="H1558" s="0" t="n">
        <f aca="false">IFERROR(INDEX('Session Tracker'!$J$5:$J$149,MATCH($A1558,'Session Tracker'!$D$5:$D$149,0)),0)</f>
        <v>8</v>
      </c>
      <c r="I1558" s="0" t="str">
        <f aca="false">IF(OR(B1558=0,B1558=99,C1558=""),"",IF(E1558="Per class",D1558,D1558*H1558))</f>
        <v/>
      </c>
    </row>
    <row r="1559" customFormat="false" ht="15" hidden="false" customHeight="false" outlineLevel="0" collapsed="false">
      <c r="A1559" s="0" t="s">
        <v>225</v>
      </c>
      <c r="B1559" s="0" t="n">
        <v>99</v>
      </c>
      <c r="F1559" s="0" t="str">
        <f aca="false">IFERROR(INDEX('Session Tracker'!$M$5:$M$149,MATCH($A1559,'Session Tracker'!$D$5:$D$149,0))+0,"")</f>
        <v/>
      </c>
      <c r="G1559" s="0" t="str">
        <f aca="false">IF(ISNUMBER(F1559),IF(OR(B1559=0,B1559=99,C1559&lt;&gt;""),F1559*100+B1559,""),"")</f>
        <v/>
      </c>
      <c r="H1559" s="0" t="n">
        <f aca="false">IFERROR(INDEX('Session Tracker'!$J$5:$J$149,MATCH($A1559,'Session Tracker'!$D$5:$D$149,0)),0)</f>
        <v>8</v>
      </c>
      <c r="I1559" s="0" t="str">
        <f aca="false">IF(OR(B1559=0,B1559=99,C1559=""),"",IF(E1559="Per class",D1559,D1559*H1559))</f>
        <v/>
      </c>
    </row>
    <row r="1560" customFormat="false" ht="15" hidden="false" customHeight="false" outlineLevel="0" collapsed="false">
      <c r="A1560" s="0" t="s">
        <v>227</v>
      </c>
      <c r="B1560" s="0" t="n">
        <v>99</v>
      </c>
      <c r="F1560" s="0" t="str">
        <f aca="false">IFERROR(INDEX('Session Tracker'!$M$5:$M$149,MATCH($A1560,'Session Tracker'!$D$5:$D$149,0))+0,"")</f>
        <v/>
      </c>
      <c r="G1560" s="0" t="str">
        <f aca="false">IF(ISNUMBER(F1560),IF(OR(B1560=0,B1560=99,C1560&lt;&gt;""),F1560*100+B1560,""),"")</f>
        <v/>
      </c>
      <c r="H1560" s="0" t="n">
        <f aca="false">IFERROR(INDEX('Session Tracker'!$J$5:$J$149,MATCH($A1560,'Session Tracker'!$D$5:$D$149,0)),0)</f>
        <v>8</v>
      </c>
      <c r="I1560" s="0" t="str">
        <f aca="false">IF(OR(B1560=0,B1560=99,C1560=""),"",IF(E1560="Per class",D1560,D1560*H1560))</f>
        <v/>
      </c>
    </row>
    <row r="1561" customFormat="false" ht="15" hidden="false" customHeight="false" outlineLevel="0" collapsed="false">
      <c r="A1561" s="0" t="s">
        <v>229</v>
      </c>
      <c r="B1561" s="0" t="n">
        <v>99</v>
      </c>
      <c r="F1561" s="0" t="str">
        <f aca="false">IFERROR(INDEX('Session Tracker'!$M$5:$M$149,MATCH($A1561,'Session Tracker'!$D$5:$D$149,0))+0,"")</f>
        <v/>
      </c>
      <c r="G1561" s="0" t="str">
        <f aca="false">IF(ISNUMBER(F1561),IF(OR(B1561=0,B1561=99,C1561&lt;&gt;""),F1561*100+B1561,""),"")</f>
        <v/>
      </c>
      <c r="H1561" s="0" t="n">
        <f aca="false">IFERROR(INDEX('Session Tracker'!$J$5:$J$149,MATCH($A1561,'Session Tracker'!$D$5:$D$149,0)),0)</f>
        <v>8</v>
      </c>
      <c r="I1561" s="0" t="str">
        <f aca="false">IF(OR(B1561=0,B1561=99,C1561=""),"",IF(E1561="Per class",D1561,D1561*H1561))</f>
        <v/>
      </c>
    </row>
    <row r="1562" customFormat="false" ht="15" hidden="false" customHeight="false" outlineLevel="0" collapsed="false">
      <c r="A1562" s="0" t="s">
        <v>231</v>
      </c>
      <c r="B1562" s="0" t="n">
        <v>99</v>
      </c>
      <c r="F1562" s="0" t="str">
        <f aca="false">IFERROR(INDEX('Session Tracker'!$M$5:$M$149,MATCH($A1562,'Session Tracker'!$D$5:$D$149,0))+0,"")</f>
        <v/>
      </c>
      <c r="G1562" s="0" t="str">
        <f aca="false">IF(ISNUMBER(F1562),IF(OR(B1562=0,B1562=99,C1562&lt;&gt;""),F1562*100+B1562,""),"")</f>
        <v/>
      </c>
      <c r="H1562" s="0" t="n">
        <f aca="false">IFERROR(INDEX('Session Tracker'!$J$5:$J$149,MATCH($A1562,'Session Tracker'!$D$5:$D$149,0)),0)</f>
        <v>8</v>
      </c>
      <c r="I1562" s="0" t="str">
        <f aca="false">IF(OR(B1562=0,B1562=99,C1562=""),"",IF(E1562="Per class",D1562,D1562*H1562))</f>
        <v/>
      </c>
    </row>
    <row r="1563" customFormat="false" ht="15" hidden="false" customHeight="false" outlineLevel="0" collapsed="false">
      <c r="A1563" s="0" t="s">
        <v>233</v>
      </c>
      <c r="B1563" s="0" t="n">
        <v>99</v>
      </c>
      <c r="F1563" s="0" t="str">
        <f aca="false">IFERROR(INDEX('Session Tracker'!$M$5:$M$149,MATCH($A1563,'Session Tracker'!$D$5:$D$149,0))+0,"")</f>
        <v/>
      </c>
      <c r="G1563" s="0" t="str">
        <f aca="false">IF(ISNUMBER(F1563),IF(OR(B1563=0,B1563=99,C1563&lt;&gt;""),F1563*100+B1563,""),"")</f>
        <v/>
      </c>
      <c r="H1563" s="0" t="n">
        <f aca="false">IFERROR(INDEX('Session Tracker'!$J$5:$J$149,MATCH($A1563,'Session Tracker'!$D$5:$D$149,0)),0)</f>
        <v>8</v>
      </c>
      <c r="I1563" s="0" t="str">
        <f aca="false">IF(OR(B1563=0,B1563=99,C1563=""),"",IF(E1563="Per class",D1563,D1563*H1563))</f>
        <v/>
      </c>
    </row>
    <row r="1564" customFormat="false" ht="15" hidden="false" customHeight="false" outlineLevel="0" collapsed="false">
      <c r="A1564" s="0" t="s">
        <v>235</v>
      </c>
      <c r="B1564" s="0" t="n">
        <v>99</v>
      </c>
      <c r="F1564" s="0" t="str">
        <f aca="false">IFERROR(INDEX('Session Tracker'!$M$5:$M$149,MATCH($A1564,'Session Tracker'!$D$5:$D$149,0))+0,"")</f>
        <v/>
      </c>
      <c r="G1564" s="0" t="str">
        <f aca="false">IF(ISNUMBER(F1564),IF(OR(B1564=0,B1564=99,C1564&lt;&gt;""),F1564*100+B1564,""),"")</f>
        <v/>
      </c>
      <c r="H1564" s="0" t="n">
        <f aca="false">IFERROR(INDEX('Session Tracker'!$J$5:$J$149,MATCH($A1564,'Session Tracker'!$D$5:$D$149,0)),0)</f>
        <v>8</v>
      </c>
      <c r="I1564" s="0" t="str">
        <f aca="false">IF(OR(B1564=0,B1564=99,C1564=""),"",IF(E1564="Per class",D1564,D1564*H1564))</f>
        <v/>
      </c>
    </row>
    <row r="1565" customFormat="false" ht="15" hidden="false" customHeight="false" outlineLevel="0" collapsed="false">
      <c r="A1565" s="0" t="s">
        <v>237</v>
      </c>
      <c r="B1565" s="0" t="n">
        <v>99</v>
      </c>
      <c r="F1565" s="0" t="str">
        <f aca="false">IFERROR(INDEX('Session Tracker'!$M$5:$M$149,MATCH($A1565,'Session Tracker'!$D$5:$D$149,0))+0,"")</f>
        <v/>
      </c>
      <c r="G1565" s="0" t="str">
        <f aca="false">IF(ISNUMBER(F1565),IF(OR(B1565=0,B1565=99,C1565&lt;&gt;""),F1565*100+B1565,""),"")</f>
        <v/>
      </c>
      <c r="H1565" s="0" t="n">
        <f aca="false">IFERROR(INDEX('Session Tracker'!$J$5:$J$149,MATCH($A1565,'Session Tracker'!$D$5:$D$149,0)),0)</f>
        <v>8</v>
      </c>
      <c r="I1565" s="0" t="str">
        <f aca="false">IF(OR(B1565=0,B1565=99,C1565=""),"",IF(E1565="Per class",D1565,D1565*H1565))</f>
        <v/>
      </c>
    </row>
    <row r="1566" customFormat="false" ht="15" hidden="false" customHeight="false" outlineLevel="0" collapsed="false">
      <c r="A1566" s="0" t="s">
        <v>239</v>
      </c>
      <c r="B1566" s="0" t="n">
        <v>99</v>
      </c>
      <c r="F1566" s="0" t="str">
        <f aca="false">IFERROR(INDEX('Session Tracker'!$M$5:$M$149,MATCH($A1566,'Session Tracker'!$D$5:$D$149,0))+0,"")</f>
        <v/>
      </c>
      <c r="G1566" s="0" t="str">
        <f aca="false">IF(ISNUMBER(F1566),IF(OR(B1566=0,B1566=99,C1566&lt;&gt;""),F1566*100+B1566,""),"")</f>
        <v/>
      </c>
      <c r="H1566" s="0" t="n">
        <f aca="false">IFERROR(INDEX('Session Tracker'!$J$5:$J$149,MATCH($A1566,'Session Tracker'!$D$5:$D$149,0)),0)</f>
        <v>8</v>
      </c>
      <c r="I1566" s="0" t="str">
        <f aca="false">IF(OR(B1566=0,B1566=99,C1566=""),"",IF(E1566="Per class",D1566,D1566*H1566))</f>
        <v/>
      </c>
    </row>
    <row r="1567" customFormat="false" ht="15" hidden="false" customHeight="false" outlineLevel="0" collapsed="false">
      <c r="A1567" s="0" t="s">
        <v>241</v>
      </c>
      <c r="B1567" s="0" t="n">
        <v>99</v>
      </c>
      <c r="F1567" s="0" t="str">
        <f aca="false">IFERROR(INDEX('Session Tracker'!$M$5:$M$149,MATCH($A1567,'Session Tracker'!$D$5:$D$149,0))+0,"")</f>
        <v/>
      </c>
      <c r="G1567" s="0" t="str">
        <f aca="false">IF(ISNUMBER(F1567),IF(OR(B1567=0,B1567=99,C1567&lt;&gt;""),F1567*100+B1567,""),"")</f>
        <v/>
      </c>
      <c r="H1567" s="0" t="n">
        <f aca="false">IFERROR(INDEX('Session Tracker'!$J$5:$J$149,MATCH($A1567,'Session Tracker'!$D$5:$D$149,0)),0)</f>
        <v>8</v>
      </c>
      <c r="I1567" s="0" t="str">
        <f aca="false">IF(OR(B1567=0,B1567=99,C1567=""),"",IF(E1567="Per class",D1567,D1567*H1567))</f>
        <v/>
      </c>
    </row>
    <row r="1568" customFormat="false" ht="15" hidden="false" customHeight="false" outlineLevel="0" collapsed="false">
      <c r="A1568" s="0" t="s">
        <v>243</v>
      </c>
      <c r="B1568" s="0" t="n">
        <v>99</v>
      </c>
      <c r="F1568" s="0" t="str">
        <f aca="false">IFERROR(INDEX('Session Tracker'!$M$5:$M$149,MATCH($A1568,'Session Tracker'!$D$5:$D$149,0))+0,"")</f>
        <v/>
      </c>
      <c r="G1568" s="0" t="str">
        <f aca="false">IF(ISNUMBER(F1568),IF(OR(B1568=0,B1568=99,C1568&lt;&gt;""),F1568*100+B1568,""),"")</f>
        <v/>
      </c>
      <c r="H1568" s="0" t="n">
        <f aca="false">IFERROR(INDEX('Session Tracker'!$J$5:$J$149,MATCH($A1568,'Session Tracker'!$D$5:$D$149,0)),0)</f>
        <v>8</v>
      </c>
      <c r="I1568" s="0" t="str">
        <f aca="false">IF(OR(B1568=0,B1568=99,C1568=""),"",IF(E1568="Per class",D1568,D1568*H1568))</f>
        <v/>
      </c>
    </row>
    <row r="1569" customFormat="false" ht="15" hidden="false" customHeight="false" outlineLevel="0" collapsed="false">
      <c r="A1569" s="0" t="s">
        <v>245</v>
      </c>
      <c r="B1569" s="0" t="n">
        <v>99</v>
      </c>
      <c r="F1569" s="0" t="str">
        <f aca="false">IFERROR(INDEX('Session Tracker'!$M$5:$M$149,MATCH($A1569,'Session Tracker'!$D$5:$D$149,0))+0,"")</f>
        <v/>
      </c>
      <c r="G1569" s="0" t="str">
        <f aca="false">IF(ISNUMBER(F1569),IF(OR(B1569=0,B1569=99,C1569&lt;&gt;""),F1569*100+B1569,""),"")</f>
        <v/>
      </c>
      <c r="H1569" s="0" t="n">
        <f aca="false">IFERROR(INDEX('Session Tracker'!$J$5:$J$149,MATCH($A1569,'Session Tracker'!$D$5:$D$149,0)),0)</f>
        <v>8</v>
      </c>
      <c r="I1569" s="0" t="str">
        <f aca="false">IF(OR(B1569=0,B1569=99,C1569=""),"",IF(E1569="Per class",D1569,D1569*H1569))</f>
        <v/>
      </c>
    </row>
    <row r="1570" customFormat="false" ht="15" hidden="false" customHeight="false" outlineLevel="0" collapsed="false">
      <c r="A1570" s="0" t="s">
        <v>247</v>
      </c>
      <c r="B1570" s="0" t="n">
        <v>99</v>
      </c>
      <c r="F1570" s="0" t="str">
        <f aca="false">IFERROR(INDEX('Session Tracker'!$M$5:$M$149,MATCH($A1570,'Session Tracker'!$D$5:$D$149,0))+0,"")</f>
        <v/>
      </c>
      <c r="G1570" s="0" t="str">
        <f aca="false">IF(ISNUMBER(F1570),IF(OR(B1570=0,B1570=99,C1570&lt;&gt;""),F1570*100+B1570,""),"")</f>
        <v/>
      </c>
      <c r="H1570" s="0" t="n">
        <f aca="false">IFERROR(INDEX('Session Tracker'!$J$5:$J$149,MATCH($A1570,'Session Tracker'!$D$5:$D$149,0)),0)</f>
        <v>8</v>
      </c>
      <c r="I1570" s="0" t="str">
        <f aca="false">IF(OR(B1570=0,B1570=99,C1570=""),"",IF(E1570="Per class",D1570,D1570*H1570))</f>
        <v/>
      </c>
    </row>
    <row r="1571" customFormat="false" ht="15" hidden="false" customHeight="false" outlineLevel="0" collapsed="false">
      <c r="A1571" s="0" t="s">
        <v>249</v>
      </c>
      <c r="B1571" s="0" t="n">
        <v>99</v>
      </c>
      <c r="F1571" s="0" t="str">
        <f aca="false">IFERROR(INDEX('Session Tracker'!$M$5:$M$149,MATCH($A1571,'Session Tracker'!$D$5:$D$149,0))+0,"")</f>
        <v/>
      </c>
      <c r="G1571" s="0" t="str">
        <f aca="false">IF(ISNUMBER(F1571),IF(OR(B1571=0,B1571=99,C1571&lt;&gt;""),F1571*100+B1571,""),"")</f>
        <v/>
      </c>
      <c r="H1571" s="0" t="n">
        <f aca="false">IFERROR(INDEX('Session Tracker'!$J$5:$J$149,MATCH($A1571,'Session Tracker'!$D$5:$D$149,0)),0)</f>
        <v>8</v>
      </c>
      <c r="I1571" s="0" t="str">
        <f aca="false">IF(OR(B1571=0,B1571=99,C1571=""),"",IF(E1571="Per class",D1571,D1571*H1571))</f>
        <v/>
      </c>
    </row>
    <row r="1572" customFormat="false" ht="15" hidden="false" customHeight="false" outlineLevel="0" collapsed="false">
      <c r="A1572" s="0" t="s">
        <v>251</v>
      </c>
      <c r="B1572" s="0" t="n">
        <v>99</v>
      </c>
      <c r="F1572" s="0" t="str">
        <f aca="false">IFERROR(INDEX('Session Tracker'!$M$5:$M$149,MATCH($A1572,'Session Tracker'!$D$5:$D$149,0))+0,"")</f>
        <v/>
      </c>
      <c r="G1572" s="0" t="str">
        <f aca="false">IF(ISNUMBER(F1572),IF(OR(B1572=0,B1572=99,C1572&lt;&gt;""),F1572*100+B1572,""),"")</f>
        <v/>
      </c>
      <c r="H1572" s="0" t="n">
        <f aca="false">IFERROR(INDEX('Session Tracker'!$J$5:$J$149,MATCH($A1572,'Session Tracker'!$D$5:$D$149,0)),0)</f>
        <v>8</v>
      </c>
      <c r="I1572" s="0" t="str">
        <f aca="false">IF(OR(B1572=0,B1572=99,C1572=""),"",IF(E1572="Per class",D1572,D1572*H1572))</f>
        <v/>
      </c>
    </row>
    <row r="1573" customFormat="false" ht="15" hidden="false" customHeight="false" outlineLevel="0" collapsed="false">
      <c r="A1573" s="0" t="s">
        <v>253</v>
      </c>
      <c r="B1573" s="0" t="n">
        <v>99</v>
      </c>
      <c r="F1573" s="0" t="str">
        <f aca="false">IFERROR(INDEX('Session Tracker'!$M$5:$M$149,MATCH($A1573,'Session Tracker'!$D$5:$D$149,0))+0,"")</f>
        <v/>
      </c>
      <c r="G1573" s="0" t="str">
        <f aca="false">IF(ISNUMBER(F1573),IF(OR(B1573=0,B1573=99,C1573&lt;&gt;""),F1573*100+B1573,""),"")</f>
        <v/>
      </c>
      <c r="H1573" s="0" t="n">
        <f aca="false">IFERROR(INDEX('Session Tracker'!$J$5:$J$149,MATCH($A1573,'Session Tracker'!$D$5:$D$149,0)),0)</f>
        <v>8</v>
      </c>
      <c r="I1573" s="0" t="str">
        <f aca="false">IF(OR(B1573=0,B1573=99,C1573=""),"",IF(E1573="Per class",D1573,D1573*H1573))</f>
        <v/>
      </c>
    </row>
    <row r="1574" customFormat="false" ht="15" hidden="false" customHeight="false" outlineLevel="0" collapsed="false">
      <c r="A1574" s="0" t="s">
        <v>255</v>
      </c>
      <c r="B1574" s="0" t="n">
        <v>99</v>
      </c>
      <c r="F1574" s="0" t="str">
        <f aca="false">IFERROR(INDEX('Session Tracker'!$M$5:$M$149,MATCH($A1574,'Session Tracker'!$D$5:$D$149,0))+0,"")</f>
        <v/>
      </c>
      <c r="G1574" s="0" t="str">
        <f aca="false">IF(ISNUMBER(F1574),IF(OR(B1574=0,B1574=99,C1574&lt;&gt;""),F1574*100+B1574,""),"")</f>
        <v/>
      </c>
      <c r="H1574" s="0" t="n">
        <f aca="false">IFERROR(INDEX('Session Tracker'!$J$5:$J$149,MATCH($A1574,'Session Tracker'!$D$5:$D$149,0)),0)</f>
        <v>8</v>
      </c>
      <c r="I1574" s="0" t="str">
        <f aca="false">IF(OR(B1574=0,B1574=99,C1574=""),"",IF(E1574="Per class",D1574,D1574*H1574))</f>
        <v/>
      </c>
    </row>
    <row r="1575" customFormat="false" ht="15" hidden="false" customHeight="false" outlineLevel="0" collapsed="false">
      <c r="A1575" s="0" t="s">
        <v>257</v>
      </c>
      <c r="B1575" s="0" t="n">
        <v>99</v>
      </c>
      <c r="F1575" s="0" t="str">
        <f aca="false">IFERROR(INDEX('Session Tracker'!$M$5:$M$149,MATCH($A1575,'Session Tracker'!$D$5:$D$149,0))+0,"")</f>
        <v/>
      </c>
      <c r="G1575" s="0" t="str">
        <f aca="false">IF(ISNUMBER(F1575),IF(OR(B1575=0,B1575=99,C1575&lt;&gt;""),F1575*100+B1575,""),"")</f>
        <v/>
      </c>
      <c r="H1575" s="0" t="n">
        <f aca="false">IFERROR(INDEX('Session Tracker'!$J$5:$J$149,MATCH($A1575,'Session Tracker'!$D$5:$D$149,0)),0)</f>
        <v>8</v>
      </c>
      <c r="I1575" s="0" t="str">
        <f aca="false">IF(OR(B1575=0,B1575=99,C1575=""),"",IF(E1575="Per class",D1575,D1575*H1575))</f>
        <v/>
      </c>
    </row>
    <row r="1576" customFormat="false" ht="15" hidden="false" customHeight="false" outlineLevel="0" collapsed="false">
      <c r="A1576" s="0" t="s">
        <v>259</v>
      </c>
      <c r="B1576" s="0" t="n">
        <v>99</v>
      </c>
      <c r="F1576" s="0" t="str">
        <f aca="false">IFERROR(INDEX('Session Tracker'!$M$5:$M$149,MATCH($A1576,'Session Tracker'!$D$5:$D$149,0))+0,"")</f>
        <v/>
      </c>
      <c r="G1576" s="0" t="str">
        <f aca="false">IF(ISNUMBER(F1576),IF(OR(B1576=0,B1576=99,C1576&lt;&gt;""),F1576*100+B1576,""),"")</f>
        <v/>
      </c>
      <c r="H1576" s="0" t="n">
        <f aca="false">IFERROR(INDEX('Session Tracker'!$J$5:$J$149,MATCH($A1576,'Session Tracker'!$D$5:$D$149,0)),0)</f>
        <v>8</v>
      </c>
      <c r="I1576" s="0" t="str">
        <f aca="false">IF(OR(B1576=0,B1576=99,C1576=""),"",IF(E1576="Per class",D1576,D1576*H1576))</f>
        <v/>
      </c>
    </row>
    <row r="1577" customFormat="false" ht="15" hidden="false" customHeight="false" outlineLevel="0" collapsed="false">
      <c r="A1577" s="0" t="s">
        <v>261</v>
      </c>
      <c r="B1577" s="0" t="n">
        <v>99</v>
      </c>
      <c r="F1577" s="0" t="str">
        <f aca="false">IFERROR(INDEX('Session Tracker'!$M$5:$M$149,MATCH($A1577,'Session Tracker'!$D$5:$D$149,0))+0,"")</f>
        <v/>
      </c>
      <c r="G1577" s="0" t="str">
        <f aca="false">IF(ISNUMBER(F1577),IF(OR(B1577=0,B1577=99,C1577&lt;&gt;""),F1577*100+B1577,""),"")</f>
        <v/>
      </c>
      <c r="H1577" s="0" t="n">
        <f aca="false">IFERROR(INDEX('Session Tracker'!$J$5:$J$149,MATCH($A1577,'Session Tracker'!$D$5:$D$149,0)),0)</f>
        <v>8</v>
      </c>
      <c r="I1577" s="0" t="str">
        <f aca="false">IF(OR(B1577=0,B1577=99,C1577=""),"",IF(E1577="Per class",D1577,D1577*H1577))</f>
        <v/>
      </c>
    </row>
    <row r="1578" customFormat="false" ht="15" hidden="false" customHeight="false" outlineLevel="0" collapsed="false">
      <c r="A1578" s="0" t="s">
        <v>263</v>
      </c>
      <c r="B1578" s="0" t="n">
        <v>99</v>
      </c>
      <c r="F1578" s="0" t="str">
        <f aca="false">IFERROR(INDEX('Session Tracker'!$M$5:$M$149,MATCH($A1578,'Session Tracker'!$D$5:$D$149,0))+0,"")</f>
        <v/>
      </c>
      <c r="G1578" s="0" t="str">
        <f aca="false">IF(ISNUMBER(F1578),IF(OR(B1578=0,B1578=99,C1578&lt;&gt;""),F1578*100+B1578,""),"")</f>
        <v/>
      </c>
      <c r="H1578" s="0" t="n">
        <f aca="false">IFERROR(INDEX('Session Tracker'!$J$5:$J$149,MATCH($A1578,'Session Tracker'!$D$5:$D$149,0)),0)</f>
        <v>8</v>
      </c>
      <c r="I1578" s="0" t="str">
        <f aca="false">IF(OR(B1578=0,B1578=99,C1578=""),"",IF(E1578="Per class",D1578,D1578*H1578))</f>
        <v/>
      </c>
    </row>
    <row r="1579" customFormat="false" ht="15" hidden="false" customHeight="false" outlineLevel="0" collapsed="false">
      <c r="A1579" s="0" t="s">
        <v>265</v>
      </c>
      <c r="B1579" s="0" t="n">
        <v>99</v>
      </c>
      <c r="F1579" s="0" t="str">
        <f aca="false">IFERROR(INDEX('Session Tracker'!$M$5:$M$149,MATCH($A1579,'Session Tracker'!$D$5:$D$149,0))+0,"")</f>
        <v/>
      </c>
      <c r="G1579" s="0" t="str">
        <f aca="false">IF(ISNUMBER(F1579),IF(OR(B1579=0,B1579=99,C1579&lt;&gt;""),F1579*100+B1579,""),"")</f>
        <v/>
      </c>
      <c r="H1579" s="0" t="n">
        <f aca="false">IFERROR(INDEX('Session Tracker'!$J$5:$J$149,MATCH($A1579,'Session Tracker'!$D$5:$D$149,0)),0)</f>
        <v>8</v>
      </c>
      <c r="I1579" s="0" t="str">
        <f aca="false">IF(OR(B1579=0,B1579=99,C1579=""),"",IF(E1579="Per class",D1579,D1579*H1579))</f>
        <v/>
      </c>
    </row>
    <row r="1580" customFormat="false" ht="15" hidden="false" customHeight="false" outlineLevel="0" collapsed="false">
      <c r="A1580" s="0" t="s">
        <v>267</v>
      </c>
      <c r="B1580" s="0" t="n">
        <v>99</v>
      </c>
      <c r="F1580" s="0" t="str">
        <f aca="false">IFERROR(INDEX('Session Tracker'!$M$5:$M$149,MATCH($A1580,'Session Tracker'!$D$5:$D$149,0))+0,"")</f>
        <v/>
      </c>
      <c r="G1580" s="0" t="str">
        <f aca="false">IF(ISNUMBER(F1580),IF(OR(B1580=0,B1580=99,C1580&lt;&gt;""),F1580*100+B1580,""),"")</f>
        <v/>
      </c>
      <c r="H1580" s="0" t="n">
        <f aca="false">IFERROR(INDEX('Session Tracker'!$J$5:$J$149,MATCH($A1580,'Session Tracker'!$D$5:$D$149,0)),0)</f>
        <v>8</v>
      </c>
      <c r="I1580" s="0" t="str">
        <f aca="false">IF(OR(B1580=0,B1580=99,C1580=""),"",IF(E1580="Per class",D1580,D1580*H1580))</f>
        <v/>
      </c>
    </row>
    <row r="1581" customFormat="false" ht="15" hidden="false" customHeight="false" outlineLevel="0" collapsed="false">
      <c r="A1581" s="0" t="s">
        <v>269</v>
      </c>
      <c r="B1581" s="0" t="n">
        <v>99</v>
      </c>
      <c r="F1581" s="0" t="str">
        <f aca="false">IFERROR(INDEX('Session Tracker'!$M$5:$M$149,MATCH($A1581,'Session Tracker'!$D$5:$D$149,0))+0,"")</f>
        <v/>
      </c>
      <c r="G1581" s="0" t="str">
        <f aca="false">IF(ISNUMBER(F1581),IF(OR(B1581=0,B1581=99,C1581&lt;&gt;""),F1581*100+B1581,""),"")</f>
        <v/>
      </c>
      <c r="H1581" s="0" t="n">
        <f aca="false">IFERROR(INDEX('Session Tracker'!$J$5:$J$149,MATCH($A1581,'Session Tracker'!$D$5:$D$149,0)),0)</f>
        <v>8</v>
      </c>
      <c r="I1581" s="0" t="str">
        <f aca="false">IF(OR(B1581=0,B1581=99,C1581=""),"",IF(E1581="Per class",D1581,D1581*H1581))</f>
        <v/>
      </c>
    </row>
    <row r="1582" customFormat="false" ht="15" hidden="false" customHeight="false" outlineLevel="0" collapsed="false">
      <c r="A1582" s="0" t="s">
        <v>271</v>
      </c>
      <c r="B1582" s="0" t="n">
        <v>99</v>
      </c>
      <c r="F1582" s="0" t="str">
        <f aca="false">IFERROR(INDEX('Session Tracker'!$M$5:$M$149,MATCH($A1582,'Session Tracker'!$D$5:$D$149,0))+0,"")</f>
        <v/>
      </c>
      <c r="G1582" s="0" t="str">
        <f aca="false">IF(ISNUMBER(F1582),IF(OR(B1582=0,B1582=99,C1582&lt;&gt;""),F1582*100+B1582,""),"")</f>
        <v/>
      </c>
      <c r="H1582" s="0" t="n">
        <f aca="false">IFERROR(INDEX('Session Tracker'!$J$5:$J$149,MATCH($A1582,'Session Tracker'!$D$5:$D$149,0)),0)</f>
        <v>8</v>
      </c>
      <c r="I1582" s="0" t="str">
        <f aca="false">IF(OR(B1582=0,B1582=99,C1582=""),"",IF(E1582="Per class",D1582,D1582*H1582))</f>
        <v/>
      </c>
    </row>
    <row r="1583" customFormat="false" ht="15" hidden="false" customHeight="false" outlineLevel="0" collapsed="false">
      <c r="A1583" s="0" t="s">
        <v>273</v>
      </c>
      <c r="B1583" s="0" t="n">
        <v>99</v>
      </c>
      <c r="F1583" s="0" t="str">
        <f aca="false">IFERROR(INDEX('Session Tracker'!$M$5:$M$149,MATCH($A1583,'Session Tracker'!$D$5:$D$149,0))+0,"")</f>
        <v/>
      </c>
      <c r="G1583" s="0" t="str">
        <f aca="false">IF(ISNUMBER(F1583),IF(OR(B1583=0,B1583=99,C1583&lt;&gt;""),F1583*100+B1583,""),"")</f>
        <v/>
      </c>
      <c r="H1583" s="0" t="n">
        <f aca="false">IFERROR(INDEX('Session Tracker'!$J$5:$J$149,MATCH($A1583,'Session Tracker'!$D$5:$D$149,0)),0)</f>
        <v>8</v>
      </c>
      <c r="I1583" s="0" t="str">
        <f aca="false">IF(OR(B1583=0,B1583=99,C1583=""),"",IF(E1583="Per class",D1583,D1583*H1583))</f>
        <v/>
      </c>
    </row>
    <row r="1584" customFormat="false" ht="15" hidden="false" customHeight="false" outlineLevel="0" collapsed="false">
      <c r="A1584" s="0" t="s">
        <v>275</v>
      </c>
      <c r="B1584" s="0" t="n">
        <v>99</v>
      </c>
      <c r="F1584" s="0" t="str">
        <f aca="false">IFERROR(INDEX('Session Tracker'!$M$5:$M$149,MATCH($A1584,'Session Tracker'!$D$5:$D$149,0))+0,"")</f>
        <v/>
      </c>
      <c r="G1584" s="0" t="str">
        <f aca="false">IF(ISNUMBER(F1584),IF(OR(B1584=0,B1584=99,C1584&lt;&gt;""),F1584*100+B1584,""),"")</f>
        <v/>
      </c>
      <c r="H1584" s="0" t="n">
        <f aca="false">IFERROR(INDEX('Session Tracker'!$J$5:$J$149,MATCH($A1584,'Session Tracker'!$D$5:$D$149,0)),0)</f>
        <v>8</v>
      </c>
      <c r="I1584" s="0" t="str">
        <f aca="false">IF(OR(B1584=0,B1584=99,C1584=""),"",IF(E1584="Per class",D1584,D1584*H1584))</f>
        <v/>
      </c>
    </row>
    <row r="1585" customFormat="false" ht="15" hidden="false" customHeight="false" outlineLevel="0" collapsed="false">
      <c r="A1585" s="0" t="s">
        <v>277</v>
      </c>
      <c r="B1585" s="0" t="n">
        <v>99</v>
      </c>
      <c r="F1585" s="0" t="str">
        <f aca="false">IFERROR(INDEX('Session Tracker'!$M$5:$M$149,MATCH($A1585,'Session Tracker'!$D$5:$D$149,0))+0,"")</f>
        <v/>
      </c>
      <c r="G1585" s="0" t="str">
        <f aca="false">IF(ISNUMBER(F1585),IF(OR(B1585=0,B1585=99,C1585&lt;&gt;""),F1585*100+B1585,""),"")</f>
        <v/>
      </c>
      <c r="H1585" s="0" t="n">
        <f aca="false">IFERROR(INDEX('Session Tracker'!$J$5:$J$149,MATCH($A1585,'Session Tracker'!$D$5:$D$149,0)),0)</f>
        <v>8</v>
      </c>
      <c r="I1585" s="0" t="str">
        <f aca="false">IF(OR(B1585=0,B1585=99,C1585=""),"",IF(E1585="Per class",D1585,D1585*H1585))</f>
        <v/>
      </c>
    </row>
    <row r="1586" customFormat="false" ht="15" hidden="false" customHeight="false" outlineLevel="0" collapsed="false">
      <c r="A1586" s="0" t="s">
        <v>279</v>
      </c>
      <c r="B1586" s="0" t="n">
        <v>99</v>
      </c>
      <c r="F1586" s="0" t="str">
        <f aca="false">IFERROR(INDEX('Session Tracker'!$M$5:$M$149,MATCH($A1586,'Session Tracker'!$D$5:$D$149,0))+0,"")</f>
        <v/>
      </c>
      <c r="G1586" s="0" t="str">
        <f aca="false">IF(ISNUMBER(F1586),IF(OR(B1586=0,B1586=99,C1586&lt;&gt;""),F1586*100+B1586,""),"")</f>
        <v/>
      </c>
      <c r="H1586" s="0" t="n">
        <f aca="false">IFERROR(INDEX('Session Tracker'!$J$5:$J$149,MATCH($A1586,'Session Tracker'!$D$5:$D$149,0)),0)</f>
        <v>8</v>
      </c>
      <c r="I1586" s="0" t="str">
        <f aca="false">IF(OR(B1586=0,B1586=99,C1586=""),"",IF(E1586="Per class",D1586,D1586*H1586))</f>
        <v/>
      </c>
    </row>
    <row r="1587" customFormat="false" ht="15" hidden="false" customHeight="false" outlineLevel="0" collapsed="false">
      <c r="A1587" s="0" t="s">
        <v>281</v>
      </c>
      <c r="B1587" s="0" t="n">
        <v>99</v>
      </c>
      <c r="F1587" s="0" t="str">
        <f aca="false">IFERROR(INDEX('Session Tracker'!$M$5:$M$149,MATCH($A1587,'Session Tracker'!$D$5:$D$149,0))+0,"")</f>
        <v/>
      </c>
      <c r="G1587" s="0" t="str">
        <f aca="false">IF(ISNUMBER(F1587),IF(OR(B1587=0,B1587=99,C1587&lt;&gt;""),F1587*100+B1587,""),"")</f>
        <v/>
      </c>
      <c r="H1587" s="0" t="n">
        <f aca="false">IFERROR(INDEX('Session Tracker'!$J$5:$J$149,MATCH($A1587,'Session Tracker'!$D$5:$D$149,0)),0)</f>
        <v>8</v>
      </c>
      <c r="I1587" s="0" t="str">
        <f aca="false">IF(OR(B1587=0,B1587=99,C1587=""),"",IF(E1587="Per class",D1587,D1587*H1587))</f>
        <v/>
      </c>
    </row>
    <row r="1588" customFormat="false" ht="15" hidden="false" customHeight="false" outlineLevel="0" collapsed="false">
      <c r="A1588" s="0" t="s">
        <v>283</v>
      </c>
      <c r="B1588" s="0" t="n">
        <v>99</v>
      </c>
      <c r="F1588" s="0" t="str">
        <f aca="false">IFERROR(INDEX('Session Tracker'!$M$5:$M$149,MATCH($A1588,'Session Tracker'!$D$5:$D$149,0))+0,"")</f>
        <v/>
      </c>
      <c r="G1588" s="0" t="str">
        <f aca="false">IF(ISNUMBER(F1588),IF(OR(B1588=0,B1588=99,C1588&lt;&gt;""),F1588*100+B1588,""),"")</f>
        <v/>
      </c>
      <c r="H1588" s="0" t="n">
        <f aca="false">IFERROR(INDEX('Session Tracker'!$J$5:$J$149,MATCH($A1588,'Session Tracker'!$D$5:$D$149,0)),0)</f>
        <v>8</v>
      </c>
      <c r="I1588" s="0" t="str">
        <f aca="false">IF(OR(B1588=0,B1588=99,C1588=""),"",IF(E1588="Per class",D1588,D1588*H1588))</f>
        <v/>
      </c>
    </row>
    <row r="1589" customFormat="false" ht="15" hidden="false" customHeight="false" outlineLevel="0" collapsed="false">
      <c r="A1589" s="0" t="s">
        <v>285</v>
      </c>
      <c r="B1589" s="0" t="n">
        <v>99</v>
      </c>
      <c r="F1589" s="0" t="str">
        <f aca="false">IFERROR(INDEX('Session Tracker'!$M$5:$M$149,MATCH($A1589,'Session Tracker'!$D$5:$D$149,0))+0,"")</f>
        <v/>
      </c>
      <c r="G1589" s="0" t="str">
        <f aca="false">IF(ISNUMBER(F1589),IF(OR(B1589=0,B1589=99,C1589&lt;&gt;""),F1589*100+B1589,""),"")</f>
        <v/>
      </c>
      <c r="H1589" s="0" t="n">
        <f aca="false">IFERROR(INDEX('Session Tracker'!$J$5:$J$149,MATCH($A1589,'Session Tracker'!$D$5:$D$149,0)),0)</f>
        <v>8</v>
      </c>
      <c r="I1589" s="0" t="str">
        <f aca="false">IF(OR(B1589=0,B1589=99,C1589=""),"",IF(E1589="Per class",D1589,D1589*H1589))</f>
        <v/>
      </c>
    </row>
    <row r="1590" customFormat="false" ht="15" hidden="false" customHeight="false" outlineLevel="0" collapsed="false">
      <c r="A1590" s="0" t="s">
        <v>287</v>
      </c>
      <c r="B1590" s="0" t="n">
        <v>99</v>
      </c>
      <c r="F1590" s="0" t="str">
        <f aca="false">IFERROR(INDEX('Session Tracker'!$M$5:$M$149,MATCH($A1590,'Session Tracker'!$D$5:$D$149,0))+0,"")</f>
        <v/>
      </c>
      <c r="G1590" s="0" t="str">
        <f aca="false">IF(ISNUMBER(F1590),IF(OR(B1590=0,B1590=99,C1590&lt;&gt;""),F1590*100+B1590,""),"")</f>
        <v/>
      </c>
      <c r="H1590" s="0" t="n">
        <f aca="false">IFERROR(INDEX('Session Tracker'!$J$5:$J$149,MATCH($A1590,'Session Tracker'!$D$5:$D$149,0)),0)</f>
        <v>8</v>
      </c>
      <c r="I1590" s="0" t="str">
        <f aca="false">IF(OR(B1590=0,B1590=99,C1590=""),"",IF(E1590="Per class",D1590,D1590*H1590))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2026-10-09T06:42:08Z</dcterms:created>
  <dc:creator>openpyxl</dc:creator>
  <dc:description/>
  <dc:language>en-US</dc:language>
  <cp:lastModifiedBy/>
  <dcterms:modified xsi:type="dcterms:W3CDTF">2026-10-09T06:42:11Z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