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<sst xmlns="http://schemas.openxmlformats.org/spreadsheetml/2006/main" count="191" uniqueCount="128">
  <si>
    <t xml:space="preserve">Purchase Requisition</t>
  </si>
  <si>
    <t xml:space="preserve">PR No.</t>
  </si>
  <si>
    <t xml:space="preserve">Date</t>
  </si>
  <si>
    <t xml:space="preserve">29-09-2026</t>
  </si>
  <si>
    <t xml:space="preserve">Requesting department </t>
  </si>
  <si>
    <t xml:space="preserve">BTEC Program (Level 3)</t>
  </si>
  <si>
    <t xml:space="preserve">Contact Details:</t>
  </si>
  <si>
    <t xml:space="preserve">Expected delivery date</t>
  </si>
  <si>
    <t xml:space="preserve">20-10-2026</t>
  </si>
  <si>
    <t xml:space="preserve">Delivery location</t>
  </si>
  <si>
    <t xml:space="preserve">Pak Turk Maarif Boys
 Chak Shahzad Campus</t>
  </si>
  <si>
    <t xml:space="preserve">Purpose</t>
  </si>
  <si>
    <t xml:space="preserve">Robotics &amp; AI Club Curriculum - Phase 2 Components</t>
  </si>
  <si>
    <t xml:space="preserve">Contact person for delivery</t>
  </si>
  <si>
    <t xml:space="preserve">Qasim Mushtaq</t>
  </si>
  <si>
    <t xml:space="preserve">S No.</t>
  </si>
  <si>
    <t xml:space="preserve">Description of Items</t>
  </si>
  <si>
    <t xml:space="preserve">Specifications</t>
  </si>
  <si>
    <t xml:space="preserve">Unit</t>
  </si>
  <si>
    <t xml:space="preserve">Quantity 
required</t>
  </si>
  <si>
    <t xml:space="preserve">Estimated unit price</t>
  </si>
  <si>
    <t xml:space="preserve">Estimated 
value (Rs.)</t>
  </si>
  <si>
    <t xml:space="preserve">LDR Light Sensor Module</t>
  </si>
  <si>
    <t xml:space="preserve">Photoresistor module, digital + analog output</t>
  </si>
  <si>
    <t xml:space="preserve">Nos.</t>
  </si>
  <si>
    <t xml:space="preserve">Electrobes (listed price)</t>
  </si>
  <si>
    <t xml:space="preserve">Pulse / Heart-Rate Sensor</t>
  </si>
  <si>
    <t xml:space="preserve">Optical pulse sensor module</t>
  </si>
  <si>
    <t xml:space="preserve">Sound Detection Sensor</t>
  </si>
  <si>
    <t xml:space="preserve">KY-038 / LM393 microphone module</t>
  </si>
  <si>
    <t xml:space="preserve">4x4 Matrix Membrane Keypad</t>
  </si>
  <si>
    <t xml:space="preserve">16-key, for smart door lock</t>
  </si>
  <si>
    <t xml:space="preserve">Relay Module (1-Channel)</t>
  </si>
  <si>
    <t xml:space="preserve">5 V, 10 A</t>
  </si>
  <si>
    <t xml:space="preserve">Relay Module (4-Channel)</t>
  </si>
  <si>
    <t xml:space="preserve">5 V, 10 A (smart home project)</t>
  </si>
  <si>
    <t xml:space="preserve">Metal Gear Servo Motor</t>
  </si>
  <si>
    <t xml:space="preserve">MG995, 180 degree (robotic arm)</t>
  </si>
  <si>
    <t xml:space="preserve">Hallroadlahore.pk (listed price)</t>
  </si>
  <si>
    <t xml:space="preserve">Coin Vibration Motor</t>
  </si>
  <si>
    <t xml:space="preserve">3-6 V mini (brush bots)</t>
  </si>
  <si>
    <t xml:space="preserve">Rechargeable AA Batteries</t>
  </si>
  <si>
    <t xml:space="preserve">1.2 V Ni-MH cells</t>
  </si>
  <si>
    <t xml:space="preserve">9 V Battery</t>
  </si>
  <si>
    <t xml:space="preserve">Toshiba 9 V</t>
  </si>
  <si>
    <t xml:space="preserve">9 V Battery Snap Connector</t>
  </si>
  <si>
    <t xml:space="preserve">With leads</t>
  </si>
  <si>
    <t xml:space="preserve">18650 Li-ion Cell</t>
  </si>
  <si>
    <t xml:space="preserve">3.7 V, 2500 mAh</t>
  </si>
  <si>
    <t xml:space="preserve">18650 Battery Holder</t>
  </si>
  <si>
    <t xml:space="preserve">Single cell</t>
  </si>
  <si>
    <t xml:space="preserve">Li-ion Charger Module</t>
  </si>
  <si>
    <t xml:space="preserve">TP4056, Type-C</t>
  </si>
  <si>
    <t xml:space="preserve">Mini Solar Panel</t>
  </si>
  <si>
    <t xml:space="preserve">6 V, 1 W</t>
  </si>
  <si>
    <t xml:space="preserve">Coin Cell Battery</t>
  </si>
  <si>
    <t xml:space="preserve">CR2032, 3 V</t>
  </si>
  <si>
    <t xml:space="preserve">Coin Cell Holder</t>
  </si>
  <si>
    <t xml:space="preserve">CR2032</t>
  </si>
  <si>
    <t xml:space="preserve">RGB LED</t>
  </si>
  <si>
    <t xml:space="preserve">5 mm, 4-pin, common cathode</t>
  </si>
  <si>
    <t xml:space="preserve">Potentiometer</t>
  </si>
  <si>
    <t xml:space="preserve">10 k ohm rotary</t>
  </si>
  <si>
    <t xml:space="preserve">Push Button</t>
  </si>
  <si>
    <t xml:space="preserve">12 x 12 mm tactile, 4-pin</t>
  </si>
  <si>
    <t xml:space="preserve">Slide Switch</t>
  </si>
  <si>
    <t xml:space="preserve">SPDT mini, 3-pin</t>
  </si>
  <si>
    <t xml:space="preserve">Active Buzzer</t>
  </si>
  <si>
    <t xml:space="preserve">5 V</t>
  </si>
  <si>
    <t xml:space="preserve">555 Timer IC</t>
  </si>
  <si>
    <t xml:space="preserve">NE555</t>
  </si>
  <si>
    <t xml:space="preserve">Electrolytic Capacitor 10 uF</t>
  </si>
  <si>
    <t xml:space="preserve">50 V</t>
  </si>
  <si>
    <t xml:space="preserve">Electrolytic Capacitor 100 uF</t>
  </si>
  <si>
    <t xml:space="preserve">25 V</t>
  </si>
  <si>
    <t xml:space="preserve">Ceramic Capacitor 10 nF</t>
  </si>
  <si>
    <t xml:space="preserve">103 disc</t>
  </si>
  <si>
    <t xml:space="preserve">Digital Multimeter</t>
  </si>
  <si>
    <t xml:space="preserve">DT-830D pocket</t>
  </si>
  <si>
    <t xml:space="preserve">Electrobes (listed price, out of stock when checked)</t>
  </si>
  <si>
    <t xml:space="preserve">Crocodile Clip Test Leads</t>
  </si>
  <si>
    <t xml:space="preserve">25 cm lead pair</t>
  </si>
  <si>
    <t xml:space="preserve">Pair</t>
  </si>
  <si>
    <t xml:space="preserve">Digilog (listed price)</t>
  </si>
  <si>
    <t xml:space="preserve">Copper Foil Tape</t>
  </si>
  <si>
    <t xml:space="preserve">5 mm x 20 m, conductive</t>
  </si>
  <si>
    <t xml:space="preserve">Roll</t>
  </si>
  <si>
    <t xml:space="preserve">Hallroadlahore.pk (listed price, out of stock when checked)</t>
  </si>
  <si>
    <t xml:space="preserve">Flexible Tube for Water Pump</t>
  </si>
  <si>
    <t xml:space="preserve">6 x 4 mm, per metre</t>
  </si>
  <si>
    <t xml:space="preserve">Metre</t>
  </si>
  <si>
    <t xml:space="preserve">USB LED Lamp</t>
  </si>
  <si>
    <t xml:space="preserve">5 V, 8-LED (low-voltage lamp for smart home)</t>
  </si>
  <si>
    <t xml:space="preserve">Component Storage Box</t>
  </si>
  <si>
    <t xml:space="preserve">18-grid organiser</t>
  </si>
  <si>
    <t xml:space="preserve">Playdough Set</t>
  </si>
  <si>
    <t xml:space="preserve">For conductive playdough controller</t>
  </si>
  <si>
    <t xml:space="preserve">Set</t>
  </si>
  <si>
    <t xml:space="preserve">Estimate - local stationery / Daraz</t>
  </si>
  <si>
    <t xml:space="preserve">Galvanized Nails</t>
  </si>
  <si>
    <t xml:space="preserve">Zinc-coated (lemon battery)</t>
  </si>
  <si>
    <t xml:space="preserve">1/4 kg</t>
  </si>
  <si>
    <t xml:space="preserve">Estimate - local hardware store</t>
  </si>
  <si>
    <t xml:space="preserve">Copper Strips</t>
  </si>
  <si>
    <t xml:space="preserve">For lemon battery</t>
  </si>
  <si>
    <t xml:space="preserve">Pack</t>
  </si>
  <si>
    <t xml:space="preserve">Estimate - Hall Road / hardware store</t>
  </si>
  <si>
    <t xml:space="preserve">Aluminium Foil Roll</t>
  </si>
  <si>
    <t xml:space="preserve">Kitchen foil (Makey Makey keys)</t>
  </si>
  <si>
    <t xml:space="preserve">Estimate - local store</t>
  </si>
  <si>
    <t xml:space="preserve">Ice Cream Sticks</t>
  </si>
  <si>
    <t xml:space="preserve">Pack of 100</t>
  </si>
  <si>
    <t xml:space="preserve">Estimate - local stationery</t>
  </si>
  <si>
    <t xml:space="preserve">Googly Eyes</t>
  </si>
  <si>
    <t xml:space="preserve">TOTAL (MAIN REQUISITION)</t>
  </si>
  <si>
    <t xml:space="preserve">ADDITIONAL (optional, subject to approval, not included in main total)</t>
  </si>
  <si>
    <t xml:space="preserve">A1</t>
  </si>
  <si>
    <t xml:space="preserve">Makey Makey Kit</t>
  </si>
  <si>
    <t xml:space="preserve">Makey Makey Classic (fruit piano, playdough controller)</t>
  </si>
  <si>
    <t xml:space="preserve">Kit</t>
  </si>
  <si>
    <t xml:space="preserve">Estimate - Daraz listing, price not shown; confirm</t>
  </si>
  <si>
    <t xml:space="preserve">TOTAL (ADDITIONAL)</t>
  </si>
  <si>
    <t xml:space="preserve">Requested by:</t>
  </si>
  <si>
    <t xml:space="preserve">Qasim Mushtaq, B.Tech Level 3 Coordinator</t>
  </si>
  <si>
    <t xml:space="preserve">Signature</t>
  </si>
  <si>
    <t xml:space="preserve">Approved by:</t>
  </si>
  <si>
    <t xml:space="preserve">Mr. Ali Raza , Vice Principal(Cambridge)</t>
  </si>
  <si>
    <t xml:space="preserve">Miss Somia Murtaza , Principal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</si>
</sst>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m/d/yyyy"/>
    <numFmt numFmtId="167" formatCode="_-\£* #,##0.00_-;&quot;-£&quot;* #,##0.00_-;_-\£* \-??_-;_-@"/>
    <numFmt numFmtId="168" formatCode="_(* #,##0_);_(* \(#,##0\);_(* \-??_);_(@_)"/>
    <numFmt numFmtId="169" formatCode="_(* #,##0.00_);_(* \(#,##0.00\);_(* \-??_);_(@_)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rgb="FF000000"/>
      <name val="Georgia"/>
      <family val="0"/>
      <charset val="1"/>
    </font>
    <font>
      <i val="true"/>
      <sz val="12"/>
      <color rgb="FF000000"/>
      <name val="Georgia"/>
      <family val="0"/>
      <charset val="1"/>
    </font>
    <font>
      <sz val="11"/>
      <color theme="1"/>
      <name val="Georgia"/>
      <family val="0"/>
      <charset val="1"/>
    </font>
    <font>
      <b val="true"/>
      <sz val="10"/>
      <color rgb="FF000000"/>
      <name val="Georgia"/>
      <family val="0"/>
      <charset val="1"/>
    </font>
    <font>
      <sz val="10"/>
      <color rgb="FF000000"/>
      <name val="Georgia"/>
      <family val="0"/>
      <charset val="1"/>
    </font>
    <font>
      <b val="true"/>
      <sz val="10"/>
      <color rgb="FFF2F2F2"/>
      <name val="Georgia"/>
      <family val="0"/>
      <charset val="1"/>
    </font>
    <font>
      <b val="true"/>
      <sz val="14"/>
      <color rgb="FF000000"/>
      <name val="Georgia"/>
      <family val="0"/>
      <charset val="1"/>
    </font>
    <font>
      <sz val="11"/>
      <color rgb="FF000000"/>
      <name val="Georgia"/>
      <family val="0"/>
      <charset val="1"/>
    </font>
    <font>
      <sz val="10"/>
      <color theme="1"/>
      <name val="Georg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9999"/>
        <bgColor rgb="FF008080"/>
      </patternFill>
    </fill>
    <fill>
      <patternFill patternType="solid">
        <fgColor rgb="FFFFFFFF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999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38160</xdr:rowOff>
    </xdr:from>
    <xdr:to>
      <xdr:col>5</xdr:col>
      <xdr:colOff>85680</xdr:colOff>
      <xdr:row>0</xdr:row>
      <xdr:rowOff>761760</xdr:rowOff>
    </xdr:to>
    <xdr:pic>
      <xdr:nvPicPr>
        <xdr:cNvPr id="0" name="image1.jpg" descr="Maarif Logo"/>
        <xdr:cNvPicPr/>
      </xdr:nvPicPr>
      <xdr:blipFill>
        <a:blip r:embed="rId1"/>
        <a:stretch/>
      </xdr:blipFill>
      <xdr:spPr>
        <a:xfrm>
          <a:off x="38160" y="38160"/>
          <a:ext cx="234288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lectrobes.com/product/photosensitive-resistor-ldr-light-sensor-module-with-digital-analog-output/" TargetMode="External"/><Relationship Id="rId2" Type="http://schemas.openxmlformats.org/officeDocument/2006/relationships/hyperlink" Target="https://electrobes.com/product/pulse-sensor-heart-beats-rate-sensing-module/" TargetMode="External"/><Relationship Id="rId3" Type="http://schemas.openxmlformats.org/officeDocument/2006/relationships/hyperlink" Target="https://electrobes.com/product/lm393-sound-detection-sensor-module/" TargetMode="External"/><Relationship Id="rId4" Type="http://schemas.openxmlformats.org/officeDocument/2006/relationships/hyperlink" Target="https://electrobes.com/product/4x4-16-key-matrix-membrane-switch-keypad-keyboard/" TargetMode="External"/><Relationship Id="rId5" Type="http://schemas.openxmlformats.org/officeDocument/2006/relationships/hyperlink" Target="https://electrobes.com/product/1-channel-relay-module-10a/" TargetMode="External"/><Relationship Id="rId6" Type="http://schemas.openxmlformats.org/officeDocument/2006/relationships/hyperlink" Target="https://electrobes.com/product/4-channel-relay-module-10a/" TargetMode="External"/><Relationship Id="rId7" Type="http://schemas.openxmlformats.org/officeDocument/2006/relationships/hyperlink" Target="https://hallroadlahore.pk/products/mg995-metal-gear-servo-motor-180-degree" TargetMode="External"/><Relationship Id="rId8" Type="http://schemas.openxmlformats.org/officeDocument/2006/relationships/hyperlink" Target="https://electrobes.com/product/3v-6v-dc-mini-coin-vibration-motor-miniature-micro-vibrator/" TargetMode="External"/><Relationship Id="rId9" Type="http://schemas.openxmlformats.org/officeDocument/2006/relationships/hyperlink" Target="https://electrobes.com/product/1-2v-1500mah-aa-rechargeable-ni-mh-battery-cell/" TargetMode="External"/><Relationship Id="rId10" Type="http://schemas.openxmlformats.org/officeDocument/2006/relationships/hyperlink" Target="https://electrobes.com/product/toshiba-9v-battery-for-toys-and-diy-projects/" TargetMode="External"/><Relationship Id="rId11" Type="http://schemas.openxmlformats.org/officeDocument/2006/relationships/hyperlink" Target="https://electrobes.com/product/dc-9v-battery-snap-connector/" TargetMode="External"/><Relationship Id="rId12" Type="http://schemas.openxmlformats.org/officeDocument/2006/relationships/hyperlink" Target="https://electrobes.com/product/3-7v-2500mah-rechargeable-18650-li-ion-battery-cell-new/" TargetMode="External"/><Relationship Id="rId13" Type="http://schemas.openxmlformats.org/officeDocument/2006/relationships/hyperlink" Target="https://electrobes.com/product/1s-3-7v-18650-battery-case-cell-holder-single-cell-for-rechargeable-li-ion-battery-storage-with-spring/" TargetMode="External"/><Relationship Id="rId14" Type="http://schemas.openxmlformats.org/officeDocument/2006/relationships/hyperlink" Target="https://electrobes.com/product/tp4056-c-type-usb-port-1a-18650-lithium-battery-charging-board-charger-module/" TargetMode="External"/><Relationship Id="rId15" Type="http://schemas.openxmlformats.org/officeDocument/2006/relationships/hyperlink" Target="https://electrobes.com/product/6v-1w-mini-solar-panel-for-lipo-battery-charging/" TargetMode="External"/><Relationship Id="rId16" Type="http://schemas.openxmlformats.org/officeDocument/2006/relationships/hyperlink" Target="https://electrobes.com/product/3v-cr2032-coin-cell/" TargetMode="External"/><Relationship Id="rId17" Type="http://schemas.openxmlformats.org/officeDocument/2006/relationships/hyperlink" Target="https://electrobes.com/product/cr2025-cr2032-coin-cell-battery-holder/" TargetMode="External"/><Relationship Id="rId18" Type="http://schemas.openxmlformats.org/officeDocument/2006/relationships/hyperlink" Target="https://electrobes.com/product/5mm-4-pin-rgb-led/" TargetMode="External"/><Relationship Id="rId19" Type="http://schemas.openxmlformats.org/officeDocument/2006/relationships/hyperlink" Target="https://electrobes.com/product/10k-ohm-rotary-potentiometer-variable-resistor/" TargetMode="External"/><Relationship Id="rId20" Type="http://schemas.openxmlformats.org/officeDocument/2006/relationships/hyperlink" Target="https://electrobes.com/product/12x12x12mm-momentary-tactile-4-pins-pushbutton-switch/" TargetMode="External"/><Relationship Id="rId21" Type="http://schemas.openxmlformats.org/officeDocument/2006/relationships/hyperlink" Target="https://electrobes.com/product/single-state-slide-switch/" TargetMode="External"/><Relationship Id="rId22" Type="http://schemas.openxmlformats.org/officeDocument/2006/relationships/hyperlink" Target="https://electrobes.com/product/5v-active-piezo-buzzer/" TargetMode="External"/><Relationship Id="rId23" Type="http://schemas.openxmlformats.org/officeDocument/2006/relationships/hyperlink" Target="https://electrobes.com/product/555-timer-ic/" TargetMode="External"/><Relationship Id="rId24" Type="http://schemas.openxmlformats.org/officeDocument/2006/relationships/hyperlink" Target="https://electrobes.com/product/10uf-50v-electrolytic-capacitor/" TargetMode="External"/><Relationship Id="rId25" Type="http://schemas.openxmlformats.org/officeDocument/2006/relationships/hyperlink" Target="https://electrobes.com/product/100uf-25v-electrolytic-capacitor/" TargetMode="External"/><Relationship Id="rId26" Type="http://schemas.openxmlformats.org/officeDocument/2006/relationships/hyperlink" Target="https://electrobes.com/product/103-10nf-0-01uf-ceramic-disc-capacitor/" TargetMode="External"/><Relationship Id="rId27" Type="http://schemas.openxmlformats.org/officeDocument/2006/relationships/hyperlink" Target="https://electrobes.com/product/dt-830d-mini-pocket-digital-multimeter/" TargetMode="External"/><Relationship Id="rId28" Type="http://schemas.openxmlformats.org/officeDocument/2006/relationships/hyperlink" Target="https://hallroadlahore.pk/products/5mm-copper-foil-tape-in-pakistan" TargetMode="External"/><Relationship Id="rId29" Type="http://schemas.openxmlformats.org/officeDocument/2006/relationships/hyperlink" Target="https://digilog.pk/products/1-meter-tube-size-6x4-mm-flexible-pvc-tube-for-plumbing-amp-electrical-applications" TargetMode="External"/><Relationship Id="rId30" Type="http://schemas.openxmlformats.org/officeDocument/2006/relationships/hyperlink" Target="https://digilog.pk/products/mini-portable-usb-led-night-light-5730-smd-8-leds-lamp-reading-camping-cool-white" TargetMode="External"/><Relationship Id="rId31" Type="http://schemas.openxmlformats.org/officeDocument/2006/relationships/hyperlink" Target="https://electrobes.com/product/18-grids-portable-tool-electronic-component-storage-box/" TargetMode="External"/><Relationship Id="rId32" Type="http://schemas.openxmlformats.org/officeDocument/2006/relationships/hyperlink" Target="https://www.daraz.pk/products/makey-makey-classic-i211762945-s1419322256.html" TargetMode="External"/><Relationship Id="rId3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57"/>
    <col collapsed="false" customWidth="true" hidden="false" outlineLevel="0" max="5" min="2" style="0" width="6"/>
    <col collapsed="false" customWidth="true" hidden="false" outlineLevel="0" max="6" min="6" style="0" width="25"/>
    <col collapsed="false" customWidth="true" hidden="false" outlineLevel="0" max="7" min="7" style="0" width="9"/>
    <col collapsed="false" customWidth="true" hidden="false" outlineLevel="0" max="8" min="8" style="0" width="10.71"/>
    <col collapsed="false" customWidth="true" hidden="false" outlineLevel="0" max="9" min="9" style="0" width="12"/>
    <col collapsed="false" customWidth="true" hidden="false" outlineLevel="0" max="10" min="10" style="0" width="11.57"/>
    <col collapsed="false" customWidth="true" hidden="false" outlineLevel="0" max="11" min="11" style="0" width="15"/>
    <col collapsed="false" customWidth="true" hidden="false" outlineLevel="0" max="27" min="12" style="0" width="8.71"/>
  </cols>
  <sheetData>
    <row r="1" customFormat="false" ht="6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" hidden="false" customHeight="true" outlineLevel="0" collapsed="false">
      <c r="A2" s="4" t="s">
        <v>1</v>
      </c>
      <c r="B2" s="4"/>
      <c r="C2" s="4"/>
      <c r="D2" s="5"/>
      <c r="E2" s="5"/>
      <c r="F2" s="5"/>
      <c r="G2" s="4" t="s">
        <v>2</v>
      </c>
      <c r="H2" s="4"/>
      <c r="I2" s="6" t="s">
        <v>3</v>
      </c>
      <c r="J2" s="6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26.25" hidden="false" customHeight="true" outlineLevel="0" collapsed="false">
      <c r="A3" s="7" t="s">
        <v>4</v>
      </c>
      <c r="B3" s="7"/>
      <c r="C3" s="7"/>
      <c r="D3" s="6" t="s">
        <v>5</v>
      </c>
      <c r="E3" s="6"/>
      <c r="F3" s="6"/>
      <c r="G3" s="4" t="s">
        <v>6</v>
      </c>
      <c r="H3" s="4"/>
      <c r="I3" s="8"/>
      <c r="J3" s="8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30.75" hidden="false" customHeight="true" outlineLevel="0" collapsed="false">
      <c r="A4" s="4" t="s">
        <v>7</v>
      </c>
      <c r="B4" s="4"/>
      <c r="C4" s="4"/>
      <c r="D4" s="9" t="s">
        <v>8</v>
      </c>
      <c r="E4" s="9"/>
      <c r="F4" s="9"/>
      <c r="G4" s="4" t="s">
        <v>9</v>
      </c>
      <c r="H4" s="4"/>
      <c r="I4" s="6" t="s">
        <v>10</v>
      </c>
      <c r="J4" s="6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30" hidden="false" customHeight="true" outlineLevel="0" collapsed="false">
      <c r="A5" s="4" t="s">
        <v>11</v>
      </c>
      <c r="B5" s="4"/>
      <c r="C5" s="4"/>
      <c r="D5" s="6" t="s">
        <v>12</v>
      </c>
      <c r="E5" s="6"/>
      <c r="F5" s="6"/>
      <c r="G5" s="4" t="s">
        <v>13</v>
      </c>
      <c r="H5" s="4"/>
      <c r="I5" s="6" t="s">
        <v>14</v>
      </c>
      <c r="J5" s="6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Format="false" ht="25.5" hidden="false" customHeight="true" outlineLevel="0" collapsed="false">
      <c r="A6" s="10" t="s">
        <v>15</v>
      </c>
      <c r="B6" s="11" t="s">
        <v>16</v>
      </c>
      <c r="C6" s="11"/>
      <c r="D6" s="11"/>
      <c r="E6" s="11"/>
      <c r="F6" s="11" t="s">
        <v>17</v>
      </c>
      <c r="G6" s="11" t="s">
        <v>18</v>
      </c>
      <c r="H6" s="11" t="s">
        <v>19</v>
      </c>
      <c r="I6" s="12" t="s">
        <v>20</v>
      </c>
      <c r="J6" s="12" t="s">
        <v>21</v>
      </c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customFormat="false" ht="30" hidden="false" customHeight="true" outlineLevel="0" collapsed="false">
      <c r="A7" s="14" t="n">
        <v>1</v>
      </c>
      <c r="B7" s="15" t="s">
        <v>22</v>
      </c>
      <c r="C7" s="15"/>
      <c r="D7" s="15"/>
      <c r="E7" s="15"/>
      <c r="F7" s="16" t="s">
        <v>23</v>
      </c>
      <c r="G7" s="16" t="s">
        <v>24</v>
      </c>
      <c r="H7" s="17" t="n">
        <v>10</v>
      </c>
      <c r="I7" s="18" t="n">
        <v>120</v>
      </c>
      <c r="J7" s="19" t="n">
        <f aca="false">H7*I7</f>
        <v>1200</v>
      </c>
      <c r="K7" s="19" t="s">
        <v>25</v>
      </c>
    </row>
    <row r="8" customFormat="false" ht="30" hidden="false" customHeight="true" outlineLevel="0" collapsed="false">
      <c r="A8" s="14" t="n">
        <v>2</v>
      </c>
      <c r="B8" s="15" t="s">
        <v>26</v>
      </c>
      <c r="C8" s="15"/>
      <c r="D8" s="15"/>
      <c r="E8" s="15"/>
      <c r="F8" s="16" t="s">
        <v>27</v>
      </c>
      <c r="G8" s="16" t="s">
        <v>24</v>
      </c>
      <c r="H8" s="17" t="n">
        <v>5</v>
      </c>
      <c r="I8" s="18" t="n">
        <v>400</v>
      </c>
      <c r="J8" s="19" t="n">
        <f aca="false">H8*I8</f>
        <v>2000</v>
      </c>
      <c r="K8" s="19" t="s">
        <v>25</v>
      </c>
    </row>
    <row r="9" customFormat="false" ht="30" hidden="false" customHeight="true" outlineLevel="0" collapsed="false">
      <c r="A9" s="14" t="n">
        <v>3</v>
      </c>
      <c r="B9" s="15" t="s">
        <v>28</v>
      </c>
      <c r="C9" s="15"/>
      <c r="D9" s="15"/>
      <c r="E9" s="15"/>
      <c r="F9" s="16" t="s">
        <v>29</v>
      </c>
      <c r="G9" s="16" t="s">
        <v>24</v>
      </c>
      <c r="H9" s="17" t="n">
        <v>5</v>
      </c>
      <c r="I9" s="18" t="n">
        <v>130</v>
      </c>
      <c r="J9" s="19" t="n">
        <f aca="false">H9*I9</f>
        <v>650</v>
      </c>
      <c r="K9" s="19" t="s">
        <v>25</v>
      </c>
    </row>
    <row r="10" customFormat="false" ht="30" hidden="false" customHeight="true" outlineLevel="0" collapsed="false">
      <c r="A10" s="14" t="n">
        <v>4</v>
      </c>
      <c r="B10" s="15" t="s">
        <v>30</v>
      </c>
      <c r="C10" s="15"/>
      <c r="D10" s="15"/>
      <c r="E10" s="15"/>
      <c r="F10" s="16" t="s">
        <v>31</v>
      </c>
      <c r="G10" s="16" t="s">
        <v>24</v>
      </c>
      <c r="H10" s="17" t="n">
        <v>5</v>
      </c>
      <c r="I10" s="18" t="n">
        <v>150</v>
      </c>
      <c r="J10" s="19" t="n">
        <f aca="false">H10*I10</f>
        <v>750</v>
      </c>
      <c r="K10" s="19" t="s">
        <v>25</v>
      </c>
    </row>
    <row r="11" customFormat="false" ht="30" hidden="false" customHeight="true" outlineLevel="0" collapsed="false">
      <c r="A11" s="14" t="n">
        <v>5</v>
      </c>
      <c r="B11" s="15" t="s">
        <v>32</v>
      </c>
      <c r="C11" s="15"/>
      <c r="D11" s="15"/>
      <c r="E11" s="15"/>
      <c r="F11" s="16" t="s">
        <v>33</v>
      </c>
      <c r="G11" s="16" t="s">
        <v>24</v>
      </c>
      <c r="H11" s="17" t="n">
        <v>10</v>
      </c>
      <c r="I11" s="18" t="n">
        <v>160</v>
      </c>
      <c r="J11" s="19" t="n">
        <f aca="false">H11*I11</f>
        <v>1600</v>
      </c>
      <c r="K11" s="19" t="s">
        <v>25</v>
      </c>
    </row>
    <row r="12" customFormat="false" ht="30" hidden="false" customHeight="true" outlineLevel="0" collapsed="false">
      <c r="A12" s="14" t="n">
        <v>6</v>
      </c>
      <c r="B12" s="15" t="s">
        <v>34</v>
      </c>
      <c r="C12" s="15"/>
      <c r="D12" s="15"/>
      <c r="E12" s="15"/>
      <c r="F12" s="16" t="s">
        <v>35</v>
      </c>
      <c r="G12" s="16" t="s">
        <v>24</v>
      </c>
      <c r="H12" s="17" t="n">
        <v>2</v>
      </c>
      <c r="I12" s="18" t="n">
        <v>390</v>
      </c>
      <c r="J12" s="19" t="n">
        <f aca="false">H12*I12</f>
        <v>780</v>
      </c>
      <c r="K12" s="19" t="s">
        <v>25</v>
      </c>
    </row>
    <row r="13" customFormat="false" ht="30" hidden="false" customHeight="true" outlineLevel="0" collapsed="false">
      <c r="A13" s="14" t="n">
        <v>7</v>
      </c>
      <c r="B13" s="15" t="s">
        <v>36</v>
      </c>
      <c r="C13" s="15"/>
      <c r="D13" s="15"/>
      <c r="E13" s="15"/>
      <c r="F13" s="16" t="s">
        <v>37</v>
      </c>
      <c r="G13" s="16" t="s">
        <v>24</v>
      </c>
      <c r="H13" s="17" t="n">
        <v>3</v>
      </c>
      <c r="I13" s="18" t="n">
        <v>830</v>
      </c>
      <c r="J13" s="19" t="n">
        <f aca="false">H13*I13</f>
        <v>2490</v>
      </c>
      <c r="K13" s="19" t="s">
        <v>38</v>
      </c>
    </row>
    <row r="14" customFormat="false" ht="15.75" hidden="false" customHeight="true" outlineLevel="0" collapsed="false">
      <c r="A14" s="14" t="n">
        <v>8</v>
      </c>
      <c r="B14" s="15" t="s">
        <v>39</v>
      </c>
      <c r="C14" s="15"/>
      <c r="D14" s="15"/>
      <c r="E14" s="15"/>
      <c r="F14" s="16" t="s">
        <v>40</v>
      </c>
      <c r="G14" s="16" t="s">
        <v>24</v>
      </c>
      <c r="H14" s="17" t="n">
        <v>10</v>
      </c>
      <c r="I14" s="18" t="n">
        <v>100</v>
      </c>
      <c r="J14" s="19" t="n">
        <f aca="false">H14*I14</f>
        <v>1000</v>
      </c>
      <c r="K14" s="19" t="s">
        <v>25</v>
      </c>
    </row>
    <row r="15" customFormat="false" ht="30" hidden="false" customHeight="true" outlineLevel="0" collapsed="false">
      <c r="A15" s="14" t="n">
        <v>9</v>
      </c>
      <c r="B15" s="15" t="s">
        <v>41</v>
      </c>
      <c r="C15" s="15"/>
      <c r="D15" s="15"/>
      <c r="E15" s="15"/>
      <c r="F15" s="16" t="s">
        <v>42</v>
      </c>
      <c r="G15" s="16" t="s">
        <v>24</v>
      </c>
      <c r="H15" s="17" t="n">
        <v>12</v>
      </c>
      <c r="I15" s="18" t="n">
        <v>350</v>
      </c>
      <c r="J15" s="19" t="n">
        <f aca="false">H15*I15</f>
        <v>4200</v>
      </c>
      <c r="K15" s="19" t="s">
        <v>25</v>
      </c>
    </row>
    <row r="16" customFormat="false" ht="15.75" hidden="false" customHeight="true" outlineLevel="0" collapsed="false">
      <c r="A16" s="14" t="n">
        <v>10</v>
      </c>
      <c r="B16" s="15" t="s">
        <v>43</v>
      </c>
      <c r="C16" s="15"/>
      <c r="D16" s="15"/>
      <c r="E16" s="15"/>
      <c r="F16" s="16" t="s">
        <v>44</v>
      </c>
      <c r="G16" s="16" t="s">
        <v>24</v>
      </c>
      <c r="H16" s="17" t="n">
        <v>10</v>
      </c>
      <c r="I16" s="18" t="n">
        <v>130</v>
      </c>
      <c r="J16" s="19" t="n">
        <f aca="false">H16*I16</f>
        <v>1300</v>
      </c>
      <c r="K16" s="19" t="s">
        <v>25</v>
      </c>
    </row>
    <row r="17" customFormat="false" ht="30" hidden="false" customHeight="true" outlineLevel="0" collapsed="false">
      <c r="A17" s="14" t="n">
        <v>11</v>
      </c>
      <c r="B17" s="15" t="s">
        <v>45</v>
      </c>
      <c r="C17" s="15"/>
      <c r="D17" s="15"/>
      <c r="E17" s="15"/>
      <c r="F17" s="16" t="s">
        <v>46</v>
      </c>
      <c r="G17" s="16" t="s">
        <v>24</v>
      </c>
      <c r="H17" s="17" t="n">
        <v>10</v>
      </c>
      <c r="I17" s="18" t="n">
        <v>20</v>
      </c>
      <c r="J17" s="19" t="n">
        <f aca="false">H17*I17</f>
        <v>200</v>
      </c>
      <c r="K17" s="19" t="s">
        <v>25</v>
      </c>
    </row>
    <row r="18" customFormat="false" ht="15.75" hidden="false" customHeight="true" outlineLevel="0" collapsed="false">
      <c r="A18" s="14" t="n">
        <v>12</v>
      </c>
      <c r="B18" s="15" t="s">
        <v>47</v>
      </c>
      <c r="C18" s="15"/>
      <c r="D18" s="15"/>
      <c r="E18" s="15"/>
      <c r="F18" s="16" t="s">
        <v>48</v>
      </c>
      <c r="G18" s="16" t="s">
        <v>24</v>
      </c>
      <c r="H18" s="17" t="n">
        <v>5</v>
      </c>
      <c r="I18" s="18" t="n">
        <v>500</v>
      </c>
      <c r="J18" s="19" t="n">
        <f aca="false">H18*I18</f>
        <v>2500</v>
      </c>
      <c r="K18" s="19" t="s">
        <v>25</v>
      </c>
    </row>
    <row r="19" customFormat="false" ht="15.75" hidden="false" customHeight="true" outlineLevel="0" collapsed="false">
      <c r="A19" s="14" t="n">
        <v>13</v>
      </c>
      <c r="B19" s="15" t="s">
        <v>49</v>
      </c>
      <c r="C19" s="15"/>
      <c r="D19" s="15"/>
      <c r="E19" s="15"/>
      <c r="F19" s="16" t="s">
        <v>50</v>
      </c>
      <c r="G19" s="16" t="s">
        <v>24</v>
      </c>
      <c r="H19" s="17" t="n">
        <v>5</v>
      </c>
      <c r="I19" s="18" t="n">
        <v>45</v>
      </c>
      <c r="J19" s="19" t="n">
        <f aca="false">H19*I19</f>
        <v>225</v>
      </c>
      <c r="K19" s="19" t="s">
        <v>25</v>
      </c>
    </row>
    <row r="20" customFormat="false" ht="15.75" hidden="false" customHeight="true" outlineLevel="0" collapsed="false">
      <c r="A20" s="14" t="n">
        <v>14</v>
      </c>
      <c r="B20" s="15" t="s">
        <v>51</v>
      </c>
      <c r="C20" s="15"/>
      <c r="D20" s="15"/>
      <c r="E20" s="15"/>
      <c r="F20" s="16" t="s">
        <v>52</v>
      </c>
      <c r="G20" s="16" t="s">
        <v>24</v>
      </c>
      <c r="H20" s="17" t="n">
        <v>5</v>
      </c>
      <c r="I20" s="18" t="n">
        <v>50</v>
      </c>
      <c r="J20" s="19" t="n">
        <f aca="false">H20*I20</f>
        <v>250</v>
      </c>
      <c r="K20" s="19" t="s">
        <v>25</v>
      </c>
    </row>
    <row r="21" customFormat="false" ht="15.75" hidden="false" customHeight="true" outlineLevel="0" collapsed="false">
      <c r="A21" s="14" t="n">
        <v>15</v>
      </c>
      <c r="B21" s="15" t="s">
        <v>53</v>
      </c>
      <c r="C21" s="15"/>
      <c r="D21" s="15"/>
      <c r="E21" s="15"/>
      <c r="F21" s="16" t="s">
        <v>54</v>
      </c>
      <c r="G21" s="16" t="s">
        <v>24</v>
      </c>
      <c r="H21" s="17" t="n">
        <v>5</v>
      </c>
      <c r="I21" s="18" t="n">
        <v>380</v>
      </c>
      <c r="J21" s="19" t="n">
        <f aca="false">H21*I21</f>
        <v>1900</v>
      </c>
      <c r="K21" s="19" t="s">
        <v>25</v>
      </c>
    </row>
    <row r="22" customFormat="false" ht="15.75" hidden="false" customHeight="true" outlineLevel="0" collapsed="false">
      <c r="A22" s="14" t="n">
        <v>16</v>
      </c>
      <c r="B22" s="15" t="s">
        <v>55</v>
      </c>
      <c r="C22" s="15"/>
      <c r="D22" s="15"/>
      <c r="E22" s="15"/>
      <c r="F22" s="16" t="s">
        <v>56</v>
      </c>
      <c r="G22" s="16" t="s">
        <v>24</v>
      </c>
      <c r="H22" s="17" t="n">
        <v>20</v>
      </c>
      <c r="I22" s="18" t="n">
        <v>35</v>
      </c>
      <c r="J22" s="19" t="n">
        <f aca="false">H22*I22</f>
        <v>700</v>
      </c>
      <c r="K22" s="19" t="s">
        <v>25</v>
      </c>
    </row>
    <row r="23" customFormat="false" ht="15.75" hidden="false" customHeight="true" outlineLevel="0" collapsed="false">
      <c r="A23" s="14" t="n">
        <v>17</v>
      </c>
      <c r="B23" s="15" t="s">
        <v>57</v>
      </c>
      <c r="C23" s="15"/>
      <c r="D23" s="15"/>
      <c r="E23" s="15"/>
      <c r="F23" s="16" t="s">
        <v>58</v>
      </c>
      <c r="G23" s="16" t="s">
        <v>24</v>
      </c>
      <c r="H23" s="17" t="n">
        <v>20</v>
      </c>
      <c r="I23" s="18" t="n">
        <v>30</v>
      </c>
      <c r="J23" s="19" t="n">
        <f aca="false">H23*I23</f>
        <v>600</v>
      </c>
      <c r="K23" s="19" t="s">
        <v>25</v>
      </c>
    </row>
    <row r="24" customFormat="false" ht="15.75" hidden="false" customHeight="true" outlineLevel="0" collapsed="false">
      <c r="A24" s="14" t="n">
        <v>18</v>
      </c>
      <c r="B24" s="15" t="s">
        <v>59</v>
      </c>
      <c r="C24" s="15"/>
      <c r="D24" s="15"/>
      <c r="E24" s="15"/>
      <c r="F24" s="16" t="s">
        <v>60</v>
      </c>
      <c r="G24" s="16" t="s">
        <v>24</v>
      </c>
      <c r="H24" s="17" t="n">
        <v>10</v>
      </c>
      <c r="I24" s="18" t="n">
        <v>20</v>
      </c>
      <c r="J24" s="19" t="n">
        <f aca="false">H24*I24</f>
        <v>200</v>
      </c>
      <c r="K24" s="19" t="s">
        <v>25</v>
      </c>
    </row>
    <row r="25" customFormat="false" ht="15.75" hidden="false" customHeight="true" outlineLevel="0" collapsed="false">
      <c r="A25" s="14" t="n">
        <v>19</v>
      </c>
      <c r="B25" s="15" t="s">
        <v>61</v>
      </c>
      <c r="C25" s="15"/>
      <c r="D25" s="15"/>
      <c r="E25" s="15"/>
      <c r="F25" s="16" t="s">
        <v>62</v>
      </c>
      <c r="G25" s="16" t="s">
        <v>24</v>
      </c>
      <c r="H25" s="17" t="n">
        <v>10</v>
      </c>
      <c r="I25" s="18" t="n">
        <v>30</v>
      </c>
      <c r="J25" s="19" t="n">
        <f aca="false">H25*I25</f>
        <v>300</v>
      </c>
      <c r="K25" s="19" t="s">
        <v>25</v>
      </c>
    </row>
    <row r="26" customFormat="false" ht="15.75" hidden="false" customHeight="true" outlineLevel="0" collapsed="false">
      <c r="A26" s="14" t="n">
        <v>20</v>
      </c>
      <c r="B26" s="15" t="s">
        <v>63</v>
      </c>
      <c r="C26" s="15"/>
      <c r="D26" s="15"/>
      <c r="E26" s="15"/>
      <c r="F26" s="16" t="s">
        <v>64</v>
      </c>
      <c r="G26" s="16" t="s">
        <v>24</v>
      </c>
      <c r="H26" s="17" t="n">
        <v>30</v>
      </c>
      <c r="I26" s="18" t="n">
        <v>15</v>
      </c>
      <c r="J26" s="19" t="n">
        <f aca="false">H26*I26</f>
        <v>450</v>
      </c>
      <c r="K26" s="19" t="s">
        <v>25</v>
      </c>
    </row>
    <row r="27" customFormat="false" ht="15.75" hidden="false" customHeight="true" outlineLevel="0" collapsed="false">
      <c r="A27" s="14" t="n">
        <v>21</v>
      </c>
      <c r="B27" s="15" t="s">
        <v>65</v>
      </c>
      <c r="C27" s="15"/>
      <c r="D27" s="15"/>
      <c r="E27" s="15"/>
      <c r="F27" s="16" t="s">
        <v>66</v>
      </c>
      <c r="G27" s="16" t="s">
        <v>24</v>
      </c>
      <c r="H27" s="17" t="n">
        <v>10</v>
      </c>
      <c r="I27" s="18" t="n">
        <v>10</v>
      </c>
      <c r="J27" s="19" t="n">
        <f aca="false">H27*I27</f>
        <v>100</v>
      </c>
      <c r="K27" s="19" t="s">
        <v>25</v>
      </c>
    </row>
    <row r="28" customFormat="false" ht="15.75" hidden="false" customHeight="true" outlineLevel="0" collapsed="false">
      <c r="A28" s="14" t="n">
        <v>22</v>
      </c>
      <c r="B28" s="15" t="s">
        <v>67</v>
      </c>
      <c r="C28" s="15"/>
      <c r="D28" s="15"/>
      <c r="E28" s="15"/>
      <c r="F28" s="16" t="s">
        <v>68</v>
      </c>
      <c r="G28" s="16" t="s">
        <v>24</v>
      </c>
      <c r="H28" s="17" t="n">
        <v>20</v>
      </c>
      <c r="I28" s="18" t="n">
        <v>30</v>
      </c>
      <c r="J28" s="19" t="n">
        <f aca="false">H28*I28</f>
        <v>600</v>
      </c>
      <c r="K28" s="19" t="s">
        <v>25</v>
      </c>
    </row>
    <row r="29" customFormat="false" ht="15.75" hidden="false" customHeight="true" outlineLevel="0" collapsed="false">
      <c r="A29" s="14" t="n">
        <v>23</v>
      </c>
      <c r="B29" s="15" t="s">
        <v>69</v>
      </c>
      <c r="C29" s="15"/>
      <c r="D29" s="15"/>
      <c r="E29" s="15"/>
      <c r="F29" s="16" t="s">
        <v>70</v>
      </c>
      <c r="G29" s="16" t="s">
        <v>24</v>
      </c>
      <c r="H29" s="17" t="n">
        <v>20</v>
      </c>
      <c r="I29" s="18" t="n">
        <v>20</v>
      </c>
      <c r="J29" s="19" t="n">
        <f aca="false">H29*I29</f>
        <v>400</v>
      </c>
      <c r="K29" s="19" t="s">
        <v>25</v>
      </c>
    </row>
    <row r="30" customFormat="false" ht="30" hidden="false" customHeight="true" outlineLevel="0" collapsed="false">
      <c r="A30" s="14" t="n">
        <v>24</v>
      </c>
      <c r="B30" s="15" t="s">
        <v>71</v>
      </c>
      <c r="C30" s="15"/>
      <c r="D30" s="15"/>
      <c r="E30" s="15"/>
      <c r="F30" s="16" t="s">
        <v>72</v>
      </c>
      <c r="G30" s="16" t="s">
        <v>24</v>
      </c>
      <c r="H30" s="17" t="n">
        <v>20</v>
      </c>
      <c r="I30" s="18" t="n">
        <v>5</v>
      </c>
      <c r="J30" s="19" t="n">
        <f aca="false">H30*I30</f>
        <v>100</v>
      </c>
      <c r="K30" s="19" t="s">
        <v>25</v>
      </c>
    </row>
    <row r="31" customFormat="false" ht="30" hidden="false" customHeight="true" outlineLevel="0" collapsed="false">
      <c r="A31" s="14" t="n">
        <v>25</v>
      </c>
      <c r="B31" s="15" t="s">
        <v>73</v>
      </c>
      <c r="C31" s="15"/>
      <c r="D31" s="15"/>
      <c r="E31" s="15"/>
      <c r="F31" s="16" t="s">
        <v>74</v>
      </c>
      <c r="G31" s="16" t="s">
        <v>24</v>
      </c>
      <c r="H31" s="17" t="n">
        <v>10</v>
      </c>
      <c r="I31" s="18" t="n">
        <v>10</v>
      </c>
      <c r="J31" s="19" t="n">
        <f aca="false">H31*I31</f>
        <v>100</v>
      </c>
      <c r="K31" s="19" t="s">
        <v>25</v>
      </c>
    </row>
    <row r="32" customFormat="false" ht="30" hidden="false" customHeight="true" outlineLevel="0" collapsed="false">
      <c r="A32" s="14" t="n">
        <v>26</v>
      </c>
      <c r="B32" s="15" t="s">
        <v>75</v>
      </c>
      <c r="C32" s="15"/>
      <c r="D32" s="15"/>
      <c r="E32" s="15"/>
      <c r="F32" s="16" t="s">
        <v>76</v>
      </c>
      <c r="G32" s="16" t="s">
        <v>24</v>
      </c>
      <c r="H32" s="17" t="n">
        <v>20</v>
      </c>
      <c r="I32" s="18" t="n">
        <v>3</v>
      </c>
      <c r="J32" s="19" t="n">
        <f aca="false">H32*I32</f>
        <v>60</v>
      </c>
      <c r="K32" s="19" t="s">
        <v>25</v>
      </c>
    </row>
    <row r="33" customFormat="false" ht="15.75" hidden="false" customHeight="true" outlineLevel="0" collapsed="false">
      <c r="A33" s="14" t="n">
        <v>27</v>
      </c>
      <c r="B33" s="15" t="s">
        <v>77</v>
      </c>
      <c r="C33" s="15"/>
      <c r="D33" s="15"/>
      <c r="E33" s="15"/>
      <c r="F33" s="16" t="s">
        <v>78</v>
      </c>
      <c r="G33" s="16" t="s">
        <v>24</v>
      </c>
      <c r="H33" s="17" t="n">
        <v>5</v>
      </c>
      <c r="I33" s="18" t="n">
        <v>750</v>
      </c>
      <c r="J33" s="19" t="n">
        <f aca="false">H33*I33</f>
        <v>3750</v>
      </c>
      <c r="K33" s="19" t="s">
        <v>79</v>
      </c>
    </row>
    <row r="34" customFormat="false" ht="30" hidden="false" customHeight="true" outlineLevel="0" collapsed="false">
      <c r="A34" s="14" t="n">
        <v>28</v>
      </c>
      <c r="B34" s="15" t="s">
        <v>80</v>
      </c>
      <c r="C34" s="15"/>
      <c r="D34" s="15"/>
      <c r="E34" s="15"/>
      <c r="F34" s="16" t="s">
        <v>81</v>
      </c>
      <c r="G34" s="16" t="s">
        <v>82</v>
      </c>
      <c r="H34" s="17" t="n">
        <v>5</v>
      </c>
      <c r="I34" s="18" t="n">
        <v>350</v>
      </c>
      <c r="J34" s="19" t="n">
        <f aca="false">H34*I34</f>
        <v>1750</v>
      </c>
      <c r="K34" s="19" t="s">
        <v>83</v>
      </c>
    </row>
    <row r="35" customFormat="false" ht="15.75" hidden="false" customHeight="true" outlineLevel="0" collapsed="false">
      <c r="A35" s="14" t="n">
        <v>29</v>
      </c>
      <c r="B35" s="15" t="s">
        <v>84</v>
      </c>
      <c r="C35" s="15"/>
      <c r="D35" s="15"/>
      <c r="E35" s="15"/>
      <c r="F35" s="16" t="s">
        <v>85</v>
      </c>
      <c r="G35" s="16" t="s">
        <v>86</v>
      </c>
      <c r="H35" s="17" t="n">
        <v>1</v>
      </c>
      <c r="I35" s="18" t="n">
        <v>892</v>
      </c>
      <c r="J35" s="19" t="n">
        <f aca="false">H35*I35</f>
        <v>892</v>
      </c>
      <c r="K35" s="19" t="s">
        <v>87</v>
      </c>
    </row>
    <row r="36" customFormat="false" ht="30" hidden="false" customHeight="true" outlineLevel="0" collapsed="false">
      <c r="A36" s="14" t="n">
        <v>30</v>
      </c>
      <c r="B36" s="15" t="s">
        <v>88</v>
      </c>
      <c r="C36" s="15"/>
      <c r="D36" s="15"/>
      <c r="E36" s="15"/>
      <c r="F36" s="16" t="s">
        <v>89</v>
      </c>
      <c r="G36" s="16" t="s">
        <v>90</v>
      </c>
      <c r="H36" s="17" t="n">
        <v>5</v>
      </c>
      <c r="I36" s="18" t="n">
        <v>130</v>
      </c>
      <c r="J36" s="19" t="n">
        <f aca="false">H36*I36</f>
        <v>650</v>
      </c>
      <c r="K36" s="19" t="s">
        <v>83</v>
      </c>
    </row>
    <row r="37" customFormat="false" ht="30" hidden="false" customHeight="true" outlineLevel="0" collapsed="false">
      <c r="A37" s="14" t="n">
        <v>31</v>
      </c>
      <c r="B37" s="15" t="s">
        <v>91</v>
      </c>
      <c r="C37" s="15"/>
      <c r="D37" s="15"/>
      <c r="E37" s="15"/>
      <c r="F37" s="16" t="s">
        <v>92</v>
      </c>
      <c r="G37" s="16" t="s">
        <v>24</v>
      </c>
      <c r="H37" s="17" t="n">
        <v>5</v>
      </c>
      <c r="I37" s="18" t="n">
        <v>110</v>
      </c>
      <c r="J37" s="19" t="n">
        <f aca="false">H37*I37</f>
        <v>550</v>
      </c>
      <c r="K37" s="19" t="s">
        <v>83</v>
      </c>
    </row>
    <row r="38" customFormat="false" ht="15.75" hidden="false" customHeight="true" outlineLevel="0" collapsed="false">
      <c r="A38" s="14" t="n">
        <v>32</v>
      </c>
      <c r="B38" s="15" t="s">
        <v>93</v>
      </c>
      <c r="C38" s="15"/>
      <c r="D38" s="15"/>
      <c r="E38" s="15"/>
      <c r="F38" s="16" t="s">
        <v>94</v>
      </c>
      <c r="G38" s="16" t="s">
        <v>24</v>
      </c>
      <c r="H38" s="17" t="n">
        <v>10</v>
      </c>
      <c r="I38" s="18" t="n">
        <v>490</v>
      </c>
      <c r="J38" s="19" t="n">
        <f aca="false">H38*I38</f>
        <v>4900</v>
      </c>
      <c r="K38" s="19" t="s">
        <v>25</v>
      </c>
    </row>
    <row r="39" customFormat="false" ht="30" hidden="false" customHeight="true" outlineLevel="0" collapsed="false">
      <c r="A39" s="14" t="n">
        <v>33</v>
      </c>
      <c r="B39" s="15" t="s">
        <v>95</v>
      </c>
      <c r="C39" s="15"/>
      <c r="D39" s="15"/>
      <c r="E39" s="15"/>
      <c r="F39" s="16" t="s">
        <v>96</v>
      </c>
      <c r="G39" s="16" t="s">
        <v>97</v>
      </c>
      <c r="H39" s="17" t="n">
        <v>2</v>
      </c>
      <c r="I39" s="18" t="n">
        <v>800</v>
      </c>
      <c r="J39" s="19" t="n">
        <f aca="false">H39*I39</f>
        <v>1600</v>
      </c>
      <c r="K39" s="19" t="s">
        <v>98</v>
      </c>
    </row>
    <row r="40" customFormat="false" ht="15.75" hidden="false" customHeight="true" outlineLevel="0" collapsed="false">
      <c r="A40" s="14" t="n">
        <v>34</v>
      </c>
      <c r="B40" s="15" t="s">
        <v>99</v>
      </c>
      <c r="C40" s="15"/>
      <c r="D40" s="15"/>
      <c r="E40" s="15"/>
      <c r="F40" s="16" t="s">
        <v>100</v>
      </c>
      <c r="G40" s="16" t="s">
        <v>101</v>
      </c>
      <c r="H40" s="17" t="n">
        <v>1</v>
      </c>
      <c r="I40" s="18" t="n">
        <v>150</v>
      </c>
      <c r="J40" s="19" t="n">
        <f aca="false">H40*I40</f>
        <v>150</v>
      </c>
      <c r="K40" s="19" t="s">
        <v>102</v>
      </c>
    </row>
    <row r="41" customFormat="false" ht="15.75" hidden="false" customHeight="true" outlineLevel="0" collapsed="false">
      <c r="A41" s="14" t="n">
        <v>35</v>
      </c>
      <c r="B41" s="15" t="s">
        <v>103</v>
      </c>
      <c r="C41" s="15"/>
      <c r="D41" s="15"/>
      <c r="E41" s="15"/>
      <c r="F41" s="16" t="s">
        <v>104</v>
      </c>
      <c r="G41" s="16" t="s">
        <v>105</v>
      </c>
      <c r="H41" s="17" t="n">
        <v>1</v>
      </c>
      <c r="I41" s="18" t="n">
        <v>450</v>
      </c>
      <c r="J41" s="19" t="n">
        <f aca="false">H41*I41</f>
        <v>450</v>
      </c>
      <c r="K41" s="19" t="s">
        <v>106</v>
      </c>
    </row>
    <row r="42" customFormat="false" ht="30" hidden="false" customHeight="true" outlineLevel="0" collapsed="false">
      <c r="A42" s="14" t="n">
        <v>36</v>
      </c>
      <c r="B42" s="15" t="s">
        <v>107</v>
      </c>
      <c r="C42" s="15"/>
      <c r="D42" s="15"/>
      <c r="E42" s="15"/>
      <c r="F42" s="16" t="s">
        <v>108</v>
      </c>
      <c r="G42" s="16" t="s">
        <v>86</v>
      </c>
      <c r="H42" s="17" t="n">
        <v>1</v>
      </c>
      <c r="I42" s="18" t="n">
        <v>350</v>
      </c>
      <c r="J42" s="19" t="n">
        <f aca="false">H42*I42</f>
        <v>350</v>
      </c>
      <c r="K42" s="19" t="s">
        <v>109</v>
      </c>
    </row>
    <row r="43" customFormat="false" ht="15.75" hidden="false" customHeight="true" outlineLevel="0" collapsed="false">
      <c r="A43" s="14" t="n">
        <v>37</v>
      </c>
      <c r="B43" s="15" t="s">
        <v>110</v>
      </c>
      <c r="C43" s="15"/>
      <c r="D43" s="15"/>
      <c r="E43" s="15"/>
      <c r="F43" s="16" t="s">
        <v>111</v>
      </c>
      <c r="G43" s="16" t="s">
        <v>105</v>
      </c>
      <c r="H43" s="17" t="n">
        <v>2</v>
      </c>
      <c r="I43" s="18" t="n">
        <v>200</v>
      </c>
      <c r="J43" s="19" t="n">
        <f aca="false">H43*I43</f>
        <v>400</v>
      </c>
      <c r="K43" s="19" t="s">
        <v>112</v>
      </c>
    </row>
    <row r="44" customFormat="false" ht="15.75" hidden="false" customHeight="true" outlineLevel="0" collapsed="false">
      <c r="A44" s="14" t="n">
        <v>38</v>
      </c>
      <c r="B44" s="15" t="s">
        <v>113</v>
      </c>
      <c r="C44" s="15"/>
      <c r="D44" s="15"/>
      <c r="E44" s="15"/>
      <c r="F44" s="16" t="s">
        <v>111</v>
      </c>
      <c r="G44" s="16" t="s">
        <v>105</v>
      </c>
      <c r="H44" s="17" t="n">
        <v>1</v>
      </c>
      <c r="I44" s="18" t="n">
        <v>200</v>
      </c>
      <c r="J44" s="19" t="n">
        <f aca="false">H44*I44</f>
        <v>200</v>
      </c>
      <c r="K44" s="19" t="s">
        <v>112</v>
      </c>
    </row>
    <row r="45" customFormat="false" ht="15.75" hidden="false" customHeight="true" outlineLevel="0" collapsed="false">
      <c r="A45" s="20" t="s">
        <v>114</v>
      </c>
      <c r="B45" s="20"/>
      <c r="C45" s="20"/>
      <c r="D45" s="20"/>
      <c r="E45" s="20"/>
      <c r="F45" s="20"/>
      <c r="G45" s="20"/>
      <c r="H45" s="20"/>
      <c r="I45" s="20"/>
      <c r="J45" s="21" t="n">
        <f aca="false">SUM(J7:J44)</f>
        <v>40297</v>
      </c>
      <c r="K45" s="21"/>
    </row>
    <row r="46" customFormat="false" ht="15.75" hidden="false" customHeight="true" outlineLevel="0" collapsed="false"/>
    <row r="47" customFormat="false" ht="19.5" hidden="false" customHeight="true" outlineLevel="0" collapsed="false">
      <c r="A47" s="10" t="s">
        <v>115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customFormat="false" ht="30" hidden="false" customHeight="true" outlineLevel="0" collapsed="false">
      <c r="A48" s="14" t="s">
        <v>116</v>
      </c>
      <c r="B48" s="15" t="s">
        <v>117</v>
      </c>
      <c r="C48" s="15"/>
      <c r="D48" s="15"/>
      <c r="E48" s="15"/>
      <c r="F48" s="16" t="s">
        <v>118</v>
      </c>
      <c r="G48" s="16" t="s">
        <v>119</v>
      </c>
      <c r="H48" s="17" t="n">
        <v>2</v>
      </c>
      <c r="I48" s="18" t="n">
        <v>17500</v>
      </c>
      <c r="J48" s="19" t="n">
        <f aca="false">H48*I48</f>
        <v>35000</v>
      </c>
      <c r="K48" s="19" t="s">
        <v>120</v>
      </c>
    </row>
    <row r="49" customFormat="false" ht="15.75" hidden="false" customHeight="true" outlineLevel="0" collapsed="false">
      <c r="A49" s="20" t="s">
        <v>121</v>
      </c>
      <c r="B49" s="20"/>
      <c r="C49" s="20"/>
      <c r="D49" s="20"/>
      <c r="E49" s="20"/>
      <c r="F49" s="20"/>
      <c r="G49" s="20"/>
      <c r="H49" s="20"/>
      <c r="I49" s="20"/>
      <c r="J49" s="21" t="n">
        <f aca="false">SUM(J48:J48)</f>
        <v>35000</v>
      </c>
      <c r="K49" s="21"/>
    </row>
    <row r="50" customFormat="false" ht="15.75" hidden="false" customHeight="true" outlineLevel="0" collapsed="false">
      <c r="A50" s="22"/>
      <c r="B50" s="23"/>
      <c r="C50" s="23"/>
      <c r="D50" s="23"/>
      <c r="E50" s="23"/>
      <c r="F50" s="23"/>
      <c r="G50" s="24"/>
      <c r="H50" s="24"/>
      <c r="I50" s="25"/>
      <c r="J50" s="25"/>
      <c r="K50" s="25"/>
    </row>
    <row r="51" customFormat="false" ht="26.25" hidden="false" customHeight="true" outlineLevel="0" collapsed="false">
      <c r="A51" s="26" t="s">
        <v>122</v>
      </c>
      <c r="B51" s="26"/>
      <c r="C51" s="27"/>
      <c r="D51" s="28" t="s">
        <v>123</v>
      </c>
      <c r="E51" s="28"/>
      <c r="F51" s="28"/>
      <c r="G51" s="28"/>
      <c r="H51" s="28"/>
      <c r="I51" s="29"/>
      <c r="J51" s="30"/>
      <c r="K51" s="30"/>
    </row>
    <row r="52" customFormat="false" ht="26.25" hidden="false" customHeight="true" outlineLevel="0" collapsed="false">
      <c r="A52" s="27"/>
      <c r="B52" s="27"/>
      <c r="C52" s="27"/>
      <c r="D52" s="31"/>
      <c r="E52" s="31"/>
      <c r="F52" s="31"/>
      <c r="G52" s="31"/>
      <c r="H52" s="31"/>
      <c r="I52" s="29"/>
      <c r="J52" s="32" t="s">
        <v>124</v>
      </c>
      <c r="K52" s="32"/>
    </row>
    <row r="53" customFormat="false" ht="26.25" hidden="false" customHeight="true" outlineLevel="0" collapsed="false">
      <c r="A53" s="26" t="s">
        <v>125</v>
      </c>
      <c r="B53" s="26"/>
      <c r="C53" s="27"/>
      <c r="D53" s="28" t="s">
        <v>126</v>
      </c>
      <c r="E53" s="28"/>
      <c r="F53" s="28"/>
      <c r="G53" s="28"/>
      <c r="H53" s="28"/>
      <c r="I53" s="29"/>
      <c r="J53" s="30"/>
      <c r="K53" s="30"/>
    </row>
    <row r="54" customFormat="false" ht="26.25" hidden="false" customHeight="true" outlineLevel="0" collapsed="false">
      <c r="A54" s="27"/>
      <c r="B54" s="27"/>
      <c r="C54" s="27"/>
      <c r="D54" s="33"/>
      <c r="E54" s="33"/>
      <c r="F54" s="33"/>
      <c r="G54" s="33"/>
      <c r="H54" s="33"/>
      <c r="I54" s="29"/>
      <c r="J54" s="32" t="s">
        <v>124</v>
      </c>
      <c r="K54" s="32"/>
    </row>
    <row r="55" customFormat="false" ht="26.25" hidden="false" customHeight="true" outlineLevel="0" collapsed="false">
      <c r="A55" s="26" t="s">
        <v>125</v>
      </c>
      <c r="B55" s="26"/>
      <c r="C55" s="27"/>
      <c r="D55" s="28" t="s">
        <v>127</v>
      </c>
      <c r="E55" s="28"/>
      <c r="F55" s="28"/>
      <c r="G55" s="28"/>
      <c r="H55" s="28"/>
      <c r="I55" s="29"/>
      <c r="J55" s="30"/>
      <c r="K55" s="30"/>
    </row>
    <row r="56" customFormat="false" ht="15.75" hidden="false" customHeight="true" outlineLevel="0" collapsed="false">
      <c r="A56" s="27"/>
      <c r="B56" s="27"/>
      <c r="C56" s="27"/>
      <c r="D56" s="33"/>
      <c r="E56" s="33"/>
      <c r="F56" s="33"/>
      <c r="G56" s="33"/>
      <c r="H56" s="33"/>
      <c r="I56" s="29"/>
      <c r="J56" s="32" t="s">
        <v>124</v>
      </c>
      <c r="K56" s="32"/>
    </row>
    <row r="57" customFormat="false" ht="15.75" hidden="false" customHeight="true" outlineLevel="0" collapsed="false">
      <c r="A57" s="34"/>
      <c r="B57" s="34"/>
      <c r="C57" s="34"/>
      <c r="D57" s="24"/>
      <c r="E57" s="24"/>
      <c r="F57" s="24"/>
      <c r="G57" s="24"/>
      <c r="H57" s="24"/>
      <c r="I57" s="25"/>
      <c r="J57" s="25"/>
      <c r="K57" s="25"/>
    </row>
    <row r="58" customFormat="false" ht="15.75" hidden="false" customHeight="true" outlineLevel="0" collapsed="false">
      <c r="A58" s="35"/>
      <c r="B58" s="36"/>
      <c r="C58" s="36"/>
      <c r="D58" s="36"/>
      <c r="E58" s="37"/>
      <c r="F58" s="37"/>
      <c r="G58" s="37"/>
      <c r="H58" s="37"/>
      <c r="I58" s="36"/>
      <c r="J58" s="36"/>
      <c r="K58" s="38"/>
    </row>
    <row r="59" customFormat="false" ht="15.75" hidden="false" customHeight="true" outlineLevel="0" collapsed="false">
      <c r="A59" s="39"/>
      <c r="B59" s="39"/>
      <c r="C59" s="39"/>
      <c r="D59" s="39"/>
      <c r="E59" s="39"/>
      <c r="F59" s="39"/>
      <c r="G59" s="39"/>
      <c r="H59" s="39"/>
      <c r="I59" s="39"/>
      <c r="J59" s="40"/>
      <c r="K59" s="40"/>
    </row>
    <row r="60" customFormat="false" ht="15.75" hidden="false" customHeight="true" outlineLevel="0" collapsed="false">
      <c r="A60" s="22"/>
      <c r="B60" s="23"/>
      <c r="C60" s="23"/>
      <c r="D60" s="23"/>
      <c r="E60" s="23"/>
      <c r="F60" s="23"/>
      <c r="G60" s="24"/>
      <c r="H60" s="24"/>
      <c r="I60" s="25"/>
      <c r="J60" s="25"/>
      <c r="K60" s="25"/>
    </row>
    <row r="61" customFormat="false" ht="15.75" hidden="false" customHeight="true" outlineLevel="0" collapsed="false">
      <c r="A61" s="27"/>
      <c r="B61" s="27"/>
      <c r="C61" s="27"/>
      <c r="D61" s="41"/>
      <c r="E61" s="41"/>
      <c r="F61" s="41"/>
      <c r="G61" s="41"/>
      <c r="H61" s="41"/>
      <c r="I61" s="29"/>
      <c r="J61" s="29"/>
      <c r="K61" s="29"/>
    </row>
    <row r="62" customFormat="false" ht="15.75" hidden="false" customHeight="true" outlineLevel="0" collapsed="false">
      <c r="A62" s="27"/>
      <c r="B62" s="27"/>
      <c r="C62" s="27"/>
      <c r="D62" s="42"/>
      <c r="E62" s="42"/>
      <c r="F62" s="42"/>
      <c r="G62" s="42"/>
      <c r="H62" s="42"/>
      <c r="I62" s="29"/>
      <c r="J62" s="29"/>
      <c r="K62" s="29"/>
    </row>
    <row r="63" customFormat="false" ht="15.75" hidden="false" customHeight="true" outlineLevel="0" collapsed="false">
      <c r="A63" s="27"/>
      <c r="B63" s="27"/>
      <c r="C63" s="27"/>
      <c r="D63" s="41"/>
      <c r="E63" s="41"/>
      <c r="F63" s="41"/>
      <c r="G63" s="41"/>
      <c r="H63" s="41"/>
      <c r="I63" s="29"/>
      <c r="J63" s="29"/>
      <c r="K63" s="29"/>
    </row>
    <row r="64" customFormat="false" ht="15.75" hidden="false" customHeight="true" outlineLevel="0" collapsed="false">
      <c r="A64" s="27"/>
      <c r="B64" s="27"/>
      <c r="C64" s="27"/>
      <c r="D64" s="41"/>
      <c r="E64" s="41"/>
      <c r="F64" s="41"/>
      <c r="G64" s="41"/>
      <c r="H64" s="41"/>
      <c r="I64" s="29"/>
      <c r="J64" s="29"/>
      <c r="K64" s="29"/>
    </row>
    <row r="65" customFormat="false" ht="15.75" hidden="false" customHeight="true" outlineLevel="0" collapsed="false">
      <c r="A65" s="27"/>
      <c r="B65" s="27"/>
      <c r="C65" s="27"/>
      <c r="D65" s="41"/>
      <c r="E65" s="41"/>
      <c r="F65" s="41"/>
      <c r="G65" s="41"/>
      <c r="H65" s="41"/>
      <c r="I65" s="29"/>
      <c r="J65" s="29"/>
      <c r="K65" s="29"/>
    </row>
    <row r="66" customFormat="false" ht="15.75" hidden="false" customHeight="true" outlineLevel="0" collapsed="false">
      <c r="A66" s="27"/>
      <c r="B66" s="27"/>
      <c r="C66" s="27"/>
      <c r="D66" s="41"/>
      <c r="E66" s="41"/>
      <c r="F66" s="41"/>
      <c r="G66" s="41"/>
      <c r="H66" s="41"/>
      <c r="I66" s="29"/>
      <c r="J66" s="29"/>
      <c r="K66" s="29"/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27" hidden="false" customHeight="true" outlineLevel="0" collapsed="false"/>
    <row r="73" customFormat="false" ht="27" hidden="false" customHeight="true" outlineLevel="0" collapsed="false"/>
    <row r="74" customFormat="false" ht="27" hidden="false" customHeight="true" outlineLevel="0" collapsed="false"/>
    <row r="75" customFormat="false" ht="27" hidden="false" customHeight="true" outlineLevel="0" collapsed="false"/>
    <row r="76" customFormat="false" ht="27" hidden="false" customHeight="true" outlineLevel="0" collapsed="false"/>
    <row r="77" customFormat="false" ht="27" hidden="false" customHeight="true" outlineLevel="0" collapsed="false"/>
    <row r="78" customFormat="false" ht="27" hidden="false" customHeight="true" outlineLevel="0" collapsed="false"/>
    <row r="79" customFormat="false" ht="27" hidden="false" customHeight="true" outlineLevel="0" collapsed="false"/>
    <row r="80" customFormat="false" ht="27" hidden="false" customHeight="true" outlineLevel="0" collapsed="false"/>
    <row r="81" customFormat="false" ht="27" hidden="false" customHeight="true" outlineLevel="0" collapsed="false"/>
    <row r="82" customFormat="false" ht="18.75" hidden="false" customHeight="true" outlineLevel="0" collapsed="false"/>
    <row r="83" customFormat="false" ht="15.75" hidden="false" customHeight="true" outlineLevel="0" collapsed="false"/>
    <row r="84" customFormat="false" ht="44.25" hidden="false" customHeight="true" outlineLevel="0" collapsed="false"/>
    <row r="85" customFormat="false" ht="15.75" hidden="false" customHeight="true" outlineLevel="0" collapsed="false"/>
    <row r="86" customFormat="false" ht="49.5" hidden="false" customHeight="true" outlineLevel="0" collapsed="false"/>
    <row r="87" customFormat="false" ht="15.75" hidden="false" customHeight="true" outlineLevel="0" collapsed="false"/>
    <row r="88" customFormat="false" ht="49.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</sheetData>
  <mergeCells count="85">
    <mergeCell ref="A1:K1"/>
    <mergeCell ref="A2:C2"/>
    <mergeCell ref="D2:F2"/>
    <mergeCell ref="G2:H2"/>
    <mergeCell ref="I2:K2"/>
    <mergeCell ref="A3:C3"/>
    <mergeCell ref="D3:F3"/>
    <mergeCell ref="G3:H3"/>
    <mergeCell ref="I3:K3"/>
    <mergeCell ref="A4:C4"/>
    <mergeCell ref="D4:F4"/>
    <mergeCell ref="G4:H4"/>
    <mergeCell ref="I4:K4"/>
    <mergeCell ref="A5:C5"/>
    <mergeCell ref="D5:F5"/>
    <mergeCell ref="G5:H5"/>
    <mergeCell ref="I5:K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A45:I45"/>
    <mergeCell ref="J45:K45"/>
    <mergeCell ref="A47:K47"/>
    <mergeCell ref="B48:E48"/>
    <mergeCell ref="A49:I49"/>
    <mergeCell ref="J49:K49"/>
    <mergeCell ref="A51:B51"/>
    <mergeCell ref="D51:H51"/>
    <mergeCell ref="J51:K51"/>
    <mergeCell ref="D52:H52"/>
    <mergeCell ref="J52:K52"/>
    <mergeCell ref="A53:B53"/>
    <mergeCell ref="D53:H53"/>
    <mergeCell ref="J53:K53"/>
    <mergeCell ref="D54:H54"/>
    <mergeCell ref="J54:K54"/>
    <mergeCell ref="A55:B55"/>
    <mergeCell ref="D55:H55"/>
    <mergeCell ref="J55:K55"/>
    <mergeCell ref="D56:H56"/>
    <mergeCell ref="J56:K56"/>
    <mergeCell ref="B58:D58"/>
    <mergeCell ref="A59:I59"/>
    <mergeCell ref="D61:H61"/>
    <mergeCell ref="D62:H62"/>
    <mergeCell ref="D63:H63"/>
    <mergeCell ref="D64:H64"/>
    <mergeCell ref="D65:H65"/>
    <mergeCell ref="D66:H66"/>
  </mergeCells>
  <hyperlinks>
    <hyperlink ref="K7" r:id="rId1" display="Electrobes (listed price)"/>
    <hyperlink ref="K8" r:id="rId2" display="Electrobes (listed price)"/>
    <hyperlink ref="K9" r:id="rId3" display="Electrobes (listed price)"/>
    <hyperlink ref="K10" r:id="rId4" display="Electrobes (listed price)"/>
    <hyperlink ref="K11" r:id="rId5" display="Electrobes (listed price)"/>
    <hyperlink ref="K12" r:id="rId6" display="Electrobes (listed price)"/>
    <hyperlink ref="K13" r:id="rId7" display="Hallroadlahore.pk (listed price)"/>
    <hyperlink ref="K14" r:id="rId8" display="Electrobes (listed price)"/>
    <hyperlink ref="K15" r:id="rId9" display="Electrobes (listed price)"/>
    <hyperlink ref="K16" r:id="rId10" display="Electrobes (listed price)"/>
    <hyperlink ref="K17" r:id="rId11" display="Electrobes (listed price)"/>
    <hyperlink ref="K18" r:id="rId12" display="Electrobes (listed price)"/>
    <hyperlink ref="K19" r:id="rId13" display="Electrobes (listed price)"/>
    <hyperlink ref="K20" r:id="rId14" display="Electrobes (listed price)"/>
    <hyperlink ref="K21" r:id="rId15" display="Electrobes (listed price)"/>
    <hyperlink ref="K22" r:id="rId16" display="Electrobes (listed price)"/>
    <hyperlink ref="K23" r:id="rId17" display="Electrobes (listed price)"/>
    <hyperlink ref="K24" r:id="rId18" display="Electrobes (listed price)"/>
    <hyperlink ref="K25" r:id="rId19" display="Electrobes (listed price)"/>
    <hyperlink ref="K26" r:id="rId20" display="Electrobes (listed price)"/>
    <hyperlink ref="K27" r:id="rId21" display="Electrobes (listed price)"/>
    <hyperlink ref="K28" r:id="rId22" display="Electrobes (listed price)"/>
    <hyperlink ref="K29" r:id="rId23" display="Electrobes (listed price)"/>
    <hyperlink ref="K30" r:id="rId24" display="Electrobes (listed price)"/>
    <hyperlink ref="K31" r:id="rId25" display="Electrobes (listed price)"/>
    <hyperlink ref="K32" r:id="rId26" display="Electrobes (listed price)"/>
    <hyperlink ref="K33" r:id="rId27" display="Electrobes (listed price, out of stock when checked)"/>
    <hyperlink ref="K35" r:id="rId28" display="Hallroadlahore.pk (listed price, out of stock when checked)"/>
    <hyperlink ref="K36" r:id="rId29" display="Digilog (listed price)"/>
    <hyperlink ref="K37" r:id="rId30" display="Digilog (listed price)"/>
    <hyperlink ref="K38" r:id="rId31" display="Electrobes (listed price)"/>
    <hyperlink ref="K48" r:id="rId32" display="Estimate - Daraz listing, price not shown; confir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2024-11-18T02:59:14Z</dcterms:created>
  <dc:creator>Moorche</dc:creator>
  <dc:description/>
  <dc:language>en-US</dc:language>
  <cp:lastModifiedBy/>
  <dcterms:modified xsi:type="dcterms:W3CDTF">2026-09-29T03:50:46Z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